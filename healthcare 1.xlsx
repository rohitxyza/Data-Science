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ohit\Downloads\digital tranning lab\"/>
    </mc:Choice>
  </mc:AlternateContent>
  <xr:revisionPtr revIDLastSave="0" documentId="13_ncr:1_{38EF015D-035F-428E-8FB9-7128AA3C4BE7}" xr6:coauthVersionLast="47" xr6:coauthVersionMax="47" xr10:uidLastSave="{00000000-0000-0000-0000-000000000000}"/>
  <bookViews>
    <workbookView xWindow="-120" yWindow="-120" windowWidth="29040" windowHeight="15720" activeTab="1" xr2:uid="{E8BE7654-68CC-4198-B013-1E52A354A8D8}"/>
  </bookViews>
  <sheets>
    <sheet name="Sheet2" sheetId="2" r:id="rId1"/>
    <sheet name="Dashboard" sheetId="3" r:id="rId2"/>
    <sheet name="Sheet1" sheetId="1" r:id="rId3"/>
  </sheets>
  <definedNames>
    <definedName name="Slicer_City">#N/A</definedName>
    <definedName name="Slicer_Department">#N/A</definedName>
    <definedName name="Slicer_diagnosis">#N/A</definedName>
    <definedName name="Slicer_Gender">#N/A</definedName>
    <definedName name="Slicer_Hospital_Nam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G4996" i="1"/>
  <c r="G4995" i="1"/>
  <c r="G4994" i="1"/>
  <c r="G4993" i="1"/>
  <c r="G4992" i="1"/>
  <c r="G4991" i="1"/>
  <c r="G4990" i="1"/>
  <c r="G4989" i="1"/>
  <c r="G4988" i="1"/>
  <c r="G4987" i="1"/>
  <c r="G4986" i="1"/>
  <c r="G4985" i="1"/>
  <c r="G4984" i="1"/>
  <c r="G4983" i="1"/>
  <c r="G4982" i="1"/>
  <c r="G4981" i="1"/>
  <c r="G4980" i="1"/>
  <c r="G4979" i="1"/>
  <c r="G4978" i="1"/>
  <c r="G4977" i="1"/>
  <c r="G4976" i="1"/>
  <c r="G4975" i="1"/>
  <c r="G4974" i="1"/>
  <c r="G4973" i="1"/>
  <c r="G4972" i="1"/>
  <c r="G4971" i="1"/>
  <c r="G4970" i="1"/>
  <c r="G4969" i="1"/>
  <c r="G4968" i="1"/>
  <c r="G4967" i="1"/>
  <c r="G4966" i="1"/>
  <c r="G4965" i="1"/>
  <c r="G4964" i="1"/>
  <c r="G4963" i="1"/>
  <c r="G4962" i="1"/>
  <c r="G4961" i="1"/>
  <c r="G4960" i="1"/>
  <c r="G4959" i="1"/>
  <c r="G4958" i="1"/>
  <c r="G4957" i="1"/>
  <c r="G4956" i="1"/>
  <c r="G4955" i="1"/>
  <c r="G4954" i="1"/>
  <c r="G4953" i="1"/>
  <c r="G4952" i="1"/>
  <c r="G4951" i="1"/>
  <c r="G4950" i="1"/>
  <c r="G4949" i="1"/>
  <c r="G4948" i="1"/>
  <c r="G4947" i="1"/>
  <c r="G4946" i="1"/>
  <c r="G4945" i="1"/>
  <c r="G4944" i="1"/>
  <c r="G4943" i="1"/>
  <c r="G4942" i="1"/>
  <c r="G4941" i="1"/>
  <c r="G4940" i="1"/>
  <c r="G4939" i="1"/>
  <c r="G4938" i="1"/>
  <c r="G4937" i="1"/>
  <c r="G4936" i="1"/>
  <c r="G4935" i="1"/>
  <c r="G4934" i="1"/>
  <c r="G4933" i="1"/>
  <c r="G4932" i="1"/>
  <c r="G4931" i="1"/>
  <c r="G4930" i="1"/>
  <c r="G4929" i="1"/>
  <c r="G4928" i="1"/>
  <c r="G4927" i="1"/>
  <c r="G4926" i="1"/>
  <c r="G4925" i="1"/>
  <c r="G4924" i="1"/>
  <c r="G4923" i="1"/>
  <c r="G4922" i="1"/>
  <c r="G4921" i="1"/>
  <c r="G4920" i="1"/>
  <c r="G4919" i="1"/>
  <c r="G4918" i="1"/>
  <c r="G4917" i="1"/>
  <c r="G4916" i="1"/>
  <c r="G4915" i="1"/>
  <c r="G4914" i="1"/>
  <c r="G4913" i="1"/>
  <c r="G4912" i="1"/>
  <c r="G4911" i="1"/>
  <c r="G4910" i="1"/>
  <c r="G4909" i="1"/>
  <c r="G4908" i="1"/>
  <c r="G4907" i="1"/>
  <c r="G4906" i="1"/>
  <c r="G4905" i="1"/>
  <c r="G4904" i="1"/>
  <c r="G4903" i="1"/>
  <c r="G4902" i="1"/>
  <c r="G4901" i="1"/>
  <c r="G4900" i="1"/>
  <c r="G4899" i="1"/>
  <c r="G4898" i="1"/>
  <c r="G4897" i="1"/>
  <c r="G4896" i="1"/>
  <c r="G4895" i="1"/>
  <c r="G4894" i="1"/>
  <c r="G4893" i="1"/>
  <c r="G4892" i="1"/>
  <c r="G4891" i="1"/>
  <c r="G4890" i="1"/>
  <c r="G4889" i="1"/>
  <c r="G4888" i="1"/>
  <c r="G4887" i="1"/>
  <c r="G4886" i="1"/>
  <c r="G4885" i="1"/>
  <c r="G4884" i="1"/>
  <c r="G4883" i="1"/>
  <c r="G4882" i="1"/>
  <c r="G4881" i="1"/>
  <c r="G4880" i="1"/>
  <c r="G4879" i="1"/>
  <c r="G4878" i="1"/>
  <c r="G4877" i="1"/>
  <c r="G4876" i="1"/>
  <c r="G4875" i="1"/>
  <c r="G4874" i="1"/>
  <c r="G4873" i="1"/>
  <c r="G4872" i="1"/>
  <c r="G4871" i="1"/>
  <c r="G4870" i="1"/>
  <c r="G4869" i="1"/>
  <c r="G4868" i="1"/>
  <c r="G4867" i="1"/>
  <c r="G4866" i="1"/>
  <c r="G4865" i="1"/>
  <c r="G4864" i="1"/>
  <c r="G4863" i="1"/>
  <c r="G4862" i="1"/>
  <c r="G4861" i="1"/>
  <c r="G4860" i="1"/>
  <c r="G4859" i="1"/>
  <c r="G4858" i="1"/>
  <c r="G4857" i="1"/>
  <c r="G4856" i="1"/>
  <c r="G4855" i="1"/>
  <c r="G4854" i="1"/>
  <c r="G4853" i="1"/>
  <c r="G4852" i="1"/>
  <c r="G4851" i="1"/>
  <c r="G4850" i="1"/>
  <c r="G4849" i="1"/>
  <c r="G4848" i="1"/>
  <c r="G4847" i="1"/>
  <c r="G4846" i="1"/>
  <c r="G4845" i="1"/>
  <c r="G4844" i="1"/>
  <c r="G4843" i="1"/>
  <c r="G4842" i="1"/>
  <c r="G4841" i="1"/>
  <c r="G4840" i="1"/>
  <c r="G4839" i="1"/>
  <c r="G4838" i="1"/>
  <c r="G4837" i="1"/>
  <c r="G4836" i="1"/>
  <c r="G4835" i="1"/>
  <c r="G4834" i="1"/>
  <c r="G4833" i="1"/>
  <c r="G4832" i="1"/>
  <c r="G4831" i="1"/>
  <c r="G4830" i="1"/>
  <c r="G4829" i="1"/>
  <c r="G4828" i="1"/>
  <c r="G4827" i="1"/>
  <c r="G4826" i="1"/>
  <c r="G4825" i="1"/>
  <c r="G4824" i="1"/>
  <c r="G4823" i="1"/>
  <c r="G4822" i="1"/>
  <c r="G4821" i="1"/>
  <c r="G4820" i="1"/>
  <c r="G4819" i="1"/>
  <c r="G4818" i="1"/>
  <c r="G4817" i="1"/>
  <c r="G4816" i="1"/>
  <c r="G4815" i="1"/>
  <c r="G4814" i="1"/>
  <c r="G4813" i="1"/>
  <c r="G4812" i="1"/>
  <c r="G4811" i="1"/>
  <c r="G4810" i="1"/>
  <c r="G4809" i="1"/>
  <c r="G4808" i="1"/>
  <c r="G4807" i="1"/>
  <c r="G4806" i="1"/>
  <c r="G4805" i="1"/>
  <c r="G4804" i="1"/>
  <c r="G4803" i="1"/>
  <c r="G4802" i="1"/>
  <c r="G4801" i="1"/>
  <c r="G4800" i="1"/>
  <c r="G4799" i="1"/>
  <c r="G4798" i="1"/>
  <c r="G4797" i="1"/>
  <c r="G4796" i="1"/>
  <c r="G4795" i="1"/>
  <c r="G4794" i="1"/>
  <c r="G4793" i="1"/>
  <c r="G4792" i="1"/>
  <c r="G4791" i="1"/>
  <c r="G4790" i="1"/>
  <c r="G4789" i="1"/>
  <c r="G4788" i="1"/>
  <c r="G4787" i="1"/>
  <c r="G4786" i="1"/>
  <c r="G4785" i="1"/>
  <c r="G4784" i="1"/>
  <c r="G4783" i="1"/>
  <c r="G4782" i="1"/>
  <c r="G4781" i="1"/>
  <c r="G4780" i="1"/>
  <c r="G4779" i="1"/>
  <c r="G4778" i="1"/>
  <c r="G4777" i="1"/>
  <c r="G4776" i="1"/>
  <c r="G4775" i="1"/>
  <c r="G4774" i="1"/>
  <c r="G4773" i="1"/>
  <c r="G4772" i="1"/>
  <c r="G4771" i="1"/>
  <c r="G4770" i="1"/>
  <c r="G4769" i="1"/>
  <c r="G4768" i="1"/>
  <c r="G4767" i="1"/>
  <c r="G4766" i="1"/>
  <c r="G4765" i="1"/>
  <c r="G4764" i="1"/>
  <c r="G4763" i="1"/>
  <c r="G4762" i="1"/>
  <c r="G4761" i="1"/>
  <c r="G4760" i="1"/>
  <c r="G4759" i="1"/>
  <c r="G4758" i="1"/>
  <c r="G4757" i="1"/>
  <c r="G4756" i="1"/>
  <c r="G4755" i="1"/>
  <c r="G4754" i="1"/>
  <c r="G4753" i="1"/>
  <c r="G4752" i="1"/>
  <c r="G4751" i="1"/>
  <c r="G4750" i="1"/>
  <c r="G4749" i="1"/>
  <c r="G4748" i="1"/>
  <c r="G4747" i="1"/>
  <c r="G4746" i="1"/>
  <c r="G4745" i="1"/>
  <c r="G4744" i="1"/>
  <c r="G4743" i="1"/>
  <c r="G4742" i="1"/>
  <c r="G4741" i="1"/>
  <c r="G4740" i="1"/>
  <c r="G4739" i="1"/>
  <c r="G4738" i="1"/>
  <c r="G4737" i="1"/>
  <c r="G4736" i="1"/>
  <c r="G4735" i="1"/>
  <c r="G4734" i="1"/>
  <c r="G4733" i="1"/>
  <c r="G4732" i="1"/>
  <c r="G4731" i="1"/>
  <c r="G4730" i="1"/>
  <c r="G4729" i="1"/>
  <c r="G4728" i="1"/>
  <c r="G4727" i="1"/>
  <c r="G4726" i="1"/>
  <c r="G4725" i="1"/>
  <c r="G4724" i="1"/>
  <c r="G4723" i="1"/>
  <c r="G4722" i="1"/>
  <c r="G4721" i="1"/>
  <c r="G4720" i="1"/>
  <c r="G4719" i="1"/>
  <c r="G4718" i="1"/>
  <c r="G4717" i="1"/>
  <c r="G4716" i="1"/>
  <c r="G4715" i="1"/>
  <c r="G4714" i="1"/>
  <c r="G4713" i="1"/>
  <c r="G4712" i="1"/>
  <c r="G4711" i="1"/>
  <c r="G4710" i="1"/>
  <c r="G4709" i="1"/>
  <c r="G4708" i="1"/>
  <c r="G4707" i="1"/>
  <c r="G4706" i="1"/>
  <c r="G4705" i="1"/>
  <c r="G4704" i="1"/>
  <c r="G4703" i="1"/>
  <c r="G4702" i="1"/>
  <c r="G4701" i="1"/>
  <c r="G4700" i="1"/>
  <c r="G4699" i="1"/>
  <c r="G4698" i="1"/>
  <c r="G4697" i="1"/>
  <c r="G4696" i="1"/>
  <c r="G4695" i="1"/>
  <c r="G4694" i="1"/>
  <c r="G4693" i="1"/>
  <c r="G4692" i="1"/>
  <c r="G4691" i="1"/>
  <c r="G4690" i="1"/>
  <c r="G4689" i="1"/>
  <c r="G4688" i="1"/>
  <c r="G4687" i="1"/>
  <c r="G4686" i="1"/>
  <c r="G4685" i="1"/>
  <c r="G4684" i="1"/>
  <c r="G4683" i="1"/>
  <c r="G4682" i="1"/>
  <c r="G4681" i="1"/>
  <c r="G4680" i="1"/>
  <c r="G4679" i="1"/>
  <c r="G4678" i="1"/>
  <c r="G4677" i="1"/>
  <c r="G4676" i="1"/>
  <c r="G4675" i="1"/>
  <c r="G4674" i="1"/>
  <c r="G4673" i="1"/>
  <c r="G4672" i="1"/>
  <c r="G4671" i="1"/>
  <c r="G4670" i="1"/>
  <c r="G4669" i="1"/>
  <c r="G4668" i="1"/>
  <c r="G4667" i="1"/>
  <c r="G4666" i="1"/>
  <c r="G4665" i="1"/>
  <c r="G4664" i="1"/>
  <c r="G4663" i="1"/>
  <c r="G4662" i="1"/>
  <c r="G4661" i="1"/>
  <c r="G4660" i="1"/>
  <c r="G4659" i="1"/>
  <c r="G4658" i="1"/>
  <c r="G4657" i="1"/>
  <c r="G4656" i="1"/>
  <c r="G4655" i="1"/>
  <c r="G4654" i="1"/>
  <c r="G4653" i="1"/>
  <c r="G4652" i="1"/>
  <c r="G4651" i="1"/>
  <c r="G4650" i="1"/>
  <c r="G4649" i="1"/>
  <c r="G4648" i="1"/>
  <c r="G4647" i="1"/>
  <c r="G4646" i="1"/>
  <c r="G4645" i="1"/>
  <c r="G4644" i="1"/>
  <c r="G4643" i="1"/>
  <c r="G4642" i="1"/>
  <c r="G4641" i="1"/>
  <c r="G4640" i="1"/>
  <c r="G4639" i="1"/>
  <c r="G4638" i="1"/>
  <c r="G4637" i="1"/>
  <c r="G4636" i="1"/>
  <c r="G4635" i="1"/>
  <c r="G4634" i="1"/>
  <c r="G4633" i="1"/>
  <c r="G4632" i="1"/>
  <c r="G4631" i="1"/>
  <c r="G4630" i="1"/>
  <c r="G4629" i="1"/>
  <c r="G4628" i="1"/>
  <c r="G4627" i="1"/>
  <c r="G4626" i="1"/>
  <c r="G4625" i="1"/>
  <c r="G4624" i="1"/>
  <c r="G4623" i="1"/>
  <c r="G4622" i="1"/>
  <c r="G4621" i="1"/>
  <c r="G4620" i="1"/>
  <c r="G4619" i="1"/>
  <c r="G4618" i="1"/>
  <c r="G4617" i="1"/>
  <c r="G4616" i="1"/>
  <c r="G4615" i="1"/>
  <c r="G4614" i="1"/>
  <c r="G4613" i="1"/>
  <c r="G4612" i="1"/>
  <c r="G4611" i="1"/>
  <c r="G4610" i="1"/>
  <c r="G4609" i="1"/>
  <c r="G4608" i="1"/>
  <c r="G4607" i="1"/>
  <c r="G4606" i="1"/>
  <c r="G4605" i="1"/>
  <c r="G4604" i="1"/>
  <c r="G4603" i="1"/>
  <c r="G4602" i="1"/>
  <c r="G4601" i="1"/>
  <c r="G4600" i="1"/>
  <c r="G4599" i="1"/>
  <c r="G4598" i="1"/>
  <c r="G4597" i="1"/>
  <c r="G4596" i="1"/>
  <c r="G4595" i="1"/>
  <c r="G4594" i="1"/>
  <c r="G4593" i="1"/>
  <c r="G4592" i="1"/>
  <c r="G4591" i="1"/>
  <c r="G4590" i="1"/>
  <c r="G4589" i="1"/>
  <c r="G4588" i="1"/>
  <c r="G4587" i="1"/>
  <c r="G4586" i="1"/>
  <c r="G4585" i="1"/>
  <c r="G4584" i="1"/>
  <c r="G4583" i="1"/>
  <c r="G4582" i="1"/>
  <c r="G4581" i="1"/>
  <c r="G4580" i="1"/>
  <c r="G4579" i="1"/>
  <c r="G4578" i="1"/>
  <c r="G4577" i="1"/>
  <c r="G4576" i="1"/>
  <c r="G4575" i="1"/>
  <c r="G4574" i="1"/>
  <c r="G4573" i="1"/>
  <c r="G4572" i="1"/>
  <c r="G4571" i="1"/>
  <c r="G4570" i="1"/>
  <c r="G4569" i="1"/>
  <c r="G4568" i="1"/>
  <c r="G4567" i="1"/>
  <c r="G4566" i="1"/>
  <c r="G4565" i="1"/>
  <c r="G4564" i="1"/>
  <c r="G4563" i="1"/>
  <c r="G4562" i="1"/>
  <c r="G4561" i="1"/>
  <c r="G4560" i="1"/>
  <c r="G4559" i="1"/>
  <c r="G4558" i="1"/>
  <c r="G4557" i="1"/>
  <c r="G4556" i="1"/>
  <c r="G4555" i="1"/>
  <c r="G4554" i="1"/>
  <c r="G4553" i="1"/>
  <c r="G4552" i="1"/>
  <c r="G4551" i="1"/>
  <c r="G4550" i="1"/>
  <c r="G4549" i="1"/>
  <c r="G4548" i="1"/>
  <c r="G4547" i="1"/>
  <c r="G4546" i="1"/>
  <c r="G4545" i="1"/>
  <c r="G4544" i="1"/>
  <c r="G4543" i="1"/>
  <c r="G4542" i="1"/>
  <c r="G4541" i="1"/>
  <c r="G4540" i="1"/>
  <c r="G4539" i="1"/>
  <c r="G4538" i="1"/>
  <c r="G4537" i="1"/>
  <c r="G4536" i="1"/>
  <c r="G4535" i="1"/>
  <c r="G4534" i="1"/>
  <c r="G4533" i="1"/>
  <c r="G4532" i="1"/>
  <c r="G4531" i="1"/>
  <c r="G4530" i="1"/>
  <c r="G4529" i="1"/>
  <c r="G4528" i="1"/>
  <c r="G4527" i="1"/>
  <c r="G4526" i="1"/>
  <c r="G4525" i="1"/>
  <c r="G4524" i="1"/>
  <c r="G4523" i="1"/>
  <c r="G4522" i="1"/>
  <c r="G4521" i="1"/>
  <c r="G4520" i="1"/>
  <c r="G4519" i="1"/>
  <c r="G4518" i="1"/>
  <c r="G4517" i="1"/>
  <c r="G4516" i="1"/>
  <c r="G4515" i="1"/>
  <c r="G4514" i="1"/>
  <c r="G4513" i="1"/>
  <c r="G4512" i="1"/>
  <c r="G4511" i="1"/>
  <c r="G4510" i="1"/>
  <c r="G4509" i="1"/>
  <c r="G4508" i="1"/>
  <c r="G4507" i="1"/>
  <c r="G4506" i="1"/>
  <c r="G4505" i="1"/>
  <c r="G4504" i="1"/>
  <c r="G4503" i="1"/>
  <c r="G4502" i="1"/>
  <c r="G4501" i="1"/>
  <c r="G4500" i="1"/>
  <c r="G4499" i="1"/>
  <c r="G4498" i="1"/>
  <c r="G4497" i="1"/>
  <c r="G4496" i="1"/>
  <c r="G4495" i="1"/>
  <c r="G4494" i="1"/>
  <c r="G4493" i="1"/>
  <c r="G4492" i="1"/>
  <c r="G4491" i="1"/>
  <c r="G4490" i="1"/>
  <c r="G4489" i="1"/>
  <c r="G4488" i="1"/>
  <c r="G4487" i="1"/>
  <c r="G4486" i="1"/>
  <c r="G4485" i="1"/>
  <c r="G4484" i="1"/>
  <c r="G4483" i="1"/>
  <c r="G4482" i="1"/>
  <c r="G4481" i="1"/>
  <c r="G4480" i="1"/>
  <c r="G4479" i="1"/>
  <c r="G4478" i="1"/>
  <c r="G4477" i="1"/>
  <c r="G4476" i="1"/>
  <c r="G4475" i="1"/>
  <c r="G4474" i="1"/>
  <c r="G4473" i="1"/>
  <c r="G4472" i="1"/>
  <c r="G4471" i="1"/>
  <c r="G4470" i="1"/>
  <c r="G4469" i="1"/>
  <c r="G4468" i="1"/>
  <c r="G4467" i="1"/>
  <c r="G4466" i="1"/>
  <c r="G4465" i="1"/>
  <c r="G4464" i="1"/>
  <c r="G4463" i="1"/>
  <c r="G4462" i="1"/>
  <c r="G4461" i="1"/>
  <c r="G4460" i="1"/>
  <c r="G4459" i="1"/>
  <c r="G4458" i="1"/>
  <c r="G4457" i="1"/>
  <c r="G4456" i="1"/>
  <c r="G4455" i="1"/>
  <c r="G4454" i="1"/>
  <c r="G4453" i="1"/>
  <c r="G4452" i="1"/>
  <c r="G4451" i="1"/>
  <c r="G4450" i="1"/>
  <c r="G4449" i="1"/>
  <c r="G4448" i="1"/>
  <c r="G4447" i="1"/>
  <c r="G4446" i="1"/>
  <c r="G4445" i="1"/>
  <c r="G4444" i="1"/>
  <c r="G4443" i="1"/>
  <c r="G4442" i="1"/>
  <c r="G4441" i="1"/>
  <c r="G4440" i="1"/>
  <c r="G4439" i="1"/>
  <c r="G4438" i="1"/>
  <c r="G4437" i="1"/>
  <c r="G4436" i="1"/>
  <c r="G4435" i="1"/>
  <c r="G4434" i="1"/>
  <c r="G4433" i="1"/>
  <c r="G4432" i="1"/>
  <c r="G4431" i="1"/>
  <c r="G4430" i="1"/>
  <c r="G4429" i="1"/>
  <c r="G4428" i="1"/>
  <c r="G4427" i="1"/>
  <c r="G4426" i="1"/>
  <c r="G4425" i="1"/>
  <c r="G4424" i="1"/>
  <c r="G4423" i="1"/>
  <c r="G4422" i="1"/>
  <c r="G4421" i="1"/>
  <c r="G4420" i="1"/>
  <c r="G4419" i="1"/>
  <c r="G4418" i="1"/>
  <c r="G4417" i="1"/>
  <c r="G4416" i="1"/>
  <c r="G4415" i="1"/>
  <c r="G4414" i="1"/>
  <c r="G4413" i="1"/>
  <c r="G4412" i="1"/>
  <c r="G4411" i="1"/>
  <c r="G4410" i="1"/>
  <c r="G4409" i="1"/>
  <c r="G4408" i="1"/>
  <c r="G4407" i="1"/>
  <c r="G4406" i="1"/>
  <c r="G4405" i="1"/>
  <c r="G4404" i="1"/>
  <c r="G4403" i="1"/>
  <c r="G4402" i="1"/>
  <c r="G4401" i="1"/>
  <c r="G4400" i="1"/>
  <c r="G4399" i="1"/>
  <c r="G4398" i="1"/>
  <c r="G4397" i="1"/>
  <c r="G4396" i="1"/>
  <c r="G4395" i="1"/>
  <c r="G4394" i="1"/>
  <c r="G4393" i="1"/>
  <c r="G4392" i="1"/>
  <c r="G4391" i="1"/>
  <c r="G4390" i="1"/>
  <c r="G4389" i="1"/>
  <c r="G4388" i="1"/>
  <c r="G4387" i="1"/>
  <c r="G4386" i="1"/>
  <c r="G4385" i="1"/>
  <c r="G4384" i="1"/>
  <c r="G4383" i="1"/>
  <c r="G4382" i="1"/>
  <c r="G4381" i="1"/>
  <c r="G4380" i="1"/>
  <c r="G4379" i="1"/>
  <c r="G4378" i="1"/>
  <c r="G4377" i="1"/>
  <c r="G4376" i="1"/>
  <c r="G4375" i="1"/>
  <c r="G4374" i="1"/>
  <c r="G4373" i="1"/>
  <c r="G4372" i="1"/>
  <c r="G4371" i="1"/>
  <c r="G4370" i="1"/>
  <c r="G4369" i="1"/>
  <c r="G4368" i="1"/>
  <c r="G4367" i="1"/>
  <c r="G4366" i="1"/>
  <c r="G4365" i="1"/>
  <c r="G4364" i="1"/>
  <c r="G4363" i="1"/>
  <c r="G4362" i="1"/>
  <c r="G4361" i="1"/>
  <c r="G4360" i="1"/>
  <c r="G4359" i="1"/>
  <c r="G4358" i="1"/>
  <c r="G4357" i="1"/>
  <c r="G4356" i="1"/>
  <c r="G4355" i="1"/>
  <c r="G4354" i="1"/>
  <c r="G4353" i="1"/>
  <c r="G4352" i="1"/>
  <c r="G4351" i="1"/>
  <c r="G4350" i="1"/>
  <c r="G4349" i="1"/>
  <c r="G4348" i="1"/>
  <c r="G4347" i="1"/>
  <c r="G4346" i="1"/>
  <c r="G4345" i="1"/>
  <c r="G4344" i="1"/>
  <c r="G4343" i="1"/>
  <c r="G4342" i="1"/>
  <c r="G4341" i="1"/>
  <c r="G4340" i="1"/>
  <c r="G4339" i="1"/>
  <c r="G4338" i="1"/>
  <c r="G4337" i="1"/>
  <c r="G4336" i="1"/>
  <c r="G4335" i="1"/>
  <c r="G4334" i="1"/>
  <c r="G4333" i="1"/>
  <c r="G4332" i="1"/>
  <c r="G4331" i="1"/>
  <c r="G4330" i="1"/>
  <c r="G4329" i="1"/>
  <c r="G4328" i="1"/>
  <c r="G4327" i="1"/>
  <c r="G4326" i="1"/>
  <c r="G4325" i="1"/>
  <c r="G4324" i="1"/>
  <c r="G4323" i="1"/>
  <c r="G4322" i="1"/>
  <c r="G4321" i="1"/>
  <c r="G4320" i="1"/>
  <c r="G4319" i="1"/>
  <c r="G4318" i="1"/>
  <c r="G4317" i="1"/>
  <c r="G4316" i="1"/>
  <c r="G4315" i="1"/>
  <c r="G4314" i="1"/>
  <c r="G4313" i="1"/>
  <c r="G4312" i="1"/>
  <c r="G4311" i="1"/>
  <c r="G4310" i="1"/>
  <c r="G4309" i="1"/>
  <c r="G4308" i="1"/>
  <c r="G4307" i="1"/>
  <c r="G4306" i="1"/>
  <c r="G4305" i="1"/>
  <c r="G4304" i="1"/>
  <c r="G4303" i="1"/>
  <c r="G4302" i="1"/>
  <c r="G4301" i="1"/>
  <c r="G4300" i="1"/>
  <c r="G4299" i="1"/>
  <c r="G4298" i="1"/>
  <c r="G4297" i="1"/>
  <c r="G4296" i="1"/>
  <c r="G4295" i="1"/>
  <c r="G4294" i="1"/>
  <c r="G4293" i="1"/>
  <c r="G4292" i="1"/>
  <c r="G4291" i="1"/>
  <c r="G4290" i="1"/>
  <c r="G4289" i="1"/>
  <c r="G4288" i="1"/>
  <c r="G4287" i="1"/>
  <c r="G4286" i="1"/>
  <c r="G4285" i="1"/>
  <c r="G4284" i="1"/>
  <c r="G4283" i="1"/>
  <c r="G4282" i="1"/>
  <c r="G4281" i="1"/>
  <c r="G4280" i="1"/>
  <c r="G4279" i="1"/>
  <c r="G4278" i="1"/>
  <c r="G4277" i="1"/>
  <c r="G4276" i="1"/>
  <c r="G4275" i="1"/>
  <c r="G4274" i="1"/>
  <c r="G4273" i="1"/>
  <c r="G4272" i="1"/>
  <c r="G4271" i="1"/>
  <c r="G4270" i="1"/>
  <c r="G4269" i="1"/>
  <c r="G4268" i="1"/>
  <c r="G4267" i="1"/>
  <c r="G4266" i="1"/>
  <c r="G4265" i="1"/>
  <c r="G4264" i="1"/>
  <c r="G4263" i="1"/>
  <c r="G4262" i="1"/>
  <c r="G4261" i="1"/>
  <c r="G4260" i="1"/>
  <c r="G4259" i="1"/>
  <c r="G4258" i="1"/>
  <c r="G4257" i="1"/>
  <c r="G4256" i="1"/>
  <c r="G4255" i="1"/>
  <c r="G4254" i="1"/>
  <c r="G4253" i="1"/>
  <c r="G4252" i="1"/>
  <c r="G4251" i="1"/>
  <c r="G4250" i="1"/>
  <c r="G4249" i="1"/>
  <c r="G4248" i="1"/>
  <c r="G4247" i="1"/>
  <c r="G4246" i="1"/>
  <c r="G4245" i="1"/>
  <c r="G4244" i="1"/>
  <c r="G4243" i="1"/>
  <c r="G4242" i="1"/>
  <c r="G4241" i="1"/>
  <c r="G4240" i="1"/>
  <c r="G4239" i="1"/>
  <c r="G4238" i="1"/>
  <c r="G4237" i="1"/>
  <c r="G4236" i="1"/>
  <c r="G4235" i="1"/>
  <c r="G4234" i="1"/>
  <c r="G4233" i="1"/>
  <c r="G4232" i="1"/>
  <c r="G4231" i="1"/>
  <c r="G4230" i="1"/>
  <c r="G4229" i="1"/>
  <c r="G4228" i="1"/>
  <c r="G4227" i="1"/>
  <c r="G4226" i="1"/>
  <c r="G4225" i="1"/>
  <c r="G4224" i="1"/>
  <c r="G4223" i="1"/>
  <c r="G4222" i="1"/>
  <c r="G4221" i="1"/>
  <c r="G4220" i="1"/>
  <c r="G4219" i="1"/>
  <c r="G4218" i="1"/>
  <c r="G4217" i="1"/>
  <c r="G4216" i="1"/>
  <c r="G4215" i="1"/>
  <c r="G4214" i="1"/>
  <c r="G4213" i="1"/>
  <c r="G4212" i="1"/>
  <c r="G4211" i="1"/>
  <c r="G4210" i="1"/>
  <c r="G4209" i="1"/>
  <c r="G4208" i="1"/>
  <c r="G4207" i="1"/>
  <c r="G4206" i="1"/>
  <c r="G4205" i="1"/>
  <c r="G4204" i="1"/>
  <c r="G4203" i="1"/>
  <c r="G4202" i="1"/>
  <c r="G4201" i="1"/>
  <c r="G4200" i="1"/>
  <c r="G4199" i="1"/>
  <c r="G4198" i="1"/>
  <c r="G4197" i="1"/>
  <c r="G4196" i="1"/>
  <c r="G4195" i="1"/>
  <c r="G4194" i="1"/>
  <c r="G4193" i="1"/>
  <c r="G4192" i="1"/>
  <c r="G4191" i="1"/>
  <c r="G4190" i="1"/>
  <c r="G4189" i="1"/>
  <c r="G4188" i="1"/>
  <c r="G4187" i="1"/>
  <c r="G4186" i="1"/>
  <c r="G4185" i="1"/>
  <c r="G4184" i="1"/>
  <c r="G4183" i="1"/>
  <c r="G4182" i="1"/>
  <c r="G4181" i="1"/>
  <c r="G4180" i="1"/>
  <c r="G4179" i="1"/>
  <c r="G4178" i="1"/>
  <c r="G4177" i="1"/>
  <c r="G4176" i="1"/>
  <c r="G4175" i="1"/>
  <c r="G4174" i="1"/>
  <c r="G4173" i="1"/>
  <c r="G4172" i="1"/>
  <c r="G4171" i="1"/>
  <c r="G4170" i="1"/>
  <c r="G4169" i="1"/>
  <c r="G4168" i="1"/>
  <c r="G4167" i="1"/>
  <c r="G4166" i="1"/>
  <c r="G4165" i="1"/>
  <c r="G4164" i="1"/>
  <c r="G4163" i="1"/>
  <c r="G4162" i="1"/>
  <c r="G4161" i="1"/>
  <c r="G4160" i="1"/>
  <c r="G4159" i="1"/>
  <c r="G4158" i="1"/>
  <c r="G4157" i="1"/>
  <c r="G4156" i="1"/>
  <c r="G4155" i="1"/>
  <c r="G4154" i="1"/>
  <c r="G4153" i="1"/>
  <c r="G4152" i="1"/>
  <c r="G4151" i="1"/>
  <c r="G4150" i="1"/>
  <c r="G4149" i="1"/>
  <c r="G4148" i="1"/>
  <c r="G4147" i="1"/>
  <c r="G4146" i="1"/>
  <c r="G4145" i="1"/>
  <c r="G4144" i="1"/>
  <c r="G4143" i="1"/>
  <c r="G4142" i="1"/>
  <c r="G4141" i="1"/>
  <c r="G4140" i="1"/>
  <c r="G4139" i="1"/>
  <c r="G4138" i="1"/>
  <c r="G4137" i="1"/>
  <c r="G4136" i="1"/>
  <c r="G4135" i="1"/>
  <c r="G4134" i="1"/>
  <c r="G4133" i="1"/>
  <c r="G4132" i="1"/>
  <c r="G4131" i="1"/>
  <c r="G4130" i="1"/>
  <c r="G4129" i="1"/>
  <c r="G4128" i="1"/>
  <c r="G4127" i="1"/>
  <c r="G4126" i="1"/>
  <c r="G4125" i="1"/>
  <c r="G4124" i="1"/>
  <c r="G4123" i="1"/>
  <c r="G4122" i="1"/>
  <c r="G4121" i="1"/>
  <c r="G4120" i="1"/>
  <c r="G4119" i="1"/>
  <c r="G4118" i="1"/>
  <c r="G4117" i="1"/>
  <c r="G4116" i="1"/>
  <c r="G4115" i="1"/>
  <c r="G4114" i="1"/>
  <c r="G4113" i="1"/>
  <c r="G4112" i="1"/>
  <c r="G4111" i="1"/>
  <c r="G4110" i="1"/>
  <c r="G4109" i="1"/>
  <c r="G4108" i="1"/>
  <c r="G4107" i="1"/>
  <c r="G4106" i="1"/>
  <c r="G4105" i="1"/>
  <c r="G4104" i="1"/>
  <c r="G4103" i="1"/>
  <c r="G4102" i="1"/>
  <c r="G4101" i="1"/>
  <c r="G4100" i="1"/>
  <c r="G4099" i="1"/>
  <c r="G4098" i="1"/>
  <c r="G4097" i="1"/>
  <c r="G4096" i="1"/>
  <c r="G4095" i="1"/>
  <c r="G4094" i="1"/>
  <c r="G4093" i="1"/>
  <c r="G4092" i="1"/>
  <c r="G4091" i="1"/>
  <c r="G4090" i="1"/>
  <c r="G4089" i="1"/>
  <c r="G4088" i="1"/>
  <c r="G4087" i="1"/>
  <c r="G4086" i="1"/>
  <c r="G4085" i="1"/>
  <c r="G4084" i="1"/>
  <c r="G4083" i="1"/>
  <c r="G4082" i="1"/>
  <c r="G4081" i="1"/>
  <c r="G4080" i="1"/>
  <c r="G4079" i="1"/>
  <c r="G4078" i="1"/>
  <c r="G4077" i="1"/>
  <c r="G4076" i="1"/>
  <c r="G4075" i="1"/>
  <c r="G4074" i="1"/>
  <c r="G4073" i="1"/>
  <c r="G4072" i="1"/>
  <c r="G4071" i="1"/>
  <c r="G4070" i="1"/>
  <c r="G4069" i="1"/>
  <c r="G4068" i="1"/>
  <c r="G4067" i="1"/>
  <c r="G4066" i="1"/>
  <c r="G4065" i="1"/>
  <c r="G4064" i="1"/>
  <c r="G4063" i="1"/>
  <c r="G4062" i="1"/>
  <c r="G4061" i="1"/>
  <c r="G4060" i="1"/>
  <c r="G4059" i="1"/>
  <c r="G4058" i="1"/>
  <c r="G4057" i="1"/>
  <c r="G4056" i="1"/>
  <c r="G4055" i="1"/>
  <c r="G4054" i="1"/>
  <c r="G4053" i="1"/>
  <c r="G4052" i="1"/>
  <c r="G4051" i="1"/>
  <c r="G4050" i="1"/>
  <c r="G4049" i="1"/>
  <c r="G4048" i="1"/>
  <c r="G4047" i="1"/>
  <c r="G4046" i="1"/>
  <c r="G4045" i="1"/>
  <c r="G4044" i="1"/>
  <c r="G4043" i="1"/>
  <c r="G4042" i="1"/>
  <c r="G4041" i="1"/>
  <c r="G4040" i="1"/>
  <c r="G4039" i="1"/>
  <c r="G4038" i="1"/>
  <c r="G4037" i="1"/>
  <c r="G4036" i="1"/>
  <c r="G4035" i="1"/>
  <c r="G4034" i="1"/>
  <c r="G4033" i="1"/>
  <c r="G4032" i="1"/>
  <c r="G4031" i="1"/>
  <c r="G4030" i="1"/>
  <c r="G4029" i="1"/>
  <c r="G4028" i="1"/>
  <c r="G4027" i="1"/>
  <c r="G4026" i="1"/>
  <c r="G4025" i="1"/>
  <c r="G4024" i="1"/>
  <c r="G4023" i="1"/>
  <c r="G4022" i="1"/>
  <c r="G4021" i="1"/>
  <c r="G4020" i="1"/>
  <c r="G4019" i="1"/>
  <c r="G4018" i="1"/>
  <c r="G4017" i="1"/>
  <c r="G4016" i="1"/>
  <c r="G4015" i="1"/>
  <c r="G4014" i="1"/>
  <c r="G4013" i="1"/>
  <c r="G4012" i="1"/>
  <c r="G4011" i="1"/>
  <c r="G4010" i="1"/>
  <c r="G4009" i="1"/>
  <c r="G4008" i="1"/>
  <c r="G4007" i="1"/>
  <c r="G4006" i="1"/>
  <c r="G4005" i="1"/>
  <c r="G4004" i="1"/>
  <c r="G4003" i="1"/>
  <c r="G4002" i="1"/>
  <c r="G4001" i="1"/>
  <c r="G4000" i="1"/>
  <c r="G3999" i="1"/>
  <c r="G3998" i="1"/>
  <c r="G3997" i="1"/>
  <c r="G3996" i="1"/>
  <c r="G3995" i="1"/>
  <c r="G3994" i="1"/>
  <c r="G3993" i="1"/>
  <c r="G3992" i="1"/>
  <c r="G3991" i="1"/>
  <c r="G3990" i="1"/>
  <c r="G3989" i="1"/>
  <c r="G3988" i="1"/>
  <c r="G3987" i="1"/>
  <c r="G3986" i="1"/>
  <c r="G3985" i="1"/>
  <c r="G3984" i="1"/>
  <c r="G3983" i="1"/>
  <c r="G3982" i="1"/>
  <c r="G3981" i="1"/>
  <c r="G3980" i="1"/>
  <c r="G3979" i="1"/>
  <c r="G3978" i="1"/>
  <c r="G3977" i="1"/>
  <c r="G3976" i="1"/>
  <c r="G3975" i="1"/>
  <c r="G3974" i="1"/>
  <c r="G3973" i="1"/>
  <c r="G3972" i="1"/>
  <c r="G3971" i="1"/>
  <c r="G3970" i="1"/>
  <c r="G3969" i="1"/>
  <c r="G3968" i="1"/>
  <c r="G3967" i="1"/>
  <c r="G3966" i="1"/>
  <c r="G3965" i="1"/>
  <c r="G3964" i="1"/>
  <c r="G3963" i="1"/>
  <c r="G3962" i="1"/>
  <c r="G3961" i="1"/>
  <c r="G3960" i="1"/>
  <c r="G3959" i="1"/>
  <c r="G3958" i="1"/>
  <c r="G3957" i="1"/>
  <c r="G3956" i="1"/>
  <c r="G3955" i="1"/>
  <c r="G3954" i="1"/>
  <c r="G3953" i="1"/>
  <c r="G3952" i="1"/>
  <c r="G3951" i="1"/>
  <c r="G3950" i="1"/>
  <c r="G3949" i="1"/>
  <c r="G3948" i="1"/>
  <c r="G3947" i="1"/>
  <c r="G3946" i="1"/>
  <c r="G3945" i="1"/>
  <c r="G3944" i="1"/>
  <c r="G3943" i="1"/>
  <c r="G3942" i="1"/>
  <c r="G3941" i="1"/>
  <c r="G3940" i="1"/>
  <c r="G3939" i="1"/>
  <c r="G3938" i="1"/>
  <c r="G3937" i="1"/>
  <c r="G3936" i="1"/>
  <c r="G3935" i="1"/>
  <c r="G3934" i="1"/>
  <c r="G3933" i="1"/>
  <c r="G3932" i="1"/>
  <c r="G3931" i="1"/>
  <c r="G3930" i="1"/>
  <c r="G3929" i="1"/>
  <c r="G3928" i="1"/>
  <c r="G3927" i="1"/>
  <c r="G3926" i="1"/>
  <c r="G3925" i="1"/>
  <c r="G3924" i="1"/>
  <c r="G3923" i="1"/>
  <c r="G3922" i="1"/>
  <c r="G3921" i="1"/>
  <c r="G3920" i="1"/>
  <c r="G3919" i="1"/>
  <c r="G3918" i="1"/>
  <c r="G3917" i="1"/>
  <c r="G3916" i="1"/>
  <c r="G3915" i="1"/>
  <c r="G3914" i="1"/>
  <c r="G3913" i="1"/>
  <c r="G3912" i="1"/>
  <c r="G3911" i="1"/>
  <c r="G3910" i="1"/>
  <c r="G3909" i="1"/>
  <c r="G3908" i="1"/>
  <c r="G3907" i="1"/>
  <c r="G3906" i="1"/>
  <c r="G3905" i="1"/>
  <c r="G3904" i="1"/>
  <c r="G3903" i="1"/>
  <c r="G3902" i="1"/>
  <c r="G3901" i="1"/>
  <c r="G3900" i="1"/>
  <c r="G3899" i="1"/>
  <c r="G3898" i="1"/>
  <c r="G3897" i="1"/>
  <c r="G3896" i="1"/>
  <c r="G3895" i="1"/>
  <c r="G3894" i="1"/>
  <c r="G3893" i="1"/>
  <c r="G3892" i="1"/>
  <c r="G3891" i="1"/>
  <c r="G3890" i="1"/>
  <c r="G3889" i="1"/>
  <c r="G3888" i="1"/>
  <c r="G3887" i="1"/>
  <c r="G3886" i="1"/>
  <c r="G3885" i="1"/>
  <c r="G3884" i="1"/>
  <c r="G3883" i="1"/>
  <c r="G3882" i="1"/>
  <c r="G3881" i="1"/>
  <c r="G3880" i="1"/>
  <c r="G3879" i="1"/>
  <c r="G3878" i="1"/>
  <c r="G3877" i="1"/>
  <c r="G3876" i="1"/>
  <c r="G3875" i="1"/>
  <c r="G3874" i="1"/>
  <c r="G3873" i="1"/>
  <c r="G3872" i="1"/>
  <c r="G3871" i="1"/>
  <c r="G3870" i="1"/>
  <c r="G3869" i="1"/>
  <c r="G3868" i="1"/>
  <c r="G3867" i="1"/>
  <c r="G3866" i="1"/>
  <c r="G3865" i="1"/>
  <c r="G3864" i="1"/>
  <c r="G3863" i="1"/>
  <c r="G3862" i="1"/>
  <c r="G3861" i="1"/>
  <c r="G3860" i="1"/>
  <c r="G3859" i="1"/>
  <c r="G3858" i="1"/>
  <c r="G3857" i="1"/>
  <c r="G3856" i="1"/>
  <c r="G3855" i="1"/>
  <c r="G3854" i="1"/>
  <c r="G3853" i="1"/>
  <c r="G3852" i="1"/>
  <c r="G3851" i="1"/>
  <c r="G3850" i="1"/>
  <c r="G3849" i="1"/>
  <c r="G3848" i="1"/>
  <c r="G3847" i="1"/>
  <c r="G3846" i="1"/>
  <c r="G3845" i="1"/>
  <c r="G3844" i="1"/>
  <c r="G3843" i="1"/>
  <c r="G3842" i="1"/>
  <c r="G3841" i="1"/>
  <c r="G3840" i="1"/>
  <c r="G3839" i="1"/>
  <c r="G3838" i="1"/>
  <c r="G3837" i="1"/>
  <c r="G3836" i="1"/>
  <c r="G3835" i="1"/>
  <c r="G3834" i="1"/>
  <c r="G3833" i="1"/>
  <c r="G3832" i="1"/>
  <c r="G3831" i="1"/>
  <c r="G3830" i="1"/>
  <c r="G3829" i="1"/>
  <c r="G3828" i="1"/>
  <c r="G3827" i="1"/>
  <c r="G3826" i="1"/>
  <c r="G3825" i="1"/>
  <c r="G3824" i="1"/>
  <c r="G3823" i="1"/>
  <c r="G3822" i="1"/>
  <c r="G3821" i="1"/>
  <c r="G3820" i="1"/>
  <c r="G3819" i="1"/>
  <c r="G3818" i="1"/>
  <c r="G3817" i="1"/>
  <c r="G3816" i="1"/>
  <c r="G3815" i="1"/>
  <c r="G3814" i="1"/>
  <c r="G3813" i="1"/>
  <c r="G3812" i="1"/>
  <c r="G3811" i="1"/>
  <c r="G3810" i="1"/>
  <c r="G3809" i="1"/>
  <c r="G3808" i="1"/>
  <c r="G3807" i="1"/>
  <c r="G3806" i="1"/>
  <c r="G3805" i="1"/>
  <c r="G3804" i="1"/>
  <c r="G3803" i="1"/>
  <c r="G3802" i="1"/>
  <c r="G3801" i="1"/>
  <c r="G3800" i="1"/>
  <c r="G3799" i="1"/>
  <c r="G3798" i="1"/>
  <c r="G3797" i="1"/>
  <c r="G3796" i="1"/>
  <c r="G3795" i="1"/>
  <c r="G3794" i="1"/>
  <c r="G3793" i="1"/>
  <c r="G3792" i="1"/>
  <c r="G3791" i="1"/>
  <c r="G3790" i="1"/>
  <c r="G3789" i="1"/>
  <c r="G3788" i="1"/>
  <c r="G3787" i="1"/>
  <c r="G3786" i="1"/>
  <c r="G3785" i="1"/>
  <c r="G3784" i="1"/>
  <c r="G3783" i="1"/>
  <c r="G3782" i="1"/>
  <c r="G3781" i="1"/>
  <c r="G3780" i="1"/>
  <c r="G3779" i="1"/>
  <c r="G3778" i="1"/>
  <c r="G3777" i="1"/>
  <c r="G3776" i="1"/>
  <c r="G3775" i="1"/>
  <c r="G3774" i="1"/>
  <c r="G3773" i="1"/>
  <c r="G3772" i="1"/>
  <c r="G3771" i="1"/>
  <c r="G3770" i="1"/>
  <c r="G3769" i="1"/>
  <c r="G3768" i="1"/>
  <c r="G3767" i="1"/>
  <c r="G3766" i="1"/>
  <c r="G3765" i="1"/>
  <c r="G3764" i="1"/>
  <c r="G3763" i="1"/>
  <c r="G3762" i="1"/>
  <c r="G3761" i="1"/>
  <c r="G3760" i="1"/>
  <c r="G3759" i="1"/>
  <c r="G3758" i="1"/>
  <c r="G3757" i="1"/>
  <c r="G3756" i="1"/>
  <c r="G3755" i="1"/>
  <c r="G3754" i="1"/>
  <c r="G3753" i="1"/>
  <c r="G3752" i="1"/>
  <c r="G3751" i="1"/>
  <c r="G3750" i="1"/>
  <c r="G3749" i="1"/>
  <c r="G3748" i="1"/>
  <c r="G3747" i="1"/>
  <c r="G3746" i="1"/>
  <c r="G3745" i="1"/>
  <c r="G3744" i="1"/>
  <c r="G3743" i="1"/>
  <c r="G3742" i="1"/>
  <c r="G3741" i="1"/>
  <c r="G3740" i="1"/>
  <c r="G3739" i="1"/>
  <c r="G3738" i="1"/>
  <c r="G3737" i="1"/>
  <c r="G3736" i="1"/>
  <c r="G3735" i="1"/>
  <c r="G3734" i="1"/>
  <c r="G3733" i="1"/>
  <c r="G3732" i="1"/>
  <c r="G3731" i="1"/>
  <c r="G3730" i="1"/>
  <c r="G3729" i="1"/>
  <c r="G3728" i="1"/>
  <c r="G3727" i="1"/>
  <c r="G3726" i="1"/>
  <c r="G3725" i="1"/>
  <c r="G3724" i="1"/>
  <c r="G3723" i="1"/>
  <c r="G3722" i="1"/>
  <c r="G3721" i="1"/>
  <c r="G3720" i="1"/>
  <c r="G3719" i="1"/>
  <c r="G3718" i="1"/>
  <c r="G3717" i="1"/>
  <c r="G3716" i="1"/>
  <c r="G3715" i="1"/>
  <c r="G3714" i="1"/>
  <c r="G3713" i="1"/>
  <c r="G3712" i="1"/>
  <c r="G3711" i="1"/>
  <c r="G3710" i="1"/>
  <c r="G3709" i="1"/>
  <c r="G3708" i="1"/>
  <c r="G3707" i="1"/>
  <c r="G3706" i="1"/>
  <c r="G3705" i="1"/>
  <c r="G3704" i="1"/>
  <c r="G3703" i="1"/>
  <c r="G3702" i="1"/>
  <c r="G3701" i="1"/>
  <c r="G3700" i="1"/>
  <c r="G3699" i="1"/>
  <c r="G3698" i="1"/>
  <c r="G3697" i="1"/>
  <c r="G3696" i="1"/>
  <c r="G3695" i="1"/>
  <c r="G3694" i="1"/>
  <c r="G3693" i="1"/>
  <c r="G3692" i="1"/>
  <c r="G3691" i="1"/>
  <c r="G3690" i="1"/>
  <c r="G3689" i="1"/>
  <c r="G3688" i="1"/>
  <c r="G3687" i="1"/>
  <c r="G3686" i="1"/>
  <c r="G3685" i="1"/>
  <c r="G3684" i="1"/>
  <c r="G3683" i="1"/>
  <c r="G3682" i="1"/>
  <c r="G3681" i="1"/>
  <c r="G3680" i="1"/>
  <c r="G3679" i="1"/>
  <c r="G3678" i="1"/>
  <c r="G3677" i="1"/>
  <c r="G3676" i="1"/>
  <c r="G3675" i="1"/>
  <c r="G3674" i="1"/>
  <c r="G3673" i="1"/>
  <c r="G3672" i="1"/>
  <c r="G3671" i="1"/>
  <c r="G3670" i="1"/>
  <c r="G3669" i="1"/>
  <c r="G3668" i="1"/>
  <c r="G3667" i="1"/>
  <c r="G3666" i="1"/>
  <c r="G3665" i="1"/>
  <c r="G3664" i="1"/>
  <c r="G3663" i="1"/>
  <c r="G3662" i="1"/>
  <c r="G3661" i="1"/>
  <c r="G3660" i="1"/>
  <c r="G3659" i="1"/>
  <c r="G3658" i="1"/>
  <c r="G3657" i="1"/>
  <c r="G3656" i="1"/>
  <c r="G3655" i="1"/>
  <c r="G3654" i="1"/>
  <c r="G3653" i="1"/>
  <c r="G3652" i="1"/>
  <c r="G3651" i="1"/>
  <c r="G3650" i="1"/>
  <c r="G3649" i="1"/>
  <c r="G3648" i="1"/>
  <c r="G3647" i="1"/>
  <c r="G3646" i="1"/>
  <c r="G3645" i="1"/>
  <c r="G3644" i="1"/>
  <c r="G3643" i="1"/>
  <c r="G3642" i="1"/>
  <c r="G3641" i="1"/>
  <c r="G3640" i="1"/>
  <c r="G3639" i="1"/>
  <c r="G3638" i="1"/>
  <c r="G3637" i="1"/>
  <c r="G3636" i="1"/>
  <c r="G3635" i="1"/>
  <c r="G3634" i="1"/>
  <c r="G3633" i="1"/>
  <c r="G3632" i="1"/>
  <c r="G3631" i="1"/>
  <c r="G3630" i="1"/>
  <c r="G3629" i="1"/>
  <c r="G3628" i="1"/>
  <c r="G3627" i="1"/>
  <c r="G3626" i="1"/>
  <c r="G3625" i="1"/>
  <c r="G3624" i="1"/>
  <c r="G3623" i="1"/>
  <c r="G3622" i="1"/>
  <c r="G3621" i="1"/>
  <c r="G3620" i="1"/>
  <c r="G3619" i="1"/>
  <c r="G3618" i="1"/>
  <c r="G3617" i="1"/>
  <c r="G3616" i="1"/>
  <c r="G3615" i="1"/>
  <c r="G3614" i="1"/>
  <c r="G3613" i="1"/>
  <c r="G3612" i="1"/>
  <c r="G3611" i="1"/>
  <c r="G3610" i="1"/>
  <c r="G3609" i="1"/>
  <c r="G3608" i="1"/>
  <c r="G3607" i="1"/>
  <c r="G3606" i="1"/>
  <c r="G3605" i="1"/>
  <c r="G3604" i="1"/>
  <c r="G3603" i="1"/>
  <c r="G3602" i="1"/>
  <c r="G3601" i="1"/>
  <c r="G3600" i="1"/>
  <c r="G3599" i="1"/>
  <c r="G3598" i="1"/>
  <c r="G3597" i="1"/>
  <c r="G3596" i="1"/>
  <c r="G3595" i="1"/>
  <c r="G3594" i="1"/>
  <c r="G3593" i="1"/>
  <c r="G3592" i="1"/>
  <c r="G3591" i="1"/>
  <c r="G3590" i="1"/>
  <c r="G3589" i="1"/>
  <c r="G3588" i="1"/>
  <c r="G3587" i="1"/>
  <c r="G3586" i="1"/>
  <c r="G3585" i="1"/>
  <c r="G3584" i="1"/>
  <c r="G3583" i="1"/>
  <c r="G3582" i="1"/>
  <c r="G3581" i="1"/>
  <c r="G3580" i="1"/>
  <c r="G3579" i="1"/>
  <c r="G3578" i="1"/>
  <c r="G3577" i="1"/>
  <c r="G3576" i="1"/>
  <c r="G3575" i="1"/>
  <c r="G3574" i="1"/>
  <c r="G3573" i="1"/>
  <c r="G3572" i="1"/>
  <c r="G3571" i="1"/>
  <c r="G3570" i="1"/>
  <c r="G3569" i="1"/>
  <c r="G3568" i="1"/>
  <c r="G3567" i="1"/>
  <c r="G3566" i="1"/>
  <c r="G3565" i="1"/>
  <c r="G3564" i="1"/>
  <c r="G3563" i="1"/>
  <c r="G3562" i="1"/>
  <c r="G3561" i="1"/>
  <c r="G3560" i="1"/>
  <c r="G3559" i="1"/>
  <c r="G3558" i="1"/>
  <c r="G3557" i="1"/>
  <c r="G3556" i="1"/>
  <c r="G3555" i="1"/>
  <c r="G3554" i="1"/>
  <c r="G3553" i="1"/>
  <c r="G3552" i="1"/>
  <c r="G3551" i="1"/>
  <c r="G3550" i="1"/>
  <c r="G3549" i="1"/>
  <c r="G3548" i="1"/>
  <c r="G3547" i="1"/>
  <c r="G3546" i="1"/>
  <c r="G3545" i="1"/>
  <c r="G3544" i="1"/>
  <c r="G3543" i="1"/>
  <c r="G3542" i="1"/>
  <c r="G3541" i="1"/>
  <c r="G3540" i="1"/>
  <c r="G3539" i="1"/>
  <c r="G3538" i="1"/>
  <c r="G3537" i="1"/>
  <c r="G3536" i="1"/>
  <c r="G3535" i="1"/>
  <c r="G3534" i="1"/>
  <c r="G3533" i="1"/>
  <c r="G3532" i="1"/>
  <c r="G3531" i="1"/>
  <c r="G3530" i="1"/>
  <c r="G3529" i="1"/>
  <c r="G3528" i="1"/>
  <c r="G3527" i="1"/>
  <c r="G3526" i="1"/>
  <c r="G3525" i="1"/>
  <c r="G3524" i="1"/>
  <c r="G3523" i="1"/>
  <c r="G3522" i="1"/>
  <c r="G3521" i="1"/>
  <c r="G3520" i="1"/>
  <c r="G3519" i="1"/>
  <c r="G3518" i="1"/>
  <c r="G3517" i="1"/>
  <c r="G3516" i="1"/>
  <c r="G3515" i="1"/>
  <c r="G3514" i="1"/>
  <c r="G3513" i="1"/>
  <c r="G3512" i="1"/>
  <c r="G3511" i="1"/>
  <c r="G3510" i="1"/>
  <c r="G3509" i="1"/>
  <c r="G3508" i="1"/>
  <c r="G3507" i="1"/>
  <c r="G3506" i="1"/>
  <c r="G3505" i="1"/>
  <c r="G3504" i="1"/>
  <c r="G3503" i="1"/>
  <c r="G3502" i="1"/>
  <c r="G3501" i="1"/>
  <c r="G3500" i="1"/>
  <c r="G3499" i="1"/>
  <c r="G3498" i="1"/>
  <c r="G3497" i="1"/>
  <c r="G3496" i="1"/>
  <c r="G3495" i="1"/>
  <c r="G3494" i="1"/>
  <c r="G3493" i="1"/>
  <c r="G3492" i="1"/>
  <c r="G3491" i="1"/>
  <c r="G3490" i="1"/>
  <c r="G3489" i="1"/>
  <c r="G3488" i="1"/>
  <c r="G3487" i="1"/>
  <c r="G3486" i="1"/>
  <c r="G3485" i="1"/>
  <c r="G3484" i="1"/>
  <c r="G3483" i="1"/>
  <c r="G3482" i="1"/>
  <c r="G3481" i="1"/>
  <c r="G3480" i="1"/>
  <c r="G3479" i="1"/>
  <c r="G3478" i="1"/>
  <c r="G3477" i="1"/>
  <c r="G3476" i="1"/>
  <c r="G3475" i="1"/>
  <c r="G3474" i="1"/>
  <c r="G3473" i="1"/>
  <c r="G3472" i="1"/>
  <c r="G3471" i="1"/>
  <c r="G3470" i="1"/>
  <c r="G3469" i="1"/>
  <c r="G3468" i="1"/>
  <c r="G3467" i="1"/>
  <c r="G3466" i="1"/>
  <c r="G3465" i="1"/>
  <c r="G3464" i="1"/>
  <c r="G3463" i="1"/>
  <c r="G3462" i="1"/>
  <c r="G3461" i="1"/>
  <c r="G3460" i="1"/>
  <c r="G3459" i="1"/>
  <c r="G3458" i="1"/>
  <c r="G3457" i="1"/>
  <c r="G3456" i="1"/>
  <c r="G3455" i="1"/>
  <c r="G3454" i="1"/>
  <c r="G3453" i="1"/>
  <c r="G3452" i="1"/>
  <c r="G3451" i="1"/>
  <c r="G3450" i="1"/>
  <c r="G3449" i="1"/>
  <c r="G3448" i="1"/>
  <c r="G3447" i="1"/>
  <c r="G3446" i="1"/>
  <c r="G3445" i="1"/>
  <c r="G3444" i="1"/>
  <c r="G3443" i="1"/>
  <c r="G3442" i="1"/>
  <c r="G3441" i="1"/>
  <c r="G3440" i="1"/>
  <c r="G3439" i="1"/>
  <c r="G3438" i="1"/>
  <c r="G3437" i="1"/>
  <c r="G3436" i="1"/>
  <c r="G3435" i="1"/>
  <c r="G3434" i="1"/>
  <c r="G3433" i="1"/>
  <c r="G3432" i="1"/>
  <c r="G3431" i="1"/>
  <c r="G3430" i="1"/>
  <c r="G3429" i="1"/>
  <c r="G3428" i="1"/>
  <c r="G3427" i="1"/>
  <c r="G3426" i="1"/>
  <c r="G3425" i="1"/>
  <c r="G3424" i="1"/>
  <c r="G3423" i="1"/>
  <c r="G3422" i="1"/>
  <c r="G3421" i="1"/>
  <c r="G3420" i="1"/>
  <c r="G3419" i="1"/>
  <c r="G3418" i="1"/>
  <c r="G3417" i="1"/>
  <c r="G3416" i="1"/>
  <c r="G3415" i="1"/>
  <c r="G3414" i="1"/>
  <c r="G3413" i="1"/>
  <c r="G3412" i="1"/>
  <c r="G3411" i="1"/>
  <c r="G3410" i="1"/>
  <c r="G3409" i="1"/>
  <c r="G3408" i="1"/>
  <c r="G3407" i="1"/>
  <c r="G3406" i="1"/>
  <c r="G3405" i="1"/>
  <c r="G3404" i="1"/>
  <c r="G3403" i="1"/>
  <c r="G3402" i="1"/>
  <c r="G3401" i="1"/>
  <c r="G3400" i="1"/>
  <c r="G3399" i="1"/>
  <c r="G3398" i="1"/>
  <c r="G3397" i="1"/>
  <c r="G3396" i="1"/>
  <c r="G3395" i="1"/>
  <c r="G3394" i="1"/>
  <c r="G3393" i="1"/>
  <c r="G3392" i="1"/>
  <c r="G3391" i="1"/>
  <c r="G3390" i="1"/>
  <c r="G3389" i="1"/>
  <c r="G3388" i="1"/>
  <c r="G3387" i="1"/>
  <c r="G3386" i="1"/>
  <c r="G3385" i="1"/>
  <c r="G3384" i="1"/>
  <c r="G3383" i="1"/>
  <c r="G3382" i="1"/>
  <c r="G3381" i="1"/>
  <c r="G3380" i="1"/>
  <c r="G3379" i="1"/>
  <c r="G3378" i="1"/>
  <c r="G3377" i="1"/>
  <c r="G3376" i="1"/>
  <c r="G3375" i="1"/>
  <c r="G3374" i="1"/>
  <c r="G3373" i="1"/>
  <c r="G3372" i="1"/>
  <c r="G3371" i="1"/>
  <c r="G3370" i="1"/>
  <c r="G3369" i="1"/>
  <c r="G3368" i="1"/>
  <c r="G3367" i="1"/>
  <c r="G3366" i="1"/>
  <c r="G3365" i="1"/>
  <c r="G3364" i="1"/>
  <c r="G3363" i="1"/>
  <c r="G3362" i="1"/>
  <c r="G3361" i="1"/>
  <c r="G3360" i="1"/>
  <c r="G3359" i="1"/>
  <c r="G3358" i="1"/>
  <c r="G3357" i="1"/>
  <c r="G3356" i="1"/>
  <c r="G3355" i="1"/>
  <c r="G3354" i="1"/>
  <c r="G3353" i="1"/>
  <c r="G3352" i="1"/>
  <c r="G3351" i="1"/>
  <c r="G3350" i="1"/>
  <c r="G3349" i="1"/>
  <c r="G3348" i="1"/>
  <c r="G3347" i="1"/>
  <c r="G3346" i="1"/>
  <c r="G3345" i="1"/>
  <c r="G3344" i="1"/>
  <c r="G3343" i="1"/>
  <c r="G3342" i="1"/>
  <c r="G3341" i="1"/>
  <c r="G3340" i="1"/>
  <c r="G3339" i="1"/>
  <c r="G3338" i="1"/>
  <c r="G3337" i="1"/>
  <c r="G3336" i="1"/>
  <c r="G3335" i="1"/>
  <c r="G3334" i="1"/>
  <c r="G3333" i="1"/>
  <c r="G3332" i="1"/>
  <c r="G3331" i="1"/>
  <c r="G3330" i="1"/>
  <c r="G3329" i="1"/>
  <c r="G3328" i="1"/>
  <c r="G3327" i="1"/>
  <c r="G3326" i="1"/>
  <c r="G3325" i="1"/>
  <c r="G3324" i="1"/>
  <c r="G3323" i="1"/>
  <c r="G3322" i="1"/>
  <c r="G3321" i="1"/>
  <c r="G3320" i="1"/>
  <c r="G3319" i="1"/>
  <c r="G3318" i="1"/>
  <c r="G3317" i="1"/>
  <c r="G3316" i="1"/>
  <c r="G3315" i="1"/>
  <c r="G3314" i="1"/>
  <c r="G3313" i="1"/>
  <c r="G3312" i="1"/>
  <c r="G3311" i="1"/>
  <c r="G3310" i="1"/>
  <c r="G3309" i="1"/>
  <c r="G3308" i="1"/>
  <c r="G3307" i="1"/>
  <c r="G3306" i="1"/>
  <c r="G3305" i="1"/>
  <c r="G3304" i="1"/>
  <c r="G3303" i="1"/>
  <c r="G3302" i="1"/>
  <c r="G3301" i="1"/>
  <c r="G3300" i="1"/>
  <c r="G3299" i="1"/>
  <c r="G3298" i="1"/>
  <c r="G3297" i="1"/>
  <c r="G3296" i="1"/>
  <c r="G3295" i="1"/>
  <c r="G3294" i="1"/>
  <c r="G3293" i="1"/>
  <c r="G3292" i="1"/>
  <c r="G3291" i="1"/>
  <c r="G3290" i="1"/>
  <c r="G3289" i="1"/>
  <c r="G3288" i="1"/>
  <c r="G3287" i="1"/>
  <c r="G3286" i="1"/>
  <c r="G3285" i="1"/>
  <c r="G3284" i="1"/>
  <c r="G3283" i="1"/>
  <c r="G3282" i="1"/>
  <c r="G3281" i="1"/>
  <c r="G3280" i="1"/>
  <c r="G3279" i="1"/>
  <c r="G3278" i="1"/>
  <c r="G3277" i="1"/>
  <c r="G3276" i="1"/>
  <c r="G3275" i="1"/>
  <c r="G3274" i="1"/>
  <c r="G3273" i="1"/>
  <c r="G3272" i="1"/>
  <c r="G3271" i="1"/>
  <c r="G3270" i="1"/>
  <c r="G3269" i="1"/>
  <c r="G3268" i="1"/>
  <c r="G3267" i="1"/>
  <c r="G3266" i="1"/>
  <c r="G3265" i="1"/>
  <c r="G3264" i="1"/>
  <c r="G3263" i="1"/>
  <c r="G3262" i="1"/>
  <c r="G3261" i="1"/>
  <c r="G3260" i="1"/>
  <c r="G3259" i="1"/>
  <c r="G3258" i="1"/>
  <c r="G3257" i="1"/>
  <c r="G3256" i="1"/>
  <c r="G3255" i="1"/>
  <c r="G3254" i="1"/>
  <c r="G3253" i="1"/>
  <c r="G3252" i="1"/>
  <c r="G3251" i="1"/>
  <c r="G3250" i="1"/>
  <c r="G3249" i="1"/>
  <c r="G3248" i="1"/>
  <c r="G3247" i="1"/>
  <c r="G3246" i="1"/>
  <c r="G3245" i="1"/>
  <c r="G3244" i="1"/>
  <c r="G3243" i="1"/>
  <c r="G3242" i="1"/>
  <c r="G3241" i="1"/>
  <c r="G3240" i="1"/>
  <c r="G3239" i="1"/>
  <c r="G3238" i="1"/>
  <c r="G3237" i="1"/>
  <c r="G3236" i="1"/>
  <c r="G3235" i="1"/>
  <c r="G3234" i="1"/>
  <c r="G3233" i="1"/>
  <c r="G3232" i="1"/>
  <c r="G3231" i="1"/>
  <c r="G3230" i="1"/>
  <c r="G3229" i="1"/>
  <c r="G3228" i="1"/>
  <c r="G3227" i="1"/>
  <c r="G3226" i="1"/>
  <c r="G3225" i="1"/>
  <c r="G3224" i="1"/>
  <c r="G3223" i="1"/>
  <c r="G3222" i="1"/>
  <c r="G3221" i="1"/>
  <c r="G3220" i="1"/>
  <c r="G3219" i="1"/>
  <c r="G3218" i="1"/>
  <c r="G3217" i="1"/>
  <c r="G3216" i="1"/>
  <c r="G3215" i="1"/>
  <c r="G3214" i="1"/>
  <c r="G3213" i="1"/>
  <c r="G3212" i="1"/>
  <c r="G3211" i="1"/>
  <c r="G3210" i="1"/>
  <c r="G3209" i="1"/>
  <c r="G3208" i="1"/>
  <c r="G3207" i="1"/>
  <c r="G3206" i="1"/>
  <c r="G3205" i="1"/>
  <c r="G3204" i="1"/>
  <c r="G3203" i="1"/>
  <c r="G3202" i="1"/>
  <c r="G3201" i="1"/>
  <c r="G3200" i="1"/>
  <c r="G3199" i="1"/>
  <c r="G3198" i="1"/>
  <c r="G3197" i="1"/>
  <c r="G3196" i="1"/>
  <c r="G3195" i="1"/>
  <c r="G3194" i="1"/>
  <c r="G3193" i="1"/>
  <c r="G3192" i="1"/>
  <c r="G3191" i="1"/>
  <c r="G3190" i="1"/>
  <c r="G3189" i="1"/>
  <c r="G3188" i="1"/>
  <c r="G3187" i="1"/>
  <c r="G3186" i="1"/>
  <c r="G3185" i="1"/>
  <c r="G3184" i="1"/>
  <c r="G3183" i="1"/>
  <c r="G3182" i="1"/>
  <c r="G3181" i="1"/>
  <c r="G3180" i="1"/>
  <c r="G3179" i="1"/>
  <c r="G3178" i="1"/>
  <c r="G3177" i="1"/>
  <c r="G3176" i="1"/>
  <c r="G3175" i="1"/>
  <c r="G3174" i="1"/>
  <c r="G3173" i="1"/>
  <c r="G3172" i="1"/>
  <c r="G3171" i="1"/>
  <c r="G3170" i="1"/>
  <c r="G3169" i="1"/>
  <c r="G3168" i="1"/>
  <c r="G3167" i="1"/>
  <c r="G3166" i="1"/>
  <c r="G3165" i="1"/>
  <c r="G3164" i="1"/>
  <c r="G3163" i="1"/>
  <c r="G3162" i="1"/>
  <c r="G3161" i="1"/>
  <c r="G3160" i="1"/>
  <c r="G3159" i="1"/>
  <c r="G3158" i="1"/>
  <c r="G3157" i="1"/>
  <c r="G3156" i="1"/>
  <c r="G3155" i="1"/>
  <c r="G3154" i="1"/>
  <c r="G3153" i="1"/>
  <c r="G3152" i="1"/>
  <c r="G3151" i="1"/>
  <c r="G3150" i="1"/>
  <c r="G3149" i="1"/>
  <c r="G3148" i="1"/>
  <c r="G3147" i="1"/>
  <c r="G3146" i="1"/>
  <c r="G3145" i="1"/>
  <c r="G3144" i="1"/>
  <c r="G3143" i="1"/>
  <c r="G3142" i="1"/>
  <c r="G3141" i="1"/>
  <c r="G3140" i="1"/>
  <c r="G3139" i="1"/>
  <c r="G3138" i="1"/>
  <c r="G3137" i="1"/>
  <c r="G3136" i="1"/>
  <c r="G3135" i="1"/>
  <c r="G3134" i="1"/>
  <c r="G3133" i="1"/>
  <c r="G3132" i="1"/>
  <c r="G3131" i="1"/>
  <c r="G3130" i="1"/>
  <c r="G3129" i="1"/>
  <c r="G3128" i="1"/>
  <c r="G3127" i="1"/>
  <c r="G3126" i="1"/>
  <c r="G3125" i="1"/>
  <c r="G3124" i="1"/>
  <c r="G3123" i="1"/>
  <c r="G3122" i="1"/>
  <c r="G3121" i="1"/>
  <c r="G3120" i="1"/>
  <c r="G3119" i="1"/>
  <c r="G3118" i="1"/>
  <c r="G3117" i="1"/>
  <c r="G3116" i="1"/>
  <c r="G3115" i="1"/>
  <c r="G3114" i="1"/>
  <c r="G3113" i="1"/>
  <c r="G3112" i="1"/>
  <c r="G3111" i="1"/>
  <c r="G3110" i="1"/>
  <c r="G3109" i="1"/>
  <c r="G3108" i="1"/>
  <c r="G3107" i="1"/>
  <c r="G3106" i="1"/>
  <c r="G3105" i="1"/>
  <c r="G3104" i="1"/>
  <c r="G3103" i="1"/>
  <c r="G3102" i="1"/>
  <c r="G3101" i="1"/>
  <c r="G3100" i="1"/>
  <c r="G3099" i="1"/>
  <c r="G3098" i="1"/>
  <c r="G3097" i="1"/>
  <c r="G3096" i="1"/>
  <c r="G3095" i="1"/>
  <c r="G3094" i="1"/>
  <c r="G3093" i="1"/>
  <c r="G3092" i="1"/>
  <c r="G3091" i="1"/>
  <c r="G3090" i="1"/>
  <c r="G3089" i="1"/>
  <c r="G3088" i="1"/>
  <c r="G3087" i="1"/>
  <c r="G3086" i="1"/>
  <c r="G3085" i="1"/>
  <c r="G3084" i="1"/>
  <c r="G3083" i="1"/>
  <c r="G3082" i="1"/>
  <c r="G3081" i="1"/>
  <c r="G3080" i="1"/>
  <c r="G3079" i="1"/>
  <c r="G3078" i="1"/>
  <c r="G3077" i="1"/>
  <c r="G3076" i="1"/>
  <c r="G3075" i="1"/>
  <c r="G3074" i="1"/>
  <c r="G3073" i="1"/>
  <c r="G3072" i="1"/>
  <c r="G3071" i="1"/>
  <c r="G3070" i="1"/>
  <c r="G3069" i="1"/>
  <c r="G3068" i="1"/>
  <c r="G3067" i="1"/>
  <c r="G3066" i="1"/>
  <c r="G3065" i="1"/>
  <c r="G3064" i="1"/>
  <c r="G3063" i="1"/>
  <c r="G3062" i="1"/>
  <c r="G3061" i="1"/>
  <c r="G3060" i="1"/>
  <c r="G3059" i="1"/>
  <c r="G3058" i="1"/>
  <c r="G3057" i="1"/>
  <c r="G3056" i="1"/>
  <c r="G3055" i="1"/>
  <c r="G3054" i="1"/>
  <c r="G3053" i="1"/>
  <c r="G3052" i="1"/>
  <c r="G3051" i="1"/>
  <c r="G3050" i="1"/>
  <c r="G3049" i="1"/>
  <c r="G3048" i="1"/>
  <c r="G3047" i="1"/>
  <c r="G3046" i="1"/>
  <c r="G3045" i="1"/>
  <c r="G3044" i="1"/>
  <c r="G3043" i="1"/>
  <c r="G3042" i="1"/>
  <c r="G3041" i="1"/>
  <c r="G3040" i="1"/>
  <c r="G3039" i="1"/>
  <c r="G3038" i="1"/>
  <c r="G3037" i="1"/>
  <c r="G3036" i="1"/>
  <c r="G3035" i="1"/>
  <c r="G3034" i="1"/>
  <c r="G3033" i="1"/>
  <c r="G3032" i="1"/>
  <c r="G3031" i="1"/>
  <c r="G3030" i="1"/>
  <c r="G3029" i="1"/>
  <c r="G3028" i="1"/>
  <c r="G3027" i="1"/>
  <c r="G3026" i="1"/>
  <c r="G3025" i="1"/>
  <c r="G3024" i="1"/>
  <c r="G3023" i="1"/>
  <c r="G3022" i="1"/>
  <c r="G3021" i="1"/>
  <c r="G3020" i="1"/>
  <c r="G3019" i="1"/>
  <c r="G3018" i="1"/>
  <c r="G3017" i="1"/>
  <c r="G3016" i="1"/>
  <c r="G3015" i="1"/>
  <c r="G3014" i="1"/>
  <c r="G3013" i="1"/>
  <c r="G3012" i="1"/>
  <c r="G3011" i="1"/>
  <c r="G3010" i="1"/>
  <c r="G3009" i="1"/>
  <c r="G3008" i="1"/>
  <c r="G3007" i="1"/>
  <c r="G3006" i="1"/>
  <c r="G3005" i="1"/>
  <c r="G3004" i="1"/>
  <c r="G3003" i="1"/>
  <c r="G3002" i="1"/>
  <c r="G3001" i="1"/>
  <c r="G3000" i="1"/>
  <c r="G2999" i="1"/>
  <c r="G2998" i="1"/>
  <c r="G2997" i="1"/>
  <c r="G2996" i="1"/>
  <c r="G2995" i="1"/>
  <c r="G2994" i="1"/>
  <c r="G2993" i="1"/>
  <c r="G2992" i="1"/>
  <c r="G2991" i="1"/>
  <c r="G2990" i="1"/>
  <c r="G2989" i="1"/>
  <c r="G2988" i="1"/>
  <c r="G2987" i="1"/>
  <c r="G2986" i="1"/>
  <c r="G2985" i="1"/>
  <c r="G2984" i="1"/>
  <c r="G2983" i="1"/>
  <c r="G2982" i="1"/>
  <c r="G2981" i="1"/>
  <c r="G2980" i="1"/>
  <c r="G2979" i="1"/>
  <c r="G2978" i="1"/>
  <c r="G2977" i="1"/>
  <c r="G2976" i="1"/>
  <c r="G2975" i="1"/>
  <c r="G2974" i="1"/>
  <c r="G2973" i="1"/>
  <c r="G2972" i="1"/>
  <c r="G2971" i="1"/>
  <c r="G2970" i="1"/>
  <c r="G2969" i="1"/>
  <c r="G2968" i="1"/>
  <c r="G2967" i="1"/>
  <c r="G2966" i="1"/>
  <c r="G2965" i="1"/>
  <c r="G2964" i="1"/>
  <c r="G2963" i="1"/>
  <c r="G2962" i="1"/>
  <c r="G2961" i="1"/>
  <c r="G2960" i="1"/>
  <c r="G2959" i="1"/>
  <c r="G2958" i="1"/>
  <c r="G2957" i="1"/>
  <c r="G2956" i="1"/>
  <c r="G2955" i="1"/>
  <c r="G2954" i="1"/>
  <c r="G2953" i="1"/>
  <c r="G2952" i="1"/>
  <c r="G2951" i="1"/>
  <c r="G2950" i="1"/>
  <c r="G2949" i="1"/>
  <c r="G2948" i="1"/>
  <c r="G2947" i="1"/>
  <c r="G2946" i="1"/>
  <c r="G2945" i="1"/>
  <c r="G2944" i="1"/>
  <c r="G2943" i="1"/>
  <c r="G2942" i="1"/>
  <c r="G2941" i="1"/>
  <c r="G2940" i="1"/>
  <c r="G2939" i="1"/>
  <c r="G2938" i="1"/>
  <c r="G2937" i="1"/>
  <c r="G2936" i="1"/>
  <c r="G2935" i="1"/>
  <c r="G2934" i="1"/>
  <c r="G2933" i="1"/>
  <c r="G2932" i="1"/>
  <c r="G2931" i="1"/>
  <c r="G2930" i="1"/>
  <c r="G2929" i="1"/>
  <c r="G2928" i="1"/>
  <c r="G2927" i="1"/>
  <c r="G2926" i="1"/>
  <c r="G2925" i="1"/>
  <c r="G2924" i="1"/>
  <c r="G2923" i="1"/>
  <c r="G2922" i="1"/>
  <c r="G2921" i="1"/>
  <c r="G2920" i="1"/>
  <c r="G2919" i="1"/>
  <c r="G2918" i="1"/>
  <c r="G2917" i="1"/>
  <c r="G2916" i="1"/>
  <c r="G2915" i="1"/>
  <c r="G2914" i="1"/>
  <c r="G2913" i="1"/>
  <c r="G2912" i="1"/>
  <c r="G2911" i="1"/>
  <c r="G2910" i="1"/>
  <c r="G2909" i="1"/>
  <c r="G2908" i="1"/>
  <c r="G2907" i="1"/>
  <c r="G2906" i="1"/>
  <c r="G2905" i="1"/>
  <c r="G2904" i="1"/>
  <c r="G2903" i="1"/>
  <c r="G2902" i="1"/>
  <c r="G2901" i="1"/>
  <c r="G2900" i="1"/>
  <c r="G2899" i="1"/>
  <c r="G2898" i="1"/>
  <c r="G2897" i="1"/>
  <c r="G2896" i="1"/>
  <c r="G2895" i="1"/>
  <c r="G2894" i="1"/>
  <c r="G2893" i="1"/>
  <c r="G2892" i="1"/>
  <c r="G2891" i="1"/>
  <c r="G2890" i="1"/>
  <c r="G2889" i="1"/>
  <c r="G2888" i="1"/>
  <c r="G2887" i="1"/>
  <c r="G2886" i="1"/>
  <c r="G2885" i="1"/>
  <c r="G2884" i="1"/>
  <c r="G2883" i="1"/>
  <c r="G2882" i="1"/>
  <c r="G2881" i="1"/>
  <c r="G2880" i="1"/>
  <c r="G2879" i="1"/>
  <c r="G2878" i="1"/>
  <c r="G2877" i="1"/>
  <c r="G2876" i="1"/>
  <c r="G2875" i="1"/>
  <c r="G2874" i="1"/>
  <c r="G2873" i="1"/>
  <c r="G2872" i="1"/>
  <c r="G2871" i="1"/>
  <c r="G2870" i="1"/>
  <c r="G2869" i="1"/>
  <c r="G2868" i="1"/>
  <c r="G2867" i="1"/>
  <c r="G2866" i="1"/>
  <c r="G2865" i="1"/>
  <c r="G2864" i="1"/>
  <c r="G2863" i="1"/>
  <c r="G2862" i="1"/>
  <c r="G2861" i="1"/>
  <c r="G2860" i="1"/>
  <c r="G2859" i="1"/>
  <c r="G2858" i="1"/>
  <c r="G2857" i="1"/>
  <c r="G2856" i="1"/>
  <c r="G2855" i="1"/>
  <c r="G2854" i="1"/>
  <c r="G2853" i="1"/>
  <c r="G2852" i="1"/>
  <c r="G2851" i="1"/>
  <c r="G2850" i="1"/>
  <c r="G2849" i="1"/>
  <c r="G2848" i="1"/>
  <c r="G2847" i="1"/>
  <c r="G2846" i="1"/>
  <c r="G2845" i="1"/>
  <c r="G2844" i="1"/>
  <c r="G2843" i="1"/>
  <c r="G2842" i="1"/>
  <c r="G2841" i="1"/>
  <c r="G2840" i="1"/>
  <c r="G2839" i="1"/>
  <c r="G2838" i="1"/>
  <c r="G2837" i="1"/>
  <c r="G2836" i="1"/>
  <c r="G2835" i="1"/>
  <c r="G2834" i="1"/>
  <c r="G2833" i="1"/>
  <c r="G2832" i="1"/>
  <c r="G2831" i="1"/>
  <c r="G2830" i="1"/>
  <c r="G2829" i="1"/>
  <c r="G2828" i="1"/>
  <c r="G2827" i="1"/>
  <c r="G2826" i="1"/>
  <c r="G2825" i="1"/>
  <c r="G2824" i="1"/>
  <c r="G2823" i="1"/>
  <c r="G2822" i="1"/>
  <c r="G2821" i="1"/>
  <c r="G2820" i="1"/>
  <c r="G2819" i="1"/>
  <c r="G2818" i="1"/>
  <c r="G2817" i="1"/>
  <c r="G2816" i="1"/>
  <c r="G2815" i="1"/>
  <c r="G2814" i="1"/>
  <c r="G2813" i="1"/>
  <c r="G2812" i="1"/>
  <c r="G2811" i="1"/>
  <c r="G2810" i="1"/>
  <c r="G2809" i="1"/>
  <c r="G2808" i="1"/>
  <c r="G2807" i="1"/>
  <c r="G2806" i="1"/>
  <c r="G2805" i="1"/>
  <c r="G2804" i="1"/>
  <c r="G2803" i="1"/>
  <c r="G2802" i="1"/>
  <c r="G2801" i="1"/>
  <c r="G2800" i="1"/>
  <c r="G2799" i="1"/>
  <c r="G2798" i="1"/>
  <c r="G2797" i="1"/>
  <c r="G2796" i="1"/>
  <c r="G2795" i="1"/>
  <c r="G2794" i="1"/>
  <c r="G2793" i="1"/>
  <c r="G2792" i="1"/>
  <c r="G2791" i="1"/>
  <c r="G2790" i="1"/>
  <c r="G2789" i="1"/>
  <c r="G2788" i="1"/>
  <c r="G2787" i="1"/>
  <c r="G2786" i="1"/>
  <c r="G2785" i="1"/>
  <c r="G2784" i="1"/>
  <c r="G2783" i="1"/>
  <c r="G2782" i="1"/>
  <c r="G2781" i="1"/>
  <c r="G2780" i="1"/>
  <c r="G2779" i="1"/>
  <c r="G2778" i="1"/>
  <c r="G2777" i="1"/>
  <c r="G2776" i="1"/>
  <c r="G2775" i="1"/>
  <c r="G2774" i="1"/>
  <c r="G2773" i="1"/>
  <c r="G2772" i="1"/>
  <c r="G2771" i="1"/>
  <c r="G2770" i="1"/>
  <c r="G2769" i="1"/>
  <c r="G2768" i="1"/>
  <c r="G2767" i="1"/>
  <c r="G2766" i="1"/>
  <c r="G2765" i="1"/>
  <c r="G2764" i="1"/>
  <c r="G2763" i="1"/>
  <c r="G2762" i="1"/>
  <c r="G2761" i="1"/>
  <c r="G2760" i="1"/>
  <c r="G2759" i="1"/>
  <c r="G2758" i="1"/>
  <c r="G2757" i="1"/>
  <c r="G2756" i="1"/>
  <c r="G2755" i="1"/>
  <c r="G2754" i="1"/>
  <c r="G2753" i="1"/>
  <c r="G2752" i="1"/>
  <c r="G2751" i="1"/>
  <c r="G2750" i="1"/>
  <c r="G2749" i="1"/>
  <c r="G2748" i="1"/>
  <c r="G2747" i="1"/>
  <c r="G2746" i="1"/>
  <c r="G2745" i="1"/>
  <c r="G2744" i="1"/>
  <c r="G2743" i="1"/>
  <c r="G2742" i="1"/>
  <c r="G2741" i="1"/>
  <c r="G2740" i="1"/>
  <c r="G2739" i="1"/>
  <c r="G2738" i="1"/>
  <c r="G2737" i="1"/>
  <c r="G2736" i="1"/>
  <c r="G2735" i="1"/>
  <c r="G2734" i="1"/>
  <c r="G2733" i="1"/>
  <c r="G2732" i="1"/>
  <c r="G2731" i="1"/>
  <c r="G2730" i="1"/>
  <c r="G2729" i="1"/>
  <c r="G2728" i="1"/>
  <c r="G2727" i="1"/>
  <c r="G2726" i="1"/>
  <c r="G2725" i="1"/>
  <c r="G2724" i="1"/>
  <c r="G2723" i="1"/>
  <c r="G2722" i="1"/>
  <c r="G2721" i="1"/>
  <c r="G2720" i="1"/>
  <c r="G2719" i="1"/>
  <c r="G2718" i="1"/>
  <c r="G2717" i="1"/>
  <c r="G2716" i="1"/>
  <c r="G2715" i="1"/>
  <c r="G2714" i="1"/>
  <c r="G2713" i="1"/>
  <c r="G2712" i="1"/>
  <c r="G2711" i="1"/>
  <c r="G2710" i="1"/>
  <c r="G2709" i="1"/>
  <c r="G2708" i="1"/>
  <c r="G2707" i="1"/>
  <c r="G2706" i="1"/>
  <c r="G2705" i="1"/>
  <c r="G2704" i="1"/>
  <c r="G2703" i="1"/>
  <c r="G2702" i="1"/>
  <c r="G2701" i="1"/>
  <c r="G2700" i="1"/>
  <c r="G2699" i="1"/>
  <c r="G2698" i="1"/>
  <c r="G2697" i="1"/>
  <c r="G2696" i="1"/>
  <c r="G2695" i="1"/>
  <c r="G2694" i="1"/>
  <c r="G2693" i="1"/>
  <c r="G2692" i="1"/>
  <c r="G2691" i="1"/>
  <c r="G2690" i="1"/>
  <c r="G2689" i="1"/>
  <c r="G2688" i="1"/>
  <c r="G2687" i="1"/>
  <c r="G2686" i="1"/>
  <c r="G2685" i="1"/>
  <c r="G2684" i="1"/>
  <c r="G2683" i="1"/>
  <c r="G2682" i="1"/>
  <c r="G2681" i="1"/>
  <c r="G2680" i="1"/>
  <c r="G2679" i="1"/>
  <c r="G2678" i="1"/>
  <c r="G2677" i="1"/>
  <c r="G2676" i="1"/>
  <c r="G2675" i="1"/>
  <c r="G2674" i="1"/>
  <c r="G2673" i="1"/>
  <c r="G2672" i="1"/>
  <c r="G2671" i="1"/>
  <c r="G2670" i="1"/>
  <c r="G2669" i="1"/>
  <c r="G2668" i="1"/>
  <c r="G2667" i="1"/>
  <c r="G2666" i="1"/>
  <c r="G2665" i="1"/>
  <c r="G2664" i="1"/>
  <c r="G2663" i="1"/>
  <c r="G2662" i="1"/>
  <c r="G2661" i="1"/>
  <c r="G2660" i="1"/>
  <c r="G2659" i="1"/>
  <c r="G2658" i="1"/>
  <c r="G2657" i="1"/>
  <c r="G2656" i="1"/>
  <c r="G2655" i="1"/>
  <c r="G2654" i="1"/>
  <c r="G2653" i="1"/>
  <c r="G2652" i="1"/>
  <c r="G2651" i="1"/>
  <c r="G2650" i="1"/>
  <c r="G2649" i="1"/>
  <c r="G2648" i="1"/>
  <c r="G2647" i="1"/>
  <c r="G2646" i="1"/>
  <c r="G2645" i="1"/>
  <c r="G2644" i="1"/>
  <c r="G2643" i="1"/>
  <c r="G2642" i="1"/>
  <c r="G2641" i="1"/>
  <c r="G2640" i="1"/>
  <c r="G2639" i="1"/>
  <c r="G2638" i="1"/>
  <c r="G2637" i="1"/>
  <c r="G2636" i="1"/>
  <c r="G2635" i="1"/>
  <c r="G2634" i="1"/>
  <c r="G2633" i="1"/>
  <c r="G2632" i="1"/>
  <c r="G2631" i="1"/>
  <c r="G2630" i="1"/>
  <c r="G2629" i="1"/>
  <c r="G2628" i="1"/>
  <c r="G2627" i="1"/>
  <c r="G2626" i="1"/>
  <c r="G2625" i="1"/>
  <c r="G2624" i="1"/>
  <c r="G2623" i="1"/>
  <c r="G2622" i="1"/>
  <c r="G2621" i="1"/>
  <c r="G2620" i="1"/>
  <c r="G2619" i="1"/>
  <c r="G2618" i="1"/>
  <c r="G2617" i="1"/>
  <c r="G2616" i="1"/>
  <c r="G2615" i="1"/>
  <c r="G2614" i="1"/>
  <c r="G2613" i="1"/>
  <c r="G2612" i="1"/>
  <c r="G2611" i="1"/>
  <c r="G2610" i="1"/>
  <c r="G2609" i="1"/>
  <c r="G2608" i="1"/>
  <c r="G2607" i="1"/>
  <c r="G2606" i="1"/>
  <c r="G2605" i="1"/>
  <c r="G2604" i="1"/>
  <c r="G2603" i="1"/>
  <c r="G2602" i="1"/>
  <c r="G2601" i="1"/>
  <c r="G2600" i="1"/>
  <c r="G2599" i="1"/>
  <c r="G2598" i="1"/>
  <c r="G2597" i="1"/>
  <c r="G2596" i="1"/>
  <c r="G2595" i="1"/>
  <c r="G2594" i="1"/>
  <c r="G2593" i="1"/>
  <c r="G2592" i="1"/>
  <c r="G2591" i="1"/>
  <c r="G2590" i="1"/>
  <c r="G2589" i="1"/>
  <c r="G2588" i="1"/>
  <c r="G2587" i="1"/>
  <c r="G2586" i="1"/>
  <c r="G2585" i="1"/>
  <c r="G2584" i="1"/>
  <c r="G2583" i="1"/>
  <c r="G2582" i="1"/>
  <c r="G2581" i="1"/>
  <c r="G2580" i="1"/>
  <c r="G2579" i="1"/>
  <c r="G2578" i="1"/>
  <c r="G2577" i="1"/>
  <c r="G2576" i="1"/>
  <c r="G2575" i="1"/>
  <c r="G2574" i="1"/>
  <c r="G2573" i="1"/>
  <c r="G2572" i="1"/>
  <c r="G2571" i="1"/>
  <c r="G2570" i="1"/>
  <c r="G2569" i="1"/>
  <c r="G2568" i="1"/>
  <c r="G2567" i="1"/>
  <c r="G2566" i="1"/>
  <c r="G2565" i="1"/>
  <c r="G2564" i="1"/>
  <c r="G2563" i="1"/>
  <c r="G2562" i="1"/>
  <c r="G2561" i="1"/>
  <c r="G2560" i="1"/>
  <c r="G2559" i="1"/>
  <c r="G2558" i="1"/>
  <c r="G2557" i="1"/>
  <c r="G2556" i="1"/>
  <c r="G2555" i="1"/>
  <c r="G2554" i="1"/>
  <c r="G2553" i="1"/>
  <c r="G2552" i="1"/>
  <c r="G2551" i="1"/>
  <c r="G2550" i="1"/>
  <c r="G2549" i="1"/>
  <c r="G2548" i="1"/>
  <c r="G2547" i="1"/>
  <c r="G2546" i="1"/>
  <c r="G2545" i="1"/>
  <c r="G2544" i="1"/>
  <c r="G2543" i="1"/>
  <c r="G2542" i="1"/>
  <c r="G2541" i="1"/>
  <c r="G2540" i="1"/>
  <c r="G2539" i="1"/>
  <c r="G2538" i="1"/>
  <c r="G2537" i="1"/>
  <c r="G2536" i="1"/>
  <c r="G2535" i="1"/>
  <c r="G2534" i="1"/>
  <c r="G2533" i="1"/>
  <c r="G2532" i="1"/>
  <c r="G2531" i="1"/>
  <c r="G2530" i="1"/>
  <c r="G2529" i="1"/>
  <c r="G2528" i="1"/>
  <c r="G2527" i="1"/>
  <c r="G2526" i="1"/>
  <c r="G2525" i="1"/>
  <c r="G2524" i="1"/>
  <c r="G2523" i="1"/>
  <c r="G2522" i="1"/>
  <c r="G2521" i="1"/>
  <c r="G2520" i="1"/>
  <c r="G2519" i="1"/>
  <c r="G2518" i="1"/>
  <c r="G2517" i="1"/>
  <c r="G2516" i="1"/>
  <c r="G2515" i="1"/>
  <c r="G2514" i="1"/>
  <c r="G2513" i="1"/>
  <c r="G2512" i="1"/>
  <c r="G2511" i="1"/>
  <c r="G2510" i="1"/>
  <c r="G2509" i="1"/>
  <c r="G2508" i="1"/>
  <c r="G2507" i="1"/>
  <c r="G2506" i="1"/>
  <c r="G2505" i="1"/>
  <c r="G2504" i="1"/>
  <c r="G2503" i="1"/>
  <c r="G2502" i="1"/>
  <c r="G2501" i="1"/>
  <c r="G2500" i="1"/>
  <c r="G2499" i="1"/>
  <c r="G2498" i="1"/>
  <c r="G2497" i="1"/>
  <c r="G2496" i="1"/>
  <c r="G2495" i="1"/>
  <c r="G2494" i="1"/>
  <c r="G2493" i="1"/>
  <c r="G2492" i="1"/>
  <c r="G2491" i="1"/>
  <c r="G2490" i="1"/>
  <c r="G2489" i="1"/>
  <c r="G2488" i="1"/>
  <c r="G2487" i="1"/>
  <c r="G2486" i="1"/>
  <c r="G2485" i="1"/>
  <c r="G2484" i="1"/>
  <c r="G2483" i="1"/>
  <c r="G2482" i="1"/>
  <c r="G2481" i="1"/>
  <c r="G2480" i="1"/>
  <c r="G2479" i="1"/>
  <c r="G2478" i="1"/>
  <c r="G2477" i="1"/>
  <c r="G2476" i="1"/>
  <c r="G2475" i="1"/>
  <c r="G2474" i="1"/>
  <c r="G2473" i="1"/>
  <c r="G2472" i="1"/>
  <c r="G2471" i="1"/>
  <c r="G2470" i="1"/>
  <c r="G2469" i="1"/>
  <c r="G2468" i="1"/>
  <c r="G2467" i="1"/>
  <c r="G2466" i="1"/>
  <c r="G2465" i="1"/>
  <c r="G2464" i="1"/>
  <c r="G2463" i="1"/>
  <c r="G2462" i="1"/>
  <c r="G2461" i="1"/>
  <c r="G2460" i="1"/>
  <c r="G2459" i="1"/>
  <c r="G2458" i="1"/>
  <c r="G2457" i="1"/>
  <c r="G2456" i="1"/>
  <c r="G2455" i="1"/>
  <c r="G2454" i="1"/>
  <c r="G2453" i="1"/>
  <c r="G2452" i="1"/>
  <c r="G2451" i="1"/>
  <c r="G2450" i="1"/>
  <c r="G2449" i="1"/>
  <c r="G2448" i="1"/>
  <c r="G2447" i="1"/>
  <c r="G2446" i="1"/>
  <c r="G2445" i="1"/>
  <c r="G2444" i="1"/>
  <c r="G2443" i="1"/>
  <c r="G2442" i="1"/>
  <c r="G2441" i="1"/>
  <c r="G2440" i="1"/>
  <c r="G2439" i="1"/>
  <c r="G2438" i="1"/>
  <c r="G2437" i="1"/>
  <c r="G2436" i="1"/>
  <c r="G2435" i="1"/>
  <c r="G2434" i="1"/>
  <c r="G2433" i="1"/>
  <c r="G2432" i="1"/>
  <c r="G2431" i="1"/>
  <c r="G2430" i="1"/>
  <c r="G2429" i="1"/>
  <c r="G2428" i="1"/>
  <c r="G2427" i="1"/>
  <c r="G2426" i="1"/>
  <c r="G2425" i="1"/>
  <c r="G2424" i="1"/>
  <c r="G2423" i="1"/>
  <c r="G2422" i="1"/>
  <c r="G2421" i="1"/>
  <c r="G2420" i="1"/>
  <c r="G2419" i="1"/>
  <c r="G2418" i="1"/>
  <c r="G2417" i="1"/>
  <c r="G2416" i="1"/>
  <c r="G2415" i="1"/>
  <c r="G2414" i="1"/>
  <c r="G2413" i="1"/>
  <c r="G2412" i="1"/>
  <c r="G2411" i="1"/>
  <c r="G2410" i="1"/>
  <c r="G2409" i="1"/>
  <c r="G2408" i="1"/>
  <c r="G2407" i="1"/>
  <c r="G2406" i="1"/>
  <c r="G2405" i="1"/>
  <c r="G2404" i="1"/>
  <c r="G2403" i="1"/>
  <c r="G2402" i="1"/>
  <c r="G2401" i="1"/>
  <c r="G2400" i="1"/>
  <c r="G2399" i="1"/>
  <c r="G2398" i="1"/>
  <c r="G2397" i="1"/>
  <c r="G2396" i="1"/>
  <c r="G2395" i="1"/>
  <c r="G2394" i="1"/>
  <c r="G2393" i="1"/>
  <c r="G2392" i="1"/>
  <c r="G2391" i="1"/>
  <c r="G2390" i="1"/>
  <c r="G2389" i="1"/>
  <c r="G2388" i="1"/>
  <c r="G2387" i="1"/>
  <c r="G2386" i="1"/>
  <c r="G2385" i="1"/>
  <c r="G2384" i="1"/>
  <c r="G2383" i="1"/>
  <c r="G2382" i="1"/>
  <c r="G2381" i="1"/>
  <c r="G2380" i="1"/>
  <c r="G2379" i="1"/>
  <c r="G2378" i="1"/>
  <c r="G2377" i="1"/>
  <c r="G2376" i="1"/>
  <c r="G2375" i="1"/>
  <c r="G2374" i="1"/>
  <c r="G2373" i="1"/>
  <c r="G2372" i="1"/>
  <c r="G2371" i="1"/>
  <c r="G2370" i="1"/>
  <c r="G2369" i="1"/>
  <c r="G2368" i="1"/>
  <c r="G2367" i="1"/>
  <c r="G2366" i="1"/>
  <c r="G2365" i="1"/>
  <c r="G2364" i="1"/>
  <c r="G2363" i="1"/>
  <c r="G2362" i="1"/>
  <c r="G2361" i="1"/>
  <c r="G2360" i="1"/>
  <c r="G2359" i="1"/>
  <c r="G2358" i="1"/>
  <c r="G2357" i="1"/>
  <c r="G2356" i="1"/>
  <c r="G2355" i="1"/>
  <c r="G2354" i="1"/>
  <c r="G2353" i="1"/>
  <c r="G2352" i="1"/>
  <c r="G2351" i="1"/>
  <c r="G2350" i="1"/>
  <c r="G2349" i="1"/>
  <c r="G2348" i="1"/>
  <c r="G2347" i="1"/>
  <c r="G2346" i="1"/>
  <c r="G2345" i="1"/>
  <c r="G2344" i="1"/>
  <c r="G2343" i="1"/>
  <c r="G2342" i="1"/>
  <c r="G2341" i="1"/>
  <c r="G2340" i="1"/>
  <c r="G2339" i="1"/>
  <c r="G2338" i="1"/>
  <c r="G2337" i="1"/>
  <c r="G2336" i="1"/>
  <c r="G2335" i="1"/>
  <c r="G2334" i="1"/>
  <c r="G2333" i="1"/>
  <c r="G2332" i="1"/>
  <c r="G2331" i="1"/>
  <c r="G2330" i="1"/>
  <c r="G2329" i="1"/>
  <c r="G2328" i="1"/>
  <c r="G2327" i="1"/>
  <c r="G2326" i="1"/>
  <c r="G2325" i="1"/>
  <c r="G2324" i="1"/>
  <c r="G2323" i="1"/>
  <c r="G2322" i="1"/>
  <c r="G2321" i="1"/>
  <c r="G2320" i="1"/>
  <c r="G2319" i="1"/>
  <c r="G2318" i="1"/>
  <c r="G2317" i="1"/>
  <c r="G2316" i="1"/>
  <c r="G2315" i="1"/>
  <c r="G2314" i="1"/>
  <c r="G2313" i="1"/>
  <c r="G2312" i="1"/>
  <c r="G2311" i="1"/>
  <c r="G2310" i="1"/>
  <c r="G2309" i="1"/>
  <c r="G2308" i="1"/>
  <c r="G2307" i="1"/>
  <c r="G2306" i="1"/>
  <c r="G2305" i="1"/>
  <c r="G2304" i="1"/>
  <c r="G2303" i="1"/>
  <c r="G2302" i="1"/>
  <c r="G2301" i="1"/>
  <c r="G2300" i="1"/>
  <c r="G2299" i="1"/>
  <c r="G2298" i="1"/>
  <c r="G2297" i="1"/>
  <c r="G2296" i="1"/>
  <c r="G2295" i="1"/>
  <c r="G2294" i="1"/>
  <c r="G2293" i="1"/>
  <c r="G2292" i="1"/>
  <c r="G2291" i="1"/>
  <c r="G2290" i="1"/>
  <c r="G2289" i="1"/>
  <c r="G2288" i="1"/>
  <c r="G2287" i="1"/>
  <c r="G2286" i="1"/>
  <c r="G2285" i="1"/>
  <c r="G2284" i="1"/>
  <c r="G2283" i="1"/>
  <c r="G2282" i="1"/>
  <c r="G2281" i="1"/>
  <c r="G2280" i="1"/>
  <c r="G2279" i="1"/>
  <c r="G2278" i="1"/>
  <c r="G2277" i="1"/>
  <c r="G2276" i="1"/>
  <c r="G2275" i="1"/>
  <c r="G2274" i="1"/>
  <c r="G2273" i="1"/>
  <c r="G2272" i="1"/>
  <c r="G2271" i="1"/>
  <c r="G2270" i="1"/>
  <c r="G2269" i="1"/>
  <c r="G2268" i="1"/>
  <c r="G2267" i="1"/>
  <c r="G2266" i="1"/>
  <c r="G2265" i="1"/>
  <c r="G2264" i="1"/>
  <c r="G2263" i="1"/>
  <c r="G2262" i="1"/>
  <c r="G2261" i="1"/>
  <c r="G2260" i="1"/>
  <c r="G2259" i="1"/>
  <c r="G2258" i="1"/>
  <c r="G2257" i="1"/>
  <c r="G2256" i="1"/>
  <c r="G2255" i="1"/>
  <c r="G2254" i="1"/>
  <c r="G2253" i="1"/>
  <c r="G2252" i="1"/>
  <c r="G2251" i="1"/>
  <c r="G2250" i="1"/>
  <c r="G2249" i="1"/>
  <c r="G2248" i="1"/>
  <c r="G2247" i="1"/>
  <c r="G2246" i="1"/>
  <c r="G2245" i="1"/>
  <c r="G2244" i="1"/>
  <c r="G2243" i="1"/>
  <c r="G2242" i="1"/>
  <c r="G2241" i="1"/>
  <c r="G2240" i="1"/>
  <c r="G2239" i="1"/>
  <c r="G2238" i="1"/>
  <c r="G2237" i="1"/>
  <c r="G2236" i="1"/>
  <c r="G2235" i="1"/>
  <c r="G2234" i="1"/>
  <c r="G2233" i="1"/>
  <c r="G2232" i="1"/>
  <c r="G2231" i="1"/>
  <c r="G2230" i="1"/>
  <c r="G2229" i="1"/>
  <c r="G2228" i="1"/>
  <c r="G2227" i="1"/>
  <c r="G2226" i="1"/>
  <c r="G2225" i="1"/>
  <c r="G2224" i="1"/>
  <c r="G2223" i="1"/>
  <c r="G2222" i="1"/>
  <c r="G2221" i="1"/>
  <c r="G2220" i="1"/>
  <c r="G2219" i="1"/>
  <c r="G2218" i="1"/>
  <c r="G2217" i="1"/>
  <c r="G2216" i="1"/>
  <c r="G2215" i="1"/>
  <c r="G2214" i="1"/>
  <c r="G2213" i="1"/>
  <c r="G2212" i="1"/>
  <c r="G2211" i="1"/>
  <c r="G2210" i="1"/>
  <c r="G2209" i="1"/>
  <c r="G2208" i="1"/>
  <c r="G2207" i="1"/>
  <c r="G2206" i="1"/>
  <c r="G2205" i="1"/>
  <c r="G2204" i="1"/>
  <c r="G2203" i="1"/>
  <c r="G2202" i="1"/>
  <c r="G2201" i="1"/>
  <c r="G2200" i="1"/>
  <c r="G2199" i="1"/>
  <c r="G2198" i="1"/>
  <c r="G2197" i="1"/>
  <c r="G2196" i="1"/>
  <c r="G2195" i="1"/>
  <c r="G2194" i="1"/>
  <c r="G2193" i="1"/>
  <c r="G2192" i="1"/>
  <c r="G2191" i="1"/>
  <c r="G2190" i="1"/>
  <c r="G2189" i="1"/>
  <c r="G2188" i="1"/>
  <c r="G2187" i="1"/>
  <c r="G2186" i="1"/>
  <c r="G2185" i="1"/>
  <c r="G2184" i="1"/>
  <c r="G2183" i="1"/>
  <c r="G2182" i="1"/>
  <c r="G2181" i="1"/>
  <c r="G2180" i="1"/>
  <c r="G2179" i="1"/>
  <c r="G2178" i="1"/>
  <c r="G2177" i="1"/>
  <c r="G2176" i="1"/>
  <c r="G2175" i="1"/>
  <c r="G2174" i="1"/>
  <c r="G2173" i="1"/>
  <c r="G2172" i="1"/>
  <c r="G2171" i="1"/>
  <c r="G2170" i="1"/>
  <c r="G2169" i="1"/>
  <c r="G2168" i="1"/>
  <c r="G2167" i="1"/>
  <c r="G2166" i="1"/>
  <c r="G2165" i="1"/>
  <c r="G2164" i="1"/>
  <c r="G2163" i="1"/>
  <c r="G2162" i="1"/>
  <c r="G2161" i="1"/>
  <c r="G2160" i="1"/>
  <c r="G2159" i="1"/>
  <c r="G2158" i="1"/>
  <c r="G2157" i="1"/>
  <c r="G2156" i="1"/>
  <c r="G2155" i="1"/>
  <c r="G2154" i="1"/>
  <c r="G2153" i="1"/>
  <c r="G2152" i="1"/>
  <c r="G2151" i="1"/>
  <c r="G2150" i="1"/>
  <c r="G2149" i="1"/>
  <c r="G2148" i="1"/>
  <c r="G2147" i="1"/>
  <c r="G2146" i="1"/>
  <c r="G2145" i="1"/>
  <c r="G2144" i="1"/>
  <c r="G2143" i="1"/>
  <c r="G2142" i="1"/>
  <c r="G2141" i="1"/>
  <c r="G2140" i="1"/>
  <c r="G2139" i="1"/>
  <c r="G2138" i="1"/>
  <c r="G2137" i="1"/>
  <c r="G2136" i="1"/>
  <c r="G2135" i="1"/>
  <c r="G2134" i="1"/>
  <c r="G2133" i="1"/>
  <c r="G2132" i="1"/>
  <c r="G2131" i="1"/>
  <c r="G2130" i="1"/>
  <c r="G2129" i="1"/>
  <c r="G2128" i="1"/>
  <c r="G2127" i="1"/>
  <c r="G2126" i="1"/>
  <c r="G2125" i="1"/>
  <c r="G2124" i="1"/>
  <c r="G2123" i="1"/>
  <c r="G2122" i="1"/>
  <c r="G2121" i="1"/>
  <c r="G2120" i="1"/>
  <c r="G2119" i="1"/>
  <c r="G2118" i="1"/>
  <c r="G2117" i="1"/>
  <c r="G2116" i="1"/>
  <c r="G2115" i="1"/>
  <c r="G2114" i="1"/>
  <c r="G2113" i="1"/>
  <c r="G2112" i="1"/>
  <c r="G2111" i="1"/>
  <c r="G2110" i="1"/>
  <c r="G2109" i="1"/>
  <c r="G2108" i="1"/>
  <c r="G2107" i="1"/>
  <c r="G2106" i="1"/>
  <c r="G2105" i="1"/>
  <c r="G2104" i="1"/>
  <c r="G2103" i="1"/>
  <c r="G2102" i="1"/>
  <c r="G2101" i="1"/>
  <c r="G2100" i="1"/>
  <c r="G2099" i="1"/>
  <c r="G2098" i="1"/>
  <c r="G2097" i="1"/>
  <c r="G2096" i="1"/>
  <c r="G2095" i="1"/>
  <c r="G2094" i="1"/>
  <c r="G2093" i="1"/>
  <c r="G2092" i="1"/>
  <c r="G2091" i="1"/>
  <c r="G2090" i="1"/>
  <c r="G2089" i="1"/>
  <c r="G2088" i="1"/>
  <c r="G2087" i="1"/>
  <c r="G2086" i="1"/>
  <c r="G2085" i="1"/>
  <c r="G2084" i="1"/>
  <c r="G2083" i="1"/>
  <c r="G2082" i="1"/>
  <c r="G2081" i="1"/>
  <c r="G2080" i="1"/>
  <c r="G2079" i="1"/>
  <c r="G2078" i="1"/>
  <c r="G2077" i="1"/>
  <c r="G2076" i="1"/>
  <c r="G2075" i="1"/>
  <c r="G2074" i="1"/>
  <c r="G2073" i="1"/>
  <c r="G2072" i="1"/>
  <c r="G2071" i="1"/>
  <c r="G2070" i="1"/>
  <c r="G2069" i="1"/>
  <c r="G2068" i="1"/>
  <c r="G2067" i="1"/>
  <c r="G2066" i="1"/>
  <c r="G2065" i="1"/>
  <c r="G2064" i="1"/>
  <c r="G2063" i="1"/>
  <c r="G2062" i="1"/>
  <c r="G2061" i="1"/>
  <c r="G2060" i="1"/>
  <c r="G2059" i="1"/>
  <c r="G2058" i="1"/>
  <c r="G2057" i="1"/>
  <c r="G2056" i="1"/>
  <c r="G2055" i="1"/>
  <c r="G2054" i="1"/>
  <c r="G2053" i="1"/>
  <c r="G2052" i="1"/>
  <c r="G2051" i="1"/>
  <c r="G2050" i="1"/>
  <c r="G2049" i="1"/>
  <c r="G2048" i="1"/>
  <c r="G2047" i="1"/>
  <c r="G2046" i="1"/>
  <c r="G2045" i="1"/>
  <c r="G2044" i="1"/>
  <c r="G2043" i="1"/>
  <c r="G2042" i="1"/>
  <c r="G2041" i="1"/>
  <c r="G2040" i="1"/>
  <c r="G2039" i="1"/>
  <c r="G2038" i="1"/>
  <c r="G2037" i="1"/>
  <c r="G2036" i="1"/>
  <c r="G2035" i="1"/>
  <c r="G2034" i="1"/>
  <c r="G2033" i="1"/>
  <c r="G2032" i="1"/>
  <c r="G2031" i="1"/>
  <c r="G2030" i="1"/>
  <c r="G2029" i="1"/>
  <c r="G2028" i="1"/>
  <c r="G2027" i="1"/>
  <c r="G2026" i="1"/>
  <c r="G2025" i="1"/>
  <c r="G2024" i="1"/>
  <c r="G2023" i="1"/>
  <c r="G2022" i="1"/>
  <c r="G2021" i="1"/>
  <c r="G2020" i="1"/>
  <c r="G2019" i="1"/>
  <c r="G2018" i="1"/>
  <c r="G2017" i="1"/>
  <c r="G2016" i="1"/>
  <c r="G2015" i="1"/>
  <c r="G2014" i="1"/>
  <c r="G2013" i="1"/>
  <c r="G2012" i="1"/>
  <c r="G2011" i="1"/>
  <c r="G2010" i="1"/>
  <c r="G2009" i="1"/>
  <c r="G2008" i="1"/>
  <c r="G2007" i="1"/>
  <c r="G2006" i="1"/>
  <c r="G2005" i="1"/>
  <c r="G2004" i="1"/>
  <c r="G2003" i="1"/>
  <c r="G2002" i="1"/>
  <c r="G2001" i="1"/>
  <c r="G2000" i="1"/>
  <c r="G1999" i="1"/>
  <c r="G1998" i="1"/>
  <c r="G1997" i="1"/>
  <c r="G1996" i="1"/>
  <c r="G1995" i="1"/>
  <c r="G1994" i="1"/>
  <c r="G1993" i="1"/>
  <c r="G1992" i="1"/>
  <c r="G1991" i="1"/>
  <c r="G1990" i="1"/>
  <c r="G1989" i="1"/>
  <c r="G1988" i="1"/>
  <c r="G1987" i="1"/>
  <c r="G1986" i="1"/>
  <c r="G1985" i="1"/>
  <c r="G1984" i="1"/>
  <c r="G1983" i="1"/>
  <c r="G1982" i="1"/>
  <c r="G1981" i="1"/>
  <c r="G1980" i="1"/>
  <c r="G1979" i="1"/>
  <c r="G1978" i="1"/>
  <c r="G1977" i="1"/>
  <c r="G1976" i="1"/>
  <c r="G1975" i="1"/>
  <c r="G1974" i="1"/>
  <c r="G1973" i="1"/>
  <c r="G1972" i="1"/>
  <c r="G1971" i="1"/>
  <c r="G1970" i="1"/>
  <c r="G1969" i="1"/>
  <c r="G1968" i="1"/>
  <c r="G1967" i="1"/>
  <c r="G1966" i="1"/>
  <c r="G1965" i="1"/>
  <c r="G1964" i="1"/>
  <c r="G1963" i="1"/>
  <c r="G1962" i="1"/>
  <c r="G1961" i="1"/>
  <c r="G1960" i="1"/>
  <c r="G1959" i="1"/>
  <c r="G1958" i="1"/>
  <c r="G1957" i="1"/>
  <c r="G1956" i="1"/>
  <c r="G1955" i="1"/>
  <c r="G1954" i="1"/>
  <c r="G1953" i="1"/>
  <c r="G1952" i="1"/>
  <c r="G1951" i="1"/>
  <c r="G1950" i="1"/>
  <c r="G1949" i="1"/>
  <c r="G1948" i="1"/>
  <c r="G1947" i="1"/>
  <c r="G1946" i="1"/>
  <c r="G1945" i="1"/>
  <c r="G1944" i="1"/>
  <c r="G1943" i="1"/>
  <c r="G1942" i="1"/>
  <c r="G1941" i="1"/>
  <c r="G1940" i="1"/>
  <c r="G1939" i="1"/>
  <c r="G1938" i="1"/>
  <c r="G1937" i="1"/>
  <c r="G1936" i="1"/>
  <c r="G1935" i="1"/>
  <c r="G1934" i="1"/>
  <c r="G1933" i="1"/>
  <c r="G1932" i="1"/>
  <c r="G1931" i="1"/>
  <c r="G1930" i="1"/>
  <c r="G1929" i="1"/>
  <c r="G1928" i="1"/>
  <c r="G1927" i="1"/>
  <c r="G1926" i="1"/>
  <c r="G1925" i="1"/>
  <c r="G1924" i="1"/>
  <c r="G1923" i="1"/>
  <c r="G1922" i="1"/>
  <c r="G1921" i="1"/>
  <c r="G1920" i="1"/>
  <c r="G1919" i="1"/>
  <c r="G1918" i="1"/>
  <c r="G1917" i="1"/>
  <c r="G1916" i="1"/>
  <c r="G1915" i="1"/>
  <c r="G1914" i="1"/>
  <c r="G1913" i="1"/>
  <c r="G1912" i="1"/>
  <c r="G1911" i="1"/>
  <c r="G1910" i="1"/>
  <c r="G1909" i="1"/>
  <c r="G1908" i="1"/>
  <c r="G1907" i="1"/>
  <c r="G1906" i="1"/>
  <c r="G1905" i="1"/>
  <c r="G1904" i="1"/>
  <c r="G1903" i="1"/>
  <c r="G1902" i="1"/>
  <c r="G1901" i="1"/>
  <c r="G1900" i="1"/>
  <c r="G1899" i="1"/>
  <c r="G1898" i="1"/>
  <c r="G1897" i="1"/>
  <c r="G1896" i="1"/>
  <c r="G1895" i="1"/>
  <c r="G1894" i="1"/>
  <c r="G1893" i="1"/>
  <c r="G1892" i="1"/>
  <c r="G1891" i="1"/>
  <c r="G1890" i="1"/>
  <c r="G1889" i="1"/>
  <c r="G1888" i="1"/>
  <c r="G1887" i="1"/>
  <c r="G1886" i="1"/>
  <c r="G1885" i="1"/>
  <c r="G1884" i="1"/>
  <c r="G1883" i="1"/>
  <c r="G1882" i="1"/>
  <c r="G1881" i="1"/>
  <c r="G1880" i="1"/>
  <c r="G1879" i="1"/>
  <c r="G1878" i="1"/>
  <c r="G1877" i="1"/>
  <c r="G1876" i="1"/>
  <c r="G1875" i="1"/>
  <c r="G1874" i="1"/>
  <c r="G1873" i="1"/>
  <c r="G1872" i="1"/>
  <c r="G1871" i="1"/>
  <c r="G1870" i="1"/>
  <c r="G1869" i="1"/>
  <c r="G1868" i="1"/>
  <c r="G1867" i="1"/>
  <c r="G1866" i="1"/>
  <c r="G1865" i="1"/>
  <c r="G1864" i="1"/>
  <c r="G1863" i="1"/>
  <c r="G1862" i="1"/>
  <c r="G1861" i="1"/>
  <c r="G1860" i="1"/>
  <c r="G1859" i="1"/>
  <c r="G1858" i="1"/>
  <c r="G1857" i="1"/>
  <c r="G1856" i="1"/>
  <c r="G1855" i="1"/>
  <c r="G1854" i="1"/>
  <c r="G1853" i="1"/>
  <c r="G1852" i="1"/>
  <c r="G1851" i="1"/>
  <c r="G1850" i="1"/>
  <c r="G1849" i="1"/>
  <c r="G1848" i="1"/>
  <c r="G1847" i="1"/>
  <c r="G1846" i="1"/>
  <c r="G1845" i="1"/>
  <c r="G1844" i="1"/>
  <c r="G1843" i="1"/>
  <c r="G1842" i="1"/>
  <c r="G1841" i="1"/>
  <c r="G1840" i="1"/>
  <c r="G1839" i="1"/>
  <c r="G1838" i="1"/>
  <c r="G1837" i="1"/>
  <c r="G1836" i="1"/>
  <c r="G1835" i="1"/>
  <c r="G1834" i="1"/>
  <c r="G1833" i="1"/>
  <c r="G1832" i="1"/>
  <c r="G1831" i="1"/>
  <c r="G1830" i="1"/>
  <c r="G1829" i="1"/>
  <c r="G1828" i="1"/>
  <c r="G1827" i="1"/>
  <c r="G1826" i="1"/>
  <c r="G1825" i="1"/>
  <c r="G1824" i="1"/>
  <c r="G1823" i="1"/>
  <c r="G1822" i="1"/>
  <c r="G1821" i="1"/>
  <c r="G1820" i="1"/>
  <c r="G1819" i="1"/>
  <c r="G1818" i="1"/>
  <c r="G1817" i="1"/>
  <c r="G1816" i="1"/>
  <c r="G1815" i="1"/>
  <c r="G1814" i="1"/>
  <c r="G1813" i="1"/>
  <c r="G1812" i="1"/>
  <c r="G1811" i="1"/>
  <c r="G1810" i="1"/>
  <c r="G1809" i="1"/>
  <c r="G1808" i="1"/>
  <c r="G1807" i="1"/>
  <c r="G1806" i="1"/>
  <c r="G1805" i="1"/>
  <c r="G1804" i="1"/>
  <c r="G1803" i="1"/>
  <c r="G1802" i="1"/>
  <c r="G1801" i="1"/>
  <c r="G1800" i="1"/>
  <c r="G1799" i="1"/>
  <c r="G1798" i="1"/>
  <c r="G1797" i="1"/>
  <c r="G1796" i="1"/>
  <c r="G1795" i="1"/>
  <c r="G1794" i="1"/>
  <c r="G1793" i="1"/>
  <c r="G1792" i="1"/>
  <c r="G1791" i="1"/>
  <c r="G1790" i="1"/>
  <c r="G1789" i="1"/>
  <c r="G1788" i="1"/>
  <c r="G1787" i="1"/>
  <c r="G1786" i="1"/>
  <c r="G1785" i="1"/>
  <c r="G1784" i="1"/>
  <c r="G1783" i="1"/>
  <c r="G1782" i="1"/>
  <c r="G1781" i="1"/>
  <c r="G1780" i="1"/>
  <c r="G1779" i="1"/>
  <c r="G1778" i="1"/>
  <c r="G1777" i="1"/>
  <c r="G1776" i="1"/>
  <c r="G1775" i="1"/>
  <c r="G1774" i="1"/>
  <c r="G1773" i="1"/>
  <c r="G1772" i="1"/>
  <c r="G1771" i="1"/>
  <c r="G1770" i="1"/>
  <c r="G1769" i="1"/>
  <c r="G1768" i="1"/>
  <c r="G1767" i="1"/>
  <c r="G1766" i="1"/>
  <c r="G1765" i="1"/>
  <c r="G1764" i="1"/>
  <c r="G1763" i="1"/>
  <c r="G1762" i="1"/>
  <c r="G1761" i="1"/>
  <c r="G1760" i="1"/>
  <c r="G1759" i="1"/>
  <c r="G1758" i="1"/>
  <c r="G1757" i="1"/>
  <c r="G1756" i="1"/>
  <c r="G1755" i="1"/>
  <c r="G1754" i="1"/>
  <c r="G1753" i="1"/>
  <c r="G1752" i="1"/>
  <c r="G1751" i="1"/>
  <c r="G1750" i="1"/>
  <c r="G1749" i="1"/>
  <c r="G1748" i="1"/>
  <c r="G1747" i="1"/>
  <c r="G1746" i="1"/>
  <c r="G1745" i="1"/>
  <c r="G1744" i="1"/>
  <c r="G1743" i="1"/>
  <c r="G1742" i="1"/>
  <c r="G1741" i="1"/>
  <c r="G1740" i="1"/>
  <c r="G1739" i="1"/>
  <c r="G1738" i="1"/>
  <c r="G1737" i="1"/>
  <c r="G1736" i="1"/>
  <c r="G1735" i="1"/>
  <c r="G1734" i="1"/>
  <c r="G1733" i="1"/>
  <c r="G1732" i="1"/>
  <c r="G1731" i="1"/>
  <c r="G1730" i="1"/>
  <c r="G1729" i="1"/>
  <c r="G1728" i="1"/>
  <c r="G1727" i="1"/>
  <c r="G1726" i="1"/>
  <c r="G1725" i="1"/>
  <c r="G1724" i="1"/>
  <c r="G1723" i="1"/>
  <c r="G1722" i="1"/>
  <c r="G1721" i="1"/>
  <c r="G1720" i="1"/>
  <c r="G1719" i="1"/>
  <c r="G1718" i="1"/>
  <c r="G1717" i="1"/>
  <c r="G1716" i="1"/>
  <c r="G1715" i="1"/>
  <c r="G1714" i="1"/>
  <c r="G1713" i="1"/>
  <c r="G1712" i="1"/>
  <c r="G1711" i="1"/>
  <c r="G1710" i="1"/>
  <c r="G1709" i="1"/>
  <c r="G1708" i="1"/>
  <c r="G1707" i="1"/>
  <c r="G1706" i="1"/>
  <c r="G1705" i="1"/>
  <c r="G1704" i="1"/>
  <c r="G1703" i="1"/>
  <c r="G1702" i="1"/>
  <c r="G1701" i="1"/>
  <c r="G1700" i="1"/>
  <c r="G1699" i="1"/>
  <c r="G1698" i="1"/>
  <c r="G1697" i="1"/>
  <c r="G1696" i="1"/>
  <c r="G1695" i="1"/>
  <c r="G1694" i="1"/>
  <c r="G1693" i="1"/>
  <c r="G1692" i="1"/>
  <c r="G1691" i="1"/>
  <c r="G1690" i="1"/>
  <c r="G1689" i="1"/>
  <c r="G1688" i="1"/>
  <c r="G1687" i="1"/>
  <c r="G1686" i="1"/>
  <c r="G1685" i="1"/>
  <c r="G1684" i="1"/>
  <c r="G1683" i="1"/>
  <c r="G1682" i="1"/>
  <c r="G1681" i="1"/>
  <c r="G1680" i="1"/>
  <c r="G1679" i="1"/>
  <c r="G1678" i="1"/>
  <c r="G1677" i="1"/>
  <c r="G1676" i="1"/>
  <c r="G1675" i="1"/>
  <c r="G1674" i="1"/>
  <c r="G1673" i="1"/>
  <c r="G1672" i="1"/>
  <c r="G1671" i="1"/>
  <c r="G1670" i="1"/>
  <c r="G1669" i="1"/>
  <c r="G1668" i="1"/>
  <c r="G1667" i="1"/>
  <c r="G1666" i="1"/>
  <c r="G1665" i="1"/>
  <c r="G1664" i="1"/>
  <c r="G1663" i="1"/>
  <c r="G1662" i="1"/>
  <c r="G1661" i="1"/>
  <c r="G1660" i="1"/>
  <c r="G1659" i="1"/>
  <c r="G1658" i="1"/>
  <c r="G1657" i="1"/>
  <c r="G1656" i="1"/>
  <c r="G1655" i="1"/>
  <c r="G1654" i="1"/>
  <c r="G1653" i="1"/>
  <c r="G1652" i="1"/>
  <c r="G1651" i="1"/>
  <c r="G1650" i="1"/>
  <c r="G1649" i="1"/>
  <c r="G1648" i="1"/>
  <c r="G1647" i="1"/>
  <c r="G1646" i="1"/>
  <c r="G1645" i="1"/>
  <c r="G1644" i="1"/>
  <c r="G1643" i="1"/>
  <c r="G1642" i="1"/>
  <c r="G1641" i="1"/>
  <c r="G1640" i="1"/>
  <c r="G1639" i="1"/>
  <c r="G1638" i="1"/>
  <c r="G1637" i="1"/>
  <c r="G1636" i="1"/>
  <c r="G1635" i="1"/>
  <c r="G1634" i="1"/>
  <c r="G1633" i="1"/>
  <c r="G1632" i="1"/>
  <c r="G1631" i="1"/>
  <c r="G1630" i="1"/>
  <c r="G1629" i="1"/>
  <c r="G1628" i="1"/>
  <c r="G1627" i="1"/>
  <c r="G1626" i="1"/>
  <c r="G1625" i="1"/>
  <c r="G1624" i="1"/>
  <c r="G1623" i="1"/>
  <c r="G1622" i="1"/>
  <c r="G1621" i="1"/>
  <c r="G1620" i="1"/>
  <c r="G1619" i="1"/>
  <c r="G1618" i="1"/>
  <c r="G1617" i="1"/>
  <c r="G1616" i="1"/>
  <c r="G1615" i="1"/>
  <c r="G1614" i="1"/>
  <c r="G1613" i="1"/>
  <c r="G1612" i="1"/>
  <c r="G1611" i="1"/>
  <c r="G1610" i="1"/>
  <c r="G1609" i="1"/>
  <c r="G1608" i="1"/>
  <c r="G1607" i="1"/>
  <c r="G1606" i="1"/>
  <c r="G1605" i="1"/>
  <c r="G1604" i="1"/>
  <c r="G1603" i="1"/>
  <c r="G1602" i="1"/>
  <c r="G1601" i="1"/>
  <c r="G1600" i="1"/>
  <c r="G1599" i="1"/>
  <c r="G1598" i="1"/>
  <c r="G1597" i="1"/>
  <c r="G1596" i="1"/>
  <c r="G1595" i="1"/>
  <c r="G1594" i="1"/>
  <c r="G1593" i="1"/>
  <c r="G1592" i="1"/>
  <c r="G1591" i="1"/>
  <c r="G1590" i="1"/>
  <c r="G1589" i="1"/>
  <c r="G1588" i="1"/>
  <c r="G1587" i="1"/>
  <c r="G1586" i="1"/>
  <c r="G1585" i="1"/>
  <c r="G1584" i="1"/>
  <c r="G1583" i="1"/>
  <c r="G1582" i="1"/>
  <c r="G1581" i="1"/>
  <c r="G1580" i="1"/>
  <c r="G1579" i="1"/>
  <c r="G1578" i="1"/>
  <c r="G1577" i="1"/>
  <c r="G1576" i="1"/>
  <c r="G1575" i="1"/>
  <c r="G1574" i="1"/>
  <c r="G1573" i="1"/>
  <c r="G1572" i="1"/>
  <c r="G1571" i="1"/>
  <c r="G1570" i="1"/>
  <c r="G1569" i="1"/>
  <c r="G1568" i="1"/>
  <c r="G1567" i="1"/>
  <c r="G1566" i="1"/>
  <c r="G1565" i="1"/>
  <c r="G1564" i="1"/>
  <c r="G1563" i="1"/>
  <c r="G1562" i="1"/>
  <c r="G1561" i="1"/>
  <c r="G1560" i="1"/>
  <c r="G1559" i="1"/>
  <c r="G1558" i="1"/>
  <c r="G1557" i="1"/>
  <c r="G1556" i="1"/>
  <c r="G1555" i="1"/>
  <c r="G1554" i="1"/>
  <c r="G1553" i="1"/>
  <c r="G1552" i="1"/>
  <c r="G1551" i="1"/>
  <c r="G1550" i="1"/>
  <c r="G1549" i="1"/>
  <c r="G1548" i="1"/>
  <c r="G1547" i="1"/>
  <c r="G1546" i="1"/>
  <c r="G1545" i="1"/>
  <c r="G1544" i="1"/>
  <c r="G1543" i="1"/>
  <c r="G1542" i="1"/>
  <c r="G1541" i="1"/>
  <c r="G1540" i="1"/>
  <c r="G1539" i="1"/>
  <c r="G1538" i="1"/>
  <c r="G1537" i="1"/>
  <c r="G1536" i="1"/>
  <c r="G1535" i="1"/>
  <c r="G1534" i="1"/>
  <c r="G1533" i="1"/>
  <c r="G1532" i="1"/>
  <c r="G1531" i="1"/>
  <c r="G1530" i="1"/>
  <c r="G1529" i="1"/>
  <c r="G1528" i="1"/>
  <c r="G1527" i="1"/>
  <c r="G1526" i="1"/>
  <c r="G1525" i="1"/>
  <c r="G1524" i="1"/>
  <c r="G1523" i="1"/>
  <c r="G1522" i="1"/>
  <c r="G1521" i="1"/>
  <c r="G1520" i="1"/>
  <c r="G1519" i="1"/>
  <c r="G1518" i="1"/>
  <c r="G1517" i="1"/>
  <c r="G1516" i="1"/>
  <c r="G1515" i="1"/>
  <c r="G1514" i="1"/>
  <c r="G1513" i="1"/>
  <c r="G1512" i="1"/>
  <c r="G1511" i="1"/>
  <c r="G1510" i="1"/>
  <c r="G1509" i="1"/>
  <c r="G1508" i="1"/>
  <c r="G1507" i="1"/>
  <c r="G1506" i="1"/>
  <c r="G1505" i="1"/>
  <c r="G1504" i="1"/>
  <c r="G1503" i="1"/>
  <c r="G1502" i="1"/>
  <c r="G1501" i="1"/>
  <c r="G1500" i="1"/>
  <c r="G1499" i="1"/>
  <c r="G1498" i="1"/>
  <c r="G1497" i="1"/>
  <c r="G1496" i="1"/>
  <c r="G1495" i="1"/>
  <c r="G1494" i="1"/>
  <c r="G1493" i="1"/>
  <c r="G1492" i="1"/>
  <c r="G1491" i="1"/>
  <c r="G1490" i="1"/>
  <c r="G1489" i="1"/>
  <c r="G1488" i="1"/>
  <c r="G1487" i="1"/>
  <c r="G1486" i="1"/>
  <c r="G1485" i="1"/>
  <c r="G1484" i="1"/>
  <c r="G1483" i="1"/>
  <c r="G1482" i="1"/>
  <c r="G1481" i="1"/>
  <c r="G1480" i="1"/>
  <c r="G1479" i="1"/>
  <c r="G1478" i="1"/>
  <c r="G1477" i="1"/>
  <c r="G1476" i="1"/>
  <c r="G1475" i="1"/>
  <c r="G1474" i="1"/>
  <c r="G1473" i="1"/>
  <c r="G1472" i="1"/>
  <c r="G1471" i="1"/>
  <c r="G1470" i="1"/>
  <c r="G1469" i="1"/>
  <c r="G1468" i="1"/>
  <c r="G1467" i="1"/>
  <c r="G1466" i="1"/>
  <c r="G1465" i="1"/>
  <c r="G1464" i="1"/>
  <c r="G1463" i="1"/>
  <c r="G1462" i="1"/>
  <c r="G1461" i="1"/>
  <c r="G1460" i="1"/>
  <c r="G1459" i="1"/>
  <c r="G1458" i="1"/>
  <c r="G1457" i="1"/>
  <c r="G1456" i="1"/>
  <c r="G1455" i="1"/>
  <c r="G1454" i="1"/>
  <c r="G1453" i="1"/>
  <c r="G1452" i="1"/>
  <c r="G1451" i="1"/>
  <c r="G1450" i="1"/>
  <c r="G1449" i="1"/>
  <c r="G1448" i="1"/>
  <c r="G1447" i="1"/>
  <c r="G1446" i="1"/>
  <c r="G1445" i="1"/>
  <c r="G1444" i="1"/>
  <c r="G1443" i="1"/>
  <c r="G1442" i="1"/>
  <c r="G1441" i="1"/>
  <c r="G1440" i="1"/>
  <c r="G1439" i="1"/>
  <c r="G1438" i="1"/>
  <c r="G1437" i="1"/>
  <c r="G1436" i="1"/>
  <c r="G1435" i="1"/>
  <c r="G1434" i="1"/>
  <c r="G1433" i="1"/>
  <c r="G1432" i="1"/>
  <c r="G1431" i="1"/>
  <c r="G1430" i="1"/>
  <c r="G1429" i="1"/>
  <c r="G1428" i="1"/>
  <c r="G1427" i="1"/>
  <c r="G1426" i="1"/>
  <c r="G1425" i="1"/>
  <c r="G1424" i="1"/>
  <c r="G1423" i="1"/>
  <c r="G1422" i="1"/>
  <c r="G1421" i="1"/>
  <c r="G1420" i="1"/>
  <c r="G1419" i="1"/>
  <c r="G1418" i="1"/>
  <c r="G1417" i="1"/>
  <c r="G1416" i="1"/>
  <c r="G1415" i="1"/>
  <c r="G1414" i="1"/>
  <c r="G1413" i="1"/>
  <c r="G1412" i="1"/>
  <c r="G1411" i="1"/>
  <c r="G1410" i="1"/>
  <c r="G1409" i="1"/>
  <c r="G1408" i="1"/>
  <c r="G1407" i="1"/>
  <c r="G1406" i="1"/>
  <c r="G1405" i="1"/>
  <c r="G1404" i="1"/>
  <c r="G1403" i="1"/>
  <c r="G1402" i="1"/>
  <c r="G1401" i="1"/>
  <c r="G1400" i="1"/>
  <c r="G1399" i="1"/>
  <c r="G1398" i="1"/>
  <c r="G1397" i="1"/>
  <c r="G1396" i="1"/>
  <c r="G1395" i="1"/>
  <c r="G1394" i="1"/>
  <c r="G1393" i="1"/>
  <c r="G1392" i="1"/>
  <c r="G1391" i="1"/>
  <c r="G1390" i="1"/>
  <c r="G1389" i="1"/>
  <c r="G1388" i="1"/>
  <c r="G1387" i="1"/>
  <c r="G1386" i="1"/>
  <c r="G1385" i="1"/>
  <c r="G1384" i="1"/>
  <c r="G1383" i="1"/>
  <c r="G1382" i="1"/>
  <c r="G1381" i="1"/>
  <c r="G1380" i="1"/>
  <c r="G1379" i="1"/>
  <c r="G1378" i="1"/>
  <c r="G1377" i="1"/>
  <c r="G1376" i="1"/>
  <c r="G1375" i="1"/>
  <c r="G1374" i="1"/>
  <c r="G1373" i="1"/>
  <c r="G1372" i="1"/>
  <c r="G1371" i="1"/>
  <c r="G1370" i="1"/>
  <c r="G1369" i="1"/>
  <c r="G1368" i="1"/>
  <c r="G1367" i="1"/>
  <c r="G1366" i="1"/>
  <c r="G1365" i="1"/>
  <c r="G1364" i="1"/>
  <c r="G1363" i="1"/>
  <c r="G1362" i="1"/>
  <c r="G1361" i="1"/>
  <c r="G1360" i="1"/>
  <c r="G1359" i="1"/>
  <c r="G1358" i="1"/>
  <c r="G1357" i="1"/>
  <c r="G1356" i="1"/>
  <c r="G1355" i="1"/>
  <c r="G1354" i="1"/>
  <c r="G1353" i="1"/>
  <c r="G1352" i="1"/>
  <c r="G1351" i="1"/>
  <c r="G1350" i="1"/>
  <c r="G1349" i="1"/>
  <c r="G1348" i="1"/>
  <c r="G1347" i="1"/>
  <c r="G1346" i="1"/>
  <c r="G1345" i="1"/>
  <c r="G1344" i="1"/>
  <c r="G1343" i="1"/>
  <c r="G1342" i="1"/>
  <c r="G1341" i="1"/>
  <c r="G1340" i="1"/>
  <c r="G1339" i="1"/>
  <c r="G1338" i="1"/>
  <c r="G1337" i="1"/>
  <c r="G1336" i="1"/>
  <c r="G1335" i="1"/>
  <c r="G1334" i="1"/>
  <c r="G1333" i="1"/>
  <c r="G1332" i="1"/>
  <c r="G1331" i="1"/>
  <c r="G1330" i="1"/>
  <c r="G1329" i="1"/>
  <c r="G1328" i="1"/>
  <c r="G1327" i="1"/>
  <c r="G1326" i="1"/>
  <c r="G1325" i="1"/>
  <c r="G1324" i="1"/>
  <c r="G1323" i="1"/>
  <c r="G1322" i="1"/>
  <c r="G1321" i="1"/>
  <c r="G1320" i="1"/>
  <c r="G1319" i="1"/>
  <c r="G1318" i="1"/>
  <c r="G1317" i="1"/>
  <c r="G1316" i="1"/>
  <c r="G1315" i="1"/>
  <c r="G1314" i="1"/>
  <c r="G1313" i="1"/>
  <c r="G1312" i="1"/>
  <c r="G1311" i="1"/>
  <c r="G1310" i="1"/>
  <c r="G1309" i="1"/>
  <c r="G1308" i="1"/>
  <c r="G1307" i="1"/>
  <c r="G1306" i="1"/>
  <c r="G1305" i="1"/>
  <c r="G1304" i="1"/>
  <c r="G1303" i="1"/>
  <c r="G1302" i="1"/>
  <c r="G1301" i="1"/>
  <c r="G1300" i="1"/>
  <c r="G1299" i="1"/>
  <c r="G1298" i="1"/>
  <c r="G1297" i="1"/>
  <c r="G1296" i="1"/>
  <c r="G1295" i="1"/>
  <c r="G1294" i="1"/>
  <c r="G1293" i="1"/>
  <c r="G1292" i="1"/>
  <c r="G1291" i="1"/>
  <c r="G1290" i="1"/>
  <c r="G1289" i="1"/>
  <c r="G1288" i="1"/>
  <c r="G1287" i="1"/>
  <c r="G1286" i="1"/>
  <c r="G1285" i="1"/>
  <c r="G1284" i="1"/>
  <c r="G1283" i="1"/>
  <c r="G1282" i="1"/>
  <c r="G1281" i="1"/>
  <c r="G1280" i="1"/>
  <c r="G1279" i="1"/>
  <c r="G1278" i="1"/>
  <c r="G1277" i="1"/>
  <c r="G1276" i="1"/>
  <c r="G1275" i="1"/>
  <c r="G1274" i="1"/>
  <c r="G1273" i="1"/>
  <c r="G1272" i="1"/>
  <c r="G1271" i="1"/>
  <c r="G1270" i="1"/>
  <c r="G1269" i="1"/>
  <c r="G1268" i="1"/>
  <c r="G1267" i="1"/>
  <c r="G1266" i="1"/>
  <c r="G1265" i="1"/>
  <c r="G1264" i="1"/>
  <c r="G1263" i="1"/>
  <c r="G1262" i="1"/>
  <c r="G1261" i="1"/>
  <c r="G1260" i="1"/>
  <c r="G1259" i="1"/>
  <c r="G1258" i="1"/>
  <c r="G1257" i="1"/>
  <c r="G1256" i="1"/>
  <c r="G1255" i="1"/>
  <c r="G1254" i="1"/>
  <c r="G1253" i="1"/>
  <c r="G1252" i="1"/>
  <c r="G1251" i="1"/>
  <c r="G1250" i="1"/>
  <c r="G1249" i="1"/>
  <c r="G1248" i="1"/>
  <c r="G1247" i="1"/>
  <c r="G1246" i="1"/>
  <c r="G1245" i="1"/>
  <c r="G1244" i="1"/>
  <c r="G1243" i="1"/>
  <c r="G1242" i="1"/>
  <c r="G1241" i="1"/>
  <c r="G1240" i="1"/>
  <c r="G1239" i="1"/>
  <c r="G1238" i="1"/>
  <c r="G1237" i="1"/>
  <c r="G1236" i="1"/>
  <c r="G1235" i="1"/>
  <c r="G1234" i="1"/>
  <c r="G1233" i="1"/>
  <c r="G1232" i="1"/>
  <c r="G1231" i="1"/>
  <c r="G1230" i="1"/>
  <c r="G1229" i="1"/>
  <c r="G1228" i="1"/>
  <c r="G1227" i="1"/>
  <c r="G1226" i="1"/>
  <c r="G1225" i="1"/>
  <c r="G1224" i="1"/>
  <c r="G1223" i="1"/>
  <c r="G1222" i="1"/>
  <c r="G1221" i="1"/>
  <c r="G1220" i="1"/>
  <c r="G1219" i="1"/>
  <c r="G1218" i="1"/>
  <c r="G1217" i="1"/>
  <c r="G1216" i="1"/>
  <c r="G1215" i="1"/>
  <c r="G1214" i="1"/>
  <c r="G1213" i="1"/>
  <c r="G1212" i="1"/>
  <c r="G1211" i="1"/>
  <c r="G1210" i="1"/>
  <c r="G1209" i="1"/>
  <c r="G1208" i="1"/>
  <c r="G1207" i="1"/>
  <c r="G1206" i="1"/>
  <c r="G1205" i="1"/>
  <c r="G1204" i="1"/>
  <c r="G1203" i="1"/>
  <c r="G1202" i="1"/>
  <c r="G1201" i="1"/>
  <c r="G1200" i="1"/>
  <c r="G1199" i="1"/>
  <c r="G1198" i="1"/>
  <c r="G1197" i="1"/>
  <c r="G1196" i="1"/>
  <c r="G1195" i="1"/>
  <c r="G1194" i="1"/>
  <c r="G1193" i="1"/>
  <c r="G1192" i="1"/>
  <c r="G1191" i="1"/>
  <c r="G1190" i="1"/>
  <c r="G1189" i="1"/>
  <c r="G1188" i="1"/>
  <c r="G1187" i="1"/>
  <c r="G1186" i="1"/>
  <c r="G1185" i="1"/>
  <c r="G1184" i="1"/>
  <c r="G1183" i="1"/>
  <c r="G1182" i="1"/>
  <c r="G1181" i="1"/>
  <c r="G1180" i="1"/>
  <c r="G1179" i="1"/>
  <c r="G1178" i="1"/>
  <c r="G1177" i="1"/>
  <c r="G1176" i="1"/>
  <c r="G1175" i="1"/>
  <c r="G1174" i="1"/>
  <c r="G1173" i="1"/>
  <c r="G1172" i="1"/>
  <c r="G1171" i="1"/>
  <c r="G1170" i="1"/>
  <c r="G1169" i="1"/>
  <c r="G1168" i="1"/>
  <c r="G1167" i="1"/>
  <c r="G1166" i="1"/>
  <c r="G1165" i="1"/>
  <c r="G1164" i="1"/>
  <c r="G1163" i="1"/>
  <c r="G1162" i="1"/>
  <c r="G1161" i="1"/>
  <c r="G1160" i="1"/>
  <c r="G1159" i="1"/>
  <c r="G1158" i="1"/>
  <c r="G1157" i="1"/>
  <c r="G1156" i="1"/>
  <c r="G1155" i="1"/>
  <c r="G1154" i="1"/>
  <c r="G1153" i="1"/>
  <c r="G1152" i="1"/>
  <c r="G1151" i="1"/>
  <c r="G1150" i="1"/>
  <c r="G1149" i="1"/>
  <c r="G1148" i="1"/>
  <c r="G1147" i="1"/>
  <c r="G1146" i="1"/>
  <c r="G1145" i="1"/>
  <c r="G1144" i="1"/>
  <c r="G1143" i="1"/>
  <c r="G1142" i="1"/>
  <c r="G1141" i="1"/>
  <c r="G1140" i="1"/>
  <c r="G1139" i="1"/>
  <c r="G1138" i="1"/>
  <c r="G1137" i="1"/>
  <c r="G1136" i="1"/>
  <c r="G1135" i="1"/>
  <c r="G1134" i="1"/>
  <c r="G1133" i="1"/>
  <c r="G1132" i="1"/>
  <c r="G1131" i="1"/>
  <c r="G1130" i="1"/>
  <c r="G1129" i="1"/>
  <c r="G1128" i="1"/>
  <c r="G1127" i="1"/>
  <c r="G1126" i="1"/>
  <c r="G1125" i="1"/>
  <c r="G1124" i="1"/>
  <c r="G1123" i="1"/>
  <c r="G1122" i="1"/>
  <c r="G1121" i="1"/>
  <c r="G1120" i="1"/>
  <c r="G1119" i="1"/>
  <c r="G1118" i="1"/>
  <c r="G1117" i="1"/>
  <c r="G1116" i="1"/>
  <c r="G1115" i="1"/>
  <c r="G1114" i="1"/>
  <c r="G1113" i="1"/>
  <c r="G1112" i="1"/>
  <c r="G1111" i="1"/>
  <c r="G1110" i="1"/>
  <c r="G1109" i="1"/>
  <c r="G1108" i="1"/>
  <c r="G1107" i="1"/>
  <c r="G1106" i="1"/>
  <c r="G1105" i="1"/>
  <c r="G1104" i="1"/>
  <c r="G1103" i="1"/>
  <c r="G1102" i="1"/>
  <c r="G1101" i="1"/>
  <c r="G1100" i="1"/>
  <c r="G1099" i="1"/>
  <c r="G1098" i="1"/>
  <c r="G1097" i="1"/>
  <c r="G1096" i="1"/>
  <c r="G1095" i="1"/>
  <c r="G1094" i="1"/>
  <c r="G1093" i="1"/>
  <c r="G1092" i="1"/>
  <c r="G1091" i="1"/>
  <c r="G1090" i="1"/>
  <c r="G1089" i="1"/>
  <c r="G1088" i="1"/>
  <c r="G1087" i="1"/>
  <c r="G1086" i="1"/>
  <c r="G1085" i="1"/>
  <c r="G1084" i="1"/>
  <c r="G1083" i="1"/>
  <c r="G1082" i="1"/>
  <c r="G1081" i="1"/>
  <c r="G1080" i="1"/>
  <c r="G1079" i="1"/>
  <c r="G1078" i="1"/>
  <c r="G1077" i="1"/>
  <c r="G1076" i="1"/>
  <c r="G1075" i="1"/>
  <c r="G1074" i="1"/>
  <c r="G1073" i="1"/>
  <c r="G1072" i="1"/>
  <c r="G1071" i="1"/>
  <c r="G1070" i="1"/>
  <c r="G1069" i="1"/>
  <c r="G1068" i="1"/>
  <c r="G1067" i="1"/>
  <c r="G1066" i="1"/>
  <c r="G1065" i="1"/>
  <c r="G1064" i="1"/>
  <c r="G1063" i="1"/>
  <c r="G1062" i="1"/>
  <c r="G1061" i="1"/>
  <c r="G1060" i="1"/>
  <c r="G1059" i="1"/>
  <c r="G1058" i="1"/>
  <c r="G1057" i="1"/>
  <c r="G1056" i="1"/>
  <c r="G1055" i="1"/>
  <c r="G1054" i="1"/>
  <c r="G1053" i="1"/>
  <c r="G1052" i="1"/>
  <c r="G1051" i="1"/>
  <c r="G1050" i="1"/>
  <c r="G1049" i="1"/>
  <c r="G1048" i="1"/>
  <c r="G1047" i="1"/>
  <c r="G1046" i="1"/>
  <c r="G1045" i="1"/>
  <c r="G1044" i="1"/>
  <c r="G1043" i="1"/>
  <c r="G1042" i="1"/>
  <c r="G1041" i="1"/>
  <c r="G1040" i="1"/>
  <c r="G1039" i="1"/>
  <c r="G1038" i="1"/>
  <c r="G1037" i="1"/>
  <c r="G1036" i="1"/>
  <c r="G1035" i="1"/>
  <c r="G1034" i="1"/>
  <c r="G1033" i="1"/>
  <c r="G1032" i="1"/>
  <c r="G1031" i="1"/>
  <c r="G1030" i="1"/>
  <c r="G1029" i="1"/>
  <c r="G1028" i="1"/>
  <c r="G1027" i="1"/>
  <c r="G1026" i="1"/>
  <c r="G1025" i="1"/>
  <c r="G1024" i="1"/>
  <c r="G1023" i="1"/>
  <c r="G1022" i="1"/>
  <c r="G1021" i="1"/>
  <c r="G1020" i="1"/>
  <c r="G1019" i="1"/>
  <c r="G1018" i="1"/>
  <c r="G1017" i="1"/>
  <c r="G1016" i="1"/>
  <c r="G1015" i="1"/>
  <c r="G1014" i="1"/>
  <c r="G1013" i="1"/>
  <c r="G1012" i="1"/>
  <c r="G1011" i="1"/>
  <c r="G1010" i="1"/>
  <c r="G1009" i="1"/>
  <c r="G1008" i="1"/>
  <c r="G1007" i="1"/>
  <c r="G1006" i="1"/>
  <c r="G1005" i="1"/>
  <c r="G1004" i="1"/>
  <c r="G1003" i="1"/>
  <c r="G1002" i="1"/>
  <c r="G1001" i="1"/>
  <c r="G1000" i="1"/>
  <c r="G999" i="1"/>
  <c r="G998" i="1"/>
  <c r="G997" i="1"/>
  <c r="G996" i="1"/>
  <c r="G995" i="1"/>
  <c r="G994" i="1"/>
  <c r="G993" i="1"/>
  <c r="G992" i="1"/>
  <c r="G991" i="1"/>
  <c r="G990" i="1"/>
  <c r="G989" i="1"/>
  <c r="G988" i="1"/>
  <c r="G987" i="1"/>
  <c r="G986" i="1"/>
  <c r="G985" i="1"/>
  <c r="G984" i="1"/>
  <c r="G983" i="1"/>
  <c r="G982" i="1"/>
  <c r="G981" i="1"/>
  <c r="G980" i="1"/>
  <c r="G979" i="1"/>
  <c r="G978" i="1"/>
  <c r="G977" i="1"/>
  <c r="G976" i="1"/>
  <c r="G975" i="1"/>
  <c r="G974" i="1"/>
  <c r="G973" i="1"/>
  <c r="G972" i="1"/>
  <c r="G971" i="1"/>
  <c r="G970" i="1"/>
  <c r="G969" i="1"/>
  <c r="G968" i="1"/>
  <c r="G967" i="1"/>
  <c r="G966" i="1"/>
  <c r="G965" i="1"/>
  <c r="G964" i="1"/>
  <c r="G963" i="1"/>
  <c r="G962" i="1"/>
  <c r="G961" i="1"/>
  <c r="G960" i="1"/>
  <c r="G959" i="1"/>
  <c r="G958" i="1"/>
  <c r="G957" i="1"/>
  <c r="G956" i="1"/>
  <c r="G955" i="1"/>
  <c r="G954" i="1"/>
  <c r="G953" i="1"/>
  <c r="G952" i="1"/>
  <c r="G951" i="1"/>
  <c r="G950" i="1"/>
  <c r="G949" i="1"/>
  <c r="G948" i="1"/>
  <c r="G947" i="1"/>
  <c r="G946" i="1"/>
  <c r="G945" i="1"/>
  <c r="G944" i="1"/>
  <c r="G943" i="1"/>
  <c r="G942" i="1"/>
  <c r="G941" i="1"/>
  <c r="G940" i="1"/>
  <c r="G939" i="1"/>
  <c r="G938" i="1"/>
  <c r="G937" i="1"/>
  <c r="G936" i="1"/>
  <c r="G935" i="1"/>
  <c r="G934" i="1"/>
  <c r="G933" i="1"/>
  <c r="G932" i="1"/>
  <c r="G931" i="1"/>
  <c r="G930" i="1"/>
  <c r="G929" i="1"/>
  <c r="G928" i="1"/>
  <c r="G927" i="1"/>
  <c r="G926" i="1"/>
  <c r="G925" i="1"/>
  <c r="G924" i="1"/>
  <c r="G923" i="1"/>
  <c r="G922" i="1"/>
  <c r="G921" i="1"/>
  <c r="G920" i="1"/>
  <c r="G919" i="1"/>
  <c r="G918" i="1"/>
  <c r="G917" i="1"/>
  <c r="G916" i="1"/>
  <c r="G915" i="1"/>
  <c r="G914" i="1"/>
  <c r="G913" i="1"/>
  <c r="G912" i="1"/>
  <c r="G911" i="1"/>
  <c r="G910" i="1"/>
  <c r="G909" i="1"/>
  <c r="G908" i="1"/>
  <c r="G907" i="1"/>
  <c r="G906" i="1"/>
  <c r="G905" i="1"/>
  <c r="G904" i="1"/>
  <c r="G903" i="1"/>
  <c r="G902" i="1"/>
  <c r="G901" i="1"/>
  <c r="G900" i="1"/>
  <c r="G899" i="1"/>
  <c r="G898" i="1"/>
  <c r="G897" i="1"/>
  <c r="G896" i="1"/>
  <c r="G895" i="1"/>
  <c r="G894" i="1"/>
  <c r="G893" i="1"/>
  <c r="G892" i="1"/>
  <c r="G891" i="1"/>
  <c r="G890" i="1"/>
  <c r="G889" i="1"/>
  <c r="G888" i="1"/>
  <c r="G887" i="1"/>
  <c r="G886" i="1"/>
  <c r="G885" i="1"/>
  <c r="G884" i="1"/>
  <c r="G883" i="1"/>
  <c r="G882" i="1"/>
  <c r="G881" i="1"/>
  <c r="G880" i="1"/>
  <c r="G879" i="1"/>
  <c r="G878" i="1"/>
  <c r="G877" i="1"/>
  <c r="G876" i="1"/>
  <c r="G875" i="1"/>
  <c r="G874" i="1"/>
  <c r="G873" i="1"/>
  <c r="G872" i="1"/>
  <c r="G871" i="1"/>
  <c r="G870" i="1"/>
  <c r="G869" i="1"/>
  <c r="G868" i="1"/>
  <c r="G867" i="1"/>
  <c r="G866" i="1"/>
  <c r="G865" i="1"/>
  <c r="G864" i="1"/>
  <c r="G863" i="1"/>
  <c r="G862" i="1"/>
  <c r="G861" i="1"/>
  <c r="G860" i="1"/>
  <c r="G859" i="1"/>
  <c r="G858" i="1"/>
  <c r="G857" i="1"/>
  <c r="G856" i="1"/>
  <c r="G855" i="1"/>
  <c r="G854" i="1"/>
  <c r="G853" i="1"/>
  <c r="G852" i="1"/>
  <c r="G851" i="1"/>
  <c r="G850" i="1"/>
  <c r="G849" i="1"/>
  <c r="G848" i="1"/>
  <c r="G847" i="1"/>
  <c r="G846" i="1"/>
  <c r="G845" i="1"/>
  <c r="G844" i="1"/>
  <c r="G843" i="1"/>
  <c r="G842" i="1"/>
  <c r="G841" i="1"/>
  <c r="G840" i="1"/>
  <c r="G839" i="1"/>
  <c r="G838" i="1"/>
  <c r="G837" i="1"/>
  <c r="G836" i="1"/>
  <c r="G835" i="1"/>
  <c r="G834" i="1"/>
  <c r="G833" i="1"/>
  <c r="G832" i="1"/>
  <c r="G831" i="1"/>
  <c r="G830" i="1"/>
  <c r="G829" i="1"/>
  <c r="G828" i="1"/>
  <c r="G827" i="1"/>
  <c r="G826" i="1"/>
  <c r="G825" i="1"/>
  <c r="G824" i="1"/>
  <c r="G823" i="1"/>
  <c r="G822" i="1"/>
  <c r="G821" i="1"/>
  <c r="G820" i="1"/>
  <c r="G819" i="1"/>
  <c r="G818" i="1"/>
  <c r="G817" i="1"/>
  <c r="G816" i="1"/>
  <c r="G815" i="1"/>
  <c r="G814" i="1"/>
  <c r="G813" i="1"/>
  <c r="G812" i="1"/>
  <c r="G811" i="1"/>
  <c r="G810" i="1"/>
  <c r="G809" i="1"/>
  <c r="G808" i="1"/>
  <c r="G807" i="1"/>
  <c r="G806" i="1"/>
  <c r="G805" i="1"/>
  <c r="G804" i="1"/>
  <c r="G803" i="1"/>
  <c r="G802" i="1"/>
  <c r="G801" i="1"/>
  <c r="G800" i="1"/>
  <c r="G799" i="1"/>
  <c r="G798" i="1"/>
  <c r="G797" i="1"/>
  <c r="G796" i="1"/>
  <c r="G795" i="1"/>
  <c r="G794" i="1"/>
  <c r="G793" i="1"/>
  <c r="G792" i="1"/>
  <c r="G791" i="1"/>
  <c r="G790" i="1"/>
  <c r="G789" i="1"/>
  <c r="G788" i="1"/>
  <c r="G787" i="1"/>
  <c r="G786" i="1"/>
  <c r="G785" i="1"/>
  <c r="G784" i="1"/>
  <c r="G783" i="1"/>
  <c r="G782" i="1"/>
  <c r="G781" i="1"/>
  <c r="G780" i="1"/>
  <c r="G779" i="1"/>
  <c r="G778" i="1"/>
  <c r="G777" i="1"/>
  <c r="G776" i="1"/>
  <c r="G775" i="1"/>
  <c r="G774" i="1"/>
  <c r="G773" i="1"/>
  <c r="G772" i="1"/>
  <c r="G771" i="1"/>
  <c r="G770" i="1"/>
  <c r="G769" i="1"/>
  <c r="G768" i="1"/>
  <c r="G767" i="1"/>
  <c r="G766" i="1"/>
  <c r="G765" i="1"/>
  <c r="G764" i="1"/>
  <c r="G763" i="1"/>
  <c r="G762" i="1"/>
  <c r="G761" i="1"/>
  <c r="G760" i="1"/>
  <c r="G759" i="1"/>
  <c r="G758" i="1"/>
  <c r="G757" i="1"/>
  <c r="G756" i="1"/>
  <c r="G755" i="1"/>
  <c r="G754" i="1"/>
  <c r="G753" i="1"/>
  <c r="G752" i="1"/>
  <c r="G751" i="1"/>
  <c r="G750" i="1"/>
  <c r="G749" i="1"/>
  <c r="G748" i="1"/>
  <c r="G747" i="1"/>
  <c r="G746" i="1"/>
  <c r="G745" i="1"/>
  <c r="G744" i="1"/>
  <c r="G743" i="1"/>
  <c r="G742" i="1"/>
  <c r="G741" i="1"/>
  <c r="G740" i="1"/>
  <c r="G739" i="1"/>
  <c r="G738" i="1"/>
  <c r="G737" i="1"/>
  <c r="G736" i="1"/>
  <c r="G735" i="1"/>
  <c r="G734" i="1"/>
  <c r="G733" i="1"/>
  <c r="G732" i="1"/>
  <c r="G731" i="1"/>
  <c r="G730" i="1"/>
  <c r="G729" i="1"/>
  <c r="G728" i="1"/>
  <c r="G727" i="1"/>
  <c r="G726" i="1"/>
  <c r="G725" i="1"/>
  <c r="G724" i="1"/>
  <c r="G723" i="1"/>
  <c r="G722" i="1"/>
  <c r="G721" i="1"/>
  <c r="G720" i="1"/>
  <c r="G719" i="1"/>
  <c r="G718" i="1"/>
  <c r="G717" i="1"/>
  <c r="G716" i="1"/>
  <c r="G715" i="1"/>
  <c r="G714" i="1"/>
  <c r="G713" i="1"/>
  <c r="G712" i="1"/>
  <c r="G711" i="1"/>
  <c r="G710" i="1"/>
  <c r="G709" i="1"/>
  <c r="G708" i="1"/>
  <c r="G707" i="1"/>
  <c r="G706" i="1"/>
  <c r="G705" i="1"/>
  <c r="G704" i="1"/>
  <c r="G703" i="1"/>
  <c r="G702" i="1"/>
  <c r="G701" i="1"/>
  <c r="G700" i="1"/>
  <c r="G699" i="1"/>
  <c r="G698" i="1"/>
  <c r="G697" i="1"/>
  <c r="G696" i="1"/>
  <c r="G695" i="1"/>
  <c r="G694" i="1"/>
  <c r="G693" i="1"/>
  <c r="G692" i="1"/>
  <c r="G691" i="1"/>
  <c r="G690" i="1"/>
  <c r="G689" i="1"/>
  <c r="G688" i="1"/>
  <c r="G687" i="1"/>
  <c r="G686" i="1"/>
  <c r="G685" i="1"/>
  <c r="G684" i="1"/>
  <c r="G683" i="1"/>
  <c r="G682" i="1"/>
  <c r="G681" i="1"/>
  <c r="G680" i="1"/>
  <c r="G679" i="1"/>
  <c r="G678" i="1"/>
  <c r="G677" i="1"/>
  <c r="G676" i="1"/>
  <c r="G675" i="1"/>
  <c r="G674" i="1"/>
  <c r="G673" i="1"/>
  <c r="G672" i="1"/>
  <c r="G671" i="1"/>
  <c r="G670" i="1"/>
  <c r="G669" i="1"/>
  <c r="G668" i="1"/>
  <c r="G667" i="1"/>
  <c r="G666" i="1"/>
  <c r="G665" i="1"/>
  <c r="G664" i="1"/>
  <c r="G663" i="1"/>
  <c r="G662" i="1"/>
  <c r="G661" i="1"/>
  <c r="G660" i="1"/>
  <c r="G659" i="1"/>
  <c r="G658" i="1"/>
  <c r="G657" i="1"/>
  <c r="G656" i="1"/>
  <c r="G655" i="1"/>
  <c r="G654" i="1"/>
  <c r="G653" i="1"/>
  <c r="G652" i="1"/>
  <c r="G651" i="1"/>
  <c r="G650" i="1"/>
  <c r="G649" i="1"/>
  <c r="G648" i="1"/>
  <c r="G647" i="1"/>
  <c r="G646" i="1"/>
  <c r="G645" i="1"/>
  <c r="G644" i="1"/>
  <c r="G643" i="1"/>
  <c r="G642" i="1"/>
  <c r="G641" i="1"/>
  <c r="G640" i="1"/>
  <c r="G639" i="1"/>
  <c r="G638" i="1"/>
  <c r="G637" i="1"/>
  <c r="G636" i="1"/>
  <c r="G635"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8" i="1"/>
  <c r="G607" i="1"/>
  <c r="G606" i="1"/>
  <c r="G605" i="1"/>
  <c r="G604" i="1"/>
  <c r="G603" i="1"/>
  <c r="G602" i="1"/>
  <c r="G601" i="1"/>
  <c r="G600" i="1"/>
  <c r="G599" i="1"/>
  <c r="G598" i="1"/>
  <c r="G597" i="1"/>
  <c r="G596" i="1"/>
  <c r="G595" i="1"/>
  <c r="G594" i="1"/>
  <c r="G593" i="1"/>
  <c r="G592" i="1"/>
  <c r="G591" i="1"/>
  <c r="G590" i="1"/>
  <c r="G589" i="1"/>
  <c r="G588" i="1"/>
  <c r="G587" i="1"/>
  <c r="G586" i="1"/>
  <c r="G585" i="1"/>
  <c r="G584" i="1"/>
  <c r="G583" i="1"/>
  <c r="G582" i="1"/>
  <c r="G581" i="1"/>
  <c r="G580" i="1"/>
  <c r="G579" i="1"/>
  <c r="G578" i="1"/>
  <c r="G577" i="1"/>
  <c r="G576" i="1"/>
  <c r="G575" i="1"/>
  <c r="G574" i="1"/>
  <c r="G573" i="1"/>
  <c r="G572"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5" i="1"/>
  <c r="G544" i="1"/>
  <c r="G543" i="1"/>
  <c r="G542" i="1"/>
  <c r="G541" i="1"/>
  <c r="G540" i="1"/>
  <c r="G539" i="1"/>
  <c r="G538" i="1"/>
  <c r="G537" i="1"/>
  <c r="G536" i="1"/>
  <c r="G535" i="1"/>
  <c r="G534" i="1"/>
  <c r="G533" i="1"/>
  <c r="G532" i="1"/>
  <c r="G531" i="1"/>
  <c r="G530" i="1"/>
  <c r="G529" i="1"/>
  <c r="G528" i="1"/>
  <c r="G527" i="1"/>
  <c r="G526" i="1"/>
  <c r="G525" i="1"/>
  <c r="G524" i="1"/>
  <c r="G523" i="1"/>
  <c r="G522" i="1"/>
  <c r="G521" i="1"/>
  <c r="G520" i="1"/>
  <c r="G519" i="1"/>
  <c r="G518" i="1"/>
  <c r="G517" i="1"/>
  <c r="G516" i="1"/>
  <c r="G515" i="1"/>
  <c r="G514" i="1"/>
  <c r="G513" i="1"/>
  <c r="G512" i="1"/>
  <c r="G511" i="1"/>
  <c r="G510" i="1"/>
  <c r="G509" i="1"/>
  <c r="G508" i="1"/>
  <c r="G507" i="1"/>
  <c r="G506" i="1"/>
  <c r="G505" i="1"/>
  <c r="G504" i="1"/>
  <c r="G503" i="1"/>
  <c r="G502" i="1"/>
  <c r="G501" i="1"/>
  <c r="E501" i="1"/>
  <c r="G500" i="1"/>
  <c r="E500" i="1"/>
  <c r="G499" i="1"/>
  <c r="E499" i="1"/>
  <c r="G498" i="1"/>
  <c r="E498" i="1"/>
  <c r="G497" i="1"/>
  <c r="E497" i="1"/>
  <c r="G496" i="1"/>
  <c r="E496" i="1"/>
  <c r="G495" i="1"/>
  <c r="E495" i="1"/>
  <c r="G494" i="1"/>
  <c r="E494" i="1"/>
  <c r="G493" i="1"/>
  <c r="E493" i="1"/>
  <c r="G492" i="1"/>
  <c r="E492" i="1"/>
  <c r="G491" i="1"/>
  <c r="E491" i="1"/>
  <c r="G490" i="1"/>
  <c r="E490" i="1"/>
  <c r="G489" i="1"/>
  <c r="E489" i="1"/>
  <c r="G488" i="1"/>
  <c r="E488" i="1"/>
  <c r="G487" i="1"/>
  <c r="E487" i="1"/>
  <c r="G486" i="1"/>
  <c r="E486" i="1"/>
  <c r="G485" i="1"/>
  <c r="E485" i="1"/>
  <c r="G484" i="1"/>
  <c r="E484" i="1"/>
  <c r="G483" i="1"/>
  <c r="E483" i="1"/>
  <c r="G482" i="1"/>
  <c r="E482" i="1"/>
  <c r="G481" i="1"/>
  <c r="E481" i="1"/>
  <c r="G480" i="1"/>
  <c r="E480" i="1"/>
  <c r="G479" i="1"/>
  <c r="E479" i="1"/>
  <c r="G478" i="1"/>
  <c r="E478" i="1"/>
  <c r="G477" i="1"/>
  <c r="E477" i="1"/>
  <c r="G476" i="1"/>
  <c r="E476" i="1"/>
  <c r="G475" i="1"/>
  <c r="E475" i="1"/>
  <c r="G474" i="1"/>
  <c r="E474" i="1"/>
  <c r="G473" i="1"/>
  <c r="E473" i="1"/>
  <c r="G472" i="1"/>
  <c r="E472" i="1"/>
  <c r="G471" i="1"/>
  <c r="E471" i="1"/>
  <c r="G470" i="1"/>
  <c r="E470" i="1"/>
  <c r="G469" i="1"/>
  <c r="E469" i="1"/>
  <c r="G468" i="1"/>
  <c r="E468" i="1"/>
  <c r="G467" i="1"/>
  <c r="E467" i="1"/>
  <c r="G466" i="1"/>
  <c r="E466" i="1"/>
  <c r="G465" i="1"/>
  <c r="E465" i="1"/>
  <c r="G464" i="1"/>
  <c r="E464" i="1"/>
  <c r="G463" i="1"/>
  <c r="E463" i="1"/>
  <c r="G462" i="1"/>
  <c r="E462" i="1"/>
  <c r="G461" i="1"/>
  <c r="E461" i="1"/>
  <c r="G460" i="1"/>
  <c r="E460" i="1"/>
  <c r="G459" i="1"/>
  <c r="E459" i="1"/>
  <c r="G458" i="1"/>
  <c r="E458" i="1"/>
  <c r="G457" i="1"/>
  <c r="E457" i="1"/>
  <c r="G456" i="1"/>
  <c r="E456" i="1"/>
  <c r="G455" i="1"/>
  <c r="E455" i="1"/>
  <c r="G454" i="1"/>
  <c r="E454" i="1"/>
  <c r="G453" i="1"/>
  <c r="E453" i="1"/>
  <c r="G452" i="1"/>
  <c r="E452" i="1"/>
  <c r="G451" i="1"/>
  <c r="E451" i="1"/>
  <c r="G450" i="1"/>
  <c r="E450" i="1"/>
  <c r="G449" i="1"/>
  <c r="E449" i="1"/>
  <c r="G448" i="1"/>
  <c r="E448" i="1"/>
  <c r="G447" i="1"/>
  <c r="E447" i="1"/>
  <c r="G446" i="1"/>
  <c r="E446" i="1"/>
  <c r="G445" i="1"/>
  <c r="E445" i="1"/>
  <c r="G444" i="1"/>
  <c r="E444" i="1"/>
  <c r="G443" i="1"/>
  <c r="E443" i="1"/>
  <c r="G442" i="1"/>
  <c r="E442" i="1"/>
  <c r="G441" i="1"/>
  <c r="E441" i="1"/>
  <c r="G440" i="1"/>
  <c r="E440" i="1"/>
  <c r="G439" i="1"/>
  <c r="E439" i="1"/>
  <c r="G438" i="1"/>
  <c r="E438" i="1"/>
  <c r="G437" i="1"/>
  <c r="E437" i="1"/>
  <c r="G436" i="1"/>
  <c r="E436" i="1"/>
  <c r="G435" i="1"/>
  <c r="E435" i="1"/>
  <c r="G434" i="1"/>
  <c r="E434" i="1"/>
  <c r="G433" i="1"/>
  <c r="E433" i="1"/>
  <c r="G432" i="1"/>
  <c r="E432" i="1"/>
  <c r="G431" i="1"/>
  <c r="E431" i="1"/>
  <c r="G430" i="1"/>
  <c r="E430" i="1"/>
  <c r="G429" i="1"/>
  <c r="E429" i="1"/>
  <c r="G428" i="1"/>
  <c r="E428" i="1"/>
  <c r="G427" i="1"/>
  <c r="E427" i="1"/>
  <c r="G426" i="1"/>
  <c r="E426" i="1"/>
  <c r="G425" i="1"/>
  <c r="E425" i="1"/>
  <c r="G424" i="1"/>
  <c r="E424" i="1"/>
  <c r="G423" i="1"/>
  <c r="E423" i="1"/>
  <c r="G422" i="1"/>
  <c r="E422" i="1"/>
  <c r="G421" i="1"/>
  <c r="E421" i="1"/>
  <c r="G420" i="1"/>
  <c r="E420" i="1"/>
  <c r="G419" i="1"/>
  <c r="E419" i="1"/>
  <c r="G418" i="1"/>
  <c r="E418" i="1"/>
  <c r="G417" i="1"/>
  <c r="E417" i="1"/>
  <c r="G416" i="1"/>
  <c r="E416" i="1"/>
  <c r="G415" i="1"/>
  <c r="E415" i="1"/>
  <c r="G414" i="1"/>
  <c r="E414" i="1"/>
  <c r="G413" i="1"/>
  <c r="E413" i="1"/>
  <c r="G412" i="1"/>
  <c r="E412" i="1"/>
  <c r="G411" i="1"/>
  <c r="E411" i="1"/>
  <c r="G410" i="1"/>
  <c r="E410" i="1"/>
  <c r="G409" i="1"/>
  <c r="E409" i="1"/>
  <c r="G408" i="1"/>
  <c r="E408" i="1"/>
  <c r="G407" i="1"/>
  <c r="E407" i="1"/>
  <c r="G406" i="1"/>
  <c r="E406" i="1"/>
  <c r="G405" i="1"/>
  <c r="E405" i="1"/>
  <c r="G404" i="1"/>
  <c r="E404" i="1"/>
  <c r="G403" i="1"/>
  <c r="E403" i="1"/>
  <c r="G402" i="1"/>
  <c r="E402" i="1"/>
  <c r="G401" i="1"/>
  <c r="E401" i="1"/>
  <c r="G400" i="1"/>
  <c r="E400" i="1"/>
  <c r="G399" i="1"/>
  <c r="E399" i="1"/>
  <c r="G398" i="1"/>
  <c r="E398" i="1"/>
  <c r="G397" i="1"/>
  <c r="E397" i="1"/>
  <c r="G396" i="1"/>
  <c r="E396" i="1"/>
  <c r="G395" i="1"/>
  <c r="E395" i="1"/>
  <c r="G394" i="1"/>
  <c r="E394" i="1"/>
  <c r="G393" i="1"/>
  <c r="E393" i="1"/>
  <c r="G392" i="1"/>
  <c r="E392" i="1"/>
  <c r="G391" i="1"/>
  <c r="E391" i="1"/>
  <c r="G390" i="1"/>
  <c r="E390" i="1"/>
  <c r="G389" i="1"/>
  <c r="E389" i="1"/>
  <c r="G388" i="1"/>
  <c r="E388" i="1"/>
  <c r="G387" i="1"/>
  <c r="E387" i="1"/>
  <c r="G386" i="1"/>
  <c r="E386" i="1"/>
  <c r="G385" i="1"/>
  <c r="E385" i="1"/>
  <c r="G384" i="1"/>
  <c r="E384" i="1"/>
  <c r="G383" i="1"/>
  <c r="E383" i="1"/>
  <c r="G382" i="1"/>
  <c r="E382" i="1"/>
  <c r="G381" i="1"/>
  <c r="E381" i="1"/>
  <c r="G380" i="1"/>
  <c r="E380" i="1"/>
  <c r="G379" i="1"/>
  <c r="E379" i="1"/>
  <c r="G378" i="1"/>
  <c r="E378" i="1"/>
  <c r="G377" i="1"/>
  <c r="E377" i="1"/>
  <c r="G376" i="1"/>
  <c r="E376" i="1"/>
  <c r="G375" i="1"/>
  <c r="E375" i="1"/>
  <c r="G374" i="1"/>
  <c r="E374" i="1"/>
  <c r="G373" i="1"/>
  <c r="E373" i="1"/>
  <c r="G372" i="1"/>
  <c r="E372" i="1"/>
  <c r="G371" i="1"/>
  <c r="E371" i="1"/>
  <c r="G370" i="1"/>
  <c r="E370" i="1"/>
  <c r="G369" i="1"/>
  <c r="E369" i="1"/>
  <c r="G368" i="1"/>
  <c r="E368" i="1"/>
  <c r="G367" i="1"/>
  <c r="E367" i="1"/>
  <c r="G366" i="1"/>
  <c r="E366" i="1"/>
  <c r="G365" i="1"/>
  <c r="E365" i="1"/>
  <c r="G364" i="1"/>
  <c r="E364" i="1"/>
  <c r="G363" i="1"/>
  <c r="E363" i="1"/>
  <c r="G362" i="1"/>
  <c r="E362" i="1"/>
  <c r="G361" i="1"/>
  <c r="E361" i="1"/>
  <c r="G360" i="1"/>
  <c r="E360" i="1"/>
  <c r="G359" i="1"/>
  <c r="E359" i="1"/>
  <c r="G358" i="1"/>
  <c r="E358" i="1"/>
  <c r="G357" i="1"/>
  <c r="E357" i="1"/>
  <c r="G356" i="1"/>
  <c r="E356" i="1"/>
  <c r="G355" i="1"/>
  <c r="E355" i="1"/>
  <c r="G354" i="1"/>
  <c r="E354" i="1"/>
  <c r="G353" i="1"/>
  <c r="E353" i="1"/>
  <c r="G352" i="1"/>
  <c r="E352" i="1"/>
  <c r="G351" i="1"/>
  <c r="E351" i="1"/>
  <c r="G350" i="1"/>
  <c r="E350" i="1"/>
  <c r="G349" i="1"/>
  <c r="E349" i="1"/>
  <c r="G348" i="1"/>
  <c r="E348" i="1"/>
  <c r="G347" i="1"/>
  <c r="E347" i="1"/>
  <c r="G346" i="1"/>
  <c r="E346" i="1"/>
  <c r="G345" i="1"/>
  <c r="E345" i="1"/>
  <c r="G344" i="1"/>
  <c r="E344" i="1"/>
  <c r="G343" i="1"/>
  <c r="E343" i="1"/>
  <c r="G342" i="1"/>
  <c r="E342" i="1"/>
  <c r="G341" i="1"/>
  <c r="E341" i="1"/>
  <c r="G340" i="1"/>
  <c r="E340" i="1"/>
  <c r="G339" i="1"/>
  <c r="E339" i="1"/>
  <c r="G338" i="1"/>
  <c r="E338" i="1"/>
  <c r="G337" i="1"/>
  <c r="E337" i="1"/>
  <c r="G336" i="1"/>
  <c r="E336" i="1"/>
  <c r="G335" i="1"/>
  <c r="E335" i="1"/>
  <c r="G334" i="1"/>
  <c r="E334" i="1"/>
  <c r="G333" i="1"/>
  <c r="E333" i="1"/>
  <c r="G332" i="1"/>
  <c r="E332" i="1"/>
  <c r="G331" i="1"/>
  <c r="E331" i="1"/>
  <c r="G330" i="1"/>
  <c r="E330" i="1"/>
  <c r="G329" i="1"/>
  <c r="E329" i="1"/>
  <c r="G328" i="1"/>
  <c r="E328" i="1"/>
  <c r="G327" i="1"/>
  <c r="E327" i="1"/>
  <c r="G326" i="1"/>
  <c r="E326" i="1"/>
  <c r="G325" i="1"/>
  <c r="E325" i="1"/>
  <c r="G324" i="1"/>
  <c r="E324" i="1"/>
  <c r="G323" i="1"/>
  <c r="E323" i="1"/>
  <c r="G322" i="1"/>
  <c r="E322" i="1"/>
  <c r="G321" i="1"/>
  <c r="E321" i="1"/>
  <c r="G320" i="1"/>
  <c r="E320" i="1"/>
  <c r="G319" i="1"/>
  <c r="E319" i="1"/>
  <c r="G318" i="1"/>
  <c r="E318" i="1"/>
  <c r="G317" i="1"/>
  <c r="E317" i="1"/>
  <c r="G316" i="1"/>
  <c r="E316" i="1"/>
  <c r="G315" i="1"/>
  <c r="E315" i="1"/>
  <c r="G314" i="1"/>
  <c r="E314" i="1"/>
  <c r="G313" i="1"/>
  <c r="E313" i="1"/>
  <c r="G312" i="1"/>
  <c r="E312" i="1"/>
  <c r="G311" i="1"/>
  <c r="E311" i="1"/>
  <c r="G310" i="1"/>
  <c r="E310" i="1"/>
  <c r="G309" i="1"/>
  <c r="E309" i="1"/>
  <c r="G308" i="1"/>
  <c r="E308" i="1"/>
  <c r="G307" i="1"/>
  <c r="E307" i="1"/>
  <c r="G306" i="1"/>
  <c r="E306" i="1"/>
  <c r="G305" i="1"/>
  <c r="E305" i="1"/>
  <c r="G304" i="1"/>
  <c r="E304" i="1"/>
  <c r="G303" i="1"/>
  <c r="E303" i="1"/>
  <c r="G302" i="1"/>
  <c r="E302" i="1"/>
  <c r="G301" i="1"/>
  <c r="E301" i="1"/>
  <c r="G300" i="1"/>
  <c r="E300" i="1"/>
  <c r="G299" i="1"/>
  <c r="E299" i="1"/>
  <c r="G298" i="1"/>
  <c r="E298" i="1"/>
  <c r="G297" i="1"/>
  <c r="E297" i="1"/>
  <c r="G296" i="1"/>
  <c r="E296" i="1"/>
  <c r="G295" i="1"/>
  <c r="E295" i="1"/>
  <c r="G294" i="1"/>
  <c r="E294" i="1"/>
  <c r="G293" i="1"/>
  <c r="E293" i="1"/>
  <c r="G292" i="1"/>
  <c r="E292" i="1"/>
  <c r="G291" i="1"/>
  <c r="E291" i="1"/>
  <c r="G290" i="1"/>
  <c r="E290" i="1"/>
  <c r="G289" i="1"/>
  <c r="E289" i="1"/>
  <c r="G288" i="1"/>
  <c r="E288" i="1"/>
  <c r="G287" i="1"/>
  <c r="E287" i="1"/>
  <c r="G286" i="1"/>
  <c r="E286" i="1"/>
  <c r="G285" i="1"/>
  <c r="E285" i="1"/>
  <c r="G284" i="1"/>
  <c r="E284" i="1"/>
  <c r="G283" i="1"/>
  <c r="E283" i="1"/>
  <c r="G282" i="1"/>
  <c r="E282" i="1"/>
  <c r="G281" i="1"/>
  <c r="E281" i="1"/>
  <c r="G280" i="1"/>
  <c r="E280" i="1"/>
  <c r="G279" i="1"/>
  <c r="E279" i="1"/>
  <c r="G278" i="1"/>
  <c r="E278" i="1"/>
  <c r="G277" i="1"/>
  <c r="E277" i="1"/>
  <c r="G276" i="1"/>
  <c r="E276" i="1"/>
  <c r="G275" i="1"/>
  <c r="E275" i="1"/>
  <c r="G274" i="1"/>
  <c r="E274" i="1"/>
  <c r="G273" i="1"/>
  <c r="E273" i="1"/>
  <c r="G272" i="1"/>
  <c r="E272" i="1"/>
  <c r="G271" i="1"/>
  <c r="E271" i="1"/>
  <c r="G270" i="1"/>
  <c r="E270" i="1"/>
  <c r="G269" i="1"/>
  <c r="E269" i="1"/>
  <c r="G268" i="1"/>
  <c r="E268" i="1"/>
  <c r="G267" i="1"/>
  <c r="E267" i="1"/>
  <c r="G266" i="1"/>
  <c r="E266" i="1"/>
  <c r="G265" i="1"/>
  <c r="E265" i="1"/>
  <c r="G264" i="1"/>
  <c r="E264" i="1"/>
  <c r="G263" i="1"/>
  <c r="E263" i="1"/>
  <c r="G262" i="1"/>
  <c r="E262" i="1"/>
  <c r="G261" i="1"/>
  <c r="E261" i="1"/>
  <c r="G260" i="1"/>
  <c r="E260" i="1"/>
  <c r="G259" i="1"/>
  <c r="E259" i="1"/>
  <c r="G258" i="1"/>
  <c r="E258" i="1"/>
  <c r="G257" i="1"/>
  <c r="E257" i="1"/>
  <c r="G256" i="1"/>
  <c r="E256" i="1"/>
  <c r="G255" i="1"/>
  <c r="E255" i="1"/>
  <c r="G254" i="1"/>
  <c r="E254" i="1"/>
  <c r="G253" i="1"/>
  <c r="E253" i="1"/>
  <c r="G252" i="1"/>
  <c r="E252" i="1"/>
  <c r="G251" i="1"/>
  <c r="E251" i="1"/>
  <c r="G250" i="1"/>
  <c r="E250" i="1"/>
  <c r="G249" i="1"/>
  <c r="E249" i="1"/>
  <c r="G248" i="1"/>
  <c r="E248" i="1"/>
  <c r="G247" i="1"/>
  <c r="E247" i="1"/>
  <c r="G246" i="1"/>
  <c r="E246" i="1"/>
  <c r="G245" i="1"/>
  <c r="E245" i="1"/>
  <c r="G244" i="1"/>
  <c r="E244" i="1"/>
  <c r="G243" i="1"/>
  <c r="E243" i="1"/>
  <c r="G242" i="1"/>
  <c r="E242" i="1"/>
  <c r="G241" i="1"/>
  <c r="E241" i="1"/>
  <c r="G240" i="1"/>
  <c r="E240" i="1"/>
  <c r="G239" i="1"/>
  <c r="E239" i="1"/>
  <c r="G238" i="1"/>
  <c r="E238" i="1"/>
  <c r="G237" i="1"/>
  <c r="E237" i="1"/>
  <c r="G236" i="1"/>
  <c r="E236" i="1"/>
  <c r="G235" i="1"/>
  <c r="E235" i="1"/>
  <c r="G234" i="1"/>
  <c r="E234" i="1"/>
  <c r="G233" i="1"/>
  <c r="E233" i="1"/>
  <c r="G232" i="1"/>
  <c r="E232" i="1"/>
  <c r="G231" i="1"/>
  <c r="E231" i="1"/>
  <c r="G230" i="1"/>
  <c r="E230" i="1"/>
  <c r="G229" i="1"/>
  <c r="E229" i="1"/>
  <c r="G228" i="1"/>
  <c r="E228" i="1"/>
  <c r="G227" i="1"/>
  <c r="E227" i="1"/>
  <c r="G226" i="1"/>
  <c r="E226" i="1"/>
  <c r="G225" i="1"/>
  <c r="E225" i="1"/>
  <c r="G224" i="1"/>
  <c r="E224" i="1"/>
  <c r="G223" i="1"/>
  <c r="E223" i="1"/>
  <c r="G222" i="1"/>
  <c r="E222" i="1"/>
  <c r="G221" i="1"/>
  <c r="E221" i="1"/>
  <c r="G220" i="1"/>
  <c r="E220" i="1"/>
  <c r="G219" i="1"/>
  <c r="E219" i="1"/>
  <c r="G218" i="1"/>
  <c r="E218" i="1"/>
  <c r="G217" i="1"/>
  <c r="E217" i="1"/>
  <c r="G216" i="1"/>
  <c r="E216" i="1"/>
  <c r="G215" i="1"/>
  <c r="E215" i="1"/>
  <c r="G214" i="1"/>
  <c r="E214" i="1"/>
  <c r="G213" i="1"/>
  <c r="E213" i="1"/>
  <c r="G212" i="1"/>
  <c r="E212" i="1"/>
  <c r="G211" i="1"/>
  <c r="E211" i="1"/>
  <c r="G210" i="1"/>
  <c r="E210" i="1"/>
  <c r="G209" i="1"/>
  <c r="E209" i="1"/>
  <c r="G208" i="1"/>
  <c r="E208" i="1"/>
  <c r="G207" i="1"/>
  <c r="E207" i="1"/>
  <c r="G206" i="1"/>
  <c r="E206" i="1"/>
  <c r="G205" i="1"/>
  <c r="E205" i="1"/>
  <c r="G204" i="1"/>
  <c r="E204" i="1"/>
  <c r="G203" i="1"/>
  <c r="E203" i="1"/>
  <c r="G202" i="1"/>
  <c r="E202" i="1"/>
  <c r="G201" i="1"/>
  <c r="E201" i="1"/>
  <c r="G200" i="1"/>
  <c r="E200" i="1"/>
  <c r="G199" i="1"/>
  <c r="E199" i="1"/>
  <c r="G198" i="1"/>
  <c r="E198" i="1"/>
  <c r="G197" i="1"/>
  <c r="E197" i="1"/>
  <c r="G196" i="1"/>
  <c r="E196" i="1"/>
  <c r="G195" i="1"/>
  <c r="E195" i="1"/>
  <c r="G194" i="1"/>
  <c r="E194" i="1"/>
  <c r="G193" i="1"/>
  <c r="E193" i="1"/>
  <c r="G192" i="1"/>
  <c r="E192" i="1"/>
  <c r="G191" i="1"/>
  <c r="E191" i="1"/>
  <c r="G190" i="1"/>
  <c r="E190" i="1"/>
  <c r="G189" i="1"/>
  <c r="E189" i="1"/>
  <c r="G188" i="1"/>
  <c r="E188" i="1"/>
  <c r="G187" i="1"/>
  <c r="E187" i="1"/>
  <c r="G186" i="1"/>
  <c r="E186" i="1"/>
  <c r="G185" i="1"/>
  <c r="E185" i="1"/>
  <c r="G184" i="1"/>
  <c r="E184" i="1"/>
  <c r="G183" i="1"/>
  <c r="E183" i="1"/>
  <c r="G182" i="1"/>
  <c r="E182" i="1"/>
  <c r="G181" i="1"/>
  <c r="E181" i="1"/>
  <c r="G180" i="1"/>
  <c r="E180" i="1"/>
  <c r="G179" i="1"/>
  <c r="E179" i="1"/>
  <c r="G178" i="1"/>
  <c r="E178" i="1"/>
  <c r="G177" i="1"/>
  <c r="E177" i="1"/>
  <c r="G176" i="1"/>
  <c r="E176" i="1"/>
  <c r="G175" i="1"/>
  <c r="E175" i="1"/>
  <c r="G174" i="1"/>
  <c r="E174" i="1"/>
  <c r="G173" i="1"/>
  <c r="E173" i="1"/>
  <c r="G172" i="1"/>
  <c r="E172" i="1"/>
  <c r="G171" i="1"/>
  <c r="E171" i="1"/>
  <c r="G170" i="1"/>
  <c r="E170" i="1"/>
  <c r="G169" i="1"/>
  <c r="E169" i="1"/>
  <c r="G168" i="1"/>
  <c r="E168" i="1"/>
  <c r="G167" i="1"/>
  <c r="E167" i="1"/>
  <c r="G166" i="1"/>
  <c r="E166" i="1"/>
  <c r="G165" i="1"/>
  <c r="E165" i="1"/>
  <c r="G164" i="1"/>
  <c r="E164" i="1"/>
  <c r="G163" i="1"/>
  <c r="E163" i="1"/>
  <c r="G162" i="1"/>
  <c r="E162" i="1"/>
  <c r="G161" i="1"/>
  <c r="E161" i="1"/>
  <c r="G160" i="1"/>
  <c r="E160" i="1"/>
  <c r="G159" i="1"/>
  <c r="E159" i="1"/>
  <c r="G158" i="1"/>
  <c r="E158" i="1"/>
  <c r="G157" i="1"/>
  <c r="E157" i="1"/>
  <c r="G156" i="1"/>
  <c r="E156" i="1"/>
  <c r="G155" i="1"/>
  <c r="E155" i="1"/>
  <c r="G154" i="1"/>
  <c r="E154" i="1"/>
  <c r="G153" i="1"/>
  <c r="E153" i="1"/>
  <c r="G152" i="1"/>
  <c r="E152" i="1"/>
  <c r="G151" i="1"/>
  <c r="E151" i="1"/>
  <c r="G150" i="1"/>
  <c r="E150" i="1"/>
  <c r="G149" i="1"/>
  <c r="E149" i="1"/>
  <c r="G148" i="1"/>
  <c r="E148" i="1"/>
  <c r="G147" i="1"/>
  <c r="E147" i="1"/>
  <c r="G146" i="1"/>
  <c r="E146" i="1"/>
  <c r="G145" i="1"/>
  <c r="E145" i="1"/>
  <c r="G144" i="1"/>
  <c r="E144" i="1"/>
  <c r="G143" i="1"/>
  <c r="E143" i="1"/>
  <c r="G142" i="1"/>
  <c r="E142" i="1"/>
  <c r="G141" i="1"/>
  <c r="E141" i="1"/>
  <c r="G140" i="1"/>
  <c r="E140" i="1"/>
  <c r="G139" i="1"/>
  <c r="E139" i="1"/>
  <c r="G138" i="1"/>
  <c r="E138" i="1"/>
  <c r="G137" i="1"/>
  <c r="E137" i="1"/>
  <c r="G136" i="1"/>
  <c r="E136" i="1"/>
  <c r="G135" i="1"/>
  <c r="E135" i="1"/>
  <c r="G134" i="1"/>
  <c r="E134" i="1"/>
  <c r="G133" i="1"/>
  <c r="E133" i="1"/>
  <c r="G132" i="1"/>
  <c r="E132" i="1"/>
  <c r="G131" i="1"/>
  <c r="E131" i="1"/>
  <c r="G130" i="1"/>
  <c r="E130" i="1"/>
  <c r="G129" i="1"/>
  <c r="E129" i="1"/>
  <c r="G128" i="1"/>
  <c r="E128" i="1"/>
  <c r="G127" i="1"/>
  <c r="E127" i="1"/>
  <c r="G126" i="1"/>
  <c r="E126" i="1"/>
  <c r="G125" i="1"/>
  <c r="E125" i="1"/>
  <c r="G124" i="1"/>
  <c r="E124" i="1"/>
  <c r="G123" i="1"/>
  <c r="E123" i="1"/>
  <c r="G122" i="1"/>
  <c r="E122" i="1"/>
  <c r="G121" i="1"/>
  <c r="E121" i="1"/>
  <c r="G120" i="1"/>
  <c r="E120" i="1"/>
  <c r="G119" i="1"/>
  <c r="E119" i="1"/>
  <c r="G118" i="1"/>
  <c r="E118" i="1"/>
  <c r="G117" i="1"/>
  <c r="E117" i="1"/>
  <c r="G116" i="1"/>
  <c r="E116" i="1"/>
  <c r="G115" i="1"/>
  <c r="E115" i="1"/>
  <c r="G114" i="1"/>
  <c r="E114" i="1"/>
  <c r="G113" i="1"/>
  <c r="E113" i="1"/>
  <c r="G112" i="1"/>
  <c r="E112" i="1"/>
  <c r="G111" i="1"/>
  <c r="E111" i="1"/>
  <c r="G110" i="1"/>
  <c r="E110" i="1"/>
  <c r="G109" i="1"/>
  <c r="E109" i="1"/>
  <c r="G108" i="1"/>
  <c r="E108" i="1"/>
  <c r="G107" i="1"/>
  <c r="E107" i="1"/>
  <c r="G106" i="1"/>
  <c r="E106" i="1"/>
  <c r="G105" i="1"/>
  <c r="E105" i="1"/>
  <c r="G104" i="1"/>
  <c r="E104" i="1"/>
  <c r="G103" i="1"/>
  <c r="E103" i="1"/>
  <c r="G102" i="1"/>
  <c r="E102" i="1"/>
  <c r="G101" i="1"/>
  <c r="E101" i="1"/>
  <c r="G100" i="1"/>
  <c r="E100" i="1"/>
  <c r="G99" i="1"/>
  <c r="E99" i="1"/>
  <c r="G98" i="1"/>
  <c r="E98" i="1"/>
  <c r="G97" i="1"/>
  <c r="E97" i="1"/>
  <c r="G96" i="1"/>
  <c r="E96" i="1"/>
  <c r="G95" i="1"/>
  <c r="E95" i="1"/>
  <c r="G94" i="1"/>
  <c r="E94" i="1"/>
  <c r="G93" i="1"/>
  <c r="E93" i="1"/>
  <c r="G92" i="1"/>
  <c r="E92" i="1"/>
  <c r="G91" i="1"/>
  <c r="E91" i="1"/>
  <c r="G90" i="1"/>
  <c r="E90" i="1"/>
  <c r="G89" i="1"/>
  <c r="E89" i="1"/>
  <c r="G88" i="1"/>
  <c r="E88" i="1"/>
  <c r="G87" i="1"/>
  <c r="E87" i="1"/>
  <c r="G86" i="1"/>
  <c r="E86" i="1"/>
  <c r="G85" i="1"/>
  <c r="E85" i="1"/>
  <c r="G84" i="1"/>
  <c r="E84" i="1"/>
  <c r="G83" i="1"/>
  <c r="E83" i="1"/>
  <c r="G82" i="1"/>
  <c r="E82" i="1"/>
  <c r="G81" i="1"/>
  <c r="E81" i="1"/>
  <c r="G80" i="1"/>
  <c r="E80" i="1"/>
  <c r="G79" i="1"/>
  <c r="E79" i="1"/>
  <c r="G78" i="1"/>
  <c r="E78" i="1"/>
  <c r="G77" i="1"/>
  <c r="E77" i="1"/>
  <c r="G76" i="1"/>
  <c r="E76" i="1"/>
  <c r="G75" i="1"/>
  <c r="E75" i="1"/>
  <c r="G74" i="1"/>
  <c r="E74" i="1"/>
  <c r="G73" i="1"/>
  <c r="E73" i="1"/>
  <c r="G72" i="1"/>
  <c r="E72" i="1"/>
  <c r="G71" i="1"/>
  <c r="E71" i="1"/>
  <c r="G70" i="1"/>
  <c r="E70" i="1"/>
  <c r="G69" i="1"/>
  <c r="E69" i="1"/>
  <c r="G68" i="1"/>
  <c r="E68" i="1"/>
  <c r="G67" i="1"/>
  <c r="E67" i="1"/>
  <c r="G66" i="1"/>
  <c r="E66" i="1"/>
  <c r="G65" i="1"/>
  <c r="E65" i="1"/>
  <c r="G64" i="1"/>
  <c r="E64" i="1"/>
  <c r="G63" i="1"/>
  <c r="E63" i="1"/>
  <c r="G62" i="1"/>
  <c r="E62" i="1"/>
  <c r="G61" i="1"/>
  <c r="E61" i="1"/>
  <c r="G60" i="1"/>
  <c r="E60" i="1"/>
  <c r="G59" i="1"/>
  <c r="E59" i="1"/>
  <c r="G58" i="1"/>
  <c r="E58" i="1"/>
  <c r="G57" i="1"/>
  <c r="E57" i="1"/>
  <c r="G56" i="1"/>
  <c r="E56" i="1"/>
  <c r="G55" i="1"/>
  <c r="E55" i="1"/>
  <c r="G54" i="1"/>
  <c r="E54" i="1"/>
  <c r="G53" i="1"/>
  <c r="E53" i="1"/>
  <c r="G52" i="1"/>
  <c r="E52" i="1"/>
  <c r="G51" i="1"/>
  <c r="E51" i="1"/>
  <c r="G50" i="1"/>
  <c r="E50" i="1"/>
  <c r="G49" i="1"/>
  <c r="E49" i="1"/>
  <c r="G48" i="1"/>
  <c r="E48" i="1"/>
  <c r="G47" i="1"/>
  <c r="E47" i="1"/>
  <c r="G46" i="1"/>
  <c r="E46" i="1"/>
  <c r="G45" i="1"/>
  <c r="E45" i="1"/>
  <c r="G44" i="1"/>
  <c r="E44" i="1"/>
  <c r="G43" i="1"/>
  <c r="E43" i="1"/>
  <c r="G42" i="1"/>
  <c r="E42" i="1"/>
  <c r="G41" i="1"/>
  <c r="E41" i="1"/>
  <c r="G40" i="1"/>
  <c r="E40" i="1"/>
  <c r="G39" i="1"/>
  <c r="E39" i="1"/>
  <c r="G38" i="1"/>
  <c r="E38" i="1"/>
  <c r="G37" i="1"/>
  <c r="E37" i="1"/>
  <c r="G36" i="1"/>
  <c r="E36" i="1"/>
  <c r="G35" i="1"/>
  <c r="E35" i="1"/>
  <c r="G34" i="1"/>
  <c r="E34" i="1"/>
  <c r="G33" i="1"/>
  <c r="E33" i="1"/>
  <c r="G32" i="1"/>
  <c r="E32" i="1"/>
  <c r="G31" i="1"/>
  <c r="E31" i="1"/>
  <c r="G30" i="1"/>
  <c r="E30" i="1"/>
  <c r="G29" i="1"/>
  <c r="E29" i="1"/>
  <c r="G28" i="1"/>
  <c r="E28" i="1"/>
  <c r="G27" i="1"/>
  <c r="E27" i="1"/>
  <c r="G26" i="1"/>
  <c r="E26" i="1"/>
  <c r="G25" i="1"/>
  <c r="E25" i="1"/>
  <c r="G24" i="1"/>
  <c r="E24" i="1"/>
  <c r="G23" i="1"/>
  <c r="E23" i="1"/>
  <c r="G22" i="1"/>
  <c r="E22" i="1"/>
  <c r="G21" i="1"/>
  <c r="E21" i="1"/>
  <c r="G20" i="1"/>
  <c r="E20" i="1"/>
  <c r="G19" i="1"/>
  <c r="E19" i="1"/>
  <c r="G18" i="1"/>
  <c r="E18" i="1"/>
  <c r="G17" i="1"/>
  <c r="E17" i="1"/>
  <c r="G16" i="1"/>
  <c r="E16" i="1"/>
  <c r="G15" i="1"/>
  <c r="E15" i="1"/>
  <c r="G14" i="1"/>
  <c r="E14" i="1"/>
  <c r="G13" i="1"/>
  <c r="E13" i="1"/>
  <c r="G12" i="1"/>
  <c r="E12" i="1"/>
  <c r="G11" i="1"/>
  <c r="E11" i="1"/>
  <c r="G10" i="1"/>
  <c r="E10" i="1"/>
  <c r="G9" i="1"/>
  <c r="E9" i="1"/>
  <c r="G8" i="1"/>
  <c r="E8" i="1"/>
  <c r="G7" i="1"/>
  <c r="E7" i="1"/>
  <c r="G6" i="1"/>
  <c r="E6" i="1"/>
  <c r="G5" i="1"/>
  <c r="E5" i="1"/>
  <c r="G4" i="1"/>
  <c r="E4" i="1"/>
  <c r="G3" i="1"/>
  <c r="E3" i="1"/>
  <c r="G2" i="1"/>
  <c r="E2" i="1"/>
  <c r="E11" i="2"/>
  <c r="D11" i="2"/>
  <c r="C11" i="2"/>
  <c r="B11" i="2"/>
</calcChain>
</file>

<file path=xl/sharedStrings.xml><?xml version="1.0" encoding="utf-8"?>
<sst xmlns="http://schemas.openxmlformats.org/spreadsheetml/2006/main" count="29648" uniqueCount="96">
  <si>
    <t>Hospital_ID</t>
  </si>
  <si>
    <t>Hospital_Name</t>
  </si>
  <si>
    <t>admission_date</t>
  </si>
  <si>
    <t>Readmission_Date</t>
  </si>
  <si>
    <t>Readmitted within 30 Days</t>
  </si>
  <si>
    <t>Patient_Age</t>
  </si>
  <si>
    <t>Age Distribution</t>
  </si>
  <si>
    <t>Gender</t>
  </si>
  <si>
    <t>diagnosis</t>
  </si>
  <si>
    <t>Department</t>
  </si>
  <si>
    <t>City</t>
  </si>
  <si>
    <t>Total_Admissions</t>
  </si>
  <si>
    <t>Total_Discharges</t>
  </si>
  <si>
    <t>Avg_Length_of_Stay</t>
  </si>
  <si>
    <t>Patient_Satisfaction_Score</t>
  </si>
  <si>
    <t>Emergency_Room_Visits</t>
  </si>
  <si>
    <t>Surgery_Count</t>
  </si>
  <si>
    <t>Revenue</t>
  </si>
  <si>
    <t>Operating_Costs</t>
  </si>
  <si>
    <t>Number_of_Staff</t>
  </si>
  <si>
    <t xml:space="preserve">hours worked by staff per week </t>
  </si>
  <si>
    <t>Turnover_Rate_(%)</t>
  </si>
  <si>
    <t>HealthPlus Medical Center</t>
  </si>
  <si>
    <t>Female</t>
  </si>
  <si>
    <t>Pregnancy</t>
  </si>
  <si>
    <t>gynaecologist</t>
  </si>
  <si>
    <t>Jaipur</t>
  </si>
  <si>
    <t>Migraine</t>
  </si>
  <si>
    <t>neurologist</t>
  </si>
  <si>
    <t>Chandigarh</t>
  </si>
  <si>
    <t>Harmony Health</t>
  </si>
  <si>
    <t>Stroke</t>
  </si>
  <si>
    <t>City Hospital</t>
  </si>
  <si>
    <t>Bangalore</t>
  </si>
  <si>
    <t>Star Health Clinic</t>
  </si>
  <si>
    <t>Male</t>
  </si>
  <si>
    <t>Heart attack</t>
  </si>
  <si>
    <t>cardiologist</t>
  </si>
  <si>
    <t>Hyderabad</t>
  </si>
  <si>
    <t>General Clinic</t>
  </si>
  <si>
    <t>Hypertension</t>
  </si>
  <si>
    <t>general Physician</t>
  </si>
  <si>
    <t>Delhi</t>
  </si>
  <si>
    <t>Heavy Bleeding</t>
  </si>
  <si>
    <t>Hope Medical Center</t>
  </si>
  <si>
    <t>Prime Care Hospital</t>
  </si>
  <si>
    <t>Kidney Disease</t>
  </si>
  <si>
    <t>Nephrology</t>
  </si>
  <si>
    <t>Unity Hospital</t>
  </si>
  <si>
    <t>Metro Health</t>
  </si>
  <si>
    <t>Gall Stone</t>
  </si>
  <si>
    <t>gastroenterologist</t>
  </si>
  <si>
    <t>Lifeline Hospital</t>
  </si>
  <si>
    <t>Typhoid</t>
  </si>
  <si>
    <t>Internal medicine</t>
  </si>
  <si>
    <t>Pneumonia</t>
  </si>
  <si>
    <t>pulmonologist</t>
  </si>
  <si>
    <t>Community Care</t>
  </si>
  <si>
    <t>Diabetes</t>
  </si>
  <si>
    <t>endocrinologist</t>
  </si>
  <si>
    <t>Thyroid Disorder</t>
  </si>
  <si>
    <t>Depression</t>
  </si>
  <si>
    <t>psychologist</t>
  </si>
  <si>
    <t>Wellness Hospital</t>
  </si>
  <si>
    <t>Anemia</t>
  </si>
  <si>
    <t>hematologist</t>
  </si>
  <si>
    <t>Cure Medical Center</t>
  </si>
  <si>
    <t>Breast Cancer</t>
  </si>
  <si>
    <t>oncologist</t>
  </si>
  <si>
    <t>Sunrise Hospital</t>
  </si>
  <si>
    <t>Care First Hospital</t>
  </si>
  <si>
    <t>NA</t>
  </si>
  <si>
    <t>profit</t>
  </si>
  <si>
    <t>Sum of profit</t>
  </si>
  <si>
    <t>Sum of Revenue</t>
  </si>
  <si>
    <t>Sum of Operating_Costs</t>
  </si>
  <si>
    <t>Average of profit2</t>
  </si>
  <si>
    <t>KPI</t>
  </si>
  <si>
    <t>SLICER</t>
  </si>
  <si>
    <r>
      <t xml:space="preserve">What is the </t>
    </r>
    <r>
      <rPr>
        <b/>
        <sz val="11"/>
        <color theme="1"/>
        <rFont val="Calibri"/>
        <family val="2"/>
        <scheme val="minor"/>
      </rPr>
      <t>total Revenue</t>
    </r>
    <r>
      <rPr>
        <sz val="11"/>
        <color theme="1"/>
        <rFont val="Calibri"/>
        <family val="2"/>
        <scheme val="minor"/>
      </rPr>
      <t xml:space="preserve"> generated by all hospitals?</t>
    </r>
  </si>
  <si>
    <t>Row Labels</t>
  </si>
  <si>
    <t>Grand Total</t>
  </si>
  <si>
    <r>
      <t xml:space="preserve">What is the </t>
    </r>
    <r>
      <rPr>
        <b/>
        <sz val="11"/>
        <color theme="1"/>
        <rFont val="Calibri"/>
        <family val="2"/>
        <scheme val="minor"/>
      </rPr>
      <t>total Profit</t>
    </r>
    <r>
      <rPr>
        <sz val="11"/>
        <color theme="1"/>
        <rFont val="Calibri"/>
        <family val="2"/>
        <scheme val="minor"/>
      </rPr>
      <t xml:space="preserve"> generated by all hospitals?</t>
    </r>
  </si>
  <si>
    <r>
      <t xml:space="preserve">Compare </t>
    </r>
    <r>
      <rPr>
        <b/>
        <sz val="11"/>
        <color theme="1"/>
        <rFont val="Calibri"/>
        <family val="2"/>
        <scheme val="minor"/>
      </rPr>
      <t>Revenue and Profit by Hospital</t>
    </r>
    <r>
      <rPr>
        <sz val="11"/>
        <color theme="1"/>
        <rFont val="Calibri"/>
        <family val="2"/>
        <scheme val="minor"/>
      </rPr>
      <t>.</t>
    </r>
  </si>
  <si>
    <r>
      <t xml:space="preserve">Show the </t>
    </r>
    <r>
      <rPr>
        <b/>
        <sz val="11"/>
        <color theme="1"/>
        <rFont val="Calibri"/>
        <family val="2"/>
        <scheme val="minor"/>
      </rPr>
      <t>Top 10 Diagnoses by Revenue</t>
    </r>
  </si>
  <si>
    <t>Sum of Total_Admissions</t>
  </si>
  <si>
    <r>
      <t xml:space="preserve">Compare </t>
    </r>
    <r>
      <rPr>
        <b/>
        <sz val="11"/>
        <color theme="1"/>
        <rFont val="Calibri"/>
        <family val="2"/>
        <scheme val="minor"/>
      </rPr>
      <t>Male vs Female Admissions</t>
    </r>
    <r>
      <rPr>
        <sz val="11"/>
        <color theme="1"/>
        <rFont val="Calibri"/>
        <family val="2"/>
        <scheme val="minor"/>
      </rPr>
      <t>.</t>
    </r>
  </si>
  <si>
    <t>Which City has the highest Emergency Room Visits?</t>
  </si>
  <si>
    <t>Sum of Emergency_Room_Visits</t>
  </si>
  <si>
    <t>Sum of Number_of_Staff</t>
  </si>
  <si>
    <t>Column Labels</t>
  </si>
  <si>
    <t>Which Department has the highest staff count in a city?</t>
  </si>
  <si>
    <r>
      <t xml:space="preserve">Compare </t>
    </r>
    <r>
      <rPr>
        <b/>
        <sz val="11"/>
        <color theme="1"/>
        <rFont val="Calibri"/>
        <family val="2"/>
        <scheme val="minor"/>
      </rPr>
      <t>Revenue, Profit and Operating Costs by Department</t>
    </r>
  </si>
  <si>
    <t>Which Department has the highest average Length of Stay?</t>
  </si>
  <si>
    <t>Sum of Avg_Length_of_Stay</t>
  </si>
  <si>
    <t>Work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</si>
</sst>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26"/>
      <color theme="1"/>
      <name val="Calibri"/>
      <family val="2"/>
      <scheme val="minor"/>
    </font>
    <font>
      <b/>
      <sz val="22"/>
      <color theme="1"/>
      <name val="Calibri"/>
      <family val="2"/>
      <scheme val="minor"/>
    </font>
  </fonts>
  <fills count="3">
    <fill>
      <patternFill patternType="none"/>
    </fill>
    <fill>
      <patternFill patternType="gray125"/>
    </fill>
    <fill>
      <patternFill patternType="solid">
        <fgColor rgb="FFFFFF00"/>
        <bgColor indexed="64"/>
      </patternFill>
    </fill>
  </fills>
  <borders count="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26">
    <xf numFmtId="0" fontId="0" fillId="0" borderId="0" xfId="0"/>
    <xf numFmtId="14" fontId="0" fillId="0" borderId="0" xfId="0" applyNumberFormat="1"/>
    <xf numFmtId="1"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 xfId="0" pivotButton="1" applyBorder="1"/>
    <xf numFmtId="0" fontId="0" fillId="0" borderId="4" xfId="0" applyBorder="1" applyAlignment="1">
      <alignment horizontal="left"/>
    </xf>
    <xf numFmtId="0" fontId="0" fillId="0" borderId="6" xfId="0" applyBorder="1" applyAlignment="1">
      <alignment horizontal="left"/>
    </xf>
    <xf numFmtId="0" fontId="0" fillId="0" borderId="2" xfId="0" pivotButton="1" applyBorder="1"/>
    <xf numFmtId="0" fontId="0" fillId="0" borderId="4" xfId="0" pivotButton="1" applyBorder="1"/>
    <xf numFmtId="0" fontId="0" fillId="0" borderId="12" xfId="0" applyBorder="1"/>
    <xf numFmtId="0" fontId="0" fillId="0" borderId="13" xfId="0" applyBorder="1"/>
    <xf numFmtId="0" fontId="0" fillId="0" borderId="14" xfId="0" applyBorder="1"/>
    <xf numFmtId="0" fontId="2" fillId="2" borderId="2" xfId="0" applyFont="1" applyFill="1" applyBorder="1" applyAlignment="1">
      <alignment horizontal="center"/>
    </xf>
    <xf numFmtId="0" fontId="2" fillId="2" borderId="0" xfId="0" applyFont="1" applyFill="1" applyAlignment="1">
      <alignment horizontal="center"/>
    </xf>
    <xf numFmtId="0" fontId="3" fillId="2" borderId="2" xfId="0" applyFont="1" applyFill="1" applyBorder="1" applyAlignment="1">
      <alignment horizontal="center"/>
    </xf>
    <xf numFmtId="0" fontId="3" fillId="2" borderId="0" xfId="0" applyFont="1" applyFill="1" applyAlignment="1">
      <alignment horizontal="center"/>
    </xf>
  </cellXfs>
  <cellStyles count="1">
    <cellStyle name="Normal" xfId="0" builtinId="0"/>
  </cellStyles>
  <dxfs count="23">
    <dxf>
      <numFmt numFmtId="0" formatCode="General"/>
    </dxf>
    <dxf>
      <numFmt numFmtId="19" formatCode="dd/mm/yyyy"/>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1.xlsx]Sheet2!PivotTable2</c:name>
    <c:fmtId val="3"/>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Sheet2!$C$28</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cat>
            <c:strRef>
              <c:f>Sheet2!$B$29:$B$44</c:f>
              <c:strCache>
                <c:ptCount val="15"/>
                <c:pt idx="0">
                  <c:v>Lifeline Hospital</c:v>
                </c:pt>
                <c:pt idx="1">
                  <c:v>City Hospital</c:v>
                </c:pt>
                <c:pt idx="2">
                  <c:v>Star Health Clinic</c:v>
                </c:pt>
                <c:pt idx="3">
                  <c:v>Sunrise Hospital</c:v>
                </c:pt>
                <c:pt idx="4">
                  <c:v>Cure Medical Center</c:v>
                </c:pt>
                <c:pt idx="5">
                  <c:v>HealthPlus Medical Center</c:v>
                </c:pt>
                <c:pt idx="6">
                  <c:v>Unity Hospital</c:v>
                </c:pt>
                <c:pt idx="7">
                  <c:v>Prime Care Hospital</c:v>
                </c:pt>
                <c:pt idx="8">
                  <c:v>General Clinic</c:v>
                </c:pt>
                <c:pt idx="9">
                  <c:v>Metro Health</c:v>
                </c:pt>
                <c:pt idx="10">
                  <c:v>Care First Hospital</c:v>
                </c:pt>
                <c:pt idx="11">
                  <c:v>Wellness Hospital</c:v>
                </c:pt>
                <c:pt idx="12">
                  <c:v>Harmony Health</c:v>
                </c:pt>
                <c:pt idx="13">
                  <c:v>Community Care</c:v>
                </c:pt>
                <c:pt idx="14">
                  <c:v>Hope Medical Center</c:v>
                </c:pt>
              </c:strCache>
            </c:strRef>
          </c:cat>
          <c:val>
            <c:numRef>
              <c:f>Sheet2!$C$29:$C$44</c:f>
              <c:numCache>
                <c:formatCode>General</c:formatCode>
                <c:ptCount val="15"/>
                <c:pt idx="0">
                  <c:v>316300562</c:v>
                </c:pt>
                <c:pt idx="1">
                  <c:v>316165565</c:v>
                </c:pt>
                <c:pt idx="2">
                  <c:v>300344480</c:v>
                </c:pt>
                <c:pt idx="3">
                  <c:v>298697522</c:v>
                </c:pt>
                <c:pt idx="4">
                  <c:v>297908670</c:v>
                </c:pt>
                <c:pt idx="5">
                  <c:v>265257466</c:v>
                </c:pt>
                <c:pt idx="6">
                  <c:v>264898146</c:v>
                </c:pt>
                <c:pt idx="7">
                  <c:v>249943509</c:v>
                </c:pt>
                <c:pt idx="8">
                  <c:v>249581990</c:v>
                </c:pt>
                <c:pt idx="9">
                  <c:v>248404755</c:v>
                </c:pt>
                <c:pt idx="10">
                  <c:v>234979820</c:v>
                </c:pt>
                <c:pt idx="11">
                  <c:v>234415980</c:v>
                </c:pt>
                <c:pt idx="12">
                  <c:v>203482569</c:v>
                </c:pt>
                <c:pt idx="13">
                  <c:v>184200473</c:v>
                </c:pt>
                <c:pt idx="14">
                  <c:v>183239058</c:v>
                </c:pt>
              </c:numCache>
            </c:numRef>
          </c:val>
          <c:extLst>
            <c:ext xmlns:c16="http://schemas.microsoft.com/office/drawing/2014/chart" uri="{C3380CC4-5D6E-409C-BE32-E72D297353CC}">
              <c16:uniqueId val="{00000000-D411-469B-B335-1E0613127F54}"/>
            </c:ext>
          </c:extLst>
        </c:ser>
        <c:dLbls>
          <c:showLegendKey val="0"/>
          <c:showVal val="0"/>
          <c:showCatName val="0"/>
          <c:showSerName val="0"/>
          <c:showPercent val="0"/>
          <c:showBubbleSize val="0"/>
        </c:dLbls>
        <c:gapWidth val="150"/>
        <c:gapDepth val="0"/>
        <c:shape val="box"/>
        <c:axId val="898238992"/>
        <c:axId val="890195184"/>
        <c:axId val="0"/>
      </c:bar3DChart>
      <c:catAx>
        <c:axId val="898238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195184"/>
        <c:crosses val="autoZero"/>
        <c:auto val="1"/>
        <c:lblAlgn val="ctr"/>
        <c:lblOffset val="100"/>
        <c:noMultiLvlLbl val="0"/>
      </c:catAx>
      <c:valAx>
        <c:axId val="890195184"/>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23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1.xlsx]Sheet2!PivotTable3</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Sheet2!$C$51</c:f>
              <c:strCache>
                <c:ptCount val="1"/>
                <c:pt idx="0">
                  <c:v>Total</c:v>
                </c:pt>
              </c:strCache>
            </c:strRef>
          </c:tx>
          <c:spPr>
            <a:solidFill>
              <a:schemeClr val="accent1"/>
            </a:solidFill>
            <a:ln>
              <a:noFill/>
            </a:ln>
            <a:effectLst/>
            <a:sp3d/>
          </c:spPr>
          <c:invertIfNegative val="0"/>
          <c:cat>
            <c:strRef>
              <c:f>Sheet2!$B$52:$B$67</c:f>
              <c:strCache>
                <c:ptCount val="15"/>
                <c:pt idx="0">
                  <c:v>HealthPlus Medical Center</c:v>
                </c:pt>
                <c:pt idx="1">
                  <c:v>Star Health Clinic</c:v>
                </c:pt>
                <c:pt idx="2">
                  <c:v>Cure Medical Center</c:v>
                </c:pt>
                <c:pt idx="3">
                  <c:v>Sunrise Hospital</c:v>
                </c:pt>
                <c:pt idx="4">
                  <c:v>Harmony Health</c:v>
                </c:pt>
                <c:pt idx="5">
                  <c:v>Wellness Hospital</c:v>
                </c:pt>
                <c:pt idx="6">
                  <c:v>Care First Hospital</c:v>
                </c:pt>
                <c:pt idx="7">
                  <c:v>Community Care</c:v>
                </c:pt>
                <c:pt idx="8">
                  <c:v>City Hospital</c:v>
                </c:pt>
                <c:pt idx="9">
                  <c:v>Metro Health</c:v>
                </c:pt>
                <c:pt idx="10">
                  <c:v>Unity Hospital</c:v>
                </c:pt>
                <c:pt idx="11">
                  <c:v>General Clinic</c:v>
                </c:pt>
                <c:pt idx="12">
                  <c:v>Prime Care Hospital</c:v>
                </c:pt>
                <c:pt idx="13">
                  <c:v>Hope Medical Center</c:v>
                </c:pt>
                <c:pt idx="14">
                  <c:v>Lifeline Hospital</c:v>
                </c:pt>
              </c:strCache>
            </c:strRef>
          </c:cat>
          <c:val>
            <c:numRef>
              <c:f>Sheet2!$C$52:$C$67</c:f>
              <c:numCache>
                <c:formatCode>General</c:formatCode>
                <c:ptCount val="15"/>
                <c:pt idx="0">
                  <c:v>148141481</c:v>
                </c:pt>
                <c:pt idx="1">
                  <c:v>101856276</c:v>
                </c:pt>
                <c:pt idx="2">
                  <c:v>98576374</c:v>
                </c:pt>
                <c:pt idx="3">
                  <c:v>98024953</c:v>
                </c:pt>
                <c:pt idx="4">
                  <c:v>77388732</c:v>
                </c:pt>
                <c:pt idx="5">
                  <c:v>72198147</c:v>
                </c:pt>
                <c:pt idx="6">
                  <c:v>70196545</c:v>
                </c:pt>
                <c:pt idx="7">
                  <c:v>68226437</c:v>
                </c:pt>
                <c:pt idx="8">
                  <c:v>66933031</c:v>
                </c:pt>
                <c:pt idx="9">
                  <c:v>65479690</c:v>
                </c:pt>
                <c:pt idx="10">
                  <c:v>65438308</c:v>
                </c:pt>
                <c:pt idx="11">
                  <c:v>57420364</c:v>
                </c:pt>
                <c:pt idx="12">
                  <c:v>49687529</c:v>
                </c:pt>
                <c:pt idx="13">
                  <c:v>38970635</c:v>
                </c:pt>
                <c:pt idx="14">
                  <c:v>32843027</c:v>
                </c:pt>
              </c:numCache>
            </c:numRef>
          </c:val>
          <c:extLst>
            <c:ext xmlns:c16="http://schemas.microsoft.com/office/drawing/2014/chart" uri="{C3380CC4-5D6E-409C-BE32-E72D297353CC}">
              <c16:uniqueId val="{00000000-6A0B-4F62-A424-BC41D22B18E7}"/>
            </c:ext>
          </c:extLst>
        </c:ser>
        <c:dLbls>
          <c:showLegendKey val="0"/>
          <c:showVal val="0"/>
          <c:showCatName val="0"/>
          <c:showSerName val="0"/>
          <c:showPercent val="0"/>
          <c:showBubbleSize val="0"/>
        </c:dLbls>
        <c:gapWidth val="150"/>
        <c:shape val="box"/>
        <c:axId val="930027296"/>
        <c:axId val="890160624"/>
        <c:axId val="0"/>
      </c:bar3DChart>
      <c:catAx>
        <c:axId val="930027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160624"/>
        <c:crosses val="autoZero"/>
        <c:auto val="1"/>
        <c:lblAlgn val="ctr"/>
        <c:lblOffset val="100"/>
        <c:noMultiLvlLbl val="0"/>
      </c:catAx>
      <c:valAx>
        <c:axId val="890160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027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1.xlsx]Sheet2!PivotTable4</c:name>
    <c:fmtId val="39"/>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Sheet2!$C$75</c:f>
              <c:strCache>
                <c:ptCount val="1"/>
                <c:pt idx="0">
                  <c:v>Sum of Revenue</c:v>
                </c:pt>
              </c:strCache>
            </c:strRef>
          </c:tx>
          <c:spPr>
            <a:solidFill>
              <a:schemeClr val="accent1"/>
            </a:solidFill>
            <a:ln>
              <a:noFill/>
            </a:ln>
            <a:effectLst/>
            <a:sp3d/>
          </c:spPr>
          <c:cat>
            <c:strRef>
              <c:f>Sheet2!$B$76:$B$91</c:f>
              <c:strCache>
                <c:ptCount val="15"/>
                <c:pt idx="0">
                  <c:v>HealthPlus Medical Center</c:v>
                </c:pt>
                <c:pt idx="1">
                  <c:v>Star Health Clinic</c:v>
                </c:pt>
                <c:pt idx="2">
                  <c:v>Cure Medical Center</c:v>
                </c:pt>
                <c:pt idx="3">
                  <c:v>Sunrise Hospital</c:v>
                </c:pt>
                <c:pt idx="4">
                  <c:v>Harmony Health</c:v>
                </c:pt>
                <c:pt idx="5">
                  <c:v>Wellness Hospital</c:v>
                </c:pt>
                <c:pt idx="6">
                  <c:v>Care First Hospital</c:v>
                </c:pt>
                <c:pt idx="7">
                  <c:v>Community Care</c:v>
                </c:pt>
                <c:pt idx="8">
                  <c:v>City Hospital</c:v>
                </c:pt>
                <c:pt idx="9">
                  <c:v>Metro Health</c:v>
                </c:pt>
                <c:pt idx="10">
                  <c:v>Unity Hospital</c:v>
                </c:pt>
                <c:pt idx="11">
                  <c:v>General Clinic</c:v>
                </c:pt>
                <c:pt idx="12">
                  <c:v>Prime Care Hospital</c:v>
                </c:pt>
                <c:pt idx="13">
                  <c:v>Hope Medical Center</c:v>
                </c:pt>
                <c:pt idx="14">
                  <c:v>Lifeline Hospital</c:v>
                </c:pt>
              </c:strCache>
            </c:strRef>
          </c:cat>
          <c:val>
            <c:numRef>
              <c:f>Sheet2!$C$76:$C$91</c:f>
              <c:numCache>
                <c:formatCode>General</c:formatCode>
                <c:ptCount val="15"/>
                <c:pt idx="0">
                  <c:v>265257466</c:v>
                </c:pt>
                <c:pt idx="1">
                  <c:v>300344480</c:v>
                </c:pt>
                <c:pt idx="2">
                  <c:v>297908670</c:v>
                </c:pt>
                <c:pt idx="3">
                  <c:v>298697522</c:v>
                </c:pt>
                <c:pt idx="4">
                  <c:v>203482569</c:v>
                </c:pt>
                <c:pt idx="5">
                  <c:v>234415980</c:v>
                </c:pt>
                <c:pt idx="6">
                  <c:v>234979820</c:v>
                </c:pt>
                <c:pt idx="7">
                  <c:v>184200473</c:v>
                </c:pt>
                <c:pt idx="8">
                  <c:v>316165565</c:v>
                </c:pt>
                <c:pt idx="9">
                  <c:v>248404755</c:v>
                </c:pt>
                <c:pt idx="10">
                  <c:v>264898146</c:v>
                </c:pt>
                <c:pt idx="11">
                  <c:v>249581990</c:v>
                </c:pt>
                <c:pt idx="12">
                  <c:v>249943509</c:v>
                </c:pt>
                <c:pt idx="13">
                  <c:v>183239058</c:v>
                </c:pt>
                <c:pt idx="14">
                  <c:v>316300562</c:v>
                </c:pt>
              </c:numCache>
            </c:numRef>
          </c:val>
          <c:extLst>
            <c:ext xmlns:c16="http://schemas.microsoft.com/office/drawing/2014/chart" uri="{C3380CC4-5D6E-409C-BE32-E72D297353CC}">
              <c16:uniqueId val="{00000000-B3B7-4904-A64F-2CCC26710566}"/>
            </c:ext>
          </c:extLst>
        </c:ser>
        <c:ser>
          <c:idx val="1"/>
          <c:order val="1"/>
          <c:tx>
            <c:strRef>
              <c:f>Sheet2!$D$75</c:f>
              <c:strCache>
                <c:ptCount val="1"/>
                <c:pt idx="0">
                  <c:v>Sum of profit</c:v>
                </c:pt>
              </c:strCache>
            </c:strRef>
          </c:tx>
          <c:spPr>
            <a:solidFill>
              <a:schemeClr val="accent2"/>
            </a:solidFill>
            <a:ln>
              <a:noFill/>
            </a:ln>
            <a:effectLst/>
            <a:sp3d/>
          </c:spPr>
          <c:cat>
            <c:strRef>
              <c:f>Sheet2!$B$76:$B$91</c:f>
              <c:strCache>
                <c:ptCount val="15"/>
                <c:pt idx="0">
                  <c:v>HealthPlus Medical Center</c:v>
                </c:pt>
                <c:pt idx="1">
                  <c:v>Star Health Clinic</c:v>
                </c:pt>
                <c:pt idx="2">
                  <c:v>Cure Medical Center</c:v>
                </c:pt>
                <c:pt idx="3">
                  <c:v>Sunrise Hospital</c:v>
                </c:pt>
                <c:pt idx="4">
                  <c:v>Harmony Health</c:v>
                </c:pt>
                <c:pt idx="5">
                  <c:v>Wellness Hospital</c:v>
                </c:pt>
                <c:pt idx="6">
                  <c:v>Care First Hospital</c:v>
                </c:pt>
                <c:pt idx="7">
                  <c:v>Community Care</c:v>
                </c:pt>
                <c:pt idx="8">
                  <c:v>City Hospital</c:v>
                </c:pt>
                <c:pt idx="9">
                  <c:v>Metro Health</c:v>
                </c:pt>
                <c:pt idx="10">
                  <c:v>Unity Hospital</c:v>
                </c:pt>
                <c:pt idx="11">
                  <c:v>General Clinic</c:v>
                </c:pt>
                <c:pt idx="12">
                  <c:v>Prime Care Hospital</c:v>
                </c:pt>
                <c:pt idx="13">
                  <c:v>Hope Medical Center</c:v>
                </c:pt>
                <c:pt idx="14">
                  <c:v>Lifeline Hospital</c:v>
                </c:pt>
              </c:strCache>
            </c:strRef>
          </c:cat>
          <c:val>
            <c:numRef>
              <c:f>Sheet2!$D$76:$D$91</c:f>
              <c:numCache>
                <c:formatCode>General</c:formatCode>
                <c:ptCount val="15"/>
                <c:pt idx="0">
                  <c:v>148141481</c:v>
                </c:pt>
                <c:pt idx="1">
                  <c:v>101856276</c:v>
                </c:pt>
                <c:pt idx="2">
                  <c:v>98576374</c:v>
                </c:pt>
                <c:pt idx="3">
                  <c:v>98024953</c:v>
                </c:pt>
                <c:pt idx="4">
                  <c:v>77388732</c:v>
                </c:pt>
                <c:pt idx="5">
                  <c:v>72198147</c:v>
                </c:pt>
                <c:pt idx="6">
                  <c:v>70196545</c:v>
                </c:pt>
                <c:pt idx="7">
                  <c:v>68226437</c:v>
                </c:pt>
                <c:pt idx="8">
                  <c:v>66933031</c:v>
                </c:pt>
                <c:pt idx="9">
                  <c:v>65479690</c:v>
                </c:pt>
                <c:pt idx="10">
                  <c:v>65438308</c:v>
                </c:pt>
                <c:pt idx="11">
                  <c:v>57420364</c:v>
                </c:pt>
                <c:pt idx="12">
                  <c:v>49687529</c:v>
                </c:pt>
                <c:pt idx="13">
                  <c:v>38970635</c:v>
                </c:pt>
                <c:pt idx="14">
                  <c:v>32843027</c:v>
                </c:pt>
              </c:numCache>
            </c:numRef>
          </c:val>
          <c:extLst>
            <c:ext xmlns:c16="http://schemas.microsoft.com/office/drawing/2014/chart" uri="{C3380CC4-5D6E-409C-BE32-E72D297353CC}">
              <c16:uniqueId val="{00000001-B3B7-4904-A64F-2CCC26710566}"/>
            </c:ext>
          </c:extLst>
        </c:ser>
        <c:dLbls>
          <c:showLegendKey val="0"/>
          <c:showVal val="0"/>
          <c:showCatName val="0"/>
          <c:showSerName val="0"/>
          <c:showPercent val="0"/>
          <c:showBubbleSize val="0"/>
        </c:dLbls>
        <c:axId val="1018135568"/>
        <c:axId val="890157744"/>
        <c:axId val="0"/>
      </c:area3DChart>
      <c:catAx>
        <c:axId val="10181355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157744"/>
        <c:crosses val="autoZero"/>
        <c:auto val="1"/>
        <c:lblAlgn val="ctr"/>
        <c:lblOffset val="100"/>
        <c:noMultiLvlLbl val="0"/>
      </c:catAx>
      <c:valAx>
        <c:axId val="890157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1355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1.xlsx]Sheet2!PivotTable5</c:name>
    <c:fmtId val="53"/>
  </c:pivotSource>
  <c:chart>
    <c:title>
      <c:layout>
        <c:manualLayout>
          <c:xMode val="edge"/>
          <c:yMode val="edge"/>
          <c:x val="0.44111111111111118"/>
          <c:y val="4.99052201808107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2128258967629047"/>
          <c:y val="0.21334426946631666"/>
          <c:w val="0.41274956255468059"/>
          <c:h val="0.68791593759113434"/>
        </c:manualLayout>
      </c:layout>
      <c:doughnutChart>
        <c:varyColors val="1"/>
        <c:ser>
          <c:idx val="0"/>
          <c:order val="0"/>
          <c:tx>
            <c:strRef>
              <c:f>Sheet2!$C$99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47C-4039-A180-744FA3AA61A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47C-4039-A180-744FA3AA61A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47C-4039-A180-744FA3AA61AE}"/>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A47C-4039-A180-744FA3AA61AE}"/>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A47C-4039-A180-744FA3AA61AE}"/>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A47C-4039-A180-744FA3AA61AE}"/>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A47C-4039-A180-744FA3AA61AE}"/>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A47C-4039-A180-744FA3AA61AE}"/>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A47C-4039-A180-744FA3AA61AE}"/>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A47C-4039-A180-744FA3AA61AE}"/>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A47C-4039-A180-744FA3AA61AE}"/>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A47C-4039-A180-744FA3AA61AE}"/>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A47C-4039-A180-744FA3AA61AE}"/>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A47C-4039-A180-744FA3AA61AE}"/>
              </c:ext>
            </c:extLst>
          </c:dPt>
          <c:dPt>
            <c:idx val="1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D-A47C-4039-A180-744FA3AA61A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Sheet2!$B$100:$B$115</c:f>
              <c:strCache>
                <c:ptCount val="15"/>
                <c:pt idx="0">
                  <c:v>Pregnancy</c:v>
                </c:pt>
                <c:pt idx="1">
                  <c:v>Heart attack</c:v>
                </c:pt>
                <c:pt idx="2">
                  <c:v>Stroke</c:v>
                </c:pt>
                <c:pt idx="3">
                  <c:v>Depression</c:v>
                </c:pt>
                <c:pt idx="4">
                  <c:v>Hypertension</c:v>
                </c:pt>
                <c:pt idx="5">
                  <c:v>Kidney Disease</c:v>
                </c:pt>
                <c:pt idx="6">
                  <c:v>Gall Stone</c:v>
                </c:pt>
                <c:pt idx="7">
                  <c:v>Diabetes</c:v>
                </c:pt>
                <c:pt idx="8">
                  <c:v>Pneumonia</c:v>
                </c:pt>
                <c:pt idx="9">
                  <c:v>Anemia</c:v>
                </c:pt>
                <c:pt idx="10">
                  <c:v>Heavy Bleeding</c:v>
                </c:pt>
                <c:pt idx="11">
                  <c:v>Migraine</c:v>
                </c:pt>
                <c:pt idx="12">
                  <c:v>Thyroid Disorder</c:v>
                </c:pt>
                <c:pt idx="13">
                  <c:v>Typhoid</c:v>
                </c:pt>
                <c:pt idx="14">
                  <c:v>Breast Cancer</c:v>
                </c:pt>
              </c:strCache>
            </c:strRef>
          </c:cat>
          <c:val>
            <c:numRef>
              <c:f>Sheet2!$C$100:$C$115</c:f>
              <c:numCache>
                <c:formatCode>General</c:formatCode>
                <c:ptCount val="15"/>
                <c:pt idx="0">
                  <c:v>447429403</c:v>
                </c:pt>
                <c:pt idx="1">
                  <c:v>406467720</c:v>
                </c:pt>
                <c:pt idx="2">
                  <c:v>392332301</c:v>
                </c:pt>
                <c:pt idx="3">
                  <c:v>376112789</c:v>
                </c:pt>
                <c:pt idx="4">
                  <c:v>288884307</c:v>
                </c:pt>
                <c:pt idx="5">
                  <c:v>287012095</c:v>
                </c:pt>
                <c:pt idx="6">
                  <c:v>269861478</c:v>
                </c:pt>
                <c:pt idx="7">
                  <c:v>269772104</c:v>
                </c:pt>
                <c:pt idx="8">
                  <c:v>215420334</c:v>
                </c:pt>
                <c:pt idx="9">
                  <c:v>201676788</c:v>
                </c:pt>
                <c:pt idx="10">
                  <c:v>195313360</c:v>
                </c:pt>
                <c:pt idx="11">
                  <c:v>194934916</c:v>
                </c:pt>
                <c:pt idx="12">
                  <c:v>115605037</c:v>
                </c:pt>
                <c:pt idx="13">
                  <c:v>95878371</c:v>
                </c:pt>
                <c:pt idx="14">
                  <c:v>91119562</c:v>
                </c:pt>
              </c:numCache>
            </c:numRef>
          </c:val>
          <c:extLst>
            <c:ext xmlns:c16="http://schemas.microsoft.com/office/drawing/2014/chart" uri="{C3380CC4-5D6E-409C-BE32-E72D297353CC}">
              <c16:uniqueId val="{00000000-5FCF-4832-AD30-B3056DA215BE}"/>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1.xlsx]Sheet2!PivotTable6</c:name>
    <c:fmtId val="5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Sheet2!$C$120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Sheet2!$B$121:$B$123</c:f>
              <c:strCache>
                <c:ptCount val="2"/>
                <c:pt idx="0">
                  <c:v>Male</c:v>
                </c:pt>
                <c:pt idx="1">
                  <c:v>Female</c:v>
                </c:pt>
              </c:strCache>
            </c:strRef>
          </c:cat>
          <c:val>
            <c:numRef>
              <c:f>Sheet2!$C$121:$C$123</c:f>
              <c:numCache>
                <c:formatCode>General</c:formatCode>
                <c:ptCount val="2"/>
                <c:pt idx="0">
                  <c:v>2832</c:v>
                </c:pt>
                <c:pt idx="1">
                  <c:v>2663</c:v>
                </c:pt>
              </c:numCache>
            </c:numRef>
          </c:val>
          <c:extLst>
            <c:ext xmlns:c16="http://schemas.microsoft.com/office/drawing/2014/chart" uri="{C3380CC4-5D6E-409C-BE32-E72D297353CC}">
              <c16:uniqueId val="{00000000-0632-4F3D-8DB8-4FBE0DF53980}"/>
            </c:ext>
          </c:extLst>
        </c:ser>
        <c:dLbls>
          <c:showLegendKey val="0"/>
          <c:showVal val="0"/>
          <c:showCatName val="0"/>
          <c:showSerName val="0"/>
          <c:showPercent val="0"/>
          <c:showBubbleSize val="0"/>
        </c:dLbls>
        <c:gapWidth val="150"/>
        <c:shape val="box"/>
        <c:axId val="1017010960"/>
        <c:axId val="680874032"/>
        <c:axId val="0"/>
      </c:bar3DChart>
      <c:catAx>
        <c:axId val="10170109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874032"/>
        <c:crosses val="autoZero"/>
        <c:auto val="1"/>
        <c:lblAlgn val="ctr"/>
        <c:lblOffset val="100"/>
        <c:noMultiLvlLbl val="0"/>
      </c:catAx>
      <c:valAx>
        <c:axId val="68087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010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1.xlsx]Sheet2!PivotTable7</c:name>
    <c:fmtId val="6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Sheet2!$C$135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Sheet2!$B$136:$B$141</c:f>
              <c:strCache>
                <c:ptCount val="5"/>
                <c:pt idx="0">
                  <c:v>Chandigarh</c:v>
                </c:pt>
                <c:pt idx="1">
                  <c:v>Delhi</c:v>
                </c:pt>
                <c:pt idx="2">
                  <c:v>Hyderabad</c:v>
                </c:pt>
                <c:pt idx="3">
                  <c:v>Jaipur</c:v>
                </c:pt>
                <c:pt idx="4">
                  <c:v>Bangalore</c:v>
                </c:pt>
              </c:strCache>
            </c:strRef>
          </c:cat>
          <c:val>
            <c:numRef>
              <c:f>Sheet2!$C$136:$C$141</c:f>
              <c:numCache>
                <c:formatCode>General</c:formatCode>
                <c:ptCount val="5"/>
                <c:pt idx="0">
                  <c:v>5074</c:v>
                </c:pt>
                <c:pt idx="1">
                  <c:v>5074</c:v>
                </c:pt>
                <c:pt idx="2">
                  <c:v>4959</c:v>
                </c:pt>
                <c:pt idx="3">
                  <c:v>4949</c:v>
                </c:pt>
                <c:pt idx="4">
                  <c:v>4919</c:v>
                </c:pt>
              </c:numCache>
            </c:numRef>
          </c:val>
          <c:extLst>
            <c:ext xmlns:c16="http://schemas.microsoft.com/office/drawing/2014/chart" uri="{C3380CC4-5D6E-409C-BE32-E72D297353CC}">
              <c16:uniqueId val="{00000000-AA71-4A1C-8CFD-7802902FD5A7}"/>
            </c:ext>
          </c:extLst>
        </c:ser>
        <c:dLbls>
          <c:showLegendKey val="0"/>
          <c:showVal val="0"/>
          <c:showCatName val="0"/>
          <c:showSerName val="0"/>
          <c:showPercent val="0"/>
          <c:showBubbleSize val="0"/>
        </c:dLbls>
        <c:gapWidth val="115"/>
        <c:overlap val="-20"/>
        <c:axId val="1018164336"/>
        <c:axId val="680853872"/>
      </c:barChart>
      <c:catAx>
        <c:axId val="101816433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853872"/>
        <c:crosses val="autoZero"/>
        <c:auto val="1"/>
        <c:lblAlgn val="ctr"/>
        <c:lblOffset val="100"/>
        <c:noMultiLvlLbl val="0"/>
      </c:catAx>
      <c:valAx>
        <c:axId val="680853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16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1.xlsx]Sheet2!PivotTable8</c:name>
    <c:fmtId val="79"/>
  </c:pivotSource>
  <c:chart>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Sheet2!$C$151:$C$152</c:f>
              <c:strCache>
                <c:ptCount val="1"/>
                <c:pt idx="0">
                  <c:v>Bangalore</c:v>
                </c:pt>
              </c:strCache>
            </c:strRef>
          </c:tx>
          <c:spPr>
            <a:gradFill>
              <a:gsLst>
                <a:gs pos="100000">
                  <a:schemeClr val="accent1">
                    <a:alpha val="0"/>
                  </a:schemeClr>
                </a:gs>
                <a:gs pos="50000">
                  <a:schemeClr val="accent1"/>
                </a:gs>
              </a:gsLst>
              <a:lin ang="5400000" scaled="0"/>
            </a:gradFill>
            <a:ln>
              <a:noFill/>
            </a:ln>
            <a:effectLst/>
            <a:sp3d/>
          </c:spPr>
          <c:invertIfNegative val="0"/>
          <c:cat>
            <c:strRef>
              <c:f>Sheet2!$B$153:$B$165</c:f>
              <c:strCache>
                <c:ptCount val="12"/>
                <c:pt idx="0">
                  <c:v>pulmonologist</c:v>
                </c:pt>
                <c:pt idx="1">
                  <c:v>psychologist</c:v>
                </c:pt>
                <c:pt idx="2">
                  <c:v>oncologist</c:v>
                </c:pt>
                <c:pt idx="3">
                  <c:v>neurologist</c:v>
                </c:pt>
                <c:pt idx="4">
                  <c:v>Nephrology</c:v>
                </c:pt>
                <c:pt idx="5">
                  <c:v>Internal medicine</c:v>
                </c:pt>
                <c:pt idx="6">
                  <c:v>hematologist</c:v>
                </c:pt>
                <c:pt idx="7">
                  <c:v>gynaecologist</c:v>
                </c:pt>
                <c:pt idx="8">
                  <c:v>general Physician</c:v>
                </c:pt>
                <c:pt idx="9">
                  <c:v>gastroenterologist</c:v>
                </c:pt>
                <c:pt idx="10">
                  <c:v>endocrinologist</c:v>
                </c:pt>
                <c:pt idx="11">
                  <c:v>cardiologist</c:v>
                </c:pt>
              </c:strCache>
            </c:strRef>
          </c:cat>
          <c:val>
            <c:numRef>
              <c:f>Sheet2!$C$153:$C$165</c:f>
              <c:numCache>
                <c:formatCode>General</c:formatCode>
                <c:ptCount val="12"/>
                <c:pt idx="0">
                  <c:v>2095</c:v>
                </c:pt>
                <c:pt idx="1">
                  <c:v>3821</c:v>
                </c:pt>
                <c:pt idx="2">
                  <c:v>1259</c:v>
                </c:pt>
                <c:pt idx="3">
                  <c:v>6487</c:v>
                </c:pt>
                <c:pt idx="4">
                  <c:v>3074</c:v>
                </c:pt>
                <c:pt idx="5">
                  <c:v>932</c:v>
                </c:pt>
                <c:pt idx="6">
                  <c:v>2200</c:v>
                </c:pt>
                <c:pt idx="7">
                  <c:v>6395</c:v>
                </c:pt>
                <c:pt idx="8">
                  <c:v>2841</c:v>
                </c:pt>
                <c:pt idx="9">
                  <c:v>2827</c:v>
                </c:pt>
                <c:pt idx="10">
                  <c:v>3585</c:v>
                </c:pt>
                <c:pt idx="11">
                  <c:v>4136</c:v>
                </c:pt>
              </c:numCache>
            </c:numRef>
          </c:val>
          <c:extLst>
            <c:ext xmlns:c16="http://schemas.microsoft.com/office/drawing/2014/chart" uri="{C3380CC4-5D6E-409C-BE32-E72D297353CC}">
              <c16:uniqueId val="{00000000-7A40-49F4-AE4A-3803095B9D0F}"/>
            </c:ext>
          </c:extLst>
        </c:ser>
        <c:ser>
          <c:idx val="1"/>
          <c:order val="1"/>
          <c:tx>
            <c:strRef>
              <c:f>Sheet2!$D$151:$D$152</c:f>
              <c:strCache>
                <c:ptCount val="1"/>
                <c:pt idx="0">
                  <c:v>Chandigarh</c:v>
                </c:pt>
              </c:strCache>
            </c:strRef>
          </c:tx>
          <c:spPr>
            <a:gradFill>
              <a:gsLst>
                <a:gs pos="100000">
                  <a:schemeClr val="accent2">
                    <a:alpha val="0"/>
                  </a:schemeClr>
                </a:gs>
                <a:gs pos="50000">
                  <a:schemeClr val="accent2"/>
                </a:gs>
              </a:gsLst>
              <a:lin ang="5400000" scaled="0"/>
            </a:gradFill>
            <a:ln>
              <a:noFill/>
            </a:ln>
            <a:effectLst/>
            <a:sp3d/>
          </c:spPr>
          <c:invertIfNegative val="0"/>
          <c:cat>
            <c:strRef>
              <c:f>Sheet2!$B$153:$B$165</c:f>
              <c:strCache>
                <c:ptCount val="12"/>
                <c:pt idx="0">
                  <c:v>pulmonologist</c:v>
                </c:pt>
                <c:pt idx="1">
                  <c:v>psychologist</c:v>
                </c:pt>
                <c:pt idx="2">
                  <c:v>oncologist</c:v>
                </c:pt>
                <c:pt idx="3">
                  <c:v>neurologist</c:v>
                </c:pt>
                <c:pt idx="4">
                  <c:v>Nephrology</c:v>
                </c:pt>
                <c:pt idx="5">
                  <c:v>Internal medicine</c:v>
                </c:pt>
                <c:pt idx="6">
                  <c:v>hematologist</c:v>
                </c:pt>
                <c:pt idx="7">
                  <c:v>gynaecologist</c:v>
                </c:pt>
                <c:pt idx="8">
                  <c:v>general Physician</c:v>
                </c:pt>
                <c:pt idx="9">
                  <c:v>gastroenterologist</c:v>
                </c:pt>
                <c:pt idx="10">
                  <c:v>endocrinologist</c:v>
                </c:pt>
                <c:pt idx="11">
                  <c:v>cardiologist</c:v>
                </c:pt>
              </c:strCache>
            </c:strRef>
          </c:cat>
          <c:val>
            <c:numRef>
              <c:f>Sheet2!$D$153:$D$165</c:f>
              <c:numCache>
                <c:formatCode>General</c:formatCode>
                <c:ptCount val="12"/>
                <c:pt idx="0">
                  <c:v>2758</c:v>
                </c:pt>
                <c:pt idx="1">
                  <c:v>3773</c:v>
                </c:pt>
                <c:pt idx="2">
                  <c:v>1114</c:v>
                </c:pt>
                <c:pt idx="3">
                  <c:v>5333</c:v>
                </c:pt>
                <c:pt idx="4">
                  <c:v>3059</c:v>
                </c:pt>
                <c:pt idx="5">
                  <c:v>921</c:v>
                </c:pt>
                <c:pt idx="6">
                  <c:v>2034</c:v>
                </c:pt>
                <c:pt idx="7">
                  <c:v>6163</c:v>
                </c:pt>
                <c:pt idx="8">
                  <c:v>2894</c:v>
                </c:pt>
                <c:pt idx="9">
                  <c:v>3024</c:v>
                </c:pt>
                <c:pt idx="10">
                  <c:v>4345</c:v>
                </c:pt>
                <c:pt idx="11">
                  <c:v>3603</c:v>
                </c:pt>
              </c:numCache>
            </c:numRef>
          </c:val>
          <c:extLst>
            <c:ext xmlns:c16="http://schemas.microsoft.com/office/drawing/2014/chart" uri="{C3380CC4-5D6E-409C-BE32-E72D297353CC}">
              <c16:uniqueId val="{00000000-437C-42BE-89BB-BC8F5906EA88}"/>
            </c:ext>
          </c:extLst>
        </c:ser>
        <c:ser>
          <c:idx val="2"/>
          <c:order val="2"/>
          <c:tx>
            <c:strRef>
              <c:f>Sheet2!$E$151:$E$152</c:f>
              <c:strCache>
                <c:ptCount val="1"/>
                <c:pt idx="0">
                  <c:v>Delhi</c:v>
                </c:pt>
              </c:strCache>
            </c:strRef>
          </c:tx>
          <c:spPr>
            <a:gradFill>
              <a:gsLst>
                <a:gs pos="100000">
                  <a:schemeClr val="accent3">
                    <a:alpha val="0"/>
                  </a:schemeClr>
                </a:gs>
                <a:gs pos="50000">
                  <a:schemeClr val="accent3"/>
                </a:gs>
              </a:gsLst>
              <a:lin ang="5400000" scaled="0"/>
            </a:gradFill>
            <a:ln>
              <a:noFill/>
            </a:ln>
            <a:effectLst/>
            <a:sp3d/>
          </c:spPr>
          <c:invertIfNegative val="0"/>
          <c:cat>
            <c:strRef>
              <c:f>Sheet2!$B$153:$B$165</c:f>
              <c:strCache>
                <c:ptCount val="12"/>
                <c:pt idx="0">
                  <c:v>pulmonologist</c:v>
                </c:pt>
                <c:pt idx="1">
                  <c:v>psychologist</c:v>
                </c:pt>
                <c:pt idx="2">
                  <c:v>oncologist</c:v>
                </c:pt>
                <c:pt idx="3">
                  <c:v>neurologist</c:v>
                </c:pt>
                <c:pt idx="4">
                  <c:v>Nephrology</c:v>
                </c:pt>
                <c:pt idx="5">
                  <c:v>Internal medicine</c:v>
                </c:pt>
                <c:pt idx="6">
                  <c:v>hematologist</c:v>
                </c:pt>
                <c:pt idx="7">
                  <c:v>gynaecologist</c:v>
                </c:pt>
                <c:pt idx="8">
                  <c:v>general Physician</c:v>
                </c:pt>
                <c:pt idx="9">
                  <c:v>gastroenterologist</c:v>
                </c:pt>
                <c:pt idx="10">
                  <c:v>endocrinologist</c:v>
                </c:pt>
                <c:pt idx="11">
                  <c:v>cardiologist</c:v>
                </c:pt>
              </c:strCache>
            </c:strRef>
          </c:cat>
          <c:val>
            <c:numRef>
              <c:f>Sheet2!$E$153:$E$165</c:f>
              <c:numCache>
                <c:formatCode>General</c:formatCode>
                <c:ptCount val="12"/>
                <c:pt idx="0">
                  <c:v>2156</c:v>
                </c:pt>
                <c:pt idx="1">
                  <c:v>4528</c:v>
                </c:pt>
                <c:pt idx="2">
                  <c:v>750</c:v>
                </c:pt>
                <c:pt idx="3">
                  <c:v>5714</c:v>
                </c:pt>
                <c:pt idx="4">
                  <c:v>3344</c:v>
                </c:pt>
                <c:pt idx="5">
                  <c:v>1039</c:v>
                </c:pt>
                <c:pt idx="6">
                  <c:v>2079</c:v>
                </c:pt>
                <c:pt idx="7">
                  <c:v>6012</c:v>
                </c:pt>
                <c:pt idx="8">
                  <c:v>3607</c:v>
                </c:pt>
                <c:pt idx="9">
                  <c:v>3378</c:v>
                </c:pt>
                <c:pt idx="10">
                  <c:v>4185</c:v>
                </c:pt>
                <c:pt idx="11">
                  <c:v>4298</c:v>
                </c:pt>
              </c:numCache>
            </c:numRef>
          </c:val>
          <c:extLst>
            <c:ext xmlns:c16="http://schemas.microsoft.com/office/drawing/2014/chart" uri="{C3380CC4-5D6E-409C-BE32-E72D297353CC}">
              <c16:uniqueId val="{00000001-437C-42BE-89BB-BC8F5906EA88}"/>
            </c:ext>
          </c:extLst>
        </c:ser>
        <c:ser>
          <c:idx val="3"/>
          <c:order val="3"/>
          <c:tx>
            <c:strRef>
              <c:f>Sheet2!$F$151:$F$152</c:f>
              <c:strCache>
                <c:ptCount val="1"/>
                <c:pt idx="0">
                  <c:v>Hyderabad</c:v>
                </c:pt>
              </c:strCache>
            </c:strRef>
          </c:tx>
          <c:spPr>
            <a:gradFill>
              <a:gsLst>
                <a:gs pos="100000">
                  <a:schemeClr val="accent4">
                    <a:alpha val="0"/>
                  </a:schemeClr>
                </a:gs>
                <a:gs pos="50000">
                  <a:schemeClr val="accent4"/>
                </a:gs>
              </a:gsLst>
              <a:lin ang="5400000" scaled="0"/>
            </a:gradFill>
            <a:ln>
              <a:noFill/>
            </a:ln>
            <a:effectLst/>
            <a:sp3d/>
          </c:spPr>
          <c:invertIfNegative val="0"/>
          <c:cat>
            <c:strRef>
              <c:f>Sheet2!$B$153:$B$165</c:f>
              <c:strCache>
                <c:ptCount val="12"/>
                <c:pt idx="0">
                  <c:v>pulmonologist</c:v>
                </c:pt>
                <c:pt idx="1">
                  <c:v>psychologist</c:v>
                </c:pt>
                <c:pt idx="2">
                  <c:v>oncologist</c:v>
                </c:pt>
                <c:pt idx="3">
                  <c:v>neurologist</c:v>
                </c:pt>
                <c:pt idx="4">
                  <c:v>Nephrology</c:v>
                </c:pt>
                <c:pt idx="5">
                  <c:v>Internal medicine</c:v>
                </c:pt>
                <c:pt idx="6">
                  <c:v>hematologist</c:v>
                </c:pt>
                <c:pt idx="7">
                  <c:v>gynaecologist</c:v>
                </c:pt>
                <c:pt idx="8">
                  <c:v>general Physician</c:v>
                </c:pt>
                <c:pt idx="9">
                  <c:v>gastroenterologist</c:v>
                </c:pt>
                <c:pt idx="10">
                  <c:v>endocrinologist</c:v>
                </c:pt>
                <c:pt idx="11">
                  <c:v>cardiologist</c:v>
                </c:pt>
              </c:strCache>
            </c:strRef>
          </c:cat>
          <c:val>
            <c:numRef>
              <c:f>Sheet2!$F$153:$F$165</c:f>
              <c:numCache>
                <c:formatCode>General</c:formatCode>
                <c:ptCount val="12"/>
                <c:pt idx="0">
                  <c:v>2540</c:v>
                </c:pt>
                <c:pt idx="1">
                  <c:v>4392</c:v>
                </c:pt>
                <c:pt idx="2">
                  <c:v>908</c:v>
                </c:pt>
                <c:pt idx="3">
                  <c:v>6053</c:v>
                </c:pt>
                <c:pt idx="4">
                  <c:v>2509</c:v>
                </c:pt>
                <c:pt idx="5">
                  <c:v>1327</c:v>
                </c:pt>
                <c:pt idx="6">
                  <c:v>1894</c:v>
                </c:pt>
                <c:pt idx="7">
                  <c:v>6510</c:v>
                </c:pt>
                <c:pt idx="8">
                  <c:v>2647</c:v>
                </c:pt>
                <c:pt idx="9">
                  <c:v>2642</c:v>
                </c:pt>
                <c:pt idx="10">
                  <c:v>3248</c:v>
                </c:pt>
                <c:pt idx="11">
                  <c:v>3819</c:v>
                </c:pt>
              </c:numCache>
            </c:numRef>
          </c:val>
          <c:extLst>
            <c:ext xmlns:c16="http://schemas.microsoft.com/office/drawing/2014/chart" uri="{C3380CC4-5D6E-409C-BE32-E72D297353CC}">
              <c16:uniqueId val="{00000002-437C-42BE-89BB-BC8F5906EA88}"/>
            </c:ext>
          </c:extLst>
        </c:ser>
        <c:ser>
          <c:idx val="4"/>
          <c:order val="4"/>
          <c:tx>
            <c:strRef>
              <c:f>Sheet2!$G$151:$G$152</c:f>
              <c:strCache>
                <c:ptCount val="1"/>
                <c:pt idx="0">
                  <c:v>Jaipur</c:v>
                </c:pt>
              </c:strCache>
            </c:strRef>
          </c:tx>
          <c:spPr>
            <a:gradFill>
              <a:gsLst>
                <a:gs pos="100000">
                  <a:schemeClr val="accent5">
                    <a:alpha val="0"/>
                  </a:schemeClr>
                </a:gs>
                <a:gs pos="50000">
                  <a:schemeClr val="accent5"/>
                </a:gs>
              </a:gsLst>
              <a:lin ang="5400000" scaled="0"/>
            </a:gradFill>
            <a:ln>
              <a:noFill/>
            </a:ln>
            <a:effectLst/>
            <a:sp3d/>
          </c:spPr>
          <c:invertIfNegative val="0"/>
          <c:cat>
            <c:strRef>
              <c:f>Sheet2!$B$153:$B$165</c:f>
              <c:strCache>
                <c:ptCount val="12"/>
                <c:pt idx="0">
                  <c:v>pulmonologist</c:v>
                </c:pt>
                <c:pt idx="1">
                  <c:v>psychologist</c:v>
                </c:pt>
                <c:pt idx="2">
                  <c:v>oncologist</c:v>
                </c:pt>
                <c:pt idx="3">
                  <c:v>neurologist</c:v>
                </c:pt>
                <c:pt idx="4">
                  <c:v>Nephrology</c:v>
                </c:pt>
                <c:pt idx="5">
                  <c:v>Internal medicine</c:v>
                </c:pt>
                <c:pt idx="6">
                  <c:v>hematologist</c:v>
                </c:pt>
                <c:pt idx="7">
                  <c:v>gynaecologist</c:v>
                </c:pt>
                <c:pt idx="8">
                  <c:v>general Physician</c:v>
                </c:pt>
                <c:pt idx="9">
                  <c:v>gastroenterologist</c:v>
                </c:pt>
                <c:pt idx="10">
                  <c:v>endocrinologist</c:v>
                </c:pt>
                <c:pt idx="11">
                  <c:v>cardiologist</c:v>
                </c:pt>
              </c:strCache>
            </c:strRef>
          </c:cat>
          <c:val>
            <c:numRef>
              <c:f>Sheet2!$G$153:$G$165</c:f>
              <c:numCache>
                <c:formatCode>General</c:formatCode>
                <c:ptCount val="12"/>
                <c:pt idx="0">
                  <c:v>2196</c:v>
                </c:pt>
                <c:pt idx="1">
                  <c:v>3910</c:v>
                </c:pt>
                <c:pt idx="2">
                  <c:v>721</c:v>
                </c:pt>
                <c:pt idx="3">
                  <c:v>6326</c:v>
                </c:pt>
                <c:pt idx="4">
                  <c:v>2818</c:v>
                </c:pt>
                <c:pt idx="5">
                  <c:v>937</c:v>
                </c:pt>
                <c:pt idx="6">
                  <c:v>2370</c:v>
                </c:pt>
                <c:pt idx="7">
                  <c:v>6068</c:v>
                </c:pt>
                <c:pt idx="8">
                  <c:v>2966</c:v>
                </c:pt>
                <c:pt idx="9">
                  <c:v>1952</c:v>
                </c:pt>
                <c:pt idx="10">
                  <c:v>3596</c:v>
                </c:pt>
                <c:pt idx="11">
                  <c:v>4480</c:v>
                </c:pt>
              </c:numCache>
            </c:numRef>
          </c:val>
          <c:extLst>
            <c:ext xmlns:c16="http://schemas.microsoft.com/office/drawing/2014/chart" uri="{C3380CC4-5D6E-409C-BE32-E72D297353CC}">
              <c16:uniqueId val="{00000003-437C-42BE-89BB-BC8F5906EA88}"/>
            </c:ext>
          </c:extLst>
        </c:ser>
        <c:dLbls>
          <c:showLegendKey val="0"/>
          <c:showVal val="0"/>
          <c:showCatName val="0"/>
          <c:showSerName val="0"/>
          <c:showPercent val="0"/>
          <c:showBubbleSize val="0"/>
        </c:dLbls>
        <c:gapWidth val="150"/>
        <c:gapDepth val="0"/>
        <c:shape val="box"/>
        <c:axId val="752876880"/>
        <c:axId val="1083495984"/>
        <c:axId val="0"/>
      </c:bar3DChart>
      <c:catAx>
        <c:axId val="752876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495984"/>
        <c:crosses val="autoZero"/>
        <c:auto val="1"/>
        <c:lblAlgn val="ctr"/>
        <c:lblOffset val="100"/>
        <c:noMultiLvlLbl val="0"/>
      </c:catAx>
      <c:valAx>
        <c:axId val="1083495984"/>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87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1.xlsx]Sheet2!PivotTable9</c:name>
    <c:fmtId val="9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Sheet2!$C$175</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Sheet2!$B$176:$B$188</c:f>
              <c:strCache>
                <c:ptCount val="12"/>
                <c:pt idx="0">
                  <c:v>pulmonologist</c:v>
                </c:pt>
                <c:pt idx="1">
                  <c:v>psychologist</c:v>
                </c:pt>
                <c:pt idx="2">
                  <c:v>oncologist</c:v>
                </c:pt>
                <c:pt idx="3">
                  <c:v>neurologist</c:v>
                </c:pt>
                <c:pt idx="4">
                  <c:v>Nephrology</c:v>
                </c:pt>
                <c:pt idx="5">
                  <c:v>Internal medicine</c:v>
                </c:pt>
                <c:pt idx="6">
                  <c:v>hematologist</c:v>
                </c:pt>
                <c:pt idx="7">
                  <c:v>gynaecologist</c:v>
                </c:pt>
                <c:pt idx="8">
                  <c:v>general Physician</c:v>
                </c:pt>
                <c:pt idx="9">
                  <c:v>gastroenterologist</c:v>
                </c:pt>
                <c:pt idx="10">
                  <c:v>endocrinologist</c:v>
                </c:pt>
                <c:pt idx="11">
                  <c:v>cardiologist</c:v>
                </c:pt>
              </c:strCache>
            </c:strRef>
          </c:cat>
          <c:val>
            <c:numRef>
              <c:f>Sheet2!$C$176:$C$188</c:f>
              <c:numCache>
                <c:formatCode>General</c:formatCode>
                <c:ptCount val="12"/>
                <c:pt idx="0">
                  <c:v>59755341</c:v>
                </c:pt>
                <c:pt idx="1">
                  <c:v>107327549</c:v>
                </c:pt>
                <c:pt idx="2">
                  <c:v>27473807</c:v>
                </c:pt>
                <c:pt idx="3">
                  <c:v>166947570</c:v>
                </c:pt>
                <c:pt idx="4">
                  <c:v>81321076</c:v>
                </c:pt>
                <c:pt idx="5">
                  <c:v>27893799</c:v>
                </c:pt>
                <c:pt idx="6">
                  <c:v>58860111</c:v>
                </c:pt>
                <c:pt idx="7">
                  <c:v>190968953</c:v>
                </c:pt>
                <c:pt idx="8">
                  <c:v>83233658</c:v>
                </c:pt>
                <c:pt idx="9">
                  <c:v>78546121</c:v>
                </c:pt>
                <c:pt idx="10">
                  <c:v>110352740</c:v>
                </c:pt>
                <c:pt idx="11">
                  <c:v>118700804</c:v>
                </c:pt>
              </c:numCache>
            </c:numRef>
          </c:val>
          <c:extLst>
            <c:ext xmlns:c16="http://schemas.microsoft.com/office/drawing/2014/chart" uri="{C3380CC4-5D6E-409C-BE32-E72D297353CC}">
              <c16:uniqueId val="{00000000-8687-406B-8CA8-25B8469690DE}"/>
            </c:ext>
          </c:extLst>
        </c:ser>
        <c:ser>
          <c:idx val="1"/>
          <c:order val="1"/>
          <c:tx>
            <c:strRef>
              <c:f>Sheet2!$D$175</c:f>
              <c:strCache>
                <c:ptCount val="1"/>
                <c:pt idx="0">
                  <c:v>Sum of Operating_Costs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cat>
            <c:strRef>
              <c:f>Sheet2!$B$176:$B$188</c:f>
              <c:strCache>
                <c:ptCount val="12"/>
                <c:pt idx="0">
                  <c:v>pulmonologist</c:v>
                </c:pt>
                <c:pt idx="1">
                  <c:v>psychologist</c:v>
                </c:pt>
                <c:pt idx="2">
                  <c:v>oncologist</c:v>
                </c:pt>
                <c:pt idx="3">
                  <c:v>neurologist</c:v>
                </c:pt>
                <c:pt idx="4">
                  <c:v>Nephrology</c:v>
                </c:pt>
                <c:pt idx="5">
                  <c:v>Internal medicine</c:v>
                </c:pt>
                <c:pt idx="6">
                  <c:v>hematologist</c:v>
                </c:pt>
                <c:pt idx="7">
                  <c:v>gynaecologist</c:v>
                </c:pt>
                <c:pt idx="8">
                  <c:v>general Physician</c:v>
                </c:pt>
                <c:pt idx="9">
                  <c:v>gastroenterologist</c:v>
                </c:pt>
                <c:pt idx="10">
                  <c:v>endocrinologist</c:v>
                </c:pt>
                <c:pt idx="11">
                  <c:v>cardiologist</c:v>
                </c:pt>
              </c:strCache>
            </c:strRef>
          </c:cat>
          <c:val>
            <c:numRef>
              <c:f>Sheet2!$D$176:$D$188</c:f>
              <c:numCache>
                <c:formatCode>General</c:formatCode>
                <c:ptCount val="12"/>
                <c:pt idx="0">
                  <c:v>155664993</c:v>
                </c:pt>
                <c:pt idx="1">
                  <c:v>268785240</c:v>
                </c:pt>
                <c:pt idx="2">
                  <c:v>63645755</c:v>
                </c:pt>
                <c:pt idx="3">
                  <c:v>420319647</c:v>
                </c:pt>
                <c:pt idx="4">
                  <c:v>205691019</c:v>
                </c:pt>
                <c:pt idx="5">
                  <c:v>67984572</c:v>
                </c:pt>
                <c:pt idx="6">
                  <c:v>142816677</c:v>
                </c:pt>
                <c:pt idx="7">
                  <c:v>451773810</c:v>
                </c:pt>
                <c:pt idx="8">
                  <c:v>205650649</c:v>
                </c:pt>
                <c:pt idx="9">
                  <c:v>191315357</c:v>
                </c:pt>
                <c:pt idx="10">
                  <c:v>275024401</c:v>
                </c:pt>
                <c:pt idx="11">
                  <c:v>287766916</c:v>
                </c:pt>
              </c:numCache>
            </c:numRef>
          </c:val>
          <c:extLst>
            <c:ext xmlns:c16="http://schemas.microsoft.com/office/drawing/2014/chart" uri="{C3380CC4-5D6E-409C-BE32-E72D297353CC}">
              <c16:uniqueId val="{00000001-8687-406B-8CA8-25B8469690DE}"/>
            </c:ext>
          </c:extLst>
        </c:ser>
        <c:dLbls>
          <c:showLegendKey val="0"/>
          <c:showVal val="0"/>
          <c:showCatName val="0"/>
          <c:showSerName val="0"/>
          <c:showPercent val="0"/>
          <c:showBubbleSize val="0"/>
        </c:dLbls>
        <c:gapWidth val="150"/>
        <c:shape val="box"/>
        <c:axId val="1066915072"/>
        <c:axId val="1083504144"/>
        <c:axId val="0"/>
      </c:bar3DChart>
      <c:catAx>
        <c:axId val="106691507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83504144"/>
        <c:crosses val="autoZero"/>
        <c:auto val="1"/>
        <c:lblAlgn val="ctr"/>
        <c:lblOffset val="100"/>
        <c:noMultiLvlLbl val="0"/>
      </c:catAx>
      <c:valAx>
        <c:axId val="108350414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6691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 1.xlsx]Sheet2!PivotTable10</c:name>
    <c:fmtId val="98"/>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Sheet2!$C$194</c:f>
              <c:strCache>
                <c:ptCount val="1"/>
                <c:pt idx="0">
                  <c:v>Total</c:v>
                </c:pt>
              </c:strCache>
            </c:strRef>
          </c:tx>
          <c:spPr>
            <a:ln w="34925" cap="rnd">
              <a:solidFill>
                <a:schemeClr val="lt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cat>
            <c:strRef>
              <c:f>Sheet2!$B$195:$B$207</c:f>
              <c:strCache>
                <c:ptCount val="12"/>
                <c:pt idx="0">
                  <c:v>gynaecologist</c:v>
                </c:pt>
                <c:pt idx="1">
                  <c:v>neurologist</c:v>
                </c:pt>
                <c:pt idx="2">
                  <c:v>cardiologist</c:v>
                </c:pt>
                <c:pt idx="3">
                  <c:v>endocrinologist</c:v>
                </c:pt>
                <c:pt idx="4">
                  <c:v>psychologist</c:v>
                </c:pt>
                <c:pt idx="5">
                  <c:v>general Physician</c:v>
                </c:pt>
                <c:pt idx="6">
                  <c:v>Nephrology</c:v>
                </c:pt>
                <c:pt idx="7">
                  <c:v>gastroenterologist</c:v>
                </c:pt>
                <c:pt idx="8">
                  <c:v>pulmonologist</c:v>
                </c:pt>
                <c:pt idx="9">
                  <c:v>hematologist</c:v>
                </c:pt>
                <c:pt idx="10">
                  <c:v>Internal medicine</c:v>
                </c:pt>
                <c:pt idx="11">
                  <c:v>oncologist</c:v>
                </c:pt>
              </c:strCache>
            </c:strRef>
          </c:cat>
          <c:val>
            <c:numRef>
              <c:f>Sheet2!$C$195:$C$207</c:f>
              <c:numCache>
                <c:formatCode>General</c:formatCode>
                <c:ptCount val="12"/>
                <c:pt idx="0">
                  <c:v>3299.1999999999957</c:v>
                </c:pt>
                <c:pt idx="1">
                  <c:v>2993.3000000000006</c:v>
                </c:pt>
                <c:pt idx="2">
                  <c:v>2166.5999999999995</c:v>
                </c:pt>
                <c:pt idx="3">
                  <c:v>2063.2000000000016</c:v>
                </c:pt>
                <c:pt idx="4">
                  <c:v>1918.9000000000003</c:v>
                </c:pt>
                <c:pt idx="5">
                  <c:v>1514.5999999999992</c:v>
                </c:pt>
                <c:pt idx="6">
                  <c:v>1442.6999999999994</c:v>
                </c:pt>
                <c:pt idx="7">
                  <c:v>1363.8</c:v>
                </c:pt>
                <c:pt idx="8">
                  <c:v>1130.3999999999996</c:v>
                </c:pt>
                <c:pt idx="9">
                  <c:v>1013.9000000000007</c:v>
                </c:pt>
                <c:pt idx="10">
                  <c:v>505.49999999999983</c:v>
                </c:pt>
                <c:pt idx="11">
                  <c:v>424.29999999999995</c:v>
                </c:pt>
              </c:numCache>
            </c:numRef>
          </c:val>
          <c:smooth val="0"/>
          <c:extLst>
            <c:ext xmlns:c16="http://schemas.microsoft.com/office/drawing/2014/chart" uri="{C3380CC4-5D6E-409C-BE32-E72D297353CC}">
              <c16:uniqueId val="{00000000-2570-4F81-82DF-E08818FACCE6}"/>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57755712"/>
        <c:axId val="1083544464"/>
      </c:lineChart>
      <c:catAx>
        <c:axId val="105775571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083544464"/>
        <c:crosses val="autoZero"/>
        <c:auto val="1"/>
        <c:lblAlgn val="ctr"/>
        <c:lblOffset val="100"/>
        <c:noMultiLvlLbl val="0"/>
      </c:catAx>
      <c:valAx>
        <c:axId val="1083544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5775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1.xlsx]Sheet2!PivotTable2</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Sheet2!$C$28</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Sheet2!$B$29:$B$44</c:f>
              <c:strCache>
                <c:ptCount val="15"/>
                <c:pt idx="0">
                  <c:v>Lifeline Hospital</c:v>
                </c:pt>
                <c:pt idx="1">
                  <c:v>City Hospital</c:v>
                </c:pt>
                <c:pt idx="2">
                  <c:v>Star Health Clinic</c:v>
                </c:pt>
                <c:pt idx="3">
                  <c:v>Sunrise Hospital</c:v>
                </c:pt>
                <c:pt idx="4">
                  <c:v>Cure Medical Center</c:v>
                </c:pt>
                <c:pt idx="5">
                  <c:v>HealthPlus Medical Center</c:v>
                </c:pt>
                <c:pt idx="6">
                  <c:v>Unity Hospital</c:v>
                </c:pt>
                <c:pt idx="7">
                  <c:v>Prime Care Hospital</c:v>
                </c:pt>
                <c:pt idx="8">
                  <c:v>General Clinic</c:v>
                </c:pt>
                <c:pt idx="9">
                  <c:v>Metro Health</c:v>
                </c:pt>
                <c:pt idx="10">
                  <c:v>Care First Hospital</c:v>
                </c:pt>
                <c:pt idx="11">
                  <c:v>Wellness Hospital</c:v>
                </c:pt>
                <c:pt idx="12">
                  <c:v>Harmony Health</c:v>
                </c:pt>
                <c:pt idx="13">
                  <c:v>Community Care</c:v>
                </c:pt>
                <c:pt idx="14">
                  <c:v>Hope Medical Center</c:v>
                </c:pt>
              </c:strCache>
            </c:strRef>
          </c:cat>
          <c:val>
            <c:numRef>
              <c:f>Sheet2!$C$29:$C$44</c:f>
              <c:numCache>
                <c:formatCode>General</c:formatCode>
                <c:ptCount val="15"/>
                <c:pt idx="0">
                  <c:v>316300562</c:v>
                </c:pt>
                <c:pt idx="1">
                  <c:v>316165565</c:v>
                </c:pt>
                <c:pt idx="2">
                  <c:v>300344480</c:v>
                </c:pt>
                <c:pt idx="3">
                  <c:v>298697522</c:v>
                </c:pt>
                <c:pt idx="4">
                  <c:v>297908670</c:v>
                </c:pt>
                <c:pt idx="5">
                  <c:v>265257466</c:v>
                </c:pt>
                <c:pt idx="6">
                  <c:v>264898146</c:v>
                </c:pt>
                <c:pt idx="7">
                  <c:v>249943509</c:v>
                </c:pt>
                <c:pt idx="8">
                  <c:v>249581990</c:v>
                </c:pt>
                <c:pt idx="9">
                  <c:v>248404755</c:v>
                </c:pt>
                <c:pt idx="10">
                  <c:v>234979820</c:v>
                </c:pt>
                <c:pt idx="11">
                  <c:v>234415980</c:v>
                </c:pt>
                <c:pt idx="12">
                  <c:v>203482569</c:v>
                </c:pt>
                <c:pt idx="13">
                  <c:v>184200473</c:v>
                </c:pt>
                <c:pt idx="14">
                  <c:v>183239058</c:v>
                </c:pt>
              </c:numCache>
            </c:numRef>
          </c:val>
          <c:extLst>
            <c:ext xmlns:c16="http://schemas.microsoft.com/office/drawing/2014/chart" uri="{C3380CC4-5D6E-409C-BE32-E72D297353CC}">
              <c16:uniqueId val="{00000000-2D6F-4B1F-B4F3-8A3FB5AA10C4}"/>
            </c:ext>
          </c:extLst>
        </c:ser>
        <c:dLbls>
          <c:showLegendKey val="0"/>
          <c:showVal val="0"/>
          <c:showCatName val="0"/>
          <c:showSerName val="0"/>
          <c:showPercent val="0"/>
          <c:showBubbleSize val="0"/>
        </c:dLbls>
        <c:gapWidth val="65"/>
        <c:shape val="box"/>
        <c:axId val="898238992"/>
        <c:axId val="890195184"/>
        <c:axId val="0"/>
      </c:bar3DChart>
      <c:catAx>
        <c:axId val="8982389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90195184"/>
        <c:crosses val="autoZero"/>
        <c:auto val="1"/>
        <c:lblAlgn val="ctr"/>
        <c:lblOffset val="100"/>
        <c:noMultiLvlLbl val="0"/>
      </c:catAx>
      <c:valAx>
        <c:axId val="890195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982389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dk1">
          <a:lumMod val="25000"/>
          <a:lumOff val="7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1.xlsx]Sheet2!PivotTable3</c:name>
    <c:fmtId val="1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Sheet2!$C$51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Sheet2!$B$52:$B$67</c:f>
              <c:strCache>
                <c:ptCount val="15"/>
                <c:pt idx="0">
                  <c:v>HealthPlus Medical Center</c:v>
                </c:pt>
                <c:pt idx="1">
                  <c:v>Star Health Clinic</c:v>
                </c:pt>
                <c:pt idx="2">
                  <c:v>Cure Medical Center</c:v>
                </c:pt>
                <c:pt idx="3">
                  <c:v>Sunrise Hospital</c:v>
                </c:pt>
                <c:pt idx="4">
                  <c:v>Harmony Health</c:v>
                </c:pt>
                <c:pt idx="5">
                  <c:v>Wellness Hospital</c:v>
                </c:pt>
                <c:pt idx="6">
                  <c:v>Care First Hospital</c:v>
                </c:pt>
                <c:pt idx="7">
                  <c:v>Community Care</c:v>
                </c:pt>
                <c:pt idx="8">
                  <c:v>City Hospital</c:v>
                </c:pt>
                <c:pt idx="9">
                  <c:v>Metro Health</c:v>
                </c:pt>
                <c:pt idx="10">
                  <c:v>Unity Hospital</c:v>
                </c:pt>
                <c:pt idx="11">
                  <c:v>General Clinic</c:v>
                </c:pt>
                <c:pt idx="12">
                  <c:v>Prime Care Hospital</c:v>
                </c:pt>
                <c:pt idx="13">
                  <c:v>Hope Medical Center</c:v>
                </c:pt>
                <c:pt idx="14">
                  <c:v>Lifeline Hospital</c:v>
                </c:pt>
              </c:strCache>
            </c:strRef>
          </c:cat>
          <c:val>
            <c:numRef>
              <c:f>Sheet2!$C$52:$C$67</c:f>
              <c:numCache>
                <c:formatCode>General</c:formatCode>
                <c:ptCount val="15"/>
                <c:pt idx="0">
                  <c:v>148141481</c:v>
                </c:pt>
                <c:pt idx="1">
                  <c:v>101856276</c:v>
                </c:pt>
                <c:pt idx="2">
                  <c:v>98576374</c:v>
                </c:pt>
                <c:pt idx="3">
                  <c:v>98024953</c:v>
                </c:pt>
                <c:pt idx="4">
                  <c:v>77388732</c:v>
                </c:pt>
                <c:pt idx="5">
                  <c:v>72198147</c:v>
                </c:pt>
                <c:pt idx="6">
                  <c:v>70196545</c:v>
                </c:pt>
                <c:pt idx="7">
                  <c:v>68226437</c:v>
                </c:pt>
                <c:pt idx="8">
                  <c:v>66933031</c:v>
                </c:pt>
                <c:pt idx="9">
                  <c:v>65479690</c:v>
                </c:pt>
                <c:pt idx="10">
                  <c:v>65438308</c:v>
                </c:pt>
                <c:pt idx="11">
                  <c:v>57420364</c:v>
                </c:pt>
                <c:pt idx="12">
                  <c:v>49687529</c:v>
                </c:pt>
                <c:pt idx="13">
                  <c:v>38970635</c:v>
                </c:pt>
                <c:pt idx="14">
                  <c:v>32843027</c:v>
                </c:pt>
              </c:numCache>
            </c:numRef>
          </c:val>
          <c:extLst>
            <c:ext xmlns:c16="http://schemas.microsoft.com/office/drawing/2014/chart" uri="{C3380CC4-5D6E-409C-BE32-E72D297353CC}">
              <c16:uniqueId val="{00000000-06F7-4676-8A0D-62A2280BD319}"/>
            </c:ext>
          </c:extLst>
        </c:ser>
        <c:dLbls>
          <c:showLegendKey val="0"/>
          <c:showVal val="0"/>
          <c:showCatName val="0"/>
          <c:showSerName val="0"/>
          <c:showPercent val="0"/>
          <c:showBubbleSize val="0"/>
        </c:dLbls>
        <c:gapWidth val="65"/>
        <c:shape val="box"/>
        <c:axId val="930027296"/>
        <c:axId val="890160624"/>
        <c:axId val="0"/>
      </c:bar3DChart>
      <c:catAx>
        <c:axId val="9300272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90160624"/>
        <c:crosses val="autoZero"/>
        <c:auto val="1"/>
        <c:lblAlgn val="ctr"/>
        <c:lblOffset val="100"/>
        <c:noMultiLvlLbl val="0"/>
      </c:catAx>
      <c:valAx>
        <c:axId val="890160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3002729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dk1">
          <a:lumMod val="25000"/>
          <a:lumOff val="7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1.xlsx]Sheet2!PivotTable4</c:name>
    <c:fmtId val="4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Sheet2!$C$75</c:f>
              <c:strCache>
                <c:ptCount val="1"/>
                <c:pt idx="0">
                  <c:v>Sum of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Sheet2!$B$76:$B$91</c:f>
              <c:strCache>
                <c:ptCount val="15"/>
                <c:pt idx="0">
                  <c:v>HealthPlus Medical Center</c:v>
                </c:pt>
                <c:pt idx="1">
                  <c:v>Star Health Clinic</c:v>
                </c:pt>
                <c:pt idx="2">
                  <c:v>Cure Medical Center</c:v>
                </c:pt>
                <c:pt idx="3">
                  <c:v>Sunrise Hospital</c:v>
                </c:pt>
                <c:pt idx="4">
                  <c:v>Harmony Health</c:v>
                </c:pt>
                <c:pt idx="5">
                  <c:v>Wellness Hospital</c:v>
                </c:pt>
                <c:pt idx="6">
                  <c:v>Care First Hospital</c:v>
                </c:pt>
                <c:pt idx="7">
                  <c:v>Community Care</c:v>
                </c:pt>
                <c:pt idx="8">
                  <c:v>City Hospital</c:v>
                </c:pt>
                <c:pt idx="9">
                  <c:v>Metro Health</c:v>
                </c:pt>
                <c:pt idx="10">
                  <c:v>Unity Hospital</c:v>
                </c:pt>
                <c:pt idx="11">
                  <c:v>General Clinic</c:v>
                </c:pt>
                <c:pt idx="12">
                  <c:v>Prime Care Hospital</c:v>
                </c:pt>
                <c:pt idx="13">
                  <c:v>Hope Medical Center</c:v>
                </c:pt>
                <c:pt idx="14">
                  <c:v>Lifeline Hospital</c:v>
                </c:pt>
              </c:strCache>
            </c:strRef>
          </c:cat>
          <c:val>
            <c:numRef>
              <c:f>Sheet2!$C$76:$C$91</c:f>
              <c:numCache>
                <c:formatCode>General</c:formatCode>
                <c:ptCount val="15"/>
                <c:pt idx="0">
                  <c:v>265257466</c:v>
                </c:pt>
                <c:pt idx="1">
                  <c:v>300344480</c:v>
                </c:pt>
                <c:pt idx="2">
                  <c:v>297908670</c:v>
                </c:pt>
                <c:pt idx="3">
                  <c:v>298697522</c:v>
                </c:pt>
                <c:pt idx="4">
                  <c:v>203482569</c:v>
                </c:pt>
                <c:pt idx="5">
                  <c:v>234415980</c:v>
                </c:pt>
                <c:pt idx="6">
                  <c:v>234979820</c:v>
                </c:pt>
                <c:pt idx="7">
                  <c:v>184200473</c:v>
                </c:pt>
                <c:pt idx="8">
                  <c:v>316165565</c:v>
                </c:pt>
                <c:pt idx="9">
                  <c:v>248404755</c:v>
                </c:pt>
                <c:pt idx="10">
                  <c:v>264898146</c:v>
                </c:pt>
                <c:pt idx="11">
                  <c:v>249581990</c:v>
                </c:pt>
                <c:pt idx="12">
                  <c:v>249943509</c:v>
                </c:pt>
                <c:pt idx="13">
                  <c:v>183239058</c:v>
                </c:pt>
                <c:pt idx="14">
                  <c:v>316300562</c:v>
                </c:pt>
              </c:numCache>
            </c:numRef>
          </c:val>
          <c:extLst>
            <c:ext xmlns:c16="http://schemas.microsoft.com/office/drawing/2014/chart" uri="{C3380CC4-5D6E-409C-BE32-E72D297353CC}">
              <c16:uniqueId val="{00000000-7708-436F-8473-6E58FC79A03F}"/>
            </c:ext>
          </c:extLst>
        </c:ser>
        <c:ser>
          <c:idx val="1"/>
          <c:order val="1"/>
          <c:tx>
            <c:strRef>
              <c:f>Sheet2!$D$75</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Sheet2!$B$76:$B$91</c:f>
              <c:strCache>
                <c:ptCount val="15"/>
                <c:pt idx="0">
                  <c:v>HealthPlus Medical Center</c:v>
                </c:pt>
                <c:pt idx="1">
                  <c:v>Star Health Clinic</c:v>
                </c:pt>
                <c:pt idx="2">
                  <c:v>Cure Medical Center</c:v>
                </c:pt>
                <c:pt idx="3">
                  <c:v>Sunrise Hospital</c:v>
                </c:pt>
                <c:pt idx="4">
                  <c:v>Harmony Health</c:v>
                </c:pt>
                <c:pt idx="5">
                  <c:v>Wellness Hospital</c:v>
                </c:pt>
                <c:pt idx="6">
                  <c:v>Care First Hospital</c:v>
                </c:pt>
                <c:pt idx="7">
                  <c:v>Community Care</c:v>
                </c:pt>
                <c:pt idx="8">
                  <c:v>City Hospital</c:v>
                </c:pt>
                <c:pt idx="9">
                  <c:v>Metro Health</c:v>
                </c:pt>
                <c:pt idx="10">
                  <c:v>Unity Hospital</c:v>
                </c:pt>
                <c:pt idx="11">
                  <c:v>General Clinic</c:v>
                </c:pt>
                <c:pt idx="12">
                  <c:v>Prime Care Hospital</c:v>
                </c:pt>
                <c:pt idx="13">
                  <c:v>Hope Medical Center</c:v>
                </c:pt>
                <c:pt idx="14">
                  <c:v>Lifeline Hospital</c:v>
                </c:pt>
              </c:strCache>
            </c:strRef>
          </c:cat>
          <c:val>
            <c:numRef>
              <c:f>Sheet2!$D$76:$D$91</c:f>
              <c:numCache>
                <c:formatCode>General</c:formatCode>
                <c:ptCount val="15"/>
                <c:pt idx="0">
                  <c:v>148141481</c:v>
                </c:pt>
                <c:pt idx="1">
                  <c:v>101856276</c:v>
                </c:pt>
                <c:pt idx="2">
                  <c:v>98576374</c:v>
                </c:pt>
                <c:pt idx="3">
                  <c:v>98024953</c:v>
                </c:pt>
                <c:pt idx="4">
                  <c:v>77388732</c:v>
                </c:pt>
                <c:pt idx="5">
                  <c:v>72198147</c:v>
                </c:pt>
                <c:pt idx="6">
                  <c:v>70196545</c:v>
                </c:pt>
                <c:pt idx="7">
                  <c:v>68226437</c:v>
                </c:pt>
                <c:pt idx="8">
                  <c:v>66933031</c:v>
                </c:pt>
                <c:pt idx="9">
                  <c:v>65479690</c:v>
                </c:pt>
                <c:pt idx="10">
                  <c:v>65438308</c:v>
                </c:pt>
                <c:pt idx="11">
                  <c:v>57420364</c:v>
                </c:pt>
                <c:pt idx="12">
                  <c:v>49687529</c:v>
                </c:pt>
                <c:pt idx="13">
                  <c:v>38970635</c:v>
                </c:pt>
                <c:pt idx="14">
                  <c:v>32843027</c:v>
                </c:pt>
              </c:numCache>
            </c:numRef>
          </c:val>
          <c:extLst>
            <c:ext xmlns:c16="http://schemas.microsoft.com/office/drawing/2014/chart" uri="{C3380CC4-5D6E-409C-BE32-E72D297353CC}">
              <c16:uniqueId val="{00000001-7708-436F-8473-6E58FC79A03F}"/>
            </c:ext>
          </c:extLst>
        </c:ser>
        <c:dLbls>
          <c:showLegendKey val="0"/>
          <c:showVal val="0"/>
          <c:showCatName val="0"/>
          <c:showSerName val="0"/>
          <c:showPercent val="0"/>
          <c:showBubbleSize val="0"/>
        </c:dLbls>
        <c:axId val="1018135568"/>
        <c:axId val="890157744"/>
        <c:axId val="0"/>
      </c:area3DChart>
      <c:catAx>
        <c:axId val="1018135568"/>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0157744"/>
        <c:crosses val="autoZero"/>
        <c:auto val="1"/>
        <c:lblAlgn val="ctr"/>
        <c:lblOffset val="100"/>
        <c:noMultiLvlLbl val="0"/>
      </c:catAx>
      <c:valAx>
        <c:axId val="890157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81355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a:noFill/>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1.xlsx]Sheet2!PivotTable6</c:name>
    <c:fmtId val="62"/>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a:sp3d/>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Sheet2!$C$120</c:f>
              <c:strCache>
                <c:ptCount val="1"/>
                <c:pt idx="0">
                  <c:v>Total</c:v>
                </c:pt>
              </c:strCache>
            </c:strRef>
          </c:tx>
          <c:spPr>
            <a:solidFill>
              <a:schemeClr val="accent1">
                <a:lumMod val="20000"/>
                <a:lumOff val="80000"/>
              </a:schemeClr>
            </a:solidFill>
            <a:ln>
              <a:noFill/>
            </a:ln>
            <a:effectLst/>
            <a:sp3d/>
          </c:spPr>
          <c:invertIfNegative val="0"/>
          <c:cat>
            <c:strRef>
              <c:f>Sheet2!$B$121:$B$123</c:f>
              <c:strCache>
                <c:ptCount val="2"/>
                <c:pt idx="0">
                  <c:v>Male</c:v>
                </c:pt>
                <c:pt idx="1">
                  <c:v>Female</c:v>
                </c:pt>
              </c:strCache>
            </c:strRef>
          </c:cat>
          <c:val>
            <c:numRef>
              <c:f>Sheet2!$C$121:$C$123</c:f>
              <c:numCache>
                <c:formatCode>General</c:formatCode>
                <c:ptCount val="2"/>
                <c:pt idx="0">
                  <c:v>2832</c:v>
                </c:pt>
                <c:pt idx="1">
                  <c:v>2663</c:v>
                </c:pt>
              </c:numCache>
            </c:numRef>
          </c:val>
          <c:extLst>
            <c:ext xmlns:c16="http://schemas.microsoft.com/office/drawing/2014/chart" uri="{C3380CC4-5D6E-409C-BE32-E72D297353CC}">
              <c16:uniqueId val="{00000000-1DD0-4061-B792-69D9A00D0276}"/>
            </c:ext>
          </c:extLst>
        </c:ser>
        <c:dLbls>
          <c:showLegendKey val="0"/>
          <c:showVal val="0"/>
          <c:showCatName val="0"/>
          <c:showSerName val="0"/>
          <c:showPercent val="0"/>
          <c:showBubbleSize val="0"/>
        </c:dLbls>
        <c:gapWidth val="154"/>
        <c:gapDepth val="0"/>
        <c:shape val="box"/>
        <c:axId val="1017010960"/>
        <c:axId val="680874032"/>
        <c:axId val="0"/>
      </c:bar3DChart>
      <c:catAx>
        <c:axId val="1017010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680874032"/>
        <c:crosses val="autoZero"/>
        <c:auto val="1"/>
        <c:lblAlgn val="ctr"/>
        <c:lblOffset val="100"/>
        <c:noMultiLvlLbl val="0"/>
      </c:catAx>
      <c:valAx>
        <c:axId val="680874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17010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accent1"/>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1.xlsx]Sheet2!PivotTable7</c:name>
    <c:fmtId val="69"/>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Sheet2!$C$135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Sheet2!$B$136:$B$141</c:f>
              <c:strCache>
                <c:ptCount val="5"/>
                <c:pt idx="0">
                  <c:v>Chandigarh</c:v>
                </c:pt>
                <c:pt idx="1">
                  <c:v>Delhi</c:v>
                </c:pt>
                <c:pt idx="2">
                  <c:v>Hyderabad</c:v>
                </c:pt>
                <c:pt idx="3">
                  <c:v>Jaipur</c:v>
                </c:pt>
                <c:pt idx="4">
                  <c:v>Bangalore</c:v>
                </c:pt>
              </c:strCache>
            </c:strRef>
          </c:cat>
          <c:val>
            <c:numRef>
              <c:f>Sheet2!$C$136:$C$141</c:f>
              <c:numCache>
                <c:formatCode>General</c:formatCode>
                <c:ptCount val="5"/>
                <c:pt idx="0">
                  <c:v>5074</c:v>
                </c:pt>
                <c:pt idx="1">
                  <c:v>5074</c:v>
                </c:pt>
                <c:pt idx="2">
                  <c:v>4959</c:v>
                </c:pt>
                <c:pt idx="3">
                  <c:v>4949</c:v>
                </c:pt>
                <c:pt idx="4">
                  <c:v>4919</c:v>
                </c:pt>
              </c:numCache>
            </c:numRef>
          </c:val>
          <c:extLst>
            <c:ext xmlns:c16="http://schemas.microsoft.com/office/drawing/2014/chart" uri="{C3380CC4-5D6E-409C-BE32-E72D297353CC}">
              <c16:uniqueId val="{00000000-D7D0-4D75-A46F-DA307A70ECC3}"/>
            </c:ext>
          </c:extLst>
        </c:ser>
        <c:dLbls>
          <c:showLegendKey val="0"/>
          <c:showVal val="0"/>
          <c:showCatName val="0"/>
          <c:showSerName val="0"/>
          <c:showPercent val="0"/>
          <c:showBubbleSize val="0"/>
        </c:dLbls>
        <c:gapWidth val="115"/>
        <c:overlap val="-20"/>
        <c:axId val="1018164336"/>
        <c:axId val="680853872"/>
      </c:barChart>
      <c:catAx>
        <c:axId val="101816433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853872"/>
        <c:crosses val="autoZero"/>
        <c:auto val="1"/>
        <c:lblAlgn val="ctr"/>
        <c:lblOffset val="100"/>
        <c:noMultiLvlLbl val="0"/>
      </c:catAx>
      <c:valAx>
        <c:axId val="680853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16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2">
          <a:lumMod val="60000"/>
          <a:lumOff val="40000"/>
        </a:schemeClr>
      </a:solidFill>
      <a:round/>
    </a:ln>
    <a:effectLst/>
    <a:scene3d>
      <a:camera prst="orthographicFront"/>
      <a:lightRig rig="threePt" dir="t"/>
    </a:scene3d>
    <a:sp3d>
      <a:bevelT w="139700" h="139700" prst="divo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1.xlsx]Sheet2!PivotTable8</c:name>
    <c:fmtId val="8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Sheet2!$C$151:$C$152</c:f>
              <c:strCache>
                <c:ptCount val="1"/>
                <c:pt idx="0">
                  <c:v>Bangalore</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Sheet2!$B$153:$B$165</c:f>
              <c:strCache>
                <c:ptCount val="12"/>
                <c:pt idx="0">
                  <c:v>pulmonologist</c:v>
                </c:pt>
                <c:pt idx="1">
                  <c:v>psychologist</c:v>
                </c:pt>
                <c:pt idx="2">
                  <c:v>oncologist</c:v>
                </c:pt>
                <c:pt idx="3">
                  <c:v>neurologist</c:v>
                </c:pt>
                <c:pt idx="4">
                  <c:v>Nephrology</c:v>
                </c:pt>
                <c:pt idx="5">
                  <c:v>Internal medicine</c:v>
                </c:pt>
                <c:pt idx="6">
                  <c:v>hematologist</c:v>
                </c:pt>
                <c:pt idx="7">
                  <c:v>gynaecologist</c:v>
                </c:pt>
                <c:pt idx="8">
                  <c:v>general Physician</c:v>
                </c:pt>
                <c:pt idx="9">
                  <c:v>gastroenterologist</c:v>
                </c:pt>
                <c:pt idx="10">
                  <c:v>endocrinologist</c:v>
                </c:pt>
                <c:pt idx="11">
                  <c:v>cardiologist</c:v>
                </c:pt>
              </c:strCache>
            </c:strRef>
          </c:cat>
          <c:val>
            <c:numRef>
              <c:f>Sheet2!$C$153:$C$165</c:f>
              <c:numCache>
                <c:formatCode>General</c:formatCode>
                <c:ptCount val="12"/>
                <c:pt idx="0">
                  <c:v>2095</c:v>
                </c:pt>
                <c:pt idx="1">
                  <c:v>3821</c:v>
                </c:pt>
                <c:pt idx="2">
                  <c:v>1259</c:v>
                </c:pt>
                <c:pt idx="3">
                  <c:v>6487</c:v>
                </c:pt>
                <c:pt idx="4">
                  <c:v>3074</c:v>
                </c:pt>
                <c:pt idx="5">
                  <c:v>932</c:v>
                </c:pt>
                <c:pt idx="6">
                  <c:v>2200</c:v>
                </c:pt>
                <c:pt idx="7">
                  <c:v>6395</c:v>
                </c:pt>
                <c:pt idx="8">
                  <c:v>2841</c:v>
                </c:pt>
                <c:pt idx="9">
                  <c:v>2827</c:v>
                </c:pt>
                <c:pt idx="10">
                  <c:v>3585</c:v>
                </c:pt>
                <c:pt idx="11">
                  <c:v>4136</c:v>
                </c:pt>
              </c:numCache>
            </c:numRef>
          </c:val>
          <c:extLst>
            <c:ext xmlns:c16="http://schemas.microsoft.com/office/drawing/2014/chart" uri="{C3380CC4-5D6E-409C-BE32-E72D297353CC}">
              <c16:uniqueId val="{00000000-216B-4A8C-953B-5272E4B3ED53}"/>
            </c:ext>
          </c:extLst>
        </c:ser>
        <c:ser>
          <c:idx val="1"/>
          <c:order val="1"/>
          <c:tx>
            <c:strRef>
              <c:f>Sheet2!$D$151:$D$152</c:f>
              <c:strCache>
                <c:ptCount val="1"/>
                <c:pt idx="0">
                  <c:v>Chandigarh</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Sheet2!$B$153:$B$165</c:f>
              <c:strCache>
                <c:ptCount val="12"/>
                <c:pt idx="0">
                  <c:v>pulmonologist</c:v>
                </c:pt>
                <c:pt idx="1">
                  <c:v>psychologist</c:v>
                </c:pt>
                <c:pt idx="2">
                  <c:v>oncologist</c:v>
                </c:pt>
                <c:pt idx="3">
                  <c:v>neurologist</c:v>
                </c:pt>
                <c:pt idx="4">
                  <c:v>Nephrology</c:v>
                </c:pt>
                <c:pt idx="5">
                  <c:v>Internal medicine</c:v>
                </c:pt>
                <c:pt idx="6">
                  <c:v>hematologist</c:v>
                </c:pt>
                <c:pt idx="7">
                  <c:v>gynaecologist</c:v>
                </c:pt>
                <c:pt idx="8">
                  <c:v>general Physician</c:v>
                </c:pt>
                <c:pt idx="9">
                  <c:v>gastroenterologist</c:v>
                </c:pt>
                <c:pt idx="10">
                  <c:v>endocrinologist</c:v>
                </c:pt>
                <c:pt idx="11">
                  <c:v>cardiologist</c:v>
                </c:pt>
              </c:strCache>
            </c:strRef>
          </c:cat>
          <c:val>
            <c:numRef>
              <c:f>Sheet2!$D$153:$D$165</c:f>
              <c:numCache>
                <c:formatCode>General</c:formatCode>
                <c:ptCount val="12"/>
                <c:pt idx="0">
                  <c:v>2758</c:v>
                </c:pt>
                <c:pt idx="1">
                  <c:v>3773</c:v>
                </c:pt>
                <c:pt idx="2">
                  <c:v>1114</c:v>
                </c:pt>
                <c:pt idx="3">
                  <c:v>5333</c:v>
                </c:pt>
                <c:pt idx="4">
                  <c:v>3059</c:v>
                </c:pt>
                <c:pt idx="5">
                  <c:v>921</c:v>
                </c:pt>
                <c:pt idx="6">
                  <c:v>2034</c:v>
                </c:pt>
                <c:pt idx="7">
                  <c:v>6163</c:v>
                </c:pt>
                <c:pt idx="8">
                  <c:v>2894</c:v>
                </c:pt>
                <c:pt idx="9">
                  <c:v>3024</c:v>
                </c:pt>
                <c:pt idx="10">
                  <c:v>4345</c:v>
                </c:pt>
                <c:pt idx="11">
                  <c:v>3603</c:v>
                </c:pt>
              </c:numCache>
            </c:numRef>
          </c:val>
          <c:extLst>
            <c:ext xmlns:c16="http://schemas.microsoft.com/office/drawing/2014/chart" uri="{C3380CC4-5D6E-409C-BE32-E72D297353CC}">
              <c16:uniqueId val="{00000001-55C5-4C8A-B90B-B514E5FB2254}"/>
            </c:ext>
          </c:extLst>
        </c:ser>
        <c:ser>
          <c:idx val="2"/>
          <c:order val="2"/>
          <c:tx>
            <c:strRef>
              <c:f>Sheet2!$E$151:$E$152</c:f>
              <c:strCache>
                <c:ptCount val="1"/>
                <c:pt idx="0">
                  <c:v>Delhi</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Sheet2!$B$153:$B$165</c:f>
              <c:strCache>
                <c:ptCount val="12"/>
                <c:pt idx="0">
                  <c:v>pulmonologist</c:v>
                </c:pt>
                <c:pt idx="1">
                  <c:v>psychologist</c:v>
                </c:pt>
                <c:pt idx="2">
                  <c:v>oncologist</c:v>
                </c:pt>
                <c:pt idx="3">
                  <c:v>neurologist</c:v>
                </c:pt>
                <c:pt idx="4">
                  <c:v>Nephrology</c:v>
                </c:pt>
                <c:pt idx="5">
                  <c:v>Internal medicine</c:v>
                </c:pt>
                <c:pt idx="6">
                  <c:v>hematologist</c:v>
                </c:pt>
                <c:pt idx="7">
                  <c:v>gynaecologist</c:v>
                </c:pt>
                <c:pt idx="8">
                  <c:v>general Physician</c:v>
                </c:pt>
                <c:pt idx="9">
                  <c:v>gastroenterologist</c:v>
                </c:pt>
                <c:pt idx="10">
                  <c:v>endocrinologist</c:v>
                </c:pt>
                <c:pt idx="11">
                  <c:v>cardiologist</c:v>
                </c:pt>
              </c:strCache>
            </c:strRef>
          </c:cat>
          <c:val>
            <c:numRef>
              <c:f>Sheet2!$E$153:$E$165</c:f>
              <c:numCache>
                <c:formatCode>General</c:formatCode>
                <c:ptCount val="12"/>
                <c:pt idx="0">
                  <c:v>2156</c:v>
                </c:pt>
                <c:pt idx="1">
                  <c:v>4528</c:v>
                </c:pt>
                <c:pt idx="2">
                  <c:v>750</c:v>
                </c:pt>
                <c:pt idx="3">
                  <c:v>5714</c:v>
                </c:pt>
                <c:pt idx="4">
                  <c:v>3344</c:v>
                </c:pt>
                <c:pt idx="5">
                  <c:v>1039</c:v>
                </c:pt>
                <c:pt idx="6">
                  <c:v>2079</c:v>
                </c:pt>
                <c:pt idx="7">
                  <c:v>6012</c:v>
                </c:pt>
                <c:pt idx="8">
                  <c:v>3607</c:v>
                </c:pt>
                <c:pt idx="9">
                  <c:v>3378</c:v>
                </c:pt>
                <c:pt idx="10">
                  <c:v>4185</c:v>
                </c:pt>
                <c:pt idx="11">
                  <c:v>4298</c:v>
                </c:pt>
              </c:numCache>
            </c:numRef>
          </c:val>
          <c:extLst>
            <c:ext xmlns:c16="http://schemas.microsoft.com/office/drawing/2014/chart" uri="{C3380CC4-5D6E-409C-BE32-E72D297353CC}">
              <c16:uniqueId val="{00000002-55C5-4C8A-B90B-B514E5FB2254}"/>
            </c:ext>
          </c:extLst>
        </c:ser>
        <c:ser>
          <c:idx val="3"/>
          <c:order val="3"/>
          <c:tx>
            <c:strRef>
              <c:f>Sheet2!$F$151:$F$152</c:f>
              <c:strCache>
                <c:ptCount val="1"/>
                <c:pt idx="0">
                  <c:v>Hyderabad</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Sheet2!$B$153:$B$165</c:f>
              <c:strCache>
                <c:ptCount val="12"/>
                <c:pt idx="0">
                  <c:v>pulmonologist</c:v>
                </c:pt>
                <c:pt idx="1">
                  <c:v>psychologist</c:v>
                </c:pt>
                <c:pt idx="2">
                  <c:v>oncologist</c:v>
                </c:pt>
                <c:pt idx="3">
                  <c:v>neurologist</c:v>
                </c:pt>
                <c:pt idx="4">
                  <c:v>Nephrology</c:v>
                </c:pt>
                <c:pt idx="5">
                  <c:v>Internal medicine</c:v>
                </c:pt>
                <c:pt idx="6">
                  <c:v>hematologist</c:v>
                </c:pt>
                <c:pt idx="7">
                  <c:v>gynaecologist</c:v>
                </c:pt>
                <c:pt idx="8">
                  <c:v>general Physician</c:v>
                </c:pt>
                <c:pt idx="9">
                  <c:v>gastroenterologist</c:v>
                </c:pt>
                <c:pt idx="10">
                  <c:v>endocrinologist</c:v>
                </c:pt>
                <c:pt idx="11">
                  <c:v>cardiologist</c:v>
                </c:pt>
              </c:strCache>
            </c:strRef>
          </c:cat>
          <c:val>
            <c:numRef>
              <c:f>Sheet2!$F$153:$F$165</c:f>
              <c:numCache>
                <c:formatCode>General</c:formatCode>
                <c:ptCount val="12"/>
                <c:pt idx="0">
                  <c:v>2540</c:v>
                </c:pt>
                <c:pt idx="1">
                  <c:v>4392</c:v>
                </c:pt>
                <c:pt idx="2">
                  <c:v>908</c:v>
                </c:pt>
                <c:pt idx="3">
                  <c:v>6053</c:v>
                </c:pt>
                <c:pt idx="4">
                  <c:v>2509</c:v>
                </c:pt>
                <c:pt idx="5">
                  <c:v>1327</c:v>
                </c:pt>
                <c:pt idx="6">
                  <c:v>1894</c:v>
                </c:pt>
                <c:pt idx="7">
                  <c:v>6510</c:v>
                </c:pt>
                <c:pt idx="8">
                  <c:v>2647</c:v>
                </c:pt>
                <c:pt idx="9">
                  <c:v>2642</c:v>
                </c:pt>
                <c:pt idx="10">
                  <c:v>3248</c:v>
                </c:pt>
                <c:pt idx="11">
                  <c:v>3819</c:v>
                </c:pt>
              </c:numCache>
            </c:numRef>
          </c:val>
          <c:extLst>
            <c:ext xmlns:c16="http://schemas.microsoft.com/office/drawing/2014/chart" uri="{C3380CC4-5D6E-409C-BE32-E72D297353CC}">
              <c16:uniqueId val="{00000003-55C5-4C8A-B90B-B514E5FB2254}"/>
            </c:ext>
          </c:extLst>
        </c:ser>
        <c:ser>
          <c:idx val="4"/>
          <c:order val="4"/>
          <c:tx>
            <c:strRef>
              <c:f>Sheet2!$G$151:$G$152</c:f>
              <c:strCache>
                <c:ptCount val="1"/>
                <c:pt idx="0">
                  <c:v>Jaipur</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cat>
            <c:strRef>
              <c:f>Sheet2!$B$153:$B$165</c:f>
              <c:strCache>
                <c:ptCount val="12"/>
                <c:pt idx="0">
                  <c:v>pulmonologist</c:v>
                </c:pt>
                <c:pt idx="1">
                  <c:v>psychologist</c:v>
                </c:pt>
                <c:pt idx="2">
                  <c:v>oncologist</c:v>
                </c:pt>
                <c:pt idx="3">
                  <c:v>neurologist</c:v>
                </c:pt>
                <c:pt idx="4">
                  <c:v>Nephrology</c:v>
                </c:pt>
                <c:pt idx="5">
                  <c:v>Internal medicine</c:v>
                </c:pt>
                <c:pt idx="6">
                  <c:v>hematologist</c:v>
                </c:pt>
                <c:pt idx="7">
                  <c:v>gynaecologist</c:v>
                </c:pt>
                <c:pt idx="8">
                  <c:v>general Physician</c:v>
                </c:pt>
                <c:pt idx="9">
                  <c:v>gastroenterologist</c:v>
                </c:pt>
                <c:pt idx="10">
                  <c:v>endocrinologist</c:v>
                </c:pt>
                <c:pt idx="11">
                  <c:v>cardiologist</c:v>
                </c:pt>
              </c:strCache>
            </c:strRef>
          </c:cat>
          <c:val>
            <c:numRef>
              <c:f>Sheet2!$G$153:$G$165</c:f>
              <c:numCache>
                <c:formatCode>General</c:formatCode>
                <c:ptCount val="12"/>
                <c:pt idx="0">
                  <c:v>2196</c:v>
                </c:pt>
                <c:pt idx="1">
                  <c:v>3910</c:v>
                </c:pt>
                <c:pt idx="2">
                  <c:v>721</c:v>
                </c:pt>
                <c:pt idx="3">
                  <c:v>6326</c:v>
                </c:pt>
                <c:pt idx="4">
                  <c:v>2818</c:v>
                </c:pt>
                <c:pt idx="5">
                  <c:v>937</c:v>
                </c:pt>
                <c:pt idx="6">
                  <c:v>2370</c:v>
                </c:pt>
                <c:pt idx="7">
                  <c:v>6068</c:v>
                </c:pt>
                <c:pt idx="8">
                  <c:v>2966</c:v>
                </c:pt>
                <c:pt idx="9">
                  <c:v>1952</c:v>
                </c:pt>
                <c:pt idx="10">
                  <c:v>3596</c:v>
                </c:pt>
                <c:pt idx="11">
                  <c:v>4480</c:v>
                </c:pt>
              </c:numCache>
            </c:numRef>
          </c:val>
          <c:extLst>
            <c:ext xmlns:c16="http://schemas.microsoft.com/office/drawing/2014/chart" uri="{C3380CC4-5D6E-409C-BE32-E72D297353CC}">
              <c16:uniqueId val="{00000004-55C5-4C8A-B90B-B514E5FB2254}"/>
            </c:ext>
          </c:extLst>
        </c:ser>
        <c:dLbls>
          <c:showLegendKey val="0"/>
          <c:showVal val="0"/>
          <c:showCatName val="0"/>
          <c:showSerName val="0"/>
          <c:showPercent val="0"/>
          <c:showBubbleSize val="0"/>
        </c:dLbls>
        <c:gapWidth val="65"/>
        <c:shape val="box"/>
        <c:axId val="752876880"/>
        <c:axId val="1083495984"/>
        <c:axId val="0"/>
      </c:bar3DChart>
      <c:catAx>
        <c:axId val="7528768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83495984"/>
        <c:crosses val="autoZero"/>
        <c:auto val="1"/>
        <c:lblAlgn val="ctr"/>
        <c:lblOffset val="100"/>
        <c:noMultiLvlLbl val="0"/>
      </c:catAx>
      <c:valAx>
        <c:axId val="1083495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5287688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accent1"/>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1.xlsx]Sheet2!PivotTable9</c:name>
    <c:fmtId val="9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Sheet2!$C$175</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Sheet2!$B$176:$B$188</c:f>
              <c:strCache>
                <c:ptCount val="12"/>
                <c:pt idx="0">
                  <c:v>pulmonologist</c:v>
                </c:pt>
                <c:pt idx="1">
                  <c:v>psychologist</c:v>
                </c:pt>
                <c:pt idx="2">
                  <c:v>oncologist</c:v>
                </c:pt>
                <c:pt idx="3">
                  <c:v>neurologist</c:v>
                </c:pt>
                <c:pt idx="4">
                  <c:v>Nephrology</c:v>
                </c:pt>
                <c:pt idx="5">
                  <c:v>Internal medicine</c:v>
                </c:pt>
                <c:pt idx="6">
                  <c:v>hematologist</c:v>
                </c:pt>
                <c:pt idx="7">
                  <c:v>gynaecologist</c:v>
                </c:pt>
                <c:pt idx="8">
                  <c:v>general Physician</c:v>
                </c:pt>
                <c:pt idx="9">
                  <c:v>gastroenterologist</c:v>
                </c:pt>
                <c:pt idx="10">
                  <c:v>endocrinologist</c:v>
                </c:pt>
                <c:pt idx="11">
                  <c:v>cardiologist</c:v>
                </c:pt>
              </c:strCache>
            </c:strRef>
          </c:cat>
          <c:val>
            <c:numRef>
              <c:f>Sheet2!$C$176:$C$188</c:f>
              <c:numCache>
                <c:formatCode>General</c:formatCode>
                <c:ptCount val="12"/>
                <c:pt idx="0">
                  <c:v>59755341</c:v>
                </c:pt>
                <c:pt idx="1">
                  <c:v>107327549</c:v>
                </c:pt>
                <c:pt idx="2">
                  <c:v>27473807</c:v>
                </c:pt>
                <c:pt idx="3">
                  <c:v>166947570</c:v>
                </c:pt>
                <c:pt idx="4">
                  <c:v>81321076</c:v>
                </c:pt>
                <c:pt idx="5">
                  <c:v>27893799</c:v>
                </c:pt>
                <c:pt idx="6">
                  <c:v>58860111</c:v>
                </c:pt>
                <c:pt idx="7">
                  <c:v>190968953</c:v>
                </c:pt>
                <c:pt idx="8">
                  <c:v>83233658</c:v>
                </c:pt>
                <c:pt idx="9">
                  <c:v>78546121</c:v>
                </c:pt>
                <c:pt idx="10">
                  <c:v>110352740</c:v>
                </c:pt>
                <c:pt idx="11">
                  <c:v>118700804</c:v>
                </c:pt>
              </c:numCache>
            </c:numRef>
          </c:val>
          <c:extLst>
            <c:ext xmlns:c16="http://schemas.microsoft.com/office/drawing/2014/chart" uri="{C3380CC4-5D6E-409C-BE32-E72D297353CC}">
              <c16:uniqueId val="{00000000-C2B0-494D-AA38-1A3C2B9F267D}"/>
            </c:ext>
          </c:extLst>
        </c:ser>
        <c:ser>
          <c:idx val="1"/>
          <c:order val="1"/>
          <c:tx>
            <c:strRef>
              <c:f>Sheet2!$D$175</c:f>
              <c:strCache>
                <c:ptCount val="1"/>
                <c:pt idx="0">
                  <c:v>Sum of Operating_Costs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cat>
            <c:strRef>
              <c:f>Sheet2!$B$176:$B$188</c:f>
              <c:strCache>
                <c:ptCount val="12"/>
                <c:pt idx="0">
                  <c:v>pulmonologist</c:v>
                </c:pt>
                <c:pt idx="1">
                  <c:v>psychologist</c:v>
                </c:pt>
                <c:pt idx="2">
                  <c:v>oncologist</c:v>
                </c:pt>
                <c:pt idx="3">
                  <c:v>neurologist</c:v>
                </c:pt>
                <c:pt idx="4">
                  <c:v>Nephrology</c:v>
                </c:pt>
                <c:pt idx="5">
                  <c:v>Internal medicine</c:v>
                </c:pt>
                <c:pt idx="6">
                  <c:v>hematologist</c:v>
                </c:pt>
                <c:pt idx="7">
                  <c:v>gynaecologist</c:v>
                </c:pt>
                <c:pt idx="8">
                  <c:v>general Physician</c:v>
                </c:pt>
                <c:pt idx="9">
                  <c:v>gastroenterologist</c:v>
                </c:pt>
                <c:pt idx="10">
                  <c:v>endocrinologist</c:v>
                </c:pt>
                <c:pt idx="11">
                  <c:v>cardiologist</c:v>
                </c:pt>
              </c:strCache>
            </c:strRef>
          </c:cat>
          <c:val>
            <c:numRef>
              <c:f>Sheet2!$D$176:$D$188</c:f>
              <c:numCache>
                <c:formatCode>General</c:formatCode>
                <c:ptCount val="12"/>
                <c:pt idx="0">
                  <c:v>155664993</c:v>
                </c:pt>
                <c:pt idx="1">
                  <c:v>268785240</c:v>
                </c:pt>
                <c:pt idx="2">
                  <c:v>63645755</c:v>
                </c:pt>
                <c:pt idx="3">
                  <c:v>420319647</c:v>
                </c:pt>
                <c:pt idx="4">
                  <c:v>205691019</c:v>
                </c:pt>
                <c:pt idx="5">
                  <c:v>67984572</c:v>
                </c:pt>
                <c:pt idx="6">
                  <c:v>142816677</c:v>
                </c:pt>
                <c:pt idx="7">
                  <c:v>451773810</c:v>
                </c:pt>
                <c:pt idx="8">
                  <c:v>205650649</c:v>
                </c:pt>
                <c:pt idx="9">
                  <c:v>191315357</c:v>
                </c:pt>
                <c:pt idx="10">
                  <c:v>275024401</c:v>
                </c:pt>
                <c:pt idx="11">
                  <c:v>287766916</c:v>
                </c:pt>
              </c:numCache>
            </c:numRef>
          </c:val>
          <c:extLst>
            <c:ext xmlns:c16="http://schemas.microsoft.com/office/drawing/2014/chart" uri="{C3380CC4-5D6E-409C-BE32-E72D297353CC}">
              <c16:uniqueId val="{00000001-C2B0-494D-AA38-1A3C2B9F267D}"/>
            </c:ext>
          </c:extLst>
        </c:ser>
        <c:dLbls>
          <c:showLegendKey val="0"/>
          <c:showVal val="0"/>
          <c:showCatName val="0"/>
          <c:showSerName val="0"/>
          <c:showPercent val="0"/>
          <c:showBubbleSize val="0"/>
        </c:dLbls>
        <c:gapWidth val="150"/>
        <c:shape val="box"/>
        <c:axId val="1066915072"/>
        <c:axId val="1083504144"/>
        <c:axId val="0"/>
      </c:bar3DChart>
      <c:catAx>
        <c:axId val="106691507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83504144"/>
        <c:crosses val="autoZero"/>
        <c:auto val="1"/>
        <c:lblAlgn val="ctr"/>
        <c:lblOffset val="100"/>
        <c:noMultiLvlLbl val="0"/>
      </c:catAx>
      <c:valAx>
        <c:axId val="1083504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6691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2">
          <a:lumMod val="15000"/>
          <a:lumOff val="85000"/>
        </a:schemeClr>
      </a:solidFill>
      <a:round/>
    </a:ln>
    <a:effectLst/>
    <a:scene3d>
      <a:camera prst="orthographicFront"/>
      <a:lightRig rig="threePt" dir="t"/>
    </a:scene3d>
    <a:sp3d>
      <a:bevelT w="139700" h="139700" prst="divo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 1.xlsx]Sheet2!PivotTable10</c:name>
    <c:fmtId val="10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Sheet2!$C$194</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Sheet2!$B$195:$B$207</c:f>
              <c:strCache>
                <c:ptCount val="12"/>
                <c:pt idx="0">
                  <c:v>gynaecologist</c:v>
                </c:pt>
                <c:pt idx="1">
                  <c:v>neurologist</c:v>
                </c:pt>
                <c:pt idx="2">
                  <c:v>cardiologist</c:v>
                </c:pt>
                <c:pt idx="3">
                  <c:v>endocrinologist</c:v>
                </c:pt>
                <c:pt idx="4">
                  <c:v>psychologist</c:v>
                </c:pt>
                <c:pt idx="5">
                  <c:v>general Physician</c:v>
                </c:pt>
                <c:pt idx="6">
                  <c:v>Nephrology</c:v>
                </c:pt>
                <c:pt idx="7">
                  <c:v>gastroenterologist</c:v>
                </c:pt>
                <c:pt idx="8">
                  <c:v>pulmonologist</c:v>
                </c:pt>
                <c:pt idx="9">
                  <c:v>hematologist</c:v>
                </c:pt>
                <c:pt idx="10">
                  <c:v>Internal medicine</c:v>
                </c:pt>
                <c:pt idx="11">
                  <c:v>oncologist</c:v>
                </c:pt>
              </c:strCache>
            </c:strRef>
          </c:cat>
          <c:val>
            <c:numRef>
              <c:f>Sheet2!$C$195:$C$207</c:f>
              <c:numCache>
                <c:formatCode>General</c:formatCode>
                <c:ptCount val="12"/>
                <c:pt idx="0">
                  <c:v>3299.1999999999957</c:v>
                </c:pt>
                <c:pt idx="1">
                  <c:v>2993.3000000000006</c:v>
                </c:pt>
                <c:pt idx="2">
                  <c:v>2166.5999999999995</c:v>
                </c:pt>
                <c:pt idx="3">
                  <c:v>2063.2000000000016</c:v>
                </c:pt>
                <c:pt idx="4">
                  <c:v>1918.9000000000003</c:v>
                </c:pt>
                <c:pt idx="5">
                  <c:v>1514.5999999999992</c:v>
                </c:pt>
                <c:pt idx="6">
                  <c:v>1442.6999999999994</c:v>
                </c:pt>
                <c:pt idx="7">
                  <c:v>1363.8</c:v>
                </c:pt>
                <c:pt idx="8">
                  <c:v>1130.3999999999996</c:v>
                </c:pt>
                <c:pt idx="9">
                  <c:v>1013.9000000000007</c:v>
                </c:pt>
                <c:pt idx="10">
                  <c:v>505.49999999999983</c:v>
                </c:pt>
                <c:pt idx="11">
                  <c:v>424.29999999999995</c:v>
                </c:pt>
              </c:numCache>
            </c:numRef>
          </c:val>
          <c:smooth val="0"/>
          <c:extLst>
            <c:ext xmlns:c16="http://schemas.microsoft.com/office/drawing/2014/chart" uri="{C3380CC4-5D6E-409C-BE32-E72D297353CC}">
              <c16:uniqueId val="{00000000-48A1-40EB-AEF4-9DA355E7C1EC}"/>
            </c:ext>
          </c:extLst>
        </c:ser>
        <c:dLbls>
          <c:showLegendKey val="0"/>
          <c:showVal val="0"/>
          <c:showCatName val="0"/>
          <c:showSerName val="0"/>
          <c:showPercent val="0"/>
          <c:showBubbleSize val="0"/>
        </c:dLbls>
        <c:marker val="1"/>
        <c:smooth val="0"/>
        <c:axId val="1057755712"/>
        <c:axId val="1083544464"/>
      </c:lineChart>
      <c:catAx>
        <c:axId val="105775571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3544464"/>
        <c:crosses val="autoZero"/>
        <c:auto val="1"/>
        <c:lblAlgn val="ctr"/>
        <c:lblOffset val="100"/>
        <c:noMultiLvlLbl val="0"/>
      </c:catAx>
      <c:valAx>
        <c:axId val="1083544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775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a:noFill/>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 1.xlsx]Sheet2!PivotTable5</c:name>
    <c:fmtId val="60"/>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dLbl>
          <c:idx val="0"/>
          <c:showLegendKey val="0"/>
          <c:showVal val="0"/>
          <c:showCatName val="0"/>
          <c:showSerName val="0"/>
          <c:showPercent val="1"/>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3"/>
        <c:spPr>
          <a:solidFill>
            <a:schemeClr val="accent5">
              <a:shade val="38000"/>
            </a:schemeClr>
          </a:solidFill>
          <a:ln w="19050">
            <a:solidFill>
              <a:schemeClr val="lt1"/>
            </a:solidFill>
          </a:ln>
          <a:effectLst/>
        </c:spPr>
      </c:pivotFmt>
      <c:pivotFmt>
        <c:idx val="34"/>
        <c:spPr>
          <a:solidFill>
            <a:schemeClr val="accent5">
              <a:shade val="47000"/>
            </a:schemeClr>
          </a:solidFill>
          <a:ln w="19050">
            <a:solidFill>
              <a:schemeClr val="lt1"/>
            </a:solidFill>
          </a:ln>
          <a:effectLst/>
        </c:spPr>
      </c:pivotFmt>
      <c:pivotFmt>
        <c:idx val="35"/>
        <c:spPr>
          <a:solidFill>
            <a:schemeClr val="accent5">
              <a:shade val="56000"/>
            </a:schemeClr>
          </a:solidFill>
          <a:ln w="19050">
            <a:solidFill>
              <a:schemeClr val="lt1"/>
            </a:solidFill>
          </a:ln>
          <a:effectLst/>
        </c:spPr>
      </c:pivotFmt>
      <c:pivotFmt>
        <c:idx val="36"/>
        <c:spPr>
          <a:solidFill>
            <a:schemeClr val="accent5">
              <a:shade val="65000"/>
            </a:schemeClr>
          </a:solidFill>
          <a:ln w="19050">
            <a:solidFill>
              <a:schemeClr val="lt1"/>
            </a:solidFill>
          </a:ln>
          <a:effectLst/>
        </c:spPr>
      </c:pivotFmt>
      <c:pivotFmt>
        <c:idx val="37"/>
        <c:spPr>
          <a:solidFill>
            <a:schemeClr val="accent5">
              <a:shade val="73000"/>
            </a:schemeClr>
          </a:solidFill>
          <a:ln w="19050">
            <a:solidFill>
              <a:schemeClr val="lt1"/>
            </a:solidFill>
          </a:ln>
          <a:effectLst/>
        </c:spPr>
      </c:pivotFmt>
      <c:pivotFmt>
        <c:idx val="38"/>
        <c:spPr>
          <a:solidFill>
            <a:schemeClr val="accent5">
              <a:shade val="82000"/>
            </a:schemeClr>
          </a:solidFill>
          <a:ln w="19050">
            <a:solidFill>
              <a:schemeClr val="lt1"/>
            </a:solidFill>
          </a:ln>
          <a:effectLst/>
        </c:spPr>
      </c:pivotFmt>
      <c:pivotFmt>
        <c:idx val="39"/>
        <c:spPr>
          <a:solidFill>
            <a:schemeClr val="accent5">
              <a:shade val="91000"/>
            </a:schemeClr>
          </a:solidFill>
          <a:ln w="19050">
            <a:solidFill>
              <a:schemeClr val="lt1"/>
            </a:solidFill>
          </a:ln>
          <a:effectLst/>
        </c:spPr>
      </c:pivotFmt>
      <c:pivotFmt>
        <c:idx val="40"/>
        <c:spPr>
          <a:solidFill>
            <a:schemeClr val="accent5"/>
          </a:solidFill>
          <a:ln w="19050">
            <a:solidFill>
              <a:schemeClr val="lt1"/>
            </a:solidFill>
          </a:ln>
          <a:effectLst/>
        </c:spPr>
      </c:pivotFmt>
      <c:pivotFmt>
        <c:idx val="41"/>
        <c:spPr>
          <a:solidFill>
            <a:schemeClr val="accent5">
              <a:tint val="92000"/>
            </a:schemeClr>
          </a:solidFill>
          <a:ln w="19050">
            <a:solidFill>
              <a:schemeClr val="lt1"/>
            </a:solidFill>
          </a:ln>
          <a:effectLst/>
        </c:spPr>
      </c:pivotFmt>
      <c:pivotFmt>
        <c:idx val="42"/>
        <c:spPr>
          <a:solidFill>
            <a:schemeClr val="accent5">
              <a:tint val="83000"/>
            </a:schemeClr>
          </a:solidFill>
          <a:ln w="19050">
            <a:solidFill>
              <a:schemeClr val="lt1"/>
            </a:solidFill>
          </a:ln>
          <a:effectLst/>
        </c:spPr>
      </c:pivotFmt>
      <c:pivotFmt>
        <c:idx val="43"/>
        <c:spPr>
          <a:solidFill>
            <a:schemeClr val="accent5">
              <a:tint val="74000"/>
            </a:schemeClr>
          </a:solidFill>
          <a:ln w="19050">
            <a:solidFill>
              <a:schemeClr val="lt1"/>
            </a:solidFill>
          </a:ln>
          <a:effectLst/>
        </c:spPr>
      </c:pivotFmt>
      <c:pivotFmt>
        <c:idx val="44"/>
        <c:spPr>
          <a:solidFill>
            <a:schemeClr val="accent5">
              <a:tint val="65000"/>
            </a:schemeClr>
          </a:solidFill>
          <a:ln w="19050">
            <a:solidFill>
              <a:schemeClr val="lt1"/>
            </a:solidFill>
          </a:ln>
          <a:effectLst/>
        </c:spPr>
      </c:pivotFmt>
      <c:pivotFmt>
        <c:idx val="45"/>
        <c:spPr>
          <a:solidFill>
            <a:schemeClr val="accent5">
              <a:tint val="57000"/>
            </a:schemeClr>
          </a:solidFill>
          <a:ln w="19050">
            <a:solidFill>
              <a:schemeClr val="lt1"/>
            </a:solidFill>
          </a:ln>
          <a:effectLst/>
        </c:spPr>
      </c:pivotFmt>
      <c:pivotFmt>
        <c:idx val="46"/>
        <c:spPr>
          <a:solidFill>
            <a:schemeClr val="accent5">
              <a:tint val="48000"/>
            </a:schemeClr>
          </a:solidFill>
          <a:ln w="19050">
            <a:solidFill>
              <a:schemeClr val="lt1"/>
            </a:solidFill>
          </a:ln>
          <a:effectLst/>
        </c:spPr>
      </c:pivotFmt>
      <c:pivotFmt>
        <c:idx val="47"/>
        <c:spPr>
          <a:solidFill>
            <a:schemeClr val="accent5">
              <a:tint val="39000"/>
            </a:schemeClr>
          </a:solidFill>
          <a:ln w="19050">
            <a:solidFill>
              <a:schemeClr val="lt1"/>
            </a:solidFill>
          </a:ln>
          <a:effectLst/>
        </c:spPr>
      </c:pivotFmt>
    </c:pivotFmts>
    <c:plotArea>
      <c:layout>
        <c:manualLayout>
          <c:layoutTarget val="inner"/>
          <c:xMode val="edge"/>
          <c:yMode val="edge"/>
          <c:x val="0.18667718918360185"/>
          <c:y val="7.6706989628113287E-2"/>
          <c:w val="0.48456498122497765"/>
          <c:h val="0.84732622938649826"/>
        </c:manualLayout>
      </c:layout>
      <c:doughnutChart>
        <c:varyColors val="1"/>
        <c:ser>
          <c:idx val="0"/>
          <c:order val="0"/>
          <c:tx>
            <c:strRef>
              <c:f>Sheet2!$C$99</c:f>
              <c:strCache>
                <c:ptCount val="1"/>
                <c:pt idx="0">
                  <c:v>Total</c:v>
                </c:pt>
              </c:strCache>
            </c:strRef>
          </c:tx>
          <c:dPt>
            <c:idx val="0"/>
            <c:bubble3D val="0"/>
            <c:spPr>
              <a:solidFill>
                <a:schemeClr val="accent5">
                  <a:shade val="38000"/>
                </a:schemeClr>
              </a:solidFill>
              <a:ln w="19050">
                <a:solidFill>
                  <a:schemeClr val="lt1"/>
                </a:solidFill>
              </a:ln>
              <a:effectLst/>
            </c:spPr>
            <c:extLst>
              <c:ext xmlns:c16="http://schemas.microsoft.com/office/drawing/2014/chart" uri="{C3380CC4-5D6E-409C-BE32-E72D297353CC}">
                <c16:uniqueId val="{00000001-EA67-4EF1-8A39-C6C38C52D631}"/>
              </c:ext>
            </c:extLst>
          </c:dPt>
          <c:dPt>
            <c:idx val="1"/>
            <c:bubble3D val="0"/>
            <c:spPr>
              <a:solidFill>
                <a:schemeClr val="accent5">
                  <a:shade val="47000"/>
                </a:schemeClr>
              </a:solidFill>
              <a:ln w="19050">
                <a:solidFill>
                  <a:schemeClr val="lt1"/>
                </a:solidFill>
              </a:ln>
              <a:effectLst/>
            </c:spPr>
            <c:extLst>
              <c:ext xmlns:c16="http://schemas.microsoft.com/office/drawing/2014/chart" uri="{C3380CC4-5D6E-409C-BE32-E72D297353CC}">
                <c16:uniqueId val="{00000003-EA67-4EF1-8A39-C6C38C52D631}"/>
              </c:ext>
            </c:extLst>
          </c:dPt>
          <c:dPt>
            <c:idx val="2"/>
            <c:bubble3D val="0"/>
            <c:spPr>
              <a:solidFill>
                <a:schemeClr val="accent5">
                  <a:shade val="56000"/>
                </a:schemeClr>
              </a:solidFill>
              <a:ln w="19050">
                <a:solidFill>
                  <a:schemeClr val="lt1"/>
                </a:solidFill>
              </a:ln>
              <a:effectLst/>
            </c:spPr>
            <c:extLst>
              <c:ext xmlns:c16="http://schemas.microsoft.com/office/drawing/2014/chart" uri="{C3380CC4-5D6E-409C-BE32-E72D297353CC}">
                <c16:uniqueId val="{00000005-EA67-4EF1-8A39-C6C38C52D631}"/>
              </c:ext>
            </c:extLst>
          </c:dPt>
          <c:dPt>
            <c:idx val="3"/>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7-EA67-4EF1-8A39-C6C38C52D631}"/>
              </c:ext>
            </c:extLst>
          </c:dPt>
          <c:dPt>
            <c:idx val="4"/>
            <c:bubble3D val="0"/>
            <c:spPr>
              <a:solidFill>
                <a:schemeClr val="accent5">
                  <a:shade val="73000"/>
                </a:schemeClr>
              </a:solidFill>
              <a:ln w="19050">
                <a:solidFill>
                  <a:schemeClr val="lt1"/>
                </a:solidFill>
              </a:ln>
              <a:effectLst/>
            </c:spPr>
            <c:extLst>
              <c:ext xmlns:c16="http://schemas.microsoft.com/office/drawing/2014/chart" uri="{C3380CC4-5D6E-409C-BE32-E72D297353CC}">
                <c16:uniqueId val="{00000009-EA67-4EF1-8A39-C6C38C52D631}"/>
              </c:ext>
            </c:extLst>
          </c:dPt>
          <c:dPt>
            <c:idx val="5"/>
            <c:bubble3D val="0"/>
            <c:spPr>
              <a:solidFill>
                <a:schemeClr val="accent5">
                  <a:shade val="82000"/>
                </a:schemeClr>
              </a:solidFill>
              <a:ln w="19050">
                <a:solidFill>
                  <a:schemeClr val="lt1"/>
                </a:solidFill>
              </a:ln>
              <a:effectLst/>
            </c:spPr>
            <c:extLst>
              <c:ext xmlns:c16="http://schemas.microsoft.com/office/drawing/2014/chart" uri="{C3380CC4-5D6E-409C-BE32-E72D297353CC}">
                <c16:uniqueId val="{0000000B-EA67-4EF1-8A39-C6C38C52D631}"/>
              </c:ext>
            </c:extLst>
          </c:dPt>
          <c:dPt>
            <c:idx val="6"/>
            <c:bubble3D val="0"/>
            <c:spPr>
              <a:solidFill>
                <a:schemeClr val="accent5">
                  <a:shade val="91000"/>
                </a:schemeClr>
              </a:solidFill>
              <a:ln w="19050">
                <a:solidFill>
                  <a:schemeClr val="lt1"/>
                </a:solidFill>
              </a:ln>
              <a:effectLst/>
            </c:spPr>
            <c:extLst>
              <c:ext xmlns:c16="http://schemas.microsoft.com/office/drawing/2014/chart" uri="{C3380CC4-5D6E-409C-BE32-E72D297353CC}">
                <c16:uniqueId val="{0000000D-EA67-4EF1-8A39-C6C38C52D631}"/>
              </c:ext>
            </c:extLst>
          </c:dPt>
          <c:dPt>
            <c:idx val="7"/>
            <c:bubble3D val="0"/>
            <c:spPr>
              <a:solidFill>
                <a:schemeClr val="accent5"/>
              </a:solidFill>
              <a:ln w="19050">
                <a:solidFill>
                  <a:schemeClr val="lt1"/>
                </a:solidFill>
              </a:ln>
              <a:effectLst/>
            </c:spPr>
            <c:extLst>
              <c:ext xmlns:c16="http://schemas.microsoft.com/office/drawing/2014/chart" uri="{C3380CC4-5D6E-409C-BE32-E72D297353CC}">
                <c16:uniqueId val="{0000000F-EA67-4EF1-8A39-C6C38C52D631}"/>
              </c:ext>
            </c:extLst>
          </c:dPt>
          <c:dPt>
            <c:idx val="8"/>
            <c:bubble3D val="0"/>
            <c:spPr>
              <a:solidFill>
                <a:schemeClr val="accent5">
                  <a:tint val="92000"/>
                </a:schemeClr>
              </a:solidFill>
              <a:ln w="19050">
                <a:solidFill>
                  <a:schemeClr val="lt1"/>
                </a:solidFill>
              </a:ln>
              <a:effectLst/>
            </c:spPr>
            <c:extLst>
              <c:ext xmlns:c16="http://schemas.microsoft.com/office/drawing/2014/chart" uri="{C3380CC4-5D6E-409C-BE32-E72D297353CC}">
                <c16:uniqueId val="{00000011-EA67-4EF1-8A39-C6C38C52D631}"/>
              </c:ext>
            </c:extLst>
          </c:dPt>
          <c:dPt>
            <c:idx val="9"/>
            <c:bubble3D val="0"/>
            <c:spPr>
              <a:solidFill>
                <a:schemeClr val="accent5">
                  <a:tint val="83000"/>
                </a:schemeClr>
              </a:solidFill>
              <a:ln w="19050">
                <a:solidFill>
                  <a:schemeClr val="lt1"/>
                </a:solidFill>
              </a:ln>
              <a:effectLst/>
            </c:spPr>
            <c:extLst>
              <c:ext xmlns:c16="http://schemas.microsoft.com/office/drawing/2014/chart" uri="{C3380CC4-5D6E-409C-BE32-E72D297353CC}">
                <c16:uniqueId val="{00000013-EA67-4EF1-8A39-C6C38C52D631}"/>
              </c:ext>
            </c:extLst>
          </c:dPt>
          <c:dPt>
            <c:idx val="10"/>
            <c:bubble3D val="0"/>
            <c:spPr>
              <a:solidFill>
                <a:schemeClr val="accent5">
                  <a:tint val="74000"/>
                </a:schemeClr>
              </a:solidFill>
              <a:ln w="19050">
                <a:solidFill>
                  <a:schemeClr val="lt1"/>
                </a:solidFill>
              </a:ln>
              <a:effectLst/>
            </c:spPr>
            <c:extLst>
              <c:ext xmlns:c16="http://schemas.microsoft.com/office/drawing/2014/chart" uri="{C3380CC4-5D6E-409C-BE32-E72D297353CC}">
                <c16:uniqueId val="{00000015-EA67-4EF1-8A39-C6C38C52D631}"/>
              </c:ext>
            </c:extLst>
          </c:dPt>
          <c:dPt>
            <c:idx val="11"/>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17-EA67-4EF1-8A39-C6C38C52D631}"/>
              </c:ext>
            </c:extLst>
          </c:dPt>
          <c:dPt>
            <c:idx val="12"/>
            <c:bubble3D val="0"/>
            <c:spPr>
              <a:solidFill>
                <a:schemeClr val="accent5">
                  <a:tint val="57000"/>
                </a:schemeClr>
              </a:solidFill>
              <a:ln w="19050">
                <a:solidFill>
                  <a:schemeClr val="lt1"/>
                </a:solidFill>
              </a:ln>
              <a:effectLst/>
            </c:spPr>
            <c:extLst>
              <c:ext xmlns:c16="http://schemas.microsoft.com/office/drawing/2014/chart" uri="{C3380CC4-5D6E-409C-BE32-E72D297353CC}">
                <c16:uniqueId val="{00000019-EA67-4EF1-8A39-C6C38C52D631}"/>
              </c:ext>
            </c:extLst>
          </c:dPt>
          <c:dPt>
            <c:idx val="13"/>
            <c:bubble3D val="0"/>
            <c:spPr>
              <a:solidFill>
                <a:schemeClr val="accent5">
                  <a:tint val="48000"/>
                </a:schemeClr>
              </a:solidFill>
              <a:ln w="19050">
                <a:solidFill>
                  <a:schemeClr val="lt1"/>
                </a:solidFill>
              </a:ln>
              <a:effectLst/>
            </c:spPr>
            <c:extLst>
              <c:ext xmlns:c16="http://schemas.microsoft.com/office/drawing/2014/chart" uri="{C3380CC4-5D6E-409C-BE32-E72D297353CC}">
                <c16:uniqueId val="{0000001B-EA67-4EF1-8A39-C6C38C52D631}"/>
              </c:ext>
            </c:extLst>
          </c:dPt>
          <c:dPt>
            <c:idx val="14"/>
            <c:bubble3D val="0"/>
            <c:spPr>
              <a:solidFill>
                <a:schemeClr val="accent5">
                  <a:tint val="39000"/>
                </a:schemeClr>
              </a:solidFill>
              <a:ln w="19050">
                <a:solidFill>
                  <a:schemeClr val="lt1"/>
                </a:solidFill>
              </a:ln>
              <a:effectLst/>
            </c:spPr>
            <c:extLst>
              <c:ext xmlns:c16="http://schemas.microsoft.com/office/drawing/2014/chart" uri="{C3380CC4-5D6E-409C-BE32-E72D297353CC}">
                <c16:uniqueId val="{0000001D-EA67-4EF1-8A39-C6C38C52D6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Sheet2!$B$100:$B$115</c:f>
              <c:strCache>
                <c:ptCount val="15"/>
                <c:pt idx="0">
                  <c:v>Pregnancy</c:v>
                </c:pt>
                <c:pt idx="1">
                  <c:v>Heart attack</c:v>
                </c:pt>
                <c:pt idx="2">
                  <c:v>Stroke</c:v>
                </c:pt>
                <c:pt idx="3">
                  <c:v>Depression</c:v>
                </c:pt>
                <c:pt idx="4">
                  <c:v>Hypertension</c:v>
                </c:pt>
                <c:pt idx="5">
                  <c:v>Kidney Disease</c:v>
                </c:pt>
                <c:pt idx="6">
                  <c:v>Gall Stone</c:v>
                </c:pt>
                <c:pt idx="7">
                  <c:v>Diabetes</c:v>
                </c:pt>
                <c:pt idx="8">
                  <c:v>Pneumonia</c:v>
                </c:pt>
                <c:pt idx="9">
                  <c:v>Anemia</c:v>
                </c:pt>
                <c:pt idx="10">
                  <c:v>Heavy Bleeding</c:v>
                </c:pt>
                <c:pt idx="11">
                  <c:v>Migraine</c:v>
                </c:pt>
                <c:pt idx="12">
                  <c:v>Thyroid Disorder</c:v>
                </c:pt>
                <c:pt idx="13">
                  <c:v>Typhoid</c:v>
                </c:pt>
                <c:pt idx="14">
                  <c:v>Breast Cancer</c:v>
                </c:pt>
              </c:strCache>
            </c:strRef>
          </c:cat>
          <c:val>
            <c:numRef>
              <c:f>Sheet2!$C$100:$C$115</c:f>
              <c:numCache>
                <c:formatCode>General</c:formatCode>
                <c:ptCount val="15"/>
                <c:pt idx="0">
                  <c:v>447429403</c:v>
                </c:pt>
                <c:pt idx="1">
                  <c:v>406467720</c:v>
                </c:pt>
                <c:pt idx="2">
                  <c:v>392332301</c:v>
                </c:pt>
                <c:pt idx="3">
                  <c:v>376112789</c:v>
                </c:pt>
                <c:pt idx="4">
                  <c:v>288884307</c:v>
                </c:pt>
                <c:pt idx="5">
                  <c:v>287012095</c:v>
                </c:pt>
                <c:pt idx="6">
                  <c:v>269861478</c:v>
                </c:pt>
                <c:pt idx="7">
                  <c:v>269772104</c:v>
                </c:pt>
                <c:pt idx="8">
                  <c:v>215420334</c:v>
                </c:pt>
                <c:pt idx="9">
                  <c:v>201676788</c:v>
                </c:pt>
                <c:pt idx="10">
                  <c:v>195313360</c:v>
                </c:pt>
                <c:pt idx="11">
                  <c:v>194934916</c:v>
                </c:pt>
                <c:pt idx="12">
                  <c:v>115605037</c:v>
                </c:pt>
                <c:pt idx="13">
                  <c:v>95878371</c:v>
                </c:pt>
                <c:pt idx="14">
                  <c:v>91119562</c:v>
                </c:pt>
              </c:numCache>
            </c:numRef>
          </c:val>
          <c:extLst>
            <c:ext xmlns:c16="http://schemas.microsoft.com/office/drawing/2014/chart" uri="{C3380CC4-5D6E-409C-BE32-E72D297353CC}">
              <c16:uniqueId val="{0000001E-EA67-4EF1-8A39-C6C38C52D631}"/>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2">
            <a:lumMod val="40000"/>
            <a:lumOff val="60000"/>
            <a:tint val="66000"/>
            <a:satMod val="160000"/>
          </a:schemeClr>
        </a:gs>
        <a:gs pos="50000">
          <a:schemeClr val="tx2">
            <a:lumMod val="40000"/>
            <a:lumOff val="60000"/>
            <a:tint val="44500"/>
            <a:satMod val="160000"/>
          </a:schemeClr>
        </a:gs>
        <a:gs pos="100000">
          <a:schemeClr val="tx2">
            <a:lumMod val="40000"/>
            <a:lumOff val="60000"/>
            <a:tint val="23500"/>
            <a:satMod val="160000"/>
          </a:schemeClr>
        </a:gs>
      </a:gsLst>
      <a:lin ang="5400000" scaled="1"/>
      <a:tileRect/>
    </a:gradFill>
    <a:ln w="3175" cap="flat" cmpd="sng" algn="ctr">
      <a:solidFill>
        <a:schemeClr val="tx1">
          <a:lumMod val="15000"/>
          <a:lumOff val="85000"/>
          <a:alpha val="0"/>
        </a:schemeClr>
      </a:solidFill>
      <a:prstDash val="sysDot"/>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8">
  <a:schemeClr val="accent5"/>
</cs:colorStyle>
</file>

<file path=xl/charts/colors18.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4.svg"/><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image" Target="../media/image3.pn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image" Target="../media/image2.svg"/><Relationship Id="rId5" Type="http://schemas.openxmlformats.org/officeDocument/2006/relationships/chart" Target="../charts/chart14.xml"/><Relationship Id="rId10" Type="http://schemas.openxmlformats.org/officeDocument/2006/relationships/image" Target="../media/image1.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8</xdr:col>
      <xdr:colOff>200025</xdr:colOff>
      <xdr:row>4</xdr:row>
      <xdr:rowOff>57150</xdr:rowOff>
    </xdr:from>
    <xdr:to>
      <xdr:col>11</xdr:col>
      <xdr:colOff>200025</xdr:colOff>
      <xdr:row>17</xdr:row>
      <xdr:rowOff>104775</xdr:rowOff>
    </xdr:to>
    <mc:AlternateContent xmlns:mc="http://schemas.openxmlformats.org/markup-compatibility/2006" xmlns:a14="http://schemas.microsoft.com/office/drawing/2010/main">
      <mc:Choice Requires="a14">
        <xdr:graphicFrame macro="">
          <xdr:nvGraphicFramePr>
            <xdr:cNvPr id="3" name="Hospital_Name">
              <a:extLst>
                <a:ext uri="{FF2B5EF4-FFF2-40B4-BE49-F238E27FC236}">
                  <a16:creationId xmlns:a16="http://schemas.microsoft.com/office/drawing/2014/main" id="{6255D35D-A23F-D482-9970-FB6FF18FD95B}"/>
                </a:ext>
              </a:extLst>
            </xdr:cNvPr>
            <xdr:cNvGraphicFramePr/>
          </xdr:nvGraphicFramePr>
          <xdr:xfrm>
            <a:off x="0" y="0"/>
            <a:ext cx="0" cy="0"/>
          </xdr:xfrm>
          <a:graphic>
            <a:graphicData uri="http://schemas.microsoft.com/office/drawing/2010/slicer">
              <sle:slicer xmlns:sle="http://schemas.microsoft.com/office/drawing/2010/slicer" name="Hospital_Name"/>
            </a:graphicData>
          </a:graphic>
        </xdr:graphicFrame>
      </mc:Choice>
      <mc:Fallback xmlns="">
        <xdr:sp macro="" textlink="">
          <xdr:nvSpPr>
            <xdr:cNvPr id="0" name=""/>
            <xdr:cNvSpPr>
              <a:spLocks noTextEdit="1"/>
            </xdr:cNvSpPr>
          </xdr:nvSpPr>
          <xdr:spPr>
            <a:xfrm>
              <a:off x="11161847" y="832065"/>
              <a:ext cx="1840424" cy="2566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361950</xdr:colOff>
      <xdr:row>4</xdr:row>
      <xdr:rowOff>38100</xdr:rowOff>
    </xdr:from>
    <xdr:to>
      <xdr:col>14</xdr:col>
      <xdr:colOff>361950</xdr:colOff>
      <xdr:row>17</xdr:row>
      <xdr:rowOff>85725</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9618F87B-FDDF-1EF7-59B4-77F20C1A5C0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164196" y="813015"/>
              <a:ext cx="1840424" cy="2566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476250</xdr:colOff>
      <xdr:row>4</xdr:row>
      <xdr:rowOff>19050</xdr:rowOff>
    </xdr:from>
    <xdr:to>
      <xdr:col>17</xdr:col>
      <xdr:colOff>476250</xdr:colOff>
      <xdr:row>17</xdr:row>
      <xdr:rowOff>66675</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C8137F70-C9AD-2167-546B-201366DA7A6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5118919" y="793965"/>
              <a:ext cx="1840424" cy="2566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600075</xdr:colOff>
      <xdr:row>4</xdr:row>
      <xdr:rowOff>28575</xdr:rowOff>
    </xdr:from>
    <xdr:to>
      <xdr:col>20</xdr:col>
      <xdr:colOff>600075</xdr:colOff>
      <xdr:row>17</xdr:row>
      <xdr:rowOff>76200</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BC18751A-D0D9-4FC4-620F-87FFD5E7C00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7083168" y="803490"/>
              <a:ext cx="1840423" cy="2566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219075</xdr:colOff>
      <xdr:row>4</xdr:row>
      <xdr:rowOff>28575</xdr:rowOff>
    </xdr:from>
    <xdr:to>
      <xdr:col>24</xdr:col>
      <xdr:colOff>219075</xdr:colOff>
      <xdr:row>17</xdr:row>
      <xdr:rowOff>76200</xdr:rowOff>
    </xdr:to>
    <mc:AlternateContent xmlns:mc="http://schemas.openxmlformats.org/markup-compatibility/2006" xmlns:a14="http://schemas.microsoft.com/office/drawing/2010/main">
      <mc:Choice Requires="a14">
        <xdr:graphicFrame macro="">
          <xdr:nvGraphicFramePr>
            <xdr:cNvPr id="7" name="diagnosis">
              <a:extLst>
                <a:ext uri="{FF2B5EF4-FFF2-40B4-BE49-F238E27FC236}">
                  <a16:creationId xmlns:a16="http://schemas.microsoft.com/office/drawing/2014/main" id="{C18C6DA0-8CED-2FD1-D686-017202EEA1A0}"/>
                </a:ext>
              </a:extLst>
            </xdr:cNvPr>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mlns="">
        <xdr:sp macro="" textlink="">
          <xdr:nvSpPr>
            <xdr:cNvPr id="0" name=""/>
            <xdr:cNvSpPr>
              <a:spLocks noTextEdit="1"/>
            </xdr:cNvSpPr>
          </xdr:nvSpPr>
          <xdr:spPr>
            <a:xfrm>
              <a:off x="19156067" y="803490"/>
              <a:ext cx="1840424" cy="2566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276225</xdr:colOff>
      <xdr:row>26</xdr:row>
      <xdr:rowOff>109537</xdr:rowOff>
    </xdr:from>
    <xdr:to>
      <xdr:col>11</xdr:col>
      <xdr:colOff>38100</xdr:colOff>
      <xdr:row>40</xdr:row>
      <xdr:rowOff>185737</xdr:rowOff>
    </xdr:to>
    <xdr:graphicFrame macro="">
      <xdr:nvGraphicFramePr>
        <xdr:cNvPr id="8" name="Chart 7">
          <a:extLst>
            <a:ext uri="{FF2B5EF4-FFF2-40B4-BE49-F238E27FC236}">
              <a16:creationId xmlns:a16="http://schemas.microsoft.com/office/drawing/2014/main" id="{BCADD218-B1B1-15FF-215E-493F580978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1143000</xdr:colOff>
      <xdr:row>50</xdr:row>
      <xdr:rowOff>23812</xdr:rowOff>
    </xdr:from>
    <xdr:to>
      <xdr:col>10</xdr:col>
      <xdr:colOff>361950</xdr:colOff>
      <xdr:row>64</xdr:row>
      <xdr:rowOff>100012</xdr:rowOff>
    </xdr:to>
    <xdr:graphicFrame macro="">
      <xdr:nvGraphicFramePr>
        <xdr:cNvPr id="9" name="Chart 8">
          <a:extLst>
            <a:ext uri="{FF2B5EF4-FFF2-40B4-BE49-F238E27FC236}">
              <a16:creationId xmlns:a16="http://schemas.microsoft.com/office/drawing/2014/main" id="{FE94D510-6560-FC01-C42A-510F9BEFCF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590550</xdr:colOff>
      <xdr:row>73</xdr:row>
      <xdr:rowOff>138112</xdr:rowOff>
    </xdr:from>
    <xdr:to>
      <xdr:col>11</xdr:col>
      <xdr:colOff>352425</xdr:colOff>
      <xdr:row>88</xdr:row>
      <xdr:rowOff>23812</xdr:rowOff>
    </xdr:to>
    <xdr:graphicFrame macro="">
      <xdr:nvGraphicFramePr>
        <xdr:cNvPr id="10" name="Chart 9">
          <a:extLst>
            <a:ext uri="{FF2B5EF4-FFF2-40B4-BE49-F238E27FC236}">
              <a16:creationId xmlns:a16="http://schemas.microsoft.com/office/drawing/2014/main" id="{105143A6-A4CE-D8A0-250D-097D5BE5CB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361950</xdr:colOff>
      <xdr:row>97</xdr:row>
      <xdr:rowOff>33337</xdr:rowOff>
    </xdr:from>
    <xdr:to>
      <xdr:col>11</xdr:col>
      <xdr:colOff>123825</xdr:colOff>
      <xdr:row>111</xdr:row>
      <xdr:rowOff>109537</xdr:rowOff>
    </xdr:to>
    <xdr:graphicFrame macro="">
      <xdr:nvGraphicFramePr>
        <xdr:cNvPr id="11" name="Chart 10">
          <a:extLst>
            <a:ext uri="{FF2B5EF4-FFF2-40B4-BE49-F238E27FC236}">
              <a16:creationId xmlns:a16="http://schemas.microsoft.com/office/drawing/2014/main" id="{0105AB7F-1656-A36D-1D49-3E11EF7B76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838200</xdr:colOff>
      <xdr:row>113</xdr:row>
      <xdr:rowOff>52387</xdr:rowOff>
    </xdr:from>
    <xdr:to>
      <xdr:col>11</xdr:col>
      <xdr:colOff>600075</xdr:colOff>
      <xdr:row>127</xdr:row>
      <xdr:rowOff>128587</xdr:rowOff>
    </xdr:to>
    <xdr:graphicFrame macro="">
      <xdr:nvGraphicFramePr>
        <xdr:cNvPr id="12" name="Chart 11">
          <a:extLst>
            <a:ext uri="{FF2B5EF4-FFF2-40B4-BE49-F238E27FC236}">
              <a16:creationId xmlns:a16="http://schemas.microsoft.com/office/drawing/2014/main" id="{1FED6989-3C87-5A1C-8B1B-7072FE82EC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129</xdr:row>
      <xdr:rowOff>119062</xdr:rowOff>
    </xdr:from>
    <xdr:to>
      <xdr:col>10</xdr:col>
      <xdr:colOff>514350</xdr:colOff>
      <xdr:row>144</xdr:row>
      <xdr:rowOff>4762</xdr:rowOff>
    </xdr:to>
    <xdr:graphicFrame macro="">
      <xdr:nvGraphicFramePr>
        <xdr:cNvPr id="13" name="Chart 12">
          <a:extLst>
            <a:ext uri="{FF2B5EF4-FFF2-40B4-BE49-F238E27FC236}">
              <a16:creationId xmlns:a16="http://schemas.microsoft.com/office/drawing/2014/main" id="{07DB0FFF-AD50-0E7A-4049-B8300C0B7D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466725</xdr:colOff>
      <xdr:row>150</xdr:row>
      <xdr:rowOff>42862</xdr:rowOff>
    </xdr:from>
    <xdr:to>
      <xdr:col>16</xdr:col>
      <xdr:colOff>161925</xdr:colOff>
      <xdr:row>164</xdr:row>
      <xdr:rowOff>119062</xdr:rowOff>
    </xdr:to>
    <xdr:graphicFrame macro="">
      <xdr:nvGraphicFramePr>
        <xdr:cNvPr id="14" name="Chart 13">
          <a:extLst>
            <a:ext uri="{FF2B5EF4-FFF2-40B4-BE49-F238E27FC236}">
              <a16:creationId xmlns:a16="http://schemas.microsoft.com/office/drawing/2014/main" id="{418CFB0B-44F6-7AD8-3B41-0E84863B57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523875</xdr:colOff>
      <xdr:row>173</xdr:row>
      <xdr:rowOff>90487</xdr:rowOff>
    </xdr:from>
    <xdr:to>
      <xdr:col>13</xdr:col>
      <xdr:colOff>171450</xdr:colOff>
      <xdr:row>187</xdr:row>
      <xdr:rowOff>166687</xdr:rowOff>
    </xdr:to>
    <xdr:graphicFrame macro="">
      <xdr:nvGraphicFramePr>
        <xdr:cNvPr id="15" name="Chart 14">
          <a:extLst>
            <a:ext uri="{FF2B5EF4-FFF2-40B4-BE49-F238E27FC236}">
              <a16:creationId xmlns:a16="http://schemas.microsoft.com/office/drawing/2014/main" id="{BD30811F-59B2-80FF-1241-0A2B5BD7F8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542925</xdr:colOff>
      <xdr:row>192</xdr:row>
      <xdr:rowOff>90487</xdr:rowOff>
    </xdr:from>
    <xdr:to>
      <xdr:col>10</xdr:col>
      <xdr:colOff>514350</xdr:colOff>
      <xdr:row>206</xdr:row>
      <xdr:rowOff>166687</xdr:rowOff>
    </xdr:to>
    <xdr:graphicFrame macro="">
      <xdr:nvGraphicFramePr>
        <xdr:cNvPr id="16" name="Chart 15">
          <a:extLst>
            <a:ext uri="{FF2B5EF4-FFF2-40B4-BE49-F238E27FC236}">
              <a16:creationId xmlns:a16="http://schemas.microsoft.com/office/drawing/2014/main" id="{E34429D7-6D9A-A496-800E-F5B8BCB888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34</xdr:col>
      <xdr:colOff>457200</xdr:colOff>
      <xdr:row>42</xdr:row>
      <xdr:rowOff>142874</xdr:rowOff>
    </xdr:to>
    <xdr:sp macro="" textlink="">
      <xdr:nvSpPr>
        <xdr:cNvPr id="2" name="Rectangle 1">
          <a:extLst>
            <a:ext uri="{FF2B5EF4-FFF2-40B4-BE49-F238E27FC236}">
              <a16:creationId xmlns:a16="http://schemas.microsoft.com/office/drawing/2014/main" id="{DA31DC77-B30A-8828-CC83-4B6F6CDC82C8}"/>
            </a:ext>
          </a:extLst>
        </xdr:cNvPr>
        <xdr:cNvSpPr/>
      </xdr:nvSpPr>
      <xdr:spPr>
        <a:xfrm>
          <a:off x="0" y="0"/>
          <a:ext cx="21276129" cy="8239124"/>
        </a:xfrm>
        <a:prstGeom prst="rect">
          <a:avLst/>
        </a:prstGeom>
        <a:solidFill>
          <a:schemeClr val="bg2">
            <a:lumMod val="75000"/>
          </a:schemeClr>
        </a:solidFill>
        <a:ln>
          <a:noFill/>
        </a:ln>
        <a:effectLst>
          <a:glow rad="63500">
            <a:schemeClr val="accent1">
              <a:satMod val="175000"/>
              <a:alpha val="40000"/>
            </a:schemeClr>
          </a:glow>
          <a:innerShdw blurRad="63500" dist="50800" dir="10800000">
            <a:prstClr val="black">
              <a:alpha val="50000"/>
            </a:prstClr>
          </a:innerShdw>
        </a:effectLst>
        <a:scene3d>
          <a:camera prst="orthographicFront">
            <a:rot lat="0" lon="0" rev="0"/>
          </a:camera>
          <a:lightRig rig="balanced" dir="t">
            <a:rot lat="0" lon="0" rev="8700000"/>
          </a:lightRig>
        </a:scene3d>
        <a:sp3d>
          <a:bevelT w="190500" h="38100"/>
        </a:sp3d>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59532</xdr:colOff>
      <xdr:row>9</xdr:row>
      <xdr:rowOff>78581</xdr:rowOff>
    </xdr:from>
    <xdr:to>
      <xdr:col>3</xdr:col>
      <xdr:colOff>59532</xdr:colOff>
      <xdr:row>14</xdr:row>
      <xdr:rowOff>30956</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8BC6643D-8E2D-410F-9A72-0F13AFDBE20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9532" y="1793081"/>
              <a:ext cx="1821656"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0</xdr:row>
      <xdr:rowOff>192767</xdr:rowOff>
    </xdr:from>
    <xdr:to>
      <xdr:col>3</xdr:col>
      <xdr:colOff>114300</xdr:colOff>
      <xdr:row>8</xdr:row>
      <xdr:rowOff>158749</xdr:rowOff>
    </xdr:to>
    <mc:AlternateContent xmlns:mc="http://schemas.openxmlformats.org/markup-compatibility/2006" xmlns:a14="http://schemas.microsoft.com/office/drawing/2010/main">
      <mc:Choice Requires="a14">
        <xdr:graphicFrame macro="">
          <xdr:nvGraphicFramePr>
            <xdr:cNvPr id="3" name="Hospital_Name 1">
              <a:extLst>
                <a:ext uri="{FF2B5EF4-FFF2-40B4-BE49-F238E27FC236}">
                  <a16:creationId xmlns:a16="http://schemas.microsoft.com/office/drawing/2014/main" id="{01F0BEB0-A405-4E9B-915B-43FFB26A2E4F}"/>
                </a:ext>
              </a:extLst>
            </xdr:cNvPr>
            <xdr:cNvGraphicFramePr/>
          </xdr:nvGraphicFramePr>
          <xdr:xfrm>
            <a:off x="0" y="0"/>
            <a:ext cx="0" cy="0"/>
          </xdr:xfrm>
          <a:graphic>
            <a:graphicData uri="http://schemas.microsoft.com/office/drawing/2010/slicer">
              <sle:slicer xmlns:sle="http://schemas.microsoft.com/office/drawing/2010/slicer" name="Hospital_Name 1"/>
            </a:graphicData>
          </a:graphic>
        </xdr:graphicFrame>
      </mc:Choice>
      <mc:Fallback xmlns="">
        <xdr:sp macro="" textlink="">
          <xdr:nvSpPr>
            <xdr:cNvPr id="0" name=""/>
            <xdr:cNvSpPr>
              <a:spLocks noTextEdit="1"/>
            </xdr:cNvSpPr>
          </xdr:nvSpPr>
          <xdr:spPr>
            <a:xfrm>
              <a:off x="114300" y="192767"/>
              <a:ext cx="1836964" cy="1508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23813</xdr:colOff>
      <xdr:row>14</xdr:row>
      <xdr:rowOff>97631</xdr:rowOff>
    </xdr:from>
    <xdr:to>
      <xdr:col>3</xdr:col>
      <xdr:colOff>23813</xdr:colOff>
      <xdr:row>23</xdr:row>
      <xdr:rowOff>23812</xdr:rowOff>
    </xdr:to>
    <mc:AlternateContent xmlns:mc="http://schemas.openxmlformats.org/markup-compatibility/2006" xmlns:a14="http://schemas.microsoft.com/office/drawing/2010/main">
      <mc:Choice Requires="a14">
        <xdr:graphicFrame macro="">
          <xdr:nvGraphicFramePr>
            <xdr:cNvPr id="5" name="Department 1">
              <a:extLst>
                <a:ext uri="{FF2B5EF4-FFF2-40B4-BE49-F238E27FC236}">
                  <a16:creationId xmlns:a16="http://schemas.microsoft.com/office/drawing/2014/main" id="{87F5C959-50BE-42B4-B92A-FA4B0C5937E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3813" y="2764631"/>
              <a:ext cx="1821656" cy="1640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11906</xdr:colOff>
      <xdr:row>23</xdr:row>
      <xdr:rowOff>83343</xdr:rowOff>
    </xdr:from>
    <xdr:to>
      <xdr:col>3</xdr:col>
      <xdr:colOff>11906</xdr:colOff>
      <xdr:row>32</xdr:row>
      <xdr:rowOff>0</xdr:rowOff>
    </xdr:to>
    <mc:AlternateContent xmlns:mc="http://schemas.openxmlformats.org/markup-compatibility/2006" xmlns:a14="http://schemas.microsoft.com/office/drawing/2010/main">
      <mc:Choice Requires="a14">
        <xdr:graphicFrame macro="">
          <xdr:nvGraphicFramePr>
            <xdr:cNvPr id="6" name="City 1">
              <a:extLst>
                <a:ext uri="{FF2B5EF4-FFF2-40B4-BE49-F238E27FC236}">
                  <a16:creationId xmlns:a16="http://schemas.microsoft.com/office/drawing/2014/main" id="{59BAA914-1397-4B94-9426-E6FF0C3296E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1906" y="4464843"/>
              <a:ext cx="1821656" cy="16311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64294</xdr:rowOff>
    </xdr:from>
    <xdr:to>
      <xdr:col>3</xdr:col>
      <xdr:colOff>0</xdr:colOff>
      <xdr:row>42</xdr:row>
      <xdr:rowOff>0</xdr:rowOff>
    </xdr:to>
    <mc:AlternateContent xmlns:mc="http://schemas.openxmlformats.org/markup-compatibility/2006" xmlns:a14="http://schemas.microsoft.com/office/drawing/2010/main">
      <mc:Choice Requires="a14">
        <xdr:graphicFrame macro="">
          <xdr:nvGraphicFramePr>
            <xdr:cNvPr id="7" name="diagnosis 1">
              <a:extLst>
                <a:ext uri="{FF2B5EF4-FFF2-40B4-BE49-F238E27FC236}">
                  <a16:creationId xmlns:a16="http://schemas.microsoft.com/office/drawing/2014/main" id="{BFB4EA28-60FA-4679-A96D-F825A11CBBC2}"/>
                </a:ext>
              </a:extLst>
            </xdr:cNvPr>
            <xdr:cNvGraphicFramePr/>
          </xdr:nvGraphicFramePr>
          <xdr:xfrm>
            <a:off x="0" y="0"/>
            <a:ext cx="0" cy="0"/>
          </xdr:xfrm>
          <a:graphic>
            <a:graphicData uri="http://schemas.microsoft.com/office/drawing/2010/slicer">
              <sle:slicer xmlns:sle="http://schemas.microsoft.com/office/drawing/2010/slicer" name="diagnosis 1"/>
            </a:graphicData>
          </a:graphic>
        </xdr:graphicFrame>
      </mc:Choice>
      <mc:Fallback xmlns="">
        <xdr:sp macro="" textlink="">
          <xdr:nvSpPr>
            <xdr:cNvPr id="0" name=""/>
            <xdr:cNvSpPr>
              <a:spLocks noTextEdit="1"/>
            </xdr:cNvSpPr>
          </xdr:nvSpPr>
          <xdr:spPr>
            <a:xfrm>
              <a:off x="0" y="6160294"/>
              <a:ext cx="1821656" cy="18407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314325</xdr:colOff>
      <xdr:row>1</xdr:row>
      <xdr:rowOff>85725</xdr:rowOff>
    </xdr:from>
    <xdr:to>
      <xdr:col>7</xdr:col>
      <xdr:colOff>272143</xdr:colOff>
      <xdr:row>5</xdr:row>
      <xdr:rowOff>95250</xdr:rowOff>
    </xdr:to>
    <xdr:sp macro="" textlink="Sheet2!$B$11">
      <xdr:nvSpPr>
        <xdr:cNvPr id="8" name="Rectangle 7">
          <a:extLst>
            <a:ext uri="{FF2B5EF4-FFF2-40B4-BE49-F238E27FC236}">
              <a16:creationId xmlns:a16="http://schemas.microsoft.com/office/drawing/2014/main" id="{B22782CB-0956-6732-D662-273EB9F20090}"/>
            </a:ext>
          </a:extLst>
        </xdr:cNvPr>
        <xdr:cNvSpPr/>
      </xdr:nvSpPr>
      <xdr:spPr>
        <a:xfrm>
          <a:off x="2151289" y="278493"/>
          <a:ext cx="2407104" cy="780596"/>
        </a:xfrm>
        <a:prstGeom prst="rect">
          <a:avLst/>
        </a:prstGeom>
        <a:solidFill>
          <a:schemeClr val="accent1">
            <a:lumMod val="60000"/>
            <a:lumOff val="40000"/>
          </a:schemeClr>
        </a:solidFill>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DF9FA54-B09E-406A-81A5-7799BEEA5DEC}" type="TxLink">
            <a:rPr lang="en-US" sz="2000" b="1" i="0" u="none" strike="noStrike">
              <a:solidFill>
                <a:srgbClr val="000000"/>
              </a:solidFill>
              <a:latin typeface="Calibri"/>
              <a:ea typeface="Calibri"/>
              <a:cs typeface="Calibri"/>
            </a:rPr>
            <a:pPr algn="ctr"/>
            <a:t>1111381529</a:t>
          </a:fld>
          <a:endParaRPr lang="en-IN" sz="2000" b="1"/>
        </a:p>
      </xdr:txBody>
    </xdr:sp>
    <xdr:clientData/>
  </xdr:twoCellAnchor>
  <xdr:twoCellAnchor>
    <xdr:from>
      <xdr:col>7</xdr:col>
      <xdr:colOff>552450</xdr:colOff>
      <xdr:row>1</xdr:row>
      <xdr:rowOff>108404</xdr:rowOff>
    </xdr:from>
    <xdr:to>
      <xdr:col>11</xdr:col>
      <xdr:colOff>317500</xdr:colOff>
      <xdr:row>5</xdr:row>
      <xdr:rowOff>117929</xdr:rowOff>
    </xdr:to>
    <xdr:sp macro="" textlink="Sheet2!$C$11">
      <xdr:nvSpPr>
        <xdr:cNvPr id="9" name="Rectangle 8">
          <a:extLst>
            <a:ext uri="{FF2B5EF4-FFF2-40B4-BE49-F238E27FC236}">
              <a16:creationId xmlns:a16="http://schemas.microsoft.com/office/drawing/2014/main" id="{480CAB8F-8946-404F-BC63-C2DE0A45511A}"/>
            </a:ext>
          </a:extLst>
        </xdr:cNvPr>
        <xdr:cNvSpPr/>
      </xdr:nvSpPr>
      <xdr:spPr>
        <a:xfrm>
          <a:off x="4838700" y="301172"/>
          <a:ext cx="2214336" cy="780596"/>
        </a:xfrm>
        <a:prstGeom prst="rect">
          <a:avLst/>
        </a:prstGeom>
        <a:solidFill>
          <a:schemeClr val="accent1">
            <a:lumMod val="60000"/>
            <a:lumOff val="4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BC2F738-6F85-462C-8677-642EB962F9DA}" type="TxLink">
            <a:rPr lang="en-US" sz="2000" b="1" i="0" u="none" strike="noStrike">
              <a:solidFill>
                <a:srgbClr val="000000"/>
              </a:solidFill>
              <a:latin typeface="Calibri"/>
              <a:ea typeface="Calibri"/>
              <a:cs typeface="Calibri"/>
            </a:rPr>
            <a:pPr algn="ctr"/>
            <a:t>3847820565</a:t>
          </a:fld>
          <a:endParaRPr lang="en-IN" sz="2000" b="1"/>
        </a:p>
      </xdr:txBody>
    </xdr:sp>
    <xdr:clientData/>
  </xdr:twoCellAnchor>
  <xdr:twoCellAnchor>
    <xdr:from>
      <xdr:col>7</xdr:col>
      <xdr:colOff>571047</xdr:colOff>
      <xdr:row>6</xdr:row>
      <xdr:rowOff>21317</xdr:rowOff>
    </xdr:from>
    <xdr:to>
      <xdr:col>11</xdr:col>
      <xdr:colOff>317499</xdr:colOff>
      <xdr:row>10</xdr:row>
      <xdr:rowOff>30842</xdr:rowOff>
    </xdr:to>
    <xdr:sp macro="" textlink="Sheet2!$E$11">
      <xdr:nvSpPr>
        <xdr:cNvPr id="10" name="Rectangle 9">
          <a:extLst>
            <a:ext uri="{FF2B5EF4-FFF2-40B4-BE49-F238E27FC236}">
              <a16:creationId xmlns:a16="http://schemas.microsoft.com/office/drawing/2014/main" id="{368874FB-B65D-4E4D-ADE8-52B51E6B1282}"/>
            </a:ext>
          </a:extLst>
        </xdr:cNvPr>
        <xdr:cNvSpPr/>
      </xdr:nvSpPr>
      <xdr:spPr>
        <a:xfrm>
          <a:off x="4857297" y="1177924"/>
          <a:ext cx="2195738" cy="780597"/>
        </a:xfrm>
        <a:prstGeom prst="rect">
          <a:avLst/>
        </a:prstGeom>
        <a:solidFill>
          <a:schemeClr val="accent1">
            <a:lumMod val="60000"/>
            <a:lumOff val="4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12C0CB8-C22B-47D3-96C6-64481D051B4C}" type="TxLink">
            <a:rPr lang="en-US" sz="2000" b="1" i="0" u="none" strike="noStrike">
              <a:solidFill>
                <a:srgbClr val="000000"/>
              </a:solidFill>
              <a:latin typeface="Calibri"/>
              <a:ea typeface="Calibri"/>
              <a:cs typeface="Calibri"/>
            </a:rPr>
            <a:pPr algn="ctr"/>
            <a:t>222498.8046</a:t>
          </a:fld>
          <a:endParaRPr lang="en-IN" sz="2000" b="1"/>
        </a:p>
      </xdr:txBody>
    </xdr:sp>
    <xdr:clientData/>
  </xdr:twoCellAnchor>
  <xdr:twoCellAnchor>
    <xdr:from>
      <xdr:col>3</xdr:col>
      <xdr:colOff>331560</xdr:colOff>
      <xdr:row>6</xdr:row>
      <xdr:rowOff>19503</xdr:rowOff>
    </xdr:from>
    <xdr:to>
      <xdr:col>7</xdr:col>
      <xdr:colOff>283481</xdr:colOff>
      <xdr:row>10</xdr:row>
      <xdr:rowOff>29028</xdr:rowOff>
    </xdr:to>
    <xdr:sp macro="" textlink="Sheet2!$D$11">
      <xdr:nvSpPr>
        <xdr:cNvPr id="11" name="Rectangle 10">
          <a:extLst>
            <a:ext uri="{FF2B5EF4-FFF2-40B4-BE49-F238E27FC236}">
              <a16:creationId xmlns:a16="http://schemas.microsoft.com/office/drawing/2014/main" id="{B182EEB7-28B6-4962-9F13-3AA9F52B8686}"/>
            </a:ext>
          </a:extLst>
        </xdr:cNvPr>
        <xdr:cNvSpPr/>
      </xdr:nvSpPr>
      <xdr:spPr>
        <a:xfrm>
          <a:off x="2168524" y="1176110"/>
          <a:ext cx="2401207" cy="780597"/>
        </a:xfrm>
        <a:prstGeom prst="rect">
          <a:avLst/>
        </a:prstGeom>
        <a:solidFill>
          <a:schemeClr val="accent1">
            <a:lumMod val="60000"/>
            <a:lumOff val="4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EA6E42B-23C6-4C4A-AB3B-A40A2E4C0E7B}" type="TxLink">
            <a:rPr lang="en-US" sz="2000" b="1" i="0" u="none" strike="noStrike">
              <a:solidFill>
                <a:srgbClr val="000000"/>
              </a:solidFill>
              <a:latin typeface="Calibri"/>
              <a:ea typeface="Calibri"/>
              <a:cs typeface="Calibri"/>
            </a:rPr>
            <a:pPr algn="ctr"/>
            <a:t>2736439036</a:t>
          </a:fld>
          <a:endParaRPr lang="en-IN" sz="2000" b="1"/>
        </a:p>
      </xdr:txBody>
    </xdr:sp>
    <xdr:clientData/>
  </xdr:twoCellAnchor>
  <xdr:twoCellAnchor>
    <xdr:from>
      <xdr:col>3</xdr:col>
      <xdr:colOff>514350</xdr:colOff>
      <xdr:row>1</xdr:row>
      <xdr:rowOff>152400</xdr:rowOff>
    </xdr:from>
    <xdr:to>
      <xdr:col>5</xdr:col>
      <xdr:colOff>561975</xdr:colOff>
      <xdr:row>3</xdr:row>
      <xdr:rowOff>28575</xdr:rowOff>
    </xdr:to>
    <xdr:sp macro="" textlink="">
      <xdr:nvSpPr>
        <xdr:cNvPr id="12" name="Rectangle 11">
          <a:extLst>
            <a:ext uri="{FF2B5EF4-FFF2-40B4-BE49-F238E27FC236}">
              <a16:creationId xmlns:a16="http://schemas.microsoft.com/office/drawing/2014/main" id="{9814FC36-FA7A-508C-B3B6-163392517474}"/>
            </a:ext>
          </a:extLst>
        </xdr:cNvPr>
        <xdr:cNvSpPr/>
      </xdr:nvSpPr>
      <xdr:spPr>
        <a:xfrm>
          <a:off x="2343150" y="342900"/>
          <a:ext cx="1266825" cy="257175"/>
        </a:xfrm>
        <a:prstGeom prst="rect">
          <a:avLst/>
        </a:prstGeom>
        <a:ln>
          <a:solidFill>
            <a:schemeClr val="accent5"/>
          </a:solidFill>
        </a:ln>
        <a:effectLst>
          <a:softEdge rad="12700"/>
        </a:effectLst>
        <a:scene3d>
          <a:camera prst="orthographicFront"/>
          <a:lightRig rig="threePt" dir="t"/>
        </a:scene3d>
        <a:sp3d>
          <a:bevelT/>
        </a:sp3d>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IN" sz="1400" b="1">
              <a:solidFill>
                <a:schemeClr val="tx1"/>
              </a:solidFill>
            </a:rPr>
            <a:t>sum of</a:t>
          </a:r>
          <a:r>
            <a:rPr lang="en-IN" sz="1400" b="1" baseline="0">
              <a:solidFill>
                <a:schemeClr val="tx1"/>
              </a:solidFill>
            </a:rPr>
            <a:t> profit</a:t>
          </a:r>
          <a:endParaRPr lang="en-IN" sz="1400" b="1">
            <a:solidFill>
              <a:schemeClr val="tx1"/>
            </a:solidFill>
          </a:endParaRPr>
        </a:p>
      </xdr:txBody>
    </xdr:sp>
    <xdr:clientData/>
  </xdr:twoCellAnchor>
  <xdr:twoCellAnchor>
    <xdr:from>
      <xdr:col>8</xdr:col>
      <xdr:colOff>24040</xdr:colOff>
      <xdr:row>6</xdr:row>
      <xdr:rowOff>95704</xdr:rowOff>
    </xdr:from>
    <xdr:to>
      <xdr:col>10</xdr:col>
      <xdr:colOff>71664</xdr:colOff>
      <xdr:row>7</xdr:row>
      <xdr:rowOff>164647</xdr:rowOff>
    </xdr:to>
    <xdr:sp macro="" textlink="">
      <xdr:nvSpPr>
        <xdr:cNvPr id="13" name="Rectangle 12">
          <a:extLst>
            <a:ext uri="{FF2B5EF4-FFF2-40B4-BE49-F238E27FC236}">
              <a16:creationId xmlns:a16="http://schemas.microsoft.com/office/drawing/2014/main" id="{97F30B63-0E55-4D7F-84BE-64B9652750BA}"/>
            </a:ext>
          </a:extLst>
        </xdr:cNvPr>
        <xdr:cNvSpPr/>
      </xdr:nvSpPr>
      <xdr:spPr>
        <a:xfrm>
          <a:off x="4922611" y="1252311"/>
          <a:ext cx="1272267" cy="261711"/>
        </a:xfrm>
        <a:prstGeom prst="rect">
          <a:avLst/>
        </a:prstGeom>
        <a:scene3d>
          <a:camera prst="orthographicFront"/>
          <a:lightRig rig="threePt" dir="t"/>
        </a:scene3d>
        <a:sp3d>
          <a:bevelT/>
        </a:sp3d>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lang="en-IN" sz="1400" b="1">
              <a:solidFill>
                <a:schemeClr val="tx1"/>
              </a:solidFill>
            </a:rPr>
            <a:t>avg. of profit</a:t>
          </a:r>
        </a:p>
      </xdr:txBody>
    </xdr:sp>
    <xdr:clientData/>
  </xdr:twoCellAnchor>
  <xdr:twoCellAnchor>
    <xdr:from>
      <xdr:col>3</xdr:col>
      <xdr:colOff>504825</xdr:colOff>
      <xdr:row>6</xdr:row>
      <xdr:rowOff>133350</xdr:rowOff>
    </xdr:from>
    <xdr:to>
      <xdr:col>5</xdr:col>
      <xdr:colOff>552450</xdr:colOff>
      <xdr:row>8</xdr:row>
      <xdr:rowOff>9525</xdr:rowOff>
    </xdr:to>
    <xdr:sp macro="" textlink="">
      <xdr:nvSpPr>
        <xdr:cNvPr id="14" name="Rectangle 13">
          <a:extLst>
            <a:ext uri="{FF2B5EF4-FFF2-40B4-BE49-F238E27FC236}">
              <a16:creationId xmlns:a16="http://schemas.microsoft.com/office/drawing/2014/main" id="{E8D6F7E9-7661-4B57-8CC9-4F5135019014}"/>
            </a:ext>
          </a:extLst>
        </xdr:cNvPr>
        <xdr:cNvSpPr/>
      </xdr:nvSpPr>
      <xdr:spPr>
        <a:xfrm>
          <a:off x="2333625" y="1276350"/>
          <a:ext cx="1266825" cy="257175"/>
        </a:xfrm>
        <a:prstGeom prst="rect">
          <a:avLst/>
        </a:prstGeom>
        <a:scene3d>
          <a:camera prst="orthographicFront"/>
          <a:lightRig rig="threePt" dir="t"/>
        </a:scene3d>
        <a:sp3d>
          <a:bevelT/>
        </a:sp3d>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IN" sz="1400" b="1">
              <a:solidFill>
                <a:schemeClr val="tx1"/>
              </a:solidFill>
            </a:rPr>
            <a:t>sum of O.C</a:t>
          </a:r>
        </a:p>
      </xdr:txBody>
    </xdr:sp>
    <xdr:clientData/>
  </xdr:twoCellAnchor>
  <xdr:twoCellAnchor>
    <xdr:from>
      <xdr:col>8</xdr:col>
      <xdr:colOff>26308</xdr:colOff>
      <xdr:row>1</xdr:row>
      <xdr:rowOff>154216</xdr:rowOff>
    </xdr:from>
    <xdr:to>
      <xdr:col>10</xdr:col>
      <xdr:colOff>181429</xdr:colOff>
      <xdr:row>3</xdr:row>
      <xdr:rowOff>56696</xdr:rowOff>
    </xdr:to>
    <xdr:sp macro="" textlink="">
      <xdr:nvSpPr>
        <xdr:cNvPr id="15" name="Rectangle 14">
          <a:extLst>
            <a:ext uri="{FF2B5EF4-FFF2-40B4-BE49-F238E27FC236}">
              <a16:creationId xmlns:a16="http://schemas.microsoft.com/office/drawing/2014/main" id="{2074A042-A082-448B-AC25-B71AFBF69249}"/>
            </a:ext>
          </a:extLst>
        </xdr:cNvPr>
        <xdr:cNvSpPr/>
      </xdr:nvSpPr>
      <xdr:spPr>
        <a:xfrm>
          <a:off x="4924879" y="346984"/>
          <a:ext cx="1379764" cy="288016"/>
        </a:xfrm>
        <a:prstGeom prst="rect">
          <a:avLst/>
        </a:prstGeom>
        <a:scene3d>
          <a:camera prst="orthographicFront"/>
          <a:lightRig rig="threePt" dir="t"/>
        </a:scene3d>
        <a:sp3d>
          <a:bevelT/>
        </a:sp3d>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IN" sz="1400" b="1">
              <a:solidFill>
                <a:schemeClr val="tx1"/>
              </a:solidFill>
            </a:rPr>
            <a:t>sum of revenue</a:t>
          </a:r>
        </a:p>
      </xdr:txBody>
    </xdr:sp>
    <xdr:clientData/>
  </xdr:twoCellAnchor>
  <xdr:twoCellAnchor>
    <xdr:from>
      <xdr:col>27</xdr:col>
      <xdr:colOff>249464</xdr:colOff>
      <xdr:row>26</xdr:row>
      <xdr:rowOff>36738</xdr:rowOff>
    </xdr:from>
    <xdr:to>
      <xdr:col>34</xdr:col>
      <xdr:colOff>372075</xdr:colOff>
      <xdr:row>42</xdr:row>
      <xdr:rowOff>56696</xdr:rowOff>
    </xdr:to>
    <xdr:graphicFrame macro="">
      <xdr:nvGraphicFramePr>
        <xdr:cNvPr id="16" name="Chart 15">
          <a:extLst>
            <a:ext uri="{FF2B5EF4-FFF2-40B4-BE49-F238E27FC236}">
              <a16:creationId xmlns:a16="http://schemas.microsoft.com/office/drawing/2014/main" id="{619C3FF5-F3B7-4DD3-BF06-2E0E79AE6D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71666</xdr:colOff>
      <xdr:row>26</xdr:row>
      <xdr:rowOff>45358</xdr:rowOff>
    </xdr:from>
    <xdr:to>
      <xdr:col>27</xdr:col>
      <xdr:colOff>177248</xdr:colOff>
      <xdr:row>42</xdr:row>
      <xdr:rowOff>24724</xdr:rowOff>
    </xdr:to>
    <xdr:graphicFrame macro="">
      <xdr:nvGraphicFramePr>
        <xdr:cNvPr id="17" name="Chart 16">
          <a:extLst>
            <a:ext uri="{FF2B5EF4-FFF2-40B4-BE49-F238E27FC236}">
              <a16:creationId xmlns:a16="http://schemas.microsoft.com/office/drawing/2014/main" id="{8DDC7982-9EF1-493A-9214-140E461D93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365656</xdr:colOff>
      <xdr:row>0</xdr:row>
      <xdr:rowOff>55597</xdr:rowOff>
    </xdr:from>
    <xdr:to>
      <xdr:col>18</xdr:col>
      <xdr:colOff>464910</xdr:colOff>
      <xdr:row>14</xdr:row>
      <xdr:rowOff>45357</xdr:rowOff>
    </xdr:to>
    <xdr:graphicFrame macro="">
      <xdr:nvGraphicFramePr>
        <xdr:cNvPr id="18" name="Chart 17">
          <a:extLst>
            <a:ext uri="{FF2B5EF4-FFF2-40B4-BE49-F238E27FC236}">
              <a16:creationId xmlns:a16="http://schemas.microsoft.com/office/drawing/2014/main" id="{38D754D4-7BB8-46AC-A455-078494FC5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250371</xdr:colOff>
      <xdr:row>29</xdr:row>
      <xdr:rowOff>114300</xdr:rowOff>
    </xdr:from>
    <xdr:to>
      <xdr:col>19</xdr:col>
      <xdr:colOff>8233</xdr:colOff>
      <xdr:row>42</xdr:row>
      <xdr:rowOff>11339</xdr:rowOff>
    </xdr:to>
    <xdr:graphicFrame macro="">
      <xdr:nvGraphicFramePr>
        <xdr:cNvPr id="20" name="Chart 19">
          <a:extLst>
            <a:ext uri="{FF2B5EF4-FFF2-40B4-BE49-F238E27FC236}">
              <a16:creationId xmlns:a16="http://schemas.microsoft.com/office/drawing/2014/main" id="{016FEDCE-7297-4224-B6C8-FE7D2D0F4D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535779</xdr:colOff>
      <xdr:row>0</xdr:row>
      <xdr:rowOff>24900</xdr:rowOff>
    </xdr:from>
    <xdr:to>
      <xdr:col>26</xdr:col>
      <xdr:colOff>30614</xdr:colOff>
      <xdr:row>26</xdr:row>
      <xdr:rowOff>11340</xdr:rowOff>
    </xdr:to>
    <xdr:graphicFrame macro="">
      <xdr:nvGraphicFramePr>
        <xdr:cNvPr id="21" name="Chart 20">
          <a:extLst>
            <a:ext uri="{FF2B5EF4-FFF2-40B4-BE49-F238E27FC236}">
              <a16:creationId xmlns:a16="http://schemas.microsoft.com/office/drawing/2014/main" id="{45951086-46A6-4655-8CD8-94836173C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172358</xdr:colOff>
      <xdr:row>25</xdr:row>
      <xdr:rowOff>81820</xdr:rowOff>
    </xdr:from>
    <xdr:to>
      <xdr:col>11</xdr:col>
      <xdr:colOff>184263</xdr:colOff>
      <xdr:row>41</xdr:row>
      <xdr:rowOff>170089</xdr:rowOff>
    </xdr:to>
    <xdr:graphicFrame macro="">
      <xdr:nvGraphicFramePr>
        <xdr:cNvPr id="22" name="Chart 21">
          <a:extLst>
            <a:ext uri="{FF2B5EF4-FFF2-40B4-BE49-F238E27FC236}">
              <a16:creationId xmlns:a16="http://schemas.microsoft.com/office/drawing/2014/main" id="{EE290D21-1CEE-40C5-A1A9-7A9F78557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65936</xdr:colOff>
      <xdr:row>0</xdr:row>
      <xdr:rowOff>51026</xdr:rowOff>
    </xdr:from>
    <xdr:to>
      <xdr:col>34</xdr:col>
      <xdr:colOff>396876</xdr:colOff>
      <xdr:row>25</xdr:row>
      <xdr:rowOff>136072</xdr:rowOff>
    </xdr:to>
    <xdr:graphicFrame macro="">
      <xdr:nvGraphicFramePr>
        <xdr:cNvPr id="23" name="Chart 22">
          <a:extLst>
            <a:ext uri="{FF2B5EF4-FFF2-40B4-BE49-F238E27FC236}">
              <a16:creationId xmlns:a16="http://schemas.microsoft.com/office/drawing/2014/main" id="{8054FB93-8D05-494A-9779-ADCA7F52E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303152</xdr:colOff>
      <xdr:row>14</xdr:row>
      <xdr:rowOff>106800</xdr:rowOff>
    </xdr:from>
    <xdr:to>
      <xdr:col>18</xdr:col>
      <xdr:colOff>521608</xdr:colOff>
      <xdr:row>29</xdr:row>
      <xdr:rowOff>90714</xdr:rowOff>
    </xdr:to>
    <xdr:graphicFrame macro="">
      <xdr:nvGraphicFramePr>
        <xdr:cNvPr id="24" name="Chart 23">
          <a:extLst>
            <a:ext uri="{FF2B5EF4-FFF2-40B4-BE49-F238E27FC236}">
              <a16:creationId xmlns:a16="http://schemas.microsoft.com/office/drawing/2014/main" id="{73011BF5-7BB8-4B5D-A7AE-04F219079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249465</xdr:colOff>
      <xdr:row>10</xdr:row>
      <xdr:rowOff>147411</xdr:rowOff>
    </xdr:from>
    <xdr:to>
      <xdr:col>11</xdr:col>
      <xdr:colOff>226786</xdr:colOff>
      <xdr:row>25</xdr:row>
      <xdr:rowOff>44297</xdr:rowOff>
    </xdr:to>
    <xdr:graphicFrame macro="">
      <xdr:nvGraphicFramePr>
        <xdr:cNvPr id="25" name="Chart 24">
          <a:extLst>
            <a:ext uri="{FF2B5EF4-FFF2-40B4-BE49-F238E27FC236}">
              <a16:creationId xmlns:a16="http://schemas.microsoft.com/office/drawing/2014/main" id="{29222F1B-7BF7-4FD4-B879-DE4F1D6AC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306163</xdr:colOff>
      <xdr:row>1</xdr:row>
      <xdr:rowOff>113394</xdr:rowOff>
    </xdr:from>
    <xdr:to>
      <xdr:col>11</xdr:col>
      <xdr:colOff>226787</xdr:colOff>
      <xdr:row>4</xdr:row>
      <xdr:rowOff>68037</xdr:rowOff>
    </xdr:to>
    <xdr:pic>
      <xdr:nvPicPr>
        <xdr:cNvPr id="26" name="Graphic 25" descr="Medical with solid fill">
          <a:extLst>
            <a:ext uri="{FF2B5EF4-FFF2-40B4-BE49-F238E27FC236}">
              <a16:creationId xmlns:a16="http://schemas.microsoft.com/office/drawing/2014/main" id="{7F8A49EB-F0CA-2399-6FAE-7999E6E4B81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429377" y="306162"/>
          <a:ext cx="532946" cy="532946"/>
        </a:xfrm>
        <a:prstGeom prst="rect">
          <a:avLst/>
        </a:prstGeom>
      </xdr:spPr>
    </xdr:pic>
    <xdr:clientData/>
  </xdr:twoCellAnchor>
  <xdr:twoCellAnchor editAs="oneCell">
    <xdr:from>
      <xdr:col>6</xdr:col>
      <xdr:colOff>260803</xdr:colOff>
      <xdr:row>6</xdr:row>
      <xdr:rowOff>45358</xdr:rowOff>
    </xdr:from>
    <xdr:to>
      <xdr:col>7</xdr:col>
      <xdr:colOff>283482</xdr:colOff>
      <xdr:row>9</xdr:row>
      <xdr:rowOff>102054</xdr:rowOff>
    </xdr:to>
    <xdr:pic>
      <xdr:nvPicPr>
        <xdr:cNvPr id="28" name="Graphic 27" descr="Heart with pulse with solid fill">
          <a:extLst>
            <a:ext uri="{FF2B5EF4-FFF2-40B4-BE49-F238E27FC236}">
              <a16:creationId xmlns:a16="http://schemas.microsoft.com/office/drawing/2014/main" id="{4C761C42-2525-3791-4564-13FD765972C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934732" y="1201965"/>
          <a:ext cx="635000" cy="635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Dhanik" refreshedDate="46280.551089351851" createdVersion="8" refreshedVersion="8" minRefreshableVersion="3" recordCount="4995" xr:uid="{6055583D-FF13-4E6C-A874-98FCB62A82EC}">
  <cacheSource type="worksheet">
    <worksheetSource name="Table1"/>
  </cacheSource>
  <cacheFields count="23">
    <cacheField name="Hospital_ID" numFmtId="0">
      <sharedItems containsSemiMixedTypes="0" containsString="0" containsNumber="1" containsInteger="1" minValue="1" maxValue="15" count="15">
        <n v="5"/>
        <n v="13"/>
        <n v="1"/>
        <n v="10"/>
        <n v="2"/>
        <n v="9"/>
        <n v="15"/>
        <n v="14"/>
        <n v="7"/>
        <n v="8"/>
        <n v="3"/>
        <n v="11"/>
        <n v="12"/>
        <n v="4"/>
        <n v="6"/>
      </sharedItems>
    </cacheField>
    <cacheField name="Hospital_Name" numFmtId="0">
      <sharedItems count="15">
        <s v="HealthPlus Medical Center"/>
        <s v="Harmony Health"/>
        <s v="City Hospital"/>
        <s v="Star Health Clinic"/>
        <s v="General Clinic"/>
        <s v="Hope Medical Center"/>
        <s v="Prime Care Hospital"/>
        <s v="Unity Hospital"/>
        <s v="Metro Health"/>
        <s v="Lifeline Hospital"/>
        <s v="Community Care"/>
        <s v="Wellness Hospital"/>
        <s v="Cure Medical Center"/>
        <s v="Sunrise Hospital"/>
        <s v="Care First Hospital"/>
      </sharedItems>
    </cacheField>
    <cacheField name="admission_date" numFmtId="14">
      <sharedItems containsSemiMixedTypes="0" containsNonDate="0" containsDate="1" containsString="0" minDate="2021-01-01T00:00:00" maxDate="2025-01-01T00:00:00"/>
    </cacheField>
    <cacheField name="Readmission_Date" numFmtId="0">
      <sharedItems containsDate="1" containsMixedTypes="1" minDate="2021-01-09T00:00:00" maxDate="2025-01-12T00:00:00"/>
    </cacheField>
    <cacheField name="Readmitted within 30 Days" numFmtId="0">
      <sharedItems containsSemiMixedTypes="0" containsString="0" containsNumber="1" containsInteger="1" minValue="0" maxValue="1"/>
    </cacheField>
    <cacheField name="Patient_Age" numFmtId="0">
      <sharedItems containsSemiMixedTypes="0" containsString="0" containsNumber="1" containsInteger="1" minValue="21" maxValue="90"/>
    </cacheField>
    <cacheField name="Age Distribution" numFmtId="0">
      <sharedItems/>
    </cacheField>
    <cacheField name="Gender" numFmtId="0">
      <sharedItems count="2">
        <s v="Female"/>
        <s v="Male"/>
      </sharedItems>
    </cacheField>
    <cacheField name="diagnosis" numFmtId="0">
      <sharedItems count="15">
        <s v="Pregnancy"/>
        <s v="Migraine"/>
        <s v="Stroke"/>
        <s v="Heart attack"/>
        <s v="Hypertension"/>
        <s v="Heavy Bleeding"/>
        <s v="Kidney Disease"/>
        <s v="Gall Stone"/>
        <s v="Typhoid"/>
        <s v="Pneumonia"/>
        <s v="Diabetes"/>
        <s v="Thyroid Disorder"/>
        <s v="Depression"/>
        <s v="Anemia"/>
        <s v="Breast Cancer"/>
      </sharedItems>
    </cacheField>
    <cacheField name="Department" numFmtId="0">
      <sharedItems count="12">
        <s v="gynaecologist"/>
        <s v="neurologist"/>
        <s v="cardiologist"/>
        <s v="general Physician"/>
        <s v="Nephrology"/>
        <s v="gastroenterologist"/>
        <s v="Internal medicine"/>
        <s v="pulmonologist"/>
        <s v="endocrinologist"/>
        <s v="psychologist"/>
        <s v="hematologist"/>
        <s v="oncologist"/>
      </sharedItems>
    </cacheField>
    <cacheField name="City" numFmtId="0">
      <sharedItems count="5">
        <s v="Jaipur"/>
        <s v="Chandigarh"/>
        <s v="Bangalore"/>
        <s v="Hyderabad"/>
        <s v="Delhi"/>
      </sharedItems>
    </cacheField>
    <cacheField name="Total_Admissions" numFmtId="0">
      <sharedItems containsSemiMixedTypes="0" containsString="0" containsNumber="1" containsInteger="1" minValue="1" maxValue="2"/>
    </cacheField>
    <cacheField name="Total_Discharges" numFmtId="0">
      <sharedItems containsSemiMixedTypes="0" containsString="0" containsNumber="1" containsInteger="1" minValue="1" maxValue="2"/>
    </cacheField>
    <cacheField name="Avg_Length_of_Stay" numFmtId="0">
      <sharedItems containsSemiMixedTypes="0" containsString="0" containsNumber="1" minValue="1" maxValue="7"/>
    </cacheField>
    <cacheField name="Patient_Satisfaction_Score" numFmtId="0">
      <sharedItems containsSemiMixedTypes="0" containsString="0" containsNumber="1" minValue="7" maxValue="10" count="31">
        <n v="8.6"/>
        <n v="8.5"/>
        <n v="9.5"/>
        <n v="9.9"/>
        <n v="7.6"/>
        <n v="7.4"/>
        <n v="9.8000000000000007"/>
        <n v="7.9"/>
        <n v="9.1"/>
        <n v="7.1"/>
        <n v="8.1"/>
        <n v="9.3000000000000007"/>
        <n v="8.3000000000000007"/>
        <n v="7"/>
        <n v="7.3"/>
        <n v="7.5"/>
        <n v="7.8"/>
        <n v="9.4"/>
        <n v="8.6999999999999993"/>
        <n v="8.8000000000000007"/>
        <n v="8.4"/>
        <n v="7.7"/>
        <n v="10"/>
        <n v="7.2"/>
        <n v="9.6"/>
        <n v="9"/>
        <n v="9.1999999999999993"/>
        <n v="8.9"/>
        <n v="9.6999999999999993"/>
        <n v="8.1999999999999993"/>
        <n v="8"/>
      </sharedItems>
    </cacheField>
    <cacheField name="Emergency_Room_Visits" numFmtId="0">
      <sharedItems containsSemiMixedTypes="0" containsString="0" containsNumber="1" containsInteger="1" minValue="3" maxValue="7"/>
    </cacheField>
    <cacheField name="Surgery_Count" numFmtId="0">
      <sharedItems containsSemiMixedTypes="0" containsString="0" containsNumber="1" containsInteger="1" minValue="3" maxValue="7"/>
    </cacheField>
    <cacheField name="Revenue" numFmtId="0">
      <sharedItems containsSemiMixedTypes="0" containsString="0" containsNumber="1" containsInteger="1" minValue="400724" maxValue="999855"/>
    </cacheField>
    <cacheField name="profit" numFmtId="0">
      <sharedItems containsSemiMixedTypes="0" containsString="0" containsNumber="1" containsInteger="1" minValue="-23784" maxValue="784675"/>
    </cacheField>
    <cacheField name="Operating_Costs" numFmtId="0">
      <sharedItems containsSemiMixedTypes="0" containsString="0" containsNumber="1" containsInteger="1" minValue="200848" maxValue="899716"/>
    </cacheField>
    <cacheField name="Number_of_Staff" numFmtId="0">
      <sharedItems containsSemiMixedTypes="0" containsString="0" containsNumber="1" containsInteger="1" minValue="15" maxValue="80"/>
    </cacheField>
    <cacheField name="hours worked by staff per week " numFmtId="0">
      <sharedItems containsSemiMixedTypes="0" containsString="0" containsNumber="1" containsInteger="1" minValue="54" maxValue="66"/>
    </cacheField>
    <cacheField name="Turnover_Rate_(%)" numFmtId="0">
      <sharedItems containsSemiMixedTypes="0" containsString="0" containsNumber="1" minValue="5" maxValue="36.9"/>
    </cacheField>
  </cacheFields>
  <extLst>
    <ext xmlns:x14="http://schemas.microsoft.com/office/spreadsheetml/2009/9/main" uri="{725AE2AE-9491-48be-B2B4-4EB974FC3084}">
      <x14:pivotCacheDefinition pivotCacheId="9673941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5">
  <r>
    <x v="0"/>
    <x v="0"/>
    <d v="2021-01-03T00:00:00"/>
    <d v="2021-01-09T00:00:00"/>
    <n v="1"/>
    <n v="37"/>
    <s v="21-40"/>
    <x v="0"/>
    <x v="0"/>
    <x v="0"/>
    <x v="0"/>
    <n v="2"/>
    <n v="2"/>
    <n v="3.4"/>
    <x v="0"/>
    <n v="4"/>
    <n v="3"/>
    <n v="845538"/>
    <n v="544779"/>
    <n v="300759"/>
    <n v="39"/>
    <n v="65"/>
    <n v="13.3"/>
  </r>
  <r>
    <x v="0"/>
    <x v="0"/>
    <d v="2021-01-09T00:00:00"/>
    <d v="2021-01-17T00:00:00"/>
    <n v="1"/>
    <n v="82"/>
    <s v="81+"/>
    <x v="0"/>
    <x v="1"/>
    <x v="1"/>
    <x v="1"/>
    <n v="2"/>
    <n v="2"/>
    <n v="4.5"/>
    <x v="1"/>
    <n v="7"/>
    <n v="7"/>
    <n v="678466"/>
    <n v="414816"/>
    <n v="263650"/>
    <n v="20"/>
    <n v="64"/>
    <n v="5.6"/>
  </r>
  <r>
    <x v="1"/>
    <x v="1"/>
    <d v="2021-01-11T00:00:00"/>
    <d v="2021-01-20T00:00:00"/>
    <n v="1"/>
    <n v="60"/>
    <s v="41-60"/>
    <x v="0"/>
    <x v="2"/>
    <x v="1"/>
    <x v="1"/>
    <n v="2"/>
    <n v="2"/>
    <n v="3.7"/>
    <x v="2"/>
    <n v="7"/>
    <n v="6"/>
    <n v="599238"/>
    <n v="248738"/>
    <n v="350500"/>
    <n v="32"/>
    <n v="55"/>
    <n v="9.9"/>
  </r>
  <r>
    <x v="2"/>
    <x v="2"/>
    <d v="2021-01-07T00:00:00"/>
    <d v="2021-01-25T00:00:00"/>
    <n v="1"/>
    <n v="43"/>
    <s v="41-60"/>
    <x v="0"/>
    <x v="2"/>
    <x v="1"/>
    <x v="2"/>
    <n v="2"/>
    <n v="2"/>
    <n v="4.7"/>
    <x v="3"/>
    <n v="3"/>
    <n v="5"/>
    <n v="965803"/>
    <n v="240242"/>
    <n v="725561"/>
    <n v="36"/>
    <n v="56"/>
    <n v="12.2"/>
  </r>
  <r>
    <x v="3"/>
    <x v="3"/>
    <d v="2021-01-02T00:00:00"/>
    <d v="2021-01-28T00:00:00"/>
    <n v="1"/>
    <n v="76"/>
    <s v="61-80"/>
    <x v="1"/>
    <x v="3"/>
    <x v="2"/>
    <x v="3"/>
    <n v="2"/>
    <n v="2"/>
    <n v="5.3"/>
    <x v="4"/>
    <n v="3"/>
    <n v="3"/>
    <n v="899363"/>
    <n v="221222"/>
    <n v="678141"/>
    <n v="52"/>
    <n v="55"/>
    <n v="7.3"/>
  </r>
  <r>
    <x v="4"/>
    <x v="4"/>
    <d v="2021-01-16T00:00:00"/>
    <d v="2021-01-29T00:00:00"/>
    <n v="1"/>
    <n v="27"/>
    <s v="21-40"/>
    <x v="0"/>
    <x v="4"/>
    <x v="3"/>
    <x v="4"/>
    <n v="2"/>
    <n v="2"/>
    <n v="3.2"/>
    <x v="5"/>
    <n v="3"/>
    <n v="7"/>
    <n v="837010"/>
    <n v="268357"/>
    <n v="568653"/>
    <n v="38"/>
    <n v="55"/>
    <n v="5.6"/>
  </r>
  <r>
    <x v="0"/>
    <x v="0"/>
    <d v="2021-01-24T00:00:00"/>
    <d v="2021-01-31T00:00:00"/>
    <n v="1"/>
    <n v="29"/>
    <s v="21-40"/>
    <x v="0"/>
    <x v="5"/>
    <x v="0"/>
    <x v="1"/>
    <n v="2"/>
    <n v="2"/>
    <n v="2"/>
    <x v="6"/>
    <n v="5"/>
    <n v="6"/>
    <n v="754851"/>
    <n v="382982"/>
    <n v="371869"/>
    <n v="31"/>
    <n v="64"/>
    <n v="7.8"/>
  </r>
  <r>
    <x v="5"/>
    <x v="5"/>
    <d v="2021-01-13T00:00:00"/>
    <d v="2021-01-31T00:00:00"/>
    <n v="1"/>
    <n v="33"/>
    <s v="21-40"/>
    <x v="0"/>
    <x v="0"/>
    <x v="0"/>
    <x v="4"/>
    <n v="2"/>
    <n v="2"/>
    <n v="6.2"/>
    <x v="7"/>
    <n v="5"/>
    <n v="7"/>
    <n v="504270"/>
    <n v="41748"/>
    <n v="462522"/>
    <n v="35"/>
    <n v="61"/>
    <n v="7"/>
  </r>
  <r>
    <x v="6"/>
    <x v="6"/>
    <d v="2021-01-11T00:00:00"/>
    <d v="2021-02-01T00:00:00"/>
    <n v="1"/>
    <n v="40"/>
    <s v="21-40"/>
    <x v="0"/>
    <x v="6"/>
    <x v="4"/>
    <x v="4"/>
    <n v="2"/>
    <n v="2"/>
    <n v="5.6"/>
    <x v="8"/>
    <n v="4"/>
    <n v="5"/>
    <n v="746815"/>
    <n v="112714"/>
    <n v="634101"/>
    <n v="42"/>
    <n v="54"/>
    <n v="12"/>
  </r>
  <r>
    <x v="7"/>
    <x v="7"/>
    <d v="2021-01-09T00:00:00"/>
    <d v="2021-02-04T00:00:00"/>
    <n v="1"/>
    <n v="33"/>
    <s v="21-40"/>
    <x v="0"/>
    <x v="1"/>
    <x v="1"/>
    <x v="4"/>
    <n v="2"/>
    <n v="2"/>
    <n v="5.9"/>
    <x v="7"/>
    <n v="5"/>
    <n v="7"/>
    <n v="826357"/>
    <n v="240876"/>
    <n v="585481"/>
    <n v="32"/>
    <n v="61"/>
    <n v="5.2"/>
  </r>
  <r>
    <x v="8"/>
    <x v="8"/>
    <d v="2021-01-14T00:00:00"/>
    <d v="2021-02-05T00:00:00"/>
    <n v="1"/>
    <n v="36"/>
    <s v="21-40"/>
    <x v="0"/>
    <x v="7"/>
    <x v="5"/>
    <x v="4"/>
    <n v="2"/>
    <n v="2"/>
    <n v="3"/>
    <x v="3"/>
    <n v="5"/>
    <n v="5"/>
    <n v="810782"/>
    <n v="308913"/>
    <n v="501869"/>
    <n v="42"/>
    <n v="65"/>
    <n v="9.6"/>
  </r>
  <r>
    <x v="9"/>
    <x v="9"/>
    <d v="2021-01-16T00:00:00"/>
    <d v="2021-02-08T00:00:00"/>
    <n v="1"/>
    <n v="24"/>
    <s v="21-40"/>
    <x v="1"/>
    <x v="8"/>
    <x v="6"/>
    <x v="3"/>
    <n v="2"/>
    <n v="2"/>
    <n v="4.3"/>
    <x v="9"/>
    <n v="3"/>
    <n v="7"/>
    <n v="912646"/>
    <n v="105779"/>
    <n v="806867"/>
    <n v="31"/>
    <n v="58"/>
    <n v="12.2"/>
  </r>
  <r>
    <x v="9"/>
    <x v="9"/>
    <d v="2021-01-14T00:00:00"/>
    <d v="2021-02-10T00:00:00"/>
    <n v="1"/>
    <n v="53"/>
    <s v="41-60"/>
    <x v="0"/>
    <x v="1"/>
    <x v="1"/>
    <x v="1"/>
    <n v="2"/>
    <n v="2"/>
    <n v="6.9"/>
    <x v="7"/>
    <n v="7"/>
    <n v="4"/>
    <n v="901052"/>
    <n v="23298"/>
    <n v="877754"/>
    <n v="31"/>
    <n v="66"/>
    <n v="12.5"/>
  </r>
  <r>
    <x v="0"/>
    <x v="0"/>
    <d v="2021-01-26T00:00:00"/>
    <d v="2021-02-13T00:00:00"/>
    <n v="1"/>
    <n v="71"/>
    <s v="61-80"/>
    <x v="1"/>
    <x v="3"/>
    <x v="2"/>
    <x v="3"/>
    <n v="2"/>
    <n v="2"/>
    <n v="5.9"/>
    <x v="10"/>
    <n v="5"/>
    <n v="6"/>
    <n v="894681"/>
    <n v="416149"/>
    <n v="478532"/>
    <n v="30"/>
    <n v="55"/>
    <n v="9.5"/>
  </r>
  <r>
    <x v="1"/>
    <x v="1"/>
    <d v="2021-02-20T00:00:00"/>
    <d v="2021-02-24T00:00:00"/>
    <n v="1"/>
    <n v="26"/>
    <s v="21-40"/>
    <x v="1"/>
    <x v="3"/>
    <x v="2"/>
    <x v="4"/>
    <n v="2"/>
    <n v="2"/>
    <n v="3.2"/>
    <x v="8"/>
    <n v="6"/>
    <n v="5"/>
    <n v="530225"/>
    <n v="159431"/>
    <n v="370794"/>
    <n v="47"/>
    <n v="54"/>
    <n v="10.3"/>
  </r>
  <r>
    <x v="0"/>
    <x v="0"/>
    <d v="2021-02-14T00:00:00"/>
    <d v="2021-02-27T00:00:00"/>
    <n v="1"/>
    <n v="47"/>
    <s v="41-60"/>
    <x v="1"/>
    <x v="6"/>
    <x v="4"/>
    <x v="1"/>
    <n v="2"/>
    <n v="2"/>
    <n v="1"/>
    <x v="11"/>
    <n v="6"/>
    <n v="6"/>
    <n v="701997"/>
    <n v="259299"/>
    <n v="442698"/>
    <n v="26"/>
    <n v="57"/>
    <n v="14.4"/>
  </r>
  <r>
    <x v="3"/>
    <x v="3"/>
    <d v="2021-02-13T00:00:00"/>
    <d v="2021-03-02T00:00:00"/>
    <n v="1"/>
    <n v="40"/>
    <s v="21-40"/>
    <x v="1"/>
    <x v="6"/>
    <x v="4"/>
    <x v="2"/>
    <n v="2"/>
    <n v="2"/>
    <n v="3.3"/>
    <x v="12"/>
    <n v="6"/>
    <n v="6"/>
    <n v="904050"/>
    <n v="377194"/>
    <n v="526856"/>
    <n v="64"/>
    <n v="56"/>
    <n v="8.8000000000000007"/>
  </r>
  <r>
    <x v="0"/>
    <x v="0"/>
    <d v="2021-02-12T00:00:00"/>
    <d v="2021-03-04T00:00:00"/>
    <n v="1"/>
    <n v="89"/>
    <s v="81+"/>
    <x v="1"/>
    <x v="2"/>
    <x v="1"/>
    <x v="3"/>
    <n v="2"/>
    <n v="2"/>
    <n v="5"/>
    <x v="13"/>
    <n v="7"/>
    <n v="3"/>
    <n v="868937"/>
    <n v="625838"/>
    <n v="243099"/>
    <n v="25"/>
    <n v="61"/>
    <n v="9.3000000000000007"/>
  </r>
  <r>
    <x v="6"/>
    <x v="6"/>
    <d v="2021-02-18T00:00:00"/>
    <d v="2021-03-10T00:00:00"/>
    <n v="1"/>
    <n v="62"/>
    <s v="61-80"/>
    <x v="1"/>
    <x v="4"/>
    <x v="3"/>
    <x v="1"/>
    <n v="2"/>
    <n v="2"/>
    <n v="5"/>
    <x v="2"/>
    <n v="4"/>
    <n v="6"/>
    <n v="708666"/>
    <n v="55415"/>
    <n v="653251"/>
    <n v="56"/>
    <n v="62"/>
    <n v="14.8"/>
  </r>
  <r>
    <x v="7"/>
    <x v="7"/>
    <d v="2021-02-16T00:00:00"/>
    <d v="2021-03-18T00:00:00"/>
    <n v="1"/>
    <n v="40"/>
    <s v="21-40"/>
    <x v="0"/>
    <x v="9"/>
    <x v="7"/>
    <x v="1"/>
    <n v="2"/>
    <n v="2"/>
    <n v="5.8"/>
    <x v="13"/>
    <n v="6"/>
    <n v="6"/>
    <n v="769956"/>
    <n v="268020"/>
    <n v="501936"/>
    <n v="40"/>
    <n v="58"/>
    <n v="10.1"/>
  </r>
  <r>
    <x v="10"/>
    <x v="10"/>
    <d v="2021-03-02T00:00:00"/>
    <d v="2021-03-18T00:00:00"/>
    <n v="1"/>
    <n v="79"/>
    <s v="61-80"/>
    <x v="1"/>
    <x v="10"/>
    <x v="8"/>
    <x v="2"/>
    <n v="2"/>
    <n v="2"/>
    <n v="1.5"/>
    <x v="14"/>
    <n v="4"/>
    <n v="7"/>
    <n v="550728"/>
    <n v="150846"/>
    <n v="399882"/>
    <n v="24"/>
    <n v="65"/>
    <n v="10.199999999999999"/>
  </r>
  <r>
    <x v="6"/>
    <x v="6"/>
    <d v="2021-02-28T00:00:00"/>
    <d v="2021-03-18T00:00:00"/>
    <n v="1"/>
    <n v="65"/>
    <s v="61-80"/>
    <x v="1"/>
    <x v="6"/>
    <x v="4"/>
    <x v="1"/>
    <n v="2"/>
    <n v="2"/>
    <n v="1.2"/>
    <x v="14"/>
    <n v="5"/>
    <n v="4"/>
    <n v="785037"/>
    <n v="189357"/>
    <n v="595680"/>
    <n v="56"/>
    <n v="64"/>
    <n v="36.799999999999997"/>
  </r>
  <r>
    <x v="0"/>
    <x v="0"/>
    <d v="2021-03-01T00:00:00"/>
    <d v="2021-03-19T00:00:00"/>
    <n v="1"/>
    <n v="41"/>
    <s v="41-60"/>
    <x v="1"/>
    <x v="11"/>
    <x v="8"/>
    <x v="0"/>
    <n v="2"/>
    <n v="2"/>
    <n v="4.2"/>
    <x v="15"/>
    <n v="7"/>
    <n v="4"/>
    <n v="917860"/>
    <n v="513775"/>
    <n v="404085"/>
    <n v="22"/>
    <n v="62"/>
    <n v="6.6"/>
  </r>
  <r>
    <x v="0"/>
    <x v="0"/>
    <d v="2021-03-11T00:00:00"/>
    <d v="2021-03-21T00:00:00"/>
    <n v="1"/>
    <n v="82"/>
    <s v="81+"/>
    <x v="1"/>
    <x v="12"/>
    <x v="9"/>
    <x v="1"/>
    <n v="2"/>
    <n v="2"/>
    <n v="1.1000000000000001"/>
    <x v="10"/>
    <n v="4"/>
    <n v="7"/>
    <n v="695760"/>
    <n v="224236"/>
    <n v="471524"/>
    <n v="23"/>
    <n v="64"/>
    <n v="12"/>
  </r>
  <r>
    <x v="11"/>
    <x v="11"/>
    <d v="2021-03-14T00:00:00"/>
    <d v="2021-03-28T00:00:00"/>
    <n v="1"/>
    <n v="29"/>
    <s v="21-40"/>
    <x v="0"/>
    <x v="9"/>
    <x v="7"/>
    <x v="0"/>
    <n v="2"/>
    <n v="2"/>
    <n v="6.4"/>
    <x v="7"/>
    <n v="5"/>
    <n v="5"/>
    <n v="700436"/>
    <n v="208478"/>
    <n v="491958"/>
    <n v="25"/>
    <n v="59"/>
    <n v="12"/>
  </r>
  <r>
    <x v="0"/>
    <x v="0"/>
    <d v="2021-02-28T00:00:00"/>
    <d v="2021-03-30T00:00:00"/>
    <n v="1"/>
    <n v="68"/>
    <s v="61-80"/>
    <x v="0"/>
    <x v="1"/>
    <x v="1"/>
    <x v="0"/>
    <n v="2"/>
    <n v="2"/>
    <n v="5.9"/>
    <x v="16"/>
    <n v="4"/>
    <n v="6"/>
    <n v="963850"/>
    <n v="588933"/>
    <n v="374917"/>
    <n v="37"/>
    <n v="57"/>
    <n v="6.5"/>
  </r>
  <r>
    <x v="1"/>
    <x v="1"/>
    <d v="2021-03-17T00:00:00"/>
    <d v="2021-03-31T00:00:00"/>
    <n v="1"/>
    <n v="47"/>
    <s v="41-60"/>
    <x v="0"/>
    <x v="13"/>
    <x v="10"/>
    <x v="1"/>
    <n v="2"/>
    <n v="2"/>
    <n v="2.8"/>
    <x v="17"/>
    <n v="7"/>
    <n v="3"/>
    <n v="587617"/>
    <n v="187750"/>
    <n v="399867"/>
    <n v="31"/>
    <n v="63"/>
    <n v="12.2"/>
  </r>
  <r>
    <x v="2"/>
    <x v="2"/>
    <d v="2021-03-20T00:00:00"/>
    <d v="2021-04-01T00:00:00"/>
    <n v="1"/>
    <n v="69"/>
    <s v="61-80"/>
    <x v="0"/>
    <x v="0"/>
    <x v="0"/>
    <x v="1"/>
    <n v="2"/>
    <n v="2"/>
    <n v="1.6"/>
    <x v="18"/>
    <n v="4"/>
    <n v="7"/>
    <n v="992629"/>
    <n v="149920"/>
    <n v="842709"/>
    <n v="35"/>
    <n v="63"/>
    <n v="5.5"/>
  </r>
  <r>
    <x v="12"/>
    <x v="12"/>
    <d v="2021-03-28T00:00:00"/>
    <d v="2021-04-04T00:00:00"/>
    <n v="1"/>
    <n v="87"/>
    <s v="81+"/>
    <x v="0"/>
    <x v="2"/>
    <x v="1"/>
    <x v="4"/>
    <n v="2"/>
    <n v="2"/>
    <n v="4.7"/>
    <x v="4"/>
    <n v="7"/>
    <n v="4"/>
    <n v="891843"/>
    <n v="194457"/>
    <n v="697386"/>
    <n v="50"/>
    <n v="55"/>
    <n v="10.1"/>
  </r>
  <r>
    <x v="6"/>
    <x v="6"/>
    <d v="2021-04-02T00:00:00"/>
    <d v="2021-04-04T00:00:00"/>
    <n v="1"/>
    <n v="47"/>
    <s v="41-60"/>
    <x v="0"/>
    <x v="9"/>
    <x v="7"/>
    <x v="1"/>
    <n v="2"/>
    <n v="2"/>
    <n v="4.0999999999999996"/>
    <x v="19"/>
    <n v="4"/>
    <n v="3"/>
    <n v="746382"/>
    <n v="199911"/>
    <n v="546471"/>
    <n v="40"/>
    <n v="64"/>
    <n v="7.4"/>
  </r>
  <r>
    <x v="7"/>
    <x v="7"/>
    <d v="2021-03-31T00:00:00"/>
    <d v="2021-04-16T00:00:00"/>
    <n v="1"/>
    <n v="38"/>
    <s v="21-40"/>
    <x v="0"/>
    <x v="14"/>
    <x v="11"/>
    <x v="4"/>
    <n v="2"/>
    <n v="2"/>
    <n v="1.1000000000000001"/>
    <x v="18"/>
    <n v="6"/>
    <n v="6"/>
    <n v="771054"/>
    <n v="217057"/>
    <n v="553997"/>
    <n v="41"/>
    <n v="57"/>
    <n v="9.1"/>
  </r>
  <r>
    <x v="11"/>
    <x v="11"/>
    <d v="2021-04-07T00:00:00"/>
    <d v="2021-04-19T00:00:00"/>
    <n v="1"/>
    <n v="67"/>
    <s v="61-80"/>
    <x v="1"/>
    <x v="7"/>
    <x v="5"/>
    <x v="3"/>
    <n v="2"/>
    <n v="2"/>
    <n v="5.6"/>
    <x v="20"/>
    <n v="6"/>
    <n v="6"/>
    <n v="761249"/>
    <n v="319623"/>
    <n v="441626"/>
    <n v="31"/>
    <n v="59"/>
    <n v="7.3"/>
  </r>
  <r>
    <x v="13"/>
    <x v="13"/>
    <d v="2021-03-20T00:00:00"/>
    <d v="2021-04-19T00:00:00"/>
    <n v="1"/>
    <n v="37"/>
    <s v="21-40"/>
    <x v="1"/>
    <x v="6"/>
    <x v="4"/>
    <x v="0"/>
    <n v="2"/>
    <n v="2"/>
    <n v="6.9"/>
    <x v="5"/>
    <n v="7"/>
    <n v="5"/>
    <n v="947557"/>
    <n v="273575"/>
    <n v="673982"/>
    <n v="50"/>
    <n v="64"/>
    <n v="8.6"/>
  </r>
  <r>
    <x v="9"/>
    <x v="9"/>
    <d v="2021-03-27T00:00:00"/>
    <d v="2021-04-19T00:00:00"/>
    <n v="1"/>
    <n v="73"/>
    <s v="61-80"/>
    <x v="1"/>
    <x v="13"/>
    <x v="10"/>
    <x v="3"/>
    <n v="2"/>
    <n v="2"/>
    <n v="5.2"/>
    <x v="21"/>
    <n v="5"/>
    <n v="6"/>
    <n v="994607"/>
    <n v="166856"/>
    <n v="827751"/>
    <n v="38"/>
    <n v="59"/>
    <n v="6.3"/>
  </r>
  <r>
    <x v="8"/>
    <x v="8"/>
    <d v="2021-04-10T00:00:00"/>
    <d v="2021-04-23T00:00:00"/>
    <n v="1"/>
    <n v="80"/>
    <s v="61-80"/>
    <x v="0"/>
    <x v="7"/>
    <x v="5"/>
    <x v="0"/>
    <n v="2"/>
    <n v="2"/>
    <n v="3.2"/>
    <x v="14"/>
    <n v="3"/>
    <n v="5"/>
    <n v="677592"/>
    <n v="102226"/>
    <n v="575366"/>
    <n v="42"/>
    <n v="66"/>
    <n v="8.1"/>
  </r>
  <r>
    <x v="1"/>
    <x v="1"/>
    <d v="2021-04-01T00:00:00"/>
    <d v="2021-04-27T00:00:00"/>
    <n v="1"/>
    <n v="23"/>
    <s v="21-40"/>
    <x v="0"/>
    <x v="7"/>
    <x v="5"/>
    <x v="1"/>
    <n v="2"/>
    <n v="2"/>
    <n v="4.5"/>
    <x v="7"/>
    <n v="6"/>
    <n v="7"/>
    <n v="529896"/>
    <n v="137377"/>
    <n v="392519"/>
    <n v="50"/>
    <n v="57"/>
    <n v="8.6"/>
  </r>
  <r>
    <x v="5"/>
    <x v="5"/>
    <d v="2021-04-12T00:00:00"/>
    <d v="2021-04-30T00:00:00"/>
    <n v="1"/>
    <n v="53"/>
    <s v="41-60"/>
    <x v="1"/>
    <x v="4"/>
    <x v="3"/>
    <x v="0"/>
    <n v="2"/>
    <n v="2"/>
    <n v="3.3"/>
    <x v="9"/>
    <n v="6"/>
    <n v="7"/>
    <n v="518031"/>
    <n v="130910"/>
    <n v="387121"/>
    <n v="40"/>
    <n v="65"/>
    <n v="13.7"/>
  </r>
  <r>
    <x v="1"/>
    <x v="1"/>
    <d v="2021-04-01T00:00:00"/>
    <d v="2021-05-01T00:00:00"/>
    <n v="1"/>
    <n v="46"/>
    <s v="41-60"/>
    <x v="1"/>
    <x v="8"/>
    <x v="6"/>
    <x v="4"/>
    <n v="2"/>
    <n v="2"/>
    <n v="1.7"/>
    <x v="12"/>
    <n v="7"/>
    <n v="7"/>
    <n v="432266"/>
    <n v="39230"/>
    <n v="393036"/>
    <n v="43"/>
    <n v="58"/>
    <n v="7"/>
  </r>
  <r>
    <x v="0"/>
    <x v="0"/>
    <d v="2021-04-05T00:00:00"/>
    <d v="2021-05-02T00:00:00"/>
    <n v="1"/>
    <n v="37"/>
    <s v="21-40"/>
    <x v="0"/>
    <x v="14"/>
    <x v="11"/>
    <x v="3"/>
    <n v="2"/>
    <n v="2"/>
    <n v="2.1"/>
    <x v="12"/>
    <n v="4"/>
    <n v="7"/>
    <n v="752805"/>
    <n v="287316"/>
    <n v="465489"/>
    <n v="31"/>
    <n v="63"/>
    <n v="12.6"/>
  </r>
  <r>
    <x v="4"/>
    <x v="4"/>
    <d v="2021-04-30T00:00:00"/>
    <d v="2021-05-07T00:00:00"/>
    <n v="1"/>
    <n v="85"/>
    <s v="81+"/>
    <x v="0"/>
    <x v="5"/>
    <x v="0"/>
    <x v="3"/>
    <n v="2"/>
    <n v="2"/>
    <n v="3.1"/>
    <x v="15"/>
    <n v="4"/>
    <n v="6"/>
    <n v="732543"/>
    <n v="121643"/>
    <n v="610900"/>
    <n v="36"/>
    <n v="54"/>
    <n v="6.4"/>
  </r>
  <r>
    <x v="0"/>
    <x v="0"/>
    <d v="2021-04-21T00:00:00"/>
    <d v="2021-05-08T00:00:00"/>
    <n v="1"/>
    <n v="37"/>
    <s v="21-40"/>
    <x v="1"/>
    <x v="3"/>
    <x v="2"/>
    <x v="0"/>
    <n v="2"/>
    <n v="2"/>
    <n v="6.4"/>
    <x v="21"/>
    <n v="5"/>
    <n v="4"/>
    <n v="753332"/>
    <n v="516324"/>
    <n v="237008"/>
    <n v="25"/>
    <n v="58"/>
    <n v="36.1"/>
  </r>
  <r>
    <x v="12"/>
    <x v="12"/>
    <d v="2021-05-01T00:00:00"/>
    <d v="2021-05-16T00:00:00"/>
    <n v="1"/>
    <n v="25"/>
    <s v="21-40"/>
    <x v="0"/>
    <x v="9"/>
    <x v="7"/>
    <x v="4"/>
    <n v="2"/>
    <n v="2"/>
    <n v="5.9"/>
    <x v="18"/>
    <n v="4"/>
    <n v="5"/>
    <n v="944099"/>
    <n v="413083"/>
    <n v="531016"/>
    <n v="58"/>
    <n v="55"/>
    <n v="36.200000000000003"/>
  </r>
  <r>
    <x v="11"/>
    <x v="11"/>
    <d v="2021-05-22T00:00:00"/>
    <d v="2021-05-25T00:00:00"/>
    <n v="1"/>
    <n v="61"/>
    <s v="61-80"/>
    <x v="1"/>
    <x v="11"/>
    <x v="8"/>
    <x v="4"/>
    <n v="2"/>
    <n v="2"/>
    <n v="5.4"/>
    <x v="8"/>
    <n v="4"/>
    <n v="6"/>
    <n v="681555"/>
    <n v="239068"/>
    <n v="442487"/>
    <n v="32"/>
    <n v="57"/>
    <n v="10.1"/>
  </r>
  <r>
    <x v="11"/>
    <x v="11"/>
    <d v="2021-05-02T00:00:00"/>
    <d v="2021-05-28T00:00:00"/>
    <n v="1"/>
    <n v="48"/>
    <s v="41-60"/>
    <x v="1"/>
    <x v="4"/>
    <x v="3"/>
    <x v="0"/>
    <n v="2"/>
    <n v="2"/>
    <n v="1.3"/>
    <x v="14"/>
    <n v="7"/>
    <n v="3"/>
    <n v="723151"/>
    <n v="307359"/>
    <n v="415792"/>
    <n v="30"/>
    <n v="65"/>
    <n v="13.1"/>
  </r>
  <r>
    <x v="2"/>
    <x v="2"/>
    <d v="2021-05-17T00:00:00"/>
    <d v="2021-05-30T00:00:00"/>
    <n v="1"/>
    <n v="67"/>
    <s v="61-80"/>
    <x v="0"/>
    <x v="0"/>
    <x v="0"/>
    <x v="0"/>
    <n v="2"/>
    <n v="2"/>
    <n v="4"/>
    <x v="9"/>
    <n v="3"/>
    <n v="6"/>
    <n v="947823"/>
    <n v="255796"/>
    <n v="692027"/>
    <n v="33"/>
    <n v="56"/>
    <n v="14.1"/>
  </r>
  <r>
    <x v="1"/>
    <x v="1"/>
    <d v="2021-05-11T00:00:00"/>
    <d v="2021-05-30T00:00:00"/>
    <n v="1"/>
    <n v="25"/>
    <s v="21-40"/>
    <x v="1"/>
    <x v="12"/>
    <x v="9"/>
    <x v="0"/>
    <n v="2"/>
    <n v="2"/>
    <n v="2.8"/>
    <x v="22"/>
    <n v="3"/>
    <n v="3"/>
    <n v="736561"/>
    <n v="372989"/>
    <n v="363572"/>
    <n v="39"/>
    <n v="60"/>
    <n v="7.4"/>
  </r>
  <r>
    <x v="3"/>
    <x v="3"/>
    <d v="2021-06-04T00:00:00"/>
    <d v="2021-06-06T00:00:00"/>
    <n v="1"/>
    <n v="49"/>
    <s v="41-60"/>
    <x v="0"/>
    <x v="14"/>
    <x v="11"/>
    <x v="3"/>
    <n v="2"/>
    <n v="2"/>
    <n v="1.9"/>
    <x v="23"/>
    <n v="6"/>
    <n v="3"/>
    <n v="927933"/>
    <n v="388215"/>
    <n v="539718"/>
    <n v="58"/>
    <n v="56"/>
    <n v="6"/>
  </r>
  <r>
    <x v="1"/>
    <x v="1"/>
    <d v="2021-05-16T00:00:00"/>
    <d v="2021-06-07T00:00:00"/>
    <n v="1"/>
    <n v="38"/>
    <s v="21-40"/>
    <x v="0"/>
    <x v="1"/>
    <x v="1"/>
    <x v="4"/>
    <n v="2"/>
    <n v="2"/>
    <n v="4.2"/>
    <x v="24"/>
    <n v="5"/>
    <n v="6"/>
    <n v="780091"/>
    <n v="406969"/>
    <n v="373122"/>
    <n v="36"/>
    <n v="61"/>
    <n v="8.1"/>
  </r>
  <r>
    <x v="0"/>
    <x v="0"/>
    <d v="2021-06-05T00:00:00"/>
    <d v="2021-06-08T00:00:00"/>
    <n v="1"/>
    <n v="75"/>
    <s v="61-80"/>
    <x v="1"/>
    <x v="11"/>
    <x v="8"/>
    <x v="1"/>
    <n v="2"/>
    <n v="2"/>
    <n v="2.7"/>
    <x v="17"/>
    <n v="7"/>
    <n v="5"/>
    <n v="986235"/>
    <n v="565549"/>
    <n v="420686"/>
    <n v="40"/>
    <n v="59"/>
    <n v="36.5"/>
  </r>
  <r>
    <x v="4"/>
    <x v="4"/>
    <d v="2021-06-11T00:00:00"/>
    <d v="2021-06-14T00:00:00"/>
    <n v="1"/>
    <n v="67"/>
    <s v="61-80"/>
    <x v="0"/>
    <x v="7"/>
    <x v="5"/>
    <x v="2"/>
    <n v="2"/>
    <n v="2"/>
    <n v="5.4"/>
    <x v="1"/>
    <n v="4"/>
    <n v="3"/>
    <n v="684601"/>
    <n v="124129"/>
    <n v="560472"/>
    <n v="36"/>
    <n v="58"/>
    <n v="8.9"/>
  </r>
  <r>
    <x v="13"/>
    <x v="13"/>
    <d v="2021-05-24T00:00:00"/>
    <d v="2021-06-14T00:00:00"/>
    <n v="1"/>
    <n v="30"/>
    <s v="21-40"/>
    <x v="1"/>
    <x v="3"/>
    <x v="2"/>
    <x v="3"/>
    <n v="2"/>
    <n v="2"/>
    <n v="4.5"/>
    <x v="24"/>
    <n v="5"/>
    <n v="3"/>
    <n v="850890"/>
    <n v="193619"/>
    <n v="657271"/>
    <n v="46"/>
    <n v="65"/>
    <n v="9.5"/>
  </r>
  <r>
    <x v="7"/>
    <x v="7"/>
    <d v="2021-06-06T00:00:00"/>
    <d v="2021-06-14T00:00:00"/>
    <n v="1"/>
    <n v="62"/>
    <s v="61-80"/>
    <x v="0"/>
    <x v="9"/>
    <x v="7"/>
    <x v="3"/>
    <n v="2"/>
    <n v="2"/>
    <n v="6.6"/>
    <x v="3"/>
    <n v="7"/>
    <n v="3"/>
    <n v="700623"/>
    <n v="30919"/>
    <n v="669704"/>
    <n v="39"/>
    <n v="63"/>
    <n v="14.8"/>
  </r>
  <r>
    <x v="0"/>
    <x v="0"/>
    <d v="2021-06-07T00:00:00"/>
    <d v="2021-06-19T00:00:00"/>
    <n v="1"/>
    <n v="31"/>
    <s v="21-40"/>
    <x v="0"/>
    <x v="2"/>
    <x v="1"/>
    <x v="1"/>
    <n v="2"/>
    <n v="2"/>
    <n v="2.7"/>
    <x v="9"/>
    <n v="4"/>
    <n v="7"/>
    <n v="682001"/>
    <n v="304157"/>
    <n v="377844"/>
    <n v="29"/>
    <n v="64"/>
    <n v="6.8"/>
  </r>
  <r>
    <x v="3"/>
    <x v="3"/>
    <d v="2021-06-04T00:00:00"/>
    <d v="2021-06-27T00:00:00"/>
    <n v="1"/>
    <n v="29"/>
    <s v="21-40"/>
    <x v="1"/>
    <x v="3"/>
    <x v="2"/>
    <x v="1"/>
    <n v="2"/>
    <n v="2"/>
    <n v="1.6"/>
    <x v="18"/>
    <n v="3"/>
    <n v="7"/>
    <n v="873968"/>
    <n v="289955"/>
    <n v="584013"/>
    <n v="55"/>
    <n v="64"/>
    <n v="36.799999999999997"/>
  </r>
  <r>
    <x v="1"/>
    <x v="1"/>
    <d v="2021-06-18T00:00:00"/>
    <d v="2021-07-17T00:00:00"/>
    <n v="1"/>
    <n v="33"/>
    <s v="21-40"/>
    <x v="0"/>
    <x v="5"/>
    <x v="0"/>
    <x v="0"/>
    <n v="2"/>
    <n v="2"/>
    <n v="5.2"/>
    <x v="14"/>
    <n v="5"/>
    <n v="4"/>
    <n v="543282"/>
    <n v="169084"/>
    <n v="374198"/>
    <n v="34"/>
    <n v="64"/>
    <n v="12.9"/>
  </r>
  <r>
    <x v="1"/>
    <x v="1"/>
    <d v="2021-07-02T00:00:00"/>
    <d v="2021-07-18T00:00:00"/>
    <n v="1"/>
    <n v="31"/>
    <s v="21-40"/>
    <x v="1"/>
    <x v="3"/>
    <x v="2"/>
    <x v="3"/>
    <n v="2"/>
    <n v="2"/>
    <n v="3.8"/>
    <x v="16"/>
    <n v="7"/>
    <n v="3"/>
    <n v="785290"/>
    <n v="414397"/>
    <n v="370893"/>
    <n v="40"/>
    <n v="65"/>
    <n v="9.8000000000000007"/>
  </r>
  <r>
    <x v="7"/>
    <x v="7"/>
    <d v="2021-06-30T00:00:00"/>
    <d v="2021-07-20T00:00:00"/>
    <n v="1"/>
    <n v="50"/>
    <s v="41-60"/>
    <x v="1"/>
    <x v="3"/>
    <x v="2"/>
    <x v="2"/>
    <n v="2"/>
    <n v="2"/>
    <n v="1.2"/>
    <x v="19"/>
    <n v="4"/>
    <n v="5"/>
    <n v="724327"/>
    <n v="32169"/>
    <n v="692158"/>
    <n v="40"/>
    <n v="65"/>
    <n v="8.5"/>
  </r>
  <r>
    <x v="3"/>
    <x v="3"/>
    <d v="2021-06-27T00:00:00"/>
    <d v="2021-07-22T00:00:00"/>
    <n v="1"/>
    <n v="27"/>
    <s v="21-40"/>
    <x v="1"/>
    <x v="2"/>
    <x v="1"/>
    <x v="4"/>
    <n v="2"/>
    <n v="2"/>
    <n v="3.2"/>
    <x v="12"/>
    <n v="5"/>
    <n v="4"/>
    <n v="859707"/>
    <n v="274215"/>
    <n v="585492"/>
    <n v="58"/>
    <n v="62"/>
    <n v="6.5"/>
  </r>
  <r>
    <x v="5"/>
    <x v="5"/>
    <d v="2021-06-26T00:00:00"/>
    <d v="2021-07-26T00:00:00"/>
    <n v="1"/>
    <n v="32"/>
    <s v="21-40"/>
    <x v="0"/>
    <x v="5"/>
    <x v="0"/>
    <x v="4"/>
    <n v="2"/>
    <n v="2"/>
    <n v="2.8"/>
    <x v="15"/>
    <n v="3"/>
    <n v="7"/>
    <n v="534558"/>
    <n v="116053"/>
    <n v="418505"/>
    <n v="38"/>
    <n v="66"/>
    <n v="7.3"/>
  </r>
  <r>
    <x v="8"/>
    <x v="8"/>
    <d v="2021-06-28T00:00:00"/>
    <d v="2021-07-28T00:00:00"/>
    <n v="1"/>
    <n v="34"/>
    <s v="21-40"/>
    <x v="1"/>
    <x v="11"/>
    <x v="8"/>
    <x v="4"/>
    <n v="2"/>
    <n v="2"/>
    <n v="1.2"/>
    <x v="4"/>
    <n v="5"/>
    <n v="7"/>
    <n v="623222"/>
    <n v="67174"/>
    <n v="556048"/>
    <n v="42"/>
    <n v="54"/>
    <n v="10"/>
  </r>
  <r>
    <x v="6"/>
    <x v="6"/>
    <d v="2021-07-26T00:00:00"/>
    <d v="2021-07-28T00:00:00"/>
    <n v="1"/>
    <n v="89"/>
    <s v="81+"/>
    <x v="1"/>
    <x v="6"/>
    <x v="4"/>
    <x v="1"/>
    <n v="2"/>
    <n v="2"/>
    <n v="2.5"/>
    <x v="8"/>
    <n v="6"/>
    <n v="4"/>
    <n v="768270"/>
    <n v="209321"/>
    <n v="558949"/>
    <n v="41"/>
    <n v="61"/>
    <n v="10.7"/>
  </r>
  <r>
    <x v="1"/>
    <x v="1"/>
    <d v="2021-07-21T00:00:00"/>
    <d v="2021-08-03T00:00:00"/>
    <n v="1"/>
    <n v="85"/>
    <s v="81+"/>
    <x v="1"/>
    <x v="13"/>
    <x v="10"/>
    <x v="0"/>
    <n v="2"/>
    <n v="2"/>
    <n v="6.1"/>
    <x v="25"/>
    <n v="6"/>
    <n v="3"/>
    <n v="753251"/>
    <n v="396633"/>
    <n v="356618"/>
    <n v="49"/>
    <n v="65"/>
    <n v="5.2"/>
  </r>
  <r>
    <x v="2"/>
    <x v="2"/>
    <d v="2021-07-22T00:00:00"/>
    <d v="2021-08-04T00:00:00"/>
    <n v="1"/>
    <n v="39"/>
    <s v="21-40"/>
    <x v="1"/>
    <x v="3"/>
    <x v="2"/>
    <x v="1"/>
    <n v="2"/>
    <n v="2"/>
    <n v="3.8"/>
    <x v="21"/>
    <n v="7"/>
    <n v="5"/>
    <n v="901562"/>
    <n v="222427"/>
    <n v="679135"/>
    <n v="30"/>
    <n v="66"/>
    <n v="14.3"/>
  </r>
  <r>
    <x v="5"/>
    <x v="5"/>
    <d v="2021-07-18T00:00:00"/>
    <d v="2021-08-04T00:00:00"/>
    <n v="1"/>
    <n v="65"/>
    <s v="61-80"/>
    <x v="0"/>
    <x v="5"/>
    <x v="0"/>
    <x v="0"/>
    <n v="2"/>
    <n v="2"/>
    <n v="2.8"/>
    <x v="17"/>
    <n v="5"/>
    <n v="6"/>
    <n v="536909"/>
    <n v="100941"/>
    <n v="435968"/>
    <n v="38"/>
    <n v="64"/>
    <n v="36.1"/>
  </r>
  <r>
    <x v="6"/>
    <x v="6"/>
    <d v="2021-07-22T00:00:00"/>
    <d v="2021-08-08T00:00:00"/>
    <n v="1"/>
    <n v="57"/>
    <s v="41-60"/>
    <x v="1"/>
    <x v="13"/>
    <x v="10"/>
    <x v="2"/>
    <n v="2"/>
    <n v="2"/>
    <n v="6.4"/>
    <x v="11"/>
    <n v="7"/>
    <n v="7"/>
    <n v="768454"/>
    <n v="245033"/>
    <n v="523421"/>
    <n v="36"/>
    <n v="54"/>
    <n v="6.1"/>
  </r>
  <r>
    <x v="10"/>
    <x v="10"/>
    <d v="2021-08-13T00:00:00"/>
    <d v="2021-08-16T00:00:00"/>
    <n v="1"/>
    <n v="68"/>
    <s v="61-80"/>
    <x v="0"/>
    <x v="0"/>
    <x v="0"/>
    <x v="2"/>
    <n v="2"/>
    <n v="2"/>
    <n v="4.5"/>
    <x v="3"/>
    <n v="5"/>
    <n v="7"/>
    <n v="555454"/>
    <n v="227268"/>
    <n v="328186"/>
    <n v="21"/>
    <n v="64"/>
    <n v="10.7"/>
  </r>
  <r>
    <x v="12"/>
    <x v="12"/>
    <d v="2021-08-05T00:00:00"/>
    <d v="2021-08-17T00:00:00"/>
    <n v="1"/>
    <n v="65"/>
    <s v="61-80"/>
    <x v="1"/>
    <x v="3"/>
    <x v="2"/>
    <x v="4"/>
    <n v="2"/>
    <n v="2"/>
    <n v="5"/>
    <x v="14"/>
    <n v="6"/>
    <n v="7"/>
    <n v="987890"/>
    <n v="481322"/>
    <n v="506568"/>
    <n v="59"/>
    <n v="60"/>
    <n v="14.1"/>
  </r>
  <r>
    <x v="11"/>
    <x v="11"/>
    <d v="2021-08-19T00:00:00"/>
    <d v="2021-08-25T00:00:00"/>
    <n v="1"/>
    <n v="37"/>
    <s v="21-40"/>
    <x v="1"/>
    <x v="3"/>
    <x v="2"/>
    <x v="2"/>
    <n v="2"/>
    <n v="2"/>
    <n v="1.4"/>
    <x v="19"/>
    <n v="6"/>
    <n v="3"/>
    <n v="738792"/>
    <n v="255689"/>
    <n v="483103"/>
    <n v="30"/>
    <n v="57"/>
    <n v="8.5"/>
  </r>
  <r>
    <x v="4"/>
    <x v="4"/>
    <d v="2021-08-06T00:00:00"/>
    <d v="2021-08-26T00:00:00"/>
    <n v="1"/>
    <n v="74"/>
    <s v="61-80"/>
    <x v="1"/>
    <x v="4"/>
    <x v="3"/>
    <x v="2"/>
    <n v="2"/>
    <n v="2"/>
    <n v="6.5"/>
    <x v="14"/>
    <n v="5"/>
    <n v="5"/>
    <n v="817941"/>
    <n v="262367"/>
    <n v="555574"/>
    <n v="37"/>
    <n v="65"/>
    <n v="6.4"/>
  </r>
  <r>
    <x v="8"/>
    <x v="8"/>
    <d v="2021-08-14T00:00:00"/>
    <d v="2021-08-28T00:00:00"/>
    <n v="1"/>
    <n v="80"/>
    <s v="61-80"/>
    <x v="1"/>
    <x v="13"/>
    <x v="10"/>
    <x v="0"/>
    <n v="2"/>
    <n v="2"/>
    <n v="2"/>
    <x v="26"/>
    <n v="6"/>
    <n v="5"/>
    <n v="739404"/>
    <n v="186121"/>
    <n v="553283"/>
    <n v="59"/>
    <n v="57"/>
    <n v="5.7"/>
  </r>
  <r>
    <x v="12"/>
    <x v="12"/>
    <d v="2021-08-21T00:00:00"/>
    <d v="2021-08-28T00:00:00"/>
    <n v="1"/>
    <n v="52"/>
    <s v="41-60"/>
    <x v="1"/>
    <x v="10"/>
    <x v="8"/>
    <x v="4"/>
    <n v="2"/>
    <n v="2"/>
    <n v="3.7"/>
    <x v="27"/>
    <n v="3"/>
    <n v="3"/>
    <n v="826092"/>
    <n v="128353"/>
    <n v="697739"/>
    <n v="63"/>
    <n v="63"/>
    <n v="12.1"/>
  </r>
  <r>
    <x v="7"/>
    <x v="7"/>
    <d v="2021-08-03T00:00:00"/>
    <d v="2021-09-01T00:00:00"/>
    <n v="1"/>
    <n v="78"/>
    <s v="61-80"/>
    <x v="0"/>
    <x v="5"/>
    <x v="0"/>
    <x v="1"/>
    <n v="2"/>
    <n v="2"/>
    <n v="2.9"/>
    <x v="1"/>
    <n v="3"/>
    <n v="3"/>
    <n v="870720"/>
    <n v="249841"/>
    <n v="620879"/>
    <n v="40"/>
    <n v="63"/>
    <n v="6"/>
  </r>
  <r>
    <x v="14"/>
    <x v="14"/>
    <d v="2021-08-16T00:00:00"/>
    <d v="2021-09-08T00:00:00"/>
    <n v="1"/>
    <n v="40"/>
    <s v="21-40"/>
    <x v="0"/>
    <x v="0"/>
    <x v="0"/>
    <x v="3"/>
    <n v="2"/>
    <n v="2"/>
    <n v="5.7"/>
    <x v="3"/>
    <n v="7"/>
    <n v="3"/>
    <n v="641679"/>
    <n v="53013"/>
    <n v="588666"/>
    <n v="20"/>
    <n v="66"/>
    <n v="10.7"/>
  </r>
  <r>
    <x v="11"/>
    <x v="11"/>
    <d v="2021-08-14T00:00:00"/>
    <d v="2021-09-13T00:00:00"/>
    <n v="1"/>
    <n v="37"/>
    <s v="21-40"/>
    <x v="1"/>
    <x v="3"/>
    <x v="2"/>
    <x v="0"/>
    <n v="2"/>
    <n v="2"/>
    <n v="5.4"/>
    <x v="5"/>
    <n v="3"/>
    <n v="3"/>
    <n v="776823"/>
    <n v="375401"/>
    <n v="401422"/>
    <n v="34"/>
    <n v="55"/>
    <n v="10"/>
  </r>
  <r>
    <x v="4"/>
    <x v="4"/>
    <d v="2021-09-04T00:00:00"/>
    <d v="2021-09-19T00:00:00"/>
    <n v="1"/>
    <n v="25"/>
    <s v="21-40"/>
    <x v="0"/>
    <x v="2"/>
    <x v="1"/>
    <x v="2"/>
    <n v="2"/>
    <n v="2"/>
    <n v="5.9"/>
    <x v="10"/>
    <n v="7"/>
    <n v="4"/>
    <n v="688141"/>
    <n v="137648"/>
    <n v="550493"/>
    <n v="33"/>
    <n v="54"/>
    <n v="10.4"/>
  </r>
  <r>
    <x v="7"/>
    <x v="7"/>
    <d v="2021-09-05T00:00:00"/>
    <d v="2021-09-20T00:00:00"/>
    <n v="1"/>
    <n v="40"/>
    <s v="21-40"/>
    <x v="1"/>
    <x v="3"/>
    <x v="2"/>
    <x v="3"/>
    <n v="2"/>
    <n v="2"/>
    <n v="4.0999999999999996"/>
    <x v="17"/>
    <n v="5"/>
    <n v="5"/>
    <n v="832017"/>
    <n v="290001"/>
    <n v="542016"/>
    <n v="37"/>
    <n v="64"/>
    <n v="12.1"/>
  </r>
  <r>
    <x v="4"/>
    <x v="4"/>
    <d v="2021-09-01T00:00:00"/>
    <d v="2021-09-24T00:00:00"/>
    <n v="1"/>
    <n v="87"/>
    <s v="81+"/>
    <x v="0"/>
    <x v="1"/>
    <x v="1"/>
    <x v="0"/>
    <n v="2"/>
    <n v="2"/>
    <n v="2.4"/>
    <x v="8"/>
    <n v="6"/>
    <n v="7"/>
    <n v="831323"/>
    <n v="194588"/>
    <n v="636735"/>
    <n v="33"/>
    <n v="61"/>
    <n v="10.4"/>
  </r>
  <r>
    <x v="9"/>
    <x v="9"/>
    <d v="2021-09-02T00:00:00"/>
    <d v="2021-09-29T00:00:00"/>
    <n v="1"/>
    <n v="29"/>
    <s v="21-40"/>
    <x v="0"/>
    <x v="10"/>
    <x v="8"/>
    <x v="1"/>
    <n v="2"/>
    <n v="2"/>
    <n v="3.3"/>
    <x v="8"/>
    <n v="5"/>
    <n v="4"/>
    <n v="998103"/>
    <n v="137398"/>
    <n v="860705"/>
    <n v="30"/>
    <n v="56"/>
    <n v="14.5"/>
  </r>
  <r>
    <x v="11"/>
    <x v="11"/>
    <d v="2021-09-24T00:00:00"/>
    <d v="2021-10-01T00:00:00"/>
    <n v="1"/>
    <n v="39"/>
    <s v="21-40"/>
    <x v="0"/>
    <x v="14"/>
    <x v="11"/>
    <x v="1"/>
    <n v="2"/>
    <n v="2"/>
    <n v="6"/>
    <x v="16"/>
    <n v="7"/>
    <n v="3"/>
    <n v="626418"/>
    <n v="224045"/>
    <n v="402373"/>
    <n v="35"/>
    <n v="56"/>
    <n v="9.1"/>
  </r>
  <r>
    <x v="3"/>
    <x v="3"/>
    <d v="2021-09-28T00:00:00"/>
    <d v="2021-10-03T00:00:00"/>
    <n v="1"/>
    <n v="34"/>
    <s v="21-40"/>
    <x v="0"/>
    <x v="0"/>
    <x v="0"/>
    <x v="4"/>
    <n v="2"/>
    <n v="2"/>
    <n v="2.5"/>
    <x v="4"/>
    <n v="3"/>
    <n v="6"/>
    <n v="840986"/>
    <n v="236617"/>
    <n v="604369"/>
    <n v="56"/>
    <n v="60"/>
    <n v="7"/>
  </r>
  <r>
    <x v="12"/>
    <x v="12"/>
    <d v="2021-09-29T00:00:00"/>
    <d v="2021-10-06T00:00:00"/>
    <n v="1"/>
    <n v="32"/>
    <s v="21-40"/>
    <x v="1"/>
    <x v="12"/>
    <x v="9"/>
    <x v="3"/>
    <n v="2"/>
    <n v="2"/>
    <n v="1.2"/>
    <x v="10"/>
    <n v="6"/>
    <n v="5"/>
    <n v="863583"/>
    <n v="265449"/>
    <n v="598134"/>
    <n v="66"/>
    <n v="61"/>
    <n v="14.4"/>
  </r>
  <r>
    <x v="12"/>
    <x v="12"/>
    <d v="2021-09-22T00:00:00"/>
    <d v="2021-10-08T00:00:00"/>
    <n v="1"/>
    <n v="34"/>
    <s v="21-40"/>
    <x v="1"/>
    <x v="4"/>
    <x v="3"/>
    <x v="4"/>
    <n v="2"/>
    <n v="2"/>
    <n v="5.8"/>
    <x v="27"/>
    <n v="7"/>
    <n v="5"/>
    <n v="822170"/>
    <n v="185893"/>
    <n v="636277"/>
    <n v="80"/>
    <n v="65"/>
    <n v="8.8000000000000007"/>
  </r>
  <r>
    <x v="4"/>
    <x v="4"/>
    <d v="2021-09-21T00:00:00"/>
    <d v="2021-10-18T00:00:00"/>
    <n v="1"/>
    <n v="49"/>
    <s v="41-60"/>
    <x v="1"/>
    <x v="2"/>
    <x v="1"/>
    <x v="1"/>
    <n v="2"/>
    <n v="2"/>
    <n v="1.6"/>
    <x v="20"/>
    <n v="3"/>
    <n v="5"/>
    <n v="756716"/>
    <n v="228677"/>
    <n v="528039"/>
    <n v="31"/>
    <n v="62"/>
    <n v="8.6999999999999993"/>
  </r>
  <r>
    <x v="2"/>
    <x v="2"/>
    <d v="2021-10-06T00:00:00"/>
    <d v="2021-10-22T00:00:00"/>
    <n v="1"/>
    <n v="39"/>
    <s v="21-40"/>
    <x v="0"/>
    <x v="5"/>
    <x v="0"/>
    <x v="4"/>
    <n v="2"/>
    <n v="2"/>
    <n v="5.9"/>
    <x v="1"/>
    <n v="7"/>
    <n v="3"/>
    <n v="959350"/>
    <n v="64393"/>
    <n v="894957"/>
    <n v="40"/>
    <n v="64"/>
    <n v="12.1"/>
  </r>
  <r>
    <x v="8"/>
    <x v="8"/>
    <d v="2021-10-16T00:00:00"/>
    <d v="2021-10-23T00:00:00"/>
    <n v="1"/>
    <n v="37"/>
    <s v="21-40"/>
    <x v="1"/>
    <x v="6"/>
    <x v="4"/>
    <x v="2"/>
    <n v="2"/>
    <n v="2"/>
    <n v="6.1"/>
    <x v="25"/>
    <n v="5"/>
    <n v="6"/>
    <n v="824680"/>
    <n v="260023"/>
    <n v="564657"/>
    <n v="50"/>
    <n v="65"/>
    <n v="13.7"/>
  </r>
  <r>
    <x v="0"/>
    <x v="0"/>
    <d v="2021-09-29T00:00:00"/>
    <d v="2021-10-24T00:00:00"/>
    <n v="1"/>
    <n v="61"/>
    <s v="61-80"/>
    <x v="0"/>
    <x v="5"/>
    <x v="0"/>
    <x v="0"/>
    <n v="2"/>
    <n v="2"/>
    <n v="4.4000000000000004"/>
    <x v="28"/>
    <n v="7"/>
    <n v="6"/>
    <n v="952899"/>
    <n v="569363"/>
    <n v="383536"/>
    <n v="21"/>
    <n v="64"/>
    <n v="14.7"/>
  </r>
  <r>
    <x v="12"/>
    <x v="12"/>
    <d v="2021-09-29T00:00:00"/>
    <d v="2021-10-26T00:00:00"/>
    <n v="1"/>
    <n v="85"/>
    <s v="81+"/>
    <x v="1"/>
    <x v="2"/>
    <x v="1"/>
    <x v="2"/>
    <n v="2"/>
    <n v="2"/>
    <n v="6.1"/>
    <x v="10"/>
    <n v="6"/>
    <n v="4"/>
    <n v="847217"/>
    <n v="209721"/>
    <n v="637496"/>
    <n v="63"/>
    <n v="57"/>
    <n v="14.7"/>
  </r>
  <r>
    <x v="13"/>
    <x v="13"/>
    <d v="2021-10-14T00:00:00"/>
    <d v="2021-10-27T00:00:00"/>
    <n v="1"/>
    <n v="48"/>
    <s v="41-60"/>
    <x v="1"/>
    <x v="9"/>
    <x v="7"/>
    <x v="1"/>
    <n v="2"/>
    <n v="2"/>
    <n v="1.4"/>
    <x v="12"/>
    <n v="7"/>
    <n v="4"/>
    <n v="961884"/>
    <n v="323980"/>
    <n v="637904"/>
    <n v="51"/>
    <n v="60"/>
    <n v="6.4"/>
  </r>
  <r>
    <x v="10"/>
    <x v="10"/>
    <d v="2021-10-24T00:00:00"/>
    <d v="2021-10-29T00:00:00"/>
    <n v="1"/>
    <n v="90"/>
    <s v="81+"/>
    <x v="1"/>
    <x v="9"/>
    <x v="7"/>
    <x v="1"/>
    <n v="2"/>
    <n v="2"/>
    <n v="5.0999999999999996"/>
    <x v="20"/>
    <n v="7"/>
    <n v="7"/>
    <n v="576304"/>
    <n v="189892"/>
    <n v="386412"/>
    <n v="23"/>
    <n v="56"/>
    <n v="13.5"/>
  </r>
  <r>
    <x v="0"/>
    <x v="0"/>
    <d v="2021-10-23T00:00:00"/>
    <d v="2021-10-29T00:00:00"/>
    <n v="1"/>
    <n v="40"/>
    <s v="21-40"/>
    <x v="0"/>
    <x v="13"/>
    <x v="10"/>
    <x v="3"/>
    <n v="2"/>
    <n v="2"/>
    <n v="1.3"/>
    <x v="26"/>
    <n v="6"/>
    <n v="5"/>
    <n v="676188"/>
    <n v="204412"/>
    <n v="471776"/>
    <n v="33"/>
    <n v="54"/>
    <n v="8.1"/>
  </r>
  <r>
    <x v="4"/>
    <x v="4"/>
    <d v="2021-10-12T00:00:00"/>
    <d v="2021-11-01T00:00:00"/>
    <n v="1"/>
    <n v="36"/>
    <s v="21-40"/>
    <x v="1"/>
    <x v="10"/>
    <x v="8"/>
    <x v="0"/>
    <n v="2"/>
    <n v="2"/>
    <n v="3.8"/>
    <x v="29"/>
    <n v="3"/>
    <n v="7"/>
    <n v="752880"/>
    <n v="157133"/>
    <n v="595747"/>
    <n v="40"/>
    <n v="56"/>
    <n v="6.6"/>
  </r>
  <r>
    <x v="6"/>
    <x v="6"/>
    <d v="2021-10-22T00:00:00"/>
    <d v="2021-11-11T00:00:00"/>
    <n v="1"/>
    <n v="36"/>
    <s v="21-40"/>
    <x v="1"/>
    <x v="4"/>
    <x v="3"/>
    <x v="4"/>
    <n v="2"/>
    <n v="2"/>
    <n v="6.3"/>
    <x v="19"/>
    <n v="5"/>
    <n v="5"/>
    <n v="737328"/>
    <n v="178761"/>
    <n v="558567"/>
    <n v="50"/>
    <n v="66"/>
    <n v="36.1"/>
  </r>
  <r>
    <x v="3"/>
    <x v="3"/>
    <d v="2021-11-09T00:00:00"/>
    <d v="2021-11-11T00:00:00"/>
    <n v="1"/>
    <n v="74"/>
    <s v="61-80"/>
    <x v="1"/>
    <x v="2"/>
    <x v="1"/>
    <x v="4"/>
    <n v="2"/>
    <n v="2"/>
    <n v="1.1000000000000001"/>
    <x v="1"/>
    <n v="5"/>
    <n v="5"/>
    <n v="803643"/>
    <n v="221698"/>
    <n v="581945"/>
    <n v="54"/>
    <n v="60"/>
    <n v="10.1"/>
  </r>
  <r>
    <x v="9"/>
    <x v="9"/>
    <d v="2021-11-02T00:00:00"/>
    <d v="2021-11-20T00:00:00"/>
    <n v="1"/>
    <n v="42"/>
    <s v="41-60"/>
    <x v="0"/>
    <x v="10"/>
    <x v="8"/>
    <x v="1"/>
    <n v="2"/>
    <n v="2"/>
    <n v="6.6"/>
    <x v="18"/>
    <n v="7"/>
    <n v="5"/>
    <n v="971395"/>
    <n v="143488"/>
    <n v="827907"/>
    <n v="40"/>
    <n v="61"/>
    <n v="14.8"/>
  </r>
  <r>
    <x v="11"/>
    <x v="11"/>
    <d v="2021-11-11T00:00:00"/>
    <d v="2021-11-21T00:00:00"/>
    <n v="1"/>
    <n v="64"/>
    <s v="61-80"/>
    <x v="0"/>
    <x v="7"/>
    <x v="5"/>
    <x v="1"/>
    <n v="2"/>
    <n v="2"/>
    <n v="1.3"/>
    <x v="28"/>
    <n v="5"/>
    <n v="7"/>
    <n v="795095"/>
    <n v="391860"/>
    <n v="403235"/>
    <n v="21"/>
    <n v="61"/>
    <n v="10.5"/>
  </r>
  <r>
    <x v="6"/>
    <x v="6"/>
    <d v="2021-11-01T00:00:00"/>
    <d v="2021-11-27T00:00:00"/>
    <n v="1"/>
    <n v="35"/>
    <s v="21-40"/>
    <x v="0"/>
    <x v="14"/>
    <x v="11"/>
    <x v="4"/>
    <n v="2"/>
    <n v="2"/>
    <n v="1.5"/>
    <x v="6"/>
    <n v="6"/>
    <n v="5"/>
    <n v="721890"/>
    <n v="203131"/>
    <n v="518759"/>
    <n v="51"/>
    <n v="56"/>
    <n v="7.1"/>
  </r>
  <r>
    <x v="7"/>
    <x v="7"/>
    <d v="2021-11-02T00:00:00"/>
    <d v="2021-11-28T00:00:00"/>
    <n v="1"/>
    <n v="40"/>
    <s v="21-40"/>
    <x v="1"/>
    <x v="8"/>
    <x v="6"/>
    <x v="3"/>
    <n v="2"/>
    <n v="2"/>
    <n v="2.5"/>
    <x v="6"/>
    <n v="7"/>
    <n v="6"/>
    <n v="891000"/>
    <n v="301202"/>
    <n v="589798"/>
    <n v="43"/>
    <n v="55"/>
    <n v="9.8000000000000007"/>
  </r>
  <r>
    <x v="4"/>
    <x v="4"/>
    <d v="2021-11-15T00:00:00"/>
    <d v="2021-12-03T00:00:00"/>
    <n v="1"/>
    <n v="37"/>
    <s v="21-40"/>
    <x v="0"/>
    <x v="0"/>
    <x v="0"/>
    <x v="0"/>
    <n v="2"/>
    <n v="2"/>
    <n v="6.2"/>
    <x v="13"/>
    <n v="3"/>
    <n v="5"/>
    <n v="895316"/>
    <n v="356371"/>
    <n v="538945"/>
    <n v="40"/>
    <n v="62"/>
    <n v="12.9"/>
  </r>
  <r>
    <x v="5"/>
    <x v="5"/>
    <d v="2021-11-30T00:00:00"/>
    <d v="2021-12-05T00:00:00"/>
    <n v="1"/>
    <n v="46"/>
    <s v="41-60"/>
    <x v="1"/>
    <x v="8"/>
    <x v="6"/>
    <x v="0"/>
    <n v="2"/>
    <n v="2"/>
    <n v="3.3"/>
    <x v="28"/>
    <n v="3"/>
    <n v="7"/>
    <n v="568827"/>
    <n v="102744"/>
    <n v="466083"/>
    <n v="39"/>
    <n v="60"/>
    <n v="14.2"/>
  </r>
  <r>
    <x v="7"/>
    <x v="7"/>
    <d v="2021-11-13T00:00:00"/>
    <d v="2021-12-05T00:00:00"/>
    <n v="1"/>
    <n v="35"/>
    <s v="21-40"/>
    <x v="1"/>
    <x v="12"/>
    <x v="9"/>
    <x v="3"/>
    <n v="2"/>
    <n v="2"/>
    <n v="4.4000000000000004"/>
    <x v="23"/>
    <n v="5"/>
    <n v="3"/>
    <n v="824813"/>
    <n v="143879"/>
    <n v="680934"/>
    <n v="38"/>
    <n v="62"/>
    <n v="8.5"/>
  </r>
  <r>
    <x v="12"/>
    <x v="12"/>
    <d v="2021-11-28T00:00:00"/>
    <d v="2021-12-11T00:00:00"/>
    <n v="1"/>
    <n v="33"/>
    <s v="21-40"/>
    <x v="0"/>
    <x v="12"/>
    <x v="9"/>
    <x v="1"/>
    <n v="2"/>
    <n v="2"/>
    <n v="5.2"/>
    <x v="19"/>
    <n v="4"/>
    <n v="4"/>
    <n v="835933"/>
    <n v="140810"/>
    <n v="695123"/>
    <n v="62"/>
    <n v="57"/>
    <n v="14.8"/>
  </r>
  <r>
    <x v="4"/>
    <x v="4"/>
    <d v="2021-11-24T00:00:00"/>
    <d v="2021-12-15T00:00:00"/>
    <n v="1"/>
    <n v="46"/>
    <s v="41-60"/>
    <x v="1"/>
    <x v="2"/>
    <x v="1"/>
    <x v="2"/>
    <n v="2"/>
    <n v="2"/>
    <n v="3.5"/>
    <x v="1"/>
    <n v="5"/>
    <n v="4"/>
    <n v="612501"/>
    <n v="63191"/>
    <n v="549310"/>
    <n v="38"/>
    <n v="57"/>
    <n v="9.3000000000000007"/>
  </r>
  <r>
    <x v="3"/>
    <x v="3"/>
    <d v="2021-11-20T00:00:00"/>
    <d v="2021-12-18T00:00:00"/>
    <n v="1"/>
    <n v="33"/>
    <s v="21-40"/>
    <x v="0"/>
    <x v="7"/>
    <x v="5"/>
    <x v="3"/>
    <n v="2"/>
    <n v="2"/>
    <n v="6.3"/>
    <x v="30"/>
    <n v="7"/>
    <n v="5"/>
    <n v="937579"/>
    <n v="367929"/>
    <n v="569650"/>
    <n v="65"/>
    <n v="62"/>
    <n v="6"/>
  </r>
  <r>
    <x v="8"/>
    <x v="8"/>
    <d v="2021-12-11T00:00:00"/>
    <d v="2021-12-19T00:00:00"/>
    <n v="1"/>
    <n v="46"/>
    <s v="41-60"/>
    <x v="0"/>
    <x v="13"/>
    <x v="10"/>
    <x v="0"/>
    <n v="2"/>
    <n v="2"/>
    <n v="6"/>
    <x v="28"/>
    <n v="7"/>
    <n v="4"/>
    <n v="853777"/>
    <n v="312056"/>
    <n v="541721"/>
    <n v="55"/>
    <n v="61"/>
    <n v="13.3"/>
  </r>
  <r>
    <x v="4"/>
    <x v="4"/>
    <d v="2021-12-02T00:00:00"/>
    <d v="2021-12-22T00:00:00"/>
    <n v="1"/>
    <n v="60"/>
    <s v="41-60"/>
    <x v="1"/>
    <x v="9"/>
    <x v="7"/>
    <x v="2"/>
    <n v="2"/>
    <n v="2"/>
    <n v="6.5"/>
    <x v="3"/>
    <n v="7"/>
    <n v="5"/>
    <n v="797880"/>
    <n v="204574"/>
    <n v="593306"/>
    <n v="40"/>
    <n v="54"/>
    <n v="7.7"/>
  </r>
  <r>
    <x v="5"/>
    <x v="5"/>
    <d v="2021-12-21T00:00:00"/>
    <d v="2021-12-24T00:00:00"/>
    <n v="1"/>
    <n v="66"/>
    <s v="61-80"/>
    <x v="1"/>
    <x v="2"/>
    <x v="1"/>
    <x v="0"/>
    <n v="2"/>
    <n v="2"/>
    <n v="2.9"/>
    <x v="14"/>
    <n v="3"/>
    <n v="6"/>
    <n v="512851"/>
    <n v="122800"/>
    <n v="390051"/>
    <n v="38"/>
    <n v="56"/>
    <n v="10.9"/>
  </r>
  <r>
    <x v="13"/>
    <x v="13"/>
    <d v="2021-12-15T00:00:00"/>
    <d v="2021-12-28T00:00:00"/>
    <n v="1"/>
    <n v="35"/>
    <s v="21-40"/>
    <x v="1"/>
    <x v="8"/>
    <x v="6"/>
    <x v="3"/>
    <n v="2"/>
    <n v="2"/>
    <n v="6.9"/>
    <x v="16"/>
    <n v="7"/>
    <n v="7"/>
    <n v="870784"/>
    <n v="224415"/>
    <n v="646369"/>
    <n v="32"/>
    <n v="64"/>
    <n v="7.5"/>
  </r>
  <r>
    <x v="0"/>
    <x v="0"/>
    <d v="2021-12-22T00:00:00"/>
    <d v="2022-01-06T00:00:00"/>
    <n v="1"/>
    <n v="85"/>
    <s v="81+"/>
    <x v="0"/>
    <x v="13"/>
    <x v="10"/>
    <x v="1"/>
    <n v="2"/>
    <n v="2"/>
    <n v="2.7"/>
    <x v="21"/>
    <n v="6"/>
    <n v="5"/>
    <n v="628551"/>
    <n v="231742"/>
    <n v="396809"/>
    <n v="38"/>
    <n v="65"/>
    <n v="12.3"/>
  </r>
  <r>
    <x v="0"/>
    <x v="0"/>
    <d v="2021-12-15T00:00:00"/>
    <d v="2022-01-10T00:00:00"/>
    <n v="1"/>
    <n v="79"/>
    <s v="61-80"/>
    <x v="1"/>
    <x v="10"/>
    <x v="8"/>
    <x v="4"/>
    <n v="2"/>
    <n v="2"/>
    <n v="3.7"/>
    <x v="17"/>
    <n v="4"/>
    <n v="5"/>
    <n v="757734"/>
    <n v="552520"/>
    <n v="205214"/>
    <n v="37"/>
    <n v="63"/>
    <n v="9.1999999999999993"/>
  </r>
  <r>
    <x v="7"/>
    <x v="7"/>
    <d v="2021-12-21T00:00:00"/>
    <d v="2022-01-13T00:00:00"/>
    <n v="1"/>
    <n v="42"/>
    <s v="41-60"/>
    <x v="1"/>
    <x v="11"/>
    <x v="8"/>
    <x v="0"/>
    <n v="2"/>
    <n v="2"/>
    <n v="5.9"/>
    <x v="11"/>
    <n v="3"/>
    <n v="4"/>
    <n v="706456"/>
    <n v="6694"/>
    <n v="699762"/>
    <n v="32"/>
    <n v="59"/>
    <n v="8.6999999999999993"/>
  </r>
  <r>
    <x v="5"/>
    <x v="5"/>
    <d v="2022-01-06T00:00:00"/>
    <d v="2022-01-15T00:00:00"/>
    <n v="1"/>
    <n v="36"/>
    <s v="21-40"/>
    <x v="0"/>
    <x v="7"/>
    <x v="5"/>
    <x v="1"/>
    <n v="2"/>
    <n v="2"/>
    <n v="4.9000000000000004"/>
    <x v="4"/>
    <n v="4"/>
    <n v="3"/>
    <n v="522674"/>
    <n v="106428"/>
    <n v="416246"/>
    <n v="35"/>
    <n v="54"/>
    <n v="8.8000000000000007"/>
  </r>
  <r>
    <x v="7"/>
    <x v="7"/>
    <d v="2021-12-26T00:00:00"/>
    <d v="2022-01-16T00:00:00"/>
    <n v="1"/>
    <n v="54"/>
    <s v="41-60"/>
    <x v="1"/>
    <x v="11"/>
    <x v="8"/>
    <x v="1"/>
    <n v="2"/>
    <n v="2"/>
    <n v="2.9"/>
    <x v="3"/>
    <n v="6"/>
    <n v="6"/>
    <n v="892723"/>
    <n v="370046"/>
    <n v="522677"/>
    <n v="39"/>
    <n v="58"/>
    <n v="12.6"/>
  </r>
  <r>
    <x v="7"/>
    <x v="7"/>
    <d v="2021-12-23T00:00:00"/>
    <d v="2022-01-16T00:00:00"/>
    <n v="1"/>
    <n v="72"/>
    <s v="61-80"/>
    <x v="0"/>
    <x v="2"/>
    <x v="1"/>
    <x v="2"/>
    <n v="2"/>
    <n v="2"/>
    <n v="1.3"/>
    <x v="30"/>
    <n v="6"/>
    <n v="7"/>
    <n v="822639"/>
    <n v="282757"/>
    <n v="539882"/>
    <n v="40"/>
    <n v="61"/>
    <n v="10.1"/>
  </r>
  <r>
    <x v="4"/>
    <x v="4"/>
    <d v="2022-01-10T00:00:00"/>
    <d v="2022-01-27T00:00:00"/>
    <n v="1"/>
    <n v="46"/>
    <s v="41-60"/>
    <x v="1"/>
    <x v="3"/>
    <x v="2"/>
    <x v="4"/>
    <n v="2"/>
    <n v="2"/>
    <n v="6.4"/>
    <x v="3"/>
    <n v="4"/>
    <n v="3"/>
    <n v="793256"/>
    <n v="152244"/>
    <n v="641012"/>
    <n v="31"/>
    <n v="66"/>
    <n v="9.1999999999999993"/>
  </r>
  <r>
    <x v="8"/>
    <x v="8"/>
    <d v="2022-01-06T00:00:00"/>
    <d v="2022-01-30T00:00:00"/>
    <n v="1"/>
    <n v="40"/>
    <s v="21-40"/>
    <x v="1"/>
    <x v="6"/>
    <x v="4"/>
    <x v="4"/>
    <n v="2"/>
    <n v="2"/>
    <n v="6.1"/>
    <x v="25"/>
    <n v="4"/>
    <n v="4"/>
    <n v="613766"/>
    <n v="77465"/>
    <n v="536301"/>
    <n v="42"/>
    <n v="59"/>
    <n v="8.4"/>
  </r>
  <r>
    <x v="8"/>
    <x v="8"/>
    <d v="2022-01-14T00:00:00"/>
    <d v="2022-02-05T00:00:00"/>
    <n v="1"/>
    <n v="43"/>
    <s v="41-60"/>
    <x v="0"/>
    <x v="12"/>
    <x v="9"/>
    <x v="2"/>
    <n v="2"/>
    <n v="2"/>
    <n v="5"/>
    <x v="10"/>
    <n v="6"/>
    <n v="5"/>
    <n v="891617"/>
    <n v="347920"/>
    <n v="543697"/>
    <n v="49"/>
    <n v="66"/>
    <n v="36.299999999999997"/>
  </r>
  <r>
    <x v="0"/>
    <x v="0"/>
    <d v="2022-01-22T00:00:00"/>
    <d v="2022-02-08T00:00:00"/>
    <n v="1"/>
    <n v="27"/>
    <s v="21-40"/>
    <x v="1"/>
    <x v="1"/>
    <x v="1"/>
    <x v="2"/>
    <n v="2"/>
    <n v="2"/>
    <n v="1.1000000000000001"/>
    <x v="0"/>
    <n v="3"/>
    <n v="5"/>
    <n v="625554"/>
    <n v="320837"/>
    <n v="304717"/>
    <n v="34"/>
    <n v="55"/>
    <n v="10.199999999999999"/>
  </r>
  <r>
    <x v="8"/>
    <x v="8"/>
    <d v="2022-01-28T00:00:00"/>
    <d v="2022-02-13T00:00:00"/>
    <n v="1"/>
    <n v="22"/>
    <s v="21-40"/>
    <x v="1"/>
    <x v="3"/>
    <x v="2"/>
    <x v="3"/>
    <n v="2"/>
    <n v="2"/>
    <n v="3.6"/>
    <x v="27"/>
    <n v="4"/>
    <n v="5"/>
    <n v="717261"/>
    <n v="188189"/>
    <n v="529072"/>
    <n v="45"/>
    <n v="54"/>
    <n v="8.6999999999999993"/>
  </r>
  <r>
    <x v="10"/>
    <x v="10"/>
    <d v="2022-02-10T00:00:00"/>
    <d v="2022-02-14T00:00:00"/>
    <n v="1"/>
    <n v="67"/>
    <s v="61-80"/>
    <x v="1"/>
    <x v="11"/>
    <x v="8"/>
    <x v="4"/>
    <n v="2"/>
    <n v="2"/>
    <n v="6.8"/>
    <x v="3"/>
    <n v="6"/>
    <n v="5"/>
    <n v="514923"/>
    <n v="126593"/>
    <n v="388330"/>
    <n v="25"/>
    <n v="65"/>
    <n v="8.1999999999999993"/>
  </r>
  <r>
    <x v="4"/>
    <x v="4"/>
    <d v="2022-01-25T00:00:00"/>
    <d v="2022-02-16T00:00:00"/>
    <n v="1"/>
    <n v="85"/>
    <s v="81+"/>
    <x v="0"/>
    <x v="6"/>
    <x v="4"/>
    <x v="0"/>
    <n v="2"/>
    <n v="2"/>
    <n v="2.8"/>
    <x v="14"/>
    <n v="3"/>
    <n v="7"/>
    <n v="636301"/>
    <n v="125969"/>
    <n v="510332"/>
    <n v="30"/>
    <n v="54"/>
    <n v="9.1"/>
  </r>
  <r>
    <x v="7"/>
    <x v="7"/>
    <d v="2022-02-01T00:00:00"/>
    <d v="2022-02-18T00:00:00"/>
    <n v="1"/>
    <n v="35"/>
    <s v="21-40"/>
    <x v="0"/>
    <x v="9"/>
    <x v="7"/>
    <x v="3"/>
    <n v="2"/>
    <n v="2"/>
    <n v="6.3"/>
    <x v="11"/>
    <n v="7"/>
    <n v="6"/>
    <n v="781777"/>
    <n v="115422"/>
    <n v="666355"/>
    <n v="31"/>
    <n v="59"/>
    <n v="9.1999999999999993"/>
  </r>
  <r>
    <x v="5"/>
    <x v="5"/>
    <d v="2022-02-17T00:00:00"/>
    <d v="2022-02-20T00:00:00"/>
    <n v="1"/>
    <n v="49"/>
    <s v="41-60"/>
    <x v="1"/>
    <x v="13"/>
    <x v="10"/>
    <x v="2"/>
    <n v="2"/>
    <n v="2"/>
    <n v="4.3"/>
    <x v="12"/>
    <n v="7"/>
    <n v="6"/>
    <n v="525382"/>
    <n v="58021"/>
    <n v="467361"/>
    <n v="35"/>
    <n v="62"/>
    <n v="6.9"/>
  </r>
  <r>
    <x v="0"/>
    <x v="0"/>
    <d v="2022-02-09T00:00:00"/>
    <d v="2022-02-22T00:00:00"/>
    <n v="1"/>
    <n v="49"/>
    <s v="41-60"/>
    <x v="1"/>
    <x v="8"/>
    <x v="6"/>
    <x v="3"/>
    <n v="2"/>
    <n v="2"/>
    <n v="4.0999999999999996"/>
    <x v="2"/>
    <n v="7"/>
    <n v="4"/>
    <n v="697886"/>
    <n v="242259"/>
    <n v="455627"/>
    <n v="20"/>
    <n v="57"/>
    <n v="9.8000000000000007"/>
  </r>
  <r>
    <x v="5"/>
    <x v="5"/>
    <d v="2022-02-23T00:00:00"/>
    <d v="2022-02-24T00:00:00"/>
    <n v="1"/>
    <n v="76"/>
    <s v="61-80"/>
    <x v="0"/>
    <x v="12"/>
    <x v="9"/>
    <x v="0"/>
    <n v="2"/>
    <n v="2"/>
    <n v="6.8"/>
    <x v="4"/>
    <n v="6"/>
    <n v="5"/>
    <n v="593053"/>
    <n v="176575"/>
    <n v="416478"/>
    <n v="40"/>
    <n v="56"/>
    <n v="10"/>
  </r>
  <r>
    <x v="14"/>
    <x v="14"/>
    <d v="2022-02-13T00:00:00"/>
    <d v="2022-02-25T00:00:00"/>
    <n v="1"/>
    <n v="56"/>
    <s v="41-60"/>
    <x v="1"/>
    <x v="10"/>
    <x v="8"/>
    <x v="0"/>
    <n v="2"/>
    <n v="2"/>
    <n v="1.1000000000000001"/>
    <x v="29"/>
    <n v="5"/>
    <n v="5"/>
    <n v="684967"/>
    <n v="282678"/>
    <n v="402289"/>
    <n v="26"/>
    <n v="59"/>
    <n v="9.4"/>
  </r>
  <r>
    <x v="10"/>
    <x v="10"/>
    <d v="2022-02-19T00:00:00"/>
    <d v="2022-03-01T00:00:00"/>
    <n v="1"/>
    <n v="78"/>
    <s v="61-80"/>
    <x v="0"/>
    <x v="2"/>
    <x v="1"/>
    <x v="0"/>
    <n v="2"/>
    <n v="2"/>
    <n v="2.2000000000000002"/>
    <x v="19"/>
    <n v="6"/>
    <n v="3"/>
    <n v="583840"/>
    <n v="261022"/>
    <n v="322818"/>
    <n v="18"/>
    <n v="54"/>
    <n v="7.7"/>
  </r>
  <r>
    <x v="0"/>
    <x v="0"/>
    <d v="2022-01-31T00:00:00"/>
    <d v="2022-03-01T00:00:00"/>
    <n v="1"/>
    <n v="23"/>
    <s v="21-40"/>
    <x v="0"/>
    <x v="5"/>
    <x v="0"/>
    <x v="2"/>
    <n v="2"/>
    <n v="2"/>
    <n v="6.6"/>
    <x v="20"/>
    <n v="5"/>
    <n v="3"/>
    <n v="973628"/>
    <n v="539954"/>
    <n v="433674"/>
    <n v="36"/>
    <n v="54"/>
    <n v="8.8000000000000007"/>
  </r>
  <r>
    <x v="11"/>
    <x v="11"/>
    <d v="2022-02-15T00:00:00"/>
    <d v="2022-03-09T00:00:00"/>
    <n v="1"/>
    <n v="24"/>
    <s v="21-40"/>
    <x v="1"/>
    <x v="3"/>
    <x v="2"/>
    <x v="1"/>
    <n v="2"/>
    <n v="2"/>
    <n v="4.3"/>
    <x v="3"/>
    <n v="7"/>
    <n v="6"/>
    <n v="679331"/>
    <n v="267268"/>
    <n v="412063"/>
    <n v="21"/>
    <n v="62"/>
    <n v="6.6"/>
  </r>
  <r>
    <x v="0"/>
    <x v="0"/>
    <d v="2022-02-11T00:00:00"/>
    <d v="2022-03-09T00:00:00"/>
    <n v="1"/>
    <n v="23"/>
    <s v="21-40"/>
    <x v="1"/>
    <x v="3"/>
    <x v="2"/>
    <x v="0"/>
    <n v="2"/>
    <n v="2"/>
    <n v="1.9"/>
    <x v="19"/>
    <n v="3"/>
    <n v="7"/>
    <n v="629442"/>
    <n v="395519"/>
    <n v="233923"/>
    <n v="20"/>
    <n v="63"/>
    <n v="10.8"/>
  </r>
  <r>
    <x v="8"/>
    <x v="8"/>
    <d v="2022-02-14T00:00:00"/>
    <d v="2022-03-10T00:00:00"/>
    <n v="1"/>
    <n v="69"/>
    <s v="61-80"/>
    <x v="1"/>
    <x v="6"/>
    <x v="4"/>
    <x v="2"/>
    <n v="2"/>
    <n v="2"/>
    <n v="2.1"/>
    <x v="7"/>
    <n v="3"/>
    <n v="3"/>
    <n v="882985"/>
    <n v="381495"/>
    <n v="501490"/>
    <n v="49"/>
    <n v="60"/>
    <n v="9"/>
  </r>
  <r>
    <x v="0"/>
    <x v="0"/>
    <d v="2022-02-19T00:00:00"/>
    <d v="2022-03-12T00:00:00"/>
    <n v="1"/>
    <n v="59"/>
    <s v="41-60"/>
    <x v="1"/>
    <x v="3"/>
    <x v="2"/>
    <x v="1"/>
    <n v="2"/>
    <n v="2"/>
    <n v="4.5"/>
    <x v="15"/>
    <n v="3"/>
    <n v="6"/>
    <n v="692484"/>
    <n v="381812"/>
    <n v="310672"/>
    <n v="30"/>
    <n v="57"/>
    <n v="14.1"/>
  </r>
  <r>
    <x v="10"/>
    <x v="10"/>
    <d v="2022-02-20T00:00:00"/>
    <d v="2022-03-19T00:00:00"/>
    <n v="1"/>
    <n v="41"/>
    <s v="41-60"/>
    <x v="0"/>
    <x v="0"/>
    <x v="0"/>
    <x v="0"/>
    <n v="2"/>
    <n v="2"/>
    <n v="2.5"/>
    <x v="30"/>
    <n v="3"/>
    <n v="3"/>
    <n v="560725"/>
    <n v="231996"/>
    <n v="328729"/>
    <n v="22"/>
    <n v="66"/>
    <n v="36.5"/>
  </r>
  <r>
    <x v="7"/>
    <x v="7"/>
    <d v="2022-03-19T00:00:00"/>
    <d v="2022-03-23T00:00:00"/>
    <n v="1"/>
    <n v="73"/>
    <s v="61-80"/>
    <x v="0"/>
    <x v="0"/>
    <x v="0"/>
    <x v="1"/>
    <n v="2"/>
    <n v="2"/>
    <n v="2.2000000000000002"/>
    <x v="18"/>
    <n v="6"/>
    <n v="3"/>
    <n v="853850"/>
    <n v="169359"/>
    <n v="684491"/>
    <n v="49"/>
    <n v="60"/>
    <n v="9.8000000000000007"/>
  </r>
  <r>
    <x v="6"/>
    <x v="6"/>
    <d v="2022-03-10T00:00:00"/>
    <d v="2022-03-23T00:00:00"/>
    <n v="1"/>
    <n v="63"/>
    <s v="61-80"/>
    <x v="1"/>
    <x v="10"/>
    <x v="8"/>
    <x v="0"/>
    <n v="2"/>
    <n v="2"/>
    <n v="3.8"/>
    <x v="24"/>
    <n v="6"/>
    <n v="5"/>
    <n v="747904"/>
    <n v="117719"/>
    <n v="630185"/>
    <n v="31"/>
    <n v="65"/>
    <n v="36.5"/>
  </r>
  <r>
    <x v="14"/>
    <x v="14"/>
    <d v="2022-02-26T00:00:00"/>
    <d v="2022-03-25T00:00:00"/>
    <n v="1"/>
    <n v="90"/>
    <s v="81+"/>
    <x v="1"/>
    <x v="3"/>
    <x v="2"/>
    <x v="0"/>
    <n v="2"/>
    <n v="2"/>
    <n v="6"/>
    <x v="8"/>
    <n v="4"/>
    <n v="4"/>
    <n v="675681"/>
    <n v="143765"/>
    <n v="531916"/>
    <n v="29"/>
    <n v="60"/>
    <n v="10.1"/>
  </r>
  <r>
    <x v="12"/>
    <x v="12"/>
    <d v="2022-03-01T00:00:00"/>
    <d v="2022-03-26T00:00:00"/>
    <n v="1"/>
    <n v="85"/>
    <s v="81+"/>
    <x v="0"/>
    <x v="14"/>
    <x v="11"/>
    <x v="3"/>
    <n v="2"/>
    <n v="2"/>
    <n v="4.5999999999999996"/>
    <x v="18"/>
    <n v="4"/>
    <n v="4"/>
    <n v="895399"/>
    <n v="343427"/>
    <n v="551972"/>
    <n v="61"/>
    <n v="57"/>
    <n v="7.4"/>
  </r>
  <r>
    <x v="0"/>
    <x v="0"/>
    <d v="2022-03-04T00:00:00"/>
    <d v="2022-03-28T00:00:00"/>
    <n v="1"/>
    <n v="81"/>
    <s v="81+"/>
    <x v="1"/>
    <x v="12"/>
    <x v="9"/>
    <x v="1"/>
    <n v="2"/>
    <n v="2"/>
    <n v="2.4"/>
    <x v="7"/>
    <n v="3"/>
    <n v="4"/>
    <n v="747394"/>
    <n v="250713"/>
    <n v="496681"/>
    <n v="21"/>
    <n v="60"/>
    <n v="12.9"/>
  </r>
  <r>
    <x v="0"/>
    <x v="0"/>
    <d v="2022-03-09T00:00:00"/>
    <d v="2022-04-01T00:00:00"/>
    <n v="1"/>
    <n v="80"/>
    <s v="61-80"/>
    <x v="0"/>
    <x v="0"/>
    <x v="0"/>
    <x v="3"/>
    <n v="2"/>
    <n v="2"/>
    <n v="5.3"/>
    <x v="17"/>
    <n v="5"/>
    <n v="3"/>
    <n v="887559"/>
    <n v="404688"/>
    <n v="482871"/>
    <n v="37"/>
    <n v="56"/>
    <n v="5.9"/>
  </r>
  <r>
    <x v="14"/>
    <x v="14"/>
    <d v="2022-03-23T00:00:00"/>
    <d v="2022-04-02T00:00:00"/>
    <n v="1"/>
    <n v="40"/>
    <s v="21-40"/>
    <x v="1"/>
    <x v="12"/>
    <x v="9"/>
    <x v="2"/>
    <n v="2"/>
    <n v="2"/>
    <n v="2.7"/>
    <x v="17"/>
    <n v="7"/>
    <n v="5"/>
    <n v="793627"/>
    <n v="387111"/>
    <n v="406516"/>
    <n v="29"/>
    <n v="64"/>
    <n v="6.5"/>
  </r>
  <r>
    <x v="13"/>
    <x v="13"/>
    <d v="2022-03-10T00:00:00"/>
    <d v="2022-04-09T00:00:00"/>
    <n v="1"/>
    <n v="46"/>
    <s v="41-60"/>
    <x v="0"/>
    <x v="0"/>
    <x v="0"/>
    <x v="1"/>
    <n v="2"/>
    <n v="2"/>
    <n v="5"/>
    <x v="17"/>
    <n v="7"/>
    <n v="3"/>
    <n v="994331"/>
    <n v="480870"/>
    <n v="513461"/>
    <n v="60"/>
    <n v="56"/>
    <n v="13.1"/>
  </r>
  <r>
    <x v="7"/>
    <x v="7"/>
    <d v="2022-03-28T00:00:00"/>
    <d v="2022-04-11T00:00:00"/>
    <n v="1"/>
    <n v="41"/>
    <s v="41-60"/>
    <x v="1"/>
    <x v="2"/>
    <x v="1"/>
    <x v="0"/>
    <n v="2"/>
    <n v="2"/>
    <n v="5.6"/>
    <x v="17"/>
    <n v="3"/>
    <n v="6"/>
    <n v="843216"/>
    <n v="185290"/>
    <n v="657926"/>
    <n v="36"/>
    <n v="60"/>
    <n v="13.8"/>
  </r>
  <r>
    <x v="4"/>
    <x v="4"/>
    <d v="2022-03-21T00:00:00"/>
    <d v="2022-04-19T00:00:00"/>
    <n v="1"/>
    <n v="27"/>
    <s v="21-40"/>
    <x v="0"/>
    <x v="1"/>
    <x v="1"/>
    <x v="4"/>
    <n v="2"/>
    <n v="2"/>
    <n v="3.5"/>
    <x v="9"/>
    <n v="6"/>
    <n v="6"/>
    <n v="669627"/>
    <n v="148269"/>
    <n v="521358"/>
    <n v="37"/>
    <n v="57"/>
    <n v="36.200000000000003"/>
  </r>
  <r>
    <x v="0"/>
    <x v="0"/>
    <d v="2022-04-20T00:00:00"/>
    <d v="2022-04-21T00:00:00"/>
    <n v="1"/>
    <n v="58"/>
    <s v="41-60"/>
    <x v="1"/>
    <x v="9"/>
    <x v="7"/>
    <x v="0"/>
    <n v="2"/>
    <n v="2"/>
    <n v="2.1"/>
    <x v="27"/>
    <n v="5"/>
    <n v="5"/>
    <n v="887678"/>
    <n v="541345"/>
    <n v="346333"/>
    <n v="28"/>
    <n v="63"/>
    <n v="6.3"/>
  </r>
  <r>
    <x v="10"/>
    <x v="10"/>
    <d v="2022-04-24T00:00:00"/>
    <d v="2022-04-25T00:00:00"/>
    <n v="1"/>
    <n v="34"/>
    <s v="21-40"/>
    <x v="1"/>
    <x v="3"/>
    <x v="2"/>
    <x v="1"/>
    <n v="2"/>
    <n v="2"/>
    <n v="4"/>
    <x v="4"/>
    <n v="6"/>
    <n v="5"/>
    <n v="505914"/>
    <n v="107745"/>
    <n v="398169"/>
    <n v="15"/>
    <n v="57"/>
    <n v="14.2"/>
  </r>
  <r>
    <x v="5"/>
    <x v="5"/>
    <d v="2022-04-06T00:00:00"/>
    <d v="2022-05-01T00:00:00"/>
    <n v="1"/>
    <n v="45"/>
    <s v="41-60"/>
    <x v="0"/>
    <x v="13"/>
    <x v="10"/>
    <x v="2"/>
    <n v="2"/>
    <n v="2"/>
    <n v="5.3"/>
    <x v="23"/>
    <n v="3"/>
    <n v="5"/>
    <n v="572287"/>
    <n v="95046"/>
    <n v="477241"/>
    <n v="37"/>
    <n v="66"/>
    <n v="9.4"/>
  </r>
  <r>
    <x v="11"/>
    <x v="11"/>
    <d v="2022-04-10T00:00:00"/>
    <d v="2022-05-03T00:00:00"/>
    <n v="1"/>
    <n v="33"/>
    <s v="21-40"/>
    <x v="1"/>
    <x v="4"/>
    <x v="3"/>
    <x v="1"/>
    <n v="2"/>
    <n v="2"/>
    <n v="3.2"/>
    <x v="12"/>
    <n v="6"/>
    <n v="7"/>
    <n v="799406"/>
    <n v="344592"/>
    <n v="454814"/>
    <n v="29"/>
    <n v="59"/>
    <n v="36.200000000000003"/>
  </r>
  <r>
    <x v="7"/>
    <x v="7"/>
    <d v="2022-04-08T00:00:00"/>
    <d v="2022-05-03T00:00:00"/>
    <n v="1"/>
    <n v="35"/>
    <s v="21-40"/>
    <x v="1"/>
    <x v="4"/>
    <x v="3"/>
    <x v="4"/>
    <n v="2"/>
    <n v="2"/>
    <n v="5.5"/>
    <x v="14"/>
    <n v="6"/>
    <n v="3"/>
    <n v="880174"/>
    <n v="282522"/>
    <n v="597652"/>
    <n v="32"/>
    <n v="57"/>
    <n v="6.8"/>
  </r>
  <r>
    <x v="11"/>
    <x v="11"/>
    <d v="2022-04-13T00:00:00"/>
    <d v="2022-05-04T00:00:00"/>
    <n v="1"/>
    <n v="49"/>
    <s v="41-60"/>
    <x v="1"/>
    <x v="12"/>
    <x v="9"/>
    <x v="3"/>
    <n v="2"/>
    <n v="2"/>
    <n v="6.9"/>
    <x v="27"/>
    <n v="6"/>
    <n v="6"/>
    <n v="658144"/>
    <n v="198206"/>
    <n v="459938"/>
    <n v="27"/>
    <n v="63"/>
    <n v="8.4"/>
  </r>
  <r>
    <x v="3"/>
    <x v="3"/>
    <d v="2022-04-23T00:00:00"/>
    <d v="2022-05-14T00:00:00"/>
    <n v="1"/>
    <n v="65"/>
    <s v="61-80"/>
    <x v="1"/>
    <x v="6"/>
    <x v="4"/>
    <x v="1"/>
    <n v="2"/>
    <n v="2"/>
    <n v="6.5"/>
    <x v="1"/>
    <n v="6"/>
    <n v="5"/>
    <n v="959510"/>
    <n v="319154"/>
    <n v="640356"/>
    <n v="55"/>
    <n v="65"/>
    <n v="14.2"/>
  </r>
  <r>
    <x v="12"/>
    <x v="12"/>
    <d v="2022-04-25T00:00:00"/>
    <d v="2022-05-16T00:00:00"/>
    <n v="1"/>
    <n v="77"/>
    <s v="61-80"/>
    <x v="1"/>
    <x v="13"/>
    <x v="10"/>
    <x v="1"/>
    <n v="2"/>
    <n v="2"/>
    <n v="3.8"/>
    <x v="18"/>
    <n v="6"/>
    <n v="6"/>
    <n v="984836"/>
    <n v="436803"/>
    <n v="548033"/>
    <n v="60"/>
    <n v="58"/>
    <n v="5.6"/>
  </r>
  <r>
    <x v="10"/>
    <x v="10"/>
    <d v="2022-05-04T00:00:00"/>
    <d v="2022-05-18T00:00:00"/>
    <n v="1"/>
    <n v="88"/>
    <s v="81+"/>
    <x v="0"/>
    <x v="5"/>
    <x v="0"/>
    <x v="2"/>
    <n v="2"/>
    <n v="2"/>
    <n v="5.3"/>
    <x v="30"/>
    <n v="7"/>
    <n v="5"/>
    <n v="577616"/>
    <n v="264232"/>
    <n v="313384"/>
    <n v="22"/>
    <n v="60"/>
    <n v="12.5"/>
  </r>
  <r>
    <x v="7"/>
    <x v="7"/>
    <d v="2022-05-25T00:00:00"/>
    <d v="2022-05-31T00:00:00"/>
    <n v="1"/>
    <n v="72"/>
    <s v="61-80"/>
    <x v="1"/>
    <x v="11"/>
    <x v="8"/>
    <x v="1"/>
    <n v="2"/>
    <n v="2"/>
    <n v="2"/>
    <x v="0"/>
    <n v="3"/>
    <n v="4"/>
    <n v="717456"/>
    <n v="33321"/>
    <n v="684135"/>
    <n v="43"/>
    <n v="65"/>
    <n v="12.3"/>
  </r>
  <r>
    <x v="7"/>
    <x v="7"/>
    <d v="2022-05-22T00:00:00"/>
    <d v="2022-06-03T00:00:00"/>
    <n v="1"/>
    <n v="25"/>
    <s v="21-40"/>
    <x v="1"/>
    <x v="6"/>
    <x v="4"/>
    <x v="1"/>
    <n v="2"/>
    <n v="2"/>
    <n v="1.1000000000000001"/>
    <x v="25"/>
    <n v="7"/>
    <n v="4"/>
    <n v="736617"/>
    <n v="137545"/>
    <n v="599072"/>
    <n v="46"/>
    <n v="61"/>
    <n v="13.4"/>
  </r>
  <r>
    <x v="0"/>
    <x v="0"/>
    <d v="2022-06-01T00:00:00"/>
    <d v="2022-06-03T00:00:00"/>
    <n v="1"/>
    <n v="46"/>
    <s v="41-60"/>
    <x v="0"/>
    <x v="0"/>
    <x v="0"/>
    <x v="1"/>
    <n v="2"/>
    <n v="2"/>
    <n v="3.5"/>
    <x v="0"/>
    <n v="4"/>
    <n v="4"/>
    <n v="846153"/>
    <n v="613281"/>
    <n v="232872"/>
    <n v="26"/>
    <n v="59"/>
    <n v="36.5"/>
  </r>
  <r>
    <x v="9"/>
    <x v="9"/>
    <d v="2022-05-27T00:00:00"/>
    <d v="2022-06-04T00:00:00"/>
    <n v="1"/>
    <n v="31"/>
    <s v="21-40"/>
    <x v="0"/>
    <x v="2"/>
    <x v="1"/>
    <x v="3"/>
    <n v="2"/>
    <n v="2"/>
    <n v="4.4000000000000004"/>
    <x v="1"/>
    <n v="3"/>
    <n v="7"/>
    <n v="903642"/>
    <n v="87403"/>
    <n v="816239"/>
    <n v="33"/>
    <n v="64"/>
    <n v="5.0999999999999996"/>
  </r>
  <r>
    <x v="3"/>
    <x v="3"/>
    <d v="2022-05-26T00:00:00"/>
    <d v="2022-06-06T00:00:00"/>
    <n v="1"/>
    <n v="62"/>
    <s v="61-80"/>
    <x v="0"/>
    <x v="7"/>
    <x v="5"/>
    <x v="2"/>
    <n v="2"/>
    <n v="2"/>
    <n v="3"/>
    <x v="15"/>
    <n v="3"/>
    <n v="7"/>
    <n v="958279"/>
    <n v="282480"/>
    <n v="675799"/>
    <n v="67"/>
    <n v="54"/>
    <n v="14.3"/>
  </r>
  <r>
    <x v="10"/>
    <x v="10"/>
    <d v="2022-05-31T00:00:00"/>
    <d v="2022-06-09T00:00:00"/>
    <n v="1"/>
    <n v="82"/>
    <s v="81+"/>
    <x v="1"/>
    <x v="2"/>
    <x v="1"/>
    <x v="2"/>
    <n v="2"/>
    <n v="2"/>
    <n v="5.5"/>
    <x v="10"/>
    <n v="6"/>
    <n v="4"/>
    <n v="507621"/>
    <n v="108014"/>
    <n v="399607"/>
    <n v="17"/>
    <n v="64"/>
    <n v="36.4"/>
  </r>
  <r>
    <x v="13"/>
    <x v="13"/>
    <d v="2022-05-21T00:00:00"/>
    <d v="2022-06-10T00:00:00"/>
    <n v="1"/>
    <n v="51"/>
    <s v="41-60"/>
    <x v="1"/>
    <x v="2"/>
    <x v="1"/>
    <x v="2"/>
    <n v="2"/>
    <n v="2"/>
    <n v="4.5999999999999996"/>
    <x v="16"/>
    <n v="7"/>
    <n v="5"/>
    <n v="957884"/>
    <n v="409583"/>
    <n v="548301"/>
    <n v="49"/>
    <n v="60"/>
    <n v="6.1"/>
  </r>
  <r>
    <x v="7"/>
    <x v="7"/>
    <d v="2022-06-06T00:00:00"/>
    <d v="2022-06-12T00:00:00"/>
    <n v="1"/>
    <n v="46"/>
    <s v="41-60"/>
    <x v="0"/>
    <x v="10"/>
    <x v="8"/>
    <x v="0"/>
    <n v="2"/>
    <n v="2"/>
    <n v="6.7"/>
    <x v="0"/>
    <n v="6"/>
    <n v="4"/>
    <n v="713884"/>
    <n v="85107"/>
    <n v="628777"/>
    <n v="32"/>
    <n v="64"/>
    <n v="12.6"/>
  </r>
  <r>
    <x v="1"/>
    <x v="1"/>
    <d v="2022-05-17T00:00:00"/>
    <d v="2022-06-15T00:00:00"/>
    <n v="1"/>
    <n v="55"/>
    <s v="41-60"/>
    <x v="0"/>
    <x v="2"/>
    <x v="1"/>
    <x v="3"/>
    <n v="2"/>
    <n v="2"/>
    <n v="3.2"/>
    <x v="29"/>
    <n v="3"/>
    <n v="7"/>
    <n v="797403"/>
    <n v="427280"/>
    <n v="370123"/>
    <n v="38"/>
    <n v="64"/>
    <n v="36.200000000000003"/>
  </r>
  <r>
    <x v="8"/>
    <x v="8"/>
    <d v="2022-06-17T00:00:00"/>
    <d v="2022-06-18T00:00:00"/>
    <n v="1"/>
    <n v="58"/>
    <s v="41-60"/>
    <x v="0"/>
    <x v="1"/>
    <x v="1"/>
    <x v="1"/>
    <n v="2"/>
    <n v="2"/>
    <n v="3.8"/>
    <x v="26"/>
    <n v="3"/>
    <n v="3"/>
    <n v="723552"/>
    <n v="165555"/>
    <n v="557997"/>
    <n v="48"/>
    <n v="54"/>
    <n v="12.1"/>
  </r>
  <r>
    <x v="8"/>
    <x v="8"/>
    <d v="2022-06-19T00:00:00"/>
    <d v="2022-06-27T00:00:00"/>
    <n v="1"/>
    <n v="82"/>
    <s v="81+"/>
    <x v="0"/>
    <x v="10"/>
    <x v="8"/>
    <x v="2"/>
    <n v="2"/>
    <n v="2"/>
    <n v="6"/>
    <x v="7"/>
    <n v="7"/>
    <n v="3"/>
    <n v="870350"/>
    <n v="340389"/>
    <n v="529961"/>
    <n v="60"/>
    <n v="66"/>
    <n v="9.6"/>
  </r>
  <r>
    <x v="3"/>
    <x v="3"/>
    <d v="2022-06-10T00:00:00"/>
    <d v="2022-06-27T00:00:00"/>
    <n v="1"/>
    <n v="80"/>
    <s v="61-80"/>
    <x v="0"/>
    <x v="10"/>
    <x v="8"/>
    <x v="4"/>
    <n v="2"/>
    <n v="2"/>
    <n v="6.9"/>
    <x v="6"/>
    <n v="3"/>
    <n v="4"/>
    <n v="998004"/>
    <n v="411135"/>
    <n v="586869"/>
    <n v="53"/>
    <n v="62"/>
    <n v="7.5"/>
  </r>
  <r>
    <x v="13"/>
    <x v="13"/>
    <d v="2022-05-31T00:00:00"/>
    <d v="2022-06-28T00:00:00"/>
    <n v="1"/>
    <n v="59"/>
    <s v="41-60"/>
    <x v="0"/>
    <x v="14"/>
    <x v="11"/>
    <x v="2"/>
    <n v="2"/>
    <n v="2"/>
    <n v="5"/>
    <x v="13"/>
    <n v="6"/>
    <n v="6"/>
    <n v="841657"/>
    <n v="240854"/>
    <n v="600803"/>
    <n v="37"/>
    <n v="58"/>
    <n v="7.9"/>
  </r>
  <r>
    <x v="11"/>
    <x v="11"/>
    <d v="2022-06-01T00:00:00"/>
    <d v="2022-06-28T00:00:00"/>
    <n v="1"/>
    <n v="83"/>
    <s v="81+"/>
    <x v="0"/>
    <x v="0"/>
    <x v="0"/>
    <x v="3"/>
    <n v="2"/>
    <n v="2"/>
    <n v="2.1"/>
    <x v="9"/>
    <n v="7"/>
    <n v="7"/>
    <n v="746380"/>
    <n v="254309"/>
    <n v="492071"/>
    <n v="22"/>
    <n v="55"/>
    <n v="10.9"/>
  </r>
  <r>
    <x v="5"/>
    <x v="5"/>
    <d v="2022-07-03T00:00:00"/>
    <d v="2022-07-04T00:00:00"/>
    <n v="1"/>
    <n v="42"/>
    <s v="41-60"/>
    <x v="0"/>
    <x v="5"/>
    <x v="0"/>
    <x v="0"/>
    <n v="2"/>
    <n v="2"/>
    <n v="2.1"/>
    <x v="19"/>
    <n v="3"/>
    <n v="4"/>
    <n v="574419"/>
    <n v="119119"/>
    <n v="455300"/>
    <n v="35"/>
    <n v="57"/>
    <n v="10.9"/>
  </r>
  <r>
    <x v="7"/>
    <x v="7"/>
    <d v="2022-06-10T00:00:00"/>
    <d v="2022-07-05T00:00:00"/>
    <n v="1"/>
    <n v="46"/>
    <s v="41-60"/>
    <x v="0"/>
    <x v="13"/>
    <x v="10"/>
    <x v="4"/>
    <n v="2"/>
    <n v="2"/>
    <n v="6.6"/>
    <x v="21"/>
    <n v="6"/>
    <n v="3"/>
    <n v="724614"/>
    <n v="118927"/>
    <n v="605687"/>
    <n v="48"/>
    <n v="57"/>
    <n v="10.199999999999999"/>
  </r>
  <r>
    <x v="6"/>
    <x v="6"/>
    <d v="2022-06-09T00:00:00"/>
    <d v="2022-07-09T00:00:00"/>
    <n v="1"/>
    <n v="57"/>
    <s v="41-60"/>
    <x v="0"/>
    <x v="2"/>
    <x v="1"/>
    <x v="4"/>
    <n v="2"/>
    <n v="2"/>
    <n v="2.5"/>
    <x v="11"/>
    <n v="4"/>
    <n v="5"/>
    <n v="721809"/>
    <n v="32421"/>
    <n v="689388"/>
    <n v="60"/>
    <n v="57"/>
    <n v="10.7"/>
  </r>
  <r>
    <x v="0"/>
    <x v="0"/>
    <d v="2022-07-07T00:00:00"/>
    <d v="2022-07-10T00:00:00"/>
    <n v="1"/>
    <n v="25"/>
    <s v="21-40"/>
    <x v="1"/>
    <x v="4"/>
    <x v="3"/>
    <x v="4"/>
    <n v="2"/>
    <n v="2"/>
    <n v="4.8"/>
    <x v="4"/>
    <n v="5"/>
    <n v="6"/>
    <n v="644922"/>
    <n v="187686"/>
    <n v="457236"/>
    <n v="26"/>
    <n v="58"/>
    <n v="7"/>
  </r>
  <r>
    <x v="3"/>
    <x v="3"/>
    <d v="2022-06-27T00:00:00"/>
    <d v="2022-07-10T00:00:00"/>
    <n v="1"/>
    <n v="21"/>
    <s v="21-40"/>
    <x v="0"/>
    <x v="14"/>
    <x v="11"/>
    <x v="2"/>
    <n v="2"/>
    <n v="2"/>
    <n v="3.9"/>
    <x v="1"/>
    <n v="4"/>
    <n v="3"/>
    <n v="852774"/>
    <n v="316387"/>
    <n v="536387"/>
    <n v="69"/>
    <n v="66"/>
    <n v="36.799999999999997"/>
  </r>
  <r>
    <x v="12"/>
    <x v="12"/>
    <d v="2022-06-10T00:00:00"/>
    <d v="2022-07-10T00:00:00"/>
    <n v="1"/>
    <n v="37"/>
    <s v="21-40"/>
    <x v="0"/>
    <x v="5"/>
    <x v="0"/>
    <x v="2"/>
    <n v="2"/>
    <n v="2"/>
    <n v="6.6"/>
    <x v="15"/>
    <n v="3"/>
    <n v="4"/>
    <n v="966458"/>
    <n v="292493"/>
    <n v="673965"/>
    <n v="76"/>
    <n v="62"/>
    <n v="36.5"/>
  </r>
  <r>
    <x v="13"/>
    <x v="13"/>
    <d v="2022-06-20T00:00:00"/>
    <d v="2022-07-14T00:00:00"/>
    <n v="1"/>
    <n v="28"/>
    <s v="21-40"/>
    <x v="0"/>
    <x v="0"/>
    <x v="0"/>
    <x v="0"/>
    <n v="2"/>
    <n v="2"/>
    <n v="3.8"/>
    <x v="20"/>
    <n v="7"/>
    <n v="5"/>
    <n v="875775"/>
    <n v="254571"/>
    <n v="621204"/>
    <n v="33"/>
    <n v="61"/>
    <n v="10"/>
  </r>
  <r>
    <x v="3"/>
    <x v="3"/>
    <d v="2022-06-22T00:00:00"/>
    <d v="2022-07-14T00:00:00"/>
    <n v="1"/>
    <n v="56"/>
    <s v="41-60"/>
    <x v="0"/>
    <x v="0"/>
    <x v="0"/>
    <x v="2"/>
    <n v="2"/>
    <n v="2"/>
    <n v="1.1000000000000001"/>
    <x v="0"/>
    <n v="3"/>
    <n v="3"/>
    <n v="929465"/>
    <n v="280246"/>
    <n v="649219"/>
    <n v="59"/>
    <n v="55"/>
    <n v="5.6"/>
  </r>
  <r>
    <x v="13"/>
    <x v="13"/>
    <d v="2022-07-20T00:00:00"/>
    <d v="2022-07-27T00:00:00"/>
    <n v="1"/>
    <n v="59"/>
    <s v="41-60"/>
    <x v="1"/>
    <x v="3"/>
    <x v="2"/>
    <x v="4"/>
    <n v="2"/>
    <n v="2"/>
    <n v="6.1"/>
    <x v="1"/>
    <n v="3"/>
    <n v="7"/>
    <n v="980171"/>
    <n v="335284"/>
    <n v="644887"/>
    <n v="33"/>
    <n v="57"/>
    <n v="9.1999999999999993"/>
  </r>
  <r>
    <x v="7"/>
    <x v="7"/>
    <d v="2022-07-15T00:00:00"/>
    <d v="2022-07-29T00:00:00"/>
    <n v="1"/>
    <n v="25"/>
    <s v="21-40"/>
    <x v="0"/>
    <x v="9"/>
    <x v="7"/>
    <x v="2"/>
    <n v="2"/>
    <n v="2"/>
    <n v="2.7"/>
    <x v="0"/>
    <n v="3"/>
    <n v="7"/>
    <n v="825027"/>
    <n v="203675"/>
    <n v="621352"/>
    <n v="40"/>
    <n v="59"/>
    <n v="36"/>
  </r>
  <r>
    <x v="9"/>
    <x v="9"/>
    <d v="2022-07-22T00:00:00"/>
    <d v="2022-07-31T00:00:00"/>
    <n v="1"/>
    <n v="64"/>
    <s v="61-80"/>
    <x v="1"/>
    <x v="1"/>
    <x v="1"/>
    <x v="3"/>
    <n v="2"/>
    <n v="2"/>
    <n v="6.9"/>
    <x v="28"/>
    <n v="5"/>
    <n v="3"/>
    <n v="989508"/>
    <n v="105902"/>
    <n v="883606"/>
    <n v="39"/>
    <n v="64"/>
    <n v="10"/>
  </r>
  <r>
    <x v="12"/>
    <x v="12"/>
    <d v="2022-07-21T00:00:00"/>
    <d v="2022-07-31T00:00:00"/>
    <n v="1"/>
    <n v="57"/>
    <s v="41-60"/>
    <x v="1"/>
    <x v="9"/>
    <x v="7"/>
    <x v="4"/>
    <n v="2"/>
    <n v="2"/>
    <n v="3.1"/>
    <x v="27"/>
    <n v="5"/>
    <n v="6"/>
    <n v="878754"/>
    <n v="374918"/>
    <n v="503836"/>
    <n v="62"/>
    <n v="55"/>
    <n v="36.6"/>
  </r>
  <r>
    <x v="4"/>
    <x v="4"/>
    <d v="2022-07-14T00:00:00"/>
    <d v="2022-08-02T00:00:00"/>
    <n v="1"/>
    <n v="49"/>
    <s v="41-60"/>
    <x v="1"/>
    <x v="11"/>
    <x v="8"/>
    <x v="0"/>
    <n v="2"/>
    <n v="2"/>
    <n v="1"/>
    <x v="14"/>
    <n v="6"/>
    <n v="5"/>
    <n v="751238"/>
    <n v="214786"/>
    <n v="536452"/>
    <n v="31"/>
    <n v="62"/>
    <n v="12.5"/>
  </r>
  <r>
    <x v="0"/>
    <x v="0"/>
    <d v="2022-07-05T00:00:00"/>
    <d v="2022-08-03T00:00:00"/>
    <n v="1"/>
    <n v="50"/>
    <s v="41-60"/>
    <x v="0"/>
    <x v="7"/>
    <x v="5"/>
    <x v="0"/>
    <n v="2"/>
    <n v="2"/>
    <n v="5.8"/>
    <x v="14"/>
    <n v="4"/>
    <n v="6"/>
    <n v="698988"/>
    <n v="228246"/>
    <n v="470742"/>
    <n v="21"/>
    <n v="55"/>
    <n v="8.1"/>
  </r>
  <r>
    <x v="6"/>
    <x v="6"/>
    <d v="2022-07-08T00:00:00"/>
    <d v="2022-08-04T00:00:00"/>
    <n v="1"/>
    <n v="28"/>
    <s v="21-40"/>
    <x v="1"/>
    <x v="12"/>
    <x v="9"/>
    <x v="3"/>
    <n v="2"/>
    <n v="2"/>
    <n v="2.5"/>
    <x v="15"/>
    <n v="6"/>
    <n v="7"/>
    <n v="748373"/>
    <n v="230923"/>
    <n v="517450"/>
    <n v="56"/>
    <n v="66"/>
    <n v="14.6"/>
  </r>
  <r>
    <x v="0"/>
    <x v="0"/>
    <d v="2022-07-27T00:00:00"/>
    <d v="2022-08-08T00:00:00"/>
    <n v="1"/>
    <n v="48"/>
    <s v="41-60"/>
    <x v="0"/>
    <x v="13"/>
    <x v="10"/>
    <x v="4"/>
    <n v="2"/>
    <n v="2"/>
    <n v="6"/>
    <x v="24"/>
    <n v="3"/>
    <n v="7"/>
    <n v="676630"/>
    <n v="301034"/>
    <n v="375596"/>
    <n v="37"/>
    <n v="59"/>
    <n v="36.5"/>
  </r>
  <r>
    <x v="7"/>
    <x v="7"/>
    <d v="2022-08-07T00:00:00"/>
    <d v="2022-08-09T00:00:00"/>
    <n v="1"/>
    <n v="58"/>
    <s v="41-60"/>
    <x v="1"/>
    <x v="11"/>
    <x v="8"/>
    <x v="4"/>
    <n v="2"/>
    <n v="2"/>
    <n v="5.6"/>
    <x v="17"/>
    <n v="3"/>
    <n v="7"/>
    <n v="823691"/>
    <n v="170116"/>
    <n v="653575"/>
    <n v="44"/>
    <n v="65"/>
    <n v="14.1"/>
  </r>
  <r>
    <x v="6"/>
    <x v="6"/>
    <d v="2022-07-25T00:00:00"/>
    <d v="2022-08-18T00:00:00"/>
    <n v="1"/>
    <n v="52"/>
    <s v="41-60"/>
    <x v="1"/>
    <x v="10"/>
    <x v="8"/>
    <x v="2"/>
    <n v="2"/>
    <n v="2"/>
    <n v="2.7"/>
    <x v="28"/>
    <n v="6"/>
    <n v="5"/>
    <n v="723903"/>
    <n v="86489"/>
    <n v="637414"/>
    <n v="36"/>
    <n v="55"/>
    <n v="13.1"/>
  </r>
  <r>
    <x v="6"/>
    <x v="6"/>
    <d v="2022-07-26T00:00:00"/>
    <d v="2022-08-22T00:00:00"/>
    <n v="1"/>
    <n v="38"/>
    <s v="21-40"/>
    <x v="0"/>
    <x v="5"/>
    <x v="0"/>
    <x v="0"/>
    <n v="2"/>
    <n v="2"/>
    <n v="2.6"/>
    <x v="17"/>
    <n v="7"/>
    <n v="5"/>
    <n v="720779"/>
    <n v="167151"/>
    <n v="553628"/>
    <n v="59"/>
    <n v="62"/>
    <n v="14.4"/>
  </r>
  <r>
    <x v="6"/>
    <x v="6"/>
    <d v="2022-07-27T00:00:00"/>
    <d v="2022-08-24T00:00:00"/>
    <n v="1"/>
    <n v="89"/>
    <s v="81+"/>
    <x v="1"/>
    <x v="2"/>
    <x v="1"/>
    <x v="1"/>
    <n v="2"/>
    <n v="2"/>
    <n v="4.2"/>
    <x v="11"/>
    <n v="3"/>
    <n v="4"/>
    <n v="762958"/>
    <n v="71318"/>
    <n v="691640"/>
    <n v="33"/>
    <n v="54"/>
    <n v="13.5"/>
  </r>
  <r>
    <x v="10"/>
    <x v="10"/>
    <d v="2022-08-17T00:00:00"/>
    <d v="2022-08-27T00:00:00"/>
    <n v="1"/>
    <n v="33"/>
    <s v="21-40"/>
    <x v="1"/>
    <x v="4"/>
    <x v="3"/>
    <x v="0"/>
    <n v="2"/>
    <n v="2"/>
    <n v="5.7"/>
    <x v="28"/>
    <n v="6"/>
    <n v="7"/>
    <n v="526597"/>
    <n v="157022"/>
    <n v="369575"/>
    <n v="23"/>
    <n v="65"/>
    <n v="7.9"/>
  </r>
  <r>
    <x v="0"/>
    <x v="0"/>
    <d v="2022-08-13T00:00:00"/>
    <d v="2022-08-28T00:00:00"/>
    <n v="1"/>
    <n v="81"/>
    <s v="81+"/>
    <x v="1"/>
    <x v="11"/>
    <x v="8"/>
    <x v="1"/>
    <n v="2"/>
    <n v="2"/>
    <n v="1.6"/>
    <x v="22"/>
    <n v="7"/>
    <n v="7"/>
    <n v="761921"/>
    <n v="372987"/>
    <n v="388934"/>
    <n v="35"/>
    <n v="57"/>
    <n v="13.9"/>
  </r>
  <r>
    <x v="9"/>
    <x v="9"/>
    <d v="2022-08-17T00:00:00"/>
    <d v="2022-08-31T00:00:00"/>
    <n v="1"/>
    <n v="63"/>
    <s v="61-80"/>
    <x v="0"/>
    <x v="1"/>
    <x v="1"/>
    <x v="3"/>
    <n v="2"/>
    <n v="2"/>
    <n v="5.6"/>
    <x v="18"/>
    <n v="6"/>
    <n v="6"/>
    <n v="912143"/>
    <n v="19460"/>
    <n v="892683"/>
    <n v="36"/>
    <n v="64"/>
    <n v="6"/>
  </r>
  <r>
    <x v="13"/>
    <x v="13"/>
    <d v="2022-08-23T00:00:00"/>
    <d v="2022-09-02T00:00:00"/>
    <n v="1"/>
    <n v="53"/>
    <s v="41-60"/>
    <x v="1"/>
    <x v="3"/>
    <x v="2"/>
    <x v="3"/>
    <n v="2"/>
    <n v="2"/>
    <n v="6.7"/>
    <x v="30"/>
    <n v="5"/>
    <n v="7"/>
    <n v="898569"/>
    <n v="258319"/>
    <n v="640250"/>
    <n v="60"/>
    <n v="63"/>
    <n v="9.6999999999999993"/>
  </r>
  <r>
    <x v="10"/>
    <x v="10"/>
    <d v="2022-08-13T00:00:00"/>
    <d v="2022-09-04T00:00:00"/>
    <n v="1"/>
    <n v="84"/>
    <s v="81+"/>
    <x v="1"/>
    <x v="10"/>
    <x v="8"/>
    <x v="3"/>
    <n v="2"/>
    <n v="2"/>
    <n v="3.9"/>
    <x v="23"/>
    <n v="4"/>
    <n v="3"/>
    <n v="505859"/>
    <n v="169209"/>
    <n v="336650"/>
    <n v="22"/>
    <n v="54"/>
    <n v="8.5"/>
  </r>
  <r>
    <x v="0"/>
    <x v="0"/>
    <d v="2022-08-27T00:00:00"/>
    <d v="2022-09-08T00:00:00"/>
    <n v="1"/>
    <n v="74"/>
    <s v="61-80"/>
    <x v="1"/>
    <x v="2"/>
    <x v="1"/>
    <x v="2"/>
    <n v="2"/>
    <n v="2"/>
    <n v="6.7"/>
    <x v="28"/>
    <n v="3"/>
    <n v="6"/>
    <n v="959759"/>
    <n v="685876"/>
    <n v="273883"/>
    <n v="31"/>
    <n v="64"/>
    <n v="8.6999999999999993"/>
  </r>
  <r>
    <x v="12"/>
    <x v="12"/>
    <d v="2022-09-11T00:00:00"/>
    <d v="2022-09-13T00:00:00"/>
    <n v="1"/>
    <n v="35"/>
    <s v="21-40"/>
    <x v="0"/>
    <x v="14"/>
    <x v="11"/>
    <x v="1"/>
    <n v="2"/>
    <n v="2"/>
    <n v="2.9"/>
    <x v="13"/>
    <n v="5"/>
    <n v="3"/>
    <n v="808717"/>
    <n v="296327"/>
    <n v="512390"/>
    <n v="77"/>
    <n v="61"/>
    <n v="10.7"/>
  </r>
  <r>
    <x v="8"/>
    <x v="8"/>
    <d v="2022-09-12T00:00:00"/>
    <d v="2022-09-16T00:00:00"/>
    <n v="1"/>
    <n v="87"/>
    <s v="81+"/>
    <x v="0"/>
    <x v="7"/>
    <x v="5"/>
    <x v="4"/>
    <n v="2"/>
    <n v="2"/>
    <n v="2.5"/>
    <x v="12"/>
    <n v="3"/>
    <n v="4"/>
    <n v="878614"/>
    <n v="299245"/>
    <n v="579369"/>
    <n v="46"/>
    <n v="55"/>
    <n v="9.4"/>
  </r>
  <r>
    <x v="12"/>
    <x v="12"/>
    <d v="2022-08-21T00:00:00"/>
    <d v="2022-09-16T00:00:00"/>
    <n v="1"/>
    <n v="27"/>
    <s v="21-40"/>
    <x v="1"/>
    <x v="6"/>
    <x v="4"/>
    <x v="4"/>
    <n v="2"/>
    <n v="2"/>
    <n v="1.2"/>
    <x v="18"/>
    <n v="6"/>
    <n v="4"/>
    <n v="922609"/>
    <n v="294860"/>
    <n v="627749"/>
    <n v="69"/>
    <n v="59"/>
    <n v="12"/>
  </r>
  <r>
    <x v="5"/>
    <x v="5"/>
    <d v="2022-08-25T00:00:00"/>
    <d v="2022-09-19T00:00:00"/>
    <n v="1"/>
    <n v="51"/>
    <s v="41-60"/>
    <x v="0"/>
    <x v="0"/>
    <x v="0"/>
    <x v="4"/>
    <n v="2"/>
    <n v="2"/>
    <n v="2.8"/>
    <x v="14"/>
    <n v="3"/>
    <n v="7"/>
    <n v="515003"/>
    <n v="110165"/>
    <n v="404838"/>
    <n v="37"/>
    <n v="59"/>
    <n v="36.200000000000003"/>
  </r>
  <r>
    <x v="0"/>
    <x v="0"/>
    <d v="2022-08-28T00:00:00"/>
    <d v="2022-09-21T00:00:00"/>
    <n v="1"/>
    <n v="58"/>
    <s v="41-60"/>
    <x v="1"/>
    <x v="3"/>
    <x v="2"/>
    <x v="2"/>
    <n v="2"/>
    <n v="2"/>
    <n v="4.9000000000000004"/>
    <x v="0"/>
    <n v="4"/>
    <n v="5"/>
    <n v="866510"/>
    <n v="562600"/>
    <n v="303910"/>
    <n v="33"/>
    <n v="61"/>
    <n v="8.4"/>
  </r>
  <r>
    <x v="12"/>
    <x v="12"/>
    <d v="2022-09-15T00:00:00"/>
    <d v="2022-09-22T00:00:00"/>
    <n v="1"/>
    <n v="44"/>
    <s v="41-60"/>
    <x v="0"/>
    <x v="6"/>
    <x v="4"/>
    <x v="2"/>
    <n v="2"/>
    <n v="2"/>
    <n v="2.4"/>
    <x v="17"/>
    <n v="6"/>
    <n v="7"/>
    <n v="867184"/>
    <n v="334041"/>
    <n v="533143"/>
    <n v="75"/>
    <n v="60"/>
    <n v="7.9"/>
  </r>
  <r>
    <x v="7"/>
    <x v="7"/>
    <d v="2022-09-02T00:00:00"/>
    <d v="2022-09-23T00:00:00"/>
    <n v="1"/>
    <n v="60"/>
    <s v="41-60"/>
    <x v="1"/>
    <x v="8"/>
    <x v="6"/>
    <x v="2"/>
    <n v="2"/>
    <n v="2"/>
    <n v="2.5"/>
    <x v="20"/>
    <n v="3"/>
    <n v="3"/>
    <n v="785127"/>
    <n v="112552"/>
    <n v="672575"/>
    <n v="47"/>
    <n v="54"/>
    <n v="7.8"/>
  </r>
  <r>
    <x v="7"/>
    <x v="7"/>
    <d v="2022-09-17T00:00:00"/>
    <d v="2022-10-01T00:00:00"/>
    <n v="1"/>
    <n v="64"/>
    <s v="61-80"/>
    <x v="1"/>
    <x v="3"/>
    <x v="2"/>
    <x v="0"/>
    <n v="2"/>
    <n v="2"/>
    <n v="5.5"/>
    <x v="24"/>
    <n v="4"/>
    <n v="4"/>
    <n v="856120"/>
    <n v="268637"/>
    <n v="587483"/>
    <n v="46"/>
    <n v="64"/>
    <n v="8.5"/>
  </r>
  <r>
    <x v="13"/>
    <x v="13"/>
    <d v="2022-09-20T00:00:00"/>
    <d v="2022-10-02T00:00:00"/>
    <n v="1"/>
    <n v="87"/>
    <s v="81+"/>
    <x v="0"/>
    <x v="2"/>
    <x v="1"/>
    <x v="3"/>
    <n v="2"/>
    <n v="2"/>
    <n v="2.1"/>
    <x v="24"/>
    <n v="3"/>
    <n v="3"/>
    <n v="955215"/>
    <n v="436846"/>
    <n v="518369"/>
    <n v="43"/>
    <n v="64"/>
    <n v="13.9"/>
  </r>
  <r>
    <x v="9"/>
    <x v="9"/>
    <d v="2022-09-15T00:00:00"/>
    <d v="2022-10-03T00:00:00"/>
    <n v="1"/>
    <n v="43"/>
    <s v="41-60"/>
    <x v="0"/>
    <x v="5"/>
    <x v="0"/>
    <x v="4"/>
    <n v="2"/>
    <n v="2"/>
    <n v="3.6"/>
    <x v="26"/>
    <n v="3"/>
    <n v="6"/>
    <n v="915385"/>
    <n v="94854"/>
    <n v="820531"/>
    <n v="34"/>
    <n v="54"/>
    <n v="5.5"/>
  </r>
  <r>
    <x v="9"/>
    <x v="9"/>
    <d v="2022-09-29T00:00:00"/>
    <d v="2022-10-12T00:00:00"/>
    <n v="1"/>
    <n v="44"/>
    <s v="41-60"/>
    <x v="1"/>
    <x v="3"/>
    <x v="2"/>
    <x v="3"/>
    <n v="2"/>
    <n v="2"/>
    <n v="5"/>
    <x v="7"/>
    <n v="3"/>
    <n v="7"/>
    <n v="962268"/>
    <n v="80615"/>
    <n v="881653"/>
    <n v="30"/>
    <n v="61"/>
    <n v="12.7"/>
  </r>
  <r>
    <x v="5"/>
    <x v="5"/>
    <d v="2022-09-21T00:00:00"/>
    <d v="2022-10-14T00:00:00"/>
    <n v="1"/>
    <n v="35"/>
    <s v="21-40"/>
    <x v="1"/>
    <x v="2"/>
    <x v="1"/>
    <x v="4"/>
    <n v="2"/>
    <n v="2"/>
    <n v="6.5"/>
    <x v="30"/>
    <n v="5"/>
    <n v="3"/>
    <n v="547479"/>
    <n v="97056"/>
    <n v="450423"/>
    <n v="37"/>
    <n v="54"/>
    <n v="14"/>
  </r>
  <r>
    <x v="5"/>
    <x v="5"/>
    <d v="2022-10-04T00:00:00"/>
    <d v="2022-10-18T00:00:00"/>
    <n v="1"/>
    <n v="36"/>
    <s v="21-40"/>
    <x v="0"/>
    <x v="6"/>
    <x v="4"/>
    <x v="3"/>
    <n v="2"/>
    <n v="2"/>
    <n v="3.5"/>
    <x v="30"/>
    <n v="4"/>
    <n v="5"/>
    <n v="513516"/>
    <n v="50485"/>
    <n v="463031"/>
    <n v="36"/>
    <n v="54"/>
    <n v="14.7"/>
  </r>
  <r>
    <x v="0"/>
    <x v="0"/>
    <d v="2022-09-23T00:00:00"/>
    <d v="2022-10-19T00:00:00"/>
    <n v="1"/>
    <n v="25"/>
    <s v="21-40"/>
    <x v="1"/>
    <x v="3"/>
    <x v="2"/>
    <x v="3"/>
    <n v="2"/>
    <n v="2"/>
    <n v="2.1"/>
    <x v="24"/>
    <n v="5"/>
    <n v="5"/>
    <n v="878071"/>
    <n v="631781"/>
    <n v="246290"/>
    <n v="39"/>
    <n v="65"/>
    <n v="13.4"/>
  </r>
  <r>
    <x v="6"/>
    <x v="6"/>
    <d v="2022-10-06T00:00:00"/>
    <d v="2022-10-20T00:00:00"/>
    <n v="1"/>
    <n v="28"/>
    <s v="21-40"/>
    <x v="0"/>
    <x v="12"/>
    <x v="9"/>
    <x v="4"/>
    <n v="2"/>
    <n v="2"/>
    <n v="1.3"/>
    <x v="17"/>
    <n v="4"/>
    <n v="5"/>
    <n v="728625"/>
    <n v="140791"/>
    <n v="587834"/>
    <n v="34"/>
    <n v="55"/>
    <n v="36.200000000000003"/>
  </r>
  <r>
    <x v="2"/>
    <x v="2"/>
    <d v="2022-09-22T00:00:00"/>
    <d v="2022-10-22T00:00:00"/>
    <n v="1"/>
    <n v="43"/>
    <s v="41-60"/>
    <x v="1"/>
    <x v="6"/>
    <x v="4"/>
    <x v="1"/>
    <n v="2"/>
    <n v="2"/>
    <n v="6.1"/>
    <x v="6"/>
    <n v="4"/>
    <n v="6"/>
    <n v="913086"/>
    <n v="42312"/>
    <n v="870774"/>
    <n v="40"/>
    <n v="57"/>
    <n v="5"/>
  </r>
  <r>
    <x v="6"/>
    <x v="6"/>
    <d v="2022-10-06T00:00:00"/>
    <d v="2022-10-27T00:00:00"/>
    <n v="1"/>
    <n v="89"/>
    <s v="81+"/>
    <x v="1"/>
    <x v="4"/>
    <x v="3"/>
    <x v="0"/>
    <n v="2"/>
    <n v="2"/>
    <n v="1.5"/>
    <x v="2"/>
    <n v="7"/>
    <n v="4"/>
    <n v="799472"/>
    <n v="231971"/>
    <n v="567501"/>
    <n v="49"/>
    <n v="57"/>
    <n v="6.7"/>
  </r>
  <r>
    <x v="10"/>
    <x v="10"/>
    <d v="2022-10-17T00:00:00"/>
    <d v="2022-11-10T00:00:00"/>
    <n v="1"/>
    <n v="49"/>
    <s v="41-60"/>
    <x v="0"/>
    <x v="0"/>
    <x v="0"/>
    <x v="3"/>
    <n v="2"/>
    <n v="2"/>
    <n v="1.8"/>
    <x v="16"/>
    <n v="4"/>
    <n v="3"/>
    <n v="577839"/>
    <n v="231222"/>
    <n v="346617"/>
    <n v="20"/>
    <n v="60"/>
    <n v="13.3"/>
  </r>
  <r>
    <x v="9"/>
    <x v="9"/>
    <d v="2022-11-04T00:00:00"/>
    <d v="2022-11-10T00:00:00"/>
    <n v="1"/>
    <n v="67"/>
    <s v="61-80"/>
    <x v="1"/>
    <x v="6"/>
    <x v="4"/>
    <x v="2"/>
    <n v="2"/>
    <n v="2"/>
    <n v="6.7"/>
    <x v="28"/>
    <n v="7"/>
    <n v="6"/>
    <n v="984429"/>
    <n v="91650"/>
    <n v="892779"/>
    <n v="30"/>
    <n v="62"/>
    <n v="10.199999999999999"/>
  </r>
  <r>
    <x v="11"/>
    <x v="11"/>
    <d v="2022-10-31T00:00:00"/>
    <d v="2022-11-13T00:00:00"/>
    <n v="1"/>
    <n v="90"/>
    <s v="81+"/>
    <x v="0"/>
    <x v="12"/>
    <x v="9"/>
    <x v="2"/>
    <n v="2"/>
    <n v="2"/>
    <n v="1.4"/>
    <x v="26"/>
    <n v="3"/>
    <n v="3"/>
    <n v="714434"/>
    <n v="136379"/>
    <n v="578055"/>
    <n v="35"/>
    <n v="57"/>
    <n v="10.5"/>
  </r>
  <r>
    <x v="7"/>
    <x v="7"/>
    <d v="2022-12-04T00:00:00"/>
    <d v="2022-12-05T00:00:00"/>
    <n v="1"/>
    <n v="29"/>
    <s v="21-40"/>
    <x v="0"/>
    <x v="9"/>
    <x v="7"/>
    <x v="0"/>
    <n v="2"/>
    <n v="2"/>
    <n v="2.5"/>
    <x v="25"/>
    <n v="7"/>
    <n v="5"/>
    <n v="721091"/>
    <n v="186097"/>
    <n v="534994"/>
    <n v="33"/>
    <n v="61"/>
    <n v="36.9"/>
  </r>
  <r>
    <x v="12"/>
    <x v="12"/>
    <d v="2022-11-26T00:00:00"/>
    <d v="2022-12-08T00:00:00"/>
    <n v="1"/>
    <n v="70"/>
    <s v="61-80"/>
    <x v="1"/>
    <x v="3"/>
    <x v="2"/>
    <x v="2"/>
    <n v="2"/>
    <n v="2"/>
    <n v="5"/>
    <x v="24"/>
    <n v="3"/>
    <n v="3"/>
    <n v="968509"/>
    <n v="350165"/>
    <n v="618344"/>
    <n v="73"/>
    <n v="55"/>
    <n v="7.9"/>
  </r>
  <r>
    <x v="5"/>
    <x v="5"/>
    <d v="2022-12-01T00:00:00"/>
    <d v="2022-12-10T00:00:00"/>
    <n v="1"/>
    <n v="34"/>
    <s v="21-40"/>
    <x v="0"/>
    <x v="0"/>
    <x v="0"/>
    <x v="4"/>
    <n v="2"/>
    <n v="2"/>
    <n v="5.9"/>
    <x v="1"/>
    <n v="5"/>
    <n v="5"/>
    <n v="515793"/>
    <n v="128284"/>
    <n v="387509"/>
    <n v="38"/>
    <n v="66"/>
    <n v="12.8"/>
  </r>
  <r>
    <x v="6"/>
    <x v="6"/>
    <d v="2022-11-28T00:00:00"/>
    <d v="2022-12-13T00:00:00"/>
    <n v="1"/>
    <n v="25"/>
    <s v="21-40"/>
    <x v="0"/>
    <x v="0"/>
    <x v="0"/>
    <x v="2"/>
    <n v="2"/>
    <n v="2"/>
    <n v="6.4"/>
    <x v="10"/>
    <n v="3"/>
    <n v="3"/>
    <n v="707481"/>
    <n v="60016"/>
    <n v="647465"/>
    <n v="32"/>
    <n v="62"/>
    <n v="36.200000000000003"/>
  </r>
  <r>
    <x v="0"/>
    <x v="0"/>
    <d v="2022-11-19T00:00:00"/>
    <d v="2022-12-14T00:00:00"/>
    <n v="1"/>
    <n v="87"/>
    <s v="81+"/>
    <x v="0"/>
    <x v="0"/>
    <x v="0"/>
    <x v="1"/>
    <n v="2"/>
    <n v="2"/>
    <n v="6.7"/>
    <x v="4"/>
    <n v="5"/>
    <n v="3"/>
    <n v="919836"/>
    <n v="686755"/>
    <n v="233081"/>
    <n v="21"/>
    <n v="54"/>
    <n v="9.6"/>
  </r>
  <r>
    <x v="3"/>
    <x v="3"/>
    <d v="2022-12-04T00:00:00"/>
    <d v="2022-12-19T00:00:00"/>
    <n v="1"/>
    <n v="78"/>
    <s v="61-80"/>
    <x v="1"/>
    <x v="10"/>
    <x v="8"/>
    <x v="0"/>
    <n v="2"/>
    <n v="2"/>
    <n v="6.8"/>
    <x v="11"/>
    <n v="3"/>
    <n v="3"/>
    <n v="850791"/>
    <n v="161372"/>
    <n v="689419"/>
    <n v="67"/>
    <n v="60"/>
    <n v="12.7"/>
  </r>
  <r>
    <x v="4"/>
    <x v="4"/>
    <d v="2022-12-16T00:00:00"/>
    <d v="2022-12-20T00:00:00"/>
    <n v="1"/>
    <n v="43"/>
    <s v="41-60"/>
    <x v="1"/>
    <x v="8"/>
    <x v="6"/>
    <x v="0"/>
    <n v="2"/>
    <n v="2"/>
    <n v="1.3"/>
    <x v="0"/>
    <n v="4"/>
    <n v="7"/>
    <n v="835566"/>
    <n v="253691"/>
    <n v="581875"/>
    <n v="38"/>
    <n v="61"/>
    <n v="7.5"/>
  </r>
  <r>
    <x v="6"/>
    <x v="6"/>
    <d v="2022-12-22T00:00:00"/>
    <d v="2022-12-24T00:00:00"/>
    <n v="1"/>
    <n v="39"/>
    <s v="21-40"/>
    <x v="0"/>
    <x v="12"/>
    <x v="9"/>
    <x v="4"/>
    <n v="2"/>
    <n v="2"/>
    <n v="6.4"/>
    <x v="5"/>
    <n v="3"/>
    <n v="4"/>
    <n v="782464"/>
    <n v="188567"/>
    <n v="593897"/>
    <n v="47"/>
    <n v="58"/>
    <n v="9.1"/>
  </r>
  <r>
    <x v="7"/>
    <x v="7"/>
    <d v="2022-11-26T00:00:00"/>
    <d v="2022-12-25T00:00:00"/>
    <n v="1"/>
    <n v="37"/>
    <s v="21-40"/>
    <x v="0"/>
    <x v="9"/>
    <x v="7"/>
    <x v="3"/>
    <n v="2"/>
    <n v="2"/>
    <n v="4"/>
    <x v="26"/>
    <n v="6"/>
    <n v="3"/>
    <n v="766161"/>
    <n v="249223"/>
    <n v="516938"/>
    <n v="40"/>
    <n v="64"/>
    <n v="7.8"/>
  </r>
  <r>
    <x v="10"/>
    <x v="10"/>
    <d v="2022-11-29T00:00:00"/>
    <d v="2022-12-28T00:00:00"/>
    <n v="1"/>
    <n v="24"/>
    <s v="21-40"/>
    <x v="1"/>
    <x v="12"/>
    <x v="9"/>
    <x v="0"/>
    <n v="2"/>
    <n v="2"/>
    <n v="1.9"/>
    <x v="30"/>
    <n v="6"/>
    <n v="5"/>
    <n v="583544"/>
    <n v="244296"/>
    <n v="339248"/>
    <n v="23"/>
    <n v="65"/>
    <n v="8"/>
  </r>
  <r>
    <x v="12"/>
    <x v="12"/>
    <d v="2022-12-20T00:00:00"/>
    <d v="2022-12-30T00:00:00"/>
    <n v="1"/>
    <n v="67"/>
    <s v="61-80"/>
    <x v="0"/>
    <x v="5"/>
    <x v="0"/>
    <x v="2"/>
    <n v="2"/>
    <n v="2"/>
    <n v="4.9000000000000004"/>
    <x v="2"/>
    <n v="6"/>
    <n v="5"/>
    <n v="946176"/>
    <n v="259893"/>
    <n v="686283"/>
    <n v="51"/>
    <n v="64"/>
    <n v="13.7"/>
  </r>
  <r>
    <x v="7"/>
    <x v="7"/>
    <d v="2022-12-03T00:00:00"/>
    <d v="2023-01-02T00:00:00"/>
    <n v="1"/>
    <n v="43"/>
    <s v="41-60"/>
    <x v="1"/>
    <x v="13"/>
    <x v="10"/>
    <x v="3"/>
    <n v="2"/>
    <n v="2"/>
    <n v="6.4"/>
    <x v="30"/>
    <n v="4"/>
    <n v="3"/>
    <n v="741864"/>
    <n v="97114"/>
    <n v="644750"/>
    <n v="40"/>
    <n v="59"/>
    <n v="10.3"/>
  </r>
  <r>
    <x v="3"/>
    <x v="3"/>
    <d v="2022-12-06T00:00:00"/>
    <d v="2023-01-04T00:00:00"/>
    <n v="1"/>
    <n v="74"/>
    <s v="61-80"/>
    <x v="1"/>
    <x v="6"/>
    <x v="4"/>
    <x v="4"/>
    <n v="2"/>
    <n v="2"/>
    <n v="5.0999999999999996"/>
    <x v="3"/>
    <n v="4"/>
    <n v="6"/>
    <n v="943529"/>
    <n v="406579"/>
    <n v="536950"/>
    <n v="68"/>
    <n v="61"/>
    <n v="7.1"/>
  </r>
  <r>
    <x v="7"/>
    <x v="7"/>
    <d v="2023-01-06T00:00:00"/>
    <d v="2023-01-07T00:00:00"/>
    <n v="1"/>
    <n v="84"/>
    <s v="81+"/>
    <x v="0"/>
    <x v="5"/>
    <x v="0"/>
    <x v="0"/>
    <n v="2"/>
    <n v="2"/>
    <n v="4.0999999999999996"/>
    <x v="26"/>
    <n v="6"/>
    <n v="3"/>
    <n v="895225"/>
    <n v="367054"/>
    <n v="528171"/>
    <n v="44"/>
    <n v="54"/>
    <n v="12.1"/>
  </r>
  <r>
    <x v="0"/>
    <x v="0"/>
    <d v="2023-01-02T00:00:00"/>
    <d v="2023-01-11T00:00:00"/>
    <n v="1"/>
    <n v="81"/>
    <s v="81+"/>
    <x v="1"/>
    <x v="3"/>
    <x v="2"/>
    <x v="0"/>
    <n v="2"/>
    <n v="2"/>
    <n v="3.8"/>
    <x v="28"/>
    <n v="5"/>
    <n v="3"/>
    <n v="778194"/>
    <n v="507353"/>
    <n v="270841"/>
    <n v="37"/>
    <n v="66"/>
    <n v="13.5"/>
  </r>
  <r>
    <x v="2"/>
    <x v="2"/>
    <d v="2022-12-20T00:00:00"/>
    <d v="2023-01-12T00:00:00"/>
    <n v="1"/>
    <n v="22"/>
    <s v="21-40"/>
    <x v="1"/>
    <x v="3"/>
    <x v="2"/>
    <x v="4"/>
    <n v="2"/>
    <n v="2"/>
    <n v="5.8"/>
    <x v="15"/>
    <n v="7"/>
    <n v="7"/>
    <n v="902170"/>
    <n v="138527"/>
    <n v="763643"/>
    <n v="38"/>
    <n v="61"/>
    <n v="36"/>
  </r>
  <r>
    <x v="3"/>
    <x v="3"/>
    <d v="2022-12-31T00:00:00"/>
    <d v="2023-01-12T00:00:00"/>
    <n v="1"/>
    <n v="34"/>
    <s v="21-40"/>
    <x v="1"/>
    <x v="3"/>
    <x v="2"/>
    <x v="4"/>
    <n v="2"/>
    <n v="2"/>
    <n v="4.0999999999999996"/>
    <x v="17"/>
    <n v="5"/>
    <n v="6"/>
    <n v="853559"/>
    <n v="161633"/>
    <n v="691926"/>
    <n v="69"/>
    <n v="64"/>
    <n v="10.8"/>
  </r>
  <r>
    <x v="11"/>
    <x v="11"/>
    <d v="2023-01-06T00:00:00"/>
    <d v="2023-01-16T00:00:00"/>
    <n v="1"/>
    <n v="31"/>
    <s v="21-40"/>
    <x v="1"/>
    <x v="4"/>
    <x v="3"/>
    <x v="1"/>
    <n v="2"/>
    <n v="2"/>
    <n v="3.4"/>
    <x v="10"/>
    <n v="4"/>
    <n v="5"/>
    <n v="699693"/>
    <n v="261738"/>
    <n v="437955"/>
    <n v="24"/>
    <n v="65"/>
    <n v="9.1"/>
  </r>
  <r>
    <x v="3"/>
    <x v="3"/>
    <d v="2023-01-05T00:00:00"/>
    <d v="2023-01-19T00:00:00"/>
    <n v="1"/>
    <n v="23"/>
    <s v="21-40"/>
    <x v="1"/>
    <x v="13"/>
    <x v="10"/>
    <x v="2"/>
    <n v="2"/>
    <n v="2"/>
    <n v="1.6"/>
    <x v="14"/>
    <n v="5"/>
    <n v="7"/>
    <n v="802860"/>
    <n v="203645"/>
    <n v="599215"/>
    <n v="60"/>
    <n v="61"/>
    <n v="14.3"/>
  </r>
  <r>
    <x v="12"/>
    <x v="12"/>
    <d v="2022-12-30T00:00:00"/>
    <d v="2023-01-19T00:00:00"/>
    <n v="1"/>
    <n v="31"/>
    <s v="21-40"/>
    <x v="1"/>
    <x v="13"/>
    <x v="10"/>
    <x v="1"/>
    <n v="2"/>
    <n v="2"/>
    <n v="4.4000000000000004"/>
    <x v="6"/>
    <n v="3"/>
    <n v="3"/>
    <n v="957921"/>
    <n v="432141"/>
    <n v="525780"/>
    <n v="62"/>
    <n v="55"/>
    <n v="36.4"/>
  </r>
  <r>
    <x v="13"/>
    <x v="13"/>
    <d v="2022-12-27T00:00:00"/>
    <d v="2023-01-25T00:00:00"/>
    <n v="1"/>
    <n v="42"/>
    <s v="41-60"/>
    <x v="0"/>
    <x v="0"/>
    <x v="0"/>
    <x v="1"/>
    <n v="2"/>
    <n v="2"/>
    <n v="1.7"/>
    <x v="6"/>
    <n v="6"/>
    <n v="3"/>
    <n v="831066"/>
    <n v="140314"/>
    <n v="690752"/>
    <n v="43"/>
    <n v="66"/>
    <n v="14.4"/>
  </r>
  <r>
    <x v="0"/>
    <x v="0"/>
    <d v="2023-01-06T00:00:00"/>
    <d v="2023-01-25T00:00:00"/>
    <n v="1"/>
    <n v="47"/>
    <s v="41-60"/>
    <x v="0"/>
    <x v="7"/>
    <x v="5"/>
    <x v="2"/>
    <n v="2"/>
    <n v="2"/>
    <n v="4.7"/>
    <x v="19"/>
    <n v="7"/>
    <n v="3"/>
    <n v="662746"/>
    <n v="444658"/>
    <n v="218088"/>
    <n v="35"/>
    <n v="61"/>
    <n v="6.3"/>
  </r>
  <r>
    <x v="0"/>
    <x v="0"/>
    <d v="2023-01-07T00:00:00"/>
    <d v="2023-01-28T00:00:00"/>
    <n v="1"/>
    <n v="82"/>
    <s v="81+"/>
    <x v="0"/>
    <x v="0"/>
    <x v="0"/>
    <x v="3"/>
    <n v="2"/>
    <n v="2"/>
    <n v="3.7"/>
    <x v="0"/>
    <n v="3"/>
    <n v="5"/>
    <n v="991001"/>
    <n v="508813"/>
    <n v="482188"/>
    <n v="27"/>
    <n v="65"/>
    <n v="12.6"/>
  </r>
  <r>
    <x v="9"/>
    <x v="9"/>
    <d v="2023-01-14T00:00:00"/>
    <d v="2023-01-28T00:00:00"/>
    <n v="1"/>
    <n v="85"/>
    <s v="81+"/>
    <x v="0"/>
    <x v="7"/>
    <x v="5"/>
    <x v="4"/>
    <n v="2"/>
    <n v="2"/>
    <n v="5.2"/>
    <x v="26"/>
    <n v="7"/>
    <n v="3"/>
    <n v="923767"/>
    <n v="32036"/>
    <n v="891731"/>
    <n v="34"/>
    <n v="59"/>
    <n v="10.8"/>
  </r>
  <r>
    <x v="9"/>
    <x v="9"/>
    <d v="2023-01-03T00:00:00"/>
    <d v="2023-01-31T00:00:00"/>
    <n v="1"/>
    <n v="46"/>
    <s v="41-60"/>
    <x v="1"/>
    <x v="1"/>
    <x v="1"/>
    <x v="0"/>
    <n v="2"/>
    <n v="2"/>
    <n v="1.2"/>
    <x v="4"/>
    <n v="5"/>
    <n v="6"/>
    <n v="942672"/>
    <n v="51946"/>
    <n v="890726"/>
    <n v="38"/>
    <n v="55"/>
    <n v="6.2"/>
  </r>
  <r>
    <x v="13"/>
    <x v="13"/>
    <d v="2023-01-22T00:00:00"/>
    <d v="2023-02-02T00:00:00"/>
    <n v="1"/>
    <n v="27"/>
    <s v="21-40"/>
    <x v="1"/>
    <x v="3"/>
    <x v="2"/>
    <x v="0"/>
    <n v="2"/>
    <n v="2"/>
    <n v="3.4"/>
    <x v="3"/>
    <n v="6"/>
    <n v="5"/>
    <n v="892752"/>
    <n v="386145"/>
    <n v="506607"/>
    <n v="36"/>
    <n v="55"/>
    <n v="12.9"/>
  </r>
  <r>
    <x v="14"/>
    <x v="14"/>
    <d v="2023-01-18T00:00:00"/>
    <d v="2023-02-02T00:00:00"/>
    <n v="1"/>
    <n v="22"/>
    <s v="21-40"/>
    <x v="1"/>
    <x v="2"/>
    <x v="1"/>
    <x v="0"/>
    <n v="2"/>
    <n v="2"/>
    <n v="5.2"/>
    <x v="24"/>
    <n v="5"/>
    <n v="7"/>
    <n v="636378"/>
    <n v="129216"/>
    <n v="507162"/>
    <n v="25"/>
    <n v="64"/>
    <n v="5.4"/>
  </r>
  <r>
    <x v="10"/>
    <x v="10"/>
    <d v="2023-01-12T00:00:00"/>
    <d v="2023-02-03T00:00:00"/>
    <n v="1"/>
    <n v="43"/>
    <s v="41-60"/>
    <x v="1"/>
    <x v="1"/>
    <x v="1"/>
    <x v="1"/>
    <n v="2"/>
    <n v="2"/>
    <n v="4.5999999999999996"/>
    <x v="28"/>
    <n v="6"/>
    <n v="7"/>
    <n v="573163"/>
    <n v="262743"/>
    <n v="310420"/>
    <n v="17"/>
    <n v="55"/>
    <n v="14.9"/>
  </r>
  <r>
    <x v="7"/>
    <x v="7"/>
    <d v="2023-01-12T00:00:00"/>
    <d v="2023-02-03T00:00:00"/>
    <n v="1"/>
    <n v="75"/>
    <s v="61-80"/>
    <x v="1"/>
    <x v="10"/>
    <x v="8"/>
    <x v="1"/>
    <n v="2"/>
    <n v="2"/>
    <n v="4.7"/>
    <x v="23"/>
    <n v="3"/>
    <n v="4"/>
    <n v="769792"/>
    <n v="262035"/>
    <n v="507757"/>
    <n v="45"/>
    <n v="61"/>
    <n v="13.7"/>
  </r>
  <r>
    <x v="13"/>
    <x v="13"/>
    <d v="2023-01-27T00:00:00"/>
    <d v="2023-02-04T00:00:00"/>
    <n v="1"/>
    <n v="86"/>
    <s v="81+"/>
    <x v="1"/>
    <x v="8"/>
    <x v="6"/>
    <x v="2"/>
    <n v="2"/>
    <n v="2"/>
    <n v="1.1000000000000001"/>
    <x v="14"/>
    <n v="6"/>
    <n v="3"/>
    <n v="985408"/>
    <n v="427569"/>
    <n v="557839"/>
    <n v="52"/>
    <n v="62"/>
    <n v="13.6"/>
  </r>
  <r>
    <x v="12"/>
    <x v="12"/>
    <d v="2023-01-25T00:00:00"/>
    <d v="2023-02-06T00:00:00"/>
    <n v="1"/>
    <n v="46"/>
    <s v="41-60"/>
    <x v="1"/>
    <x v="4"/>
    <x v="3"/>
    <x v="0"/>
    <n v="2"/>
    <n v="2"/>
    <n v="3.9"/>
    <x v="24"/>
    <n v="4"/>
    <n v="4"/>
    <n v="998912"/>
    <n v="461138"/>
    <n v="537774"/>
    <n v="59"/>
    <n v="65"/>
    <n v="13.6"/>
  </r>
  <r>
    <x v="8"/>
    <x v="8"/>
    <d v="2023-02-04T00:00:00"/>
    <d v="2023-02-07T00:00:00"/>
    <n v="1"/>
    <n v="23"/>
    <s v="21-40"/>
    <x v="1"/>
    <x v="4"/>
    <x v="3"/>
    <x v="0"/>
    <n v="2"/>
    <n v="2"/>
    <n v="3.5"/>
    <x v="13"/>
    <n v="6"/>
    <n v="5"/>
    <n v="880083"/>
    <n v="377120"/>
    <n v="502963"/>
    <n v="55"/>
    <n v="64"/>
    <n v="9.3000000000000007"/>
  </r>
  <r>
    <x v="8"/>
    <x v="8"/>
    <d v="2023-01-30T00:00:00"/>
    <d v="2023-02-09T00:00:00"/>
    <n v="1"/>
    <n v="56"/>
    <s v="41-60"/>
    <x v="0"/>
    <x v="9"/>
    <x v="7"/>
    <x v="2"/>
    <n v="2"/>
    <n v="2"/>
    <n v="5.0999999999999996"/>
    <x v="14"/>
    <n v="5"/>
    <n v="3"/>
    <n v="681773"/>
    <n v="150908"/>
    <n v="530865"/>
    <n v="51"/>
    <n v="66"/>
    <n v="13.1"/>
  </r>
  <r>
    <x v="8"/>
    <x v="8"/>
    <d v="2023-02-01T00:00:00"/>
    <d v="2023-02-10T00:00:00"/>
    <n v="1"/>
    <n v="46"/>
    <s v="41-60"/>
    <x v="0"/>
    <x v="1"/>
    <x v="1"/>
    <x v="3"/>
    <n v="2"/>
    <n v="2"/>
    <n v="1.9"/>
    <x v="13"/>
    <n v="3"/>
    <n v="3"/>
    <n v="725360"/>
    <n v="137642"/>
    <n v="587718"/>
    <n v="45"/>
    <n v="60"/>
    <n v="5.6"/>
  </r>
  <r>
    <x v="9"/>
    <x v="9"/>
    <d v="2023-02-09T00:00:00"/>
    <d v="2023-02-11T00:00:00"/>
    <n v="1"/>
    <n v="79"/>
    <s v="61-80"/>
    <x v="0"/>
    <x v="5"/>
    <x v="0"/>
    <x v="1"/>
    <n v="2"/>
    <n v="2"/>
    <n v="3.3"/>
    <x v="3"/>
    <n v="4"/>
    <n v="7"/>
    <n v="986427"/>
    <n v="122110"/>
    <n v="864317"/>
    <n v="38"/>
    <n v="55"/>
    <n v="8.4"/>
  </r>
  <r>
    <x v="11"/>
    <x v="11"/>
    <d v="2023-01-28T00:00:00"/>
    <d v="2023-02-17T00:00:00"/>
    <n v="1"/>
    <n v="29"/>
    <s v="21-40"/>
    <x v="0"/>
    <x v="9"/>
    <x v="7"/>
    <x v="2"/>
    <n v="2"/>
    <n v="2"/>
    <n v="3.2"/>
    <x v="7"/>
    <n v="5"/>
    <n v="7"/>
    <n v="777152"/>
    <n v="260861"/>
    <n v="516291"/>
    <n v="24"/>
    <n v="54"/>
    <n v="6.9"/>
  </r>
  <r>
    <x v="2"/>
    <x v="2"/>
    <d v="2023-02-14T00:00:00"/>
    <d v="2023-02-21T00:00:00"/>
    <n v="1"/>
    <n v="39"/>
    <s v="21-40"/>
    <x v="0"/>
    <x v="0"/>
    <x v="0"/>
    <x v="1"/>
    <n v="2"/>
    <n v="2"/>
    <n v="1.6"/>
    <x v="8"/>
    <n v="5"/>
    <n v="3"/>
    <n v="926680"/>
    <n v="96833"/>
    <n v="829847"/>
    <n v="39"/>
    <n v="59"/>
    <n v="36.6"/>
  </r>
  <r>
    <x v="11"/>
    <x v="11"/>
    <d v="2023-01-30T00:00:00"/>
    <d v="2023-02-25T00:00:00"/>
    <n v="1"/>
    <n v="47"/>
    <s v="41-60"/>
    <x v="1"/>
    <x v="1"/>
    <x v="1"/>
    <x v="2"/>
    <n v="2"/>
    <n v="2"/>
    <n v="3.4"/>
    <x v="27"/>
    <n v="7"/>
    <n v="7"/>
    <n v="607332"/>
    <n v="110263"/>
    <n v="497069"/>
    <n v="33"/>
    <n v="56"/>
    <n v="9.6999999999999993"/>
  </r>
  <r>
    <x v="5"/>
    <x v="5"/>
    <d v="2023-02-15T00:00:00"/>
    <d v="2023-03-03T00:00:00"/>
    <n v="1"/>
    <n v="49"/>
    <s v="41-60"/>
    <x v="0"/>
    <x v="1"/>
    <x v="1"/>
    <x v="2"/>
    <n v="2"/>
    <n v="2"/>
    <n v="3.9"/>
    <x v="2"/>
    <n v="4"/>
    <n v="7"/>
    <n v="580736"/>
    <n v="187277"/>
    <n v="393459"/>
    <n v="35"/>
    <n v="59"/>
    <n v="12.1"/>
  </r>
  <r>
    <x v="4"/>
    <x v="4"/>
    <d v="2023-02-07T00:00:00"/>
    <d v="2023-03-04T00:00:00"/>
    <n v="1"/>
    <n v="43"/>
    <s v="41-60"/>
    <x v="0"/>
    <x v="5"/>
    <x v="0"/>
    <x v="2"/>
    <n v="2"/>
    <n v="2"/>
    <n v="3.7"/>
    <x v="25"/>
    <n v="5"/>
    <n v="4"/>
    <n v="606808"/>
    <n v="-23784"/>
    <n v="630592"/>
    <n v="31"/>
    <n v="62"/>
    <n v="8.5"/>
  </r>
  <r>
    <x v="5"/>
    <x v="5"/>
    <d v="2023-02-13T00:00:00"/>
    <d v="2023-03-11T00:00:00"/>
    <n v="1"/>
    <n v="51"/>
    <s v="41-60"/>
    <x v="1"/>
    <x v="11"/>
    <x v="8"/>
    <x v="4"/>
    <n v="2"/>
    <n v="2"/>
    <n v="6.2"/>
    <x v="0"/>
    <n v="4"/>
    <n v="4"/>
    <n v="538371"/>
    <n v="101740"/>
    <n v="436631"/>
    <n v="39"/>
    <n v="65"/>
    <n v="13.3"/>
  </r>
  <r>
    <x v="6"/>
    <x v="6"/>
    <d v="2023-02-22T00:00:00"/>
    <d v="2023-03-13T00:00:00"/>
    <n v="1"/>
    <n v="81"/>
    <s v="81+"/>
    <x v="0"/>
    <x v="1"/>
    <x v="1"/>
    <x v="4"/>
    <n v="2"/>
    <n v="2"/>
    <n v="3.1"/>
    <x v="29"/>
    <n v="6"/>
    <n v="6"/>
    <n v="724416"/>
    <n v="206881"/>
    <n v="517535"/>
    <n v="51"/>
    <n v="64"/>
    <n v="14.4"/>
  </r>
  <r>
    <x v="4"/>
    <x v="4"/>
    <d v="2023-02-15T00:00:00"/>
    <d v="2023-03-16T00:00:00"/>
    <n v="1"/>
    <n v="29"/>
    <s v="21-40"/>
    <x v="0"/>
    <x v="0"/>
    <x v="0"/>
    <x v="4"/>
    <n v="2"/>
    <n v="2"/>
    <n v="1.4"/>
    <x v="15"/>
    <n v="6"/>
    <n v="5"/>
    <n v="678393"/>
    <n v="79958"/>
    <n v="598435"/>
    <n v="36"/>
    <n v="64"/>
    <n v="8"/>
  </r>
  <r>
    <x v="0"/>
    <x v="0"/>
    <d v="2023-03-08T00:00:00"/>
    <d v="2023-03-17T00:00:00"/>
    <n v="1"/>
    <n v="49"/>
    <s v="41-60"/>
    <x v="1"/>
    <x v="7"/>
    <x v="5"/>
    <x v="1"/>
    <n v="2"/>
    <n v="2"/>
    <n v="4.0999999999999996"/>
    <x v="17"/>
    <n v="6"/>
    <n v="7"/>
    <n v="970103"/>
    <n v="659848"/>
    <n v="310255"/>
    <n v="30"/>
    <n v="61"/>
    <n v="12.7"/>
  </r>
  <r>
    <x v="0"/>
    <x v="0"/>
    <d v="2023-03-10T00:00:00"/>
    <d v="2023-03-17T00:00:00"/>
    <n v="1"/>
    <n v="65"/>
    <s v="61-80"/>
    <x v="1"/>
    <x v="11"/>
    <x v="8"/>
    <x v="1"/>
    <n v="2"/>
    <n v="2"/>
    <n v="1.6"/>
    <x v="8"/>
    <n v="6"/>
    <n v="3"/>
    <n v="825772"/>
    <n v="527056"/>
    <n v="298716"/>
    <n v="20"/>
    <n v="57"/>
    <n v="9.5"/>
  </r>
  <r>
    <x v="4"/>
    <x v="4"/>
    <d v="2023-02-27T00:00:00"/>
    <d v="2023-03-19T00:00:00"/>
    <n v="1"/>
    <n v="38"/>
    <s v="21-40"/>
    <x v="0"/>
    <x v="2"/>
    <x v="1"/>
    <x v="1"/>
    <n v="2"/>
    <n v="2"/>
    <n v="2.5"/>
    <x v="9"/>
    <n v="3"/>
    <n v="7"/>
    <n v="728510"/>
    <n v="197768"/>
    <n v="530742"/>
    <n v="34"/>
    <n v="60"/>
    <n v="8.1999999999999993"/>
  </r>
  <r>
    <x v="14"/>
    <x v="14"/>
    <d v="2023-03-01T00:00:00"/>
    <d v="2023-03-24T00:00:00"/>
    <n v="1"/>
    <n v="40"/>
    <s v="21-40"/>
    <x v="1"/>
    <x v="12"/>
    <x v="9"/>
    <x v="2"/>
    <n v="2"/>
    <n v="2"/>
    <n v="1.8"/>
    <x v="9"/>
    <n v="6"/>
    <n v="6"/>
    <n v="772478"/>
    <n v="198959"/>
    <n v="573519"/>
    <n v="22"/>
    <n v="60"/>
    <n v="12"/>
  </r>
  <r>
    <x v="3"/>
    <x v="3"/>
    <d v="2023-03-06T00:00:00"/>
    <d v="2023-03-29T00:00:00"/>
    <n v="1"/>
    <n v="23"/>
    <s v="21-40"/>
    <x v="0"/>
    <x v="5"/>
    <x v="0"/>
    <x v="4"/>
    <n v="2"/>
    <n v="2"/>
    <n v="1.9"/>
    <x v="2"/>
    <n v="5"/>
    <n v="3"/>
    <n v="949542"/>
    <n v="422152"/>
    <n v="527390"/>
    <n v="63"/>
    <n v="54"/>
    <n v="6.1"/>
  </r>
  <r>
    <x v="7"/>
    <x v="7"/>
    <d v="2023-03-11T00:00:00"/>
    <d v="2023-03-29T00:00:00"/>
    <n v="1"/>
    <n v="69"/>
    <s v="61-80"/>
    <x v="0"/>
    <x v="6"/>
    <x v="4"/>
    <x v="2"/>
    <n v="2"/>
    <n v="2"/>
    <n v="6.9"/>
    <x v="9"/>
    <n v="4"/>
    <n v="6"/>
    <n v="781074"/>
    <n v="120817"/>
    <n v="660257"/>
    <n v="45"/>
    <n v="59"/>
    <n v="8"/>
  </r>
  <r>
    <x v="3"/>
    <x v="3"/>
    <d v="2023-03-12T00:00:00"/>
    <d v="2023-04-04T00:00:00"/>
    <n v="1"/>
    <n v="38"/>
    <s v="21-40"/>
    <x v="0"/>
    <x v="14"/>
    <x v="11"/>
    <x v="1"/>
    <n v="2"/>
    <n v="2"/>
    <n v="1.4"/>
    <x v="12"/>
    <n v="6"/>
    <n v="5"/>
    <n v="971957"/>
    <n v="295872"/>
    <n v="676085"/>
    <n v="60"/>
    <n v="59"/>
    <n v="36.5"/>
  </r>
  <r>
    <x v="1"/>
    <x v="1"/>
    <d v="2023-04-07T00:00:00"/>
    <d v="2023-04-11T00:00:00"/>
    <n v="1"/>
    <n v="32"/>
    <s v="21-40"/>
    <x v="1"/>
    <x v="1"/>
    <x v="1"/>
    <x v="4"/>
    <n v="2"/>
    <n v="2"/>
    <n v="4.2"/>
    <x v="14"/>
    <n v="3"/>
    <n v="7"/>
    <n v="661764"/>
    <n v="282435"/>
    <n v="379329"/>
    <n v="35"/>
    <n v="65"/>
    <n v="7.8"/>
  </r>
  <r>
    <x v="9"/>
    <x v="9"/>
    <d v="2023-03-29T00:00:00"/>
    <d v="2023-04-16T00:00:00"/>
    <n v="1"/>
    <n v="66"/>
    <s v="61-80"/>
    <x v="0"/>
    <x v="12"/>
    <x v="9"/>
    <x v="2"/>
    <n v="2"/>
    <n v="2"/>
    <n v="1.3"/>
    <x v="2"/>
    <n v="6"/>
    <n v="3"/>
    <n v="990050"/>
    <n v="189566"/>
    <n v="800484"/>
    <n v="33"/>
    <n v="63"/>
    <n v="9.1"/>
  </r>
  <r>
    <x v="11"/>
    <x v="11"/>
    <d v="2023-04-10T00:00:00"/>
    <d v="2023-04-19T00:00:00"/>
    <n v="1"/>
    <n v="26"/>
    <s v="21-40"/>
    <x v="1"/>
    <x v="12"/>
    <x v="9"/>
    <x v="0"/>
    <n v="2"/>
    <n v="2"/>
    <n v="6.5"/>
    <x v="0"/>
    <n v="4"/>
    <n v="6"/>
    <n v="686296"/>
    <n v="184410"/>
    <n v="501886"/>
    <n v="21"/>
    <n v="62"/>
    <n v="5.6"/>
  </r>
  <r>
    <x v="8"/>
    <x v="8"/>
    <d v="2023-03-22T00:00:00"/>
    <d v="2023-04-21T00:00:00"/>
    <n v="1"/>
    <n v="44"/>
    <s v="41-60"/>
    <x v="0"/>
    <x v="4"/>
    <x v="3"/>
    <x v="4"/>
    <n v="2"/>
    <n v="2"/>
    <n v="4.0999999999999996"/>
    <x v="3"/>
    <n v="5"/>
    <n v="4"/>
    <n v="641816"/>
    <n v="97368"/>
    <n v="544448"/>
    <n v="58"/>
    <n v="58"/>
    <n v="14.4"/>
  </r>
  <r>
    <x v="7"/>
    <x v="7"/>
    <d v="2023-04-05T00:00:00"/>
    <d v="2023-04-23T00:00:00"/>
    <n v="1"/>
    <n v="85"/>
    <s v="81+"/>
    <x v="0"/>
    <x v="12"/>
    <x v="9"/>
    <x v="0"/>
    <n v="2"/>
    <n v="2"/>
    <n v="2"/>
    <x v="5"/>
    <n v="6"/>
    <n v="3"/>
    <n v="796007"/>
    <n v="241439"/>
    <n v="554568"/>
    <n v="45"/>
    <n v="58"/>
    <n v="8.6"/>
  </r>
  <r>
    <x v="14"/>
    <x v="14"/>
    <d v="2023-04-04T00:00:00"/>
    <d v="2023-04-26T00:00:00"/>
    <n v="1"/>
    <n v="38"/>
    <s v="21-40"/>
    <x v="1"/>
    <x v="10"/>
    <x v="8"/>
    <x v="0"/>
    <n v="2"/>
    <n v="2"/>
    <n v="3.2"/>
    <x v="29"/>
    <n v="4"/>
    <n v="5"/>
    <n v="763638"/>
    <n v="330205"/>
    <n v="433433"/>
    <n v="22"/>
    <n v="58"/>
    <n v="8.3000000000000007"/>
  </r>
  <r>
    <x v="5"/>
    <x v="5"/>
    <d v="2023-04-27T00:00:00"/>
    <d v="2023-05-03T00:00:00"/>
    <n v="1"/>
    <n v="37"/>
    <s v="21-40"/>
    <x v="1"/>
    <x v="13"/>
    <x v="10"/>
    <x v="4"/>
    <n v="2"/>
    <n v="2"/>
    <n v="1.6"/>
    <x v="3"/>
    <n v="6"/>
    <n v="4"/>
    <n v="567164"/>
    <n v="86473"/>
    <n v="480691"/>
    <n v="39"/>
    <n v="66"/>
    <n v="10.4"/>
  </r>
  <r>
    <x v="11"/>
    <x v="11"/>
    <d v="2023-04-22T00:00:00"/>
    <d v="2023-05-04T00:00:00"/>
    <n v="1"/>
    <n v="87"/>
    <s v="81+"/>
    <x v="1"/>
    <x v="4"/>
    <x v="3"/>
    <x v="4"/>
    <n v="2"/>
    <n v="2"/>
    <n v="3.9"/>
    <x v="28"/>
    <n v="6"/>
    <n v="4"/>
    <n v="714830"/>
    <n v="201442"/>
    <n v="513388"/>
    <n v="31"/>
    <n v="65"/>
    <n v="36.799999999999997"/>
  </r>
  <r>
    <x v="4"/>
    <x v="4"/>
    <d v="2023-04-14T00:00:00"/>
    <d v="2023-05-06T00:00:00"/>
    <n v="1"/>
    <n v="54"/>
    <s v="41-60"/>
    <x v="1"/>
    <x v="7"/>
    <x v="5"/>
    <x v="3"/>
    <n v="2"/>
    <n v="2"/>
    <n v="1.5"/>
    <x v="0"/>
    <n v="4"/>
    <n v="6"/>
    <n v="604898"/>
    <n v="102938"/>
    <n v="501960"/>
    <n v="30"/>
    <n v="58"/>
    <n v="9.4"/>
  </r>
  <r>
    <x v="3"/>
    <x v="3"/>
    <d v="2023-04-14T00:00:00"/>
    <d v="2023-05-06T00:00:00"/>
    <n v="1"/>
    <n v="76"/>
    <s v="61-80"/>
    <x v="0"/>
    <x v="2"/>
    <x v="1"/>
    <x v="3"/>
    <n v="2"/>
    <n v="2"/>
    <n v="2.5"/>
    <x v="12"/>
    <n v="6"/>
    <n v="4"/>
    <n v="978785"/>
    <n v="474690"/>
    <n v="504095"/>
    <n v="60"/>
    <n v="56"/>
    <n v="7.9"/>
  </r>
  <r>
    <x v="4"/>
    <x v="4"/>
    <d v="2023-04-24T00:00:00"/>
    <d v="2023-05-07T00:00:00"/>
    <n v="1"/>
    <n v="41"/>
    <s v="41-60"/>
    <x v="0"/>
    <x v="5"/>
    <x v="0"/>
    <x v="1"/>
    <n v="2"/>
    <n v="2"/>
    <n v="4.4000000000000004"/>
    <x v="17"/>
    <n v="4"/>
    <n v="4"/>
    <n v="809619"/>
    <n v="254270"/>
    <n v="555349"/>
    <n v="34"/>
    <n v="64"/>
    <n v="10.199999999999999"/>
  </r>
  <r>
    <x v="7"/>
    <x v="7"/>
    <d v="2023-04-22T00:00:00"/>
    <d v="2023-05-17T00:00:00"/>
    <n v="1"/>
    <n v="71"/>
    <s v="61-80"/>
    <x v="1"/>
    <x v="10"/>
    <x v="8"/>
    <x v="3"/>
    <n v="2"/>
    <n v="2"/>
    <n v="6.1"/>
    <x v="14"/>
    <n v="6"/>
    <n v="4"/>
    <n v="776490"/>
    <n v="276205"/>
    <n v="500285"/>
    <n v="30"/>
    <n v="59"/>
    <n v="10.1"/>
  </r>
  <r>
    <x v="3"/>
    <x v="3"/>
    <d v="2023-04-29T00:00:00"/>
    <d v="2023-05-19T00:00:00"/>
    <n v="1"/>
    <n v="46"/>
    <s v="41-60"/>
    <x v="0"/>
    <x v="7"/>
    <x v="5"/>
    <x v="1"/>
    <n v="2"/>
    <n v="2"/>
    <n v="6.3"/>
    <x v="4"/>
    <n v="7"/>
    <n v="4"/>
    <n v="944226"/>
    <n v="428864"/>
    <n v="515362"/>
    <n v="67"/>
    <n v="56"/>
    <n v="6.5"/>
  </r>
  <r>
    <x v="14"/>
    <x v="14"/>
    <d v="2023-05-18T00:00:00"/>
    <d v="2023-05-23T00:00:00"/>
    <n v="1"/>
    <n v="63"/>
    <s v="61-80"/>
    <x v="1"/>
    <x v="13"/>
    <x v="10"/>
    <x v="2"/>
    <n v="2"/>
    <n v="2"/>
    <n v="5"/>
    <x v="19"/>
    <n v="5"/>
    <n v="4"/>
    <n v="607870"/>
    <n v="160204"/>
    <n v="447666"/>
    <n v="29"/>
    <n v="57"/>
    <n v="12.5"/>
  </r>
  <r>
    <x v="0"/>
    <x v="0"/>
    <d v="2023-05-03T00:00:00"/>
    <d v="2023-05-31T00:00:00"/>
    <n v="1"/>
    <n v="33"/>
    <s v="21-40"/>
    <x v="1"/>
    <x v="12"/>
    <x v="9"/>
    <x v="2"/>
    <n v="2"/>
    <n v="2"/>
    <n v="6.8"/>
    <x v="17"/>
    <n v="4"/>
    <n v="5"/>
    <n v="735432"/>
    <n v="522644"/>
    <n v="212788"/>
    <n v="25"/>
    <n v="54"/>
    <n v="14.7"/>
  </r>
  <r>
    <x v="3"/>
    <x v="3"/>
    <d v="2023-05-10T00:00:00"/>
    <d v="2023-05-31T00:00:00"/>
    <n v="1"/>
    <n v="40"/>
    <s v="21-40"/>
    <x v="1"/>
    <x v="2"/>
    <x v="1"/>
    <x v="3"/>
    <n v="2"/>
    <n v="2"/>
    <n v="1.4"/>
    <x v="5"/>
    <n v="4"/>
    <n v="7"/>
    <n v="988138"/>
    <n v="313162"/>
    <n v="674976"/>
    <n v="67"/>
    <n v="64"/>
    <n v="10.9"/>
  </r>
  <r>
    <x v="11"/>
    <x v="11"/>
    <d v="2023-05-12T00:00:00"/>
    <d v="2023-06-03T00:00:00"/>
    <n v="1"/>
    <n v="63"/>
    <s v="61-80"/>
    <x v="1"/>
    <x v="7"/>
    <x v="5"/>
    <x v="1"/>
    <n v="2"/>
    <n v="2"/>
    <n v="4.4000000000000004"/>
    <x v="1"/>
    <n v="3"/>
    <n v="5"/>
    <n v="786975"/>
    <n v="382818"/>
    <n v="404157"/>
    <n v="35"/>
    <n v="63"/>
    <n v="7.4"/>
  </r>
  <r>
    <x v="10"/>
    <x v="10"/>
    <d v="2023-05-21T00:00:00"/>
    <d v="2023-06-08T00:00:00"/>
    <n v="1"/>
    <n v="79"/>
    <s v="61-80"/>
    <x v="0"/>
    <x v="0"/>
    <x v="0"/>
    <x v="2"/>
    <n v="2"/>
    <n v="2"/>
    <n v="2.2000000000000002"/>
    <x v="29"/>
    <n v="4"/>
    <n v="4"/>
    <n v="577094"/>
    <n v="253373"/>
    <n v="323721"/>
    <n v="21"/>
    <n v="63"/>
    <n v="12"/>
  </r>
  <r>
    <x v="6"/>
    <x v="6"/>
    <d v="2023-06-06T00:00:00"/>
    <d v="2023-06-13T00:00:00"/>
    <n v="1"/>
    <n v="23"/>
    <s v="21-40"/>
    <x v="1"/>
    <x v="3"/>
    <x v="2"/>
    <x v="4"/>
    <n v="2"/>
    <n v="2"/>
    <n v="3.9"/>
    <x v="28"/>
    <n v="7"/>
    <n v="3"/>
    <n v="745123"/>
    <n v="241434"/>
    <n v="503689"/>
    <n v="51"/>
    <n v="58"/>
    <n v="6.5"/>
  </r>
  <r>
    <x v="10"/>
    <x v="10"/>
    <d v="2023-05-27T00:00:00"/>
    <d v="2023-06-16T00:00:00"/>
    <n v="1"/>
    <n v="37"/>
    <s v="21-40"/>
    <x v="0"/>
    <x v="2"/>
    <x v="1"/>
    <x v="1"/>
    <n v="2"/>
    <n v="2"/>
    <n v="3.8"/>
    <x v="13"/>
    <n v="4"/>
    <n v="3"/>
    <n v="594409"/>
    <n v="271774"/>
    <n v="322635"/>
    <n v="25"/>
    <n v="59"/>
    <n v="14.8"/>
  </r>
  <r>
    <x v="10"/>
    <x v="10"/>
    <d v="2023-05-30T00:00:00"/>
    <d v="2023-06-17T00:00:00"/>
    <n v="1"/>
    <n v="51"/>
    <s v="41-60"/>
    <x v="0"/>
    <x v="0"/>
    <x v="0"/>
    <x v="4"/>
    <n v="2"/>
    <n v="2"/>
    <n v="5.5"/>
    <x v="4"/>
    <n v="3"/>
    <n v="3"/>
    <n v="539706"/>
    <n v="203103"/>
    <n v="336603"/>
    <n v="19"/>
    <n v="54"/>
    <n v="7.7"/>
  </r>
  <r>
    <x v="7"/>
    <x v="7"/>
    <d v="2023-05-31T00:00:00"/>
    <d v="2023-06-17T00:00:00"/>
    <n v="1"/>
    <n v="57"/>
    <s v="41-60"/>
    <x v="0"/>
    <x v="12"/>
    <x v="9"/>
    <x v="2"/>
    <n v="2"/>
    <n v="2"/>
    <n v="2.6"/>
    <x v="14"/>
    <n v="5"/>
    <n v="7"/>
    <n v="778048"/>
    <n v="129623"/>
    <n v="648425"/>
    <n v="43"/>
    <n v="62"/>
    <n v="6.5"/>
  </r>
  <r>
    <x v="5"/>
    <x v="5"/>
    <d v="2023-05-26T00:00:00"/>
    <d v="2023-06-19T00:00:00"/>
    <n v="1"/>
    <n v="37"/>
    <s v="21-40"/>
    <x v="1"/>
    <x v="9"/>
    <x v="7"/>
    <x v="4"/>
    <n v="2"/>
    <n v="2"/>
    <n v="2.8"/>
    <x v="9"/>
    <n v="3"/>
    <n v="4"/>
    <n v="515033"/>
    <n v="84897"/>
    <n v="430136"/>
    <n v="36"/>
    <n v="56"/>
    <n v="12.4"/>
  </r>
  <r>
    <x v="9"/>
    <x v="9"/>
    <d v="2023-06-06T00:00:00"/>
    <d v="2023-06-20T00:00:00"/>
    <n v="1"/>
    <n v="76"/>
    <s v="61-80"/>
    <x v="0"/>
    <x v="2"/>
    <x v="1"/>
    <x v="3"/>
    <n v="2"/>
    <n v="2"/>
    <n v="1.9"/>
    <x v="24"/>
    <n v="4"/>
    <n v="6"/>
    <n v="917345"/>
    <n v="107388"/>
    <n v="809957"/>
    <n v="40"/>
    <n v="58"/>
    <n v="10.199999999999999"/>
  </r>
  <r>
    <x v="7"/>
    <x v="7"/>
    <d v="2023-05-27T00:00:00"/>
    <d v="2023-06-21T00:00:00"/>
    <n v="1"/>
    <n v="29"/>
    <s v="21-40"/>
    <x v="1"/>
    <x v="6"/>
    <x v="4"/>
    <x v="1"/>
    <n v="2"/>
    <n v="2"/>
    <n v="3"/>
    <x v="9"/>
    <n v="7"/>
    <n v="7"/>
    <n v="877595"/>
    <n v="278078"/>
    <n v="599517"/>
    <n v="33"/>
    <n v="55"/>
    <n v="14.4"/>
  </r>
  <r>
    <x v="3"/>
    <x v="3"/>
    <d v="2023-06-16T00:00:00"/>
    <d v="2023-06-26T00:00:00"/>
    <n v="1"/>
    <n v="33"/>
    <s v="21-40"/>
    <x v="0"/>
    <x v="12"/>
    <x v="9"/>
    <x v="0"/>
    <n v="2"/>
    <n v="2"/>
    <n v="5.2"/>
    <x v="11"/>
    <n v="5"/>
    <n v="6"/>
    <n v="986320"/>
    <n v="435088"/>
    <n v="551232"/>
    <n v="66"/>
    <n v="55"/>
    <n v="8"/>
  </r>
  <r>
    <x v="4"/>
    <x v="4"/>
    <d v="2023-06-05T00:00:00"/>
    <d v="2023-06-27T00:00:00"/>
    <n v="1"/>
    <n v="71"/>
    <s v="61-80"/>
    <x v="0"/>
    <x v="4"/>
    <x v="3"/>
    <x v="4"/>
    <n v="2"/>
    <n v="2"/>
    <n v="4.2"/>
    <x v="27"/>
    <n v="5"/>
    <n v="6"/>
    <n v="813713"/>
    <n v="243020"/>
    <n v="570693"/>
    <n v="40"/>
    <n v="59"/>
    <n v="6.8"/>
  </r>
  <r>
    <x v="14"/>
    <x v="14"/>
    <d v="2023-06-02T00:00:00"/>
    <d v="2023-06-29T00:00:00"/>
    <n v="1"/>
    <n v="73"/>
    <s v="61-80"/>
    <x v="1"/>
    <x v="2"/>
    <x v="1"/>
    <x v="1"/>
    <n v="2"/>
    <n v="2"/>
    <n v="3.2"/>
    <x v="3"/>
    <n v="6"/>
    <n v="7"/>
    <n v="619204"/>
    <n v="163903"/>
    <n v="455301"/>
    <n v="30"/>
    <n v="55"/>
    <n v="9.6"/>
  </r>
  <r>
    <x v="7"/>
    <x v="7"/>
    <d v="2023-06-25T00:00:00"/>
    <d v="2023-06-30T00:00:00"/>
    <n v="1"/>
    <n v="27"/>
    <s v="21-40"/>
    <x v="1"/>
    <x v="2"/>
    <x v="1"/>
    <x v="2"/>
    <n v="2"/>
    <n v="2"/>
    <n v="6.9"/>
    <x v="19"/>
    <n v="3"/>
    <n v="6"/>
    <n v="894880"/>
    <n v="252512"/>
    <n v="642368"/>
    <n v="32"/>
    <n v="54"/>
    <n v="36.1"/>
  </r>
  <r>
    <x v="2"/>
    <x v="2"/>
    <d v="2023-06-19T00:00:00"/>
    <d v="2023-07-03T00:00:00"/>
    <n v="1"/>
    <n v="30"/>
    <s v="21-40"/>
    <x v="1"/>
    <x v="13"/>
    <x v="10"/>
    <x v="2"/>
    <n v="2"/>
    <n v="2"/>
    <n v="5.3"/>
    <x v="8"/>
    <n v="5"/>
    <n v="7"/>
    <n v="934638"/>
    <n v="219044"/>
    <n v="715594"/>
    <n v="37"/>
    <n v="62"/>
    <n v="7.4"/>
  </r>
  <r>
    <x v="7"/>
    <x v="7"/>
    <d v="2023-07-06T00:00:00"/>
    <d v="2023-07-08T00:00:00"/>
    <n v="1"/>
    <n v="80"/>
    <s v="61-80"/>
    <x v="1"/>
    <x v="4"/>
    <x v="3"/>
    <x v="3"/>
    <n v="2"/>
    <n v="2"/>
    <n v="4.5999999999999996"/>
    <x v="17"/>
    <n v="4"/>
    <n v="7"/>
    <n v="787246"/>
    <n v="181362"/>
    <n v="605884"/>
    <n v="30"/>
    <n v="55"/>
    <n v="9.1"/>
  </r>
  <r>
    <x v="10"/>
    <x v="10"/>
    <d v="2023-07-05T00:00:00"/>
    <d v="2023-07-10T00:00:00"/>
    <n v="1"/>
    <n v="66"/>
    <s v="61-80"/>
    <x v="1"/>
    <x v="3"/>
    <x v="2"/>
    <x v="2"/>
    <n v="2"/>
    <n v="2"/>
    <n v="6.3"/>
    <x v="8"/>
    <n v="4"/>
    <n v="4"/>
    <n v="545772"/>
    <n v="237108"/>
    <n v="308664"/>
    <n v="22"/>
    <n v="59"/>
    <n v="10.8"/>
  </r>
  <r>
    <x v="8"/>
    <x v="8"/>
    <d v="2023-07-06T00:00:00"/>
    <d v="2023-07-12T00:00:00"/>
    <n v="1"/>
    <n v="26"/>
    <s v="21-40"/>
    <x v="0"/>
    <x v="7"/>
    <x v="5"/>
    <x v="4"/>
    <n v="2"/>
    <n v="2"/>
    <n v="1.8"/>
    <x v="19"/>
    <n v="6"/>
    <n v="3"/>
    <n v="640898"/>
    <n v="111591"/>
    <n v="529307"/>
    <n v="45"/>
    <n v="54"/>
    <n v="9.6999999999999993"/>
  </r>
  <r>
    <x v="14"/>
    <x v="14"/>
    <d v="2023-06-15T00:00:00"/>
    <d v="2023-07-14T00:00:00"/>
    <n v="1"/>
    <n v="63"/>
    <s v="61-80"/>
    <x v="1"/>
    <x v="10"/>
    <x v="8"/>
    <x v="2"/>
    <n v="2"/>
    <n v="2"/>
    <n v="4.0999999999999996"/>
    <x v="21"/>
    <n v="7"/>
    <n v="6"/>
    <n v="773613"/>
    <n v="315152"/>
    <n v="458461"/>
    <n v="28"/>
    <n v="66"/>
    <n v="10"/>
  </r>
  <r>
    <x v="6"/>
    <x v="6"/>
    <d v="2023-06-21T00:00:00"/>
    <d v="2023-07-15T00:00:00"/>
    <n v="1"/>
    <n v="38"/>
    <s v="21-40"/>
    <x v="1"/>
    <x v="3"/>
    <x v="2"/>
    <x v="3"/>
    <n v="2"/>
    <n v="2"/>
    <n v="3.9"/>
    <x v="7"/>
    <n v="6"/>
    <n v="4"/>
    <n v="709613"/>
    <n v="100233"/>
    <n v="609380"/>
    <n v="31"/>
    <n v="66"/>
    <n v="7.4"/>
  </r>
  <r>
    <x v="10"/>
    <x v="10"/>
    <d v="2023-06-26T00:00:00"/>
    <d v="2023-07-18T00:00:00"/>
    <n v="1"/>
    <n v="75"/>
    <s v="61-80"/>
    <x v="0"/>
    <x v="0"/>
    <x v="0"/>
    <x v="1"/>
    <n v="2"/>
    <n v="2"/>
    <n v="5"/>
    <x v="25"/>
    <n v="3"/>
    <n v="5"/>
    <n v="534131"/>
    <n v="208812"/>
    <n v="325319"/>
    <n v="18"/>
    <n v="65"/>
    <n v="5.3"/>
  </r>
  <r>
    <x v="0"/>
    <x v="0"/>
    <d v="2023-07-17T00:00:00"/>
    <d v="2023-07-18T00:00:00"/>
    <n v="1"/>
    <n v="40"/>
    <s v="21-40"/>
    <x v="0"/>
    <x v="7"/>
    <x v="5"/>
    <x v="1"/>
    <n v="2"/>
    <n v="2"/>
    <n v="1.4"/>
    <x v="9"/>
    <n v="3"/>
    <n v="6"/>
    <n v="930897"/>
    <n v="465998"/>
    <n v="464899"/>
    <n v="24"/>
    <n v="62"/>
    <n v="7.9"/>
  </r>
  <r>
    <x v="9"/>
    <x v="9"/>
    <d v="2023-07-04T00:00:00"/>
    <d v="2023-07-25T00:00:00"/>
    <n v="1"/>
    <n v="78"/>
    <s v="61-80"/>
    <x v="1"/>
    <x v="6"/>
    <x v="4"/>
    <x v="2"/>
    <n v="2"/>
    <n v="2"/>
    <n v="2.8"/>
    <x v="29"/>
    <n v="6"/>
    <n v="7"/>
    <n v="915432"/>
    <n v="70174"/>
    <n v="845258"/>
    <n v="36"/>
    <n v="64"/>
    <n v="36"/>
  </r>
  <r>
    <x v="8"/>
    <x v="8"/>
    <d v="2023-07-12T00:00:00"/>
    <d v="2023-07-27T00:00:00"/>
    <n v="1"/>
    <n v="41"/>
    <s v="41-60"/>
    <x v="1"/>
    <x v="6"/>
    <x v="4"/>
    <x v="3"/>
    <n v="2"/>
    <n v="2"/>
    <n v="6.1"/>
    <x v="29"/>
    <n v="4"/>
    <n v="4"/>
    <n v="725741"/>
    <n v="154703"/>
    <n v="571038"/>
    <n v="54"/>
    <n v="61"/>
    <n v="5.9"/>
  </r>
  <r>
    <x v="5"/>
    <x v="5"/>
    <d v="2023-07-27T00:00:00"/>
    <d v="2023-07-28T00:00:00"/>
    <n v="1"/>
    <n v="37"/>
    <s v="21-40"/>
    <x v="1"/>
    <x v="1"/>
    <x v="1"/>
    <x v="0"/>
    <n v="2"/>
    <n v="2"/>
    <n v="2.1"/>
    <x v="7"/>
    <n v="6"/>
    <n v="7"/>
    <n v="553662"/>
    <n v="64644"/>
    <n v="489018"/>
    <n v="40"/>
    <n v="54"/>
    <n v="5.2"/>
  </r>
  <r>
    <x v="14"/>
    <x v="14"/>
    <d v="2023-07-15T00:00:00"/>
    <d v="2023-07-29T00:00:00"/>
    <n v="1"/>
    <n v="38"/>
    <s v="21-40"/>
    <x v="1"/>
    <x v="3"/>
    <x v="2"/>
    <x v="2"/>
    <n v="2"/>
    <n v="2"/>
    <n v="3.4"/>
    <x v="16"/>
    <n v="5"/>
    <n v="6"/>
    <n v="740062"/>
    <n v="183417"/>
    <n v="556645"/>
    <n v="29"/>
    <n v="54"/>
    <n v="13.5"/>
  </r>
  <r>
    <x v="9"/>
    <x v="9"/>
    <d v="2023-07-18T00:00:00"/>
    <d v="2023-08-03T00:00:00"/>
    <n v="1"/>
    <n v="25"/>
    <s v="21-40"/>
    <x v="1"/>
    <x v="12"/>
    <x v="9"/>
    <x v="1"/>
    <n v="2"/>
    <n v="2"/>
    <n v="1.7"/>
    <x v="0"/>
    <n v="4"/>
    <n v="4"/>
    <n v="931528"/>
    <n v="68674"/>
    <n v="862854"/>
    <n v="40"/>
    <n v="65"/>
    <n v="7.7"/>
  </r>
  <r>
    <x v="12"/>
    <x v="12"/>
    <d v="2023-08-11T00:00:00"/>
    <d v="2023-08-14T00:00:00"/>
    <n v="1"/>
    <n v="27"/>
    <s v="21-40"/>
    <x v="1"/>
    <x v="10"/>
    <x v="8"/>
    <x v="2"/>
    <n v="2"/>
    <n v="2"/>
    <n v="2.6"/>
    <x v="10"/>
    <n v="3"/>
    <n v="6"/>
    <n v="943488"/>
    <n v="356627"/>
    <n v="586861"/>
    <n v="61"/>
    <n v="58"/>
    <n v="6.6"/>
  </r>
  <r>
    <x v="7"/>
    <x v="7"/>
    <d v="2023-08-12T00:00:00"/>
    <d v="2023-08-16T00:00:00"/>
    <n v="1"/>
    <n v="23"/>
    <s v="21-40"/>
    <x v="1"/>
    <x v="6"/>
    <x v="4"/>
    <x v="0"/>
    <n v="2"/>
    <n v="2"/>
    <n v="3.7"/>
    <x v="20"/>
    <n v="7"/>
    <n v="6"/>
    <n v="826524"/>
    <n v="183114"/>
    <n v="643410"/>
    <n v="45"/>
    <n v="64"/>
    <n v="7"/>
  </r>
  <r>
    <x v="9"/>
    <x v="9"/>
    <d v="2023-07-27T00:00:00"/>
    <d v="2023-08-18T00:00:00"/>
    <n v="1"/>
    <n v="48"/>
    <s v="41-60"/>
    <x v="0"/>
    <x v="0"/>
    <x v="0"/>
    <x v="4"/>
    <n v="2"/>
    <n v="2"/>
    <n v="3.1"/>
    <x v="20"/>
    <n v="4"/>
    <n v="7"/>
    <n v="927657"/>
    <n v="125222"/>
    <n v="802435"/>
    <n v="31"/>
    <n v="54"/>
    <n v="14.6"/>
  </r>
  <r>
    <x v="8"/>
    <x v="8"/>
    <d v="2023-08-10T00:00:00"/>
    <d v="2023-08-21T00:00:00"/>
    <n v="1"/>
    <n v="25"/>
    <s v="21-40"/>
    <x v="0"/>
    <x v="12"/>
    <x v="9"/>
    <x v="0"/>
    <n v="2"/>
    <n v="2"/>
    <n v="2.7"/>
    <x v="8"/>
    <n v="6"/>
    <n v="6"/>
    <n v="725572"/>
    <n v="204825"/>
    <n v="520747"/>
    <n v="43"/>
    <n v="65"/>
    <n v="7.3"/>
  </r>
  <r>
    <x v="5"/>
    <x v="5"/>
    <d v="2023-08-01T00:00:00"/>
    <d v="2023-08-22T00:00:00"/>
    <n v="1"/>
    <n v="82"/>
    <s v="81+"/>
    <x v="1"/>
    <x v="4"/>
    <x v="3"/>
    <x v="3"/>
    <n v="2"/>
    <n v="2"/>
    <n v="5.7"/>
    <x v="23"/>
    <n v="4"/>
    <n v="7"/>
    <n v="568676"/>
    <n v="186880"/>
    <n v="381796"/>
    <n v="40"/>
    <n v="66"/>
    <n v="9.4"/>
  </r>
  <r>
    <x v="3"/>
    <x v="3"/>
    <d v="2023-08-14T00:00:00"/>
    <d v="2023-08-24T00:00:00"/>
    <n v="1"/>
    <n v="32"/>
    <s v="21-40"/>
    <x v="1"/>
    <x v="11"/>
    <x v="8"/>
    <x v="4"/>
    <n v="2"/>
    <n v="2"/>
    <n v="3.8"/>
    <x v="10"/>
    <n v="4"/>
    <n v="3"/>
    <n v="930147"/>
    <n v="404505"/>
    <n v="525642"/>
    <n v="65"/>
    <n v="61"/>
    <n v="5.3"/>
  </r>
  <r>
    <x v="9"/>
    <x v="9"/>
    <d v="2023-07-31T00:00:00"/>
    <d v="2023-08-28T00:00:00"/>
    <n v="1"/>
    <n v="45"/>
    <s v="41-60"/>
    <x v="1"/>
    <x v="4"/>
    <x v="3"/>
    <x v="3"/>
    <n v="2"/>
    <n v="2"/>
    <n v="3.8"/>
    <x v="24"/>
    <n v="5"/>
    <n v="6"/>
    <n v="979941"/>
    <n v="123735"/>
    <n v="856206"/>
    <n v="33"/>
    <n v="59"/>
    <n v="13.2"/>
  </r>
  <r>
    <x v="6"/>
    <x v="6"/>
    <d v="2023-08-07T00:00:00"/>
    <d v="2023-08-31T00:00:00"/>
    <n v="1"/>
    <n v="31"/>
    <s v="21-40"/>
    <x v="0"/>
    <x v="0"/>
    <x v="0"/>
    <x v="0"/>
    <n v="2"/>
    <n v="2"/>
    <n v="1.8"/>
    <x v="8"/>
    <n v="6"/>
    <n v="7"/>
    <n v="709641"/>
    <n v="165273"/>
    <n v="544368"/>
    <n v="30"/>
    <n v="65"/>
    <n v="8.1999999999999993"/>
  </r>
  <r>
    <x v="8"/>
    <x v="8"/>
    <d v="2023-08-20T00:00:00"/>
    <d v="2023-09-01T00:00:00"/>
    <n v="1"/>
    <n v="73"/>
    <s v="61-80"/>
    <x v="0"/>
    <x v="1"/>
    <x v="1"/>
    <x v="1"/>
    <n v="2"/>
    <n v="2"/>
    <n v="3.8"/>
    <x v="8"/>
    <n v="7"/>
    <n v="6"/>
    <n v="698004"/>
    <n v="138599"/>
    <n v="559405"/>
    <n v="55"/>
    <n v="55"/>
    <n v="14"/>
  </r>
  <r>
    <x v="11"/>
    <x v="11"/>
    <d v="2023-08-10T00:00:00"/>
    <d v="2023-09-03T00:00:00"/>
    <n v="1"/>
    <n v="77"/>
    <s v="61-80"/>
    <x v="0"/>
    <x v="0"/>
    <x v="0"/>
    <x v="3"/>
    <n v="2"/>
    <n v="2"/>
    <n v="6"/>
    <x v="17"/>
    <n v="3"/>
    <n v="6"/>
    <n v="750687"/>
    <n v="214184"/>
    <n v="536503"/>
    <n v="30"/>
    <n v="65"/>
    <n v="14.4"/>
  </r>
  <r>
    <x v="1"/>
    <x v="1"/>
    <d v="2023-08-23T00:00:00"/>
    <d v="2023-09-04T00:00:00"/>
    <n v="1"/>
    <n v="37"/>
    <s v="21-40"/>
    <x v="0"/>
    <x v="13"/>
    <x v="10"/>
    <x v="3"/>
    <n v="2"/>
    <n v="2"/>
    <n v="1.8"/>
    <x v="3"/>
    <n v="5"/>
    <n v="6"/>
    <n v="553461"/>
    <n v="167273"/>
    <n v="386188"/>
    <n v="44"/>
    <n v="56"/>
    <n v="7.3"/>
  </r>
  <r>
    <x v="14"/>
    <x v="14"/>
    <d v="2023-08-21T00:00:00"/>
    <d v="2023-09-07T00:00:00"/>
    <n v="1"/>
    <n v="73"/>
    <s v="61-80"/>
    <x v="1"/>
    <x v="2"/>
    <x v="1"/>
    <x v="1"/>
    <n v="2"/>
    <n v="2"/>
    <n v="3"/>
    <x v="11"/>
    <n v="4"/>
    <n v="6"/>
    <n v="612422"/>
    <n v="33609"/>
    <n v="578813"/>
    <n v="27"/>
    <n v="56"/>
    <n v="13.6"/>
  </r>
  <r>
    <x v="3"/>
    <x v="3"/>
    <d v="2023-08-16T00:00:00"/>
    <d v="2023-09-07T00:00:00"/>
    <n v="1"/>
    <n v="90"/>
    <s v="81+"/>
    <x v="1"/>
    <x v="8"/>
    <x v="6"/>
    <x v="1"/>
    <n v="2"/>
    <n v="2"/>
    <n v="2"/>
    <x v="11"/>
    <n v="5"/>
    <n v="3"/>
    <n v="915397"/>
    <n v="371752"/>
    <n v="543645"/>
    <n v="63"/>
    <n v="62"/>
    <n v="10.8"/>
  </r>
  <r>
    <x v="6"/>
    <x v="6"/>
    <d v="2023-09-03T00:00:00"/>
    <d v="2023-09-08T00:00:00"/>
    <n v="1"/>
    <n v="30"/>
    <s v="21-40"/>
    <x v="1"/>
    <x v="4"/>
    <x v="3"/>
    <x v="4"/>
    <n v="2"/>
    <n v="2"/>
    <n v="2.5"/>
    <x v="16"/>
    <n v="6"/>
    <n v="6"/>
    <n v="781675"/>
    <n v="117939"/>
    <n v="663736"/>
    <n v="55"/>
    <n v="61"/>
    <n v="10.8"/>
  </r>
  <r>
    <x v="3"/>
    <x v="3"/>
    <d v="2023-09-06T00:00:00"/>
    <d v="2023-09-08T00:00:00"/>
    <n v="1"/>
    <n v="24"/>
    <s v="21-40"/>
    <x v="0"/>
    <x v="0"/>
    <x v="0"/>
    <x v="3"/>
    <n v="2"/>
    <n v="2"/>
    <n v="2.7"/>
    <x v="28"/>
    <n v="5"/>
    <n v="6"/>
    <n v="801483"/>
    <n v="167668"/>
    <n v="633815"/>
    <n v="58"/>
    <n v="64"/>
    <n v="12.6"/>
  </r>
  <r>
    <x v="7"/>
    <x v="7"/>
    <d v="2023-09-09T00:00:00"/>
    <d v="2023-09-10T00:00:00"/>
    <n v="1"/>
    <n v="45"/>
    <s v="41-60"/>
    <x v="1"/>
    <x v="10"/>
    <x v="8"/>
    <x v="4"/>
    <n v="2"/>
    <n v="2"/>
    <n v="5.0999999999999996"/>
    <x v="9"/>
    <n v="7"/>
    <n v="4"/>
    <n v="790709"/>
    <n v="96716"/>
    <n v="693993"/>
    <n v="30"/>
    <n v="64"/>
    <n v="9.1"/>
  </r>
  <r>
    <x v="4"/>
    <x v="4"/>
    <d v="2023-09-03T00:00:00"/>
    <d v="2023-09-13T00:00:00"/>
    <n v="1"/>
    <n v="88"/>
    <s v="81+"/>
    <x v="0"/>
    <x v="0"/>
    <x v="0"/>
    <x v="0"/>
    <n v="2"/>
    <n v="2"/>
    <n v="5.7"/>
    <x v="25"/>
    <n v="6"/>
    <n v="6"/>
    <n v="600482"/>
    <n v="-20465"/>
    <n v="620947"/>
    <n v="38"/>
    <n v="65"/>
    <n v="13.2"/>
  </r>
  <r>
    <x v="2"/>
    <x v="2"/>
    <d v="2023-09-06T00:00:00"/>
    <d v="2023-09-16T00:00:00"/>
    <n v="1"/>
    <n v="73"/>
    <s v="61-80"/>
    <x v="1"/>
    <x v="3"/>
    <x v="2"/>
    <x v="1"/>
    <n v="2"/>
    <n v="2"/>
    <n v="3.4"/>
    <x v="24"/>
    <n v="4"/>
    <n v="4"/>
    <n v="992412"/>
    <n v="339050"/>
    <n v="653362"/>
    <n v="33"/>
    <n v="64"/>
    <n v="7.4"/>
  </r>
  <r>
    <x v="11"/>
    <x v="11"/>
    <d v="2023-08-24T00:00:00"/>
    <d v="2023-09-19T00:00:00"/>
    <n v="1"/>
    <n v="27"/>
    <s v="21-40"/>
    <x v="0"/>
    <x v="9"/>
    <x v="7"/>
    <x v="0"/>
    <n v="2"/>
    <n v="2"/>
    <n v="3.8"/>
    <x v="28"/>
    <n v="3"/>
    <n v="4"/>
    <n v="706689"/>
    <n v="223117"/>
    <n v="483572"/>
    <n v="30"/>
    <n v="66"/>
    <n v="14.5"/>
  </r>
  <r>
    <x v="6"/>
    <x v="6"/>
    <d v="2023-09-14T00:00:00"/>
    <d v="2023-09-19T00:00:00"/>
    <n v="1"/>
    <n v="74"/>
    <s v="61-80"/>
    <x v="0"/>
    <x v="7"/>
    <x v="5"/>
    <x v="1"/>
    <n v="2"/>
    <n v="2"/>
    <n v="5.4"/>
    <x v="12"/>
    <n v="3"/>
    <n v="6"/>
    <n v="731572"/>
    <n v="110906"/>
    <n v="620666"/>
    <n v="41"/>
    <n v="55"/>
    <n v="6.9"/>
  </r>
  <r>
    <x v="2"/>
    <x v="2"/>
    <d v="2023-09-07T00:00:00"/>
    <d v="2023-09-26T00:00:00"/>
    <n v="1"/>
    <n v="26"/>
    <s v="21-40"/>
    <x v="0"/>
    <x v="0"/>
    <x v="0"/>
    <x v="0"/>
    <n v="2"/>
    <n v="2"/>
    <n v="6.7"/>
    <x v="3"/>
    <n v="3"/>
    <n v="7"/>
    <n v="910463"/>
    <n v="224507"/>
    <n v="685956"/>
    <n v="30"/>
    <n v="62"/>
    <n v="12.8"/>
  </r>
  <r>
    <x v="0"/>
    <x v="0"/>
    <d v="2023-08-31T00:00:00"/>
    <d v="2023-09-26T00:00:00"/>
    <n v="1"/>
    <n v="38"/>
    <s v="21-40"/>
    <x v="1"/>
    <x v="2"/>
    <x v="1"/>
    <x v="2"/>
    <n v="2"/>
    <n v="2"/>
    <n v="4.0999999999999996"/>
    <x v="7"/>
    <n v="7"/>
    <n v="3"/>
    <n v="785715"/>
    <n v="564641"/>
    <n v="221074"/>
    <n v="34"/>
    <n v="64"/>
    <n v="9.4"/>
  </r>
  <r>
    <x v="3"/>
    <x v="3"/>
    <d v="2023-09-25T00:00:00"/>
    <d v="2023-09-26T00:00:00"/>
    <n v="1"/>
    <n v="28"/>
    <s v="21-40"/>
    <x v="1"/>
    <x v="4"/>
    <x v="3"/>
    <x v="1"/>
    <n v="2"/>
    <n v="2"/>
    <n v="4"/>
    <x v="18"/>
    <n v="6"/>
    <n v="6"/>
    <n v="884921"/>
    <n v="185560"/>
    <n v="699361"/>
    <n v="50"/>
    <n v="57"/>
    <n v="6"/>
  </r>
  <r>
    <x v="5"/>
    <x v="5"/>
    <d v="2023-09-26T00:00:00"/>
    <d v="2023-09-27T00:00:00"/>
    <n v="1"/>
    <n v="75"/>
    <s v="61-80"/>
    <x v="0"/>
    <x v="0"/>
    <x v="0"/>
    <x v="0"/>
    <n v="2"/>
    <n v="2"/>
    <n v="3.1"/>
    <x v="17"/>
    <n v="4"/>
    <n v="4"/>
    <n v="575406"/>
    <n v="138349"/>
    <n v="437057"/>
    <n v="38"/>
    <n v="58"/>
    <n v="5.0999999999999996"/>
  </r>
  <r>
    <x v="10"/>
    <x v="10"/>
    <d v="2023-09-10T00:00:00"/>
    <d v="2023-09-30T00:00:00"/>
    <n v="1"/>
    <n v="23"/>
    <s v="21-40"/>
    <x v="1"/>
    <x v="3"/>
    <x v="2"/>
    <x v="3"/>
    <n v="2"/>
    <n v="2"/>
    <n v="1.8"/>
    <x v="14"/>
    <n v="5"/>
    <n v="7"/>
    <n v="571461"/>
    <n v="245869"/>
    <n v="325592"/>
    <n v="21"/>
    <n v="62"/>
    <n v="6.3"/>
  </r>
  <r>
    <x v="14"/>
    <x v="14"/>
    <d v="2023-09-21T00:00:00"/>
    <d v="2023-10-01T00:00:00"/>
    <n v="1"/>
    <n v="70"/>
    <s v="61-80"/>
    <x v="0"/>
    <x v="1"/>
    <x v="1"/>
    <x v="0"/>
    <n v="2"/>
    <n v="2"/>
    <n v="2"/>
    <x v="9"/>
    <n v="6"/>
    <n v="4"/>
    <n v="720904"/>
    <n v="287830"/>
    <n v="433074"/>
    <n v="27"/>
    <n v="66"/>
    <n v="12.7"/>
  </r>
  <r>
    <x v="12"/>
    <x v="12"/>
    <d v="2023-09-21T00:00:00"/>
    <d v="2023-10-06T00:00:00"/>
    <n v="1"/>
    <n v="33"/>
    <s v="21-40"/>
    <x v="1"/>
    <x v="1"/>
    <x v="1"/>
    <x v="0"/>
    <n v="2"/>
    <n v="2"/>
    <n v="3.1"/>
    <x v="29"/>
    <n v="5"/>
    <n v="6"/>
    <n v="823036"/>
    <n v="155744"/>
    <n v="667292"/>
    <n v="53"/>
    <n v="66"/>
    <n v="6"/>
  </r>
  <r>
    <x v="5"/>
    <x v="5"/>
    <d v="2023-09-19T00:00:00"/>
    <d v="2023-10-11T00:00:00"/>
    <n v="1"/>
    <n v="36"/>
    <s v="21-40"/>
    <x v="1"/>
    <x v="10"/>
    <x v="8"/>
    <x v="3"/>
    <n v="2"/>
    <n v="2"/>
    <n v="1.9"/>
    <x v="10"/>
    <n v="6"/>
    <n v="6"/>
    <n v="534197"/>
    <n v="48143"/>
    <n v="486054"/>
    <n v="37"/>
    <n v="65"/>
    <n v="5.2"/>
  </r>
  <r>
    <x v="12"/>
    <x v="12"/>
    <d v="2023-10-03T00:00:00"/>
    <d v="2023-10-12T00:00:00"/>
    <n v="1"/>
    <n v="68"/>
    <s v="61-80"/>
    <x v="0"/>
    <x v="12"/>
    <x v="9"/>
    <x v="3"/>
    <n v="2"/>
    <n v="2"/>
    <n v="1.2"/>
    <x v="7"/>
    <n v="6"/>
    <n v="5"/>
    <n v="932599"/>
    <n v="347087"/>
    <n v="585512"/>
    <n v="56"/>
    <n v="61"/>
    <n v="14.2"/>
  </r>
  <r>
    <x v="9"/>
    <x v="9"/>
    <d v="2023-09-28T00:00:00"/>
    <d v="2023-10-14T00:00:00"/>
    <n v="1"/>
    <n v="34"/>
    <s v="21-40"/>
    <x v="0"/>
    <x v="1"/>
    <x v="1"/>
    <x v="2"/>
    <n v="2"/>
    <n v="2"/>
    <n v="2.8"/>
    <x v="11"/>
    <n v="6"/>
    <n v="5"/>
    <n v="939305"/>
    <n v="90640"/>
    <n v="848665"/>
    <n v="31"/>
    <n v="63"/>
    <n v="9.1"/>
  </r>
  <r>
    <x v="12"/>
    <x v="12"/>
    <d v="2023-10-02T00:00:00"/>
    <d v="2023-10-17T00:00:00"/>
    <n v="1"/>
    <n v="68"/>
    <s v="61-80"/>
    <x v="1"/>
    <x v="8"/>
    <x v="6"/>
    <x v="2"/>
    <n v="2"/>
    <n v="2"/>
    <n v="1.9"/>
    <x v="16"/>
    <n v="3"/>
    <n v="3"/>
    <n v="897250"/>
    <n v="376177"/>
    <n v="521073"/>
    <n v="71"/>
    <n v="60"/>
    <n v="36.9"/>
  </r>
  <r>
    <x v="7"/>
    <x v="7"/>
    <d v="2023-10-02T00:00:00"/>
    <d v="2023-10-21T00:00:00"/>
    <n v="1"/>
    <n v="39"/>
    <s v="21-40"/>
    <x v="0"/>
    <x v="0"/>
    <x v="0"/>
    <x v="2"/>
    <n v="2"/>
    <n v="2"/>
    <n v="5"/>
    <x v="15"/>
    <n v="4"/>
    <n v="6"/>
    <n v="800246"/>
    <n v="139558"/>
    <n v="660688"/>
    <n v="39"/>
    <n v="64"/>
    <n v="9.5"/>
  </r>
  <r>
    <x v="4"/>
    <x v="4"/>
    <d v="2023-10-21T00:00:00"/>
    <d v="2023-10-22T00:00:00"/>
    <n v="1"/>
    <n v="42"/>
    <s v="41-60"/>
    <x v="0"/>
    <x v="10"/>
    <x v="8"/>
    <x v="1"/>
    <n v="2"/>
    <n v="2"/>
    <n v="5.6"/>
    <x v="25"/>
    <n v="4"/>
    <n v="3"/>
    <n v="847183"/>
    <n v="242680"/>
    <n v="604503"/>
    <n v="40"/>
    <n v="63"/>
    <n v="10.4"/>
  </r>
  <r>
    <x v="11"/>
    <x v="11"/>
    <d v="2023-10-19T00:00:00"/>
    <d v="2023-10-29T00:00:00"/>
    <n v="1"/>
    <n v="39"/>
    <s v="21-40"/>
    <x v="0"/>
    <x v="9"/>
    <x v="7"/>
    <x v="2"/>
    <n v="2"/>
    <n v="2"/>
    <n v="2.1"/>
    <x v="14"/>
    <n v="6"/>
    <n v="5"/>
    <n v="688088"/>
    <n v="272419"/>
    <n v="415669"/>
    <n v="33"/>
    <n v="61"/>
    <n v="13.8"/>
  </r>
  <r>
    <x v="7"/>
    <x v="7"/>
    <d v="2023-10-28T00:00:00"/>
    <d v="2023-10-29T00:00:00"/>
    <n v="1"/>
    <n v="33"/>
    <s v="21-40"/>
    <x v="0"/>
    <x v="5"/>
    <x v="0"/>
    <x v="1"/>
    <n v="2"/>
    <n v="2"/>
    <n v="4.5999999999999996"/>
    <x v="7"/>
    <n v="7"/>
    <n v="6"/>
    <n v="860733"/>
    <n v="259362"/>
    <n v="601371"/>
    <n v="35"/>
    <n v="66"/>
    <n v="8"/>
  </r>
  <r>
    <x v="11"/>
    <x v="11"/>
    <d v="2023-10-09T00:00:00"/>
    <d v="2023-11-05T00:00:00"/>
    <n v="1"/>
    <n v="84"/>
    <s v="81+"/>
    <x v="0"/>
    <x v="9"/>
    <x v="7"/>
    <x v="0"/>
    <n v="2"/>
    <n v="2"/>
    <n v="6"/>
    <x v="5"/>
    <n v="4"/>
    <n v="5"/>
    <n v="626598"/>
    <n v="90254"/>
    <n v="536344"/>
    <n v="27"/>
    <n v="56"/>
    <n v="9.4"/>
  </r>
  <r>
    <x v="3"/>
    <x v="3"/>
    <d v="2023-10-18T00:00:00"/>
    <d v="2023-11-08T00:00:00"/>
    <n v="1"/>
    <n v="61"/>
    <s v="61-80"/>
    <x v="0"/>
    <x v="7"/>
    <x v="5"/>
    <x v="0"/>
    <n v="2"/>
    <n v="2"/>
    <n v="4.4000000000000004"/>
    <x v="5"/>
    <n v="3"/>
    <n v="3"/>
    <n v="915791"/>
    <n v="239272"/>
    <n v="676519"/>
    <n v="66"/>
    <n v="59"/>
    <n v="10.7"/>
  </r>
  <r>
    <x v="10"/>
    <x v="10"/>
    <d v="2023-10-18T00:00:00"/>
    <d v="2023-11-10T00:00:00"/>
    <n v="1"/>
    <n v="29"/>
    <s v="21-40"/>
    <x v="0"/>
    <x v="5"/>
    <x v="0"/>
    <x v="0"/>
    <n v="2"/>
    <n v="2"/>
    <n v="3.7"/>
    <x v="19"/>
    <n v="4"/>
    <n v="7"/>
    <n v="597682"/>
    <n v="211900"/>
    <n v="385782"/>
    <n v="17"/>
    <n v="62"/>
    <n v="13.2"/>
  </r>
  <r>
    <x v="8"/>
    <x v="8"/>
    <d v="2023-10-31T00:00:00"/>
    <d v="2023-11-13T00:00:00"/>
    <n v="1"/>
    <n v="47"/>
    <s v="41-60"/>
    <x v="0"/>
    <x v="14"/>
    <x v="11"/>
    <x v="0"/>
    <n v="2"/>
    <n v="2"/>
    <n v="4.5999999999999996"/>
    <x v="6"/>
    <n v="7"/>
    <n v="6"/>
    <n v="698721"/>
    <n v="121591"/>
    <n v="577130"/>
    <n v="51"/>
    <n v="59"/>
    <n v="9.9"/>
  </r>
  <r>
    <x v="7"/>
    <x v="7"/>
    <d v="2023-11-09T00:00:00"/>
    <d v="2023-11-14T00:00:00"/>
    <n v="1"/>
    <n v="33"/>
    <s v="21-40"/>
    <x v="1"/>
    <x v="3"/>
    <x v="2"/>
    <x v="0"/>
    <n v="2"/>
    <n v="2"/>
    <n v="2.4"/>
    <x v="6"/>
    <n v="6"/>
    <n v="3"/>
    <n v="855802"/>
    <n v="291169"/>
    <n v="564633"/>
    <n v="36"/>
    <n v="54"/>
    <n v="5"/>
  </r>
  <r>
    <x v="9"/>
    <x v="9"/>
    <d v="2023-10-31T00:00:00"/>
    <d v="2023-11-17T00:00:00"/>
    <n v="1"/>
    <n v="51"/>
    <s v="41-60"/>
    <x v="1"/>
    <x v="4"/>
    <x v="3"/>
    <x v="4"/>
    <n v="2"/>
    <n v="2"/>
    <n v="5.8"/>
    <x v="16"/>
    <n v="4"/>
    <n v="4"/>
    <n v="995812"/>
    <n v="169242"/>
    <n v="826570"/>
    <n v="31"/>
    <n v="59"/>
    <n v="9.5"/>
  </r>
  <r>
    <x v="12"/>
    <x v="12"/>
    <d v="2023-11-01T00:00:00"/>
    <d v="2023-11-18T00:00:00"/>
    <n v="1"/>
    <n v="67"/>
    <s v="61-80"/>
    <x v="1"/>
    <x v="3"/>
    <x v="2"/>
    <x v="4"/>
    <n v="2"/>
    <n v="2"/>
    <n v="5.4"/>
    <x v="11"/>
    <n v="5"/>
    <n v="7"/>
    <n v="819435"/>
    <n v="239863"/>
    <n v="579572"/>
    <n v="75"/>
    <n v="64"/>
    <n v="6.2"/>
  </r>
  <r>
    <x v="1"/>
    <x v="1"/>
    <d v="2023-11-14T00:00:00"/>
    <d v="2023-11-18T00:00:00"/>
    <n v="1"/>
    <n v="38"/>
    <s v="21-40"/>
    <x v="1"/>
    <x v="2"/>
    <x v="1"/>
    <x v="3"/>
    <n v="2"/>
    <n v="2"/>
    <n v="2.8"/>
    <x v="17"/>
    <n v="7"/>
    <n v="3"/>
    <n v="547176"/>
    <n v="149936"/>
    <n v="397240"/>
    <n v="39"/>
    <n v="63"/>
    <n v="36.9"/>
  </r>
  <r>
    <x v="0"/>
    <x v="0"/>
    <d v="2023-10-21T00:00:00"/>
    <d v="2023-11-19T00:00:00"/>
    <n v="1"/>
    <n v="35"/>
    <s v="21-40"/>
    <x v="1"/>
    <x v="9"/>
    <x v="7"/>
    <x v="1"/>
    <n v="2"/>
    <n v="2"/>
    <n v="1.9"/>
    <x v="29"/>
    <n v="7"/>
    <n v="6"/>
    <n v="764187"/>
    <n v="270211"/>
    <n v="493976"/>
    <n v="30"/>
    <n v="56"/>
    <n v="12"/>
  </r>
  <r>
    <x v="9"/>
    <x v="9"/>
    <d v="2023-10-28T00:00:00"/>
    <d v="2023-11-19T00:00:00"/>
    <n v="1"/>
    <n v="34"/>
    <s v="21-40"/>
    <x v="0"/>
    <x v="9"/>
    <x v="7"/>
    <x v="2"/>
    <n v="2"/>
    <n v="2"/>
    <n v="4.5"/>
    <x v="9"/>
    <n v="3"/>
    <n v="4"/>
    <n v="902035"/>
    <n v="63404"/>
    <n v="838631"/>
    <n v="34"/>
    <n v="54"/>
    <n v="6.7"/>
  </r>
  <r>
    <x v="10"/>
    <x v="10"/>
    <d v="2023-11-15T00:00:00"/>
    <d v="2023-11-20T00:00:00"/>
    <n v="1"/>
    <n v="74"/>
    <s v="61-80"/>
    <x v="0"/>
    <x v="6"/>
    <x v="4"/>
    <x v="3"/>
    <n v="2"/>
    <n v="2"/>
    <n v="4.5999999999999996"/>
    <x v="29"/>
    <n v="6"/>
    <n v="5"/>
    <n v="584227"/>
    <n v="271904"/>
    <n v="312323"/>
    <n v="16"/>
    <n v="60"/>
    <n v="7"/>
  </r>
  <r>
    <x v="13"/>
    <x v="13"/>
    <d v="2023-11-19T00:00:00"/>
    <d v="2023-11-21T00:00:00"/>
    <n v="1"/>
    <n v="32"/>
    <s v="21-40"/>
    <x v="1"/>
    <x v="7"/>
    <x v="5"/>
    <x v="0"/>
    <n v="2"/>
    <n v="2"/>
    <n v="1.7"/>
    <x v="30"/>
    <n v="5"/>
    <n v="6"/>
    <n v="843159"/>
    <n v="244354"/>
    <n v="598805"/>
    <n v="60"/>
    <n v="59"/>
    <n v="7.6"/>
  </r>
  <r>
    <x v="3"/>
    <x v="3"/>
    <d v="2023-11-15T00:00:00"/>
    <d v="2023-11-21T00:00:00"/>
    <n v="1"/>
    <n v="43"/>
    <s v="41-60"/>
    <x v="0"/>
    <x v="0"/>
    <x v="0"/>
    <x v="4"/>
    <n v="2"/>
    <n v="2"/>
    <n v="5.9"/>
    <x v="14"/>
    <n v="6"/>
    <n v="3"/>
    <n v="933539"/>
    <n v="391992"/>
    <n v="541547"/>
    <n v="64"/>
    <n v="58"/>
    <n v="13.7"/>
  </r>
  <r>
    <x v="5"/>
    <x v="5"/>
    <d v="2023-10-28T00:00:00"/>
    <d v="2023-11-23T00:00:00"/>
    <n v="1"/>
    <n v="42"/>
    <s v="41-60"/>
    <x v="1"/>
    <x v="10"/>
    <x v="8"/>
    <x v="1"/>
    <n v="2"/>
    <n v="2"/>
    <n v="5.3"/>
    <x v="30"/>
    <n v="3"/>
    <n v="6"/>
    <n v="506663"/>
    <n v="67009"/>
    <n v="439654"/>
    <n v="35"/>
    <n v="65"/>
    <n v="9.6"/>
  </r>
  <r>
    <x v="10"/>
    <x v="10"/>
    <d v="2023-11-22T00:00:00"/>
    <d v="2023-11-25T00:00:00"/>
    <n v="1"/>
    <n v="81"/>
    <s v="81+"/>
    <x v="0"/>
    <x v="1"/>
    <x v="1"/>
    <x v="3"/>
    <n v="2"/>
    <n v="2"/>
    <n v="6.2"/>
    <x v="10"/>
    <n v="7"/>
    <n v="4"/>
    <n v="591558"/>
    <n v="248704"/>
    <n v="342854"/>
    <n v="19"/>
    <n v="60"/>
    <n v="12.9"/>
  </r>
  <r>
    <x v="0"/>
    <x v="0"/>
    <d v="2023-11-04T00:00:00"/>
    <d v="2023-12-03T00:00:00"/>
    <n v="1"/>
    <n v="49"/>
    <s v="41-60"/>
    <x v="0"/>
    <x v="4"/>
    <x v="3"/>
    <x v="0"/>
    <n v="2"/>
    <n v="2"/>
    <n v="2.7"/>
    <x v="12"/>
    <n v="6"/>
    <n v="4"/>
    <n v="647826"/>
    <n v="280561"/>
    <n v="367265"/>
    <n v="24"/>
    <n v="66"/>
    <n v="14"/>
  </r>
  <r>
    <x v="1"/>
    <x v="1"/>
    <d v="2023-11-26T00:00:00"/>
    <d v="2023-12-05T00:00:00"/>
    <n v="1"/>
    <n v="69"/>
    <s v="61-80"/>
    <x v="0"/>
    <x v="0"/>
    <x v="0"/>
    <x v="0"/>
    <n v="2"/>
    <n v="2"/>
    <n v="6.5"/>
    <x v="0"/>
    <n v="6"/>
    <n v="7"/>
    <n v="600564"/>
    <n v="219566"/>
    <n v="380998"/>
    <n v="46"/>
    <n v="55"/>
    <n v="12.4"/>
  </r>
  <r>
    <x v="4"/>
    <x v="4"/>
    <d v="2023-11-22T00:00:00"/>
    <d v="2023-12-06T00:00:00"/>
    <n v="1"/>
    <n v="90"/>
    <s v="81+"/>
    <x v="1"/>
    <x v="4"/>
    <x v="3"/>
    <x v="0"/>
    <n v="2"/>
    <n v="2"/>
    <n v="3.1"/>
    <x v="1"/>
    <n v="5"/>
    <n v="4"/>
    <n v="781785"/>
    <n v="247332"/>
    <n v="534453"/>
    <n v="33"/>
    <n v="54"/>
    <n v="36.200000000000003"/>
  </r>
  <r>
    <x v="1"/>
    <x v="1"/>
    <d v="2023-11-27T00:00:00"/>
    <d v="2023-12-08T00:00:00"/>
    <n v="1"/>
    <n v="47"/>
    <s v="41-60"/>
    <x v="0"/>
    <x v="7"/>
    <x v="5"/>
    <x v="3"/>
    <n v="2"/>
    <n v="2"/>
    <n v="5"/>
    <x v="12"/>
    <n v="4"/>
    <n v="3"/>
    <n v="729721"/>
    <n v="341906"/>
    <n v="387815"/>
    <n v="41"/>
    <n v="58"/>
    <n v="9"/>
  </r>
  <r>
    <x v="3"/>
    <x v="3"/>
    <d v="2023-12-09T00:00:00"/>
    <d v="2023-12-12T00:00:00"/>
    <n v="1"/>
    <n v="26"/>
    <s v="21-40"/>
    <x v="1"/>
    <x v="3"/>
    <x v="2"/>
    <x v="0"/>
    <n v="2"/>
    <n v="2"/>
    <n v="4.9000000000000004"/>
    <x v="22"/>
    <n v="4"/>
    <n v="7"/>
    <n v="994238"/>
    <n v="364495"/>
    <n v="629743"/>
    <n v="58"/>
    <n v="59"/>
    <n v="8.5"/>
  </r>
  <r>
    <x v="12"/>
    <x v="12"/>
    <d v="2023-11-26T00:00:00"/>
    <d v="2023-12-15T00:00:00"/>
    <n v="1"/>
    <n v="29"/>
    <s v="21-40"/>
    <x v="1"/>
    <x v="7"/>
    <x v="5"/>
    <x v="1"/>
    <n v="2"/>
    <n v="2"/>
    <n v="4.3"/>
    <x v="3"/>
    <n v="6"/>
    <n v="4"/>
    <n v="981291"/>
    <n v="477818"/>
    <n v="503473"/>
    <n v="57"/>
    <n v="60"/>
    <n v="12.4"/>
  </r>
  <r>
    <x v="0"/>
    <x v="0"/>
    <d v="2023-11-18T00:00:00"/>
    <d v="2023-12-18T00:00:00"/>
    <n v="1"/>
    <n v="73"/>
    <s v="61-80"/>
    <x v="1"/>
    <x v="6"/>
    <x v="4"/>
    <x v="0"/>
    <n v="2"/>
    <n v="2"/>
    <n v="4.4000000000000004"/>
    <x v="14"/>
    <n v="4"/>
    <n v="5"/>
    <n v="604819"/>
    <n v="337104"/>
    <n v="267715"/>
    <n v="22"/>
    <n v="63"/>
    <n v="9.1"/>
  </r>
  <r>
    <x v="7"/>
    <x v="7"/>
    <d v="2023-11-21T00:00:00"/>
    <d v="2023-12-19T00:00:00"/>
    <n v="1"/>
    <n v="46"/>
    <s v="41-60"/>
    <x v="0"/>
    <x v="12"/>
    <x v="9"/>
    <x v="0"/>
    <n v="2"/>
    <n v="2"/>
    <n v="4.4000000000000004"/>
    <x v="17"/>
    <n v="5"/>
    <n v="3"/>
    <n v="790752"/>
    <n v="286117"/>
    <n v="504635"/>
    <n v="40"/>
    <n v="60"/>
    <n v="12.2"/>
  </r>
  <r>
    <x v="11"/>
    <x v="11"/>
    <d v="2023-11-28T00:00:00"/>
    <d v="2023-12-24T00:00:00"/>
    <n v="1"/>
    <n v="37"/>
    <s v="21-40"/>
    <x v="1"/>
    <x v="9"/>
    <x v="7"/>
    <x v="0"/>
    <n v="2"/>
    <n v="2"/>
    <n v="5.7"/>
    <x v="17"/>
    <n v="4"/>
    <n v="4"/>
    <n v="671661"/>
    <n v="254988"/>
    <n v="416673"/>
    <n v="32"/>
    <n v="57"/>
    <n v="14"/>
  </r>
  <r>
    <x v="12"/>
    <x v="12"/>
    <d v="2023-12-23T00:00:00"/>
    <d v="2023-12-31T00:00:00"/>
    <n v="1"/>
    <n v="46"/>
    <s v="41-60"/>
    <x v="0"/>
    <x v="7"/>
    <x v="5"/>
    <x v="1"/>
    <n v="2"/>
    <n v="2"/>
    <n v="6.6"/>
    <x v="4"/>
    <n v="6"/>
    <n v="7"/>
    <n v="838238"/>
    <n v="258052"/>
    <n v="580186"/>
    <n v="59"/>
    <n v="66"/>
    <n v="5.2"/>
  </r>
  <r>
    <x v="9"/>
    <x v="9"/>
    <d v="2023-12-09T00:00:00"/>
    <d v="2024-01-01T00:00:00"/>
    <n v="1"/>
    <n v="29"/>
    <s v="21-40"/>
    <x v="1"/>
    <x v="1"/>
    <x v="1"/>
    <x v="2"/>
    <n v="2"/>
    <n v="2"/>
    <n v="4"/>
    <x v="10"/>
    <n v="5"/>
    <n v="5"/>
    <n v="966376"/>
    <n v="122766"/>
    <n v="843610"/>
    <n v="32"/>
    <n v="65"/>
    <n v="14.4"/>
  </r>
  <r>
    <x v="5"/>
    <x v="5"/>
    <d v="2023-12-30T00:00:00"/>
    <d v="2024-01-03T00:00:00"/>
    <n v="1"/>
    <n v="49"/>
    <s v="41-60"/>
    <x v="1"/>
    <x v="4"/>
    <x v="3"/>
    <x v="1"/>
    <n v="2"/>
    <n v="2"/>
    <n v="2.2000000000000002"/>
    <x v="9"/>
    <n v="4"/>
    <n v="5"/>
    <n v="523753"/>
    <n v="128079"/>
    <n v="395674"/>
    <n v="35"/>
    <n v="64"/>
    <n v="9.6999999999999993"/>
  </r>
  <r>
    <x v="7"/>
    <x v="7"/>
    <d v="2023-12-16T00:00:00"/>
    <d v="2024-01-04T00:00:00"/>
    <n v="1"/>
    <n v="22"/>
    <s v="21-40"/>
    <x v="0"/>
    <x v="0"/>
    <x v="0"/>
    <x v="3"/>
    <n v="2"/>
    <n v="2"/>
    <n v="2.9"/>
    <x v="0"/>
    <n v="6"/>
    <n v="7"/>
    <n v="782499"/>
    <n v="229703"/>
    <n v="552796"/>
    <n v="31"/>
    <n v="65"/>
    <n v="8.9"/>
  </r>
  <r>
    <x v="12"/>
    <x v="12"/>
    <d v="2023-12-20T00:00:00"/>
    <d v="2024-01-07T00:00:00"/>
    <n v="1"/>
    <n v="25"/>
    <s v="21-40"/>
    <x v="0"/>
    <x v="12"/>
    <x v="9"/>
    <x v="2"/>
    <n v="2"/>
    <n v="2"/>
    <n v="4.5999999999999996"/>
    <x v="22"/>
    <n v="5"/>
    <n v="7"/>
    <n v="886364"/>
    <n v="354545"/>
    <n v="531819"/>
    <n v="52"/>
    <n v="62"/>
    <n v="7.2"/>
  </r>
  <r>
    <x v="8"/>
    <x v="8"/>
    <d v="2024-01-02T00:00:00"/>
    <d v="2024-01-09T00:00:00"/>
    <n v="1"/>
    <n v="41"/>
    <s v="41-60"/>
    <x v="1"/>
    <x v="2"/>
    <x v="1"/>
    <x v="0"/>
    <n v="2"/>
    <n v="2"/>
    <n v="4.0999999999999996"/>
    <x v="23"/>
    <n v="4"/>
    <n v="4"/>
    <n v="861655"/>
    <n v="290363"/>
    <n v="571292"/>
    <n v="53"/>
    <n v="64"/>
    <n v="5.2"/>
  </r>
  <r>
    <x v="4"/>
    <x v="4"/>
    <d v="2023-12-15T00:00:00"/>
    <d v="2024-01-10T00:00:00"/>
    <n v="1"/>
    <n v="66"/>
    <s v="61-80"/>
    <x v="0"/>
    <x v="2"/>
    <x v="1"/>
    <x v="4"/>
    <n v="2"/>
    <n v="2"/>
    <n v="1.5"/>
    <x v="30"/>
    <n v="6"/>
    <n v="6"/>
    <n v="880098"/>
    <n v="230957"/>
    <n v="649141"/>
    <n v="34"/>
    <n v="60"/>
    <n v="12.6"/>
  </r>
  <r>
    <x v="11"/>
    <x v="11"/>
    <d v="2023-12-17T00:00:00"/>
    <d v="2024-01-12T00:00:00"/>
    <n v="1"/>
    <n v="78"/>
    <s v="61-80"/>
    <x v="0"/>
    <x v="14"/>
    <x v="11"/>
    <x v="0"/>
    <n v="2"/>
    <n v="2"/>
    <n v="4.4000000000000004"/>
    <x v="8"/>
    <n v="7"/>
    <n v="4"/>
    <n v="723672"/>
    <n v="297636"/>
    <n v="426036"/>
    <n v="26"/>
    <n v="60"/>
    <n v="12.1"/>
  </r>
  <r>
    <x v="3"/>
    <x v="3"/>
    <d v="2024-01-07T00:00:00"/>
    <d v="2024-01-16T00:00:00"/>
    <n v="1"/>
    <n v="44"/>
    <s v="41-60"/>
    <x v="0"/>
    <x v="14"/>
    <x v="11"/>
    <x v="1"/>
    <n v="2"/>
    <n v="2"/>
    <n v="1.6"/>
    <x v="28"/>
    <n v="6"/>
    <n v="7"/>
    <n v="922082"/>
    <n v="351687"/>
    <n v="570395"/>
    <n v="52"/>
    <n v="63"/>
    <n v="36.4"/>
  </r>
  <r>
    <x v="12"/>
    <x v="12"/>
    <d v="2023-12-25T00:00:00"/>
    <d v="2024-01-17T00:00:00"/>
    <n v="1"/>
    <n v="27"/>
    <s v="21-40"/>
    <x v="0"/>
    <x v="0"/>
    <x v="0"/>
    <x v="3"/>
    <n v="2"/>
    <n v="2"/>
    <n v="5.6"/>
    <x v="16"/>
    <n v="5"/>
    <n v="7"/>
    <n v="945252"/>
    <n v="348952"/>
    <n v="596300"/>
    <n v="60"/>
    <n v="61"/>
    <n v="12.3"/>
  </r>
  <r>
    <x v="1"/>
    <x v="1"/>
    <d v="2023-12-31T00:00:00"/>
    <d v="2024-01-22T00:00:00"/>
    <n v="1"/>
    <n v="29"/>
    <s v="21-40"/>
    <x v="1"/>
    <x v="1"/>
    <x v="1"/>
    <x v="4"/>
    <n v="2"/>
    <n v="2"/>
    <n v="3"/>
    <x v="9"/>
    <n v="7"/>
    <n v="3"/>
    <n v="782126"/>
    <n v="381125"/>
    <n v="401001"/>
    <n v="48"/>
    <n v="66"/>
    <n v="7.6"/>
  </r>
  <r>
    <x v="6"/>
    <x v="6"/>
    <d v="2024-01-21T00:00:00"/>
    <d v="2024-01-25T00:00:00"/>
    <n v="1"/>
    <n v="28"/>
    <s v="21-40"/>
    <x v="0"/>
    <x v="13"/>
    <x v="10"/>
    <x v="0"/>
    <n v="2"/>
    <n v="2"/>
    <n v="6.3"/>
    <x v="8"/>
    <n v="5"/>
    <n v="4"/>
    <n v="797223"/>
    <n v="242709"/>
    <n v="554514"/>
    <n v="48"/>
    <n v="66"/>
    <n v="36.9"/>
  </r>
  <r>
    <x v="8"/>
    <x v="8"/>
    <d v="2024-01-26T00:00:00"/>
    <d v="2024-01-29T00:00:00"/>
    <n v="1"/>
    <n v="77"/>
    <s v="61-80"/>
    <x v="1"/>
    <x v="3"/>
    <x v="2"/>
    <x v="1"/>
    <n v="2"/>
    <n v="2"/>
    <n v="2"/>
    <x v="1"/>
    <n v="7"/>
    <n v="4"/>
    <n v="887575"/>
    <n v="345322"/>
    <n v="542253"/>
    <n v="47"/>
    <n v="63"/>
    <n v="12.8"/>
  </r>
  <r>
    <x v="8"/>
    <x v="8"/>
    <d v="2024-01-02T00:00:00"/>
    <d v="2024-01-31T00:00:00"/>
    <n v="1"/>
    <n v="51"/>
    <s v="41-60"/>
    <x v="0"/>
    <x v="7"/>
    <x v="5"/>
    <x v="3"/>
    <n v="2"/>
    <n v="2"/>
    <n v="2.1"/>
    <x v="17"/>
    <n v="3"/>
    <n v="7"/>
    <n v="674551"/>
    <n v="92954"/>
    <n v="581597"/>
    <n v="60"/>
    <n v="55"/>
    <n v="14"/>
  </r>
  <r>
    <x v="7"/>
    <x v="7"/>
    <d v="2024-01-27T00:00:00"/>
    <d v="2024-02-02T00:00:00"/>
    <n v="1"/>
    <n v="39"/>
    <s v="21-40"/>
    <x v="0"/>
    <x v="5"/>
    <x v="0"/>
    <x v="2"/>
    <n v="2"/>
    <n v="2"/>
    <n v="5.4"/>
    <x v="25"/>
    <n v="3"/>
    <n v="7"/>
    <n v="721623"/>
    <n v="129208"/>
    <n v="592415"/>
    <n v="49"/>
    <n v="58"/>
    <n v="12"/>
  </r>
  <r>
    <x v="2"/>
    <x v="2"/>
    <d v="2024-01-21T00:00:00"/>
    <d v="2024-02-04T00:00:00"/>
    <n v="1"/>
    <n v="43"/>
    <s v="41-60"/>
    <x v="0"/>
    <x v="7"/>
    <x v="5"/>
    <x v="1"/>
    <n v="2"/>
    <n v="2"/>
    <n v="3.9"/>
    <x v="30"/>
    <n v="4"/>
    <n v="7"/>
    <n v="904691"/>
    <n v="7212"/>
    <n v="897479"/>
    <n v="33"/>
    <n v="56"/>
    <n v="10.3"/>
  </r>
  <r>
    <x v="7"/>
    <x v="7"/>
    <d v="2024-01-26T00:00:00"/>
    <d v="2024-02-07T00:00:00"/>
    <n v="1"/>
    <n v="44"/>
    <s v="41-60"/>
    <x v="1"/>
    <x v="3"/>
    <x v="2"/>
    <x v="1"/>
    <n v="2"/>
    <n v="2"/>
    <n v="6.7"/>
    <x v="16"/>
    <n v="5"/>
    <n v="4"/>
    <n v="702291"/>
    <n v="145872"/>
    <n v="556419"/>
    <n v="34"/>
    <n v="55"/>
    <n v="9.6999999999999993"/>
  </r>
  <r>
    <x v="11"/>
    <x v="11"/>
    <d v="2024-02-05T00:00:00"/>
    <d v="2024-02-11T00:00:00"/>
    <n v="1"/>
    <n v="60"/>
    <s v="41-60"/>
    <x v="0"/>
    <x v="10"/>
    <x v="8"/>
    <x v="2"/>
    <n v="2"/>
    <n v="2"/>
    <n v="5.3"/>
    <x v="8"/>
    <n v="3"/>
    <n v="4"/>
    <n v="704070"/>
    <n v="198800"/>
    <n v="505270"/>
    <n v="27"/>
    <n v="55"/>
    <n v="13.1"/>
  </r>
  <r>
    <x v="9"/>
    <x v="9"/>
    <d v="2024-02-05T00:00:00"/>
    <d v="2024-02-12T00:00:00"/>
    <n v="1"/>
    <n v="33"/>
    <s v="21-40"/>
    <x v="1"/>
    <x v="10"/>
    <x v="8"/>
    <x v="2"/>
    <n v="2"/>
    <n v="2"/>
    <n v="5.2"/>
    <x v="24"/>
    <n v="4"/>
    <n v="7"/>
    <n v="951626"/>
    <n v="129735"/>
    <n v="821891"/>
    <n v="34"/>
    <n v="66"/>
    <n v="10.9"/>
  </r>
  <r>
    <x v="7"/>
    <x v="7"/>
    <d v="2024-01-24T00:00:00"/>
    <d v="2024-02-12T00:00:00"/>
    <n v="1"/>
    <n v="34"/>
    <s v="21-40"/>
    <x v="1"/>
    <x v="3"/>
    <x v="2"/>
    <x v="3"/>
    <n v="2"/>
    <n v="2"/>
    <n v="2"/>
    <x v="3"/>
    <n v="7"/>
    <n v="6"/>
    <n v="708878"/>
    <n v="88542"/>
    <n v="620336"/>
    <n v="37"/>
    <n v="65"/>
    <n v="14.5"/>
  </r>
  <r>
    <x v="1"/>
    <x v="1"/>
    <d v="2024-02-01T00:00:00"/>
    <d v="2024-02-14T00:00:00"/>
    <n v="1"/>
    <n v="89"/>
    <s v="81+"/>
    <x v="0"/>
    <x v="12"/>
    <x v="9"/>
    <x v="0"/>
    <n v="2"/>
    <n v="2"/>
    <n v="4.5999999999999996"/>
    <x v="19"/>
    <n v="7"/>
    <n v="7"/>
    <n v="774964"/>
    <n v="415752"/>
    <n v="359212"/>
    <n v="39"/>
    <n v="63"/>
    <n v="36"/>
  </r>
  <r>
    <x v="3"/>
    <x v="3"/>
    <d v="2024-01-25T00:00:00"/>
    <d v="2024-02-17T00:00:00"/>
    <n v="1"/>
    <n v="62"/>
    <s v="61-80"/>
    <x v="0"/>
    <x v="7"/>
    <x v="5"/>
    <x v="2"/>
    <n v="2"/>
    <n v="2"/>
    <n v="5.2"/>
    <x v="11"/>
    <n v="3"/>
    <n v="5"/>
    <n v="867179"/>
    <n v="241217"/>
    <n v="625962"/>
    <n v="50"/>
    <n v="64"/>
    <n v="9"/>
  </r>
  <r>
    <x v="6"/>
    <x v="6"/>
    <d v="2024-02-02T00:00:00"/>
    <d v="2024-02-21T00:00:00"/>
    <n v="1"/>
    <n v="46"/>
    <s v="41-60"/>
    <x v="1"/>
    <x v="10"/>
    <x v="8"/>
    <x v="3"/>
    <n v="2"/>
    <n v="2"/>
    <n v="6.3"/>
    <x v="28"/>
    <n v="3"/>
    <n v="4"/>
    <n v="759979"/>
    <n v="118966"/>
    <n v="641013"/>
    <n v="57"/>
    <n v="66"/>
    <n v="14.9"/>
  </r>
  <r>
    <x v="10"/>
    <x v="10"/>
    <d v="2024-02-16T00:00:00"/>
    <d v="2024-02-25T00:00:00"/>
    <n v="1"/>
    <n v="28"/>
    <s v="21-40"/>
    <x v="0"/>
    <x v="0"/>
    <x v="0"/>
    <x v="2"/>
    <n v="2"/>
    <n v="2"/>
    <n v="4.2"/>
    <x v="19"/>
    <n v="5"/>
    <n v="6"/>
    <n v="508720"/>
    <n v="194128"/>
    <n v="314592"/>
    <n v="22"/>
    <n v="55"/>
    <n v="6.3"/>
  </r>
  <r>
    <x v="11"/>
    <x v="11"/>
    <d v="2024-02-19T00:00:00"/>
    <d v="2024-03-01T00:00:00"/>
    <n v="1"/>
    <n v="54"/>
    <s v="41-60"/>
    <x v="0"/>
    <x v="9"/>
    <x v="7"/>
    <x v="0"/>
    <n v="2"/>
    <n v="2"/>
    <n v="3.5"/>
    <x v="30"/>
    <n v="5"/>
    <n v="6"/>
    <n v="764996"/>
    <n v="249437"/>
    <n v="515559"/>
    <n v="30"/>
    <n v="60"/>
    <n v="13.5"/>
  </r>
  <r>
    <x v="0"/>
    <x v="0"/>
    <d v="2024-02-12T00:00:00"/>
    <d v="2024-03-13T00:00:00"/>
    <n v="1"/>
    <n v="44"/>
    <s v="41-60"/>
    <x v="0"/>
    <x v="4"/>
    <x v="3"/>
    <x v="0"/>
    <n v="2"/>
    <n v="2"/>
    <n v="6"/>
    <x v="2"/>
    <n v="5"/>
    <n v="4"/>
    <n v="761874"/>
    <n v="436408"/>
    <n v="325466"/>
    <n v="21"/>
    <n v="58"/>
    <n v="6.6"/>
  </r>
  <r>
    <x v="5"/>
    <x v="5"/>
    <d v="2024-02-26T00:00:00"/>
    <d v="2024-03-13T00:00:00"/>
    <n v="1"/>
    <n v="22"/>
    <s v="21-40"/>
    <x v="1"/>
    <x v="10"/>
    <x v="8"/>
    <x v="3"/>
    <n v="2"/>
    <n v="2"/>
    <n v="4.4000000000000004"/>
    <x v="4"/>
    <n v="5"/>
    <n v="4"/>
    <n v="501865"/>
    <n v="25499"/>
    <n v="476366"/>
    <n v="35"/>
    <n v="63"/>
    <n v="6.6"/>
  </r>
  <r>
    <x v="4"/>
    <x v="4"/>
    <d v="2024-03-06T00:00:00"/>
    <d v="2024-03-14T00:00:00"/>
    <n v="1"/>
    <n v="25"/>
    <s v="21-40"/>
    <x v="0"/>
    <x v="1"/>
    <x v="1"/>
    <x v="0"/>
    <n v="2"/>
    <n v="2"/>
    <n v="3"/>
    <x v="10"/>
    <n v="6"/>
    <n v="7"/>
    <n v="819222"/>
    <n v="212361"/>
    <n v="606861"/>
    <n v="31"/>
    <n v="65"/>
    <n v="5.8"/>
  </r>
  <r>
    <x v="10"/>
    <x v="10"/>
    <d v="2024-02-29T00:00:00"/>
    <d v="2024-03-14T00:00:00"/>
    <n v="1"/>
    <n v="41"/>
    <s v="41-60"/>
    <x v="1"/>
    <x v="3"/>
    <x v="2"/>
    <x v="1"/>
    <n v="2"/>
    <n v="2"/>
    <n v="3.3"/>
    <x v="7"/>
    <n v="4"/>
    <n v="7"/>
    <n v="585825"/>
    <n v="239720"/>
    <n v="346105"/>
    <n v="16"/>
    <n v="64"/>
    <n v="9.9"/>
  </r>
  <r>
    <x v="13"/>
    <x v="13"/>
    <d v="2024-02-23T00:00:00"/>
    <d v="2024-03-16T00:00:00"/>
    <n v="1"/>
    <n v="69"/>
    <s v="61-80"/>
    <x v="1"/>
    <x v="2"/>
    <x v="1"/>
    <x v="3"/>
    <n v="2"/>
    <n v="2"/>
    <n v="2"/>
    <x v="24"/>
    <n v="3"/>
    <n v="6"/>
    <n v="859529"/>
    <n v="350882"/>
    <n v="508647"/>
    <n v="42"/>
    <n v="58"/>
    <n v="12.3"/>
  </r>
  <r>
    <x v="11"/>
    <x v="11"/>
    <d v="2024-03-13T00:00:00"/>
    <d v="2024-03-18T00:00:00"/>
    <n v="1"/>
    <n v="22"/>
    <s v="21-40"/>
    <x v="0"/>
    <x v="5"/>
    <x v="0"/>
    <x v="2"/>
    <n v="2"/>
    <n v="2"/>
    <n v="2.1"/>
    <x v="20"/>
    <n v="6"/>
    <n v="3"/>
    <n v="610577"/>
    <n v="99736"/>
    <n v="510841"/>
    <n v="24"/>
    <n v="62"/>
    <n v="12"/>
  </r>
  <r>
    <x v="14"/>
    <x v="14"/>
    <d v="2024-03-19T00:00:00"/>
    <d v="2024-03-23T00:00:00"/>
    <n v="1"/>
    <n v="89"/>
    <s v="81+"/>
    <x v="1"/>
    <x v="2"/>
    <x v="1"/>
    <x v="3"/>
    <n v="2"/>
    <n v="2"/>
    <n v="6.2"/>
    <x v="16"/>
    <n v="6"/>
    <n v="6"/>
    <n v="715365"/>
    <n v="155197"/>
    <n v="560168"/>
    <n v="27"/>
    <n v="56"/>
    <n v="5.0999999999999996"/>
  </r>
  <r>
    <x v="5"/>
    <x v="5"/>
    <d v="2024-03-09T00:00:00"/>
    <d v="2024-03-25T00:00:00"/>
    <n v="1"/>
    <n v="79"/>
    <s v="61-80"/>
    <x v="0"/>
    <x v="4"/>
    <x v="3"/>
    <x v="2"/>
    <n v="2"/>
    <n v="2"/>
    <n v="6.6"/>
    <x v="30"/>
    <n v="5"/>
    <n v="4"/>
    <n v="561418"/>
    <n v="166578"/>
    <n v="394840"/>
    <n v="40"/>
    <n v="66"/>
    <n v="5"/>
  </r>
  <r>
    <x v="7"/>
    <x v="7"/>
    <d v="2024-03-17T00:00:00"/>
    <d v="2024-03-31T00:00:00"/>
    <n v="1"/>
    <n v="78"/>
    <s v="61-80"/>
    <x v="1"/>
    <x v="8"/>
    <x v="6"/>
    <x v="1"/>
    <n v="2"/>
    <n v="2"/>
    <n v="4"/>
    <x v="18"/>
    <n v="7"/>
    <n v="5"/>
    <n v="766680"/>
    <n v="266640"/>
    <n v="500040"/>
    <n v="50"/>
    <n v="63"/>
    <n v="7.7"/>
  </r>
  <r>
    <x v="7"/>
    <x v="7"/>
    <d v="2024-03-14T00:00:00"/>
    <d v="2024-04-01T00:00:00"/>
    <n v="1"/>
    <n v="48"/>
    <s v="41-60"/>
    <x v="1"/>
    <x v="3"/>
    <x v="2"/>
    <x v="1"/>
    <n v="2"/>
    <n v="2"/>
    <n v="5.8"/>
    <x v="4"/>
    <n v="7"/>
    <n v="4"/>
    <n v="759522"/>
    <n v="243366"/>
    <n v="516156"/>
    <n v="47"/>
    <n v="63"/>
    <n v="36.799999999999997"/>
  </r>
  <r>
    <x v="7"/>
    <x v="7"/>
    <d v="2024-03-11T00:00:00"/>
    <d v="2024-04-05T00:00:00"/>
    <n v="1"/>
    <n v="63"/>
    <s v="61-80"/>
    <x v="0"/>
    <x v="4"/>
    <x v="3"/>
    <x v="4"/>
    <n v="2"/>
    <n v="2"/>
    <n v="4.3"/>
    <x v="13"/>
    <n v="6"/>
    <n v="6"/>
    <n v="773241"/>
    <n v="170859"/>
    <n v="602382"/>
    <n v="36"/>
    <n v="61"/>
    <n v="8.3000000000000007"/>
  </r>
  <r>
    <x v="4"/>
    <x v="4"/>
    <d v="2024-03-22T00:00:00"/>
    <d v="2024-04-07T00:00:00"/>
    <n v="1"/>
    <n v="78"/>
    <s v="61-80"/>
    <x v="1"/>
    <x v="6"/>
    <x v="4"/>
    <x v="2"/>
    <n v="2"/>
    <n v="2"/>
    <n v="4.9000000000000004"/>
    <x v="1"/>
    <n v="6"/>
    <n v="3"/>
    <n v="636788"/>
    <n v="5205"/>
    <n v="631583"/>
    <n v="40"/>
    <n v="59"/>
    <n v="9.6"/>
  </r>
  <r>
    <x v="12"/>
    <x v="12"/>
    <d v="2024-03-15T00:00:00"/>
    <d v="2024-04-08T00:00:00"/>
    <n v="1"/>
    <n v="73"/>
    <s v="61-80"/>
    <x v="0"/>
    <x v="0"/>
    <x v="0"/>
    <x v="2"/>
    <n v="2"/>
    <n v="2"/>
    <n v="3.7"/>
    <x v="21"/>
    <n v="3"/>
    <n v="6"/>
    <n v="939442"/>
    <n v="435202"/>
    <n v="504240"/>
    <n v="79"/>
    <n v="64"/>
    <n v="14.7"/>
  </r>
  <r>
    <x v="6"/>
    <x v="6"/>
    <d v="2024-03-31T00:00:00"/>
    <d v="2024-04-14T00:00:00"/>
    <n v="1"/>
    <n v="79"/>
    <s v="61-80"/>
    <x v="0"/>
    <x v="13"/>
    <x v="10"/>
    <x v="0"/>
    <n v="2"/>
    <n v="2"/>
    <n v="6.7"/>
    <x v="5"/>
    <n v="3"/>
    <n v="5"/>
    <n v="715855"/>
    <n v="197063"/>
    <n v="518792"/>
    <n v="57"/>
    <n v="59"/>
    <n v="5.9"/>
  </r>
  <r>
    <x v="11"/>
    <x v="11"/>
    <d v="2024-03-30T00:00:00"/>
    <d v="2024-04-15T00:00:00"/>
    <n v="1"/>
    <n v="86"/>
    <s v="81+"/>
    <x v="1"/>
    <x v="6"/>
    <x v="4"/>
    <x v="0"/>
    <n v="2"/>
    <n v="2"/>
    <n v="2.9"/>
    <x v="2"/>
    <n v="3"/>
    <n v="3"/>
    <n v="680285"/>
    <n v="206632"/>
    <n v="473653"/>
    <n v="28"/>
    <n v="58"/>
    <n v="13.3"/>
  </r>
  <r>
    <x v="5"/>
    <x v="5"/>
    <d v="2024-03-29T00:00:00"/>
    <d v="2024-04-15T00:00:00"/>
    <n v="1"/>
    <n v="52"/>
    <s v="41-60"/>
    <x v="0"/>
    <x v="5"/>
    <x v="0"/>
    <x v="4"/>
    <n v="2"/>
    <n v="2"/>
    <n v="1.1000000000000001"/>
    <x v="27"/>
    <n v="5"/>
    <n v="4"/>
    <n v="525425"/>
    <n v="52134"/>
    <n v="473291"/>
    <n v="38"/>
    <n v="58"/>
    <n v="14.4"/>
  </r>
  <r>
    <x v="6"/>
    <x v="6"/>
    <d v="2024-03-30T00:00:00"/>
    <d v="2024-04-29T00:00:00"/>
    <n v="1"/>
    <n v="76"/>
    <s v="61-80"/>
    <x v="0"/>
    <x v="0"/>
    <x v="0"/>
    <x v="1"/>
    <n v="2"/>
    <n v="2"/>
    <n v="6.9"/>
    <x v="7"/>
    <n v="5"/>
    <n v="7"/>
    <n v="746467"/>
    <n v="59632"/>
    <n v="686835"/>
    <n v="54"/>
    <n v="64"/>
    <n v="14.4"/>
  </r>
  <r>
    <x v="2"/>
    <x v="2"/>
    <d v="2024-04-14T00:00:00"/>
    <d v="2024-05-01T00:00:00"/>
    <n v="1"/>
    <n v="46"/>
    <s v="41-60"/>
    <x v="0"/>
    <x v="7"/>
    <x v="5"/>
    <x v="4"/>
    <n v="2"/>
    <n v="2"/>
    <n v="6.5"/>
    <x v="0"/>
    <n v="6"/>
    <n v="7"/>
    <n v="940330"/>
    <n v="108789"/>
    <n v="831541"/>
    <n v="38"/>
    <n v="61"/>
    <n v="8.3000000000000007"/>
  </r>
  <r>
    <x v="9"/>
    <x v="9"/>
    <d v="2024-04-21T00:00:00"/>
    <d v="2024-05-02T00:00:00"/>
    <n v="1"/>
    <n v="70"/>
    <s v="61-80"/>
    <x v="0"/>
    <x v="10"/>
    <x v="8"/>
    <x v="2"/>
    <n v="2"/>
    <n v="2"/>
    <n v="1.3"/>
    <x v="3"/>
    <n v="6"/>
    <n v="3"/>
    <n v="907829"/>
    <n v="94409"/>
    <n v="813420"/>
    <n v="30"/>
    <n v="54"/>
    <n v="13.4"/>
  </r>
  <r>
    <x v="0"/>
    <x v="0"/>
    <d v="2024-04-26T00:00:00"/>
    <d v="2024-05-09T00:00:00"/>
    <n v="1"/>
    <n v="37"/>
    <s v="21-40"/>
    <x v="0"/>
    <x v="0"/>
    <x v="0"/>
    <x v="2"/>
    <n v="2"/>
    <n v="2"/>
    <n v="2.5"/>
    <x v="14"/>
    <n v="6"/>
    <n v="4"/>
    <n v="909351"/>
    <n v="646102"/>
    <n v="263249"/>
    <n v="36"/>
    <n v="65"/>
    <n v="12.5"/>
  </r>
  <r>
    <x v="4"/>
    <x v="4"/>
    <d v="2024-04-21T00:00:00"/>
    <d v="2024-05-11T00:00:00"/>
    <n v="1"/>
    <n v="49"/>
    <s v="41-60"/>
    <x v="0"/>
    <x v="0"/>
    <x v="0"/>
    <x v="0"/>
    <n v="2"/>
    <n v="2"/>
    <n v="1.1000000000000001"/>
    <x v="9"/>
    <n v="5"/>
    <n v="6"/>
    <n v="888717"/>
    <n v="301696"/>
    <n v="587021"/>
    <n v="35"/>
    <n v="62"/>
    <n v="7"/>
  </r>
  <r>
    <x v="12"/>
    <x v="12"/>
    <d v="2024-05-02T00:00:00"/>
    <d v="2024-05-14T00:00:00"/>
    <n v="1"/>
    <n v="43"/>
    <s v="41-60"/>
    <x v="0"/>
    <x v="5"/>
    <x v="0"/>
    <x v="2"/>
    <n v="2"/>
    <n v="2"/>
    <n v="2.1"/>
    <x v="6"/>
    <n v="3"/>
    <n v="4"/>
    <n v="887598"/>
    <n v="249017"/>
    <n v="638581"/>
    <n v="55"/>
    <n v="60"/>
    <n v="6.1"/>
  </r>
  <r>
    <x v="7"/>
    <x v="7"/>
    <d v="2024-05-08T00:00:00"/>
    <d v="2024-05-19T00:00:00"/>
    <n v="1"/>
    <n v="27"/>
    <s v="21-40"/>
    <x v="1"/>
    <x v="10"/>
    <x v="8"/>
    <x v="1"/>
    <n v="2"/>
    <n v="2"/>
    <n v="6.3"/>
    <x v="2"/>
    <n v="6"/>
    <n v="5"/>
    <n v="806357"/>
    <n v="252421"/>
    <n v="553936"/>
    <n v="31"/>
    <n v="64"/>
    <n v="13.1"/>
  </r>
  <r>
    <x v="14"/>
    <x v="14"/>
    <d v="2024-04-21T00:00:00"/>
    <d v="2024-05-21T00:00:00"/>
    <n v="1"/>
    <n v="36"/>
    <s v="21-40"/>
    <x v="0"/>
    <x v="14"/>
    <x v="11"/>
    <x v="1"/>
    <n v="2"/>
    <n v="2"/>
    <n v="3.7"/>
    <x v="28"/>
    <n v="3"/>
    <n v="7"/>
    <n v="793823"/>
    <n v="300339"/>
    <n v="493484"/>
    <n v="28"/>
    <n v="56"/>
    <n v="5.6"/>
  </r>
  <r>
    <x v="9"/>
    <x v="9"/>
    <d v="2024-05-22T00:00:00"/>
    <d v="2024-05-23T00:00:00"/>
    <n v="1"/>
    <n v="37"/>
    <s v="21-40"/>
    <x v="1"/>
    <x v="3"/>
    <x v="2"/>
    <x v="3"/>
    <n v="2"/>
    <n v="2"/>
    <n v="1.7"/>
    <x v="9"/>
    <n v="3"/>
    <n v="4"/>
    <n v="946074"/>
    <n v="73881"/>
    <n v="872193"/>
    <n v="30"/>
    <n v="60"/>
    <n v="12.4"/>
  </r>
  <r>
    <x v="12"/>
    <x v="12"/>
    <d v="2024-05-01T00:00:00"/>
    <d v="2024-05-28T00:00:00"/>
    <n v="1"/>
    <n v="89"/>
    <s v="81+"/>
    <x v="1"/>
    <x v="3"/>
    <x v="2"/>
    <x v="2"/>
    <n v="2"/>
    <n v="2"/>
    <n v="7"/>
    <x v="23"/>
    <n v="3"/>
    <n v="3"/>
    <n v="981981"/>
    <n v="354572"/>
    <n v="627409"/>
    <n v="60"/>
    <n v="65"/>
    <n v="5.4"/>
  </r>
  <r>
    <x v="9"/>
    <x v="9"/>
    <d v="2024-05-06T00:00:00"/>
    <d v="2024-05-30T00:00:00"/>
    <n v="1"/>
    <n v="25"/>
    <s v="21-40"/>
    <x v="1"/>
    <x v="3"/>
    <x v="2"/>
    <x v="1"/>
    <n v="2"/>
    <n v="2"/>
    <n v="5.7"/>
    <x v="21"/>
    <n v="4"/>
    <n v="5"/>
    <n v="999591"/>
    <n v="143597"/>
    <n v="855994"/>
    <n v="36"/>
    <n v="56"/>
    <n v="13.9"/>
  </r>
  <r>
    <x v="0"/>
    <x v="0"/>
    <d v="2024-05-09T00:00:00"/>
    <d v="2024-05-31T00:00:00"/>
    <n v="1"/>
    <n v="65"/>
    <s v="61-80"/>
    <x v="0"/>
    <x v="2"/>
    <x v="1"/>
    <x v="2"/>
    <n v="2"/>
    <n v="2"/>
    <n v="1.6"/>
    <x v="15"/>
    <n v="4"/>
    <n v="3"/>
    <n v="764216"/>
    <n v="309451"/>
    <n v="454765"/>
    <n v="35"/>
    <n v="54"/>
    <n v="5.9"/>
  </r>
  <r>
    <x v="0"/>
    <x v="0"/>
    <d v="2024-05-20T00:00:00"/>
    <d v="2024-05-31T00:00:00"/>
    <n v="1"/>
    <n v="46"/>
    <s v="41-60"/>
    <x v="0"/>
    <x v="5"/>
    <x v="0"/>
    <x v="3"/>
    <n v="2"/>
    <n v="2"/>
    <n v="4"/>
    <x v="8"/>
    <n v="5"/>
    <n v="6"/>
    <n v="804640"/>
    <n v="514560"/>
    <n v="290080"/>
    <n v="40"/>
    <n v="59"/>
    <n v="5.3"/>
  </r>
  <r>
    <x v="0"/>
    <x v="0"/>
    <d v="2024-05-31T00:00:00"/>
    <d v="2024-06-02T00:00:00"/>
    <n v="1"/>
    <n v="90"/>
    <s v="81+"/>
    <x v="1"/>
    <x v="3"/>
    <x v="2"/>
    <x v="2"/>
    <n v="2"/>
    <n v="2"/>
    <n v="1.3"/>
    <x v="29"/>
    <n v="3"/>
    <n v="6"/>
    <n v="771559"/>
    <n v="545382"/>
    <n v="226177"/>
    <n v="40"/>
    <n v="62"/>
    <n v="14.1"/>
  </r>
  <r>
    <x v="0"/>
    <x v="0"/>
    <d v="2024-05-14T00:00:00"/>
    <d v="2024-06-05T00:00:00"/>
    <n v="1"/>
    <n v="65"/>
    <s v="61-80"/>
    <x v="1"/>
    <x v="4"/>
    <x v="3"/>
    <x v="4"/>
    <n v="2"/>
    <n v="2"/>
    <n v="5.6"/>
    <x v="2"/>
    <n v="6"/>
    <n v="4"/>
    <n v="658391"/>
    <n v="288104"/>
    <n v="370287"/>
    <n v="33"/>
    <n v="55"/>
    <n v="5.9"/>
  </r>
  <r>
    <x v="8"/>
    <x v="8"/>
    <d v="2024-05-13T00:00:00"/>
    <d v="2024-06-06T00:00:00"/>
    <n v="1"/>
    <n v="83"/>
    <s v="81+"/>
    <x v="1"/>
    <x v="1"/>
    <x v="1"/>
    <x v="3"/>
    <n v="2"/>
    <n v="2"/>
    <n v="6.9"/>
    <x v="18"/>
    <n v="3"/>
    <n v="5"/>
    <n v="675833"/>
    <n v="104894"/>
    <n v="570939"/>
    <n v="51"/>
    <n v="66"/>
    <n v="10.7"/>
  </r>
  <r>
    <x v="0"/>
    <x v="0"/>
    <d v="2024-05-26T00:00:00"/>
    <d v="2024-06-10T00:00:00"/>
    <n v="1"/>
    <n v="48"/>
    <s v="41-60"/>
    <x v="0"/>
    <x v="0"/>
    <x v="0"/>
    <x v="2"/>
    <n v="2"/>
    <n v="2"/>
    <n v="3.8"/>
    <x v="21"/>
    <n v="4"/>
    <n v="5"/>
    <n v="820259"/>
    <n v="432102"/>
    <n v="388157"/>
    <n v="39"/>
    <n v="58"/>
    <n v="6.2"/>
  </r>
  <r>
    <x v="6"/>
    <x v="6"/>
    <d v="2024-05-30T00:00:00"/>
    <d v="2024-06-12T00:00:00"/>
    <n v="1"/>
    <n v="33"/>
    <s v="21-40"/>
    <x v="1"/>
    <x v="10"/>
    <x v="8"/>
    <x v="2"/>
    <n v="2"/>
    <n v="2"/>
    <n v="4.4000000000000004"/>
    <x v="16"/>
    <n v="5"/>
    <n v="3"/>
    <n v="794206"/>
    <n v="172892"/>
    <n v="621314"/>
    <n v="31"/>
    <n v="64"/>
    <n v="14.9"/>
  </r>
  <r>
    <x v="0"/>
    <x v="0"/>
    <d v="2024-05-26T00:00:00"/>
    <d v="2024-06-18T00:00:00"/>
    <n v="1"/>
    <n v="81"/>
    <s v="81+"/>
    <x v="1"/>
    <x v="12"/>
    <x v="9"/>
    <x v="4"/>
    <n v="2"/>
    <n v="2"/>
    <n v="2.4"/>
    <x v="14"/>
    <n v="5"/>
    <n v="7"/>
    <n v="771019"/>
    <n v="434452"/>
    <n v="336567"/>
    <n v="30"/>
    <n v="56"/>
    <n v="8.3000000000000007"/>
  </r>
  <r>
    <x v="4"/>
    <x v="4"/>
    <d v="2024-05-29T00:00:00"/>
    <d v="2024-06-20T00:00:00"/>
    <n v="1"/>
    <n v="29"/>
    <s v="21-40"/>
    <x v="0"/>
    <x v="0"/>
    <x v="0"/>
    <x v="4"/>
    <n v="2"/>
    <n v="2"/>
    <n v="5.4"/>
    <x v="25"/>
    <n v="4"/>
    <n v="4"/>
    <n v="836732"/>
    <n v="313135"/>
    <n v="523597"/>
    <n v="31"/>
    <n v="62"/>
    <n v="6.4"/>
  </r>
  <r>
    <x v="1"/>
    <x v="1"/>
    <d v="2024-06-05T00:00:00"/>
    <d v="2024-06-20T00:00:00"/>
    <n v="1"/>
    <n v="37"/>
    <s v="21-40"/>
    <x v="0"/>
    <x v="1"/>
    <x v="1"/>
    <x v="1"/>
    <n v="2"/>
    <n v="2"/>
    <n v="4.4000000000000004"/>
    <x v="23"/>
    <n v="7"/>
    <n v="4"/>
    <n v="735565"/>
    <n v="382669"/>
    <n v="352896"/>
    <n v="31"/>
    <n v="62"/>
    <n v="8"/>
  </r>
  <r>
    <x v="6"/>
    <x v="6"/>
    <d v="2024-06-24T00:00:00"/>
    <d v="2024-06-28T00:00:00"/>
    <n v="1"/>
    <n v="49"/>
    <s v="41-60"/>
    <x v="1"/>
    <x v="3"/>
    <x v="2"/>
    <x v="3"/>
    <n v="2"/>
    <n v="2"/>
    <n v="5.3"/>
    <x v="0"/>
    <n v="6"/>
    <n v="3"/>
    <n v="770423"/>
    <n v="78434"/>
    <n v="691989"/>
    <n v="37"/>
    <n v="56"/>
    <n v="8.1999999999999993"/>
  </r>
  <r>
    <x v="4"/>
    <x v="4"/>
    <d v="2024-06-05T00:00:00"/>
    <d v="2024-07-01T00:00:00"/>
    <n v="1"/>
    <n v="45"/>
    <s v="41-60"/>
    <x v="0"/>
    <x v="0"/>
    <x v="0"/>
    <x v="3"/>
    <n v="2"/>
    <n v="2"/>
    <n v="6.8"/>
    <x v="20"/>
    <n v="4"/>
    <n v="5"/>
    <n v="893789"/>
    <n v="312404"/>
    <n v="581385"/>
    <n v="36"/>
    <n v="59"/>
    <n v="14.9"/>
  </r>
  <r>
    <x v="5"/>
    <x v="5"/>
    <d v="2024-07-07T00:00:00"/>
    <d v="2024-07-09T00:00:00"/>
    <n v="1"/>
    <n v="37"/>
    <s v="21-40"/>
    <x v="1"/>
    <x v="12"/>
    <x v="9"/>
    <x v="3"/>
    <n v="2"/>
    <n v="2"/>
    <n v="1.1000000000000001"/>
    <x v="29"/>
    <n v="5"/>
    <n v="6"/>
    <n v="513857"/>
    <n v="44160"/>
    <n v="469697"/>
    <n v="36"/>
    <n v="61"/>
    <n v="8"/>
  </r>
  <r>
    <x v="7"/>
    <x v="7"/>
    <d v="2024-07-05T00:00:00"/>
    <d v="2024-07-11T00:00:00"/>
    <n v="1"/>
    <n v="39"/>
    <s v="21-40"/>
    <x v="1"/>
    <x v="10"/>
    <x v="8"/>
    <x v="0"/>
    <n v="2"/>
    <n v="2"/>
    <n v="4.2"/>
    <x v="17"/>
    <n v="6"/>
    <n v="5"/>
    <n v="824230"/>
    <n v="211279"/>
    <n v="612951"/>
    <n v="41"/>
    <n v="60"/>
    <n v="10.3"/>
  </r>
  <r>
    <x v="8"/>
    <x v="8"/>
    <d v="2024-07-06T00:00:00"/>
    <d v="2024-07-11T00:00:00"/>
    <n v="1"/>
    <n v="57"/>
    <s v="41-60"/>
    <x v="1"/>
    <x v="3"/>
    <x v="2"/>
    <x v="0"/>
    <n v="2"/>
    <n v="2"/>
    <n v="3.9"/>
    <x v="0"/>
    <n v="4"/>
    <n v="4"/>
    <n v="655615"/>
    <n v="109316"/>
    <n v="546299"/>
    <n v="40"/>
    <n v="59"/>
    <n v="8.3000000000000007"/>
  </r>
  <r>
    <x v="14"/>
    <x v="14"/>
    <d v="2024-06-25T00:00:00"/>
    <d v="2024-07-12T00:00:00"/>
    <n v="1"/>
    <n v="65"/>
    <s v="61-80"/>
    <x v="1"/>
    <x v="12"/>
    <x v="9"/>
    <x v="3"/>
    <n v="2"/>
    <n v="2"/>
    <n v="2.2999999999999998"/>
    <x v="15"/>
    <n v="5"/>
    <n v="3"/>
    <n v="771091"/>
    <n v="369138"/>
    <n v="401953"/>
    <n v="27"/>
    <n v="65"/>
    <n v="9.6999999999999993"/>
  </r>
  <r>
    <x v="0"/>
    <x v="0"/>
    <d v="2024-06-18T00:00:00"/>
    <d v="2024-07-15T00:00:00"/>
    <n v="1"/>
    <n v="81"/>
    <s v="81+"/>
    <x v="1"/>
    <x v="2"/>
    <x v="1"/>
    <x v="2"/>
    <n v="2"/>
    <n v="2"/>
    <n v="4"/>
    <x v="0"/>
    <n v="5"/>
    <n v="3"/>
    <n v="955181"/>
    <n v="554465"/>
    <n v="400716"/>
    <n v="32"/>
    <n v="56"/>
    <n v="13.2"/>
  </r>
  <r>
    <x v="3"/>
    <x v="3"/>
    <d v="2024-07-16T00:00:00"/>
    <d v="2024-07-20T00:00:00"/>
    <n v="1"/>
    <n v="53"/>
    <s v="41-60"/>
    <x v="0"/>
    <x v="2"/>
    <x v="1"/>
    <x v="3"/>
    <n v="2"/>
    <n v="2"/>
    <n v="4.9000000000000004"/>
    <x v="16"/>
    <n v="4"/>
    <n v="5"/>
    <n v="922339"/>
    <n v="334071"/>
    <n v="588268"/>
    <n v="67"/>
    <n v="66"/>
    <n v="5.4"/>
  </r>
  <r>
    <x v="8"/>
    <x v="8"/>
    <d v="2024-07-14T00:00:00"/>
    <d v="2024-07-21T00:00:00"/>
    <n v="1"/>
    <n v="51"/>
    <s v="41-60"/>
    <x v="0"/>
    <x v="6"/>
    <x v="4"/>
    <x v="3"/>
    <n v="2"/>
    <n v="2"/>
    <n v="4.3"/>
    <x v="21"/>
    <n v="5"/>
    <n v="7"/>
    <n v="807954"/>
    <n v="213276"/>
    <n v="594678"/>
    <n v="42"/>
    <n v="62"/>
    <n v="13.9"/>
  </r>
  <r>
    <x v="0"/>
    <x v="0"/>
    <d v="2024-07-18T00:00:00"/>
    <d v="2024-07-22T00:00:00"/>
    <n v="1"/>
    <n v="22"/>
    <s v="21-40"/>
    <x v="0"/>
    <x v="5"/>
    <x v="0"/>
    <x v="2"/>
    <n v="2"/>
    <n v="2"/>
    <n v="3.9"/>
    <x v="15"/>
    <n v="5"/>
    <n v="7"/>
    <n v="655464"/>
    <n v="396283"/>
    <n v="259181"/>
    <n v="27"/>
    <n v="59"/>
    <n v="13.4"/>
  </r>
  <r>
    <x v="3"/>
    <x v="3"/>
    <d v="2024-06-26T00:00:00"/>
    <d v="2024-07-22T00:00:00"/>
    <n v="1"/>
    <n v="55"/>
    <s v="41-60"/>
    <x v="1"/>
    <x v="10"/>
    <x v="8"/>
    <x v="2"/>
    <n v="2"/>
    <n v="2"/>
    <n v="1.3"/>
    <x v="8"/>
    <n v="4"/>
    <n v="7"/>
    <n v="939996"/>
    <n v="241483"/>
    <n v="698513"/>
    <n v="56"/>
    <n v="55"/>
    <n v="10.6"/>
  </r>
  <r>
    <x v="4"/>
    <x v="4"/>
    <d v="2024-07-12T00:00:00"/>
    <d v="2024-07-24T00:00:00"/>
    <n v="1"/>
    <n v="63"/>
    <s v="61-80"/>
    <x v="1"/>
    <x v="3"/>
    <x v="2"/>
    <x v="2"/>
    <n v="2"/>
    <n v="2"/>
    <n v="6.7"/>
    <x v="16"/>
    <n v="6"/>
    <n v="5"/>
    <n v="678325"/>
    <n v="34431"/>
    <n v="643894"/>
    <n v="30"/>
    <n v="63"/>
    <n v="6.4"/>
  </r>
  <r>
    <x v="1"/>
    <x v="1"/>
    <d v="2024-07-15T00:00:00"/>
    <d v="2024-07-26T00:00:00"/>
    <n v="1"/>
    <n v="24"/>
    <s v="21-40"/>
    <x v="0"/>
    <x v="13"/>
    <x v="10"/>
    <x v="3"/>
    <n v="2"/>
    <n v="2"/>
    <n v="5.5"/>
    <x v="4"/>
    <n v="3"/>
    <n v="6"/>
    <n v="419185"/>
    <n v="43670"/>
    <n v="375515"/>
    <n v="45"/>
    <n v="65"/>
    <n v="14.7"/>
  </r>
  <r>
    <x v="4"/>
    <x v="4"/>
    <d v="2024-07-20T00:00:00"/>
    <d v="2024-07-27T00:00:00"/>
    <n v="1"/>
    <n v="29"/>
    <s v="21-40"/>
    <x v="0"/>
    <x v="2"/>
    <x v="1"/>
    <x v="4"/>
    <n v="2"/>
    <n v="2"/>
    <n v="5.4"/>
    <x v="19"/>
    <n v="7"/>
    <n v="6"/>
    <n v="877092"/>
    <n v="346827"/>
    <n v="530265"/>
    <n v="40"/>
    <n v="64"/>
    <n v="10.1"/>
  </r>
  <r>
    <x v="2"/>
    <x v="2"/>
    <d v="2024-07-17T00:00:00"/>
    <d v="2024-07-29T00:00:00"/>
    <n v="1"/>
    <n v="76"/>
    <s v="61-80"/>
    <x v="0"/>
    <x v="0"/>
    <x v="0"/>
    <x v="1"/>
    <n v="2"/>
    <n v="2"/>
    <n v="4.7"/>
    <x v="16"/>
    <n v="4"/>
    <n v="6"/>
    <n v="923660"/>
    <n v="122695"/>
    <n v="800965"/>
    <n v="38"/>
    <n v="62"/>
    <n v="13.6"/>
  </r>
  <r>
    <x v="5"/>
    <x v="5"/>
    <d v="2024-08-01T00:00:00"/>
    <d v="2024-08-04T00:00:00"/>
    <n v="1"/>
    <n v="37"/>
    <s v="21-40"/>
    <x v="1"/>
    <x v="3"/>
    <x v="2"/>
    <x v="1"/>
    <n v="2"/>
    <n v="2"/>
    <n v="6.2"/>
    <x v="24"/>
    <n v="6"/>
    <n v="7"/>
    <n v="534669"/>
    <n v="105226"/>
    <n v="429443"/>
    <n v="40"/>
    <n v="65"/>
    <n v="10"/>
  </r>
  <r>
    <x v="12"/>
    <x v="12"/>
    <d v="2024-07-19T00:00:00"/>
    <d v="2024-08-04T00:00:00"/>
    <n v="1"/>
    <n v="62"/>
    <s v="61-80"/>
    <x v="1"/>
    <x v="10"/>
    <x v="8"/>
    <x v="3"/>
    <n v="2"/>
    <n v="2"/>
    <n v="5.2"/>
    <x v="3"/>
    <n v="3"/>
    <n v="7"/>
    <n v="927790"/>
    <n v="271602"/>
    <n v="656188"/>
    <n v="75"/>
    <n v="55"/>
    <n v="8.1999999999999993"/>
  </r>
  <r>
    <x v="1"/>
    <x v="1"/>
    <d v="2024-07-24T00:00:00"/>
    <d v="2024-08-05T00:00:00"/>
    <n v="1"/>
    <n v="74"/>
    <s v="61-80"/>
    <x v="1"/>
    <x v="11"/>
    <x v="8"/>
    <x v="1"/>
    <n v="2"/>
    <n v="2"/>
    <n v="3.4"/>
    <x v="27"/>
    <n v="4"/>
    <n v="7"/>
    <n v="488732"/>
    <n v="125591"/>
    <n v="363141"/>
    <n v="39"/>
    <n v="66"/>
    <n v="14.5"/>
  </r>
  <r>
    <x v="0"/>
    <x v="0"/>
    <d v="2024-07-19T00:00:00"/>
    <d v="2024-08-08T00:00:00"/>
    <n v="1"/>
    <n v="71"/>
    <s v="61-80"/>
    <x v="0"/>
    <x v="6"/>
    <x v="4"/>
    <x v="4"/>
    <n v="2"/>
    <n v="2"/>
    <n v="3.6"/>
    <x v="10"/>
    <n v="5"/>
    <n v="7"/>
    <n v="853819"/>
    <n v="461490"/>
    <n v="392329"/>
    <n v="27"/>
    <n v="55"/>
    <n v="7.5"/>
  </r>
  <r>
    <x v="7"/>
    <x v="7"/>
    <d v="2024-07-15T00:00:00"/>
    <d v="2024-08-08T00:00:00"/>
    <n v="1"/>
    <n v="62"/>
    <s v="61-80"/>
    <x v="0"/>
    <x v="14"/>
    <x v="11"/>
    <x v="3"/>
    <n v="2"/>
    <n v="2"/>
    <n v="3.6"/>
    <x v="30"/>
    <n v="6"/>
    <n v="6"/>
    <n v="865436"/>
    <n v="293183"/>
    <n v="572253"/>
    <n v="50"/>
    <n v="57"/>
    <n v="5.8"/>
  </r>
  <r>
    <x v="7"/>
    <x v="7"/>
    <d v="2024-07-25T00:00:00"/>
    <d v="2024-08-10T00:00:00"/>
    <n v="1"/>
    <n v="37"/>
    <s v="21-40"/>
    <x v="0"/>
    <x v="5"/>
    <x v="0"/>
    <x v="3"/>
    <n v="2"/>
    <n v="2"/>
    <n v="3.3"/>
    <x v="2"/>
    <n v="4"/>
    <n v="4"/>
    <n v="874649"/>
    <n v="246318"/>
    <n v="628331"/>
    <n v="33"/>
    <n v="59"/>
    <n v="9.3000000000000007"/>
  </r>
  <r>
    <x v="3"/>
    <x v="3"/>
    <d v="2024-08-04T00:00:00"/>
    <d v="2024-08-20T00:00:00"/>
    <n v="1"/>
    <n v="29"/>
    <s v="21-40"/>
    <x v="1"/>
    <x v="4"/>
    <x v="3"/>
    <x v="1"/>
    <n v="2"/>
    <n v="2"/>
    <n v="1"/>
    <x v="8"/>
    <n v="3"/>
    <n v="5"/>
    <n v="961789"/>
    <n v="325628"/>
    <n v="636161"/>
    <n v="59"/>
    <n v="61"/>
    <n v="13.5"/>
  </r>
  <r>
    <x v="8"/>
    <x v="8"/>
    <d v="2024-08-10T00:00:00"/>
    <d v="2024-08-25T00:00:00"/>
    <n v="1"/>
    <n v="86"/>
    <s v="81+"/>
    <x v="1"/>
    <x v="9"/>
    <x v="7"/>
    <x v="3"/>
    <n v="2"/>
    <n v="2"/>
    <n v="5.9"/>
    <x v="12"/>
    <n v="7"/>
    <n v="3"/>
    <n v="701332"/>
    <n v="191561"/>
    <n v="509771"/>
    <n v="58"/>
    <n v="56"/>
    <n v="6.4"/>
  </r>
  <r>
    <x v="8"/>
    <x v="8"/>
    <d v="2024-08-10T00:00:00"/>
    <d v="2024-08-25T00:00:00"/>
    <n v="1"/>
    <n v="39"/>
    <s v="21-40"/>
    <x v="0"/>
    <x v="0"/>
    <x v="0"/>
    <x v="4"/>
    <n v="2"/>
    <n v="2"/>
    <n v="5.5"/>
    <x v="10"/>
    <n v="7"/>
    <n v="3"/>
    <n v="848989"/>
    <n v="297230"/>
    <n v="551759"/>
    <n v="58"/>
    <n v="63"/>
    <n v="6.3"/>
  </r>
  <r>
    <x v="4"/>
    <x v="4"/>
    <d v="2024-08-25T00:00:00"/>
    <d v="2024-08-27T00:00:00"/>
    <n v="1"/>
    <n v="28"/>
    <s v="21-40"/>
    <x v="0"/>
    <x v="6"/>
    <x v="4"/>
    <x v="1"/>
    <n v="2"/>
    <n v="2"/>
    <n v="3.5"/>
    <x v="15"/>
    <n v="5"/>
    <n v="5"/>
    <n v="680906"/>
    <n v="128707"/>
    <n v="552199"/>
    <n v="40"/>
    <n v="62"/>
    <n v="8.1999999999999993"/>
  </r>
  <r>
    <x v="7"/>
    <x v="7"/>
    <d v="2024-08-16T00:00:00"/>
    <d v="2024-08-29T00:00:00"/>
    <n v="1"/>
    <n v="30"/>
    <s v="21-40"/>
    <x v="0"/>
    <x v="6"/>
    <x v="4"/>
    <x v="1"/>
    <n v="2"/>
    <n v="2"/>
    <n v="1.8"/>
    <x v="19"/>
    <n v="7"/>
    <n v="4"/>
    <n v="795807"/>
    <n v="195528"/>
    <n v="600279"/>
    <n v="41"/>
    <n v="56"/>
    <n v="9.5"/>
  </r>
  <r>
    <x v="14"/>
    <x v="14"/>
    <d v="2024-08-20T00:00:00"/>
    <d v="2024-09-02T00:00:00"/>
    <n v="1"/>
    <n v="70"/>
    <s v="61-80"/>
    <x v="1"/>
    <x v="6"/>
    <x v="4"/>
    <x v="2"/>
    <n v="2"/>
    <n v="2"/>
    <n v="4.9000000000000004"/>
    <x v="9"/>
    <n v="3"/>
    <n v="3"/>
    <n v="765731"/>
    <n v="357144"/>
    <n v="408587"/>
    <n v="20"/>
    <n v="57"/>
    <n v="36.4"/>
  </r>
  <r>
    <x v="12"/>
    <x v="12"/>
    <d v="2024-08-24T00:00:00"/>
    <d v="2024-09-03T00:00:00"/>
    <n v="1"/>
    <n v="78"/>
    <s v="61-80"/>
    <x v="1"/>
    <x v="13"/>
    <x v="10"/>
    <x v="1"/>
    <n v="2"/>
    <n v="2"/>
    <n v="2.2999999999999998"/>
    <x v="6"/>
    <n v="5"/>
    <n v="5"/>
    <n v="935055"/>
    <n v="315348"/>
    <n v="619707"/>
    <n v="53"/>
    <n v="61"/>
    <n v="13.6"/>
  </r>
  <r>
    <x v="8"/>
    <x v="8"/>
    <d v="2024-08-07T00:00:00"/>
    <d v="2024-09-05T00:00:00"/>
    <n v="1"/>
    <n v="66"/>
    <s v="61-80"/>
    <x v="0"/>
    <x v="5"/>
    <x v="0"/>
    <x v="0"/>
    <n v="2"/>
    <n v="2"/>
    <n v="5"/>
    <x v="2"/>
    <n v="3"/>
    <n v="5"/>
    <n v="789429"/>
    <n v="202853"/>
    <n v="586576"/>
    <n v="48"/>
    <n v="57"/>
    <n v="12"/>
  </r>
  <r>
    <x v="10"/>
    <x v="10"/>
    <d v="2024-08-13T00:00:00"/>
    <d v="2024-09-09T00:00:00"/>
    <n v="1"/>
    <n v="25"/>
    <s v="21-40"/>
    <x v="0"/>
    <x v="2"/>
    <x v="1"/>
    <x v="4"/>
    <n v="2"/>
    <n v="2"/>
    <n v="6.8"/>
    <x v="26"/>
    <n v="5"/>
    <n v="7"/>
    <n v="510197"/>
    <n v="174054"/>
    <n v="336143"/>
    <n v="24"/>
    <n v="60"/>
    <n v="7.1"/>
  </r>
  <r>
    <x v="0"/>
    <x v="0"/>
    <d v="2024-08-22T00:00:00"/>
    <d v="2024-09-13T00:00:00"/>
    <n v="1"/>
    <n v="47"/>
    <s v="41-60"/>
    <x v="1"/>
    <x v="12"/>
    <x v="9"/>
    <x v="3"/>
    <n v="2"/>
    <n v="2"/>
    <n v="1.5"/>
    <x v="29"/>
    <n v="4"/>
    <n v="3"/>
    <n v="735215"/>
    <n v="376813"/>
    <n v="358402"/>
    <n v="22"/>
    <n v="61"/>
    <n v="8.1"/>
  </r>
  <r>
    <x v="7"/>
    <x v="7"/>
    <d v="2024-09-05T00:00:00"/>
    <d v="2024-09-13T00:00:00"/>
    <n v="1"/>
    <n v="41"/>
    <s v="41-60"/>
    <x v="0"/>
    <x v="0"/>
    <x v="0"/>
    <x v="2"/>
    <n v="2"/>
    <n v="2"/>
    <n v="3.1"/>
    <x v="7"/>
    <n v="7"/>
    <n v="7"/>
    <n v="868961"/>
    <n v="314419"/>
    <n v="554542"/>
    <n v="40"/>
    <n v="54"/>
    <n v="13.4"/>
  </r>
  <r>
    <x v="1"/>
    <x v="1"/>
    <d v="2024-09-17T00:00:00"/>
    <d v="2024-09-18T00:00:00"/>
    <n v="1"/>
    <n v="90"/>
    <s v="81+"/>
    <x v="0"/>
    <x v="12"/>
    <x v="9"/>
    <x v="0"/>
    <n v="2"/>
    <n v="2"/>
    <n v="4"/>
    <x v="29"/>
    <n v="4"/>
    <n v="4"/>
    <n v="573693"/>
    <n v="169633"/>
    <n v="404060"/>
    <n v="43"/>
    <n v="59"/>
    <n v="13.5"/>
  </r>
  <r>
    <x v="5"/>
    <x v="5"/>
    <d v="2024-09-14T00:00:00"/>
    <d v="2024-09-18T00:00:00"/>
    <n v="1"/>
    <n v="77"/>
    <s v="61-80"/>
    <x v="0"/>
    <x v="12"/>
    <x v="9"/>
    <x v="3"/>
    <n v="2"/>
    <n v="2"/>
    <n v="5.7"/>
    <x v="30"/>
    <n v="4"/>
    <n v="4"/>
    <n v="539760"/>
    <n v="51874"/>
    <n v="487886"/>
    <n v="35"/>
    <n v="60"/>
    <n v="5.9"/>
  </r>
  <r>
    <x v="3"/>
    <x v="3"/>
    <d v="2024-09-12T00:00:00"/>
    <d v="2024-09-19T00:00:00"/>
    <n v="1"/>
    <n v="54"/>
    <s v="41-60"/>
    <x v="1"/>
    <x v="3"/>
    <x v="2"/>
    <x v="3"/>
    <n v="2"/>
    <n v="2"/>
    <n v="3.7"/>
    <x v="9"/>
    <n v="4"/>
    <n v="4"/>
    <n v="883664"/>
    <n v="299436"/>
    <n v="584228"/>
    <n v="63"/>
    <n v="59"/>
    <n v="7.3"/>
  </r>
  <r>
    <x v="4"/>
    <x v="4"/>
    <d v="2024-09-20T00:00:00"/>
    <d v="2024-09-25T00:00:00"/>
    <n v="1"/>
    <n v="46"/>
    <s v="41-60"/>
    <x v="1"/>
    <x v="2"/>
    <x v="1"/>
    <x v="4"/>
    <n v="2"/>
    <n v="2"/>
    <n v="2.5"/>
    <x v="25"/>
    <n v="4"/>
    <n v="5"/>
    <n v="802538"/>
    <n v="270360"/>
    <n v="532178"/>
    <n v="36"/>
    <n v="54"/>
    <n v="14.4"/>
  </r>
  <r>
    <x v="5"/>
    <x v="5"/>
    <d v="2024-09-20T00:00:00"/>
    <d v="2024-09-27T00:00:00"/>
    <n v="1"/>
    <n v="41"/>
    <s v="41-60"/>
    <x v="0"/>
    <x v="2"/>
    <x v="1"/>
    <x v="3"/>
    <n v="2"/>
    <n v="2"/>
    <n v="3.4"/>
    <x v="21"/>
    <n v="5"/>
    <n v="6"/>
    <n v="556245"/>
    <n v="87310"/>
    <n v="468935"/>
    <n v="37"/>
    <n v="66"/>
    <n v="10.8"/>
  </r>
  <r>
    <x v="13"/>
    <x v="13"/>
    <d v="2024-09-07T00:00:00"/>
    <d v="2024-09-28T00:00:00"/>
    <n v="1"/>
    <n v="36"/>
    <s v="21-40"/>
    <x v="1"/>
    <x v="6"/>
    <x v="4"/>
    <x v="1"/>
    <n v="2"/>
    <n v="2"/>
    <n v="4.2"/>
    <x v="21"/>
    <n v="6"/>
    <n v="7"/>
    <n v="888875"/>
    <n v="269749"/>
    <n v="619126"/>
    <n v="46"/>
    <n v="59"/>
    <n v="9.1"/>
  </r>
  <r>
    <x v="14"/>
    <x v="14"/>
    <d v="2024-09-09T00:00:00"/>
    <d v="2024-10-01T00:00:00"/>
    <n v="1"/>
    <n v="63"/>
    <s v="61-80"/>
    <x v="0"/>
    <x v="4"/>
    <x v="3"/>
    <x v="4"/>
    <n v="2"/>
    <n v="2"/>
    <n v="3.3"/>
    <x v="9"/>
    <n v="5"/>
    <n v="6"/>
    <n v="652762"/>
    <n v="76879"/>
    <n v="575883"/>
    <n v="24"/>
    <n v="66"/>
    <n v="13.5"/>
  </r>
  <r>
    <x v="0"/>
    <x v="0"/>
    <d v="2024-09-10T00:00:00"/>
    <d v="2024-10-05T00:00:00"/>
    <n v="1"/>
    <n v="68"/>
    <s v="61-80"/>
    <x v="0"/>
    <x v="0"/>
    <x v="0"/>
    <x v="4"/>
    <n v="2"/>
    <n v="2"/>
    <n v="1.9"/>
    <x v="28"/>
    <n v="3"/>
    <n v="7"/>
    <n v="820253"/>
    <n v="576343"/>
    <n v="243910"/>
    <n v="26"/>
    <n v="56"/>
    <n v="13.4"/>
  </r>
  <r>
    <x v="0"/>
    <x v="0"/>
    <d v="2024-10-05T00:00:00"/>
    <d v="2024-10-12T00:00:00"/>
    <n v="1"/>
    <n v="26"/>
    <s v="21-40"/>
    <x v="0"/>
    <x v="0"/>
    <x v="0"/>
    <x v="2"/>
    <n v="2"/>
    <n v="2"/>
    <n v="4.8"/>
    <x v="9"/>
    <n v="5"/>
    <n v="5"/>
    <n v="890715"/>
    <n v="620457"/>
    <n v="270258"/>
    <n v="28"/>
    <n v="62"/>
    <n v="7.4"/>
  </r>
  <r>
    <x v="2"/>
    <x v="2"/>
    <d v="2024-09-27T00:00:00"/>
    <d v="2024-10-13T00:00:00"/>
    <n v="1"/>
    <n v="53"/>
    <s v="41-60"/>
    <x v="1"/>
    <x v="3"/>
    <x v="2"/>
    <x v="4"/>
    <n v="2"/>
    <n v="2"/>
    <n v="5.6"/>
    <x v="29"/>
    <n v="3"/>
    <n v="3"/>
    <n v="956494"/>
    <n v="319640"/>
    <n v="636854"/>
    <n v="35"/>
    <n v="65"/>
    <n v="36.1"/>
  </r>
  <r>
    <x v="11"/>
    <x v="11"/>
    <d v="2024-10-10T00:00:00"/>
    <d v="2024-10-14T00:00:00"/>
    <n v="1"/>
    <n v="58"/>
    <s v="41-60"/>
    <x v="0"/>
    <x v="13"/>
    <x v="10"/>
    <x v="1"/>
    <n v="2"/>
    <n v="2"/>
    <n v="1.8"/>
    <x v="29"/>
    <n v="5"/>
    <n v="3"/>
    <n v="667358"/>
    <n v="258496"/>
    <n v="408862"/>
    <n v="27"/>
    <n v="55"/>
    <n v="8.8000000000000007"/>
  </r>
  <r>
    <x v="4"/>
    <x v="4"/>
    <d v="2024-10-04T00:00:00"/>
    <d v="2024-10-17T00:00:00"/>
    <n v="1"/>
    <n v="62"/>
    <s v="61-80"/>
    <x v="0"/>
    <x v="7"/>
    <x v="5"/>
    <x v="2"/>
    <n v="2"/>
    <n v="2"/>
    <n v="1.7"/>
    <x v="20"/>
    <n v="6"/>
    <n v="3"/>
    <n v="624862"/>
    <n v="-17810"/>
    <n v="642672"/>
    <n v="34"/>
    <n v="61"/>
    <n v="7.6"/>
  </r>
  <r>
    <x v="9"/>
    <x v="9"/>
    <d v="2024-10-11T00:00:00"/>
    <d v="2024-10-17T00:00:00"/>
    <n v="1"/>
    <n v="23"/>
    <s v="21-40"/>
    <x v="1"/>
    <x v="2"/>
    <x v="1"/>
    <x v="2"/>
    <n v="2"/>
    <n v="2"/>
    <n v="2.4"/>
    <x v="26"/>
    <n v="6"/>
    <n v="6"/>
    <n v="952870"/>
    <n v="109083"/>
    <n v="843787"/>
    <n v="35"/>
    <n v="59"/>
    <n v="9.8000000000000007"/>
  </r>
  <r>
    <x v="4"/>
    <x v="4"/>
    <d v="2024-10-09T00:00:00"/>
    <d v="2024-10-20T00:00:00"/>
    <n v="1"/>
    <n v="65"/>
    <s v="61-80"/>
    <x v="0"/>
    <x v="6"/>
    <x v="4"/>
    <x v="1"/>
    <n v="2"/>
    <n v="2"/>
    <n v="3.4"/>
    <x v="24"/>
    <n v="7"/>
    <n v="3"/>
    <n v="725463"/>
    <n v="95316"/>
    <n v="630147"/>
    <n v="31"/>
    <n v="58"/>
    <n v="6.9"/>
  </r>
  <r>
    <x v="6"/>
    <x v="6"/>
    <d v="2024-10-10T00:00:00"/>
    <d v="2024-10-21T00:00:00"/>
    <n v="1"/>
    <n v="25"/>
    <s v="21-40"/>
    <x v="0"/>
    <x v="0"/>
    <x v="0"/>
    <x v="3"/>
    <n v="2"/>
    <n v="2"/>
    <n v="1.9"/>
    <x v="25"/>
    <n v="7"/>
    <n v="4"/>
    <n v="731885"/>
    <n v="218495"/>
    <n v="513390"/>
    <n v="52"/>
    <n v="62"/>
    <n v="13.7"/>
  </r>
  <r>
    <x v="11"/>
    <x v="11"/>
    <d v="2024-10-16T00:00:00"/>
    <d v="2024-10-23T00:00:00"/>
    <n v="1"/>
    <n v="47"/>
    <s v="41-60"/>
    <x v="0"/>
    <x v="7"/>
    <x v="5"/>
    <x v="1"/>
    <n v="2"/>
    <n v="2"/>
    <n v="4"/>
    <x v="30"/>
    <n v="6"/>
    <n v="3"/>
    <n v="790156"/>
    <n v="282429"/>
    <n v="507727"/>
    <n v="20"/>
    <n v="54"/>
    <n v="13.3"/>
  </r>
  <r>
    <x v="5"/>
    <x v="5"/>
    <d v="2024-10-20T00:00:00"/>
    <d v="2024-10-24T00:00:00"/>
    <n v="1"/>
    <n v="46"/>
    <s v="41-60"/>
    <x v="0"/>
    <x v="13"/>
    <x v="10"/>
    <x v="4"/>
    <n v="2"/>
    <n v="2"/>
    <n v="2.4"/>
    <x v="6"/>
    <n v="5"/>
    <n v="5"/>
    <n v="523815"/>
    <n v="108187"/>
    <n v="415628"/>
    <n v="37"/>
    <n v="61"/>
    <n v="5.9"/>
  </r>
  <r>
    <x v="14"/>
    <x v="14"/>
    <d v="2024-10-13T00:00:00"/>
    <d v="2024-10-26T00:00:00"/>
    <n v="1"/>
    <n v="32"/>
    <s v="21-40"/>
    <x v="0"/>
    <x v="0"/>
    <x v="0"/>
    <x v="1"/>
    <n v="2"/>
    <n v="2"/>
    <n v="6.5"/>
    <x v="2"/>
    <n v="3"/>
    <n v="5"/>
    <n v="768913"/>
    <n v="263066"/>
    <n v="505847"/>
    <n v="20"/>
    <n v="60"/>
    <n v="36.6"/>
  </r>
  <r>
    <x v="5"/>
    <x v="5"/>
    <d v="2024-10-23T00:00:00"/>
    <d v="2024-10-30T00:00:00"/>
    <n v="1"/>
    <n v="68"/>
    <s v="61-80"/>
    <x v="1"/>
    <x v="4"/>
    <x v="3"/>
    <x v="4"/>
    <n v="2"/>
    <n v="2"/>
    <n v="4.2"/>
    <x v="21"/>
    <n v="6"/>
    <n v="7"/>
    <n v="564179"/>
    <n v="165751"/>
    <n v="398428"/>
    <n v="40"/>
    <n v="61"/>
    <n v="9.6"/>
  </r>
  <r>
    <x v="0"/>
    <x v="0"/>
    <d v="2024-10-29T00:00:00"/>
    <d v="2024-10-31T00:00:00"/>
    <n v="1"/>
    <n v="25"/>
    <s v="21-40"/>
    <x v="0"/>
    <x v="4"/>
    <x v="3"/>
    <x v="3"/>
    <n v="2"/>
    <n v="2"/>
    <n v="5.3"/>
    <x v="25"/>
    <n v="4"/>
    <n v="3"/>
    <n v="659332"/>
    <n v="323149"/>
    <n v="336183"/>
    <n v="35"/>
    <n v="63"/>
    <n v="36.5"/>
  </r>
  <r>
    <x v="6"/>
    <x v="6"/>
    <d v="2024-10-14T00:00:00"/>
    <d v="2024-11-05T00:00:00"/>
    <n v="1"/>
    <n v="66"/>
    <s v="61-80"/>
    <x v="1"/>
    <x v="8"/>
    <x v="6"/>
    <x v="3"/>
    <n v="2"/>
    <n v="2"/>
    <n v="4.0999999999999996"/>
    <x v="23"/>
    <n v="3"/>
    <n v="5"/>
    <n v="754797"/>
    <n v="102135"/>
    <n v="652662"/>
    <n v="51"/>
    <n v="61"/>
    <n v="13.8"/>
  </r>
  <r>
    <x v="10"/>
    <x v="10"/>
    <d v="2024-10-14T00:00:00"/>
    <d v="2024-11-08T00:00:00"/>
    <n v="1"/>
    <n v="33"/>
    <s v="21-40"/>
    <x v="0"/>
    <x v="0"/>
    <x v="0"/>
    <x v="3"/>
    <n v="2"/>
    <n v="2"/>
    <n v="6"/>
    <x v="15"/>
    <n v="3"/>
    <n v="6"/>
    <n v="594238"/>
    <n v="242180"/>
    <n v="352058"/>
    <n v="23"/>
    <n v="63"/>
    <n v="9.1"/>
  </r>
  <r>
    <x v="3"/>
    <x v="3"/>
    <d v="2024-10-18T00:00:00"/>
    <d v="2024-11-10T00:00:00"/>
    <n v="1"/>
    <n v="75"/>
    <s v="61-80"/>
    <x v="0"/>
    <x v="12"/>
    <x v="9"/>
    <x v="0"/>
    <n v="2"/>
    <n v="2"/>
    <n v="3.3"/>
    <x v="29"/>
    <n v="3"/>
    <n v="4"/>
    <n v="983698"/>
    <n v="427782"/>
    <n v="555916"/>
    <n v="67"/>
    <n v="59"/>
    <n v="6.6"/>
  </r>
  <r>
    <x v="9"/>
    <x v="9"/>
    <d v="2024-11-02T00:00:00"/>
    <d v="2024-11-17T00:00:00"/>
    <n v="1"/>
    <n v="56"/>
    <s v="41-60"/>
    <x v="1"/>
    <x v="2"/>
    <x v="1"/>
    <x v="3"/>
    <n v="2"/>
    <n v="2"/>
    <n v="6.7"/>
    <x v="10"/>
    <n v="5"/>
    <n v="4"/>
    <n v="968287"/>
    <n v="90679"/>
    <n v="877608"/>
    <n v="40"/>
    <n v="54"/>
    <n v="36.9"/>
  </r>
  <r>
    <x v="5"/>
    <x v="5"/>
    <d v="2024-11-07T00:00:00"/>
    <d v="2024-11-23T00:00:00"/>
    <n v="1"/>
    <n v="67"/>
    <s v="61-80"/>
    <x v="0"/>
    <x v="4"/>
    <x v="3"/>
    <x v="4"/>
    <n v="2"/>
    <n v="2"/>
    <n v="6.7"/>
    <x v="25"/>
    <n v="5"/>
    <n v="4"/>
    <n v="508322"/>
    <n v="91594"/>
    <n v="416728"/>
    <n v="35"/>
    <n v="58"/>
    <n v="9.8000000000000007"/>
  </r>
  <r>
    <x v="1"/>
    <x v="1"/>
    <d v="2024-10-28T00:00:00"/>
    <d v="2024-11-23T00:00:00"/>
    <n v="1"/>
    <n v="68"/>
    <s v="61-80"/>
    <x v="0"/>
    <x v="2"/>
    <x v="1"/>
    <x v="1"/>
    <n v="2"/>
    <n v="2"/>
    <n v="2.9"/>
    <x v="8"/>
    <n v="3"/>
    <n v="7"/>
    <n v="691753"/>
    <n v="285364"/>
    <n v="406389"/>
    <n v="35"/>
    <n v="58"/>
    <n v="10.8"/>
  </r>
  <r>
    <x v="5"/>
    <x v="5"/>
    <d v="2024-11-09T00:00:00"/>
    <d v="2024-11-24T00:00:00"/>
    <n v="1"/>
    <n v="43"/>
    <s v="41-60"/>
    <x v="1"/>
    <x v="10"/>
    <x v="8"/>
    <x v="2"/>
    <n v="2"/>
    <n v="2"/>
    <n v="2.2999999999999998"/>
    <x v="3"/>
    <n v="7"/>
    <n v="4"/>
    <n v="575322"/>
    <n v="139580"/>
    <n v="435742"/>
    <n v="35"/>
    <n v="66"/>
    <n v="36.5"/>
  </r>
  <r>
    <x v="5"/>
    <x v="5"/>
    <d v="2024-10-31T00:00:00"/>
    <d v="2024-11-26T00:00:00"/>
    <n v="1"/>
    <n v="24"/>
    <s v="21-40"/>
    <x v="1"/>
    <x v="4"/>
    <x v="3"/>
    <x v="3"/>
    <n v="2"/>
    <n v="2"/>
    <n v="6"/>
    <x v="15"/>
    <n v="6"/>
    <n v="7"/>
    <n v="582522"/>
    <n v="179039"/>
    <n v="403483"/>
    <n v="39"/>
    <n v="58"/>
    <n v="10"/>
  </r>
  <r>
    <x v="0"/>
    <x v="0"/>
    <d v="2024-11-26T00:00:00"/>
    <d v="2024-11-30T00:00:00"/>
    <n v="1"/>
    <n v="27"/>
    <s v="21-40"/>
    <x v="0"/>
    <x v="0"/>
    <x v="0"/>
    <x v="2"/>
    <n v="2"/>
    <n v="2"/>
    <n v="6.4"/>
    <x v="1"/>
    <n v="3"/>
    <n v="3"/>
    <n v="730401"/>
    <n v="244416"/>
    <n v="485985"/>
    <n v="26"/>
    <n v="65"/>
    <n v="8.5"/>
  </r>
  <r>
    <x v="4"/>
    <x v="4"/>
    <d v="2024-11-29T00:00:00"/>
    <d v="2024-12-04T00:00:00"/>
    <n v="1"/>
    <n v="83"/>
    <s v="81+"/>
    <x v="0"/>
    <x v="5"/>
    <x v="0"/>
    <x v="1"/>
    <n v="2"/>
    <n v="2"/>
    <n v="3.9"/>
    <x v="14"/>
    <n v="4"/>
    <n v="3"/>
    <n v="680459"/>
    <n v="45082"/>
    <n v="635377"/>
    <n v="37"/>
    <n v="63"/>
    <n v="13.3"/>
  </r>
  <r>
    <x v="7"/>
    <x v="7"/>
    <d v="2024-11-25T00:00:00"/>
    <d v="2024-12-10T00:00:00"/>
    <n v="1"/>
    <n v="36"/>
    <s v="21-40"/>
    <x v="0"/>
    <x v="2"/>
    <x v="1"/>
    <x v="0"/>
    <n v="2"/>
    <n v="2"/>
    <n v="3.2"/>
    <x v="21"/>
    <n v="4"/>
    <n v="3"/>
    <n v="702872"/>
    <n v="158566"/>
    <n v="544306"/>
    <n v="39"/>
    <n v="58"/>
    <n v="10.3"/>
  </r>
  <r>
    <x v="12"/>
    <x v="12"/>
    <d v="2024-12-01T00:00:00"/>
    <d v="2024-12-10T00:00:00"/>
    <n v="1"/>
    <n v="57"/>
    <s v="41-60"/>
    <x v="1"/>
    <x v="9"/>
    <x v="7"/>
    <x v="3"/>
    <n v="2"/>
    <n v="2"/>
    <n v="6"/>
    <x v="12"/>
    <n v="4"/>
    <n v="7"/>
    <n v="857505"/>
    <n v="295761"/>
    <n v="561744"/>
    <n v="59"/>
    <n v="60"/>
    <n v="6.8"/>
  </r>
  <r>
    <x v="8"/>
    <x v="8"/>
    <d v="2024-11-21T00:00:00"/>
    <d v="2024-12-14T00:00:00"/>
    <n v="1"/>
    <n v="70"/>
    <s v="61-80"/>
    <x v="0"/>
    <x v="5"/>
    <x v="0"/>
    <x v="0"/>
    <n v="2"/>
    <n v="2"/>
    <n v="5.7"/>
    <x v="14"/>
    <n v="5"/>
    <n v="5"/>
    <n v="766920"/>
    <n v="207758"/>
    <n v="559162"/>
    <n v="53"/>
    <n v="61"/>
    <n v="6"/>
  </r>
  <r>
    <x v="6"/>
    <x v="6"/>
    <d v="2024-12-07T00:00:00"/>
    <d v="2024-12-15T00:00:00"/>
    <n v="1"/>
    <n v="37"/>
    <s v="21-40"/>
    <x v="0"/>
    <x v="13"/>
    <x v="10"/>
    <x v="4"/>
    <n v="2"/>
    <n v="2"/>
    <n v="2.5"/>
    <x v="19"/>
    <n v="5"/>
    <n v="6"/>
    <n v="793384"/>
    <n v="188633"/>
    <n v="604751"/>
    <n v="60"/>
    <n v="61"/>
    <n v="8.4"/>
  </r>
  <r>
    <x v="12"/>
    <x v="12"/>
    <d v="2024-12-02T00:00:00"/>
    <d v="2024-12-15T00:00:00"/>
    <n v="1"/>
    <n v="67"/>
    <s v="61-80"/>
    <x v="1"/>
    <x v="3"/>
    <x v="2"/>
    <x v="4"/>
    <n v="2"/>
    <n v="2"/>
    <n v="2.9"/>
    <x v="11"/>
    <n v="3"/>
    <n v="6"/>
    <n v="902684"/>
    <n v="386249"/>
    <n v="516435"/>
    <n v="62"/>
    <n v="61"/>
    <n v="10.5"/>
  </r>
  <r>
    <x v="5"/>
    <x v="5"/>
    <d v="2024-12-08T00:00:00"/>
    <d v="2024-12-18T00:00:00"/>
    <n v="1"/>
    <n v="44"/>
    <s v="41-60"/>
    <x v="0"/>
    <x v="5"/>
    <x v="0"/>
    <x v="2"/>
    <n v="2"/>
    <n v="2"/>
    <n v="3.2"/>
    <x v="21"/>
    <n v="6"/>
    <n v="7"/>
    <n v="558495"/>
    <n v="172512"/>
    <n v="385983"/>
    <n v="36"/>
    <n v="62"/>
    <n v="9"/>
  </r>
  <r>
    <x v="3"/>
    <x v="3"/>
    <d v="2024-11-25T00:00:00"/>
    <d v="2024-12-21T00:00:00"/>
    <n v="1"/>
    <n v="39"/>
    <s v="21-40"/>
    <x v="0"/>
    <x v="9"/>
    <x v="7"/>
    <x v="3"/>
    <n v="2"/>
    <n v="2"/>
    <n v="4.4000000000000004"/>
    <x v="20"/>
    <n v="3"/>
    <n v="3"/>
    <n v="890442"/>
    <n v="229766"/>
    <n v="660676"/>
    <n v="66"/>
    <n v="60"/>
    <n v="12.5"/>
  </r>
  <r>
    <x v="7"/>
    <x v="7"/>
    <d v="2024-12-11T00:00:00"/>
    <d v="2024-12-23T00:00:00"/>
    <n v="1"/>
    <n v="39"/>
    <s v="21-40"/>
    <x v="0"/>
    <x v="0"/>
    <x v="0"/>
    <x v="4"/>
    <n v="2"/>
    <n v="2"/>
    <n v="1.5"/>
    <x v="27"/>
    <n v="3"/>
    <n v="6"/>
    <n v="831755"/>
    <n v="231699"/>
    <n v="600056"/>
    <n v="33"/>
    <n v="66"/>
    <n v="9.9"/>
  </r>
  <r>
    <x v="0"/>
    <x v="0"/>
    <d v="2024-12-02T00:00:00"/>
    <d v="2024-12-31T00:00:00"/>
    <n v="1"/>
    <n v="57"/>
    <s v="41-60"/>
    <x v="0"/>
    <x v="5"/>
    <x v="0"/>
    <x v="3"/>
    <n v="2"/>
    <n v="2"/>
    <n v="1.7"/>
    <x v="20"/>
    <n v="5"/>
    <n v="4"/>
    <n v="757454"/>
    <n v="365293"/>
    <n v="392161"/>
    <n v="37"/>
    <n v="65"/>
    <n v="14.5"/>
  </r>
  <r>
    <x v="14"/>
    <x v="14"/>
    <d v="2024-12-13T00:00:00"/>
    <d v="2025-01-01T00:00:00"/>
    <n v="1"/>
    <n v="25"/>
    <s v="21-40"/>
    <x v="0"/>
    <x v="0"/>
    <x v="0"/>
    <x v="1"/>
    <n v="2"/>
    <n v="2"/>
    <n v="3.6"/>
    <x v="22"/>
    <n v="4"/>
    <n v="7"/>
    <n v="644656"/>
    <n v="224962"/>
    <n v="419694"/>
    <n v="22"/>
    <n v="56"/>
    <n v="12.1"/>
  </r>
  <r>
    <x v="11"/>
    <x v="11"/>
    <d v="2024-12-05T00:00:00"/>
    <d v="2025-01-03T00:00:00"/>
    <n v="1"/>
    <n v="81"/>
    <s v="81+"/>
    <x v="1"/>
    <x v="3"/>
    <x v="2"/>
    <x v="0"/>
    <n v="2"/>
    <n v="2"/>
    <n v="4.8"/>
    <x v="19"/>
    <n v="3"/>
    <n v="7"/>
    <n v="719296"/>
    <n v="149795"/>
    <n v="569501"/>
    <n v="29"/>
    <n v="55"/>
    <n v="13.8"/>
  </r>
  <r>
    <x v="7"/>
    <x v="7"/>
    <d v="2024-12-28T00:00:00"/>
    <d v="2025-01-05T00:00:00"/>
    <n v="1"/>
    <n v="54"/>
    <s v="41-60"/>
    <x v="0"/>
    <x v="4"/>
    <x v="3"/>
    <x v="0"/>
    <n v="2"/>
    <n v="2"/>
    <n v="5.7"/>
    <x v="15"/>
    <n v="5"/>
    <n v="3"/>
    <n v="723399"/>
    <n v="63226"/>
    <n v="660173"/>
    <n v="41"/>
    <n v="62"/>
    <n v="9.1"/>
  </r>
  <r>
    <x v="4"/>
    <x v="4"/>
    <d v="2024-12-20T00:00:00"/>
    <d v="2025-01-10T00:00:00"/>
    <n v="1"/>
    <n v="32"/>
    <s v="21-40"/>
    <x v="0"/>
    <x v="2"/>
    <x v="1"/>
    <x v="0"/>
    <n v="2"/>
    <n v="2"/>
    <n v="1.3"/>
    <x v="10"/>
    <n v="3"/>
    <n v="3"/>
    <n v="627015"/>
    <n v="34638"/>
    <n v="592377"/>
    <n v="40"/>
    <n v="62"/>
    <n v="7.3"/>
  </r>
  <r>
    <x v="11"/>
    <x v="11"/>
    <d v="2024-12-20T00:00:00"/>
    <d v="2025-01-11T00:00:00"/>
    <n v="1"/>
    <n v="32"/>
    <s v="21-40"/>
    <x v="1"/>
    <x v="3"/>
    <x v="2"/>
    <x v="0"/>
    <n v="2"/>
    <n v="2"/>
    <n v="6.8"/>
    <x v="13"/>
    <n v="6"/>
    <n v="5"/>
    <n v="723700"/>
    <n v="174269"/>
    <n v="549431"/>
    <n v="24"/>
    <n v="56"/>
    <n v="13.2"/>
  </r>
  <r>
    <x v="2"/>
    <x v="2"/>
    <d v="2021-08-10T00:00:00"/>
    <s v="NA"/>
    <n v="0"/>
    <n v="41"/>
    <s v="41-60"/>
    <x v="1"/>
    <x v="3"/>
    <x v="2"/>
    <x v="3"/>
    <n v="1"/>
    <n v="1"/>
    <n v="1"/>
    <x v="22"/>
    <n v="4"/>
    <n v="5"/>
    <n v="928284"/>
    <n v="62192"/>
    <n v="866092"/>
    <n v="30"/>
    <n v="65"/>
    <n v="9.9"/>
  </r>
  <r>
    <x v="2"/>
    <x v="2"/>
    <d v="2024-06-25T00:00:00"/>
    <s v="NA"/>
    <n v="0"/>
    <n v="69"/>
    <s v="61-80"/>
    <x v="1"/>
    <x v="11"/>
    <x v="8"/>
    <x v="3"/>
    <n v="1"/>
    <n v="1"/>
    <n v="4.4000000000000004"/>
    <x v="14"/>
    <n v="5"/>
    <n v="4"/>
    <n v="948782"/>
    <n v="288189"/>
    <n v="660593"/>
    <n v="35"/>
    <n v="60"/>
    <n v="6.6"/>
  </r>
  <r>
    <x v="2"/>
    <x v="2"/>
    <d v="2024-08-20T00:00:00"/>
    <s v="NA"/>
    <n v="0"/>
    <n v="84"/>
    <s v="81+"/>
    <x v="1"/>
    <x v="6"/>
    <x v="4"/>
    <x v="2"/>
    <n v="1"/>
    <n v="1"/>
    <n v="3.1"/>
    <x v="4"/>
    <n v="3"/>
    <n v="5"/>
    <n v="993380"/>
    <n v="256182"/>
    <n v="737198"/>
    <n v="34"/>
    <n v="64"/>
    <n v="5.3"/>
  </r>
  <r>
    <x v="2"/>
    <x v="2"/>
    <d v="2022-09-01T00:00:00"/>
    <s v="NA"/>
    <n v="0"/>
    <n v="71"/>
    <s v="61-80"/>
    <x v="1"/>
    <x v="10"/>
    <x v="8"/>
    <x v="0"/>
    <n v="1"/>
    <n v="1"/>
    <n v="3"/>
    <x v="18"/>
    <n v="3"/>
    <n v="7"/>
    <n v="957800"/>
    <n v="140167"/>
    <n v="817633"/>
    <n v="32"/>
    <n v="58"/>
    <n v="14.4"/>
  </r>
  <r>
    <x v="2"/>
    <x v="2"/>
    <d v="2024-03-26T00:00:00"/>
    <s v="NA"/>
    <n v="0"/>
    <n v="50"/>
    <s v="41-60"/>
    <x v="0"/>
    <x v="0"/>
    <x v="0"/>
    <x v="3"/>
    <n v="1"/>
    <n v="1"/>
    <n v="3.4"/>
    <x v="20"/>
    <n v="7"/>
    <n v="4"/>
    <n v="952681"/>
    <n v="201756"/>
    <n v="750925"/>
    <n v="40"/>
    <n v="56"/>
    <n v="7.2"/>
  </r>
  <r>
    <x v="2"/>
    <x v="2"/>
    <d v="2021-03-22T00:00:00"/>
    <s v="NA"/>
    <n v="0"/>
    <n v="57"/>
    <s v="41-60"/>
    <x v="1"/>
    <x v="11"/>
    <x v="8"/>
    <x v="4"/>
    <n v="1"/>
    <n v="1"/>
    <n v="1"/>
    <x v="5"/>
    <n v="7"/>
    <n v="3"/>
    <n v="978382"/>
    <n v="200786"/>
    <n v="777596"/>
    <n v="34"/>
    <n v="57"/>
    <n v="10.9"/>
  </r>
  <r>
    <x v="2"/>
    <x v="2"/>
    <d v="2021-04-29T00:00:00"/>
    <s v="NA"/>
    <n v="0"/>
    <n v="31"/>
    <s v="21-40"/>
    <x v="0"/>
    <x v="4"/>
    <x v="3"/>
    <x v="1"/>
    <n v="1"/>
    <n v="1"/>
    <n v="2.2000000000000002"/>
    <x v="14"/>
    <n v="7"/>
    <n v="7"/>
    <n v="936601"/>
    <n v="177389"/>
    <n v="759212"/>
    <n v="40"/>
    <n v="65"/>
    <n v="6"/>
  </r>
  <r>
    <x v="2"/>
    <x v="2"/>
    <d v="2021-11-20T00:00:00"/>
    <s v="NA"/>
    <n v="0"/>
    <n v="24"/>
    <s v="21-40"/>
    <x v="0"/>
    <x v="7"/>
    <x v="5"/>
    <x v="2"/>
    <n v="1"/>
    <n v="1"/>
    <n v="3.8"/>
    <x v="29"/>
    <n v="3"/>
    <n v="5"/>
    <n v="997485"/>
    <n v="272129"/>
    <n v="725356"/>
    <n v="34"/>
    <n v="55"/>
    <n v="14.7"/>
  </r>
  <r>
    <x v="2"/>
    <x v="2"/>
    <d v="2022-06-27T00:00:00"/>
    <s v="NA"/>
    <n v="0"/>
    <n v="87"/>
    <s v="81+"/>
    <x v="0"/>
    <x v="0"/>
    <x v="0"/>
    <x v="1"/>
    <n v="1"/>
    <n v="1"/>
    <n v="5.9"/>
    <x v="15"/>
    <n v="3"/>
    <n v="5"/>
    <n v="968658"/>
    <n v="145805"/>
    <n v="822853"/>
    <n v="34"/>
    <n v="61"/>
    <n v="8.1999999999999993"/>
  </r>
  <r>
    <x v="2"/>
    <x v="2"/>
    <d v="2022-07-14T00:00:00"/>
    <s v="NA"/>
    <n v="0"/>
    <n v="68"/>
    <s v="61-80"/>
    <x v="0"/>
    <x v="0"/>
    <x v="0"/>
    <x v="1"/>
    <n v="1"/>
    <n v="1"/>
    <n v="1.8"/>
    <x v="3"/>
    <n v="4"/>
    <n v="6"/>
    <n v="930258"/>
    <n v="116279"/>
    <n v="813979"/>
    <n v="32"/>
    <n v="55"/>
    <n v="13.4"/>
  </r>
  <r>
    <x v="2"/>
    <x v="2"/>
    <d v="2021-07-20T00:00:00"/>
    <s v="NA"/>
    <n v="0"/>
    <n v="67"/>
    <s v="61-80"/>
    <x v="1"/>
    <x v="4"/>
    <x v="3"/>
    <x v="2"/>
    <n v="1"/>
    <n v="1"/>
    <n v="4.2"/>
    <x v="29"/>
    <n v="4"/>
    <n v="4"/>
    <n v="908347"/>
    <n v="261284"/>
    <n v="647063"/>
    <n v="39"/>
    <n v="65"/>
    <n v="7.1"/>
  </r>
  <r>
    <x v="2"/>
    <x v="2"/>
    <d v="2023-11-03T00:00:00"/>
    <s v="NA"/>
    <n v="0"/>
    <n v="77"/>
    <s v="61-80"/>
    <x v="1"/>
    <x v="10"/>
    <x v="8"/>
    <x v="0"/>
    <n v="1"/>
    <n v="1"/>
    <n v="5.8"/>
    <x v="28"/>
    <n v="6"/>
    <n v="4"/>
    <n v="922630"/>
    <n v="185304"/>
    <n v="737326"/>
    <n v="40"/>
    <n v="56"/>
    <n v="7.8"/>
  </r>
  <r>
    <x v="2"/>
    <x v="2"/>
    <d v="2021-01-24T00:00:00"/>
    <s v="NA"/>
    <n v="0"/>
    <n v="37"/>
    <s v="21-40"/>
    <x v="0"/>
    <x v="1"/>
    <x v="1"/>
    <x v="1"/>
    <n v="1"/>
    <n v="1"/>
    <n v="6.4"/>
    <x v="25"/>
    <n v="4"/>
    <n v="3"/>
    <n v="954846"/>
    <n v="170478"/>
    <n v="784368"/>
    <n v="40"/>
    <n v="62"/>
    <n v="36.1"/>
  </r>
  <r>
    <x v="2"/>
    <x v="2"/>
    <d v="2022-02-02T00:00:00"/>
    <s v="NA"/>
    <n v="0"/>
    <n v="22"/>
    <s v="21-40"/>
    <x v="1"/>
    <x v="13"/>
    <x v="10"/>
    <x v="3"/>
    <n v="1"/>
    <n v="1"/>
    <n v="5.3"/>
    <x v="9"/>
    <n v="4"/>
    <n v="5"/>
    <n v="981747"/>
    <n v="140463"/>
    <n v="841284"/>
    <n v="32"/>
    <n v="58"/>
    <n v="36.5"/>
  </r>
  <r>
    <x v="2"/>
    <x v="2"/>
    <d v="2021-04-03T00:00:00"/>
    <s v="NA"/>
    <n v="0"/>
    <n v="38"/>
    <s v="21-40"/>
    <x v="0"/>
    <x v="1"/>
    <x v="1"/>
    <x v="4"/>
    <n v="1"/>
    <n v="1"/>
    <n v="3.7"/>
    <x v="20"/>
    <n v="7"/>
    <n v="6"/>
    <n v="939579"/>
    <n v="68654"/>
    <n v="870925"/>
    <n v="32"/>
    <n v="65"/>
    <n v="36"/>
  </r>
  <r>
    <x v="2"/>
    <x v="2"/>
    <d v="2024-05-25T00:00:00"/>
    <s v="NA"/>
    <n v="0"/>
    <n v="39"/>
    <s v="21-40"/>
    <x v="0"/>
    <x v="0"/>
    <x v="0"/>
    <x v="4"/>
    <n v="1"/>
    <n v="1"/>
    <n v="4.0999999999999996"/>
    <x v="30"/>
    <n v="6"/>
    <n v="7"/>
    <n v="931377"/>
    <n v="101890"/>
    <n v="829487"/>
    <n v="33"/>
    <n v="66"/>
    <n v="13.5"/>
  </r>
  <r>
    <x v="2"/>
    <x v="2"/>
    <d v="2023-05-25T00:00:00"/>
    <s v="NA"/>
    <n v="0"/>
    <n v="53"/>
    <s v="41-60"/>
    <x v="1"/>
    <x v="4"/>
    <x v="3"/>
    <x v="2"/>
    <n v="1"/>
    <n v="1"/>
    <n v="5.8"/>
    <x v="13"/>
    <n v="4"/>
    <n v="3"/>
    <n v="932370"/>
    <n v="155438"/>
    <n v="776932"/>
    <n v="40"/>
    <n v="54"/>
    <n v="14.5"/>
  </r>
  <r>
    <x v="2"/>
    <x v="2"/>
    <d v="2022-06-10T00:00:00"/>
    <s v="NA"/>
    <n v="0"/>
    <n v="81"/>
    <s v="81+"/>
    <x v="1"/>
    <x v="3"/>
    <x v="2"/>
    <x v="3"/>
    <n v="1"/>
    <n v="1"/>
    <n v="4.5999999999999996"/>
    <x v="1"/>
    <n v="7"/>
    <n v="6"/>
    <n v="975103"/>
    <n v="134414"/>
    <n v="840689"/>
    <n v="31"/>
    <n v="56"/>
    <n v="7.8"/>
  </r>
  <r>
    <x v="2"/>
    <x v="2"/>
    <d v="2022-08-28T00:00:00"/>
    <s v="NA"/>
    <n v="0"/>
    <n v="38"/>
    <s v="21-40"/>
    <x v="0"/>
    <x v="7"/>
    <x v="5"/>
    <x v="1"/>
    <n v="1"/>
    <n v="1"/>
    <n v="1.4"/>
    <x v="30"/>
    <n v="4"/>
    <n v="3"/>
    <n v="900078"/>
    <n v="232550"/>
    <n v="667528"/>
    <n v="37"/>
    <n v="59"/>
    <n v="5.6"/>
  </r>
  <r>
    <x v="2"/>
    <x v="2"/>
    <d v="2024-01-16T00:00:00"/>
    <s v="NA"/>
    <n v="0"/>
    <n v="66"/>
    <s v="61-80"/>
    <x v="1"/>
    <x v="10"/>
    <x v="8"/>
    <x v="3"/>
    <n v="1"/>
    <n v="1"/>
    <n v="2.2999999999999998"/>
    <x v="14"/>
    <n v="5"/>
    <n v="7"/>
    <n v="935016"/>
    <n v="111880"/>
    <n v="823136"/>
    <n v="30"/>
    <n v="59"/>
    <n v="10.7"/>
  </r>
  <r>
    <x v="2"/>
    <x v="2"/>
    <d v="2022-05-18T00:00:00"/>
    <s v="NA"/>
    <n v="0"/>
    <n v="35"/>
    <s v="21-40"/>
    <x v="0"/>
    <x v="0"/>
    <x v="0"/>
    <x v="4"/>
    <n v="1"/>
    <n v="1"/>
    <n v="1.2"/>
    <x v="0"/>
    <n v="5"/>
    <n v="6"/>
    <n v="997478"/>
    <n v="347202"/>
    <n v="650276"/>
    <n v="32"/>
    <n v="65"/>
    <n v="7.7"/>
  </r>
  <r>
    <x v="2"/>
    <x v="2"/>
    <d v="2024-06-12T00:00:00"/>
    <s v="NA"/>
    <n v="0"/>
    <n v="84"/>
    <s v="81+"/>
    <x v="0"/>
    <x v="0"/>
    <x v="0"/>
    <x v="0"/>
    <n v="1"/>
    <n v="1"/>
    <n v="2.6"/>
    <x v="24"/>
    <n v="4"/>
    <n v="6"/>
    <n v="958274"/>
    <n v="212574"/>
    <n v="745700"/>
    <n v="35"/>
    <n v="63"/>
    <n v="13.9"/>
  </r>
  <r>
    <x v="2"/>
    <x v="2"/>
    <d v="2021-02-21T00:00:00"/>
    <s v="NA"/>
    <n v="0"/>
    <n v="49"/>
    <s v="41-60"/>
    <x v="1"/>
    <x v="12"/>
    <x v="9"/>
    <x v="1"/>
    <n v="1"/>
    <n v="1"/>
    <n v="6.9"/>
    <x v="25"/>
    <n v="7"/>
    <n v="4"/>
    <n v="935736"/>
    <n v="275179"/>
    <n v="660557"/>
    <n v="32"/>
    <n v="54"/>
    <n v="6.8"/>
  </r>
  <r>
    <x v="2"/>
    <x v="2"/>
    <d v="2022-08-04T00:00:00"/>
    <s v="NA"/>
    <n v="0"/>
    <n v="32"/>
    <s v="21-40"/>
    <x v="1"/>
    <x v="6"/>
    <x v="4"/>
    <x v="3"/>
    <n v="1"/>
    <n v="1"/>
    <n v="2.2999999999999998"/>
    <x v="12"/>
    <n v="7"/>
    <n v="7"/>
    <n v="969888"/>
    <n v="153067"/>
    <n v="816821"/>
    <n v="33"/>
    <n v="61"/>
    <n v="13.9"/>
  </r>
  <r>
    <x v="2"/>
    <x v="2"/>
    <d v="2021-11-27T00:00:00"/>
    <s v="NA"/>
    <n v="0"/>
    <n v="56"/>
    <s v="41-60"/>
    <x v="1"/>
    <x v="10"/>
    <x v="8"/>
    <x v="1"/>
    <n v="1"/>
    <n v="1"/>
    <n v="3.4"/>
    <x v="12"/>
    <n v="7"/>
    <n v="3"/>
    <n v="992142"/>
    <n v="258782"/>
    <n v="733360"/>
    <n v="35"/>
    <n v="60"/>
    <n v="13.8"/>
  </r>
  <r>
    <x v="2"/>
    <x v="2"/>
    <d v="2021-03-24T00:00:00"/>
    <s v="NA"/>
    <n v="0"/>
    <n v="74"/>
    <s v="61-80"/>
    <x v="0"/>
    <x v="13"/>
    <x v="10"/>
    <x v="2"/>
    <n v="1"/>
    <n v="1"/>
    <n v="2.6"/>
    <x v="17"/>
    <n v="3"/>
    <n v="7"/>
    <n v="928439"/>
    <n v="108193"/>
    <n v="820246"/>
    <n v="30"/>
    <n v="64"/>
    <n v="14.9"/>
  </r>
  <r>
    <x v="2"/>
    <x v="2"/>
    <d v="2023-10-22T00:00:00"/>
    <s v="NA"/>
    <n v="0"/>
    <n v="40"/>
    <s v="21-40"/>
    <x v="0"/>
    <x v="0"/>
    <x v="0"/>
    <x v="4"/>
    <n v="1"/>
    <n v="1"/>
    <n v="4.5999999999999996"/>
    <x v="10"/>
    <n v="6"/>
    <n v="6"/>
    <n v="987318"/>
    <n v="318058"/>
    <n v="669260"/>
    <n v="36"/>
    <n v="65"/>
    <n v="13.8"/>
  </r>
  <r>
    <x v="2"/>
    <x v="2"/>
    <d v="2023-03-27T00:00:00"/>
    <s v="NA"/>
    <n v="0"/>
    <n v="31"/>
    <s v="21-40"/>
    <x v="1"/>
    <x v="3"/>
    <x v="2"/>
    <x v="3"/>
    <n v="1"/>
    <n v="1"/>
    <n v="3.5"/>
    <x v="13"/>
    <n v="5"/>
    <n v="3"/>
    <n v="917124"/>
    <n v="80837"/>
    <n v="836287"/>
    <n v="40"/>
    <n v="56"/>
    <n v="9.4"/>
  </r>
  <r>
    <x v="2"/>
    <x v="2"/>
    <d v="2024-11-11T00:00:00"/>
    <s v="NA"/>
    <n v="0"/>
    <n v="32"/>
    <s v="21-40"/>
    <x v="1"/>
    <x v="3"/>
    <x v="2"/>
    <x v="1"/>
    <n v="1"/>
    <n v="1"/>
    <n v="2.7"/>
    <x v="4"/>
    <n v="5"/>
    <n v="3"/>
    <n v="935077"/>
    <n v="282644"/>
    <n v="652433"/>
    <n v="31"/>
    <n v="59"/>
    <n v="14.1"/>
  </r>
  <r>
    <x v="2"/>
    <x v="2"/>
    <d v="2022-02-09T00:00:00"/>
    <s v="NA"/>
    <n v="0"/>
    <n v="21"/>
    <s v="21-40"/>
    <x v="0"/>
    <x v="0"/>
    <x v="0"/>
    <x v="0"/>
    <n v="1"/>
    <n v="1"/>
    <n v="6.6"/>
    <x v="13"/>
    <n v="6"/>
    <n v="3"/>
    <n v="999512"/>
    <n v="216146"/>
    <n v="783366"/>
    <n v="31"/>
    <n v="62"/>
    <n v="7.2"/>
  </r>
  <r>
    <x v="2"/>
    <x v="2"/>
    <d v="2024-10-16T00:00:00"/>
    <s v="NA"/>
    <n v="0"/>
    <n v="36"/>
    <s v="21-40"/>
    <x v="1"/>
    <x v="12"/>
    <x v="9"/>
    <x v="1"/>
    <n v="1"/>
    <n v="1"/>
    <n v="1.2"/>
    <x v="29"/>
    <n v="7"/>
    <n v="7"/>
    <n v="945209"/>
    <n v="227602"/>
    <n v="717607"/>
    <n v="32"/>
    <n v="59"/>
    <n v="13.2"/>
  </r>
  <r>
    <x v="2"/>
    <x v="2"/>
    <d v="2022-01-07T00:00:00"/>
    <s v="NA"/>
    <n v="0"/>
    <n v="84"/>
    <s v="81+"/>
    <x v="1"/>
    <x v="6"/>
    <x v="4"/>
    <x v="2"/>
    <n v="1"/>
    <n v="1"/>
    <n v="3.1"/>
    <x v="20"/>
    <n v="3"/>
    <n v="7"/>
    <n v="939816"/>
    <n v="306960"/>
    <n v="632856"/>
    <n v="38"/>
    <n v="64"/>
    <n v="9.9"/>
  </r>
  <r>
    <x v="2"/>
    <x v="2"/>
    <d v="2022-02-17T00:00:00"/>
    <s v="NA"/>
    <n v="0"/>
    <n v="38"/>
    <s v="21-40"/>
    <x v="1"/>
    <x v="4"/>
    <x v="3"/>
    <x v="2"/>
    <n v="1"/>
    <n v="1"/>
    <n v="1.3"/>
    <x v="22"/>
    <n v="3"/>
    <n v="3"/>
    <n v="971979"/>
    <n v="130006"/>
    <n v="841973"/>
    <n v="37"/>
    <n v="54"/>
    <n v="7.8"/>
  </r>
  <r>
    <x v="2"/>
    <x v="2"/>
    <d v="2022-08-17T00:00:00"/>
    <s v="NA"/>
    <n v="0"/>
    <n v="42"/>
    <s v="41-60"/>
    <x v="1"/>
    <x v="1"/>
    <x v="1"/>
    <x v="0"/>
    <n v="1"/>
    <n v="1"/>
    <n v="1.6"/>
    <x v="14"/>
    <n v="5"/>
    <n v="5"/>
    <n v="985400"/>
    <n v="141727"/>
    <n v="843673"/>
    <n v="36"/>
    <n v="57"/>
    <n v="8.9"/>
  </r>
  <r>
    <x v="2"/>
    <x v="2"/>
    <d v="2024-01-08T00:00:00"/>
    <s v="NA"/>
    <n v="0"/>
    <n v="75"/>
    <s v="61-80"/>
    <x v="1"/>
    <x v="3"/>
    <x v="2"/>
    <x v="1"/>
    <n v="1"/>
    <n v="1"/>
    <n v="6.1"/>
    <x v="3"/>
    <n v="5"/>
    <n v="5"/>
    <n v="966326"/>
    <n v="306685"/>
    <n v="659641"/>
    <n v="38"/>
    <n v="61"/>
    <n v="12.7"/>
  </r>
  <r>
    <x v="2"/>
    <x v="2"/>
    <d v="2023-01-12T00:00:00"/>
    <s v="NA"/>
    <n v="0"/>
    <n v="84"/>
    <s v="81+"/>
    <x v="1"/>
    <x v="3"/>
    <x v="2"/>
    <x v="2"/>
    <n v="1"/>
    <n v="1"/>
    <n v="6.1"/>
    <x v="12"/>
    <n v="5"/>
    <n v="4"/>
    <n v="984381"/>
    <n v="263643"/>
    <n v="720738"/>
    <n v="39"/>
    <n v="64"/>
    <n v="7.6"/>
  </r>
  <r>
    <x v="2"/>
    <x v="2"/>
    <d v="2021-12-02T00:00:00"/>
    <s v="NA"/>
    <n v="0"/>
    <n v="28"/>
    <s v="21-40"/>
    <x v="1"/>
    <x v="10"/>
    <x v="8"/>
    <x v="1"/>
    <n v="1"/>
    <n v="1"/>
    <n v="3.6"/>
    <x v="27"/>
    <n v="7"/>
    <n v="4"/>
    <n v="903723"/>
    <n v="244192"/>
    <n v="659531"/>
    <n v="35"/>
    <n v="57"/>
    <n v="12.9"/>
  </r>
  <r>
    <x v="2"/>
    <x v="2"/>
    <d v="2021-09-10T00:00:00"/>
    <s v="NA"/>
    <n v="0"/>
    <n v="35"/>
    <s v="21-40"/>
    <x v="0"/>
    <x v="0"/>
    <x v="0"/>
    <x v="2"/>
    <n v="1"/>
    <n v="1"/>
    <n v="2.2000000000000002"/>
    <x v="26"/>
    <n v="4"/>
    <n v="4"/>
    <n v="915009"/>
    <n v="268599"/>
    <n v="646410"/>
    <n v="36"/>
    <n v="66"/>
    <n v="6.8"/>
  </r>
  <r>
    <x v="2"/>
    <x v="2"/>
    <d v="2021-07-28T00:00:00"/>
    <s v="NA"/>
    <n v="0"/>
    <n v="38"/>
    <s v="21-40"/>
    <x v="1"/>
    <x v="2"/>
    <x v="1"/>
    <x v="1"/>
    <n v="1"/>
    <n v="1"/>
    <n v="2.8"/>
    <x v="20"/>
    <n v="5"/>
    <n v="3"/>
    <n v="903861"/>
    <n v="77320"/>
    <n v="826541"/>
    <n v="30"/>
    <n v="56"/>
    <n v="14.4"/>
  </r>
  <r>
    <x v="2"/>
    <x v="2"/>
    <d v="2024-09-21T00:00:00"/>
    <s v="NA"/>
    <n v="0"/>
    <n v="36"/>
    <s v="21-40"/>
    <x v="0"/>
    <x v="0"/>
    <x v="0"/>
    <x v="4"/>
    <n v="1"/>
    <n v="1"/>
    <n v="6.6"/>
    <x v="12"/>
    <n v="3"/>
    <n v="5"/>
    <n v="949192"/>
    <n v="223956"/>
    <n v="725236"/>
    <n v="33"/>
    <n v="61"/>
    <n v="6.3"/>
  </r>
  <r>
    <x v="2"/>
    <x v="2"/>
    <d v="2022-06-16T00:00:00"/>
    <s v="NA"/>
    <n v="0"/>
    <n v="90"/>
    <s v="81+"/>
    <x v="1"/>
    <x v="4"/>
    <x v="3"/>
    <x v="1"/>
    <n v="1"/>
    <n v="1"/>
    <n v="1.7"/>
    <x v="5"/>
    <n v="7"/>
    <n v="5"/>
    <n v="990755"/>
    <n v="108376"/>
    <n v="882379"/>
    <n v="35"/>
    <n v="55"/>
    <n v="7.3"/>
  </r>
  <r>
    <x v="2"/>
    <x v="2"/>
    <d v="2022-05-15T00:00:00"/>
    <s v="NA"/>
    <n v="0"/>
    <n v="33"/>
    <s v="21-40"/>
    <x v="0"/>
    <x v="10"/>
    <x v="8"/>
    <x v="4"/>
    <n v="1"/>
    <n v="1"/>
    <n v="5.0999999999999996"/>
    <x v="7"/>
    <n v="3"/>
    <n v="6"/>
    <n v="980107"/>
    <n v="215504"/>
    <n v="764603"/>
    <n v="40"/>
    <n v="62"/>
    <n v="14.2"/>
  </r>
  <r>
    <x v="2"/>
    <x v="2"/>
    <d v="2022-08-20T00:00:00"/>
    <s v="NA"/>
    <n v="0"/>
    <n v="84"/>
    <s v="81+"/>
    <x v="0"/>
    <x v="13"/>
    <x v="10"/>
    <x v="0"/>
    <n v="1"/>
    <n v="1"/>
    <n v="4.5999999999999996"/>
    <x v="17"/>
    <n v="6"/>
    <n v="4"/>
    <n v="953818"/>
    <n v="218497"/>
    <n v="735321"/>
    <n v="31"/>
    <n v="62"/>
    <n v="9"/>
  </r>
  <r>
    <x v="2"/>
    <x v="2"/>
    <d v="2022-04-19T00:00:00"/>
    <s v="NA"/>
    <n v="0"/>
    <n v="27"/>
    <s v="21-40"/>
    <x v="1"/>
    <x v="3"/>
    <x v="2"/>
    <x v="2"/>
    <n v="1"/>
    <n v="1"/>
    <n v="4.5999999999999996"/>
    <x v="25"/>
    <n v="3"/>
    <n v="4"/>
    <n v="934697"/>
    <n v="47419"/>
    <n v="887278"/>
    <n v="39"/>
    <n v="65"/>
    <n v="9"/>
  </r>
  <r>
    <x v="2"/>
    <x v="2"/>
    <d v="2022-09-13T00:00:00"/>
    <s v="NA"/>
    <n v="0"/>
    <n v="75"/>
    <s v="61-80"/>
    <x v="0"/>
    <x v="0"/>
    <x v="0"/>
    <x v="3"/>
    <n v="1"/>
    <n v="1"/>
    <n v="1.2"/>
    <x v="1"/>
    <n v="3"/>
    <n v="5"/>
    <n v="997518"/>
    <n v="154234"/>
    <n v="843284"/>
    <n v="38"/>
    <n v="61"/>
    <n v="9"/>
  </r>
  <r>
    <x v="2"/>
    <x v="2"/>
    <d v="2022-07-01T00:00:00"/>
    <s v="NA"/>
    <n v="0"/>
    <n v="85"/>
    <s v="81+"/>
    <x v="1"/>
    <x v="8"/>
    <x v="6"/>
    <x v="2"/>
    <n v="1"/>
    <n v="1"/>
    <n v="4"/>
    <x v="28"/>
    <n v="3"/>
    <n v="6"/>
    <n v="921094"/>
    <n v="62122"/>
    <n v="858972"/>
    <n v="34"/>
    <n v="60"/>
    <n v="13.3"/>
  </r>
  <r>
    <x v="2"/>
    <x v="2"/>
    <d v="2023-02-17T00:00:00"/>
    <s v="NA"/>
    <n v="0"/>
    <n v="90"/>
    <s v="81+"/>
    <x v="0"/>
    <x v="0"/>
    <x v="0"/>
    <x v="0"/>
    <n v="1"/>
    <n v="1"/>
    <n v="5.7"/>
    <x v="15"/>
    <n v="4"/>
    <n v="7"/>
    <n v="940873"/>
    <n v="66337"/>
    <n v="874536"/>
    <n v="37"/>
    <n v="65"/>
    <n v="12.4"/>
  </r>
  <r>
    <x v="2"/>
    <x v="2"/>
    <d v="2022-02-14T00:00:00"/>
    <s v="NA"/>
    <n v="0"/>
    <n v="70"/>
    <s v="61-80"/>
    <x v="1"/>
    <x v="2"/>
    <x v="1"/>
    <x v="4"/>
    <n v="1"/>
    <n v="1"/>
    <n v="4.0999999999999996"/>
    <x v="30"/>
    <n v="5"/>
    <n v="3"/>
    <n v="954419"/>
    <n v="274752"/>
    <n v="679667"/>
    <n v="40"/>
    <n v="62"/>
    <n v="10.4"/>
  </r>
  <r>
    <x v="2"/>
    <x v="2"/>
    <d v="2021-11-21T00:00:00"/>
    <s v="NA"/>
    <n v="0"/>
    <n v="46"/>
    <s v="41-60"/>
    <x v="1"/>
    <x v="4"/>
    <x v="3"/>
    <x v="4"/>
    <n v="1"/>
    <n v="1"/>
    <n v="6.8"/>
    <x v="16"/>
    <n v="6"/>
    <n v="3"/>
    <n v="979229"/>
    <n v="126087"/>
    <n v="853142"/>
    <n v="32"/>
    <n v="58"/>
    <n v="8.1"/>
  </r>
  <r>
    <x v="2"/>
    <x v="2"/>
    <d v="2022-03-12T00:00:00"/>
    <s v="NA"/>
    <n v="0"/>
    <n v="21"/>
    <s v="21-40"/>
    <x v="1"/>
    <x v="3"/>
    <x v="2"/>
    <x v="1"/>
    <n v="1"/>
    <n v="1"/>
    <n v="2.9"/>
    <x v="18"/>
    <n v="7"/>
    <n v="7"/>
    <n v="940337"/>
    <n v="278516"/>
    <n v="661821"/>
    <n v="34"/>
    <n v="63"/>
    <n v="36.1"/>
  </r>
  <r>
    <x v="2"/>
    <x v="2"/>
    <d v="2023-09-14T00:00:00"/>
    <s v="NA"/>
    <n v="0"/>
    <n v="39"/>
    <s v="21-40"/>
    <x v="0"/>
    <x v="0"/>
    <x v="0"/>
    <x v="1"/>
    <n v="1"/>
    <n v="1"/>
    <n v="2.5"/>
    <x v="25"/>
    <n v="6"/>
    <n v="3"/>
    <n v="939204"/>
    <n v="277192"/>
    <n v="662012"/>
    <n v="32"/>
    <n v="57"/>
    <n v="13.7"/>
  </r>
  <r>
    <x v="2"/>
    <x v="2"/>
    <d v="2024-02-05T00:00:00"/>
    <s v="NA"/>
    <n v="0"/>
    <n v="52"/>
    <s v="41-60"/>
    <x v="0"/>
    <x v="7"/>
    <x v="5"/>
    <x v="4"/>
    <n v="1"/>
    <n v="1"/>
    <n v="3.2"/>
    <x v="25"/>
    <n v="5"/>
    <n v="7"/>
    <n v="955130"/>
    <n v="298274"/>
    <n v="656856"/>
    <n v="36"/>
    <n v="60"/>
    <n v="7.9"/>
  </r>
  <r>
    <x v="2"/>
    <x v="2"/>
    <d v="2024-03-19T00:00:00"/>
    <s v="NA"/>
    <n v="0"/>
    <n v="51"/>
    <s v="41-60"/>
    <x v="1"/>
    <x v="2"/>
    <x v="1"/>
    <x v="0"/>
    <n v="1"/>
    <n v="1"/>
    <n v="6.9"/>
    <x v="24"/>
    <n v="6"/>
    <n v="3"/>
    <n v="993636"/>
    <n v="169048"/>
    <n v="824588"/>
    <n v="35"/>
    <n v="54"/>
    <n v="8.8000000000000007"/>
  </r>
  <r>
    <x v="2"/>
    <x v="2"/>
    <d v="2022-11-11T00:00:00"/>
    <s v="NA"/>
    <n v="0"/>
    <n v="50"/>
    <s v="41-60"/>
    <x v="1"/>
    <x v="9"/>
    <x v="7"/>
    <x v="4"/>
    <n v="1"/>
    <n v="1"/>
    <n v="2.1"/>
    <x v="16"/>
    <n v="3"/>
    <n v="7"/>
    <n v="977776"/>
    <n v="341966"/>
    <n v="635810"/>
    <n v="30"/>
    <n v="66"/>
    <n v="10.4"/>
  </r>
  <r>
    <x v="2"/>
    <x v="2"/>
    <d v="2023-02-07T00:00:00"/>
    <s v="NA"/>
    <n v="0"/>
    <n v="28"/>
    <s v="21-40"/>
    <x v="0"/>
    <x v="13"/>
    <x v="10"/>
    <x v="2"/>
    <n v="1"/>
    <n v="1"/>
    <n v="6.6"/>
    <x v="13"/>
    <n v="5"/>
    <n v="6"/>
    <n v="915333"/>
    <n v="136238"/>
    <n v="779095"/>
    <n v="31"/>
    <n v="60"/>
    <n v="9.4"/>
  </r>
  <r>
    <x v="2"/>
    <x v="2"/>
    <d v="2023-01-06T00:00:00"/>
    <s v="NA"/>
    <n v="0"/>
    <n v="89"/>
    <s v="81+"/>
    <x v="0"/>
    <x v="0"/>
    <x v="0"/>
    <x v="0"/>
    <n v="1"/>
    <n v="1"/>
    <n v="2.5"/>
    <x v="11"/>
    <n v="5"/>
    <n v="4"/>
    <n v="935943"/>
    <n v="112468"/>
    <n v="823475"/>
    <n v="30"/>
    <n v="54"/>
    <n v="36.700000000000003"/>
  </r>
  <r>
    <x v="2"/>
    <x v="2"/>
    <d v="2022-05-30T00:00:00"/>
    <s v="NA"/>
    <n v="0"/>
    <n v="68"/>
    <s v="61-80"/>
    <x v="1"/>
    <x v="6"/>
    <x v="4"/>
    <x v="0"/>
    <n v="1"/>
    <n v="1"/>
    <n v="1.2"/>
    <x v="14"/>
    <n v="3"/>
    <n v="4"/>
    <n v="937413"/>
    <n v="174019"/>
    <n v="763394"/>
    <n v="34"/>
    <n v="60"/>
    <n v="13.8"/>
  </r>
  <r>
    <x v="2"/>
    <x v="2"/>
    <d v="2021-11-03T00:00:00"/>
    <s v="NA"/>
    <n v="0"/>
    <n v="69"/>
    <s v="61-80"/>
    <x v="0"/>
    <x v="4"/>
    <x v="3"/>
    <x v="3"/>
    <n v="1"/>
    <n v="1"/>
    <n v="2.1"/>
    <x v="9"/>
    <n v="5"/>
    <n v="4"/>
    <n v="958794"/>
    <n v="206233"/>
    <n v="752561"/>
    <n v="40"/>
    <n v="62"/>
    <n v="9.3000000000000007"/>
  </r>
  <r>
    <x v="2"/>
    <x v="2"/>
    <d v="2024-09-29T00:00:00"/>
    <s v="NA"/>
    <n v="0"/>
    <n v="25"/>
    <s v="21-40"/>
    <x v="0"/>
    <x v="2"/>
    <x v="1"/>
    <x v="2"/>
    <n v="1"/>
    <n v="1"/>
    <n v="1.4"/>
    <x v="24"/>
    <n v="6"/>
    <n v="7"/>
    <n v="961580"/>
    <n v="341586"/>
    <n v="619994"/>
    <n v="34"/>
    <n v="59"/>
    <n v="12"/>
  </r>
  <r>
    <x v="2"/>
    <x v="2"/>
    <d v="2021-05-05T00:00:00"/>
    <s v="NA"/>
    <n v="0"/>
    <n v="37"/>
    <s v="21-40"/>
    <x v="1"/>
    <x v="10"/>
    <x v="8"/>
    <x v="0"/>
    <n v="1"/>
    <n v="1"/>
    <n v="5.8"/>
    <x v="14"/>
    <n v="7"/>
    <n v="6"/>
    <n v="981690"/>
    <n v="147412"/>
    <n v="834278"/>
    <n v="35"/>
    <n v="66"/>
    <n v="5.7"/>
  </r>
  <r>
    <x v="2"/>
    <x v="2"/>
    <d v="2023-12-26T00:00:00"/>
    <s v="NA"/>
    <n v="0"/>
    <n v="66"/>
    <s v="61-80"/>
    <x v="1"/>
    <x v="1"/>
    <x v="1"/>
    <x v="2"/>
    <n v="1"/>
    <n v="1"/>
    <n v="4.9000000000000004"/>
    <x v="24"/>
    <n v="5"/>
    <n v="6"/>
    <n v="908825"/>
    <n v="228277"/>
    <n v="680548"/>
    <n v="35"/>
    <n v="56"/>
    <n v="7.7"/>
  </r>
  <r>
    <x v="2"/>
    <x v="2"/>
    <d v="2024-01-31T00:00:00"/>
    <s v="NA"/>
    <n v="0"/>
    <n v="66"/>
    <s v="61-80"/>
    <x v="1"/>
    <x v="10"/>
    <x v="8"/>
    <x v="4"/>
    <n v="1"/>
    <n v="1"/>
    <n v="5.0999999999999996"/>
    <x v="7"/>
    <n v="6"/>
    <n v="3"/>
    <n v="935820"/>
    <n v="230893"/>
    <n v="704927"/>
    <n v="33"/>
    <n v="56"/>
    <n v="10"/>
  </r>
  <r>
    <x v="2"/>
    <x v="2"/>
    <d v="2024-04-12T00:00:00"/>
    <s v="NA"/>
    <n v="0"/>
    <n v="66"/>
    <s v="61-80"/>
    <x v="1"/>
    <x v="10"/>
    <x v="8"/>
    <x v="4"/>
    <n v="1"/>
    <n v="1"/>
    <n v="1.9"/>
    <x v="7"/>
    <n v="5"/>
    <n v="4"/>
    <n v="981431"/>
    <n v="253859"/>
    <n v="727572"/>
    <n v="33"/>
    <n v="55"/>
    <n v="5.8"/>
  </r>
  <r>
    <x v="2"/>
    <x v="2"/>
    <d v="2022-05-15T00:00:00"/>
    <s v="NA"/>
    <n v="0"/>
    <n v="67"/>
    <s v="61-80"/>
    <x v="1"/>
    <x v="2"/>
    <x v="1"/>
    <x v="4"/>
    <n v="1"/>
    <n v="1"/>
    <n v="4.7"/>
    <x v="14"/>
    <n v="5"/>
    <n v="5"/>
    <n v="989009"/>
    <n v="276478"/>
    <n v="712531"/>
    <n v="30"/>
    <n v="64"/>
    <n v="9.5"/>
  </r>
  <r>
    <x v="2"/>
    <x v="2"/>
    <d v="2021-01-07T00:00:00"/>
    <s v="NA"/>
    <n v="0"/>
    <n v="68"/>
    <s v="61-80"/>
    <x v="1"/>
    <x v="12"/>
    <x v="9"/>
    <x v="1"/>
    <n v="1"/>
    <n v="1"/>
    <n v="6.2"/>
    <x v="2"/>
    <n v="3"/>
    <n v="3"/>
    <n v="917065"/>
    <n v="245980"/>
    <n v="671085"/>
    <n v="40"/>
    <n v="63"/>
    <n v="12.4"/>
  </r>
  <r>
    <x v="2"/>
    <x v="2"/>
    <d v="2022-08-14T00:00:00"/>
    <s v="NA"/>
    <n v="0"/>
    <n v="43"/>
    <s v="41-60"/>
    <x v="1"/>
    <x v="2"/>
    <x v="1"/>
    <x v="2"/>
    <n v="1"/>
    <n v="1"/>
    <n v="4.8"/>
    <x v="20"/>
    <n v="4"/>
    <n v="4"/>
    <n v="921088"/>
    <n v="184120"/>
    <n v="736968"/>
    <n v="33"/>
    <n v="64"/>
    <n v="13.2"/>
  </r>
  <r>
    <x v="2"/>
    <x v="2"/>
    <d v="2022-05-03T00:00:00"/>
    <s v="NA"/>
    <n v="0"/>
    <n v="76"/>
    <s v="61-80"/>
    <x v="1"/>
    <x v="9"/>
    <x v="7"/>
    <x v="3"/>
    <n v="1"/>
    <n v="1"/>
    <n v="6.6"/>
    <x v="16"/>
    <n v="3"/>
    <n v="6"/>
    <n v="903693"/>
    <n v="233401"/>
    <n v="670292"/>
    <n v="36"/>
    <n v="56"/>
    <n v="36.200000000000003"/>
  </r>
  <r>
    <x v="2"/>
    <x v="2"/>
    <d v="2023-05-27T00:00:00"/>
    <s v="NA"/>
    <n v="0"/>
    <n v="27"/>
    <s v="21-40"/>
    <x v="0"/>
    <x v="0"/>
    <x v="0"/>
    <x v="2"/>
    <n v="1"/>
    <n v="1"/>
    <n v="5.6"/>
    <x v="24"/>
    <n v="3"/>
    <n v="6"/>
    <n v="967835"/>
    <n v="342382"/>
    <n v="625453"/>
    <n v="33"/>
    <n v="60"/>
    <n v="8.1"/>
  </r>
  <r>
    <x v="2"/>
    <x v="2"/>
    <d v="2024-02-22T00:00:00"/>
    <s v="NA"/>
    <n v="0"/>
    <n v="51"/>
    <s v="41-60"/>
    <x v="1"/>
    <x v="3"/>
    <x v="2"/>
    <x v="4"/>
    <n v="1"/>
    <n v="1"/>
    <n v="1.5"/>
    <x v="17"/>
    <n v="6"/>
    <n v="4"/>
    <n v="923000"/>
    <n v="110461"/>
    <n v="812539"/>
    <n v="40"/>
    <n v="63"/>
    <n v="8.1999999999999993"/>
  </r>
  <r>
    <x v="2"/>
    <x v="2"/>
    <d v="2021-02-09T00:00:00"/>
    <s v="NA"/>
    <n v="0"/>
    <n v="83"/>
    <s v="81+"/>
    <x v="1"/>
    <x v="3"/>
    <x v="2"/>
    <x v="4"/>
    <n v="1"/>
    <n v="1"/>
    <n v="4.5999999999999996"/>
    <x v="26"/>
    <n v="6"/>
    <n v="6"/>
    <n v="905273"/>
    <n v="204640"/>
    <n v="700633"/>
    <n v="34"/>
    <n v="63"/>
    <n v="13"/>
  </r>
  <r>
    <x v="2"/>
    <x v="2"/>
    <d v="2024-05-02T00:00:00"/>
    <s v="NA"/>
    <n v="0"/>
    <n v="54"/>
    <s v="41-60"/>
    <x v="1"/>
    <x v="6"/>
    <x v="4"/>
    <x v="0"/>
    <n v="1"/>
    <n v="1"/>
    <n v="1.1000000000000001"/>
    <x v="24"/>
    <n v="4"/>
    <n v="5"/>
    <n v="916455"/>
    <n v="280297"/>
    <n v="636158"/>
    <n v="30"/>
    <n v="56"/>
    <n v="10.9"/>
  </r>
  <r>
    <x v="2"/>
    <x v="2"/>
    <d v="2024-02-08T00:00:00"/>
    <s v="NA"/>
    <n v="0"/>
    <n v="29"/>
    <s v="21-40"/>
    <x v="0"/>
    <x v="0"/>
    <x v="0"/>
    <x v="2"/>
    <n v="1"/>
    <n v="1"/>
    <n v="4.3"/>
    <x v="10"/>
    <n v="6"/>
    <n v="4"/>
    <n v="983461"/>
    <n v="331981"/>
    <n v="651480"/>
    <n v="40"/>
    <n v="59"/>
    <n v="9.4"/>
  </r>
  <r>
    <x v="2"/>
    <x v="2"/>
    <d v="2021-12-02T00:00:00"/>
    <s v="NA"/>
    <n v="0"/>
    <n v="64"/>
    <s v="61-80"/>
    <x v="1"/>
    <x v="6"/>
    <x v="4"/>
    <x v="2"/>
    <n v="1"/>
    <n v="1"/>
    <n v="2.1"/>
    <x v="27"/>
    <n v="5"/>
    <n v="7"/>
    <n v="906459"/>
    <n v="169180"/>
    <n v="737279"/>
    <n v="36"/>
    <n v="55"/>
    <n v="8.1999999999999993"/>
  </r>
  <r>
    <x v="2"/>
    <x v="2"/>
    <d v="2023-11-27T00:00:00"/>
    <s v="NA"/>
    <n v="0"/>
    <n v="72"/>
    <s v="61-80"/>
    <x v="1"/>
    <x v="3"/>
    <x v="2"/>
    <x v="0"/>
    <n v="1"/>
    <n v="1"/>
    <n v="5.3"/>
    <x v="12"/>
    <n v="3"/>
    <n v="6"/>
    <n v="932226"/>
    <n v="162843"/>
    <n v="769383"/>
    <n v="30"/>
    <n v="56"/>
    <n v="7.4"/>
  </r>
  <r>
    <x v="2"/>
    <x v="2"/>
    <d v="2024-03-22T00:00:00"/>
    <s v="NA"/>
    <n v="0"/>
    <n v="67"/>
    <s v="61-80"/>
    <x v="0"/>
    <x v="2"/>
    <x v="1"/>
    <x v="2"/>
    <n v="1"/>
    <n v="1"/>
    <n v="6.5"/>
    <x v="26"/>
    <n v="7"/>
    <n v="5"/>
    <n v="973851"/>
    <n v="154710"/>
    <n v="819141"/>
    <n v="39"/>
    <n v="59"/>
    <n v="13.6"/>
  </r>
  <r>
    <x v="2"/>
    <x v="2"/>
    <d v="2023-07-21T00:00:00"/>
    <s v="NA"/>
    <n v="0"/>
    <n v="21"/>
    <s v="21-40"/>
    <x v="1"/>
    <x v="6"/>
    <x v="4"/>
    <x v="4"/>
    <n v="1"/>
    <n v="1"/>
    <n v="4.5999999999999996"/>
    <x v="21"/>
    <n v="4"/>
    <n v="5"/>
    <n v="935158"/>
    <n v="231100"/>
    <n v="704058"/>
    <n v="34"/>
    <n v="63"/>
    <n v="12.5"/>
  </r>
  <r>
    <x v="2"/>
    <x v="2"/>
    <d v="2022-10-11T00:00:00"/>
    <s v="NA"/>
    <n v="0"/>
    <n v="36"/>
    <s v="21-40"/>
    <x v="1"/>
    <x v="12"/>
    <x v="9"/>
    <x v="0"/>
    <n v="1"/>
    <n v="1"/>
    <n v="1.6"/>
    <x v="25"/>
    <n v="3"/>
    <n v="3"/>
    <n v="936046"/>
    <n v="312023"/>
    <n v="624023"/>
    <n v="37"/>
    <n v="59"/>
    <n v="12.9"/>
  </r>
  <r>
    <x v="2"/>
    <x v="2"/>
    <d v="2021-11-12T00:00:00"/>
    <s v="NA"/>
    <n v="0"/>
    <n v="24"/>
    <s v="21-40"/>
    <x v="0"/>
    <x v="0"/>
    <x v="0"/>
    <x v="2"/>
    <n v="1"/>
    <n v="1"/>
    <n v="1.9"/>
    <x v="27"/>
    <n v="3"/>
    <n v="5"/>
    <n v="962583"/>
    <n v="110556"/>
    <n v="852027"/>
    <n v="38"/>
    <n v="59"/>
    <n v="8.8000000000000007"/>
  </r>
  <r>
    <x v="2"/>
    <x v="2"/>
    <d v="2022-11-29T00:00:00"/>
    <s v="NA"/>
    <n v="0"/>
    <n v="32"/>
    <s v="21-40"/>
    <x v="1"/>
    <x v="12"/>
    <x v="9"/>
    <x v="3"/>
    <n v="1"/>
    <n v="1"/>
    <n v="1.1000000000000001"/>
    <x v="13"/>
    <n v="7"/>
    <n v="7"/>
    <n v="939359"/>
    <n v="97584"/>
    <n v="841775"/>
    <n v="31"/>
    <n v="64"/>
    <n v="6.5"/>
  </r>
  <r>
    <x v="2"/>
    <x v="2"/>
    <d v="2021-07-22T00:00:00"/>
    <s v="NA"/>
    <n v="0"/>
    <n v="43"/>
    <s v="41-60"/>
    <x v="1"/>
    <x v="4"/>
    <x v="3"/>
    <x v="0"/>
    <n v="1"/>
    <n v="1"/>
    <n v="4.2"/>
    <x v="10"/>
    <n v="4"/>
    <n v="3"/>
    <n v="930747"/>
    <n v="88814"/>
    <n v="841933"/>
    <n v="32"/>
    <n v="66"/>
    <n v="14.3"/>
  </r>
  <r>
    <x v="2"/>
    <x v="2"/>
    <d v="2021-11-01T00:00:00"/>
    <s v="NA"/>
    <n v="0"/>
    <n v="50"/>
    <s v="41-60"/>
    <x v="0"/>
    <x v="0"/>
    <x v="0"/>
    <x v="2"/>
    <n v="1"/>
    <n v="1"/>
    <n v="1.5"/>
    <x v="11"/>
    <n v="3"/>
    <n v="4"/>
    <n v="970262"/>
    <n v="324444"/>
    <n v="645818"/>
    <n v="32"/>
    <n v="55"/>
    <n v="36.6"/>
  </r>
  <r>
    <x v="2"/>
    <x v="2"/>
    <d v="2021-04-24T00:00:00"/>
    <s v="NA"/>
    <n v="0"/>
    <n v="57"/>
    <s v="41-60"/>
    <x v="0"/>
    <x v="5"/>
    <x v="0"/>
    <x v="3"/>
    <n v="1"/>
    <n v="1"/>
    <n v="4.4000000000000004"/>
    <x v="23"/>
    <n v="4"/>
    <n v="6"/>
    <n v="906215"/>
    <n v="265703"/>
    <n v="640512"/>
    <n v="35"/>
    <n v="54"/>
    <n v="9"/>
  </r>
  <r>
    <x v="2"/>
    <x v="2"/>
    <d v="2021-06-20T00:00:00"/>
    <s v="NA"/>
    <n v="0"/>
    <n v="32"/>
    <s v="21-40"/>
    <x v="1"/>
    <x v="1"/>
    <x v="1"/>
    <x v="0"/>
    <n v="1"/>
    <n v="1"/>
    <n v="4.7"/>
    <x v="12"/>
    <n v="5"/>
    <n v="5"/>
    <n v="930201"/>
    <n v="290784"/>
    <n v="639417"/>
    <n v="33"/>
    <n v="61"/>
    <n v="10.6"/>
  </r>
  <r>
    <x v="2"/>
    <x v="2"/>
    <d v="2024-07-18T00:00:00"/>
    <s v="NA"/>
    <n v="0"/>
    <n v="41"/>
    <s v="41-60"/>
    <x v="1"/>
    <x v="12"/>
    <x v="9"/>
    <x v="0"/>
    <n v="1"/>
    <n v="1"/>
    <n v="4.3"/>
    <x v="11"/>
    <n v="4"/>
    <n v="4"/>
    <n v="986607"/>
    <n v="297405"/>
    <n v="689202"/>
    <n v="35"/>
    <n v="63"/>
    <n v="14.9"/>
  </r>
  <r>
    <x v="2"/>
    <x v="2"/>
    <d v="2022-02-04T00:00:00"/>
    <s v="NA"/>
    <n v="0"/>
    <n v="39"/>
    <s v="21-40"/>
    <x v="1"/>
    <x v="6"/>
    <x v="4"/>
    <x v="2"/>
    <n v="1"/>
    <n v="1"/>
    <n v="1.5"/>
    <x v="25"/>
    <n v="4"/>
    <n v="3"/>
    <n v="947984"/>
    <n v="169248"/>
    <n v="778736"/>
    <n v="37"/>
    <n v="64"/>
    <n v="8.1"/>
  </r>
  <r>
    <x v="2"/>
    <x v="2"/>
    <d v="2021-06-04T00:00:00"/>
    <s v="NA"/>
    <n v="0"/>
    <n v="86"/>
    <s v="81+"/>
    <x v="1"/>
    <x v="6"/>
    <x v="4"/>
    <x v="4"/>
    <n v="1"/>
    <n v="1"/>
    <n v="4.9000000000000004"/>
    <x v="11"/>
    <n v="5"/>
    <n v="6"/>
    <n v="926426"/>
    <n v="90286"/>
    <n v="836140"/>
    <n v="37"/>
    <n v="62"/>
    <n v="5.9"/>
  </r>
  <r>
    <x v="2"/>
    <x v="2"/>
    <d v="2022-11-05T00:00:00"/>
    <s v="NA"/>
    <n v="0"/>
    <n v="56"/>
    <s v="41-60"/>
    <x v="0"/>
    <x v="0"/>
    <x v="0"/>
    <x v="3"/>
    <n v="1"/>
    <n v="1"/>
    <n v="4.2"/>
    <x v="16"/>
    <n v="6"/>
    <n v="3"/>
    <n v="973466"/>
    <n v="300933"/>
    <n v="672533"/>
    <n v="36"/>
    <n v="59"/>
    <n v="9.1999999999999993"/>
  </r>
  <r>
    <x v="2"/>
    <x v="2"/>
    <d v="2022-01-22T00:00:00"/>
    <s v="NA"/>
    <n v="0"/>
    <n v="49"/>
    <s v="41-60"/>
    <x v="1"/>
    <x v="2"/>
    <x v="1"/>
    <x v="4"/>
    <n v="1"/>
    <n v="1"/>
    <n v="4.5999999999999996"/>
    <x v="11"/>
    <n v="3"/>
    <n v="5"/>
    <n v="965516"/>
    <n v="67307"/>
    <n v="898209"/>
    <n v="32"/>
    <n v="64"/>
    <n v="10.1"/>
  </r>
  <r>
    <x v="2"/>
    <x v="2"/>
    <d v="2024-09-23T00:00:00"/>
    <s v="NA"/>
    <n v="0"/>
    <n v="61"/>
    <s v="61-80"/>
    <x v="1"/>
    <x v="7"/>
    <x v="5"/>
    <x v="1"/>
    <n v="1"/>
    <n v="1"/>
    <n v="4.8"/>
    <x v="3"/>
    <n v="3"/>
    <n v="5"/>
    <n v="961387"/>
    <n v="176250"/>
    <n v="785137"/>
    <n v="39"/>
    <n v="61"/>
    <n v="13.7"/>
  </r>
  <r>
    <x v="2"/>
    <x v="2"/>
    <d v="2022-10-09T00:00:00"/>
    <s v="NA"/>
    <n v="0"/>
    <n v="43"/>
    <s v="41-60"/>
    <x v="0"/>
    <x v="5"/>
    <x v="0"/>
    <x v="1"/>
    <n v="1"/>
    <n v="1"/>
    <n v="4.5"/>
    <x v="13"/>
    <n v="4"/>
    <n v="4"/>
    <n v="930884"/>
    <n v="54523"/>
    <n v="876361"/>
    <n v="37"/>
    <n v="63"/>
    <n v="10.199999999999999"/>
  </r>
  <r>
    <x v="2"/>
    <x v="2"/>
    <d v="2022-03-20T00:00:00"/>
    <s v="NA"/>
    <n v="0"/>
    <n v="39"/>
    <s v="21-40"/>
    <x v="0"/>
    <x v="1"/>
    <x v="1"/>
    <x v="2"/>
    <n v="1"/>
    <n v="1"/>
    <n v="1.6"/>
    <x v="2"/>
    <n v="6"/>
    <n v="5"/>
    <n v="959181"/>
    <n v="331329"/>
    <n v="627852"/>
    <n v="36"/>
    <n v="56"/>
    <n v="6.8"/>
  </r>
  <r>
    <x v="2"/>
    <x v="2"/>
    <d v="2023-10-13T00:00:00"/>
    <s v="NA"/>
    <n v="0"/>
    <n v="72"/>
    <s v="61-80"/>
    <x v="0"/>
    <x v="0"/>
    <x v="0"/>
    <x v="4"/>
    <n v="1"/>
    <n v="1"/>
    <n v="1.5"/>
    <x v="17"/>
    <n v="6"/>
    <n v="3"/>
    <n v="936334"/>
    <n v="304572"/>
    <n v="631762"/>
    <n v="37"/>
    <n v="58"/>
    <n v="9.3000000000000007"/>
  </r>
  <r>
    <x v="2"/>
    <x v="2"/>
    <d v="2024-04-29T00:00:00"/>
    <s v="NA"/>
    <n v="0"/>
    <n v="49"/>
    <s v="41-60"/>
    <x v="0"/>
    <x v="2"/>
    <x v="1"/>
    <x v="4"/>
    <n v="1"/>
    <n v="1"/>
    <n v="1.2"/>
    <x v="30"/>
    <n v="7"/>
    <n v="6"/>
    <n v="936830"/>
    <n v="164770"/>
    <n v="772060"/>
    <n v="34"/>
    <n v="59"/>
    <n v="10.8"/>
  </r>
  <r>
    <x v="2"/>
    <x v="2"/>
    <d v="2023-05-20T00:00:00"/>
    <s v="NA"/>
    <n v="0"/>
    <n v="47"/>
    <s v="41-60"/>
    <x v="1"/>
    <x v="10"/>
    <x v="8"/>
    <x v="1"/>
    <n v="1"/>
    <n v="1"/>
    <n v="4"/>
    <x v="10"/>
    <n v="7"/>
    <n v="3"/>
    <n v="948693"/>
    <n v="109011"/>
    <n v="839682"/>
    <n v="34"/>
    <n v="61"/>
    <n v="5.2"/>
  </r>
  <r>
    <x v="2"/>
    <x v="2"/>
    <d v="2021-05-07T00:00:00"/>
    <s v="NA"/>
    <n v="0"/>
    <n v="36"/>
    <s v="21-40"/>
    <x v="0"/>
    <x v="4"/>
    <x v="3"/>
    <x v="0"/>
    <n v="1"/>
    <n v="1"/>
    <n v="2.2999999999999998"/>
    <x v="5"/>
    <n v="7"/>
    <n v="5"/>
    <n v="975583"/>
    <n v="115904"/>
    <n v="859679"/>
    <n v="33"/>
    <n v="60"/>
    <n v="14.2"/>
  </r>
  <r>
    <x v="2"/>
    <x v="2"/>
    <d v="2022-10-31T00:00:00"/>
    <s v="NA"/>
    <n v="0"/>
    <n v="78"/>
    <s v="61-80"/>
    <x v="0"/>
    <x v="6"/>
    <x v="4"/>
    <x v="4"/>
    <n v="1"/>
    <n v="1"/>
    <n v="4.3"/>
    <x v="12"/>
    <n v="5"/>
    <n v="4"/>
    <n v="997409"/>
    <n v="367562"/>
    <n v="629847"/>
    <n v="35"/>
    <n v="61"/>
    <n v="7.4"/>
  </r>
  <r>
    <x v="2"/>
    <x v="2"/>
    <d v="2023-05-07T00:00:00"/>
    <s v="NA"/>
    <n v="0"/>
    <n v="43"/>
    <s v="41-60"/>
    <x v="0"/>
    <x v="5"/>
    <x v="0"/>
    <x v="1"/>
    <n v="1"/>
    <n v="1"/>
    <n v="1"/>
    <x v="1"/>
    <n v="7"/>
    <n v="6"/>
    <n v="938092"/>
    <n v="46239"/>
    <n v="891853"/>
    <n v="30"/>
    <n v="64"/>
    <n v="7.8"/>
  </r>
  <r>
    <x v="2"/>
    <x v="2"/>
    <d v="2023-06-17T00:00:00"/>
    <s v="NA"/>
    <n v="0"/>
    <n v="31"/>
    <s v="21-40"/>
    <x v="1"/>
    <x v="3"/>
    <x v="2"/>
    <x v="4"/>
    <n v="1"/>
    <n v="1"/>
    <n v="6.5"/>
    <x v="18"/>
    <n v="6"/>
    <n v="5"/>
    <n v="910098"/>
    <n v="112124"/>
    <n v="797974"/>
    <n v="36"/>
    <n v="60"/>
    <n v="12.8"/>
  </r>
  <r>
    <x v="2"/>
    <x v="2"/>
    <d v="2024-05-02T00:00:00"/>
    <s v="NA"/>
    <n v="0"/>
    <n v="60"/>
    <s v="41-60"/>
    <x v="0"/>
    <x v="7"/>
    <x v="5"/>
    <x v="0"/>
    <n v="1"/>
    <n v="1"/>
    <n v="2.2999999999999998"/>
    <x v="9"/>
    <n v="5"/>
    <n v="5"/>
    <n v="912537"/>
    <n v="117955"/>
    <n v="794582"/>
    <n v="31"/>
    <n v="56"/>
    <n v="13.8"/>
  </r>
  <r>
    <x v="2"/>
    <x v="2"/>
    <d v="2021-10-07T00:00:00"/>
    <s v="NA"/>
    <n v="0"/>
    <n v="76"/>
    <s v="61-80"/>
    <x v="0"/>
    <x v="2"/>
    <x v="1"/>
    <x v="3"/>
    <n v="1"/>
    <n v="1"/>
    <n v="5.7"/>
    <x v="28"/>
    <n v="5"/>
    <n v="5"/>
    <n v="913958"/>
    <n v="161946"/>
    <n v="752012"/>
    <n v="37"/>
    <n v="65"/>
    <n v="8.3000000000000007"/>
  </r>
  <r>
    <x v="2"/>
    <x v="2"/>
    <d v="2022-04-27T00:00:00"/>
    <s v="NA"/>
    <n v="0"/>
    <n v="80"/>
    <s v="61-80"/>
    <x v="1"/>
    <x v="12"/>
    <x v="9"/>
    <x v="1"/>
    <n v="1"/>
    <n v="1"/>
    <n v="3.2"/>
    <x v="18"/>
    <n v="6"/>
    <n v="5"/>
    <n v="946272"/>
    <n v="316031"/>
    <n v="630241"/>
    <n v="38"/>
    <n v="55"/>
    <n v="8.5"/>
  </r>
  <r>
    <x v="2"/>
    <x v="2"/>
    <d v="2023-10-23T00:00:00"/>
    <s v="NA"/>
    <n v="0"/>
    <n v="23"/>
    <s v="21-40"/>
    <x v="0"/>
    <x v="2"/>
    <x v="1"/>
    <x v="1"/>
    <n v="1"/>
    <n v="1"/>
    <n v="3.8"/>
    <x v="24"/>
    <n v="6"/>
    <n v="7"/>
    <n v="960471"/>
    <n v="91374"/>
    <n v="869097"/>
    <n v="39"/>
    <n v="65"/>
    <n v="12.8"/>
  </r>
  <r>
    <x v="2"/>
    <x v="2"/>
    <d v="2021-10-20T00:00:00"/>
    <s v="NA"/>
    <n v="0"/>
    <n v="27"/>
    <s v="21-40"/>
    <x v="1"/>
    <x v="8"/>
    <x v="6"/>
    <x v="3"/>
    <n v="1"/>
    <n v="1"/>
    <n v="2.9"/>
    <x v="14"/>
    <n v="7"/>
    <n v="7"/>
    <n v="932259"/>
    <n v="253788"/>
    <n v="678471"/>
    <n v="36"/>
    <n v="56"/>
    <n v="14"/>
  </r>
  <r>
    <x v="2"/>
    <x v="2"/>
    <d v="2022-10-03T00:00:00"/>
    <s v="NA"/>
    <n v="0"/>
    <n v="31"/>
    <s v="21-40"/>
    <x v="1"/>
    <x v="13"/>
    <x v="10"/>
    <x v="1"/>
    <n v="1"/>
    <n v="1"/>
    <n v="1.9"/>
    <x v="15"/>
    <n v="7"/>
    <n v="3"/>
    <n v="995787"/>
    <n v="349286"/>
    <n v="646501"/>
    <n v="38"/>
    <n v="59"/>
    <n v="36.6"/>
  </r>
  <r>
    <x v="2"/>
    <x v="2"/>
    <d v="2021-11-23T00:00:00"/>
    <s v="NA"/>
    <n v="0"/>
    <n v="84"/>
    <s v="81+"/>
    <x v="0"/>
    <x v="0"/>
    <x v="0"/>
    <x v="1"/>
    <n v="1"/>
    <n v="1"/>
    <n v="4.7"/>
    <x v="25"/>
    <n v="7"/>
    <n v="3"/>
    <n v="955408"/>
    <n v="198758"/>
    <n v="756650"/>
    <n v="32"/>
    <n v="54"/>
    <n v="6.2"/>
  </r>
  <r>
    <x v="2"/>
    <x v="2"/>
    <d v="2024-07-26T00:00:00"/>
    <s v="NA"/>
    <n v="0"/>
    <n v="78"/>
    <s v="61-80"/>
    <x v="1"/>
    <x v="12"/>
    <x v="9"/>
    <x v="1"/>
    <n v="1"/>
    <n v="1"/>
    <n v="1.9"/>
    <x v="20"/>
    <n v="3"/>
    <n v="6"/>
    <n v="989383"/>
    <n v="120213"/>
    <n v="869170"/>
    <n v="40"/>
    <n v="60"/>
    <n v="9.1999999999999993"/>
  </r>
  <r>
    <x v="2"/>
    <x v="2"/>
    <d v="2023-06-23T00:00:00"/>
    <s v="NA"/>
    <n v="0"/>
    <n v="80"/>
    <s v="61-80"/>
    <x v="0"/>
    <x v="13"/>
    <x v="10"/>
    <x v="4"/>
    <n v="1"/>
    <n v="1"/>
    <n v="2.1"/>
    <x v="5"/>
    <n v="3"/>
    <n v="3"/>
    <n v="964988"/>
    <n v="156490"/>
    <n v="808498"/>
    <n v="31"/>
    <n v="56"/>
    <n v="12.3"/>
  </r>
  <r>
    <x v="2"/>
    <x v="2"/>
    <d v="2024-05-09T00:00:00"/>
    <s v="NA"/>
    <n v="0"/>
    <n v="87"/>
    <s v="81+"/>
    <x v="0"/>
    <x v="0"/>
    <x v="0"/>
    <x v="3"/>
    <n v="1"/>
    <n v="1"/>
    <n v="5.8"/>
    <x v="10"/>
    <n v="5"/>
    <n v="3"/>
    <n v="959583"/>
    <n v="227700"/>
    <n v="731883"/>
    <n v="39"/>
    <n v="58"/>
    <n v="9.5"/>
  </r>
  <r>
    <x v="2"/>
    <x v="2"/>
    <d v="2021-07-09T00:00:00"/>
    <s v="NA"/>
    <n v="0"/>
    <n v="29"/>
    <s v="21-40"/>
    <x v="1"/>
    <x v="13"/>
    <x v="10"/>
    <x v="2"/>
    <n v="1"/>
    <n v="1"/>
    <n v="5.5"/>
    <x v="28"/>
    <n v="3"/>
    <n v="4"/>
    <n v="954227"/>
    <n v="328557"/>
    <n v="625670"/>
    <n v="37"/>
    <n v="59"/>
    <n v="8.1"/>
  </r>
  <r>
    <x v="2"/>
    <x v="2"/>
    <d v="2024-07-16T00:00:00"/>
    <s v="NA"/>
    <n v="0"/>
    <n v="63"/>
    <s v="61-80"/>
    <x v="1"/>
    <x v="3"/>
    <x v="2"/>
    <x v="3"/>
    <n v="1"/>
    <n v="1"/>
    <n v="4"/>
    <x v="6"/>
    <n v="5"/>
    <n v="5"/>
    <n v="948294"/>
    <n v="79510"/>
    <n v="868784"/>
    <n v="36"/>
    <n v="56"/>
    <n v="10.9"/>
  </r>
  <r>
    <x v="2"/>
    <x v="2"/>
    <d v="2024-10-16T00:00:00"/>
    <s v="NA"/>
    <n v="0"/>
    <n v="51"/>
    <s v="41-60"/>
    <x v="1"/>
    <x v="9"/>
    <x v="7"/>
    <x v="1"/>
    <n v="1"/>
    <n v="1"/>
    <n v="3.7"/>
    <x v="25"/>
    <n v="5"/>
    <n v="6"/>
    <n v="948835"/>
    <n v="344961"/>
    <n v="603874"/>
    <n v="38"/>
    <n v="63"/>
    <n v="8.1"/>
  </r>
  <r>
    <x v="2"/>
    <x v="2"/>
    <d v="2023-09-12T00:00:00"/>
    <s v="NA"/>
    <n v="0"/>
    <n v="25"/>
    <s v="21-40"/>
    <x v="0"/>
    <x v="0"/>
    <x v="0"/>
    <x v="4"/>
    <n v="1"/>
    <n v="1"/>
    <n v="4"/>
    <x v="19"/>
    <n v="7"/>
    <n v="4"/>
    <n v="943276"/>
    <n v="257458"/>
    <n v="685818"/>
    <n v="38"/>
    <n v="58"/>
    <n v="7.7"/>
  </r>
  <r>
    <x v="2"/>
    <x v="2"/>
    <d v="2022-07-21T00:00:00"/>
    <s v="NA"/>
    <n v="0"/>
    <n v="42"/>
    <s v="41-60"/>
    <x v="0"/>
    <x v="2"/>
    <x v="1"/>
    <x v="0"/>
    <n v="1"/>
    <n v="1"/>
    <n v="3.4"/>
    <x v="1"/>
    <n v="7"/>
    <n v="4"/>
    <n v="985617"/>
    <n v="334881"/>
    <n v="650736"/>
    <n v="32"/>
    <n v="59"/>
    <n v="13.9"/>
  </r>
  <r>
    <x v="2"/>
    <x v="2"/>
    <d v="2023-03-10T00:00:00"/>
    <s v="NA"/>
    <n v="0"/>
    <n v="59"/>
    <s v="41-60"/>
    <x v="1"/>
    <x v="2"/>
    <x v="1"/>
    <x v="0"/>
    <n v="1"/>
    <n v="1"/>
    <n v="3.5"/>
    <x v="10"/>
    <n v="3"/>
    <n v="6"/>
    <n v="987802"/>
    <n v="129973"/>
    <n v="857829"/>
    <n v="33"/>
    <n v="54"/>
    <n v="36"/>
  </r>
  <r>
    <x v="2"/>
    <x v="2"/>
    <d v="2021-07-08T00:00:00"/>
    <s v="NA"/>
    <n v="0"/>
    <n v="49"/>
    <s v="41-60"/>
    <x v="1"/>
    <x v="11"/>
    <x v="8"/>
    <x v="3"/>
    <n v="1"/>
    <n v="1"/>
    <n v="5.8"/>
    <x v="22"/>
    <n v="3"/>
    <n v="5"/>
    <n v="949199"/>
    <n v="164709"/>
    <n v="784490"/>
    <n v="37"/>
    <n v="58"/>
    <n v="9.4"/>
  </r>
  <r>
    <x v="2"/>
    <x v="2"/>
    <d v="2021-11-14T00:00:00"/>
    <s v="NA"/>
    <n v="0"/>
    <n v="54"/>
    <s v="41-60"/>
    <x v="0"/>
    <x v="2"/>
    <x v="1"/>
    <x v="4"/>
    <n v="1"/>
    <n v="1"/>
    <n v="2.2999999999999998"/>
    <x v="12"/>
    <n v="5"/>
    <n v="4"/>
    <n v="964129"/>
    <n v="359324"/>
    <n v="604805"/>
    <n v="33"/>
    <n v="60"/>
    <n v="36.9"/>
  </r>
  <r>
    <x v="2"/>
    <x v="2"/>
    <d v="2021-01-30T00:00:00"/>
    <s v="NA"/>
    <n v="0"/>
    <n v="62"/>
    <s v="61-80"/>
    <x v="0"/>
    <x v="10"/>
    <x v="8"/>
    <x v="2"/>
    <n v="1"/>
    <n v="1"/>
    <n v="4"/>
    <x v="26"/>
    <n v="5"/>
    <n v="4"/>
    <n v="952266"/>
    <n v="329141"/>
    <n v="623125"/>
    <n v="33"/>
    <n v="60"/>
    <n v="13.7"/>
  </r>
  <r>
    <x v="2"/>
    <x v="2"/>
    <d v="2021-05-21T00:00:00"/>
    <s v="NA"/>
    <n v="0"/>
    <n v="55"/>
    <s v="41-60"/>
    <x v="0"/>
    <x v="1"/>
    <x v="1"/>
    <x v="1"/>
    <n v="1"/>
    <n v="1"/>
    <n v="1.6"/>
    <x v="22"/>
    <n v="7"/>
    <n v="6"/>
    <n v="984200"/>
    <n v="309112"/>
    <n v="675088"/>
    <n v="40"/>
    <n v="55"/>
    <n v="9.4"/>
  </r>
  <r>
    <x v="2"/>
    <x v="2"/>
    <d v="2023-08-02T00:00:00"/>
    <s v="NA"/>
    <n v="0"/>
    <n v="52"/>
    <s v="41-60"/>
    <x v="1"/>
    <x v="12"/>
    <x v="9"/>
    <x v="4"/>
    <n v="1"/>
    <n v="1"/>
    <n v="4.9000000000000004"/>
    <x v="12"/>
    <n v="5"/>
    <n v="3"/>
    <n v="925205"/>
    <n v="203808"/>
    <n v="721397"/>
    <n v="37"/>
    <n v="62"/>
    <n v="14.2"/>
  </r>
  <r>
    <x v="2"/>
    <x v="2"/>
    <d v="2023-12-21T00:00:00"/>
    <s v="NA"/>
    <n v="0"/>
    <n v="36"/>
    <s v="21-40"/>
    <x v="1"/>
    <x v="3"/>
    <x v="2"/>
    <x v="4"/>
    <n v="1"/>
    <n v="1"/>
    <n v="3.5"/>
    <x v="3"/>
    <n v="5"/>
    <n v="3"/>
    <n v="927439"/>
    <n v="81346"/>
    <n v="846093"/>
    <n v="38"/>
    <n v="66"/>
    <n v="6.4"/>
  </r>
  <r>
    <x v="2"/>
    <x v="2"/>
    <d v="2023-01-18T00:00:00"/>
    <s v="NA"/>
    <n v="0"/>
    <n v="78"/>
    <s v="61-80"/>
    <x v="0"/>
    <x v="2"/>
    <x v="1"/>
    <x v="4"/>
    <n v="1"/>
    <n v="1"/>
    <n v="1.6"/>
    <x v="4"/>
    <n v="3"/>
    <n v="5"/>
    <n v="967246"/>
    <n v="363597"/>
    <n v="603649"/>
    <n v="36"/>
    <n v="63"/>
    <n v="10.9"/>
  </r>
  <r>
    <x v="2"/>
    <x v="2"/>
    <d v="2021-03-11T00:00:00"/>
    <s v="NA"/>
    <n v="0"/>
    <n v="83"/>
    <s v="81+"/>
    <x v="1"/>
    <x v="6"/>
    <x v="4"/>
    <x v="4"/>
    <n v="1"/>
    <n v="1"/>
    <n v="3.7"/>
    <x v="24"/>
    <n v="3"/>
    <n v="5"/>
    <n v="965065"/>
    <n v="332446"/>
    <n v="632619"/>
    <n v="35"/>
    <n v="55"/>
    <n v="9"/>
  </r>
  <r>
    <x v="2"/>
    <x v="2"/>
    <d v="2024-06-20T00:00:00"/>
    <s v="NA"/>
    <n v="0"/>
    <n v="63"/>
    <s v="61-80"/>
    <x v="1"/>
    <x v="3"/>
    <x v="2"/>
    <x v="2"/>
    <n v="1"/>
    <n v="1"/>
    <n v="4.3"/>
    <x v="25"/>
    <n v="6"/>
    <n v="4"/>
    <n v="963306"/>
    <n v="295441"/>
    <n v="667865"/>
    <n v="34"/>
    <n v="61"/>
    <n v="6.6"/>
  </r>
  <r>
    <x v="2"/>
    <x v="2"/>
    <d v="2021-02-21T00:00:00"/>
    <s v="NA"/>
    <n v="0"/>
    <n v="35"/>
    <s v="21-40"/>
    <x v="1"/>
    <x v="12"/>
    <x v="9"/>
    <x v="3"/>
    <n v="1"/>
    <n v="1"/>
    <n v="5.3"/>
    <x v="23"/>
    <n v="7"/>
    <n v="6"/>
    <n v="964058"/>
    <n v="206206"/>
    <n v="757852"/>
    <n v="33"/>
    <n v="57"/>
    <n v="7.9"/>
  </r>
  <r>
    <x v="2"/>
    <x v="2"/>
    <d v="2021-05-31T00:00:00"/>
    <s v="NA"/>
    <n v="0"/>
    <n v="25"/>
    <s v="21-40"/>
    <x v="0"/>
    <x v="0"/>
    <x v="0"/>
    <x v="1"/>
    <n v="1"/>
    <n v="1"/>
    <n v="6.7"/>
    <x v="23"/>
    <n v="6"/>
    <n v="6"/>
    <n v="980822"/>
    <n v="175063"/>
    <n v="805759"/>
    <n v="30"/>
    <n v="66"/>
    <n v="14.3"/>
  </r>
  <r>
    <x v="2"/>
    <x v="2"/>
    <d v="2022-12-03T00:00:00"/>
    <s v="NA"/>
    <n v="0"/>
    <n v="32"/>
    <s v="21-40"/>
    <x v="0"/>
    <x v="0"/>
    <x v="0"/>
    <x v="1"/>
    <n v="1"/>
    <n v="1"/>
    <n v="4.5999999999999996"/>
    <x v="1"/>
    <n v="4"/>
    <n v="7"/>
    <n v="937508"/>
    <n v="334102"/>
    <n v="603406"/>
    <n v="36"/>
    <n v="63"/>
    <n v="8.9"/>
  </r>
  <r>
    <x v="2"/>
    <x v="2"/>
    <d v="2021-06-18T00:00:00"/>
    <s v="NA"/>
    <n v="0"/>
    <n v="21"/>
    <s v="21-40"/>
    <x v="1"/>
    <x v="2"/>
    <x v="1"/>
    <x v="3"/>
    <n v="1"/>
    <n v="1"/>
    <n v="1.5"/>
    <x v="16"/>
    <n v="4"/>
    <n v="5"/>
    <n v="940600"/>
    <n v="191333"/>
    <n v="749267"/>
    <n v="34"/>
    <n v="56"/>
    <n v="10"/>
  </r>
  <r>
    <x v="2"/>
    <x v="2"/>
    <d v="2021-05-08T00:00:00"/>
    <s v="NA"/>
    <n v="0"/>
    <n v="44"/>
    <s v="41-60"/>
    <x v="0"/>
    <x v="13"/>
    <x v="10"/>
    <x v="3"/>
    <n v="1"/>
    <n v="1"/>
    <n v="1.6"/>
    <x v="17"/>
    <n v="3"/>
    <n v="6"/>
    <n v="954474"/>
    <n v="205229"/>
    <n v="749245"/>
    <n v="31"/>
    <n v="61"/>
    <n v="36.1"/>
  </r>
  <r>
    <x v="4"/>
    <x v="4"/>
    <d v="2021-07-26T00:00:00"/>
    <s v="NA"/>
    <n v="0"/>
    <n v="31"/>
    <s v="21-40"/>
    <x v="1"/>
    <x v="10"/>
    <x v="8"/>
    <x v="0"/>
    <n v="1"/>
    <n v="1"/>
    <n v="3.3"/>
    <x v="21"/>
    <n v="3"/>
    <n v="5"/>
    <n v="612382"/>
    <n v="84537"/>
    <n v="527845"/>
    <n v="39"/>
    <n v="65"/>
    <n v="12.8"/>
  </r>
  <r>
    <x v="4"/>
    <x v="4"/>
    <d v="2021-05-25T00:00:00"/>
    <s v="NA"/>
    <n v="0"/>
    <n v="79"/>
    <s v="61-80"/>
    <x v="0"/>
    <x v="0"/>
    <x v="0"/>
    <x v="3"/>
    <n v="1"/>
    <n v="1"/>
    <n v="2"/>
    <x v="23"/>
    <n v="4"/>
    <n v="3"/>
    <n v="784654"/>
    <n v="154128"/>
    <n v="630526"/>
    <n v="35"/>
    <n v="63"/>
    <n v="9.4"/>
  </r>
  <r>
    <x v="4"/>
    <x v="4"/>
    <d v="2021-10-18T00:00:00"/>
    <s v="NA"/>
    <n v="0"/>
    <n v="46"/>
    <s v="41-60"/>
    <x v="1"/>
    <x v="4"/>
    <x v="3"/>
    <x v="3"/>
    <n v="1"/>
    <n v="1"/>
    <n v="1.8"/>
    <x v="30"/>
    <n v="6"/>
    <n v="4"/>
    <n v="661760"/>
    <n v="147738"/>
    <n v="514022"/>
    <n v="35"/>
    <n v="54"/>
    <n v="13"/>
  </r>
  <r>
    <x v="4"/>
    <x v="4"/>
    <d v="2021-05-22T00:00:00"/>
    <s v="NA"/>
    <n v="0"/>
    <n v="24"/>
    <s v="21-40"/>
    <x v="1"/>
    <x v="4"/>
    <x v="3"/>
    <x v="3"/>
    <n v="1"/>
    <n v="1"/>
    <n v="3"/>
    <x v="2"/>
    <n v="6"/>
    <n v="7"/>
    <n v="795698"/>
    <n v="234051"/>
    <n v="561647"/>
    <n v="39"/>
    <n v="66"/>
    <n v="36.700000000000003"/>
  </r>
  <r>
    <x v="4"/>
    <x v="4"/>
    <d v="2024-09-20T00:00:00"/>
    <s v="NA"/>
    <n v="0"/>
    <n v="85"/>
    <s v="81+"/>
    <x v="1"/>
    <x v="3"/>
    <x v="2"/>
    <x v="0"/>
    <n v="1"/>
    <n v="1"/>
    <n v="5.7"/>
    <x v="27"/>
    <n v="7"/>
    <n v="5"/>
    <n v="610034"/>
    <n v="41930"/>
    <n v="568104"/>
    <n v="32"/>
    <n v="61"/>
    <n v="8.5"/>
  </r>
  <r>
    <x v="4"/>
    <x v="4"/>
    <d v="2021-05-19T00:00:00"/>
    <s v="NA"/>
    <n v="0"/>
    <n v="82"/>
    <s v="81+"/>
    <x v="1"/>
    <x v="3"/>
    <x v="2"/>
    <x v="4"/>
    <n v="1"/>
    <n v="1"/>
    <n v="2.2000000000000002"/>
    <x v="18"/>
    <n v="3"/>
    <n v="3"/>
    <n v="797908"/>
    <n v="148024"/>
    <n v="649884"/>
    <n v="34"/>
    <n v="55"/>
    <n v="36.9"/>
  </r>
  <r>
    <x v="4"/>
    <x v="4"/>
    <d v="2024-12-12T00:00:00"/>
    <s v="NA"/>
    <n v="0"/>
    <n v="36"/>
    <s v="21-40"/>
    <x v="1"/>
    <x v="9"/>
    <x v="7"/>
    <x v="2"/>
    <n v="1"/>
    <n v="1"/>
    <n v="3.8"/>
    <x v="10"/>
    <n v="5"/>
    <n v="7"/>
    <n v="619531"/>
    <n v="17013"/>
    <n v="602518"/>
    <n v="39"/>
    <n v="65"/>
    <n v="12"/>
  </r>
  <r>
    <x v="4"/>
    <x v="4"/>
    <d v="2024-09-13T00:00:00"/>
    <s v="NA"/>
    <n v="0"/>
    <n v="54"/>
    <s v="41-60"/>
    <x v="0"/>
    <x v="4"/>
    <x v="3"/>
    <x v="2"/>
    <n v="1"/>
    <n v="1"/>
    <n v="3.1"/>
    <x v="20"/>
    <n v="3"/>
    <n v="4"/>
    <n v="741636"/>
    <n v="100211"/>
    <n v="641425"/>
    <n v="38"/>
    <n v="66"/>
    <n v="7.2"/>
  </r>
  <r>
    <x v="4"/>
    <x v="4"/>
    <d v="2023-08-16T00:00:00"/>
    <s v="NA"/>
    <n v="0"/>
    <n v="61"/>
    <s v="61-80"/>
    <x v="1"/>
    <x v="12"/>
    <x v="9"/>
    <x v="4"/>
    <n v="1"/>
    <n v="1"/>
    <n v="5.7"/>
    <x v="29"/>
    <n v="6"/>
    <n v="5"/>
    <n v="786861"/>
    <n v="208519"/>
    <n v="578342"/>
    <n v="32"/>
    <n v="55"/>
    <n v="13.5"/>
  </r>
  <r>
    <x v="4"/>
    <x v="4"/>
    <d v="2023-07-14T00:00:00"/>
    <s v="NA"/>
    <n v="0"/>
    <n v="23"/>
    <s v="21-40"/>
    <x v="0"/>
    <x v="14"/>
    <x v="11"/>
    <x v="1"/>
    <n v="1"/>
    <n v="1"/>
    <n v="4.4000000000000004"/>
    <x v="15"/>
    <n v="7"/>
    <n v="3"/>
    <n v="714788"/>
    <n v="153122"/>
    <n v="561666"/>
    <n v="34"/>
    <n v="59"/>
    <n v="12.5"/>
  </r>
  <r>
    <x v="4"/>
    <x v="4"/>
    <d v="2022-09-05T00:00:00"/>
    <s v="NA"/>
    <n v="0"/>
    <n v="46"/>
    <s v="41-60"/>
    <x v="1"/>
    <x v="3"/>
    <x v="2"/>
    <x v="3"/>
    <n v="1"/>
    <n v="1"/>
    <n v="7"/>
    <x v="13"/>
    <n v="6"/>
    <n v="3"/>
    <n v="631803"/>
    <n v="-13545"/>
    <n v="645348"/>
    <n v="33"/>
    <n v="59"/>
    <n v="36.1"/>
  </r>
  <r>
    <x v="4"/>
    <x v="4"/>
    <d v="2021-03-24T00:00:00"/>
    <s v="NA"/>
    <n v="0"/>
    <n v="37"/>
    <s v="21-40"/>
    <x v="1"/>
    <x v="12"/>
    <x v="9"/>
    <x v="4"/>
    <n v="1"/>
    <n v="1"/>
    <n v="2.5"/>
    <x v="15"/>
    <n v="3"/>
    <n v="4"/>
    <n v="814692"/>
    <n v="297572"/>
    <n v="517120"/>
    <n v="40"/>
    <n v="58"/>
    <n v="12.2"/>
  </r>
  <r>
    <x v="4"/>
    <x v="4"/>
    <d v="2023-08-19T00:00:00"/>
    <s v="NA"/>
    <n v="0"/>
    <n v="49"/>
    <s v="41-60"/>
    <x v="0"/>
    <x v="0"/>
    <x v="0"/>
    <x v="3"/>
    <n v="1"/>
    <n v="1"/>
    <n v="3.1"/>
    <x v="17"/>
    <n v="5"/>
    <n v="5"/>
    <n v="867591"/>
    <n v="236729"/>
    <n v="630862"/>
    <n v="36"/>
    <n v="63"/>
    <n v="6.3"/>
  </r>
  <r>
    <x v="4"/>
    <x v="4"/>
    <d v="2022-01-13T00:00:00"/>
    <s v="NA"/>
    <n v="0"/>
    <n v="43"/>
    <s v="41-60"/>
    <x v="0"/>
    <x v="4"/>
    <x v="3"/>
    <x v="3"/>
    <n v="1"/>
    <n v="1"/>
    <n v="4.7"/>
    <x v="9"/>
    <n v="4"/>
    <n v="4"/>
    <n v="677999"/>
    <n v="33948"/>
    <n v="644051"/>
    <n v="31"/>
    <n v="62"/>
    <n v="36.299999999999997"/>
  </r>
  <r>
    <x v="4"/>
    <x v="4"/>
    <d v="2023-11-12T00:00:00"/>
    <s v="NA"/>
    <n v="0"/>
    <n v="29"/>
    <s v="21-40"/>
    <x v="0"/>
    <x v="0"/>
    <x v="0"/>
    <x v="0"/>
    <n v="1"/>
    <n v="1"/>
    <n v="6.3"/>
    <x v="25"/>
    <n v="7"/>
    <n v="7"/>
    <n v="736169"/>
    <n v="191480"/>
    <n v="544689"/>
    <n v="32"/>
    <n v="64"/>
    <n v="5.3"/>
  </r>
  <r>
    <x v="4"/>
    <x v="4"/>
    <d v="2022-01-09T00:00:00"/>
    <s v="NA"/>
    <n v="0"/>
    <n v="46"/>
    <s v="41-60"/>
    <x v="1"/>
    <x v="10"/>
    <x v="8"/>
    <x v="0"/>
    <n v="1"/>
    <n v="1"/>
    <n v="2.5"/>
    <x v="23"/>
    <n v="4"/>
    <n v="6"/>
    <n v="633927"/>
    <n v="21849"/>
    <n v="612078"/>
    <n v="31"/>
    <n v="61"/>
    <n v="9.6999999999999993"/>
  </r>
  <r>
    <x v="4"/>
    <x v="4"/>
    <d v="2022-08-11T00:00:00"/>
    <s v="NA"/>
    <n v="0"/>
    <n v="79"/>
    <s v="61-80"/>
    <x v="1"/>
    <x v="3"/>
    <x v="2"/>
    <x v="1"/>
    <n v="1"/>
    <n v="1"/>
    <n v="2.1"/>
    <x v="3"/>
    <n v="4"/>
    <n v="4"/>
    <n v="812091"/>
    <n v="271383"/>
    <n v="540708"/>
    <n v="34"/>
    <n v="61"/>
    <n v="12.3"/>
  </r>
  <r>
    <x v="4"/>
    <x v="4"/>
    <d v="2024-10-22T00:00:00"/>
    <s v="NA"/>
    <n v="0"/>
    <n v="74"/>
    <s v="61-80"/>
    <x v="1"/>
    <x v="11"/>
    <x v="8"/>
    <x v="3"/>
    <n v="1"/>
    <n v="1"/>
    <n v="5.9"/>
    <x v="7"/>
    <n v="6"/>
    <n v="7"/>
    <n v="626187"/>
    <n v="93461"/>
    <n v="532726"/>
    <n v="40"/>
    <n v="58"/>
    <n v="5.2"/>
  </r>
  <r>
    <x v="4"/>
    <x v="4"/>
    <d v="2021-11-24T00:00:00"/>
    <s v="NA"/>
    <n v="0"/>
    <n v="37"/>
    <s v="21-40"/>
    <x v="1"/>
    <x v="7"/>
    <x v="5"/>
    <x v="0"/>
    <n v="1"/>
    <n v="1"/>
    <n v="3.4"/>
    <x v="11"/>
    <n v="5"/>
    <n v="4"/>
    <n v="713036"/>
    <n v="113355"/>
    <n v="599681"/>
    <n v="31"/>
    <n v="65"/>
    <n v="10.9"/>
  </r>
  <r>
    <x v="4"/>
    <x v="4"/>
    <d v="2022-01-24T00:00:00"/>
    <s v="NA"/>
    <n v="0"/>
    <n v="23"/>
    <s v="21-40"/>
    <x v="1"/>
    <x v="3"/>
    <x v="2"/>
    <x v="3"/>
    <n v="1"/>
    <n v="1"/>
    <n v="4.0999999999999996"/>
    <x v="8"/>
    <n v="5"/>
    <n v="6"/>
    <n v="667177"/>
    <n v="85252"/>
    <n v="581925"/>
    <n v="38"/>
    <n v="63"/>
    <n v="36.6"/>
  </r>
  <r>
    <x v="4"/>
    <x v="4"/>
    <d v="2022-09-28T00:00:00"/>
    <s v="NA"/>
    <n v="0"/>
    <n v="85"/>
    <s v="81+"/>
    <x v="0"/>
    <x v="0"/>
    <x v="0"/>
    <x v="2"/>
    <n v="1"/>
    <n v="1"/>
    <n v="6.5"/>
    <x v="26"/>
    <n v="7"/>
    <n v="3"/>
    <n v="779731"/>
    <n v="177253"/>
    <n v="602478"/>
    <n v="40"/>
    <n v="58"/>
    <n v="9.6999999999999993"/>
  </r>
  <r>
    <x v="4"/>
    <x v="4"/>
    <d v="2024-10-12T00:00:00"/>
    <s v="NA"/>
    <n v="0"/>
    <n v="61"/>
    <s v="61-80"/>
    <x v="0"/>
    <x v="5"/>
    <x v="0"/>
    <x v="1"/>
    <n v="1"/>
    <n v="1"/>
    <n v="4"/>
    <x v="20"/>
    <n v="7"/>
    <n v="3"/>
    <n v="856162"/>
    <n v="302762"/>
    <n v="553400"/>
    <n v="33"/>
    <n v="54"/>
    <n v="10.6"/>
  </r>
  <r>
    <x v="4"/>
    <x v="4"/>
    <d v="2022-12-03T00:00:00"/>
    <s v="NA"/>
    <n v="0"/>
    <n v="29"/>
    <s v="21-40"/>
    <x v="1"/>
    <x v="13"/>
    <x v="10"/>
    <x v="2"/>
    <n v="1"/>
    <n v="1"/>
    <n v="5.6"/>
    <x v="9"/>
    <n v="4"/>
    <n v="7"/>
    <n v="632725"/>
    <n v="110737"/>
    <n v="521988"/>
    <n v="33"/>
    <n v="65"/>
    <n v="9.1999999999999993"/>
  </r>
  <r>
    <x v="4"/>
    <x v="4"/>
    <d v="2021-02-15T00:00:00"/>
    <s v="NA"/>
    <n v="0"/>
    <n v="46"/>
    <s v="41-60"/>
    <x v="0"/>
    <x v="5"/>
    <x v="0"/>
    <x v="3"/>
    <n v="1"/>
    <n v="1"/>
    <n v="4.0999999999999996"/>
    <x v="3"/>
    <n v="6"/>
    <n v="3"/>
    <n v="625226"/>
    <n v="43694"/>
    <n v="581532"/>
    <n v="30"/>
    <n v="55"/>
    <n v="12.4"/>
  </r>
  <r>
    <x v="4"/>
    <x v="4"/>
    <d v="2021-04-21T00:00:00"/>
    <s v="NA"/>
    <n v="0"/>
    <n v="23"/>
    <s v="21-40"/>
    <x v="0"/>
    <x v="1"/>
    <x v="1"/>
    <x v="3"/>
    <n v="1"/>
    <n v="1"/>
    <n v="6.8"/>
    <x v="6"/>
    <n v="3"/>
    <n v="4"/>
    <n v="737483"/>
    <n v="137054"/>
    <n v="600429"/>
    <n v="37"/>
    <n v="58"/>
    <n v="12.5"/>
  </r>
  <r>
    <x v="4"/>
    <x v="4"/>
    <d v="2022-02-11T00:00:00"/>
    <s v="NA"/>
    <n v="0"/>
    <n v="39"/>
    <s v="21-40"/>
    <x v="0"/>
    <x v="0"/>
    <x v="0"/>
    <x v="2"/>
    <n v="1"/>
    <n v="1"/>
    <n v="6.6"/>
    <x v="2"/>
    <n v="5"/>
    <n v="5"/>
    <n v="776106"/>
    <n v="244839"/>
    <n v="531267"/>
    <n v="33"/>
    <n v="58"/>
    <n v="8.9"/>
  </r>
  <r>
    <x v="4"/>
    <x v="4"/>
    <d v="2021-12-27T00:00:00"/>
    <s v="NA"/>
    <n v="0"/>
    <n v="65"/>
    <s v="61-80"/>
    <x v="0"/>
    <x v="14"/>
    <x v="11"/>
    <x v="3"/>
    <n v="1"/>
    <n v="1"/>
    <n v="2.6"/>
    <x v="3"/>
    <n v="5"/>
    <n v="6"/>
    <n v="841751"/>
    <n v="254531"/>
    <n v="587220"/>
    <n v="37"/>
    <n v="60"/>
    <n v="13.1"/>
  </r>
  <r>
    <x v="4"/>
    <x v="4"/>
    <d v="2023-12-18T00:00:00"/>
    <s v="NA"/>
    <n v="0"/>
    <n v="33"/>
    <s v="21-40"/>
    <x v="1"/>
    <x v="13"/>
    <x v="10"/>
    <x v="4"/>
    <n v="1"/>
    <n v="1"/>
    <n v="2.4"/>
    <x v="5"/>
    <n v="5"/>
    <n v="5"/>
    <n v="620829"/>
    <n v="25839"/>
    <n v="594990"/>
    <n v="30"/>
    <n v="60"/>
    <n v="13.9"/>
  </r>
  <r>
    <x v="4"/>
    <x v="4"/>
    <d v="2023-01-14T00:00:00"/>
    <s v="NA"/>
    <n v="0"/>
    <n v="39"/>
    <s v="21-40"/>
    <x v="0"/>
    <x v="10"/>
    <x v="8"/>
    <x v="3"/>
    <n v="1"/>
    <n v="1"/>
    <n v="4.0999999999999996"/>
    <x v="11"/>
    <n v="3"/>
    <n v="3"/>
    <n v="873843"/>
    <n v="336519"/>
    <n v="537324"/>
    <n v="40"/>
    <n v="54"/>
    <n v="7.6"/>
  </r>
  <r>
    <x v="4"/>
    <x v="4"/>
    <d v="2023-12-25T00:00:00"/>
    <s v="NA"/>
    <n v="0"/>
    <n v="71"/>
    <s v="61-80"/>
    <x v="0"/>
    <x v="0"/>
    <x v="0"/>
    <x v="1"/>
    <n v="1"/>
    <n v="1"/>
    <n v="5.2"/>
    <x v="25"/>
    <n v="6"/>
    <n v="5"/>
    <n v="708001"/>
    <n v="60470"/>
    <n v="647531"/>
    <n v="32"/>
    <n v="55"/>
    <n v="10.7"/>
  </r>
  <r>
    <x v="4"/>
    <x v="4"/>
    <d v="2021-12-10T00:00:00"/>
    <s v="NA"/>
    <n v="0"/>
    <n v="27"/>
    <s v="21-40"/>
    <x v="0"/>
    <x v="0"/>
    <x v="0"/>
    <x v="2"/>
    <n v="1"/>
    <n v="1"/>
    <n v="3.9"/>
    <x v="19"/>
    <n v="5"/>
    <n v="3"/>
    <n v="754822"/>
    <n v="139542"/>
    <n v="615280"/>
    <n v="30"/>
    <n v="61"/>
    <n v="10.8"/>
  </r>
  <r>
    <x v="4"/>
    <x v="4"/>
    <d v="2022-03-22T00:00:00"/>
    <s v="NA"/>
    <n v="0"/>
    <n v="34"/>
    <s v="21-40"/>
    <x v="1"/>
    <x v="3"/>
    <x v="2"/>
    <x v="0"/>
    <n v="1"/>
    <n v="1"/>
    <n v="3.9"/>
    <x v="20"/>
    <n v="5"/>
    <n v="7"/>
    <n v="700573"/>
    <n v="148295"/>
    <n v="552278"/>
    <n v="34"/>
    <n v="64"/>
    <n v="14"/>
  </r>
  <r>
    <x v="4"/>
    <x v="4"/>
    <d v="2023-06-03T00:00:00"/>
    <s v="NA"/>
    <n v="0"/>
    <n v="49"/>
    <s v="41-60"/>
    <x v="0"/>
    <x v="5"/>
    <x v="0"/>
    <x v="3"/>
    <n v="1"/>
    <n v="1"/>
    <n v="5.4"/>
    <x v="2"/>
    <n v="5"/>
    <n v="3"/>
    <n v="882899"/>
    <n v="246086"/>
    <n v="636813"/>
    <n v="30"/>
    <n v="64"/>
    <n v="9.9"/>
  </r>
  <r>
    <x v="4"/>
    <x v="4"/>
    <d v="2023-01-05T00:00:00"/>
    <s v="NA"/>
    <n v="0"/>
    <n v="66"/>
    <s v="61-80"/>
    <x v="0"/>
    <x v="7"/>
    <x v="5"/>
    <x v="0"/>
    <n v="1"/>
    <n v="1"/>
    <n v="1.8"/>
    <x v="7"/>
    <n v="7"/>
    <n v="6"/>
    <n v="631717"/>
    <n v="81295"/>
    <n v="550422"/>
    <n v="39"/>
    <n v="63"/>
    <n v="12.2"/>
  </r>
  <r>
    <x v="4"/>
    <x v="4"/>
    <d v="2022-03-01T00:00:00"/>
    <s v="NA"/>
    <n v="0"/>
    <n v="83"/>
    <s v="81+"/>
    <x v="1"/>
    <x v="3"/>
    <x v="2"/>
    <x v="3"/>
    <n v="1"/>
    <n v="1"/>
    <n v="2.2000000000000002"/>
    <x v="16"/>
    <n v="3"/>
    <n v="5"/>
    <n v="822787"/>
    <n v="275142"/>
    <n v="547645"/>
    <n v="31"/>
    <n v="61"/>
    <n v="5.8"/>
  </r>
  <r>
    <x v="4"/>
    <x v="4"/>
    <d v="2024-10-11T00:00:00"/>
    <s v="NA"/>
    <n v="0"/>
    <n v="32"/>
    <s v="21-40"/>
    <x v="0"/>
    <x v="1"/>
    <x v="1"/>
    <x v="1"/>
    <n v="1"/>
    <n v="1"/>
    <n v="1.8"/>
    <x v="21"/>
    <n v="6"/>
    <n v="3"/>
    <n v="624216"/>
    <n v="37869"/>
    <n v="586347"/>
    <n v="35"/>
    <n v="63"/>
    <n v="13.4"/>
  </r>
  <r>
    <x v="4"/>
    <x v="4"/>
    <d v="2022-01-06T00:00:00"/>
    <s v="NA"/>
    <n v="0"/>
    <n v="44"/>
    <s v="41-60"/>
    <x v="1"/>
    <x v="4"/>
    <x v="3"/>
    <x v="1"/>
    <n v="1"/>
    <n v="1"/>
    <n v="5.3"/>
    <x v="8"/>
    <n v="5"/>
    <n v="7"/>
    <n v="699970"/>
    <n v="78968"/>
    <n v="621002"/>
    <n v="38"/>
    <n v="56"/>
    <n v="5.4"/>
  </r>
  <r>
    <x v="4"/>
    <x v="4"/>
    <d v="2023-05-24T00:00:00"/>
    <s v="NA"/>
    <n v="0"/>
    <n v="54"/>
    <s v="41-60"/>
    <x v="1"/>
    <x v="11"/>
    <x v="8"/>
    <x v="1"/>
    <n v="1"/>
    <n v="1"/>
    <n v="5.4"/>
    <x v="20"/>
    <n v="3"/>
    <n v="6"/>
    <n v="610558"/>
    <n v="2198"/>
    <n v="608360"/>
    <n v="36"/>
    <n v="61"/>
    <n v="10.8"/>
  </r>
  <r>
    <x v="2"/>
    <x v="2"/>
    <d v="2023-09-23T00:00:00"/>
    <s v="NA"/>
    <n v="0"/>
    <n v="70"/>
    <s v="61-80"/>
    <x v="0"/>
    <x v="0"/>
    <x v="0"/>
    <x v="3"/>
    <n v="1"/>
    <n v="1"/>
    <n v="4.3"/>
    <x v="4"/>
    <n v="4"/>
    <n v="4"/>
    <n v="946987"/>
    <n v="289319"/>
    <n v="657668"/>
    <n v="40"/>
    <n v="54"/>
    <n v="5.8"/>
  </r>
  <r>
    <x v="2"/>
    <x v="2"/>
    <d v="2023-03-20T00:00:00"/>
    <s v="NA"/>
    <n v="0"/>
    <n v="28"/>
    <s v="21-40"/>
    <x v="0"/>
    <x v="13"/>
    <x v="10"/>
    <x v="2"/>
    <n v="1"/>
    <n v="1"/>
    <n v="6.5"/>
    <x v="6"/>
    <n v="4"/>
    <n v="5"/>
    <n v="973837"/>
    <n v="302471"/>
    <n v="671366"/>
    <n v="34"/>
    <n v="58"/>
    <n v="12.2"/>
  </r>
  <r>
    <x v="4"/>
    <x v="4"/>
    <d v="2021-03-07T00:00:00"/>
    <s v="NA"/>
    <n v="0"/>
    <n v="33"/>
    <s v="21-40"/>
    <x v="1"/>
    <x v="13"/>
    <x v="10"/>
    <x v="3"/>
    <n v="1"/>
    <n v="1"/>
    <n v="6.7"/>
    <x v="20"/>
    <n v="5"/>
    <n v="7"/>
    <n v="812162"/>
    <n v="303393"/>
    <n v="508769"/>
    <n v="34"/>
    <n v="63"/>
    <n v="7"/>
  </r>
  <r>
    <x v="2"/>
    <x v="2"/>
    <d v="2024-01-25T00:00:00"/>
    <s v="NA"/>
    <n v="0"/>
    <n v="54"/>
    <s v="41-60"/>
    <x v="1"/>
    <x v="4"/>
    <x v="3"/>
    <x v="4"/>
    <n v="1"/>
    <n v="1"/>
    <n v="2.2999999999999998"/>
    <x v="17"/>
    <n v="5"/>
    <n v="7"/>
    <n v="960199"/>
    <n v="257504"/>
    <n v="702695"/>
    <n v="38"/>
    <n v="61"/>
    <n v="13"/>
  </r>
  <r>
    <x v="2"/>
    <x v="2"/>
    <d v="2021-12-11T00:00:00"/>
    <s v="NA"/>
    <n v="0"/>
    <n v="80"/>
    <s v="61-80"/>
    <x v="0"/>
    <x v="2"/>
    <x v="1"/>
    <x v="4"/>
    <n v="1"/>
    <n v="1"/>
    <n v="3.5"/>
    <x v="24"/>
    <n v="4"/>
    <n v="6"/>
    <n v="953774"/>
    <n v="60018"/>
    <n v="893756"/>
    <n v="38"/>
    <n v="62"/>
    <n v="10.9"/>
  </r>
  <r>
    <x v="4"/>
    <x v="4"/>
    <d v="2024-08-17T00:00:00"/>
    <s v="NA"/>
    <n v="0"/>
    <n v="46"/>
    <s v="41-60"/>
    <x v="0"/>
    <x v="14"/>
    <x v="11"/>
    <x v="3"/>
    <n v="1"/>
    <n v="1"/>
    <n v="3.7"/>
    <x v="29"/>
    <n v="7"/>
    <n v="3"/>
    <n v="699003"/>
    <n v="79667"/>
    <n v="619336"/>
    <n v="37"/>
    <n v="54"/>
    <n v="10.6"/>
  </r>
  <r>
    <x v="4"/>
    <x v="4"/>
    <d v="2024-05-10T00:00:00"/>
    <s v="NA"/>
    <n v="0"/>
    <n v="75"/>
    <s v="61-80"/>
    <x v="1"/>
    <x v="12"/>
    <x v="9"/>
    <x v="3"/>
    <n v="1"/>
    <n v="1"/>
    <n v="6.5"/>
    <x v="11"/>
    <n v="6"/>
    <n v="5"/>
    <n v="712809"/>
    <n v="76214"/>
    <n v="636595"/>
    <n v="39"/>
    <n v="59"/>
    <n v="5.9"/>
  </r>
  <r>
    <x v="4"/>
    <x v="4"/>
    <d v="2022-12-03T00:00:00"/>
    <s v="NA"/>
    <n v="0"/>
    <n v="44"/>
    <s v="41-60"/>
    <x v="1"/>
    <x v="9"/>
    <x v="7"/>
    <x v="1"/>
    <n v="1"/>
    <n v="1"/>
    <n v="3.7"/>
    <x v="28"/>
    <n v="3"/>
    <n v="4"/>
    <n v="718995"/>
    <n v="108952"/>
    <n v="610043"/>
    <n v="40"/>
    <n v="64"/>
    <n v="13.3"/>
  </r>
  <r>
    <x v="2"/>
    <x v="2"/>
    <d v="2023-03-22T00:00:00"/>
    <s v="NA"/>
    <n v="0"/>
    <n v="28"/>
    <s v="21-40"/>
    <x v="1"/>
    <x v="11"/>
    <x v="8"/>
    <x v="2"/>
    <n v="1"/>
    <n v="1"/>
    <n v="5.2"/>
    <x v="26"/>
    <n v="6"/>
    <n v="3"/>
    <n v="993350"/>
    <n v="333200"/>
    <n v="660150"/>
    <n v="31"/>
    <n v="61"/>
    <n v="36.1"/>
  </r>
  <r>
    <x v="2"/>
    <x v="2"/>
    <d v="2021-09-15T00:00:00"/>
    <s v="NA"/>
    <n v="0"/>
    <n v="63"/>
    <s v="61-80"/>
    <x v="1"/>
    <x v="2"/>
    <x v="1"/>
    <x v="0"/>
    <n v="1"/>
    <n v="1"/>
    <n v="1.6"/>
    <x v="21"/>
    <n v="6"/>
    <n v="6"/>
    <n v="931014"/>
    <n v="286091"/>
    <n v="644923"/>
    <n v="32"/>
    <n v="57"/>
    <n v="14.4"/>
  </r>
  <r>
    <x v="2"/>
    <x v="2"/>
    <d v="2022-05-14T00:00:00"/>
    <s v="NA"/>
    <n v="0"/>
    <n v="72"/>
    <s v="61-80"/>
    <x v="1"/>
    <x v="3"/>
    <x v="2"/>
    <x v="2"/>
    <n v="1"/>
    <n v="1"/>
    <n v="3"/>
    <x v="20"/>
    <n v="5"/>
    <n v="7"/>
    <n v="962575"/>
    <n v="322298"/>
    <n v="640277"/>
    <n v="34"/>
    <n v="62"/>
    <n v="6.2"/>
  </r>
  <r>
    <x v="2"/>
    <x v="2"/>
    <d v="2021-12-17T00:00:00"/>
    <s v="NA"/>
    <n v="0"/>
    <n v="83"/>
    <s v="81+"/>
    <x v="0"/>
    <x v="0"/>
    <x v="0"/>
    <x v="1"/>
    <n v="1"/>
    <n v="1"/>
    <n v="5.3"/>
    <x v="27"/>
    <n v="6"/>
    <n v="3"/>
    <n v="902796"/>
    <n v="300238"/>
    <n v="602558"/>
    <n v="38"/>
    <n v="64"/>
    <n v="13.3"/>
  </r>
  <r>
    <x v="2"/>
    <x v="2"/>
    <d v="2022-01-12T00:00:00"/>
    <s v="NA"/>
    <n v="0"/>
    <n v="28"/>
    <s v="21-40"/>
    <x v="1"/>
    <x v="11"/>
    <x v="8"/>
    <x v="1"/>
    <n v="1"/>
    <n v="1"/>
    <n v="3.1"/>
    <x v="17"/>
    <n v="6"/>
    <n v="6"/>
    <n v="963075"/>
    <n v="76738"/>
    <n v="886337"/>
    <n v="31"/>
    <n v="62"/>
    <n v="15"/>
  </r>
  <r>
    <x v="2"/>
    <x v="2"/>
    <d v="2023-08-05T00:00:00"/>
    <s v="NA"/>
    <n v="0"/>
    <n v="48"/>
    <s v="41-60"/>
    <x v="1"/>
    <x v="3"/>
    <x v="2"/>
    <x v="4"/>
    <n v="1"/>
    <n v="1"/>
    <n v="2.4"/>
    <x v="5"/>
    <n v="3"/>
    <n v="3"/>
    <n v="947782"/>
    <n v="320409"/>
    <n v="627373"/>
    <n v="32"/>
    <n v="57"/>
    <n v="9.1999999999999993"/>
  </r>
  <r>
    <x v="4"/>
    <x v="4"/>
    <d v="2021-07-29T00:00:00"/>
    <s v="NA"/>
    <n v="0"/>
    <n v="48"/>
    <s v="41-60"/>
    <x v="1"/>
    <x v="12"/>
    <x v="9"/>
    <x v="1"/>
    <n v="1"/>
    <n v="1"/>
    <n v="2.5"/>
    <x v="7"/>
    <n v="4"/>
    <n v="4"/>
    <n v="852855"/>
    <n v="246545"/>
    <n v="606310"/>
    <n v="32"/>
    <n v="61"/>
    <n v="14.4"/>
  </r>
  <r>
    <x v="2"/>
    <x v="2"/>
    <d v="2022-04-21T00:00:00"/>
    <s v="NA"/>
    <n v="0"/>
    <n v="21"/>
    <s v="21-40"/>
    <x v="1"/>
    <x v="2"/>
    <x v="1"/>
    <x v="0"/>
    <n v="1"/>
    <n v="1"/>
    <n v="3.2"/>
    <x v="14"/>
    <n v="6"/>
    <n v="3"/>
    <n v="905298"/>
    <n v="37047"/>
    <n v="868251"/>
    <n v="31"/>
    <n v="62"/>
    <n v="8.9"/>
  </r>
  <r>
    <x v="2"/>
    <x v="2"/>
    <d v="2022-03-09T00:00:00"/>
    <s v="NA"/>
    <n v="0"/>
    <n v="70"/>
    <s v="61-80"/>
    <x v="0"/>
    <x v="0"/>
    <x v="0"/>
    <x v="0"/>
    <n v="1"/>
    <n v="1"/>
    <n v="5.9"/>
    <x v="9"/>
    <n v="7"/>
    <n v="3"/>
    <n v="970987"/>
    <n v="112617"/>
    <n v="858370"/>
    <n v="32"/>
    <n v="65"/>
    <n v="36.1"/>
  </r>
  <r>
    <x v="2"/>
    <x v="2"/>
    <d v="2023-10-14T00:00:00"/>
    <s v="NA"/>
    <n v="0"/>
    <n v="61"/>
    <s v="61-80"/>
    <x v="0"/>
    <x v="2"/>
    <x v="1"/>
    <x v="2"/>
    <n v="1"/>
    <n v="1"/>
    <n v="5.6"/>
    <x v="3"/>
    <n v="3"/>
    <n v="5"/>
    <n v="934999"/>
    <n v="193613"/>
    <n v="741386"/>
    <n v="32"/>
    <n v="59"/>
    <n v="6.6"/>
  </r>
  <r>
    <x v="4"/>
    <x v="4"/>
    <d v="2024-09-09T00:00:00"/>
    <s v="NA"/>
    <n v="0"/>
    <n v="46"/>
    <s v="41-60"/>
    <x v="0"/>
    <x v="0"/>
    <x v="0"/>
    <x v="0"/>
    <n v="1"/>
    <n v="1"/>
    <n v="4.8"/>
    <x v="28"/>
    <n v="5"/>
    <n v="7"/>
    <n v="816958"/>
    <n v="196506"/>
    <n v="620452"/>
    <n v="37"/>
    <n v="54"/>
    <n v="5.9"/>
  </r>
  <r>
    <x v="4"/>
    <x v="4"/>
    <d v="2021-09-19T00:00:00"/>
    <s v="NA"/>
    <n v="0"/>
    <n v="83"/>
    <s v="81+"/>
    <x v="1"/>
    <x v="6"/>
    <x v="4"/>
    <x v="0"/>
    <n v="1"/>
    <n v="1"/>
    <n v="6.8"/>
    <x v="6"/>
    <n v="6"/>
    <n v="5"/>
    <n v="703390"/>
    <n v="167034"/>
    <n v="536356"/>
    <n v="35"/>
    <n v="56"/>
    <n v="10.4"/>
  </r>
  <r>
    <x v="4"/>
    <x v="4"/>
    <d v="2022-06-09T00:00:00"/>
    <s v="NA"/>
    <n v="0"/>
    <n v="79"/>
    <s v="61-80"/>
    <x v="1"/>
    <x v="2"/>
    <x v="1"/>
    <x v="0"/>
    <n v="1"/>
    <n v="1"/>
    <n v="6.3"/>
    <x v="12"/>
    <n v="7"/>
    <n v="5"/>
    <n v="780664"/>
    <n v="193186"/>
    <n v="587478"/>
    <n v="36"/>
    <n v="63"/>
    <n v="8.3000000000000007"/>
  </r>
  <r>
    <x v="2"/>
    <x v="2"/>
    <d v="2023-06-19T00:00:00"/>
    <s v="NA"/>
    <n v="0"/>
    <n v="30"/>
    <s v="21-40"/>
    <x v="0"/>
    <x v="1"/>
    <x v="1"/>
    <x v="0"/>
    <n v="1"/>
    <n v="1"/>
    <n v="5.3"/>
    <x v="2"/>
    <n v="3"/>
    <n v="4"/>
    <n v="930703"/>
    <n v="165409"/>
    <n v="765294"/>
    <n v="35"/>
    <n v="55"/>
    <n v="6.9"/>
  </r>
  <r>
    <x v="2"/>
    <x v="2"/>
    <d v="2024-01-12T00:00:00"/>
    <s v="NA"/>
    <n v="0"/>
    <n v="46"/>
    <s v="41-60"/>
    <x v="1"/>
    <x v="11"/>
    <x v="8"/>
    <x v="4"/>
    <n v="1"/>
    <n v="1"/>
    <n v="3.6"/>
    <x v="0"/>
    <n v="6"/>
    <n v="6"/>
    <n v="981457"/>
    <n v="379842"/>
    <n v="601615"/>
    <n v="36"/>
    <n v="54"/>
    <n v="14"/>
  </r>
  <r>
    <x v="2"/>
    <x v="2"/>
    <d v="2021-01-31T00:00:00"/>
    <s v="NA"/>
    <n v="0"/>
    <n v="39"/>
    <s v="21-40"/>
    <x v="0"/>
    <x v="13"/>
    <x v="10"/>
    <x v="2"/>
    <n v="1"/>
    <n v="1"/>
    <n v="3.8"/>
    <x v="14"/>
    <n v="4"/>
    <n v="4"/>
    <n v="913748"/>
    <n v="181112"/>
    <n v="732636"/>
    <n v="34"/>
    <n v="58"/>
    <n v="36.799999999999997"/>
  </r>
  <r>
    <x v="2"/>
    <x v="2"/>
    <d v="2022-08-13T00:00:00"/>
    <s v="NA"/>
    <n v="0"/>
    <n v="72"/>
    <s v="61-80"/>
    <x v="0"/>
    <x v="0"/>
    <x v="0"/>
    <x v="2"/>
    <n v="1"/>
    <n v="1"/>
    <n v="4.4000000000000004"/>
    <x v="23"/>
    <n v="7"/>
    <n v="4"/>
    <n v="982126"/>
    <n v="95926"/>
    <n v="886200"/>
    <n v="37"/>
    <n v="66"/>
    <n v="14.8"/>
  </r>
  <r>
    <x v="2"/>
    <x v="2"/>
    <d v="2021-03-03T00:00:00"/>
    <s v="NA"/>
    <n v="0"/>
    <n v="80"/>
    <s v="61-80"/>
    <x v="1"/>
    <x v="2"/>
    <x v="1"/>
    <x v="1"/>
    <n v="1"/>
    <n v="1"/>
    <n v="2.5"/>
    <x v="9"/>
    <n v="6"/>
    <n v="6"/>
    <n v="959355"/>
    <n v="131402"/>
    <n v="827953"/>
    <n v="32"/>
    <n v="65"/>
    <n v="36.799999999999997"/>
  </r>
  <r>
    <x v="2"/>
    <x v="2"/>
    <d v="2023-10-22T00:00:00"/>
    <s v="NA"/>
    <n v="0"/>
    <n v="27"/>
    <s v="21-40"/>
    <x v="0"/>
    <x v="5"/>
    <x v="0"/>
    <x v="4"/>
    <n v="1"/>
    <n v="1"/>
    <n v="1.2"/>
    <x v="17"/>
    <n v="4"/>
    <n v="4"/>
    <n v="996185"/>
    <n v="260080"/>
    <n v="736105"/>
    <n v="31"/>
    <n v="54"/>
    <n v="9.5"/>
  </r>
  <r>
    <x v="2"/>
    <x v="2"/>
    <d v="2022-07-27T00:00:00"/>
    <s v="NA"/>
    <n v="0"/>
    <n v="50"/>
    <s v="41-60"/>
    <x v="0"/>
    <x v="13"/>
    <x v="10"/>
    <x v="1"/>
    <n v="1"/>
    <n v="1"/>
    <n v="6.7"/>
    <x v="2"/>
    <n v="3"/>
    <n v="5"/>
    <n v="982103"/>
    <n v="139627"/>
    <n v="842476"/>
    <n v="36"/>
    <n v="63"/>
    <n v="13.4"/>
  </r>
  <r>
    <x v="2"/>
    <x v="2"/>
    <d v="2021-05-17T00:00:00"/>
    <s v="NA"/>
    <n v="0"/>
    <n v="39"/>
    <s v="21-40"/>
    <x v="0"/>
    <x v="0"/>
    <x v="0"/>
    <x v="1"/>
    <n v="1"/>
    <n v="1"/>
    <n v="2.2999999999999998"/>
    <x v="21"/>
    <n v="4"/>
    <n v="3"/>
    <n v="900325"/>
    <n v="39233"/>
    <n v="861092"/>
    <n v="40"/>
    <n v="54"/>
    <n v="13.5"/>
  </r>
  <r>
    <x v="2"/>
    <x v="2"/>
    <d v="2021-11-02T00:00:00"/>
    <s v="NA"/>
    <n v="0"/>
    <n v="43"/>
    <s v="41-60"/>
    <x v="1"/>
    <x v="2"/>
    <x v="1"/>
    <x v="0"/>
    <n v="1"/>
    <n v="1"/>
    <n v="6.1"/>
    <x v="23"/>
    <n v="4"/>
    <n v="3"/>
    <n v="948181"/>
    <n v="177895"/>
    <n v="770286"/>
    <n v="38"/>
    <n v="59"/>
    <n v="13.4"/>
  </r>
  <r>
    <x v="2"/>
    <x v="2"/>
    <d v="2022-02-08T00:00:00"/>
    <s v="NA"/>
    <n v="0"/>
    <n v="88"/>
    <s v="81+"/>
    <x v="0"/>
    <x v="0"/>
    <x v="0"/>
    <x v="3"/>
    <n v="1"/>
    <n v="1"/>
    <n v="2.6"/>
    <x v="14"/>
    <n v="4"/>
    <n v="5"/>
    <n v="916822"/>
    <n v="66549"/>
    <n v="850273"/>
    <n v="38"/>
    <n v="62"/>
    <n v="8.4"/>
  </r>
  <r>
    <x v="2"/>
    <x v="2"/>
    <d v="2021-08-26T00:00:00"/>
    <s v="NA"/>
    <n v="0"/>
    <n v="87"/>
    <s v="81+"/>
    <x v="0"/>
    <x v="7"/>
    <x v="5"/>
    <x v="1"/>
    <n v="1"/>
    <n v="1"/>
    <n v="2.7"/>
    <x v="19"/>
    <n v="5"/>
    <n v="4"/>
    <n v="907747"/>
    <n v="293113"/>
    <n v="614634"/>
    <n v="35"/>
    <n v="54"/>
    <n v="36.799999999999997"/>
  </r>
  <r>
    <x v="2"/>
    <x v="2"/>
    <d v="2021-08-18T00:00:00"/>
    <s v="NA"/>
    <n v="0"/>
    <n v="33"/>
    <s v="21-40"/>
    <x v="0"/>
    <x v="7"/>
    <x v="5"/>
    <x v="1"/>
    <n v="1"/>
    <n v="1"/>
    <n v="1.5"/>
    <x v="0"/>
    <n v="3"/>
    <n v="4"/>
    <n v="972921"/>
    <n v="239407"/>
    <n v="733514"/>
    <n v="37"/>
    <n v="60"/>
    <n v="6.5"/>
  </r>
  <r>
    <x v="2"/>
    <x v="2"/>
    <d v="2022-03-07T00:00:00"/>
    <s v="NA"/>
    <n v="0"/>
    <n v="45"/>
    <s v="41-60"/>
    <x v="0"/>
    <x v="1"/>
    <x v="1"/>
    <x v="2"/>
    <n v="1"/>
    <n v="1"/>
    <n v="2.9"/>
    <x v="17"/>
    <n v="4"/>
    <n v="4"/>
    <n v="981350"/>
    <n v="375526"/>
    <n v="605824"/>
    <n v="31"/>
    <n v="61"/>
    <n v="8.6999999999999993"/>
  </r>
  <r>
    <x v="2"/>
    <x v="2"/>
    <d v="2021-02-17T00:00:00"/>
    <s v="NA"/>
    <n v="0"/>
    <n v="61"/>
    <s v="61-80"/>
    <x v="0"/>
    <x v="0"/>
    <x v="0"/>
    <x v="3"/>
    <n v="1"/>
    <n v="1"/>
    <n v="5.0999999999999996"/>
    <x v="10"/>
    <n v="7"/>
    <n v="6"/>
    <n v="941830"/>
    <n v="126693"/>
    <n v="815137"/>
    <n v="39"/>
    <n v="62"/>
    <n v="6.2"/>
  </r>
  <r>
    <x v="2"/>
    <x v="2"/>
    <d v="2024-10-25T00:00:00"/>
    <s v="NA"/>
    <n v="0"/>
    <n v="61"/>
    <s v="61-80"/>
    <x v="1"/>
    <x v="4"/>
    <x v="3"/>
    <x v="1"/>
    <n v="1"/>
    <n v="1"/>
    <n v="2.2000000000000002"/>
    <x v="2"/>
    <n v="7"/>
    <n v="6"/>
    <n v="958377"/>
    <n v="164632"/>
    <n v="793745"/>
    <n v="37"/>
    <n v="57"/>
    <n v="5.9"/>
  </r>
  <r>
    <x v="2"/>
    <x v="2"/>
    <d v="2022-12-01T00:00:00"/>
    <s v="NA"/>
    <n v="0"/>
    <n v="37"/>
    <s v="21-40"/>
    <x v="1"/>
    <x v="10"/>
    <x v="8"/>
    <x v="1"/>
    <n v="1"/>
    <n v="1"/>
    <n v="2"/>
    <x v="7"/>
    <n v="3"/>
    <n v="4"/>
    <n v="935208"/>
    <n v="126008"/>
    <n v="809200"/>
    <n v="40"/>
    <n v="64"/>
    <n v="7.5"/>
  </r>
  <r>
    <x v="2"/>
    <x v="2"/>
    <d v="2024-08-17T00:00:00"/>
    <s v="NA"/>
    <n v="0"/>
    <n v="57"/>
    <s v="41-60"/>
    <x v="0"/>
    <x v="0"/>
    <x v="0"/>
    <x v="1"/>
    <n v="1"/>
    <n v="1"/>
    <n v="1.7"/>
    <x v="8"/>
    <n v="3"/>
    <n v="6"/>
    <n v="975787"/>
    <n v="153016"/>
    <n v="822771"/>
    <n v="33"/>
    <n v="61"/>
    <n v="13.4"/>
  </r>
  <r>
    <x v="2"/>
    <x v="2"/>
    <d v="2023-03-10T00:00:00"/>
    <s v="NA"/>
    <n v="0"/>
    <n v="85"/>
    <s v="81+"/>
    <x v="0"/>
    <x v="5"/>
    <x v="0"/>
    <x v="0"/>
    <n v="1"/>
    <n v="1"/>
    <n v="6.1"/>
    <x v="21"/>
    <n v="5"/>
    <n v="7"/>
    <n v="980128"/>
    <n v="194449"/>
    <n v="785679"/>
    <n v="36"/>
    <n v="59"/>
    <n v="14.5"/>
  </r>
  <r>
    <x v="2"/>
    <x v="2"/>
    <d v="2021-05-22T00:00:00"/>
    <s v="NA"/>
    <n v="0"/>
    <n v="74"/>
    <s v="61-80"/>
    <x v="0"/>
    <x v="0"/>
    <x v="0"/>
    <x v="0"/>
    <n v="1"/>
    <n v="1"/>
    <n v="1.3"/>
    <x v="1"/>
    <n v="5"/>
    <n v="5"/>
    <n v="944196"/>
    <n v="157226"/>
    <n v="786970"/>
    <n v="30"/>
    <n v="63"/>
    <n v="12.6"/>
  </r>
  <r>
    <x v="2"/>
    <x v="2"/>
    <d v="2024-02-21T00:00:00"/>
    <s v="NA"/>
    <n v="0"/>
    <n v="74"/>
    <s v="61-80"/>
    <x v="1"/>
    <x v="3"/>
    <x v="2"/>
    <x v="2"/>
    <n v="1"/>
    <n v="1"/>
    <n v="2.1"/>
    <x v="2"/>
    <n v="4"/>
    <n v="5"/>
    <n v="937827"/>
    <n v="56330"/>
    <n v="881497"/>
    <n v="32"/>
    <n v="62"/>
    <n v="5.5"/>
  </r>
  <r>
    <x v="2"/>
    <x v="2"/>
    <d v="2024-11-16T00:00:00"/>
    <s v="NA"/>
    <n v="0"/>
    <n v="55"/>
    <s v="41-60"/>
    <x v="0"/>
    <x v="0"/>
    <x v="0"/>
    <x v="4"/>
    <n v="1"/>
    <n v="1"/>
    <n v="4.9000000000000004"/>
    <x v="19"/>
    <n v="4"/>
    <n v="7"/>
    <n v="945991"/>
    <n v="297629"/>
    <n v="648362"/>
    <n v="35"/>
    <n v="58"/>
    <n v="36.9"/>
  </r>
  <r>
    <x v="2"/>
    <x v="2"/>
    <d v="2023-01-01T00:00:00"/>
    <s v="NA"/>
    <n v="0"/>
    <n v="49"/>
    <s v="41-60"/>
    <x v="1"/>
    <x v="11"/>
    <x v="8"/>
    <x v="2"/>
    <n v="1"/>
    <n v="1"/>
    <n v="2.1"/>
    <x v="14"/>
    <n v="4"/>
    <n v="3"/>
    <n v="906656"/>
    <n v="281614"/>
    <n v="625042"/>
    <n v="33"/>
    <n v="64"/>
    <n v="13.6"/>
  </r>
  <r>
    <x v="2"/>
    <x v="2"/>
    <d v="2021-11-08T00:00:00"/>
    <s v="NA"/>
    <n v="0"/>
    <n v="23"/>
    <s v="21-40"/>
    <x v="0"/>
    <x v="0"/>
    <x v="0"/>
    <x v="1"/>
    <n v="1"/>
    <n v="1"/>
    <n v="5.2"/>
    <x v="27"/>
    <n v="3"/>
    <n v="5"/>
    <n v="985890"/>
    <n v="264574"/>
    <n v="721316"/>
    <n v="34"/>
    <n v="58"/>
    <n v="9.8000000000000007"/>
  </r>
  <r>
    <x v="2"/>
    <x v="2"/>
    <d v="2023-08-03T00:00:00"/>
    <s v="NA"/>
    <n v="0"/>
    <n v="40"/>
    <s v="21-40"/>
    <x v="0"/>
    <x v="10"/>
    <x v="8"/>
    <x v="2"/>
    <n v="1"/>
    <n v="1"/>
    <n v="2.1"/>
    <x v="10"/>
    <n v="7"/>
    <n v="5"/>
    <n v="972565"/>
    <n v="275643"/>
    <n v="696922"/>
    <n v="31"/>
    <n v="62"/>
    <n v="8.4"/>
  </r>
  <r>
    <x v="2"/>
    <x v="2"/>
    <d v="2023-02-02T00:00:00"/>
    <s v="NA"/>
    <n v="0"/>
    <n v="47"/>
    <s v="41-60"/>
    <x v="0"/>
    <x v="0"/>
    <x v="0"/>
    <x v="4"/>
    <n v="1"/>
    <n v="1"/>
    <n v="6.8"/>
    <x v="8"/>
    <n v="6"/>
    <n v="5"/>
    <n v="961012"/>
    <n v="88929"/>
    <n v="872083"/>
    <n v="35"/>
    <n v="65"/>
    <n v="12.8"/>
  </r>
  <r>
    <x v="2"/>
    <x v="2"/>
    <d v="2024-03-08T00:00:00"/>
    <s v="NA"/>
    <n v="0"/>
    <n v="23"/>
    <s v="21-40"/>
    <x v="1"/>
    <x v="3"/>
    <x v="2"/>
    <x v="0"/>
    <n v="1"/>
    <n v="1"/>
    <n v="5.8"/>
    <x v="3"/>
    <n v="4"/>
    <n v="6"/>
    <n v="986402"/>
    <n v="275869"/>
    <n v="710533"/>
    <n v="30"/>
    <n v="63"/>
    <n v="15"/>
  </r>
  <r>
    <x v="2"/>
    <x v="2"/>
    <d v="2024-01-26T00:00:00"/>
    <s v="NA"/>
    <n v="0"/>
    <n v="73"/>
    <s v="61-80"/>
    <x v="0"/>
    <x v="4"/>
    <x v="3"/>
    <x v="4"/>
    <n v="1"/>
    <n v="1"/>
    <n v="1"/>
    <x v="14"/>
    <n v="5"/>
    <n v="4"/>
    <n v="966320"/>
    <n v="347058"/>
    <n v="619262"/>
    <n v="38"/>
    <n v="55"/>
    <n v="5.8"/>
  </r>
  <r>
    <x v="2"/>
    <x v="2"/>
    <d v="2023-10-05T00:00:00"/>
    <s v="NA"/>
    <n v="0"/>
    <n v="86"/>
    <s v="81+"/>
    <x v="0"/>
    <x v="0"/>
    <x v="0"/>
    <x v="2"/>
    <n v="1"/>
    <n v="1"/>
    <n v="4.3"/>
    <x v="13"/>
    <n v="6"/>
    <n v="7"/>
    <n v="901974"/>
    <n v="209265"/>
    <n v="692709"/>
    <n v="34"/>
    <n v="64"/>
    <n v="9"/>
  </r>
  <r>
    <x v="2"/>
    <x v="2"/>
    <d v="2023-02-11T00:00:00"/>
    <s v="NA"/>
    <n v="0"/>
    <n v="87"/>
    <s v="81+"/>
    <x v="1"/>
    <x v="11"/>
    <x v="8"/>
    <x v="2"/>
    <n v="1"/>
    <n v="1"/>
    <n v="5.5"/>
    <x v="25"/>
    <n v="5"/>
    <n v="5"/>
    <n v="941391"/>
    <n v="117740"/>
    <n v="823651"/>
    <n v="40"/>
    <n v="58"/>
    <n v="7.4"/>
  </r>
  <r>
    <x v="2"/>
    <x v="2"/>
    <d v="2022-03-09T00:00:00"/>
    <s v="NA"/>
    <n v="0"/>
    <n v="87"/>
    <s v="81+"/>
    <x v="1"/>
    <x v="3"/>
    <x v="2"/>
    <x v="3"/>
    <n v="1"/>
    <n v="1"/>
    <n v="3.7"/>
    <x v="5"/>
    <n v="4"/>
    <n v="6"/>
    <n v="974650"/>
    <n v="315667"/>
    <n v="658983"/>
    <n v="32"/>
    <n v="60"/>
    <n v="13.8"/>
  </r>
  <r>
    <x v="2"/>
    <x v="2"/>
    <d v="2023-09-13T00:00:00"/>
    <s v="NA"/>
    <n v="0"/>
    <n v="68"/>
    <s v="61-80"/>
    <x v="1"/>
    <x v="12"/>
    <x v="9"/>
    <x v="3"/>
    <n v="1"/>
    <n v="1"/>
    <n v="4.8"/>
    <x v="16"/>
    <n v="5"/>
    <n v="6"/>
    <n v="931423"/>
    <n v="181272"/>
    <n v="750151"/>
    <n v="32"/>
    <n v="63"/>
    <n v="36"/>
  </r>
  <r>
    <x v="4"/>
    <x v="4"/>
    <d v="2021-04-18T00:00:00"/>
    <s v="NA"/>
    <n v="0"/>
    <n v="82"/>
    <s v="81+"/>
    <x v="0"/>
    <x v="0"/>
    <x v="0"/>
    <x v="4"/>
    <n v="1"/>
    <n v="1"/>
    <n v="1.2"/>
    <x v="7"/>
    <n v="5"/>
    <n v="6"/>
    <n v="638205"/>
    <n v="78607"/>
    <n v="559598"/>
    <n v="40"/>
    <n v="64"/>
    <n v="14.6"/>
  </r>
  <r>
    <x v="2"/>
    <x v="2"/>
    <d v="2024-12-25T00:00:00"/>
    <s v="NA"/>
    <n v="0"/>
    <n v="34"/>
    <s v="21-40"/>
    <x v="1"/>
    <x v="10"/>
    <x v="8"/>
    <x v="1"/>
    <n v="1"/>
    <n v="1"/>
    <n v="2"/>
    <x v="4"/>
    <n v="7"/>
    <n v="6"/>
    <n v="936636"/>
    <n v="142349"/>
    <n v="794287"/>
    <n v="31"/>
    <n v="63"/>
    <n v="36.6"/>
  </r>
  <r>
    <x v="2"/>
    <x v="2"/>
    <d v="2021-06-25T00:00:00"/>
    <s v="NA"/>
    <n v="0"/>
    <n v="23"/>
    <s v="21-40"/>
    <x v="1"/>
    <x v="2"/>
    <x v="1"/>
    <x v="3"/>
    <n v="1"/>
    <n v="1"/>
    <n v="2.7"/>
    <x v="9"/>
    <n v="3"/>
    <n v="4"/>
    <n v="975983"/>
    <n v="308670"/>
    <n v="667313"/>
    <n v="30"/>
    <n v="56"/>
    <n v="12.2"/>
  </r>
  <r>
    <x v="2"/>
    <x v="2"/>
    <d v="2021-05-16T00:00:00"/>
    <s v="NA"/>
    <n v="0"/>
    <n v="31"/>
    <s v="21-40"/>
    <x v="1"/>
    <x v="9"/>
    <x v="7"/>
    <x v="0"/>
    <n v="1"/>
    <n v="1"/>
    <n v="7"/>
    <x v="7"/>
    <n v="7"/>
    <n v="3"/>
    <n v="913354"/>
    <n v="77197"/>
    <n v="836157"/>
    <n v="35"/>
    <n v="66"/>
    <n v="6.1"/>
  </r>
  <r>
    <x v="2"/>
    <x v="2"/>
    <d v="2021-11-15T00:00:00"/>
    <s v="NA"/>
    <n v="0"/>
    <n v="60"/>
    <s v="41-60"/>
    <x v="0"/>
    <x v="5"/>
    <x v="0"/>
    <x v="0"/>
    <n v="1"/>
    <n v="1"/>
    <n v="1.3"/>
    <x v="1"/>
    <n v="5"/>
    <n v="4"/>
    <n v="967395"/>
    <n v="128083"/>
    <n v="839312"/>
    <n v="38"/>
    <n v="57"/>
    <n v="36.4"/>
  </r>
  <r>
    <x v="2"/>
    <x v="2"/>
    <d v="2024-01-13T00:00:00"/>
    <s v="NA"/>
    <n v="0"/>
    <n v="57"/>
    <s v="41-60"/>
    <x v="1"/>
    <x v="12"/>
    <x v="9"/>
    <x v="2"/>
    <n v="1"/>
    <n v="1"/>
    <n v="3.8"/>
    <x v="11"/>
    <n v="4"/>
    <n v="4"/>
    <n v="994623"/>
    <n v="329374"/>
    <n v="665249"/>
    <n v="40"/>
    <n v="57"/>
    <n v="6.4"/>
  </r>
  <r>
    <x v="2"/>
    <x v="2"/>
    <d v="2023-06-28T00:00:00"/>
    <s v="NA"/>
    <n v="0"/>
    <n v="31"/>
    <s v="21-40"/>
    <x v="0"/>
    <x v="0"/>
    <x v="0"/>
    <x v="2"/>
    <n v="1"/>
    <n v="1"/>
    <n v="6.8"/>
    <x v="26"/>
    <n v="4"/>
    <n v="5"/>
    <n v="908109"/>
    <n v="209985"/>
    <n v="698124"/>
    <n v="38"/>
    <n v="63"/>
    <n v="10.5"/>
  </r>
  <r>
    <x v="4"/>
    <x v="4"/>
    <d v="2022-11-06T00:00:00"/>
    <s v="NA"/>
    <n v="0"/>
    <n v="78"/>
    <s v="61-80"/>
    <x v="1"/>
    <x v="6"/>
    <x v="4"/>
    <x v="1"/>
    <n v="1"/>
    <n v="1"/>
    <n v="5.8"/>
    <x v="16"/>
    <n v="6"/>
    <n v="3"/>
    <n v="719729"/>
    <n v="114890"/>
    <n v="604839"/>
    <n v="37"/>
    <n v="59"/>
    <n v="36.5"/>
  </r>
  <r>
    <x v="2"/>
    <x v="2"/>
    <d v="2023-11-23T00:00:00"/>
    <s v="NA"/>
    <n v="0"/>
    <n v="40"/>
    <s v="21-40"/>
    <x v="0"/>
    <x v="2"/>
    <x v="1"/>
    <x v="1"/>
    <n v="1"/>
    <n v="1"/>
    <n v="1.5"/>
    <x v="5"/>
    <n v="5"/>
    <n v="7"/>
    <n v="979559"/>
    <n v="82141"/>
    <n v="897418"/>
    <n v="31"/>
    <n v="62"/>
    <n v="36.6"/>
  </r>
  <r>
    <x v="4"/>
    <x v="4"/>
    <d v="2024-01-11T00:00:00"/>
    <s v="NA"/>
    <n v="0"/>
    <n v="61"/>
    <s v="61-80"/>
    <x v="1"/>
    <x v="9"/>
    <x v="7"/>
    <x v="0"/>
    <n v="1"/>
    <n v="1"/>
    <n v="2"/>
    <x v="25"/>
    <n v="3"/>
    <n v="5"/>
    <n v="857757"/>
    <n v="241999"/>
    <n v="615758"/>
    <n v="32"/>
    <n v="57"/>
    <n v="6.7"/>
  </r>
  <r>
    <x v="4"/>
    <x v="4"/>
    <d v="2022-04-30T00:00:00"/>
    <s v="NA"/>
    <n v="0"/>
    <n v="31"/>
    <s v="21-40"/>
    <x v="1"/>
    <x v="12"/>
    <x v="9"/>
    <x v="2"/>
    <n v="1"/>
    <n v="1"/>
    <n v="5.2"/>
    <x v="16"/>
    <n v="4"/>
    <n v="4"/>
    <n v="714830"/>
    <n v="68898"/>
    <n v="645932"/>
    <n v="31"/>
    <n v="66"/>
    <n v="36"/>
  </r>
  <r>
    <x v="2"/>
    <x v="2"/>
    <d v="2021-02-27T00:00:00"/>
    <s v="NA"/>
    <n v="0"/>
    <n v="35"/>
    <s v="21-40"/>
    <x v="1"/>
    <x v="6"/>
    <x v="4"/>
    <x v="3"/>
    <n v="1"/>
    <n v="1"/>
    <n v="3.9"/>
    <x v="8"/>
    <n v="4"/>
    <n v="7"/>
    <n v="985224"/>
    <n v="298274"/>
    <n v="686950"/>
    <n v="37"/>
    <n v="63"/>
    <n v="5.7"/>
  </r>
  <r>
    <x v="4"/>
    <x v="4"/>
    <d v="2023-02-02T00:00:00"/>
    <s v="NA"/>
    <n v="0"/>
    <n v="62"/>
    <s v="61-80"/>
    <x v="1"/>
    <x v="3"/>
    <x v="2"/>
    <x v="4"/>
    <n v="1"/>
    <n v="1"/>
    <n v="5.3"/>
    <x v="27"/>
    <n v="6"/>
    <n v="4"/>
    <n v="719519"/>
    <n v="213538"/>
    <n v="505981"/>
    <n v="40"/>
    <n v="63"/>
    <n v="10.8"/>
  </r>
  <r>
    <x v="4"/>
    <x v="4"/>
    <d v="2021-02-20T00:00:00"/>
    <s v="NA"/>
    <n v="0"/>
    <n v="34"/>
    <s v="21-40"/>
    <x v="1"/>
    <x v="8"/>
    <x v="6"/>
    <x v="2"/>
    <n v="1"/>
    <n v="1"/>
    <n v="4.0999999999999996"/>
    <x v="19"/>
    <n v="7"/>
    <n v="5"/>
    <n v="675143"/>
    <n v="27410"/>
    <n v="647733"/>
    <n v="34"/>
    <n v="57"/>
    <n v="8.6"/>
  </r>
  <r>
    <x v="4"/>
    <x v="4"/>
    <d v="2022-05-10T00:00:00"/>
    <s v="NA"/>
    <n v="0"/>
    <n v="70"/>
    <s v="61-80"/>
    <x v="0"/>
    <x v="7"/>
    <x v="5"/>
    <x v="1"/>
    <n v="1"/>
    <n v="1"/>
    <n v="2.9"/>
    <x v="6"/>
    <n v="5"/>
    <n v="7"/>
    <n v="763623"/>
    <n v="172694"/>
    <n v="590929"/>
    <n v="36"/>
    <n v="66"/>
    <n v="12.7"/>
  </r>
  <r>
    <x v="4"/>
    <x v="4"/>
    <d v="2023-12-07T00:00:00"/>
    <s v="NA"/>
    <n v="0"/>
    <n v="40"/>
    <s v="21-40"/>
    <x v="0"/>
    <x v="0"/>
    <x v="0"/>
    <x v="0"/>
    <n v="1"/>
    <n v="1"/>
    <n v="4"/>
    <x v="19"/>
    <n v="7"/>
    <n v="4"/>
    <n v="806542"/>
    <n v="193623"/>
    <n v="612919"/>
    <n v="39"/>
    <n v="54"/>
    <n v="14.9"/>
  </r>
  <r>
    <x v="4"/>
    <x v="4"/>
    <d v="2024-04-04T00:00:00"/>
    <s v="NA"/>
    <n v="0"/>
    <n v="58"/>
    <s v="41-60"/>
    <x v="1"/>
    <x v="3"/>
    <x v="2"/>
    <x v="1"/>
    <n v="1"/>
    <n v="1"/>
    <n v="6.2"/>
    <x v="24"/>
    <n v="6"/>
    <n v="5"/>
    <n v="865500"/>
    <n v="360174"/>
    <n v="505326"/>
    <n v="30"/>
    <n v="55"/>
    <n v="14.1"/>
  </r>
  <r>
    <x v="2"/>
    <x v="2"/>
    <d v="2024-11-16T00:00:00"/>
    <s v="NA"/>
    <n v="0"/>
    <n v="47"/>
    <s v="41-60"/>
    <x v="1"/>
    <x v="7"/>
    <x v="5"/>
    <x v="2"/>
    <n v="1"/>
    <n v="1"/>
    <n v="3.1"/>
    <x v="21"/>
    <n v="4"/>
    <n v="4"/>
    <n v="931841"/>
    <n v="55604"/>
    <n v="876237"/>
    <n v="31"/>
    <n v="55"/>
    <n v="36.700000000000003"/>
  </r>
  <r>
    <x v="4"/>
    <x v="4"/>
    <d v="2024-09-17T00:00:00"/>
    <s v="NA"/>
    <n v="0"/>
    <n v="25"/>
    <s v="21-40"/>
    <x v="0"/>
    <x v="2"/>
    <x v="1"/>
    <x v="3"/>
    <n v="1"/>
    <n v="1"/>
    <n v="1.6"/>
    <x v="1"/>
    <n v="4"/>
    <n v="3"/>
    <n v="895610"/>
    <n v="255016"/>
    <n v="640594"/>
    <n v="33"/>
    <n v="65"/>
    <n v="13"/>
  </r>
  <r>
    <x v="2"/>
    <x v="2"/>
    <d v="2023-05-26T00:00:00"/>
    <s v="NA"/>
    <n v="0"/>
    <n v="47"/>
    <s v="41-60"/>
    <x v="0"/>
    <x v="1"/>
    <x v="1"/>
    <x v="3"/>
    <n v="1"/>
    <n v="1"/>
    <n v="1.7"/>
    <x v="25"/>
    <n v="4"/>
    <n v="5"/>
    <n v="914065"/>
    <n v="19016"/>
    <n v="895049"/>
    <n v="38"/>
    <n v="61"/>
    <n v="10.8"/>
  </r>
  <r>
    <x v="2"/>
    <x v="2"/>
    <d v="2024-04-17T00:00:00"/>
    <s v="NA"/>
    <n v="0"/>
    <n v="26"/>
    <s v="21-40"/>
    <x v="0"/>
    <x v="0"/>
    <x v="0"/>
    <x v="1"/>
    <n v="1"/>
    <n v="1"/>
    <n v="4.7"/>
    <x v="15"/>
    <n v="4"/>
    <n v="3"/>
    <n v="926520"/>
    <n v="27611"/>
    <n v="898909"/>
    <n v="35"/>
    <n v="60"/>
    <n v="9.8000000000000007"/>
  </r>
  <r>
    <x v="4"/>
    <x v="4"/>
    <d v="2023-08-10T00:00:00"/>
    <s v="NA"/>
    <n v="0"/>
    <n v="56"/>
    <s v="41-60"/>
    <x v="1"/>
    <x v="7"/>
    <x v="5"/>
    <x v="1"/>
    <n v="1"/>
    <n v="1"/>
    <n v="4.7"/>
    <x v="11"/>
    <n v="7"/>
    <n v="3"/>
    <n v="790454"/>
    <n v="248669"/>
    <n v="541785"/>
    <n v="39"/>
    <n v="66"/>
    <n v="6.6"/>
  </r>
  <r>
    <x v="2"/>
    <x v="2"/>
    <d v="2022-12-15T00:00:00"/>
    <s v="NA"/>
    <n v="0"/>
    <n v="25"/>
    <s v="21-40"/>
    <x v="0"/>
    <x v="0"/>
    <x v="0"/>
    <x v="0"/>
    <n v="1"/>
    <n v="1"/>
    <n v="6.7"/>
    <x v="17"/>
    <n v="7"/>
    <n v="6"/>
    <n v="931414"/>
    <n v="74615"/>
    <n v="856799"/>
    <n v="39"/>
    <n v="65"/>
    <n v="12.5"/>
  </r>
  <r>
    <x v="4"/>
    <x v="4"/>
    <d v="2023-12-13T00:00:00"/>
    <s v="NA"/>
    <n v="0"/>
    <n v="54"/>
    <s v="41-60"/>
    <x v="1"/>
    <x v="13"/>
    <x v="10"/>
    <x v="1"/>
    <n v="1"/>
    <n v="1"/>
    <n v="5.0999999999999996"/>
    <x v="7"/>
    <n v="6"/>
    <n v="4"/>
    <n v="881203"/>
    <n v="312750"/>
    <n v="568453"/>
    <n v="39"/>
    <n v="66"/>
    <n v="8.9"/>
  </r>
  <r>
    <x v="4"/>
    <x v="4"/>
    <d v="2021-12-03T00:00:00"/>
    <s v="NA"/>
    <n v="0"/>
    <n v="38"/>
    <s v="21-40"/>
    <x v="1"/>
    <x v="10"/>
    <x v="8"/>
    <x v="4"/>
    <n v="1"/>
    <n v="1"/>
    <n v="6.5"/>
    <x v="28"/>
    <n v="3"/>
    <n v="7"/>
    <n v="714722"/>
    <n v="91947"/>
    <n v="622775"/>
    <n v="39"/>
    <n v="54"/>
    <n v="8.4"/>
  </r>
  <r>
    <x v="2"/>
    <x v="2"/>
    <d v="2021-04-04T00:00:00"/>
    <s v="NA"/>
    <n v="0"/>
    <n v="38"/>
    <s v="21-40"/>
    <x v="0"/>
    <x v="0"/>
    <x v="0"/>
    <x v="1"/>
    <n v="1"/>
    <n v="1"/>
    <n v="4.8"/>
    <x v="18"/>
    <n v="6"/>
    <n v="5"/>
    <n v="999730"/>
    <n v="286148"/>
    <n v="713582"/>
    <n v="33"/>
    <n v="59"/>
    <n v="13"/>
  </r>
  <r>
    <x v="4"/>
    <x v="4"/>
    <d v="2023-11-20T00:00:00"/>
    <s v="NA"/>
    <n v="0"/>
    <n v="29"/>
    <s v="21-40"/>
    <x v="0"/>
    <x v="6"/>
    <x v="4"/>
    <x v="1"/>
    <n v="1"/>
    <n v="1"/>
    <n v="6.2"/>
    <x v="7"/>
    <n v="6"/>
    <n v="6"/>
    <n v="735326"/>
    <n v="140993"/>
    <n v="594333"/>
    <n v="32"/>
    <n v="65"/>
    <n v="5.9"/>
  </r>
  <r>
    <x v="2"/>
    <x v="2"/>
    <d v="2021-10-10T00:00:00"/>
    <s v="NA"/>
    <n v="0"/>
    <n v="52"/>
    <s v="41-60"/>
    <x v="0"/>
    <x v="4"/>
    <x v="3"/>
    <x v="1"/>
    <n v="1"/>
    <n v="1"/>
    <n v="3.7"/>
    <x v="11"/>
    <n v="5"/>
    <n v="4"/>
    <n v="919503"/>
    <n v="55405"/>
    <n v="864098"/>
    <n v="30"/>
    <n v="64"/>
    <n v="8.3000000000000007"/>
  </r>
  <r>
    <x v="4"/>
    <x v="4"/>
    <d v="2024-11-13T00:00:00"/>
    <s v="NA"/>
    <n v="0"/>
    <n v="43"/>
    <s v="41-60"/>
    <x v="1"/>
    <x v="3"/>
    <x v="2"/>
    <x v="4"/>
    <n v="1"/>
    <n v="1"/>
    <n v="5.2"/>
    <x v="30"/>
    <n v="3"/>
    <n v="6"/>
    <n v="791836"/>
    <n v="154031"/>
    <n v="637805"/>
    <n v="37"/>
    <n v="54"/>
    <n v="10.9"/>
  </r>
  <r>
    <x v="2"/>
    <x v="2"/>
    <d v="2021-08-10T00:00:00"/>
    <s v="NA"/>
    <n v="0"/>
    <n v="36"/>
    <s v="21-40"/>
    <x v="0"/>
    <x v="0"/>
    <x v="0"/>
    <x v="4"/>
    <n v="1"/>
    <n v="1"/>
    <n v="5.7"/>
    <x v="14"/>
    <n v="4"/>
    <n v="5"/>
    <n v="976630"/>
    <n v="234323"/>
    <n v="742307"/>
    <n v="40"/>
    <n v="63"/>
    <n v="9.1999999999999993"/>
  </r>
  <r>
    <x v="2"/>
    <x v="2"/>
    <d v="2024-10-16T00:00:00"/>
    <s v="NA"/>
    <n v="0"/>
    <n v="26"/>
    <s v="21-40"/>
    <x v="1"/>
    <x v="12"/>
    <x v="9"/>
    <x v="3"/>
    <n v="1"/>
    <n v="1"/>
    <n v="6.7"/>
    <x v="7"/>
    <n v="7"/>
    <n v="5"/>
    <n v="986384"/>
    <n v="157326"/>
    <n v="829058"/>
    <n v="36"/>
    <n v="57"/>
    <n v="8.6"/>
  </r>
  <r>
    <x v="2"/>
    <x v="2"/>
    <d v="2023-08-28T00:00:00"/>
    <s v="NA"/>
    <n v="0"/>
    <n v="48"/>
    <s v="41-60"/>
    <x v="0"/>
    <x v="7"/>
    <x v="5"/>
    <x v="2"/>
    <n v="1"/>
    <n v="1"/>
    <n v="6.7"/>
    <x v="7"/>
    <n v="3"/>
    <n v="7"/>
    <n v="903069"/>
    <n v="85281"/>
    <n v="817788"/>
    <n v="36"/>
    <n v="61"/>
    <n v="13.5"/>
  </r>
  <r>
    <x v="2"/>
    <x v="2"/>
    <d v="2024-11-26T00:00:00"/>
    <s v="NA"/>
    <n v="0"/>
    <n v="46"/>
    <s v="41-60"/>
    <x v="1"/>
    <x v="13"/>
    <x v="10"/>
    <x v="3"/>
    <n v="1"/>
    <n v="1"/>
    <n v="6.9"/>
    <x v="29"/>
    <n v="3"/>
    <n v="5"/>
    <n v="922481"/>
    <n v="286164"/>
    <n v="636317"/>
    <n v="30"/>
    <n v="60"/>
    <n v="9.1"/>
  </r>
  <r>
    <x v="4"/>
    <x v="4"/>
    <d v="2021-05-09T00:00:00"/>
    <s v="NA"/>
    <n v="0"/>
    <n v="34"/>
    <s v="21-40"/>
    <x v="0"/>
    <x v="0"/>
    <x v="0"/>
    <x v="3"/>
    <n v="1"/>
    <n v="1"/>
    <n v="4.4000000000000004"/>
    <x v="19"/>
    <n v="6"/>
    <n v="7"/>
    <n v="714752"/>
    <n v="201896"/>
    <n v="512856"/>
    <n v="37"/>
    <n v="61"/>
    <n v="10.4"/>
  </r>
  <r>
    <x v="2"/>
    <x v="2"/>
    <d v="2022-11-28T00:00:00"/>
    <s v="NA"/>
    <n v="0"/>
    <n v="47"/>
    <s v="41-60"/>
    <x v="1"/>
    <x v="11"/>
    <x v="8"/>
    <x v="0"/>
    <n v="1"/>
    <n v="1"/>
    <n v="4.4000000000000004"/>
    <x v="1"/>
    <n v="4"/>
    <n v="3"/>
    <n v="953668"/>
    <n v="154769"/>
    <n v="798899"/>
    <n v="34"/>
    <n v="54"/>
    <n v="36.9"/>
  </r>
  <r>
    <x v="2"/>
    <x v="2"/>
    <d v="2024-09-13T00:00:00"/>
    <s v="NA"/>
    <n v="0"/>
    <n v="86"/>
    <s v="81+"/>
    <x v="1"/>
    <x v="11"/>
    <x v="8"/>
    <x v="1"/>
    <n v="1"/>
    <n v="1"/>
    <n v="4"/>
    <x v="1"/>
    <n v="3"/>
    <n v="3"/>
    <n v="974435"/>
    <n v="338598"/>
    <n v="635837"/>
    <n v="40"/>
    <n v="63"/>
    <n v="7.4"/>
  </r>
  <r>
    <x v="2"/>
    <x v="2"/>
    <d v="2024-04-11T00:00:00"/>
    <s v="NA"/>
    <n v="0"/>
    <n v="68"/>
    <s v="61-80"/>
    <x v="0"/>
    <x v="14"/>
    <x v="11"/>
    <x v="2"/>
    <n v="1"/>
    <n v="1"/>
    <n v="4.0999999999999996"/>
    <x v="25"/>
    <n v="5"/>
    <n v="7"/>
    <n v="917427"/>
    <n v="66091"/>
    <n v="851336"/>
    <n v="40"/>
    <n v="66"/>
    <n v="36.6"/>
  </r>
  <r>
    <x v="2"/>
    <x v="2"/>
    <d v="2024-02-21T00:00:00"/>
    <s v="NA"/>
    <n v="0"/>
    <n v="55"/>
    <s v="41-60"/>
    <x v="0"/>
    <x v="2"/>
    <x v="1"/>
    <x v="0"/>
    <n v="1"/>
    <n v="1"/>
    <n v="2.6"/>
    <x v="30"/>
    <n v="4"/>
    <n v="6"/>
    <n v="997223"/>
    <n v="360899"/>
    <n v="636324"/>
    <n v="37"/>
    <n v="55"/>
    <n v="7.2"/>
  </r>
  <r>
    <x v="4"/>
    <x v="4"/>
    <d v="2021-06-16T00:00:00"/>
    <s v="NA"/>
    <n v="0"/>
    <n v="43"/>
    <s v="41-60"/>
    <x v="0"/>
    <x v="0"/>
    <x v="0"/>
    <x v="1"/>
    <n v="1"/>
    <n v="1"/>
    <n v="5.4"/>
    <x v="14"/>
    <n v="6"/>
    <n v="4"/>
    <n v="729764"/>
    <n v="126744"/>
    <n v="603020"/>
    <n v="31"/>
    <n v="55"/>
    <n v="8.3000000000000007"/>
  </r>
  <r>
    <x v="4"/>
    <x v="4"/>
    <d v="2022-03-18T00:00:00"/>
    <s v="NA"/>
    <n v="0"/>
    <n v="37"/>
    <s v="21-40"/>
    <x v="1"/>
    <x v="3"/>
    <x v="2"/>
    <x v="3"/>
    <n v="1"/>
    <n v="1"/>
    <n v="4.5999999999999996"/>
    <x v="23"/>
    <n v="3"/>
    <n v="4"/>
    <n v="851254"/>
    <n v="203373"/>
    <n v="647881"/>
    <n v="32"/>
    <n v="61"/>
    <n v="12.2"/>
  </r>
  <r>
    <x v="2"/>
    <x v="2"/>
    <d v="2023-05-25T00:00:00"/>
    <s v="NA"/>
    <n v="0"/>
    <n v="29"/>
    <s v="21-40"/>
    <x v="0"/>
    <x v="2"/>
    <x v="1"/>
    <x v="1"/>
    <n v="1"/>
    <n v="1"/>
    <n v="6.6"/>
    <x v="29"/>
    <n v="3"/>
    <n v="6"/>
    <n v="988131"/>
    <n v="108856"/>
    <n v="879275"/>
    <n v="30"/>
    <n v="57"/>
    <n v="5.9"/>
  </r>
  <r>
    <x v="2"/>
    <x v="2"/>
    <d v="2024-02-05T00:00:00"/>
    <s v="NA"/>
    <n v="0"/>
    <n v="86"/>
    <s v="81+"/>
    <x v="0"/>
    <x v="7"/>
    <x v="5"/>
    <x v="3"/>
    <n v="1"/>
    <n v="1"/>
    <n v="4.4000000000000004"/>
    <x v="24"/>
    <n v="3"/>
    <n v="7"/>
    <n v="986177"/>
    <n v="172239"/>
    <n v="813938"/>
    <n v="33"/>
    <n v="55"/>
    <n v="10"/>
  </r>
  <r>
    <x v="2"/>
    <x v="2"/>
    <d v="2023-06-10T00:00:00"/>
    <s v="NA"/>
    <n v="0"/>
    <n v="40"/>
    <s v="21-40"/>
    <x v="1"/>
    <x v="6"/>
    <x v="4"/>
    <x v="3"/>
    <n v="1"/>
    <n v="1"/>
    <n v="1.5"/>
    <x v="16"/>
    <n v="6"/>
    <n v="3"/>
    <n v="903570"/>
    <n v="122308"/>
    <n v="781262"/>
    <n v="37"/>
    <n v="64"/>
    <n v="7.9"/>
  </r>
  <r>
    <x v="4"/>
    <x v="4"/>
    <d v="2023-10-12T00:00:00"/>
    <s v="NA"/>
    <n v="0"/>
    <n v="49"/>
    <s v="41-60"/>
    <x v="0"/>
    <x v="13"/>
    <x v="10"/>
    <x v="2"/>
    <n v="1"/>
    <n v="1"/>
    <n v="1.1000000000000001"/>
    <x v="14"/>
    <n v="4"/>
    <n v="7"/>
    <n v="679748"/>
    <n v="142967"/>
    <n v="536781"/>
    <n v="37"/>
    <n v="56"/>
    <n v="6.3"/>
  </r>
  <r>
    <x v="4"/>
    <x v="4"/>
    <d v="2022-10-09T00:00:00"/>
    <s v="NA"/>
    <n v="0"/>
    <n v="44"/>
    <s v="41-60"/>
    <x v="0"/>
    <x v="5"/>
    <x v="0"/>
    <x v="3"/>
    <n v="1"/>
    <n v="1"/>
    <n v="5.8"/>
    <x v="4"/>
    <n v="3"/>
    <n v="7"/>
    <n v="786964"/>
    <n v="220430"/>
    <n v="566534"/>
    <n v="30"/>
    <n v="63"/>
    <n v="12"/>
  </r>
  <r>
    <x v="4"/>
    <x v="4"/>
    <d v="2022-10-29T00:00:00"/>
    <s v="NA"/>
    <n v="0"/>
    <n v="58"/>
    <s v="41-60"/>
    <x v="1"/>
    <x v="3"/>
    <x v="2"/>
    <x v="2"/>
    <n v="1"/>
    <n v="1"/>
    <n v="5.2"/>
    <x v="10"/>
    <n v="7"/>
    <n v="5"/>
    <n v="714176"/>
    <n v="160364"/>
    <n v="553812"/>
    <n v="37"/>
    <n v="64"/>
    <n v="7.5"/>
  </r>
  <r>
    <x v="2"/>
    <x v="2"/>
    <d v="2022-11-06T00:00:00"/>
    <s v="NA"/>
    <n v="0"/>
    <n v="90"/>
    <s v="81+"/>
    <x v="1"/>
    <x v="2"/>
    <x v="1"/>
    <x v="4"/>
    <n v="1"/>
    <n v="1"/>
    <n v="4.8"/>
    <x v="17"/>
    <n v="4"/>
    <n v="6"/>
    <n v="932149"/>
    <n v="215859"/>
    <n v="716290"/>
    <n v="36"/>
    <n v="60"/>
    <n v="10.7"/>
  </r>
  <r>
    <x v="4"/>
    <x v="4"/>
    <d v="2022-01-15T00:00:00"/>
    <s v="NA"/>
    <n v="0"/>
    <n v="84"/>
    <s v="81+"/>
    <x v="1"/>
    <x v="4"/>
    <x v="3"/>
    <x v="0"/>
    <n v="1"/>
    <n v="1"/>
    <n v="4.0999999999999996"/>
    <x v="9"/>
    <n v="6"/>
    <n v="5"/>
    <n v="860844"/>
    <n v="212483"/>
    <n v="648361"/>
    <n v="30"/>
    <n v="56"/>
    <n v="13.6"/>
  </r>
  <r>
    <x v="2"/>
    <x v="2"/>
    <d v="2023-12-14T00:00:00"/>
    <s v="NA"/>
    <n v="0"/>
    <n v="81"/>
    <s v="81+"/>
    <x v="0"/>
    <x v="0"/>
    <x v="0"/>
    <x v="0"/>
    <n v="1"/>
    <n v="1"/>
    <n v="6.4"/>
    <x v="29"/>
    <n v="4"/>
    <n v="6"/>
    <n v="966175"/>
    <n v="245194"/>
    <n v="720981"/>
    <n v="34"/>
    <n v="60"/>
    <n v="9.3000000000000007"/>
  </r>
  <r>
    <x v="2"/>
    <x v="2"/>
    <d v="2022-02-05T00:00:00"/>
    <s v="NA"/>
    <n v="0"/>
    <n v="27"/>
    <s v="21-40"/>
    <x v="0"/>
    <x v="14"/>
    <x v="11"/>
    <x v="1"/>
    <n v="1"/>
    <n v="1"/>
    <n v="3.1"/>
    <x v="8"/>
    <n v="3"/>
    <n v="7"/>
    <n v="907609"/>
    <n v="287788"/>
    <n v="619821"/>
    <n v="32"/>
    <n v="65"/>
    <n v="5.4"/>
  </r>
  <r>
    <x v="2"/>
    <x v="2"/>
    <d v="2021-03-31T00:00:00"/>
    <s v="NA"/>
    <n v="0"/>
    <n v="50"/>
    <s v="41-60"/>
    <x v="0"/>
    <x v="13"/>
    <x v="10"/>
    <x v="2"/>
    <n v="1"/>
    <n v="1"/>
    <n v="6.2"/>
    <x v="9"/>
    <n v="7"/>
    <n v="7"/>
    <n v="923426"/>
    <n v="303061"/>
    <n v="620365"/>
    <n v="39"/>
    <n v="64"/>
    <n v="12.3"/>
  </r>
  <r>
    <x v="2"/>
    <x v="2"/>
    <d v="2023-08-07T00:00:00"/>
    <s v="NA"/>
    <n v="0"/>
    <n v="78"/>
    <s v="61-80"/>
    <x v="0"/>
    <x v="13"/>
    <x v="10"/>
    <x v="3"/>
    <n v="1"/>
    <n v="1"/>
    <n v="1.6"/>
    <x v="24"/>
    <n v="4"/>
    <n v="4"/>
    <n v="912473"/>
    <n v="87894"/>
    <n v="824579"/>
    <n v="40"/>
    <n v="61"/>
    <n v="6"/>
  </r>
  <r>
    <x v="2"/>
    <x v="2"/>
    <d v="2021-01-06T00:00:00"/>
    <s v="NA"/>
    <n v="0"/>
    <n v="53"/>
    <s v="41-60"/>
    <x v="1"/>
    <x v="9"/>
    <x v="7"/>
    <x v="1"/>
    <n v="1"/>
    <n v="1"/>
    <n v="5"/>
    <x v="25"/>
    <n v="7"/>
    <n v="6"/>
    <n v="913012"/>
    <n v="129756"/>
    <n v="783256"/>
    <n v="32"/>
    <n v="60"/>
    <n v="10.3"/>
  </r>
  <r>
    <x v="4"/>
    <x v="4"/>
    <d v="2021-04-02T00:00:00"/>
    <s v="NA"/>
    <n v="0"/>
    <n v="79"/>
    <s v="61-80"/>
    <x v="1"/>
    <x v="2"/>
    <x v="1"/>
    <x v="1"/>
    <n v="1"/>
    <n v="1"/>
    <n v="4.0999999999999996"/>
    <x v="19"/>
    <n v="5"/>
    <n v="7"/>
    <n v="831245"/>
    <n v="290949"/>
    <n v="540296"/>
    <n v="36"/>
    <n v="63"/>
    <n v="12"/>
  </r>
  <r>
    <x v="4"/>
    <x v="4"/>
    <d v="2024-03-11T00:00:00"/>
    <s v="NA"/>
    <n v="0"/>
    <n v="45"/>
    <s v="41-60"/>
    <x v="0"/>
    <x v="0"/>
    <x v="0"/>
    <x v="1"/>
    <n v="1"/>
    <n v="1"/>
    <n v="3"/>
    <x v="7"/>
    <n v="6"/>
    <n v="5"/>
    <n v="855258"/>
    <n v="256241"/>
    <n v="599017"/>
    <n v="37"/>
    <n v="54"/>
    <n v="36.9"/>
  </r>
  <r>
    <x v="4"/>
    <x v="4"/>
    <d v="2024-08-17T00:00:00"/>
    <s v="NA"/>
    <n v="0"/>
    <n v="42"/>
    <s v="41-60"/>
    <x v="1"/>
    <x v="12"/>
    <x v="9"/>
    <x v="0"/>
    <n v="1"/>
    <n v="1"/>
    <n v="6.1"/>
    <x v="20"/>
    <n v="3"/>
    <n v="6"/>
    <n v="678256"/>
    <n v="139573"/>
    <n v="538683"/>
    <n v="31"/>
    <n v="60"/>
    <n v="5.2"/>
  </r>
  <r>
    <x v="4"/>
    <x v="4"/>
    <d v="2021-02-17T00:00:00"/>
    <s v="NA"/>
    <n v="0"/>
    <n v="28"/>
    <s v="21-40"/>
    <x v="0"/>
    <x v="7"/>
    <x v="5"/>
    <x v="4"/>
    <n v="1"/>
    <n v="1"/>
    <n v="4.2"/>
    <x v="26"/>
    <n v="7"/>
    <n v="5"/>
    <n v="899435"/>
    <n v="309860"/>
    <n v="589575"/>
    <n v="37"/>
    <n v="64"/>
    <n v="36"/>
  </r>
  <r>
    <x v="2"/>
    <x v="2"/>
    <d v="2022-01-02T00:00:00"/>
    <s v="NA"/>
    <n v="0"/>
    <n v="46"/>
    <s v="41-60"/>
    <x v="0"/>
    <x v="0"/>
    <x v="0"/>
    <x v="1"/>
    <n v="1"/>
    <n v="1"/>
    <n v="2.5"/>
    <x v="11"/>
    <n v="7"/>
    <n v="5"/>
    <n v="922084"/>
    <n v="137565"/>
    <n v="784519"/>
    <n v="39"/>
    <n v="59"/>
    <n v="9.3000000000000007"/>
  </r>
  <r>
    <x v="2"/>
    <x v="2"/>
    <d v="2024-11-04T00:00:00"/>
    <s v="NA"/>
    <n v="0"/>
    <n v="86"/>
    <s v="81+"/>
    <x v="1"/>
    <x v="7"/>
    <x v="5"/>
    <x v="1"/>
    <n v="1"/>
    <n v="1"/>
    <n v="1.5"/>
    <x v="25"/>
    <n v="6"/>
    <n v="7"/>
    <n v="966754"/>
    <n v="196945"/>
    <n v="769809"/>
    <n v="34"/>
    <n v="56"/>
    <n v="13.2"/>
  </r>
  <r>
    <x v="4"/>
    <x v="4"/>
    <d v="2024-01-17T00:00:00"/>
    <s v="NA"/>
    <n v="0"/>
    <n v="28"/>
    <s v="21-40"/>
    <x v="0"/>
    <x v="0"/>
    <x v="0"/>
    <x v="1"/>
    <n v="1"/>
    <n v="1"/>
    <n v="2.6"/>
    <x v="4"/>
    <n v="5"/>
    <n v="3"/>
    <n v="717327"/>
    <n v="165437"/>
    <n v="551890"/>
    <n v="32"/>
    <n v="54"/>
    <n v="6.6"/>
  </r>
  <r>
    <x v="2"/>
    <x v="2"/>
    <d v="2022-09-25T00:00:00"/>
    <s v="NA"/>
    <n v="0"/>
    <n v="72"/>
    <s v="61-80"/>
    <x v="1"/>
    <x v="2"/>
    <x v="1"/>
    <x v="1"/>
    <n v="1"/>
    <n v="1"/>
    <n v="5.3"/>
    <x v="7"/>
    <n v="5"/>
    <n v="3"/>
    <n v="969785"/>
    <n v="135838"/>
    <n v="833947"/>
    <n v="36"/>
    <n v="57"/>
    <n v="5.9"/>
  </r>
  <r>
    <x v="4"/>
    <x v="4"/>
    <d v="2021-04-05T00:00:00"/>
    <s v="NA"/>
    <n v="0"/>
    <n v="72"/>
    <s v="61-80"/>
    <x v="1"/>
    <x v="11"/>
    <x v="8"/>
    <x v="0"/>
    <n v="1"/>
    <n v="1"/>
    <n v="1.8"/>
    <x v="15"/>
    <n v="7"/>
    <n v="6"/>
    <n v="632941"/>
    <n v="53208"/>
    <n v="579733"/>
    <n v="34"/>
    <n v="57"/>
    <n v="7.8"/>
  </r>
  <r>
    <x v="2"/>
    <x v="2"/>
    <d v="2022-07-28T00:00:00"/>
    <s v="NA"/>
    <n v="0"/>
    <n v="44"/>
    <s v="41-60"/>
    <x v="0"/>
    <x v="14"/>
    <x v="11"/>
    <x v="4"/>
    <n v="1"/>
    <n v="1"/>
    <n v="5.8"/>
    <x v="3"/>
    <n v="7"/>
    <n v="6"/>
    <n v="957369"/>
    <n v="173763"/>
    <n v="783606"/>
    <n v="36"/>
    <n v="56"/>
    <n v="14.7"/>
  </r>
  <r>
    <x v="2"/>
    <x v="2"/>
    <d v="2021-03-31T00:00:00"/>
    <s v="NA"/>
    <n v="0"/>
    <n v="32"/>
    <s v="21-40"/>
    <x v="0"/>
    <x v="6"/>
    <x v="4"/>
    <x v="4"/>
    <n v="1"/>
    <n v="1"/>
    <n v="6.1"/>
    <x v="30"/>
    <n v="7"/>
    <n v="3"/>
    <n v="932156"/>
    <n v="284443"/>
    <n v="647713"/>
    <n v="36"/>
    <n v="60"/>
    <n v="9.3000000000000007"/>
  </r>
  <r>
    <x v="4"/>
    <x v="4"/>
    <d v="2021-01-14T00:00:00"/>
    <s v="NA"/>
    <n v="0"/>
    <n v="44"/>
    <s v="41-60"/>
    <x v="1"/>
    <x v="2"/>
    <x v="1"/>
    <x v="4"/>
    <n v="1"/>
    <n v="1"/>
    <n v="4.9000000000000004"/>
    <x v="23"/>
    <n v="4"/>
    <n v="7"/>
    <n v="890799"/>
    <n v="340514"/>
    <n v="550285"/>
    <n v="39"/>
    <n v="63"/>
    <n v="7.6"/>
  </r>
  <r>
    <x v="4"/>
    <x v="4"/>
    <d v="2022-04-25T00:00:00"/>
    <s v="NA"/>
    <n v="0"/>
    <n v="43"/>
    <s v="41-60"/>
    <x v="0"/>
    <x v="5"/>
    <x v="0"/>
    <x v="4"/>
    <n v="1"/>
    <n v="1"/>
    <n v="5.4"/>
    <x v="25"/>
    <n v="5"/>
    <n v="7"/>
    <n v="694993"/>
    <n v="176609"/>
    <n v="518384"/>
    <n v="37"/>
    <n v="55"/>
    <n v="14.6"/>
  </r>
  <r>
    <x v="4"/>
    <x v="4"/>
    <d v="2021-02-08T00:00:00"/>
    <s v="NA"/>
    <n v="0"/>
    <n v="26"/>
    <s v="21-40"/>
    <x v="1"/>
    <x v="2"/>
    <x v="1"/>
    <x v="2"/>
    <n v="1"/>
    <n v="1"/>
    <n v="3.2"/>
    <x v="20"/>
    <n v="4"/>
    <n v="4"/>
    <n v="714163"/>
    <n v="91605"/>
    <n v="622558"/>
    <n v="35"/>
    <n v="64"/>
    <n v="9.6"/>
  </r>
  <r>
    <x v="2"/>
    <x v="2"/>
    <d v="2022-08-28T00:00:00"/>
    <s v="NA"/>
    <n v="0"/>
    <n v="88"/>
    <s v="81+"/>
    <x v="0"/>
    <x v="7"/>
    <x v="5"/>
    <x v="3"/>
    <n v="1"/>
    <n v="1"/>
    <n v="2.4"/>
    <x v="6"/>
    <n v="6"/>
    <n v="6"/>
    <n v="983697"/>
    <n v="327048"/>
    <n v="656649"/>
    <n v="30"/>
    <n v="56"/>
    <n v="36.299999999999997"/>
  </r>
  <r>
    <x v="2"/>
    <x v="2"/>
    <d v="2023-08-07T00:00:00"/>
    <s v="NA"/>
    <n v="0"/>
    <n v="34"/>
    <s v="21-40"/>
    <x v="1"/>
    <x v="9"/>
    <x v="7"/>
    <x v="1"/>
    <n v="1"/>
    <n v="1"/>
    <n v="1.8"/>
    <x v="28"/>
    <n v="6"/>
    <n v="6"/>
    <n v="937417"/>
    <n v="50827"/>
    <n v="886590"/>
    <n v="36"/>
    <n v="54"/>
    <n v="14.6"/>
  </r>
  <r>
    <x v="2"/>
    <x v="2"/>
    <d v="2022-11-16T00:00:00"/>
    <s v="NA"/>
    <n v="0"/>
    <n v="25"/>
    <s v="21-40"/>
    <x v="0"/>
    <x v="0"/>
    <x v="0"/>
    <x v="2"/>
    <n v="1"/>
    <n v="1"/>
    <n v="4.5"/>
    <x v="5"/>
    <n v="5"/>
    <n v="5"/>
    <n v="993356"/>
    <n v="130038"/>
    <n v="863318"/>
    <n v="34"/>
    <n v="58"/>
    <n v="36.4"/>
  </r>
  <r>
    <x v="2"/>
    <x v="2"/>
    <d v="2023-09-05T00:00:00"/>
    <s v="NA"/>
    <n v="0"/>
    <n v="46"/>
    <s v="41-60"/>
    <x v="0"/>
    <x v="2"/>
    <x v="1"/>
    <x v="4"/>
    <n v="1"/>
    <n v="1"/>
    <n v="5.8"/>
    <x v="18"/>
    <n v="3"/>
    <n v="5"/>
    <n v="916822"/>
    <n v="186461"/>
    <n v="730361"/>
    <n v="35"/>
    <n v="57"/>
    <n v="36.700000000000003"/>
  </r>
  <r>
    <x v="2"/>
    <x v="2"/>
    <d v="2024-10-31T00:00:00"/>
    <s v="NA"/>
    <n v="0"/>
    <n v="40"/>
    <s v="21-40"/>
    <x v="0"/>
    <x v="7"/>
    <x v="5"/>
    <x v="4"/>
    <n v="1"/>
    <n v="1"/>
    <n v="2.9"/>
    <x v="27"/>
    <n v="7"/>
    <n v="3"/>
    <n v="967260"/>
    <n v="189998"/>
    <n v="777262"/>
    <n v="34"/>
    <n v="66"/>
    <n v="13.2"/>
  </r>
  <r>
    <x v="2"/>
    <x v="2"/>
    <d v="2024-07-31T00:00:00"/>
    <s v="NA"/>
    <n v="0"/>
    <n v="33"/>
    <s v="21-40"/>
    <x v="1"/>
    <x v="2"/>
    <x v="1"/>
    <x v="4"/>
    <n v="1"/>
    <n v="1"/>
    <n v="2.4"/>
    <x v="8"/>
    <n v="7"/>
    <n v="6"/>
    <n v="959507"/>
    <n v="117279"/>
    <n v="842228"/>
    <n v="31"/>
    <n v="59"/>
    <n v="7.1"/>
  </r>
  <r>
    <x v="2"/>
    <x v="2"/>
    <d v="2022-11-03T00:00:00"/>
    <s v="NA"/>
    <n v="0"/>
    <n v="37"/>
    <s v="21-40"/>
    <x v="1"/>
    <x v="2"/>
    <x v="1"/>
    <x v="2"/>
    <n v="1"/>
    <n v="1"/>
    <n v="1.3"/>
    <x v="25"/>
    <n v="6"/>
    <n v="4"/>
    <n v="943928"/>
    <n v="217539"/>
    <n v="726389"/>
    <n v="36"/>
    <n v="54"/>
    <n v="13.3"/>
  </r>
  <r>
    <x v="2"/>
    <x v="2"/>
    <d v="2024-12-07T00:00:00"/>
    <s v="NA"/>
    <n v="0"/>
    <n v="40"/>
    <s v="21-40"/>
    <x v="1"/>
    <x v="6"/>
    <x v="4"/>
    <x v="2"/>
    <n v="1"/>
    <n v="1"/>
    <n v="4.4000000000000004"/>
    <x v="25"/>
    <n v="3"/>
    <n v="5"/>
    <n v="903107"/>
    <n v="168265"/>
    <n v="734842"/>
    <n v="31"/>
    <n v="61"/>
    <n v="7.3"/>
  </r>
  <r>
    <x v="2"/>
    <x v="2"/>
    <d v="2021-05-03T00:00:00"/>
    <s v="NA"/>
    <n v="0"/>
    <n v="87"/>
    <s v="81+"/>
    <x v="0"/>
    <x v="4"/>
    <x v="3"/>
    <x v="1"/>
    <n v="1"/>
    <n v="1"/>
    <n v="1.6"/>
    <x v="30"/>
    <n v="7"/>
    <n v="3"/>
    <n v="972781"/>
    <n v="324050"/>
    <n v="648731"/>
    <n v="34"/>
    <n v="55"/>
    <n v="12.1"/>
  </r>
  <r>
    <x v="2"/>
    <x v="2"/>
    <d v="2022-01-13T00:00:00"/>
    <s v="NA"/>
    <n v="0"/>
    <n v="24"/>
    <s v="21-40"/>
    <x v="0"/>
    <x v="1"/>
    <x v="1"/>
    <x v="4"/>
    <n v="1"/>
    <n v="1"/>
    <n v="2.7"/>
    <x v="25"/>
    <n v="5"/>
    <n v="3"/>
    <n v="918285"/>
    <n v="198146"/>
    <n v="720139"/>
    <n v="33"/>
    <n v="57"/>
    <n v="12.7"/>
  </r>
  <r>
    <x v="2"/>
    <x v="2"/>
    <d v="2024-06-23T00:00:00"/>
    <s v="NA"/>
    <n v="0"/>
    <n v="63"/>
    <s v="61-80"/>
    <x v="1"/>
    <x v="3"/>
    <x v="2"/>
    <x v="1"/>
    <n v="1"/>
    <n v="1"/>
    <n v="3.3"/>
    <x v="11"/>
    <n v="4"/>
    <n v="5"/>
    <n v="902457"/>
    <n v="12724"/>
    <n v="889733"/>
    <n v="33"/>
    <n v="58"/>
    <n v="9.8000000000000007"/>
  </r>
  <r>
    <x v="2"/>
    <x v="2"/>
    <d v="2021-10-21T00:00:00"/>
    <s v="NA"/>
    <n v="0"/>
    <n v="84"/>
    <s v="81+"/>
    <x v="0"/>
    <x v="5"/>
    <x v="0"/>
    <x v="2"/>
    <n v="1"/>
    <n v="1"/>
    <n v="3.6"/>
    <x v="15"/>
    <n v="3"/>
    <n v="7"/>
    <n v="936763"/>
    <n v="276153"/>
    <n v="660610"/>
    <n v="34"/>
    <n v="62"/>
    <n v="10.4"/>
  </r>
  <r>
    <x v="2"/>
    <x v="2"/>
    <d v="2024-10-10T00:00:00"/>
    <s v="NA"/>
    <n v="0"/>
    <n v="26"/>
    <s v="21-40"/>
    <x v="1"/>
    <x v="7"/>
    <x v="5"/>
    <x v="3"/>
    <n v="1"/>
    <n v="1"/>
    <n v="3.3"/>
    <x v="19"/>
    <n v="5"/>
    <n v="4"/>
    <n v="950159"/>
    <n v="198598"/>
    <n v="751561"/>
    <n v="32"/>
    <n v="58"/>
    <n v="5.3"/>
  </r>
  <r>
    <x v="2"/>
    <x v="2"/>
    <d v="2021-05-08T00:00:00"/>
    <s v="NA"/>
    <n v="0"/>
    <n v="60"/>
    <s v="41-60"/>
    <x v="1"/>
    <x v="6"/>
    <x v="4"/>
    <x v="4"/>
    <n v="1"/>
    <n v="1"/>
    <n v="5.0999999999999996"/>
    <x v="25"/>
    <n v="7"/>
    <n v="3"/>
    <n v="917124"/>
    <n v="231919"/>
    <n v="685205"/>
    <n v="40"/>
    <n v="55"/>
    <n v="12.1"/>
  </r>
  <r>
    <x v="2"/>
    <x v="2"/>
    <d v="2022-05-02T00:00:00"/>
    <s v="NA"/>
    <n v="0"/>
    <n v="71"/>
    <s v="61-80"/>
    <x v="1"/>
    <x v="9"/>
    <x v="7"/>
    <x v="3"/>
    <n v="1"/>
    <n v="1"/>
    <n v="4"/>
    <x v="0"/>
    <n v="6"/>
    <n v="6"/>
    <n v="976446"/>
    <n v="248810"/>
    <n v="727636"/>
    <n v="31"/>
    <n v="64"/>
    <n v="6.4"/>
  </r>
  <r>
    <x v="2"/>
    <x v="2"/>
    <d v="2022-07-08T00:00:00"/>
    <s v="NA"/>
    <n v="0"/>
    <n v="54"/>
    <s v="41-60"/>
    <x v="1"/>
    <x v="9"/>
    <x v="7"/>
    <x v="3"/>
    <n v="1"/>
    <n v="1"/>
    <n v="3.9"/>
    <x v="16"/>
    <n v="5"/>
    <n v="7"/>
    <n v="942013"/>
    <n v="299748"/>
    <n v="642265"/>
    <n v="40"/>
    <n v="64"/>
    <n v="5.5"/>
  </r>
  <r>
    <x v="2"/>
    <x v="2"/>
    <d v="2021-08-13T00:00:00"/>
    <s v="NA"/>
    <n v="0"/>
    <n v="23"/>
    <s v="21-40"/>
    <x v="1"/>
    <x v="12"/>
    <x v="9"/>
    <x v="2"/>
    <n v="1"/>
    <n v="1"/>
    <n v="5.8"/>
    <x v="17"/>
    <n v="6"/>
    <n v="5"/>
    <n v="948850"/>
    <n v="252304"/>
    <n v="696546"/>
    <n v="30"/>
    <n v="66"/>
    <n v="36.1"/>
  </r>
  <r>
    <x v="2"/>
    <x v="2"/>
    <d v="2024-12-08T00:00:00"/>
    <s v="NA"/>
    <n v="0"/>
    <n v="25"/>
    <s v="21-40"/>
    <x v="0"/>
    <x v="0"/>
    <x v="0"/>
    <x v="3"/>
    <n v="1"/>
    <n v="1"/>
    <n v="1.1000000000000001"/>
    <x v="24"/>
    <n v="7"/>
    <n v="3"/>
    <n v="908682"/>
    <n v="75626"/>
    <n v="833056"/>
    <n v="30"/>
    <n v="62"/>
    <n v="9"/>
  </r>
  <r>
    <x v="2"/>
    <x v="2"/>
    <d v="2023-11-30T00:00:00"/>
    <s v="NA"/>
    <n v="0"/>
    <n v="28"/>
    <s v="21-40"/>
    <x v="1"/>
    <x v="7"/>
    <x v="5"/>
    <x v="0"/>
    <n v="1"/>
    <n v="1"/>
    <n v="3.5"/>
    <x v="10"/>
    <n v="7"/>
    <n v="7"/>
    <n v="948286"/>
    <n v="338252"/>
    <n v="610034"/>
    <n v="34"/>
    <n v="62"/>
    <n v="13.6"/>
  </r>
  <r>
    <x v="2"/>
    <x v="2"/>
    <d v="2023-07-18T00:00:00"/>
    <s v="NA"/>
    <n v="0"/>
    <n v="80"/>
    <s v="61-80"/>
    <x v="0"/>
    <x v="0"/>
    <x v="0"/>
    <x v="3"/>
    <n v="1"/>
    <n v="1"/>
    <n v="6.3"/>
    <x v="25"/>
    <n v="5"/>
    <n v="6"/>
    <n v="985670"/>
    <n v="145139"/>
    <n v="840531"/>
    <n v="38"/>
    <n v="63"/>
    <n v="12.4"/>
  </r>
  <r>
    <x v="2"/>
    <x v="2"/>
    <d v="2024-10-28T00:00:00"/>
    <s v="NA"/>
    <n v="0"/>
    <n v="87"/>
    <s v="81+"/>
    <x v="0"/>
    <x v="7"/>
    <x v="5"/>
    <x v="4"/>
    <n v="1"/>
    <n v="1"/>
    <n v="3.5"/>
    <x v="30"/>
    <n v="7"/>
    <n v="5"/>
    <n v="945232"/>
    <n v="208361"/>
    <n v="736871"/>
    <n v="37"/>
    <n v="56"/>
    <n v="12.9"/>
  </r>
  <r>
    <x v="2"/>
    <x v="2"/>
    <d v="2022-01-30T00:00:00"/>
    <s v="NA"/>
    <n v="0"/>
    <n v="33"/>
    <s v="21-40"/>
    <x v="1"/>
    <x v="10"/>
    <x v="8"/>
    <x v="2"/>
    <n v="1"/>
    <n v="1"/>
    <n v="1.6"/>
    <x v="27"/>
    <n v="5"/>
    <n v="5"/>
    <n v="939673"/>
    <n v="90026"/>
    <n v="849647"/>
    <n v="32"/>
    <n v="57"/>
    <n v="36.9"/>
  </r>
  <r>
    <x v="2"/>
    <x v="2"/>
    <d v="2022-08-06T00:00:00"/>
    <s v="NA"/>
    <n v="0"/>
    <n v="40"/>
    <s v="21-40"/>
    <x v="0"/>
    <x v="14"/>
    <x v="11"/>
    <x v="3"/>
    <n v="1"/>
    <n v="1"/>
    <n v="4.3"/>
    <x v="10"/>
    <n v="3"/>
    <n v="3"/>
    <n v="963403"/>
    <n v="172623"/>
    <n v="790780"/>
    <n v="35"/>
    <n v="54"/>
    <n v="6.3"/>
  </r>
  <r>
    <x v="2"/>
    <x v="2"/>
    <d v="2022-09-07T00:00:00"/>
    <s v="NA"/>
    <n v="0"/>
    <n v="89"/>
    <s v="81+"/>
    <x v="1"/>
    <x v="10"/>
    <x v="8"/>
    <x v="1"/>
    <n v="1"/>
    <n v="1"/>
    <n v="2.2000000000000002"/>
    <x v="22"/>
    <n v="7"/>
    <n v="7"/>
    <n v="931432"/>
    <n v="118989"/>
    <n v="812443"/>
    <n v="36"/>
    <n v="55"/>
    <n v="7.9"/>
  </r>
  <r>
    <x v="2"/>
    <x v="2"/>
    <d v="2024-01-27T00:00:00"/>
    <s v="NA"/>
    <n v="0"/>
    <n v="47"/>
    <s v="41-60"/>
    <x v="0"/>
    <x v="10"/>
    <x v="8"/>
    <x v="4"/>
    <n v="1"/>
    <n v="1"/>
    <n v="6.3"/>
    <x v="3"/>
    <n v="6"/>
    <n v="4"/>
    <n v="992068"/>
    <n v="339529"/>
    <n v="652539"/>
    <n v="35"/>
    <n v="58"/>
    <n v="9.1"/>
  </r>
  <r>
    <x v="2"/>
    <x v="2"/>
    <d v="2023-10-22T00:00:00"/>
    <s v="NA"/>
    <n v="0"/>
    <n v="43"/>
    <s v="41-60"/>
    <x v="0"/>
    <x v="5"/>
    <x v="0"/>
    <x v="1"/>
    <n v="1"/>
    <n v="1"/>
    <n v="3.5"/>
    <x v="29"/>
    <n v="4"/>
    <n v="7"/>
    <n v="934413"/>
    <n v="326578"/>
    <n v="607835"/>
    <n v="31"/>
    <n v="58"/>
    <n v="13.7"/>
  </r>
  <r>
    <x v="2"/>
    <x v="2"/>
    <d v="2024-03-09T00:00:00"/>
    <s v="NA"/>
    <n v="0"/>
    <n v="66"/>
    <s v="61-80"/>
    <x v="1"/>
    <x v="1"/>
    <x v="1"/>
    <x v="0"/>
    <n v="1"/>
    <n v="1"/>
    <n v="6.8"/>
    <x v="18"/>
    <n v="6"/>
    <n v="3"/>
    <n v="944431"/>
    <n v="201549"/>
    <n v="742882"/>
    <n v="36"/>
    <n v="55"/>
    <n v="36.9"/>
  </r>
  <r>
    <x v="2"/>
    <x v="2"/>
    <d v="2022-07-14T00:00:00"/>
    <s v="NA"/>
    <n v="0"/>
    <n v="43"/>
    <s v="41-60"/>
    <x v="1"/>
    <x v="2"/>
    <x v="1"/>
    <x v="4"/>
    <n v="1"/>
    <n v="1"/>
    <n v="6.1"/>
    <x v="21"/>
    <n v="3"/>
    <n v="7"/>
    <n v="930303"/>
    <n v="94849"/>
    <n v="835454"/>
    <n v="37"/>
    <n v="66"/>
    <n v="8.6"/>
  </r>
  <r>
    <x v="2"/>
    <x v="2"/>
    <d v="2021-11-23T00:00:00"/>
    <s v="NA"/>
    <n v="0"/>
    <n v="76"/>
    <s v="61-80"/>
    <x v="1"/>
    <x v="2"/>
    <x v="1"/>
    <x v="4"/>
    <n v="1"/>
    <n v="1"/>
    <n v="2.9"/>
    <x v="11"/>
    <n v="4"/>
    <n v="7"/>
    <n v="943003"/>
    <n v="134420"/>
    <n v="808583"/>
    <n v="35"/>
    <n v="58"/>
    <n v="7.1"/>
  </r>
  <r>
    <x v="2"/>
    <x v="2"/>
    <d v="2021-07-26T00:00:00"/>
    <s v="NA"/>
    <n v="0"/>
    <n v="28"/>
    <s v="21-40"/>
    <x v="0"/>
    <x v="14"/>
    <x v="11"/>
    <x v="1"/>
    <n v="1"/>
    <n v="1"/>
    <n v="4.3"/>
    <x v="16"/>
    <n v="5"/>
    <n v="7"/>
    <n v="980534"/>
    <n v="174297"/>
    <n v="806237"/>
    <n v="36"/>
    <n v="58"/>
    <n v="9.9"/>
  </r>
  <r>
    <x v="2"/>
    <x v="2"/>
    <d v="2023-07-08T00:00:00"/>
    <s v="NA"/>
    <n v="0"/>
    <n v="69"/>
    <s v="61-80"/>
    <x v="1"/>
    <x v="11"/>
    <x v="8"/>
    <x v="1"/>
    <n v="1"/>
    <n v="1"/>
    <n v="2.4"/>
    <x v="26"/>
    <n v="5"/>
    <n v="7"/>
    <n v="942846"/>
    <n v="285913"/>
    <n v="656933"/>
    <n v="33"/>
    <n v="58"/>
    <n v="6.4"/>
  </r>
  <r>
    <x v="2"/>
    <x v="2"/>
    <d v="2021-11-23T00:00:00"/>
    <s v="NA"/>
    <n v="0"/>
    <n v="23"/>
    <s v="21-40"/>
    <x v="1"/>
    <x v="10"/>
    <x v="8"/>
    <x v="0"/>
    <n v="1"/>
    <n v="1"/>
    <n v="3.5"/>
    <x v="18"/>
    <n v="7"/>
    <n v="6"/>
    <n v="928418"/>
    <n v="189599"/>
    <n v="738819"/>
    <n v="31"/>
    <n v="58"/>
    <n v="14.4"/>
  </r>
  <r>
    <x v="2"/>
    <x v="2"/>
    <d v="2022-05-29T00:00:00"/>
    <s v="NA"/>
    <n v="0"/>
    <n v="29"/>
    <s v="21-40"/>
    <x v="1"/>
    <x v="9"/>
    <x v="7"/>
    <x v="2"/>
    <n v="1"/>
    <n v="1"/>
    <n v="5.6"/>
    <x v="18"/>
    <n v="7"/>
    <n v="6"/>
    <n v="907621"/>
    <n v="260648"/>
    <n v="646973"/>
    <n v="39"/>
    <n v="63"/>
    <n v="13"/>
  </r>
  <r>
    <x v="2"/>
    <x v="2"/>
    <d v="2023-05-02T00:00:00"/>
    <s v="NA"/>
    <n v="0"/>
    <n v="33"/>
    <s v="21-40"/>
    <x v="1"/>
    <x v="13"/>
    <x v="10"/>
    <x v="4"/>
    <n v="1"/>
    <n v="1"/>
    <n v="1.6"/>
    <x v="27"/>
    <n v="6"/>
    <n v="5"/>
    <n v="952219"/>
    <n v="330351"/>
    <n v="621868"/>
    <n v="36"/>
    <n v="54"/>
    <n v="6.4"/>
  </r>
  <r>
    <x v="2"/>
    <x v="2"/>
    <d v="2022-09-26T00:00:00"/>
    <s v="NA"/>
    <n v="0"/>
    <n v="79"/>
    <s v="61-80"/>
    <x v="0"/>
    <x v="2"/>
    <x v="1"/>
    <x v="2"/>
    <n v="1"/>
    <n v="1"/>
    <n v="6.4"/>
    <x v="15"/>
    <n v="7"/>
    <n v="4"/>
    <n v="910903"/>
    <n v="22526"/>
    <n v="888377"/>
    <n v="37"/>
    <n v="60"/>
    <n v="14.6"/>
  </r>
  <r>
    <x v="2"/>
    <x v="2"/>
    <d v="2021-09-12T00:00:00"/>
    <s v="NA"/>
    <n v="0"/>
    <n v="25"/>
    <s v="21-40"/>
    <x v="0"/>
    <x v="6"/>
    <x v="4"/>
    <x v="1"/>
    <n v="1"/>
    <n v="1"/>
    <n v="3.2"/>
    <x v="13"/>
    <n v="6"/>
    <n v="3"/>
    <n v="906937"/>
    <n v="223869"/>
    <n v="683068"/>
    <n v="32"/>
    <n v="63"/>
    <n v="8"/>
  </r>
  <r>
    <x v="2"/>
    <x v="2"/>
    <d v="2022-10-10T00:00:00"/>
    <s v="NA"/>
    <n v="0"/>
    <n v="35"/>
    <s v="21-40"/>
    <x v="1"/>
    <x v="1"/>
    <x v="1"/>
    <x v="4"/>
    <n v="1"/>
    <n v="1"/>
    <n v="4.5"/>
    <x v="4"/>
    <n v="6"/>
    <n v="3"/>
    <n v="916803"/>
    <n v="64545"/>
    <n v="852258"/>
    <n v="34"/>
    <n v="63"/>
    <n v="6.3"/>
  </r>
  <r>
    <x v="2"/>
    <x v="2"/>
    <d v="2023-09-17T00:00:00"/>
    <s v="NA"/>
    <n v="0"/>
    <n v="77"/>
    <s v="61-80"/>
    <x v="1"/>
    <x v="3"/>
    <x v="2"/>
    <x v="2"/>
    <n v="1"/>
    <n v="1"/>
    <n v="5.6"/>
    <x v="11"/>
    <n v="3"/>
    <n v="6"/>
    <n v="968808"/>
    <n v="196614"/>
    <n v="772194"/>
    <n v="38"/>
    <n v="64"/>
    <n v="8.3000000000000007"/>
  </r>
  <r>
    <x v="2"/>
    <x v="2"/>
    <d v="2024-10-27T00:00:00"/>
    <s v="NA"/>
    <n v="0"/>
    <n v="52"/>
    <s v="41-60"/>
    <x v="1"/>
    <x v="4"/>
    <x v="3"/>
    <x v="2"/>
    <n v="1"/>
    <n v="1"/>
    <n v="3.8"/>
    <x v="7"/>
    <n v="3"/>
    <n v="6"/>
    <n v="906353"/>
    <n v="239003"/>
    <n v="667350"/>
    <n v="40"/>
    <n v="55"/>
    <n v="12.5"/>
  </r>
  <r>
    <x v="2"/>
    <x v="2"/>
    <d v="2024-08-13T00:00:00"/>
    <s v="NA"/>
    <n v="0"/>
    <n v="28"/>
    <s v="21-40"/>
    <x v="0"/>
    <x v="6"/>
    <x v="4"/>
    <x v="1"/>
    <n v="1"/>
    <n v="1"/>
    <n v="3.7"/>
    <x v="28"/>
    <n v="6"/>
    <n v="5"/>
    <n v="967418"/>
    <n v="168526"/>
    <n v="798892"/>
    <n v="37"/>
    <n v="54"/>
    <n v="7.3"/>
  </r>
  <r>
    <x v="2"/>
    <x v="2"/>
    <d v="2024-09-14T00:00:00"/>
    <s v="NA"/>
    <n v="0"/>
    <n v="74"/>
    <s v="61-80"/>
    <x v="0"/>
    <x v="0"/>
    <x v="0"/>
    <x v="1"/>
    <n v="1"/>
    <n v="1"/>
    <n v="6.4"/>
    <x v="5"/>
    <n v="6"/>
    <n v="7"/>
    <n v="977275"/>
    <n v="224415"/>
    <n v="752860"/>
    <n v="33"/>
    <n v="64"/>
    <n v="14"/>
  </r>
  <r>
    <x v="2"/>
    <x v="2"/>
    <d v="2021-06-08T00:00:00"/>
    <s v="NA"/>
    <n v="0"/>
    <n v="53"/>
    <s v="41-60"/>
    <x v="1"/>
    <x v="3"/>
    <x v="2"/>
    <x v="4"/>
    <n v="1"/>
    <n v="1"/>
    <n v="3.6"/>
    <x v="4"/>
    <n v="3"/>
    <n v="3"/>
    <n v="904686"/>
    <n v="175381"/>
    <n v="729305"/>
    <n v="37"/>
    <n v="56"/>
    <n v="14.6"/>
  </r>
  <r>
    <x v="2"/>
    <x v="2"/>
    <d v="2023-05-06T00:00:00"/>
    <s v="NA"/>
    <n v="0"/>
    <n v="65"/>
    <s v="61-80"/>
    <x v="0"/>
    <x v="2"/>
    <x v="1"/>
    <x v="4"/>
    <n v="1"/>
    <n v="1"/>
    <n v="4.3"/>
    <x v="24"/>
    <n v="3"/>
    <n v="3"/>
    <n v="932470"/>
    <n v="102773"/>
    <n v="829697"/>
    <n v="38"/>
    <n v="56"/>
    <n v="8.1999999999999993"/>
  </r>
  <r>
    <x v="2"/>
    <x v="2"/>
    <d v="2021-06-05T00:00:00"/>
    <s v="NA"/>
    <n v="0"/>
    <n v="37"/>
    <s v="21-40"/>
    <x v="1"/>
    <x v="12"/>
    <x v="9"/>
    <x v="3"/>
    <n v="1"/>
    <n v="1"/>
    <n v="2.6"/>
    <x v="17"/>
    <n v="7"/>
    <n v="7"/>
    <n v="960483"/>
    <n v="286390"/>
    <n v="674093"/>
    <n v="40"/>
    <n v="63"/>
    <n v="5.0999999999999996"/>
  </r>
  <r>
    <x v="2"/>
    <x v="2"/>
    <d v="2024-07-22T00:00:00"/>
    <s v="NA"/>
    <n v="0"/>
    <n v="42"/>
    <s v="41-60"/>
    <x v="0"/>
    <x v="5"/>
    <x v="0"/>
    <x v="3"/>
    <n v="1"/>
    <n v="1"/>
    <n v="5"/>
    <x v="25"/>
    <n v="6"/>
    <n v="4"/>
    <n v="988582"/>
    <n v="384431"/>
    <n v="604151"/>
    <n v="31"/>
    <n v="58"/>
    <n v="9.1999999999999993"/>
  </r>
  <r>
    <x v="2"/>
    <x v="2"/>
    <d v="2022-07-13T00:00:00"/>
    <s v="NA"/>
    <n v="0"/>
    <n v="69"/>
    <s v="61-80"/>
    <x v="0"/>
    <x v="1"/>
    <x v="1"/>
    <x v="2"/>
    <n v="1"/>
    <n v="1"/>
    <n v="2.5"/>
    <x v="26"/>
    <n v="6"/>
    <n v="7"/>
    <n v="904958"/>
    <n v="46810"/>
    <n v="858148"/>
    <n v="39"/>
    <n v="59"/>
    <n v="5.4"/>
  </r>
  <r>
    <x v="2"/>
    <x v="2"/>
    <d v="2024-08-31T00:00:00"/>
    <s v="NA"/>
    <n v="0"/>
    <n v="48"/>
    <s v="41-60"/>
    <x v="0"/>
    <x v="0"/>
    <x v="0"/>
    <x v="1"/>
    <n v="1"/>
    <n v="1"/>
    <n v="6.9"/>
    <x v="25"/>
    <n v="7"/>
    <n v="7"/>
    <n v="966391"/>
    <n v="310697"/>
    <n v="655694"/>
    <n v="36"/>
    <n v="55"/>
    <n v="7.7"/>
  </r>
  <r>
    <x v="4"/>
    <x v="4"/>
    <d v="2021-02-23T00:00:00"/>
    <s v="NA"/>
    <n v="0"/>
    <n v="81"/>
    <s v="81+"/>
    <x v="1"/>
    <x v="2"/>
    <x v="1"/>
    <x v="4"/>
    <n v="1"/>
    <n v="1"/>
    <n v="4"/>
    <x v="5"/>
    <n v="7"/>
    <n v="7"/>
    <n v="885376"/>
    <n v="310563"/>
    <n v="574813"/>
    <n v="38"/>
    <n v="63"/>
    <n v="9.6999999999999993"/>
  </r>
  <r>
    <x v="2"/>
    <x v="2"/>
    <d v="2021-10-03T00:00:00"/>
    <s v="NA"/>
    <n v="0"/>
    <n v="49"/>
    <s v="41-60"/>
    <x v="0"/>
    <x v="14"/>
    <x v="11"/>
    <x v="2"/>
    <n v="1"/>
    <n v="1"/>
    <n v="3.3"/>
    <x v="8"/>
    <n v="4"/>
    <n v="3"/>
    <n v="968578"/>
    <n v="186127"/>
    <n v="782451"/>
    <n v="36"/>
    <n v="66"/>
    <n v="36.9"/>
  </r>
  <r>
    <x v="2"/>
    <x v="2"/>
    <d v="2023-06-05T00:00:00"/>
    <s v="NA"/>
    <n v="0"/>
    <n v="39"/>
    <s v="21-40"/>
    <x v="1"/>
    <x v="3"/>
    <x v="2"/>
    <x v="2"/>
    <n v="1"/>
    <n v="1"/>
    <n v="4.5999999999999996"/>
    <x v="22"/>
    <n v="7"/>
    <n v="3"/>
    <n v="988762"/>
    <n v="378959"/>
    <n v="609803"/>
    <n v="33"/>
    <n v="55"/>
    <n v="9.6"/>
  </r>
  <r>
    <x v="4"/>
    <x v="4"/>
    <d v="2024-01-12T00:00:00"/>
    <s v="NA"/>
    <n v="0"/>
    <n v="25"/>
    <s v="21-40"/>
    <x v="0"/>
    <x v="0"/>
    <x v="0"/>
    <x v="3"/>
    <n v="1"/>
    <n v="1"/>
    <n v="6.3"/>
    <x v="9"/>
    <n v="3"/>
    <n v="7"/>
    <n v="646021"/>
    <n v="129118"/>
    <n v="516903"/>
    <n v="32"/>
    <n v="56"/>
    <n v="13.3"/>
  </r>
  <r>
    <x v="2"/>
    <x v="2"/>
    <d v="2024-06-06T00:00:00"/>
    <s v="NA"/>
    <n v="0"/>
    <n v="54"/>
    <s v="41-60"/>
    <x v="1"/>
    <x v="2"/>
    <x v="1"/>
    <x v="0"/>
    <n v="1"/>
    <n v="1"/>
    <n v="3"/>
    <x v="27"/>
    <n v="6"/>
    <n v="4"/>
    <n v="928548"/>
    <n v="181859"/>
    <n v="746689"/>
    <n v="31"/>
    <n v="57"/>
    <n v="10.5"/>
  </r>
  <r>
    <x v="2"/>
    <x v="2"/>
    <d v="2024-10-24T00:00:00"/>
    <s v="NA"/>
    <n v="0"/>
    <n v="33"/>
    <s v="21-40"/>
    <x v="0"/>
    <x v="0"/>
    <x v="0"/>
    <x v="1"/>
    <n v="1"/>
    <n v="1"/>
    <n v="2.2999999999999998"/>
    <x v="30"/>
    <n v="7"/>
    <n v="5"/>
    <n v="939966"/>
    <n v="256656"/>
    <n v="683310"/>
    <n v="38"/>
    <n v="64"/>
    <n v="13.3"/>
  </r>
  <r>
    <x v="2"/>
    <x v="2"/>
    <d v="2021-03-02T00:00:00"/>
    <s v="NA"/>
    <n v="0"/>
    <n v="23"/>
    <s v="21-40"/>
    <x v="1"/>
    <x v="3"/>
    <x v="2"/>
    <x v="4"/>
    <n v="1"/>
    <n v="1"/>
    <n v="4.0999999999999996"/>
    <x v="26"/>
    <n v="5"/>
    <n v="5"/>
    <n v="975368"/>
    <n v="147744"/>
    <n v="827624"/>
    <n v="39"/>
    <n v="55"/>
    <n v="6.6"/>
  </r>
  <r>
    <x v="2"/>
    <x v="2"/>
    <d v="2021-09-04T00:00:00"/>
    <s v="NA"/>
    <n v="0"/>
    <n v="77"/>
    <s v="61-80"/>
    <x v="0"/>
    <x v="0"/>
    <x v="0"/>
    <x v="0"/>
    <n v="1"/>
    <n v="1"/>
    <n v="4.0999999999999996"/>
    <x v="1"/>
    <n v="5"/>
    <n v="3"/>
    <n v="903860"/>
    <n v="219317"/>
    <n v="684543"/>
    <n v="37"/>
    <n v="61"/>
    <n v="7.8"/>
  </r>
  <r>
    <x v="2"/>
    <x v="2"/>
    <d v="2023-06-28T00:00:00"/>
    <s v="NA"/>
    <n v="0"/>
    <n v="47"/>
    <s v="41-60"/>
    <x v="1"/>
    <x v="2"/>
    <x v="1"/>
    <x v="2"/>
    <n v="1"/>
    <n v="1"/>
    <n v="5"/>
    <x v="24"/>
    <n v="3"/>
    <n v="3"/>
    <n v="953633"/>
    <n v="105772"/>
    <n v="847861"/>
    <n v="34"/>
    <n v="55"/>
    <n v="9.6999999999999993"/>
  </r>
  <r>
    <x v="2"/>
    <x v="2"/>
    <d v="2022-08-01T00:00:00"/>
    <s v="NA"/>
    <n v="0"/>
    <n v="51"/>
    <s v="41-60"/>
    <x v="0"/>
    <x v="5"/>
    <x v="0"/>
    <x v="2"/>
    <n v="1"/>
    <n v="1"/>
    <n v="5.0999999999999996"/>
    <x v="4"/>
    <n v="5"/>
    <n v="3"/>
    <n v="998161"/>
    <n v="297481"/>
    <n v="700680"/>
    <n v="30"/>
    <n v="58"/>
    <n v="36.4"/>
  </r>
  <r>
    <x v="2"/>
    <x v="2"/>
    <d v="2024-04-28T00:00:00"/>
    <s v="NA"/>
    <n v="0"/>
    <n v="39"/>
    <s v="21-40"/>
    <x v="1"/>
    <x v="6"/>
    <x v="4"/>
    <x v="0"/>
    <n v="1"/>
    <n v="1"/>
    <n v="2.4"/>
    <x v="6"/>
    <n v="6"/>
    <n v="7"/>
    <n v="916632"/>
    <n v="222362"/>
    <n v="694270"/>
    <n v="36"/>
    <n v="55"/>
    <n v="36.4"/>
  </r>
  <r>
    <x v="2"/>
    <x v="2"/>
    <d v="2021-03-01T00:00:00"/>
    <s v="NA"/>
    <n v="0"/>
    <n v="34"/>
    <s v="21-40"/>
    <x v="0"/>
    <x v="5"/>
    <x v="0"/>
    <x v="2"/>
    <n v="1"/>
    <n v="1"/>
    <n v="1.1000000000000001"/>
    <x v="1"/>
    <n v="4"/>
    <n v="3"/>
    <n v="979281"/>
    <n v="261925"/>
    <n v="717356"/>
    <n v="35"/>
    <n v="64"/>
    <n v="8.6"/>
  </r>
  <r>
    <x v="4"/>
    <x v="4"/>
    <d v="2023-10-16T00:00:00"/>
    <s v="NA"/>
    <n v="0"/>
    <n v="72"/>
    <s v="61-80"/>
    <x v="1"/>
    <x v="1"/>
    <x v="1"/>
    <x v="3"/>
    <n v="1"/>
    <n v="1"/>
    <n v="6.8"/>
    <x v="23"/>
    <n v="4"/>
    <n v="7"/>
    <n v="837541"/>
    <n v="314438"/>
    <n v="523103"/>
    <n v="30"/>
    <n v="59"/>
    <n v="8"/>
  </r>
  <r>
    <x v="4"/>
    <x v="4"/>
    <d v="2022-06-03T00:00:00"/>
    <s v="NA"/>
    <n v="0"/>
    <n v="72"/>
    <s v="61-80"/>
    <x v="1"/>
    <x v="3"/>
    <x v="2"/>
    <x v="4"/>
    <n v="1"/>
    <n v="1"/>
    <n v="2.2999999999999998"/>
    <x v="24"/>
    <n v="5"/>
    <n v="4"/>
    <n v="868169"/>
    <n v="358268"/>
    <n v="509901"/>
    <n v="34"/>
    <n v="66"/>
    <n v="15"/>
  </r>
  <r>
    <x v="2"/>
    <x v="2"/>
    <d v="2024-01-15T00:00:00"/>
    <s v="NA"/>
    <n v="0"/>
    <n v="36"/>
    <s v="21-40"/>
    <x v="1"/>
    <x v="4"/>
    <x v="3"/>
    <x v="0"/>
    <n v="1"/>
    <n v="1"/>
    <n v="6.7"/>
    <x v="29"/>
    <n v="4"/>
    <n v="5"/>
    <n v="940338"/>
    <n v="297883"/>
    <n v="642455"/>
    <n v="35"/>
    <n v="65"/>
    <n v="9.8000000000000007"/>
  </r>
  <r>
    <x v="4"/>
    <x v="4"/>
    <d v="2024-03-11T00:00:00"/>
    <s v="NA"/>
    <n v="0"/>
    <n v="35"/>
    <s v="21-40"/>
    <x v="0"/>
    <x v="5"/>
    <x v="0"/>
    <x v="4"/>
    <n v="1"/>
    <n v="1"/>
    <n v="4.9000000000000004"/>
    <x v="0"/>
    <n v="4"/>
    <n v="6"/>
    <n v="838473"/>
    <n v="204347"/>
    <n v="634126"/>
    <n v="34"/>
    <n v="66"/>
    <n v="5.0999999999999996"/>
  </r>
  <r>
    <x v="4"/>
    <x v="4"/>
    <d v="2024-01-27T00:00:00"/>
    <s v="NA"/>
    <n v="0"/>
    <n v="34"/>
    <s v="21-40"/>
    <x v="1"/>
    <x v="11"/>
    <x v="8"/>
    <x v="4"/>
    <n v="1"/>
    <n v="1"/>
    <n v="2.1"/>
    <x v="12"/>
    <n v="7"/>
    <n v="4"/>
    <n v="656894"/>
    <n v="27824"/>
    <n v="629070"/>
    <n v="36"/>
    <n v="55"/>
    <n v="7.8"/>
  </r>
  <r>
    <x v="2"/>
    <x v="2"/>
    <d v="2021-04-30T00:00:00"/>
    <s v="NA"/>
    <n v="0"/>
    <n v="61"/>
    <s v="61-80"/>
    <x v="0"/>
    <x v="10"/>
    <x v="8"/>
    <x v="1"/>
    <n v="1"/>
    <n v="1"/>
    <n v="5.0999999999999996"/>
    <x v="5"/>
    <n v="3"/>
    <n v="3"/>
    <n v="954815"/>
    <n v="109421"/>
    <n v="845394"/>
    <n v="39"/>
    <n v="58"/>
    <n v="5.6"/>
  </r>
  <r>
    <x v="2"/>
    <x v="2"/>
    <d v="2021-03-21T00:00:00"/>
    <s v="NA"/>
    <n v="0"/>
    <n v="34"/>
    <s v="21-40"/>
    <x v="0"/>
    <x v="14"/>
    <x v="11"/>
    <x v="3"/>
    <n v="1"/>
    <n v="1"/>
    <n v="1.4"/>
    <x v="20"/>
    <n v="3"/>
    <n v="3"/>
    <n v="943035"/>
    <n v="325557"/>
    <n v="617478"/>
    <n v="37"/>
    <n v="60"/>
    <n v="9.4"/>
  </r>
  <r>
    <x v="2"/>
    <x v="2"/>
    <d v="2022-06-23T00:00:00"/>
    <s v="NA"/>
    <n v="0"/>
    <n v="42"/>
    <s v="41-60"/>
    <x v="1"/>
    <x v="3"/>
    <x v="2"/>
    <x v="3"/>
    <n v="1"/>
    <n v="1"/>
    <n v="3"/>
    <x v="14"/>
    <n v="3"/>
    <n v="7"/>
    <n v="909005"/>
    <n v="120477"/>
    <n v="788528"/>
    <n v="40"/>
    <n v="58"/>
    <n v="6.3"/>
  </r>
  <r>
    <x v="2"/>
    <x v="2"/>
    <d v="2024-08-14T00:00:00"/>
    <s v="NA"/>
    <n v="0"/>
    <n v="54"/>
    <s v="41-60"/>
    <x v="1"/>
    <x v="2"/>
    <x v="1"/>
    <x v="1"/>
    <n v="1"/>
    <n v="1"/>
    <n v="2"/>
    <x v="5"/>
    <n v="7"/>
    <n v="4"/>
    <n v="902184"/>
    <n v="263617"/>
    <n v="638567"/>
    <n v="30"/>
    <n v="54"/>
    <n v="8.6999999999999993"/>
  </r>
  <r>
    <x v="2"/>
    <x v="2"/>
    <d v="2021-03-25T00:00:00"/>
    <s v="NA"/>
    <n v="0"/>
    <n v="57"/>
    <s v="41-60"/>
    <x v="0"/>
    <x v="10"/>
    <x v="8"/>
    <x v="4"/>
    <n v="1"/>
    <n v="1"/>
    <n v="2.7"/>
    <x v="12"/>
    <n v="4"/>
    <n v="3"/>
    <n v="987687"/>
    <n v="328396"/>
    <n v="659291"/>
    <n v="30"/>
    <n v="55"/>
    <n v="8.1999999999999993"/>
  </r>
  <r>
    <x v="4"/>
    <x v="4"/>
    <d v="2021-02-07T00:00:00"/>
    <s v="NA"/>
    <n v="0"/>
    <n v="44"/>
    <s v="41-60"/>
    <x v="0"/>
    <x v="0"/>
    <x v="0"/>
    <x v="4"/>
    <n v="1"/>
    <n v="1"/>
    <n v="4.5999999999999996"/>
    <x v="17"/>
    <n v="3"/>
    <n v="5"/>
    <n v="798068"/>
    <n v="191716"/>
    <n v="606352"/>
    <n v="30"/>
    <n v="63"/>
    <n v="13.1"/>
  </r>
  <r>
    <x v="2"/>
    <x v="2"/>
    <d v="2022-05-08T00:00:00"/>
    <s v="NA"/>
    <n v="0"/>
    <n v="71"/>
    <s v="61-80"/>
    <x v="0"/>
    <x v="7"/>
    <x v="5"/>
    <x v="3"/>
    <n v="1"/>
    <n v="1"/>
    <n v="3.8"/>
    <x v="15"/>
    <n v="5"/>
    <n v="3"/>
    <n v="947747"/>
    <n v="251789"/>
    <n v="695958"/>
    <n v="33"/>
    <n v="66"/>
    <n v="12.6"/>
  </r>
  <r>
    <x v="2"/>
    <x v="2"/>
    <d v="2023-01-11T00:00:00"/>
    <s v="NA"/>
    <n v="0"/>
    <n v="26"/>
    <s v="21-40"/>
    <x v="1"/>
    <x v="10"/>
    <x v="8"/>
    <x v="3"/>
    <n v="1"/>
    <n v="1"/>
    <n v="6.1"/>
    <x v="15"/>
    <n v="6"/>
    <n v="5"/>
    <n v="904108"/>
    <n v="82610"/>
    <n v="821498"/>
    <n v="37"/>
    <n v="54"/>
    <n v="6.8"/>
  </r>
  <r>
    <x v="2"/>
    <x v="2"/>
    <d v="2023-03-29T00:00:00"/>
    <s v="NA"/>
    <n v="0"/>
    <n v="46"/>
    <s v="41-60"/>
    <x v="1"/>
    <x v="8"/>
    <x v="6"/>
    <x v="4"/>
    <n v="1"/>
    <n v="1"/>
    <n v="2.1"/>
    <x v="17"/>
    <n v="5"/>
    <n v="7"/>
    <n v="949357"/>
    <n v="235141"/>
    <n v="714216"/>
    <n v="36"/>
    <n v="63"/>
    <n v="13"/>
  </r>
  <r>
    <x v="2"/>
    <x v="2"/>
    <d v="2022-02-24T00:00:00"/>
    <s v="NA"/>
    <n v="0"/>
    <n v="30"/>
    <s v="21-40"/>
    <x v="0"/>
    <x v="6"/>
    <x v="4"/>
    <x v="0"/>
    <n v="1"/>
    <n v="1"/>
    <n v="6.8"/>
    <x v="26"/>
    <n v="5"/>
    <n v="3"/>
    <n v="924874"/>
    <n v="97028"/>
    <n v="827846"/>
    <n v="39"/>
    <n v="59"/>
    <n v="36.9"/>
  </r>
  <r>
    <x v="2"/>
    <x v="2"/>
    <d v="2022-04-29T00:00:00"/>
    <s v="NA"/>
    <n v="0"/>
    <n v="86"/>
    <s v="81+"/>
    <x v="1"/>
    <x v="6"/>
    <x v="4"/>
    <x v="1"/>
    <n v="1"/>
    <n v="1"/>
    <n v="6.7"/>
    <x v="14"/>
    <n v="7"/>
    <n v="3"/>
    <n v="991654"/>
    <n v="251585"/>
    <n v="740069"/>
    <n v="35"/>
    <n v="58"/>
    <n v="13.1"/>
  </r>
  <r>
    <x v="2"/>
    <x v="2"/>
    <d v="2021-05-31T00:00:00"/>
    <s v="NA"/>
    <n v="0"/>
    <n v="84"/>
    <s v="81+"/>
    <x v="1"/>
    <x v="9"/>
    <x v="7"/>
    <x v="1"/>
    <n v="1"/>
    <n v="1"/>
    <n v="1.3"/>
    <x v="24"/>
    <n v="6"/>
    <n v="3"/>
    <n v="988359"/>
    <n v="100960"/>
    <n v="887399"/>
    <n v="39"/>
    <n v="60"/>
    <n v="5.0999999999999996"/>
  </r>
  <r>
    <x v="2"/>
    <x v="2"/>
    <d v="2021-12-16T00:00:00"/>
    <s v="NA"/>
    <n v="0"/>
    <n v="66"/>
    <s v="61-80"/>
    <x v="1"/>
    <x v="7"/>
    <x v="5"/>
    <x v="2"/>
    <n v="1"/>
    <n v="1"/>
    <n v="3.8"/>
    <x v="0"/>
    <n v="4"/>
    <n v="3"/>
    <n v="923664"/>
    <n v="153386"/>
    <n v="770278"/>
    <n v="39"/>
    <n v="65"/>
    <n v="8.9"/>
  </r>
  <r>
    <x v="2"/>
    <x v="2"/>
    <d v="2024-02-10T00:00:00"/>
    <s v="NA"/>
    <n v="0"/>
    <n v="79"/>
    <s v="61-80"/>
    <x v="1"/>
    <x v="12"/>
    <x v="9"/>
    <x v="2"/>
    <n v="1"/>
    <n v="1"/>
    <n v="3.3"/>
    <x v="27"/>
    <n v="6"/>
    <n v="6"/>
    <n v="996765"/>
    <n v="288305"/>
    <n v="708460"/>
    <n v="39"/>
    <n v="66"/>
    <n v="6.2"/>
  </r>
  <r>
    <x v="2"/>
    <x v="2"/>
    <d v="2023-11-15T00:00:00"/>
    <s v="NA"/>
    <n v="0"/>
    <n v="63"/>
    <s v="61-80"/>
    <x v="1"/>
    <x v="3"/>
    <x v="2"/>
    <x v="1"/>
    <n v="1"/>
    <n v="1"/>
    <n v="4.2"/>
    <x v="7"/>
    <n v="5"/>
    <n v="5"/>
    <n v="954748"/>
    <n v="283978"/>
    <n v="670770"/>
    <n v="31"/>
    <n v="58"/>
    <n v="7.8"/>
  </r>
  <r>
    <x v="2"/>
    <x v="2"/>
    <d v="2021-11-02T00:00:00"/>
    <s v="NA"/>
    <n v="0"/>
    <n v="52"/>
    <s v="41-60"/>
    <x v="1"/>
    <x v="13"/>
    <x v="10"/>
    <x v="1"/>
    <n v="1"/>
    <n v="1"/>
    <n v="1.6"/>
    <x v="14"/>
    <n v="7"/>
    <n v="7"/>
    <n v="938097"/>
    <n v="294572"/>
    <n v="643525"/>
    <n v="38"/>
    <n v="65"/>
    <n v="6"/>
  </r>
  <r>
    <x v="2"/>
    <x v="2"/>
    <d v="2022-12-28T00:00:00"/>
    <s v="NA"/>
    <n v="0"/>
    <n v="73"/>
    <s v="61-80"/>
    <x v="0"/>
    <x v="6"/>
    <x v="4"/>
    <x v="1"/>
    <n v="1"/>
    <n v="1"/>
    <n v="1.2"/>
    <x v="24"/>
    <n v="3"/>
    <n v="5"/>
    <n v="930886"/>
    <n v="304453"/>
    <n v="626433"/>
    <n v="39"/>
    <n v="59"/>
    <n v="6.1"/>
  </r>
  <r>
    <x v="2"/>
    <x v="2"/>
    <d v="2022-10-04T00:00:00"/>
    <s v="NA"/>
    <n v="0"/>
    <n v="25"/>
    <s v="21-40"/>
    <x v="0"/>
    <x v="5"/>
    <x v="0"/>
    <x v="3"/>
    <n v="1"/>
    <n v="1"/>
    <n v="6"/>
    <x v="14"/>
    <n v="5"/>
    <n v="6"/>
    <n v="926673"/>
    <n v="183424"/>
    <n v="743249"/>
    <n v="38"/>
    <n v="62"/>
    <n v="7.3"/>
  </r>
  <r>
    <x v="2"/>
    <x v="2"/>
    <d v="2023-06-09T00:00:00"/>
    <s v="NA"/>
    <n v="0"/>
    <n v="53"/>
    <s v="41-60"/>
    <x v="1"/>
    <x v="4"/>
    <x v="3"/>
    <x v="0"/>
    <n v="1"/>
    <n v="1"/>
    <n v="2"/>
    <x v="0"/>
    <n v="6"/>
    <n v="7"/>
    <n v="954537"/>
    <n v="240011"/>
    <n v="714526"/>
    <n v="34"/>
    <n v="55"/>
    <n v="8.6999999999999993"/>
  </r>
  <r>
    <x v="2"/>
    <x v="2"/>
    <d v="2023-12-29T00:00:00"/>
    <s v="NA"/>
    <n v="0"/>
    <n v="26"/>
    <s v="21-40"/>
    <x v="1"/>
    <x v="4"/>
    <x v="3"/>
    <x v="1"/>
    <n v="1"/>
    <n v="1"/>
    <n v="3.2"/>
    <x v="3"/>
    <n v="3"/>
    <n v="3"/>
    <n v="937695"/>
    <n v="316601"/>
    <n v="621094"/>
    <n v="32"/>
    <n v="56"/>
    <n v="6.2"/>
  </r>
  <r>
    <x v="2"/>
    <x v="2"/>
    <d v="2023-08-03T00:00:00"/>
    <s v="NA"/>
    <n v="0"/>
    <n v="38"/>
    <s v="21-40"/>
    <x v="0"/>
    <x v="2"/>
    <x v="1"/>
    <x v="2"/>
    <n v="1"/>
    <n v="1"/>
    <n v="6.9"/>
    <x v="12"/>
    <n v="4"/>
    <n v="5"/>
    <n v="982261"/>
    <n v="277622"/>
    <n v="704639"/>
    <n v="33"/>
    <n v="58"/>
    <n v="14.2"/>
  </r>
  <r>
    <x v="2"/>
    <x v="2"/>
    <d v="2024-05-30T00:00:00"/>
    <s v="NA"/>
    <n v="0"/>
    <n v="29"/>
    <s v="21-40"/>
    <x v="0"/>
    <x v="0"/>
    <x v="0"/>
    <x v="2"/>
    <n v="1"/>
    <n v="1"/>
    <n v="1.3"/>
    <x v="30"/>
    <n v="3"/>
    <n v="7"/>
    <n v="951556"/>
    <n v="187062"/>
    <n v="764494"/>
    <n v="37"/>
    <n v="64"/>
    <n v="5.3"/>
  </r>
  <r>
    <x v="2"/>
    <x v="2"/>
    <d v="2024-09-27T00:00:00"/>
    <s v="NA"/>
    <n v="0"/>
    <n v="85"/>
    <s v="81+"/>
    <x v="1"/>
    <x v="2"/>
    <x v="1"/>
    <x v="1"/>
    <n v="1"/>
    <n v="1"/>
    <n v="4.5"/>
    <x v="21"/>
    <n v="4"/>
    <n v="4"/>
    <n v="973769"/>
    <n v="250594"/>
    <n v="723175"/>
    <n v="35"/>
    <n v="66"/>
    <n v="36.1"/>
  </r>
  <r>
    <x v="2"/>
    <x v="2"/>
    <d v="2023-04-13T00:00:00"/>
    <s v="NA"/>
    <n v="0"/>
    <n v="31"/>
    <s v="21-40"/>
    <x v="0"/>
    <x v="4"/>
    <x v="3"/>
    <x v="4"/>
    <n v="1"/>
    <n v="1"/>
    <n v="3.1"/>
    <x v="26"/>
    <n v="5"/>
    <n v="4"/>
    <n v="926849"/>
    <n v="153380"/>
    <n v="773469"/>
    <n v="39"/>
    <n v="62"/>
    <n v="36"/>
  </r>
  <r>
    <x v="2"/>
    <x v="2"/>
    <d v="2023-08-24T00:00:00"/>
    <s v="NA"/>
    <n v="0"/>
    <n v="22"/>
    <s v="21-40"/>
    <x v="1"/>
    <x v="12"/>
    <x v="9"/>
    <x v="3"/>
    <n v="1"/>
    <n v="1"/>
    <n v="2.8"/>
    <x v="23"/>
    <n v="3"/>
    <n v="7"/>
    <n v="907234"/>
    <n v="64047"/>
    <n v="843187"/>
    <n v="31"/>
    <n v="58"/>
    <n v="14.3"/>
  </r>
  <r>
    <x v="2"/>
    <x v="2"/>
    <d v="2023-01-24T00:00:00"/>
    <s v="NA"/>
    <n v="0"/>
    <n v="32"/>
    <s v="21-40"/>
    <x v="0"/>
    <x v="14"/>
    <x v="11"/>
    <x v="2"/>
    <n v="1"/>
    <n v="1"/>
    <n v="2.2999999999999998"/>
    <x v="20"/>
    <n v="7"/>
    <n v="4"/>
    <n v="936120"/>
    <n v="87289"/>
    <n v="848831"/>
    <n v="37"/>
    <n v="65"/>
    <n v="14.1"/>
  </r>
  <r>
    <x v="2"/>
    <x v="2"/>
    <d v="2023-09-15T00:00:00"/>
    <s v="NA"/>
    <n v="0"/>
    <n v="53"/>
    <s v="41-60"/>
    <x v="0"/>
    <x v="2"/>
    <x v="1"/>
    <x v="1"/>
    <n v="1"/>
    <n v="1"/>
    <n v="5.5"/>
    <x v="4"/>
    <n v="5"/>
    <n v="5"/>
    <n v="992236"/>
    <n v="227707"/>
    <n v="764529"/>
    <n v="38"/>
    <n v="58"/>
    <n v="5.5"/>
  </r>
  <r>
    <x v="2"/>
    <x v="2"/>
    <d v="2022-04-13T00:00:00"/>
    <s v="NA"/>
    <n v="0"/>
    <n v="32"/>
    <s v="21-40"/>
    <x v="1"/>
    <x v="3"/>
    <x v="2"/>
    <x v="2"/>
    <n v="1"/>
    <n v="1"/>
    <n v="1.1000000000000001"/>
    <x v="28"/>
    <n v="3"/>
    <n v="5"/>
    <n v="970089"/>
    <n v="162162"/>
    <n v="807927"/>
    <n v="33"/>
    <n v="63"/>
    <n v="13.6"/>
  </r>
  <r>
    <x v="2"/>
    <x v="2"/>
    <d v="2021-10-19T00:00:00"/>
    <s v="NA"/>
    <n v="0"/>
    <n v="62"/>
    <s v="61-80"/>
    <x v="1"/>
    <x v="12"/>
    <x v="9"/>
    <x v="2"/>
    <n v="1"/>
    <n v="1"/>
    <n v="2"/>
    <x v="0"/>
    <n v="7"/>
    <n v="7"/>
    <n v="928434"/>
    <n v="260962"/>
    <n v="667472"/>
    <n v="38"/>
    <n v="55"/>
    <n v="5"/>
  </r>
  <r>
    <x v="2"/>
    <x v="2"/>
    <d v="2022-04-11T00:00:00"/>
    <s v="NA"/>
    <n v="0"/>
    <n v="48"/>
    <s v="41-60"/>
    <x v="1"/>
    <x v="10"/>
    <x v="8"/>
    <x v="0"/>
    <n v="1"/>
    <n v="1"/>
    <n v="1.9"/>
    <x v="20"/>
    <n v="6"/>
    <n v="4"/>
    <n v="952639"/>
    <n v="116103"/>
    <n v="836536"/>
    <n v="32"/>
    <n v="63"/>
    <n v="7.8"/>
  </r>
  <r>
    <x v="2"/>
    <x v="2"/>
    <d v="2023-07-07T00:00:00"/>
    <s v="NA"/>
    <n v="0"/>
    <n v="77"/>
    <s v="61-80"/>
    <x v="1"/>
    <x v="10"/>
    <x v="8"/>
    <x v="1"/>
    <n v="1"/>
    <n v="1"/>
    <n v="4.4000000000000004"/>
    <x v="25"/>
    <n v="7"/>
    <n v="3"/>
    <n v="907181"/>
    <n v="31236"/>
    <n v="875945"/>
    <n v="31"/>
    <n v="65"/>
    <n v="12.1"/>
  </r>
  <r>
    <x v="2"/>
    <x v="2"/>
    <d v="2022-01-15T00:00:00"/>
    <s v="NA"/>
    <n v="0"/>
    <n v="84"/>
    <s v="81+"/>
    <x v="1"/>
    <x v="11"/>
    <x v="8"/>
    <x v="2"/>
    <n v="1"/>
    <n v="1"/>
    <n v="3.3"/>
    <x v="20"/>
    <n v="4"/>
    <n v="3"/>
    <n v="953623"/>
    <n v="94938"/>
    <n v="858685"/>
    <n v="31"/>
    <n v="55"/>
    <n v="13.9"/>
  </r>
  <r>
    <x v="2"/>
    <x v="2"/>
    <d v="2021-05-31T00:00:00"/>
    <s v="NA"/>
    <n v="0"/>
    <n v="36"/>
    <s v="21-40"/>
    <x v="1"/>
    <x v="4"/>
    <x v="3"/>
    <x v="1"/>
    <n v="1"/>
    <n v="1"/>
    <n v="1.6"/>
    <x v="21"/>
    <n v="3"/>
    <n v="3"/>
    <n v="959580"/>
    <n v="295724"/>
    <n v="663856"/>
    <n v="38"/>
    <n v="55"/>
    <n v="8.3000000000000007"/>
  </r>
  <r>
    <x v="2"/>
    <x v="2"/>
    <d v="2022-08-18T00:00:00"/>
    <s v="NA"/>
    <n v="0"/>
    <n v="81"/>
    <s v="81+"/>
    <x v="1"/>
    <x v="9"/>
    <x v="7"/>
    <x v="2"/>
    <n v="1"/>
    <n v="1"/>
    <n v="1.3"/>
    <x v="11"/>
    <n v="5"/>
    <n v="6"/>
    <n v="960094"/>
    <n v="168666"/>
    <n v="791428"/>
    <n v="39"/>
    <n v="61"/>
    <n v="36.799999999999997"/>
  </r>
  <r>
    <x v="2"/>
    <x v="2"/>
    <d v="2022-10-12T00:00:00"/>
    <s v="NA"/>
    <n v="0"/>
    <n v="76"/>
    <s v="61-80"/>
    <x v="0"/>
    <x v="7"/>
    <x v="5"/>
    <x v="4"/>
    <n v="1"/>
    <n v="1"/>
    <n v="2.5"/>
    <x v="20"/>
    <n v="7"/>
    <n v="4"/>
    <n v="976361"/>
    <n v="174226"/>
    <n v="802135"/>
    <n v="30"/>
    <n v="56"/>
    <n v="10.4"/>
  </r>
  <r>
    <x v="2"/>
    <x v="2"/>
    <d v="2023-05-12T00:00:00"/>
    <s v="NA"/>
    <n v="0"/>
    <n v="29"/>
    <s v="21-40"/>
    <x v="1"/>
    <x v="2"/>
    <x v="1"/>
    <x v="3"/>
    <n v="1"/>
    <n v="1"/>
    <n v="3"/>
    <x v="29"/>
    <n v="5"/>
    <n v="5"/>
    <n v="948959"/>
    <n v="69515"/>
    <n v="879444"/>
    <n v="34"/>
    <n v="55"/>
    <n v="14.7"/>
  </r>
  <r>
    <x v="4"/>
    <x v="4"/>
    <d v="2021-03-08T00:00:00"/>
    <s v="NA"/>
    <n v="0"/>
    <n v="86"/>
    <s v="81+"/>
    <x v="0"/>
    <x v="5"/>
    <x v="0"/>
    <x v="2"/>
    <n v="1"/>
    <n v="1"/>
    <n v="5.8"/>
    <x v="3"/>
    <n v="6"/>
    <n v="7"/>
    <n v="709237"/>
    <n v="114280"/>
    <n v="594957"/>
    <n v="37"/>
    <n v="54"/>
    <n v="7.3"/>
  </r>
  <r>
    <x v="4"/>
    <x v="4"/>
    <d v="2022-03-02T00:00:00"/>
    <s v="NA"/>
    <n v="0"/>
    <n v="32"/>
    <s v="21-40"/>
    <x v="0"/>
    <x v="0"/>
    <x v="0"/>
    <x v="4"/>
    <n v="1"/>
    <n v="1"/>
    <n v="1.6"/>
    <x v="14"/>
    <n v="4"/>
    <n v="3"/>
    <n v="618882"/>
    <n v="-20434"/>
    <n v="639316"/>
    <n v="35"/>
    <n v="66"/>
    <n v="5.8"/>
  </r>
  <r>
    <x v="4"/>
    <x v="4"/>
    <d v="2021-07-11T00:00:00"/>
    <s v="NA"/>
    <n v="0"/>
    <n v="35"/>
    <s v="21-40"/>
    <x v="0"/>
    <x v="1"/>
    <x v="1"/>
    <x v="0"/>
    <n v="1"/>
    <n v="1"/>
    <n v="3.8"/>
    <x v="18"/>
    <n v="5"/>
    <n v="5"/>
    <n v="682717"/>
    <n v="122674"/>
    <n v="560043"/>
    <n v="37"/>
    <n v="58"/>
    <n v="9.1"/>
  </r>
  <r>
    <x v="4"/>
    <x v="4"/>
    <d v="2022-07-02T00:00:00"/>
    <s v="NA"/>
    <n v="0"/>
    <n v="71"/>
    <s v="61-80"/>
    <x v="0"/>
    <x v="0"/>
    <x v="0"/>
    <x v="2"/>
    <n v="1"/>
    <n v="1"/>
    <n v="4.3"/>
    <x v="6"/>
    <n v="6"/>
    <n v="7"/>
    <n v="792565"/>
    <n v="147046"/>
    <n v="645519"/>
    <n v="35"/>
    <n v="63"/>
    <n v="14.1"/>
  </r>
  <r>
    <x v="4"/>
    <x v="4"/>
    <d v="2022-06-26T00:00:00"/>
    <s v="NA"/>
    <n v="0"/>
    <n v="40"/>
    <s v="21-40"/>
    <x v="0"/>
    <x v="5"/>
    <x v="0"/>
    <x v="3"/>
    <n v="1"/>
    <n v="1"/>
    <n v="1"/>
    <x v="12"/>
    <n v="3"/>
    <n v="6"/>
    <n v="639069"/>
    <n v="46005"/>
    <n v="593064"/>
    <n v="30"/>
    <n v="63"/>
    <n v="7.5"/>
  </r>
  <r>
    <x v="4"/>
    <x v="4"/>
    <d v="2024-02-28T00:00:00"/>
    <s v="NA"/>
    <n v="0"/>
    <n v="36"/>
    <s v="21-40"/>
    <x v="1"/>
    <x v="3"/>
    <x v="2"/>
    <x v="2"/>
    <n v="1"/>
    <n v="1"/>
    <n v="5.8"/>
    <x v="18"/>
    <n v="6"/>
    <n v="4"/>
    <n v="878418"/>
    <n v="375528"/>
    <n v="502890"/>
    <n v="39"/>
    <n v="62"/>
    <n v="36.5"/>
  </r>
  <r>
    <x v="4"/>
    <x v="4"/>
    <d v="2024-01-22T00:00:00"/>
    <s v="NA"/>
    <n v="0"/>
    <n v="34"/>
    <s v="21-40"/>
    <x v="1"/>
    <x v="12"/>
    <x v="9"/>
    <x v="3"/>
    <n v="1"/>
    <n v="1"/>
    <n v="4.5"/>
    <x v="27"/>
    <n v="4"/>
    <n v="6"/>
    <n v="644726"/>
    <n v="16955"/>
    <n v="627771"/>
    <n v="40"/>
    <n v="60"/>
    <n v="14.1"/>
  </r>
  <r>
    <x v="4"/>
    <x v="4"/>
    <d v="2023-07-22T00:00:00"/>
    <s v="NA"/>
    <n v="0"/>
    <n v="36"/>
    <s v="21-40"/>
    <x v="0"/>
    <x v="2"/>
    <x v="1"/>
    <x v="3"/>
    <n v="1"/>
    <n v="1"/>
    <n v="1.7"/>
    <x v="1"/>
    <n v="6"/>
    <n v="6"/>
    <n v="609749"/>
    <n v="857"/>
    <n v="608892"/>
    <n v="32"/>
    <n v="55"/>
    <n v="7.6"/>
  </r>
  <r>
    <x v="4"/>
    <x v="4"/>
    <d v="2022-03-22T00:00:00"/>
    <s v="NA"/>
    <n v="0"/>
    <n v="33"/>
    <s v="21-40"/>
    <x v="1"/>
    <x v="6"/>
    <x v="4"/>
    <x v="4"/>
    <n v="1"/>
    <n v="1"/>
    <n v="4.2"/>
    <x v="8"/>
    <n v="7"/>
    <n v="7"/>
    <n v="752324"/>
    <n v="173349"/>
    <n v="578975"/>
    <n v="36"/>
    <n v="64"/>
    <n v="12.3"/>
  </r>
  <r>
    <x v="4"/>
    <x v="4"/>
    <d v="2024-12-18T00:00:00"/>
    <s v="NA"/>
    <n v="0"/>
    <n v="43"/>
    <s v="41-60"/>
    <x v="1"/>
    <x v="13"/>
    <x v="10"/>
    <x v="2"/>
    <n v="1"/>
    <n v="1"/>
    <n v="6.7"/>
    <x v="11"/>
    <n v="5"/>
    <n v="5"/>
    <n v="842855"/>
    <n v="258559"/>
    <n v="584296"/>
    <n v="38"/>
    <n v="62"/>
    <n v="36.200000000000003"/>
  </r>
  <r>
    <x v="4"/>
    <x v="4"/>
    <d v="2024-07-05T00:00:00"/>
    <s v="NA"/>
    <n v="0"/>
    <n v="28"/>
    <s v="21-40"/>
    <x v="0"/>
    <x v="2"/>
    <x v="1"/>
    <x v="2"/>
    <n v="1"/>
    <n v="1"/>
    <n v="5.6"/>
    <x v="0"/>
    <n v="3"/>
    <n v="6"/>
    <n v="718715"/>
    <n v="134280"/>
    <n v="584435"/>
    <n v="36"/>
    <n v="58"/>
    <n v="12.8"/>
  </r>
  <r>
    <x v="4"/>
    <x v="4"/>
    <d v="2022-05-18T00:00:00"/>
    <s v="NA"/>
    <n v="0"/>
    <n v="28"/>
    <s v="21-40"/>
    <x v="0"/>
    <x v="14"/>
    <x v="11"/>
    <x v="2"/>
    <n v="1"/>
    <n v="1"/>
    <n v="2"/>
    <x v="21"/>
    <n v="5"/>
    <n v="3"/>
    <n v="615250"/>
    <n v="65010"/>
    <n v="550240"/>
    <n v="31"/>
    <n v="57"/>
    <n v="5.7"/>
  </r>
  <r>
    <x v="4"/>
    <x v="4"/>
    <d v="2022-10-17T00:00:00"/>
    <s v="NA"/>
    <n v="0"/>
    <n v="43"/>
    <s v="41-60"/>
    <x v="1"/>
    <x v="8"/>
    <x v="6"/>
    <x v="1"/>
    <n v="1"/>
    <n v="1"/>
    <n v="1.2"/>
    <x v="30"/>
    <n v="6"/>
    <n v="6"/>
    <n v="685022"/>
    <n v="142177"/>
    <n v="542845"/>
    <n v="39"/>
    <n v="54"/>
    <n v="14.6"/>
  </r>
  <r>
    <x v="4"/>
    <x v="4"/>
    <d v="2023-01-13T00:00:00"/>
    <s v="NA"/>
    <n v="0"/>
    <n v="36"/>
    <s v="21-40"/>
    <x v="1"/>
    <x v="11"/>
    <x v="8"/>
    <x v="0"/>
    <n v="1"/>
    <n v="1"/>
    <n v="3.4"/>
    <x v="8"/>
    <n v="7"/>
    <n v="7"/>
    <n v="801889"/>
    <n v="231548"/>
    <n v="570341"/>
    <n v="38"/>
    <n v="55"/>
    <n v="6.5"/>
  </r>
  <r>
    <x v="4"/>
    <x v="4"/>
    <d v="2024-12-25T00:00:00"/>
    <s v="NA"/>
    <n v="0"/>
    <n v="47"/>
    <s v="41-60"/>
    <x v="0"/>
    <x v="0"/>
    <x v="0"/>
    <x v="1"/>
    <n v="1"/>
    <n v="1"/>
    <n v="6.6"/>
    <x v="29"/>
    <n v="4"/>
    <n v="6"/>
    <n v="747712"/>
    <n v="171590"/>
    <n v="576122"/>
    <n v="32"/>
    <n v="64"/>
    <n v="8"/>
  </r>
  <r>
    <x v="4"/>
    <x v="4"/>
    <d v="2021-03-28T00:00:00"/>
    <s v="NA"/>
    <n v="0"/>
    <n v="47"/>
    <s v="41-60"/>
    <x v="1"/>
    <x v="4"/>
    <x v="3"/>
    <x v="3"/>
    <n v="1"/>
    <n v="1"/>
    <n v="1.9"/>
    <x v="0"/>
    <n v="5"/>
    <n v="5"/>
    <n v="603707"/>
    <n v="97587"/>
    <n v="506120"/>
    <n v="31"/>
    <n v="60"/>
    <n v="9.1"/>
  </r>
  <r>
    <x v="4"/>
    <x v="4"/>
    <d v="2024-04-05T00:00:00"/>
    <s v="NA"/>
    <n v="0"/>
    <n v="62"/>
    <s v="61-80"/>
    <x v="0"/>
    <x v="0"/>
    <x v="0"/>
    <x v="0"/>
    <n v="1"/>
    <n v="1"/>
    <n v="5.2"/>
    <x v="29"/>
    <n v="7"/>
    <n v="5"/>
    <n v="881524"/>
    <n v="261269"/>
    <n v="620255"/>
    <n v="31"/>
    <n v="63"/>
    <n v="5.0999999999999996"/>
  </r>
  <r>
    <x v="4"/>
    <x v="4"/>
    <d v="2024-06-25T00:00:00"/>
    <s v="NA"/>
    <n v="0"/>
    <n v="74"/>
    <s v="61-80"/>
    <x v="0"/>
    <x v="0"/>
    <x v="0"/>
    <x v="3"/>
    <n v="1"/>
    <n v="1"/>
    <n v="2.2999999999999998"/>
    <x v="3"/>
    <n v="6"/>
    <n v="4"/>
    <n v="859380"/>
    <n v="244644"/>
    <n v="614736"/>
    <n v="36"/>
    <n v="55"/>
    <n v="12"/>
  </r>
  <r>
    <x v="4"/>
    <x v="4"/>
    <d v="2021-10-15T00:00:00"/>
    <s v="NA"/>
    <n v="0"/>
    <n v="30"/>
    <s v="21-40"/>
    <x v="1"/>
    <x v="9"/>
    <x v="7"/>
    <x v="4"/>
    <n v="1"/>
    <n v="1"/>
    <n v="4.4000000000000004"/>
    <x v="9"/>
    <n v="4"/>
    <n v="3"/>
    <n v="845164"/>
    <n v="343081"/>
    <n v="502083"/>
    <n v="32"/>
    <n v="66"/>
    <n v="13.5"/>
  </r>
  <r>
    <x v="4"/>
    <x v="4"/>
    <d v="2022-09-04T00:00:00"/>
    <s v="NA"/>
    <n v="0"/>
    <n v="50"/>
    <s v="41-60"/>
    <x v="0"/>
    <x v="0"/>
    <x v="0"/>
    <x v="0"/>
    <n v="1"/>
    <n v="1"/>
    <n v="1.6"/>
    <x v="29"/>
    <n v="4"/>
    <n v="5"/>
    <n v="690220"/>
    <n v="128138"/>
    <n v="562082"/>
    <n v="37"/>
    <n v="64"/>
    <n v="36.799999999999997"/>
  </r>
  <r>
    <x v="4"/>
    <x v="4"/>
    <d v="2023-05-16T00:00:00"/>
    <s v="NA"/>
    <n v="0"/>
    <n v="79"/>
    <s v="61-80"/>
    <x v="0"/>
    <x v="0"/>
    <x v="0"/>
    <x v="1"/>
    <n v="1"/>
    <n v="1"/>
    <n v="5.4"/>
    <x v="29"/>
    <n v="7"/>
    <n v="6"/>
    <n v="820104"/>
    <n v="217887"/>
    <n v="602217"/>
    <n v="34"/>
    <n v="57"/>
    <n v="36.4"/>
  </r>
  <r>
    <x v="4"/>
    <x v="4"/>
    <d v="2022-01-04T00:00:00"/>
    <s v="NA"/>
    <n v="0"/>
    <n v="81"/>
    <s v="81+"/>
    <x v="1"/>
    <x v="11"/>
    <x v="8"/>
    <x v="2"/>
    <n v="1"/>
    <n v="1"/>
    <n v="5.9"/>
    <x v="8"/>
    <n v="6"/>
    <n v="6"/>
    <n v="736614"/>
    <n v="232004"/>
    <n v="504610"/>
    <n v="34"/>
    <n v="54"/>
    <n v="8.1"/>
  </r>
  <r>
    <x v="4"/>
    <x v="4"/>
    <d v="2021-03-26T00:00:00"/>
    <s v="NA"/>
    <n v="0"/>
    <n v="34"/>
    <s v="21-40"/>
    <x v="1"/>
    <x v="3"/>
    <x v="2"/>
    <x v="3"/>
    <n v="1"/>
    <n v="1"/>
    <n v="5.5"/>
    <x v="20"/>
    <n v="6"/>
    <n v="5"/>
    <n v="633822"/>
    <n v="56862"/>
    <n v="576960"/>
    <n v="39"/>
    <n v="66"/>
    <n v="14.1"/>
  </r>
  <r>
    <x v="4"/>
    <x v="4"/>
    <d v="2021-04-24T00:00:00"/>
    <s v="NA"/>
    <n v="0"/>
    <n v="56"/>
    <s v="41-60"/>
    <x v="1"/>
    <x v="12"/>
    <x v="9"/>
    <x v="1"/>
    <n v="1"/>
    <n v="1"/>
    <n v="4"/>
    <x v="6"/>
    <n v="7"/>
    <n v="7"/>
    <n v="609075"/>
    <n v="29205"/>
    <n v="579870"/>
    <n v="31"/>
    <n v="60"/>
    <n v="13.3"/>
  </r>
  <r>
    <x v="4"/>
    <x v="4"/>
    <d v="2021-06-07T00:00:00"/>
    <s v="NA"/>
    <n v="0"/>
    <n v="62"/>
    <s v="61-80"/>
    <x v="0"/>
    <x v="5"/>
    <x v="0"/>
    <x v="0"/>
    <n v="1"/>
    <n v="1"/>
    <n v="6"/>
    <x v="5"/>
    <n v="3"/>
    <n v="7"/>
    <n v="764033"/>
    <n v="237626"/>
    <n v="526407"/>
    <n v="38"/>
    <n v="60"/>
    <n v="36.1"/>
  </r>
  <r>
    <x v="4"/>
    <x v="4"/>
    <d v="2022-03-13T00:00:00"/>
    <s v="NA"/>
    <n v="0"/>
    <n v="62"/>
    <s v="61-80"/>
    <x v="0"/>
    <x v="5"/>
    <x v="0"/>
    <x v="2"/>
    <n v="1"/>
    <n v="1"/>
    <n v="4"/>
    <x v="30"/>
    <n v="5"/>
    <n v="3"/>
    <n v="764370"/>
    <n v="140566"/>
    <n v="623804"/>
    <n v="38"/>
    <n v="62"/>
    <n v="7.7"/>
  </r>
  <r>
    <x v="4"/>
    <x v="4"/>
    <d v="2023-05-07T00:00:00"/>
    <s v="NA"/>
    <n v="0"/>
    <n v="30"/>
    <s v="21-40"/>
    <x v="1"/>
    <x v="13"/>
    <x v="10"/>
    <x v="2"/>
    <n v="1"/>
    <n v="1"/>
    <n v="2.5"/>
    <x v="2"/>
    <n v="6"/>
    <n v="6"/>
    <n v="713361"/>
    <n v="108594"/>
    <n v="604767"/>
    <n v="38"/>
    <n v="59"/>
    <n v="8.1999999999999993"/>
  </r>
  <r>
    <x v="4"/>
    <x v="4"/>
    <d v="2024-10-21T00:00:00"/>
    <s v="NA"/>
    <n v="0"/>
    <n v="48"/>
    <s v="41-60"/>
    <x v="1"/>
    <x v="2"/>
    <x v="1"/>
    <x v="2"/>
    <n v="1"/>
    <n v="1"/>
    <n v="4.5999999999999996"/>
    <x v="17"/>
    <n v="6"/>
    <n v="4"/>
    <n v="743910"/>
    <n v="203323"/>
    <n v="540587"/>
    <n v="32"/>
    <n v="56"/>
    <n v="36.6"/>
  </r>
  <r>
    <x v="4"/>
    <x v="4"/>
    <d v="2023-10-10T00:00:00"/>
    <s v="NA"/>
    <n v="0"/>
    <n v="54"/>
    <s v="41-60"/>
    <x v="0"/>
    <x v="2"/>
    <x v="1"/>
    <x v="4"/>
    <n v="1"/>
    <n v="1"/>
    <n v="5.2"/>
    <x v="11"/>
    <n v="7"/>
    <n v="6"/>
    <n v="650875"/>
    <n v="72085"/>
    <n v="578790"/>
    <n v="35"/>
    <n v="64"/>
    <n v="8.5"/>
  </r>
  <r>
    <x v="2"/>
    <x v="2"/>
    <d v="2022-06-14T00:00:00"/>
    <s v="NA"/>
    <n v="0"/>
    <n v="63"/>
    <s v="61-80"/>
    <x v="1"/>
    <x v="10"/>
    <x v="8"/>
    <x v="0"/>
    <n v="1"/>
    <n v="1"/>
    <n v="1.8"/>
    <x v="21"/>
    <n v="5"/>
    <n v="7"/>
    <n v="962103"/>
    <n v="275635"/>
    <n v="686468"/>
    <n v="36"/>
    <n v="61"/>
    <n v="9.6"/>
  </r>
  <r>
    <x v="4"/>
    <x v="4"/>
    <d v="2021-06-30T00:00:00"/>
    <s v="NA"/>
    <n v="0"/>
    <n v="68"/>
    <s v="61-80"/>
    <x v="1"/>
    <x v="3"/>
    <x v="2"/>
    <x v="2"/>
    <n v="1"/>
    <n v="1"/>
    <n v="6.2"/>
    <x v="4"/>
    <n v="3"/>
    <n v="5"/>
    <n v="896006"/>
    <n v="278547"/>
    <n v="617459"/>
    <n v="37"/>
    <n v="65"/>
    <n v="8.8000000000000007"/>
  </r>
  <r>
    <x v="2"/>
    <x v="2"/>
    <d v="2021-06-15T00:00:00"/>
    <s v="NA"/>
    <n v="0"/>
    <n v="21"/>
    <s v="21-40"/>
    <x v="0"/>
    <x v="0"/>
    <x v="0"/>
    <x v="3"/>
    <n v="1"/>
    <n v="1"/>
    <n v="2"/>
    <x v="7"/>
    <n v="4"/>
    <n v="4"/>
    <n v="990987"/>
    <n v="103350"/>
    <n v="887637"/>
    <n v="34"/>
    <n v="55"/>
    <n v="36.5"/>
  </r>
  <r>
    <x v="4"/>
    <x v="4"/>
    <d v="2024-11-04T00:00:00"/>
    <s v="NA"/>
    <n v="0"/>
    <n v="84"/>
    <s v="81+"/>
    <x v="0"/>
    <x v="13"/>
    <x v="10"/>
    <x v="0"/>
    <n v="1"/>
    <n v="1"/>
    <n v="3.9"/>
    <x v="29"/>
    <n v="6"/>
    <n v="5"/>
    <n v="693664"/>
    <n v="149228"/>
    <n v="544436"/>
    <n v="30"/>
    <n v="59"/>
    <n v="14.3"/>
  </r>
  <r>
    <x v="2"/>
    <x v="2"/>
    <d v="2024-08-09T00:00:00"/>
    <s v="NA"/>
    <n v="0"/>
    <n v="43"/>
    <s v="41-60"/>
    <x v="1"/>
    <x v="9"/>
    <x v="7"/>
    <x v="1"/>
    <n v="1"/>
    <n v="1"/>
    <n v="3.4"/>
    <x v="8"/>
    <n v="7"/>
    <n v="5"/>
    <n v="997645"/>
    <n v="192468"/>
    <n v="805177"/>
    <n v="30"/>
    <n v="56"/>
    <n v="8.3000000000000007"/>
  </r>
  <r>
    <x v="4"/>
    <x v="4"/>
    <d v="2022-09-02T00:00:00"/>
    <s v="NA"/>
    <n v="0"/>
    <n v="69"/>
    <s v="61-80"/>
    <x v="0"/>
    <x v="0"/>
    <x v="0"/>
    <x v="2"/>
    <n v="1"/>
    <n v="1"/>
    <n v="3.9"/>
    <x v="16"/>
    <n v="3"/>
    <n v="4"/>
    <n v="671499"/>
    <n v="158236"/>
    <n v="513263"/>
    <n v="31"/>
    <n v="58"/>
    <n v="5.2"/>
  </r>
  <r>
    <x v="4"/>
    <x v="4"/>
    <d v="2023-11-27T00:00:00"/>
    <s v="NA"/>
    <n v="0"/>
    <n v="63"/>
    <s v="61-80"/>
    <x v="0"/>
    <x v="6"/>
    <x v="4"/>
    <x v="1"/>
    <n v="1"/>
    <n v="1"/>
    <n v="6.3"/>
    <x v="28"/>
    <n v="7"/>
    <n v="4"/>
    <n v="609086"/>
    <n v="-16614"/>
    <n v="625700"/>
    <n v="37"/>
    <n v="57"/>
    <n v="8"/>
  </r>
  <r>
    <x v="4"/>
    <x v="4"/>
    <d v="2021-05-18T00:00:00"/>
    <s v="NA"/>
    <n v="0"/>
    <n v="67"/>
    <s v="61-80"/>
    <x v="1"/>
    <x v="11"/>
    <x v="8"/>
    <x v="0"/>
    <n v="1"/>
    <n v="1"/>
    <n v="1.6"/>
    <x v="23"/>
    <n v="5"/>
    <n v="5"/>
    <n v="853366"/>
    <n v="209223"/>
    <n v="644143"/>
    <n v="40"/>
    <n v="65"/>
    <n v="9.6999999999999993"/>
  </r>
  <r>
    <x v="2"/>
    <x v="2"/>
    <d v="2023-11-11T00:00:00"/>
    <s v="NA"/>
    <n v="0"/>
    <n v="43"/>
    <s v="41-60"/>
    <x v="0"/>
    <x v="0"/>
    <x v="0"/>
    <x v="4"/>
    <n v="1"/>
    <n v="1"/>
    <n v="4.3"/>
    <x v="27"/>
    <n v="5"/>
    <n v="7"/>
    <n v="942302"/>
    <n v="108441"/>
    <n v="833861"/>
    <n v="39"/>
    <n v="54"/>
    <n v="7.5"/>
  </r>
  <r>
    <x v="4"/>
    <x v="4"/>
    <d v="2023-01-04T00:00:00"/>
    <s v="NA"/>
    <n v="0"/>
    <n v="76"/>
    <s v="61-80"/>
    <x v="0"/>
    <x v="6"/>
    <x v="4"/>
    <x v="0"/>
    <n v="1"/>
    <n v="1"/>
    <n v="6.8"/>
    <x v="22"/>
    <n v="7"/>
    <n v="3"/>
    <n v="638780"/>
    <n v="60986"/>
    <n v="577794"/>
    <n v="33"/>
    <n v="65"/>
    <n v="8.1999999999999993"/>
  </r>
  <r>
    <x v="4"/>
    <x v="4"/>
    <d v="2024-12-10T00:00:00"/>
    <s v="NA"/>
    <n v="0"/>
    <n v="83"/>
    <s v="81+"/>
    <x v="1"/>
    <x v="2"/>
    <x v="1"/>
    <x v="4"/>
    <n v="1"/>
    <n v="1"/>
    <n v="5.2"/>
    <x v="3"/>
    <n v="6"/>
    <n v="4"/>
    <n v="631830"/>
    <n v="-13578"/>
    <n v="645408"/>
    <n v="36"/>
    <n v="54"/>
    <n v="10.3"/>
  </r>
  <r>
    <x v="2"/>
    <x v="2"/>
    <d v="2022-02-26T00:00:00"/>
    <s v="NA"/>
    <n v="0"/>
    <n v="77"/>
    <s v="61-80"/>
    <x v="0"/>
    <x v="0"/>
    <x v="0"/>
    <x v="3"/>
    <n v="1"/>
    <n v="1"/>
    <n v="4"/>
    <x v="3"/>
    <n v="5"/>
    <n v="7"/>
    <n v="952293"/>
    <n v="224272"/>
    <n v="728021"/>
    <n v="35"/>
    <n v="66"/>
    <n v="7.3"/>
  </r>
  <r>
    <x v="2"/>
    <x v="2"/>
    <d v="2022-01-24T00:00:00"/>
    <s v="NA"/>
    <n v="0"/>
    <n v="43"/>
    <s v="41-60"/>
    <x v="0"/>
    <x v="2"/>
    <x v="1"/>
    <x v="3"/>
    <n v="1"/>
    <n v="1"/>
    <n v="4.2"/>
    <x v="24"/>
    <n v="4"/>
    <n v="5"/>
    <n v="945258"/>
    <n v="315154"/>
    <n v="630104"/>
    <n v="39"/>
    <n v="65"/>
    <n v="5.9"/>
  </r>
  <r>
    <x v="4"/>
    <x v="4"/>
    <d v="2022-01-11T00:00:00"/>
    <s v="NA"/>
    <n v="0"/>
    <n v="23"/>
    <s v="21-40"/>
    <x v="1"/>
    <x v="3"/>
    <x v="2"/>
    <x v="0"/>
    <n v="1"/>
    <n v="1"/>
    <n v="2.9"/>
    <x v="28"/>
    <n v="6"/>
    <n v="5"/>
    <n v="897967"/>
    <n v="392444"/>
    <n v="505523"/>
    <n v="40"/>
    <n v="57"/>
    <n v="8.3000000000000007"/>
  </r>
  <r>
    <x v="4"/>
    <x v="4"/>
    <d v="2022-10-26T00:00:00"/>
    <s v="NA"/>
    <n v="0"/>
    <n v="51"/>
    <s v="41-60"/>
    <x v="1"/>
    <x v="1"/>
    <x v="1"/>
    <x v="0"/>
    <n v="1"/>
    <n v="1"/>
    <n v="5.7"/>
    <x v="6"/>
    <n v="5"/>
    <n v="5"/>
    <n v="630181"/>
    <n v="1345"/>
    <n v="628836"/>
    <n v="38"/>
    <n v="66"/>
    <n v="14.1"/>
  </r>
  <r>
    <x v="4"/>
    <x v="4"/>
    <d v="2021-06-26T00:00:00"/>
    <s v="NA"/>
    <n v="0"/>
    <n v="25"/>
    <s v="21-40"/>
    <x v="0"/>
    <x v="10"/>
    <x v="8"/>
    <x v="4"/>
    <n v="1"/>
    <n v="1"/>
    <n v="2.7"/>
    <x v="0"/>
    <n v="3"/>
    <n v="4"/>
    <n v="714640"/>
    <n v="148035"/>
    <n v="566605"/>
    <n v="35"/>
    <n v="59"/>
    <n v="14.1"/>
  </r>
  <r>
    <x v="2"/>
    <x v="2"/>
    <d v="2024-01-23T00:00:00"/>
    <s v="NA"/>
    <n v="0"/>
    <n v="83"/>
    <s v="81+"/>
    <x v="1"/>
    <x v="2"/>
    <x v="1"/>
    <x v="3"/>
    <n v="1"/>
    <n v="1"/>
    <n v="3.5"/>
    <x v="13"/>
    <n v="3"/>
    <n v="7"/>
    <n v="958778"/>
    <n v="233555"/>
    <n v="725223"/>
    <n v="34"/>
    <n v="58"/>
    <n v="13.9"/>
  </r>
  <r>
    <x v="2"/>
    <x v="2"/>
    <d v="2024-12-09T00:00:00"/>
    <s v="NA"/>
    <n v="0"/>
    <n v="43"/>
    <s v="41-60"/>
    <x v="1"/>
    <x v="9"/>
    <x v="7"/>
    <x v="3"/>
    <n v="1"/>
    <n v="1"/>
    <n v="4.5999999999999996"/>
    <x v="18"/>
    <n v="7"/>
    <n v="5"/>
    <n v="989522"/>
    <n v="202623"/>
    <n v="786899"/>
    <n v="38"/>
    <n v="58"/>
    <n v="36.6"/>
  </r>
  <r>
    <x v="2"/>
    <x v="2"/>
    <d v="2021-09-21T00:00:00"/>
    <s v="NA"/>
    <n v="0"/>
    <n v="31"/>
    <s v="21-40"/>
    <x v="0"/>
    <x v="0"/>
    <x v="0"/>
    <x v="4"/>
    <n v="1"/>
    <n v="1"/>
    <n v="1.4"/>
    <x v="25"/>
    <n v="7"/>
    <n v="4"/>
    <n v="996730"/>
    <n v="139870"/>
    <n v="856860"/>
    <n v="36"/>
    <n v="63"/>
    <n v="14.9"/>
  </r>
  <r>
    <x v="4"/>
    <x v="4"/>
    <d v="2021-04-14T00:00:00"/>
    <s v="NA"/>
    <n v="0"/>
    <n v="41"/>
    <s v="41-60"/>
    <x v="0"/>
    <x v="0"/>
    <x v="0"/>
    <x v="4"/>
    <n v="1"/>
    <n v="1"/>
    <n v="3.7"/>
    <x v="5"/>
    <n v="6"/>
    <n v="6"/>
    <n v="747081"/>
    <n v="241416"/>
    <n v="505665"/>
    <n v="36"/>
    <n v="54"/>
    <n v="6.2"/>
  </r>
  <r>
    <x v="4"/>
    <x v="4"/>
    <d v="2024-07-23T00:00:00"/>
    <s v="NA"/>
    <n v="0"/>
    <n v="21"/>
    <s v="21-40"/>
    <x v="0"/>
    <x v="10"/>
    <x v="8"/>
    <x v="3"/>
    <n v="1"/>
    <n v="1"/>
    <n v="3.1"/>
    <x v="19"/>
    <n v="3"/>
    <n v="6"/>
    <n v="776097"/>
    <n v="139830"/>
    <n v="636267"/>
    <n v="34"/>
    <n v="65"/>
    <n v="5.4"/>
  </r>
  <r>
    <x v="2"/>
    <x v="2"/>
    <d v="2024-11-13T00:00:00"/>
    <s v="NA"/>
    <n v="0"/>
    <n v="41"/>
    <s v="41-60"/>
    <x v="1"/>
    <x v="12"/>
    <x v="9"/>
    <x v="4"/>
    <n v="1"/>
    <n v="1"/>
    <n v="5.9"/>
    <x v="4"/>
    <n v="6"/>
    <n v="5"/>
    <n v="986509"/>
    <n v="201931"/>
    <n v="784578"/>
    <n v="32"/>
    <n v="54"/>
    <n v="14.5"/>
  </r>
  <r>
    <x v="4"/>
    <x v="4"/>
    <d v="2024-07-28T00:00:00"/>
    <s v="NA"/>
    <n v="0"/>
    <n v="41"/>
    <s v="41-60"/>
    <x v="1"/>
    <x v="13"/>
    <x v="10"/>
    <x v="1"/>
    <n v="1"/>
    <n v="1"/>
    <n v="3"/>
    <x v="30"/>
    <n v="6"/>
    <n v="5"/>
    <n v="625121"/>
    <n v="93353"/>
    <n v="531768"/>
    <n v="30"/>
    <n v="57"/>
    <n v="14.9"/>
  </r>
  <r>
    <x v="2"/>
    <x v="2"/>
    <d v="2022-04-25T00:00:00"/>
    <s v="NA"/>
    <n v="0"/>
    <n v="49"/>
    <s v="41-60"/>
    <x v="0"/>
    <x v="7"/>
    <x v="5"/>
    <x v="0"/>
    <n v="1"/>
    <n v="1"/>
    <n v="1.5"/>
    <x v="25"/>
    <n v="4"/>
    <n v="7"/>
    <n v="996306"/>
    <n v="293500"/>
    <n v="702806"/>
    <n v="33"/>
    <n v="58"/>
    <n v="6"/>
  </r>
  <r>
    <x v="4"/>
    <x v="4"/>
    <d v="2024-10-29T00:00:00"/>
    <s v="NA"/>
    <n v="0"/>
    <n v="46"/>
    <s v="41-60"/>
    <x v="1"/>
    <x v="10"/>
    <x v="8"/>
    <x v="4"/>
    <n v="1"/>
    <n v="1"/>
    <n v="3.8"/>
    <x v="12"/>
    <n v="3"/>
    <n v="5"/>
    <n v="640883"/>
    <n v="114261"/>
    <n v="526622"/>
    <n v="38"/>
    <n v="60"/>
    <n v="7"/>
  </r>
  <r>
    <x v="2"/>
    <x v="2"/>
    <d v="2023-08-26T00:00:00"/>
    <s v="NA"/>
    <n v="0"/>
    <n v="67"/>
    <s v="61-80"/>
    <x v="1"/>
    <x v="3"/>
    <x v="2"/>
    <x v="0"/>
    <n v="1"/>
    <n v="1"/>
    <n v="3"/>
    <x v="9"/>
    <n v="3"/>
    <n v="6"/>
    <n v="968840"/>
    <n v="356123"/>
    <n v="612717"/>
    <n v="38"/>
    <n v="55"/>
    <n v="14.5"/>
  </r>
  <r>
    <x v="4"/>
    <x v="4"/>
    <d v="2023-05-23T00:00:00"/>
    <s v="NA"/>
    <n v="0"/>
    <n v="25"/>
    <s v="21-40"/>
    <x v="1"/>
    <x v="3"/>
    <x v="2"/>
    <x v="0"/>
    <n v="1"/>
    <n v="1"/>
    <n v="5.0999999999999996"/>
    <x v="29"/>
    <n v="7"/>
    <n v="5"/>
    <n v="864871"/>
    <n v="344362"/>
    <n v="520509"/>
    <n v="35"/>
    <n v="59"/>
    <n v="36.1"/>
  </r>
  <r>
    <x v="4"/>
    <x v="4"/>
    <d v="2022-12-26T00:00:00"/>
    <s v="NA"/>
    <n v="0"/>
    <n v="33"/>
    <s v="21-40"/>
    <x v="0"/>
    <x v="2"/>
    <x v="1"/>
    <x v="1"/>
    <n v="1"/>
    <n v="1"/>
    <n v="3.3"/>
    <x v="25"/>
    <n v="7"/>
    <n v="3"/>
    <n v="800329"/>
    <n v="224237"/>
    <n v="576092"/>
    <n v="35"/>
    <n v="63"/>
    <n v="5.4"/>
  </r>
  <r>
    <x v="4"/>
    <x v="4"/>
    <d v="2023-08-31T00:00:00"/>
    <s v="NA"/>
    <n v="0"/>
    <n v="73"/>
    <s v="61-80"/>
    <x v="1"/>
    <x v="9"/>
    <x v="7"/>
    <x v="0"/>
    <n v="1"/>
    <n v="1"/>
    <n v="5.9"/>
    <x v="25"/>
    <n v="7"/>
    <n v="3"/>
    <n v="875743"/>
    <n v="242703"/>
    <n v="633040"/>
    <n v="31"/>
    <n v="62"/>
    <n v="7.3"/>
  </r>
  <r>
    <x v="4"/>
    <x v="4"/>
    <d v="2024-02-27T00:00:00"/>
    <s v="NA"/>
    <n v="0"/>
    <n v="76"/>
    <s v="61-80"/>
    <x v="0"/>
    <x v="10"/>
    <x v="8"/>
    <x v="2"/>
    <n v="1"/>
    <n v="1"/>
    <n v="4.9000000000000004"/>
    <x v="30"/>
    <n v="5"/>
    <n v="5"/>
    <n v="615476"/>
    <n v="112434"/>
    <n v="503042"/>
    <n v="37"/>
    <n v="62"/>
    <n v="10.4"/>
  </r>
  <r>
    <x v="4"/>
    <x v="4"/>
    <d v="2023-01-15T00:00:00"/>
    <s v="NA"/>
    <n v="0"/>
    <n v="80"/>
    <s v="61-80"/>
    <x v="0"/>
    <x v="10"/>
    <x v="8"/>
    <x v="4"/>
    <n v="1"/>
    <n v="1"/>
    <n v="5.3"/>
    <x v="11"/>
    <n v="4"/>
    <n v="3"/>
    <n v="836790"/>
    <n v="308823"/>
    <n v="527967"/>
    <n v="33"/>
    <n v="64"/>
    <n v="9.9"/>
  </r>
  <r>
    <x v="2"/>
    <x v="2"/>
    <d v="2023-03-01T00:00:00"/>
    <s v="NA"/>
    <n v="0"/>
    <n v="37"/>
    <s v="21-40"/>
    <x v="1"/>
    <x v="9"/>
    <x v="7"/>
    <x v="0"/>
    <n v="1"/>
    <n v="1"/>
    <n v="6.1"/>
    <x v="10"/>
    <n v="3"/>
    <n v="7"/>
    <n v="942164"/>
    <n v="141641"/>
    <n v="800523"/>
    <n v="40"/>
    <n v="60"/>
    <n v="5"/>
  </r>
  <r>
    <x v="2"/>
    <x v="2"/>
    <d v="2022-04-03T00:00:00"/>
    <s v="NA"/>
    <n v="0"/>
    <n v="33"/>
    <s v="21-40"/>
    <x v="1"/>
    <x v="3"/>
    <x v="2"/>
    <x v="0"/>
    <n v="1"/>
    <n v="1"/>
    <n v="6.1"/>
    <x v="11"/>
    <n v="5"/>
    <n v="6"/>
    <n v="904373"/>
    <n v="64345"/>
    <n v="840028"/>
    <n v="34"/>
    <n v="55"/>
    <n v="7.6"/>
  </r>
  <r>
    <x v="4"/>
    <x v="4"/>
    <d v="2023-12-15T00:00:00"/>
    <s v="NA"/>
    <n v="0"/>
    <n v="61"/>
    <s v="61-80"/>
    <x v="1"/>
    <x v="12"/>
    <x v="9"/>
    <x v="4"/>
    <n v="1"/>
    <n v="1"/>
    <n v="1.6"/>
    <x v="21"/>
    <n v="4"/>
    <n v="7"/>
    <n v="743608"/>
    <n v="185249"/>
    <n v="558359"/>
    <n v="35"/>
    <n v="56"/>
    <n v="6.7"/>
  </r>
  <r>
    <x v="2"/>
    <x v="2"/>
    <d v="2024-04-24T00:00:00"/>
    <s v="NA"/>
    <n v="0"/>
    <n v="64"/>
    <s v="61-80"/>
    <x v="0"/>
    <x v="6"/>
    <x v="4"/>
    <x v="0"/>
    <n v="1"/>
    <n v="1"/>
    <n v="1.6"/>
    <x v="21"/>
    <n v="7"/>
    <n v="5"/>
    <n v="904756"/>
    <n v="208034"/>
    <n v="696722"/>
    <n v="34"/>
    <n v="66"/>
    <n v="36.5"/>
  </r>
  <r>
    <x v="4"/>
    <x v="4"/>
    <d v="2023-10-20T00:00:00"/>
    <s v="NA"/>
    <n v="0"/>
    <n v="22"/>
    <s v="21-40"/>
    <x v="1"/>
    <x v="9"/>
    <x v="7"/>
    <x v="3"/>
    <n v="1"/>
    <n v="1"/>
    <n v="6.5"/>
    <x v="14"/>
    <n v="6"/>
    <n v="5"/>
    <n v="838834"/>
    <n v="259368"/>
    <n v="579466"/>
    <n v="32"/>
    <n v="66"/>
    <n v="7.2"/>
  </r>
  <r>
    <x v="2"/>
    <x v="2"/>
    <d v="2021-05-31T00:00:00"/>
    <s v="NA"/>
    <n v="0"/>
    <n v="64"/>
    <s v="61-80"/>
    <x v="0"/>
    <x v="0"/>
    <x v="0"/>
    <x v="3"/>
    <n v="1"/>
    <n v="1"/>
    <n v="3.1"/>
    <x v="5"/>
    <n v="6"/>
    <n v="7"/>
    <n v="950526"/>
    <n v="337805"/>
    <n v="612721"/>
    <n v="30"/>
    <n v="55"/>
    <n v="6.2"/>
  </r>
  <r>
    <x v="4"/>
    <x v="4"/>
    <d v="2022-01-06T00:00:00"/>
    <s v="NA"/>
    <n v="0"/>
    <n v="31"/>
    <s v="21-40"/>
    <x v="1"/>
    <x v="7"/>
    <x v="5"/>
    <x v="4"/>
    <n v="1"/>
    <n v="1"/>
    <n v="2.4"/>
    <x v="6"/>
    <n v="5"/>
    <n v="6"/>
    <n v="734167"/>
    <n v="168318"/>
    <n v="565849"/>
    <n v="30"/>
    <n v="56"/>
    <n v="6.2"/>
  </r>
  <r>
    <x v="4"/>
    <x v="4"/>
    <d v="2024-07-29T00:00:00"/>
    <s v="NA"/>
    <n v="0"/>
    <n v="76"/>
    <s v="61-80"/>
    <x v="0"/>
    <x v="2"/>
    <x v="1"/>
    <x v="1"/>
    <n v="1"/>
    <n v="1"/>
    <n v="1.9"/>
    <x v="7"/>
    <n v="7"/>
    <n v="7"/>
    <n v="814539"/>
    <n v="287860"/>
    <n v="526679"/>
    <n v="35"/>
    <n v="59"/>
    <n v="13.5"/>
  </r>
  <r>
    <x v="2"/>
    <x v="2"/>
    <d v="2022-02-10T00:00:00"/>
    <s v="NA"/>
    <n v="0"/>
    <n v="40"/>
    <s v="21-40"/>
    <x v="1"/>
    <x v="1"/>
    <x v="1"/>
    <x v="1"/>
    <n v="1"/>
    <n v="1"/>
    <n v="6.5"/>
    <x v="11"/>
    <n v="3"/>
    <n v="5"/>
    <n v="941541"/>
    <n v="281310"/>
    <n v="660231"/>
    <n v="37"/>
    <n v="59"/>
    <n v="5.3"/>
  </r>
  <r>
    <x v="4"/>
    <x v="4"/>
    <d v="2021-04-19T00:00:00"/>
    <s v="NA"/>
    <n v="0"/>
    <n v="49"/>
    <s v="41-60"/>
    <x v="0"/>
    <x v="0"/>
    <x v="0"/>
    <x v="3"/>
    <n v="1"/>
    <n v="1"/>
    <n v="5.3"/>
    <x v="4"/>
    <n v="6"/>
    <n v="7"/>
    <n v="833744"/>
    <n v="278727"/>
    <n v="555017"/>
    <n v="33"/>
    <n v="64"/>
    <n v="9.6"/>
  </r>
  <r>
    <x v="4"/>
    <x v="4"/>
    <d v="2022-04-02T00:00:00"/>
    <s v="NA"/>
    <n v="0"/>
    <n v="54"/>
    <s v="41-60"/>
    <x v="0"/>
    <x v="5"/>
    <x v="0"/>
    <x v="2"/>
    <n v="1"/>
    <n v="1"/>
    <n v="5.8"/>
    <x v="11"/>
    <n v="3"/>
    <n v="4"/>
    <n v="807030"/>
    <n v="237180"/>
    <n v="569850"/>
    <n v="33"/>
    <n v="63"/>
    <n v="13.7"/>
  </r>
  <r>
    <x v="10"/>
    <x v="10"/>
    <d v="2022-06-10T00:00:00"/>
    <s v="NA"/>
    <n v="0"/>
    <n v="44"/>
    <s v="41-60"/>
    <x v="0"/>
    <x v="14"/>
    <x v="11"/>
    <x v="3"/>
    <n v="1"/>
    <n v="1"/>
    <n v="1.9"/>
    <x v="18"/>
    <n v="5"/>
    <n v="3"/>
    <n v="533895"/>
    <n v="182316"/>
    <n v="351579"/>
    <n v="15"/>
    <n v="59"/>
    <n v="12.5"/>
  </r>
  <r>
    <x v="10"/>
    <x v="10"/>
    <d v="2022-12-13T00:00:00"/>
    <s v="NA"/>
    <n v="0"/>
    <n v="64"/>
    <s v="61-80"/>
    <x v="0"/>
    <x v="0"/>
    <x v="0"/>
    <x v="4"/>
    <n v="1"/>
    <n v="1"/>
    <n v="4.8"/>
    <x v="10"/>
    <n v="6"/>
    <n v="3"/>
    <n v="572719"/>
    <n v="173599"/>
    <n v="399120"/>
    <n v="18"/>
    <n v="65"/>
    <n v="5.8"/>
  </r>
  <r>
    <x v="10"/>
    <x v="10"/>
    <d v="2024-04-28T00:00:00"/>
    <s v="NA"/>
    <n v="0"/>
    <n v="43"/>
    <s v="41-60"/>
    <x v="0"/>
    <x v="4"/>
    <x v="3"/>
    <x v="3"/>
    <n v="1"/>
    <n v="1"/>
    <n v="5.0999999999999996"/>
    <x v="24"/>
    <n v="4"/>
    <n v="3"/>
    <n v="546031"/>
    <n v="210454"/>
    <n v="335577"/>
    <n v="22"/>
    <n v="59"/>
    <n v="12.3"/>
  </r>
  <r>
    <x v="10"/>
    <x v="10"/>
    <d v="2022-11-15T00:00:00"/>
    <s v="NA"/>
    <n v="0"/>
    <n v="76"/>
    <s v="61-80"/>
    <x v="1"/>
    <x v="4"/>
    <x v="3"/>
    <x v="0"/>
    <n v="1"/>
    <n v="1"/>
    <n v="4.0999999999999996"/>
    <x v="7"/>
    <n v="5"/>
    <n v="7"/>
    <n v="596804"/>
    <n v="240041"/>
    <n v="356763"/>
    <n v="25"/>
    <n v="59"/>
    <n v="13.7"/>
  </r>
  <r>
    <x v="10"/>
    <x v="10"/>
    <d v="2023-12-04T00:00:00"/>
    <s v="NA"/>
    <n v="0"/>
    <n v="31"/>
    <s v="21-40"/>
    <x v="0"/>
    <x v="14"/>
    <x v="11"/>
    <x v="4"/>
    <n v="1"/>
    <n v="1"/>
    <n v="1.8"/>
    <x v="26"/>
    <n v="3"/>
    <n v="5"/>
    <n v="532236"/>
    <n v="165909"/>
    <n v="366327"/>
    <n v="21"/>
    <n v="61"/>
    <n v="10.7"/>
  </r>
  <r>
    <x v="10"/>
    <x v="10"/>
    <d v="2021-12-14T00:00:00"/>
    <s v="NA"/>
    <n v="0"/>
    <n v="77"/>
    <s v="61-80"/>
    <x v="1"/>
    <x v="3"/>
    <x v="2"/>
    <x v="4"/>
    <n v="1"/>
    <n v="1"/>
    <n v="4"/>
    <x v="20"/>
    <n v="4"/>
    <n v="3"/>
    <n v="542747"/>
    <n v="237977"/>
    <n v="304770"/>
    <n v="23"/>
    <n v="60"/>
    <n v="9"/>
  </r>
  <r>
    <x v="10"/>
    <x v="10"/>
    <d v="2021-02-28T00:00:00"/>
    <s v="NA"/>
    <n v="0"/>
    <n v="58"/>
    <s v="41-60"/>
    <x v="0"/>
    <x v="2"/>
    <x v="1"/>
    <x v="1"/>
    <n v="1"/>
    <n v="1"/>
    <n v="1.8"/>
    <x v="0"/>
    <n v="4"/>
    <n v="5"/>
    <n v="592754"/>
    <n v="291424"/>
    <n v="301330"/>
    <n v="16"/>
    <n v="66"/>
    <n v="5.9"/>
  </r>
  <r>
    <x v="10"/>
    <x v="10"/>
    <d v="2023-07-03T00:00:00"/>
    <s v="NA"/>
    <n v="0"/>
    <n v="80"/>
    <s v="61-80"/>
    <x v="0"/>
    <x v="2"/>
    <x v="1"/>
    <x v="1"/>
    <n v="1"/>
    <n v="1"/>
    <n v="5.8"/>
    <x v="4"/>
    <n v="4"/>
    <n v="4"/>
    <n v="568355"/>
    <n v="256196"/>
    <n v="312159"/>
    <n v="21"/>
    <n v="54"/>
    <n v="13.9"/>
  </r>
  <r>
    <x v="10"/>
    <x v="10"/>
    <d v="2022-01-30T00:00:00"/>
    <s v="NA"/>
    <n v="0"/>
    <n v="47"/>
    <s v="41-60"/>
    <x v="0"/>
    <x v="7"/>
    <x v="5"/>
    <x v="0"/>
    <n v="1"/>
    <n v="1"/>
    <n v="1.6"/>
    <x v="21"/>
    <n v="7"/>
    <n v="5"/>
    <n v="502563"/>
    <n v="152174"/>
    <n v="350389"/>
    <n v="18"/>
    <n v="60"/>
    <n v="7.2"/>
  </r>
  <r>
    <x v="10"/>
    <x v="10"/>
    <d v="2023-02-05T00:00:00"/>
    <s v="NA"/>
    <n v="0"/>
    <n v="87"/>
    <s v="81+"/>
    <x v="0"/>
    <x v="0"/>
    <x v="0"/>
    <x v="4"/>
    <n v="1"/>
    <n v="1"/>
    <n v="3.2"/>
    <x v="3"/>
    <n v="6"/>
    <n v="4"/>
    <n v="558386"/>
    <n v="237028"/>
    <n v="321358"/>
    <n v="20"/>
    <n v="65"/>
    <n v="8.3000000000000007"/>
  </r>
  <r>
    <x v="10"/>
    <x v="10"/>
    <d v="2022-02-09T00:00:00"/>
    <s v="NA"/>
    <n v="0"/>
    <n v="83"/>
    <s v="81+"/>
    <x v="1"/>
    <x v="10"/>
    <x v="8"/>
    <x v="1"/>
    <n v="1"/>
    <n v="1"/>
    <n v="3.8"/>
    <x v="2"/>
    <n v="3"/>
    <n v="4"/>
    <n v="516605"/>
    <n v="208564"/>
    <n v="308041"/>
    <n v="21"/>
    <n v="63"/>
    <n v="36.4"/>
  </r>
  <r>
    <x v="10"/>
    <x v="10"/>
    <d v="2023-03-10T00:00:00"/>
    <s v="NA"/>
    <n v="0"/>
    <n v="25"/>
    <s v="21-40"/>
    <x v="0"/>
    <x v="0"/>
    <x v="0"/>
    <x v="1"/>
    <n v="1"/>
    <n v="1"/>
    <n v="4.5"/>
    <x v="29"/>
    <n v="3"/>
    <n v="7"/>
    <n v="507753"/>
    <n v="155376"/>
    <n v="352377"/>
    <n v="18"/>
    <n v="63"/>
    <n v="14.2"/>
  </r>
  <r>
    <x v="10"/>
    <x v="10"/>
    <d v="2021-09-07T00:00:00"/>
    <s v="NA"/>
    <n v="0"/>
    <n v="30"/>
    <s v="21-40"/>
    <x v="0"/>
    <x v="2"/>
    <x v="1"/>
    <x v="4"/>
    <n v="1"/>
    <n v="1"/>
    <n v="5.0999999999999996"/>
    <x v="4"/>
    <n v="4"/>
    <n v="6"/>
    <n v="584879"/>
    <n v="218436"/>
    <n v="366443"/>
    <n v="16"/>
    <n v="55"/>
    <n v="9.1999999999999993"/>
  </r>
  <r>
    <x v="10"/>
    <x v="10"/>
    <d v="2021-01-30T00:00:00"/>
    <s v="NA"/>
    <n v="0"/>
    <n v="33"/>
    <s v="21-40"/>
    <x v="0"/>
    <x v="10"/>
    <x v="8"/>
    <x v="1"/>
    <n v="1"/>
    <n v="1"/>
    <n v="3.7"/>
    <x v="16"/>
    <n v="4"/>
    <n v="7"/>
    <n v="565079"/>
    <n v="264758"/>
    <n v="300321"/>
    <n v="21"/>
    <n v="63"/>
    <n v="12.4"/>
  </r>
  <r>
    <x v="10"/>
    <x v="10"/>
    <d v="2022-07-01T00:00:00"/>
    <s v="NA"/>
    <n v="0"/>
    <n v="79"/>
    <s v="61-80"/>
    <x v="1"/>
    <x v="3"/>
    <x v="2"/>
    <x v="0"/>
    <n v="1"/>
    <n v="1"/>
    <n v="4.5"/>
    <x v="17"/>
    <n v="3"/>
    <n v="4"/>
    <n v="571251"/>
    <n v="262200"/>
    <n v="309051"/>
    <n v="20"/>
    <n v="62"/>
    <n v="6.4"/>
  </r>
  <r>
    <x v="10"/>
    <x v="10"/>
    <d v="2021-09-17T00:00:00"/>
    <s v="NA"/>
    <n v="0"/>
    <n v="89"/>
    <s v="81+"/>
    <x v="0"/>
    <x v="5"/>
    <x v="0"/>
    <x v="3"/>
    <n v="1"/>
    <n v="1"/>
    <n v="1.2"/>
    <x v="15"/>
    <n v="4"/>
    <n v="5"/>
    <n v="577279"/>
    <n v="185957"/>
    <n v="391322"/>
    <n v="24"/>
    <n v="63"/>
    <n v="10"/>
  </r>
  <r>
    <x v="10"/>
    <x v="10"/>
    <d v="2021-06-02T00:00:00"/>
    <s v="NA"/>
    <n v="0"/>
    <n v="25"/>
    <s v="21-40"/>
    <x v="0"/>
    <x v="2"/>
    <x v="1"/>
    <x v="0"/>
    <n v="1"/>
    <n v="1"/>
    <n v="1.6"/>
    <x v="10"/>
    <n v="6"/>
    <n v="4"/>
    <n v="534310"/>
    <n v="198369"/>
    <n v="335941"/>
    <n v="17"/>
    <n v="61"/>
    <n v="12.2"/>
  </r>
  <r>
    <x v="10"/>
    <x v="10"/>
    <d v="2023-02-19T00:00:00"/>
    <s v="NA"/>
    <n v="0"/>
    <n v="46"/>
    <s v="41-60"/>
    <x v="1"/>
    <x v="6"/>
    <x v="4"/>
    <x v="0"/>
    <n v="1"/>
    <n v="1"/>
    <n v="5.7"/>
    <x v="15"/>
    <n v="7"/>
    <n v="7"/>
    <n v="590919"/>
    <n v="233145"/>
    <n v="357774"/>
    <n v="22"/>
    <n v="65"/>
    <n v="8.9"/>
  </r>
  <r>
    <x v="10"/>
    <x v="10"/>
    <d v="2023-03-15T00:00:00"/>
    <s v="NA"/>
    <n v="0"/>
    <n v="29"/>
    <s v="21-40"/>
    <x v="0"/>
    <x v="2"/>
    <x v="1"/>
    <x v="1"/>
    <n v="1"/>
    <n v="1"/>
    <n v="1.6"/>
    <x v="20"/>
    <n v="5"/>
    <n v="5"/>
    <n v="597599"/>
    <n v="236585"/>
    <n v="361014"/>
    <n v="15"/>
    <n v="64"/>
    <n v="9.6"/>
  </r>
  <r>
    <x v="10"/>
    <x v="10"/>
    <d v="2023-10-20T00:00:00"/>
    <s v="NA"/>
    <n v="0"/>
    <n v="86"/>
    <s v="81+"/>
    <x v="1"/>
    <x v="3"/>
    <x v="2"/>
    <x v="4"/>
    <n v="1"/>
    <n v="1"/>
    <n v="4.5999999999999996"/>
    <x v="21"/>
    <n v="4"/>
    <n v="5"/>
    <n v="596905"/>
    <n v="254041"/>
    <n v="342864"/>
    <n v="22"/>
    <n v="66"/>
    <n v="14.9"/>
  </r>
  <r>
    <x v="10"/>
    <x v="10"/>
    <d v="2022-09-04T00:00:00"/>
    <s v="NA"/>
    <n v="0"/>
    <n v="27"/>
    <s v="21-40"/>
    <x v="1"/>
    <x v="3"/>
    <x v="2"/>
    <x v="0"/>
    <n v="1"/>
    <n v="1"/>
    <n v="6"/>
    <x v="9"/>
    <n v="5"/>
    <n v="6"/>
    <n v="536810"/>
    <n v="182014"/>
    <n v="354796"/>
    <n v="25"/>
    <n v="66"/>
    <n v="10.199999999999999"/>
  </r>
  <r>
    <x v="10"/>
    <x v="10"/>
    <d v="2022-04-12T00:00:00"/>
    <s v="NA"/>
    <n v="0"/>
    <n v="43"/>
    <s v="41-60"/>
    <x v="0"/>
    <x v="13"/>
    <x v="10"/>
    <x v="1"/>
    <n v="1"/>
    <n v="1"/>
    <n v="6.4"/>
    <x v="23"/>
    <n v="3"/>
    <n v="5"/>
    <n v="529019"/>
    <n v="212092"/>
    <n v="316927"/>
    <n v="22"/>
    <n v="64"/>
    <n v="9.6999999999999993"/>
  </r>
  <r>
    <x v="10"/>
    <x v="10"/>
    <d v="2024-01-24T00:00:00"/>
    <s v="NA"/>
    <n v="0"/>
    <n v="63"/>
    <s v="61-80"/>
    <x v="0"/>
    <x v="0"/>
    <x v="0"/>
    <x v="0"/>
    <n v="1"/>
    <n v="1"/>
    <n v="1.3"/>
    <x v="27"/>
    <n v="3"/>
    <n v="7"/>
    <n v="548505"/>
    <n v="221830"/>
    <n v="326675"/>
    <n v="21"/>
    <n v="55"/>
    <n v="8.5"/>
  </r>
  <r>
    <x v="10"/>
    <x v="10"/>
    <d v="2021-11-26T00:00:00"/>
    <s v="NA"/>
    <n v="0"/>
    <n v="40"/>
    <s v="21-40"/>
    <x v="0"/>
    <x v="7"/>
    <x v="5"/>
    <x v="0"/>
    <n v="1"/>
    <n v="1"/>
    <n v="2.4"/>
    <x v="25"/>
    <n v="4"/>
    <n v="7"/>
    <n v="582208"/>
    <n v="208348"/>
    <n v="373860"/>
    <n v="18"/>
    <n v="61"/>
    <n v="7.6"/>
  </r>
  <r>
    <x v="10"/>
    <x v="10"/>
    <d v="2023-04-01T00:00:00"/>
    <s v="NA"/>
    <n v="0"/>
    <n v="77"/>
    <s v="61-80"/>
    <x v="0"/>
    <x v="0"/>
    <x v="0"/>
    <x v="3"/>
    <n v="1"/>
    <n v="1"/>
    <n v="4.4000000000000004"/>
    <x v="2"/>
    <n v="7"/>
    <n v="6"/>
    <n v="556384"/>
    <n v="246422"/>
    <n v="309962"/>
    <n v="16"/>
    <n v="58"/>
    <n v="13.8"/>
  </r>
  <r>
    <x v="10"/>
    <x v="10"/>
    <d v="2021-04-10T00:00:00"/>
    <s v="NA"/>
    <n v="0"/>
    <n v="74"/>
    <s v="61-80"/>
    <x v="0"/>
    <x v="5"/>
    <x v="0"/>
    <x v="4"/>
    <n v="1"/>
    <n v="1"/>
    <n v="2.9"/>
    <x v="9"/>
    <n v="6"/>
    <n v="4"/>
    <n v="565999"/>
    <n v="210113"/>
    <n v="355886"/>
    <n v="24"/>
    <n v="54"/>
    <n v="12.7"/>
  </r>
  <r>
    <x v="10"/>
    <x v="10"/>
    <d v="2022-10-10T00:00:00"/>
    <s v="NA"/>
    <n v="0"/>
    <n v="43"/>
    <s v="41-60"/>
    <x v="1"/>
    <x v="3"/>
    <x v="2"/>
    <x v="3"/>
    <n v="1"/>
    <n v="1"/>
    <n v="5.0999999999999996"/>
    <x v="6"/>
    <n v="6"/>
    <n v="4"/>
    <n v="560916"/>
    <n v="213776"/>
    <n v="347140"/>
    <n v="18"/>
    <n v="63"/>
    <n v="8.1999999999999993"/>
  </r>
  <r>
    <x v="10"/>
    <x v="10"/>
    <d v="2024-01-02T00:00:00"/>
    <s v="NA"/>
    <n v="0"/>
    <n v="64"/>
    <s v="61-80"/>
    <x v="1"/>
    <x v="6"/>
    <x v="4"/>
    <x v="1"/>
    <n v="1"/>
    <n v="1"/>
    <n v="5.5"/>
    <x v="27"/>
    <n v="6"/>
    <n v="3"/>
    <n v="583569"/>
    <n v="242870"/>
    <n v="340699"/>
    <n v="23"/>
    <n v="61"/>
    <n v="13.5"/>
  </r>
  <r>
    <x v="10"/>
    <x v="10"/>
    <d v="2021-08-06T00:00:00"/>
    <s v="NA"/>
    <n v="0"/>
    <n v="69"/>
    <s v="61-80"/>
    <x v="0"/>
    <x v="7"/>
    <x v="5"/>
    <x v="0"/>
    <n v="1"/>
    <n v="1"/>
    <n v="4.5999999999999996"/>
    <x v="28"/>
    <n v="4"/>
    <n v="5"/>
    <n v="551963"/>
    <n v="211343"/>
    <n v="340620"/>
    <n v="18"/>
    <n v="56"/>
    <n v="13.7"/>
  </r>
  <r>
    <x v="10"/>
    <x v="10"/>
    <d v="2021-03-05T00:00:00"/>
    <s v="NA"/>
    <n v="0"/>
    <n v="29"/>
    <s v="21-40"/>
    <x v="1"/>
    <x v="12"/>
    <x v="9"/>
    <x v="2"/>
    <n v="1"/>
    <n v="1"/>
    <n v="4.5"/>
    <x v="17"/>
    <n v="5"/>
    <n v="3"/>
    <n v="536684"/>
    <n v="207730"/>
    <n v="328954"/>
    <n v="25"/>
    <n v="54"/>
    <n v="5.2"/>
  </r>
  <r>
    <x v="10"/>
    <x v="10"/>
    <d v="2021-08-04T00:00:00"/>
    <s v="NA"/>
    <n v="0"/>
    <n v="31"/>
    <s v="21-40"/>
    <x v="1"/>
    <x v="6"/>
    <x v="4"/>
    <x v="1"/>
    <n v="1"/>
    <n v="1"/>
    <n v="4.7"/>
    <x v="23"/>
    <n v="6"/>
    <n v="5"/>
    <n v="548180"/>
    <n v="171807"/>
    <n v="376373"/>
    <n v="15"/>
    <n v="61"/>
    <n v="5.2"/>
  </r>
  <r>
    <x v="10"/>
    <x v="10"/>
    <d v="2021-01-06T00:00:00"/>
    <s v="NA"/>
    <n v="0"/>
    <n v="52"/>
    <s v="41-60"/>
    <x v="1"/>
    <x v="11"/>
    <x v="8"/>
    <x v="2"/>
    <n v="1"/>
    <n v="1"/>
    <n v="6.4"/>
    <x v="21"/>
    <n v="7"/>
    <n v="6"/>
    <n v="574156"/>
    <n v="177804"/>
    <n v="396352"/>
    <n v="25"/>
    <n v="64"/>
    <n v="7"/>
  </r>
  <r>
    <x v="10"/>
    <x v="10"/>
    <d v="2024-07-01T00:00:00"/>
    <s v="NA"/>
    <n v="0"/>
    <n v="31"/>
    <s v="21-40"/>
    <x v="1"/>
    <x v="2"/>
    <x v="1"/>
    <x v="1"/>
    <n v="1"/>
    <n v="1"/>
    <n v="6"/>
    <x v="12"/>
    <n v="3"/>
    <n v="7"/>
    <n v="559191"/>
    <n v="195794"/>
    <n v="363397"/>
    <n v="20"/>
    <n v="63"/>
    <n v="6.1"/>
  </r>
  <r>
    <x v="10"/>
    <x v="10"/>
    <d v="2024-08-20T00:00:00"/>
    <s v="NA"/>
    <n v="0"/>
    <n v="72"/>
    <s v="61-80"/>
    <x v="0"/>
    <x v="6"/>
    <x v="4"/>
    <x v="3"/>
    <n v="1"/>
    <n v="1"/>
    <n v="3.3"/>
    <x v="26"/>
    <n v="7"/>
    <n v="6"/>
    <n v="593615"/>
    <n v="244254"/>
    <n v="349361"/>
    <n v="23"/>
    <n v="66"/>
    <n v="10.3"/>
  </r>
  <r>
    <x v="10"/>
    <x v="10"/>
    <d v="2021-03-23T00:00:00"/>
    <s v="NA"/>
    <n v="0"/>
    <n v="82"/>
    <s v="81+"/>
    <x v="1"/>
    <x v="10"/>
    <x v="8"/>
    <x v="3"/>
    <n v="1"/>
    <n v="1"/>
    <n v="1.5"/>
    <x v="12"/>
    <n v="7"/>
    <n v="6"/>
    <n v="532667"/>
    <n v="200211"/>
    <n v="332456"/>
    <n v="20"/>
    <n v="59"/>
    <n v="14.8"/>
  </r>
  <r>
    <x v="10"/>
    <x v="10"/>
    <d v="2024-12-12T00:00:00"/>
    <s v="NA"/>
    <n v="0"/>
    <n v="85"/>
    <s v="81+"/>
    <x v="1"/>
    <x v="3"/>
    <x v="2"/>
    <x v="1"/>
    <n v="1"/>
    <n v="1"/>
    <n v="2.2000000000000002"/>
    <x v="26"/>
    <n v="4"/>
    <n v="5"/>
    <n v="506375"/>
    <n v="204008"/>
    <n v="302367"/>
    <n v="21"/>
    <n v="54"/>
    <n v="14.1"/>
  </r>
  <r>
    <x v="10"/>
    <x v="10"/>
    <d v="2021-11-14T00:00:00"/>
    <s v="NA"/>
    <n v="0"/>
    <n v="43"/>
    <s v="41-60"/>
    <x v="1"/>
    <x v="2"/>
    <x v="1"/>
    <x v="0"/>
    <n v="1"/>
    <n v="1"/>
    <n v="4.9000000000000004"/>
    <x v="19"/>
    <n v="5"/>
    <n v="5"/>
    <n v="529540"/>
    <n v="209196"/>
    <n v="320344"/>
    <n v="25"/>
    <n v="66"/>
    <n v="12.7"/>
  </r>
  <r>
    <x v="10"/>
    <x v="10"/>
    <d v="2021-07-22T00:00:00"/>
    <s v="NA"/>
    <n v="0"/>
    <n v="66"/>
    <s v="61-80"/>
    <x v="1"/>
    <x v="11"/>
    <x v="8"/>
    <x v="4"/>
    <n v="1"/>
    <n v="1"/>
    <n v="5.0999999999999996"/>
    <x v="16"/>
    <n v="5"/>
    <n v="5"/>
    <n v="566170"/>
    <n v="168182"/>
    <n v="397988"/>
    <n v="15"/>
    <n v="63"/>
    <n v="12.6"/>
  </r>
  <r>
    <x v="10"/>
    <x v="10"/>
    <d v="2024-08-02T00:00:00"/>
    <s v="NA"/>
    <n v="0"/>
    <n v="56"/>
    <s v="41-60"/>
    <x v="0"/>
    <x v="0"/>
    <x v="0"/>
    <x v="2"/>
    <n v="1"/>
    <n v="1"/>
    <n v="4.8"/>
    <x v="27"/>
    <n v="6"/>
    <n v="6"/>
    <n v="504860"/>
    <n v="119525"/>
    <n v="385335"/>
    <n v="21"/>
    <n v="56"/>
    <n v="8.6"/>
  </r>
  <r>
    <x v="10"/>
    <x v="10"/>
    <d v="2024-01-07T00:00:00"/>
    <s v="NA"/>
    <n v="0"/>
    <n v="44"/>
    <s v="41-60"/>
    <x v="0"/>
    <x v="1"/>
    <x v="1"/>
    <x v="1"/>
    <n v="1"/>
    <n v="1"/>
    <n v="3"/>
    <x v="25"/>
    <n v="5"/>
    <n v="6"/>
    <n v="576908"/>
    <n v="274957"/>
    <n v="301951"/>
    <n v="15"/>
    <n v="55"/>
    <n v="10.4"/>
  </r>
  <r>
    <x v="10"/>
    <x v="10"/>
    <d v="2024-08-05T00:00:00"/>
    <s v="NA"/>
    <n v="0"/>
    <n v="47"/>
    <s v="41-60"/>
    <x v="0"/>
    <x v="6"/>
    <x v="4"/>
    <x v="2"/>
    <n v="1"/>
    <n v="1"/>
    <n v="4.5999999999999996"/>
    <x v="17"/>
    <n v="5"/>
    <n v="7"/>
    <n v="576366"/>
    <n v="209431"/>
    <n v="366935"/>
    <n v="16"/>
    <n v="66"/>
    <n v="10.8"/>
  </r>
  <r>
    <x v="10"/>
    <x v="10"/>
    <d v="2021-03-15T00:00:00"/>
    <s v="NA"/>
    <n v="0"/>
    <n v="46"/>
    <s v="41-60"/>
    <x v="0"/>
    <x v="0"/>
    <x v="0"/>
    <x v="2"/>
    <n v="1"/>
    <n v="1"/>
    <n v="4"/>
    <x v="23"/>
    <n v="5"/>
    <n v="4"/>
    <n v="561206"/>
    <n v="226291"/>
    <n v="334915"/>
    <n v="16"/>
    <n v="61"/>
    <n v="9.1"/>
  </r>
  <r>
    <x v="10"/>
    <x v="10"/>
    <d v="2021-04-30T00:00:00"/>
    <s v="NA"/>
    <n v="0"/>
    <n v="87"/>
    <s v="81+"/>
    <x v="0"/>
    <x v="7"/>
    <x v="5"/>
    <x v="4"/>
    <n v="1"/>
    <n v="1"/>
    <n v="4.4000000000000004"/>
    <x v="20"/>
    <n v="3"/>
    <n v="7"/>
    <n v="533538"/>
    <n v="203285"/>
    <n v="330253"/>
    <n v="25"/>
    <n v="62"/>
    <n v="14.4"/>
  </r>
  <r>
    <x v="4"/>
    <x v="4"/>
    <d v="2023-04-22T00:00:00"/>
    <s v="NA"/>
    <n v="0"/>
    <n v="90"/>
    <s v="81+"/>
    <x v="0"/>
    <x v="0"/>
    <x v="0"/>
    <x v="3"/>
    <n v="1"/>
    <n v="1"/>
    <n v="6.9"/>
    <x v="3"/>
    <n v="5"/>
    <n v="5"/>
    <n v="740082"/>
    <n v="100236"/>
    <n v="639846"/>
    <n v="33"/>
    <n v="66"/>
    <n v="8.1999999999999993"/>
  </r>
  <r>
    <x v="4"/>
    <x v="4"/>
    <d v="2023-05-04T00:00:00"/>
    <s v="NA"/>
    <n v="0"/>
    <n v="28"/>
    <s v="21-40"/>
    <x v="1"/>
    <x v="3"/>
    <x v="2"/>
    <x v="2"/>
    <n v="1"/>
    <n v="1"/>
    <n v="1.6"/>
    <x v="22"/>
    <n v="7"/>
    <n v="3"/>
    <n v="716360"/>
    <n v="110760"/>
    <n v="605600"/>
    <n v="31"/>
    <n v="57"/>
    <n v="8.5"/>
  </r>
  <r>
    <x v="4"/>
    <x v="4"/>
    <d v="2024-07-05T00:00:00"/>
    <s v="NA"/>
    <n v="0"/>
    <n v="56"/>
    <s v="41-60"/>
    <x v="0"/>
    <x v="0"/>
    <x v="0"/>
    <x v="2"/>
    <n v="1"/>
    <n v="1"/>
    <n v="1.5"/>
    <x v="6"/>
    <n v="3"/>
    <n v="6"/>
    <n v="887310"/>
    <n v="322697"/>
    <n v="564613"/>
    <n v="31"/>
    <n v="61"/>
    <n v="7.9"/>
  </r>
  <r>
    <x v="4"/>
    <x v="4"/>
    <d v="2021-08-04T00:00:00"/>
    <s v="NA"/>
    <n v="0"/>
    <n v="83"/>
    <s v="81+"/>
    <x v="1"/>
    <x v="4"/>
    <x v="3"/>
    <x v="0"/>
    <n v="1"/>
    <n v="1"/>
    <n v="2.2000000000000002"/>
    <x v="0"/>
    <n v="4"/>
    <n v="7"/>
    <n v="623439"/>
    <n v="-9733"/>
    <n v="633172"/>
    <n v="35"/>
    <n v="60"/>
    <n v="8.6999999999999993"/>
  </r>
  <r>
    <x v="4"/>
    <x v="4"/>
    <d v="2021-03-17T00:00:00"/>
    <s v="NA"/>
    <n v="0"/>
    <n v="87"/>
    <s v="81+"/>
    <x v="0"/>
    <x v="0"/>
    <x v="0"/>
    <x v="4"/>
    <n v="1"/>
    <n v="1"/>
    <n v="1.6"/>
    <x v="14"/>
    <n v="6"/>
    <n v="7"/>
    <n v="820594"/>
    <n v="174316"/>
    <n v="646278"/>
    <n v="30"/>
    <n v="55"/>
    <n v="7"/>
  </r>
  <r>
    <x v="4"/>
    <x v="4"/>
    <d v="2023-09-29T00:00:00"/>
    <s v="NA"/>
    <n v="0"/>
    <n v="60"/>
    <s v="41-60"/>
    <x v="1"/>
    <x v="2"/>
    <x v="1"/>
    <x v="2"/>
    <n v="1"/>
    <n v="1"/>
    <n v="5.8"/>
    <x v="30"/>
    <n v="4"/>
    <n v="5"/>
    <n v="669235"/>
    <n v="152012"/>
    <n v="517223"/>
    <n v="40"/>
    <n v="65"/>
    <n v="6.2"/>
  </r>
  <r>
    <x v="4"/>
    <x v="4"/>
    <d v="2022-05-11T00:00:00"/>
    <s v="NA"/>
    <n v="0"/>
    <n v="56"/>
    <s v="41-60"/>
    <x v="0"/>
    <x v="2"/>
    <x v="1"/>
    <x v="1"/>
    <n v="1"/>
    <n v="1"/>
    <n v="2.2999999999999998"/>
    <x v="8"/>
    <n v="3"/>
    <n v="3"/>
    <n v="657867"/>
    <n v="156491"/>
    <n v="501376"/>
    <n v="36"/>
    <n v="60"/>
    <n v="12.6"/>
  </r>
  <r>
    <x v="4"/>
    <x v="4"/>
    <d v="2023-09-18T00:00:00"/>
    <s v="NA"/>
    <n v="0"/>
    <n v="43"/>
    <s v="41-60"/>
    <x v="1"/>
    <x v="12"/>
    <x v="9"/>
    <x v="4"/>
    <n v="1"/>
    <n v="1"/>
    <n v="2.7"/>
    <x v="27"/>
    <n v="3"/>
    <n v="6"/>
    <n v="731558"/>
    <n v="201583"/>
    <n v="529975"/>
    <n v="40"/>
    <n v="60"/>
    <n v="10.7"/>
  </r>
  <r>
    <x v="4"/>
    <x v="4"/>
    <d v="2023-09-13T00:00:00"/>
    <s v="NA"/>
    <n v="0"/>
    <n v="50"/>
    <s v="41-60"/>
    <x v="0"/>
    <x v="0"/>
    <x v="0"/>
    <x v="3"/>
    <n v="1"/>
    <n v="1"/>
    <n v="4.4000000000000004"/>
    <x v="4"/>
    <n v="7"/>
    <n v="7"/>
    <n v="872581"/>
    <n v="368218"/>
    <n v="504363"/>
    <n v="34"/>
    <n v="65"/>
    <n v="12"/>
  </r>
  <r>
    <x v="4"/>
    <x v="4"/>
    <d v="2023-09-26T00:00:00"/>
    <s v="NA"/>
    <n v="0"/>
    <n v="57"/>
    <s v="41-60"/>
    <x v="0"/>
    <x v="2"/>
    <x v="1"/>
    <x v="4"/>
    <n v="1"/>
    <n v="1"/>
    <n v="2.7"/>
    <x v="3"/>
    <n v="7"/>
    <n v="3"/>
    <n v="635723"/>
    <n v="118785"/>
    <n v="516938"/>
    <n v="36"/>
    <n v="66"/>
    <n v="6.6"/>
  </r>
  <r>
    <x v="4"/>
    <x v="4"/>
    <d v="2024-02-27T00:00:00"/>
    <s v="NA"/>
    <n v="0"/>
    <n v="73"/>
    <s v="61-80"/>
    <x v="1"/>
    <x v="3"/>
    <x v="2"/>
    <x v="1"/>
    <n v="1"/>
    <n v="1"/>
    <n v="4.2"/>
    <x v="25"/>
    <n v="3"/>
    <n v="5"/>
    <n v="820679"/>
    <n v="240896"/>
    <n v="579783"/>
    <n v="39"/>
    <n v="57"/>
    <n v="5.5"/>
  </r>
  <r>
    <x v="4"/>
    <x v="4"/>
    <d v="2021-12-27T00:00:00"/>
    <s v="NA"/>
    <n v="0"/>
    <n v="46"/>
    <s v="41-60"/>
    <x v="0"/>
    <x v="1"/>
    <x v="1"/>
    <x v="3"/>
    <n v="1"/>
    <n v="1"/>
    <n v="4.8"/>
    <x v="1"/>
    <n v="4"/>
    <n v="4"/>
    <n v="881519"/>
    <n v="325143"/>
    <n v="556376"/>
    <n v="40"/>
    <n v="54"/>
    <n v="10.1"/>
  </r>
  <r>
    <x v="4"/>
    <x v="4"/>
    <d v="2024-03-18T00:00:00"/>
    <s v="NA"/>
    <n v="0"/>
    <n v="62"/>
    <s v="61-80"/>
    <x v="1"/>
    <x v="9"/>
    <x v="7"/>
    <x v="3"/>
    <n v="1"/>
    <n v="1"/>
    <n v="3.8"/>
    <x v="10"/>
    <n v="5"/>
    <n v="6"/>
    <n v="851432"/>
    <n v="351144"/>
    <n v="500288"/>
    <n v="35"/>
    <n v="59"/>
    <n v="10.5"/>
  </r>
  <r>
    <x v="4"/>
    <x v="4"/>
    <d v="2024-01-29T00:00:00"/>
    <s v="NA"/>
    <n v="0"/>
    <n v="33"/>
    <s v="21-40"/>
    <x v="0"/>
    <x v="0"/>
    <x v="0"/>
    <x v="0"/>
    <n v="1"/>
    <n v="1"/>
    <n v="6.3"/>
    <x v="25"/>
    <n v="6"/>
    <n v="3"/>
    <n v="678462"/>
    <n v="138288"/>
    <n v="540174"/>
    <n v="30"/>
    <n v="66"/>
    <n v="5.3"/>
  </r>
  <r>
    <x v="4"/>
    <x v="4"/>
    <d v="2022-07-31T00:00:00"/>
    <s v="NA"/>
    <n v="0"/>
    <n v="28"/>
    <s v="21-40"/>
    <x v="1"/>
    <x v="12"/>
    <x v="9"/>
    <x v="2"/>
    <n v="1"/>
    <n v="1"/>
    <n v="3"/>
    <x v="24"/>
    <n v="3"/>
    <n v="7"/>
    <n v="794699"/>
    <n v="150490"/>
    <n v="644209"/>
    <n v="35"/>
    <n v="59"/>
    <n v="14.2"/>
  </r>
  <r>
    <x v="4"/>
    <x v="4"/>
    <d v="2022-07-01T00:00:00"/>
    <s v="NA"/>
    <n v="0"/>
    <n v="81"/>
    <s v="81+"/>
    <x v="0"/>
    <x v="4"/>
    <x v="3"/>
    <x v="3"/>
    <n v="1"/>
    <n v="1"/>
    <n v="4.8"/>
    <x v="28"/>
    <n v="7"/>
    <n v="7"/>
    <n v="783174"/>
    <n v="273801"/>
    <n v="509373"/>
    <n v="34"/>
    <n v="58"/>
    <n v="12.8"/>
  </r>
  <r>
    <x v="4"/>
    <x v="4"/>
    <d v="2023-02-14T00:00:00"/>
    <s v="NA"/>
    <n v="0"/>
    <n v="34"/>
    <s v="21-40"/>
    <x v="1"/>
    <x v="9"/>
    <x v="7"/>
    <x v="1"/>
    <n v="1"/>
    <n v="1"/>
    <n v="5.3"/>
    <x v="18"/>
    <n v="4"/>
    <n v="4"/>
    <n v="672368"/>
    <n v="33870"/>
    <n v="638498"/>
    <n v="33"/>
    <n v="61"/>
    <n v="12.9"/>
  </r>
  <r>
    <x v="4"/>
    <x v="4"/>
    <d v="2024-01-26T00:00:00"/>
    <s v="NA"/>
    <n v="0"/>
    <n v="72"/>
    <s v="61-80"/>
    <x v="0"/>
    <x v="5"/>
    <x v="0"/>
    <x v="3"/>
    <n v="1"/>
    <n v="1"/>
    <n v="7"/>
    <x v="29"/>
    <n v="4"/>
    <n v="7"/>
    <n v="889573"/>
    <n v="250567"/>
    <n v="639006"/>
    <n v="34"/>
    <n v="65"/>
    <n v="9.5"/>
  </r>
  <r>
    <x v="4"/>
    <x v="4"/>
    <d v="2023-09-06T00:00:00"/>
    <s v="NA"/>
    <n v="0"/>
    <n v="24"/>
    <s v="21-40"/>
    <x v="1"/>
    <x v="10"/>
    <x v="8"/>
    <x v="0"/>
    <n v="1"/>
    <n v="1"/>
    <n v="4.3"/>
    <x v="1"/>
    <n v="6"/>
    <n v="3"/>
    <n v="650934"/>
    <n v="51498"/>
    <n v="599436"/>
    <n v="35"/>
    <n v="61"/>
    <n v="9.6999999999999993"/>
  </r>
  <r>
    <x v="4"/>
    <x v="4"/>
    <d v="2024-11-28T00:00:00"/>
    <s v="NA"/>
    <n v="0"/>
    <n v="53"/>
    <s v="41-60"/>
    <x v="0"/>
    <x v="4"/>
    <x v="3"/>
    <x v="2"/>
    <n v="1"/>
    <n v="1"/>
    <n v="5.3"/>
    <x v="5"/>
    <n v="7"/>
    <n v="6"/>
    <n v="727509"/>
    <n v="104431"/>
    <n v="623078"/>
    <n v="35"/>
    <n v="57"/>
    <n v="36.6"/>
  </r>
  <r>
    <x v="4"/>
    <x v="4"/>
    <d v="2023-06-05T00:00:00"/>
    <s v="NA"/>
    <n v="0"/>
    <n v="36"/>
    <s v="21-40"/>
    <x v="0"/>
    <x v="2"/>
    <x v="1"/>
    <x v="2"/>
    <n v="1"/>
    <n v="1"/>
    <n v="2.2000000000000002"/>
    <x v="11"/>
    <n v="4"/>
    <n v="7"/>
    <n v="805390"/>
    <n v="222370"/>
    <n v="583020"/>
    <n v="32"/>
    <n v="56"/>
    <n v="7.3"/>
  </r>
  <r>
    <x v="4"/>
    <x v="4"/>
    <d v="2024-04-07T00:00:00"/>
    <s v="NA"/>
    <n v="0"/>
    <n v="32"/>
    <s v="21-40"/>
    <x v="1"/>
    <x v="10"/>
    <x v="8"/>
    <x v="2"/>
    <n v="1"/>
    <n v="1"/>
    <n v="1.9"/>
    <x v="9"/>
    <n v="4"/>
    <n v="5"/>
    <n v="771875"/>
    <n v="250820"/>
    <n v="521055"/>
    <n v="33"/>
    <n v="62"/>
    <n v="8.8000000000000007"/>
  </r>
  <r>
    <x v="4"/>
    <x v="4"/>
    <d v="2021-07-29T00:00:00"/>
    <s v="NA"/>
    <n v="0"/>
    <n v="70"/>
    <s v="61-80"/>
    <x v="0"/>
    <x v="0"/>
    <x v="0"/>
    <x v="4"/>
    <n v="1"/>
    <n v="1"/>
    <n v="6.3"/>
    <x v="26"/>
    <n v="3"/>
    <n v="7"/>
    <n v="781423"/>
    <n v="164759"/>
    <n v="616664"/>
    <n v="34"/>
    <n v="55"/>
    <n v="13.7"/>
  </r>
  <r>
    <x v="4"/>
    <x v="4"/>
    <d v="2021-09-13T00:00:00"/>
    <s v="NA"/>
    <n v="0"/>
    <n v="58"/>
    <s v="41-60"/>
    <x v="0"/>
    <x v="5"/>
    <x v="0"/>
    <x v="1"/>
    <n v="1"/>
    <n v="1"/>
    <n v="3.4"/>
    <x v="6"/>
    <n v="3"/>
    <n v="6"/>
    <n v="654216"/>
    <n v="129443"/>
    <n v="524773"/>
    <n v="33"/>
    <n v="55"/>
    <n v="9.3000000000000007"/>
  </r>
  <r>
    <x v="4"/>
    <x v="4"/>
    <d v="2021-01-04T00:00:00"/>
    <s v="NA"/>
    <n v="0"/>
    <n v="45"/>
    <s v="41-60"/>
    <x v="1"/>
    <x v="3"/>
    <x v="2"/>
    <x v="2"/>
    <n v="1"/>
    <n v="1"/>
    <n v="6.3"/>
    <x v="29"/>
    <n v="5"/>
    <n v="4"/>
    <n v="603354"/>
    <n v="-16338"/>
    <n v="619692"/>
    <n v="32"/>
    <n v="64"/>
    <n v="12.6"/>
  </r>
  <r>
    <x v="4"/>
    <x v="4"/>
    <d v="2022-03-12T00:00:00"/>
    <s v="NA"/>
    <n v="0"/>
    <n v="55"/>
    <s v="41-60"/>
    <x v="1"/>
    <x v="2"/>
    <x v="1"/>
    <x v="1"/>
    <n v="1"/>
    <n v="1"/>
    <n v="6.4"/>
    <x v="10"/>
    <n v="7"/>
    <n v="3"/>
    <n v="784962"/>
    <n v="260405"/>
    <n v="524557"/>
    <n v="36"/>
    <n v="62"/>
    <n v="9.6"/>
  </r>
  <r>
    <x v="4"/>
    <x v="4"/>
    <d v="2023-12-14T00:00:00"/>
    <s v="NA"/>
    <n v="0"/>
    <n v="70"/>
    <s v="61-80"/>
    <x v="1"/>
    <x v="3"/>
    <x v="2"/>
    <x v="0"/>
    <n v="1"/>
    <n v="1"/>
    <n v="5.0999999999999996"/>
    <x v="10"/>
    <n v="3"/>
    <n v="5"/>
    <n v="631049"/>
    <n v="11608"/>
    <n v="619441"/>
    <n v="34"/>
    <n v="54"/>
    <n v="6.9"/>
  </r>
  <r>
    <x v="4"/>
    <x v="4"/>
    <d v="2024-08-01T00:00:00"/>
    <s v="NA"/>
    <n v="0"/>
    <n v="68"/>
    <s v="61-80"/>
    <x v="0"/>
    <x v="0"/>
    <x v="0"/>
    <x v="0"/>
    <n v="1"/>
    <n v="1"/>
    <n v="6.2"/>
    <x v="16"/>
    <n v="5"/>
    <n v="3"/>
    <n v="745773"/>
    <n v="201248"/>
    <n v="544525"/>
    <n v="39"/>
    <n v="62"/>
    <n v="8.8000000000000007"/>
  </r>
  <r>
    <x v="4"/>
    <x v="4"/>
    <d v="2023-05-03T00:00:00"/>
    <s v="NA"/>
    <n v="0"/>
    <n v="23"/>
    <s v="21-40"/>
    <x v="0"/>
    <x v="13"/>
    <x v="10"/>
    <x v="2"/>
    <n v="1"/>
    <n v="1"/>
    <n v="3.3"/>
    <x v="20"/>
    <n v="3"/>
    <n v="5"/>
    <n v="867315"/>
    <n v="243769"/>
    <n v="623546"/>
    <n v="33"/>
    <n v="63"/>
    <n v="5.5"/>
  </r>
  <r>
    <x v="4"/>
    <x v="4"/>
    <d v="2024-08-08T00:00:00"/>
    <s v="NA"/>
    <n v="0"/>
    <n v="44"/>
    <s v="41-60"/>
    <x v="1"/>
    <x v="4"/>
    <x v="3"/>
    <x v="3"/>
    <n v="1"/>
    <n v="1"/>
    <n v="2.7"/>
    <x v="12"/>
    <n v="5"/>
    <n v="5"/>
    <n v="868406"/>
    <n v="332330"/>
    <n v="536076"/>
    <n v="30"/>
    <n v="61"/>
    <n v="12.1"/>
  </r>
  <r>
    <x v="4"/>
    <x v="4"/>
    <d v="2021-04-12T00:00:00"/>
    <s v="NA"/>
    <n v="0"/>
    <n v="36"/>
    <s v="21-40"/>
    <x v="0"/>
    <x v="5"/>
    <x v="0"/>
    <x v="4"/>
    <n v="1"/>
    <n v="1"/>
    <n v="4.4000000000000004"/>
    <x v="26"/>
    <n v="5"/>
    <n v="6"/>
    <n v="660161"/>
    <n v="134241"/>
    <n v="525920"/>
    <n v="33"/>
    <n v="66"/>
    <n v="12.1"/>
  </r>
  <r>
    <x v="4"/>
    <x v="4"/>
    <d v="2023-04-28T00:00:00"/>
    <s v="NA"/>
    <n v="0"/>
    <n v="79"/>
    <s v="61-80"/>
    <x v="0"/>
    <x v="0"/>
    <x v="0"/>
    <x v="4"/>
    <n v="1"/>
    <n v="1"/>
    <n v="2.9"/>
    <x v="16"/>
    <n v="4"/>
    <n v="3"/>
    <n v="840435"/>
    <n v="206621"/>
    <n v="633814"/>
    <n v="32"/>
    <n v="66"/>
    <n v="8.8000000000000007"/>
  </r>
  <r>
    <x v="4"/>
    <x v="4"/>
    <d v="2021-08-16T00:00:00"/>
    <s v="NA"/>
    <n v="0"/>
    <n v="62"/>
    <s v="61-80"/>
    <x v="0"/>
    <x v="7"/>
    <x v="5"/>
    <x v="4"/>
    <n v="1"/>
    <n v="1"/>
    <n v="6.2"/>
    <x v="19"/>
    <n v="7"/>
    <n v="5"/>
    <n v="896884"/>
    <n v="323594"/>
    <n v="573290"/>
    <n v="30"/>
    <n v="62"/>
    <n v="7.2"/>
  </r>
  <r>
    <x v="4"/>
    <x v="4"/>
    <d v="2021-01-17T00:00:00"/>
    <s v="NA"/>
    <n v="0"/>
    <n v="39"/>
    <s v="21-40"/>
    <x v="1"/>
    <x v="6"/>
    <x v="4"/>
    <x v="0"/>
    <n v="1"/>
    <n v="1"/>
    <n v="3.9"/>
    <x v="9"/>
    <n v="4"/>
    <n v="6"/>
    <n v="647304"/>
    <n v="64856"/>
    <n v="582448"/>
    <n v="38"/>
    <n v="62"/>
    <n v="14.8"/>
  </r>
  <r>
    <x v="10"/>
    <x v="10"/>
    <d v="2024-05-04T00:00:00"/>
    <s v="NA"/>
    <n v="0"/>
    <n v="86"/>
    <s v="81+"/>
    <x v="1"/>
    <x v="2"/>
    <x v="1"/>
    <x v="3"/>
    <n v="1"/>
    <n v="1"/>
    <n v="6.1"/>
    <x v="27"/>
    <n v="3"/>
    <n v="6"/>
    <n v="541009"/>
    <n v="160786"/>
    <n v="380223"/>
    <n v="18"/>
    <n v="55"/>
    <n v="14.4"/>
  </r>
  <r>
    <x v="4"/>
    <x v="4"/>
    <d v="2024-10-30T00:00:00"/>
    <s v="NA"/>
    <n v="0"/>
    <n v="50"/>
    <s v="41-60"/>
    <x v="1"/>
    <x v="8"/>
    <x v="6"/>
    <x v="0"/>
    <n v="1"/>
    <n v="1"/>
    <n v="6.1"/>
    <x v="19"/>
    <n v="4"/>
    <n v="3"/>
    <n v="688466"/>
    <n v="112335"/>
    <n v="576131"/>
    <n v="38"/>
    <n v="55"/>
    <n v="10.5"/>
  </r>
  <r>
    <x v="10"/>
    <x v="10"/>
    <d v="2022-07-24T00:00:00"/>
    <s v="NA"/>
    <n v="0"/>
    <n v="42"/>
    <s v="41-60"/>
    <x v="1"/>
    <x v="4"/>
    <x v="3"/>
    <x v="2"/>
    <n v="1"/>
    <n v="1"/>
    <n v="2.1"/>
    <x v="17"/>
    <n v="3"/>
    <n v="4"/>
    <n v="522859"/>
    <n v="134111"/>
    <n v="388748"/>
    <n v="21"/>
    <n v="55"/>
    <n v="13.3"/>
  </r>
  <r>
    <x v="4"/>
    <x v="4"/>
    <d v="2024-07-27T00:00:00"/>
    <s v="NA"/>
    <n v="0"/>
    <n v="40"/>
    <s v="21-40"/>
    <x v="1"/>
    <x v="3"/>
    <x v="2"/>
    <x v="3"/>
    <n v="1"/>
    <n v="1"/>
    <n v="2.5"/>
    <x v="3"/>
    <n v="7"/>
    <n v="4"/>
    <n v="646756"/>
    <n v="15805"/>
    <n v="630951"/>
    <n v="30"/>
    <n v="59"/>
    <n v="6.4"/>
  </r>
  <r>
    <x v="10"/>
    <x v="10"/>
    <d v="2021-08-06T00:00:00"/>
    <s v="NA"/>
    <n v="0"/>
    <n v="29"/>
    <s v="21-40"/>
    <x v="0"/>
    <x v="5"/>
    <x v="0"/>
    <x v="0"/>
    <n v="1"/>
    <n v="1"/>
    <n v="3.4"/>
    <x v="2"/>
    <n v="7"/>
    <n v="6"/>
    <n v="506750"/>
    <n v="206353"/>
    <n v="300397"/>
    <n v="17"/>
    <n v="59"/>
    <n v="36.700000000000003"/>
  </r>
  <r>
    <x v="10"/>
    <x v="10"/>
    <d v="2021-06-26T00:00:00"/>
    <s v="NA"/>
    <n v="0"/>
    <n v="30"/>
    <s v="21-40"/>
    <x v="0"/>
    <x v="0"/>
    <x v="0"/>
    <x v="1"/>
    <n v="1"/>
    <n v="1"/>
    <n v="4.5999999999999996"/>
    <x v="15"/>
    <n v="4"/>
    <n v="6"/>
    <n v="573232"/>
    <n v="196687"/>
    <n v="376545"/>
    <n v="22"/>
    <n v="57"/>
    <n v="14.9"/>
  </r>
  <r>
    <x v="4"/>
    <x v="4"/>
    <d v="2022-11-30T00:00:00"/>
    <s v="NA"/>
    <n v="0"/>
    <n v="71"/>
    <s v="61-80"/>
    <x v="0"/>
    <x v="0"/>
    <x v="0"/>
    <x v="0"/>
    <n v="1"/>
    <n v="1"/>
    <n v="3.4"/>
    <x v="30"/>
    <n v="7"/>
    <n v="5"/>
    <n v="798773"/>
    <n v="232321"/>
    <n v="566452"/>
    <n v="36"/>
    <n v="65"/>
    <n v="14.1"/>
  </r>
  <r>
    <x v="10"/>
    <x v="10"/>
    <d v="2024-09-27T00:00:00"/>
    <s v="NA"/>
    <n v="0"/>
    <n v="37"/>
    <s v="21-40"/>
    <x v="1"/>
    <x v="4"/>
    <x v="3"/>
    <x v="3"/>
    <n v="1"/>
    <n v="1"/>
    <n v="6.5"/>
    <x v="26"/>
    <n v="6"/>
    <n v="7"/>
    <n v="576599"/>
    <n v="260783"/>
    <n v="315816"/>
    <n v="23"/>
    <n v="64"/>
    <n v="14.1"/>
  </r>
  <r>
    <x v="4"/>
    <x v="4"/>
    <d v="2024-06-12T00:00:00"/>
    <s v="NA"/>
    <n v="0"/>
    <n v="29"/>
    <s v="21-40"/>
    <x v="0"/>
    <x v="7"/>
    <x v="5"/>
    <x v="0"/>
    <n v="1"/>
    <n v="1"/>
    <n v="5.8"/>
    <x v="16"/>
    <n v="6"/>
    <n v="6"/>
    <n v="844085"/>
    <n v="239604"/>
    <n v="604481"/>
    <n v="37"/>
    <n v="64"/>
    <n v="13.6"/>
  </r>
  <r>
    <x v="10"/>
    <x v="10"/>
    <d v="2023-12-20T00:00:00"/>
    <s v="NA"/>
    <n v="0"/>
    <n v="41"/>
    <s v="41-60"/>
    <x v="1"/>
    <x v="3"/>
    <x v="2"/>
    <x v="1"/>
    <n v="1"/>
    <n v="1"/>
    <n v="3.3"/>
    <x v="23"/>
    <n v="5"/>
    <n v="6"/>
    <n v="575159"/>
    <n v="230075"/>
    <n v="345084"/>
    <n v="19"/>
    <n v="61"/>
    <n v="14.1"/>
  </r>
  <r>
    <x v="10"/>
    <x v="10"/>
    <d v="2023-01-24T00:00:00"/>
    <s v="NA"/>
    <n v="0"/>
    <n v="48"/>
    <s v="41-60"/>
    <x v="1"/>
    <x v="10"/>
    <x v="8"/>
    <x v="4"/>
    <n v="1"/>
    <n v="1"/>
    <n v="3.3"/>
    <x v="11"/>
    <n v="5"/>
    <n v="4"/>
    <n v="579886"/>
    <n v="259166"/>
    <n v="320720"/>
    <n v="20"/>
    <n v="57"/>
    <n v="12.1"/>
  </r>
  <r>
    <x v="10"/>
    <x v="10"/>
    <d v="2021-12-15T00:00:00"/>
    <s v="NA"/>
    <n v="0"/>
    <n v="39"/>
    <s v="21-40"/>
    <x v="1"/>
    <x v="11"/>
    <x v="8"/>
    <x v="0"/>
    <n v="1"/>
    <n v="1"/>
    <n v="3.6"/>
    <x v="20"/>
    <n v="4"/>
    <n v="6"/>
    <n v="554080"/>
    <n v="164198"/>
    <n v="389882"/>
    <n v="22"/>
    <n v="54"/>
    <n v="12.2"/>
  </r>
  <r>
    <x v="10"/>
    <x v="10"/>
    <d v="2024-08-18T00:00:00"/>
    <s v="NA"/>
    <n v="0"/>
    <n v="23"/>
    <s v="21-40"/>
    <x v="0"/>
    <x v="4"/>
    <x v="3"/>
    <x v="0"/>
    <n v="1"/>
    <n v="1"/>
    <n v="4.0999999999999996"/>
    <x v="8"/>
    <n v="5"/>
    <n v="4"/>
    <n v="596612"/>
    <n v="272569"/>
    <n v="324043"/>
    <n v="18"/>
    <n v="54"/>
    <n v="8.3000000000000007"/>
  </r>
  <r>
    <x v="10"/>
    <x v="10"/>
    <d v="2023-07-11T00:00:00"/>
    <s v="NA"/>
    <n v="0"/>
    <n v="40"/>
    <s v="21-40"/>
    <x v="1"/>
    <x v="12"/>
    <x v="9"/>
    <x v="4"/>
    <n v="1"/>
    <n v="1"/>
    <n v="4.0999999999999996"/>
    <x v="23"/>
    <n v="5"/>
    <n v="6"/>
    <n v="599310"/>
    <n v="235628"/>
    <n v="363682"/>
    <n v="21"/>
    <n v="57"/>
    <n v="8.6999999999999993"/>
  </r>
  <r>
    <x v="4"/>
    <x v="4"/>
    <d v="2021-07-01T00:00:00"/>
    <s v="NA"/>
    <n v="0"/>
    <n v="58"/>
    <s v="41-60"/>
    <x v="1"/>
    <x v="12"/>
    <x v="9"/>
    <x v="0"/>
    <n v="1"/>
    <n v="1"/>
    <n v="3.2"/>
    <x v="2"/>
    <n v="4"/>
    <n v="3"/>
    <n v="871554"/>
    <n v="229613"/>
    <n v="641941"/>
    <n v="36"/>
    <n v="62"/>
    <n v="6.3"/>
  </r>
  <r>
    <x v="10"/>
    <x v="10"/>
    <d v="2021-01-18T00:00:00"/>
    <s v="NA"/>
    <n v="0"/>
    <n v="37"/>
    <s v="21-40"/>
    <x v="1"/>
    <x v="6"/>
    <x v="4"/>
    <x v="3"/>
    <n v="1"/>
    <n v="1"/>
    <n v="6.4"/>
    <x v="17"/>
    <n v="4"/>
    <n v="4"/>
    <n v="593049"/>
    <n v="282271"/>
    <n v="310778"/>
    <n v="21"/>
    <n v="60"/>
    <n v="7.3"/>
  </r>
  <r>
    <x v="10"/>
    <x v="10"/>
    <d v="2024-08-02T00:00:00"/>
    <s v="NA"/>
    <n v="0"/>
    <n v="45"/>
    <s v="41-60"/>
    <x v="0"/>
    <x v="5"/>
    <x v="0"/>
    <x v="3"/>
    <n v="1"/>
    <n v="1"/>
    <n v="6.3"/>
    <x v="29"/>
    <n v="5"/>
    <n v="4"/>
    <n v="548960"/>
    <n v="175575"/>
    <n v="373385"/>
    <n v="15"/>
    <n v="63"/>
    <n v="6.7"/>
  </r>
  <r>
    <x v="10"/>
    <x v="10"/>
    <d v="2024-05-08T00:00:00"/>
    <s v="NA"/>
    <n v="0"/>
    <n v="25"/>
    <s v="21-40"/>
    <x v="1"/>
    <x v="6"/>
    <x v="4"/>
    <x v="1"/>
    <n v="1"/>
    <n v="1"/>
    <n v="4.5"/>
    <x v="25"/>
    <n v="5"/>
    <n v="3"/>
    <n v="584512"/>
    <n v="269967"/>
    <n v="314545"/>
    <n v="21"/>
    <n v="54"/>
    <n v="14"/>
  </r>
  <r>
    <x v="10"/>
    <x v="10"/>
    <d v="2023-09-12T00:00:00"/>
    <s v="NA"/>
    <n v="0"/>
    <n v="33"/>
    <s v="21-40"/>
    <x v="0"/>
    <x v="0"/>
    <x v="0"/>
    <x v="2"/>
    <n v="1"/>
    <n v="1"/>
    <n v="5.7"/>
    <x v="1"/>
    <n v="6"/>
    <n v="7"/>
    <n v="503047"/>
    <n v="148700"/>
    <n v="354347"/>
    <n v="19"/>
    <n v="64"/>
    <n v="9.5"/>
  </r>
  <r>
    <x v="10"/>
    <x v="10"/>
    <d v="2024-02-03T00:00:00"/>
    <s v="NA"/>
    <n v="0"/>
    <n v="80"/>
    <s v="61-80"/>
    <x v="0"/>
    <x v="6"/>
    <x v="4"/>
    <x v="4"/>
    <n v="1"/>
    <n v="1"/>
    <n v="1.2"/>
    <x v="21"/>
    <n v="7"/>
    <n v="3"/>
    <n v="509736"/>
    <n v="161039"/>
    <n v="348697"/>
    <n v="24"/>
    <n v="62"/>
    <n v="8.3000000000000007"/>
  </r>
  <r>
    <x v="4"/>
    <x v="4"/>
    <d v="2021-06-03T00:00:00"/>
    <s v="NA"/>
    <n v="0"/>
    <n v="88"/>
    <s v="81+"/>
    <x v="0"/>
    <x v="2"/>
    <x v="1"/>
    <x v="1"/>
    <n v="1"/>
    <n v="1"/>
    <n v="4.5"/>
    <x v="18"/>
    <n v="6"/>
    <n v="4"/>
    <n v="862728"/>
    <n v="219349"/>
    <n v="643379"/>
    <n v="36"/>
    <n v="59"/>
    <n v="5.2"/>
  </r>
  <r>
    <x v="10"/>
    <x v="10"/>
    <d v="2021-01-07T00:00:00"/>
    <s v="NA"/>
    <n v="0"/>
    <n v="62"/>
    <s v="61-80"/>
    <x v="0"/>
    <x v="7"/>
    <x v="5"/>
    <x v="2"/>
    <n v="1"/>
    <n v="1"/>
    <n v="5.6"/>
    <x v="13"/>
    <n v="6"/>
    <n v="5"/>
    <n v="593571"/>
    <n v="251523"/>
    <n v="342048"/>
    <n v="22"/>
    <n v="63"/>
    <n v="13.9"/>
  </r>
  <r>
    <x v="4"/>
    <x v="4"/>
    <d v="2021-11-27T00:00:00"/>
    <s v="NA"/>
    <n v="0"/>
    <n v="72"/>
    <s v="61-80"/>
    <x v="1"/>
    <x v="1"/>
    <x v="1"/>
    <x v="2"/>
    <n v="1"/>
    <n v="1"/>
    <n v="6"/>
    <x v="19"/>
    <n v="3"/>
    <n v="7"/>
    <n v="786708"/>
    <n v="220074"/>
    <n v="566634"/>
    <n v="31"/>
    <n v="66"/>
    <n v="12.7"/>
  </r>
  <r>
    <x v="4"/>
    <x v="4"/>
    <d v="2022-05-04T00:00:00"/>
    <s v="NA"/>
    <n v="0"/>
    <n v="39"/>
    <s v="21-40"/>
    <x v="0"/>
    <x v="1"/>
    <x v="1"/>
    <x v="1"/>
    <n v="1"/>
    <n v="1"/>
    <n v="2.7"/>
    <x v="8"/>
    <n v="5"/>
    <n v="6"/>
    <n v="700622"/>
    <n v="110423"/>
    <n v="590199"/>
    <n v="30"/>
    <n v="61"/>
    <n v="7.1"/>
  </r>
  <r>
    <x v="4"/>
    <x v="4"/>
    <d v="2024-08-14T00:00:00"/>
    <s v="NA"/>
    <n v="0"/>
    <n v="27"/>
    <s v="21-40"/>
    <x v="1"/>
    <x v="12"/>
    <x v="9"/>
    <x v="0"/>
    <n v="1"/>
    <n v="1"/>
    <n v="4.4000000000000004"/>
    <x v="22"/>
    <n v="6"/>
    <n v="4"/>
    <n v="720683"/>
    <n v="171429"/>
    <n v="549254"/>
    <n v="30"/>
    <n v="54"/>
    <n v="14.3"/>
  </r>
  <r>
    <x v="10"/>
    <x v="10"/>
    <d v="2024-02-09T00:00:00"/>
    <s v="NA"/>
    <n v="0"/>
    <n v="44"/>
    <s v="41-60"/>
    <x v="1"/>
    <x v="8"/>
    <x v="6"/>
    <x v="2"/>
    <n v="1"/>
    <n v="1"/>
    <n v="5.5"/>
    <x v="27"/>
    <n v="6"/>
    <n v="7"/>
    <n v="595883"/>
    <n v="222219"/>
    <n v="373664"/>
    <n v="24"/>
    <n v="63"/>
    <n v="5.7"/>
  </r>
  <r>
    <x v="4"/>
    <x v="4"/>
    <d v="2022-03-20T00:00:00"/>
    <s v="NA"/>
    <n v="0"/>
    <n v="61"/>
    <s v="61-80"/>
    <x v="1"/>
    <x v="13"/>
    <x v="10"/>
    <x v="3"/>
    <n v="1"/>
    <n v="1"/>
    <n v="6.9"/>
    <x v="23"/>
    <n v="7"/>
    <n v="3"/>
    <n v="759316"/>
    <n v="198969"/>
    <n v="560347"/>
    <n v="34"/>
    <n v="63"/>
    <n v="13.6"/>
  </r>
  <r>
    <x v="4"/>
    <x v="4"/>
    <d v="2024-09-08T00:00:00"/>
    <s v="NA"/>
    <n v="0"/>
    <n v="47"/>
    <s v="41-60"/>
    <x v="1"/>
    <x v="1"/>
    <x v="1"/>
    <x v="3"/>
    <n v="1"/>
    <n v="1"/>
    <n v="6.2"/>
    <x v="30"/>
    <n v="3"/>
    <n v="3"/>
    <n v="799259"/>
    <n v="290791"/>
    <n v="508468"/>
    <n v="40"/>
    <n v="61"/>
    <n v="12.1"/>
  </r>
  <r>
    <x v="10"/>
    <x v="10"/>
    <d v="2023-02-16T00:00:00"/>
    <s v="NA"/>
    <n v="0"/>
    <n v="43"/>
    <s v="41-60"/>
    <x v="1"/>
    <x v="10"/>
    <x v="8"/>
    <x v="1"/>
    <n v="1"/>
    <n v="1"/>
    <n v="3.9"/>
    <x v="11"/>
    <n v="5"/>
    <n v="6"/>
    <n v="568497"/>
    <n v="198571"/>
    <n v="369926"/>
    <n v="25"/>
    <n v="62"/>
    <n v="8.3000000000000007"/>
  </r>
  <r>
    <x v="4"/>
    <x v="4"/>
    <d v="2022-10-19T00:00:00"/>
    <s v="NA"/>
    <n v="0"/>
    <n v="72"/>
    <s v="61-80"/>
    <x v="0"/>
    <x v="1"/>
    <x v="1"/>
    <x v="2"/>
    <n v="1"/>
    <n v="1"/>
    <n v="3.6"/>
    <x v="18"/>
    <n v="5"/>
    <n v="3"/>
    <n v="882452"/>
    <n v="303519"/>
    <n v="578933"/>
    <n v="38"/>
    <n v="55"/>
    <n v="36"/>
  </r>
  <r>
    <x v="4"/>
    <x v="4"/>
    <d v="2024-05-29T00:00:00"/>
    <s v="NA"/>
    <n v="0"/>
    <n v="64"/>
    <s v="61-80"/>
    <x v="0"/>
    <x v="6"/>
    <x v="4"/>
    <x v="1"/>
    <n v="1"/>
    <n v="1"/>
    <n v="1.5"/>
    <x v="10"/>
    <n v="5"/>
    <n v="5"/>
    <n v="870551"/>
    <n v="318871"/>
    <n v="551680"/>
    <n v="33"/>
    <n v="60"/>
    <n v="36.9"/>
  </r>
  <r>
    <x v="4"/>
    <x v="4"/>
    <d v="2024-01-31T00:00:00"/>
    <s v="NA"/>
    <n v="0"/>
    <n v="44"/>
    <s v="41-60"/>
    <x v="0"/>
    <x v="6"/>
    <x v="4"/>
    <x v="3"/>
    <n v="1"/>
    <n v="1"/>
    <n v="1.9"/>
    <x v="1"/>
    <n v="5"/>
    <n v="3"/>
    <n v="859851"/>
    <n v="340952"/>
    <n v="518899"/>
    <n v="30"/>
    <n v="65"/>
    <n v="7.6"/>
  </r>
  <r>
    <x v="10"/>
    <x v="10"/>
    <d v="2023-07-07T00:00:00"/>
    <s v="NA"/>
    <n v="0"/>
    <n v="27"/>
    <s v="21-40"/>
    <x v="0"/>
    <x v="10"/>
    <x v="8"/>
    <x v="1"/>
    <n v="1"/>
    <n v="1"/>
    <n v="2.4"/>
    <x v="8"/>
    <n v="6"/>
    <n v="4"/>
    <n v="510365"/>
    <n v="178746"/>
    <n v="331619"/>
    <n v="23"/>
    <n v="58"/>
    <n v="13.9"/>
  </r>
  <r>
    <x v="4"/>
    <x v="4"/>
    <d v="2022-08-14T00:00:00"/>
    <s v="NA"/>
    <n v="0"/>
    <n v="38"/>
    <s v="21-40"/>
    <x v="0"/>
    <x v="0"/>
    <x v="0"/>
    <x v="0"/>
    <n v="1"/>
    <n v="1"/>
    <n v="5.4"/>
    <x v="6"/>
    <n v="6"/>
    <n v="4"/>
    <n v="647242"/>
    <n v="20192"/>
    <n v="627050"/>
    <n v="34"/>
    <n v="55"/>
    <n v="14"/>
  </r>
  <r>
    <x v="4"/>
    <x v="4"/>
    <d v="2022-08-08T00:00:00"/>
    <s v="NA"/>
    <n v="0"/>
    <n v="28"/>
    <s v="21-40"/>
    <x v="0"/>
    <x v="5"/>
    <x v="0"/>
    <x v="2"/>
    <n v="1"/>
    <n v="1"/>
    <n v="1"/>
    <x v="20"/>
    <n v="6"/>
    <n v="4"/>
    <n v="652100"/>
    <n v="66213"/>
    <n v="585887"/>
    <n v="30"/>
    <n v="54"/>
    <n v="9.4"/>
  </r>
  <r>
    <x v="4"/>
    <x v="4"/>
    <d v="2024-10-18T00:00:00"/>
    <s v="NA"/>
    <n v="0"/>
    <n v="81"/>
    <s v="81+"/>
    <x v="1"/>
    <x v="1"/>
    <x v="1"/>
    <x v="0"/>
    <n v="1"/>
    <n v="1"/>
    <n v="5.0999999999999996"/>
    <x v="19"/>
    <n v="4"/>
    <n v="4"/>
    <n v="759882"/>
    <n v="180036"/>
    <n v="579846"/>
    <n v="40"/>
    <n v="61"/>
    <n v="5.8"/>
  </r>
  <r>
    <x v="4"/>
    <x v="4"/>
    <d v="2023-06-09T00:00:00"/>
    <s v="NA"/>
    <n v="0"/>
    <n v="23"/>
    <s v="21-40"/>
    <x v="0"/>
    <x v="0"/>
    <x v="0"/>
    <x v="3"/>
    <n v="1"/>
    <n v="1"/>
    <n v="1.2"/>
    <x v="14"/>
    <n v="5"/>
    <n v="7"/>
    <n v="770938"/>
    <n v="181925"/>
    <n v="589013"/>
    <n v="35"/>
    <n v="66"/>
    <n v="9.3000000000000007"/>
  </r>
  <r>
    <x v="4"/>
    <x v="4"/>
    <d v="2023-07-31T00:00:00"/>
    <s v="NA"/>
    <n v="0"/>
    <n v="25"/>
    <s v="21-40"/>
    <x v="0"/>
    <x v="5"/>
    <x v="0"/>
    <x v="3"/>
    <n v="1"/>
    <n v="1"/>
    <n v="4.5"/>
    <x v="6"/>
    <n v="6"/>
    <n v="6"/>
    <n v="819995"/>
    <n v="227970"/>
    <n v="592025"/>
    <n v="38"/>
    <n v="63"/>
    <n v="6.5"/>
  </r>
  <r>
    <x v="4"/>
    <x v="4"/>
    <d v="2021-05-08T00:00:00"/>
    <s v="NA"/>
    <n v="0"/>
    <n v="53"/>
    <s v="41-60"/>
    <x v="0"/>
    <x v="0"/>
    <x v="0"/>
    <x v="2"/>
    <n v="1"/>
    <n v="1"/>
    <n v="6.6"/>
    <x v="21"/>
    <n v="7"/>
    <n v="4"/>
    <n v="793785"/>
    <n v="248884"/>
    <n v="544901"/>
    <n v="37"/>
    <n v="65"/>
    <n v="12.8"/>
  </r>
  <r>
    <x v="4"/>
    <x v="4"/>
    <d v="2023-06-17T00:00:00"/>
    <s v="NA"/>
    <n v="0"/>
    <n v="33"/>
    <s v="21-40"/>
    <x v="0"/>
    <x v="10"/>
    <x v="8"/>
    <x v="1"/>
    <n v="1"/>
    <n v="1"/>
    <n v="6.6"/>
    <x v="8"/>
    <n v="4"/>
    <n v="4"/>
    <n v="722819"/>
    <n v="139284"/>
    <n v="583535"/>
    <n v="39"/>
    <n v="55"/>
    <n v="7"/>
  </r>
  <r>
    <x v="4"/>
    <x v="4"/>
    <d v="2022-08-11T00:00:00"/>
    <s v="NA"/>
    <n v="0"/>
    <n v="25"/>
    <s v="21-40"/>
    <x v="0"/>
    <x v="6"/>
    <x v="4"/>
    <x v="2"/>
    <n v="1"/>
    <n v="1"/>
    <n v="2.2999999999999998"/>
    <x v="15"/>
    <n v="4"/>
    <n v="6"/>
    <n v="853467"/>
    <n v="352198"/>
    <n v="501269"/>
    <n v="38"/>
    <n v="55"/>
    <n v="7.2"/>
  </r>
  <r>
    <x v="4"/>
    <x v="4"/>
    <d v="2023-06-13T00:00:00"/>
    <s v="NA"/>
    <n v="0"/>
    <n v="47"/>
    <s v="41-60"/>
    <x v="0"/>
    <x v="2"/>
    <x v="1"/>
    <x v="0"/>
    <n v="1"/>
    <n v="1"/>
    <n v="6.7"/>
    <x v="24"/>
    <n v="6"/>
    <n v="3"/>
    <n v="606366"/>
    <n v="50840"/>
    <n v="555526"/>
    <n v="33"/>
    <n v="58"/>
    <n v="13.8"/>
  </r>
  <r>
    <x v="10"/>
    <x v="10"/>
    <d v="2022-11-10T00:00:00"/>
    <s v="NA"/>
    <n v="0"/>
    <n v="21"/>
    <s v="21-40"/>
    <x v="1"/>
    <x v="3"/>
    <x v="2"/>
    <x v="0"/>
    <n v="1"/>
    <n v="1"/>
    <n v="4.8"/>
    <x v="30"/>
    <n v="6"/>
    <n v="4"/>
    <n v="521551"/>
    <n v="185990"/>
    <n v="335561"/>
    <n v="22"/>
    <n v="58"/>
    <n v="7.5"/>
  </r>
  <r>
    <x v="10"/>
    <x v="10"/>
    <d v="2021-12-13T00:00:00"/>
    <s v="NA"/>
    <n v="0"/>
    <n v="47"/>
    <s v="41-60"/>
    <x v="1"/>
    <x v="10"/>
    <x v="8"/>
    <x v="0"/>
    <n v="1"/>
    <n v="1"/>
    <n v="5.0999999999999996"/>
    <x v="9"/>
    <n v="4"/>
    <n v="5"/>
    <n v="544144"/>
    <n v="223910"/>
    <n v="320234"/>
    <n v="20"/>
    <n v="62"/>
    <n v="6.4"/>
  </r>
  <r>
    <x v="4"/>
    <x v="4"/>
    <d v="2023-02-07T00:00:00"/>
    <s v="NA"/>
    <n v="0"/>
    <n v="31"/>
    <s v="21-40"/>
    <x v="0"/>
    <x v="2"/>
    <x v="1"/>
    <x v="1"/>
    <n v="1"/>
    <n v="1"/>
    <n v="4.8"/>
    <x v="4"/>
    <n v="4"/>
    <n v="5"/>
    <n v="791091"/>
    <n v="152725"/>
    <n v="638366"/>
    <n v="36"/>
    <n v="56"/>
    <n v="13"/>
  </r>
  <r>
    <x v="4"/>
    <x v="4"/>
    <d v="2021-09-10T00:00:00"/>
    <s v="NA"/>
    <n v="0"/>
    <n v="75"/>
    <s v="61-80"/>
    <x v="1"/>
    <x v="10"/>
    <x v="8"/>
    <x v="1"/>
    <n v="1"/>
    <n v="1"/>
    <n v="2.1"/>
    <x v="24"/>
    <n v="5"/>
    <n v="3"/>
    <n v="743916"/>
    <n v="123939"/>
    <n v="619977"/>
    <n v="39"/>
    <n v="59"/>
    <n v="13.5"/>
  </r>
  <r>
    <x v="10"/>
    <x v="10"/>
    <d v="2022-01-22T00:00:00"/>
    <s v="NA"/>
    <n v="0"/>
    <n v="52"/>
    <s v="41-60"/>
    <x v="0"/>
    <x v="2"/>
    <x v="1"/>
    <x v="1"/>
    <n v="1"/>
    <n v="1"/>
    <n v="4.9000000000000004"/>
    <x v="15"/>
    <n v="3"/>
    <n v="3"/>
    <n v="580027"/>
    <n v="194124"/>
    <n v="385903"/>
    <n v="15"/>
    <n v="56"/>
    <n v="7.6"/>
  </r>
  <r>
    <x v="4"/>
    <x v="4"/>
    <d v="2022-01-31T00:00:00"/>
    <s v="NA"/>
    <n v="0"/>
    <n v="84"/>
    <s v="81+"/>
    <x v="0"/>
    <x v="0"/>
    <x v="0"/>
    <x v="3"/>
    <n v="1"/>
    <n v="1"/>
    <n v="3.9"/>
    <x v="28"/>
    <n v="3"/>
    <n v="6"/>
    <n v="886407"/>
    <n v="327700"/>
    <n v="558707"/>
    <n v="30"/>
    <n v="66"/>
    <n v="7.4"/>
  </r>
  <r>
    <x v="4"/>
    <x v="4"/>
    <d v="2022-05-15T00:00:00"/>
    <s v="NA"/>
    <n v="0"/>
    <n v="34"/>
    <s v="21-40"/>
    <x v="1"/>
    <x v="10"/>
    <x v="8"/>
    <x v="4"/>
    <n v="1"/>
    <n v="1"/>
    <n v="3.7"/>
    <x v="5"/>
    <n v="3"/>
    <n v="6"/>
    <n v="702054"/>
    <n v="171085"/>
    <n v="530969"/>
    <n v="30"/>
    <n v="63"/>
    <n v="5.7"/>
  </r>
  <r>
    <x v="10"/>
    <x v="10"/>
    <d v="2024-12-04T00:00:00"/>
    <s v="NA"/>
    <n v="0"/>
    <n v="45"/>
    <s v="41-60"/>
    <x v="1"/>
    <x v="8"/>
    <x v="6"/>
    <x v="1"/>
    <n v="1"/>
    <n v="1"/>
    <n v="6.5"/>
    <x v="20"/>
    <n v="6"/>
    <n v="7"/>
    <n v="505672"/>
    <n v="162105"/>
    <n v="343567"/>
    <n v="25"/>
    <n v="62"/>
    <n v="12.9"/>
  </r>
  <r>
    <x v="10"/>
    <x v="10"/>
    <d v="2021-07-28T00:00:00"/>
    <s v="NA"/>
    <n v="0"/>
    <n v="36"/>
    <s v="21-40"/>
    <x v="1"/>
    <x v="4"/>
    <x v="3"/>
    <x v="1"/>
    <n v="1"/>
    <n v="1"/>
    <n v="2.7"/>
    <x v="27"/>
    <n v="6"/>
    <n v="5"/>
    <n v="538602"/>
    <n v="181922"/>
    <n v="356680"/>
    <n v="22"/>
    <n v="61"/>
    <n v="9"/>
  </r>
  <r>
    <x v="4"/>
    <x v="4"/>
    <d v="2023-06-11T00:00:00"/>
    <s v="NA"/>
    <n v="0"/>
    <n v="56"/>
    <s v="41-60"/>
    <x v="1"/>
    <x v="13"/>
    <x v="10"/>
    <x v="0"/>
    <n v="1"/>
    <n v="1"/>
    <n v="6.2"/>
    <x v="26"/>
    <n v="5"/>
    <n v="4"/>
    <n v="869040"/>
    <n v="268901"/>
    <n v="600139"/>
    <n v="33"/>
    <n v="59"/>
    <n v="14.6"/>
  </r>
  <r>
    <x v="4"/>
    <x v="4"/>
    <d v="2022-06-06T00:00:00"/>
    <s v="NA"/>
    <n v="0"/>
    <n v="33"/>
    <s v="21-40"/>
    <x v="1"/>
    <x v="3"/>
    <x v="2"/>
    <x v="3"/>
    <n v="1"/>
    <n v="1"/>
    <n v="6.5"/>
    <x v="6"/>
    <n v="4"/>
    <n v="4"/>
    <n v="723691"/>
    <n v="168587"/>
    <n v="555104"/>
    <n v="32"/>
    <n v="58"/>
    <n v="12.8"/>
  </r>
  <r>
    <x v="10"/>
    <x v="10"/>
    <d v="2023-07-25T00:00:00"/>
    <s v="NA"/>
    <n v="0"/>
    <n v="55"/>
    <s v="41-60"/>
    <x v="0"/>
    <x v="7"/>
    <x v="5"/>
    <x v="2"/>
    <n v="1"/>
    <n v="1"/>
    <n v="2.8"/>
    <x v="20"/>
    <n v="6"/>
    <n v="6"/>
    <n v="589984"/>
    <n v="254025"/>
    <n v="335959"/>
    <n v="17"/>
    <n v="60"/>
    <n v="14.6"/>
  </r>
  <r>
    <x v="10"/>
    <x v="10"/>
    <d v="2021-08-24T00:00:00"/>
    <s v="NA"/>
    <n v="0"/>
    <n v="64"/>
    <s v="61-80"/>
    <x v="0"/>
    <x v="14"/>
    <x v="11"/>
    <x v="2"/>
    <n v="1"/>
    <n v="1"/>
    <n v="1.6"/>
    <x v="7"/>
    <n v="4"/>
    <n v="5"/>
    <n v="578813"/>
    <n v="259545"/>
    <n v="319268"/>
    <n v="21"/>
    <n v="54"/>
    <n v="14.6"/>
  </r>
  <r>
    <x v="4"/>
    <x v="4"/>
    <d v="2024-07-29T00:00:00"/>
    <s v="NA"/>
    <n v="0"/>
    <n v="69"/>
    <s v="61-80"/>
    <x v="0"/>
    <x v="2"/>
    <x v="1"/>
    <x v="4"/>
    <n v="1"/>
    <n v="1"/>
    <n v="2.7"/>
    <x v="26"/>
    <n v="7"/>
    <n v="7"/>
    <n v="802367"/>
    <n v="155680"/>
    <n v="646687"/>
    <n v="36"/>
    <n v="57"/>
    <n v="10"/>
  </r>
  <r>
    <x v="4"/>
    <x v="4"/>
    <d v="2021-02-01T00:00:00"/>
    <s v="NA"/>
    <n v="0"/>
    <n v="50"/>
    <s v="41-60"/>
    <x v="1"/>
    <x v="7"/>
    <x v="5"/>
    <x v="1"/>
    <n v="1"/>
    <n v="1"/>
    <n v="6.9"/>
    <x v="11"/>
    <n v="3"/>
    <n v="4"/>
    <n v="765399"/>
    <n v="264913"/>
    <n v="500486"/>
    <n v="36"/>
    <n v="57"/>
    <n v="10.5"/>
  </r>
  <r>
    <x v="4"/>
    <x v="4"/>
    <d v="2024-09-01T00:00:00"/>
    <s v="NA"/>
    <n v="0"/>
    <n v="43"/>
    <s v="41-60"/>
    <x v="1"/>
    <x v="7"/>
    <x v="5"/>
    <x v="1"/>
    <n v="1"/>
    <n v="1"/>
    <n v="1.1000000000000001"/>
    <x v="12"/>
    <n v="4"/>
    <n v="3"/>
    <n v="715677"/>
    <n v="157282"/>
    <n v="558395"/>
    <n v="37"/>
    <n v="54"/>
    <n v="6.8"/>
  </r>
  <r>
    <x v="4"/>
    <x v="4"/>
    <d v="2022-06-25T00:00:00"/>
    <s v="NA"/>
    <n v="0"/>
    <n v="49"/>
    <s v="41-60"/>
    <x v="1"/>
    <x v="1"/>
    <x v="1"/>
    <x v="4"/>
    <n v="1"/>
    <n v="1"/>
    <n v="5"/>
    <x v="3"/>
    <n v="6"/>
    <n v="3"/>
    <n v="712703"/>
    <n v="168661"/>
    <n v="544042"/>
    <n v="35"/>
    <n v="56"/>
    <n v="5.6"/>
  </r>
  <r>
    <x v="4"/>
    <x v="4"/>
    <d v="2021-06-25T00:00:00"/>
    <s v="NA"/>
    <n v="0"/>
    <n v="26"/>
    <s v="21-40"/>
    <x v="1"/>
    <x v="4"/>
    <x v="3"/>
    <x v="4"/>
    <n v="1"/>
    <n v="1"/>
    <n v="4"/>
    <x v="10"/>
    <n v="5"/>
    <n v="3"/>
    <n v="759454"/>
    <n v="147214"/>
    <n v="612240"/>
    <n v="34"/>
    <n v="65"/>
    <n v="5.6"/>
  </r>
  <r>
    <x v="4"/>
    <x v="4"/>
    <d v="2022-12-10T00:00:00"/>
    <s v="NA"/>
    <n v="0"/>
    <n v="33"/>
    <s v="21-40"/>
    <x v="0"/>
    <x v="7"/>
    <x v="5"/>
    <x v="2"/>
    <n v="1"/>
    <n v="1"/>
    <n v="1.8"/>
    <x v="30"/>
    <n v="7"/>
    <n v="5"/>
    <n v="843006"/>
    <n v="253744"/>
    <n v="589262"/>
    <n v="34"/>
    <n v="64"/>
    <n v="9.1999999999999993"/>
  </r>
  <r>
    <x v="4"/>
    <x v="4"/>
    <d v="2022-12-29T00:00:00"/>
    <s v="NA"/>
    <n v="0"/>
    <n v="78"/>
    <s v="61-80"/>
    <x v="1"/>
    <x v="3"/>
    <x v="2"/>
    <x v="3"/>
    <n v="1"/>
    <n v="1"/>
    <n v="5"/>
    <x v="18"/>
    <n v="5"/>
    <n v="5"/>
    <n v="806748"/>
    <n v="167372"/>
    <n v="639376"/>
    <n v="36"/>
    <n v="56"/>
    <n v="13.2"/>
  </r>
  <r>
    <x v="4"/>
    <x v="4"/>
    <d v="2024-02-29T00:00:00"/>
    <s v="NA"/>
    <n v="0"/>
    <n v="29"/>
    <s v="21-40"/>
    <x v="0"/>
    <x v="7"/>
    <x v="5"/>
    <x v="2"/>
    <n v="1"/>
    <n v="1"/>
    <n v="1.5"/>
    <x v="7"/>
    <n v="6"/>
    <n v="4"/>
    <n v="680195"/>
    <n v="38405"/>
    <n v="641790"/>
    <n v="33"/>
    <n v="66"/>
    <n v="9"/>
  </r>
  <r>
    <x v="10"/>
    <x v="10"/>
    <d v="2022-07-06T00:00:00"/>
    <s v="NA"/>
    <n v="0"/>
    <n v="27"/>
    <s v="21-40"/>
    <x v="1"/>
    <x v="6"/>
    <x v="4"/>
    <x v="4"/>
    <n v="1"/>
    <n v="1"/>
    <n v="6.8"/>
    <x v="3"/>
    <n v="7"/>
    <n v="7"/>
    <n v="547425"/>
    <n v="195102"/>
    <n v="352323"/>
    <n v="18"/>
    <n v="54"/>
    <n v="6.9"/>
  </r>
  <r>
    <x v="4"/>
    <x v="4"/>
    <d v="2022-10-19T00:00:00"/>
    <s v="NA"/>
    <n v="0"/>
    <n v="37"/>
    <s v="21-40"/>
    <x v="0"/>
    <x v="0"/>
    <x v="0"/>
    <x v="0"/>
    <n v="1"/>
    <n v="1"/>
    <n v="5"/>
    <x v="15"/>
    <n v="4"/>
    <n v="5"/>
    <n v="692907"/>
    <n v="143165"/>
    <n v="549742"/>
    <n v="30"/>
    <n v="64"/>
    <n v="5.9"/>
  </r>
  <r>
    <x v="4"/>
    <x v="4"/>
    <d v="2024-08-20T00:00:00"/>
    <s v="NA"/>
    <n v="0"/>
    <n v="25"/>
    <s v="21-40"/>
    <x v="0"/>
    <x v="14"/>
    <x v="11"/>
    <x v="1"/>
    <n v="1"/>
    <n v="1"/>
    <n v="2.5"/>
    <x v="6"/>
    <n v="5"/>
    <n v="4"/>
    <n v="749834"/>
    <n v="185742"/>
    <n v="564092"/>
    <n v="33"/>
    <n v="58"/>
    <n v="14.3"/>
  </r>
  <r>
    <x v="4"/>
    <x v="4"/>
    <d v="2022-09-12T00:00:00"/>
    <s v="NA"/>
    <n v="0"/>
    <n v="68"/>
    <s v="61-80"/>
    <x v="0"/>
    <x v="1"/>
    <x v="1"/>
    <x v="3"/>
    <n v="1"/>
    <n v="1"/>
    <n v="2"/>
    <x v="25"/>
    <n v="5"/>
    <n v="7"/>
    <n v="845109"/>
    <n v="201783"/>
    <n v="643326"/>
    <n v="35"/>
    <n v="60"/>
    <n v="9.6999999999999993"/>
  </r>
  <r>
    <x v="4"/>
    <x v="4"/>
    <d v="2022-04-18T00:00:00"/>
    <s v="NA"/>
    <n v="0"/>
    <n v="78"/>
    <s v="61-80"/>
    <x v="1"/>
    <x v="10"/>
    <x v="8"/>
    <x v="1"/>
    <n v="1"/>
    <n v="1"/>
    <n v="5.5"/>
    <x v="15"/>
    <n v="3"/>
    <n v="7"/>
    <n v="791738"/>
    <n v="189611"/>
    <n v="602127"/>
    <n v="34"/>
    <n v="65"/>
    <n v="36.4"/>
  </r>
  <r>
    <x v="4"/>
    <x v="4"/>
    <d v="2021-06-23T00:00:00"/>
    <s v="NA"/>
    <n v="0"/>
    <n v="73"/>
    <s v="61-80"/>
    <x v="1"/>
    <x v="8"/>
    <x v="6"/>
    <x v="3"/>
    <n v="1"/>
    <n v="1"/>
    <n v="1.6"/>
    <x v="21"/>
    <n v="7"/>
    <n v="3"/>
    <n v="789465"/>
    <n v="144782"/>
    <n v="644683"/>
    <n v="33"/>
    <n v="64"/>
    <n v="7.7"/>
  </r>
  <r>
    <x v="4"/>
    <x v="4"/>
    <d v="2023-02-09T00:00:00"/>
    <s v="NA"/>
    <n v="0"/>
    <n v="47"/>
    <s v="41-60"/>
    <x v="0"/>
    <x v="0"/>
    <x v="0"/>
    <x v="0"/>
    <n v="1"/>
    <n v="1"/>
    <n v="3.5"/>
    <x v="9"/>
    <n v="6"/>
    <n v="4"/>
    <n v="869393"/>
    <n v="256176"/>
    <n v="613217"/>
    <n v="33"/>
    <n v="64"/>
    <n v="7"/>
  </r>
  <r>
    <x v="4"/>
    <x v="4"/>
    <d v="2022-11-01T00:00:00"/>
    <s v="NA"/>
    <n v="0"/>
    <n v="22"/>
    <s v="21-40"/>
    <x v="1"/>
    <x v="12"/>
    <x v="9"/>
    <x v="4"/>
    <n v="1"/>
    <n v="1"/>
    <n v="1.9"/>
    <x v="0"/>
    <n v="6"/>
    <n v="3"/>
    <n v="635814"/>
    <n v="57935"/>
    <n v="577879"/>
    <n v="35"/>
    <n v="56"/>
    <n v="8.5"/>
  </r>
  <r>
    <x v="4"/>
    <x v="4"/>
    <d v="2024-10-30T00:00:00"/>
    <s v="NA"/>
    <n v="0"/>
    <n v="63"/>
    <s v="61-80"/>
    <x v="0"/>
    <x v="5"/>
    <x v="0"/>
    <x v="1"/>
    <n v="1"/>
    <n v="1"/>
    <n v="2.5"/>
    <x v="16"/>
    <n v="5"/>
    <n v="7"/>
    <n v="863277"/>
    <n v="346979"/>
    <n v="516298"/>
    <n v="38"/>
    <n v="59"/>
    <n v="10.199999999999999"/>
  </r>
  <r>
    <x v="4"/>
    <x v="4"/>
    <d v="2021-05-21T00:00:00"/>
    <s v="NA"/>
    <n v="0"/>
    <n v="24"/>
    <s v="21-40"/>
    <x v="0"/>
    <x v="7"/>
    <x v="5"/>
    <x v="4"/>
    <n v="1"/>
    <n v="1"/>
    <n v="1.2"/>
    <x v="0"/>
    <n v="4"/>
    <n v="7"/>
    <n v="668594"/>
    <n v="71898"/>
    <n v="596696"/>
    <n v="37"/>
    <n v="54"/>
    <n v="14.6"/>
  </r>
  <r>
    <x v="4"/>
    <x v="4"/>
    <d v="2023-02-14T00:00:00"/>
    <s v="NA"/>
    <n v="0"/>
    <n v="29"/>
    <s v="21-40"/>
    <x v="1"/>
    <x v="10"/>
    <x v="8"/>
    <x v="3"/>
    <n v="1"/>
    <n v="1"/>
    <n v="2.5"/>
    <x v="5"/>
    <n v="3"/>
    <n v="5"/>
    <n v="621291"/>
    <n v="57787"/>
    <n v="563504"/>
    <n v="36"/>
    <n v="55"/>
    <n v="7"/>
  </r>
  <r>
    <x v="4"/>
    <x v="4"/>
    <d v="2024-04-13T00:00:00"/>
    <s v="NA"/>
    <n v="0"/>
    <n v="44"/>
    <s v="41-60"/>
    <x v="0"/>
    <x v="6"/>
    <x v="4"/>
    <x v="1"/>
    <n v="1"/>
    <n v="1"/>
    <n v="1.3"/>
    <x v="9"/>
    <n v="5"/>
    <n v="7"/>
    <n v="662293"/>
    <n v="142831"/>
    <n v="519462"/>
    <n v="32"/>
    <n v="62"/>
    <n v="14.8"/>
  </r>
  <r>
    <x v="4"/>
    <x v="4"/>
    <d v="2024-04-23T00:00:00"/>
    <s v="NA"/>
    <n v="0"/>
    <n v="77"/>
    <s v="61-80"/>
    <x v="1"/>
    <x v="12"/>
    <x v="9"/>
    <x v="0"/>
    <n v="1"/>
    <n v="1"/>
    <n v="3"/>
    <x v="12"/>
    <n v="6"/>
    <n v="6"/>
    <n v="764860"/>
    <n v="126837"/>
    <n v="638023"/>
    <n v="37"/>
    <n v="66"/>
    <n v="12.9"/>
  </r>
  <r>
    <x v="4"/>
    <x v="4"/>
    <d v="2021-12-15T00:00:00"/>
    <s v="NA"/>
    <n v="0"/>
    <n v="39"/>
    <s v="21-40"/>
    <x v="0"/>
    <x v="5"/>
    <x v="0"/>
    <x v="4"/>
    <n v="1"/>
    <n v="1"/>
    <n v="6.3"/>
    <x v="14"/>
    <n v="4"/>
    <n v="6"/>
    <n v="609828"/>
    <n v="83580"/>
    <n v="526248"/>
    <n v="33"/>
    <n v="54"/>
    <n v="8.3000000000000007"/>
  </r>
  <r>
    <x v="4"/>
    <x v="4"/>
    <d v="2021-11-18T00:00:00"/>
    <s v="NA"/>
    <n v="0"/>
    <n v="48"/>
    <s v="41-60"/>
    <x v="0"/>
    <x v="2"/>
    <x v="1"/>
    <x v="2"/>
    <n v="1"/>
    <n v="1"/>
    <n v="2.8"/>
    <x v="11"/>
    <n v="5"/>
    <n v="7"/>
    <n v="800670"/>
    <n v="257110"/>
    <n v="543560"/>
    <n v="37"/>
    <n v="55"/>
    <n v="8.6"/>
  </r>
  <r>
    <x v="4"/>
    <x v="4"/>
    <d v="2021-05-06T00:00:00"/>
    <s v="NA"/>
    <n v="0"/>
    <n v="35"/>
    <s v="21-40"/>
    <x v="1"/>
    <x v="3"/>
    <x v="2"/>
    <x v="0"/>
    <n v="1"/>
    <n v="1"/>
    <n v="6.8"/>
    <x v="20"/>
    <n v="4"/>
    <n v="4"/>
    <n v="854364"/>
    <n v="264101"/>
    <n v="590263"/>
    <n v="31"/>
    <n v="57"/>
    <n v="8.3000000000000007"/>
  </r>
  <r>
    <x v="4"/>
    <x v="4"/>
    <d v="2021-10-14T00:00:00"/>
    <s v="NA"/>
    <n v="0"/>
    <n v="53"/>
    <s v="41-60"/>
    <x v="0"/>
    <x v="13"/>
    <x v="10"/>
    <x v="0"/>
    <n v="1"/>
    <n v="1"/>
    <n v="2.1"/>
    <x v="4"/>
    <n v="7"/>
    <n v="3"/>
    <n v="605604"/>
    <n v="4803"/>
    <n v="600801"/>
    <n v="32"/>
    <n v="55"/>
    <n v="12.7"/>
  </r>
  <r>
    <x v="4"/>
    <x v="4"/>
    <d v="2024-11-15T00:00:00"/>
    <s v="NA"/>
    <n v="0"/>
    <n v="40"/>
    <s v="21-40"/>
    <x v="1"/>
    <x v="4"/>
    <x v="3"/>
    <x v="3"/>
    <n v="1"/>
    <n v="1"/>
    <n v="3.7"/>
    <x v="24"/>
    <n v="3"/>
    <n v="7"/>
    <n v="627751"/>
    <n v="-14222"/>
    <n v="641973"/>
    <n v="38"/>
    <n v="58"/>
    <n v="5.3"/>
  </r>
  <r>
    <x v="4"/>
    <x v="4"/>
    <d v="2021-11-27T00:00:00"/>
    <s v="NA"/>
    <n v="0"/>
    <n v="69"/>
    <s v="61-80"/>
    <x v="0"/>
    <x v="0"/>
    <x v="0"/>
    <x v="4"/>
    <n v="1"/>
    <n v="1"/>
    <n v="2.8"/>
    <x v="24"/>
    <n v="3"/>
    <n v="6"/>
    <n v="746128"/>
    <n v="113294"/>
    <n v="632834"/>
    <n v="31"/>
    <n v="56"/>
    <n v="13.7"/>
  </r>
  <r>
    <x v="4"/>
    <x v="4"/>
    <d v="2024-12-02T00:00:00"/>
    <s v="NA"/>
    <n v="0"/>
    <n v="39"/>
    <s v="21-40"/>
    <x v="1"/>
    <x v="11"/>
    <x v="8"/>
    <x v="2"/>
    <n v="1"/>
    <n v="1"/>
    <n v="3.3"/>
    <x v="27"/>
    <n v="4"/>
    <n v="4"/>
    <n v="644345"/>
    <n v="16242"/>
    <n v="628103"/>
    <n v="40"/>
    <n v="62"/>
    <n v="14.4"/>
  </r>
  <r>
    <x v="4"/>
    <x v="4"/>
    <d v="2023-05-29T00:00:00"/>
    <s v="NA"/>
    <n v="0"/>
    <n v="83"/>
    <s v="81+"/>
    <x v="1"/>
    <x v="8"/>
    <x v="6"/>
    <x v="3"/>
    <n v="1"/>
    <n v="1"/>
    <n v="1.7"/>
    <x v="3"/>
    <n v="7"/>
    <n v="7"/>
    <n v="721255"/>
    <n v="153351"/>
    <n v="567904"/>
    <n v="40"/>
    <n v="63"/>
    <n v="6.5"/>
  </r>
  <r>
    <x v="4"/>
    <x v="4"/>
    <d v="2024-05-31T00:00:00"/>
    <s v="NA"/>
    <n v="0"/>
    <n v="67"/>
    <s v="61-80"/>
    <x v="0"/>
    <x v="2"/>
    <x v="1"/>
    <x v="4"/>
    <n v="1"/>
    <n v="1"/>
    <n v="6.7"/>
    <x v="20"/>
    <n v="7"/>
    <n v="4"/>
    <n v="645814"/>
    <n v="143691"/>
    <n v="502123"/>
    <n v="35"/>
    <n v="63"/>
    <n v="13.2"/>
  </r>
  <r>
    <x v="4"/>
    <x v="4"/>
    <d v="2022-08-26T00:00:00"/>
    <s v="NA"/>
    <n v="0"/>
    <n v="34"/>
    <s v="21-40"/>
    <x v="1"/>
    <x v="8"/>
    <x v="6"/>
    <x v="2"/>
    <n v="1"/>
    <n v="1"/>
    <n v="6.8"/>
    <x v="8"/>
    <n v="6"/>
    <n v="7"/>
    <n v="810931"/>
    <n v="209884"/>
    <n v="601047"/>
    <n v="38"/>
    <n v="55"/>
    <n v="8.6"/>
  </r>
  <r>
    <x v="4"/>
    <x v="4"/>
    <d v="2024-11-03T00:00:00"/>
    <s v="NA"/>
    <n v="0"/>
    <n v="81"/>
    <s v="81+"/>
    <x v="0"/>
    <x v="0"/>
    <x v="0"/>
    <x v="0"/>
    <n v="1"/>
    <n v="1"/>
    <n v="3.9"/>
    <x v="10"/>
    <n v="7"/>
    <n v="4"/>
    <n v="894101"/>
    <n v="327949"/>
    <n v="566152"/>
    <n v="33"/>
    <n v="66"/>
    <n v="12.1"/>
  </r>
  <r>
    <x v="4"/>
    <x v="4"/>
    <d v="2021-02-18T00:00:00"/>
    <s v="NA"/>
    <n v="0"/>
    <n v="55"/>
    <s v="41-60"/>
    <x v="1"/>
    <x v="4"/>
    <x v="3"/>
    <x v="2"/>
    <n v="1"/>
    <n v="1"/>
    <n v="4.4000000000000004"/>
    <x v="2"/>
    <n v="6"/>
    <n v="6"/>
    <n v="613481"/>
    <n v="24160"/>
    <n v="589321"/>
    <n v="35"/>
    <n v="63"/>
    <n v="10.4"/>
  </r>
  <r>
    <x v="4"/>
    <x v="4"/>
    <d v="2021-07-23T00:00:00"/>
    <s v="NA"/>
    <n v="0"/>
    <n v="63"/>
    <s v="61-80"/>
    <x v="0"/>
    <x v="2"/>
    <x v="1"/>
    <x v="1"/>
    <n v="1"/>
    <n v="1"/>
    <n v="4"/>
    <x v="2"/>
    <n v="3"/>
    <n v="6"/>
    <n v="694232"/>
    <n v="104237"/>
    <n v="589995"/>
    <n v="30"/>
    <n v="57"/>
    <n v="9.1999999999999993"/>
  </r>
  <r>
    <x v="4"/>
    <x v="4"/>
    <d v="2022-04-09T00:00:00"/>
    <s v="NA"/>
    <n v="0"/>
    <n v="37"/>
    <s v="21-40"/>
    <x v="0"/>
    <x v="0"/>
    <x v="0"/>
    <x v="0"/>
    <n v="1"/>
    <n v="1"/>
    <n v="2.6"/>
    <x v="1"/>
    <n v="3"/>
    <n v="3"/>
    <n v="681934"/>
    <n v="101195"/>
    <n v="580739"/>
    <n v="39"/>
    <n v="60"/>
    <n v="14.8"/>
  </r>
  <r>
    <x v="4"/>
    <x v="4"/>
    <d v="2022-06-05T00:00:00"/>
    <s v="NA"/>
    <n v="0"/>
    <n v="50"/>
    <s v="41-60"/>
    <x v="1"/>
    <x v="4"/>
    <x v="3"/>
    <x v="2"/>
    <n v="1"/>
    <n v="1"/>
    <n v="4.3"/>
    <x v="5"/>
    <n v="3"/>
    <n v="5"/>
    <n v="667739"/>
    <n v="62979"/>
    <n v="604760"/>
    <n v="36"/>
    <n v="57"/>
    <n v="6.1"/>
  </r>
  <r>
    <x v="4"/>
    <x v="4"/>
    <d v="2023-04-12T00:00:00"/>
    <s v="NA"/>
    <n v="0"/>
    <n v="29"/>
    <s v="21-40"/>
    <x v="0"/>
    <x v="0"/>
    <x v="0"/>
    <x v="3"/>
    <n v="1"/>
    <n v="1"/>
    <n v="4.0999999999999996"/>
    <x v="25"/>
    <n v="5"/>
    <n v="7"/>
    <n v="669106"/>
    <n v="116148"/>
    <n v="552958"/>
    <n v="35"/>
    <n v="66"/>
    <n v="10.8"/>
  </r>
  <r>
    <x v="4"/>
    <x v="4"/>
    <d v="2022-11-06T00:00:00"/>
    <s v="NA"/>
    <n v="0"/>
    <n v="37"/>
    <s v="21-40"/>
    <x v="0"/>
    <x v="2"/>
    <x v="1"/>
    <x v="1"/>
    <n v="1"/>
    <n v="1"/>
    <n v="5.3"/>
    <x v="27"/>
    <n v="3"/>
    <n v="5"/>
    <n v="825798"/>
    <n v="240611"/>
    <n v="585187"/>
    <n v="32"/>
    <n v="61"/>
    <n v="6.4"/>
  </r>
  <r>
    <x v="4"/>
    <x v="4"/>
    <d v="2023-08-26T00:00:00"/>
    <s v="NA"/>
    <n v="0"/>
    <n v="54"/>
    <s v="41-60"/>
    <x v="0"/>
    <x v="0"/>
    <x v="0"/>
    <x v="4"/>
    <n v="1"/>
    <n v="1"/>
    <n v="2.9"/>
    <x v="19"/>
    <n v="4"/>
    <n v="7"/>
    <n v="656544"/>
    <n v="72292"/>
    <n v="584252"/>
    <n v="37"/>
    <n v="56"/>
    <n v="5.8"/>
  </r>
  <r>
    <x v="4"/>
    <x v="4"/>
    <d v="2021-12-19T00:00:00"/>
    <s v="NA"/>
    <n v="0"/>
    <n v="35"/>
    <s v="21-40"/>
    <x v="0"/>
    <x v="6"/>
    <x v="4"/>
    <x v="4"/>
    <n v="1"/>
    <n v="1"/>
    <n v="4"/>
    <x v="21"/>
    <n v="5"/>
    <n v="7"/>
    <n v="760270"/>
    <n v="249330"/>
    <n v="510940"/>
    <n v="37"/>
    <n v="62"/>
    <n v="14.4"/>
  </r>
  <r>
    <x v="4"/>
    <x v="4"/>
    <d v="2023-02-24T00:00:00"/>
    <s v="NA"/>
    <n v="0"/>
    <n v="50"/>
    <s v="41-60"/>
    <x v="1"/>
    <x v="10"/>
    <x v="8"/>
    <x v="0"/>
    <n v="1"/>
    <n v="1"/>
    <n v="2"/>
    <x v="17"/>
    <n v="7"/>
    <n v="4"/>
    <n v="752999"/>
    <n v="217907"/>
    <n v="535092"/>
    <n v="37"/>
    <n v="61"/>
    <n v="7.5"/>
  </r>
  <r>
    <x v="4"/>
    <x v="4"/>
    <d v="2023-05-07T00:00:00"/>
    <s v="NA"/>
    <n v="0"/>
    <n v="80"/>
    <s v="61-80"/>
    <x v="1"/>
    <x v="4"/>
    <x v="3"/>
    <x v="4"/>
    <n v="1"/>
    <n v="1"/>
    <n v="1.1000000000000001"/>
    <x v="21"/>
    <n v="4"/>
    <n v="4"/>
    <n v="773491"/>
    <n v="251734"/>
    <n v="521757"/>
    <n v="37"/>
    <n v="61"/>
    <n v="7.9"/>
  </r>
  <r>
    <x v="4"/>
    <x v="4"/>
    <d v="2023-08-12T00:00:00"/>
    <s v="NA"/>
    <n v="0"/>
    <n v="46"/>
    <s v="41-60"/>
    <x v="0"/>
    <x v="0"/>
    <x v="0"/>
    <x v="0"/>
    <n v="1"/>
    <n v="1"/>
    <n v="6.1"/>
    <x v="25"/>
    <n v="7"/>
    <n v="3"/>
    <n v="891919"/>
    <n v="320987"/>
    <n v="570932"/>
    <n v="40"/>
    <n v="63"/>
    <n v="6"/>
  </r>
  <r>
    <x v="4"/>
    <x v="4"/>
    <d v="2022-09-02T00:00:00"/>
    <s v="NA"/>
    <n v="0"/>
    <n v="69"/>
    <s v="61-80"/>
    <x v="0"/>
    <x v="0"/>
    <x v="0"/>
    <x v="1"/>
    <n v="1"/>
    <n v="1"/>
    <n v="5.9"/>
    <x v="3"/>
    <n v="3"/>
    <n v="3"/>
    <n v="668558"/>
    <n v="51851"/>
    <n v="616707"/>
    <n v="40"/>
    <n v="59"/>
    <n v="9.1999999999999993"/>
  </r>
  <r>
    <x v="4"/>
    <x v="4"/>
    <d v="2023-07-28T00:00:00"/>
    <s v="NA"/>
    <n v="0"/>
    <n v="60"/>
    <s v="41-60"/>
    <x v="1"/>
    <x v="12"/>
    <x v="9"/>
    <x v="0"/>
    <n v="1"/>
    <n v="1"/>
    <n v="2.2999999999999998"/>
    <x v="30"/>
    <n v="3"/>
    <n v="3"/>
    <n v="872372"/>
    <n v="316892"/>
    <n v="555480"/>
    <n v="40"/>
    <n v="64"/>
    <n v="7"/>
  </r>
  <r>
    <x v="4"/>
    <x v="4"/>
    <d v="2024-10-17T00:00:00"/>
    <s v="NA"/>
    <n v="0"/>
    <n v="79"/>
    <s v="61-80"/>
    <x v="1"/>
    <x v="10"/>
    <x v="8"/>
    <x v="4"/>
    <n v="1"/>
    <n v="1"/>
    <n v="4.5"/>
    <x v="8"/>
    <n v="4"/>
    <n v="6"/>
    <n v="751689"/>
    <n v="138154"/>
    <n v="613535"/>
    <n v="36"/>
    <n v="65"/>
    <n v="12.1"/>
  </r>
  <r>
    <x v="4"/>
    <x v="4"/>
    <d v="2024-11-26T00:00:00"/>
    <s v="NA"/>
    <n v="0"/>
    <n v="83"/>
    <s v="81+"/>
    <x v="1"/>
    <x v="9"/>
    <x v="7"/>
    <x v="4"/>
    <n v="1"/>
    <n v="1"/>
    <n v="6.2"/>
    <x v="19"/>
    <n v="5"/>
    <n v="6"/>
    <n v="871750"/>
    <n v="248113"/>
    <n v="623637"/>
    <n v="39"/>
    <n v="54"/>
    <n v="5.9"/>
  </r>
  <r>
    <x v="4"/>
    <x v="4"/>
    <d v="2023-08-23T00:00:00"/>
    <s v="NA"/>
    <n v="0"/>
    <n v="43"/>
    <s v="41-60"/>
    <x v="1"/>
    <x v="11"/>
    <x v="8"/>
    <x v="1"/>
    <n v="1"/>
    <n v="1"/>
    <n v="3.1"/>
    <x v="6"/>
    <n v="7"/>
    <n v="7"/>
    <n v="744737"/>
    <n v="150557"/>
    <n v="594180"/>
    <n v="40"/>
    <n v="60"/>
    <n v="9.3000000000000007"/>
  </r>
  <r>
    <x v="4"/>
    <x v="4"/>
    <d v="2022-07-05T00:00:00"/>
    <s v="NA"/>
    <n v="0"/>
    <n v="31"/>
    <s v="21-40"/>
    <x v="0"/>
    <x v="14"/>
    <x v="11"/>
    <x v="1"/>
    <n v="1"/>
    <n v="1"/>
    <n v="5.5"/>
    <x v="8"/>
    <n v="6"/>
    <n v="7"/>
    <n v="882453"/>
    <n v="255566"/>
    <n v="626887"/>
    <n v="34"/>
    <n v="63"/>
    <n v="8.4"/>
  </r>
  <r>
    <x v="4"/>
    <x v="4"/>
    <d v="2023-05-21T00:00:00"/>
    <s v="NA"/>
    <n v="0"/>
    <n v="49"/>
    <s v="41-60"/>
    <x v="0"/>
    <x v="0"/>
    <x v="0"/>
    <x v="0"/>
    <n v="1"/>
    <n v="1"/>
    <n v="5"/>
    <x v="2"/>
    <n v="7"/>
    <n v="7"/>
    <n v="768914"/>
    <n v="138086"/>
    <n v="630828"/>
    <n v="37"/>
    <n v="55"/>
    <n v="6.9"/>
  </r>
  <r>
    <x v="4"/>
    <x v="4"/>
    <d v="2021-12-18T00:00:00"/>
    <s v="NA"/>
    <n v="0"/>
    <n v="82"/>
    <s v="81+"/>
    <x v="1"/>
    <x v="13"/>
    <x v="10"/>
    <x v="0"/>
    <n v="1"/>
    <n v="1"/>
    <n v="2.8"/>
    <x v="19"/>
    <n v="6"/>
    <n v="3"/>
    <n v="622907"/>
    <n v="78824"/>
    <n v="544083"/>
    <n v="30"/>
    <n v="55"/>
    <n v="7.1"/>
  </r>
  <r>
    <x v="4"/>
    <x v="4"/>
    <d v="2022-09-23T00:00:00"/>
    <s v="NA"/>
    <n v="0"/>
    <n v="32"/>
    <s v="21-40"/>
    <x v="1"/>
    <x v="12"/>
    <x v="9"/>
    <x v="0"/>
    <n v="1"/>
    <n v="1"/>
    <n v="1.1000000000000001"/>
    <x v="27"/>
    <n v="7"/>
    <n v="5"/>
    <n v="713692"/>
    <n v="111811"/>
    <n v="601881"/>
    <n v="33"/>
    <n v="62"/>
    <n v="12.7"/>
  </r>
  <r>
    <x v="4"/>
    <x v="4"/>
    <d v="2021-03-07T00:00:00"/>
    <s v="NA"/>
    <n v="0"/>
    <n v="64"/>
    <s v="61-80"/>
    <x v="1"/>
    <x v="9"/>
    <x v="7"/>
    <x v="0"/>
    <n v="1"/>
    <n v="1"/>
    <n v="1.8"/>
    <x v="2"/>
    <n v="6"/>
    <n v="7"/>
    <n v="664298"/>
    <n v="106830"/>
    <n v="557468"/>
    <n v="38"/>
    <n v="64"/>
    <n v="13.9"/>
  </r>
  <r>
    <x v="4"/>
    <x v="4"/>
    <d v="2021-01-26T00:00:00"/>
    <s v="NA"/>
    <n v="0"/>
    <n v="51"/>
    <s v="41-60"/>
    <x v="0"/>
    <x v="4"/>
    <x v="3"/>
    <x v="4"/>
    <n v="1"/>
    <n v="1"/>
    <n v="5.3"/>
    <x v="22"/>
    <n v="3"/>
    <n v="5"/>
    <n v="839013"/>
    <n v="318369"/>
    <n v="520644"/>
    <n v="40"/>
    <n v="64"/>
    <n v="5"/>
  </r>
  <r>
    <x v="10"/>
    <x v="10"/>
    <d v="2023-05-26T00:00:00"/>
    <s v="NA"/>
    <n v="0"/>
    <n v="83"/>
    <s v="81+"/>
    <x v="0"/>
    <x v="4"/>
    <x v="3"/>
    <x v="4"/>
    <n v="1"/>
    <n v="1"/>
    <n v="5.2"/>
    <x v="18"/>
    <n v="5"/>
    <n v="7"/>
    <n v="562370"/>
    <n v="198829"/>
    <n v="363541"/>
    <n v="21"/>
    <n v="56"/>
    <n v="9.9"/>
  </r>
  <r>
    <x v="10"/>
    <x v="10"/>
    <d v="2022-07-16T00:00:00"/>
    <s v="NA"/>
    <n v="0"/>
    <n v="32"/>
    <s v="21-40"/>
    <x v="1"/>
    <x v="10"/>
    <x v="8"/>
    <x v="1"/>
    <n v="1"/>
    <n v="1"/>
    <n v="1.4"/>
    <x v="26"/>
    <n v="5"/>
    <n v="5"/>
    <n v="520412"/>
    <n v="121175"/>
    <n v="399237"/>
    <n v="18"/>
    <n v="64"/>
    <n v="14.9"/>
  </r>
  <r>
    <x v="4"/>
    <x v="4"/>
    <d v="2021-09-08T00:00:00"/>
    <s v="NA"/>
    <n v="0"/>
    <n v="67"/>
    <s v="61-80"/>
    <x v="0"/>
    <x v="5"/>
    <x v="0"/>
    <x v="3"/>
    <n v="1"/>
    <n v="1"/>
    <n v="2.1"/>
    <x v="25"/>
    <n v="7"/>
    <n v="4"/>
    <n v="855498"/>
    <n v="329329"/>
    <n v="526169"/>
    <n v="31"/>
    <n v="65"/>
    <n v="5"/>
  </r>
  <r>
    <x v="4"/>
    <x v="4"/>
    <d v="2023-09-16T00:00:00"/>
    <s v="NA"/>
    <n v="0"/>
    <n v="51"/>
    <s v="41-60"/>
    <x v="0"/>
    <x v="0"/>
    <x v="0"/>
    <x v="3"/>
    <n v="1"/>
    <n v="1"/>
    <n v="3.7"/>
    <x v="1"/>
    <n v="6"/>
    <n v="3"/>
    <n v="628744"/>
    <n v="23450"/>
    <n v="605294"/>
    <n v="35"/>
    <n v="55"/>
    <n v="36.700000000000003"/>
  </r>
  <r>
    <x v="4"/>
    <x v="4"/>
    <d v="2024-03-01T00:00:00"/>
    <s v="NA"/>
    <n v="0"/>
    <n v="81"/>
    <s v="81+"/>
    <x v="1"/>
    <x v="3"/>
    <x v="2"/>
    <x v="1"/>
    <n v="1"/>
    <n v="1"/>
    <n v="6.1"/>
    <x v="15"/>
    <n v="7"/>
    <n v="6"/>
    <n v="702847"/>
    <n v="160255"/>
    <n v="542592"/>
    <n v="40"/>
    <n v="54"/>
    <n v="9"/>
  </r>
  <r>
    <x v="4"/>
    <x v="4"/>
    <d v="2024-09-09T00:00:00"/>
    <s v="NA"/>
    <n v="0"/>
    <n v="26"/>
    <s v="21-40"/>
    <x v="0"/>
    <x v="13"/>
    <x v="10"/>
    <x v="1"/>
    <n v="1"/>
    <n v="1"/>
    <n v="5.2"/>
    <x v="27"/>
    <n v="5"/>
    <n v="4"/>
    <n v="756892"/>
    <n v="198163"/>
    <n v="558729"/>
    <n v="31"/>
    <n v="57"/>
    <n v="7"/>
  </r>
  <r>
    <x v="10"/>
    <x v="10"/>
    <d v="2021-09-17T00:00:00"/>
    <s v="NA"/>
    <n v="0"/>
    <n v="37"/>
    <s v="21-40"/>
    <x v="1"/>
    <x v="11"/>
    <x v="8"/>
    <x v="4"/>
    <n v="1"/>
    <n v="1"/>
    <n v="3.4"/>
    <x v="23"/>
    <n v="5"/>
    <n v="6"/>
    <n v="504006"/>
    <n v="191624"/>
    <n v="312382"/>
    <n v="18"/>
    <n v="57"/>
    <n v="6.2"/>
  </r>
  <r>
    <x v="4"/>
    <x v="4"/>
    <d v="2021-10-13T00:00:00"/>
    <s v="NA"/>
    <n v="0"/>
    <n v="35"/>
    <s v="21-40"/>
    <x v="0"/>
    <x v="4"/>
    <x v="3"/>
    <x v="0"/>
    <n v="1"/>
    <n v="1"/>
    <n v="6.2"/>
    <x v="24"/>
    <n v="5"/>
    <n v="4"/>
    <n v="840700"/>
    <n v="315794"/>
    <n v="524906"/>
    <n v="33"/>
    <n v="62"/>
    <n v="7.5"/>
  </r>
  <r>
    <x v="4"/>
    <x v="4"/>
    <d v="2024-04-26T00:00:00"/>
    <s v="NA"/>
    <n v="0"/>
    <n v="25"/>
    <s v="21-40"/>
    <x v="0"/>
    <x v="1"/>
    <x v="1"/>
    <x v="3"/>
    <n v="1"/>
    <n v="1"/>
    <n v="4.5999999999999996"/>
    <x v="1"/>
    <n v="5"/>
    <n v="6"/>
    <n v="699801"/>
    <n v="88898"/>
    <n v="610903"/>
    <n v="39"/>
    <n v="60"/>
    <n v="5.7"/>
  </r>
  <r>
    <x v="10"/>
    <x v="10"/>
    <d v="2024-07-28T00:00:00"/>
    <s v="NA"/>
    <n v="0"/>
    <n v="62"/>
    <s v="61-80"/>
    <x v="1"/>
    <x v="3"/>
    <x v="2"/>
    <x v="1"/>
    <n v="1"/>
    <n v="1"/>
    <n v="6.6"/>
    <x v="9"/>
    <n v="5"/>
    <n v="5"/>
    <n v="590423"/>
    <n v="200506"/>
    <n v="389917"/>
    <n v="21"/>
    <n v="58"/>
    <n v="9.1999999999999993"/>
  </r>
  <r>
    <x v="4"/>
    <x v="4"/>
    <d v="2023-01-16T00:00:00"/>
    <s v="NA"/>
    <n v="0"/>
    <n v="76"/>
    <s v="61-80"/>
    <x v="0"/>
    <x v="0"/>
    <x v="0"/>
    <x v="0"/>
    <n v="1"/>
    <n v="1"/>
    <n v="4.0999999999999996"/>
    <x v="16"/>
    <n v="4"/>
    <n v="7"/>
    <n v="673703"/>
    <n v="110134"/>
    <n v="563569"/>
    <n v="37"/>
    <n v="60"/>
    <n v="14.3"/>
  </r>
  <r>
    <x v="10"/>
    <x v="10"/>
    <d v="2023-08-08T00:00:00"/>
    <s v="NA"/>
    <n v="0"/>
    <n v="79"/>
    <s v="61-80"/>
    <x v="1"/>
    <x v="11"/>
    <x v="8"/>
    <x v="1"/>
    <n v="1"/>
    <n v="1"/>
    <n v="1.9"/>
    <x v="18"/>
    <n v="6"/>
    <n v="6"/>
    <n v="514874"/>
    <n v="200785"/>
    <n v="314089"/>
    <n v="22"/>
    <n v="63"/>
    <n v="10.5"/>
  </r>
  <r>
    <x v="4"/>
    <x v="4"/>
    <d v="2023-06-20T00:00:00"/>
    <s v="NA"/>
    <n v="0"/>
    <n v="43"/>
    <s v="41-60"/>
    <x v="1"/>
    <x v="3"/>
    <x v="2"/>
    <x v="4"/>
    <n v="1"/>
    <n v="1"/>
    <n v="5.5"/>
    <x v="23"/>
    <n v="3"/>
    <n v="3"/>
    <n v="709782"/>
    <n v="197316"/>
    <n v="512466"/>
    <n v="39"/>
    <n v="61"/>
    <n v="36.5"/>
  </r>
  <r>
    <x v="4"/>
    <x v="4"/>
    <d v="2023-04-11T00:00:00"/>
    <s v="NA"/>
    <n v="0"/>
    <n v="37"/>
    <s v="21-40"/>
    <x v="1"/>
    <x v="11"/>
    <x v="8"/>
    <x v="0"/>
    <n v="1"/>
    <n v="1"/>
    <n v="5.8"/>
    <x v="17"/>
    <n v="7"/>
    <n v="7"/>
    <n v="648058"/>
    <n v="76559"/>
    <n v="571499"/>
    <n v="30"/>
    <n v="66"/>
    <n v="7.4"/>
  </r>
  <r>
    <x v="4"/>
    <x v="4"/>
    <d v="2024-04-09T00:00:00"/>
    <s v="NA"/>
    <n v="0"/>
    <n v="31"/>
    <s v="21-40"/>
    <x v="1"/>
    <x v="4"/>
    <x v="3"/>
    <x v="0"/>
    <n v="1"/>
    <n v="1"/>
    <n v="1.6"/>
    <x v="9"/>
    <n v="6"/>
    <n v="7"/>
    <n v="751973"/>
    <n v="242237"/>
    <n v="509736"/>
    <n v="40"/>
    <n v="54"/>
    <n v="9.1999999999999993"/>
  </r>
  <r>
    <x v="4"/>
    <x v="4"/>
    <d v="2024-01-21T00:00:00"/>
    <s v="NA"/>
    <n v="0"/>
    <n v="36"/>
    <s v="21-40"/>
    <x v="1"/>
    <x v="7"/>
    <x v="5"/>
    <x v="4"/>
    <n v="1"/>
    <n v="1"/>
    <n v="3.7"/>
    <x v="24"/>
    <n v="4"/>
    <n v="6"/>
    <n v="752334"/>
    <n v="227107"/>
    <n v="525227"/>
    <n v="30"/>
    <n v="57"/>
    <n v="36"/>
  </r>
  <r>
    <x v="10"/>
    <x v="10"/>
    <d v="2022-10-27T00:00:00"/>
    <s v="NA"/>
    <n v="0"/>
    <n v="33"/>
    <s v="21-40"/>
    <x v="0"/>
    <x v="4"/>
    <x v="3"/>
    <x v="3"/>
    <n v="1"/>
    <n v="1"/>
    <n v="2.2999999999999998"/>
    <x v="16"/>
    <n v="4"/>
    <n v="6"/>
    <n v="566897"/>
    <n v="169915"/>
    <n v="396982"/>
    <n v="20"/>
    <n v="54"/>
    <n v="6.2"/>
  </r>
  <r>
    <x v="4"/>
    <x v="4"/>
    <d v="2024-10-04T00:00:00"/>
    <s v="NA"/>
    <n v="0"/>
    <n v="39"/>
    <s v="21-40"/>
    <x v="1"/>
    <x v="7"/>
    <x v="5"/>
    <x v="1"/>
    <n v="1"/>
    <n v="1"/>
    <n v="3.9"/>
    <x v="5"/>
    <n v="3"/>
    <n v="4"/>
    <n v="660820"/>
    <n v="112334"/>
    <n v="548486"/>
    <n v="30"/>
    <n v="65"/>
    <n v="12.8"/>
  </r>
  <r>
    <x v="10"/>
    <x v="10"/>
    <d v="2022-03-28T00:00:00"/>
    <s v="NA"/>
    <n v="0"/>
    <n v="58"/>
    <s v="41-60"/>
    <x v="1"/>
    <x v="11"/>
    <x v="8"/>
    <x v="0"/>
    <n v="1"/>
    <n v="1"/>
    <n v="5.6"/>
    <x v="10"/>
    <n v="6"/>
    <n v="5"/>
    <n v="538760"/>
    <n v="195738"/>
    <n v="343022"/>
    <n v="22"/>
    <n v="62"/>
    <n v="14.4"/>
  </r>
  <r>
    <x v="4"/>
    <x v="4"/>
    <d v="2024-02-13T00:00:00"/>
    <s v="NA"/>
    <n v="0"/>
    <n v="49"/>
    <s v="41-60"/>
    <x v="1"/>
    <x v="2"/>
    <x v="1"/>
    <x v="3"/>
    <n v="1"/>
    <n v="1"/>
    <n v="2"/>
    <x v="14"/>
    <n v="4"/>
    <n v="4"/>
    <n v="638574"/>
    <n v="111404"/>
    <n v="527170"/>
    <n v="36"/>
    <n v="64"/>
    <n v="10.4"/>
  </r>
  <r>
    <x v="4"/>
    <x v="4"/>
    <d v="2021-09-06T00:00:00"/>
    <s v="NA"/>
    <n v="0"/>
    <n v="29"/>
    <s v="21-40"/>
    <x v="0"/>
    <x v="7"/>
    <x v="5"/>
    <x v="0"/>
    <n v="1"/>
    <n v="1"/>
    <n v="6.4"/>
    <x v="2"/>
    <n v="3"/>
    <n v="3"/>
    <n v="865478"/>
    <n v="232061"/>
    <n v="633417"/>
    <n v="30"/>
    <n v="66"/>
    <n v="9.1"/>
  </r>
  <r>
    <x v="4"/>
    <x v="4"/>
    <d v="2023-10-09T00:00:00"/>
    <s v="NA"/>
    <n v="0"/>
    <n v="37"/>
    <s v="21-40"/>
    <x v="1"/>
    <x v="3"/>
    <x v="2"/>
    <x v="2"/>
    <n v="1"/>
    <n v="1"/>
    <n v="6"/>
    <x v="22"/>
    <n v="4"/>
    <n v="4"/>
    <n v="706539"/>
    <n v="162857"/>
    <n v="543682"/>
    <n v="39"/>
    <n v="66"/>
    <n v="10.1"/>
  </r>
  <r>
    <x v="4"/>
    <x v="4"/>
    <d v="2023-03-11T00:00:00"/>
    <s v="NA"/>
    <n v="0"/>
    <n v="39"/>
    <s v="21-40"/>
    <x v="0"/>
    <x v="0"/>
    <x v="0"/>
    <x v="4"/>
    <n v="1"/>
    <n v="1"/>
    <n v="1.6"/>
    <x v="5"/>
    <n v="6"/>
    <n v="3"/>
    <n v="861373"/>
    <n v="225461"/>
    <n v="635912"/>
    <n v="37"/>
    <n v="57"/>
    <n v="8.4"/>
  </r>
  <r>
    <x v="4"/>
    <x v="4"/>
    <d v="2023-11-25T00:00:00"/>
    <s v="NA"/>
    <n v="0"/>
    <n v="28"/>
    <s v="21-40"/>
    <x v="1"/>
    <x v="3"/>
    <x v="2"/>
    <x v="4"/>
    <n v="1"/>
    <n v="1"/>
    <n v="5.5"/>
    <x v="30"/>
    <n v="6"/>
    <n v="4"/>
    <n v="781837"/>
    <n v="145696"/>
    <n v="636141"/>
    <n v="30"/>
    <n v="59"/>
    <n v="10.6"/>
  </r>
  <r>
    <x v="4"/>
    <x v="4"/>
    <d v="2022-06-13T00:00:00"/>
    <s v="NA"/>
    <n v="0"/>
    <n v="28"/>
    <s v="21-40"/>
    <x v="1"/>
    <x v="7"/>
    <x v="5"/>
    <x v="3"/>
    <n v="1"/>
    <n v="1"/>
    <n v="4.9000000000000004"/>
    <x v="10"/>
    <n v="4"/>
    <n v="3"/>
    <n v="829448"/>
    <n v="276138"/>
    <n v="553310"/>
    <n v="40"/>
    <n v="57"/>
    <n v="15"/>
  </r>
  <r>
    <x v="4"/>
    <x v="4"/>
    <d v="2021-10-04T00:00:00"/>
    <s v="NA"/>
    <n v="0"/>
    <n v="46"/>
    <s v="41-60"/>
    <x v="1"/>
    <x v="8"/>
    <x v="6"/>
    <x v="4"/>
    <n v="1"/>
    <n v="1"/>
    <n v="3.5"/>
    <x v="8"/>
    <n v="3"/>
    <n v="3"/>
    <n v="724731"/>
    <n v="218453"/>
    <n v="506278"/>
    <n v="36"/>
    <n v="58"/>
    <n v="7.6"/>
  </r>
  <r>
    <x v="4"/>
    <x v="4"/>
    <d v="2022-10-25T00:00:00"/>
    <s v="NA"/>
    <n v="0"/>
    <n v="27"/>
    <s v="21-40"/>
    <x v="1"/>
    <x v="12"/>
    <x v="9"/>
    <x v="3"/>
    <n v="1"/>
    <n v="1"/>
    <n v="2.9"/>
    <x v="21"/>
    <n v="3"/>
    <n v="7"/>
    <n v="760467"/>
    <n v="218648"/>
    <n v="541819"/>
    <n v="40"/>
    <n v="58"/>
    <n v="13.3"/>
  </r>
  <r>
    <x v="4"/>
    <x v="4"/>
    <d v="2023-10-25T00:00:00"/>
    <s v="NA"/>
    <n v="0"/>
    <n v="38"/>
    <s v="21-40"/>
    <x v="0"/>
    <x v="0"/>
    <x v="0"/>
    <x v="3"/>
    <n v="1"/>
    <n v="1"/>
    <n v="6.2"/>
    <x v="28"/>
    <n v="5"/>
    <n v="7"/>
    <n v="873209"/>
    <n v="309729"/>
    <n v="563480"/>
    <n v="30"/>
    <n v="55"/>
    <n v="5.8"/>
  </r>
  <r>
    <x v="4"/>
    <x v="4"/>
    <d v="2022-05-22T00:00:00"/>
    <s v="NA"/>
    <n v="0"/>
    <n v="34"/>
    <s v="21-40"/>
    <x v="1"/>
    <x v="6"/>
    <x v="4"/>
    <x v="4"/>
    <n v="1"/>
    <n v="1"/>
    <n v="3.3"/>
    <x v="16"/>
    <n v="3"/>
    <n v="4"/>
    <n v="832121"/>
    <n v="222083"/>
    <n v="610038"/>
    <n v="31"/>
    <n v="61"/>
    <n v="10.9"/>
  </r>
  <r>
    <x v="4"/>
    <x v="4"/>
    <d v="2022-05-19T00:00:00"/>
    <s v="NA"/>
    <n v="0"/>
    <n v="65"/>
    <s v="61-80"/>
    <x v="1"/>
    <x v="12"/>
    <x v="9"/>
    <x v="0"/>
    <n v="1"/>
    <n v="1"/>
    <n v="5.5"/>
    <x v="5"/>
    <n v="5"/>
    <n v="5"/>
    <n v="672208"/>
    <n v="162662"/>
    <n v="509546"/>
    <n v="35"/>
    <n v="54"/>
    <n v="12.9"/>
  </r>
  <r>
    <x v="4"/>
    <x v="4"/>
    <d v="2024-04-05T00:00:00"/>
    <s v="NA"/>
    <n v="0"/>
    <n v="41"/>
    <s v="41-60"/>
    <x v="0"/>
    <x v="0"/>
    <x v="0"/>
    <x v="3"/>
    <n v="1"/>
    <n v="1"/>
    <n v="3.8"/>
    <x v="9"/>
    <n v="6"/>
    <n v="7"/>
    <n v="675253"/>
    <n v="147003"/>
    <n v="528250"/>
    <n v="39"/>
    <n v="55"/>
    <n v="36.5"/>
  </r>
  <r>
    <x v="4"/>
    <x v="4"/>
    <d v="2024-06-18T00:00:00"/>
    <s v="NA"/>
    <n v="0"/>
    <n v="29"/>
    <s v="21-40"/>
    <x v="1"/>
    <x v="3"/>
    <x v="2"/>
    <x v="0"/>
    <n v="1"/>
    <n v="1"/>
    <n v="1"/>
    <x v="13"/>
    <n v="6"/>
    <n v="4"/>
    <n v="786493"/>
    <n v="217679"/>
    <n v="568814"/>
    <n v="37"/>
    <n v="58"/>
    <n v="9.4"/>
  </r>
  <r>
    <x v="4"/>
    <x v="4"/>
    <d v="2023-09-16T00:00:00"/>
    <s v="NA"/>
    <n v="0"/>
    <n v="74"/>
    <s v="61-80"/>
    <x v="1"/>
    <x v="12"/>
    <x v="9"/>
    <x v="0"/>
    <n v="1"/>
    <n v="1"/>
    <n v="2.5"/>
    <x v="21"/>
    <n v="4"/>
    <n v="4"/>
    <n v="639819"/>
    <n v="44239"/>
    <n v="595580"/>
    <n v="36"/>
    <n v="63"/>
    <n v="6"/>
  </r>
  <r>
    <x v="10"/>
    <x v="10"/>
    <d v="2024-04-02T00:00:00"/>
    <s v="NA"/>
    <n v="0"/>
    <n v="78"/>
    <s v="61-80"/>
    <x v="1"/>
    <x v="6"/>
    <x v="4"/>
    <x v="1"/>
    <n v="1"/>
    <n v="1"/>
    <n v="2.4"/>
    <x v="18"/>
    <n v="7"/>
    <n v="4"/>
    <n v="596716"/>
    <n v="211291"/>
    <n v="385425"/>
    <n v="25"/>
    <n v="65"/>
    <n v="13.2"/>
  </r>
  <r>
    <x v="10"/>
    <x v="10"/>
    <d v="2024-03-07T00:00:00"/>
    <s v="NA"/>
    <n v="0"/>
    <n v="24"/>
    <s v="21-40"/>
    <x v="1"/>
    <x v="3"/>
    <x v="2"/>
    <x v="0"/>
    <n v="1"/>
    <n v="1"/>
    <n v="5.5"/>
    <x v="28"/>
    <n v="5"/>
    <n v="4"/>
    <n v="555558"/>
    <n v="215889"/>
    <n v="339669"/>
    <n v="22"/>
    <n v="60"/>
    <n v="14.7"/>
  </r>
  <r>
    <x v="10"/>
    <x v="10"/>
    <d v="2023-03-06T00:00:00"/>
    <s v="NA"/>
    <n v="0"/>
    <n v="51"/>
    <s v="41-60"/>
    <x v="0"/>
    <x v="4"/>
    <x v="3"/>
    <x v="2"/>
    <n v="1"/>
    <n v="1"/>
    <n v="4.3"/>
    <x v="2"/>
    <n v="5"/>
    <n v="3"/>
    <n v="561385"/>
    <n v="210484"/>
    <n v="350901"/>
    <n v="24"/>
    <n v="66"/>
    <n v="7.4"/>
  </r>
  <r>
    <x v="10"/>
    <x v="10"/>
    <d v="2024-02-18T00:00:00"/>
    <s v="NA"/>
    <n v="0"/>
    <n v="81"/>
    <s v="81+"/>
    <x v="0"/>
    <x v="5"/>
    <x v="0"/>
    <x v="0"/>
    <n v="1"/>
    <n v="1"/>
    <n v="1"/>
    <x v="14"/>
    <n v="5"/>
    <n v="5"/>
    <n v="519958"/>
    <n v="215036"/>
    <n v="304922"/>
    <n v="23"/>
    <n v="60"/>
    <n v="7.7"/>
  </r>
  <r>
    <x v="10"/>
    <x v="10"/>
    <d v="2024-01-10T00:00:00"/>
    <s v="NA"/>
    <n v="0"/>
    <n v="36"/>
    <s v="21-40"/>
    <x v="1"/>
    <x v="8"/>
    <x v="6"/>
    <x v="2"/>
    <n v="1"/>
    <n v="1"/>
    <n v="5.4"/>
    <x v="9"/>
    <n v="4"/>
    <n v="3"/>
    <n v="508916"/>
    <n v="206320"/>
    <n v="302596"/>
    <n v="25"/>
    <n v="59"/>
    <n v="9.8000000000000007"/>
  </r>
  <r>
    <x v="10"/>
    <x v="10"/>
    <d v="2023-06-15T00:00:00"/>
    <s v="NA"/>
    <n v="0"/>
    <n v="84"/>
    <s v="81+"/>
    <x v="1"/>
    <x v="3"/>
    <x v="2"/>
    <x v="0"/>
    <n v="1"/>
    <n v="1"/>
    <n v="2.1"/>
    <x v="2"/>
    <n v="4"/>
    <n v="5"/>
    <n v="569401"/>
    <n v="238469"/>
    <n v="330932"/>
    <n v="15"/>
    <n v="60"/>
    <n v="5.3"/>
  </r>
  <r>
    <x v="10"/>
    <x v="10"/>
    <d v="2024-11-24T00:00:00"/>
    <s v="NA"/>
    <n v="0"/>
    <n v="28"/>
    <s v="21-40"/>
    <x v="0"/>
    <x v="4"/>
    <x v="3"/>
    <x v="1"/>
    <n v="1"/>
    <n v="1"/>
    <n v="5.4"/>
    <x v="7"/>
    <n v="6"/>
    <n v="4"/>
    <n v="521665"/>
    <n v="192743"/>
    <n v="328922"/>
    <n v="25"/>
    <n v="56"/>
    <n v="5.3"/>
  </r>
  <r>
    <x v="10"/>
    <x v="10"/>
    <d v="2024-12-03T00:00:00"/>
    <s v="NA"/>
    <n v="0"/>
    <n v="90"/>
    <s v="81+"/>
    <x v="0"/>
    <x v="0"/>
    <x v="0"/>
    <x v="4"/>
    <n v="1"/>
    <n v="1"/>
    <n v="2.8"/>
    <x v="18"/>
    <n v="7"/>
    <n v="6"/>
    <n v="591957"/>
    <n v="266024"/>
    <n v="325933"/>
    <n v="25"/>
    <n v="65"/>
    <n v="36.200000000000003"/>
  </r>
  <r>
    <x v="10"/>
    <x v="10"/>
    <d v="2022-08-22T00:00:00"/>
    <s v="NA"/>
    <n v="0"/>
    <n v="48"/>
    <s v="41-60"/>
    <x v="0"/>
    <x v="0"/>
    <x v="0"/>
    <x v="4"/>
    <n v="1"/>
    <n v="1"/>
    <n v="1.5"/>
    <x v="18"/>
    <n v="5"/>
    <n v="5"/>
    <n v="554405"/>
    <n v="231393"/>
    <n v="323012"/>
    <n v="19"/>
    <n v="66"/>
    <n v="13"/>
  </r>
  <r>
    <x v="10"/>
    <x v="10"/>
    <d v="2022-11-11T00:00:00"/>
    <s v="NA"/>
    <n v="0"/>
    <n v="46"/>
    <s v="41-60"/>
    <x v="1"/>
    <x v="3"/>
    <x v="2"/>
    <x v="3"/>
    <n v="1"/>
    <n v="1"/>
    <n v="2.7"/>
    <x v="2"/>
    <n v="3"/>
    <n v="4"/>
    <n v="547645"/>
    <n v="185432"/>
    <n v="362213"/>
    <n v="15"/>
    <n v="58"/>
    <n v="6.1"/>
  </r>
  <r>
    <x v="10"/>
    <x v="10"/>
    <d v="2022-09-06T00:00:00"/>
    <s v="NA"/>
    <n v="0"/>
    <n v="35"/>
    <s v="21-40"/>
    <x v="0"/>
    <x v="13"/>
    <x v="10"/>
    <x v="4"/>
    <n v="1"/>
    <n v="1"/>
    <n v="3.1"/>
    <x v="15"/>
    <n v="4"/>
    <n v="4"/>
    <n v="534220"/>
    <n v="218617"/>
    <n v="315603"/>
    <n v="16"/>
    <n v="57"/>
    <n v="12.4"/>
  </r>
  <r>
    <x v="10"/>
    <x v="10"/>
    <d v="2023-10-09T00:00:00"/>
    <s v="NA"/>
    <n v="0"/>
    <n v="81"/>
    <s v="81+"/>
    <x v="1"/>
    <x v="6"/>
    <x v="4"/>
    <x v="4"/>
    <n v="1"/>
    <n v="1"/>
    <n v="3.6"/>
    <x v="21"/>
    <n v="3"/>
    <n v="5"/>
    <n v="588938"/>
    <n v="196639"/>
    <n v="392299"/>
    <n v="20"/>
    <n v="64"/>
    <n v="12.5"/>
  </r>
  <r>
    <x v="10"/>
    <x v="10"/>
    <d v="2024-07-30T00:00:00"/>
    <s v="NA"/>
    <n v="0"/>
    <n v="43"/>
    <s v="41-60"/>
    <x v="1"/>
    <x v="10"/>
    <x v="8"/>
    <x v="0"/>
    <n v="1"/>
    <n v="1"/>
    <n v="3.2"/>
    <x v="2"/>
    <n v="7"/>
    <n v="6"/>
    <n v="555848"/>
    <n v="160922"/>
    <n v="394926"/>
    <n v="16"/>
    <n v="56"/>
    <n v="12"/>
  </r>
  <r>
    <x v="10"/>
    <x v="10"/>
    <d v="2022-01-03T00:00:00"/>
    <s v="NA"/>
    <n v="0"/>
    <n v="28"/>
    <s v="21-40"/>
    <x v="0"/>
    <x v="5"/>
    <x v="0"/>
    <x v="1"/>
    <n v="1"/>
    <n v="1"/>
    <n v="3.8"/>
    <x v="19"/>
    <n v="7"/>
    <n v="7"/>
    <n v="586958"/>
    <n v="223308"/>
    <n v="363650"/>
    <n v="23"/>
    <n v="54"/>
    <n v="14.6"/>
  </r>
  <r>
    <x v="10"/>
    <x v="10"/>
    <d v="2023-10-17T00:00:00"/>
    <s v="NA"/>
    <n v="0"/>
    <n v="35"/>
    <s v="21-40"/>
    <x v="1"/>
    <x v="1"/>
    <x v="1"/>
    <x v="0"/>
    <n v="1"/>
    <n v="1"/>
    <n v="5"/>
    <x v="2"/>
    <n v="3"/>
    <n v="7"/>
    <n v="534952"/>
    <n v="161557"/>
    <n v="373395"/>
    <n v="24"/>
    <n v="63"/>
    <n v="7.1"/>
  </r>
  <r>
    <x v="10"/>
    <x v="10"/>
    <d v="2021-07-14T00:00:00"/>
    <s v="NA"/>
    <n v="0"/>
    <n v="62"/>
    <s v="61-80"/>
    <x v="1"/>
    <x v="2"/>
    <x v="1"/>
    <x v="1"/>
    <n v="1"/>
    <n v="1"/>
    <n v="6.6"/>
    <x v="5"/>
    <n v="4"/>
    <n v="4"/>
    <n v="548226"/>
    <n v="213280"/>
    <n v="334946"/>
    <n v="15"/>
    <n v="56"/>
    <n v="5.4"/>
  </r>
  <r>
    <x v="10"/>
    <x v="10"/>
    <d v="2022-06-21T00:00:00"/>
    <s v="NA"/>
    <n v="0"/>
    <n v="29"/>
    <s v="21-40"/>
    <x v="1"/>
    <x v="1"/>
    <x v="1"/>
    <x v="3"/>
    <n v="1"/>
    <n v="1"/>
    <n v="6.4"/>
    <x v="21"/>
    <n v="7"/>
    <n v="6"/>
    <n v="551537"/>
    <n v="166055"/>
    <n v="385482"/>
    <n v="23"/>
    <n v="58"/>
    <n v="6.2"/>
  </r>
  <r>
    <x v="10"/>
    <x v="10"/>
    <d v="2022-08-26T00:00:00"/>
    <s v="NA"/>
    <n v="0"/>
    <n v="62"/>
    <s v="61-80"/>
    <x v="1"/>
    <x v="12"/>
    <x v="9"/>
    <x v="3"/>
    <n v="1"/>
    <n v="1"/>
    <n v="2.1"/>
    <x v="24"/>
    <n v="7"/>
    <n v="6"/>
    <n v="589128"/>
    <n v="222208"/>
    <n v="366920"/>
    <n v="18"/>
    <n v="59"/>
    <n v="10.7"/>
  </r>
  <r>
    <x v="10"/>
    <x v="10"/>
    <d v="2023-06-21T00:00:00"/>
    <s v="NA"/>
    <n v="0"/>
    <n v="44"/>
    <s v="41-60"/>
    <x v="1"/>
    <x v="11"/>
    <x v="8"/>
    <x v="1"/>
    <n v="1"/>
    <n v="1"/>
    <n v="2.7"/>
    <x v="1"/>
    <n v="3"/>
    <n v="5"/>
    <n v="576999"/>
    <n v="253827"/>
    <n v="323172"/>
    <n v="18"/>
    <n v="59"/>
    <n v="7"/>
  </r>
  <r>
    <x v="10"/>
    <x v="10"/>
    <d v="2022-01-25T00:00:00"/>
    <s v="NA"/>
    <n v="0"/>
    <n v="68"/>
    <s v="61-80"/>
    <x v="0"/>
    <x v="7"/>
    <x v="5"/>
    <x v="4"/>
    <n v="1"/>
    <n v="1"/>
    <n v="5.7"/>
    <x v="8"/>
    <n v="3"/>
    <n v="3"/>
    <n v="547488"/>
    <n v="218943"/>
    <n v="328545"/>
    <n v="20"/>
    <n v="54"/>
    <n v="36.299999999999997"/>
  </r>
  <r>
    <x v="10"/>
    <x v="10"/>
    <d v="2022-04-02T00:00:00"/>
    <s v="NA"/>
    <n v="0"/>
    <n v="81"/>
    <s v="81+"/>
    <x v="0"/>
    <x v="14"/>
    <x v="11"/>
    <x v="0"/>
    <n v="1"/>
    <n v="1"/>
    <n v="5.2"/>
    <x v="29"/>
    <n v="3"/>
    <n v="7"/>
    <n v="567935"/>
    <n v="220234"/>
    <n v="347701"/>
    <n v="15"/>
    <n v="63"/>
    <n v="5.2"/>
  </r>
  <r>
    <x v="10"/>
    <x v="10"/>
    <d v="2023-01-30T00:00:00"/>
    <s v="NA"/>
    <n v="0"/>
    <n v="66"/>
    <s v="61-80"/>
    <x v="1"/>
    <x v="4"/>
    <x v="3"/>
    <x v="1"/>
    <n v="1"/>
    <n v="1"/>
    <n v="5.5"/>
    <x v="26"/>
    <n v="6"/>
    <n v="6"/>
    <n v="573954"/>
    <n v="192570"/>
    <n v="381384"/>
    <n v="22"/>
    <n v="59"/>
    <n v="13.2"/>
  </r>
  <r>
    <x v="10"/>
    <x v="10"/>
    <d v="2022-06-30T00:00:00"/>
    <s v="NA"/>
    <n v="0"/>
    <n v="39"/>
    <s v="21-40"/>
    <x v="1"/>
    <x v="12"/>
    <x v="9"/>
    <x v="1"/>
    <n v="1"/>
    <n v="1"/>
    <n v="3.9"/>
    <x v="28"/>
    <n v="6"/>
    <n v="5"/>
    <n v="562540"/>
    <n v="188501"/>
    <n v="374039"/>
    <n v="21"/>
    <n v="62"/>
    <n v="6.7"/>
  </r>
  <r>
    <x v="10"/>
    <x v="10"/>
    <d v="2022-01-22T00:00:00"/>
    <s v="NA"/>
    <n v="0"/>
    <n v="66"/>
    <s v="61-80"/>
    <x v="1"/>
    <x v="4"/>
    <x v="3"/>
    <x v="0"/>
    <n v="1"/>
    <n v="1"/>
    <n v="6.2"/>
    <x v="24"/>
    <n v="6"/>
    <n v="5"/>
    <n v="575123"/>
    <n v="268846"/>
    <n v="306277"/>
    <n v="24"/>
    <n v="61"/>
    <n v="8.6999999999999993"/>
  </r>
  <r>
    <x v="10"/>
    <x v="10"/>
    <d v="2022-08-02T00:00:00"/>
    <s v="NA"/>
    <n v="0"/>
    <n v="29"/>
    <s v="21-40"/>
    <x v="0"/>
    <x v="0"/>
    <x v="0"/>
    <x v="3"/>
    <n v="1"/>
    <n v="1"/>
    <n v="2.2999999999999998"/>
    <x v="30"/>
    <n v="4"/>
    <n v="6"/>
    <n v="523775"/>
    <n v="172696"/>
    <n v="351079"/>
    <n v="23"/>
    <n v="55"/>
    <n v="13.2"/>
  </r>
  <r>
    <x v="10"/>
    <x v="10"/>
    <d v="2024-02-29T00:00:00"/>
    <s v="NA"/>
    <n v="0"/>
    <n v="44"/>
    <s v="41-60"/>
    <x v="0"/>
    <x v="0"/>
    <x v="0"/>
    <x v="0"/>
    <n v="1"/>
    <n v="1"/>
    <n v="2.6"/>
    <x v="27"/>
    <n v="4"/>
    <n v="5"/>
    <n v="542433"/>
    <n v="174686"/>
    <n v="367747"/>
    <n v="16"/>
    <n v="58"/>
    <n v="8.6"/>
  </r>
  <r>
    <x v="10"/>
    <x v="10"/>
    <d v="2022-05-02T00:00:00"/>
    <s v="NA"/>
    <n v="0"/>
    <n v="70"/>
    <s v="61-80"/>
    <x v="1"/>
    <x v="3"/>
    <x v="2"/>
    <x v="3"/>
    <n v="1"/>
    <n v="1"/>
    <n v="6.2"/>
    <x v="29"/>
    <n v="7"/>
    <n v="3"/>
    <n v="579684"/>
    <n v="192349"/>
    <n v="387335"/>
    <n v="24"/>
    <n v="54"/>
    <n v="13.5"/>
  </r>
  <r>
    <x v="10"/>
    <x v="10"/>
    <d v="2022-02-23T00:00:00"/>
    <s v="NA"/>
    <n v="0"/>
    <n v="69"/>
    <s v="61-80"/>
    <x v="1"/>
    <x v="3"/>
    <x v="2"/>
    <x v="2"/>
    <n v="1"/>
    <n v="1"/>
    <n v="6.7"/>
    <x v="15"/>
    <n v="6"/>
    <n v="3"/>
    <n v="560645"/>
    <n v="252909"/>
    <n v="307736"/>
    <n v="22"/>
    <n v="57"/>
    <n v="14.7"/>
  </r>
  <r>
    <x v="10"/>
    <x v="10"/>
    <d v="2023-02-12T00:00:00"/>
    <s v="NA"/>
    <n v="0"/>
    <n v="67"/>
    <s v="61-80"/>
    <x v="1"/>
    <x v="3"/>
    <x v="2"/>
    <x v="0"/>
    <n v="1"/>
    <n v="1"/>
    <n v="4.9000000000000004"/>
    <x v="3"/>
    <n v="5"/>
    <n v="4"/>
    <n v="587506"/>
    <n v="199449"/>
    <n v="388057"/>
    <n v="24"/>
    <n v="60"/>
    <n v="7.9"/>
  </r>
  <r>
    <x v="10"/>
    <x v="10"/>
    <d v="2024-12-11T00:00:00"/>
    <s v="NA"/>
    <n v="0"/>
    <n v="87"/>
    <s v="81+"/>
    <x v="1"/>
    <x v="6"/>
    <x v="4"/>
    <x v="4"/>
    <n v="1"/>
    <n v="1"/>
    <n v="4.4000000000000004"/>
    <x v="10"/>
    <n v="3"/>
    <n v="4"/>
    <n v="506603"/>
    <n v="132241"/>
    <n v="374362"/>
    <n v="23"/>
    <n v="63"/>
    <n v="5.4"/>
  </r>
  <r>
    <x v="10"/>
    <x v="10"/>
    <d v="2023-11-23T00:00:00"/>
    <s v="NA"/>
    <n v="0"/>
    <n v="46"/>
    <s v="41-60"/>
    <x v="1"/>
    <x v="6"/>
    <x v="4"/>
    <x v="2"/>
    <n v="1"/>
    <n v="1"/>
    <n v="6.5"/>
    <x v="6"/>
    <n v="5"/>
    <n v="3"/>
    <n v="536329"/>
    <n v="232707"/>
    <n v="303622"/>
    <n v="25"/>
    <n v="54"/>
    <n v="10.199999999999999"/>
  </r>
  <r>
    <x v="10"/>
    <x v="10"/>
    <d v="2024-07-07T00:00:00"/>
    <s v="NA"/>
    <n v="0"/>
    <n v="82"/>
    <s v="81+"/>
    <x v="1"/>
    <x v="7"/>
    <x v="5"/>
    <x v="1"/>
    <n v="1"/>
    <n v="1"/>
    <n v="5.0999999999999996"/>
    <x v="23"/>
    <n v="7"/>
    <n v="6"/>
    <n v="552735"/>
    <n v="238594"/>
    <n v="314141"/>
    <n v="25"/>
    <n v="62"/>
    <n v="14.9"/>
  </r>
  <r>
    <x v="10"/>
    <x v="10"/>
    <d v="2022-08-23T00:00:00"/>
    <s v="NA"/>
    <n v="0"/>
    <n v="82"/>
    <s v="81+"/>
    <x v="0"/>
    <x v="2"/>
    <x v="1"/>
    <x v="2"/>
    <n v="1"/>
    <n v="1"/>
    <n v="2.2999999999999998"/>
    <x v="7"/>
    <n v="3"/>
    <n v="7"/>
    <n v="517246"/>
    <n v="129469"/>
    <n v="387777"/>
    <n v="25"/>
    <n v="63"/>
    <n v="7.3"/>
  </r>
  <r>
    <x v="10"/>
    <x v="10"/>
    <d v="2024-12-05T00:00:00"/>
    <s v="NA"/>
    <n v="0"/>
    <n v="49"/>
    <s v="41-60"/>
    <x v="0"/>
    <x v="4"/>
    <x v="3"/>
    <x v="2"/>
    <n v="1"/>
    <n v="1"/>
    <n v="4.9000000000000004"/>
    <x v="19"/>
    <n v="4"/>
    <n v="7"/>
    <n v="512227"/>
    <n v="168087"/>
    <n v="344140"/>
    <n v="15"/>
    <n v="54"/>
    <n v="10.4"/>
  </r>
  <r>
    <x v="10"/>
    <x v="10"/>
    <d v="2023-12-09T00:00:00"/>
    <s v="NA"/>
    <n v="0"/>
    <n v="81"/>
    <s v="81+"/>
    <x v="0"/>
    <x v="6"/>
    <x v="4"/>
    <x v="3"/>
    <n v="1"/>
    <n v="1"/>
    <n v="6.5"/>
    <x v="2"/>
    <n v="3"/>
    <n v="4"/>
    <n v="541821"/>
    <n v="150797"/>
    <n v="391024"/>
    <n v="18"/>
    <n v="57"/>
    <n v="6.3"/>
  </r>
  <r>
    <x v="10"/>
    <x v="10"/>
    <d v="2023-10-24T00:00:00"/>
    <s v="NA"/>
    <n v="0"/>
    <n v="87"/>
    <s v="81+"/>
    <x v="0"/>
    <x v="0"/>
    <x v="0"/>
    <x v="0"/>
    <n v="1"/>
    <n v="1"/>
    <n v="3.3"/>
    <x v="14"/>
    <n v="4"/>
    <n v="6"/>
    <n v="558736"/>
    <n v="213249"/>
    <n v="345487"/>
    <n v="23"/>
    <n v="59"/>
    <n v="13.8"/>
  </r>
  <r>
    <x v="10"/>
    <x v="10"/>
    <d v="2022-09-12T00:00:00"/>
    <s v="NA"/>
    <n v="0"/>
    <n v="27"/>
    <s v="21-40"/>
    <x v="1"/>
    <x v="6"/>
    <x v="4"/>
    <x v="0"/>
    <n v="1"/>
    <n v="1"/>
    <n v="4.0999999999999996"/>
    <x v="21"/>
    <n v="3"/>
    <n v="6"/>
    <n v="565637"/>
    <n v="168478"/>
    <n v="397159"/>
    <n v="19"/>
    <n v="57"/>
    <n v="5.5"/>
  </r>
  <r>
    <x v="10"/>
    <x v="10"/>
    <d v="2022-07-21T00:00:00"/>
    <s v="NA"/>
    <n v="0"/>
    <n v="33"/>
    <s v="21-40"/>
    <x v="0"/>
    <x v="1"/>
    <x v="1"/>
    <x v="2"/>
    <n v="1"/>
    <n v="1"/>
    <n v="6.6"/>
    <x v="12"/>
    <n v="7"/>
    <n v="7"/>
    <n v="596054"/>
    <n v="276473"/>
    <n v="319581"/>
    <n v="24"/>
    <n v="62"/>
    <n v="12.9"/>
  </r>
  <r>
    <x v="10"/>
    <x v="10"/>
    <d v="2023-02-12T00:00:00"/>
    <s v="NA"/>
    <n v="0"/>
    <n v="24"/>
    <s v="21-40"/>
    <x v="1"/>
    <x v="2"/>
    <x v="1"/>
    <x v="4"/>
    <n v="1"/>
    <n v="1"/>
    <n v="5.7"/>
    <x v="12"/>
    <n v="7"/>
    <n v="7"/>
    <n v="558521"/>
    <n v="177463"/>
    <n v="381058"/>
    <n v="25"/>
    <n v="60"/>
    <n v="5.0999999999999996"/>
  </r>
  <r>
    <x v="10"/>
    <x v="10"/>
    <d v="2023-01-04T00:00:00"/>
    <s v="NA"/>
    <n v="0"/>
    <n v="39"/>
    <s v="21-40"/>
    <x v="0"/>
    <x v="4"/>
    <x v="3"/>
    <x v="0"/>
    <n v="1"/>
    <n v="1"/>
    <n v="6.3"/>
    <x v="27"/>
    <n v="6"/>
    <n v="6"/>
    <n v="541593"/>
    <n v="240043"/>
    <n v="301550"/>
    <n v="18"/>
    <n v="59"/>
    <n v="13.2"/>
  </r>
  <r>
    <x v="10"/>
    <x v="10"/>
    <d v="2023-01-11T00:00:00"/>
    <s v="NA"/>
    <n v="0"/>
    <n v="26"/>
    <s v="21-40"/>
    <x v="0"/>
    <x v="10"/>
    <x v="8"/>
    <x v="2"/>
    <n v="1"/>
    <n v="1"/>
    <n v="6.2"/>
    <x v="19"/>
    <n v="6"/>
    <n v="3"/>
    <n v="501519"/>
    <n v="153016"/>
    <n v="348503"/>
    <n v="24"/>
    <n v="63"/>
    <n v="5.9"/>
  </r>
  <r>
    <x v="10"/>
    <x v="10"/>
    <d v="2023-06-27T00:00:00"/>
    <s v="NA"/>
    <n v="0"/>
    <n v="66"/>
    <s v="61-80"/>
    <x v="0"/>
    <x v="2"/>
    <x v="1"/>
    <x v="0"/>
    <n v="1"/>
    <n v="1"/>
    <n v="2.9"/>
    <x v="8"/>
    <n v="3"/>
    <n v="4"/>
    <n v="532567"/>
    <n v="217038"/>
    <n v="315529"/>
    <n v="17"/>
    <n v="55"/>
    <n v="7"/>
  </r>
  <r>
    <x v="10"/>
    <x v="10"/>
    <d v="2023-09-07T00:00:00"/>
    <s v="NA"/>
    <n v="0"/>
    <n v="39"/>
    <s v="21-40"/>
    <x v="0"/>
    <x v="0"/>
    <x v="0"/>
    <x v="2"/>
    <n v="1"/>
    <n v="1"/>
    <n v="4.0999999999999996"/>
    <x v="28"/>
    <n v="3"/>
    <n v="7"/>
    <n v="573868"/>
    <n v="190688"/>
    <n v="383180"/>
    <n v="21"/>
    <n v="62"/>
    <n v="14.3"/>
  </r>
  <r>
    <x v="10"/>
    <x v="10"/>
    <d v="2022-09-06T00:00:00"/>
    <s v="NA"/>
    <n v="0"/>
    <n v="46"/>
    <s v="41-60"/>
    <x v="0"/>
    <x v="0"/>
    <x v="0"/>
    <x v="1"/>
    <n v="1"/>
    <n v="1"/>
    <n v="1.8"/>
    <x v="4"/>
    <n v="6"/>
    <n v="6"/>
    <n v="522281"/>
    <n v="124750"/>
    <n v="397531"/>
    <n v="17"/>
    <n v="57"/>
    <n v="10.3"/>
  </r>
  <r>
    <x v="10"/>
    <x v="10"/>
    <d v="2023-07-01T00:00:00"/>
    <s v="NA"/>
    <n v="0"/>
    <n v="36"/>
    <s v="21-40"/>
    <x v="1"/>
    <x v="4"/>
    <x v="3"/>
    <x v="2"/>
    <n v="1"/>
    <n v="1"/>
    <n v="6.6"/>
    <x v="13"/>
    <n v="6"/>
    <n v="5"/>
    <n v="548269"/>
    <n v="216106"/>
    <n v="332163"/>
    <n v="20"/>
    <n v="60"/>
    <n v="7.2"/>
  </r>
  <r>
    <x v="10"/>
    <x v="10"/>
    <d v="2022-03-14T00:00:00"/>
    <s v="NA"/>
    <n v="0"/>
    <n v="36"/>
    <s v="21-40"/>
    <x v="1"/>
    <x v="2"/>
    <x v="1"/>
    <x v="4"/>
    <n v="1"/>
    <n v="1"/>
    <n v="3.4"/>
    <x v="10"/>
    <n v="7"/>
    <n v="5"/>
    <n v="550786"/>
    <n v="208043"/>
    <n v="342743"/>
    <n v="21"/>
    <n v="59"/>
    <n v="7.1"/>
  </r>
  <r>
    <x v="10"/>
    <x v="10"/>
    <d v="2022-10-21T00:00:00"/>
    <s v="NA"/>
    <n v="0"/>
    <n v="44"/>
    <s v="41-60"/>
    <x v="0"/>
    <x v="0"/>
    <x v="0"/>
    <x v="1"/>
    <n v="1"/>
    <n v="1"/>
    <n v="6.5"/>
    <x v="21"/>
    <n v="4"/>
    <n v="5"/>
    <n v="544778"/>
    <n v="244415"/>
    <n v="300363"/>
    <n v="15"/>
    <n v="57"/>
    <n v="36.1"/>
  </r>
  <r>
    <x v="10"/>
    <x v="10"/>
    <d v="2021-08-15T00:00:00"/>
    <s v="NA"/>
    <n v="0"/>
    <n v="55"/>
    <s v="41-60"/>
    <x v="1"/>
    <x v="4"/>
    <x v="3"/>
    <x v="1"/>
    <n v="1"/>
    <n v="1"/>
    <n v="4.9000000000000004"/>
    <x v="4"/>
    <n v="4"/>
    <n v="4"/>
    <n v="534380"/>
    <n v="214244"/>
    <n v="320136"/>
    <n v="16"/>
    <n v="64"/>
    <n v="36.200000000000003"/>
  </r>
  <r>
    <x v="4"/>
    <x v="4"/>
    <d v="2024-09-30T00:00:00"/>
    <s v="NA"/>
    <n v="0"/>
    <n v="72"/>
    <s v="61-80"/>
    <x v="0"/>
    <x v="0"/>
    <x v="0"/>
    <x v="0"/>
    <n v="1"/>
    <n v="1"/>
    <n v="4.2"/>
    <x v="28"/>
    <n v="7"/>
    <n v="5"/>
    <n v="808095"/>
    <n v="263065"/>
    <n v="545030"/>
    <n v="37"/>
    <n v="65"/>
    <n v="10.7"/>
  </r>
  <r>
    <x v="10"/>
    <x v="10"/>
    <d v="2023-10-01T00:00:00"/>
    <s v="NA"/>
    <n v="0"/>
    <n v="78"/>
    <s v="61-80"/>
    <x v="0"/>
    <x v="0"/>
    <x v="0"/>
    <x v="1"/>
    <n v="1"/>
    <n v="1"/>
    <n v="4"/>
    <x v="5"/>
    <n v="5"/>
    <n v="6"/>
    <n v="598144"/>
    <n v="222873"/>
    <n v="375271"/>
    <n v="17"/>
    <n v="63"/>
    <n v="9.1999999999999993"/>
  </r>
  <r>
    <x v="10"/>
    <x v="10"/>
    <d v="2021-10-20T00:00:00"/>
    <s v="NA"/>
    <n v="0"/>
    <n v="24"/>
    <s v="21-40"/>
    <x v="0"/>
    <x v="1"/>
    <x v="1"/>
    <x v="1"/>
    <n v="1"/>
    <n v="1"/>
    <n v="2.9"/>
    <x v="18"/>
    <n v="6"/>
    <n v="3"/>
    <n v="523623"/>
    <n v="130744"/>
    <n v="392879"/>
    <n v="22"/>
    <n v="56"/>
    <n v="7"/>
  </r>
  <r>
    <x v="10"/>
    <x v="10"/>
    <d v="2024-03-29T00:00:00"/>
    <s v="NA"/>
    <n v="0"/>
    <n v="27"/>
    <s v="21-40"/>
    <x v="1"/>
    <x v="13"/>
    <x v="10"/>
    <x v="3"/>
    <n v="1"/>
    <n v="1"/>
    <n v="2.8"/>
    <x v="18"/>
    <n v="4"/>
    <n v="7"/>
    <n v="515963"/>
    <n v="151589"/>
    <n v="364374"/>
    <n v="21"/>
    <n v="61"/>
    <n v="7.7"/>
  </r>
  <r>
    <x v="4"/>
    <x v="4"/>
    <d v="2024-01-21T00:00:00"/>
    <s v="NA"/>
    <n v="0"/>
    <n v="61"/>
    <s v="61-80"/>
    <x v="0"/>
    <x v="10"/>
    <x v="8"/>
    <x v="4"/>
    <n v="1"/>
    <n v="1"/>
    <n v="1.5"/>
    <x v="12"/>
    <n v="5"/>
    <n v="5"/>
    <n v="857092"/>
    <n v="314030"/>
    <n v="543062"/>
    <n v="38"/>
    <n v="54"/>
    <n v="10"/>
  </r>
  <r>
    <x v="10"/>
    <x v="10"/>
    <d v="2022-05-06T00:00:00"/>
    <s v="NA"/>
    <n v="0"/>
    <n v="54"/>
    <s v="41-60"/>
    <x v="0"/>
    <x v="7"/>
    <x v="5"/>
    <x v="3"/>
    <n v="1"/>
    <n v="1"/>
    <n v="2.1"/>
    <x v="16"/>
    <n v="4"/>
    <n v="5"/>
    <n v="579782"/>
    <n v="193852"/>
    <n v="385930"/>
    <n v="20"/>
    <n v="54"/>
    <n v="7.5"/>
  </r>
  <r>
    <x v="10"/>
    <x v="10"/>
    <d v="2021-11-22T00:00:00"/>
    <s v="NA"/>
    <n v="0"/>
    <n v="23"/>
    <s v="21-40"/>
    <x v="1"/>
    <x v="10"/>
    <x v="8"/>
    <x v="3"/>
    <n v="1"/>
    <n v="1"/>
    <n v="5.4"/>
    <x v="14"/>
    <n v="6"/>
    <n v="4"/>
    <n v="587056"/>
    <n v="255593"/>
    <n v="331463"/>
    <n v="21"/>
    <n v="58"/>
    <n v="13.2"/>
  </r>
  <r>
    <x v="10"/>
    <x v="10"/>
    <d v="2024-02-27T00:00:00"/>
    <s v="NA"/>
    <n v="0"/>
    <n v="63"/>
    <s v="61-80"/>
    <x v="1"/>
    <x v="11"/>
    <x v="8"/>
    <x v="3"/>
    <n v="1"/>
    <n v="1"/>
    <n v="5.7"/>
    <x v="0"/>
    <n v="3"/>
    <n v="7"/>
    <n v="556009"/>
    <n v="202625"/>
    <n v="353384"/>
    <n v="23"/>
    <n v="54"/>
    <n v="7.9"/>
  </r>
  <r>
    <x v="10"/>
    <x v="10"/>
    <d v="2024-01-11T00:00:00"/>
    <s v="NA"/>
    <n v="0"/>
    <n v="85"/>
    <s v="81+"/>
    <x v="0"/>
    <x v="0"/>
    <x v="0"/>
    <x v="2"/>
    <n v="1"/>
    <n v="1"/>
    <n v="1.2"/>
    <x v="27"/>
    <n v="7"/>
    <n v="6"/>
    <n v="562790"/>
    <n v="194572"/>
    <n v="368218"/>
    <n v="25"/>
    <n v="66"/>
    <n v="12.9"/>
  </r>
  <r>
    <x v="10"/>
    <x v="10"/>
    <d v="2022-01-29T00:00:00"/>
    <s v="NA"/>
    <n v="0"/>
    <n v="43"/>
    <s v="41-60"/>
    <x v="1"/>
    <x v="9"/>
    <x v="7"/>
    <x v="0"/>
    <n v="1"/>
    <n v="1"/>
    <n v="2.2999999999999998"/>
    <x v="19"/>
    <n v="6"/>
    <n v="6"/>
    <n v="595431"/>
    <n v="235570"/>
    <n v="359861"/>
    <n v="25"/>
    <n v="66"/>
    <n v="36.200000000000003"/>
  </r>
  <r>
    <x v="10"/>
    <x v="10"/>
    <d v="2024-09-19T00:00:00"/>
    <s v="NA"/>
    <n v="0"/>
    <n v="33"/>
    <s v="21-40"/>
    <x v="0"/>
    <x v="0"/>
    <x v="0"/>
    <x v="1"/>
    <n v="1"/>
    <n v="1"/>
    <n v="2.2999999999999998"/>
    <x v="3"/>
    <n v="6"/>
    <n v="6"/>
    <n v="567650"/>
    <n v="262555"/>
    <n v="305095"/>
    <n v="20"/>
    <n v="58"/>
    <n v="5.7"/>
  </r>
  <r>
    <x v="10"/>
    <x v="10"/>
    <d v="2024-09-25T00:00:00"/>
    <s v="NA"/>
    <n v="0"/>
    <n v="64"/>
    <s v="61-80"/>
    <x v="1"/>
    <x v="2"/>
    <x v="1"/>
    <x v="0"/>
    <n v="1"/>
    <n v="1"/>
    <n v="2.2999999999999998"/>
    <x v="9"/>
    <n v="7"/>
    <n v="6"/>
    <n v="500008"/>
    <n v="174532"/>
    <n v="325476"/>
    <n v="16"/>
    <n v="59"/>
    <n v="9.5"/>
  </r>
  <r>
    <x v="10"/>
    <x v="10"/>
    <d v="2024-06-10T00:00:00"/>
    <s v="NA"/>
    <n v="0"/>
    <n v="23"/>
    <s v="21-40"/>
    <x v="0"/>
    <x v="7"/>
    <x v="5"/>
    <x v="2"/>
    <n v="1"/>
    <n v="1"/>
    <n v="3.8"/>
    <x v="8"/>
    <n v="4"/>
    <n v="4"/>
    <n v="503820"/>
    <n v="106630"/>
    <n v="397190"/>
    <n v="24"/>
    <n v="54"/>
    <n v="10.199999999999999"/>
  </r>
  <r>
    <x v="10"/>
    <x v="10"/>
    <d v="2021-05-20T00:00:00"/>
    <s v="NA"/>
    <n v="0"/>
    <n v="43"/>
    <s v="41-60"/>
    <x v="1"/>
    <x v="3"/>
    <x v="2"/>
    <x v="0"/>
    <n v="1"/>
    <n v="1"/>
    <n v="6.9"/>
    <x v="24"/>
    <n v="5"/>
    <n v="3"/>
    <n v="565572"/>
    <n v="199208"/>
    <n v="366364"/>
    <n v="21"/>
    <n v="61"/>
    <n v="12.5"/>
  </r>
  <r>
    <x v="4"/>
    <x v="4"/>
    <d v="2021-04-23T00:00:00"/>
    <s v="NA"/>
    <n v="0"/>
    <n v="83"/>
    <s v="81+"/>
    <x v="1"/>
    <x v="6"/>
    <x v="4"/>
    <x v="2"/>
    <n v="1"/>
    <n v="1"/>
    <n v="5.0999999999999996"/>
    <x v="26"/>
    <n v="4"/>
    <n v="6"/>
    <n v="627043"/>
    <n v="19091"/>
    <n v="607952"/>
    <n v="34"/>
    <n v="64"/>
    <n v="6.3"/>
  </r>
  <r>
    <x v="10"/>
    <x v="10"/>
    <d v="2021-02-10T00:00:00"/>
    <s v="NA"/>
    <n v="0"/>
    <n v="32"/>
    <s v="21-40"/>
    <x v="0"/>
    <x v="5"/>
    <x v="0"/>
    <x v="4"/>
    <n v="1"/>
    <n v="1"/>
    <n v="3.1"/>
    <x v="0"/>
    <n v="4"/>
    <n v="7"/>
    <n v="543502"/>
    <n v="242427"/>
    <n v="301075"/>
    <n v="18"/>
    <n v="64"/>
    <n v="8.6999999999999993"/>
  </r>
  <r>
    <x v="10"/>
    <x v="10"/>
    <d v="2021-12-01T00:00:00"/>
    <s v="NA"/>
    <n v="0"/>
    <n v="25"/>
    <s v="21-40"/>
    <x v="0"/>
    <x v="0"/>
    <x v="0"/>
    <x v="3"/>
    <n v="1"/>
    <n v="1"/>
    <n v="4.5999999999999996"/>
    <x v="4"/>
    <n v="7"/>
    <n v="4"/>
    <n v="599544"/>
    <n v="263461"/>
    <n v="336083"/>
    <n v="16"/>
    <n v="57"/>
    <n v="14.6"/>
  </r>
  <r>
    <x v="4"/>
    <x v="4"/>
    <d v="2024-06-21T00:00:00"/>
    <s v="NA"/>
    <n v="0"/>
    <n v="82"/>
    <s v="81+"/>
    <x v="0"/>
    <x v="0"/>
    <x v="0"/>
    <x v="4"/>
    <n v="1"/>
    <n v="1"/>
    <n v="2.4"/>
    <x v="24"/>
    <n v="4"/>
    <n v="5"/>
    <n v="761590"/>
    <n v="156537"/>
    <n v="605053"/>
    <n v="31"/>
    <n v="54"/>
    <n v="6.3"/>
  </r>
  <r>
    <x v="10"/>
    <x v="10"/>
    <d v="2021-04-20T00:00:00"/>
    <s v="NA"/>
    <n v="0"/>
    <n v="35"/>
    <s v="21-40"/>
    <x v="1"/>
    <x v="3"/>
    <x v="2"/>
    <x v="4"/>
    <n v="1"/>
    <n v="1"/>
    <n v="1.9"/>
    <x v="16"/>
    <n v="5"/>
    <n v="4"/>
    <n v="592521"/>
    <n v="205968"/>
    <n v="386553"/>
    <n v="18"/>
    <n v="66"/>
    <n v="7.1"/>
  </r>
  <r>
    <x v="10"/>
    <x v="10"/>
    <d v="2021-09-17T00:00:00"/>
    <s v="NA"/>
    <n v="0"/>
    <n v="43"/>
    <s v="41-60"/>
    <x v="0"/>
    <x v="0"/>
    <x v="0"/>
    <x v="4"/>
    <n v="1"/>
    <n v="1"/>
    <n v="3.8"/>
    <x v="24"/>
    <n v="3"/>
    <n v="6"/>
    <n v="576254"/>
    <n v="260894"/>
    <n v="315360"/>
    <n v="23"/>
    <n v="57"/>
    <n v="14.8"/>
  </r>
  <r>
    <x v="10"/>
    <x v="10"/>
    <d v="2022-02-14T00:00:00"/>
    <s v="NA"/>
    <n v="0"/>
    <n v="48"/>
    <s v="41-60"/>
    <x v="0"/>
    <x v="1"/>
    <x v="1"/>
    <x v="2"/>
    <n v="1"/>
    <n v="1"/>
    <n v="5.2"/>
    <x v="7"/>
    <n v="3"/>
    <n v="5"/>
    <n v="583628"/>
    <n v="247480"/>
    <n v="336148"/>
    <n v="17"/>
    <n v="58"/>
    <n v="36.200000000000003"/>
  </r>
  <r>
    <x v="4"/>
    <x v="4"/>
    <d v="2023-08-15T00:00:00"/>
    <s v="NA"/>
    <n v="0"/>
    <n v="54"/>
    <s v="41-60"/>
    <x v="0"/>
    <x v="10"/>
    <x v="8"/>
    <x v="1"/>
    <n v="1"/>
    <n v="1"/>
    <n v="4.2"/>
    <x v="7"/>
    <n v="5"/>
    <n v="5"/>
    <n v="742092"/>
    <n v="113059"/>
    <n v="629033"/>
    <n v="33"/>
    <n v="66"/>
    <n v="9.6999999999999993"/>
  </r>
  <r>
    <x v="10"/>
    <x v="10"/>
    <d v="2023-11-02T00:00:00"/>
    <s v="NA"/>
    <n v="0"/>
    <n v="29"/>
    <s v="21-40"/>
    <x v="1"/>
    <x v="7"/>
    <x v="5"/>
    <x v="2"/>
    <n v="1"/>
    <n v="1"/>
    <n v="1.4"/>
    <x v="14"/>
    <n v="4"/>
    <n v="5"/>
    <n v="579251"/>
    <n v="239330"/>
    <n v="339921"/>
    <n v="24"/>
    <n v="60"/>
    <n v="14.2"/>
  </r>
  <r>
    <x v="10"/>
    <x v="10"/>
    <d v="2023-01-03T00:00:00"/>
    <s v="NA"/>
    <n v="0"/>
    <n v="47"/>
    <s v="41-60"/>
    <x v="1"/>
    <x v="10"/>
    <x v="8"/>
    <x v="2"/>
    <n v="1"/>
    <n v="1"/>
    <n v="4.0999999999999996"/>
    <x v="15"/>
    <n v="4"/>
    <n v="3"/>
    <n v="545834"/>
    <n v="224066"/>
    <n v="321768"/>
    <n v="24"/>
    <n v="62"/>
    <n v="14.3"/>
  </r>
  <r>
    <x v="4"/>
    <x v="4"/>
    <d v="2022-12-24T00:00:00"/>
    <s v="NA"/>
    <n v="0"/>
    <n v="48"/>
    <s v="41-60"/>
    <x v="0"/>
    <x v="0"/>
    <x v="0"/>
    <x v="1"/>
    <n v="1"/>
    <n v="1"/>
    <n v="3.3"/>
    <x v="28"/>
    <n v="7"/>
    <n v="6"/>
    <n v="857090"/>
    <n v="330398"/>
    <n v="526692"/>
    <n v="30"/>
    <n v="64"/>
    <n v="8.4"/>
  </r>
  <r>
    <x v="4"/>
    <x v="4"/>
    <d v="2024-06-04T00:00:00"/>
    <s v="NA"/>
    <n v="0"/>
    <n v="60"/>
    <s v="41-60"/>
    <x v="1"/>
    <x v="3"/>
    <x v="2"/>
    <x v="1"/>
    <n v="1"/>
    <n v="1"/>
    <n v="2.7"/>
    <x v="16"/>
    <n v="7"/>
    <n v="3"/>
    <n v="762236"/>
    <n v="134585"/>
    <n v="627651"/>
    <n v="36"/>
    <n v="63"/>
    <n v="36.799999999999997"/>
  </r>
  <r>
    <x v="10"/>
    <x v="10"/>
    <d v="2022-10-11T00:00:00"/>
    <s v="NA"/>
    <n v="0"/>
    <n v="90"/>
    <s v="81+"/>
    <x v="1"/>
    <x v="3"/>
    <x v="2"/>
    <x v="0"/>
    <n v="1"/>
    <n v="1"/>
    <n v="4.5999999999999996"/>
    <x v="2"/>
    <n v="3"/>
    <n v="7"/>
    <n v="570538"/>
    <n v="216858"/>
    <n v="353680"/>
    <n v="20"/>
    <n v="60"/>
    <n v="8.1"/>
  </r>
  <r>
    <x v="10"/>
    <x v="10"/>
    <d v="2023-09-13T00:00:00"/>
    <s v="NA"/>
    <n v="0"/>
    <n v="70"/>
    <s v="61-80"/>
    <x v="0"/>
    <x v="6"/>
    <x v="4"/>
    <x v="1"/>
    <n v="1"/>
    <n v="1"/>
    <n v="6.3"/>
    <x v="21"/>
    <n v="3"/>
    <n v="4"/>
    <n v="508987"/>
    <n v="132540"/>
    <n v="376447"/>
    <n v="20"/>
    <n v="55"/>
    <n v="13.1"/>
  </r>
  <r>
    <x v="4"/>
    <x v="4"/>
    <d v="2022-04-18T00:00:00"/>
    <s v="NA"/>
    <n v="0"/>
    <n v="22"/>
    <s v="21-40"/>
    <x v="0"/>
    <x v="0"/>
    <x v="0"/>
    <x v="1"/>
    <n v="1"/>
    <n v="1"/>
    <n v="2.2000000000000002"/>
    <x v="6"/>
    <n v="7"/>
    <n v="5"/>
    <n v="895328"/>
    <n v="367991"/>
    <n v="527337"/>
    <n v="39"/>
    <n v="64"/>
    <n v="7.3"/>
  </r>
  <r>
    <x v="10"/>
    <x v="10"/>
    <d v="2023-04-27T00:00:00"/>
    <s v="NA"/>
    <n v="0"/>
    <n v="90"/>
    <s v="81+"/>
    <x v="0"/>
    <x v="7"/>
    <x v="5"/>
    <x v="1"/>
    <n v="1"/>
    <n v="1"/>
    <n v="5.2"/>
    <x v="7"/>
    <n v="5"/>
    <n v="4"/>
    <n v="508656"/>
    <n v="156809"/>
    <n v="351847"/>
    <n v="19"/>
    <n v="65"/>
    <n v="6.2"/>
  </r>
  <r>
    <x v="10"/>
    <x v="10"/>
    <d v="2024-01-07T00:00:00"/>
    <s v="NA"/>
    <n v="0"/>
    <n v="69"/>
    <s v="61-80"/>
    <x v="0"/>
    <x v="2"/>
    <x v="1"/>
    <x v="2"/>
    <n v="1"/>
    <n v="1"/>
    <n v="2.7"/>
    <x v="7"/>
    <n v="3"/>
    <n v="4"/>
    <n v="565470"/>
    <n v="225293"/>
    <n v="340177"/>
    <n v="17"/>
    <n v="60"/>
    <n v="9.1999999999999993"/>
  </r>
  <r>
    <x v="4"/>
    <x v="4"/>
    <d v="2022-01-04T00:00:00"/>
    <s v="NA"/>
    <n v="0"/>
    <n v="31"/>
    <s v="21-40"/>
    <x v="1"/>
    <x v="1"/>
    <x v="1"/>
    <x v="0"/>
    <n v="1"/>
    <n v="1"/>
    <n v="3.5"/>
    <x v="16"/>
    <n v="6"/>
    <n v="6"/>
    <n v="623331"/>
    <n v="65316"/>
    <n v="558015"/>
    <n v="33"/>
    <n v="55"/>
    <n v="7.9"/>
  </r>
  <r>
    <x v="4"/>
    <x v="4"/>
    <d v="2021-04-27T00:00:00"/>
    <s v="NA"/>
    <n v="0"/>
    <n v="65"/>
    <s v="61-80"/>
    <x v="0"/>
    <x v="2"/>
    <x v="1"/>
    <x v="1"/>
    <n v="1"/>
    <n v="1"/>
    <n v="5.0999999999999996"/>
    <x v="10"/>
    <n v="6"/>
    <n v="7"/>
    <n v="781789"/>
    <n v="145845"/>
    <n v="635944"/>
    <n v="30"/>
    <n v="61"/>
    <n v="10.4"/>
  </r>
  <r>
    <x v="4"/>
    <x v="4"/>
    <d v="2023-01-25T00:00:00"/>
    <s v="NA"/>
    <n v="0"/>
    <n v="29"/>
    <s v="21-40"/>
    <x v="0"/>
    <x v="10"/>
    <x v="8"/>
    <x v="0"/>
    <n v="1"/>
    <n v="1"/>
    <n v="5.5"/>
    <x v="6"/>
    <n v="5"/>
    <n v="7"/>
    <n v="837522"/>
    <n v="290356"/>
    <n v="547166"/>
    <n v="31"/>
    <n v="56"/>
    <n v="12.6"/>
  </r>
  <r>
    <x v="4"/>
    <x v="4"/>
    <d v="2024-09-26T00:00:00"/>
    <s v="NA"/>
    <n v="0"/>
    <n v="80"/>
    <s v="61-80"/>
    <x v="1"/>
    <x v="1"/>
    <x v="1"/>
    <x v="2"/>
    <n v="1"/>
    <n v="1"/>
    <n v="5.6"/>
    <x v="8"/>
    <n v="3"/>
    <n v="6"/>
    <n v="708502"/>
    <n v="104359"/>
    <n v="604143"/>
    <n v="33"/>
    <n v="57"/>
    <n v="10.5"/>
  </r>
  <r>
    <x v="4"/>
    <x v="4"/>
    <d v="2022-12-11T00:00:00"/>
    <s v="NA"/>
    <n v="0"/>
    <n v="48"/>
    <s v="41-60"/>
    <x v="1"/>
    <x v="6"/>
    <x v="4"/>
    <x v="4"/>
    <n v="1"/>
    <n v="1"/>
    <n v="3.9"/>
    <x v="17"/>
    <n v="3"/>
    <n v="4"/>
    <n v="653213"/>
    <n v="36897"/>
    <n v="616316"/>
    <n v="36"/>
    <n v="60"/>
    <n v="10"/>
  </r>
  <r>
    <x v="13"/>
    <x v="13"/>
    <d v="2023-09-04T00:00:00"/>
    <s v="NA"/>
    <n v="0"/>
    <n v="33"/>
    <s v="21-40"/>
    <x v="0"/>
    <x v="0"/>
    <x v="0"/>
    <x v="3"/>
    <n v="1"/>
    <n v="1"/>
    <n v="1.9"/>
    <x v="6"/>
    <n v="3"/>
    <n v="3"/>
    <n v="908020"/>
    <n v="364336"/>
    <n v="543684"/>
    <n v="37"/>
    <n v="58"/>
    <n v="10"/>
  </r>
  <r>
    <x v="13"/>
    <x v="13"/>
    <d v="2024-11-17T00:00:00"/>
    <s v="NA"/>
    <n v="0"/>
    <n v="41"/>
    <s v="41-60"/>
    <x v="1"/>
    <x v="12"/>
    <x v="9"/>
    <x v="2"/>
    <n v="1"/>
    <n v="1"/>
    <n v="1.2"/>
    <x v="0"/>
    <n v="7"/>
    <n v="7"/>
    <n v="907541"/>
    <n v="365874"/>
    <n v="541667"/>
    <n v="53"/>
    <n v="54"/>
    <n v="36.1"/>
  </r>
  <r>
    <x v="13"/>
    <x v="13"/>
    <d v="2021-04-28T00:00:00"/>
    <s v="NA"/>
    <n v="0"/>
    <n v="45"/>
    <s v="41-60"/>
    <x v="1"/>
    <x v="9"/>
    <x v="7"/>
    <x v="1"/>
    <n v="1"/>
    <n v="1"/>
    <n v="3.3"/>
    <x v="21"/>
    <n v="6"/>
    <n v="6"/>
    <n v="803907"/>
    <n v="291387"/>
    <n v="512520"/>
    <n v="42"/>
    <n v="66"/>
    <n v="14.1"/>
  </r>
  <r>
    <x v="13"/>
    <x v="13"/>
    <d v="2021-06-19T00:00:00"/>
    <s v="NA"/>
    <n v="0"/>
    <n v="33"/>
    <s v="21-40"/>
    <x v="0"/>
    <x v="7"/>
    <x v="5"/>
    <x v="1"/>
    <n v="1"/>
    <n v="1"/>
    <n v="3.5"/>
    <x v="24"/>
    <n v="4"/>
    <n v="5"/>
    <n v="808988"/>
    <n v="127253"/>
    <n v="681735"/>
    <n v="33"/>
    <n v="59"/>
    <n v="10.6"/>
  </r>
  <r>
    <x v="13"/>
    <x v="13"/>
    <d v="2022-12-09T00:00:00"/>
    <s v="NA"/>
    <n v="0"/>
    <n v="84"/>
    <s v="81+"/>
    <x v="1"/>
    <x v="12"/>
    <x v="9"/>
    <x v="3"/>
    <n v="1"/>
    <n v="1"/>
    <n v="3.5"/>
    <x v="18"/>
    <n v="5"/>
    <n v="7"/>
    <n v="854757"/>
    <n v="217961"/>
    <n v="636796"/>
    <n v="42"/>
    <n v="61"/>
    <n v="13"/>
  </r>
  <r>
    <x v="13"/>
    <x v="13"/>
    <d v="2022-10-26T00:00:00"/>
    <s v="NA"/>
    <n v="0"/>
    <n v="40"/>
    <s v="21-40"/>
    <x v="1"/>
    <x v="10"/>
    <x v="8"/>
    <x v="3"/>
    <n v="1"/>
    <n v="1"/>
    <n v="6.1"/>
    <x v="18"/>
    <n v="7"/>
    <n v="7"/>
    <n v="823631"/>
    <n v="266150"/>
    <n v="557481"/>
    <n v="40"/>
    <n v="63"/>
    <n v="36.6"/>
  </r>
  <r>
    <x v="13"/>
    <x v="13"/>
    <d v="2024-09-07T00:00:00"/>
    <s v="NA"/>
    <n v="0"/>
    <n v="35"/>
    <s v="21-40"/>
    <x v="0"/>
    <x v="14"/>
    <x v="11"/>
    <x v="0"/>
    <n v="1"/>
    <n v="1"/>
    <n v="1.2"/>
    <x v="19"/>
    <n v="6"/>
    <n v="5"/>
    <n v="895476"/>
    <n v="308812"/>
    <n v="586664"/>
    <n v="47"/>
    <n v="58"/>
    <n v="5.9"/>
  </r>
  <r>
    <x v="13"/>
    <x v="13"/>
    <d v="2023-03-21T00:00:00"/>
    <s v="NA"/>
    <n v="0"/>
    <n v="67"/>
    <s v="61-80"/>
    <x v="1"/>
    <x v="3"/>
    <x v="2"/>
    <x v="1"/>
    <n v="1"/>
    <n v="1"/>
    <n v="4.0999999999999996"/>
    <x v="10"/>
    <n v="3"/>
    <n v="6"/>
    <n v="866335"/>
    <n v="252517"/>
    <n v="613818"/>
    <n v="31"/>
    <n v="59"/>
    <n v="10.199999999999999"/>
  </r>
  <r>
    <x v="13"/>
    <x v="13"/>
    <d v="2023-01-05T00:00:00"/>
    <s v="NA"/>
    <n v="0"/>
    <n v="71"/>
    <s v="61-80"/>
    <x v="0"/>
    <x v="5"/>
    <x v="0"/>
    <x v="0"/>
    <n v="1"/>
    <n v="1"/>
    <n v="2"/>
    <x v="25"/>
    <n v="5"/>
    <n v="6"/>
    <n v="889888"/>
    <n v="205804"/>
    <n v="684084"/>
    <n v="60"/>
    <n v="59"/>
    <n v="13.4"/>
  </r>
  <r>
    <x v="13"/>
    <x v="13"/>
    <d v="2022-06-06T00:00:00"/>
    <s v="NA"/>
    <n v="0"/>
    <n v="40"/>
    <s v="21-40"/>
    <x v="1"/>
    <x v="3"/>
    <x v="2"/>
    <x v="4"/>
    <n v="1"/>
    <n v="1"/>
    <n v="3.8"/>
    <x v="24"/>
    <n v="6"/>
    <n v="6"/>
    <n v="937233"/>
    <n v="359799"/>
    <n v="577434"/>
    <n v="37"/>
    <n v="59"/>
    <n v="6.1"/>
  </r>
  <r>
    <x v="13"/>
    <x v="13"/>
    <d v="2023-02-25T00:00:00"/>
    <s v="NA"/>
    <n v="0"/>
    <n v="48"/>
    <s v="41-60"/>
    <x v="1"/>
    <x v="1"/>
    <x v="1"/>
    <x v="2"/>
    <n v="1"/>
    <n v="1"/>
    <n v="3.3"/>
    <x v="8"/>
    <n v="4"/>
    <n v="4"/>
    <n v="866258"/>
    <n v="240160"/>
    <n v="626098"/>
    <n v="60"/>
    <n v="60"/>
    <n v="5.5"/>
  </r>
  <r>
    <x v="13"/>
    <x v="13"/>
    <d v="2022-02-07T00:00:00"/>
    <s v="NA"/>
    <n v="0"/>
    <n v="43"/>
    <s v="41-60"/>
    <x v="0"/>
    <x v="7"/>
    <x v="5"/>
    <x v="2"/>
    <n v="1"/>
    <n v="1"/>
    <n v="3.8"/>
    <x v="10"/>
    <n v="7"/>
    <n v="3"/>
    <n v="942994"/>
    <n v="354467"/>
    <n v="588527"/>
    <n v="34"/>
    <n v="61"/>
    <n v="13.1"/>
  </r>
  <r>
    <x v="13"/>
    <x v="13"/>
    <d v="2024-12-30T00:00:00"/>
    <s v="NA"/>
    <n v="0"/>
    <n v="55"/>
    <s v="41-60"/>
    <x v="1"/>
    <x v="7"/>
    <x v="5"/>
    <x v="2"/>
    <n v="1"/>
    <n v="1"/>
    <n v="3.4"/>
    <x v="25"/>
    <n v="7"/>
    <n v="4"/>
    <n v="801890"/>
    <n v="226604"/>
    <n v="575286"/>
    <n v="52"/>
    <n v="65"/>
    <n v="10"/>
  </r>
  <r>
    <x v="13"/>
    <x v="13"/>
    <d v="2022-11-19T00:00:00"/>
    <s v="NA"/>
    <n v="0"/>
    <n v="54"/>
    <s v="41-60"/>
    <x v="0"/>
    <x v="5"/>
    <x v="0"/>
    <x v="3"/>
    <n v="1"/>
    <n v="1"/>
    <n v="5.6"/>
    <x v="7"/>
    <n v="7"/>
    <n v="7"/>
    <n v="812383"/>
    <n v="169901"/>
    <n v="642482"/>
    <n v="46"/>
    <n v="65"/>
    <n v="12"/>
  </r>
  <r>
    <x v="13"/>
    <x v="13"/>
    <d v="2024-10-19T00:00:00"/>
    <s v="NA"/>
    <n v="0"/>
    <n v="90"/>
    <s v="81+"/>
    <x v="1"/>
    <x v="7"/>
    <x v="5"/>
    <x v="2"/>
    <n v="1"/>
    <n v="1"/>
    <n v="1.5"/>
    <x v="24"/>
    <n v="4"/>
    <n v="6"/>
    <n v="820736"/>
    <n v="268329"/>
    <n v="552407"/>
    <n v="51"/>
    <n v="62"/>
    <n v="14.2"/>
  </r>
  <r>
    <x v="13"/>
    <x v="13"/>
    <d v="2024-01-30T00:00:00"/>
    <s v="NA"/>
    <n v="0"/>
    <n v="79"/>
    <s v="61-80"/>
    <x v="0"/>
    <x v="5"/>
    <x v="0"/>
    <x v="3"/>
    <n v="1"/>
    <n v="1"/>
    <n v="4.0999999999999996"/>
    <x v="8"/>
    <n v="7"/>
    <n v="7"/>
    <n v="900772"/>
    <n v="234108"/>
    <n v="666664"/>
    <n v="43"/>
    <n v="62"/>
    <n v="10.5"/>
  </r>
  <r>
    <x v="13"/>
    <x v="13"/>
    <d v="2023-07-02T00:00:00"/>
    <s v="NA"/>
    <n v="0"/>
    <n v="78"/>
    <s v="61-80"/>
    <x v="1"/>
    <x v="13"/>
    <x v="10"/>
    <x v="4"/>
    <n v="1"/>
    <n v="1"/>
    <n v="3.9"/>
    <x v="20"/>
    <n v="3"/>
    <n v="6"/>
    <n v="872871"/>
    <n v="278898"/>
    <n v="593973"/>
    <n v="54"/>
    <n v="66"/>
    <n v="9"/>
  </r>
  <r>
    <x v="13"/>
    <x v="13"/>
    <d v="2023-06-13T00:00:00"/>
    <s v="NA"/>
    <n v="0"/>
    <n v="27"/>
    <s v="21-40"/>
    <x v="1"/>
    <x v="2"/>
    <x v="1"/>
    <x v="3"/>
    <n v="1"/>
    <n v="1"/>
    <n v="5.0999999999999996"/>
    <x v="30"/>
    <n v="4"/>
    <n v="7"/>
    <n v="822043"/>
    <n v="186312"/>
    <n v="635731"/>
    <n v="39"/>
    <n v="59"/>
    <n v="10.8"/>
  </r>
  <r>
    <x v="13"/>
    <x v="13"/>
    <d v="2021-10-04T00:00:00"/>
    <s v="NA"/>
    <n v="0"/>
    <n v="28"/>
    <s v="21-40"/>
    <x v="1"/>
    <x v="12"/>
    <x v="9"/>
    <x v="2"/>
    <n v="1"/>
    <n v="1"/>
    <n v="5.7"/>
    <x v="12"/>
    <n v="5"/>
    <n v="4"/>
    <n v="836582"/>
    <n v="219457"/>
    <n v="617125"/>
    <n v="37"/>
    <n v="56"/>
    <n v="6.6"/>
  </r>
  <r>
    <x v="13"/>
    <x v="13"/>
    <d v="2021-11-06T00:00:00"/>
    <s v="NA"/>
    <n v="0"/>
    <n v="44"/>
    <s v="41-60"/>
    <x v="0"/>
    <x v="2"/>
    <x v="1"/>
    <x v="4"/>
    <n v="1"/>
    <n v="1"/>
    <n v="6.3"/>
    <x v="13"/>
    <n v="7"/>
    <n v="4"/>
    <n v="943478"/>
    <n v="419206"/>
    <n v="524272"/>
    <n v="42"/>
    <n v="62"/>
    <n v="7.5"/>
  </r>
  <r>
    <x v="13"/>
    <x v="13"/>
    <d v="2021-11-29T00:00:00"/>
    <s v="NA"/>
    <n v="0"/>
    <n v="35"/>
    <s v="21-40"/>
    <x v="1"/>
    <x v="4"/>
    <x v="3"/>
    <x v="0"/>
    <n v="1"/>
    <n v="1"/>
    <n v="4.4000000000000004"/>
    <x v="19"/>
    <n v="6"/>
    <n v="6"/>
    <n v="943584"/>
    <n v="383920"/>
    <n v="559664"/>
    <n v="59"/>
    <n v="59"/>
    <n v="6"/>
  </r>
  <r>
    <x v="13"/>
    <x v="13"/>
    <d v="2024-09-22T00:00:00"/>
    <s v="NA"/>
    <n v="0"/>
    <n v="85"/>
    <s v="81+"/>
    <x v="1"/>
    <x v="11"/>
    <x v="8"/>
    <x v="0"/>
    <n v="1"/>
    <n v="1"/>
    <n v="3.2"/>
    <x v="14"/>
    <n v="7"/>
    <n v="4"/>
    <n v="855144"/>
    <n v="352058"/>
    <n v="503086"/>
    <n v="35"/>
    <n v="54"/>
    <n v="5"/>
  </r>
  <r>
    <x v="13"/>
    <x v="13"/>
    <d v="2023-03-02T00:00:00"/>
    <s v="NA"/>
    <n v="0"/>
    <n v="29"/>
    <s v="21-40"/>
    <x v="1"/>
    <x v="6"/>
    <x v="4"/>
    <x v="4"/>
    <n v="1"/>
    <n v="1"/>
    <n v="2.9"/>
    <x v="0"/>
    <n v="4"/>
    <n v="7"/>
    <n v="926827"/>
    <n v="332607"/>
    <n v="594220"/>
    <n v="60"/>
    <n v="55"/>
    <n v="13.9"/>
  </r>
  <r>
    <x v="13"/>
    <x v="13"/>
    <d v="2023-11-14T00:00:00"/>
    <s v="NA"/>
    <n v="0"/>
    <n v="34"/>
    <s v="21-40"/>
    <x v="0"/>
    <x v="0"/>
    <x v="0"/>
    <x v="2"/>
    <n v="1"/>
    <n v="1"/>
    <n v="2.5"/>
    <x v="20"/>
    <n v="6"/>
    <n v="3"/>
    <n v="846931"/>
    <n v="337128"/>
    <n v="509803"/>
    <n v="45"/>
    <n v="56"/>
    <n v="14.6"/>
  </r>
  <r>
    <x v="13"/>
    <x v="13"/>
    <d v="2021-07-09T00:00:00"/>
    <s v="NA"/>
    <n v="0"/>
    <n v="49"/>
    <s v="41-60"/>
    <x v="0"/>
    <x v="1"/>
    <x v="1"/>
    <x v="4"/>
    <n v="1"/>
    <n v="1"/>
    <n v="6.9"/>
    <x v="7"/>
    <n v="7"/>
    <n v="7"/>
    <n v="815156"/>
    <n v="129137"/>
    <n v="686019"/>
    <n v="56"/>
    <n v="54"/>
    <n v="36"/>
  </r>
  <r>
    <x v="13"/>
    <x v="13"/>
    <d v="2024-05-31T00:00:00"/>
    <s v="NA"/>
    <n v="0"/>
    <n v="30"/>
    <s v="21-40"/>
    <x v="0"/>
    <x v="13"/>
    <x v="10"/>
    <x v="4"/>
    <n v="1"/>
    <n v="1"/>
    <n v="6.4"/>
    <x v="4"/>
    <n v="3"/>
    <n v="6"/>
    <n v="950752"/>
    <n v="271745"/>
    <n v="679007"/>
    <n v="38"/>
    <n v="65"/>
    <n v="10.199999999999999"/>
  </r>
  <r>
    <x v="13"/>
    <x v="13"/>
    <d v="2022-09-28T00:00:00"/>
    <s v="NA"/>
    <n v="0"/>
    <n v="27"/>
    <s v="21-40"/>
    <x v="1"/>
    <x v="12"/>
    <x v="9"/>
    <x v="2"/>
    <n v="1"/>
    <n v="1"/>
    <n v="3.7"/>
    <x v="25"/>
    <n v="7"/>
    <n v="7"/>
    <n v="877403"/>
    <n v="335929"/>
    <n v="541474"/>
    <n v="46"/>
    <n v="58"/>
    <n v="13.8"/>
  </r>
  <r>
    <x v="13"/>
    <x v="13"/>
    <d v="2024-12-07T00:00:00"/>
    <s v="NA"/>
    <n v="0"/>
    <n v="23"/>
    <s v="21-40"/>
    <x v="0"/>
    <x v="5"/>
    <x v="0"/>
    <x v="1"/>
    <n v="1"/>
    <n v="1"/>
    <n v="5"/>
    <x v="20"/>
    <n v="7"/>
    <n v="6"/>
    <n v="868992"/>
    <n v="179773"/>
    <n v="689219"/>
    <n v="50"/>
    <n v="61"/>
    <n v="6.4"/>
  </r>
  <r>
    <x v="13"/>
    <x v="13"/>
    <d v="2022-04-04T00:00:00"/>
    <s v="NA"/>
    <n v="0"/>
    <n v="70"/>
    <s v="61-80"/>
    <x v="1"/>
    <x v="3"/>
    <x v="2"/>
    <x v="2"/>
    <n v="1"/>
    <n v="1"/>
    <n v="5.4"/>
    <x v="7"/>
    <n v="3"/>
    <n v="5"/>
    <n v="977130"/>
    <n v="441350"/>
    <n v="535780"/>
    <n v="33"/>
    <n v="65"/>
    <n v="36.6"/>
  </r>
  <r>
    <x v="13"/>
    <x v="13"/>
    <d v="2021-06-24T00:00:00"/>
    <s v="NA"/>
    <n v="0"/>
    <n v="54"/>
    <s v="41-60"/>
    <x v="1"/>
    <x v="3"/>
    <x v="2"/>
    <x v="3"/>
    <n v="1"/>
    <n v="1"/>
    <n v="4.7"/>
    <x v="2"/>
    <n v="4"/>
    <n v="3"/>
    <n v="868946"/>
    <n v="302521"/>
    <n v="566425"/>
    <n v="54"/>
    <n v="54"/>
    <n v="10.7"/>
  </r>
  <r>
    <x v="13"/>
    <x v="13"/>
    <d v="2021-02-05T00:00:00"/>
    <s v="NA"/>
    <n v="0"/>
    <n v="28"/>
    <s v="21-40"/>
    <x v="1"/>
    <x v="2"/>
    <x v="1"/>
    <x v="3"/>
    <n v="1"/>
    <n v="1"/>
    <n v="6.6"/>
    <x v="21"/>
    <n v="3"/>
    <n v="7"/>
    <n v="928636"/>
    <n v="274164"/>
    <n v="654472"/>
    <n v="53"/>
    <n v="62"/>
    <n v="8.3000000000000007"/>
  </r>
  <r>
    <x v="13"/>
    <x v="13"/>
    <d v="2024-04-15T00:00:00"/>
    <s v="NA"/>
    <n v="0"/>
    <n v="86"/>
    <s v="81+"/>
    <x v="0"/>
    <x v="0"/>
    <x v="0"/>
    <x v="0"/>
    <n v="1"/>
    <n v="1"/>
    <n v="3.8"/>
    <x v="21"/>
    <n v="7"/>
    <n v="7"/>
    <n v="807575"/>
    <n v="138105"/>
    <n v="669470"/>
    <n v="59"/>
    <n v="65"/>
    <n v="10.5"/>
  </r>
  <r>
    <x v="13"/>
    <x v="13"/>
    <d v="2022-08-15T00:00:00"/>
    <s v="NA"/>
    <n v="0"/>
    <n v="45"/>
    <s v="41-60"/>
    <x v="0"/>
    <x v="0"/>
    <x v="0"/>
    <x v="2"/>
    <n v="1"/>
    <n v="1"/>
    <n v="1.8"/>
    <x v="10"/>
    <n v="4"/>
    <n v="4"/>
    <n v="990291"/>
    <n v="386620"/>
    <n v="603671"/>
    <n v="33"/>
    <n v="65"/>
    <n v="7.9"/>
  </r>
  <r>
    <x v="13"/>
    <x v="13"/>
    <d v="2024-03-20T00:00:00"/>
    <s v="NA"/>
    <n v="0"/>
    <n v="46"/>
    <s v="41-60"/>
    <x v="0"/>
    <x v="6"/>
    <x v="4"/>
    <x v="4"/>
    <n v="1"/>
    <n v="1"/>
    <n v="3"/>
    <x v="8"/>
    <n v="6"/>
    <n v="7"/>
    <n v="960570"/>
    <n v="353999"/>
    <n v="606571"/>
    <n v="36"/>
    <n v="64"/>
    <n v="8.8000000000000007"/>
  </r>
  <r>
    <x v="13"/>
    <x v="13"/>
    <d v="2021-10-01T00:00:00"/>
    <s v="NA"/>
    <n v="0"/>
    <n v="51"/>
    <s v="41-60"/>
    <x v="1"/>
    <x v="2"/>
    <x v="1"/>
    <x v="4"/>
    <n v="1"/>
    <n v="1"/>
    <n v="2.9"/>
    <x v="29"/>
    <n v="3"/>
    <n v="5"/>
    <n v="819991"/>
    <n v="191589"/>
    <n v="628402"/>
    <n v="36"/>
    <n v="66"/>
    <n v="10.1"/>
  </r>
  <r>
    <x v="13"/>
    <x v="13"/>
    <d v="2022-07-13T00:00:00"/>
    <s v="NA"/>
    <n v="0"/>
    <n v="34"/>
    <s v="21-40"/>
    <x v="1"/>
    <x v="8"/>
    <x v="6"/>
    <x v="0"/>
    <n v="1"/>
    <n v="1"/>
    <n v="3"/>
    <x v="2"/>
    <n v="4"/>
    <n v="5"/>
    <n v="995130"/>
    <n v="423365"/>
    <n v="571765"/>
    <n v="44"/>
    <n v="57"/>
    <n v="9.6"/>
  </r>
  <r>
    <x v="13"/>
    <x v="13"/>
    <d v="2024-11-22T00:00:00"/>
    <s v="NA"/>
    <n v="0"/>
    <n v="81"/>
    <s v="81+"/>
    <x v="0"/>
    <x v="1"/>
    <x v="1"/>
    <x v="0"/>
    <n v="1"/>
    <n v="1"/>
    <n v="3.3"/>
    <x v="6"/>
    <n v="5"/>
    <n v="4"/>
    <n v="875377"/>
    <n v="277285"/>
    <n v="598092"/>
    <n v="44"/>
    <n v="63"/>
    <n v="13.4"/>
  </r>
  <r>
    <x v="13"/>
    <x v="13"/>
    <d v="2021-01-03T00:00:00"/>
    <s v="NA"/>
    <n v="0"/>
    <n v="73"/>
    <s v="61-80"/>
    <x v="1"/>
    <x v="10"/>
    <x v="8"/>
    <x v="3"/>
    <n v="1"/>
    <n v="1"/>
    <n v="3.4"/>
    <x v="17"/>
    <n v="7"/>
    <n v="3"/>
    <n v="915936"/>
    <n v="380665"/>
    <n v="535271"/>
    <n v="43"/>
    <n v="62"/>
    <n v="7"/>
  </r>
  <r>
    <x v="13"/>
    <x v="13"/>
    <d v="2024-12-15T00:00:00"/>
    <s v="NA"/>
    <n v="0"/>
    <n v="33"/>
    <s v="21-40"/>
    <x v="1"/>
    <x v="3"/>
    <x v="2"/>
    <x v="0"/>
    <n v="1"/>
    <n v="1"/>
    <n v="5.0999999999999996"/>
    <x v="6"/>
    <n v="5"/>
    <n v="3"/>
    <n v="961881"/>
    <n v="329978"/>
    <n v="631903"/>
    <n v="42"/>
    <n v="66"/>
    <n v="8.5"/>
  </r>
  <r>
    <x v="13"/>
    <x v="13"/>
    <d v="2021-07-21T00:00:00"/>
    <s v="NA"/>
    <n v="0"/>
    <n v="79"/>
    <s v="61-80"/>
    <x v="1"/>
    <x v="6"/>
    <x v="4"/>
    <x v="3"/>
    <n v="1"/>
    <n v="1"/>
    <n v="3.3"/>
    <x v="28"/>
    <n v="6"/>
    <n v="6"/>
    <n v="809464"/>
    <n v="131941"/>
    <n v="677523"/>
    <n v="52"/>
    <n v="64"/>
    <n v="6.4"/>
  </r>
  <r>
    <x v="13"/>
    <x v="13"/>
    <d v="2023-12-31T00:00:00"/>
    <s v="NA"/>
    <n v="0"/>
    <n v="43"/>
    <s v="41-60"/>
    <x v="0"/>
    <x v="5"/>
    <x v="0"/>
    <x v="3"/>
    <n v="1"/>
    <n v="1"/>
    <n v="1.8"/>
    <x v="23"/>
    <n v="6"/>
    <n v="5"/>
    <n v="882427"/>
    <n v="311942"/>
    <n v="570485"/>
    <n v="44"/>
    <n v="59"/>
    <n v="14.4"/>
  </r>
  <r>
    <x v="13"/>
    <x v="13"/>
    <d v="2021-07-28T00:00:00"/>
    <s v="NA"/>
    <n v="0"/>
    <n v="29"/>
    <s v="21-40"/>
    <x v="1"/>
    <x v="3"/>
    <x v="2"/>
    <x v="2"/>
    <n v="1"/>
    <n v="1"/>
    <n v="3.9"/>
    <x v="3"/>
    <n v="7"/>
    <n v="6"/>
    <n v="850492"/>
    <n v="228593"/>
    <n v="621899"/>
    <n v="55"/>
    <n v="55"/>
    <n v="36.200000000000003"/>
  </r>
  <r>
    <x v="13"/>
    <x v="13"/>
    <d v="2021-03-15T00:00:00"/>
    <s v="NA"/>
    <n v="0"/>
    <n v="35"/>
    <s v="21-40"/>
    <x v="1"/>
    <x v="2"/>
    <x v="1"/>
    <x v="3"/>
    <n v="1"/>
    <n v="1"/>
    <n v="6.7"/>
    <x v="28"/>
    <n v="4"/>
    <n v="4"/>
    <n v="945214"/>
    <n v="313062"/>
    <n v="632152"/>
    <n v="48"/>
    <n v="59"/>
    <n v="8.5"/>
  </r>
  <r>
    <x v="10"/>
    <x v="10"/>
    <d v="2023-07-12T00:00:00"/>
    <s v="NA"/>
    <n v="0"/>
    <n v="60"/>
    <s v="41-60"/>
    <x v="0"/>
    <x v="0"/>
    <x v="0"/>
    <x v="3"/>
    <n v="1"/>
    <n v="1"/>
    <n v="4.5"/>
    <x v="24"/>
    <n v="4"/>
    <n v="7"/>
    <n v="553645"/>
    <n v="199791"/>
    <n v="353854"/>
    <n v="17"/>
    <n v="60"/>
    <n v="10.3"/>
  </r>
  <r>
    <x v="10"/>
    <x v="10"/>
    <d v="2023-06-20T00:00:00"/>
    <s v="NA"/>
    <n v="0"/>
    <n v="75"/>
    <s v="61-80"/>
    <x v="1"/>
    <x v="2"/>
    <x v="1"/>
    <x v="2"/>
    <n v="1"/>
    <n v="1"/>
    <n v="1.5"/>
    <x v="3"/>
    <n v="3"/>
    <n v="6"/>
    <n v="590875"/>
    <n v="283906"/>
    <n v="306969"/>
    <n v="15"/>
    <n v="54"/>
    <n v="8.5"/>
  </r>
  <r>
    <x v="10"/>
    <x v="10"/>
    <d v="2024-01-02T00:00:00"/>
    <s v="NA"/>
    <n v="0"/>
    <n v="48"/>
    <s v="41-60"/>
    <x v="1"/>
    <x v="10"/>
    <x v="8"/>
    <x v="4"/>
    <n v="1"/>
    <n v="1"/>
    <n v="1.9"/>
    <x v="21"/>
    <n v="6"/>
    <n v="5"/>
    <n v="529180"/>
    <n v="184547"/>
    <n v="344633"/>
    <n v="19"/>
    <n v="65"/>
    <n v="14.1"/>
  </r>
  <r>
    <x v="10"/>
    <x v="10"/>
    <d v="2022-11-18T00:00:00"/>
    <s v="NA"/>
    <n v="0"/>
    <n v="31"/>
    <s v="21-40"/>
    <x v="0"/>
    <x v="6"/>
    <x v="4"/>
    <x v="0"/>
    <n v="1"/>
    <n v="1"/>
    <n v="4"/>
    <x v="15"/>
    <n v="5"/>
    <n v="5"/>
    <n v="512356"/>
    <n v="159006"/>
    <n v="353350"/>
    <n v="23"/>
    <n v="61"/>
    <n v="13.8"/>
  </r>
  <r>
    <x v="13"/>
    <x v="13"/>
    <d v="2021-06-18T00:00:00"/>
    <s v="NA"/>
    <n v="0"/>
    <n v="71"/>
    <s v="61-80"/>
    <x v="0"/>
    <x v="2"/>
    <x v="1"/>
    <x v="4"/>
    <n v="1"/>
    <n v="1"/>
    <n v="4.0999999999999996"/>
    <x v="21"/>
    <n v="6"/>
    <n v="7"/>
    <n v="979328"/>
    <n v="418960"/>
    <n v="560368"/>
    <n v="48"/>
    <n v="57"/>
    <n v="5.2"/>
  </r>
  <r>
    <x v="10"/>
    <x v="10"/>
    <d v="2024-06-25T00:00:00"/>
    <s v="NA"/>
    <n v="0"/>
    <n v="56"/>
    <s v="41-60"/>
    <x v="0"/>
    <x v="4"/>
    <x v="3"/>
    <x v="2"/>
    <n v="1"/>
    <n v="1"/>
    <n v="1.2"/>
    <x v="14"/>
    <n v="7"/>
    <n v="6"/>
    <n v="542456"/>
    <n v="202493"/>
    <n v="339963"/>
    <n v="23"/>
    <n v="54"/>
    <n v="5.2"/>
  </r>
  <r>
    <x v="13"/>
    <x v="13"/>
    <d v="2021-02-21T00:00:00"/>
    <s v="NA"/>
    <n v="0"/>
    <n v="71"/>
    <s v="61-80"/>
    <x v="1"/>
    <x v="3"/>
    <x v="2"/>
    <x v="4"/>
    <n v="1"/>
    <n v="1"/>
    <n v="2.4"/>
    <x v="9"/>
    <n v="5"/>
    <n v="3"/>
    <n v="889966"/>
    <n v="320459"/>
    <n v="569507"/>
    <n v="49"/>
    <n v="66"/>
    <n v="13.9"/>
  </r>
  <r>
    <x v="10"/>
    <x v="10"/>
    <d v="2023-04-02T00:00:00"/>
    <s v="NA"/>
    <n v="0"/>
    <n v="47"/>
    <s v="41-60"/>
    <x v="1"/>
    <x v="6"/>
    <x v="4"/>
    <x v="1"/>
    <n v="1"/>
    <n v="1"/>
    <n v="6.9"/>
    <x v="16"/>
    <n v="6"/>
    <n v="7"/>
    <n v="513356"/>
    <n v="125770"/>
    <n v="387586"/>
    <n v="20"/>
    <n v="66"/>
    <n v="14.7"/>
  </r>
  <r>
    <x v="10"/>
    <x v="10"/>
    <d v="2022-10-09T00:00:00"/>
    <s v="NA"/>
    <n v="0"/>
    <n v="27"/>
    <s v="21-40"/>
    <x v="1"/>
    <x v="12"/>
    <x v="9"/>
    <x v="1"/>
    <n v="1"/>
    <n v="1"/>
    <n v="1.2"/>
    <x v="11"/>
    <n v="7"/>
    <n v="6"/>
    <n v="582499"/>
    <n v="251618"/>
    <n v="330881"/>
    <n v="24"/>
    <n v="61"/>
    <n v="12.3"/>
  </r>
  <r>
    <x v="13"/>
    <x v="13"/>
    <d v="2021-10-28T00:00:00"/>
    <s v="NA"/>
    <n v="0"/>
    <n v="51"/>
    <s v="41-60"/>
    <x v="0"/>
    <x v="0"/>
    <x v="0"/>
    <x v="2"/>
    <n v="1"/>
    <n v="1"/>
    <n v="5"/>
    <x v="11"/>
    <n v="3"/>
    <n v="5"/>
    <n v="866677"/>
    <n v="198703"/>
    <n v="667974"/>
    <n v="47"/>
    <n v="64"/>
    <n v="9.6"/>
  </r>
  <r>
    <x v="10"/>
    <x v="10"/>
    <d v="2021-06-22T00:00:00"/>
    <s v="NA"/>
    <n v="0"/>
    <n v="84"/>
    <s v="81+"/>
    <x v="1"/>
    <x v="9"/>
    <x v="7"/>
    <x v="2"/>
    <n v="1"/>
    <n v="1"/>
    <n v="1.5"/>
    <x v="7"/>
    <n v="6"/>
    <n v="5"/>
    <n v="598487"/>
    <n v="283090"/>
    <n v="315397"/>
    <n v="17"/>
    <n v="55"/>
    <n v="6.6"/>
  </r>
  <r>
    <x v="13"/>
    <x v="13"/>
    <d v="2024-10-09T00:00:00"/>
    <s v="NA"/>
    <n v="0"/>
    <n v="30"/>
    <s v="21-40"/>
    <x v="1"/>
    <x v="1"/>
    <x v="1"/>
    <x v="4"/>
    <n v="1"/>
    <n v="1"/>
    <n v="5.6"/>
    <x v="23"/>
    <n v="5"/>
    <n v="5"/>
    <n v="896494"/>
    <n v="197464"/>
    <n v="699030"/>
    <n v="59"/>
    <n v="59"/>
    <n v="13.8"/>
  </r>
  <r>
    <x v="10"/>
    <x v="10"/>
    <d v="2022-05-12T00:00:00"/>
    <s v="NA"/>
    <n v="0"/>
    <n v="88"/>
    <s v="81+"/>
    <x v="1"/>
    <x v="6"/>
    <x v="4"/>
    <x v="1"/>
    <n v="1"/>
    <n v="1"/>
    <n v="6.5"/>
    <x v="6"/>
    <n v="3"/>
    <n v="6"/>
    <n v="509499"/>
    <n v="203322"/>
    <n v="306177"/>
    <n v="18"/>
    <n v="55"/>
    <n v="14.5"/>
  </r>
  <r>
    <x v="13"/>
    <x v="13"/>
    <d v="2023-07-04T00:00:00"/>
    <s v="NA"/>
    <n v="0"/>
    <n v="70"/>
    <s v="61-80"/>
    <x v="1"/>
    <x v="10"/>
    <x v="8"/>
    <x v="1"/>
    <n v="1"/>
    <n v="1"/>
    <n v="3.8"/>
    <x v="21"/>
    <n v="4"/>
    <n v="6"/>
    <n v="902993"/>
    <n v="263123"/>
    <n v="639870"/>
    <n v="41"/>
    <n v="60"/>
    <n v="36.1"/>
  </r>
  <r>
    <x v="13"/>
    <x v="13"/>
    <d v="2022-07-30T00:00:00"/>
    <s v="NA"/>
    <n v="0"/>
    <n v="90"/>
    <s v="81+"/>
    <x v="1"/>
    <x v="11"/>
    <x v="8"/>
    <x v="4"/>
    <n v="1"/>
    <n v="1"/>
    <n v="5.6"/>
    <x v="16"/>
    <n v="5"/>
    <n v="4"/>
    <n v="846902"/>
    <n v="279225"/>
    <n v="567677"/>
    <n v="55"/>
    <n v="65"/>
    <n v="13"/>
  </r>
  <r>
    <x v="10"/>
    <x v="10"/>
    <d v="2023-01-25T00:00:00"/>
    <s v="NA"/>
    <n v="0"/>
    <n v="27"/>
    <s v="21-40"/>
    <x v="1"/>
    <x v="3"/>
    <x v="2"/>
    <x v="0"/>
    <n v="1"/>
    <n v="1"/>
    <n v="4.8"/>
    <x v="9"/>
    <n v="3"/>
    <n v="4"/>
    <n v="567135"/>
    <n v="234136"/>
    <n v="332999"/>
    <n v="18"/>
    <n v="65"/>
    <n v="36.5"/>
  </r>
  <r>
    <x v="10"/>
    <x v="10"/>
    <d v="2023-02-08T00:00:00"/>
    <s v="NA"/>
    <n v="0"/>
    <n v="49"/>
    <s v="41-60"/>
    <x v="1"/>
    <x v="2"/>
    <x v="1"/>
    <x v="2"/>
    <n v="1"/>
    <n v="1"/>
    <n v="2.4"/>
    <x v="1"/>
    <n v="4"/>
    <n v="7"/>
    <n v="507293"/>
    <n v="109849"/>
    <n v="397444"/>
    <n v="21"/>
    <n v="59"/>
    <n v="13.6"/>
  </r>
  <r>
    <x v="10"/>
    <x v="10"/>
    <d v="2024-04-03T00:00:00"/>
    <s v="NA"/>
    <n v="0"/>
    <n v="46"/>
    <s v="41-60"/>
    <x v="1"/>
    <x v="6"/>
    <x v="4"/>
    <x v="3"/>
    <n v="1"/>
    <n v="1"/>
    <n v="5.4"/>
    <x v="7"/>
    <n v="5"/>
    <n v="7"/>
    <n v="569171"/>
    <n v="232635"/>
    <n v="336536"/>
    <n v="18"/>
    <n v="57"/>
    <n v="12.4"/>
  </r>
  <r>
    <x v="10"/>
    <x v="10"/>
    <d v="2024-10-12T00:00:00"/>
    <s v="NA"/>
    <n v="0"/>
    <n v="28"/>
    <s v="21-40"/>
    <x v="1"/>
    <x v="12"/>
    <x v="9"/>
    <x v="1"/>
    <n v="1"/>
    <n v="1"/>
    <n v="4.9000000000000004"/>
    <x v="3"/>
    <n v="7"/>
    <n v="7"/>
    <n v="529821"/>
    <n v="196569"/>
    <n v="333252"/>
    <n v="25"/>
    <n v="62"/>
    <n v="10.9"/>
  </r>
  <r>
    <x v="10"/>
    <x v="10"/>
    <d v="2021-11-03T00:00:00"/>
    <s v="NA"/>
    <n v="0"/>
    <n v="22"/>
    <s v="21-40"/>
    <x v="1"/>
    <x v="4"/>
    <x v="3"/>
    <x v="0"/>
    <n v="1"/>
    <n v="1"/>
    <n v="3.8"/>
    <x v="20"/>
    <n v="5"/>
    <n v="6"/>
    <n v="537588"/>
    <n v="222899"/>
    <n v="314689"/>
    <n v="15"/>
    <n v="56"/>
    <n v="12.9"/>
  </r>
  <r>
    <x v="13"/>
    <x v="13"/>
    <d v="2023-03-29T00:00:00"/>
    <s v="NA"/>
    <n v="0"/>
    <n v="89"/>
    <s v="81+"/>
    <x v="1"/>
    <x v="4"/>
    <x v="3"/>
    <x v="1"/>
    <n v="1"/>
    <n v="1"/>
    <n v="2.8"/>
    <x v="12"/>
    <n v="6"/>
    <n v="7"/>
    <n v="854731"/>
    <n v="200265"/>
    <n v="654466"/>
    <n v="39"/>
    <n v="59"/>
    <n v="6.8"/>
  </r>
  <r>
    <x v="10"/>
    <x v="10"/>
    <d v="2021-04-30T00:00:00"/>
    <s v="NA"/>
    <n v="0"/>
    <n v="49"/>
    <s v="41-60"/>
    <x v="1"/>
    <x v="13"/>
    <x v="10"/>
    <x v="1"/>
    <n v="1"/>
    <n v="1"/>
    <n v="1.3"/>
    <x v="24"/>
    <n v="3"/>
    <n v="6"/>
    <n v="592436"/>
    <n v="247472"/>
    <n v="344964"/>
    <n v="24"/>
    <n v="55"/>
    <n v="9.1"/>
  </r>
  <r>
    <x v="13"/>
    <x v="13"/>
    <d v="2021-11-29T00:00:00"/>
    <s v="NA"/>
    <n v="0"/>
    <n v="41"/>
    <s v="41-60"/>
    <x v="0"/>
    <x v="0"/>
    <x v="0"/>
    <x v="0"/>
    <n v="1"/>
    <n v="1"/>
    <n v="6.9"/>
    <x v="4"/>
    <n v="4"/>
    <n v="3"/>
    <n v="824852"/>
    <n v="195668"/>
    <n v="629184"/>
    <n v="60"/>
    <n v="58"/>
    <n v="36.9"/>
  </r>
  <r>
    <x v="10"/>
    <x v="10"/>
    <d v="2021-03-27T00:00:00"/>
    <s v="NA"/>
    <n v="0"/>
    <n v="47"/>
    <s v="41-60"/>
    <x v="1"/>
    <x v="9"/>
    <x v="7"/>
    <x v="2"/>
    <n v="1"/>
    <n v="1"/>
    <n v="4.8"/>
    <x v="5"/>
    <n v="7"/>
    <n v="6"/>
    <n v="587960"/>
    <n v="199537"/>
    <n v="388423"/>
    <n v="15"/>
    <n v="62"/>
    <n v="13.9"/>
  </r>
  <r>
    <x v="10"/>
    <x v="10"/>
    <d v="2023-04-14T00:00:00"/>
    <s v="NA"/>
    <n v="0"/>
    <n v="43"/>
    <s v="41-60"/>
    <x v="0"/>
    <x v="0"/>
    <x v="0"/>
    <x v="0"/>
    <n v="1"/>
    <n v="1"/>
    <n v="1.6"/>
    <x v="1"/>
    <n v="7"/>
    <n v="6"/>
    <n v="567065"/>
    <n v="233872"/>
    <n v="333193"/>
    <n v="16"/>
    <n v="63"/>
    <n v="8.3000000000000007"/>
  </r>
  <r>
    <x v="10"/>
    <x v="10"/>
    <d v="2024-07-10T00:00:00"/>
    <s v="NA"/>
    <n v="0"/>
    <n v="84"/>
    <s v="81+"/>
    <x v="1"/>
    <x v="1"/>
    <x v="1"/>
    <x v="2"/>
    <n v="1"/>
    <n v="1"/>
    <n v="5.9"/>
    <x v="7"/>
    <n v="3"/>
    <n v="3"/>
    <n v="553139"/>
    <n v="182837"/>
    <n v="370302"/>
    <n v="24"/>
    <n v="60"/>
    <n v="8.6999999999999993"/>
  </r>
  <r>
    <x v="10"/>
    <x v="10"/>
    <d v="2021-05-18T00:00:00"/>
    <s v="NA"/>
    <n v="0"/>
    <n v="38"/>
    <s v="21-40"/>
    <x v="1"/>
    <x v="12"/>
    <x v="9"/>
    <x v="0"/>
    <n v="1"/>
    <n v="1"/>
    <n v="4.4000000000000004"/>
    <x v="23"/>
    <n v="4"/>
    <n v="7"/>
    <n v="592752"/>
    <n v="209738"/>
    <n v="383014"/>
    <n v="15"/>
    <n v="61"/>
    <n v="12.1"/>
  </r>
  <r>
    <x v="13"/>
    <x v="13"/>
    <d v="2022-08-19T00:00:00"/>
    <s v="NA"/>
    <n v="0"/>
    <n v="62"/>
    <s v="61-80"/>
    <x v="1"/>
    <x v="4"/>
    <x v="3"/>
    <x v="3"/>
    <n v="1"/>
    <n v="1"/>
    <n v="2.7"/>
    <x v="9"/>
    <n v="5"/>
    <n v="5"/>
    <n v="905484"/>
    <n v="346119"/>
    <n v="559365"/>
    <n v="35"/>
    <n v="66"/>
    <n v="8.9"/>
  </r>
  <r>
    <x v="10"/>
    <x v="10"/>
    <d v="2021-05-26T00:00:00"/>
    <s v="NA"/>
    <n v="0"/>
    <n v="67"/>
    <s v="61-80"/>
    <x v="0"/>
    <x v="0"/>
    <x v="0"/>
    <x v="3"/>
    <n v="1"/>
    <n v="1"/>
    <n v="5"/>
    <x v="6"/>
    <n v="3"/>
    <n v="5"/>
    <n v="583647"/>
    <n v="185563"/>
    <n v="398084"/>
    <n v="20"/>
    <n v="60"/>
    <n v="10.5"/>
  </r>
  <r>
    <x v="10"/>
    <x v="10"/>
    <d v="2022-04-24T00:00:00"/>
    <s v="NA"/>
    <n v="0"/>
    <n v="47"/>
    <s v="41-60"/>
    <x v="0"/>
    <x v="14"/>
    <x v="11"/>
    <x v="2"/>
    <n v="1"/>
    <n v="1"/>
    <n v="2.8"/>
    <x v="17"/>
    <n v="7"/>
    <n v="6"/>
    <n v="503865"/>
    <n v="173945"/>
    <n v="329920"/>
    <n v="22"/>
    <n v="56"/>
    <n v="9"/>
  </r>
  <r>
    <x v="10"/>
    <x v="10"/>
    <d v="2023-01-17T00:00:00"/>
    <s v="NA"/>
    <n v="0"/>
    <n v="38"/>
    <s v="21-40"/>
    <x v="1"/>
    <x v="3"/>
    <x v="2"/>
    <x v="0"/>
    <n v="1"/>
    <n v="1"/>
    <n v="3.7"/>
    <x v="28"/>
    <n v="6"/>
    <n v="4"/>
    <n v="554090"/>
    <n v="217613"/>
    <n v="336477"/>
    <n v="25"/>
    <n v="58"/>
    <n v="8.3000000000000007"/>
  </r>
  <r>
    <x v="10"/>
    <x v="10"/>
    <d v="2023-03-28T00:00:00"/>
    <s v="NA"/>
    <n v="0"/>
    <n v="34"/>
    <s v="21-40"/>
    <x v="0"/>
    <x v="2"/>
    <x v="1"/>
    <x v="3"/>
    <n v="1"/>
    <n v="1"/>
    <n v="1.6"/>
    <x v="20"/>
    <n v="3"/>
    <n v="7"/>
    <n v="542838"/>
    <n v="176256"/>
    <n v="366582"/>
    <n v="16"/>
    <n v="57"/>
    <n v="9.4"/>
  </r>
  <r>
    <x v="10"/>
    <x v="10"/>
    <d v="2023-09-24T00:00:00"/>
    <s v="NA"/>
    <n v="0"/>
    <n v="49"/>
    <s v="41-60"/>
    <x v="0"/>
    <x v="2"/>
    <x v="1"/>
    <x v="1"/>
    <n v="1"/>
    <n v="1"/>
    <n v="1.8"/>
    <x v="26"/>
    <n v="4"/>
    <n v="4"/>
    <n v="579498"/>
    <n v="256844"/>
    <n v="322654"/>
    <n v="16"/>
    <n v="64"/>
    <n v="13.4"/>
  </r>
  <r>
    <x v="10"/>
    <x v="10"/>
    <d v="2021-07-24T00:00:00"/>
    <s v="NA"/>
    <n v="0"/>
    <n v="54"/>
    <s v="41-60"/>
    <x v="1"/>
    <x v="4"/>
    <x v="3"/>
    <x v="4"/>
    <n v="1"/>
    <n v="1"/>
    <n v="1.3"/>
    <x v="28"/>
    <n v="7"/>
    <n v="6"/>
    <n v="503533"/>
    <n v="114811"/>
    <n v="388722"/>
    <n v="16"/>
    <n v="59"/>
    <n v="5.2"/>
  </r>
  <r>
    <x v="13"/>
    <x v="13"/>
    <d v="2022-07-05T00:00:00"/>
    <s v="NA"/>
    <n v="0"/>
    <n v="23"/>
    <s v="21-40"/>
    <x v="1"/>
    <x v="10"/>
    <x v="8"/>
    <x v="1"/>
    <n v="1"/>
    <n v="1"/>
    <n v="3.8"/>
    <x v="28"/>
    <n v="3"/>
    <n v="5"/>
    <n v="960719"/>
    <n v="429984"/>
    <n v="530735"/>
    <n v="55"/>
    <n v="60"/>
    <n v="36"/>
  </r>
  <r>
    <x v="13"/>
    <x v="13"/>
    <d v="2022-10-10T00:00:00"/>
    <s v="NA"/>
    <n v="0"/>
    <n v="57"/>
    <s v="41-60"/>
    <x v="1"/>
    <x v="1"/>
    <x v="1"/>
    <x v="2"/>
    <n v="1"/>
    <n v="1"/>
    <n v="5.5"/>
    <x v="1"/>
    <n v="3"/>
    <n v="6"/>
    <n v="832736"/>
    <n v="247448"/>
    <n v="585288"/>
    <n v="47"/>
    <n v="60"/>
    <n v="7.4"/>
  </r>
  <r>
    <x v="10"/>
    <x v="10"/>
    <d v="2021-01-10T00:00:00"/>
    <s v="NA"/>
    <n v="0"/>
    <n v="28"/>
    <s v="21-40"/>
    <x v="1"/>
    <x v="12"/>
    <x v="9"/>
    <x v="3"/>
    <n v="1"/>
    <n v="1"/>
    <n v="3.2"/>
    <x v="3"/>
    <n v="5"/>
    <n v="5"/>
    <n v="519765"/>
    <n v="182977"/>
    <n v="336788"/>
    <n v="22"/>
    <n v="60"/>
    <n v="6.5"/>
  </r>
  <r>
    <x v="10"/>
    <x v="10"/>
    <d v="2024-01-20T00:00:00"/>
    <s v="NA"/>
    <n v="0"/>
    <n v="62"/>
    <s v="61-80"/>
    <x v="1"/>
    <x v="12"/>
    <x v="9"/>
    <x v="2"/>
    <n v="1"/>
    <n v="1"/>
    <n v="3.4"/>
    <x v="24"/>
    <n v="4"/>
    <n v="5"/>
    <n v="533964"/>
    <n v="146781"/>
    <n v="387183"/>
    <n v="23"/>
    <n v="58"/>
    <n v="5.0999999999999996"/>
  </r>
  <r>
    <x v="13"/>
    <x v="13"/>
    <d v="2022-11-01T00:00:00"/>
    <s v="NA"/>
    <n v="0"/>
    <n v="49"/>
    <s v="41-60"/>
    <x v="0"/>
    <x v="0"/>
    <x v="0"/>
    <x v="1"/>
    <n v="1"/>
    <n v="1"/>
    <n v="6.4"/>
    <x v="8"/>
    <n v="6"/>
    <n v="6"/>
    <n v="836512"/>
    <n v="256115"/>
    <n v="580397"/>
    <n v="36"/>
    <n v="66"/>
    <n v="36.799999999999997"/>
  </r>
  <r>
    <x v="10"/>
    <x v="10"/>
    <d v="2023-12-11T00:00:00"/>
    <s v="NA"/>
    <n v="0"/>
    <n v="34"/>
    <s v="21-40"/>
    <x v="0"/>
    <x v="0"/>
    <x v="0"/>
    <x v="2"/>
    <n v="1"/>
    <n v="1"/>
    <n v="2.6"/>
    <x v="17"/>
    <n v="3"/>
    <n v="5"/>
    <n v="599373"/>
    <n v="294184"/>
    <n v="305189"/>
    <n v="20"/>
    <n v="57"/>
    <n v="6.8"/>
  </r>
  <r>
    <x v="10"/>
    <x v="10"/>
    <d v="2022-05-03T00:00:00"/>
    <s v="NA"/>
    <n v="0"/>
    <n v="88"/>
    <s v="81+"/>
    <x v="0"/>
    <x v="2"/>
    <x v="1"/>
    <x v="4"/>
    <n v="1"/>
    <n v="1"/>
    <n v="5.5"/>
    <x v="24"/>
    <n v="6"/>
    <n v="4"/>
    <n v="547817"/>
    <n v="165861"/>
    <n v="381956"/>
    <n v="25"/>
    <n v="58"/>
    <n v="12.7"/>
  </r>
  <r>
    <x v="10"/>
    <x v="10"/>
    <d v="2022-04-23T00:00:00"/>
    <s v="NA"/>
    <n v="0"/>
    <n v="25"/>
    <s v="21-40"/>
    <x v="0"/>
    <x v="13"/>
    <x v="10"/>
    <x v="4"/>
    <n v="1"/>
    <n v="1"/>
    <n v="2.1"/>
    <x v="14"/>
    <n v="5"/>
    <n v="6"/>
    <n v="578933"/>
    <n v="186409"/>
    <n v="392524"/>
    <n v="25"/>
    <n v="65"/>
    <n v="8.4"/>
  </r>
  <r>
    <x v="10"/>
    <x v="10"/>
    <d v="2021-06-13T00:00:00"/>
    <s v="NA"/>
    <n v="0"/>
    <n v="47"/>
    <s v="41-60"/>
    <x v="1"/>
    <x v="3"/>
    <x v="2"/>
    <x v="4"/>
    <n v="1"/>
    <n v="1"/>
    <n v="1.5"/>
    <x v="11"/>
    <n v="4"/>
    <n v="3"/>
    <n v="595439"/>
    <n v="256336"/>
    <n v="339103"/>
    <n v="25"/>
    <n v="54"/>
    <n v="36.799999999999997"/>
  </r>
  <r>
    <x v="10"/>
    <x v="10"/>
    <d v="2024-04-26T00:00:00"/>
    <s v="NA"/>
    <n v="0"/>
    <n v="84"/>
    <s v="81+"/>
    <x v="1"/>
    <x v="6"/>
    <x v="4"/>
    <x v="3"/>
    <n v="1"/>
    <n v="1"/>
    <n v="1.5"/>
    <x v="12"/>
    <n v="7"/>
    <n v="3"/>
    <n v="524148"/>
    <n v="186643"/>
    <n v="337505"/>
    <n v="21"/>
    <n v="55"/>
    <n v="36.299999999999997"/>
  </r>
  <r>
    <x v="13"/>
    <x v="13"/>
    <d v="2021-03-19T00:00:00"/>
    <s v="NA"/>
    <n v="0"/>
    <n v="75"/>
    <s v="61-80"/>
    <x v="0"/>
    <x v="5"/>
    <x v="0"/>
    <x v="2"/>
    <n v="1"/>
    <n v="1"/>
    <n v="4.5"/>
    <x v="20"/>
    <n v="3"/>
    <n v="5"/>
    <n v="965267"/>
    <n v="349811"/>
    <n v="615456"/>
    <n v="46"/>
    <n v="55"/>
    <n v="12.6"/>
  </r>
  <r>
    <x v="10"/>
    <x v="10"/>
    <d v="2024-01-01T00:00:00"/>
    <s v="NA"/>
    <n v="0"/>
    <n v="29"/>
    <s v="21-40"/>
    <x v="1"/>
    <x v="13"/>
    <x v="10"/>
    <x v="1"/>
    <n v="1"/>
    <n v="1"/>
    <n v="4.9000000000000004"/>
    <x v="15"/>
    <n v="3"/>
    <n v="4"/>
    <n v="531043"/>
    <n v="162821"/>
    <n v="368222"/>
    <n v="20"/>
    <n v="58"/>
    <n v="13.1"/>
  </r>
  <r>
    <x v="10"/>
    <x v="10"/>
    <d v="2024-03-06T00:00:00"/>
    <s v="NA"/>
    <n v="0"/>
    <n v="86"/>
    <s v="81+"/>
    <x v="0"/>
    <x v="4"/>
    <x v="3"/>
    <x v="2"/>
    <n v="1"/>
    <n v="1"/>
    <n v="4.7"/>
    <x v="11"/>
    <n v="3"/>
    <n v="5"/>
    <n v="529148"/>
    <n v="161052"/>
    <n v="368096"/>
    <n v="16"/>
    <n v="66"/>
    <n v="7.9"/>
  </r>
  <r>
    <x v="13"/>
    <x v="13"/>
    <d v="2024-05-03T00:00:00"/>
    <s v="NA"/>
    <n v="0"/>
    <n v="26"/>
    <s v="21-40"/>
    <x v="0"/>
    <x v="0"/>
    <x v="0"/>
    <x v="1"/>
    <n v="1"/>
    <n v="1"/>
    <n v="6.5"/>
    <x v="15"/>
    <n v="5"/>
    <n v="5"/>
    <n v="805491"/>
    <n v="109002"/>
    <n v="696489"/>
    <n v="48"/>
    <n v="61"/>
    <n v="13"/>
  </r>
  <r>
    <x v="10"/>
    <x v="10"/>
    <d v="2022-01-16T00:00:00"/>
    <s v="NA"/>
    <n v="0"/>
    <n v="24"/>
    <s v="21-40"/>
    <x v="1"/>
    <x v="1"/>
    <x v="1"/>
    <x v="0"/>
    <n v="1"/>
    <n v="1"/>
    <n v="6.4"/>
    <x v="4"/>
    <n v="3"/>
    <n v="5"/>
    <n v="538439"/>
    <n v="224409"/>
    <n v="314030"/>
    <n v="20"/>
    <n v="58"/>
    <n v="36.6"/>
  </r>
  <r>
    <x v="10"/>
    <x v="10"/>
    <d v="2024-02-09T00:00:00"/>
    <s v="NA"/>
    <n v="0"/>
    <n v="43"/>
    <s v="41-60"/>
    <x v="1"/>
    <x v="6"/>
    <x v="4"/>
    <x v="3"/>
    <n v="1"/>
    <n v="1"/>
    <n v="4"/>
    <x v="19"/>
    <n v="5"/>
    <n v="6"/>
    <n v="532654"/>
    <n v="213363"/>
    <n v="319291"/>
    <n v="15"/>
    <n v="55"/>
    <n v="7.5"/>
  </r>
  <r>
    <x v="10"/>
    <x v="10"/>
    <d v="2024-04-11T00:00:00"/>
    <s v="NA"/>
    <n v="0"/>
    <n v="23"/>
    <s v="21-40"/>
    <x v="0"/>
    <x v="13"/>
    <x v="10"/>
    <x v="2"/>
    <n v="1"/>
    <n v="1"/>
    <n v="5.8"/>
    <x v="2"/>
    <n v="5"/>
    <n v="3"/>
    <n v="517183"/>
    <n v="174262"/>
    <n v="342921"/>
    <n v="19"/>
    <n v="55"/>
    <n v="9"/>
  </r>
  <r>
    <x v="10"/>
    <x v="10"/>
    <d v="2022-02-09T00:00:00"/>
    <s v="NA"/>
    <n v="0"/>
    <n v="22"/>
    <s v="21-40"/>
    <x v="1"/>
    <x v="6"/>
    <x v="4"/>
    <x v="0"/>
    <n v="1"/>
    <n v="1"/>
    <n v="3.1"/>
    <x v="14"/>
    <n v="4"/>
    <n v="6"/>
    <n v="572965"/>
    <n v="254460"/>
    <n v="318505"/>
    <n v="17"/>
    <n v="65"/>
    <n v="12.1"/>
  </r>
  <r>
    <x v="10"/>
    <x v="10"/>
    <d v="2024-09-28T00:00:00"/>
    <s v="NA"/>
    <n v="0"/>
    <n v="49"/>
    <s v="41-60"/>
    <x v="1"/>
    <x v="3"/>
    <x v="2"/>
    <x v="4"/>
    <n v="1"/>
    <n v="1"/>
    <n v="2.6"/>
    <x v="16"/>
    <n v="3"/>
    <n v="7"/>
    <n v="559015"/>
    <n v="202749"/>
    <n v="356266"/>
    <n v="22"/>
    <n v="65"/>
    <n v="10.7"/>
  </r>
  <r>
    <x v="10"/>
    <x v="10"/>
    <d v="2021-12-24T00:00:00"/>
    <s v="NA"/>
    <n v="0"/>
    <n v="60"/>
    <s v="41-60"/>
    <x v="0"/>
    <x v="0"/>
    <x v="0"/>
    <x v="0"/>
    <n v="1"/>
    <n v="1"/>
    <n v="3.9"/>
    <x v="2"/>
    <n v="6"/>
    <n v="4"/>
    <n v="576680"/>
    <n v="225965"/>
    <n v="350715"/>
    <n v="22"/>
    <n v="54"/>
    <n v="7.4"/>
  </r>
  <r>
    <x v="10"/>
    <x v="10"/>
    <d v="2024-05-19T00:00:00"/>
    <s v="NA"/>
    <n v="0"/>
    <n v="78"/>
    <s v="61-80"/>
    <x v="1"/>
    <x v="13"/>
    <x v="10"/>
    <x v="0"/>
    <n v="1"/>
    <n v="1"/>
    <n v="3.5"/>
    <x v="22"/>
    <n v="7"/>
    <n v="4"/>
    <n v="592203"/>
    <n v="230818"/>
    <n v="361385"/>
    <n v="22"/>
    <n v="59"/>
    <n v="12.2"/>
  </r>
  <r>
    <x v="10"/>
    <x v="10"/>
    <d v="2023-06-21T00:00:00"/>
    <s v="NA"/>
    <n v="0"/>
    <n v="78"/>
    <s v="61-80"/>
    <x v="1"/>
    <x v="8"/>
    <x v="6"/>
    <x v="0"/>
    <n v="1"/>
    <n v="1"/>
    <n v="5.7"/>
    <x v="23"/>
    <n v="7"/>
    <n v="4"/>
    <n v="556591"/>
    <n v="168091"/>
    <n v="388500"/>
    <n v="23"/>
    <n v="62"/>
    <n v="12"/>
  </r>
  <r>
    <x v="10"/>
    <x v="10"/>
    <d v="2021-05-10T00:00:00"/>
    <s v="NA"/>
    <n v="0"/>
    <n v="82"/>
    <s v="81+"/>
    <x v="1"/>
    <x v="8"/>
    <x v="6"/>
    <x v="2"/>
    <n v="1"/>
    <n v="1"/>
    <n v="3"/>
    <x v="15"/>
    <n v="7"/>
    <n v="6"/>
    <n v="571552"/>
    <n v="191459"/>
    <n v="380093"/>
    <n v="23"/>
    <n v="64"/>
    <n v="10.5"/>
  </r>
  <r>
    <x v="10"/>
    <x v="10"/>
    <d v="2023-05-31T00:00:00"/>
    <s v="NA"/>
    <n v="0"/>
    <n v="55"/>
    <s v="41-60"/>
    <x v="1"/>
    <x v="6"/>
    <x v="4"/>
    <x v="4"/>
    <n v="1"/>
    <n v="1"/>
    <n v="6.9"/>
    <x v="2"/>
    <n v="7"/>
    <n v="3"/>
    <n v="595872"/>
    <n v="200392"/>
    <n v="395480"/>
    <n v="25"/>
    <n v="66"/>
    <n v="9.9"/>
  </r>
  <r>
    <x v="13"/>
    <x v="13"/>
    <d v="2023-05-14T00:00:00"/>
    <s v="NA"/>
    <n v="0"/>
    <n v="49"/>
    <s v="41-60"/>
    <x v="1"/>
    <x v="10"/>
    <x v="8"/>
    <x v="1"/>
    <n v="1"/>
    <n v="1"/>
    <n v="5.6"/>
    <x v="6"/>
    <n v="4"/>
    <n v="4"/>
    <n v="967551"/>
    <n v="434601"/>
    <n v="532950"/>
    <n v="56"/>
    <n v="60"/>
    <n v="12.2"/>
  </r>
  <r>
    <x v="4"/>
    <x v="4"/>
    <d v="2024-03-20T00:00:00"/>
    <s v="NA"/>
    <n v="0"/>
    <n v="70"/>
    <s v="61-80"/>
    <x v="1"/>
    <x v="1"/>
    <x v="1"/>
    <x v="0"/>
    <n v="1"/>
    <n v="1"/>
    <n v="3.6"/>
    <x v="15"/>
    <n v="5"/>
    <n v="7"/>
    <n v="853835"/>
    <n v="350136"/>
    <n v="503699"/>
    <n v="32"/>
    <n v="58"/>
    <n v="5.6"/>
  </r>
  <r>
    <x v="10"/>
    <x v="10"/>
    <d v="2022-10-04T00:00:00"/>
    <s v="NA"/>
    <n v="0"/>
    <n v="29"/>
    <s v="21-40"/>
    <x v="1"/>
    <x v="12"/>
    <x v="9"/>
    <x v="3"/>
    <n v="1"/>
    <n v="1"/>
    <n v="3.7"/>
    <x v="15"/>
    <n v="4"/>
    <n v="5"/>
    <n v="576752"/>
    <n v="189120"/>
    <n v="387632"/>
    <n v="18"/>
    <n v="55"/>
    <n v="8.3000000000000007"/>
  </r>
  <r>
    <x v="10"/>
    <x v="10"/>
    <d v="2024-01-14T00:00:00"/>
    <s v="NA"/>
    <n v="0"/>
    <n v="42"/>
    <s v="41-60"/>
    <x v="0"/>
    <x v="5"/>
    <x v="0"/>
    <x v="2"/>
    <n v="1"/>
    <n v="1"/>
    <n v="5.4"/>
    <x v="26"/>
    <n v="7"/>
    <n v="4"/>
    <n v="583628"/>
    <n v="260639"/>
    <n v="322989"/>
    <n v="23"/>
    <n v="59"/>
    <n v="13.7"/>
  </r>
  <r>
    <x v="10"/>
    <x v="10"/>
    <d v="2022-09-17T00:00:00"/>
    <s v="NA"/>
    <n v="0"/>
    <n v="39"/>
    <s v="21-40"/>
    <x v="0"/>
    <x v="6"/>
    <x v="4"/>
    <x v="4"/>
    <n v="1"/>
    <n v="1"/>
    <n v="3.4"/>
    <x v="0"/>
    <n v="5"/>
    <n v="6"/>
    <n v="580290"/>
    <n v="271450"/>
    <n v="308840"/>
    <n v="23"/>
    <n v="63"/>
    <n v="12.1"/>
  </r>
  <r>
    <x v="10"/>
    <x v="10"/>
    <d v="2021-08-07T00:00:00"/>
    <s v="NA"/>
    <n v="0"/>
    <n v="88"/>
    <s v="81+"/>
    <x v="1"/>
    <x v="3"/>
    <x v="2"/>
    <x v="1"/>
    <n v="1"/>
    <n v="1"/>
    <n v="5.9"/>
    <x v="20"/>
    <n v="3"/>
    <n v="5"/>
    <n v="535431"/>
    <n v="202615"/>
    <n v="332816"/>
    <n v="25"/>
    <n v="62"/>
    <n v="36.6"/>
  </r>
  <r>
    <x v="13"/>
    <x v="13"/>
    <d v="2024-07-16T00:00:00"/>
    <s v="NA"/>
    <n v="0"/>
    <n v="62"/>
    <s v="61-80"/>
    <x v="1"/>
    <x v="3"/>
    <x v="2"/>
    <x v="4"/>
    <n v="1"/>
    <n v="1"/>
    <n v="3.3"/>
    <x v="9"/>
    <n v="5"/>
    <n v="6"/>
    <n v="894312"/>
    <n v="255688"/>
    <n v="638624"/>
    <n v="37"/>
    <n v="64"/>
    <n v="9.5"/>
  </r>
  <r>
    <x v="10"/>
    <x v="10"/>
    <d v="2024-10-14T00:00:00"/>
    <s v="NA"/>
    <n v="0"/>
    <n v="48"/>
    <s v="41-60"/>
    <x v="1"/>
    <x v="3"/>
    <x v="2"/>
    <x v="0"/>
    <n v="1"/>
    <n v="1"/>
    <n v="3.3"/>
    <x v="17"/>
    <n v="6"/>
    <n v="7"/>
    <n v="587629"/>
    <n v="204535"/>
    <n v="383094"/>
    <n v="20"/>
    <n v="64"/>
    <n v="14.4"/>
  </r>
  <r>
    <x v="10"/>
    <x v="10"/>
    <d v="2022-10-21T00:00:00"/>
    <s v="NA"/>
    <n v="0"/>
    <n v="71"/>
    <s v="61-80"/>
    <x v="1"/>
    <x v="3"/>
    <x v="2"/>
    <x v="0"/>
    <n v="1"/>
    <n v="1"/>
    <n v="4.2"/>
    <x v="2"/>
    <n v="5"/>
    <n v="3"/>
    <n v="539965"/>
    <n v="235219"/>
    <n v="304746"/>
    <n v="24"/>
    <n v="65"/>
    <n v="9.1"/>
  </r>
  <r>
    <x v="10"/>
    <x v="10"/>
    <d v="2022-05-31T00:00:00"/>
    <s v="NA"/>
    <n v="0"/>
    <n v="31"/>
    <s v="21-40"/>
    <x v="0"/>
    <x v="0"/>
    <x v="0"/>
    <x v="0"/>
    <n v="1"/>
    <n v="1"/>
    <n v="1.9"/>
    <x v="6"/>
    <n v="6"/>
    <n v="6"/>
    <n v="517194"/>
    <n v="208000"/>
    <n v="309194"/>
    <n v="25"/>
    <n v="65"/>
    <n v="13"/>
  </r>
  <r>
    <x v="13"/>
    <x v="13"/>
    <d v="2024-09-03T00:00:00"/>
    <s v="NA"/>
    <n v="0"/>
    <n v="88"/>
    <s v="81+"/>
    <x v="0"/>
    <x v="0"/>
    <x v="0"/>
    <x v="1"/>
    <n v="1"/>
    <n v="1"/>
    <n v="2.9"/>
    <x v="9"/>
    <n v="4"/>
    <n v="6"/>
    <n v="823710"/>
    <n v="175472"/>
    <n v="648238"/>
    <n v="32"/>
    <n v="66"/>
    <n v="9.9"/>
  </r>
  <r>
    <x v="10"/>
    <x v="10"/>
    <d v="2021-11-13T00:00:00"/>
    <s v="NA"/>
    <n v="0"/>
    <n v="75"/>
    <s v="61-80"/>
    <x v="1"/>
    <x v="1"/>
    <x v="1"/>
    <x v="4"/>
    <n v="1"/>
    <n v="1"/>
    <n v="5.2"/>
    <x v="23"/>
    <n v="4"/>
    <n v="4"/>
    <n v="536520"/>
    <n v="147339"/>
    <n v="389181"/>
    <n v="17"/>
    <n v="54"/>
    <n v="36.299999999999997"/>
  </r>
  <r>
    <x v="10"/>
    <x v="10"/>
    <d v="2021-06-02T00:00:00"/>
    <s v="NA"/>
    <n v="0"/>
    <n v="82"/>
    <s v="81+"/>
    <x v="0"/>
    <x v="13"/>
    <x v="10"/>
    <x v="3"/>
    <n v="1"/>
    <n v="1"/>
    <n v="3.3"/>
    <x v="3"/>
    <n v="5"/>
    <n v="6"/>
    <n v="586409"/>
    <n v="215090"/>
    <n v="371319"/>
    <n v="25"/>
    <n v="56"/>
    <n v="12.2"/>
  </r>
  <r>
    <x v="10"/>
    <x v="10"/>
    <d v="2023-07-30T00:00:00"/>
    <s v="NA"/>
    <n v="0"/>
    <n v="64"/>
    <s v="61-80"/>
    <x v="1"/>
    <x v="3"/>
    <x v="2"/>
    <x v="0"/>
    <n v="1"/>
    <n v="1"/>
    <n v="3.7"/>
    <x v="5"/>
    <n v="7"/>
    <n v="3"/>
    <n v="551825"/>
    <n v="225525"/>
    <n v="326300"/>
    <n v="17"/>
    <n v="54"/>
    <n v="14.9"/>
  </r>
  <r>
    <x v="10"/>
    <x v="10"/>
    <d v="2021-09-26T00:00:00"/>
    <s v="NA"/>
    <n v="0"/>
    <n v="40"/>
    <s v="21-40"/>
    <x v="0"/>
    <x v="1"/>
    <x v="1"/>
    <x v="3"/>
    <n v="1"/>
    <n v="1"/>
    <n v="6.6"/>
    <x v="16"/>
    <n v="4"/>
    <n v="3"/>
    <n v="597673"/>
    <n v="257156"/>
    <n v="340517"/>
    <n v="20"/>
    <n v="54"/>
    <n v="13.6"/>
  </r>
  <r>
    <x v="13"/>
    <x v="13"/>
    <d v="2021-06-11T00:00:00"/>
    <s v="NA"/>
    <n v="0"/>
    <n v="83"/>
    <s v="81+"/>
    <x v="1"/>
    <x v="2"/>
    <x v="1"/>
    <x v="0"/>
    <n v="1"/>
    <n v="1"/>
    <n v="6.1"/>
    <x v="4"/>
    <n v="7"/>
    <n v="7"/>
    <n v="921388"/>
    <n v="228707"/>
    <n v="692681"/>
    <n v="34"/>
    <n v="59"/>
    <n v="13.4"/>
  </r>
  <r>
    <x v="10"/>
    <x v="10"/>
    <d v="2021-02-08T00:00:00"/>
    <s v="NA"/>
    <n v="0"/>
    <n v="50"/>
    <s v="41-60"/>
    <x v="1"/>
    <x v="9"/>
    <x v="7"/>
    <x v="4"/>
    <n v="1"/>
    <n v="1"/>
    <n v="6.6"/>
    <x v="11"/>
    <n v="6"/>
    <n v="7"/>
    <n v="543802"/>
    <n v="164919"/>
    <n v="378883"/>
    <n v="16"/>
    <n v="62"/>
    <n v="12"/>
  </r>
  <r>
    <x v="10"/>
    <x v="10"/>
    <d v="2023-06-02T00:00:00"/>
    <s v="NA"/>
    <n v="0"/>
    <n v="74"/>
    <s v="61-80"/>
    <x v="1"/>
    <x v="3"/>
    <x v="2"/>
    <x v="3"/>
    <n v="1"/>
    <n v="1"/>
    <n v="5.5"/>
    <x v="16"/>
    <n v="4"/>
    <n v="3"/>
    <n v="521090"/>
    <n v="123578"/>
    <n v="397512"/>
    <n v="23"/>
    <n v="59"/>
    <n v="9.8000000000000007"/>
  </r>
  <r>
    <x v="10"/>
    <x v="10"/>
    <d v="2021-06-28T00:00:00"/>
    <s v="NA"/>
    <n v="0"/>
    <n v="33"/>
    <s v="21-40"/>
    <x v="1"/>
    <x v="13"/>
    <x v="10"/>
    <x v="0"/>
    <n v="1"/>
    <n v="1"/>
    <n v="2.6"/>
    <x v="19"/>
    <n v="5"/>
    <n v="5"/>
    <n v="500836"/>
    <n v="181767"/>
    <n v="319069"/>
    <n v="16"/>
    <n v="59"/>
    <n v="9.1999999999999993"/>
  </r>
  <r>
    <x v="10"/>
    <x v="10"/>
    <d v="2023-10-29T00:00:00"/>
    <s v="NA"/>
    <n v="0"/>
    <n v="26"/>
    <s v="21-40"/>
    <x v="0"/>
    <x v="13"/>
    <x v="10"/>
    <x v="3"/>
    <n v="1"/>
    <n v="1"/>
    <n v="2.5"/>
    <x v="15"/>
    <n v="3"/>
    <n v="5"/>
    <n v="563305"/>
    <n v="241113"/>
    <n v="322192"/>
    <n v="24"/>
    <n v="58"/>
    <n v="14.2"/>
  </r>
  <r>
    <x v="10"/>
    <x v="10"/>
    <d v="2021-04-16T00:00:00"/>
    <s v="NA"/>
    <n v="0"/>
    <n v="38"/>
    <s v="21-40"/>
    <x v="1"/>
    <x v="13"/>
    <x v="10"/>
    <x v="0"/>
    <n v="1"/>
    <n v="1"/>
    <n v="1.4"/>
    <x v="27"/>
    <n v="7"/>
    <n v="7"/>
    <n v="587003"/>
    <n v="218521"/>
    <n v="368482"/>
    <n v="16"/>
    <n v="66"/>
    <n v="9.9"/>
  </r>
  <r>
    <x v="10"/>
    <x v="10"/>
    <d v="2023-11-26T00:00:00"/>
    <s v="NA"/>
    <n v="0"/>
    <n v="50"/>
    <s v="41-60"/>
    <x v="1"/>
    <x v="6"/>
    <x v="4"/>
    <x v="0"/>
    <n v="1"/>
    <n v="1"/>
    <n v="1.8"/>
    <x v="25"/>
    <n v="6"/>
    <n v="4"/>
    <n v="560137"/>
    <n v="193401"/>
    <n v="366736"/>
    <n v="21"/>
    <n v="57"/>
    <n v="13.9"/>
  </r>
  <r>
    <x v="10"/>
    <x v="10"/>
    <d v="2024-02-21T00:00:00"/>
    <s v="NA"/>
    <n v="0"/>
    <n v="30"/>
    <s v="21-40"/>
    <x v="1"/>
    <x v="1"/>
    <x v="1"/>
    <x v="4"/>
    <n v="1"/>
    <n v="1"/>
    <n v="6.2"/>
    <x v="25"/>
    <n v="4"/>
    <n v="4"/>
    <n v="569234"/>
    <n v="179980"/>
    <n v="389254"/>
    <n v="25"/>
    <n v="64"/>
    <n v="13.1"/>
  </r>
  <r>
    <x v="10"/>
    <x v="10"/>
    <d v="2021-02-25T00:00:00"/>
    <s v="NA"/>
    <n v="0"/>
    <n v="53"/>
    <s v="41-60"/>
    <x v="0"/>
    <x v="10"/>
    <x v="8"/>
    <x v="2"/>
    <n v="1"/>
    <n v="1"/>
    <n v="1.1000000000000001"/>
    <x v="3"/>
    <n v="4"/>
    <n v="7"/>
    <n v="540861"/>
    <n v="218518"/>
    <n v="322343"/>
    <n v="23"/>
    <n v="60"/>
    <n v="5.5"/>
  </r>
  <r>
    <x v="10"/>
    <x v="10"/>
    <d v="2021-11-15T00:00:00"/>
    <s v="NA"/>
    <n v="0"/>
    <n v="25"/>
    <s v="21-40"/>
    <x v="0"/>
    <x v="0"/>
    <x v="0"/>
    <x v="1"/>
    <n v="1"/>
    <n v="1"/>
    <n v="1"/>
    <x v="13"/>
    <n v="5"/>
    <n v="6"/>
    <n v="512301"/>
    <n v="176597"/>
    <n v="335704"/>
    <n v="21"/>
    <n v="63"/>
    <n v="12.1"/>
  </r>
  <r>
    <x v="10"/>
    <x v="10"/>
    <d v="2022-10-18T00:00:00"/>
    <s v="NA"/>
    <n v="0"/>
    <n v="84"/>
    <s v="81+"/>
    <x v="1"/>
    <x v="1"/>
    <x v="1"/>
    <x v="0"/>
    <n v="1"/>
    <n v="1"/>
    <n v="5.2"/>
    <x v="28"/>
    <n v="7"/>
    <n v="4"/>
    <n v="523584"/>
    <n v="203531"/>
    <n v="320053"/>
    <n v="24"/>
    <n v="65"/>
    <n v="12.1"/>
  </r>
  <r>
    <x v="10"/>
    <x v="10"/>
    <d v="2024-09-16T00:00:00"/>
    <s v="NA"/>
    <n v="0"/>
    <n v="47"/>
    <s v="41-60"/>
    <x v="1"/>
    <x v="6"/>
    <x v="4"/>
    <x v="4"/>
    <n v="1"/>
    <n v="1"/>
    <n v="5.5"/>
    <x v="25"/>
    <n v="5"/>
    <n v="7"/>
    <n v="564408"/>
    <n v="208973"/>
    <n v="355435"/>
    <n v="15"/>
    <n v="64"/>
    <n v="14.4"/>
  </r>
  <r>
    <x v="10"/>
    <x v="10"/>
    <d v="2023-08-16T00:00:00"/>
    <s v="NA"/>
    <n v="0"/>
    <n v="85"/>
    <s v="81+"/>
    <x v="1"/>
    <x v="13"/>
    <x v="10"/>
    <x v="2"/>
    <n v="1"/>
    <n v="1"/>
    <n v="1.3"/>
    <x v="5"/>
    <n v="4"/>
    <n v="4"/>
    <n v="519749"/>
    <n v="146483"/>
    <n v="373266"/>
    <n v="22"/>
    <n v="58"/>
    <n v="10.1"/>
  </r>
  <r>
    <x v="10"/>
    <x v="10"/>
    <d v="2024-06-26T00:00:00"/>
    <s v="NA"/>
    <n v="0"/>
    <n v="50"/>
    <s v="41-60"/>
    <x v="1"/>
    <x v="7"/>
    <x v="5"/>
    <x v="2"/>
    <n v="1"/>
    <n v="1"/>
    <n v="3.7"/>
    <x v="27"/>
    <n v="6"/>
    <n v="4"/>
    <n v="545627"/>
    <n v="210646"/>
    <n v="334981"/>
    <n v="20"/>
    <n v="54"/>
    <n v="13"/>
  </r>
  <r>
    <x v="10"/>
    <x v="10"/>
    <d v="2022-12-16T00:00:00"/>
    <s v="NA"/>
    <n v="0"/>
    <n v="62"/>
    <s v="61-80"/>
    <x v="0"/>
    <x v="13"/>
    <x v="10"/>
    <x v="3"/>
    <n v="1"/>
    <n v="1"/>
    <n v="1.7"/>
    <x v="17"/>
    <n v="5"/>
    <n v="7"/>
    <n v="515700"/>
    <n v="118276"/>
    <n v="397424"/>
    <n v="15"/>
    <n v="55"/>
    <n v="14.4"/>
  </r>
  <r>
    <x v="10"/>
    <x v="10"/>
    <d v="2021-04-26T00:00:00"/>
    <s v="NA"/>
    <n v="0"/>
    <n v="39"/>
    <s v="21-40"/>
    <x v="0"/>
    <x v="10"/>
    <x v="8"/>
    <x v="1"/>
    <n v="1"/>
    <n v="1"/>
    <n v="1.3"/>
    <x v="14"/>
    <n v="5"/>
    <n v="3"/>
    <n v="539995"/>
    <n v="238183"/>
    <n v="301812"/>
    <n v="24"/>
    <n v="55"/>
    <n v="6.7"/>
  </r>
  <r>
    <x v="10"/>
    <x v="10"/>
    <d v="2022-02-18T00:00:00"/>
    <s v="NA"/>
    <n v="0"/>
    <n v="85"/>
    <s v="81+"/>
    <x v="0"/>
    <x v="0"/>
    <x v="0"/>
    <x v="3"/>
    <n v="1"/>
    <n v="1"/>
    <n v="3.1"/>
    <x v="29"/>
    <n v="3"/>
    <n v="6"/>
    <n v="570149"/>
    <n v="237542"/>
    <n v="332607"/>
    <n v="23"/>
    <n v="66"/>
    <n v="14.7"/>
  </r>
  <r>
    <x v="10"/>
    <x v="10"/>
    <d v="2021-04-30T00:00:00"/>
    <s v="NA"/>
    <n v="0"/>
    <n v="41"/>
    <s v="41-60"/>
    <x v="1"/>
    <x v="8"/>
    <x v="6"/>
    <x v="1"/>
    <n v="1"/>
    <n v="1"/>
    <n v="2.8"/>
    <x v="4"/>
    <n v="4"/>
    <n v="3"/>
    <n v="541529"/>
    <n v="185463"/>
    <n v="356066"/>
    <n v="23"/>
    <n v="58"/>
    <n v="13.4"/>
  </r>
  <r>
    <x v="10"/>
    <x v="10"/>
    <d v="2024-07-13T00:00:00"/>
    <s v="NA"/>
    <n v="0"/>
    <n v="31"/>
    <s v="21-40"/>
    <x v="1"/>
    <x v="2"/>
    <x v="1"/>
    <x v="2"/>
    <n v="1"/>
    <n v="1"/>
    <n v="6.3"/>
    <x v="12"/>
    <n v="6"/>
    <n v="6"/>
    <n v="548717"/>
    <n v="244929"/>
    <n v="303788"/>
    <n v="16"/>
    <n v="62"/>
    <n v="9.4"/>
  </r>
  <r>
    <x v="10"/>
    <x v="10"/>
    <d v="2021-11-05T00:00:00"/>
    <s v="NA"/>
    <n v="0"/>
    <n v="28"/>
    <s v="21-40"/>
    <x v="1"/>
    <x v="3"/>
    <x v="2"/>
    <x v="0"/>
    <n v="1"/>
    <n v="1"/>
    <n v="3.3"/>
    <x v="17"/>
    <n v="5"/>
    <n v="5"/>
    <n v="523930"/>
    <n v="214907"/>
    <n v="309023"/>
    <n v="25"/>
    <n v="57"/>
    <n v="5.4"/>
  </r>
  <r>
    <x v="10"/>
    <x v="10"/>
    <d v="2023-08-18T00:00:00"/>
    <s v="NA"/>
    <n v="0"/>
    <n v="60"/>
    <s v="41-60"/>
    <x v="1"/>
    <x v="12"/>
    <x v="9"/>
    <x v="2"/>
    <n v="1"/>
    <n v="1"/>
    <n v="4.7"/>
    <x v="24"/>
    <n v="6"/>
    <n v="7"/>
    <n v="514549"/>
    <n v="178001"/>
    <n v="336548"/>
    <n v="25"/>
    <n v="59"/>
    <n v="9"/>
  </r>
  <r>
    <x v="10"/>
    <x v="10"/>
    <d v="2023-12-30T00:00:00"/>
    <s v="NA"/>
    <n v="0"/>
    <n v="66"/>
    <s v="61-80"/>
    <x v="1"/>
    <x v="8"/>
    <x v="6"/>
    <x v="2"/>
    <n v="1"/>
    <n v="1"/>
    <n v="4.5"/>
    <x v="19"/>
    <n v="4"/>
    <n v="7"/>
    <n v="521020"/>
    <n v="215950"/>
    <n v="305070"/>
    <n v="22"/>
    <n v="59"/>
    <n v="5.5"/>
  </r>
  <r>
    <x v="10"/>
    <x v="10"/>
    <d v="2022-01-15T00:00:00"/>
    <s v="NA"/>
    <n v="0"/>
    <n v="57"/>
    <s v="41-60"/>
    <x v="0"/>
    <x v="2"/>
    <x v="1"/>
    <x v="4"/>
    <n v="1"/>
    <n v="1"/>
    <n v="3.7"/>
    <x v="16"/>
    <n v="7"/>
    <n v="3"/>
    <n v="574695"/>
    <n v="181694"/>
    <n v="393001"/>
    <n v="17"/>
    <n v="63"/>
    <n v="13.2"/>
  </r>
  <r>
    <x v="10"/>
    <x v="10"/>
    <d v="2021-03-31T00:00:00"/>
    <s v="NA"/>
    <n v="0"/>
    <n v="80"/>
    <s v="61-80"/>
    <x v="1"/>
    <x v="13"/>
    <x v="10"/>
    <x v="3"/>
    <n v="1"/>
    <n v="1"/>
    <n v="2.6"/>
    <x v="20"/>
    <n v="5"/>
    <n v="4"/>
    <n v="547133"/>
    <n v="212359"/>
    <n v="334774"/>
    <n v="15"/>
    <n v="59"/>
    <n v="12.9"/>
  </r>
  <r>
    <x v="10"/>
    <x v="10"/>
    <d v="2022-04-25T00:00:00"/>
    <s v="NA"/>
    <n v="0"/>
    <n v="58"/>
    <s v="41-60"/>
    <x v="1"/>
    <x v="3"/>
    <x v="2"/>
    <x v="4"/>
    <n v="1"/>
    <n v="1"/>
    <n v="3.7"/>
    <x v="4"/>
    <n v="4"/>
    <n v="4"/>
    <n v="563586"/>
    <n v="220914"/>
    <n v="342672"/>
    <n v="25"/>
    <n v="56"/>
    <n v="36.299999999999997"/>
  </r>
  <r>
    <x v="10"/>
    <x v="10"/>
    <d v="2021-10-16T00:00:00"/>
    <s v="NA"/>
    <n v="0"/>
    <n v="49"/>
    <s v="41-60"/>
    <x v="1"/>
    <x v="11"/>
    <x v="8"/>
    <x v="0"/>
    <n v="1"/>
    <n v="1"/>
    <n v="5.7"/>
    <x v="23"/>
    <n v="6"/>
    <n v="3"/>
    <n v="566636"/>
    <n v="233446"/>
    <n v="333190"/>
    <n v="15"/>
    <n v="61"/>
    <n v="9.1"/>
  </r>
  <r>
    <x v="13"/>
    <x v="13"/>
    <d v="2022-06-28T00:00:00"/>
    <s v="NA"/>
    <n v="0"/>
    <n v="67"/>
    <s v="61-80"/>
    <x v="0"/>
    <x v="0"/>
    <x v="0"/>
    <x v="2"/>
    <n v="1"/>
    <n v="1"/>
    <n v="3"/>
    <x v="20"/>
    <n v="7"/>
    <n v="3"/>
    <n v="852244"/>
    <n v="246669"/>
    <n v="605575"/>
    <n v="43"/>
    <n v="54"/>
    <n v="6"/>
  </r>
  <r>
    <x v="10"/>
    <x v="10"/>
    <d v="2021-01-12T00:00:00"/>
    <s v="NA"/>
    <n v="0"/>
    <n v="38"/>
    <s v="21-40"/>
    <x v="0"/>
    <x v="2"/>
    <x v="1"/>
    <x v="1"/>
    <n v="1"/>
    <n v="1"/>
    <n v="3.3"/>
    <x v="10"/>
    <n v="5"/>
    <n v="6"/>
    <n v="587109"/>
    <n v="279521"/>
    <n v="307588"/>
    <n v="25"/>
    <n v="58"/>
    <n v="7.7"/>
  </r>
  <r>
    <x v="10"/>
    <x v="10"/>
    <d v="2022-05-26T00:00:00"/>
    <s v="NA"/>
    <n v="0"/>
    <n v="34"/>
    <s v="21-40"/>
    <x v="0"/>
    <x v="7"/>
    <x v="5"/>
    <x v="0"/>
    <n v="1"/>
    <n v="1"/>
    <n v="4.7"/>
    <x v="1"/>
    <n v="5"/>
    <n v="3"/>
    <n v="569653"/>
    <n v="228072"/>
    <n v="341581"/>
    <n v="25"/>
    <n v="56"/>
    <n v="6.8"/>
  </r>
  <r>
    <x v="10"/>
    <x v="10"/>
    <d v="2024-09-05T00:00:00"/>
    <s v="NA"/>
    <n v="0"/>
    <n v="41"/>
    <s v="41-60"/>
    <x v="1"/>
    <x v="6"/>
    <x v="4"/>
    <x v="2"/>
    <n v="1"/>
    <n v="1"/>
    <n v="4.5"/>
    <x v="12"/>
    <n v="7"/>
    <n v="6"/>
    <n v="552316"/>
    <n v="161926"/>
    <n v="390390"/>
    <n v="19"/>
    <n v="62"/>
    <n v="7"/>
  </r>
  <r>
    <x v="13"/>
    <x v="13"/>
    <d v="2022-06-09T00:00:00"/>
    <s v="NA"/>
    <n v="0"/>
    <n v="79"/>
    <s v="61-80"/>
    <x v="0"/>
    <x v="0"/>
    <x v="0"/>
    <x v="1"/>
    <n v="1"/>
    <n v="1"/>
    <n v="5.6"/>
    <x v="7"/>
    <n v="5"/>
    <n v="3"/>
    <n v="992097"/>
    <n v="328816"/>
    <n v="663281"/>
    <n v="31"/>
    <n v="55"/>
    <n v="14"/>
  </r>
  <r>
    <x v="10"/>
    <x v="10"/>
    <d v="2023-07-15T00:00:00"/>
    <s v="NA"/>
    <n v="0"/>
    <n v="31"/>
    <s v="21-40"/>
    <x v="1"/>
    <x v="11"/>
    <x v="8"/>
    <x v="0"/>
    <n v="1"/>
    <n v="1"/>
    <n v="3.1"/>
    <x v="21"/>
    <n v="3"/>
    <n v="5"/>
    <n v="539389"/>
    <n v="214540"/>
    <n v="324849"/>
    <n v="22"/>
    <n v="54"/>
    <n v="6.2"/>
  </r>
  <r>
    <x v="10"/>
    <x v="10"/>
    <d v="2021-11-28T00:00:00"/>
    <s v="NA"/>
    <n v="0"/>
    <n v="66"/>
    <s v="61-80"/>
    <x v="0"/>
    <x v="4"/>
    <x v="3"/>
    <x v="3"/>
    <n v="1"/>
    <n v="1"/>
    <n v="2.6"/>
    <x v="22"/>
    <n v="6"/>
    <n v="3"/>
    <n v="547890"/>
    <n v="210348"/>
    <n v="337542"/>
    <n v="23"/>
    <n v="66"/>
    <n v="7.9"/>
  </r>
  <r>
    <x v="10"/>
    <x v="10"/>
    <d v="2022-08-04T00:00:00"/>
    <s v="NA"/>
    <n v="0"/>
    <n v="24"/>
    <s v="21-40"/>
    <x v="1"/>
    <x v="10"/>
    <x v="8"/>
    <x v="1"/>
    <n v="1"/>
    <n v="1"/>
    <n v="4.5"/>
    <x v="30"/>
    <n v="7"/>
    <n v="5"/>
    <n v="592615"/>
    <n v="237702"/>
    <n v="354913"/>
    <n v="21"/>
    <n v="61"/>
    <n v="36.799999999999997"/>
  </r>
  <r>
    <x v="10"/>
    <x v="10"/>
    <d v="2022-10-22T00:00:00"/>
    <s v="NA"/>
    <n v="0"/>
    <n v="35"/>
    <s v="21-40"/>
    <x v="1"/>
    <x v="2"/>
    <x v="1"/>
    <x v="1"/>
    <n v="1"/>
    <n v="1"/>
    <n v="3.5"/>
    <x v="19"/>
    <n v="5"/>
    <n v="4"/>
    <n v="500639"/>
    <n v="102399"/>
    <n v="398240"/>
    <n v="20"/>
    <n v="64"/>
    <n v="36.700000000000003"/>
  </r>
  <r>
    <x v="10"/>
    <x v="10"/>
    <d v="2021-11-25T00:00:00"/>
    <s v="NA"/>
    <n v="0"/>
    <n v="39"/>
    <s v="21-40"/>
    <x v="0"/>
    <x v="0"/>
    <x v="0"/>
    <x v="3"/>
    <n v="1"/>
    <n v="1"/>
    <n v="6.4"/>
    <x v="17"/>
    <n v="3"/>
    <n v="7"/>
    <n v="527908"/>
    <n v="190845"/>
    <n v="337063"/>
    <n v="25"/>
    <n v="64"/>
    <n v="8.3000000000000007"/>
  </r>
  <r>
    <x v="10"/>
    <x v="10"/>
    <d v="2024-05-25T00:00:00"/>
    <s v="NA"/>
    <n v="0"/>
    <n v="59"/>
    <s v="41-60"/>
    <x v="0"/>
    <x v="0"/>
    <x v="0"/>
    <x v="0"/>
    <n v="1"/>
    <n v="1"/>
    <n v="5.7"/>
    <x v="19"/>
    <n v="7"/>
    <n v="7"/>
    <n v="559015"/>
    <n v="256033"/>
    <n v="302982"/>
    <n v="20"/>
    <n v="60"/>
    <n v="36.5"/>
  </r>
  <r>
    <x v="10"/>
    <x v="10"/>
    <d v="2022-07-28T00:00:00"/>
    <s v="NA"/>
    <n v="0"/>
    <n v="57"/>
    <s v="41-60"/>
    <x v="1"/>
    <x v="10"/>
    <x v="8"/>
    <x v="2"/>
    <n v="1"/>
    <n v="1"/>
    <n v="5.0999999999999996"/>
    <x v="15"/>
    <n v="6"/>
    <n v="7"/>
    <n v="522501"/>
    <n v="130249"/>
    <n v="392252"/>
    <n v="19"/>
    <n v="64"/>
    <n v="12.6"/>
  </r>
  <r>
    <x v="10"/>
    <x v="10"/>
    <d v="2024-09-25T00:00:00"/>
    <s v="NA"/>
    <n v="0"/>
    <n v="47"/>
    <s v="41-60"/>
    <x v="0"/>
    <x v="6"/>
    <x v="4"/>
    <x v="3"/>
    <n v="1"/>
    <n v="1"/>
    <n v="3.1"/>
    <x v="10"/>
    <n v="4"/>
    <n v="3"/>
    <n v="532534"/>
    <n v="222549"/>
    <n v="309985"/>
    <n v="23"/>
    <n v="66"/>
    <n v="9.3000000000000007"/>
  </r>
  <r>
    <x v="10"/>
    <x v="10"/>
    <d v="2023-01-11T00:00:00"/>
    <s v="NA"/>
    <n v="0"/>
    <n v="48"/>
    <s v="41-60"/>
    <x v="1"/>
    <x v="10"/>
    <x v="8"/>
    <x v="2"/>
    <n v="1"/>
    <n v="1"/>
    <n v="5"/>
    <x v="2"/>
    <n v="6"/>
    <n v="5"/>
    <n v="523626"/>
    <n v="191424"/>
    <n v="332202"/>
    <n v="19"/>
    <n v="65"/>
    <n v="5.4"/>
  </r>
  <r>
    <x v="13"/>
    <x v="13"/>
    <d v="2022-01-04T00:00:00"/>
    <s v="NA"/>
    <n v="0"/>
    <n v="43"/>
    <s v="41-60"/>
    <x v="1"/>
    <x v="12"/>
    <x v="9"/>
    <x v="0"/>
    <n v="1"/>
    <n v="1"/>
    <n v="2.9"/>
    <x v="9"/>
    <n v="4"/>
    <n v="3"/>
    <n v="849960"/>
    <n v="212097"/>
    <n v="637863"/>
    <n v="44"/>
    <n v="60"/>
    <n v="36.5"/>
  </r>
  <r>
    <x v="13"/>
    <x v="13"/>
    <d v="2022-01-12T00:00:00"/>
    <s v="NA"/>
    <n v="0"/>
    <n v="37"/>
    <s v="21-40"/>
    <x v="0"/>
    <x v="14"/>
    <x v="11"/>
    <x v="4"/>
    <n v="1"/>
    <n v="1"/>
    <n v="2.5"/>
    <x v="4"/>
    <n v="6"/>
    <n v="3"/>
    <n v="843317"/>
    <n v="235669"/>
    <n v="607648"/>
    <n v="34"/>
    <n v="64"/>
    <n v="14.2"/>
  </r>
  <r>
    <x v="10"/>
    <x v="10"/>
    <d v="2022-08-24T00:00:00"/>
    <s v="NA"/>
    <n v="0"/>
    <n v="64"/>
    <s v="61-80"/>
    <x v="0"/>
    <x v="0"/>
    <x v="0"/>
    <x v="3"/>
    <n v="1"/>
    <n v="1"/>
    <n v="3.7"/>
    <x v="12"/>
    <n v="7"/>
    <n v="4"/>
    <n v="509858"/>
    <n v="177495"/>
    <n v="332363"/>
    <n v="23"/>
    <n v="59"/>
    <n v="14"/>
  </r>
  <r>
    <x v="10"/>
    <x v="10"/>
    <d v="2024-10-17T00:00:00"/>
    <s v="NA"/>
    <n v="0"/>
    <n v="23"/>
    <s v="21-40"/>
    <x v="0"/>
    <x v="14"/>
    <x v="11"/>
    <x v="3"/>
    <n v="1"/>
    <n v="1"/>
    <n v="2.9"/>
    <x v="10"/>
    <n v="3"/>
    <n v="6"/>
    <n v="594171"/>
    <n v="202735"/>
    <n v="391436"/>
    <n v="16"/>
    <n v="54"/>
    <n v="9.1"/>
  </r>
  <r>
    <x v="13"/>
    <x v="13"/>
    <d v="2022-04-21T00:00:00"/>
    <s v="NA"/>
    <n v="0"/>
    <n v="37"/>
    <s v="21-40"/>
    <x v="0"/>
    <x v="7"/>
    <x v="5"/>
    <x v="1"/>
    <n v="1"/>
    <n v="1"/>
    <n v="6"/>
    <x v="26"/>
    <n v="5"/>
    <n v="6"/>
    <n v="904645"/>
    <n v="395833"/>
    <n v="508812"/>
    <n v="50"/>
    <n v="63"/>
    <n v="5.5"/>
  </r>
  <r>
    <x v="10"/>
    <x v="10"/>
    <d v="2021-12-30T00:00:00"/>
    <s v="NA"/>
    <n v="0"/>
    <n v="75"/>
    <s v="61-80"/>
    <x v="1"/>
    <x v="13"/>
    <x v="10"/>
    <x v="1"/>
    <n v="1"/>
    <n v="1"/>
    <n v="1.2"/>
    <x v="1"/>
    <n v="3"/>
    <n v="7"/>
    <n v="596709"/>
    <n v="268724"/>
    <n v="327985"/>
    <n v="18"/>
    <n v="59"/>
    <n v="8.6999999999999993"/>
  </r>
  <r>
    <x v="10"/>
    <x v="10"/>
    <d v="2021-06-22T00:00:00"/>
    <s v="NA"/>
    <n v="0"/>
    <n v="28"/>
    <s v="21-40"/>
    <x v="1"/>
    <x v="3"/>
    <x v="2"/>
    <x v="1"/>
    <n v="1"/>
    <n v="1"/>
    <n v="3.7"/>
    <x v="6"/>
    <n v="7"/>
    <n v="3"/>
    <n v="515471"/>
    <n v="185938"/>
    <n v="329533"/>
    <n v="21"/>
    <n v="54"/>
    <n v="12.9"/>
  </r>
  <r>
    <x v="10"/>
    <x v="10"/>
    <d v="2022-02-27T00:00:00"/>
    <s v="NA"/>
    <n v="0"/>
    <n v="28"/>
    <s v="21-40"/>
    <x v="0"/>
    <x v="4"/>
    <x v="3"/>
    <x v="0"/>
    <n v="1"/>
    <n v="1"/>
    <n v="1.2"/>
    <x v="4"/>
    <n v="6"/>
    <n v="3"/>
    <n v="580748"/>
    <n v="191471"/>
    <n v="389277"/>
    <n v="15"/>
    <n v="66"/>
    <n v="36.700000000000003"/>
  </r>
  <r>
    <x v="10"/>
    <x v="10"/>
    <d v="2023-09-05T00:00:00"/>
    <s v="NA"/>
    <n v="0"/>
    <n v="25"/>
    <s v="21-40"/>
    <x v="0"/>
    <x v="0"/>
    <x v="0"/>
    <x v="4"/>
    <n v="1"/>
    <n v="1"/>
    <n v="5.5"/>
    <x v="30"/>
    <n v="7"/>
    <n v="7"/>
    <n v="544310"/>
    <n v="219363"/>
    <n v="324947"/>
    <n v="24"/>
    <n v="63"/>
    <n v="12.8"/>
  </r>
  <r>
    <x v="10"/>
    <x v="10"/>
    <d v="2024-06-05T00:00:00"/>
    <s v="NA"/>
    <n v="0"/>
    <n v="46"/>
    <s v="41-60"/>
    <x v="0"/>
    <x v="0"/>
    <x v="0"/>
    <x v="3"/>
    <n v="1"/>
    <n v="1"/>
    <n v="7"/>
    <x v="23"/>
    <n v="3"/>
    <n v="7"/>
    <n v="580051"/>
    <n v="252539"/>
    <n v="327512"/>
    <n v="16"/>
    <n v="63"/>
    <n v="15"/>
  </r>
  <r>
    <x v="10"/>
    <x v="10"/>
    <d v="2022-01-07T00:00:00"/>
    <s v="NA"/>
    <n v="0"/>
    <n v="29"/>
    <s v="21-40"/>
    <x v="1"/>
    <x v="13"/>
    <x v="10"/>
    <x v="1"/>
    <n v="1"/>
    <n v="1"/>
    <n v="5.3"/>
    <x v="29"/>
    <n v="7"/>
    <n v="7"/>
    <n v="589359"/>
    <n v="218613"/>
    <n v="370746"/>
    <n v="17"/>
    <n v="54"/>
    <n v="10.3"/>
  </r>
  <r>
    <x v="10"/>
    <x v="10"/>
    <d v="2022-05-24T00:00:00"/>
    <s v="NA"/>
    <n v="0"/>
    <n v="86"/>
    <s v="81+"/>
    <x v="0"/>
    <x v="14"/>
    <x v="11"/>
    <x v="2"/>
    <n v="1"/>
    <n v="1"/>
    <n v="4.7"/>
    <x v="6"/>
    <n v="4"/>
    <n v="4"/>
    <n v="557376"/>
    <n v="214784"/>
    <n v="342592"/>
    <n v="24"/>
    <n v="60"/>
    <n v="36.299999999999997"/>
  </r>
  <r>
    <x v="10"/>
    <x v="10"/>
    <d v="2023-10-27T00:00:00"/>
    <s v="NA"/>
    <n v="0"/>
    <n v="36"/>
    <s v="21-40"/>
    <x v="1"/>
    <x v="10"/>
    <x v="8"/>
    <x v="4"/>
    <n v="1"/>
    <n v="1"/>
    <n v="6.1"/>
    <x v="6"/>
    <n v="3"/>
    <n v="3"/>
    <n v="505438"/>
    <n v="156160"/>
    <n v="349278"/>
    <n v="19"/>
    <n v="61"/>
    <n v="10"/>
  </r>
  <r>
    <x v="13"/>
    <x v="13"/>
    <d v="2024-06-13T00:00:00"/>
    <s v="NA"/>
    <n v="0"/>
    <n v="39"/>
    <s v="21-40"/>
    <x v="0"/>
    <x v="0"/>
    <x v="0"/>
    <x v="3"/>
    <n v="1"/>
    <n v="1"/>
    <n v="3.6"/>
    <x v="15"/>
    <n v="6"/>
    <n v="6"/>
    <n v="834841"/>
    <n v="221121"/>
    <n v="613720"/>
    <n v="35"/>
    <n v="66"/>
    <n v="14.9"/>
  </r>
  <r>
    <x v="10"/>
    <x v="10"/>
    <d v="2021-07-09T00:00:00"/>
    <s v="NA"/>
    <n v="0"/>
    <n v="44"/>
    <s v="41-60"/>
    <x v="0"/>
    <x v="0"/>
    <x v="0"/>
    <x v="1"/>
    <n v="1"/>
    <n v="1"/>
    <n v="1.3"/>
    <x v="18"/>
    <n v="7"/>
    <n v="7"/>
    <n v="561846"/>
    <n v="221453"/>
    <n v="340393"/>
    <n v="22"/>
    <n v="55"/>
    <n v="13.3"/>
  </r>
  <r>
    <x v="10"/>
    <x v="10"/>
    <d v="2022-09-07T00:00:00"/>
    <s v="NA"/>
    <n v="0"/>
    <n v="73"/>
    <s v="61-80"/>
    <x v="0"/>
    <x v="0"/>
    <x v="0"/>
    <x v="1"/>
    <n v="1"/>
    <n v="1"/>
    <n v="4.2"/>
    <x v="9"/>
    <n v="4"/>
    <n v="7"/>
    <n v="592673"/>
    <n v="261898"/>
    <n v="330775"/>
    <n v="25"/>
    <n v="65"/>
    <n v="9.6999999999999993"/>
  </r>
  <r>
    <x v="10"/>
    <x v="10"/>
    <d v="2023-11-11T00:00:00"/>
    <s v="NA"/>
    <n v="0"/>
    <n v="60"/>
    <s v="41-60"/>
    <x v="0"/>
    <x v="0"/>
    <x v="0"/>
    <x v="4"/>
    <n v="1"/>
    <n v="1"/>
    <n v="5.0999999999999996"/>
    <x v="21"/>
    <n v="5"/>
    <n v="4"/>
    <n v="556028"/>
    <n v="205584"/>
    <n v="350444"/>
    <n v="23"/>
    <n v="54"/>
    <n v="12.5"/>
  </r>
  <r>
    <x v="10"/>
    <x v="10"/>
    <d v="2021-12-15T00:00:00"/>
    <s v="NA"/>
    <n v="0"/>
    <n v="40"/>
    <s v="21-40"/>
    <x v="1"/>
    <x v="8"/>
    <x v="6"/>
    <x v="0"/>
    <n v="1"/>
    <n v="1"/>
    <n v="3"/>
    <x v="14"/>
    <n v="7"/>
    <n v="5"/>
    <n v="561765"/>
    <n v="254826"/>
    <n v="306939"/>
    <n v="19"/>
    <n v="66"/>
    <n v="7"/>
  </r>
  <r>
    <x v="10"/>
    <x v="10"/>
    <d v="2022-12-05T00:00:00"/>
    <s v="NA"/>
    <n v="0"/>
    <n v="80"/>
    <s v="61-80"/>
    <x v="1"/>
    <x v="9"/>
    <x v="7"/>
    <x v="3"/>
    <n v="1"/>
    <n v="1"/>
    <n v="5.7"/>
    <x v="22"/>
    <n v="6"/>
    <n v="5"/>
    <n v="507464"/>
    <n v="146458"/>
    <n v="361006"/>
    <n v="21"/>
    <n v="66"/>
    <n v="13.6"/>
  </r>
  <r>
    <x v="10"/>
    <x v="10"/>
    <d v="2021-01-11T00:00:00"/>
    <s v="NA"/>
    <n v="0"/>
    <n v="39"/>
    <s v="21-40"/>
    <x v="1"/>
    <x v="10"/>
    <x v="8"/>
    <x v="1"/>
    <n v="1"/>
    <n v="1"/>
    <n v="2.2000000000000002"/>
    <x v="7"/>
    <n v="3"/>
    <n v="5"/>
    <n v="522742"/>
    <n v="199566"/>
    <n v="323176"/>
    <n v="20"/>
    <n v="54"/>
    <n v="5.0999999999999996"/>
  </r>
  <r>
    <x v="10"/>
    <x v="10"/>
    <d v="2022-05-15T00:00:00"/>
    <s v="NA"/>
    <n v="0"/>
    <n v="80"/>
    <s v="61-80"/>
    <x v="0"/>
    <x v="0"/>
    <x v="0"/>
    <x v="1"/>
    <n v="1"/>
    <n v="1"/>
    <n v="2.2999999999999998"/>
    <x v="18"/>
    <n v="6"/>
    <n v="7"/>
    <n v="532958"/>
    <n v="141962"/>
    <n v="390996"/>
    <n v="22"/>
    <n v="60"/>
    <n v="14.8"/>
  </r>
  <r>
    <x v="10"/>
    <x v="10"/>
    <d v="2021-12-30T00:00:00"/>
    <s v="NA"/>
    <n v="0"/>
    <n v="70"/>
    <s v="61-80"/>
    <x v="0"/>
    <x v="6"/>
    <x v="4"/>
    <x v="2"/>
    <n v="1"/>
    <n v="1"/>
    <n v="4.9000000000000004"/>
    <x v="11"/>
    <n v="6"/>
    <n v="4"/>
    <n v="568429"/>
    <n v="190261"/>
    <n v="378168"/>
    <n v="22"/>
    <n v="63"/>
    <n v="8.1"/>
  </r>
  <r>
    <x v="10"/>
    <x v="10"/>
    <d v="2023-04-14T00:00:00"/>
    <s v="NA"/>
    <n v="0"/>
    <n v="21"/>
    <s v="21-40"/>
    <x v="1"/>
    <x v="6"/>
    <x v="4"/>
    <x v="3"/>
    <n v="1"/>
    <n v="1"/>
    <n v="4.2"/>
    <x v="12"/>
    <n v="4"/>
    <n v="6"/>
    <n v="560692"/>
    <n v="225858"/>
    <n v="334834"/>
    <n v="18"/>
    <n v="59"/>
    <n v="5"/>
  </r>
  <r>
    <x v="10"/>
    <x v="10"/>
    <d v="2021-02-08T00:00:00"/>
    <s v="NA"/>
    <n v="0"/>
    <n v="24"/>
    <s v="21-40"/>
    <x v="0"/>
    <x v="0"/>
    <x v="0"/>
    <x v="4"/>
    <n v="1"/>
    <n v="1"/>
    <n v="3.5"/>
    <x v="19"/>
    <n v="5"/>
    <n v="5"/>
    <n v="502704"/>
    <n v="110168"/>
    <n v="392536"/>
    <n v="25"/>
    <n v="60"/>
    <n v="14.6"/>
  </r>
  <r>
    <x v="10"/>
    <x v="10"/>
    <d v="2021-10-29T00:00:00"/>
    <s v="NA"/>
    <n v="0"/>
    <n v="37"/>
    <s v="21-40"/>
    <x v="1"/>
    <x v="12"/>
    <x v="9"/>
    <x v="3"/>
    <n v="1"/>
    <n v="1"/>
    <n v="5.4"/>
    <x v="8"/>
    <n v="6"/>
    <n v="6"/>
    <n v="504835"/>
    <n v="167325"/>
    <n v="337510"/>
    <n v="18"/>
    <n v="63"/>
    <n v="14"/>
  </r>
  <r>
    <x v="10"/>
    <x v="10"/>
    <d v="2021-05-29T00:00:00"/>
    <s v="NA"/>
    <n v="0"/>
    <n v="44"/>
    <s v="41-60"/>
    <x v="0"/>
    <x v="0"/>
    <x v="0"/>
    <x v="0"/>
    <n v="1"/>
    <n v="1"/>
    <n v="6"/>
    <x v="21"/>
    <n v="6"/>
    <n v="3"/>
    <n v="565438"/>
    <n v="259053"/>
    <n v="306385"/>
    <n v="18"/>
    <n v="61"/>
    <n v="13.9"/>
  </r>
  <r>
    <x v="10"/>
    <x v="10"/>
    <d v="2023-06-01T00:00:00"/>
    <s v="NA"/>
    <n v="0"/>
    <n v="38"/>
    <s v="21-40"/>
    <x v="0"/>
    <x v="0"/>
    <x v="0"/>
    <x v="4"/>
    <n v="1"/>
    <n v="1"/>
    <n v="6.1"/>
    <x v="23"/>
    <n v="4"/>
    <n v="6"/>
    <n v="529633"/>
    <n v="221123"/>
    <n v="308510"/>
    <n v="24"/>
    <n v="61"/>
    <n v="13"/>
  </r>
  <r>
    <x v="10"/>
    <x v="10"/>
    <d v="2021-07-04T00:00:00"/>
    <s v="NA"/>
    <n v="0"/>
    <n v="59"/>
    <s v="41-60"/>
    <x v="1"/>
    <x v="3"/>
    <x v="2"/>
    <x v="0"/>
    <n v="1"/>
    <n v="1"/>
    <n v="5.6"/>
    <x v="17"/>
    <n v="4"/>
    <n v="4"/>
    <n v="569573"/>
    <n v="206004"/>
    <n v="363569"/>
    <n v="21"/>
    <n v="57"/>
    <n v="12.5"/>
  </r>
  <r>
    <x v="10"/>
    <x v="10"/>
    <d v="2021-10-03T00:00:00"/>
    <s v="NA"/>
    <n v="0"/>
    <n v="87"/>
    <s v="81+"/>
    <x v="1"/>
    <x v="6"/>
    <x v="4"/>
    <x v="3"/>
    <n v="1"/>
    <n v="1"/>
    <n v="2.2000000000000002"/>
    <x v="6"/>
    <n v="3"/>
    <n v="4"/>
    <n v="508617"/>
    <n v="148051"/>
    <n v="360566"/>
    <n v="17"/>
    <n v="55"/>
    <n v="12.9"/>
  </r>
  <r>
    <x v="10"/>
    <x v="10"/>
    <d v="2021-09-27T00:00:00"/>
    <s v="NA"/>
    <n v="0"/>
    <n v="39"/>
    <s v="21-40"/>
    <x v="1"/>
    <x v="6"/>
    <x v="4"/>
    <x v="1"/>
    <n v="1"/>
    <n v="1"/>
    <n v="1.5"/>
    <x v="29"/>
    <n v="6"/>
    <n v="3"/>
    <n v="591343"/>
    <n v="219754"/>
    <n v="371589"/>
    <n v="15"/>
    <n v="66"/>
    <n v="8"/>
  </r>
  <r>
    <x v="10"/>
    <x v="10"/>
    <d v="2021-02-25T00:00:00"/>
    <s v="NA"/>
    <n v="0"/>
    <n v="27"/>
    <s v="21-40"/>
    <x v="1"/>
    <x v="2"/>
    <x v="1"/>
    <x v="1"/>
    <n v="1"/>
    <n v="1"/>
    <n v="1.9"/>
    <x v="2"/>
    <n v="4"/>
    <n v="3"/>
    <n v="561826"/>
    <n v="229748"/>
    <n v="332078"/>
    <n v="18"/>
    <n v="58"/>
    <n v="7.3"/>
  </r>
  <r>
    <x v="10"/>
    <x v="10"/>
    <d v="2024-07-21T00:00:00"/>
    <s v="NA"/>
    <n v="0"/>
    <n v="23"/>
    <s v="21-40"/>
    <x v="1"/>
    <x v="4"/>
    <x v="3"/>
    <x v="3"/>
    <n v="1"/>
    <n v="1"/>
    <n v="6.9"/>
    <x v="1"/>
    <n v="7"/>
    <n v="3"/>
    <n v="532760"/>
    <n v="210998"/>
    <n v="321762"/>
    <n v="23"/>
    <n v="60"/>
    <n v="7.2"/>
  </r>
  <r>
    <x v="10"/>
    <x v="10"/>
    <d v="2023-01-21T00:00:00"/>
    <s v="NA"/>
    <n v="0"/>
    <n v="67"/>
    <s v="61-80"/>
    <x v="1"/>
    <x v="12"/>
    <x v="9"/>
    <x v="3"/>
    <n v="1"/>
    <n v="1"/>
    <n v="5.3"/>
    <x v="6"/>
    <n v="7"/>
    <n v="4"/>
    <n v="549431"/>
    <n v="176492"/>
    <n v="372939"/>
    <n v="19"/>
    <n v="65"/>
    <n v="12.7"/>
  </r>
  <r>
    <x v="10"/>
    <x v="10"/>
    <d v="2022-11-04T00:00:00"/>
    <s v="NA"/>
    <n v="0"/>
    <n v="33"/>
    <s v="21-40"/>
    <x v="0"/>
    <x v="7"/>
    <x v="5"/>
    <x v="4"/>
    <n v="1"/>
    <n v="1"/>
    <n v="1.2"/>
    <x v="18"/>
    <n v="3"/>
    <n v="7"/>
    <n v="521700"/>
    <n v="185622"/>
    <n v="336078"/>
    <n v="22"/>
    <n v="56"/>
    <n v="10.5"/>
  </r>
  <r>
    <x v="10"/>
    <x v="10"/>
    <d v="2023-11-22T00:00:00"/>
    <s v="NA"/>
    <n v="0"/>
    <n v="71"/>
    <s v="61-80"/>
    <x v="0"/>
    <x v="0"/>
    <x v="0"/>
    <x v="4"/>
    <n v="1"/>
    <n v="1"/>
    <n v="5.3"/>
    <x v="27"/>
    <n v="4"/>
    <n v="3"/>
    <n v="596702"/>
    <n v="286412"/>
    <n v="310290"/>
    <n v="21"/>
    <n v="65"/>
    <n v="12.6"/>
  </r>
  <r>
    <x v="10"/>
    <x v="10"/>
    <d v="2022-07-21T00:00:00"/>
    <s v="NA"/>
    <n v="0"/>
    <n v="36"/>
    <s v="21-40"/>
    <x v="1"/>
    <x v="13"/>
    <x v="10"/>
    <x v="0"/>
    <n v="1"/>
    <n v="1"/>
    <n v="5.2"/>
    <x v="3"/>
    <n v="4"/>
    <n v="6"/>
    <n v="514246"/>
    <n v="123617"/>
    <n v="390629"/>
    <n v="24"/>
    <n v="59"/>
    <n v="6.9"/>
  </r>
  <r>
    <x v="10"/>
    <x v="10"/>
    <d v="2024-04-04T00:00:00"/>
    <s v="NA"/>
    <n v="0"/>
    <n v="36"/>
    <s v="21-40"/>
    <x v="1"/>
    <x v="12"/>
    <x v="9"/>
    <x v="2"/>
    <n v="1"/>
    <n v="1"/>
    <n v="3.9"/>
    <x v="27"/>
    <n v="4"/>
    <n v="6"/>
    <n v="572747"/>
    <n v="270593"/>
    <n v="302154"/>
    <n v="23"/>
    <n v="66"/>
    <n v="8"/>
  </r>
  <r>
    <x v="10"/>
    <x v="10"/>
    <d v="2023-04-13T00:00:00"/>
    <s v="NA"/>
    <n v="0"/>
    <n v="83"/>
    <s v="81+"/>
    <x v="1"/>
    <x v="13"/>
    <x v="10"/>
    <x v="4"/>
    <n v="1"/>
    <n v="1"/>
    <n v="2.2000000000000002"/>
    <x v="3"/>
    <n v="5"/>
    <n v="4"/>
    <n v="584758"/>
    <n v="220312"/>
    <n v="364446"/>
    <n v="25"/>
    <n v="60"/>
    <n v="8.6"/>
  </r>
  <r>
    <x v="10"/>
    <x v="10"/>
    <d v="2022-04-15T00:00:00"/>
    <s v="NA"/>
    <n v="0"/>
    <n v="24"/>
    <s v="21-40"/>
    <x v="0"/>
    <x v="7"/>
    <x v="5"/>
    <x v="2"/>
    <n v="1"/>
    <n v="1"/>
    <n v="5.7"/>
    <x v="9"/>
    <n v="4"/>
    <n v="5"/>
    <n v="585280"/>
    <n v="199637"/>
    <n v="385643"/>
    <n v="21"/>
    <n v="63"/>
    <n v="12.2"/>
  </r>
  <r>
    <x v="10"/>
    <x v="10"/>
    <d v="2023-08-23T00:00:00"/>
    <s v="NA"/>
    <n v="0"/>
    <n v="77"/>
    <s v="61-80"/>
    <x v="1"/>
    <x v="4"/>
    <x v="3"/>
    <x v="2"/>
    <n v="1"/>
    <n v="1"/>
    <n v="1"/>
    <x v="8"/>
    <n v="7"/>
    <n v="7"/>
    <n v="574826"/>
    <n v="223904"/>
    <n v="350922"/>
    <n v="15"/>
    <n v="56"/>
    <n v="8.4"/>
  </r>
  <r>
    <x v="10"/>
    <x v="10"/>
    <d v="2024-05-26T00:00:00"/>
    <s v="NA"/>
    <n v="0"/>
    <n v="49"/>
    <s v="41-60"/>
    <x v="1"/>
    <x v="1"/>
    <x v="1"/>
    <x v="1"/>
    <n v="1"/>
    <n v="1"/>
    <n v="4.5"/>
    <x v="27"/>
    <n v="7"/>
    <n v="4"/>
    <n v="568597"/>
    <n v="184426"/>
    <n v="384171"/>
    <n v="24"/>
    <n v="62"/>
    <n v="7.3"/>
  </r>
  <r>
    <x v="10"/>
    <x v="10"/>
    <d v="2023-04-25T00:00:00"/>
    <s v="NA"/>
    <n v="0"/>
    <n v="42"/>
    <s v="41-60"/>
    <x v="1"/>
    <x v="3"/>
    <x v="2"/>
    <x v="3"/>
    <n v="1"/>
    <n v="1"/>
    <n v="5"/>
    <x v="6"/>
    <n v="4"/>
    <n v="4"/>
    <n v="517837"/>
    <n v="165903"/>
    <n v="351934"/>
    <n v="19"/>
    <n v="62"/>
    <n v="9.3000000000000007"/>
  </r>
  <r>
    <x v="10"/>
    <x v="10"/>
    <d v="2024-07-31T00:00:00"/>
    <s v="NA"/>
    <n v="0"/>
    <n v="75"/>
    <s v="61-80"/>
    <x v="0"/>
    <x v="0"/>
    <x v="0"/>
    <x v="4"/>
    <n v="1"/>
    <n v="1"/>
    <n v="2"/>
    <x v="7"/>
    <n v="5"/>
    <n v="3"/>
    <n v="544971"/>
    <n v="202119"/>
    <n v="342852"/>
    <n v="17"/>
    <n v="62"/>
    <n v="6.9"/>
  </r>
  <r>
    <x v="10"/>
    <x v="10"/>
    <d v="2024-09-24T00:00:00"/>
    <s v="NA"/>
    <n v="0"/>
    <n v="76"/>
    <s v="61-80"/>
    <x v="0"/>
    <x v="0"/>
    <x v="0"/>
    <x v="0"/>
    <n v="1"/>
    <n v="1"/>
    <n v="3.3"/>
    <x v="11"/>
    <n v="6"/>
    <n v="4"/>
    <n v="506334"/>
    <n v="169714"/>
    <n v="336620"/>
    <n v="25"/>
    <n v="63"/>
    <n v="8.1"/>
  </r>
  <r>
    <x v="10"/>
    <x v="10"/>
    <d v="2022-11-21T00:00:00"/>
    <s v="NA"/>
    <n v="0"/>
    <n v="49"/>
    <s v="41-60"/>
    <x v="1"/>
    <x v="7"/>
    <x v="5"/>
    <x v="0"/>
    <n v="1"/>
    <n v="1"/>
    <n v="3.7"/>
    <x v="12"/>
    <n v="7"/>
    <n v="5"/>
    <n v="593061"/>
    <n v="277419"/>
    <n v="315642"/>
    <n v="16"/>
    <n v="59"/>
    <n v="8.1"/>
  </r>
  <r>
    <x v="10"/>
    <x v="10"/>
    <d v="2021-01-27T00:00:00"/>
    <s v="NA"/>
    <n v="0"/>
    <n v="34"/>
    <s v="21-40"/>
    <x v="1"/>
    <x v="11"/>
    <x v="8"/>
    <x v="4"/>
    <n v="1"/>
    <n v="1"/>
    <n v="1.9"/>
    <x v="8"/>
    <n v="4"/>
    <n v="4"/>
    <n v="513620"/>
    <n v="135077"/>
    <n v="378543"/>
    <n v="16"/>
    <n v="55"/>
    <n v="10.5"/>
  </r>
  <r>
    <x v="10"/>
    <x v="10"/>
    <d v="2021-12-15T00:00:00"/>
    <s v="NA"/>
    <n v="0"/>
    <n v="39"/>
    <s v="21-40"/>
    <x v="0"/>
    <x v="0"/>
    <x v="0"/>
    <x v="4"/>
    <n v="1"/>
    <n v="1"/>
    <n v="1.3"/>
    <x v="3"/>
    <n v="3"/>
    <n v="3"/>
    <n v="556900"/>
    <n v="166263"/>
    <n v="390637"/>
    <n v="25"/>
    <n v="64"/>
    <n v="8.1"/>
  </r>
  <r>
    <x v="10"/>
    <x v="10"/>
    <d v="2021-12-03T00:00:00"/>
    <s v="NA"/>
    <n v="0"/>
    <n v="86"/>
    <s v="81+"/>
    <x v="1"/>
    <x v="13"/>
    <x v="10"/>
    <x v="1"/>
    <n v="1"/>
    <n v="1"/>
    <n v="2.1"/>
    <x v="26"/>
    <n v="5"/>
    <n v="4"/>
    <n v="532894"/>
    <n v="162417"/>
    <n v="370477"/>
    <n v="24"/>
    <n v="59"/>
    <n v="7.4"/>
  </r>
  <r>
    <x v="10"/>
    <x v="10"/>
    <d v="2022-02-13T00:00:00"/>
    <s v="NA"/>
    <n v="0"/>
    <n v="47"/>
    <s v="41-60"/>
    <x v="1"/>
    <x v="11"/>
    <x v="8"/>
    <x v="4"/>
    <n v="1"/>
    <n v="1"/>
    <n v="1.4"/>
    <x v="5"/>
    <n v="7"/>
    <n v="5"/>
    <n v="542917"/>
    <n v="235112"/>
    <n v="307805"/>
    <n v="19"/>
    <n v="65"/>
    <n v="5.9"/>
  </r>
  <r>
    <x v="10"/>
    <x v="10"/>
    <d v="2021-05-17T00:00:00"/>
    <s v="NA"/>
    <n v="0"/>
    <n v="34"/>
    <s v="21-40"/>
    <x v="1"/>
    <x v="12"/>
    <x v="9"/>
    <x v="1"/>
    <n v="1"/>
    <n v="1"/>
    <n v="1.9"/>
    <x v="10"/>
    <n v="6"/>
    <n v="5"/>
    <n v="585344"/>
    <n v="231711"/>
    <n v="353633"/>
    <n v="18"/>
    <n v="57"/>
    <n v="12.9"/>
  </r>
  <r>
    <x v="10"/>
    <x v="10"/>
    <d v="2022-07-11T00:00:00"/>
    <s v="NA"/>
    <n v="0"/>
    <n v="70"/>
    <s v="61-80"/>
    <x v="0"/>
    <x v="6"/>
    <x v="4"/>
    <x v="2"/>
    <n v="1"/>
    <n v="1"/>
    <n v="1.4"/>
    <x v="20"/>
    <n v="6"/>
    <n v="3"/>
    <n v="521427"/>
    <n v="163104"/>
    <n v="358323"/>
    <n v="17"/>
    <n v="54"/>
    <n v="13.7"/>
  </r>
  <r>
    <x v="10"/>
    <x v="10"/>
    <d v="2023-02-01T00:00:00"/>
    <s v="NA"/>
    <n v="0"/>
    <n v="88"/>
    <s v="81+"/>
    <x v="0"/>
    <x v="10"/>
    <x v="8"/>
    <x v="3"/>
    <n v="1"/>
    <n v="1"/>
    <n v="5.9"/>
    <x v="28"/>
    <n v="4"/>
    <n v="4"/>
    <n v="599267"/>
    <n v="273236"/>
    <n v="326031"/>
    <n v="22"/>
    <n v="57"/>
    <n v="12.3"/>
  </r>
  <r>
    <x v="10"/>
    <x v="10"/>
    <d v="2024-05-08T00:00:00"/>
    <s v="NA"/>
    <n v="0"/>
    <n v="36"/>
    <s v="21-40"/>
    <x v="0"/>
    <x v="4"/>
    <x v="3"/>
    <x v="2"/>
    <n v="1"/>
    <n v="1"/>
    <n v="6.6"/>
    <x v="13"/>
    <n v="5"/>
    <n v="4"/>
    <n v="568879"/>
    <n v="183501"/>
    <n v="385378"/>
    <n v="17"/>
    <n v="61"/>
    <n v="6.4"/>
  </r>
  <r>
    <x v="10"/>
    <x v="10"/>
    <d v="2023-07-01T00:00:00"/>
    <s v="NA"/>
    <n v="0"/>
    <n v="59"/>
    <s v="41-60"/>
    <x v="0"/>
    <x v="10"/>
    <x v="8"/>
    <x v="4"/>
    <n v="1"/>
    <n v="1"/>
    <n v="3.2"/>
    <x v="20"/>
    <n v="4"/>
    <n v="6"/>
    <n v="558991"/>
    <n v="188525"/>
    <n v="370466"/>
    <n v="18"/>
    <n v="57"/>
    <n v="12.5"/>
  </r>
  <r>
    <x v="10"/>
    <x v="10"/>
    <d v="2024-12-23T00:00:00"/>
    <s v="NA"/>
    <n v="0"/>
    <n v="28"/>
    <s v="21-40"/>
    <x v="1"/>
    <x v="10"/>
    <x v="8"/>
    <x v="2"/>
    <n v="1"/>
    <n v="1"/>
    <n v="4.7"/>
    <x v="11"/>
    <n v="3"/>
    <n v="7"/>
    <n v="512207"/>
    <n v="112461"/>
    <n v="399746"/>
    <n v="15"/>
    <n v="56"/>
    <n v="6"/>
  </r>
  <r>
    <x v="10"/>
    <x v="10"/>
    <d v="2022-04-29T00:00:00"/>
    <s v="NA"/>
    <n v="0"/>
    <n v="47"/>
    <s v="41-60"/>
    <x v="0"/>
    <x v="0"/>
    <x v="0"/>
    <x v="2"/>
    <n v="1"/>
    <n v="1"/>
    <n v="5.0999999999999996"/>
    <x v="26"/>
    <n v="4"/>
    <n v="7"/>
    <n v="562012"/>
    <n v="238257"/>
    <n v="323755"/>
    <n v="21"/>
    <n v="60"/>
    <n v="8"/>
  </r>
  <r>
    <x v="10"/>
    <x v="10"/>
    <d v="2022-11-18T00:00:00"/>
    <s v="NA"/>
    <n v="0"/>
    <n v="88"/>
    <s v="81+"/>
    <x v="0"/>
    <x v="2"/>
    <x v="1"/>
    <x v="1"/>
    <n v="1"/>
    <n v="1"/>
    <n v="5.8"/>
    <x v="29"/>
    <n v="7"/>
    <n v="6"/>
    <n v="597045"/>
    <n v="253378"/>
    <n v="343667"/>
    <n v="18"/>
    <n v="59"/>
    <n v="7.2"/>
  </r>
  <r>
    <x v="10"/>
    <x v="10"/>
    <d v="2024-05-09T00:00:00"/>
    <s v="NA"/>
    <n v="0"/>
    <n v="44"/>
    <s v="41-60"/>
    <x v="1"/>
    <x v="3"/>
    <x v="2"/>
    <x v="0"/>
    <n v="1"/>
    <n v="1"/>
    <n v="2"/>
    <x v="2"/>
    <n v="5"/>
    <n v="5"/>
    <n v="554246"/>
    <n v="184893"/>
    <n v="369353"/>
    <n v="19"/>
    <n v="55"/>
    <n v="14.3"/>
  </r>
  <r>
    <x v="10"/>
    <x v="10"/>
    <d v="2021-07-15T00:00:00"/>
    <s v="NA"/>
    <n v="0"/>
    <n v="87"/>
    <s v="81+"/>
    <x v="0"/>
    <x v="0"/>
    <x v="0"/>
    <x v="0"/>
    <n v="1"/>
    <n v="1"/>
    <n v="5"/>
    <x v="9"/>
    <n v="3"/>
    <n v="3"/>
    <n v="578370"/>
    <n v="214190"/>
    <n v="364180"/>
    <n v="22"/>
    <n v="55"/>
    <n v="13.1"/>
  </r>
  <r>
    <x v="10"/>
    <x v="10"/>
    <d v="2023-01-03T00:00:00"/>
    <s v="NA"/>
    <n v="0"/>
    <n v="77"/>
    <s v="61-80"/>
    <x v="1"/>
    <x v="1"/>
    <x v="1"/>
    <x v="0"/>
    <n v="1"/>
    <n v="1"/>
    <n v="4.2"/>
    <x v="13"/>
    <n v="7"/>
    <n v="7"/>
    <n v="503759"/>
    <n v="167713"/>
    <n v="336046"/>
    <n v="19"/>
    <n v="59"/>
    <n v="12.3"/>
  </r>
  <r>
    <x v="10"/>
    <x v="10"/>
    <d v="2023-08-22T00:00:00"/>
    <s v="NA"/>
    <n v="0"/>
    <n v="49"/>
    <s v="41-60"/>
    <x v="1"/>
    <x v="4"/>
    <x v="3"/>
    <x v="3"/>
    <n v="1"/>
    <n v="1"/>
    <n v="5.9"/>
    <x v="4"/>
    <n v="6"/>
    <n v="6"/>
    <n v="507431"/>
    <n v="187960"/>
    <n v="319471"/>
    <n v="17"/>
    <n v="57"/>
    <n v="14.7"/>
  </r>
  <r>
    <x v="10"/>
    <x v="10"/>
    <d v="2023-12-10T00:00:00"/>
    <s v="NA"/>
    <n v="0"/>
    <n v="31"/>
    <s v="21-40"/>
    <x v="1"/>
    <x v="2"/>
    <x v="1"/>
    <x v="2"/>
    <n v="1"/>
    <n v="1"/>
    <n v="5.9"/>
    <x v="25"/>
    <n v="4"/>
    <n v="4"/>
    <n v="574353"/>
    <n v="216959"/>
    <n v="357394"/>
    <n v="15"/>
    <n v="57"/>
    <n v="6.4"/>
  </r>
  <r>
    <x v="13"/>
    <x v="13"/>
    <d v="2024-09-07T00:00:00"/>
    <s v="NA"/>
    <n v="0"/>
    <n v="49"/>
    <s v="41-60"/>
    <x v="0"/>
    <x v="2"/>
    <x v="1"/>
    <x v="0"/>
    <n v="1"/>
    <n v="1"/>
    <n v="2.6"/>
    <x v="15"/>
    <n v="4"/>
    <n v="6"/>
    <n v="856881"/>
    <n v="314916"/>
    <n v="541965"/>
    <n v="59"/>
    <n v="56"/>
    <n v="14.7"/>
  </r>
  <r>
    <x v="13"/>
    <x v="13"/>
    <d v="2022-09-07T00:00:00"/>
    <s v="NA"/>
    <n v="0"/>
    <n v="31"/>
    <s v="21-40"/>
    <x v="1"/>
    <x v="7"/>
    <x v="5"/>
    <x v="1"/>
    <n v="1"/>
    <n v="1"/>
    <n v="4"/>
    <x v="18"/>
    <n v="7"/>
    <n v="5"/>
    <n v="845230"/>
    <n v="307151"/>
    <n v="538079"/>
    <n v="57"/>
    <n v="58"/>
    <n v="12.2"/>
  </r>
  <r>
    <x v="13"/>
    <x v="13"/>
    <d v="2024-08-14T00:00:00"/>
    <s v="NA"/>
    <n v="0"/>
    <n v="25"/>
    <s v="21-40"/>
    <x v="0"/>
    <x v="2"/>
    <x v="1"/>
    <x v="0"/>
    <n v="1"/>
    <n v="1"/>
    <n v="2.1"/>
    <x v="24"/>
    <n v="7"/>
    <n v="3"/>
    <n v="884383"/>
    <n v="260743"/>
    <n v="623640"/>
    <n v="55"/>
    <n v="65"/>
    <n v="10"/>
  </r>
  <r>
    <x v="13"/>
    <x v="13"/>
    <d v="2021-02-11T00:00:00"/>
    <s v="NA"/>
    <n v="0"/>
    <n v="90"/>
    <s v="81+"/>
    <x v="0"/>
    <x v="2"/>
    <x v="1"/>
    <x v="0"/>
    <n v="1"/>
    <n v="1"/>
    <n v="4.7"/>
    <x v="23"/>
    <n v="3"/>
    <n v="6"/>
    <n v="814257"/>
    <n v="219420"/>
    <n v="594837"/>
    <n v="60"/>
    <n v="55"/>
    <n v="10.1"/>
  </r>
  <r>
    <x v="13"/>
    <x v="13"/>
    <d v="2022-05-05T00:00:00"/>
    <s v="NA"/>
    <n v="0"/>
    <n v="70"/>
    <s v="61-80"/>
    <x v="1"/>
    <x v="10"/>
    <x v="8"/>
    <x v="2"/>
    <n v="1"/>
    <n v="1"/>
    <n v="6.7"/>
    <x v="19"/>
    <n v="3"/>
    <n v="5"/>
    <n v="939243"/>
    <n v="396163"/>
    <n v="543080"/>
    <n v="34"/>
    <n v="60"/>
    <n v="36.700000000000003"/>
  </r>
  <r>
    <x v="13"/>
    <x v="13"/>
    <d v="2023-04-22T00:00:00"/>
    <s v="NA"/>
    <n v="0"/>
    <n v="29"/>
    <s v="21-40"/>
    <x v="0"/>
    <x v="0"/>
    <x v="0"/>
    <x v="3"/>
    <n v="1"/>
    <n v="1"/>
    <n v="4.5999999999999996"/>
    <x v="18"/>
    <n v="3"/>
    <n v="7"/>
    <n v="883586"/>
    <n v="285750"/>
    <n v="597836"/>
    <n v="39"/>
    <n v="59"/>
    <n v="9.5"/>
  </r>
  <r>
    <x v="13"/>
    <x v="13"/>
    <d v="2022-06-25T00:00:00"/>
    <s v="NA"/>
    <n v="0"/>
    <n v="36"/>
    <s v="21-40"/>
    <x v="1"/>
    <x v="10"/>
    <x v="8"/>
    <x v="1"/>
    <n v="1"/>
    <n v="1"/>
    <n v="4.4000000000000004"/>
    <x v="10"/>
    <n v="7"/>
    <n v="7"/>
    <n v="952335"/>
    <n v="355846"/>
    <n v="596489"/>
    <n v="37"/>
    <n v="66"/>
    <n v="14.3"/>
  </r>
  <r>
    <x v="13"/>
    <x v="13"/>
    <d v="2021-02-24T00:00:00"/>
    <s v="NA"/>
    <n v="0"/>
    <n v="71"/>
    <s v="61-80"/>
    <x v="1"/>
    <x v="13"/>
    <x v="10"/>
    <x v="1"/>
    <n v="1"/>
    <n v="1"/>
    <n v="2.7"/>
    <x v="18"/>
    <n v="7"/>
    <n v="5"/>
    <n v="967961"/>
    <n v="347396"/>
    <n v="620565"/>
    <n v="53"/>
    <n v="59"/>
    <n v="7.5"/>
  </r>
  <r>
    <x v="13"/>
    <x v="13"/>
    <d v="2023-06-15T00:00:00"/>
    <s v="NA"/>
    <n v="0"/>
    <n v="47"/>
    <s v="41-60"/>
    <x v="1"/>
    <x v="3"/>
    <x v="2"/>
    <x v="4"/>
    <n v="1"/>
    <n v="1"/>
    <n v="2.4"/>
    <x v="7"/>
    <n v="6"/>
    <n v="6"/>
    <n v="857527"/>
    <n v="197959"/>
    <n v="659568"/>
    <n v="47"/>
    <n v="59"/>
    <n v="10.6"/>
  </r>
  <r>
    <x v="13"/>
    <x v="13"/>
    <d v="2023-03-29T00:00:00"/>
    <s v="NA"/>
    <n v="0"/>
    <n v="88"/>
    <s v="81+"/>
    <x v="1"/>
    <x v="9"/>
    <x v="7"/>
    <x v="2"/>
    <n v="1"/>
    <n v="1"/>
    <n v="2.1"/>
    <x v="11"/>
    <n v="4"/>
    <n v="6"/>
    <n v="936157"/>
    <n v="262487"/>
    <n v="673670"/>
    <n v="57"/>
    <n v="64"/>
    <n v="36.200000000000003"/>
  </r>
  <r>
    <x v="13"/>
    <x v="13"/>
    <d v="2024-07-20T00:00:00"/>
    <s v="NA"/>
    <n v="0"/>
    <n v="36"/>
    <s v="21-40"/>
    <x v="0"/>
    <x v="0"/>
    <x v="0"/>
    <x v="3"/>
    <n v="1"/>
    <n v="1"/>
    <n v="6.5"/>
    <x v="8"/>
    <n v="7"/>
    <n v="7"/>
    <n v="810057"/>
    <n v="118613"/>
    <n v="691444"/>
    <n v="51"/>
    <n v="64"/>
    <n v="8.6999999999999993"/>
  </r>
  <r>
    <x v="13"/>
    <x v="13"/>
    <d v="2024-02-19T00:00:00"/>
    <s v="NA"/>
    <n v="0"/>
    <n v="33"/>
    <s v="21-40"/>
    <x v="1"/>
    <x v="8"/>
    <x v="6"/>
    <x v="0"/>
    <n v="1"/>
    <n v="1"/>
    <n v="5.6"/>
    <x v="18"/>
    <n v="6"/>
    <n v="5"/>
    <n v="973975"/>
    <n v="280271"/>
    <n v="693704"/>
    <n v="40"/>
    <n v="62"/>
    <n v="6"/>
  </r>
  <r>
    <x v="13"/>
    <x v="13"/>
    <d v="2021-02-03T00:00:00"/>
    <s v="NA"/>
    <n v="0"/>
    <n v="43"/>
    <s v="41-60"/>
    <x v="1"/>
    <x v="3"/>
    <x v="2"/>
    <x v="0"/>
    <n v="1"/>
    <n v="1"/>
    <n v="5.5"/>
    <x v="29"/>
    <n v="3"/>
    <n v="4"/>
    <n v="826458"/>
    <n v="321514"/>
    <n v="504944"/>
    <n v="39"/>
    <n v="58"/>
    <n v="12.6"/>
  </r>
  <r>
    <x v="13"/>
    <x v="13"/>
    <d v="2021-09-26T00:00:00"/>
    <s v="NA"/>
    <n v="0"/>
    <n v="48"/>
    <s v="41-60"/>
    <x v="0"/>
    <x v="2"/>
    <x v="1"/>
    <x v="0"/>
    <n v="1"/>
    <n v="1"/>
    <n v="3.3"/>
    <x v="9"/>
    <n v="5"/>
    <n v="3"/>
    <n v="893686"/>
    <n v="202300"/>
    <n v="691386"/>
    <n v="60"/>
    <n v="56"/>
    <n v="12.8"/>
  </r>
  <r>
    <x v="13"/>
    <x v="13"/>
    <d v="2022-04-11T00:00:00"/>
    <s v="NA"/>
    <n v="0"/>
    <n v="64"/>
    <s v="61-80"/>
    <x v="1"/>
    <x v="2"/>
    <x v="1"/>
    <x v="2"/>
    <n v="1"/>
    <n v="1"/>
    <n v="4.5999999999999996"/>
    <x v="17"/>
    <n v="7"/>
    <n v="5"/>
    <n v="989219"/>
    <n v="349644"/>
    <n v="639575"/>
    <n v="57"/>
    <n v="60"/>
    <n v="14.5"/>
  </r>
  <r>
    <x v="13"/>
    <x v="13"/>
    <d v="2024-06-03T00:00:00"/>
    <s v="NA"/>
    <n v="0"/>
    <n v="77"/>
    <s v="61-80"/>
    <x v="1"/>
    <x v="3"/>
    <x v="2"/>
    <x v="0"/>
    <n v="1"/>
    <n v="1"/>
    <n v="4.8"/>
    <x v="24"/>
    <n v="3"/>
    <n v="5"/>
    <n v="852821"/>
    <n v="343618"/>
    <n v="509203"/>
    <n v="40"/>
    <n v="59"/>
    <n v="36.200000000000003"/>
  </r>
  <r>
    <x v="10"/>
    <x v="10"/>
    <d v="2022-05-31T00:00:00"/>
    <s v="NA"/>
    <n v="0"/>
    <n v="55"/>
    <s v="41-60"/>
    <x v="0"/>
    <x v="10"/>
    <x v="8"/>
    <x v="2"/>
    <n v="1"/>
    <n v="1"/>
    <n v="3.9"/>
    <x v="12"/>
    <n v="3"/>
    <n v="4"/>
    <n v="555447"/>
    <n v="189531"/>
    <n v="365916"/>
    <n v="21"/>
    <n v="54"/>
    <n v="14"/>
  </r>
  <r>
    <x v="13"/>
    <x v="13"/>
    <d v="2021-03-13T00:00:00"/>
    <s v="NA"/>
    <n v="0"/>
    <n v="44"/>
    <s v="41-60"/>
    <x v="1"/>
    <x v="10"/>
    <x v="8"/>
    <x v="4"/>
    <n v="1"/>
    <n v="1"/>
    <n v="3.6"/>
    <x v="17"/>
    <n v="4"/>
    <n v="7"/>
    <n v="974629"/>
    <n v="370310"/>
    <n v="604319"/>
    <n v="60"/>
    <n v="65"/>
    <n v="9.8000000000000007"/>
  </r>
  <r>
    <x v="10"/>
    <x v="10"/>
    <d v="2024-10-07T00:00:00"/>
    <s v="NA"/>
    <n v="0"/>
    <n v="44"/>
    <s v="41-60"/>
    <x v="0"/>
    <x v="0"/>
    <x v="0"/>
    <x v="1"/>
    <n v="1"/>
    <n v="1"/>
    <n v="3.7"/>
    <x v="10"/>
    <n v="6"/>
    <n v="3"/>
    <n v="509966"/>
    <n v="177980"/>
    <n v="331986"/>
    <n v="23"/>
    <n v="64"/>
    <n v="5.6"/>
  </r>
  <r>
    <x v="13"/>
    <x v="13"/>
    <d v="2022-10-12T00:00:00"/>
    <s v="NA"/>
    <n v="0"/>
    <n v="84"/>
    <s v="81+"/>
    <x v="1"/>
    <x v="6"/>
    <x v="4"/>
    <x v="0"/>
    <n v="1"/>
    <n v="1"/>
    <n v="4.8"/>
    <x v="5"/>
    <n v="7"/>
    <n v="3"/>
    <n v="915718"/>
    <n v="280382"/>
    <n v="635336"/>
    <n v="38"/>
    <n v="62"/>
    <n v="6.9"/>
  </r>
  <r>
    <x v="13"/>
    <x v="13"/>
    <d v="2022-06-21T00:00:00"/>
    <s v="NA"/>
    <n v="0"/>
    <n v="83"/>
    <s v="81+"/>
    <x v="1"/>
    <x v="6"/>
    <x v="4"/>
    <x v="1"/>
    <n v="1"/>
    <n v="1"/>
    <n v="6.8"/>
    <x v="10"/>
    <n v="4"/>
    <n v="5"/>
    <n v="823508"/>
    <n v="131175"/>
    <n v="692333"/>
    <n v="41"/>
    <n v="58"/>
    <n v="10.1"/>
  </r>
  <r>
    <x v="13"/>
    <x v="13"/>
    <d v="2024-08-27T00:00:00"/>
    <s v="NA"/>
    <n v="0"/>
    <n v="27"/>
    <s v="21-40"/>
    <x v="0"/>
    <x v="1"/>
    <x v="1"/>
    <x v="3"/>
    <n v="1"/>
    <n v="1"/>
    <n v="4.3"/>
    <x v="8"/>
    <n v="7"/>
    <n v="5"/>
    <n v="865137"/>
    <n v="311359"/>
    <n v="553778"/>
    <n v="59"/>
    <n v="62"/>
    <n v="7.3"/>
  </r>
  <r>
    <x v="13"/>
    <x v="13"/>
    <d v="2021-01-15T00:00:00"/>
    <s v="NA"/>
    <n v="0"/>
    <n v="65"/>
    <s v="61-80"/>
    <x v="0"/>
    <x v="0"/>
    <x v="0"/>
    <x v="0"/>
    <n v="1"/>
    <n v="1"/>
    <n v="1.4"/>
    <x v="10"/>
    <n v="4"/>
    <n v="7"/>
    <n v="980516"/>
    <n v="388640"/>
    <n v="591876"/>
    <n v="60"/>
    <n v="55"/>
    <n v="13.1"/>
  </r>
  <r>
    <x v="13"/>
    <x v="13"/>
    <d v="2024-08-07T00:00:00"/>
    <s v="NA"/>
    <n v="0"/>
    <n v="27"/>
    <s v="21-40"/>
    <x v="1"/>
    <x v="3"/>
    <x v="2"/>
    <x v="4"/>
    <n v="1"/>
    <n v="1"/>
    <n v="4.5"/>
    <x v="11"/>
    <n v="5"/>
    <n v="6"/>
    <n v="943444"/>
    <n v="372911"/>
    <n v="570533"/>
    <n v="30"/>
    <n v="63"/>
    <n v="6"/>
  </r>
  <r>
    <x v="13"/>
    <x v="13"/>
    <d v="2023-02-17T00:00:00"/>
    <s v="NA"/>
    <n v="0"/>
    <n v="43"/>
    <s v="41-60"/>
    <x v="0"/>
    <x v="2"/>
    <x v="1"/>
    <x v="2"/>
    <n v="1"/>
    <n v="1"/>
    <n v="6.9"/>
    <x v="25"/>
    <n v="6"/>
    <n v="5"/>
    <n v="838662"/>
    <n v="271412"/>
    <n v="567250"/>
    <n v="31"/>
    <n v="62"/>
    <n v="6.7"/>
  </r>
  <r>
    <x v="13"/>
    <x v="13"/>
    <d v="2022-12-01T00:00:00"/>
    <s v="NA"/>
    <n v="0"/>
    <n v="55"/>
    <s v="41-60"/>
    <x v="0"/>
    <x v="6"/>
    <x v="4"/>
    <x v="2"/>
    <n v="1"/>
    <n v="1"/>
    <n v="4.9000000000000004"/>
    <x v="22"/>
    <n v="3"/>
    <n v="3"/>
    <n v="828130"/>
    <n v="135500"/>
    <n v="692630"/>
    <n v="42"/>
    <n v="62"/>
    <n v="10.3"/>
  </r>
  <r>
    <x v="13"/>
    <x v="13"/>
    <d v="2024-01-05T00:00:00"/>
    <s v="NA"/>
    <n v="0"/>
    <n v="26"/>
    <s v="21-40"/>
    <x v="0"/>
    <x v="0"/>
    <x v="0"/>
    <x v="0"/>
    <n v="1"/>
    <n v="1"/>
    <n v="4"/>
    <x v="16"/>
    <n v="6"/>
    <n v="3"/>
    <n v="996745"/>
    <n v="361606"/>
    <n v="635139"/>
    <n v="40"/>
    <n v="54"/>
    <n v="6.3"/>
  </r>
  <r>
    <x v="13"/>
    <x v="13"/>
    <d v="2022-09-19T00:00:00"/>
    <s v="NA"/>
    <n v="0"/>
    <n v="46"/>
    <s v="41-60"/>
    <x v="1"/>
    <x v="2"/>
    <x v="1"/>
    <x v="2"/>
    <n v="1"/>
    <n v="1"/>
    <n v="5.4"/>
    <x v="2"/>
    <n v="6"/>
    <n v="3"/>
    <n v="921754"/>
    <n v="323239"/>
    <n v="598515"/>
    <n v="50"/>
    <n v="65"/>
    <n v="8.1999999999999993"/>
  </r>
  <r>
    <x v="13"/>
    <x v="13"/>
    <d v="2021-03-24T00:00:00"/>
    <s v="NA"/>
    <n v="0"/>
    <n v="37"/>
    <s v="21-40"/>
    <x v="1"/>
    <x v="2"/>
    <x v="1"/>
    <x v="0"/>
    <n v="1"/>
    <n v="1"/>
    <n v="5.8"/>
    <x v="28"/>
    <n v="5"/>
    <n v="3"/>
    <n v="960035"/>
    <n v="381064"/>
    <n v="578971"/>
    <n v="60"/>
    <n v="59"/>
    <n v="5.9"/>
  </r>
  <r>
    <x v="13"/>
    <x v="13"/>
    <d v="2024-08-28T00:00:00"/>
    <s v="NA"/>
    <n v="0"/>
    <n v="73"/>
    <s v="61-80"/>
    <x v="1"/>
    <x v="3"/>
    <x v="2"/>
    <x v="4"/>
    <n v="1"/>
    <n v="1"/>
    <n v="4.9000000000000004"/>
    <x v="16"/>
    <n v="3"/>
    <n v="4"/>
    <n v="936214"/>
    <n v="246144"/>
    <n v="690070"/>
    <n v="52"/>
    <n v="60"/>
    <n v="14.9"/>
  </r>
  <r>
    <x v="13"/>
    <x v="13"/>
    <d v="2021-09-03T00:00:00"/>
    <s v="NA"/>
    <n v="0"/>
    <n v="63"/>
    <s v="61-80"/>
    <x v="0"/>
    <x v="0"/>
    <x v="0"/>
    <x v="0"/>
    <n v="1"/>
    <n v="1"/>
    <n v="6.5"/>
    <x v="19"/>
    <n v="7"/>
    <n v="7"/>
    <n v="938168"/>
    <n v="242879"/>
    <n v="695289"/>
    <n v="30"/>
    <n v="65"/>
    <n v="36.6"/>
  </r>
  <r>
    <x v="13"/>
    <x v="13"/>
    <d v="2021-04-15T00:00:00"/>
    <s v="NA"/>
    <n v="0"/>
    <n v="67"/>
    <s v="61-80"/>
    <x v="0"/>
    <x v="2"/>
    <x v="1"/>
    <x v="1"/>
    <n v="1"/>
    <n v="1"/>
    <n v="2.1"/>
    <x v="20"/>
    <n v="5"/>
    <n v="3"/>
    <n v="965092"/>
    <n v="300334"/>
    <n v="664758"/>
    <n v="41"/>
    <n v="57"/>
    <n v="6.5"/>
  </r>
  <r>
    <x v="13"/>
    <x v="13"/>
    <d v="2023-01-27T00:00:00"/>
    <s v="NA"/>
    <n v="0"/>
    <n v="72"/>
    <s v="61-80"/>
    <x v="1"/>
    <x v="3"/>
    <x v="2"/>
    <x v="3"/>
    <n v="1"/>
    <n v="1"/>
    <n v="6.8"/>
    <x v="2"/>
    <n v="4"/>
    <n v="6"/>
    <n v="832569"/>
    <n v="247714"/>
    <n v="584855"/>
    <n v="32"/>
    <n v="64"/>
    <n v="7.7"/>
  </r>
  <r>
    <x v="10"/>
    <x v="10"/>
    <d v="2023-10-24T00:00:00"/>
    <s v="NA"/>
    <n v="0"/>
    <n v="39"/>
    <s v="21-40"/>
    <x v="1"/>
    <x v="3"/>
    <x v="2"/>
    <x v="3"/>
    <n v="1"/>
    <n v="1"/>
    <n v="3.6"/>
    <x v="9"/>
    <n v="3"/>
    <n v="5"/>
    <n v="566223"/>
    <n v="223231"/>
    <n v="342992"/>
    <n v="15"/>
    <n v="61"/>
    <n v="36.299999999999997"/>
  </r>
  <r>
    <x v="10"/>
    <x v="10"/>
    <d v="2022-04-03T00:00:00"/>
    <s v="NA"/>
    <n v="0"/>
    <n v="30"/>
    <s v="21-40"/>
    <x v="1"/>
    <x v="3"/>
    <x v="2"/>
    <x v="0"/>
    <n v="1"/>
    <n v="1"/>
    <n v="4.3"/>
    <x v="1"/>
    <n v="3"/>
    <n v="5"/>
    <n v="540135"/>
    <n v="152187"/>
    <n v="387948"/>
    <n v="18"/>
    <n v="58"/>
    <n v="9.6"/>
  </r>
  <r>
    <x v="13"/>
    <x v="13"/>
    <d v="2024-12-02T00:00:00"/>
    <s v="NA"/>
    <n v="0"/>
    <n v="73"/>
    <s v="61-80"/>
    <x v="0"/>
    <x v="7"/>
    <x v="5"/>
    <x v="3"/>
    <n v="1"/>
    <n v="1"/>
    <n v="1.1000000000000001"/>
    <x v="19"/>
    <n v="7"/>
    <n v="7"/>
    <n v="996810"/>
    <n v="482585"/>
    <n v="514225"/>
    <n v="42"/>
    <n v="64"/>
    <n v="7.5"/>
  </r>
  <r>
    <x v="10"/>
    <x v="10"/>
    <d v="2021-03-06T00:00:00"/>
    <s v="NA"/>
    <n v="0"/>
    <n v="53"/>
    <s v="41-60"/>
    <x v="0"/>
    <x v="7"/>
    <x v="5"/>
    <x v="4"/>
    <n v="1"/>
    <n v="1"/>
    <n v="4.8"/>
    <x v="1"/>
    <n v="6"/>
    <n v="3"/>
    <n v="593676"/>
    <n v="227639"/>
    <n v="366037"/>
    <n v="23"/>
    <n v="57"/>
    <n v="12.2"/>
  </r>
  <r>
    <x v="13"/>
    <x v="13"/>
    <d v="2022-08-13T00:00:00"/>
    <s v="NA"/>
    <n v="0"/>
    <n v="48"/>
    <s v="41-60"/>
    <x v="1"/>
    <x v="12"/>
    <x v="9"/>
    <x v="0"/>
    <n v="1"/>
    <n v="1"/>
    <n v="4.5"/>
    <x v="6"/>
    <n v="5"/>
    <n v="5"/>
    <n v="889752"/>
    <n v="346092"/>
    <n v="543660"/>
    <n v="54"/>
    <n v="59"/>
    <n v="14.7"/>
  </r>
  <r>
    <x v="13"/>
    <x v="13"/>
    <d v="2022-07-24T00:00:00"/>
    <s v="NA"/>
    <n v="0"/>
    <n v="68"/>
    <s v="61-80"/>
    <x v="1"/>
    <x v="8"/>
    <x v="6"/>
    <x v="3"/>
    <n v="1"/>
    <n v="1"/>
    <n v="3.3"/>
    <x v="14"/>
    <n v="7"/>
    <n v="5"/>
    <n v="931024"/>
    <n v="359603"/>
    <n v="571421"/>
    <n v="56"/>
    <n v="60"/>
    <n v="36.299999999999997"/>
  </r>
  <r>
    <x v="10"/>
    <x v="10"/>
    <d v="2021-04-28T00:00:00"/>
    <s v="NA"/>
    <n v="0"/>
    <n v="66"/>
    <s v="61-80"/>
    <x v="1"/>
    <x v="4"/>
    <x v="3"/>
    <x v="1"/>
    <n v="1"/>
    <n v="1"/>
    <n v="4.7"/>
    <x v="28"/>
    <n v="3"/>
    <n v="7"/>
    <n v="536997"/>
    <n v="175965"/>
    <n v="361032"/>
    <n v="23"/>
    <n v="62"/>
    <n v="9.5"/>
  </r>
  <r>
    <x v="13"/>
    <x v="13"/>
    <d v="2024-10-29T00:00:00"/>
    <s v="NA"/>
    <n v="0"/>
    <n v="21"/>
    <s v="21-40"/>
    <x v="0"/>
    <x v="2"/>
    <x v="1"/>
    <x v="0"/>
    <n v="1"/>
    <n v="1"/>
    <n v="2.2999999999999998"/>
    <x v="9"/>
    <n v="5"/>
    <n v="4"/>
    <n v="807721"/>
    <n v="173485"/>
    <n v="634236"/>
    <n v="35"/>
    <n v="54"/>
    <n v="13"/>
  </r>
  <r>
    <x v="13"/>
    <x v="13"/>
    <d v="2024-12-14T00:00:00"/>
    <s v="NA"/>
    <n v="0"/>
    <n v="45"/>
    <s v="41-60"/>
    <x v="1"/>
    <x v="2"/>
    <x v="1"/>
    <x v="1"/>
    <n v="1"/>
    <n v="1"/>
    <n v="1.8"/>
    <x v="5"/>
    <n v="6"/>
    <n v="6"/>
    <n v="928365"/>
    <n v="420515"/>
    <n v="507850"/>
    <n v="42"/>
    <n v="54"/>
    <n v="14.8"/>
  </r>
  <r>
    <x v="13"/>
    <x v="13"/>
    <d v="2023-12-17T00:00:00"/>
    <s v="NA"/>
    <n v="0"/>
    <n v="71"/>
    <s v="61-80"/>
    <x v="1"/>
    <x v="6"/>
    <x v="4"/>
    <x v="2"/>
    <n v="1"/>
    <n v="1"/>
    <n v="6.5"/>
    <x v="29"/>
    <n v="6"/>
    <n v="4"/>
    <n v="913052"/>
    <n v="397717"/>
    <n v="515335"/>
    <n v="47"/>
    <n v="56"/>
    <n v="7.4"/>
  </r>
  <r>
    <x v="13"/>
    <x v="13"/>
    <d v="2021-12-05T00:00:00"/>
    <s v="NA"/>
    <n v="0"/>
    <n v="25"/>
    <s v="21-40"/>
    <x v="1"/>
    <x v="3"/>
    <x v="2"/>
    <x v="0"/>
    <n v="1"/>
    <n v="1"/>
    <n v="1.4"/>
    <x v="1"/>
    <n v="3"/>
    <n v="4"/>
    <n v="917471"/>
    <n v="377229"/>
    <n v="540242"/>
    <n v="58"/>
    <n v="61"/>
    <n v="7.6"/>
  </r>
  <r>
    <x v="13"/>
    <x v="13"/>
    <d v="2024-05-15T00:00:00"/>
    <s v="NA"/>
    <n v="0"/>
    <n v="43"/>
    <s v="41-60"/>
    <x v="0"/>
    <x v="5"/>
    <x v="0"/>
    <x v="1"/>
    <n v="1"/>
    <n v="1"/>
    <n v="3.9"/>
    <x v="6"/>
    <n v="5"/>
    <n v="6"/>
    <n v="892217"/>
    <n v="213673"/>
    <n v="678544"/>
    <n v="55"/>
    <n v="57"/>
    <n v="36.5"/>
  </r>
  <r>
    <x v="13"/>
    <x v="13"/>
    <d v="2021-04-04T00:00:00"/>
    <s v="NA"/>
    <n v="0"/>
    <n v="27"/>
    <s v="21-40"/>
    <x v="0"/>
    <x v="0"/>
    <x v="0"/>
    <x v="2"/>
    <n v="1"/>
    <n v="1"/>
    <n v="1.6"/>
    <x v="25"/>
    <n v="3"/>
    <n v="3"/>
    <n v="824368"/>
    <n v="318759"/>
    <n v="505609"/>
    <n v="54"/>
    <n v="62"/>
    <n v="12.2"/>
  </r>
  <r>
    <x v="13"/>
    <x v="13"/>
    <d v="2023-11-02T00:00:00"/>
    <s v="NA"/>
    <n v="0"/>
    <n v="29"/>
    <s v="21-40"/>
    <x v="1"/>
    <x v="4"/>
    <x v="3"/>
    <x v="2"/>
    <n v="1"/>
    <n v="1"/>
    <n v="3.2"/>
    <x v="25"/>
    <n v="7"/>
    <n v="3"/>
    <n v="936620"/>
    <n v="306985"/>
    <n v="629635"/>
    <n v="59"/>
    <n v="60"/>
    <n v="13.6"/>
  </r>
  <r>
    <x v="13"/>
    <x v="13"/>
    <d v="2022-01-10T00:00:00"/>
    <s v="NA"/>
    <n v="0"/>
    <n v="85"/>
    <s v="81+"/>
    <x v="1"/>
    <x v="9"/>
    <x v="7"/>
    <x v="4"/>
    <n v="1"/>
    <n v="1"/>
    <n v="1.2"/>
    <x v="15"/>
    <n v="6"/>
    <n v="4"/>
    <n v="853308"/>
    <n v="186494"/>
    <n v="666814"/>
    <n v="32"/>
    <n v="65"/>
    <n v="10.4"/>
  </r>
  <r>
    <x v="13"/>
    <x v="13"/>
    <d v="2021-09-08T00:00:00"/>
    <s v="NA"/>
    <n v="0"/>
    <n v="24"/>
    <s v="21-40"/>
    <x v="0"/>
    <x v="4"/>
    <x v="3"/>
    <x v="3"/>
    <n v="1"/>
    <n v="1"/>
    <n v="5.0999999999999996"/>
    <x v="2"/>
    <n v="5"/>
    <n v="7"/>
    <n v="998648"/>
    <n v="394210"/>
    <n v="604438"/>
    <n v="39"/>
    <n v="61"/>
    <n v="7.4"/>
  </r>
  <r>
    <x v="13"/>
    <x v="13"/>
    <d v="2021-07-01T00:00:00"/>
    <s v="NA"/>
    <n v="0"/>
    <n v="45"/>
    <s v="41-60"/>
    <x v="0"/>
    <x v="4"/>
    <x v="3"/>
    <x v="0"/>
    <n v="1"/>
    <n v="1"/>
    <n v="5.0999999999999996"/>
    <x v="8"/>
    <n v="3"/>
    <n v="6"/>
    <n v="838344"/>
    <n v="326102"/>
    <n v="512242"/>
    <n v="51"/>
    <n v="65"/>
    <n v="12"/>
  </r>
  <r>
    <x v="13"/>
    <x v="13"/>
    <d v="2021-07-15T00:00:00"/>
    <s v="NA"/>
    <n v="0"/>
    <n v="66"/>
    <s v="61-80"/>
    <x v="1"/>
    <x v="12"/>
    <x v="9"/>
    <x v="3"/>
    <n v="1"/>
    <n v="1"/>
    <n v="3.5"/>
    <x v="8"/>
    <n v="4"/>
    <n v="5"/>
    <n v="994389"/>
    <n v="418789"/>
    <n v="575600"/>
    <n v="37"/>
    <n v="65"/>
    <n v="12"/>
  </r>
  <r>
    <x v="13"/>
    <x v="13"/>
    <d v="2021-04-15T00:00:00"/>
    <s v="NA"/>
    <n v="0"/>
    <n v="66"/>
    <s v="61-80"/>
    <x v="1"/>
    <x v="12"/>
    <x v="9"/>
    <x v="3"/>
    <n v="1"/>
    <n v="1"/>
    <n v="5.2"/>
    <x v="3"/>
    <n v="3"/>
    <n v="5"/>
    <n v="988368"/>
    <n v="472459"/>
    <n v="515909"/>
    <n v="39"/>
    <n v="56"/>
    <n v="12.3"/>
  </r>
  <r>
    <x v="13"/>
    <x v="13"/>
    <d v="2024-08-28T00:00:00"/>
    <s v="NA"/>
    <n v="0"/>
    <n v="23"/>
    <s v="21-40"/>
    <x v="0"/>
    <x v="6"/>
    <x v="4"/>
    <x v="1"/>
    <n v="1"/>
    <n v="1"/>
    <n v="1.2"/>
    <x v="18"/>
    <n v="4"/>
    <n v="4"/>
    <n v="964590"/>
    <n v="360654"/>
    <n v="603936"/>
    <n v="31"/>
    <n v="54"/>
    <n v="8"/>
  </r>
  <r>
    <x v="13"/>
    <x v="13"/>
    <d v="2021-01-28T00:00:00"/>
    <s v="NA"/>
    <n v="0"/>
    <n v="47"/>
    <s v="41-60"/>
    <x v="1"/>
    <x v="8"/>
    <x v="6"/>
    <x v="1"/>
    <n v="1"/>
    <n v="1"/>
    <n v="3.1"/>
    <x v="6"/>
    <n v="7"/>
    <n v="7"/>
    <n v="838493"/>
    <n v="291842"/>
    <n v="546651"/>
    <n v="49"/>
    <n v="54"/>
    <n v="8.3000000000000007"/>
  </r>
  <r>
    <x v="13"/>
    <x v="13"/>
    <d v="2024-08-19T00:00:00"/>
    <s v="NA"/>
    <n v="0"/>
    <n v="60"/>
    <s v="41-60"/>
    <x v="0"/>
    <x v="1"/>
    <x v="1"/>
    <x v="0"/>
    <n v="1"/>
    <n v="1"/>
    <n v="5.2"/>
    <x v="1"/>
    <n v="7"/>
    <n v="3"/>
    <n v="831722"/>
    <n v="172357"/>
    <n v="659365"/>
    <n v="34"/>
    <n v="57"/>
    <n v="8.9"/>
  </r>
  <r>
    <x v="13"/>
    <x v="13"/>
    <d v="2021-03-18T00:00:00"/>
    <s v="NA"/>
    <n v="0"/>
    <n v="39"/>
    <s v="21-40"/>
    <x v="0"/>
    <x v="0"/>
    <x v="0"/>
    <x v="3"/>
    <n v="1"/>
    <n v="1"/>
    <n v="6.5"/>
    <x v="29"/>
    <n v="6"/>
    <n v="5"/>
    <n v="919187"/>
    <n v="227226"/>
    <n v="691961"/>
    <n v="51"/>
    <n v="56"/>
    <n v="14.2"/>
  </r>
  <r>
    <x v="13"/>
    <x v="13"/>
    <d v="2024-04-30T00:00:00"/>
    <s v="NA"/>
    <n v="0"/>
    <n v="27"/>
    <s v="21-40"/>
    <x v="1"/>
    <x v="2"/>
    <x v="1"/>
    <x v="3"/>
    <n v="1"/>
    <n v="1"/>
    <n v="5.0999999999999996"/>
    <x v="10"/>
    <n v="6"/>
    <n v="5"/>
    <n v="813366"/>
    <n v="255201"/>
    <n v="558165"/>
    <n v="38"/>
    <n v="56"/>
    <n v="12.5"/>
  </r>
  <r>
    <x v="13"/>
    <x v="13"/>
    <d v="2022-12-19T00:00:00"/>
    <s v="NA"/>
    <n v="0"/>
    <n v="36"/>
    <s v="21-40"/>
    <x v="0"/>
    <x v="0"/>
    <x v="0"/>
    <x v="4"/>
    <n v="1"/>
    <n v="1"/>
    <n v="3.7"/>
    <x v="30"/>
    <n v="6"/>
    <n v="6"/>
    <n v="953689"/>
    <n v="438269"/>
    <n v="515420"/>
    <n v="37"/>
    <n v="59"/>
    <n v="12.9"/>
  </r>
  <r>
    <x v="13"/>
    <x v="13"/>
    <d v="2024-08-15T00:00:00"/>
    <s v="NA"/>
    <n v="0"/>
    <n v="67"/>
    <s v="61-80"/>
    <x v="0"/>
    <x v="13"/>
    <x v="10"/>
    <x v="1"/>
    <n v="1"/>
    <n v="1"/>
    <n v="2.2000000000000002"/>
    <x v="23"/>
    <n v="5"/>
    <n v="3"/>
    <n v="898934"/>
    <n v="309637"/>
    <n v="589297"/>
    <n v="58"/>
    <n v="59"/>
    <n v="13.2"/>
  </r>
  <r>
    <x v="13"/>
    <x v="13"/>
    <d v="2021-08-13T00:00:00"/>
    <s v="NA"/>
    <n v="0"/>
    <n v="55"/>
    <s v="41-60"/>
    <x v="0"/>
    <x v="14"/>
    <x v="11"/>
    <x v="2"/>
    <n v="1"/>
    <n v="1"/>
    <n v="4.0999999999999996"/>
    <x v="14"/>
    <n v="4"/>
    <n v="3"/>
    <n v="889607"/>
    <n v="250715"/>
    <n v="638892"/>
    <n v="59"/>
    <n v="61"/>
    <n v="5.7"/>
  </r>
  <r>
    <x v="13"/>
    <x v="13"/>
    <d v="2022-05-05T00:00:00"/>
    <s v="NA"/>
    <n v="0"/>
    <n v="44"/>
    <s v="41-60"/>
    <x v="0"/>
    <x v="0"/>
    <x v="0"/>
    <x v="0"/>
    <n v="1"/>
    <n v="1"/>
    <n v="2.9"/>
    <x v="3"/>
    <n v="7"/>
    <n v="3"/>
    <n v="941618"/>
    <n v="317562"/>
    <n v="624056"/>
    <n v="55"/>
    <n v="55"/>
    <n v="12.2"/>
  </r>
  <r>
    <x v="13"/>
    <x v="13"/>
    <d v="2024-06-04T00:00:00"/>
    <s v="NA"/>
    <n v="0"/>
    <n v="31"/>
    <s v="21-40"/>
    <x v="1"/>
    <x v="3"/>
    <x v="2"/>
    <x v="0"/>
    <n v="1"/>
    <n v="1"/>
    <n v="3.7"/>
    <x v="3"/>
    <n v="4"/>
    <n v="7"/>
    <n v="936953"/>
    <n v="347440"/>
    <n v="589513"/>
    <n v="32"/>
    <n v="59"/>
    <n v="14.8"/>
  </r>
  <r>
    <x v="13"/>
    <x v="13"/>
    <d v="2024-10-15T00:00:00"/>
    <s v="NA"/>
    <n v="0"/>
    <n v="77"/>
    <s v="61-80"/>
    <x v="0"/>
    <x v="13"/>
    <x v="10"/>
    <x v="0"/>
    <n v="1"/>
    <n v="1"/>
    <n v="1.5"/>
    <x v="10"/>
    <n v="3"/>
    <n v="3"/>
    <n v="874454"/>
    <n v="243503"/>
    <n v="630951"/>
    <n v="47"/>
    <n v="64"/>
    <n v="13.9"/>
  </r>
  <r>
    <x v="13"/>
    <x v="13"/>
    <d v="2021-01-13T00:00:00"/>
    <s v="NA"/>
    <n v="0"/>
    <n v="52"/>
    <s v="41-60"/>
    <x v="0"/>
    <x v="0"/>
    <x v="0"/>
    <x v="2"/>
    <n v="1"/>
    <n v="1"/>
    <n v="2.6"/>
    <x v="9"/>
    <n v="3"/>
    <n v="6"/>
    <n v="882766"/>
    <n v="268416"/>
    <n v="614350"/>
    <n v="51"/>
    <n v="64"/>
    <n v="10.6"/>
  </r>
  <r>
    <x v="13"/>
    <x v="13"/>
    <d v="2021-10-05T00:00:00"/>
    <s v="NA"/>
    <n v="0"/>
    <n v="29"/>
    <s v="21-40"/>
    <x v="1"/>
    <x v="4"/>
    <x v="3"/>
    <x v="3"/>
    <n v="1"/>
    <n v="1"/>
    <n v="2.9"/>
    <x v="13"/>
    <n v="6"/>
    <n v="5"/>
    <n v="914120"/>
    <n v="252491"/>
    <n v="661629"/>
    <n v="52"/>
    <n v="57"/>
    <n v="5.0999999999999996"/>
  </r>
  <r>
    <x v="13"/>
    <x v="13"/>
    <d v="2024-09-29T00:00:00"/>
    <s v="NA"/>
    <n v="0"/>
    <n v="60"/>
    <s v="41-60"/>
    <x v="0"/>
    <x v="7"/>
    <x v="5"/>
    <x v="3"/>
    <n v="1"/>
    <n v="1"/>
    <n v="6"/>
    <x v="20"/>
    <n v="6"/>
    <n v="6"/>
    <n v="819130"/>
    <n v="147682"/>
    <n v="671448"/>
    <n v="42"/>
    <n v="61"/>
    <n v="36.4"/>
  </r>
  <r>
    <x v="13"/>
    <x v="13"/>
    <d v="2023-10-10T00:00:00"/>
    <s v="NA"/>
    <n v="0"/>
    <n v="33"/>
    <s v="21-40"/>
    <x v="0"/>
    <x v="0"/>
    <x v="0"/>
    <x v="1"/>
    <n v="1"/>
    <n v="1"/>
    <n v="3"/>
    <x v="29"/>
    <n v="4"/>
    <n v="5"/>
    <n v="849387"/>
    <n v="285183"/>
    <n v="564204"/>
    <n v="59"/>
    <n v="66"/>
    <n v="13.6"/>
  </r>
  <r>
    <x v="13"/>
    <x v="13"/>
    <d v="2024-06-30T00:00:00"/>
    <s v="NA"/>
    <n v="0"/>
    <n v="84"/>
    <s v="81+"/>
    <x v="1"/>
    <x v="10"/>
    <x v="8"/>
    <x v="1"/>
    <n v="1"/>
    <n v="1"/>
    <n v="4.0999999999999996"/>
    <x v="0"/>
    <n v="4"/>
    <n v="5"/>
    <n v="874635"/>
    <n v="332402"/>
    <n v="542233"/>
    <n v="36"/>
    <n v="62"/>
    <n v="14.5"/>
  </r>
  <r>
    <x v="13"/>
    <x v="13"/>
    <d v="2024-06-04T00:00:00"/>
    <s v="NA"/>
    <n v="0"/>
    <n v="35"/>
    <s v="21-40"/>
    <x v="0"/>
    <x v="14"/>
    <x v="11"/>
    <x v="2"/>
    <n v="1"/>
    <n v="1"/>
    <n v="4.0999999999999996"/>
    <x v="19"/>
    <n v="7"/>
    <n v="7"/>
    <n v="807689"/>
    <n v="269108"/>
    <n v="538581"/>
    <n v="36"/>
    <n v="57"/>
    <n v="13.8"/>
  </r>
  <r>
    <x v="13"/>
    <x v="13"/>
    <d v="2024-04-03T00:00:00"/>
    <s v="NA"/>
    <n v="0"/>
    <n v="66"/>
    <s v="61-80"/>
    <x v="1"/>
    <x v="11"/>
    <x v="8"/>
    <x v="0"/>
    <n v="1"/>
    <n v="1"/>
    <n v="3.6"/>
    <x v="20"/>
    <n v="3"/>
    <n v="7"/>
    <n v="825793"/>
    <n v="231609"/>
    <n v="594184"/>
    <n v="58"/>
    <n v="65"/>
    <n v="6.3"/>
  </r>
  <r>
    <x v="13"/>
    <x v="13"/>
    <d v="2024-09-11T00:00:00"/>
    <s v="NA"/>
    <n v="0"/>
    <n v="76"/>
    <s v="61-80"/>
    <x v="1"/>
    <x v="8"/>
    <x v="6"/>
    <x v="4"/>
    <n v="1"/>
    <n v="1"/>
    <n v="4"/>
    <x v="28"/>
    <n v="3"/>
    <n v="6"/>
    <n v="936120"/>
    <n v="275605"/>
    <n v="660515"/>
    <n v="59"/>
    <n v="54"/>
    <n v="12.1"/>
  </r>
  <r>
    <x v="13"/>
    <x v="13"/>
    <d v="2021-10-03T00:00:00"/>
    <s v="NA"/>
    <n v="0"/>
    <n v="40"/>
    <s v="21-40"/>
    <x v="0"/>
    <x v="0"/>
    <x v="0"/>
    <x v="4"/>
    <n v="1"/>
    <n v="1"/>
    <n v="5.4"/>
    <x v="10"/>
    <n v="7"/>
    <n v="6"/>
    <n v="953856"/>
    <n v="438510"/>
    <n v="515346"/>
    <n v="55"/>
    <n v="60"/>
    <n v="14.6"/>
  </r>
  <r>
    <x v="13"/>
    <x v="13"/>
    <d v="2023-05-09T00:00:00"/>
    <s v="NA"/>
    <n v="0"/>
    <n v="64"/>
    <s v="61-80"/>
    <x v="0"/>
    <x v="7"/>
    <x v="5"/>
    <x v="3"/>
    <n v="1"/>
    <n v="1"/>
    <n v="4.2"/>
    <x v="28"/>
    <n v="5"/>
    <n v="5"/>
    <n v="963631"/>
    <n v="327571"/>
    <n v="636060"/>
    <n v="51"/>
    <n v="55"/>
    <n v="7.5"/>
  </r>
  <r>
    <x v="13"/>
    <x v="13"/>
    <d v="2021-12-19T00:00:00"/>
    <s v="NA"/>
    <n v="0"/>
    <n v="43"/>
    <s v="41-60"/>
    <x v="1"/>
    <x v="8"/>
    <x v="6"/>
    <x v="0"/>
    <n v="1"/>
    <n v="1"/>
    <n v="1.9"/>
    <x v="24"/>
    <n v="7"/>
    <n v="7"/>
    <n v="840329"/>
    <n v="294775"/>
    <n v="545554"/>
    <n v="46"/>
    <n v="62"/>
    <n v="6.6"/>
  </r>
  <r>
    <x v="13"/>
    <x v="13"/>
    <d v="2023-11-07T00:00:00"/>
    <s v="NA"/>
    <n v="0"/>
    <n v="47"/>
    <s v="41-60"/>
    <x v="1"/>
    <x v="12"/>
    <x v="9"/>
    <x v="4"/>
    <n v="1"/>
    <n v="1"/>
    <n v="5.8"/>
    <x v="25"/>
    <n v="4"/>
    <n v="4"/>
    <n v="815454"/>
    <n v="245864"/>
    <n v="569590"/>
    <n v="50"/>
    <n v="61"/>
    <n v="8.5"/>
  </r>
  <r>
    <x v="13"/>
    <x v="13"/>
    <d v="2024-11-06T00:00:00"/>
    <s v="NA"/>
    <n v="0"/>
    <n v="75"/>
    <s v="61-80"/>
    <x v="0"/>
    <x v="0"/>
    <x v="0"/>
    <x v="3"/>
    <n v="1"/>
    <n v="1"/>
    <n v="1.1000000000000001"/>
    <x v="17"/>
    <n v="5"/>
    <n v="3"/>
    <n v="823781"/>
    <n v="314132"/>
    <n v="509649"/>
    <n v="52"/>
    <n v="57"/>
    <n v="6.4"/>
  </r>
  <r>
    <x v="13"/>
    <x v="13"/>
    <d v="2021-11-23T00:00:00"/>
    <s v="NA"/>
    <n v="0"/>
    <n v="75"/>
    <s v="61-80"/>
    <x v="0"/>
    <x v="10"/>
    <x v="8"/>
    <x v="4"/>
    <n v="1"/>
    <n v="1"/>
    <n v="5.7"/>
    <x v="25"/>
    <n v="7"/>
    <n v="5"/>
    <n v="806849"/>
    <n v="159583"/>
    <n v="647266"/>
    <n v="50"/>
    <n v="65"/>
    <n v="36.799999999999997"/>
  </r>
  <r>
    <x v="13"/>
    <x v="13"/>
    <d v="2022-08-06T00:00:00"/>
    <s v="NA"/>
    <n v="0"/>
    <n v="51"/>
    <s v="41-60"/>
    <x v="0"/>
    <x v="2"/>
    <x v="1"/>
    <x v="0"/>
    <n v="1"/>
    <n v="1"/>
    <n v="4.3"/>
    <x v="3"/>
    <n v="4"/>
    <n v="5"/>
    <n v="937712"/>
    <n v="293555"/>
    <n v="644157"/>
    <n v="47"/>
    <n v="58"/>
    <n v="36.200000000000003"/>
  </r>
  <r>
    <x v="13"/>
    <x v="13"/>
    <d v="2021-12-09T00:00:00"/>
    <s v="NA"/>
    <n v="0"/>
    <n v="89"/>
    <s v="81+"/>
    <x v="1"/>
    <x v="11"/>
    <x v="8"/>
    <x v="0"/>
    <n v="1"/>
    <n v="1"/>
    <n v="3.7"/>
    <x v="15"/>
    <n v="3"/>
    <n v="5"/>
    <n v="936967"/>
    <n v="410062"/>
    <n v="526905"/>
    <n v="34"/>
    <n v="54"/>
    <n v="12.6"/>
  </r>
  <r>
    <x v="13"/>
    <x v="13"/>
    <d v="2023-01-21T00:00:00"/>
    <s v="NA"/>
    <n v="0"/>
    <n v="75"/>
    <s v="61-80"/>
    <x v="0"/>
    <x v="13"/>
    <x v="10"/>
    <x v="4"/>
    <n v="1"/>
    <n v="1"/>
    <n v="2.9"/>
    <x v="9"/>
    <n v="5"/>
    <n v="6"/>
    <n v="855088"/>
    <n v="218505"/>
    <n v="636583"/>
    <n v="52"/>
    <n v="63"/>
    <n v="12.3"/>
  </r>
  <r>
    <x v="13"/>
    <x v="13"/>
    <d v="2023-03-14T00:00:00"/>
    <s v="NA"/>
    <n v="0"/>
    <n v="85"/>
    <s v="81+"/>
    <x v="0"/>
    <x v="2"/>
    <x v="1"/>
    <x v="1"/>
    <n v="1"/>
    <n v="1"/>
    <n v="4.8"/>
    <x v="25"/>
    <n v="6"/>
    <n v="5"/>
    <n v="806082"/>
    <n v="214684"/>
    <n v="591398"/>
    <n v="37"/>
    <n v="55"/>
    <n v="7.6"/>
  </r>
  <r>
    <x v="13"/>
    <x v="13"/>
    <d v="2022-09-13T00:00:00"/>
    <s v="NA"/>
    <n v="0"/>
    <n v="38"/>
    <s v="21-40"/>
    <x v="0"/>
    <x v="0"/>
    <x v="0"/>
    <x v="3"/>
    <n v="1"/>
    <n v="1"/>
    <n v="4.8"/>
    <x v="29"/>
    <n v="5"/>
    <n v="6"/>
    <n v="899820"/>
    <n v="339199"/>
    <n v="560621"/>
    <n v="53"/>
    <n v="65"/>
    <n v="10.8"/>
  </r>
  <r>
    <x v="13"/>
    <x v="13"/>
    <d v="2022-03-04T00:00:00"/>
    <s v="NA"/>
    <n v="0"/>
    <n v="78"/>
    <s v="61-80"/>
    <x v="1"/>
    <x v="4"/>
    <x v="3"/>
    <x v="4"/>
    <n v="1"/>
    <n v="1"/>
    <n v="3.7"/>
    <x v="4"/>
    <n v="5"/>
    <n v="3"/>
    <n v="845444"/>
    <n v="181816"/>
    <n v="663628"/>
    <n v="56"/>
    <n v="66"/>
    <n v="36"/>
  </r>
  <r>
    <x v="13"/>
    <x v="13"/>
    <d v="2023-07-17T00:00:00"/>
    <s v="NA"/>
    <n v="0"/>
    <n v="85"/>
    <s v="81+"/>
    <x v="0"/>
    <x v="1"/>
    <x v="1"/>
    <x v="4"/>
    <n v="1"/>
    <n v="1"/>
    <n v="2.5"/>
    <x v="3"/>
    <n v="4"/>
    <n v="3"/>
    <n v="835246"/>
    <n v="136568"/>
    <n v="698678"/>
    <n v="51"/>
    <n v="55"/>
    <n v="6.4"/>
  </r>
  <r>
    <x v="13"/>
    <x v="13"/>
    <d v="2023-11-05T00:00:00"/>
    <s v="NA"/>
    <n v="0"/>
    <n v="56"/>
    <s v="41-60"/>
    <x v="0"/>
    <x v="0"/>
    <x v="0"/>
    <x v="4"/>
    <n v="1"/>
    <n v="1"/>
    <n v="6"/>
    <x v="27"/>
    <n v="3"/>
    <n v="5"/>
    <n v="856380"/>
    <n v="158167"/>
    <n v="698213"/>
    <n v="52"/>
    <n v="61"/>
    <n v="10.8"/>
  </r>
  <r>
    <x v="13"/>
    <x v="13"/>
    <d v="2021-03-05T00:00:00"/>
    <s v="NA"/>
    <n v="0"/>
    <n v="28"/>
    <s v="21-40"/>
    <x v="0"/>
    <x v="0"/>
    <x v="0"/>
    <x v="1"/>
    <n v="1"/>
    <n v="1"/>
    <n v="5.7"/>
    <x v="10"/>
    <n v="7"/>
    <n v="6"/>
    <n v="895646"/>
    <n v="350784"/>
    <n v="544862"/>
    <n v="43"/>
    <n v="59"/>
    <n v="9.5"/>
  </r>
  <r>
    <x v="13"/>
    <x v="13"/>
    <d v="2022-06-20T00:00:00"/>
    <s v="NA"/>
    <n v="0"/>
    <n v="24"/>
    <s v="21-40"/>
    <x v="1"/>
    <x v="11"/>
    <x v="8"/>
    <x v="4"/>
    <n v="1"/>
    <n v="1"/>
    <n v="1.1000000000000001"/>
    <x v="9"/>
    <n v="4"/>
    <n v="3"/>
    <n v="936047"/>
    <n v="357995"/>
    <n v="578052"/>
    <n v="50"/>
    <n v="63"/>
    <n v="6.9"/>
  </r>
  <r>
    <x v="13"/>
    <x v="13"/>
    <d v="2021-03-06T00:00:00"/>
    <s v="NA"/>
    <n v="0"/>
    <n v="63"/>
    <s v="61-80"/>
    <x v="1"/>
    <x v="6"/>
    <x v="4"/>
    <x v="0"/>
    <n v="1"/>
    <n v="1"/>
    <n v="4.5"/>
    <x v="30"/>
    <n v="7"/>
    <n v="5"/>
    <n v="957580"/>
    <n v="315363"/>
    <n v="642217"/>
    <n v="43"/>
    <n v="55"/>
    <n v="10"/>
  </r>
  <r>
    <x v="13"/>
    <x v="13"/>
    <d v="2022-11-13T00:00:00"/>
    <s v="NA"/>
    <n v="0"/>
    <n v="29"/>
    <s v="21-40"/>
    <x v="0"/>
    <x v="1"/>
    <x v="1"/>
    <x v="1"/>
    <n v="1"/>
    <n v="1"/>
    <n v="5.9"/>
    <x v="14"/>
    <n v="3"/>
    <n v="7"/>
    <n v="849060"/>
    <n v="152727"/>
    <n v="696333"/>
    <n v="47"/>
    <n v="60"/>
    <n v="36.9"/>
  </r>
  <r>
    <x v="13"/>
    <x v="13"/>
    <d v="2024-03-12T00:00:00"/>
    <s v="NA"/>
    <n v="0"/>
    <n v="25"/>
    <s v="21-40"/>
    <x v="0"/>
    <x v="0"/>
    <x v="0"/>
    <x v="2"/>
    <n v="1"/>
    <n v="1"/>
    <n v="5.6"/>
    <x v="17"/>
    <n v="7"/>
    <n v="6"/>
    <n v="866301"/>
    <n v="327681"/>
    <n v="538620"/>
    <n v="43"/>
    <n v="59"/>
    <n v="8.8000000000000007"/>
  </r>
  <r>
    <x v="13"/>
    <x v="13"/>
    <d v="2021-08-04T00:00:00"/>
    <s v="NA"/>
    <n v="0"/>
    <n v="74"/>
    <s v="61-80"/>
    <x v="0"/>
    <x v="5"/>
    <x v="0"/>
    <x v="2"/>
    <n v="1"/>
    <n v="1"/>
    <n v="1"/>
    <x v="18"/>
    <n v="7"/>
    <n v="6"/>
    <n v="807983"/>
    <n v="283546"/>
    <n v="524437"/>
    <n v="31"/>
    <n v="66"/>
    <n v="13.1"/>
  </r>
  <r>
    <x v="13"/>
    <x v="13"/>
    <d v="2021-03-11T00:00:00"/>
    <s v="NA"/>
    <n v="0"/>
    <n v="75"/>
    <s v="61-80"/>
    <x v="1"/>
    <x v="2"/>
    <x v="1"/>
    <x v="1"/>
    <n v="1"/>
    <n v="1"/>
    <n v="1.9"/>
    <x v="1"/>
    <n v="4"/>
    <n v="3"/>
    <n v="870983"/>
    <n v="279036"/>
    <n v="591947"/>
    <n v="37"/>
    <n v="55"/>
    <n v="5.0999999999999996"/>
  </r>
  <r>
    <x v="10"/>
    <x v="10"/>
    <d v="2021-08-07T00:00:00"/>
    <s v="NA"/>
    <n v="0"/>
    <n v="76"/>
    <s v="61-80"/>
    <x v="0"/>
    <x v="5"/>
    <x v="0"/>
    <x v="2"/>
    <n v="1"/>
    <n v="1"/>
    <n v="1.9"/>
    <x v="28"/>
    <n v="3"/>
    <n v="3"/>
    <n v="569202"/>
    <n v="222660"/>
    <n v="346542"/>
    <n v="17"/>
    <n v="59"/>
    <n v="10.9"/>
  </r>
  <r>
    <x v="13"/>
    <x v="13"/>
    <d v="2023-08-21T00:00:00"/>
    <s v="NA"/>
    <n v="0"/>
    <n v="22"/>
    <s v="21-40"/>
    <x v="0"/>
    <x v="0"/>
    <x v="0"/>
    <x v="0"/>
    <n v="1"/>
    <n v="1"/>
    <n v="6.2"/>
    <x v="4"/>
    <n v="6"/>
    <n v="5"/>
    <n v="973121"/>
    <n v="385392"/>
    <n v="587729"/>
    <n v="38"/>
    <n v="56"/>
    <n v="6.1"/>
  </r>
  <r>
    <x v="13"/>
    <x v="13"/>
    <d v="2024-04-06T00:00:00"/>
    <s v="NA"/>
    <n v="0"/>
    <n v="86"/>
    <s v="81+"/>
    <x v="1"/>
    <x v="3"/>
    <x v="2"/>
    <x v="2"/>
    <n v="1"/>
    <n v="1"/>
    <n v="2.4"/>
    <x v="4"/>
    <n v="6"/>
    <n v="4"/>
    <n v="944828"/>
    <n v="358930"/>
    <n v="585898"/>
    <n v="57"/>
    <n v="60"/>
    <n v="14.6"/>
  </r>
  <r>
    <x v="13"/>
    <x v="13"/>
    <d v="2024-04-15T00:00:00"/>
    <s v="NA"/>
    <n v="0"/>
    <n v="54"/>
    <s v="41-60"/>
    <x v="1"/>
    <x v="8"/>
    <x v="6"/>
    <x v="1"/>
    <n v="1"/>
    <n v="1"/>
    <n v="5.7"/>
    <x v="22"/>
    <n v="7"/>
    <n v="6"/>
    <n v="912266"/>
    <n v="264468"/>
    <n v="647798"/>
    <n v="51"/>
    <n v="58"/>
    <n v="12"/>
  </r>
  <r>
    <x v="13"/>
    <x v="13"/>
    <d v="2023-04-15T00:00:00"/>
    <s v="NA"/>
    <n v="0"/>
    <n v="27"/>
    <s v="21-40"/>
    <x v="0"/>
    <x v="0"/>
    <x v="0"/>
    <x v="4"/>
    <n v="1"/>
    <n v="1"/>
    <n v="4.8"/>
    <x v="29"/>
    <n v="5"/>
    <n v="5"/>
    <n v="860108"/>
    <n v="305346"/>
    <n v="554762"/>
    <n v="30"/>
    <n v="63"/>
    <n v="36.700000000000003"/>
  </r>
  <r>
    <x v="10"/>
    <x v="10"/>
    <d v="2021-02-26T00:00:00"/>
    <s v="NA"/>
    <n v="0"/>
    <n v="31"/>
    <s v="21-40"/>
    <x v="1"/>
    <x v="11"/>
    <x v="8"/>
    <x v="3"/>
    <n v="1"/>
    <n v="1"/>
    <n v="1.8"/>
    <x v="27"/>
    <n v="5"/>
    <n v="7"/>
    <n v="501204"/>
    <n v="122397"/>
    <n v="378807"/>
    <n v="21"/>
    <n v="63"/>
    <n v="6.1"/>
  </r>
  <r>
    <x v="13"/>
    <x v="13"/>
    <d v="2021-11-05T00:00:00"/>
    <s v="NA"/>
    <n v="0"/>
    <n v="47"/>
    <s v="41-60"/>
    <x v="1"/>
    <x v="2"/>
    <x v="1"/>
    <x v="3"/>
    <n v="1"/>
    <n v="1"/>
    <n v="2.9"/>
    <x v="10"/>
    <n v="4"/>
    <n v="4"/>
    <n v="820126"/>
    <n v="191423"/>
    <n v="628703"/>
    <n v="39"/>
    <n v="64"/>
    <n v="5.6"/>
  </r>
  <r>
    <x v="13"/>
    <x v="13"/>
    <d v="2022-06-09T00:00:00"/>
    <s v="NA"/>
    <n v="0"/>
    <n v="36"/>
    <s v="21-40"/>
    <x v="1"/>
    <x v="10"/>
    <x v="8"/>
    <x v="1"/>
    <n v="1"/>
    <n v="1"/>
    <n v="3.1"/>
    <x v="17"/>
    <n v="7"/>
    <n v="4"/>
    <n v="949835"/>
    <n v="314782"/>
    <n v="635053"/>
    <n v="40"/>
    <n v="56"/>
    <n v="6.5"/>
  </r>
  <r>
    <x v="13"/>
    <x v="13"/>
    <d v="2023-02-27T00:00:00"/>
    <s v="NA"/>
    <n v="0"/>
    <n v="39"/>
    <s v="21-40"/>
    <x v="1"/>
    <x v="12"/>
    <x v="9"/>
    <x v="2"/>
    <n v="1"/>
    <n v="1"/>
    <n v="6.5"/>
    <x v="23"/>
    <n v="3"/>
    <n v="4"/>
    <n v="844762"/>
    <n v="292371"/>
    <n v="552391"/>
    <n v="48"/>
    <n v="59"/>
    <n v="12.3"/>
  </r>
  <r>
    <x v="13"/>
    <x v="13"/>
    <d v="2022-12-09T00:00:00"/>
    <s v="NA"/>
    <n v="0"/>
    <n v="34"/>
    <s v="21-40"/>
    <x v="1"/>
    <x v="11"/>
    <x v="8"/>
    <x v="3"/>
    <n v="1"/>
    <n v="1"/>
    <n v="1.1000000000000001"/>
    <x v="20"/>
    <n v="7"/>
    <n v="3"/>
    <n v="970521"/>
    <n v="310535"/>
    <n v="659986"/>
    <n v="41"/>
    <n v="59"/>
    <n v="9.1999999999999993"/>
  </r>
  <r>
    <x v="13"/>
    <x v="13"/>
    <d v="2021-10-03T00:00:00"/>
    <s v="NA"/>
    <n v="0"/>
    <n v="88"/>
    <s v="81+"/>
    <x v="0"/>
    <x v="7"/>
    <x v="5"/>
    <x v="4"/>
    <n v="1"/>
    <n v="1"/>
    <n v="6.8"/>
    <x v="29"/>
    <n v="4"/>
    <n v="4"/>
    <n v="845626"/>
    <n v="282804"/>
    <n v="562822"/>
    <n v="53"/>
    <n v="66"/>
    <n v="13.1"/>
  </r>
  <r>
    <x v="13"/>
    <x v="13"/>
    <d v="2021-04-15T00:00:00"/>
    <s v="NA"/>
    <n v="0"/>
    <n v="68"/>
    <s v="61-80"/>
    <x v="1"/>
    <x v="3"/>
    <x v="2"/>
    <x v="2"/>
    <n v="1"/>
    <n v="1"/>
    <n v="6.1"/>
    <x v="3"/>
    <n v="4"/>
    <n v="4"/>
    <n v="854822"/>
    <n v="288029"/>
    <n v="566793"/>
    <n v="60"/>
    <n v="65"/>
    <n v="36.799999999999997"/>
  </r>
  <r>
    <x v="13"/>
    <x v="13"/>
    <d v="2024-09-22T00:00:00"/>
    <s v="NA"/>
    <n v="0"/>
    <n v="83"/>
    <s v="81+"/>
    <x v="0"/>
    <x v="7"/>
    <x v="5"/>
    <x v="0"/>
    <n v="1"/>
    <n v="1"/>
    <n v="6.4"/>
    <x v="27"/>
    <n v="3"/>
    <n v="5"/>
    <n v="973573"/>
    <n v="387954"/>
    <n v="585619"/>
    <n v="43"/>
    <n v="64"/>
    <n v="12.6"/>
  </r>
  <r>
    <x v="13"/>
    <x v="13"/>
    <d v="2024-11-09T00:00:00"/>
    <s v="NA"/>
    <n v="0"/>
    <n v="33"/>
    <s v="21-40"/>
    <x v="0"/>
    <x v="7"/>
    <x v="5"/>
    <x v="2"/>
    <n v="1"/>
    <n v="1"/>
    <n v="2.9"/>
    <x v="30"/>
    <n v="3"/>
    <n v="3"/>
    <n v="854736"/>
    <n v="258816"/>
    <n v="595920"/>
    <n v="52"/>
    <n v="56"/>
    <n v="36.1"/>
  </r>
  <r>
    <x v="13"/>
    <x v="13"/>
    <d v="2021-06-09T00:00:00"/>
    <s v="NA"/>
    <n v="0"/>
    <n v="45"/>
    <s v="41-60"/>
    <x v="1"/>
    <x v="9"/>
    <x v="7"/>
    <x v="4"/>
    <n v="1"/>
    <n v="1"/>
    <n v="5.2"/>
    <x v="9"/>
    <n v="4"/>
    <n v="7"/>
    <n v="936272"/>
    <n v="294613"/>
    <n v="641659"/>
    <n v="41"/>
    <n v="59"/>
    <n v="8.6999999999999993"/>
  </r>
  <r>
    <x v="13"/>
    <x v="13"/>
    <d v="2024-11-28T00:00:00"/>
    <s v="NA"/>
    <n v="0"/>
    <n v="37"/>
    <s v="21-40"/>
    <x v="1"/>
    <x v="12"/>
    <x v="9"/>
    <x v="0"/>
    <n v="1"/>
    <n v="1"/>
    <n v="5.7"/>
    <x v="24"/>
    <n v="7"/>
    <n v="4"/>
    <n v="934139"/>
    <n v="311527"/>
    <n v="622612"/>
    <n v="52"/>
    <n v="54"/>
    <n v="10.6"/>
  </r>
  <r>
    <x v="13"/>
    <x v="13"/>
    <d v="2022-08-04T00:00:00"/>
    <s v="NA"/>
    <n v="0"/>
    <n v="25"/>
    <s v="21-40"/>
    <x v="0"/>
    <x v="0"/>
    <x v="0"/>
    <x v="3"/>
    <n v="1"/>
    <n v="1"/>
    <n v="4.2"/>
    <x v="14"/>
    <n v="7"/>
    <n v="4"/>
    <n v="931740"/>
    <n v="355968"/>
    <n v="575772"/>
    <n v="49"/>
    <n v="59"/>
    <n v="8.5"/>
  </r>
  <r>
    <x v="13"/>
    <x v="13"/>
    <d v="2024-11-16T00:00:00"/>
    <s v="NA"/>
    <n v="0"/>
    <n v="36"/>
    <s v="21-40"/>
    <x v="0"/>
    <x v="7"/>
    <x v="5"/>
    <x v="4"/>
    <n v="1"/>
    <n v="1"/>
    <n v="3.6"/>
    <x v="6"/>
    <n v="6"/>
    <n v="7"/>
    <n v="836024"/>
    <n v="177454"/>
    <n v="658570"/>
    <n v="41"/>
    <n v="60"/>
    <n v="6.5"/>
  </r>
  <r>
    <x v="13"/>
    <x v="13"/>
    <d v="2024-12-12T00:00:00"/>
    <s v="NA"/>
    <n v="0"/>
    <n v="25"/>
    <s v="21-40"/>
    <x v="1"/>
    <x v="6"/>
    <x v="4"/>
    <x v="4"/>
    <n v="1"/>
    <n v="1"/>
    <n v="5.4"/>
    <x v="23"/>
    <n v="6"/>
    <n v="3"/>
    <n v="936642"/>
    <n v="372279"/>
    <n v="564363"/>
    <n v="59"/>
    <n v="58"/>
    <n v="8.1999999999999993"/>
  </r>
  <r>
    <x v="13"/>
    <x v="13"/>
    <d v="2023-02-07T00:00:00"/>
    <s v="NA"/>
    <n v="0"/>
    <n v="72"/>
    <s v="61-80"/>
    <x v="0"/>
    <x v="0"/>
    <x v="0"/>
    <x v="1"/>
    <n v="1"/>
    <n v="1"/>
    <n v="3.7"/>
    <x v="24"/>
    <n v="3"/>
    <n v="5"/>
    <n v="992840"/>
    <n v="385461"/>
    <n v="607379"/>
    <n v="39"/>
    <n v="63"/>
    <n v="6.5"/>
  </r>
  <r>
    <x v="13"/>
    <x v="13"/>
    <d v="2022-04-13T00:00:00"/>
    <s v="NA"/>
    <n v="0"/>
    <n v="44"/>
    <s v="41-60"/>
    <x v="0"/>
    <x v="5"/>
    <x v="0"/>
    <x v="1"/>
    <n v="1"/>
    <n v="1"/>
    <n v="6.1"/>
    <x v="23"/>
    <n v="6"/>
    <n v="6"/>
    <n v="846969"/>
    <n v="309794"/>
    <n v="537175"/>
    <n v="33"/>
    <n v="56"/>
    <n v="36"/>
  </r>
  <r>
    <x v="13"/>
    <x v="13"/>
    <d v="2022-06-15T00:00:00"/>
    <s v="NA"/>
    <n v="0"/>
    <n v="43"/>
    <s v="41-60"/>
    <x v="0"/>
    <x v="7"/>
    <x v="5"/>
    <x v="3"/>
    <n v="1"/>
    <n v="1"/>
    <n v="6.8"/>
    <x v="28"/>
    <n v="5"/>
    <n v="7"/>
    <n v="825540"/>
    <n v="125957"/>
    <n v="699583"/>
    <n v="43"/>
    <n v="65"/>
    <n v="12.8"/>
  </r>
  <r>
    <x v="13"/>
    <x v="13"/>
    <d v="2024-09-30T00:00:00"/>
    <s v="NA"/>
    <n v="0"/>
    <n v="51"/>
    <s v="41-60"/>
    <x v="0"/>
    <x v="4"/>
    <x v="3"/>
    <x v="2"/>
    <n v="1"/>
    <n v="1"/>
    <n v="4.7"/>
    <x v="20"/>
    <n v="6"/>
    <n v="5"/>
    <n v="999243"/>
    <n v="299562"/>
    <n v="699681"/>
    <n v="34"/>
    <n v="65"/>
    <n v="15"/>
  </r>
  <r>
    <x v="13"/>
    <x v="13"/>
    <d v="2022-07-02T00:00:00"/>
    <s v="NA"/>
    <n v="0"/>
    <n v="30"/>
    <s v="21-40"/>
    <x v="1"/>
    <x v="3"/>
    <x v="2"/>
    <x v="1"/>
    <n v="1"/>
    <n v="1"/>
    <n v="1.7"/>
    <x v="1"/>
    <n v="7"/>
    <n v="3"/>
    <n v="857309"/>
    <n v="186472"/>
    <n v="670837"/>
    <n v="55"/>
    <n v="57"/>
    <n v="8.3000000000000007"/>
  </r>
  <r>
    <x v="13"/>
    <x v="13"/>
    <d v="2023-11-25T00:00:00"/>
    <s v="NA"/>
    <n v="0"/>
    <n v="43"/>
    <s v="41-60"/>
    <x v="0"/>
    <x v="5"/>
    <x v="0"/>
    <x v="3"/>
    <n v="1"/>
    <n v="1"/>
    <n v="2.2000000000000002"/>
    <x v="12"/>
    <n v="3"/>
    <n v="3"/>
    <n v="879675"/>
    <n v="265957"/>
    <n v="613718"/>
    <n v="48"/>
    <n v="56"/>
    <n v="12.1"/>
  </r>
  <r>
    <x v="13"/>
    <x v="13"/>
    <d v="2023-10-21T00:00:00"/>
    <s v="NA"/>
    <n v="0"/>
    <n v="29"/>
    <s v="21-40"/>
    <x v="0"/>
    <x v="0"/>
    <x v="0"/>
    <x v="4"/>
    <n v="1"/>
    <n v="1"/>
    <n v="3.7"/>
    <x v="29"/>
    <n v="6"/>
    <n v="6"/>
    <n v="913284"/>
    <n v="400588"/>
    <n v="512696"/>
    <n v="57"/>
    <n v="55"/>
    <n v="10.5"/>
  </r>
  <r>
    <x v="13"/>
    <x v="13"/>
    <d v="2024-04-05T00:00:00"/>
    <s v="NA"/>
    <n v="0"/>
    <n v="44"/>
    <s v="41-60"/>
    <x v="0"/>
    <x v="2"/>
    <x v="1"/>
    <x v="3"/>
    <n v="1"/>
    <n v="1"/>
    <n v="4"/>
    <x v="23"/>
    <n v="7"/>
    <n v="5"/>
    <n v="817306"/>
    <n v="227203"/>
    <n v="590103"/>
    <n v="32"/>
    <n v="62"/>
    <n v="36.4"/>
  </r>
  <r>
    <x v="13"/>
    <x v="13"/>
    <d v="2021-06-04T00:00:00"/>
    <s v="NA"/>
    <n v="0"/>
    <n v="43"/>
    <s v="41-60"/>
    <x v="1"/>
    <x v="10"/>
    <x v="8"/>
    <x v="1"/>
    <n v="1"/>
    <n v="1"/>
    <n v="4.4000000000000004"/>
    <x v="11"/>
    <n v="5"/>
    <n v="5"/>
    <n v="831827"/>
    <n v="142751"/>
    <n v="689076"/>
    <n v="41"/>
    <n v="66"/>
    <n v="14.1"/>
  </r>
  <r>
    <x v="0"/>
    <x v="0"/>
    <d v="2022-02-05T00:00:00"/>
    <s v="NA"/>
    <n v="0"/>
    <n v="61"/>
    <s v="61-80"/>
    <x v="0"/>
    <x v="6"/>
    <x v="4"/>
    <x v="4"/>
    <n v="1"/>
    <n v="1"/>
    <n v="1.9"/>
    <x v="28"/>
    <n v="7"/>
    <n v="7"/>
    <n v="757807"/>
    <n v="366710"/>
    <n v="391097"/>
    <n v="40"/>
    <n v="66"/>
    <n v="6.7"/>
  </r>
  <r>
    <x v="13"/>
    <x v="13"/>
    <d v="2022-09-19T00:00:00"/>
    <s v="NA"/>
    <n v="0"/>
    <n v="46"/>
    <s v="41-60"/>
    <x v="1"/>
    <x v="13"/>
    <x v="10"/>
    <x v="3"/>
    <n v="1"/>
    <n v="1"/>
    <n v="1.6"/>
    <x v="10"/>
    <n v="5"/>
    <n v="6"/>
    <n v="965258"/>
    <n v="268019"/>
    <n v="697239"/>
    <n v="45"/>
    <n v="62"/>
    <n v="7.5"/>
  </r>
  <r>
    <x v="13"/>
    <x v="13"/>
    <d v="2023-10-25T00:00:00"/>
    <s v="NA"/>
    <n v="0"/>
    <n v="37"/>
    <s v="21-40"/>
    <x v="0"/>
    <x v="0"/>
    <x v="0"/>
    <x v="3"/>
    <n v="1"/>
    <n v="1"/>
    <n v="2.4"/>
    <x v="19"/>
    <n v="7"/>
    <n v="7"/>
    <n v="902635"/>
    <n v="359056"/>
    <n v="543579"/>
    <n v="43"/>
    <n v="63"/>
    <n v="6.5"/>
  </r>
  <r>
    <x v="13"/>
    <x v="13"/>
    <d v="2022-11-29T00:00:00"/>
    <s v="NA"/>
    <n v="0"/>
    <n v="49"/>
    <s v="41-60"/>
    <x v="0"/>
    <x v="0"/>
    <x v="0"/>
    <x v="1"/>
    <n v="1"/>
    <n v="1"/>
    <n v="6.6"/>
    <x v="2"/>
    <n v="7"/>
    <n v="3"/>
    <n v="923690"/>
    <n v="278888"/>
    <n v="644802"/>
    <n v="34"/>
    <n v="62"/>
    <n v="13.5"/>
  </r>
  <r>
    <x v="13"/>
    <x v="13"/>
    <d v="2022-11-18T00:00:00"/>
    <s v="NA"/>
    <n v="0"/>
    <n v="84"/>
    <s v="81+"/>
    <x v="0"/>
    <x v="0"/>
    <x v="0"/>
    <x v="2"/>
    <n v="1"/>
    <n v="1"/>
    <n v="3.2"/>
    <x v="22"/>
    <n v="4"/>
    <n v="6"/>
    <n v="877204"/>
    <n v="352132"/>
    <n v="525072"/>
    <n v="46"/>
    <n v="60"/>
    <n v="7.8"/>
  </r>
  <r>
    <x v="13"/>
    <x v="13"/>
    <d v="2024-01-26T00:00:00"/>
    <s v="NA"/>
    <n v="0"/>
    <n v="67"/>
    <s v="61-80"/>
    <x v="0"/>
    <x v="0"/>
    <x v="0"/>
    <x v="0"/>
    <n v="1"/>
    <n v="1"/>
    <n v="2.2000000000000002"/>
    <x v="26"/>
    <n v="6"/>
    <n v="7"/>
    <n v="981063"/>
    <n v="421516"/>
    <n v="559547"/>
    <n v="59"/>
    <n v="57"/>
    <n v="14.8"/>
  </r>
  <r>
    <x v="13"/>
    <x v="13"/>
    <d v="2021-11-03T00:00:00"/>
    <s v="NA"/>
    <n v="0"/>
    <n v="35"/>
    <s v="21-40"/>
    <x v="0"/>
    <x v="0"/>
    <x v="0"/>
    <x v="1"/>
    <n v="1"/>
    <n v="1"/>
    <n v="3.7"/>
    <x v="12"/>
    <n v="4"/>
    <n v="6"/>
    <n v="943401"/>
    <n v="270393"/>
    <n v="673008"/>
    <n v="60"/>
    <n v="66"/>
    <n v="14.3"/>
  </r>
  <r>
    <x v="0"/>
    <x v="0"/>
    <d v="2024-06-18T00:00:00"/>
    <s v="NA"/>
    <n v="0"/>
    <n v="40"/>
    <s v="21-40"/>
    <x v="1"/>
    <x v="3"/>
    <x v="2"/>
    <x v="3"/>
    <n v="1"/>
    <n v="1"/>
    <n v="3.4"/>
    <x v="9"/>
    <n v="6"/>
    <n v="5"/>
    <n v="876920"/>
    <n v="549927"/>
    <n v="326993"/>
    <n v="37"/>
    <n v="55"/>
    <n v="8.3000000000000007"/>
  </r>
  <r>
    <x v="0"/>
    <x v="0"/>
    <d v="2024-05-24T00:00:00"/>
    <s v="NA"/>
    <n v="0"/>
    <n v="37"/>
    <s v="21-40"/>
    <x v="1"/>
    <x v="4"/>
    <x v="3"/>
    <x v="3"/>
    <n v="1"/>
    <n v="1"/>
    <n v="3.2"/>
    <x v="16"/>
    <n v="3"/>
    <n v="4"/>
    <n v="635012"/>
    <n v="235010"/>
    <n v="400002"/>
    <n v="35"/>
    <n v="61"/>
    <n v="36.5"/>
  </r>
  <r>
    <x v="13"/>
    <x v="13"/>
    <d v="2023-05-18T00:00:00"/>
    <s v="NA"/>
    <n v="0"/>
    <n v="84"/>
    <s v="81+"/>
    <x v="0"/>
    <x v="7"/>
    <x v="5"/>
    <x v="2"/>
    <n v="1"/>
    <n v="1"/>
    <n v="1.8"/>
    <x v="5"/>
    <n v="3"/>
    <n v="5"/>
    <n v="921020"/>
    <n v="222193"/>
    <n v="698827"/>
    <n v="47"/>
    <n v="62"/>
    <n v="12.7"/>
  </r>
  <r>
    <x v="0"/>
    <x v="0"/>
    <d v="2021-07-05T00:00:00"/>
    <s v="NA"/>
    <n v="0"/>
    <n v="44"/>
    <s v="41-60"/>
    <x v="1"/>
    <x v="13"/>
    <x v="10"/>
    <x v="2"/>
    <n v="1"/>
    <n v="1"/>
    <n v="5.8"/>
    <x v="5"/>
    <n v="7"/>
    <n v="6"/>
    <n v="741701"/>
    <n v="459272"/>
    <n v="282429"/>
    <n v="30"/>
    <n v="62"/>
    <n v="36.1"/>
  </r>
  <r>
    <x v="0"/>
    <x v="0"/>
    <d v="2023-05-14T00:00:00"/>
    <s v="NA"/>
    <n v="0"/>
    <n v="37"/>
    <s v="21-40"/>
    <x v="0"/>
    <x v="6"/>
    <x v="4"/>
    <x v="4"/>
    <n v="1"/>
    <n v="1"/>
    <n v="1.8"/>
    <x v="16"/>
    <n v="3"/>
    <n v="7"/>
    <n v="763279"/>
    <n v="510941"/>
    <n v="252338"/>
    <n v="21"/>
    <n v="58"/>
    <n v="6.8"/>
  </r>
  <r>
    <x v="0"/>
    <x v="0"/>
    <d v="2024-10-21T00:00:00"/>
    <s v="NA"/>
    <n v="0"/>
    <n v="40"/>
    <s v="21-40"/>
    <x v="1"/>
    <x v="1"/>
    <x v="1"/>
    <x v="3"/>
    <n v="1"/>
    <n v="1"/>
    <n v="4.5"/>
    <x v="6"/>
    <n v="7"/>
    <n v="4"/>
    <n v="628167"/>
    <n v="207868"/>
    <n v="420299"/>
    <n v="31"/>
    <n v="56"/>
    <n v="14"/>
  </r>
  <r>
    <x v="0"/>
    <x v="0"/>
    <d v="2023-03-29T00:00:00"/>
    <s v="NA"/>
    <n v="0"/>
    <n v="72"/>
    <s v="61-80"/>
    <x v="1"/>
    <x v="3"/>
    <x v="2"/>
    <x v="2"/>
    <n v="1"/>
    <n v="1"/>
    <n v="1.7"/>
    <x v="25"/>
    <n v="4"/>
    <n v="6"/>
    <n v="923445"/>
    <n v="567004"/>
    <n v="356441"/>
    <n v="30"/>
    <n v="61"/>
    <n v="10.7"/>
  </r>
  <r>
    <x v="0"/>
    <x v="0"/>
    <d v="2023-10-21T00:00:00"/>
    <s v="NA"/>
    <n v="0"/>
    <n v="86"/>
    <s v="81+"/>
    <x v="1"/>
    <x v="10"/>
    <x v="8"/>
    <x v="3"/>
    <n v="1"/>
    <n v="1"/>
    <n v="3.4"/>
    <x v="14"/>
    <n v="4"/>
    <n v="7"/>
    <n v="936065"/>
    <n v="699292"/>
    <n v="236773"/>
    <n v="22"/>
    <n v="54"/>
    <n v="6.6"/>
  </r>
  <r>
    <x v="0"/>
    <x v="0"/>
    <d v="2022-01-28T00:00:00"/>
    <s v="NA"/>
    <n v="0"/>
    <n v="55"/>
    <s v="41-60"/>
    <x v="0"/>
    <x v="10"/>
    <x v="8"/>
    <x v="1"/>
    <n v="1"/>
    <n v="1"/>
    <n v="2"/>
    <x v="18"/>
    <n v="4"/>
    <n v="6"/>
    <n v="899485"/>
    <n v="426818"/>
    <n v="472667"/>
    <n v="31"/>
    <n v="62"/>
    <n v="36.6"/>
  </r>
  <r>
    <x v="0"/>
    <x v="0"/>
    <d v="2022-06-07T00:00:00"/>
    <s v="NA"/>
    <n v="0"/>
    <n v="85"/>
    <s v="81+"/>
    <x v="1"/>
    <x v="9"/>
    <x v="7"/>
    <x v="2"/>
    <n v="1"/>
    <n v="1"/>
    <n v="4.0999999999999996"/>
    <x v="26"/>
    <n v="3"/>
    <n v="7"/>
    <n v="665714"/>
    <n v="326369"/>
    <n v="339345"/>
    <n v="22"/>
    <n v="63"/>
    <n v="10.8"/>
  </r>
  <r>
    <x v="0"/>
    <x v="0"/>
    <d v="2021-08-20T00:00:00"/>
    <s v="NA"/>
    <n v="0"/>
    <n v="23"/>
    <s v="21-40"/>
    <x v="0"/>
    <x v="4"/>
    <x v="3"/>
    <x v="0"/>
    <n v="1"/>
    <n v="1"/>
    <n v="4.5"/>
    <x v="11"/>
    <n v="7"/>
    <n v="6"/>
    <n v="758206"/>
    <n v="416842"/>
    <n v="341364"/>
    <n v="22"/>
    <n v="60"/>
    <n v="8.5"/>
  </r>
  <r>
    <x v="0"/>
    <x v="0"/>
    <d v="2023-06-11T00:00:00"/>
    <s v="NA"/>
    <n v="0"/>
    <n v="90"/>
    <s v="81+"/>
    <x v="1"/>
    <x v="1"/>
    <x v="1"/>
    <x v="2"/>
    <n v="1"/>
    <n v="1"/>
    <n v="6.4"/>
    <x v="30"/>
    <n v="5"/>
    <n v="7"/>
    <n v="650912"/>
    <n v="287949"/>
    <n v="362963"/>
    <n v="38"/>
    <n v="54"/>
    <n v="5.4"/>
  </r>
  <r>
    <x v="0"/>
    <x v="0"/>
    <d v="2024-12-26T00:00:00"/>
    <s v="NA"/>
    <n v="0"/>
    <n v="43"/>
    <s v="41-60"/>
    <x v="0"/>
    <x v="2"/>
    <x v="1"/>
    <x v="1"/>
    <n v="1"/>
    <n v="1"/>
    <n v="6.1"/>
    <x v="22"/>
    <n v="5"/>
    <n v="6"/>
    <n v="728686"/>
    <n v="494393"/>
    <n v="234293"/>
    <n v="32"/>
    <n v="55"/>
    <n v="13.4"/>
  </r>
  <r>
    <x v="0"/>
    <x v="0"/>
    <d v="2023-02-05T00:00:00"/>
    <s v="NA"/>
    <n v="0"/>
    <n v="59"/>
    <s v="41-60"/>
    <x v="1"/>
    <x v="3"/>
    <x v="2"/>
    <x v="4"/>
    <n v="1"/>
    <n v="1"/>
    <n v="2.9"/>
    <x v="26"/>
    <n v="6"/>
    <n v="6"/>
    <n v="918819"/>
    <n v="528388"/>
    <n v="390431"/>
    <n v="37"/>
    <n v="56"/>
    <n v="13.4"/>
  </r>
  <r>
    <x v="0"/>
    <x v="0"/>
    <d v="2023-04-01T00:00:00"/>
    <s v="NA"/>
    <n v="0"/>
    <n v="69"/>
    <s v="61-80"/>
    <x v="0"/>
    <x v="0"/>
    <x v="0"/>
    <x v="3"/>
    <n v="1"/>
    <n v="1"/>
    <n v="1.5"/>
    <x v="20"/>
    <n v="3"/>
    <n v="7"/>
    <n v="605375"/>
    <n v="392345"/>
    <n v="213030"/>
    <n v="34"/>
    <n v="55"/>
    <n v="6.2"/>
  </r>
  <r>
    <x v="0"/>
    <x v="0"/>
    <d v="2021-05-07T00:00:00"/>
    <s v="NA"/>
    <n v="0"/>
    <n v="34"/>
    <s v="21-40"/>
    <x v="1"/>
    <x v="8"/>
    <x v="6"/>
    <x v="3"/>
    <n v="1"/>
    <n v="1"/>
    <n v="6.7"/>
    <x v="21"/>
    <n v="5"/>
    <n v="3"/>
    <n v="678351"/>
    <n v="433718"/>
    <n v="244633"/>
    <n v="33"/>
    <n v="65"/>
    <n v="9.8000000000000007"/>
  </r>
  <r>
    <x v="0"/>
    <x v="0"/>
    <d v="2024-05-11T00:00:00"/>
    <s v="NA"/>
    <n v="0"/>
    <n v="70"/>
    <s v="61-80"/>
    <x v="0"/>
    <x v="2"/>
    <x v="1"/>
    <x v="1"/>
    <n v="1"/>
    <n v="1"/>
    <n v="1.9"/>
    <x v="1"/>
    <n v="5"/>
    <n v="4"/>
    <n v="704549"/>
    <n v="249084"/>
    <n v="455465"/>
    <n v="31"/>
    <n v="58"/>
    <n v="13.9"/>
  </r>
  <r>
    <x v="0"/>
    <x v="0"/>
    <d v="2022-06-24T00:00:00"/>
    <s v="NA"/>
    <n v="0"/>
    <n v="81"/>
    <s v="81+"/>
    <x v="0"/>
    <x v="0"/>
    <x v="0"/>
    <x v="0"/>
    <n v="1"/>
    <n v="1"/>
    <n v="6.6"/>
    <x v="18"/>
    <n v="3"/>
    <n v="5"/>
    <n v="985523"/>
    <n v="784675"/>
    <n v="200848"/>
    <n v="36"/>
    <n v="55"/>
    <n v="15"/>
  </r>
  <r>
    <x v="0"/>
    <x v="0"/>
    <d v="2024-05-15T00:00:00"/>
    <s v="NA"/>
    <n v="0"/>
    <n v="75"/>
    <s v="61-80"/>
    <x v="1"/>
    <x v="12"/>
    <x v="9"/>
    <x v="4"/>
    <n v="1"/>
    <n v="1"/>
    <n v="5.0999999999999996"/>
    <x v="19"/>
    <n v="3"/>
    <n v="3"/>
    <n v="733019"/>
    <n v="369758"/>
    <n v="363261"/>
    <n v="40"/>
    <n v="62"/>
    <n v="6.7"/>
  </r>
  <r>
    <x v="0"/>
    <x v="0"/>
    <d v="2021-11-14T00:00:00"/>
    <s v="NA"/>
    <n v="0"/>
    <n v="24"/>
    <s v="21-40"/>
    <x v="0"/>
    <x v="13"/>
    <x v="10"/>
    <x v="1"/>
    <n v="1"/>
    <n v="1"/>
    <n v="2.9"/>
    <x v="3"/>
    <n v="7"/>
    <n v="5"/>
    <n v="615669"/>
    <n v="146232"/>
    <n v="469437"/>
    <n v="23"/>
    <n v="64"/>
    <n v="6.4"/>
  </r>
  <r>
    <x v="0"/>
    <x v="0"/>
    <d v="2023-06-22T00:00:00"/>
    <s v="NA"/>
    <n v="0"/>
    <n v="47"/>
    <s v="41-60"/>
    <x v="0"/>
    <x v="0"/>
    <x v="0"/>
    <x v="2"/>
    <n v="1"/>
    <n v="1"/>
    <n v="4.7"/>
    <x v="2"/>
    <n v="4"/>
    <n v="4"/>
    <n v="763436"/>
    <n v="343367"/>
    <n v="420069"/>
    <n v="36"/>
    <n v="61"/>
    <n v="13.9"/>
  </r>
  <r>
    <x v="0"/>
    <x v="0"/>
    <d v="2021-01-03T00:00:00"/>
    <s v="NA"/>
    <n v="0"/>
    <n v="79"/>
    <s v="61-80"/>
    <x v="1"/>
    <x v="1"/>
    <x v="1"/>
    <x v="2"/>
    <n v="1"/>
    <n v="1"/>
    <n v="4.0999999999999996"/>
    <x v="2"/>
    <n v="7"/>
    <n v="3"/>
    <n v="920718"/>
    <n v="688036"/>
    <n v="232682"/>
    <n v="40"/>
    <n v="66"/>
    <n v="12.6"/>
  </r>
  <r>
    <x v="0"/>
    <x v="0"/>
    <d v="2023-11-28T00:00:00"/>
    <s v="NA"/>
    <n v="0"/>
    <n v="32"/>
    <s v="21-40"/>
    <x v="0"/>
    <x v="5"/>
    <x v="0"/>
    <x v="4"/>
    <n v="1"/>
    <n v="1"/>
    <n v="6.5"/>
    <x v="29"/>
    <n v="5"/>
    <n v="4"/>
    <n v="641958"/>
    <n v="397140"/>
    <n v="244818"/>
    <n v="22"/>
    <n v="56"/>
    <n v="5"/>
  </r>
  <r>
    <x v="0"/>
    <x v="0"/>
    <d v="2024-09-11T00:00:00"/>
    <s v="NA"/>
    <n v="0"/>
    <n v="77"/>
    <s v="61-80"/>
    <x v="1"/>
    <x v="9"/>
    <x v="7"/>
    <x v="2"/>
    <n v="1"/>
    <n v="1"/>
    <n v="1.4"/>
    <x v="6"/>
    <n v="6"/>
    <n v="4"/>
    <n v="755709"/>
    <n v="535267"/>
    <n v="220442"/>
    <n v="38"/>
    <n v="64"/>
    <n v="10.7"/>
  </r>
  <r>
    <x v="0"/>
    <x v="0"/>
    <d v="2023-05-15T00:00:00"/>
    <s v="NA"/>
    <n v="0"/>
    <n v="69"/>
    <s v="61-80"/>
    <x v="1"/>
    <x v="3"/>
    <x v="2"/>
    <x v="1"/>
    <n v="1"/>
    <n v="1"/>
    <n v="4.8"/>
    <x v="12"/>
    <n v="7"/>
    <n v="5"/>
    <n v="906314"/>
    <n v="611134"/>
    <n v="295180"/>
    <n v="23"/>
    <n v="65"/>
    <n v="6.2"/>
  </r>
  <r>
    <x v="0"/>
    <x v="0"/>
    <d v="2021-08-27T00:00:00"/>
    <s v="NA"/>
    <n v="0"/>
    <n v="60"/>
    <s v="41-60"/>
    <x v="1"/>
    <x v="10"/>
    <x v="8"/>
    <x v="1"/>
    <n v="1"/>
    <n v="1"/>
    <n v="6"/>
    <x v="28"/>
    <n v="6"/>
    <n v="4"/>
    <n v="871308"/>
    <n v="404583"/>
    <n v="466725"/>
    <n v="24"/>
    <n v="60"/>
    <n v="10.3"/>
  </r>
  <r>
    <x v="0"/>
    <x v="0"/>
    <d v="2024-08-13T00:00:00"/>
    <s v="NA"/>
    <n v="0"/>
    <n v="68"/>
    <s v="61-80"/>
    <x v="0"/>
    <x v="4"/>
    <x v="3"/>
    <x v="0"/>
    <n v="1"/>
    <n v="1"/>
    <n v="3.1"/>
    <x v="10"/>
    <n v="3"/>
    <n v="4"/>
    <n v="727084"/>
    <n v="487516"/>
    <n v="239568"/>
    <n v="34"/>
    <n v="57"/>
    <n v="14.6"/>
  </r>
  <r>
    <x v="0"/>
    <x v="0"/>
    <d v="2024-01-04T00:00:00"/>
    <s v="NA"/>
    <n v="0"/>
    <n v="42"/>
    <s v="41-60"/>
    <x v="1"/>
    <x v="3"/>
    <x v="2"/>
    <x v="1"/>
    <n v="1"/>
    <n v="1"/>
    <n v="1.3"/>
    <x v="5"/>
    <n v="7"/>
    <n v="3"/>
    <n v="925967"/>
    <n v="691722"/>
    <n v="234245"/>
    <n v="28"/>
    <n v="58"/>
    <n v="12.4"/>
  </r>
  <r>
    <x v="0"/>
    <x v="0"/>
    <d v="2023-02-02T00:00:00"/>
    <s v="NA"/>
    <n v="0"/>
    <n v="37"/>
    <s v="21-40"/>
    <x v="0"/>
    <x v="13"/>
    <x v="10"/>
    <x v="1"/>
    <n v="1"/>
    <n v="1"/>
    <n v="5.8"/>
    <x v="9"/>
    <n v="4"/>
    <n v="7"/>
    <n v="928427"/>
    <n v="478802"/>
    <n v="449625"/>
    <n v="27"/>
    <n v="64"/>
    <n v="8.6999999999999993"/>
  </r>
  <r>
    <x v="0"/>
    <x v="0"/>
    <d v="2021-11-28T00:00:00"/>
    <s v="NA"/>
    <n v="0"/>
    <n v="84"/>
    <s v="81+"/>
    <x v="0"/>
    <x v="14"/>
    <x v="11"/>
    <x v="1"/>
    <n v="1"/>
    <n v="1"/>
    <n v="5.0999999999999996"/>
    <x v="21"/>
    <n v="6"/>
    <n v="4"/>
    <n v="619571"/>
    <n v="373900"/>
    <n v="245671"/>
    <n v="33"/>
    <n v="64"/>
    <n v="10.3"/>
  </r>
  <r>
    <x v="0"/>
    <x v="0"/>
    <d v="2023-05-02T00:00:00"/>
    <s v="NA"/>
    <n v="0"/>
    <n v="53"/>
    <s v="41-60"/>
    <x v="1"/>
    <x v="13"/>
    <x v="10"/>
    <x v="3"/>
    <n v="1"/>
    <n v="1"/>
    <n v="1.3"/>
    <x v="4"/>
    <n v="4"/>
    <n v="6"/>
    <n v="820442"/>
    <n v="399144"/>
    <n v="421298"/>
    <n v="38"/>
    <n v="64"/>
    <n v="12"/>
  </r>
  <r>
    <x v="0"/>
    <x v="0"/>
    <d v="2023-10-17T00:00:00"/>
    <s v="NA"/>
    <n v="0"/>
    <n v="43"/>
    <s v="41-60"/>
    <x v="1"/>
    <x v="9"/>
    <x v="7"/>
    <x v="3"/>
    <n v="1"/>
    <n v="1"/>
    <n v="2.4"/>
    <x v="19"/>
    <n v="3"/>
    <n v="5"/>
    <n v="672396"/>
    <n v="377056"/>
    <n v="295340"/>
    <n v="20"/>
    <n v="65"/>
    <n v="13.6"/>
  </r>
  <r>
    <x v="0"/>
    <x v="0"/>
    <d v="2021-09-21T00:00:00"/>
    <s v="NA"/>
    <n v="0"/>
    <n v="58"/>
    <s v="41-60"/>
    <x v="0"/>
    <x v="14"/>
    <x v="11"/>
    <x v="0"/>
    <n v="1"/>
    <n v="1"/>
    <n v="6"/>
    <x v="28"/>
    <n v="5"/>
    <n v="5"/>
    <n v="974499"/>
    <n v="606187"/>
    <n v="368312"/>
    <n v="20"/>
    <n v="58"/>
    <n v="9.6"/>
  </r>
  <r>
    <x v="0"/>
    <x v="0"/>
    <d v="2024-04-04T00:00:00"/>
    <s v="NA"/>
    <n v="0"/>
    <n v="86"/>
    <s v="81+"/>
    <x v="1"/>
    <x v="2"/>
    <x v="1"/>
    <x v="3"/>
    <n v="1"/>
    <n v="1"/>
    <n v="3.5"/>
    <x v="30"/>
    <n v="4"/>
    <n v="5"/>
    <n v="713200"/>
    <n v="404763"/>
    <n v="308437"/>
    <n v="20"/>
    <n v="56"/>
    <n v="12.7"/>
  </r>
  <r>
    <x v="0"/>
    <x v="0"/>
    <d v="2023-02-24T00:00:00"/>
    <s v="NA"/>
    <n v="0"/>
    <n v="28"/>
    <s v="21-40"/>
    <x v="1"/>
    <x v="2"/>
    <x v="1"/>
    <x v="2"/>
    <n v="1"/>
    <n v="1"/>
    <n v="5.9"/>
    <x v="8"/>
    <n v="3"/>
    <n v="3"/>
    <n v="942690"/>
    <n v="443504"/>
    <n v="499186"/>
    <n v="28"/>
    <n v="60"/>
    <n v="5.2"/>
  </r>
  <r>
    <x v="0"/>
    <x v="0"/>
    <d v="2023-12-09T00:00:00"/>
    <s v="NA"/>
    <n v="0"/>
    <n v="41"/>
    <s v="41-60"/>
    <x v="0"/>
    <x v="0"/>
    <x v="0"/>
    <x v="4"/>
    <n v="1"/>
    <n v="1"/>
    <n v="5.3"/>
    <x v="19"/>
    <n v="3"/>
    <n v="7"/>
    <n v="855216"/>
    <n v="390776"/>
    <n v="464440"/>
    <n v="37"/>
    <n v="56"/>
    <n v="13.2"/>
  </r>
  <r>
    <x v="0"/>
    <x v="0"/>
    <d v="2022-10-12T00:00:00"/>
    <s v="NA"/>
    <n v="0"/>
    <n v="54"/>
    <s v="41-60"/>
    <x v="0"/>
    <x v="0"/>
    <x v="0"/>
    <x v="2"/>
    <n v="1"/>
    <n v="1"/>
    <n v="6.8"/>
    <x v="21"/>
    <n v="6"/>
    <n v="7"/>
    <n v="933937"/>
    <n v="455408"/>
    <n v="478529"/>
    <n v="40"/>
    <n v="61"/>
    <n v="13.7"/>
  </r>
  <r>
    <x v="0"/>
    <x v="0"/>
    <d v="2022-06-16T00:00:00"/>
    <s v="NA"/>
    <n v="0"/>
    <n v="40"/>
    <s v="21-40"/>
    <x v="1"/>
    <x v="3"/>
    <x v="2"/>
    <x v="3"/>
    <n v="1"/>
    <n v="1"/>
    <n v="3"/>
    <x v="2"/>
    <n v="3"/>
    <n v="6"/>
    <n v="703129"/>
    <n v="324795"/>
    <n v="378334"/>
    <n v="39"/>
    <n v="54"/>
    <n v="10.7"/>
  </r>
  <r>
    <x v="0"/>
    <x v="0"/>
    <d v="2024-06-24T00:00:00"/>
    <s v="NA"/>
    <n v="0"/>
    <n v="40"/>
    <s v="21-40"/>
    <x v="0"/>
    <x v="10"/>
    <x v="8"/>
    <x v="1"/>
    <n v="1"/>
    <n v="1"/>
    <n v="2.2000000000000002"/>
    <x v="15"/>
    <n v="7"/>
    <n v="6"/>
    <n v="870046"/>
    <n v="511082"/>
    <n v="358964"/>
    <n v="28"/>
    <n v="62"/>
    <n v="8.6999999999999993"/>
  </r>
  <r>
    <x v="0"/>
    <x v="0"/>
    <d v="2024-12-24T00:00:00"/>
    <s v="NA"/>
    <n v="0"/>
    <n v="23"/>
    <s v="21-40"/>
    <x v="1"/>
    <x v="1"/>
    <x v="1"/>
    <x v="0"/>
    <n v="1"/>
    <n v="1"/>
    <n v="4.4000000000000004"/>
    <x v="18"/>
    <n v="3"/>
    <n v="6"/>
    <n v="784240"/>
    <n v="347214"/>
    <n v="437026"/>
    <n v="22"/>
    <n v="55"/>
    <n v="7.7"/>
  </r>
  <r>
    <x v="0"/>
    <x v="0"/>
    <d v="2024-06-11T00:00:00"/>
    <s v="NA"/>
    <n v="0"/>
    <n v="50"/>
    <s v="41-60"/>
    <x v="1"/>
    <x v="10"/>
    <x v="8"/>
    <x v="1"/>
    <n v="1"/>
    <n v="1"/>
    <n v="5.5"/>
    <x v="26"/>
    <n v="7"/>
    <n v="7"/>
    <n v="783825"/>
    <n v="364368"/>
    <n v="419457"/>
    <n v="29"/>
    <n v="62"/>
    <n v="12"/>
  </r>
  <r>
    <x v="0"/>
    <x v="0"/>
    <d v="2023-02-28T00:00:00"/>
    <s v="NA"/>
    <n v="0"/>
    <n v="41"/>
    <s v="41-60"/>
    <x v="1"/>
    <x v="6"/>
    <x v="4"/>
    <x v="0"/>
    <n v="1"/>
    <n v="1"/>
    <n v="1.4"/>
    <x v="5"/>
    <n v="5"/>
    <n v="4"/>
    <n v="723448"/>
    <n v="512582"/>
    <n v="210866"/>
    <n v="23"/>
    <n v="60"/>
    <n v="36.6"/>
  </r>
  <r>
    <x v="0"/>
    <x v="0"/>
    <d v="2024-06-01T00:00:00"/>
    <s v="NA"/>
    <n v="0"/>
    <n v="88"/>
    <s v="81+"/>
    <x v="1"/>
    <x v="3"/>
    <x v="2"/>
    <x v="1"/>
    <n v="1"/>
    <n v="1"/>
    <n v="1.7"/>
    <x v="2"/>
    <n v="5"/>
    <n v="5"/>
    <n v="951314"/>
    <n v="644933"/>
    <n v="306381"/>
    <n v="27"/>
    <n v="57"/>
    <n v="7.6"/>
  </r>
  <r>
    <x v="0"/>
    <x v="0"/>
    <d v="2022-03-03T00:00:00"/>
    <s v="NA"/>
    <n v="0"/>
    <n v="77"/>
    <s v="61-80"/>
    <x v="1"/>
    <x v="13"/>
    <x v="10"/>
    <x v="3"/>
    <n v="1"/>
    <n v="1"/>
    <n v="1.5"/>
    <x v="7"/>
    <n v="5"/>
    <n v="6"/>
    <n v="916930"/>
    <n v="571986"/>
    <n v="344944"/>
    <n v="24"/>
    <n v="66"/>
    <n v="5.0999999999999996"/>
  </r>
  <r>
    <x v="0"/>
    <x v="0"/>
    <d v="2022-07-25T00:00:00"/>
    <s v="NA"/>
    <n v="0"/>
    <n v="25"/>
    <s v="21-40"/>
    <x v="0"/>
    <x v="6"/>
    <x v="4"/>
    <x v="2"/>
    <n v="1"/>
    <n v="1"/>
    <n v="1.1000000000000001"/>
    <x v="26"/>
    <n v="4"/>
    <n v="3"/>
    <n v="761905"/>
    <n v="291547"/>
    <n v="470358"/>
    <n v="38"/>
    <n v="62"/>
    <n v="14.2"/>
  </r>
  <r>
    <x v="0"/>
    <x v="0"/>
    <d v="2023-01-20T00:00:00"/>
    <s v="NA"/>
    <n v="0"/>
    <n v="27"/>
    <s v="21-40"/>
    <x v="1"/>
    <x v="12"/>
    <x v="9"/>
    <x v="1"/>
    <n v="1"/>
    <n v="1"/>
    <n v="6.8"/>
    <x v="13"/>
    <n v="4"/>
    <n v="5"/>
    <n v="762872"/>
    <n v="496463"/>
    <n v="266409"/>
    <n v="38"/>
    <n v="54"/>
    <n v="13.6"/>
  </r>
  <r>
    <x v="0"/>
    <x v="0"/>
    <d v="2022-03-16T00:00:00"/>
    <s v="NA"/>
    <n v="0"/>
    <n v="44"/>
    <s v="41-60"/>
    <x v="1"/>
    <x v="3"/>
    <x v="2"/>
    <x v="0"/>
    <n v="1"/>
    <n v="1"/>
    <n v="5.3"/>
    <x v="15"/>
    <n v="6"/>
    <n v="5"/>
    <n v="977030"/>
    <n v="612098"/>
    <n v="364932"/>
    <n v="40"/>
    <n v="62"/>
    <n v="12.6"/>
  </r>
  <r>
    <x v="0"/>
    <x v="0"/>
    <d v="2022-11-13T00:00:00"/>
    <s v="NA"/>
    <n v="0"/>
    <n v="65"/>
    <s v="61-80"/>
    <x v="1"/>
    <x v="8"/>
    <x v="6"/>
    <x v="0"/>
    <n v="1"/>
    <n v="1"/>
    <n v="2.2999999999999998"/>
    <x v="17"/>
    <n v="4"/>
    <n v="3"/>
    <n v="856680"/>
    <n v="436468"/>
    <n v="420212"/>
    <n v="28"/>
    <n v="61"/>
    <n v="12.4"/>
  </r>
  <r>
    <x v="0"/>
    <x v="0"/>
    <d v="2024-08-02T00:00:00"/>
    <s v="NA"/>
    <n v="0"/>
    <n v="25"/>
    <s v="21-40"/>
    <x v="1"/>
    <x v="3"/>
    <x v="2"/>
    <x v="0"/>
    <n v="1"/>
    <n v="1"/>
    <n v="2.4"/>
    <x v="14"/>
    <n v="6"/>
    <n v="3"/>
    <n v="825259"/>
    <n v="564765"/>
    <n v="260494"/>
    <n v="29"/>
    <n v="60"/>
    <n v="9.5"/>
  </r>
  <r>
    <x v="0"/>
    <x v="0"/>
    <d v="2023-09-13T00:00:00"/>
    <s v="NA"/>
    <n v="0"/>
    <n v="58"/>
    <s v="41-60"/>
    <x v="1"/>
    <x v="8"/>
    <x v="6"/>
    <x v="1"/>
    <n v="1"/>
    <n v="1"/>
    <n v="2.4"/>
    <x v="3"/>
    <n v="4"/>
    <n v="3"/>
    <n v="843476"/>
    <n v="345307"/>
    <n v="498169"/>
    <n v="20"/>
    <n v="61"/>
    <n v="9.9"/>
  </r>
  <r>
    <x v="0"/>
    <x v="0"/>
    <d v="2022-04-10T00:00:00"/>
    <s v="NA"/>
    <n v="0"/>
    <n v="49"/>
    <s v="41-60"/>
    <x v="1"/>
    <x v="4"/>
    <x v="3"/>
    <x v="1"/>
    <n v="1"/>
    <n v="1"/>
    <n v="1.2"/>
    <x v="27"/>
    <n v="6"/>
    <n v="4"/>
    <n v="653130"/>
    <n v="246299"/>
    <n v="406831"/>
    <n v="35"/>
    <n v="63"/>
    <n v="12.6"/>
  </r>
  <r>
    <x v="0"/>
    <x v="0"/>
    <d v="2022-03-06T00:00:00"/>
    <s v="NA"/>
    <n v="0"/>
    <n v="86"/>
    <s v="81+"/>
    <x v="1"/>
    <x v="12"/>
    <x v="9"/>
    <x v="3"/>
    <n v="1"/>
    <n v="1"/>
    <n v="4.9000000000000004"/>
    <x v="30"/>
    <n v="6"/>
    <n v="3"/>
    <n v="775988"/>
    <n v="349362"/>
    <n v="426626"/>
    <n v="33"/>
    <n v="56"/>
    <n v="36.9"/>
  </r>
  <r>
    <x v="0"/>
    <x v="0"/>
    <d v="2024-11-18T00:00:00"/>
    <s v="NA"/>
    <n v="0"/>
    <n v="30"/>
    <s v="21-40"/>
    <x v="0"/>
    <x v="7"/>
    <x v="5"/>
    <x v="1"/>
    <n v="1"/>
    <n v="1"/>
    <n v="1.8"/>
    <x v="30"/>
    <n v="6"/>
    <n v="4"/>
    <n v="602276"/>
    <n v="166193"/>
    <n v="436083"/>
    <n v="32"/>
    <n v="64"/>
    <n v="12.8"/>
  </r>
  <r>
    <x v="0"/>
    <x v="0"/>
    <d v="2024-01-13T00:00:00"/>
    <s v="NA"/>
    <n v="0"/>
    <n v="83"/>
    <s v="81+"/>
    <x v="0"/>
    <x v="5"/>
    <x v="0"/>
    <x v="1"/>
    <n v="1"/>
    <n v="1"/>
    <n v="3.2"/>
    <x v="16"/>
    <n v="5"/>
    <n v="4"/>
    <n v="681463"/>
    <n v="307662"/>
    <n v="373801"/>
    <n v="35"/>
    <n v="57"/>
    <n v="36.5"/>
  </r>
  <r>
    <x v="13"/>
    <x v="13"/>
    <d v="2024-04-25T00:00:00"/>
    <s v="NA"/>
    <n v="0"/>
    <n v="53"/>
    <s v="41-60"/>
    <x v="0"/>
    <x v="10"/>
    <x v="8"/>
    <x v="1"/>
    <n v="1"/>
    <n v="1"/>
    <n v="4.7"/>
    <x v="5"/>
    <n v="5"/>
    <n v="7"/>
    <n v="895220"/>
    <n v="257202"/>
    <n v="638018"/>
    <n v="34"/>
    <n v="60"/>
    <n v="5.0999999999999996"/>
  </r>
  <r>
    <x v="13"/>
    <x v="13"/>
    <d v="2023-12-15T00:00:00"/>
    <s v="NA"/>
    <n v="0"/>
    <n v="59"/>
    <s v="41-60"/>
    <x v="0"/>
    <x v="0"/>
    <x v="0"/>
    <x v="2"/>
    <n v="1"/>
    <n v="1"/>
    <n v="3.3"/>
    <x v="0"/>
    <n v="5"/>
    <n v="7"/>
    <n v="958963"/>
    <n v="304908"/>
    <n v="654055"/>
    <n v="48"/>
    <n v="55"/>
    <n v="9.9"/>
  </r>
  <r>
    <x v="13"/>
    <x v="13"/>
    <d v="2021-06-05T00:00:00"/>
    <s v="NA"/>
    <n v="0"/>
    <n v="34"/>
    <s v="21-40"/>
    <x v="0"/>
    <x v="2"/>
    <x v="1"/>
    <x v="2"/>
    <n v="1"/>
    <n v="1"/>
    <n v="2.9"/>
    <x v="9"/>
    <n v="7"/>
    <n v="6"/>
    <n v="907966"/>
    <n v="329365"/>
    <n v="578601"/>
    <n v="50"/>
    <n v="64"/>
    <n v="8.9"/>
  </r>
  <r>
    <x v="13"/>
    <x v="13"/>
    <d v="2021-03-03T00:00:00"/>
    <s v="NA"/>
    <n v="0"/>
    <n v="89"/>
    <s v="81+"/>
    <x v="0"/>
    <x v="5"/>
    <x v="0"/>
    <x v="1"/>
    <n v="1"/>
    <n v="1"/>
    <n v="4.5999999999999996"/>
    <x v="28"/>
    <n v="4"/>
    <n v="5"/>
    <n v="958253"/>
    <n v="285210"/>
    <n v="673043"/>
    <n v="44"/>
    <n v="55"/>
    <n v="9.6999999999999993"/>
  </r>
  <r>
    <x v="13"/>
    <x v="13"/>
    <d v="2023-01-03T00:00:00"/>
    <s v="NA"/>
    <n v="0"/>
    <n v="39"/>
    <s v="21-40"/>
    <x v="0"/>
    <x v="2"/>
    <x v="1"/>
    <x v="3"/>
    <n v="1"/>
    <n v="1"/>
    <n v="4.0999999999999996"/>
    <x v="21"/>
    <n v="5"/>
    <n v="6"/>
    <n v="844100"/>
    <n v="204221"/>
    <n v="639879"/>
    <n v="47"/>
    <n v="61"/>
    <n v="8.5"/>
  </r>
  <r>
    <x v="13"/>
    <x v="13"/>
    <d v="2021-07-12T00:00:00"/>
    <s v="NA"/>
    <n v="0"/>
    <n v="30"/>
    <s v="21-40"/>
    <x v="0"/>
    <x v="13"/>
    <x v="10"/>
    <x v="2"/>
    <n v="1"/>
    <n v="1"/>
    <n v="1.2"/>
    <x v="11"/>
    <n v="5"/>
    <n v="5"/>
    <n v="840967"/>
    <n v="250248"/>
    <n v="590719"/>
    <n v="58"/>
    <n v="58"/>
    <n v="14.8"/>
  </r>
  <r>
    <x v="13"/>
    <x v="13"/>
    <d v="2022-10-03T00:00:00"/>
    <s v="NA"/>
    <n v="0"/>
    <n v="53"/>
    <s v="41-60"/>
    <x v="1"/>
    <x v="3"/>
    <x v="2"/>
    <x v="1"/>
    <n v="1"/>
    <n v="1"/>
    <n v="5.7"/>
    <x v="30"/>
    <n v="7"/>
    <n v="6"/>
    <n v="977078"/>
    <n v="445225"/>
    <n v="531853"/>
    <n v="51"/>
    <n v="57"/>
    <n v="15"/>
  </r>
  <r>
    <x v="13"/>
    <x v="13"/>
    <d v="2022-11-01T00:00:00"/>
    <s v="NA"/>
    <n v="0"/>
    <n v="73"/>
    <s v="61-80"/>
    <x v="1"/>
    <x v="1"/>
    <x v="1"/>
    <x v="0"/>
    <n v="1"/>
    <n v="1"/>
    <n v="1.7"/>
    <x v="4"/>
    <n v="4"/>
    <n v="5"/>
    <n v="884365"/>
    <n v="267555"/>
    <n v="616810"/>
    <n v="45"/>
    <n v="54"/>
    <n v="8.3000000000000007"/>
  </r>
  <r>
    <x v="13"/>
    <x v="13"/>
    <d v="2021-01-03T00:00:00"/>
    <s v="NA"/>
    <n v="0"/>
    <n v="44"/>
    <s v="41-60"/>
    <x v="0"/>
    <x v="7"/>
    <x v="5"/>
    <x v="4"/>
    <n v="1"/>
    <n v="1"/>
    <n v="3.1"/>
    <x v="21"/>
    <n v="7"/>
    <n v="6"/>
    <n v="986749"/>
    <n v="363554"/>
    <n v="623195"/>
    <n v="46"/>
    <n v="54"/>
    <n v="5.9"/>
  </r>
  <r>
    <x v="13"/>
    <x v="13"/>
    <d v="2023-09-17T00:00:00"/>
    <s v="NA"/>
    <n v="0"/>
    <n v="35"/>
    <s v="21-40"/>
    <x v="1"/>
    <x v="2"/>
    <x v="1"/>
    <x v="2"/>
    <n v="1"/>
    <n v="1"/>
    <n v="2.4"/>
    <x v="7"/>
    <n v="4"/>
    <n v="5"/>
    <n v="829208"/>
    <n v="255993"/>
    <n v="573215"/>
    <n v="43"/>
    <n v="61"/>
    <n v="8.3000000000000007"/>
  </r>
  <r>
    <x v="13"/>
    <x v="13"/>
    <d v="2021-02-24T00:00:00"/>
    <s v="NA"/>
    <n v="0"/>
    <n v="89"/>
    <s v="81+"/>
    <x v="0"/>
    <x v="0"/>
    <x v="0"/>
    <x v="2"/>
    <n v="1"/>
    <n v="1"/>
    <n v="6.9"/>
    <x v="13"/>
    <n v="4"/>
    <n v="3"/>
    <n v="860039"/>
    <n v="224611"/>
    <n v="635428"/>
    <n v="53"/>
    <n v="58"/>
    <n v="14"/>
  </r>
  <r>
    <x v="13"/>
    <x v="13"/>
    <d v="2023-01-29T00:00:00"/>
    <s v="NA"/>
    <n v="0"/>
    <n v="22"/>
    <s v="21-40"/>
    <x v="0"/>
    <x v="14"/>
    <x v="11"/>
    <x v="2"/>
    <n v="1"/>
    <n v="1"/>
    <n v="4.8"/>
    <x v="6"/>
    <n v="6"/>
    <n v="5"/>
    <n v="964710"/>
    <n v="459061"/>
    <n v="505649"/>
    <n v="55"/>
    <n v="58"/>
    <n v="8.6"/>
  </r>
  <r>
    <x v="13"/>
    <x v="13"/>
    <d v="2024-02-22T00:00:00"/>
    <s v="NA"/>
    <n v="0"/>
    <n v="56"/>
    <s v="41-60"/>
    <x v="1"/>
    <x v="2"/>
    <x v="1"/>
    <x v="4"/>
    <n v="1"/>
    <n v="1"/>
    <n v="5.4"/>
    <x v="21"/>
    <n v="6"/>
    <n v="3"/>
    <n v="876663"/>
    <n v="371315"/>
    <n v="505348"/>
    <n v="60"/>
    <n v="54"/>
    <n v="13.6"/>
  </r>
  <r>
    <x v="13"/>
    <x v="13"/>
    <d v="2021-11-30T00:00:00"/>
    <s v="NA"/>
    <n v="0"/>
    <n v="55"/>
    <s v="41-60"/>
    <x v="1"/>
    <x v="2"/>
    <x v="1"/>
    <x v="3"/>
    <n v="1"/>
    <n v="1"/>
    <n v="5.4"/>
    <x v="29"/>
    <n v="7"/>
    <n v="5"/>
    <n v="901423"/>
    <n v="282277"/>
    <n v="619146"/>
    <n v="48"/>
    <n v="56"/>
    <n v="13.5"/>
  </r>
  <r>
    <x v="13"/>
    <x v="13"/>
    <d v="2021-10-21T00:00:00"/>
    <s v="NA"/>
    <n v="0"/>
    <n v="41"/>
    <s v="41-60"/>
    <x v="1"/>
    <x v="12"/>
    <x v="9"/>
    <x v="1"/>
    <n v="1"/>
    <n v="1"/>
    <n v="2.5"/>
    <x v="22"/>
    <n v="4"/>
    <n v="5"/>
    <n v="858504"/>
    <n v="241734"/>
    <n v="616770"/>
    <n v="31"/>
    <n v="55"/>
    <n v="8.4"/>
  </r>
  <r>
    <x v="13"/>
    <x v="13"/>
    <d v="2024-01-11T00:00:00"/>
    <s v="NA"/>
    <n v="0"/>
    <n v="58"/>
    <s v="41-60"/>
    <x v="0"/>
    <x v="4"/>
    <x v="3"/>
    <x v="2"/>
    <n v="1"/>
    <n v="1"/>
    <n v="6.5"/>
    <x v="20"/>
    <n v="3"/>
    <n v="7"/>
    <n v="838796"/>
    <n v="324498"/>
    <n v="514298"/>
    <n v="50"/>
    <n v="62"/>
    <n v="7.9"/>
  </r>
  <r>
    <x v="13"/>
    <x v="13"/>
    <d v="2021-10-19T00:00:00"/>
    <s v="NA"/>
    <n v="0"/>
    <n v="85"/>
    <s v="81+"/>
    <x v="0"/>
    <x v="0"/>
    <x v="0"/>
    <x v="4"/>
    <n v="1"/>
    <n v="1"/>
    <n v="1.1000000000000001"/>
    <x v="2"/>
    <n v="5"/>
    <n v="6"/>
    <n v="909127"/>
    <n v="223079"/>
    <n v="686048"/>
    <n v="46"/>
    <n v="62"/>
    <n v="14.8"/>
  </r>
  <r>
    <x v="13"/>
    <x v="13"/>
    <d v="2022-04-09T00:00:00"/>
    <s v="NA"/>
    <n v="0"/>
    <n v="80"/>
    <s v="61-80"/>
    <x v="0"/>
    <x v="0"/>
    <x v="0"/>
    <x v="4"/>
    <n v="1"/>
    <n v="1"/>
    <n v="3.1"/>
    <x v="8"/>
    <n v="7"/>
    <n v="5"/>
    <n v="906032"/>
    <n v="288291"/>
    <n v="617741"/>
    <n v="33"/>
    <n v="65"/>
    <n v="14.2"/>
  </r>
  <r>
    <x v="13"/>
    <x v="13"/>
    <d v="2022-11-15T00:00:00"/>
    <s v="NA"/>
    <n v="0"/>
    <n v="30"/>
    <s v="21-40"/>
    <x v="1"/>
    <x v="10"/>
    <x v="8"/>
    <x v="0"/>
    <n v="1"/>
    <n v="1"/>
    <n v="1.5"/>
    <x v="4"/>
    <n v="4"/>
    <n v="7"/>
    <n v="944298"/>
    <n v="272420"/>
    <n v="671878"/>
    <n v="38"/>
    <n v="56"/>
    <n v="13.3"/>
  </r>
  <r>
    <x v="13"/>
    <x v="13"/>
    <d v="2024-10-26T00:00:00"/>
    <s v="NA"/>
    <n v="0"/>
    <n v="25"/>
    <s v="21-40"/>
    <x v="0"/>
    <x v="2"/>
    <x v="1"/>
    <x v="1"/>
    <n v="1"/>
    <n v="1"/>
    <n v="5.6"/>
    <x v="21"/>
    <n v="6"/>
    <n v="3"/>
    <n v="968575"/>
    <n v="380536"/>
    <n v="588039"/>
    <n v="43"/>
    <n v="59"/>
    <n v="9.1999999999999993"/>
  </r>
  <r>
    <x v="13"/>
    <x v="13"/>
    <d v="2022-03-04T00:00:00"/>
    <s v="NA"/>
    <n v="0"/>
    <n v="36"/>
    <s v="21-40"/>
    <x v="0"/>
    <x v="0"/>
    <x v="0"/>
    <x v="2"/>
    <n v="1"/>
    <n v="1"/>
    <n v="3.8"/>
    <x v="9"/>
    <n v="4"/>
    <n v="7"/>
    <n v="942975"/>
    <n v="297520"/>
    <n v="645455"/>
    <n v="46"/>
    <n v="56"/>
    <n v="7.7"/>
  </r>
  <r>
    <x v="13"/>
    <x v="13"/>
    <d v="2021-05-29T00:00:00"/>
    <s v="NA"/>
    <n v="0"/>
    <n v="22"/>
    <s v="21-40"/>
    <x v="0"/>
    <x v="2"/>
    <x v="1"/>
    <x v="2"/>
    <n v="1"/>
    <n v="1"/>
    <n v="3.2"/>
    <x v="24"/>
    <n v="4"/>
    <n v="3"/>
    <n v="916979"/>
    <n v="251650"/>
    <n v="665329"/>
    <n v="41"/>
    <n v="66"/>
    <n v="8.1999999999999993"/>
  </r>
  <r>
    <x v="13"/>
    <x v="13"/>
    <d v="2022-06-05T00:00:00"/>
    <s v="NA"/>
    <n v="0"/>
    <n v="45"/>
    <s v="41-60"/>
    <x v="1"/>
    <x v="7"/>
    <x v="5"/>
    <x v="4"/>
    <n v="1"/>
    <n v="1"/>
    <n v="1.5"/>
    <x v="7"/>
    <n v="7"/>
    <n v="3"/>
    <n v="970259"/>
    <n v="434378"/>
    <n v="535881"/>
    <n v="40"/>
    <n v="59"/>
    <n v="14.8"/>
  </r>
  <r>
    <x v="13"/>
    <x v="13"/>
    <d v="2023-05-28T00:00:00"/>
    <s v="NA"/>
    <n v="0"/>
    <n v="47"/>
    <s v="41-60"/>
    <x v="0"/>
    <x v="2"/>
    <x v="1"/>
    <x v="2"/>
    <n v="1"/>
    <n v="1"/>
    <n v="6.6"/>
    <x v="16"/>
    <n v="4"/>
    <n v="3"/>
    <n v="827304"/>
    <n v="308295"/>
    <n v="519009"/>
    <n v="33"/>
    <n v="63"/>
    <n v="13.9"/>
  </r>
  <r>
    <x v="13"/>
    <x v="13"/>
    <d v="2022-04-27T00:00:00"/>
    <s v="NA"/>
    <n v="0"/>
    <n v="46"/>
    <s v="41-60"/>
    <x v="0"/>
    <x v="4"/>
    <x v="3"/>
    <x v="1"/>
    <n v="1"/>
    <n v="1"/>
    <n v="6.7"/>
    <x v="23"/>
    <n v="3"/>
    <n v="5"/>
    <n v="975238"/>
    <n v="465809"/>
    <n v="509429"/>
    <n v="35"/>
    <n v="58"/>
    <n v="7.8"/>
  </r>
  <r>
    <x v="13"/>
    <x v="13"/>
    <d v="2022-10-03T00:00:00"/>
    <s v="NA"/>
    <n v="0"/>
    <n v="46"/>
    <s v="41-60"/>
    <x v="1"/>
    <x v="10"/>
    <x v="8"/>
    <x v="1"/>
    <n v="1"/>
    <n v="1"/>
    <n v="2.1"/>
    <x v="0"/>
    <n v="5"/>
    <n v="5"/>
    <n v="964455"/>
    <n v="364959"/>
    <n v="599496"/>
    <n v="38"/>
    <n v="55"/>
    <n v="7.4"/>
  </r>
  <r>
    <x v="13"/>
    <x v="13"/>
    <d v="2022-02-22T00:00:00"/>
    <s v="NA"/>
    <n v="0"/>
    <n v="58"/>
    <s v="41-60"/>
    <x v="1"/>
    <x v="3"/>
    <x v="2"/>
    <x v="4"/>
    <n v="1"/>
    <n v="1"/>
    <n v="3.4"/>
    <x v="8"/>
    <n v="6"/>
    <n v="7"/>
    <n v="954047"/>
    <n v="351450"/>
    <n v="602597"/>
    <n v="34"/>
    <n v="65"/>
    <n v="5.9"/>
  </r>
  <r>
    <x v="13"/>
    <x v="13"/>
    <d v="2021-01-02T00:00:00"/>
    <s v="NA"/>
    <n v="0"/>
    <n v="43"/>
    <s v="41-60"/>
    <x v="1"/>
    <x v="12"/>
    <x v="9"/>
    <x v="2"/>
    <n v="1"/>
    <n v="1"/>
    <n v="3.6"/>
    <x v="26"/>
    <n v="6"/>
    <n v="6"/>
    <n v="935795"/>
    <n v="262938"/>
    <n v="672857"/>
    <n v="43"/>
    <n v="56"/>
    <n v="7.7"/>
  </r>
  <r>
    <x v="13"/>
    <x v="13"/>
    <d v="2021-10-17T00:00:00"/>
    <s v="NA"/>
    <n v="0"/>
    <n v="77"/>
    <s v="61-80"/>
    <x v="0"/>
    <x v="0"/>
    <x v="0"/>
    <x v="0"/>
    <n v="1"/>
    <n v="1"/>
    <n v="6.5"/>
    <x v="12"/>
    <n v="3"/>
    <n v="7"/>
    <n v="869455"/>
    <n v="313699"/>
    <n v="555756"/>
    <n v="30"/>
    <n v="54"/>
    <n v="7.6"/>
  </r>
  <r>
    <x v="13"/>
    <x v="13"/>
    <d v="2021-08-27T00:00:00"/>
    <s v="NA"/>
    <n v="0"/>
    <n v="39"/>
    <s v="21-40"/>
    <x v="1"/>
    <x v="3"/>
    <x v="2"/>
    <x v="4"/>
    <n v="1"/>
    <n v="1"/>
    <n v="4.5999999999999996"/>
    <x v="12"/>
    <n v="4"/>
    <n v="6"/>
    <n v="973912"/>
    <n v="361262"/>
    <n v="612650"/>
    <n v="55"/>
    <n v="62"/>
    <n v="6.8"/>
  </r>
  <r>
    <x v="13"/>
    <x v="13"/>
    <d v="2024-08-04T00:00:00"/>
    <s v="NA"/>
    <n v="0"/>
    <n v="30"/>
    <s v="21-40"/>
    <x v="1"/>
    <x v="4"/>
    <x v="3"/>
    <x v="3"/>
    <n v="1"/>
    <n v="1"/>
    <n v="2.8"/>
    <x v="26"/>
    <n v="6"/>
    <n v="6"/>
    <n v="950523"/>
    <n v="446911"/>
    <n v="503612"/>
    <n v="50"/>
    <n v="59"/>
    <n v="36.6"/>
  </r>
  <r>
    <x v="13"/>
    <x v="13"/>
    <d v="2021-03-02T00:00:00"/>
    <s v="NA"/>
    <n v="0"/>
    <n v="53"/>
    <s v="41-60"/>
    <x v="1"/>
    <x v="7"/>
    <x v="5"/>
    <x v="3"/>
    <n v="1"/>
    <n v="1"/>
    <n v="6.4"/>
    <x v="24"/>
    <n v="4"/>
    <n v="6"/>
    <n v="999706"/>
    <n v="425758"/>
    <n v="573948"/>
    <n v="44"/>
    <n v="56"/>
    <n v="10.6"/>
  </r>
  <r>
    <x v="13"/>
    <x v="13"/>
    <d v="2023-10-30T00:00:00"/>
    <s v="NA"/>
    <n v="0"/>
    <n v="44"/>
    <s v="41-60"/>
    <x v="1"/>
    <x v="11"/>
    <x v="8"/>
    <x v="0"/>
    <n v="1"/>
    <n v="1"/>
    <n v="1.9"/>
    <x v="24"/>
    <n v="6"/>
    <n v="6"/>
    <n v="910264"/>
    <n v="409514"/>
    <n v="500750"/>
    <n v="49"/>
    <n v="62"/>
    <n v="5.7"/>
  </r>
  <r>
    <x v="13"/>
    <x v="13"/>
    <d v="2023-10-23T00:00:00"/>
    <s v="NA"/>
    <n v="0"/>
    <n v="25"/>
    <s v="21-40"/>
    <x v="1"/>
    <x v="13"/>
    <x v="10"/>
    <x v="4"/>
    <n v="1"/>
    <n v="1"/>
    <n v="1.8"/>
    <x v="2"/>
    <n v="6"/>
    <n v="3"/>
    <n v="830592"/>
    <n v="213260"/>
    <n v="617332"/>
    <n v="54"/>
    <n v="63"/>
    <n v="10.9"/>
  </r>
  <r>
    <x v="13"/>
    <x v="13"/>
    <d v="2024-07-28T00:00:00"/>
    <s v="NA"/>
    <n v="0"/>
    <n v="35"/>
    <s v="21-40"/>
    <x v="0"/>
    <x v="0"/>
    <x v="0"/>
    <x v="2"/>
    <n v="1"/>
    <n v="1"/>
    <n v="6.9"/>
    <x v="20"/>
    <n v="3"/>
    <n v="3"/>
    <n v="833963"/>
    <n v="283787"/>
    <n v="550176"/>
    <n v="35"/>
    <n v="62"/>
    <n v="6.7"/>
  </r>
  <r>
    <x v="13"/>
    <x v="13"/>
    <d v="2022-11-10T00:00:00"/>
    <s v="NA"/>
    <n v="0"/>
    <n v="86"/>
    <s v="81+"/>
    <x v="0"/>
    <x v="0"/>
    <x v="0"/>
    <x v="4"/>
    <n v="1"/>
    <n v="1"/>
    <n v="2.7"/>
    <x v="2"/>
    <n v="4"/>
    <n v="7"/>
    <n v="975997"/>
    <n v="308826"/>
    <n v="667171"/>
    <n v="33"/>
    <n v="54"/>
    <n v="9.8000000000000007"/>
  </r>
  <r>
    <x v="13"/>
    <x v="13"/>
    <d v="2024-07-03T00:00:00"/>
    <s v="NA"/>
    <n v="0"/>
    <n v="46"/>
    <s v="41-60"/>
    <x v="1"/>
    <x v="2"/>
    <x v="1"/>
    <x v="4"/>
    <n v="1"/>
    <n v="1"/>
    <n v="4.2"/>
    <x v="8"/>
    <n v="7"/>
    <n v="3"/>
    <n v="893718"/>
    <n v="377932"/>
    <n v="515786"/>
    <n v="48"/>
    <n v="54"/>
    <n v="12.6"/>
  </r>
  <r>
    <x v="13"/>
    <x v="13"/>
    <d v="2022-12-25T00:00:00"/>
    <s v="NA"/>
    <n v="0"/>
    <n v="80"/>
    <s v="61-80"/>
    <x v="0"/>
    <x v="4"/>
    <x v="3"/>
    <x v="2"/>
    <n v="1"/>
    <n v="1"/>
    <n v="6.9"/>
    <x v="24"/>
    <n v="5"/>
    <n v="4"/>
    <n v="908501"/>
    <n v="226246"/>
    <n v="682255"/>
    <n v="30"/>
    <n v="54"/>
    <n v="14.3"/>
  </r>
  <r>
    <x v="13"/>
    <x v="13"/>
    <d v="2021-08-05T00:00:00"/>
    <s v="NA"/>
    <n v="0"/>
    <n v="71"/>
    <s v="61-80"/>
    <x v="0"/>
    <x v="0"/>
    <x v="0"/>
    <x v="4"/>
    <n v="1"/>
    <n v="1"/>
    <n v="3.6"/>
    <x v="0"/>
    <n v="6"/>
    <n v="5"/>
    <n v="891682"/>
    <n v="247648"/>
    <n v="644034"/>
    <n v="38"/>
    <n v="63"/>
    <n v="9.5"/>
  </r>
  <r>
    <x v="13"/>
    <x v="13"/>
    <d v="2022-08-30T00:00:00"/>
    <s v="NA"/>
    <n v="0"/>
    <n v="82"/>
    <s v="81+"/>
    <x v="1"/>
    <x v="6"/>
    <x v="4"/>
    <x v="3"/>
    <n v="1"/>
    <n v="1"/>
    <n v="5.6"/>
    <x v="14"/>
    <n v="7"/>
    <n v="7"/>
    <n v="829190"/>
    <n v="161183"/>
    <n v="668007"/>
    <n v="43"/>
    <n v="62"/>
    <n v="8.6"/>
  </r>
  <r>
    <x v="13"/>
    <x v="13"/>
    <d v="2024-02-01T00:00:00"/>
    <s v="NA"/>
    <n v="0"/>
    <n v="90"/>
    <s v="81+"/>
    <x v="1"/>
    <x v="6"/>
    <x v="4"/>
    <x v="1"/>
    <n v="1"/>
    <n v="1"/>
    <n v="1.9"/>
    <x v="10"/>
    <n v="6"/>
    <n v="4"/>
    <n v="856002"/>
    <n v="340420"/>
    <n v="515582"/>
    <n v="49"/>
    <n v="56"/>
    <n v="13.9"/>
  </r>
  <r>
    <x v="13"/>
    <x v="13"/>
    <d v="2023-05-08T00:00:00"/>
    <s v="NA"/>
    <n v="0"/>
    <n v="49"/>
    <s v="41-60"/>
    <x v="1"/>
    <x v="6"/>
    <x v="4"/>
    <x v="4"/>
    <n v="1"/>
    <n v="1"/>
    <n v="4.3"/>
    <x v="8"/>
    <n v="6"/>
    <n v="3"/>
    <n v="953008"/>
    <n v="379503"/>
    <n v="573505"/>
    <n v="52"/>
    <n v="54"/>
    <n v="14.8"/>
  </r>
  <r>
    <x v="13"/>
    <x v="13"/>
    <d v="2021-08-28T00:00:00"/>
    <s v="NA"/>
    <n v="0"/>
    <n v="64"/>
    <s v="61-80"/>
    <x v="1"/>
    <x v="9"/>
    <x v="7"/>
    <x v="3"/>
    <n v="1"/>
    <n v="1"/>
    <n v="4.0999999999999996"/>
    <x v="23"/>
    <n v="6"/>
    <n v="5"/>
    <n v="837656"/>
    <n v="216069"/>
    <n v="621587"/>
    <n v="52"/>
    <n v="63"/>
    <n v="9.3000000000000007"/>
  </r>
  <r>
    <x v="13"/>
    <x v="13"/>
    <d v="2023-01-10T00:00:00"/>
    <s v="NA"/>
    <n v="0"/>
    <n v="49"/>
    <s v="41-60"/>
    <x v="1"/>
    <x v="3"/>
    <x v="2"/>
    <x v="3"/>
    <n v="1"/>
    <n v="1"/>
    <n v="2.4"/>
    <x v="24"/>
    <n v="6"/>
    <n v="6"/>
    <n v="937157"/>
    <n v="436737"/>
    <n v="500420"/>
    <n v="35"/>
    <n v="58"/>
    <n v="13.5"/>
  </r>
  <r>
    <x v="13"/>
    <x v="13"/>
    <d v="2023-01-11T00:00:00"/>
    <s v="NA"/>
    <n v="0"/>
    <n v="26"/>
    <s v="21-40"/>
    <x v="0"/>
    <x v="4"/>
    <x v="3"/>
    <x v="3"/>
    <n v="1"/>
    <n v="1"/>
    <n v="5.2"/>
    <x v="26"/>
    <n v="7"/>
    <n v="5"/>
    <n v="807930"/>
    <n v="144527"/>
    <n v="663403"/>
    <n v="30"/>
    <n v="61"/>
    <n v="12.7"/>
  </r>
  <r>
    <x v="13"/>
    <x v="13"/>
    <d v="2021-09-22T00:00:00"/>
    <s v="NA"/>
    <n v="0"/>
    <n v="35"/>
    <s v="21-40"/>
    <x v="1"/>
    <x v="3"/>
    <x v="2"/>
    <x v="1"/>
    <n v="1"/>
    <n v="1"/>
    <n v="6.3"/>
    <x v="2"/>
    <n v="7"/>
    <n v="7"/>
    <n v="955052"/>
    <n v="267978"/>
    <n v="687074"/>
    <n v="59"/>
    <n v="59"/>
    <n v="10.199999999999999"/>
  </r>
  <r>
    <x v="13"/>
    <x v="13"/>
    <d v="2024-09-10T00:00:00"/>
    <s v="NA"/>
    <n v="0"/>
    <n v="35"/>
    <s v="21-40"/>
    <x v="1"/>
    <x v="3"/>
    <x v="2"/>
    <x v="2"/>
    <n v="1"/>
    <n v="1"/>
    <n v="5.3"/>
    <x v="18"/>
    <n v="4"/>
    <n v="3"/>
    <n v="843607"/>
    <n v="177280"/>
    <n v="666327"/>
    <n v="33"/>
    <n v="65"/>
    <n v="13.6"/>
  </r>
  <r>
    <x v="0"/>
    <x v="0"/>
    <d v="2022-07-23T00:00:00"/>
    <s v="NA"/>
    <n v="0"/>
    <n v="69"/>
    <s v="61-80"/>
    <x v="0"/>
    <x v="13"/>
    <x v="10"/>
    <x v="3"/>
    <n v="1"/>
    <n v="1"/>
    <n v="1.1000000000000001"/>
    <x v="8"/>
    <n v="6"/>
    <n v="6"/>
    <n v="861438"/>
    <n v="593353"/>
    <n v="268085"/>
    <n v="34"/>
    <n v="58"/>
    <n v="13.7"/>
  </r>
  <r>
    <x v="0"/>
    <x v="0"/>
    <d v="2022-02-23T00:00:00"/>
    <s v="NA"/>
    <n v="0"/>
    <n v="87"/>
    <s v="81+"/>
    <x v="1"/>
    <x v="9"/>
    <x v="7"/>
    <x v="2"/>
    <n v="1"/>
    <n v="1"/>
    <n v="4"/>
    <x v="5"/>
    <n v="7"/>
    <n v="4"/>
    <n v="676670"/>
    <n v="444296"/>
    <n v="232374"/>
    <n v="22"/>
    <n v="61"/>
    <n v="7.8"/>
  </r>
  <r>
    <x v="13"/>
    <x v="13"/>
    <d v="2023-11-19T00:00:00"/>
    <s v="NA"/>
    <n v="0"/>
    <n v="36"/>
    <s v="21-40"/>
    <x v="0"/>
    <x v="5"/>
    <x v="0"/>
    <x v="3"/>
    <n v="1"/>
    <n v="1"/>
    <n v="6"/>
    <x v="16"/>
    <n v="3"/>
    <n v="7"/>
    <n v="966083"/>
    <n v="335622"/>
    <n v="630461"/>
    <n v="50"/>
    <n v="66"/>
    <n v="36.299999999999997"/>
  </r>
  <r>
    <x v="0"/>
    <x v="0"/>
    <d v="2023-05-27T00:00:00"/>
    <s v="NA"/>
    <n v="0"/>
    <n v="66"/>
    <s v="61-80"/>
    <x v="0"/>
    <x v="0"/>
    <x v="0"/>
    <x v="3"/>
    <n v="1"/>
    <n v="1"/>
    <n v="4.8"/>
    <x v="14"/>
    <n v="5"/>
    <n v="6"/>
    <n v="653587"/>
    <n v="288013"/>
    <n v="365574"/>
    <n v="31"/>
    <n v="55"/>
    <n v="9.4"/>
  </r>
  <r>
    <x v="0"/>
    <x v="0"/>
    <d v="2024-04-03T00:00:00"/>
    <s v="NA"/>
    <n v="0"/>
    <n v="89"/>
    <s v="81+"/>
    <x v="0"/>
    <x v="14"/>
    <x v="11"/>
    <x v="0"/>
    <n v="1"/>
    <n v="1"/>
    <n v="1.4"/>
    <x v="25"/>
    <n v="3"/>
    <n v="7"/>
    <n v="676706"/>
    <n v="342280"/>
    <n v="334426"/>
    <n v="24"/>
    <n v="65"/>
    <n v="12.4"/>
  </r>
  <r>
    <x v="13"/>
    <x v="13"/>
    <d v="2022-03-07T00:00:00"/>
    <s v="NA"/>
    <n v="0"/>
    <n v="39"/>
    <s v="21-40"/>
    <x v="0"/>
    <x v="0"/>
    <x v="0"/>
    <x v="3"/>
    <n v="1"/>
    <n v="1"/>
    <n v="2.1"/>
    <x v="2"/>
    <n v="4"/>
    <n v="7"/>
    <n v="849636"/>
    <n v="205327"/>
    <n v="644309"/>
    <n v="52"/>
    <n v="63"/>
    <n v="14.6"/>
  </r>
  <r>
    <x v="0"/>
    <x v="0"/>
    <d v="2024-11-15T00:00:00"/>
    <s v="NA"/>
    <n v="0"/>
    <n v="46"/>
    <s v="41-60"/>
    <x v="0"/>
    <x v="10"/>
    <x v="8"/>
    <x v="1"/>
    <n v="1"/>
    <n v="1"/>
    <n v="3"/>
    <x v="30"/>
    <n v="7"/>
    <n v="6"/>
    <n v="713108"/>
    <n v="455465"/>
    <n v="257643"/>
    <n v="23"/>
    <n v="63"/>
    <n v="10.5"/>
  </r>
  <r>
    <x v="0"/>
    <x v="0"/>
    <d v="2022-07-25T00:00:00"/>
    <s v="NA"/>
    <n v="0"/>
    <n v="74"/>
    <s v="61-80"/>
    <x v="1"/>
    <x v="13"/>
    <x v="10"/>
    <x v="4"/>
    <n v="1"/>
    <n v="1"/>
    <n v="6.6"/>
    <x v="24"/>
    <n v="3"/>
    <n v="4"/>
    <n v="710940"/>
    <n v="401402"/>
    <n v="309538"/>
    <n v="30"/>
    <n v="61"/>
    <n v="9"/>
  </r>
  <r>
    <x v="0"/>
    <x v="0"/>
    <d v="2024-12-18T00:00:00"/>
    <s v="NA"/>
    <n v="0"/>
    <n v="87"/>
    <s v="81+"/>
    <x v="1"/>
    <x v="1"/>
    <x v="1"/>
    <x v="3"/>
    <n v="1"/>
    <n v="1"/>
    <n v="3.4"/>
    <x v="4"/>
    <n v="4"/>
    <n v="4"/>
    <n v="747084"/>
    <n v="508645"/>
    <n v="238439"/>
    <n v="35"/>
    <n v="58"/>
    <n v="9"/>
  </r>
  <r>
    <x v="13"/>
    <x v="13"/>
    <d v="2022-03-17T00:00:00"/>
    <s v="NA"/>
    <n v="0"/>
    <n v="30"/>
    <s v="21-40"/>
    <x v="0"/>
    <x v="6"/>
    <x v="4"/>
    <x v="2"/>
    <n v="1"/>
    <n v="1"/>
    <n v="5.9"/>
    <x v="2"/>
    <n v="3"/>
    <n v="7"/>
    <n v="934725"/>
    <n v="332339"/>
    <n v="602386"/>
    <n v="37"/>
    <n v="58"/>
    <n v="5.0999999999999996"/>
  </r>
  <r>
    <x v="13"/>
    <x v="13"/>
    <d v="2022-05-03T00:00:00"/>
    <s v="NA"/>
    <n v="0"/>
    <n v="49"/>
    <s v="41-60"/>
    <x v="0"/>
    <x v="10"/>
    <x v="8"/>
    <x v="0"/>
    <n v="1"/>
    <n v="1"/>
    <n v="6"/>
    <x v="4"/>
    <n v="6"/>
    <n v="3"/>
    <n v="828001"/>
    <n v="243159"/>
    <n v="584842"/>
    <n v="38"/>
    <n v="61"/>
    <n v="9.9"/>
  </r>
  <r>
    <x v="0"/>
    <x v="0"/>
    <d v="2022-07-25T00:00:00"/>
    <s v="NA"/>
    <n v="0"/>
    <n v="76"/>
    <s v="61-80"/>
    <x v="1"/>
    <x v="6"/>
    <x v="4"/>
    <x v="2"/>
    <n v="1"/>
    <n v="1"/>
    <n v="5.9"/>
    <x v="21"/>
    <n v="4"/>
    <n v="5"/>
    <n v="969985"/>
    <n v="579669"/>
    <n v="390316"/>
    <n v="31"/>
    <n v="65"/>
    <n v="12.6"/>
  </r>
  <r>
    <x v="0"/>
    <x v="0"/>
    <d v="2023-03-08T00:00:00"/>
    <s v="NA"/>
    <n v="0"/>
    <n v="55"/>
    <s v="41-60"/>
    <x v="1"/>
    <x v="3"/>
    <x v="2"/>
    <x v="4"/>
    <n v="1"/>
    <n v="1"/>
    <n v="3.7"/>
    <x v="1"/>
    <n v="3"/>
    <n v="6"/>
    <n v="797360"/>
    <n v="574140"/>
    <n v="223220"/>
    <n v="37"/>
    <n v="64"/>
    <n v="5.2"/>
  </r>
  <r>
    <x v="0"/>
    <x v="0"/>
    <d v="2023-11-05T00:00:00"/>
    <s v="NA"/>
    <n v="0"/>
    <n v="42"/>
    <s v="41-60"/>
    <x v="1"/>
    <x v="11"/>
    <x v="8"/>
    <x v="1"/>
    <n v="1"/>
    <n v="1"/>
    <n v="6.2"/>
    <x v="10"/>
    <n v="6"/>
    <n v="7"/>
    <n v="991508"/>
    <n v="677709"/>
    <n v="313799"/>
    <n v="22"/>
    <n v="54"/>
    <n v="5.5"/>
  </r>
  <r>
    <x v="0"/>
    <x v="0"/>
    <d v="2023-08-02T00:00:00"/>
    <s v="NA"/>
    <n v="0"/>
    <n v="44"/>
    <s v="41-60"/>
    <x v="0"/>
    <x v="7"/>
    <x v="5"/>
    <x v="1"/>
    <n v="1"/>
    <n v="1"/>
    <n v="1.7"/>
    <x v="23"/>
    <n v="7"/>
    <n v="5"/>
    <n v="789481"/>
    <n v="366778"/>
    <n v="422703"/>
    <n v="28"/>
    <n v="61"/>
    <n v="36.5"/>
  </r>
  <r>
    <x v="13"/>
    <x v="13"/>
    <d v="2021-09-19T00:00:00"/>
    <s v="NA"/>
    <n v="0"/>
    <n v="31"/>
    <s v="21-40"/>
    <x v="1"/>
    <x v="3"/>
    <x v="2"/>
    <x v="1"/>
    <n v="1"/>
    <n v="1"/>
    <n v="3.5"/>
    <x v="14"/>
    <n v="7"/>
    <n v="5"/>
    <n v="967094"/>
    <n v="307733"/>
    <n v="659361"/>
    <n v="60"/>
    <n v="57"/>
    <n v="8"/>
  </r>
  <r>
    <x v="0"/>
    <x v="0"/>
    <d v="2023-05-18T00:00:00"/>
    <s v="NA"/>
    <n v="0"/>
    <n v="69"/>
    <s v="61-80"/>
    <x v="1"/>
    <x v="4"/>
    <x v="3"/>
    <x v="0"/>
    <n v="1"/>
    <n v="1"/>
    <n v="5.9"/>
    <x v="20"/>
    <n v="3"/>
    <n v="3"/>
    <n v="756193"/>
    <n v="493429"/>
    <n v="262764"/>
    <n v="31"/>
    <n v="58"/>
    <n v="6.3"/>
  </r>
  <r>
    <x v="13"/>
    <x v="13"/>
    <d v="2022-06-11T00:00:00"/>
    <s v="NA"/>
    <n v="0"/>
    <n v="30"/>
    <s v="21-40"/>
    <x v="1"/>
    <x v="4"/>
    <x v="3"/>
    <x v="2"/>
    <n v="1"/>
    <n v="1"/>
    <n v="2.8"/>
    <x v="16"/>
    <n v="7"/>
    <n v="3"/>
    <n v="956280"/>
    <n v="443544"/>
    <n v="512736"/>
    <n v="39"/>
    <n v="66"/>
    <n v="14.3"/>
  </r>
  <r>
    <x v="13"/>
    <x v="13"/>
    <d v="2021-12-08T00:00:00"/>
    <s v="NA"/>
    <n v="0"/>
    <n v="79"/>
    <s v="61-80"/>
    <x v="1"/>
    <x v="10"/>
    <x v="8"/>
    <x v="1"/>
    <n v="1"/>
    <n v="1"/>
    <n v="2.8"/>
    <x v="3"/>
    <n v="5"/>
    <n v="5"/>
    <n v="923160"/>
    <n v="319411"/>
    <n v="603749"/>
    <n v="40"/>
    <n v="61"/>
    <n v="10.9"/>
  </r>
  <r>
    <x v="13"/>
    <x v="13"/>
    <d v="2024-06-15T00:00:00"/>
    <s v="NA"/>
    <n v="0"/>
    <n v="31"/>
    <s v="21-40"/>
    <x v="0"/>
    <x v="0"/>
    <x v="0"/>
    <x v="2"/>
    <n v="1"/>
    <n v="1"/>
    <n v="5.0999999999999996"/>
    <x v="28"/>
    <n v="7"/>
    <n v="7"/>
    <n v="927049"/>
    <n v="304637"/>
    <n v="622412"/>
    <n v="48"/>
    <n v="56"/>
    <n v="36.9"/>
  </r>
  <r>
    <x v="13"/>
    <x v="13"/>
    <d v="2023-02-05T00:00:00"/>
    <s v="NA"/>
    <n v="0"/>
    <n v="34"/>
    <s v="21-40"/>
    <x v="1"/>
    <x v="1"/>
    <x v="1"/>
    <x v="0"/>
    <n v="1"/>
    <n v="1"/>
    <n v="3.8"/>
    <x v="6"/>
    <n v="4"/>
    <n v="6"/>
    <n v="909909"/>
    <n v="268149"/>
    <n v="641760"/>
    <n v="50"/>
    <n v="57"/>
    <n v="6"/>
  </r>
  <r>
    <x v="13"/>
    <x v="13"/>
    <d v="2022-07-31T00:00:00"/>
    <s v="NA"/>
    <n v="0"/>
    <n v="66"/>
    <s v="61-80"/>
    <x v="0"/>
    <x v="0"/>
    <x v="0"/>
    <x v="1"/>
    <n v="1"/>
    <n v="1"/>
    <n v="2.1"/>
    <x v="18"/>
    <n v="4"/>
    <n v="6"/>
    <n v="868036"/>
    <n v="241018"/>
    <n v="627018"/>
    <n v="41"/>
    <n v="64"/>
    <n v="8.5"/>
  </r>
  <r>
    <x v="13"/>
    <x v="13"/>
    <d v="2024-02-21T00:00:00"/>
    <s v="NA"/>
    <n v="0"/>
    <n v="33"/>
    <s v="21-40"/>
    <x v="1"/>
    <x v="3"/>
    <x v="2"/>
    <x v="4"/>
    <n v="1"/>
    <n v="1"/>
    <n v="4.2"/>
    <x v="27"/>
    <n v="5"/>
    <n v="7"/>
    <n v="952728"/>
    <n v="410938"/>
    <n v="541790"/>
    <n v="58"/>
    <n v="59"/>
    <n v="13.9"/>
  </r>
  <r>
    <x v="13"/>
    <x v="13"/>
    <d v="2022-03-25T00:00:00"/>
    <s v="NA"/>
    <n v="0"/>
    <n v="54"/>
    <s v="41-60"/>
    <x v="1"/>
    <x v="9"/>
    <x v="7"/>
    <x v="1"/>
    <n v="1"/>
    <n v="1"/>
    <n v="3.8"/>
    <x v="24"/>
    <n v="7"/>
    <n v="5"/>
    <n v="988977"/>
    <n v="437978"/>
    <n v="550999"/>
    <n v="39"/>
    <n v="55"/>
    <n v="12.1"/>
  </r>
  <r>
    <x v="13"/>
    <x v="13"/>
    <d v="2022-04-19T00:00:00"/>
    <s v="NA"/>
    <n v="0"/>
    <n v="38"/>
    <s v="21-40"/>
    <x v="1"/>
    <x v="1"/>
    <x v="1"/>
    <x v="0"/>
    <n v="1"/>
    <n v="1"/>
    <n v="3.1"/>
    <x v="2"/>
    <n v="6"/>
    <n v="5"/>
    <n v="909831"/>
    <n v="341551"/>
    <n v="568280"/>
    <n v="53"/>
    <n v="54"/>
    <n v="7.9"/>
  </r>
  <r>
    <x v="13"/>
    <x v="13"/>
    <d v="2023-03-22T00:00:00"/>
    <s v="NA"/>
    <n v="0"/>
    <n v="26"/>
    <s v="21-40"/>
    <x v="1"/>
    <x v="10"/>
    <x v="8"/>
    <x v="1"/>
    <n v="1"/>
    <n v="1"/>
    <n v="6.5"/>
    <x v="15"/>
    <n v="7"/>
    <n v="4"/>
    <n v="914430"/>
    <n v="410799"/>
    <n v="503631"/>
    <n v="37"/>
    <n v="62"/>
    <n v="9.9"/>
  </r>
  <r>
    <x v="13"/>
    <x v="13"/>
    <d v="2021-10-05T00:00:00"/>
    <s v="NA"/>
    <n v="0"/>
    <n v="70"/>
    <s v="61-80"/>
    <x v="0"/>
    <x v="0"/>
    <x v="0"/>
    <x v="1"/>
    <n v="1"/>
    <n v="1"/>
    <n v="5.5"/>
    <x v="30"/>
    <n v="4"/>
    <n v="5"/>
    <n v="878600"/>
    <n v="266478"/>
    <n v="612122"/>
    <n v="35"/>
    <n v="56"/>
    <n v="8.3000000000000007"/>
  </r>
  <r>
    <x v="0"/>
    <x v="0"/>
    <d v="2023-06-14T00:00:00"/>
    <s v="NA"/>
    <n v="0"/>
    <n v="35"/>
    <s v="21-40"/>
    <x v="1"/>
    <x v="3"/>
    <x v="2"/>
    <x v="1"/>
    <n v="1"/>
    <n v="1"/>
    <n v="1.4"/>
    <x v="30"/>
    <n v="4"/>
    <n v="3"/>
    <n v="866895"/>
    <n v="406633"/>
    <n v="460262"/>
    <n v="37"/>
    <n v="61"/>
    <n v="10.3"/>
  </r>
  <r>
    <x v="13"/>
    <x v="13"/>
    <d v="2021-05-01T00:00:00"/>
    <s v="NA"/>
    <n v="0"/>
    <n v="39"/>
    <s v="21-40"/>
    <x v="1"/>
    <x v="2"/>
    <x v="1"/>
    <x v="0"/>
    <n v="1"/>
    <n v="1"/>
    <n v="1.2"/>
    <x v="20"/>
    <n v="4"/>
    <n v="5"/>
    <n v="809701"/>
    <n v="267481"/>
    <n v="542220"/>
    <n v="51"/>
    <n v="62"/>
    <n v="8.1"/>
  </r>
  <r>
    <x v="13"/>
    <x v="13"/>
    <d v="2024-07-18T00:00:00"/>
    <s v="NA"/>
    <n v="0"/>
    <n v="46"/>
    <s v="41-60"/>
    <x v="1"/>
    <x v="10"/>
    <x v="8"/>
    <x v="2"/>
    <n v="1"/>
    <n v="1"/>
    <n v="2.5"/>
    <x v="1"/>
    <n v="3"/>
    <n v="4"/>
    <n v="899382"/>
    <n v="373625"/>
    <n v="525757"/>
    <n v="47"/>
    <n v="56"/>
    <n v="6.9"/>
  </r>
  <r>
    <x v="13"/>
    <x v="13"/>
    <d v="2023-04-16T00:00:00"/>
    <s v="NA"/>
    <n v="0"/>
    <n v="32"/>
    <s v="21-40"/>
    <x v="0"/>
    <x v="4"/>
    <x v="3"/>
    <x v="4"/>
    <n v="1"/>
    <n v="1"/>
    <n v="2.9"/>
    <x v="26"/>
    <n v="6"/>
    <n v="7"/>
    <n v="925479"/>
    <n v="423006"/>
    <n v="502473"/>
    <n v="50"/>
    <n v="54"/>
    <n v="12.5"/>
  </r>
  <r>
    <x v="13"/>
    <x v="13"/>
    <d v="2023-06-24T00:00:00"/>
    <s v="NA"/>
    <n v="0"/>
    <n v="35"/>
    <s v="21-40"/>
    <x v="0"/>
    <x v="0"/>
    <x v="0"/>
    <x v="1"/>
    <n v="1"/>
    <n v="1"/>
    <n v="5.4"/>
    <x v="6"/>
    <n v="5"/>
    <n v="4"/>
    <n v="839428"/>
    <n v="321795"/>
    <n v="517633"/>
    <n v="40"/>
    <n v="56"/>
    <n v="13.8"/>
  </r>
  <r>
    <x v="13"/>
    <x v="13"/>
    <d v="2021-08-18T00:00:00"/>
    <s v="NA"/>
    <n v="0"/>
    <n v="79"/>
    <s v="61-80"/>
    <x v="0"/>
    <x v="2"/>
    <x v="1"/>
    <x v="3"/>
    <n v="1"/>
    <n v="1"/>
    <n v="1.9"/>
    <x v="19"/>
    <n v="4"/>
    <n v="7"/>
    <n v="828914"/>
    <n v="261396"/>
    <n v="567518"/>
    <n v="60"/>
    <n v="62"/>
    <n v="36.299999999999997"/>
  </r>
  <r>
    <x v="13"/>
    <x v="13"/>
    <d v="2022-12-23T00:00:00"/>
    <s v="NA"/>
    <n v="0"/>
    <n v="44"/>
    <s v="41-60"/>
    <x v="0"/>
    <x v="0"/>
    <x v="0"/>
    <x v="0"/>
    <n v="1"/>
    <n v="1"/>
    <n v="5.0999999999999996"/>
    <x v="29"/>
    <n v="3"/>
    <n v="3"/>
    <n v="838810"/>
    <n v="202308"/>
    <n v="636502"/>
    <n v="32"/>
    <n v="63"/>
    <n v="10"/>
  </r>
  <r>
    <x v="13"/>
    <x v="13"/>
    <d v="2024-06-03T00:00:00"/>
    <s v="NA"/>
    <n v="0"/>
    <n v="45"/>
    <s v="41-60"/>
    <x v="1"/>
    <x v="3"/>
    <x v="2"/>
    <x v="0"/>
    <n v="1"/>
    <n v="1"/>
    <n v="2.4"/>
    <x v="3"/>
    <n v="4"/>
    <n v="4"/>
    <n v="959314"/>
    <n v="373977"/>
    <n v="585337"/>
    <n v="48"/>
    <n v="65"/>
    <n v="12.1"/>
  </r>
  <r>
    <x v="13"/>
    <x v="13"/>
    <d v="2024-09-20T00:00:00"/>
    <s v="NA"/>
    <n v="0"/>
    <n v="22"/>
    <s v="21-40"/>
    <x v="1"/>
    <x v="6"/>
    <x v="4"/>
    <x v="4"/>
    <n v="1"/>
    <n v="1"/>
    <n v="1.4"/>
    <x v="29"/>
    <n v="4"/>
    <n v="5"/>
    <n v="848422"/>
    <n v="153920"/>
    <n v="694502"/>
    <n v="60"/>
    <n v="55"/>
    <n v="36.4"/>
  </r>
  <r>
    <x v="13"/>
    <x v="13"/>
    <d v="2024-02-26T00:00:00"/>
    <s v="NA"/>
    <n v="0"/>
    <n v="21"/>
    <s v="21-40"/>
    <x v="0"/>
    <x v="7"/>
    <x v="5"/>
    <x v="3"/>
    <n v="1"/>
    <n v="1"/>
    <n v="2.1"/>
    <x v="27"/>
    <n v="7"/>
    <n v="6"/>
    <n v="917525"/>
    <n v="228392"/>
    <n v="689133"/>
    <n v="51"/>
    <n v="64"/>
    <n v="5.6"/>
  </r>
  <r>
    <x v="0"/>
    <x v="0"/>
    <d v="2024-02-07T00:00:00"/>
    <s v="NA"/>
    <n v="0"/>
    <n v="54"/>
    <s v="41-60"/>
    <x v="1"/>
    <x v="6"/>
    <x v="4"/>
    <x v="2"/>
    <n v="1"/>
    <n v="1"/>
    <n v="5.7"/>
    <x v="27"/>
    <n v="5"/>
    <n v="4"/>
    <n v="816015"/>
    <n v="521605"/>
    <n v="294410"/>
    <n v="26"/>
    <n v="55"/>
    <n v="6.6"/>
  </r>
  <r>
    <x v="13"/>
    <x v="13"/>
    <d v="2021-06-20T00:00:00"/>
    <s v="NA"/>
    <n v="0"/>
    <n v="47"/>
    <s v="41-60"/>
    <x v="1"/>
    <x v="7"/>
    <x v="5"/>
    <x v="4"/>
    <n v="1"/>
    <n v="1"/>
    <n v="4.0999999999999996"/>
    <x v="9"/>
    <n v="3"/>
    <n v="5"/>
    <n v="938183"/>
    <n v="280799"/>
    <n v="657384"/>
    <n v="45"/>
    <n v="61"/>
    <n v="14.5"/>
  </r>
  <r>
    <x v="13"/>
    <x v="13"/>
    <d v="2021-12-20T00:00:00"/>
    <s v="NA"/>
    <n v="0"/>
    <n v="46"/>
    <s v="41-60"/>
    <x v="1"/>
    <x v="3"/>
    <x v="2"/>
    <x v="1"/>
    <n v="1"/>
    <n v="1"/>
    <n v="2.1"/>
    <x v="3"/>
    <n v="5"/>
    <n v="3"/>
    <n v="830294"/>
    <n v="233262"/>
    <n v="597032"/>
    <n v="51"/>
    <n v="55"/>
    <n v="8.6"/>
  </r>
  <r>
    <x v="13"/>
    <x v="13"/>
    <d v="2023-03-17T00:00:00"/>
    <s v="NA"/>
    <n v="0"/>
    <n v="26"/>
    <s v="21-40"/>
    <x v="0"/>
    <x v="0"/>
    <x v="0"/>
    <x v="4"/>
    <n v="1"/>
    <n v="1"/>
    <n v="1.3"/>
    <x v="12"/>
    <n v="7"/>
    <n v="5"/>
    <n v="844894"/>
    <n v="337955"/>
    <n v="506939"/>
    <n v="57"/>
    <n v="60"/>
    <n v="36.700000000000003"/>
  </r>
  <r>
    <x v="13"/>
    <x v="13"/>
    <d v="2023-03-06T00:00:00"/>
    <s v="NA"/>
    <n v="0"/>
    <n v="30"/>
    <s v="21-40"/>
    <x v="0"/>
    <x v="5"/>
    <x v="0"/>
    <x v="2"/>
    <n v="1"/>
    <n v="1"/>
    <n v="3.8"/>
    <x v="9"/>
    <n v="7"/>
    <n v="6"/>
    <n v="834240"/>
    <n v="272798"/>
    <n v="561442"/>
    <n v="41"/>
    <n v="61"/>
    <n v="6.3"/>
  </r>
  <r>
    <x v="13"/>
    <x v="13"/>
    <d v="2021-09-08T00:00:00"/>
    <s v="NA"/>
    <n v="0"/>
    <n v="44"/>
    <s v="41-60"/>
    <x v="0"/>
    <x v="10"/>
    <x v="8"/>
    <x v="3"/>
    <n v="1"/>
    <n v="1"/>
    <n v="3.1"/>
    <x v="29"/>
    <n v="4"/>
    <n v="4"/>
    <n v="828516"/>
    <n v="214502"/>
    <n v="614014"/>
    <n v="59"/>
    <n v="64"/>
    <n v="5.4"/>
  </r>
  <r>
    <x v="0"/>
    <x v="0"/>
    <d v="2023-07-01T00:00:00"/>
    <s v="NA"/>
    <n v="0"/>
    <n v="57"/>
    <s v="41-60"/>
    <x v="0"/>
    <x v="10"/>
    <x v="8"/>
    <x v="0"/>
    <n v="1"/>
    <n v="1"/>
    <n v="2.7"/>
    <x v="14"/>
    <n v="7"/>
    <n v="7"/>
    <n v="817318"/>
    <n v="483741"/>
    <n v="333577"/>
    <n v="40"/>
    <n v="64"/>
    <n v="10.1"/>
  </r>
  <r>
    <x v="13"/>
    <x v="13"/>
    <d v="2024-09-28T00:00:00"/>
    <s v="NA"/>
    <n v="0"/>
    <n v="35"/>
    <s v="21-40"/>
    <x v="1"/>
    <x v="11"/>
    <x v="8"/>
    <x v="3"/>
    <n v="1"/>
    <n v="1"/>
    <n v="6.9"/>
    <x v="15"/>
    <n v="6"/>
    <n v="3"/>
    <n v="884530"/>
    <n v="286790"/>
    <n v="597740"/>
    <n v="49"/>
    <n v="54"/>
    <n v="36"/>
  </r>
  <r>
    <x v="13"/>
    <x v="13"/>
    <d v="2021-10-26T00:00:00"/>
    <s v="NA"/>
    <n v="0"/>
    <n v="22"/>
    <s v="21-40"/>
    <x v="1"/>
    <x v="9"/>
    <x v="7"/>
    <x v="3"/>
    <n v="1"/>
    <n v="1"/>
    <n v="4.4000000000000004"/>
    <x v="5"/>
    <n v="6"/>
    <n v="3"/>
    <n v="958070"/>
    <n v="428772"/>
    <n v="529298"/>
    <n v="48"/>
    <n v="63"/>
    <n v="10.5"/>
  </r>
  <r>
    <x v="0"/>
    <x v="0"/>
    <d v="2021-11-14T00:00:00"/>
    <s v="NA"/>
    <n v="0"/>
    <n v="28"/>
    <s v="21-40"/>
    <x v="0"/>
    <x v="0"/>
    <x v="0"/>
    <x v="1"/>
    <n v="1"/>
    <n v="1"/>
    <n v="6.1"/>
    <x v="1"/>
    <n v="4"/>
    <n v="6"/>
    <n v="742220"/>
    <n v="467334"/>
    <n v="274886"/>
    <n v="38"/>
    <n v="55"/>
    <n v="36.799999999999997"/>
  </r>
  <r>
    <x v="0"/>
    <x v="0"/>
    <d v="2023-05-06T00:00:00"/>
    <s v="NA"/>
    <n v="0"/>
    <n v="39"/>
    <s v="21-40"/>
    <x v="1"/>
    <x v="2"/>
    <x v="1"/>
    <x v="3"/>
    <n v="1"/>
    <n v="1"/>
    <n v="2.2999999999999998"/>
    <x v="7"/>
    <n v="5"/>
    <n v="3"/>
    <n v="960864"/>
    <n v="736121"/>
    <n v="224743"/>
    <n v="20"/>
    <n v="60"/>
    <n v="9.3000000000000007"/>
  </r>
  <r>
    <x v="0"/>
    <x v="0"/>
    <d v="2024-10-23T00:00:00"/>
    <s v="NA"/>
    <n v="0"/>
    <n v="74"/>
    <s v="61-80"/>
    <x v="1"/>
    <x v="7"/>
    <x v="5"/>
    <x v="0"/>
    <n v="1"/>
    <n v="1"/>
    <n v="6"/>
    <x v="9"/>
    <n v="7"/>
    <n v="4"/>
    <n v="790820"/>
    <n v="388314"/>
    <n v="402506"/>
    <n v="35"/>
    <n v="64"/>
    <n v="13.6"/>
  </r>
  <r>
    <x v="13"/>
    <x v="13"/>
    <d v="2022-11-30T00:00:00"/>
    <s v="NA"/>
    <n v="0"/>
    <n v="47"/>
    <s v="41-60"/>
    <x v="1"/>
    <x v="3"/>
    <x v="2"/>
    <x v="2"/>
    <n v="1"/>
    <n v="1"/>
    <n v="2.8"/>
    <x v="0"/>
    <n v="4"/>
    <n v="4"/>
    <n v="984820"/>
    <n v="482895"/>
    <n v="501925"/>
    <n v="54"/>
    <n v="54"/>
    <n v="5.7"/>
  </r>
  <r>
    <x v="0"/>
    <x v="0"/>
    <d v="2022-04-07T00:00:00"/>
    <s v="NA"/>
    <n v="0"/>
    <n v="68"/>
    <s v="61-80"/>
    <x v="0"/>
    <x v="0"/>
    <x v="0"/>
    <x v="1"/>
    <n v="1"/>
    <n v="1"/>
    <n v="4.5"/>
    <x v="20"/>
    <n v="6"/>
    <n v="6"/>
    <n v="869741"/>
    <n v="587953"/>
    <n v="281788"/>
    <n v="40"/>
    <n v="55"/>
    <n v="13.7"/>
  </r>
  <r>
    <x v="13"/>
    <x v="13"/>
    <d v="2024-10-24T00:00:00"/>
    <s v="NA"/>
    <n v="0"/>
    <n v="36"/>
    <s v="21-40"/>
    <x v="0"/>
    <x v="0"/>
    <x v="0"/>
    <x v="0"/>
    <n v="1"/>
    <n v="1"/>
    <n v="5.5"/>
    <x v="7"/>
    <n v="6"/>
    <n v="4"/>
    <n v="955363"/>
    <n v="345512"/>
    <n v="609851"/>
    <n v="50"/>
    <n v="63"/>
    <n v="8.9"/>
  </r>
  <r>
    <x v="13"/>
    <x v="13"/>
    <d v="2024-07-28T00:00:00"/>
    <s v="NA"/>
    <n v="0"/>
    <n v="31"/>
    <s v="21-40"/>
    <x v="0"/>
    <x v="7"/>
    <x v="5"/>
    <x v="2"/>
    <n v="1"/>
    <n v="1"/>
    <n v="5.3"/>
    <x v="19"/>
    <n v="3"/>
    <n v="5"/>
    <n v="933085"/>
    <n v="255801"/>
    <n v="677284"/>
    <n v="45"/>
    <n v="60"/>
    <n v="9.1"/>
  </r>
  <r>
    <x v="13"/>
    <x v="13"/>
    <d v="2024-05-13T00:00:00"/>
    <s v="NA"/>
    <n v="0"/>
    <n v="36"/>
    <s v="21-40"/>
    <x v="0"/>
    <x v="5"/>
    <x v="0"/>
    <x v="0"/>
    <n v="1"/>
    <n v="1"/>
    <n v="2.2999999999999998"/>
    <x v="2"/>
    <n v="3"/>
    <n v="6"/>
    <n v="879383"/>
    <n v="271284"/>
    <n v="608099"/>
    <n v="33"/>
    <n v="54"/>
    <n v="10.4"/>
  </r>
  <r>
    <x v="13"/>
    <x v="13"/>
    <d v="2022-08-30T00:00:00"/>
    <s v="NA"/>
    <n v="0"/>
    <n v="42"/>
    <s v="41-60"/>
    <x v="0"/>
    <x v="0"/>
    <x v="0"/>
    <x v="3"/>
    <n v="1"/>
    <n v="1"/>
    <n v="3.9"/>
    <x v="18"/>
    <n v="5"/>
    <n v="6"/>
    <n v="982410"/>
    <n v="441120"/>
    <n v="541290"/>
    <n v="32"/>
    <n v="60"/>
    <n v="5"/>
  </r>
  <r>
    <x v="13"/>
    <x v="13"/>
    <d v="2023-10-09T00:00:00"/>
    <s v="NA"/>
    <n v="0"/>
    <n v="88"/>
    <s v="81+"/>
    <x v="0"/>
    <x v="7"/>
    <x v="5"/>
    <x v="1"/>
    <n v="1"/>
    <n v="1"/>
    <n v="4.4000000000000004"/>
    <x v="7"/>
    <n v="7"/>
    <n v="3"/>
    <n v="846166"/>
    <n v="259458"/>
    <n v="586708"/>
    <n v="46"/>
    <n v="62"/>
    <n v="13.8"/>
  </r>
  <r>
    <x v="0"/>
    <x v="0"/>
    <d v="2023-11-23T00:00:00"/>
    <s v="NA"/>
    <n v="0"/>
    <n v="37"/>
    <s v="21-40"/>
    <x v="0"/>
    <x v="4"/>
    <x v="3"/>
    <x v="4"/>
    <n v="1"/>
    <n v="1"/>
    <n v="3.5"/>
    <x v="29"/>
    <n v="7"/>
    <n v="7"/>
    <n v="752654"/>
    <n v="354246"/>
    <n v="398408"/>
    <n v="38"/>
    <n v="58"/>
    <n v="13.9"/>
  </r>
  <r>
    <x v="0"/>
    <x v="0"/>
    <d v="2023-07-19T00:00:00"/>
    <s v="NA"/>
    <n v="0"/>
    <n v="87"/>
    <s v="81+"/>
    <x v="1"/>
    <x v="1"/>
    <x v="1"/>
    <x v="3"/>
    <n v="1"/>
    <n v="1"/>
    <n v="1.4"/>
    <x v="11"/>
    <n v="3"/>
    <n v="3"/>
    <n v="666186"/>
    <n v="193857"/>
    <n v="472329"/>
    <n v="38"/>
    <n v="62"/>
    <n v="10.6"/>
  </r>
  <r>
    <x v="13"/>
    <x v="13"/>
    <d v="2023-07-27T00:00:00"/>
    <s v="NA"/>
    <n v="0"/>
    <n v="61"/>
    <s v="61-80"/>
    <x v="0"/>
    <x v="0"/>
    <x v="0"/>
    <x v="3"/>
    <n v="1"/>
    <n v="1"/>
    <n v="5.7"/>
    <x v="8"/>
    <n v="4"/>
    <n v="7"/>
    <n v="965377"/>
    <n v="443955"/>
    <n v="521422"/>
    <n v="31"/>
    <n v="54"/>
    <n v="5.4"/>
  </r>
  <r>
    <x v="0"/>
    <x v="0"/>
    <d v="2024-06-22T00:00:00"/>
    <s v="NA"/>
    <n v="0"/>
    <n v="87"/>
    <s v="81+"/>
    <x v="0"/>
    <x v="6"/>
    <x v="4"/>
    <x v="3"/>
    <n v="1"/>
    <n v="1"/>
    <n v="1.3"/>
    <x v="18"/>
    <n v="5"/>
    <n v="3"/>
    <n v="622159"/>
    <n v="333435"/>
    <n v="288724"/>
    <n v="30"/>
    <n v="62"/>
    <n v="13.4"/>
  </r>
  <r>
    <x v="13"/>
    <x v="13"/>
    <d v="2023-03-23T00:00:00"/>
    <s v="NA"/>
    <n v="0"/>
    <n v="40"/>
    <s v="21-40"/>
    <x v="1"/>
    <x v="8"/>
    <x v="6"/>
    <x v="0"/>
    <n v="1"/>
    <n v="1"/>
    <n v="6.1"/>
    <x v="21"/>
    <n v="6"/>
    <n v="6"/>
    <n v="829015"/>
    <n v="235074"/>
    <n v="593941"/>
    <n v="33"/>
    <n v="63"/>
    <n v="8.1"/>
  </r>
  <r>
    <x v="13"/>
    <x v="13"/>
    <d v="2023-04-09T00:00:00"/>
    <s v="NA"/>
    <n v="0"/>
    <n v="90"/>
    <s v="81+"/>
    <x v="0"/>
    <x v="10"/>
    <x v="8"/>
    <x v="3"/>
    <n v="1"/>
    <n v="1"/>
    <n v="6.1"/>
    <x v="16"/>
    <n v="5"/>
    <n v="4"/>
    <n v="976353"/>
    <n v="367087"/>
    <n v="609266"/>
    <n v="38"/>
    <n v="61"/>
    <n v="12.9"/>
  </r>
  <r>
    <x v="13"/>
    <x v="13"/>
    <d v="2022-05-21T00:00:00"/>
    <s v="NA"/>
    <n v="0"/>
    <n v="78"/>
    <s v="61-80"/>
    <x v="1"/>
    <x v="2"/>
    <x v="1"/>
    <x v="4"/>
    <n v="1"/>
    <n v="1"/>
    <n v="2.4"/>
    <x v="28"/>
    <n v="7"/>
    <n v="6"/>
    <n v="901787"/>
    <n v="237849"/>
    <n v="663938"/>
    <n v="32"/>
    <n v="58"/>
    <n v="14.8"/>
  </r>
  <r>
    <x v="13"/>
    <x v="13"/>
    <d v="2021-11-07T00:00:00"/>
    <s v="NA"/>
    <n v="0"/>
    <n v="25"/>
    <s v="21-40"/>
    <x v="0"/>
    <x v="0"/>
    <x v="0"/>
    <x v="3"/>
    <n v="1"/>
    <n v="1"/>
    <n v="4.7"/>
    <x v="10"/>
    <n v="6"/>
    <n v="7"/>
    <n v="922728"/>
    <n v="325366"/>
    <n v="597362"/>
    <n v="33"/>
    <n v="65"/>
    <n v="14"/>
  </r>
  <r>
    <x v="13"/>
    <x v="13"/>
    <d v="2021-08-04T00:00:00"/>
    <s v="NA"/>
    <n v="0"/>
    <n v="38"/>
    <s v="21-40"/>
    <x v="1"/>
    <x v="2"/>
    <x v="1"/>
    <x v="2"/>
    <n v="1"/>
    <n v="1"/>
    <n v="4.4000000000000004"/>
    <x v="7"/>
    <n v="4"/>
    <n v="6"/>
    <n v="853873"/>
    <n v="281704"/>
    <n v="572169"/>
    <n v="50"/>
    <n v="64"/>
    <n v="36.200000000000003"/>
  </r>
  <r>
    <x v="13"/>
    <x v="13"/>
    <d v="2024-08-19T00:00:00"/>
    <s v="NA"/>
    <n v="0"/>
    <n v="28"/>
    <s v="21-40"/>
    <x v="0"/>
    <x v="0"/>
    <x v="0"/>
    <x v="3"/>
    <n v="1"/>
    <n v="1"/>
    <n v="4.3"/>
    <x v="10"/>
    <n v="3"/>
    <n v="7"/>
    <n v="909528"/>
    <n v="302532"/>
    <n v="606996"/>
    <n v="55"/>
    <n v="56"/>
    <n v="12.6"/>
  </r>
  <r>
    <x v="13"/>
    <x v="13"/>
    <d v="2023-02-10T00:00:00"/>
    <s v="NA"/>
    <n v="0"/>
    <n v="52"/>
    <s v="41-60"/>
    <x v="0"/>
    <x v="4"/>
    <x v="3"/>
    <x v="4"/>
    <n v="1"/>
    <n v="1"/>
    <n v="1.7"/>
    <x v="1"/>
    <n v="6"/>
    <n v="4"/>
    <n v="858803"/>
    <n v="276531"/>
    <n v="582272"/>
    <n v="41"/>
    <n v="65"/>
    <n v="36.200000000000003"/>
  </r>
  <r>
    <x v="13"/>
    <x v="13"/>
    <d v="2021-03-06T00:00:00"/>
    <s v="NA"/>
    <n v="0"/>
    <n v="64"/>
    <s v="61-80"/>
    <x v="1"/>
    <x v="1"/>
    <x v="1"/>
    <x v="0"/>
    <n v="1"/>
    <n v="1"/>
    <n v="4.2"/>
    <x v="15"/>
    <n v="6"/>
    <n v="5"/>
    <n v="885060"/>
    <n v="203392"/>
    <n v="681668"/>
    <n v="33"/>
    <n v="63"/>
    <n v="5.7"/>
  </r>
  <r>
    <x v="13"/>
    <x v="13"/>
    <d v="2021-11-04T00:00:00"/>
    <s v="NA"/>
    <n v="0"/>
    <n v="22"/>
    <s v="21-40"/>
    <x v="1"/>
    <x v="6"/>
    <x v="4"/>
    <x v="1"/>
    <n v="1"/>
    <n v="1"/>
    <n v="4.7"/>
    <x v="5"/>
    <n v="3"/>
    <n v="6"/>
    <n v="860365"/>
    <n v="212787"/>
    <n v="647578"/>
    <n v="47"/>
    <n v="55"/>
    <n v="14.6"/>
  </r>
  <r>
    <x v="13"/>
    <x v="13"/>
    <d v="2022-05-15T00:00:00"/>
    <s v="NA"/>
    <n v="0"/>
    <n v="70"/>
    <s v="61-80"/>
    <x v="1"/>
    <x v="2"/>
    <x v="1"/>
    <x v="2"/>
    <n v="1"/>
    <n v="1"/>
    <n v="1.6"/>
    <x v="17"/>
    <n v="3"/>
    <n v="6"/>
    <n v="927594"/>
    <n v="416900"/>
    <n v="510694"/>
    <n v="47"/>
    <n v="58"/>
    <n v="10.5"/>
  </r>
  <r>
    <x v="13"/>
    <x v="13"/>
    <d v="2021-11-16T00:00:00"/>
    <s v="NA"/>
    <n v="0"/>
    <n v="23"/>
    <s v="21-40"/>
    <x v="0"/>
    <x v="14"/>
    <x v="11"/>
    <x v="3"/>
    <n v="1"/>
    <n v="1"/>
    <n v="3.3"/>
    <x v="24"/>
    <n v="6"/>
    <n v="7"/>
    <n v="831458"/>
    <n v="208060"/>
    <n v="623398"/>
    <n v="53"/>
    <n v="61"/>
    <n v="8.9"/>
  </r>
  <r>
    <x v="13"/>
    <x v="13"/>
    <d v="2023-03-13T00:00:00"/>
    <s v="NA"/>
    <n v="0"/>
    <n v="70"/>
    <s v="61-80"/>
    <x v="1"/>
    <x v="12"/>
    <x v="9"/>
    <x v="0"/>
    <n v="1"/>
    <n v="1"/>
    <n v="4"/>
    <x v="3"/>
    <n v="6"/>
    <n v="7"/>
    <n v="994728"/>
    <n v="441886"/>
    <n v="552842"/>
    <n v="31"/>
    <n v="54"/>
    <n v="13.4"/>
  </r>
  <r>
    <x v="13"/>
    <x v="13"/>
    <d v="2022-11-08T00:00:00"/>
    <s v="NA"/>
    <n v="0"/>
    <n v="27"/>
    <s v="21-40"/>
    <x v="1"/>
    <x v="6"/>
    <x v="4"/>
    <x v="3"/>
    <n v="1"/>
    <n v="1"/>
    <n v="4.8"/>
    <x v="9"/>
    <n v="6"/>
    <n v="4"/>
    <n v="918587"/>
    <n v="301172"/>
    <n v="617415"/>
    <n v="48"/>
    <n v="54"/>
    <n v="14.4"/>
  </r>
  <r>
    <x v="13"/>
    <x v="13"/>
    <d v="2024-09-17T00:00:00"/>
    <s v="NA"/>
    <n v="0"/>
    <n v="62"/>
    <s v="61-80"/>
    <x v="0"/>
    <x v="5"/>
    <x v="0"/>
    <x v="0"/>
    <n v="1"/>
    <n v="1"/>
    <n v="2.5"/>
    <x v="29"/>
    <n v="7"/>
    <n v="7"/>
    <n v="874389"/>
    <n v="212096"/>
    <n v="662293"/>
    <n v="59"/>
    <n v="63"/>
    <n v="5.2"/>
  </r>
  <r>
    <x v="13"/>
    <x v="13"/>
    <d v="2022-12-29T00:00:00"/>
    <s v="NA"/>
    <n v="0"/>
    <n v="54"/>
    <s v="41-60"/>
    <x v="0"/>
    <x v="5"/>
    <x v="0"/>
    <x v="4"/>
    <n v="1"/>
    <n v="1"/>
    <n v="3"/>
    <x v="10"/>
    <n v="4"/>
    <n v="5"/>
    <n v="957171"/>
    <n v="374081"/>
    <n v="583090"/>
    <n v="38"/>
    <n v="60"/>
    <n v="10.6"/>
  </r>
  <r>
    <x v="13"/>
    <x v="13"/>
    <d v="2021-02-06T00:00:00"/>
    <s v="NA"/>
    <n v="0"/>
    <n v="78"/>
    <s v="61-80"/>
    <x v="0"/>
    <x v="14"/>
    <x v="11"/>
    <x v="3"/>
    <n v="1"/>
    <n v="1"/>
    <n v="2.9"/>
    <x v="5"/>
    <n v="7"/>
    <n v="4"/>
    <n v="982782"/>
    <n v="436918"/>
    <n v="545864"/>
    <n v="37"/>
    <n v="62"/>
    <n v="7.2"/>
  </r>
  <r>
    <x v="13"/>
    <x v="13"/>
    <d v="2023-01-18T00:00:00"/>
    <s v="NA"/>
    <n v="0"/>
    <n v="55"/>
    <s v="41-60"/>
    <x v="1"/>
    <x v="4"/>
    <x v="3"/>
    <x v="0"/>
    <n v="1"/>
    <n v="1"/>
    <n v="5"/>
    <x v="1"/>
    <n v="4"/>
    <n v="7"/>
    <n v="998223"/>
    <n v="357724"/>
    <n v="640499"/>
    <n v="59"/>
    <n v="66"/>
    <n v="36.200000000000003"/>
  </r>
  <r>
    <x v="13"/>
    <x v="13"/>
    <d v="2024-08-11T00:00:00"/>
    <s v="NA"/>
    <n v="0"/>
    <n v="66"/>
    <s v="61-80"/>
    <x v="0"/>
    <x v="4"/>
    <x v="3"/>
    <x v="0"/>
    <n v="1"/>
    <n v="1"/>
    <n v="4.5"/>
    <x v="19"/>
    <n v="4"/>
    <n v="5"/>
    <n v="989710"/>
    <n v="363988"/>
    <n v="625722"/>
    <n v="43"/>
    <n v="66"/>
    <n v="6.7"/>
  </r>
  <r>
    <x v="13"/>
    <x v="13"/>
    <d v="2023-02-22T00:00:00"/>
    <s v="NA"/>
    <n v="0"/>
    <n v="35"/>
    <s v="21-40"/>
    <x v="0"/>
    <x v="0"/>
    <x v="0"/>
    <x v="3"/>
    <n v="1"/>
    <n v="1"/>
    <n v="6.8"/>
    <x v="29"/>
    <n v="3"/>
    <n v="7"/>
    <n v="948002"/>
    <n v="250722"/>
    <n v="697280"/>
    <n v="36"/>
    <n v="59"/>
    <n v="36.5"/>
  </r>
  <r>
    <x v="13"/>
    <x v="13"/>
    <d v="2024-12-13T00:00:00"/>
    <s v="NA"/>
    <n v="0"/>
    <n v="80"/>
    <s v="61-80"/>
    <x v="1"/>
    <x v="1"/>
    <x v="1"/>
    <x v="0"/>
    <n v="1"/>
    <n v="1"/>
    <n v="1.6"/>
    <x v="15"/>
    <n v="7"/>
    <n v="5"/>
    <n v="872764"/>
    <n v="209918"/>
    <n v="662846"/>
    <n v="34"/>
    <n v="63"/>
    <n v="8.6999999999999993"/>
  </r>
  <r>
    <x v="13"/>
    <x v="13"/>
    <d v="2022-02-23T00:00:00"/>
    <s v="NA"/>
    <n v="0"/>
    <n v="41"/>
    <s v="41-60"/>
    <x v="1"/>
    <x v="13"/>
    <x v="10"/>
    <x v="3"/>
    <n v="1"/>
    <n v="1"/>
    <n v="4.7"/>
    <x v="9"/>
    <n v="3"/>
    <n v="3"/>
    <n v="910697"/>
    <n v="321103"/>
    <n v="589594"/>
    <n v="46"/>
    <n v="55"/>
    <n v="12.4"/>
  </r>
  <r>
    <x v="13"/>
    <x v="13"/>
    <d v="2021-09-19T00:00:00"/>
    <s v="NA"/>
    <n v="0"/>
    <n v="44"/>
    <s v="41-60"/>
    <x v="0"/>
    <x v="0"/>
    <x v="0"/>
    <x v="0"/>
    <n v="1"/>
    <n v="1"/>
    <n v="1.7"/>
    <x v="20"/>
    <n v="4"/>
    <n v="7"/>
    <n v="809531"/>
    <n v="242135"/>
    <n v="567396"/>
    <n v="39"/>
    <n v="64"/>
    <n v="5.3"/>
  </r>
  <r>
    <x v="13"/>
    <x v="13"/>
    <d v="2024-03-16T00:00:00"/>
    <s v="NA"/>
    <n v="0"/>
    <n v="85"/>
    <s v="81+"/>
    <x v="1"/>
    <x v="3"/>
    <x v="2"/>
    <x v="0"/>
    <n v="1"/>
    <n v="1"/>
    <n v="2.1"/>
    <x v="12"/>
    <n v="3"/>
    <n v="7"/>
    <n v="823997"/>
    <n v="191971"/>
    <n v="632026"/>
    <n v="46"/>
    <n v="59"/>
    <n v="6.3"/>
  </r>
  <r>
    <x v="13"/>
    <x v="13"/>
    <d v="2022-02-10T00:00:00"/>
    <s v="NA"/>
    <n v="0"/>
    <n v="24"/>
    <s v="21-40"/>
    <x v="1"/>
    <x v="4"/>
    <x v="3"/>
    <x v="2"/>
    <n v="1"/>
    <n v="1"/>
    <n v="3.4"/>
    <x v="30"/>
    <n v="6"/>
    <n v="6"/>
    <n v="849421"/>
    <n v="224711"/>
    <n v="624710"/>
    <n v="48"/>
    <n v="57"/>
    <n v="8.1999999999999993"/>
  </r>
  <r>
    <x v="13"/>
    <x v="13"/>
    <d v="2023-06-20T00:00:00"/>
    <s v="NA"/>
    <n v="0"/>
    <n v="47"/>
    <s v="41-60"/>
    <x v="0"/>
    <x v="5"/>
    <x v="0"/>
    <x v="0"/>
    <n v="1"/>
    <n v="1"/>
    <n v="6.3"/>
    <x v="6"/>
    <n v="3"/>
    <n v="5"/>
    <n v="832800"/>
    <n v="284267"/>
    <n v="548533"/>
    <n v="48"/>
    <n v="62"/>
    <n v="14.3"/>
  </r>
  <r>
    <x v="13"/>
    <x v="13"/>
    <d v="2021-11-18T00:00:00"/>
    <s v="NA"/>
    <n v="0"/>
    <n v="50"/>
    <s v="41-60"/>
    <x v="1"/>
    <x v="10"/>
    <x v="8"/>
    <x v="3"/>
    <n v="1"/>
    <n v="1"/>
    <n v="6.5"/>
    <x v="26"/>
    <n v="4"/>
    <n v="5"/>
    <n v="880816"/>
    <n v="198641"/>
    <n v="682175"/>
    <n v="35"/>
    <n v="65"/>
    <n v="7.8"/>
  </r>
  <r>
    <x v="13"/>
    <x v="13"/>
    <d v="2021-08-01T00:00:00"/>
    <s v="NA"/>
    <n v="0"/>
    <n v="29"/>
    <s v="21-40"/>
    <x v="0"/>
    <x v="0"/>
    <x v="0"/>
    <x v="2"/>
    <n v="1"/>
    <n v="1"/>
    <n v="3.8"/>
    <x v="8"/>
    <n v="5"/>
    <n v="4"/>
    <n v="950020"/>
    <n v="261471"/>
    <n v="688549"/>
    <n v="47"/>
    <n v="55"/>
    <n v="9.1999999999999993"/>
  </r>
  <r>
    <x v="0"/>
    <x v="0"/>
    <d v="2024-06-02T00:00:00"/>
    <s v="NA"/>
    <n v="0"/>
    <n v="57"/>
    <s v="41-60"/>
    <x v="0"/>
    <x v="0"/>
    <x v="0"/>
    <x v="0"/>
    <n v="1"/>
    <n v="1"/>
    <n v="3"/>
    <x v="0"/>
    <n v="4"/>
    <n v="7"/>
    <n v="627332"/>
    <n v="319971"/>
    <n v="307361"/>
    <n v="37"/>
    <n v="61"/>
    <n v="8.1"/>
  </r>
  <r>
    <x v="0"/>
    <x v="0"/>
    <d v="2021-06-21T00:00:00"/>
    <s v="NA"/>
    <n v="0"/>
    <n v="77"/>
    <s v="61-80"/>
    <x v="0"/>
    <x v="7"/>
    <x v="5"/>
    <x v="3"/>
    <n v="1"/>
    <n v="1"/>
    <n v="5.4"/>
    <x v="2"/>
    <n v="5"/>
    <n v="7"/>
    <n v="874228"/>
    <n v="633779"/>
    <n v="240449"/>
    <n v="28"/>
    <n v="64"/>
    <n v="5.6"/>
  </r>
  <r>
    <x v="0"/>
    <x v="0"/>
    <d v="2021-06-17T00:00:00"/>
    <s v="NA"/>
    <n v="0"/>
    <n v="58"/>
    <s v="41-60"/>
    <x v="0"/>
    <x v="0"/>
    <x v="0"/>
    <x v="0"/>
    <n v="1"/>
    <n v="1"/>
    <n v="3.2"/>
    <x v="15"/>
    <n v="4"/>
    <n v="5"/>
    <n v="634043"/>
    <n v="205152"/>
    <n v="428891"/>
    <n v="39"/>
    <n v="62"/>
    <n v="14.5"/>
  </r>
  <r>
    <x v="0"/>
    <x v="0"/>
    <d v="2021-09-10T00:00:00"/>
    <s v="NA"/>
    <n v="0"/>
    <n v="50"/>
    <s v="41-60"/>
    <x v="0"/>
    <x v="13"/>
    <x v="10"/>
    <x v="2"/>
    <n v="1"/>
    <n v="1"/>
    <n v="3.6"/>
    <x v="5"/>
    <n v="7"/>
    <n v="7"/>
    <n v="934066"/>
    <n v="721522"/>
    <n v="212544"/>
    <n v="39"/>
    <n v="57"/>
    <n v="10.6"/>
  </r>
  <r>
    <x v="0"/>
    <x v="0"/>
    <d v="2022-08-04T00:00:00"/>
    <s v="NA"/>
    <n v="0"/>
    <n v="33"/>
    <s v="21-40"/>
    <x v="0"/>
    <x v="5"/>
    <x v="0"/>
    <x v="4"/>
    <n v="1"/>
    <n v="1"/>
    <n v="1.1000000000000001"/>
    <x v="22"/>
    <n v="4"/>
    <n v="4"/>
    <n v="678532"/>
    <n v="330972"/>
    <n v="347560"/>
    <n v="24"/>
    <n v="54"/>
    <n v="13.5"/>
  </r>
  <r>
    <x v="0"/>
    <x v="0"/>
    <d v="2024-09-08T00:00:00"/>
    <s v="NA"/>
    <n v="0"/>
    <n v="84"/>
    <s v="81+"/>
    <x v="1"/>
    <x v="3"/>
    <x v="2"/>
    <x v="0"/>
    <n v="1"/>
    <n v="1"/>
    <n v="2.4"/>
    <x v="28"/>
    <n v="7"/>
    <n v="4"/>
    <n v="969810"/>
    <n v="483194"/>
    <n v="486616"/>
    <n v="33"/>
    <n v="60"/>
    <n v="36.4"/>
  </r>
  <r>
    <x v="0"/>
    <x v="0"/>
    <d v="2023-03-15T00:00:00"/>
    <s v="NA"/>
    <n v="0"/>
    <n v="84"/>
    <s v="81+"/>
    <x v="0"/>
    <x v="4"/>
    <x v="3"/>
    <x v="1"/>
    <n v="1"/>
    <n v="1"/>
    <n v="1"/>
    <x v="11"/>
    <n v="4"/>
    <n v="5"/>
    <n v="797967"/>
    <n v="513863"/>
    <n v="284104"/>
    <n v="20"/>
    <n v="56"/>
    <n v="13.6"/>
  </r>
  <r>
    <x v="0"/>
    <x v="0"/>
    <d v="2024-08-18T00:00:00"/>
    <s v="NA"/>
    <n v="0"/>
    <n v="36"/>
    <s v="21-40"/>
    <x v="0"/>
    <x v="0"/>
    <x v="0"/>
    <x v="1"/>
    <n v="1"/>
    <n v="1"/>
    <n v="3.6"/>
    <x v="21"/>
    <n v="4"/>
    <n v="4"/>
    <n v="944471"/>
    <n v="725851"/>
    <n v="218620"/>
    <n v="38"/>
    <n v="60"/>
    <n v="8.6"/>
  </r>
  <r>
    <x v="0"/>
    <x v="0"/>
    <d v="2024-01-12T00:00:00"/>
    <s v="NA"/>
    <n v="0"/>
    <n v="75"/>
    <s v="61-80"/>
    <x v="0"/>
    <x v="14"/>
    <x v="11"/>
    <x v="3"/>
    <n v="1"/>
    <n v="1"/>
    <n v="3.2"/>
    <x v="14"/>
    <n v="5"/>
    <n v="7"/>
    <n v="882263"/>
    <n v="609079"/>
    <n v="273184"/>
    <n v="30"/>
    <n v="64"/>
    <n v="5.5"/>
  </r>
  <r>
    <x v="0"/>
    <x v="0"/>
    <d v="2023-07-14T00:00:00"/>
    <s v="NA"/>
    <n v="0"/>
    <n v="71"/>
    <s v="61-80"/>
    <x v="1"/>
    <x v="3"/>
    <x v="2"/>
    <x v="2"/>
    <n v="1"/>
    <n v="1"/>
    <n v="2.1"/>
    <x v="19"/>
    <n v="3"/>
    <n v="5"/>
    <n v="802152"/>
    <n v="311862"/>
    <n v="490290"/>
    <n v="30"/>
    <n v="54"/>
    <n v="10.6"/>
  </r>
  <r>
    <x v="0"/>
    <x v="0"/>
    <d v="2022-03-22T00:00:00"/>
    <s v="NA"/>
    <n v="0"/>
    <n v="38"/>
    <s v="21-40"/>
    <x v="1"/>
    <x v="11"/>
    <x v="8"/>
    <x v="4"/>
    <n v="1"/>
    <n v="1"/>
    <n v="5.2"/>
    <x v="22"/>
    <n v="7"/>
    <n v="7"/>
    <n v="751625"/>
    <n v="463127"/>
    <n v="288498"/>
    <n v="23"/>
    <n v="59"/>
    <n v="8.6999999999999993"/>
  </r>
  <r>
    <x v="0"/>
    <x v="0"/>
    <d v="2023-08-19T00:00:00"/>
    <s v="NA"/>
    <n v="0"/>
    <n v="29"/>
    <s v="21-40"/>
    <x v="1"/>
    <x v="11"/>
    <x v="8"/>
    <x v="0"/>
    <n v="1"/>
    <n v="1"/>
    <n v="6.2"/>
    <x v="27"/>
    <n v="3"/>
    <n v="4"/>
    <n v="747674"/>
    <n v="275695"/>
    <n v="471979"/>
    <n v="36"/>
    <n v="66"/>
    <n v="10.199999999999999"/>
  </r>
  <r>
    <x v="0"/>
    <x v="0"/>
    <d v="2024-02-28T00:00:00"/>
    <s v="NA"/>
    <n v="0"/>
    <n v="33"/>
    <s v="21-40"/>
    <x v="1"/>
    <x v="8"/>
    <x v="6"/>
    <x v="3"/>
    <n v="1"/>
    <n v="1"/>
    <n v="3.1"/>
    <x v="6"/>
    <n v="6"/>
    <n v="3"/>
    <n v="938437"/>
    <n v="569603"/>
    <n v="368834"/>
    <n v="29"/>
    <n v="60"/>
    <n v="36.5"/>
  </r>
  <r>
    <x v="0"/>
    <x v="0"/>
    <d v="2022-06-03T00:00:00"/>
    <s v="NA"/>
    <n v="0"/>
    <n v="79"/>
    <s v="61-80"/>
    <x v="1"/>
    <x v="9"/>
    <x v="7"/>
    <x v="4"/>
    <n v="1"/>
    <n v="1"/>
    <n v="1.1000000000000001"/>
    <x v="2"/>
    <n v="4"/>
    <n v="6"/>
    <n v="977851"/>
    <n v="575328"/>
    <n v="402523"/>
    <n v="27"/>
    <n v="65"/>
    <n v="14.3"/>
  </r>
  <r>
    <x v="0"/>
    <x v="0"/>
    <d v="2024-10-15T00:00:00"/>
    <s v="NA"/>
    <n v="0"/>
    <n v="23"/>
    <s v="21-40"/>
    <x v="0"/>
    <x v="0"/>
    <x v="0"/>
    <x v="0"/>
    <n v="1"/>
    <n v="1"/>
    <n v="4.7"/>
    <x v="1"/>
    <n v="3"/>
    <n v="3"/>
    <n v="921581"/>
    <n v="658231"/>
    <n v="263350"/>
    <n v="35"/>
    <n v="62"/>
    <n v="6.3"/>
  </r>
  <r>
    <x v="0"/>
    <x v="0"/>
    <d v="2023-11-04T00:00:00"/>
    <s v="NA"/>
    <n v="0"/>
    <n v="25"/>
    <s v="21-40"/>
    <x v="1"/>
    <x v="2"/>
    <x v="1"/>
    <x v="2"/>
    <n v="1"/>
    <n v="1"/>
    <n v="2.4"/>
    <x v="16"/>
    <n v="7"/>
    <n v="5"/>
    <n v="662361"/>
    <n v="342413"/>
    <n v="319948"/>
    <n v="33"/>
    <n v="66"/>
    <n v="14.9"/>
  </r>
  <r>
    <x v="0"/>
    <x v="0"/>
    <d v="2023-05-09T00:00:00"/>
    <s v="NA"/>
    <n v="0"/>
    <n v="57"/>
    <s v="41-60"/>
    <x v="0"/>
    <x v="0"/>
    <x v="0"/>
    <x v="0"/>
    <n v="1"/>
    <n v="1"/>
    <n v="5.5"/>
    <x v="5"/>
    <n v="5"/>
    <n v="6"/>
    <n v="978439"/>
    <n v="480486"/>
    <n v="497953"/>
    <n v="29"/>
    <n v="54"/>
    <n v="9.5"/>
  </r>
  <r>
    <x v="0"/>
    <x v="0"/>
    <d v="2022-10-05T00:00:00"/>
    <s v="NA"/>
    <n v="0"/>
    <n v="40"/>
    <s v="21-40"/>
    <x v="0"/>
    <x v="6"/>
    <x v="4"/>
    <x v="4"/>
    <n v="1"/>
    <n v="1"/>
    <n v="3"/>
    <x v="0"/>
    <n v="7"/>
    <n v="3"/>
    <n v="704853"/>
    <n v="259458"/>
    <n v="445395"/>
    <n v="31"/>
    <n v="56"/>
    <n v="10.3"/>
  </r>
  <r>
    <x v="0"/>
    <x v="0"/>
    <d v="2021-04-21T00:00:00"/>
    <s v="NA"/>
    <n v="0"/>
    <n v="73"/>
    <s v="61-80"/>
    <x v="0"/>
    <x v="6"/>
    <x v="4"/>
    <x v="3"/>
    <n v="1"/>
    <n v="1"/>
    <n v="4.8"/>
    <x v="2"/>
    <n v="4"/>
    <n v="6"/>
    <n v="627945"/>
    <n v="424120"/>
    <n v="203825"/>
    <n v="40"/>
    <n v="64"/>
    <n v="13.7"/>
  </r>
  <r>
    <x v="0"/>
    <x v="0"/>
    <d v="2023-05-15T00:00:00"/>
    <s v="NA"/>
    <n v="0"/>
    <n v="51"/>
    <s v="41-60"/>
    <x v="0"/>
    <x v="0"/>
    <x v="0"/>
    <x v="3"/>
    <n v="1"/>
    <n v="1"/>
    <n v="2.6"/>
    <x v="22"/>
    <n v="6"/>
    <n v="7"/>
    <n v="966903"/>
    <n v="589458"/>
    <n v="377445"/>
    <n v="23"/>
    <n v="59"/>
    <n v="6.1"/>
  </r>
  <r>
    <x v="0"/>
    <x v="0"/>
    <d v="2021-11-14T00:00:00"/>
    <s v="NA"/>
    <n v="0"/>
    <n v="59"/>
    <s v="41-60"/>
    <x v="0"/>
    <x v="0"/>
    <x v="0"/>
    <x v="3"/>
    <n v="1"/>
    <n v="1"/>
    <n v="3.4"/>
    <x v="5"/>
    <n v="6"/>
    <n v="4"/>
    <n v="800775"/>
    <n v="579362"/>
    <n v="221413"/>
    <n v="35"/>
    <n v="64"/>
    <n v="13.4"/>
  </r>
  <r>
    <x v="0"/>
    <x v="0"/>
    <d v="2021-10-17T00:00:00"/>
    <s v="NA"/>
    <n v="0"/>
    <n v="35"/>
    <s v="21-40"/>
    <x v="0"/>
    <x v="14"/>
    <x v="11"/>
    <x v="3"/>
    <n v="1"/>
    <n v="1"/>
    <n v="5.4"/>
    <x v="12"/>
    <n v="3"/>
    <n v="3"/>
    <n v="855974"/>
    <n v="507774"/>
    <n v="348200"/>
    <n v="38"/>
    <n v="54"/>
    <n v="12.3"/>
  </r>
  <r>
    <x v="0"/>
    <x v="0"/>
    <d v="2022-05-13T00:00:00"/>
    <s v="NA"/>
    <n v="0"/>
    <n v="33"/>
    <s v="21-40"/>
    <x v="0"/>
    <x v="5"/>
    <x v="0"/>
    <x v="3"/>
    <n v="1"/>
    <n v="1"/>
    <n v="2.6"/>
    <x v="24"/>
    <n v="3"/>
    <n v="3"/>
    <n v="732820"/>
    <n v="324615"/>
    <n v="408205"/>
    <n v="32"/>
    <n v="62"/>
    <n v="8.6999999999999993"/>
  </r>
  <r>
    <x v="13"/>
    <x v="13"/>
    <d v="2024-06-03T00:00:00"/>
    <s v="NA"/>
    <n v="0"/>
    <n v="39"/>
    <s v="21-40"/>
    <x v="1"/>
    <x v="12"/>
    <x v="9"/>
    <x v="3"/>
    <n v="1"/>
    <n v="1"/>
    <n v="6.8"/>
    <x v="16"/>
    <n v="3"/>
    <n v="4"/>
    <n v="884780"/>
    <n v="333284"/>
    <n v="551496"/>
    <n v="48"/>
    <n v="54"/>
    <n v="13.2"/>
  </r>
  <r>
    <x v="0"/>
    <x v="0"/>
    <d v="2021-10-09T00:00:00"/>
    <s v="NA"/>
    <n v="0"/>
    <n v="37"/>
    <s v="21-40"/>
    <x v="1"/>
    <x v="6"/>
    <x v="4"/>
    <x v="4"/>
    <n v="1"/>
    <n v="1"/>
    <n v="2.8"/>
    <x v="3"/>
    <n v="6"/>
    <n v="7"/>
    <n v="699902"/>
    <n v="226387"/>
    <n v="473515"/>
    <n v="27"/>
    <n v="60"/>
    <n v="6.5"/>
  </r>
  <r>
    <x v="13"/>
    <x v="13"/>
    <d v="2021-09-30T00:00:00"/>
    <s v="NA"/>
    <n v="0"/>
    <n v="55"/>
    <s v="41-60"/>
    <x v="1"/>
    <x v="12"/>
    <x v="9"/>
    <x v="4"/>
    <n v="1"/>
    <n v="1"/>
    <n v="5"/>
    <x v="16"/>
    <n v="5"/>
    <n v="3"/>
    <n v="823612"/>
    <n v="248692"/>
    <n v="574920"/>
    <n v="30"/>
    <n v="66"/>
    <n v="10.3"/>
  </r>
  <r>
    <x v="13"/>
    <x v="13"/>
    <d v="2022-09-23T00:00:00"/>
    <s v="NA"/>
    <n v="0"/>
    <n v="67"/>
    <s v="61-80"/>
    <x v="0"/>
    <x v="1"/>
    <x v="1"/>
    <x v="3"/>
    <n v="1"/>
    <n v="1"/>
    <n v="6.3"/>
    <x v="4"/>
    <n v="6"/>
    <n v="4"/>
    <n v="967708"/>
    <n v="273394"/>
    <n v="694314"/>
    <n v="36"/>
    <n v="59"/>
    <n v="36.4"/>
  </r>
  <r>
    <x v="0"/>
    <x v="0"/>
    <d v="2022-01-28T00:00:00"/>
    <s v="NA"/>
    <n v="0"/>
    <n v="39"/>
    <s v="21-40"/>
    <x v="1"/>
    <x v="6"/>
    <x v="4"/>
    <x v="3"/>
    <n v="1"/>
    <n v="1"/>
    <n v="4.3"/>
    <x v="20"/>
    <n v="6"/>
    <n v="7"/>
    <n v="700431"/>
    <n v="396468"/>
    <n v="303963"/>
    <n v="31"/>
    <n v="59"/>
    <n v="13.7"/>
  </r>
  <r>
    <x v="13"/>
    <x v="13"/>
    <d v="2024-08-15T00:00:00"/>
    <s v="NA"/>
    <n v="0"/>
    <n v="65"/>
    <s v="61-80"/>
    <x v="1"/>
    <x v="12"/>
    <x v="9"/>
    <x v="1"/>
    <n v="1"/>
    <n v="1"/>
    <n v="2"/>
    <x v="0"/>
    <n v="5"/>
    <n v="5"/>
    <n v="944214"/>
    <n v="298011"/>
    <n v="646203"/>
    <n v="52"/>
    <n v="66"/>
    <n v="8.5"/>
  </r>
  <r>
    <x v="0"/>
    <x v="0"/>
    <d v="2022-08-05T00:00:00"/>
    <s v="NA"/>
    <n v="0"/>
    <n v="40"/>
    <s v="21-40"/>
    <x v="0"/>
    <x v="5"/>
    <x v="0"/>
    <x v="1"/>
    <n v="1"/>
    <n v="1"/>
    <n v="5.0999999999999996"/>
    <x v="23"/>
    <n v="4"/>
    <n v="7"/>
    <n v="634199"/>
    <n v="375093"/>
    <n v="259106"/>
    <n v="37"/>
    <n v="59"/>
    <n v="14.4"/>
  </r>
  <r>
    <x v="0"/>
    <x v="0"/>
    <d v="2024-01-06T00:00:00"/>
    <s v="NA"/>
    <n v="0"/>
    <n v="90"/>
    <s v="81+"/>
    <x v="1"/>
    <x v="10"/>
    <x v="8"/>
    <x v="1"/>
    <n v="1"/>
    <n v="1"/>
    <n v="2.2000000000000002"/>
    <x v="29"/>
    <n v="7"/>
    <n v="5"/>
    <n v="647716"/>
    <n v="309245"/>
    <n v="338471"/>
    <n v="23"/>
    <n v="62"/>
    <n v="5.4"/>
  </r>
  <r>
    <x v="13"/>
    <x v="13"/>
    <d v="2021-09-05T00:00:00"/>
    <s v="NA"/>
    <n v="0"/>
    <n v="69"/>
    <s v="61-80"/>
    <x v="0"/>
    <x v="5"/>
    <x v="0"/>
    <x v="4"/>
    <n v="1"/>
    <n v="1"/>
    <n v="5"/>
    <x v="12"/>
    <n v="3"/>
    <n v="6"/>
    <n v="875193"/>
    <n v="244722"/>
    <n v="630471"/>
    <n v="48"/>
    <n v="63"/>
    <n v="10.1"/>
  </r>
  <r>
    <x v="0"/>
    <x v="0"/>
    <d v="2023-08-05T00:00:00"/>
    <s v="NA"/>
    <n v="0"/>
    <n v="63"/>
    <s v="61-80"/>
    <x v="0"/>
    <x v="7"/>
    <x v="5"/>
    <x v="3"/>
    <n v="1"/>
    <n v="1"/>
    <n v="3.1"/>
    <x v="29"/>
    <n v="7"/>
    <n v="7"/>
    <n v="687608"/>
    <n v="357385"/>
    <n v="330223"/>
    <n v="35"/>
    <n v="57"/>
    <n v="9.6999999999999993"/>
  </r>
  <r>
    <x v="13"/>
    <x v="13"/>
    <d v="2022-12-09T00:00:00"/>
    <s v="NA"/>
    <n v="0"/>
    <n v="79"/>
    <s v="61-80"/>
    <x v="0"/>
    <x v="0"/>
    <x v="0"/>
    <x v="3"/>
    <n v="1"/>
    <n v="1"/>
    <n v="2.6"/>
    <x v="24"/>
    <n v="6"/>
    <n v="3"/>
    <n v="924454"/>
    <n v="383018"/>
    <n v="541436"/>
    <n v="35"/>
    <n v="64"/>
    <n v="7.4"/>
  </r>
  <r>
    <x v="13"/>
    <x v="13"/>
    <d v="2023-01-20T00:00:00"/>
    <s v="NA"/>
    <n v="0"/>
    <n v="59"/>
    <s v="41-60"/>
    <x v="1"/>
    <x v="3"/>
    <x v="2"/>
    <x v="1"/>
    <n v="1"/>
    <n v="1"/>
    <n v="5.7"/>
    <x v="12"/>
    <n v="4"/>
    <n v="7"/>
    <n v="873090"/>
    <n v="188188"/>
    <n v="684902"/>
    <n v="39"/>
    <n v="58"/>
    <n v="12.5"/>
  </r>
  <r>
    <x v="13"/>
    <x v="13"/>
    <d v="2022-04-28T00:00:00"/>
    <s v="NA"/>
    <n v="0"/>
    <n v="29"/>
    <s v="21-40"/>
    <x v="1"/>
    <x v="6"/>
    <x v="4"/>
    <x v="1"/>
    <n v="1"/>
    <n v="1"/>
    <n v="1.5"/>
    <x v="27"/>
    <n v="5"/>
    <n v="5"/>
    <n v="837808"/>
    <n v="146716"/>
    <n v="691092"/>
    <n v="36"/>
    <n v="63"/>
    <n v="5.3"/>
  </r>
  <r>
    <x v="0"/>
    <x v="0"/>
    <d v="2022-04-25T00:00:00"/>
    <s v="NA"/>
    <n v="0"/>
    <n v="60"/>
    <s v="41-60"/>
    <x v="1"/>
    <x v="4"/>
    <x v="3"/>
    <x v="1"/>
    <n v="1"/>
    <n v="1"/>
    <n v="6.5"/>
    <x v="17"/>
    <n v="3"/>
    <n v="6"/>
    <n v="887586"/>
    <n v="452247"/>
    <n v="435339"/>
    <n v="33"/>
    <n v="57"/>
    <n v="6.4"/>
  </r>
  <r>
    <x v="0"/>
    <x v="0"/>
    <d v="2021-04-16T00:00:00"/>
    <s v="NA"/>
    <n v="0"/>
    <n v="88"/>
    <s v="81+"/>
    <x v="1"/>
    <x v="6"/>
    <x v="4"/>
    <x v="4"/>
    <n v="1"/>
    <n v="1"/>
    <n v="4.4000000000000004"/>
    <x v="14"/>
    <n v="5"/>
    <n v="3"/>
    <n v="929755"/>
    <n v="467993"/>
    <n v="461762"/>
    <n v="24"/>
    <n v="54"/>
    <n v="7.8"/>
  </r>
  <r>
    <x v="0"/>
    <x v="0"/>
    <d v="2021-06-03T00:00:00"/>
    <s v="NA"/>
    <n v="0"/>
    <n v="71"/>
    <s v="61-80"/>
    <x v="1"/>
    <x v="10"/>
    <x v="8"/>
    <x v="3"/>
    <n v="1"/>
    <n v="1"/>
    <n v="2.5"/>
    <x v="25"/>
    <n v="3"/>
    <n v="5"/>
    <n v="863595"/>
    <n v="586881"/>
    <n v="276714"/>
    <n v="25"/>
    <n v="57"/>
    <n v="10.9"/>
  </r>
  <r>
    <x v="0"/>
    <x v="0"/>
    <d v="2023-02-26T00:00:00"/>
    <s v="NA"/>
    <n v="0"/>
    <n v="43"/>
    <s v="41-60"/>
    <x v="0"/>
    <x v="4"/>
    <x v="3"/>
    <x v="0"/>
    <n v="1"/>
    <n v="1"/>
    <n v="3.8"/>
    <x v="5"/>
    <n v="5"/>
    <n v="5"/>
    <n v="798509"/>
    <n v="580240"/>
    <n v="218269"/>
    <n v="35"/>
    <n v="55"/>
    <n v="6.7"/>
  </r>
  <r>
    <x v="13"/>
    <x v="13"/>
    <d v="2021-09-12T00:00:00"/>
    <s v="NA"/>
    <n v="0"/>
    <n v="70"/>
    <s v="61-80"/>
    <x v="1"/>
    <x v="13"/>
    <x v="10"/>
    <x v="1"/>
    <n v="1"/>
    <n v="1"/>
    <n v="6"/>
    <x v="16"/>
    <n v="4"/>
    <n v="4"/>
    <n v="833608"/>
    <n v="197589"/>
    <n v="636019"/>
    <n v="59"/>
    <n v="65"/>
    <n v="5.6"/>
  </r>
  <r>
    <x v="0"/>
    <x v="0"/>
    <d v="2021-09-09T00:00:00"/>
    <s v="NA"/>
    <n v="0"/>
    <n v="88"/>
    <s v="81+"/>
    <x v="0"/>
    <x v="4"/>
    <x v="3"/>
    <x v="4"/>
    <n v="1"/>
    <n v="1"/>
    <n v="5.0999999999999996"/>
    <x v="11"/>
    <n v="5"/>
    <n v="6"/>
    <n v="809618"/>
    <n v="561556"/>
    <n v="248062"/>
    <n v="22"/>
    <n v="66"/>
    <n v="6.8"/>
  </r>
  <r>
    <x v="0"/>
    <x v="0"/>
    <d v="2023-12-05T00:00:00"/>
    <s v="NA"/>
    <n v="0"/>
    <n v="75"/>
    <s v="61-80"/>
    <x v="1"/>
    <x v="7"/>
    <x v="5"/>
    <x v="1"/>
    <n v="1"/>
    <n v="1"/>
    <n v="4.9000000000000004"/>
    <x v="25"/>
    <n v="7"/>
    <n v="5"/>
    <n v="918471"/>
    <n v="650109"/>
    <n v="268362"/>
    <n v="20"/>
    <n v="59"/>
    <n v="10.4"/>
  </r>
  <r>
    <x v="0"/>
    <x v="0"/>
    <d v="2022-01-05T00:00:00"/>
    <s v="NA"/>
    <n v="0"/>
    <n v="41"/>
    <s v="41-60"/>
    <x v="0"/>
    <x v="0"/>
    <x v="0"/>
    <x v="0"/>
    <n v="1"/>
    <n v="1"/>
    <n v="4.5"/>
    <x v="8"/>
    <n v="5"/>
    <n v="7"/>
    <n v="824619"/>
    <n v="387988"/>
    <n v="436631"/>
    <n v="27"/>
    <n v="63"/>
    <n v="5.3"/>
  </r>
  <r>
    <x v="0"/>
    <x v="0"/>
    <d v="2023-09-10T00:00:00"/>
    <s v="NA"/>
    <n v="0"/>
    <n v="85"/>
    <s v="81+"/>
    <x v="0"/>
    <x v="1"/>
    <x v="1"/>
    <x v="3"/>
    <n v="1"/>
    <n v="1"/>
    <n v="2"/>
    <x v="4"/>
    <n v="4"/>
    <n v="4"/>
    <n v="862345"/>
    <n v="577711"/>
    <n v="284634"/>
    <n v="21"/>
    <n v="62"/>
    <n v="14.1"/>
  </r>
  <r>
    <x v="13"/>
    <x v="13"/>
    <d v="2021-04-11T00:00:00"/>
    <s v="NA"/>
    <n v="0"/>
    <n v="72"/>
    <s v="61-80"/>
    <x v="1"/>
    <x v="6"/>
    <x v="4"/>
    <x v="3"/>
    <n v="1"/>
    <n v="1"/>
    <n v="5.3"/>
    <x v="6"/>
    <n v="4"/>
    <n v="4"/>
    <n v="917792"/>
    <n v="220767"/>
    <n v="697025"/>
    <n v="37"/>
    <n v="55"/>
    <n v="6.7"/>
  </r>
  <r>
    <x v="0"/>
    <x v="0"/>
    <d v="2022-10-21T00:00:00"/>
    <s v="NA"/>
    <n v="0"/>
    <n v="62"/>
    <s v="61-80"/>
    <x v="0"/>
    <x v="5"/>
    <x v="0"/>
    <x v="3"/>
    <n v="1"/>
    <n v="1"/>
    <n v="6.8"/>
    <x v="15"/>
    <n v="7"/>
    <n v="7"/>
    <n v="916644"/>
    <n v="514585"/>
    <n v="402059"/>
    <n v="32"/>
    <n v="61"/>
    <n v="6.3"/>
  </r>
  <r>
    <x v="0"/>
    <x v="0"/>
    <d v="2024-12-21T00:00:00"/>
    <s v="NA"/>
    <n v="0"/>
    <n v="40"/>
    <s v="21-40"/>
    <x v="1"/>
    <x v="2"/>
    <x v="1"/>
    <x v="4"/>
    <n v="1"/>
    <n v="1"/>
    <n v="4.2"/>
    <x v="8"/>
    <n v="3"/>
    <n v="5"/>
    <n v="839162"/>
    <n v="545885"/>
    <n v="293277"/>
    <n v="30"/>
    <n v="58"/>
    <n v="10.3"/>
  </r>
  <r>
    <x v="0"/>
    <x v="0"/>
    <d v="2023-01-03T00:00:00"/>
    <s v="NA"/>
    <n v="0"/>
    <n v="67"/>
    <s v="61-80"/>
    <x v="0"/>
    <x v="5"/>
    <x v="0"/>
    <x v="4"/>
    <n v="1"/>
    <n v="1"/>
    <n v="1.5"/>
    <x v="24"/>
    <n v="5"/>
    <n v="4"/>
    <n v="637906"/>
    <n v="287385"/>
    <n v="350521"/>
    <n v="32"/>
    <n v="62"/>
    <n v="7"/>
  </r>
  <r>
    <x v="0"/>
    <x v="0"/>
    <d v="2024-06-15T00:00:00"/>
    <s v="NA"/>
    <n v="0"/>
    <n v="34"/>
    <s v="21-40"/>
    <x v="0"/>
    <x v="0"/>
    <x v="0"/>
    <x v="3"/>
    <n v="1"/>
    <n v="1"/>
    <n v="5.2"/>
    <x v="25"/>
    <n v="7"/>
    <n v="3"/>
    <n v="622845"/>
    <n v="369506"/>
    <n v="253339"/>
    <n v="25"/>
    <n v="62"/>
    <n v="6.8"/>
  </r>
  <r>
    <x v="0"/>
    <x v="0"/>
    <d v="2022-06-29T00:00:00"/>
    <s v="NA"/>
    <n v="0"/>
    <n v="66"/>
    <s v="61-80"/>
    <x v="0"/>
    <x v="6"/>
    <x v="4"/>
    <x v="4"/>
    <n v="1"/>
    <n v="1"/>
    <n v="2.7"/>
    <x v="30"/>
    <n v="5"/>
    <n v="7"/>
    <n v="959570"/>
    <n v="611556"/>
    <n v="348014"/>
    <n v="22"/>
    <n v="61"/>
    <n v="13"/>
  </r>
  <r>
    <x v="0"/>
    <x v="0"/>
    <d v="2023-03-12T00:00:00"/>
    <s v="NA"/>
    <n v="0"/>
    <n v="67"/>
    <s v="61-80"/>
    <x v="1"/>
    <x v="2"/>
    <x v="1"/>
    <x v="4"/>
    <n v="1"/>
    <n v="1"/>
    <n v="3.6"/>
    <x v="29"/>
    <n v="3"/>
    <n v="7"/>
    <n v="936214"/>
    <n v="499925"/>
    <n v="436289"/>
    <n v="35"/>
    <n v="58"/>
    <n v="13.4"/>
  </r>
  <r>
    <x v="0"/>
    <x v="0"/>
    <d v="2024-08-08T00:00:00"/>
    <s v="NA"/>
    <n v="0"/>
    <n v="43"/>
    <s v="41-60"/>
    <x v="1"/>
    <x v="3"/>
    <x v="2"/>
    <x v="4"/>
    <n v="1"/>
    <n v="1"/>
    <n v="6.5"/>
    <x v="20"/>
    <n v="6"/>
    <n v="5"/>
    <n v="954960"/>
    <n v="570518"/>
    <n v="384442"/>
    <n v="40"/>
    <n v="62"/>
    <n v="36.200000000000003"/>
  </r>
  <r>
    <x v="0"/>
    <x v="0"/>
    <d v="2023-05-26T00:00:00"/>
    <s v="NA"/>
    <n v="0"/>
    <n v="45"/>
    <s v="41-60"/>
    <x v="1"/>
    <x v="7"/>
    <x v="5"/>
    <x v="2"/>
    <n v="1"/>
    <n v="1"/>
    <n v="4"/>
    <x v="19"/>
    <n v="3"/>
    <n v="4"/>
    <n v="810941"/>
    <n v="376147"/>
    <n v="434794"/>
    <n v="21"/>
    <n v="62"/>
    <n v="13.4"/>
  </r>
  <r>
    <x v="0"/>
    <x v="0"/>
    <d v="2023-04-17T00:00:00"/>
    <s v="NA"/>
    <n v="0"/>
    <n v="47"/>
    <s v="41-60"/>
    <x v="0"/>
    <x v="5"/>
    <x v="0"/>
    <x v="1"/>
    <n v="1"/>
    <n v="1"/>
    <n v="4.3"/>
    <x v="26"/>
    <n v="4"/>
    <n v="4"/>
    <n v="861017"/>
    <n v="600777"/>
    <n v="260240"/>
    <n v="40"/>
    <n v="61"/>
    <n v="36.9"/>
  </r>
  <r>
    <x v="0"/>
    <x v="0"/>
    <d v="2024-08-29T00:00:00"/>
    <s v="NA"/>
    <n v="0"/>
    <n v="80"/>
    <s v="61-80"/>
    <x v="0"/>
    <x v="0"/>
    <x v="0"/>
    <x v="1"/>
    <n v="1"/>
    <n v="1"/>
    <n v="5"/>
    <x v="30"/>
    <n v="5"/>
    <n v="7"/>
    <n v="732351"/>
    <n v="415528"/>
    <n v="316823"/>
    <n v="28"/>
    <n v="57"/>
    <n v="8.1"/>
  </r>
  <r>
    <x v="0"/>
    <x v="0"/>
    <d v="2024-05-24T00:00:00"/>
    <s v="NA"/>
    <n v="0"/>
    <n v="75"/>
    <s v="61-80"/>
    <x v="0"/>
    <x v="2"/>
    <x v="1"/>
    <x v="1"/>
    <n v="1"/>
    <n v="1"/>
    <n v="5.3"/>
    <x v="9"/>
    <n v="3"/>
    <n v="4"/>
    <n v="708252"/>
    <n v="294045"/>
    <n v="414207"/>
    <n v="25"/>
    <n v="60"/>
    <n v="5.6"/>
  </r>
  <r>
    <x v="0"/>
    <x v="0"/>
    <d v="2021-01-25T00:00:00"/>
    <s v="NA"/>
    <n v="0"/>
    <n v="87"/>
    <s v="81+"/>
    <x v="1"/>
    <x v="6"/>
    <x v="4"/>
    <x v="3"/>
    <n v="1"/>
    <n v="1"/>
    <n v="5.9"/>
    <x v="28"/>
    <n v="6"/>
    <n v="6"/>
    <n v="853072"/>
    <n v="536902"/>
    <n v="316170"/>
    <n v="39"/>
    <n v="56"/>
    <n v="9.1"/>
  </r>
  <r>
    <x v="0"/>
    <x v="0"/>
    <d v="2023-06-09T00:00:00"/>
    <s v="NA"/>
    <n v="0"/>
    <n v="27"/>
    <s v="21-40"/>
    <x v="1"/>
    <x v="4"/>
    <x v="3"/>
    <x v="4"/>
    <n v="1"/>
    <n v="1"/>
    <n v="1.3"/>
    <x v="15"/>
    <n v="3"/>
    <n v="7"/>
    <n v="793678"/>
    <n v="452968"/>
    <n v="340710"/>
    <n v="30"/>
    <n v="65"/>
    <n v="5.0999999999999996"/>
  </r>
  <r>
    <x v="0"/>
    <x v="0"/>
    <d v="2021-02-15T00:00:00"/>
    <s v="NA"/>
    <n v="0"/>
    <n v="81"/>
    <s v="81+"/>
    <x v="1"/>
    <x v="2"/>
    <x v="1"/>
    <x v="4"/>
    <n v="1"/>
    <n v="1"/>
    <n v="5.6"/>
    <x v="3"/>
    <n v="6"/>
    <n v="7"/>
    <n v="935656"/>
    <n v="714228"/>
    <n v="221428"/>
    <n v="25"/>
    <n v="61"/>
    <n v="12.9"/>
  </r>
  <r>
    <x v="0"/>
    <x v="0"/>
    <d v="2024-04-01T00:00:00"/>
    <s v="NA"/>
    <n v="0"/>
    <n v="25"/>
    <s v="21-40"/>
    <x v="0"/>
    <x v="0"/>
    <x v="0"/>
    <x v="4"/>
    <n v="1"/>
    <n v="1"/>
    <n v="1.1000000000000001"/>
    <x v="25"/>
    <n v="7"/>
    <n v="7"/>
    <n v="904133"/>
    <n v="574982"/>
    <n v="329151"/>
    <n v="38"/>
    <n v="58"/>
    <n v="7.6"/>
  </r>
  <r>
    <x v="0"/>
    <x v="0"/>
    <d v="2021-11-29T00:00:00"/>
    <s v="NA"/>
    <n v="0"/>
    <n v="89"/>
    <s v="81+"/>
    <x v="1"/>
    <x v="3"/>
    <x v="2"/>
    <x v="0"/>
    <n v="1"/>
    <n v="1"/>
    <n v="4.4000000000000004"/>
    <x v="16"/>
    <n v="6"/>
    <n v="7"/>
    <n v="861760"/>
    <n v="537713"/>
    <n v="324047"/>
    <n v="30"/>
    <n v="62"/>
    <n v="12"/>
  </r>
  <r>
    <x v="0"/>
    <x v="0"/>
    <d v="2021-09-03T00:00:00"/>
    <s v="NA"/>
    <n v="0"/>
    <n v="59"/>
    <s v="41-60"/>
    <x v="1"/>
    <x v="6"/>
    <x v="4"/>
    <x v="3"/>
    <n v="1"/>
    <n v="1"/>
    <n v="1.7"/>
    <x v="20"/>
    <n v="7"/>
    <n v="4"/>
    <n v="840150"/>
    <n v="485117"/>
    <n v="355033"/>
    <n v="29"/>
    <n v="65"/>
    <n v="13.7"/>
  </r>
  <r>
    <x v="0"/>
    <x v="0"/>
    <d v="2024-01-23T00:00:00"/>
    <s v="NA"/>
    <n v="0"/>
    <n v="80"/>
    <s v="61-80"/>
    <x v="0"/>
    <x v="14"/>
    <x v="11"/>
    <x v="3"/>
    <n v="1"/>
    <n v="1"/>
    <n v="5.3"/>
    <x v="19"/>
    <n v="7"/>
    <n v="4"/>
    <n v="649493"/>
    <n v="196372"/>
    <n v="453121"/>
    <n v="31"/>
    <n v="64"/>
    <n v="5.3"/>
  </r>
  <r>
    <x v="0"/>
    <x v="0"/>
    <d v="2024-08-07T00:00:00"/>
    <s v="NA"/>
    <n v="0"/>
    <n v="42"/>
    <s v="41-60"/>
    <x v="1"/>
    <x v="9"/>
    <x v="7"/>
    <x v="0"/>
    <n v="1"/>
    <n v="1"/>
    <n v="1.9"/>
    <x v="4"/>
    <n v="3"/>
    <n v="6"/>
    <n v="820700"/>
    <n v="359223"/>
    <n v="461477"/>
    <n v="28"/>
    <n v="59"/>
    <n v="6.4"/>
  </r>
  <r>
    <x v="0"/>
    <x v="0"/>
    <d v="2021-05-31T00:00:00"/>
    <s v="NA"/>
    <n v="0"/>
    <n v="28"/>
    <s v="21-40"/>
    <x v="0"/>
    <x v="0"/>
    <x v="0"/>
    <x v="0"/>
    <n v="1"/>
    <n v="1"/>
    <n v="5.9"/>
    <x v="19"/>
    <n v="6"/>
    <n v="6"/>
    <n v="807512"/>
    <n v="318815"/>
    <n v="488697"/>
    <n v="36"/>
    <n v="66"/>
    <n v="8.8000000000000007"/>
  </r>
  <r>
    <x v="0"/>
    <x v="0"/>
    <d v="2021-04-17T00:00:00"/>
    <s v="NA"/>
    <n v="0"/>
    <n v="39"/>
    <s v="21-40"/>
    <x v="0"/>
    <x v="13"/>
    <x v="10"/>
    <x v="1"/>
    <n v="1"/>
    <n v="1"/>
    <n v="6.3"/>
    <x v="13"/>
    <n v="5"/>
    <n v="7"/>
    <n v="789824"/>
    <n v="372321"/>
    <n v="417503"/>
    <n v="25"/>
    <n v="58"/>
    <n v="36"/>
  </r>
  <r>
    <x v="0"/>
    <x v="0"/>
    <d v="2021-03-23T00:00:00"/>
    <s v="NA"/>
    <n v="0"/>
    <n v="43"/>
    <s v="41-60"/>
    <x v="0"/>
    <x v="0"/>
    <x v="0"/>
    <x v="4"/>
    <n v="1"/>
    <n v="1"/>
    <n v="3.3"/>
    <x v="12"/>
    <n v="5"/>
    <n v="4"/>
    <n v="646587"/>
    <n v="227480"/>
    <n v="419107"/>
    <n v="26"/>
    <n v="65"/>
    <n v="13.6"/>
  </r>
  <r>
    <x v="0"/>
    <x v="0"/>
    <d v="2021-08-28T00:00:00"/>
    <s v="NA"/>
    <n v="0"/>
    <n v="22"/>
    <s v="21-40"/>
    <x v="0"/>
    <x v="1"/>
    <x v="1"/>
    <x v="4"/>
    <n v="1"/>
    <n v="1"/>
    <n v="7"/>
    <x v="6"/>
    <n v="4"/>
    <n v="7"/>
    <n v="653318"/>
    <n v="397077"/>
    <n v="256241"/>
    <n v="40"/>
    <n v="62"/>
    <n v="8.6999999999999993"/>
  </r>
  <r>
    <x v="0"/>
    <x v="0"/>
    <d v="2023-09-01T00:00:00"/>
    <s v="NA"/>
    <n v="0"/>
    <n v="72"/>
    <s v="61-80"/>
    <x v="1"/>
    <x v="12"/>
    <x v="9"/>
    <x v="4"/>
    <n v="1"/>
    <n v="1"/>
    <n v="5.9"/>
    <x v="16"/>
    <n v="6"/>
    <n v="4"/>
    <n v="637404"/>
    <n v="301887"/>
    <n v="335517"/>
    <n v="32"/>
    <n v="54"/>
    <n v="13.9"/>
  </r>
  <r>
    <x v="0"/>
    <x v="0"/>
    <d v="2024-12-07T00:00:00"/>
    <s v="NA"/>
    <n v="0"/>
    <n v="27"/>
    <s v="21-40"/>
    <x v="0"/>
    <x v="0"/>
    <x v="0"/>
    <x v="0"/>
    <n v="1"/>
    <n v="1"/>
    <n v="2"/>
    <x v="0"/>
    <n v="6"/>
    <n v="6"/>
    <n v="637408"/>
    <n v="289827"/>
    <n v="347581"/>
    <n v="29"/>
    <n v="65"/>
    <n v="5.2"/>
  </r>
  <r>
    <x v="0"/>
    <x v="0"/>
    <d v="2022-06-17T00:00:00"/>
    <s v="NA"/>
    <n v="0"/>
    <n v="59"/>
    <s v="41-60"/>
    <x v="1"/>
    <x v="6"/>
    <x v="4"/>
    <x v="4"/>
    <n v="1"/>
    <n v="1"/>
    <n v="5.7"/>
    <x v="13"/>
    <n v="3"/>
    <n v="3"/>
    <n v="996179"/>
    <n v="505136"/>
    <n v="491043"/>
    <n v="29"/>
    <n v="60"/>
    <n v="9.9"/>
  </r>
  <r>
    <x v="0"/>
    <x v="0"/>
    <d v="2023-10-11T00:00:00"/>
    <s v="NA"/>
    <n v="0"/>
    <n v="37"/>
    <s v="21-40"/>
    <x v="0"/>
    <x v="5"/>
    <x v="0"/>
    <x v="2"/>
    <n v="1"/>
    <n v="1"/>
    <n v="4"/>
    <x v="7"/>
    <n v="3"/>
    <n v="6"/>
    <n v="929998"/>
    <n v="605821"/>
    <n v="324177"/>
    <n v="26"/>
    <n v="60"/>
    <n v="6.8"/>
  </r>
  <r>
    <x v="0"/>
    <x v="0"/>
    <d v="2022-07-05T00:00:00"/>
    <s v="NA"/>
    <n v="0"/>
    <n v="46"/>
    <s v="41-60"/>
    <x v="1"/>
    <x v="9"/>
    <x v="7"/>
    <x v="3"/>
    <n v="1"/>
    <n v="1"/>
    <n v="1.7"/>
    <x v="2"/>
    <n v="3"/>
    <n v="7"/>
    <n v="653761"/>
    <n v="185720"/>
    <n v="468041"/>
    <n v="34"/>
    <n v="54"/>
    <n v="12.1"/>
  </r>
  <r>
    <x v="0"/>
    <x v="0"/>
    <d v="2022-04-14T00:00:00"/>
    <s v="NA"/>
    <n v="0"/>
    <n v="47"/>
    <s v="41-60"/>
    <x v="1"/>
    <x v="4"/>
    <x v="3"/>
    <x v="3"/>
    <n v="1"/>
    <n v="1"/>
    <n v="2.7"/>
    <x v="6"/>
    <n v="7"/>
    <n v="3"/>
    <n v="612772"/>
    <n v="219749"/>
    <n v="393023"/>
    <n v="26"/>
    <n v="58"/>
    <n v="36.6"/>
  </r>
  <r>
    <x v="0"/>
    <x v="0"/>
    <d v="2023-10-21T00:00:00"/>
    <s v="NA"/>
    <n v="0"/>
    <n v="52"/>
    <s v="41-60"/>
    <x v="1"/>
    <x v="1"/>
    <x v="1"/>
    <x v="3"/>
    <n v="1"/>
    <n v="1"/>
    <n v="4.3"/>
    <x v="19"/>
    <n v="3"/>
    <n v="3"/>
    <n v="776943"/>
    <n v="409274"/>
    <n v="367669"/>
    <n v="24"/>
    <n v="56"/>
    <n v="10.9"/>
  </r>
  <r>
    <x v="0"/>
    <x v="0"/>
    <d v="2022-09-27T00:00:00"/>
    <s v="NA"/>
    <n v="0"/>
    <n v="50"/>
    <s v="41-60"/>
    <x v="0"/>
    <x v="5"/>
    <x v="0"/>
    <x v="0"/>
    <n v="1"/>
    <n v="1"/>
    <n v="5"/>
    <x v="23"/>
    <n v="4"/>
    <n v="4"/>
    <n v="670028"/>
    <n v="357630"/>
    <n v="312398"/>
    <n v="35"/>
    <n v="65"/>
    <n v="12.2"/>
  </r>
  <r>
    <x v="0"/>
    <x v="0"/>
    <d v="2023-09-26T00:00:00"/>
    <s v="NA"/>
    <n v="0"/>
    <n v="33"/>
    <s v="21-40"/>
    <x v="0"/>
    <x v="13"/>
    <x v="10"/>
    <x v="2"/>
    <n v="1"/>
    <n v="1"/>
    <n v="4.4000000000000004"/>
    <x v="10"/>
    <n v="6"/>
    <n v="5"/>
    <n v="787368"/>
    <n v="394382"/>
    <n v="392986"/>
    <n v="23"/>
    <n v="58"/>
    <n v="9.3000000000000007"/>
  </r>
  <r>
    <x v="0"/>
    <x v="0"/>
    <d v="2021-08-28T00:00:00"/>
    <s v="NA"/>
    <n v="0"/>
    <n v="89"/>
    <s v="81+"/>
    <x v="0"/>
    <x v="0"/>
    <x v="0"/>
    <x v="1"/>
    <n v="1"/>
    <n v="1"/>
    <n v="1.2"/>
    <x v="28"/>
    <n v="3"/>
    <n v="6"/>
    <n v="739792"/>
    <n v="349485"/>
    <n v="390307"/>
    <n v="24"/>
    <n v="64"/>
    <n v="7.6"/>
  </r>
  <r>
    <x v="0"/>
    <x v="0"/>
    <d v="2022-02-13T00:00:00"/>
    <s v="NA"/>
    <n v="0"/>
    <n v="56"/>
    <s v="41-60"/>
    <x v="0"/>
    <x v="7"/>
    <x v="5"/>
    <x v="4"/>
    <n v="1"/>
    <n v="1"/>
    <n v="4.5"/>
    <x v="2"/>
    <n v="3"/>
    <n v="6"/>
    <n v="949274"/>
    <n v="560750"/>
    <n v="388524"/>
    <n v="35"/>
    <n v="58"/>
    <n v="13.1"/>
  </r>
  <r>
    <x v="0"/>
    <x v="0"/>
    <d v="2021-01-02T00:00:00"/>
    <s v="NA"/>
    <n v="0"/>
    <n v="43"/>
    <s v="41-60"/>
    <x v="1"/>
    <x v="7"/>
    <x v="5"/>
    <x v="3"/>
    <n v="1"/>
    <n v="1"/>
    <n v="6"/>
    <x v="12"/>
    <n v="7"/>
    <n v="6"/>
    <n v="967903"/>
    <n v="744656"/>
    <n v="223247"/>
    <n v="21"/>
    <n v="55"/>
    <n v="6.8"/>
  </r>
  <r>
    <x v="0"/>
    <x v="0"/>
    <d v="2021-12-20T00:00:00"/>
    <s v="NA"/>
    <n v="0"/>
    <n v="84"/>
    <s v="81+"/>
    <x v="1"/>
    <x v="4"/>
    <x v="3"/>
    <x v="0"/>
    <n v="1"/>
    <n v="1"/>
    <n v="3.1"/>
    <x v="19"/>
    <n v="4"/>
    <n v="5"/>
    <n v="848913"/>
    <n v="621540"/>
    <n v="227373"/>
    <n v="20"/>
    <n v="55"/>
    <n v="7.2"/>
  </r>
  <r>
    <x v="0"/>
    <x v="0"/>
    <d v="2021-11-28T00:00:00"/>
    <s v="NA"/>
    <n v="0"/>
    <n v="49"/>
    <s v="41-60"/>
    <x v="0"/>
    <x v="4"/>
    <x v="3"/>
    <x v="1"/>
    <n v="1"/>
    <n v="1"/>
    <n v="5.8"/>
    <x v="7"/>
    <n v="6"/>
    <n v="4"/>
    <n v="924643"/>
    <n v="616577"/>
    <n v="308066"/>
    <n v="27"/>
    <n v="58"/>
    <n v="6.3"/>
  </r>
  <r>
    <x v="0"/>
    <x v="0"/>
    <d v="2021-12-22T00:00:00"/>
    <s v="NA"/>
    <n v="0"/>
    <n v="25"/>
    <s v="21-40"/>
    <x v="1"/>
    <x v="10"/>
    <x v="8"/>
    <x v="3"/>
    <n v="1"/>
    <n v="1"/>
    <n v="2.4"/>
    <x v="23"/>
    <n v="3"/>
    <n v="4"/>
    <n v="719456"/>
    <n v="344104"/>
    <n v="375352"/>
    <n v="34"/>
    <n v="65"/>
    <n v="10.3"/>
  </r>
  <r>
    <x v="0"/>
    <x v="0"/>
    <d v="2021-01-15T00:00:00"/>
    <s v="NA"/>
    <n v="0"/>
    <n v="21"/>
    <s v="21-40"/>
    <x v="1"/>
    <x v="11"/>
    <x v="8"/>
    <x v="2"/>
    <n v="1"/>
    <n v="1"/>
    <n v="2.2999999999999998"/>
    <x v="4"/>
    <n v="3"/>
    <n v="7"/>
    <n v="735925"/>
    <n v="422271"/>
    <n v="313654"/>
    <n v="27"/>
    <n v="60"/>
    <n v="15"/>
  </r>
  <r>
    <x v="0"/>
    <x v="0"/>
    <d v="2023-12-29T00:00:00"/>
    <s v="NA"/>
    <n v="0"/>
    <n v="80"/>
    <s v="61-80"/>
    <x v="0"/>
    <x v="2"/>
    <x v="1"/>
    <x v="1"/>
    <n v="1"/>
    <n v="1"/>
    <n v="2.5"/>
    <x v="26"/>
    <n v="7"/>
    <n v="6"/>
    <n v="975293"/>
    <n v="702865"/>
    <n v="272428"/>
    <n v="21"/>
    <n v="62"/>
    <n v="9.4"/>
  </r>
  <r>
    <x v="0"/>
    <x v="0"/>
    <d v="2021-03-08T00:00:00"/>
    <s v="NA"/>
    <n v="0"/>
    <n v="40"/>
    <s v="21-40"/>
    <x v="0"/>
    <x v="7"/>
    <x v="5"/>
    <x v="2"/>
    <n v="1"/>
    <n v="1"/>
    <n v="4.2"/>
    <x v="29"/>
    <n v="3"/>
    <n v="6"/>
    <n v="806124"/>
    <n v="398753"/>
    <n v="407371"/>
    <n v="20"/>
    <n v="60"/>
    <n v="9.9"/>
  </r>
  <r>
    <x v="0"/>
    <x v="0"/>
    <d v="2024-03-17T00:00:00"/>
    <s v="NA"/>
    <n v="0"/>
    <n v="24"/>
    <s v="21-40"/>
    <x v="0"/>
    <x v="5"/>
    <x v="0"/>
    <x v="0"/>
    <n v="1"/>
    <n v="1"/>
    <n v="2.8"/>
    <x v="20"/>
    <n v="7"/>
    <n v="7"/>
    <n v="787409"/>
    <n v="435314"/>
    <n v="352095"/>
    <n v="37"/>
    <n v="59"/>
    <n v="12.5"/>
  </r>
  <r>
    <x v="0"/>
    <x v="0"/>
    <d v="2024-11-23T00:00:00"/>
    <s v="NA"/>
    <n v="0"/>
    <n v="81"/>
    <s v="81+"/>
    <x v="0"/>
    <x v="4"/>
    <x v="3"/>
    <x v="4"/>
    <n v="1"/>
    <n v="1"/>
    <n v="4.4000000000000004"/>
    <x v="17"/>
    <n v="5"/>
    <n v="7"/>
    <n v="634829"/>
    <n v="421661"/>
    <n v="213168"/>
    <n v="28"/>
    <n v="66"/>
    <n v="6"/>
  </r>
  <r>
    <x v="0"/>
    <x v="0"/>
    <d v="2021-11-04T00:00:00"/>
    <s v="NA"/>
    <n v="0"/>
    <n v="71"/>
    <s v="61-80"/>
    <x v="1"/>
    <x v="8"/>
    <x v="6"/>
    <x v="3"/>
    <n v="1"/>
    <n v="1"/>
    <n v="3.8"/>
    <x v="10"/>
    <n v="4"/>
    <n v="5"/>
    <n v="655269"/>
    <n v="268013"/>
    <n v="387256"/>
    <n v="31"/>
    <n v="61"/>
    <n v="10.7"/>
  </r>
  <r>
    <x v="0"/>
    <x v="0"/>
    <d v="2022-08-18T00:00:00"/>
    <s v="NA"/>
    <n v="0"/>
    <n v="37"/>
    <s v="21-40"/>
    <x v="1"/>
    <x v="7"/>
    <x v="5"/>
    <x v="1"/>
    <n v="1"/>
    <n v="1"/>
    <n v="6.8"/>
    <x v="19"/>
    <n v="5"/>
    <n v="6"/>
    <n v="858003"/>
    <n v="587067"/>
    <n v="270936"/>
    <n v="29"/>
    <n v="62"/>
    <n v="10.6"/>
  </r>
  <r>
    <x v="0"/>
    <x v="0"/>
    <d v="2022-06-24T00:00:00"/>
    <s v="NA"/>
    <n v="0"/>
    <n v="69"/>
    <s v="61-80"/>
    <x v="1"/>
    <x v="7"/>
    <x v="5"/>
    <x v="1"/>
    <n v="1"/>
    <n v="1"/>
    <n v="4.7"/>
    <x v="16"/>
    <n v="5"/>
    <n v="6"/>
    <n v="826034"/>
    <n v="345742"/>
    <n v="480292"/>
    <n v="34"/>
    <n v="66"/>
    <n v="36"/>
  </r>
  <r>
    <x v="13"/>
    <x v="13"/>
    <d v="2024-12-28T00:00:00"/>
    <s v="NA"/>
    <n v="0"/>
    <n v="49"/>
    <s v="41-60"/>
    <x v="0"/>
    <x v="0"/>
    <x v="0"/>
    <x v="1"/>
    <n v="1"/>
    <n v="1"/>
    <n v="4.4000000000000004"/>
    <x v="8"/>
    <n v="3"/>
    <n v="4"/>
    <n v="974758"/>
    <n v="356876"/>
    <n v="617882"/>
    <n v="37"/>
    <n v="57"/>
    <n v="13.5"/>
  </r>
  <r>
    <x v="0"/>
    <x v="0"/>
    <d v="2024-09-11T00:00:00"/>
    <s v="NA"/>
    <n v="0"/>
    <n v="23"/>
    <s v="21-40"/>
    <x v="1"/>
    <x v="13"/>
    <x v="10"/>
    <x v="2"/>
    <n v="1"/>
    <n v="1"/>
    <n v="2.1"/>
    <x v="15"/>
    <n v="4"/>
    <n v="6"/>
    <n v="744581"/>
    <n v="484091"/>
    <n v="260490"/>
    <n v="28"/>
    <n v="58"/>
    <n v="6.9"/>
  </r>
  <r>
    <x v="0"/>
    <x v="0"/>
    <d v="2022-12-02T00:00:00"/>
    <s v="NA"/>
    <n v="0"/>
    <n v="35"/>
    <s v="21-40"/>
    <x v="1"/>
    <x v="4"/>
    <x v="3"/>
    <x v="4"/>
    <n v="1"/>
    <n v="1"/>
    <n v="5.5"/>
    <x v="19"/>
    <n v="5"/>
    <n v="6"/>
    <n v="618460"/>
    <n v="205525"/>
    <n v="412935"/>
    <n v="34"/>
    <n v="55"/>
    <n v="13.2"/>
  </r>
  <r>
    <x v="0"/>
    <x v="0"/>
    <d v="2024-09-12T00:00:00"/>
    <s v="NA"/>
    <n v="0"/>
    <n v="28"/>
    <s v="21-40"/>
    <x v="1"/>
    <x v="13"/>
    <x v="10"/>
    <x v="1"/>
    <n v="1"/>
    <n v="1"/>
    <n v="1.9"/>
    <x v="26"/>
    <n v="6"/>
    <n v="5"/>
    <n v="716703"/>
    <n v="358206"/>
    <n v="358497"/>
    <n v="35"/>
    <n v="61"/>
    <n v="14.7"/>
  </r>
  <r>
    <x v="0"/>
    <x v="0"/>
    <d v="2022-09-07T00:00:00"/>
    <s v="NA"/>
    <n v="0"/>
    <n v="79"/>
    <s v="61-80"/>
    <x v="1"/>
    <x v="1"/>
    <x v="1"/>
    <x v="0"/>
    <n v="1"/>
    <n v="1"/>
    <n v="3.5"/>
    <x v="9"/>
    <n v="6"/>
    <n v="6"/>
    <n v="815269"/>
    <n v="407826"/>
    <n v="407443"/>
    <n v="20"/>
    <n v="59"/>
    <n v="9.5"/>
  </r>
  <r>
    <x v="13"/>
    <x v="13"/>
    <d v="2021-08-08T00:00:00"/>
    <s v="NA"/>
    <n v="0"/>
    <n v="85"/>
    <s v="81+"/>
    <x v="0"/>
    <x v="1"/>
    <x v="1"/>
    <x v="1"/>
    <n v="1"/>
    <n v="1"/>
    <n v="6.4"/>
    <x v="13"/>
    <n v="6"/>
    <n v="6"/>
    <n v="823791"/>
    <n v="258098"/>
    <n v="565693"/>
    <n v="50"/>
    <n v="65"/>
    <n v="5.7"/>
  </r>
  <r>
    <x v="13"/>
    <x v="13"/>
    <d v="2023-01-05T00:00:00"/>
    <s v="NA"/>
    <n v="0"/>
    <n v="37"/>
    <s v="21-40"/>
    <x v="1"/>
    <x v="9"/>
    <x v="7"/>
    <x v="1"/>
    <n v="1"/>
    <n v="1"/>
    <n v="2.1"/>
    <x v="2"/>
    <n v="5"/>
    <n v="4"/>
    <n v="892316"/>
    <n v="241103"/>
    <n v="651213"/>
    <n v="39"/>
    <n v="64"/>
    <n v="12.3"/>
  </r>
  <r>
    <x v="0"/>
    <x v="0"/>
    <d v="2022-02-21T00:00:00"/>
    <s v="NA"/>
    <n v="0"/>
    <n v="25"/>
    <s v="21-40"/>
    <x v="1"/>
    <x v="1"/>
    <x v="1"/>
    <x v="1"/>
    <n v="1"/>
    <n v="1"/>
    <n v="6"/>
    <x v="7"/>
    <n v="5"/>
    <n v="4"/>
    <n v="961738"/>
    <n v="676064"/>
    <n v="285674"/>
    <n v="29"/>
    <n v="62"/>
    <n v="8.6999999999999993"/>
  </r>
  <r>
    <x v="0"/>
    <x v="0"/>
    <d v="2023-11-26T00:00:00"/>
    <s v="NA"/>
    <n v="0"/>
    <n v="44"/>
    <s v="41-60"/>
    <x v="0"/>
    <x v="0"/>
    <x v="0"/>
    <x v="1"/>
    <n v="1"/>
    <n v="1"/>
    <n v="5.6"/>
    <x v="6"/>
    <n v="4"/>
    <n v="6"/>
    <n v="739971"/>
    <n v="258174"/>
    <n v="481797"/>
    <n v="22"/>
    <n v="63"/>
    <n v="36.9"/>
  </r>
  <r>
    <x v="13"/>
    <x v="13"/>
    <d v="2024-10-06T00:00:00"/>
    <s v="NA"/>
    <n v="0"/>
    <n v="23"/>
    <s v="21-40"/>
    <x v="0"/>
    <x v="0"/>
    <x v="0"/>
    <x v="1"/>
    <n v="1"/>
    <n v="1"/>
    <n v="5.7"/>
    <x v="2"/>
    <n v="3"/>
    <n v="7"/>
    <n v="914314"/>
    <n v="298251"/>
    <n v="616063"/>
    <n v="30"/>
    <n v="56"/>
    <n v="9.5"/>
  </r>
  <r>
    <x v="0"/>
    <x v="0"/>
    <d v="2022-01-15T00:00:00"/>
    <s v="NA"/>
    <n v="0"/>
    <n v="86"/>
    <s v="81+"/>
    <x v="0"/>
    <x v="0"/>
    <x v="0"/>
    <x v="4"/>
    <n v="1"/>
    <n v="1"/>
    <n v="4.7"/>
    <x v="6"/>
    <n v="5"/>
    <n v="5"/>
    <n v="603039"/>
    <n v="367019"/>
    <n v="236020"/>
    <n v="31"/>
    <n v="59"/>
    <n v="10.199999999999999"/>
  </r>
  <r>
    <x v="0"/>
    <x v="0"/>
    <d v="2023-11-10T00:00:00"/>
    <s v="NA"/>
    <n v="0"/>
    <n v="46"/>
    <s v="41-60"/>
    <x v="1"/>
    <x v="4"/>
    <x v="3"/>
    <x v="1"/>
    <n v="1"/>
    <n v="1"/>
    <n v="5.5"/>
    <x v="21"/>
    <n v="7"/>
    <n v="4"/>
    <n v="655380"/>
    <n v="250652"/>
    <n v="404728"/>
    <n v="29"/>
    <n v="59"/>
    <n v="36.299999999999997"/>
  </r>
  <r>
    <x v="0"/>
    <x v="0"/>
    <d v="2022-07-31T00:00:00"/>
    <s v="NA"/>
    <n v="0"/>
    <n v="66"/>
    <s v="61-80"/>
    <x v="1"/>
    <x v="11"/>
    <x v="8"/>
    <x v="3"/>
    <n v="1"/>
    <n v="1"/>
    <n v="2"/>
    <x v="12"/>
    <n v="5"/>
    <n v="5"/>
    <n v="807947"/>
    <n v="600805"/>
    <n v="207142"/>
    <n v="34"/>
    <n v="55"/>
    <n v="7.8"/>
  </r>
  <r>
    <x v="13"/>
    <x v="13"/>
    <d v="2024-09-15T00:00:00"/>
    <s v="NA"/>
    <n v="0"/>
    <n v="40"/>
    <s v="21-40"/>
    <x v="0"/>
    <x v="13"/>
    <x v="10"/>
    <x v="0"/>
    <n v="1"/>
    <n v="1"/>
    <n v="1.3"/>
    <x v="25"/>
    <n v="6"/>
    <n v="6"/>
    <n v="903799"/>
    <n v="250538"/>
    <n v="653261"/>
    <n v="47"/>
    <n v="60"/>
    <n v="12.9"/>
  </r>
  <r>
    <x v="13"/>
    <x v="13"/>
    <d v="2024-11-21T00:00:00"/>
    <s v="NA"/>
    <n v="0"/>
    <n v="82"/>
    <s v="81+"/>
    <x v="0"/>
    <x v="0"/>
    <x v="0"/>
    <x v="2"/>
    <n v="1"/>
    <n v="1"/>
    <n v="2"/>
    <x v="7"/>
    <n v="7"/>
    <n v="6"/>
    <n v="817154"/>
    <n v="231093"/>
    <n v="586061"/>
    <n v="47"/>
    <n v="61"/>
    <n v="7"/>
  </r>
  <r>
    <x v="0"/>
    <x v="0"/>
    <d v="2022-02-24T00:00:00"/>
    <s v="NA"/>
    <n v="0"/>
    <n v="23"/>
    <s v="21-40"/>
    <x v="1"/>
    <x v="3"/>
    <x v="2"/>
    <x v="3"/>
    <n v="1"/>
    <n v="1"/>
    <n v="6.2"/>
    <x v="8"/>
    <n v="6"/>
    <n v="6"/>
    <n v="774898"/>
    <n v="402825"/>
    <n v="372073"/>
    <n v="32"/>
    <n v="62"/>
    <n v="36.5"/>
  </r>
  <r>
    <x v="0"/>
    <x v="0"/>
    <d v="2022-08-04T00:00:00"/>
    <s v="NA"/>
    <n v="0"/>
    <n v="28"/>
    <s v="21-40"/>
    <x v="0"/>
    <x v="5"/>
    <x v="0"/>
    <x v="2"/>
    <n v="1"/>
    <n v="1"/>
    <n v="1.4"/>
    <x v="6"/>
    <n v="3"/>
    <n v="7"/>
    <n v="746489"/>
    <n v="350467"/>
    <n v="396022"/>
    <n v="26"/>
    <n v="58"/>
    <n v="8"/>
  </r>
  <r>
    <x v="0"/>
    <x v="0"/>
    <d v="2024-06-06T00:00:00"/>
    <s v="NA"/>
    <n v="0"/>
    <n v="67"/>
    <s v="61-80"/>
    <x v="1"/>
    <x v="4"/>
    <x v="3"/>
    <x v="2"/>
    <n v="1"/>
    <n v="1"/>
    <n v="5.0999999999999996"/>
    <x v="22"/>
    <n v="4"/>
    <n v="4"/>
    <n v="641999"/>
    <n v="263638"/>
    <n v="378361"/>
    <n v="32"/>
    <n v="66"/>
    <n v="7.4"/>
  </r>
  <r>
    <x v="0"/>
    <x v="0"/>
    <d v="2022-01-25T00:00:00"/>
    <s v="NA"/>
    <n v="0"/>
    <n v="34"/>
    <s v="21-40"/>
    <x v="0"/>
    <x v="7"/>
    <x v="5"/>
    <x v="1"/>
    <n v="1"/>
    <n v="1"/>
    <n v="4.9000000000000004"/>
    <x v="17"/>
    <n v="5"/>
    <n v="5"/>
    <n v="647347"/>
    <n v="295633"/>
    <n v="351714"/>
    <n v="28"/>
    <n v="65"/>
    <n v="15"/>
  </r>
  <r>
    <x v="0"/>
    <x v="0"/>
    <d v="2022-04-10T00:00:00"/>
    <s v="NA"/>
    <n v="0"/>
    <n v="67"/>
    <s v="61-80"/>
    <x v="1"/>
    <x v="8"/>
    <x v="6"/>
    <x v="3"/>
    <n v="1"/>
    <n v="1"/>
    <n v="1.8"/>
    <x v="7"/>
    <n v="3"/>
    <n v="7"/>
    <n v="747213"/>
    <n v="502881"/>
    <n v="244332"/>
    <n v="35"/>
    <n v="55"/>
    <n v="5.0999999999999996"/>
  </r>
  <r>
    <x v="0"/>
    <x v="0"/>
    <d v="2022-10-21T00:00:00"/>
    <s v="NA"/>
    <n v="0"/>
    <n v="78"/>
    <s v="61-80"/>
    <x v="1"/>
    <x v="6"/>
    <x v="4"/>
    <x v="0"/>
    <n v="1"/>
    <n v="1"/>
    <n v="5.8"/>
    <x v="20"/>
    <n v="7"/>
    <n v="6"/>
    <n v="751548"/>
    <n v="357956"/>
    <n v="393592"/>
    <n v="35"/>
    <n v="62"/>
    <n v="7.3"/>
  </r>
  <r>
    <x v="0"/>
    <x v="0"/>
    <d v="2024-02-19T00:00:00"/>
    <s v="NA"/>
    <n v="0"/>
    <n v="39"/>
    <s v="21-40"/>
    <x v="1"/>
    <x v="11"/>
    <x v="8"/>
    <x v="3"/>
    <n v="1"/>
    <n v="1"/>
    <n v="1.5"/>
    <x v="0"/>
    <n v="5"/>
    <n v="4"/>
    <n v="900212"/>
    <n v="543569"/>
    <n v="356643"/>
    <n v="29"/>
    <n v="55"/>
    <n v="7.1"/>
  </r>
  <r>
    <x v="0"/>
    <x v="0"/>
    <d v="2023-09-10T00:00:00"/>
    <s v="NA"/>
    <n v="0"/>
    <n v="87"/>
    <s v="81+"/>
    <x v="0"/>
    <x v="7"/>
    <x v="5"/>
    <x v="1"/>
    <n v="1"/>
    <n v="1"/>
    <n v="5.9"/>
    <x v="30"/>
    <n v="7"/>
    <n v="7"/>
    <n v="869588"/>
    <n v="419561"/>
    <n v="450027"/>
    <n v="34"/>
    <n v="58"/>
    <n v="9.1999999999999993"/>
  </r>
  <r>
    <x v="0"/>
    <x v="0"/>
    <d v="2021-12-24T00:00:00"/>
    <s v="NA"/>
    <n v="0"/>
    <n v="79"/>
    <s v="61-80"/>
    <x v="0"/>
    <x v="10"/>
    <x v="8"/>
    <x v="3"/>
    <n v="1"/>
    <n v="1"/>
    <n v="3.8"/>
    <x v="12"/>
    <n v="7"/>
    <n v="5"/>
    <n v="904226"/>
    <n v="651685"/>
    <n v="252541"/>
    <n v="37"/>
    <n v="62"/>
    <n v="7.5"/>
  </r>
  <r>
    <x v="0"/>
    <x v="0"/>
    <d v="2022-01-18T00:00:00"/>
    <s v="NA"/>
    <n v="0"/>
    <n v="48"/>
    <s v="41-60"/>
    <x v="1"/>
    <x v="7"/>
    <x v="5"/>
    <x v="3"/>
    <n v="1"/>
    <n v="1"/>
    <n v="4.0999999999999996"/>
    <x v="8"/>
    <n v="4"/>
    <n v="4"/>
    <n v="916093"/>
    <n v="569595"/>
    <n v="346498"/>
    <n v="23"/>
    <n v="64"/>
    <n v="10.1"/>
  </r>
  <r>
    <x v="0"/>
    <x v="0"/>
    <d v="2023-02-03T00:00:00"/>
    <s v="NA"/>
    <n v="0"/>
    <n v="88"/>
    <s v="81+"/>
    <x v="0"/>
    <x v="0"/>
    <x v="0"/>
    <x v="4"/>
    <n v="1"/>
    <n v="1"/>
    <n v="5.7"/>
    <x v="14"/>
    <n v="7"/>
    <n v="7"/>
    <n v="714998"/>
    <n v="290184"/>
    <n v="424814"/>
    <n v="38"/>
    <n v="57"/>
    <n v="7.6"/>
  </r>
  <r>
    <x v="0"/>
    <x v="0"/>
    <d v="2022-03-16T00:00:00"/>
    <s v="NA"/>
    <n v="0"/>
    <n v="39"/>
    <s v="21-40"/>
    <x v="0"/>
    <x v="5"/>
    <x v="0"/>
    <x v="0"/>
    <n v="1"/>
    <n v="1"/>
    <n v="1.2"/>
    <x v="23"/>
    <n v="3"/>
    <n v="3"/>
    <n v="858070"/>
    <n v="451138"/>
    <n v="406932"/>
    <n v="35"/>
    <n v="56"/>
    <n v="6"/>
  </r>
  <r>
    <x v="14"/>
    <x v="14"/>
    <d v="2024-07-20T00:00:00"/>
    <s v="NA"/>
    <n v="0"/>
    <n v="34"/>
    <s v="21-40"/>
    <x v="1"/>
    <x v="8"/>
    <x v="6"/>
    <x v="2"/>
    <n v="1"/>
    <n v="1"/>
    <n v="4.0999999999999996"/>
    <x v="0"/>
    <n v="3"/>
    <n v="6"/>
    <n v="792959"/>
    <n v="350036"/>
    <n v="442923"/>
    <n v="23"/>
    <n v="60"/>
    <n v="5.3"/>
  </r>
  <r>
    <x v="14"/>
    <x v="14"/>
    <d v="2024-08-25T00:00:00"/>
    <s v="NA"/>
    <n v="0"/>
    <n v="68"/>
    <s v="61-80"/>
    <x v="0"/>
    <x v="1"/>
    <x v="1"/>
    <x v="4"/>
    <n v="1"/>
    <n v="1"/>
    <n v="5.5"/>
    <x v="5"/>
    <n v="3"/>
    <n v="7"/>
    <n v="768842"/>
    <n v="208747"/>
    <n v="560095"/>
    <n v="30"/>
    <n v="65"/>
    <n v="5.3"/>
  </r>
  <r>
    <x v="0"/>
    <x v="0"/>
    <d v="2021-01-23T00:00:00"/>
    <s v="NA"/>
    <n v="0"/>
    <n v="82"/>
    <s v="81+"/>
    <x v="0"/>
    <x v="0"/>
    <x v="0"/>
    <x v="3"/>
    <n v="1"/>
    <n v="1"/>
    <n v="4.7"/>
    <x v="12"/>
    <n v="7"/>
    <n v="3"/>
    <n v="728676"/>
    <n v="250784"/>
    <n v="477892"/>
    <n v="25"/>
    <n v="66"/>
    <n v="36.299999999999997"/>
  </r>
  <r>
    <x v="14"/>
    <x v="14"/>
    <d v="2022-04-08T00:00:00"/>
    <s v="NA"/>
    <n v="0"/>
    <n v="43"/>
    <s v="41-60"/>
    <x v="1"/>
    <x v="12"/>
    <x v="9"/>
    <x v="2"/>
    <n v="1"/>
    <n v="1"/>
    <n v="4.2"/>
    <x v="25"/>
    <n v="5"/>
    <n v="6"/>
    <n v="703633"/>
    <n v="164098"/>
    <n v="539535"/>
    <n v="27"/>
    <n v="65"/>
    <n v="10.1"/>
  </r>
  <r>
    <x v="14"/>
    <x v="14"/>
    <d v="2021-07-04T00:00:00"/>
    <s v="NA"/>
    <n v="0"/>
    <n v="43"/>
    <s v="41-60"/>
    <x v="0"/>
    <x v="1"/>
    <x v="1"/>
    <x v="3"/>
    <n v="1"/>
    <n v="1"/>
    <n v="4.4000000000000004"/>
    <x v="0"/>
    <n v="3"/>
    <n v="7"/>
    <n v="778274"/>
    <n v="339909"/>
    <n v="438365"/>
    <n v="23"/>
    <n v="61"/>
    <n v="7.8"/>
  </r>
  <r>
    <x v="0"/>
    <x v="0"/>
    <d v="2022-01-11T00:00:00"/>
    <s v="NA"/>
    <n v="0"/>
    <n v="50"/>
    <s v="41-60"/>
    <x v="1"/>
    <x v="9"/>
    <x v="7"/>
    <x v="4"/>
    <n v="1"/>
    <n v="1"/>
    <n v="4.5999999999999996"/>
    <x v="5"/>
    <n v="5"/>
    <n v="4"/>
    <n v="807406"/>
    <n v="446361"/>
    <n v="361045"/>
    <n v="35"/>
    <n v="62"/>
    <n v="6.9"/>
  </r>
  <r>
    <x v="14"/>
    <x v="14"/>
    <d v="2022-07-04T00:00:00"/>
    <s v="NA"/>
    <n v="0"/>
    <n v="27"/>
    <s v="21-40"/>
    <x v="0"/>
    <x v="0"/>
    <x v="0"/>
    <x v="4"/>
    <n v="1"/>
    <n v="1"/>
    <n v="3.7"/>
    <x v="4"/>
    <n v="7"/>
    <n v="6"/>
    <n v="680806"/>
    <n v="270596"/>
    <n v="410210"/>
    <n v="23"/>
    <n v="66"/>
    <n v="7.9"/>
  </r>
  <r>
    <x v="0"/>
    <x v="0"/>
    <d v="2023-10-14T00:00:00"/>
    <s v="NA"/>
    <n v="0"/>
    <n v="44"/>
    <s v="41-60"/>
    <x v="1"/>
    <x v="13"/>
    <x v="10"/>
    <x v="2"/>
    <n v="1"/>
    <n v="1"/>
    <n v="2.9"/>
    <x v="9"/>
    <n v="5"/>
    <n v="5"/>
    <n v="920260"/>
    <n v="444716"/>
    <n v="475544"/>
    <n v="37"/>
    <n v="63"/>
    <n v="5.4"/>
  </r>
  <r>
    <x v="14"/>
    <x v="14"/>
    <d v="2022-11-14T00:00:00"/>
    <s v="NA"/>
    <n v="0"/>
    <n v="69"/>
    <s v="61-80"/>
    <x v="1"/>
    <x v="3"/>
    <x v="2"/>
    <x v="3"/>
    <n v="1"/>
    <n v="1"/>
    <n v="4.4000000000000004"/>
    <x v="5"/>
    <n v="7"/>
    <n v="4"/>
    <n v="666539"/>
    <n v="115672"/>
    <n v="550867"/>
    <n v="27"/>
    <n v="63"/>
    <n v="10.5"/>
  </r>
  <r>
    <x v="0"/>
    <x v="0"/>
    <d v="2021-10-27T00:00:00"/>
    <s v="NA"/>
    <n v="0"/>
    <n v="61"/>
    <s v="61-80"/>
    <x v="1"/>
    <x v="10"/>
    <x v="8"/>
    <x v="3"/>
    <n v="1"/>
    <n v="1"/>
    <n v="3.3"/>
    <x v="27"/>
    <n v="4"/>
    <n v="6"/>
    <n v="860914"/>
    <n v="555359"/>
    <n v="305555"/>
    <n v="32"/>
    <n v="63"/>
    <n v="13.9"/>
  </r>
  <r>
    <x v="14"/>
    <x v="14"/>
    <d v="2021-11-01T00:00:00"/>
    <s v="NA"/>
    <n v="0"/>
    <n v="77"/>
    <s v="61-80"/>
    <x v="1"/>
    <x v="3"/>
    <x v="2"/>
    <x v="4"/>
    <n v="1"/>
    <n v="1"/>
    <n v="5.6"/>
    <x v="10"/>
    <n v="7"/>
    <n v="5"/>
    <n v="661763"/>
    <n v="123700"/>
    <n v="538063"/>
    <n v="30"/>
    <n v="59"/>
    <n v="10.1"/>
  </r>
  <r>
    <x v="14"/>
    <x v="14"/>
    <d v="2022-02-20T00:00:00"/>
    <s v="NA"/>
    <n v="0"/>
    <n v="80"/>
    <s v="61-80"/>
    <x v="0"/>
    <x v="0"/>
    <x v="0"/>
    <x v="1"/>
    <n v="1"/>
    <n v="1"/>
    <n v="2.2000000000000002"/>
    <x v="7"/>
    <n v="6"/>
    <n v="3"/>
    <n v="612665"/>
    <n v="119969"/>
    <n v="492696"/>
    <n v="26"/>
    <n v="56"/>
    <n v="12.8"/>
  </r>
  <r>
    <x v="14"/>
    <x v="14"/>
    <d v="2022-12-06T00:00:00"/>
    <s v="NA"/>
    <n v="0"/>
    <n v="44"/>
    <s v="41-60"/>
    <x v="1"/>
    <x v="7"/>
    <x v="5"/>
    <x v="4"/>
    <n v="1"/>
    <n v="1"/>
    <n v="3.2"/>
    <x v="7"/>
    <n v="5"/>
    <n v="7"/>
    <n v="769723"/>
    <n v="225977"/>
    <n v="543746"/>
    <n v="28"/>
    <n v="58"/>
    <n v="36.9"/>
  </r>
  <r>
    <x v="14"/>
    <x v="14"/>
    <d v="2021-09-15T00:00:00"/>
    <s v="NA"/>
    <n v="0"/>
    <n v="36"/>
    <s v="21-40"/>
    <x v="0"/>
    <x v="7"/>
    <x v="5"/>
    <x v="4"/>
    <n v="1"/>
    <n v="1"/>
    <n v="2.2000000000000002"/>
    <x v="5"/>
    <n v="7"/>
    <n v="4"/>
    <n v="782757"/>
    <n v="198418"/>
    <n v="584339"/>
    <n v="28"/>
    <n v="61"/>
    <n v="13.6"/>
  </r>
  <r>
    <x v="14"/>
    <x v="14"/>
    <d v="2023-04-08T00:00:00"/>
    <s v="NA"/>
    <n v="0"/>
    <n v="25"/>
    <s v="21-40"/>
    <x v="0"/>
    <x v="10"/>
    <x v="8"/>
    <x v="4"/>
    <n v="1"/>
    <n v="1"/>
    <n v="1.5"/>
    <x v="2"/>
    <n v="3"/>
    <n v="5"/>
    <n v="747270"/>
    <n v="207819"/>
    <n v="539451"/>
    <n v="24"/>
    <n v="62"/>
    <n v="14.5"/>
  </r>
  <r>
    <x v="14"/>
    <x v="14"/>
    <d v="2021-05-12T00:00:00"/>
    <s v="NA"/>
    <n v="0"/>
    <n v="77"/>
    <s v="61-80"/>
    <x v="1"/>
    <x v="11"/>
    <x v="8"/>
    <x v="1"/>
    <n v="1"/>
    <n v="1"/>
    <n v="1.8"/>
    <x v="21"/>
    <n v="3"/>
    <n v="4"/>
    <n v="710939"/>
    <n v="142632"/>
    <n v="568307"/>
    <n v="26"/>
    <n v="63"/>
    <n v="10.6"/>
  </r>
  <r>
    <x v="14"/>
    <x v="14"/>
    <d v="2021-04-30T00:00:00"/>
    <s v="NA"/>
    <n v="0"/>
    <n v="90"/>
    <s v="81+"/>
    <x v="0"/>
    <x v="0"/>
    <x v="0"/>
    <x v="3"/>
    <n v="1"/>
    <n v="1"/>
    <n v="5.8"/>
    <x v="2"/>
    <n v="3"/>
    <n v="7"/>
    <n v="690373"/>
    <n v="207547"/>
    <n v="482826"/>
    <n v="21"/>
    <n v="59"/>
    <n v="13.6"/>
  </r>
  <r>
    <x v="14"/>
    <x v="14"/>
    <d v="2024-12-23T00:00:00"/>
    <s v="NA"/>
    <n v="0"/>
    <n v="59"/>
    <s v="41-60"/>
    <x v="1"/>
    <x v="12"/>
    <x v="9"/>
    <x v="0"/>
    <n v="1"/>
    <n v="1"/>
    <n v="5.6"/>
    <x v="6"/>
    <n v="5"/>
    <n v="4"/>
    <n v="791610"/>
    <n v="234766"/>
    <n v="556844"/>
    <n v="27"/>
    <n v="55"/>
    <n v="36"/>
  </r>
  <r>
    <x v="14"/>
    <x v="14"/>
    <d v="2023-10-27T00:00:00"/>
    <s v="NA"/>
    <n v="0"/>
    <n v="49"/>
    <s v="41-60"/>
    <x v="0"/>
    <x v="0"/>
    <x v="0"/>
    <x v="2"/>
    <n v="1"/>
    <n v="1"/>
    <n v="5.9"/>
    <x v="2"/>
    <n v="5"/>
    <n v="7"/>
    <n v="609346"/>
    <n v="137051"/>
    <n v="472295"/>
    <n v="26"/>
    <n v="56"/>
    <n v="7.9"/>
  </r>
  <r>
    <x v="14"/>
    <x v="14"/>
    <d v="2022-08-09T00:00:00"/>
    <s v="NA"/>
    <n v="0"/>
    <n v="21"/>
    <s v="21-40"/>
    <x v="1"/>
    <x v="3"/>
    <x v="2"/>
    <x v="1"/>
    <n v="1"/>
    <n v="1"/>
    <n v="6.1"/>
    <x v="24"/>
    <n v="4"/>
    <n v="5"/>
    <n v="773495"/>
    <n v="289890"/>
    <n v="483605"/>
    <n v="25"/>
    <n v="66"/>
    <n v="10.8"/>
  </r>
  <r>
    <x v="14"/>
    <x v="14"/>
    <d v="2024-11-11T00:00:00"/>
    <s v="NA"/>
    <n v="0"/>
    <n v="55"/>
    <s v="41-60"/>
    <x v="1"/>
    <x v="10"/>
    <x v="8"/>
    <x v="0"/>
    <n v="1"/>
    <n v="1"/>
    <n v="3.7"/>
    <x v="22"/>
    <n v="3"/>
    <n v="4"/>
    <n v="653720"/>
    <n v="155435"/>
    <n v="498285"/>
    <n v="28"/>
    <n v="62"/>
    <n v="14.9"/>
  </r>
  <r>
    <x v="14"/>
    <x v="14"/>
    <d v="2022-10-25T00:00:00"/>
    <s v="NA"/>
    <n v="0"/>
    <n v="43"/>
    <s v="41-60"/>
    <x v="1"/>
    <x v="4"/>
    <x v="3"/>
    <x v="3"/>
    <n v="1"/>
    <n v="1"/>
    <n v="3.9"/>
    <x v="25"/>
    <n v="6"/>
    <n v="7"/>
    <n v="682989"/>
    <n v="154995"/>
    <n v="527994"/>
    <n v="29"/>
    <n v="54"/>
    <n v="6.4"/>
  </r>
  <r>
    <x v="14"/>
    <x v="14"/>
    <d v="2024-02-14T00:00:00"/>
    <s v="NA"/>
    <n v="0"/>
    <n v="55"/>
    <s v="41-60"/>
    <x v="1"/>
    <x v="3"/>
    <x v="2"/>
    <x v="2"/>
    <n v="1"/>
    <n v="1"/>
    <n v="7"/>
    <x v="9"/>
    <n v="4"/>
    <n v="3"/>
    <n v="797190"/>
    <n v="228812"/>
    <n v="568378"/>
    <n v="23"/>
    <n v="61"/>
    <n v="14.7"/>
  </r>
  <r>
    <x v="14"/>
    <x v="14"/>
    <d v="2022-04-04T00:00:00"/>
    <s v="NA"/>
    <n v="0"/>
    <n v="27"/>
    <s v="21-40"/>
    <x v="1"/>
    <x v="11"/>
    <x v="8"/>
    <x v="3"/>
    <n v="1"/>
    <n v="1"/>
    <n v="6.5"/>
    <x v="1"/>
    <n v="4"/>
    <n v="5"/>
    <n v="627316"/>
    <n v="153122"/>
    <n v="474194"/>
    <n v="25"/>
    <n v="58"/>
    <n v="6.4"/>
  </r>
  <r>
    <x v="14"/>
    <x v="14"/>
    <d v="2024-12-26T00:00:00"/>
    <s v="NA"/>
    <n v="0"/>
    <n v="29"/>
    <s v="21-40"/>
    <x v="0"/>
    <x v="0"/>
    <x v="0"/>
    <x v="4"/>
    <n v="1"/>
    <n v="1"/>
    <n v="3.6"/>
    <x v="13"/>
    <n v="6"/>
    <n v="3"/>
    <n v="698572"/>
    <n v="285070"/>
    <n v="413502"/>
    <n v="21"/>
    <n v="63"/>
    <n v="5.9"/>
  </r>
  <r>
    <x v="14"/>
    <x v="14"/>
    <d v="2022-02-02T00:00:00"/>
    <s v="NA"/>
    <n v="0"/>
    <n v="37"/>
    <s v="21-40"/>
    <x v="1"/>
    <x v="3"/>
    <x v="2"/>
    <x v="1"/>
    <n v="1"/>
    <n v="1"/>
    <n v="2.2000000000000002"/>
    <x v="4"/>
    <n v="4"/>
    <n v="4"/>
    <n v="635829"/>
    <n v="189627"/>
    <n v="446202"/>
    <n v="27"/>
    <n v="62"/>
    <n v="14.8"/>
  </r>
  <r>
    <x v="14"/>
    <x v="14"/>
    <d v="2023-02-25T00:00:00"/>
    <s v="NA"/>
    <n v="0"/>
    <n v="49"/>
    <s v="41-60"/>
    <x v="0"/>
    <x v="10"/>
    <x v="8"/>
    <x v="0"/>
    <n v="1"/>
    <n v="1"/>
    <n v="6.4"/>
    <x v="1"/>
    <n v="5"/>
    <n v="4"/>
    <n v="615968"/>
    <n v="175900"/>
    <n v="440068"/>
    <n v="21"/>
    <n v="60"/>
    <n v="13.4"/>
  </r>
  <r>
    <x v="14"/>
    <x v="14"/>
    <d v="2024-11-20T00:00:00"/>
    <s v="NA"/>
    <n v="0"/>
    <n v="29"/>
    <s v="21-40"/>
    <x v="0"/>
    <x v="5"/>
    <x v="0"/>
    <x v="4"/>
    <n v="1"/>
    <n v="1"/>
    <n v="5.4"/>
    <x v="14"/>
    <n v="3"/>
    <n v="5"/>
    <n v="662784"/>
    <n v="84895"/>
    <n v="577889"/>
    <n v="29"/>
    <n v="59"/>
    <n v="14.2"/>
  </r>
  <r>
    <x v="14"/>
    <x v="14"/>
    <d v="2024-09-09T00:00:00"/>
    <s v="NA"/>
    <n v="0"/>
    <n v="61"/>
    <s v="61-80"/>
    <x v="0"/>
    <x v="0"/>
    <x v="0"/>
    <x v="3"/>
    <n v="1"/>
    <n v="1"/>
    <n v="3.9"/>
    <x v="21"/>
    <n v="6"/>
    <n v="6"/>
    <n v="753350"/>
    <n v="247430"/>
    <n v="505920"/>
    <n v="23"/>
    <n v="56"/>
    <n v="12.5"/>
  </r>
  <r>
    <x v="14"/>
    <x v="14"/>
    <d v="2021-06-18T00:00:00"/>
    <s v="NA"/>
    <n v="0"/>
    <n v="73"/>
    <s v="61-80"/>
    <x v="1"/>
    <x v="11"/>
    <x v="8"/>
    <x v="3"/>
    <n v="1"/>
    <n v="1"/>
    <n v="4.5"/>
    <x v="23"/>
    <n v="5"/>
    <n v="7"/>
    <n v="678036"/>
    <n v="244389"/>
    <n v="433647"/>
    <n v="29"/>
    <n v="57"/>
    <n v="13.5"/>
  </r>
  <r>
    <x v="14"/>
    <x v="14"/>
    <d v="2022-05-13T00:00:00"/>
    <s v="NA"/>
    <n v="0"/>
    <n v="41"/>
    <s v="41-60"/>
    <x v="0"/>
    <x v="5"/>
    <x v="0"/>
    <x v="2"/>
    <n v="1"/>
    <n v="1"/>
    <n v="5.2"/>
    <x v="6"/>
    <n v="3"/>
    <n v="7"/>
    <n v="660430"/>
    <n v="145124"/>
    <n v="515306"/>
    <n v="21"/>
    <n v="60"/>
    <n v="36.4"/>
  </r>
  <r>
    <x v="14"/>
    <x v="14"/>
    <d v="2024-05-09T00:00:00"/>
    <s v="NA"/>
    <n v="0"/>
    <n v="88"/>
    <s v="81+"/>
    <x v="0"/>
    <x v="0"/>
    <x v="0"/>
    <x v="1"/>
    <n v="1"/>
    <n v="1"/>
    <n v="5"/>
    <x v="11"/>
    <n v="6"/>
    <n v="4"/>
    <n v="603936"/>
    <n v="18782"/>
    <n v="585154"/>
    <n v="30"/>
    <n v="54"/>
    <n v="9.4"/>
  </r>
  <r>
    <x v="14"/>
    <x v="14"/>
    <d v="2021-09-21T00:00:00"/>
    <s v="NA"/>
    <n v="0"/>
    <n v="39"/>
    <s v="21-40"/>
    <x v="0"/>
    <x v="0"/>
    <x v="0"/>
    <x v="3"/>
    <n v="1"/>
    <n v="1"/>
    <n v="3.1"/>
    <x v="14"/>
    <n v="6"/>
    <n v="7"/>
    <n v="631350"/>
    <n v="73005"/>
    <n v="558345"/>
    <n v="30"/>
    <n v="63"/>
    <n v="5.4"/>
  </r>
  <r>
    <x v="14"/>
    <x v="14"/>
    <d v="2024-04-14T00:00:00"/>
    <s v="NA"/>
    <n v="0"/>
    <n v="58"/>
    <s v="41-60"/>
    <x v="1"/>
    <x v="6"/>
    <x v="4"/>
    <x v="0"/>
    <n v="1"/>
    <n v="1"/>
    <n v="5"/>
    <x v="23"/>
    <n v="4"/>
    <n v="4"/>
    <n v="610450"/>
    <n v="116459"/>
    <n v="493991"/>
    <n v="28"/>
    <n v="55"/>
    <n v="5"/>
  </r>
  <r>
    <x v="14"/>
    <x v="14"/>
    <d v="2022-04-05T00:00:00"/>
    <s v="NA"/>
    <n v="0"/>
    <n v="24"/>
    <s v="21-40"/>
    <x v="1"/>
    <x v="11"/>
    <x v="8"/>
    <x v="4"/>
    <n v="1"/>
    <n v="1"/>
    <n v="5.9"/>
    <x v="28"/>
    <n v="3"/>
    <n v="6"/>
    <n v="621956"/>
    <n v="62065"/>
    <n v="559891"/>
    <n v="29"/>
    <n v="60"/>
    <n v="9"/>
  </r>
  <r>
    <x v="14"/>
    <x v="14"/>
    <d v="2021-10-03T00:00:00"/>
    <s v="NA"/>
    <n v="0"/>
    <n v="62"/>
    <s v="61-80"/>
    <x v="1"/>
    <x v="8"/>
    <x v="6"/>
    <x v="0"/>
    <n v="1"/>
    <n v="1"/>
    <n v="4.3"/>
    <x v="2"/>
    <n v="7"/>
    <n v="3"/>
    <n v="712580"/>
    <n v="127059"/>
    <n v="585521"/>
    <n v="27"/>
    <n v="57"/>
    <n v="6.1"/>
  </r>
  <r>
    <x v="14"/>
    <x v="14"/>
    <d v="2022-07-13T00:00:00"/>
    <s v="NA"/>
    <n v="0"/>
    <n v="72"/>
    <s v="61-80"/>
    <x v="1"/>
    <x v="2"/>
    <x v="1"/>
    <x v="3"/>
    <n v="1"/>
    <n v="1"/>
    <n v="6.3"/>
    <x v="27"/>
    <n v="4"/>
    <n v="5"/>
    <n v="665457"/>
    <n v="210258"/>
    <n v="455199"/>
    <n v="23"/>
    <n v="56"/>
    <n v="36.299999999999997"/>
  </r>
  <r>
    <x v="14"/>
    <x v="14"/>
    <d v="2021-09-23T00:00:00"/>
    <s v="NA"/>
    <n v="0"/>
    <n v="28"/>
    <s v="21-40"/>
    <x v="1"/>
    <x v="11"/>
    <x v="8"/>
    <x v="4"/>
    <n v="1"/>
    <n v="1"/>
    <n v="6.7"/>
    <x v="4"/>
    <n v="5"/>
    <n v="5"/>
    <n v="638968"/>
    <n v="97035"/>
    <n v="541933"/>
    <n v="25"/>
    <n v="61"/>
    <n v="13.9"/>
  </r>
  <r>
    <x v="14"/>
    <x v="14"/>
    <d v="2024-03-30T00:00:00"/>
    <s v="NA"/>
    <n v="0"/>
    <n v="33"/>
    <s v="21-40"/>
    <x v="1"/>
    <x v="3"/>
    <x v="2"/>
    <x v="0"/>
    <n v="1"/>
    <n v="1"/>
    <n v="4.9000000000000004"/>
    <x v="30"/>
    <n v="3"/>
    <n v="6"/>
    <n v="744829"/>
    <n v="254773"/>
    <n v="490056"/>
    <n v="26"/>
    <n v="55"/>
    <n v="5.2"/>
  </r>
  <r>
    <x v="14"/>
    <x v="14"/>
    <d v="2024-05-27T00:00:00"/>
    <s v="NA"/>
    <n v="0"/>
    <n v="68"/>
    <s v="61-80"/>
    <x v="1"/>
    <x v="3"/>
    <x v="2"/>
    <x v="4"/>
    <n v="1"/>
    <n v="1"/>
    <n v="3.3"/>
    <x v="3"/>
    <n v="5"/>
    <n v="3"/>
    <n v="737200"/>
    <n v="237605"/>
    <n v="499595"/>
    <n v="27"/>
    <n v="55"/>
    <n v="13.4"/>
  </r>
  <r>
    <x v="14"/>
    <x v="14"/>
    <d v="2024-08-26T00:00:00"/>
    <s v="NA"/>
    <n v="0"/>
    <n v="24"/>
    <s v="21-40"/>
    <x v="0"/>
    <x v="4"/>
    <x v="3"/>
    <x v="0"/>
    <n v="1"/>
    <n v="1"/>
    <n v="5.7"/>
    <x v="3"/>
    <n v="4"/>
    <n v="3"/>
    <n v="683814"/>
    <n v="115070"/>
    <n v="568744"/>
    <n v="25"/>
    <n v="64"/>
    <n v="10.5"/>
  </r>
  <r>
    <x v="14"/>
    <x v="14"/>
    <d v="2023-06-30T00:00:00"/>
    <s v="NA"/>
    <n v="0"/>
    <n v="27"/>
    <s v="21-40"/>
    <x v="1"/>
    <x v="12"/>
    <x v="9"/>
    <x v="3"/>
    <n v="1"/>
    <n v="1"/>
    <n v="6.7"/>
    <x v="19"/>
    <n v="4"/>
    <n v="5"/>
    <n v="709407"/>
    <n v="304486"/>
    <n v="404921"/>
    <n v="30"/>
    <n v="62"/>
    <n v="13.5"/>
  </r>
  <r>
    <x v="14"/>
    <x v="14"/>
    <d v="2021-04-29T00:00:00"/>
    <s v="NA"/>
    <n v="0"/>
    <n v="62"/>
    <s v="61-80"/>
    <x v="1"/>
    <x v="9"/>
    <x v="7"/>
    <x v="1"/>
    <n v="1"/>
    <n v="1"/>
    <n v="6.6"/>
    <x v="7"/>
    <n v="6"/>
    <n v="5"/>
    <n v="612759"/>
    <n v="172321"/>
    <n v="440438"/>
    <n v="27"/>
    <n v="61"/>
    <n v="5.5"/>
  </r>
  <r>
    <x v="14"/>
    <x v="14"/>
    <d v="2023-06-13T00:00:00"/>
    <s v="NA"/>
    <n v="0"/>
    <n v="36"/>
    <s v="21-40"/>
    <x v="1"/>
    <x v="4"/>
    <x v="3"/>
    <x v="1"/>
    <n v="1"/>
    <n v="1"/>
    <n v="4.8"/>
    <x v="4"/>
    <n v="3"/>
    <n v="7"/>
    <n v="788371"/>
    <n v="209832"/>
    <n v="578539"/>
    <n v="22"/>
    <n v="63"/>
    <n v="9.4"/>
  </r>
  <r>
    <x v="14"/>
    <x v="14"/>
    <d v="2022-07-10T00:00:00"/>
    <s v="NA"/>
    <n v="0"/>
    <n v="33"/>
    <s v="21-40"/>
    <x v="0"/>
    <x v="4"/>
    <x v="3"/>
    <x v="3"/>
    <n v="1"/>
    <n v="1"/>
    <n v="6.4"/>
    <x v="17"/>
    <n v="7"/>
    <n v="6"/>
    <n v="709833"/>
    <n v="262983"/>
    <n v="446850"/>
    <n v="29"/>
    <n v="57"/>
    <n v="8.1999999999999993"/>
  </r>
  <r>
    <x v="14"/>
    <x v="14"/>
    <d v="2021-11-19T00:00:00"/>
    <s v="NA"/>
    <n v="0"/>
    <n v="64"/>
    <s v="61-80"/>
    <x v="1"/>
    <x v="1"/>
    <x v="1"/>
    <x v="1"/>
    <n v="1"/>
    <n v="1"/>
    <n v="3.2"/>
    <x v="16"/>
    <n v="6"/>
    <n v="4"/>
    <n v="727998"/>
    <n v="165472"/>
    <n v="562526"/>
    <n v="30"/>
    <n v="65"/>
    <n v="10.199999999999999"/>
  </r>
  <r>
    <x v="14"/>
    <x v="14"/>
    <d v="2021-09-09T00:00:00"/>
    <s v="NA"/>
    <n v="0"/>
    <n v="23"/>
    <s v="21-40"/>
    <x v="1"/>
    <x v="10"/>
    <x v="8"/>
    <x v="2"/>
    <n v="1"/>
    <n v="1"/>
    <n v="3.6"/>
    <x v="17"/>
    <n v="3"/>
    <n v="5"/>
    <n v="604296"/>
    <n v="33877"/>
    <n v="570419"/>
    <n v="24"/>
    <n v="54"/>
    <n v="7.2"/>
  </r>
  <r>
    <x v="14"/>
    <x v="14"/>
    <d v="2024-07-18T00:00:00"/>
    <s v="NA"/>
    <n v="0"/>
    <n v="27"/>
    <s v="21-40"/>
    <x v="1"/>
    <x v="11"/>
    <x v="8"/>
    <x v="1"/>
    <n v="1"/>
    <n v="1"/>
    <n v="3.3"/>
    <x v="10"/>
    <n v="7"/>
    <n v="6"/>
    <n v="705540"/>
    <n v="300489"/>
    <n v="405051"/>
    <n v="22"/>
    <n v="66"/>
    <n v="13.1"/>
  </r>
  <r>
    <x v="14"/>
    <x v="14"/>
    <d v="2023-06-04T00:00:00"/>
    <s v="NA"/>
    <n v="0"/>
    <n v="46"/>
    <s v="41-60"/>
    <x v="1"/>
    <x v="6"/>
    <x v="4"/>
    <x v="2"/>
    <n v="1"/>
    <n v="1"/>
    <n v="4.7"/>
    <x v="18"/>
    <n v="4"/>
    <n v="5"/>
    <n v="787404"/>
    <n v="362796"/>
    <n v="424608"/>
    <n v="23"/>
    <n v="64"/>
    <n v="12.5"/>
  </r>
  <r>
    <x v="14"/>
    <x v="14"/>
    <d v="2024-02-10T00:00:00"/>
    <s v="NA"/>
    <n v="0"/>
    <n v="36"/>
    <s v="21-40"/>
    <x v="1"/>
    <x v="3"/>
    <x v="2"/>
    <x v="1"/>
    <n v="1"/>
    <n v="1"/>
    <n v="6.8"/>
    <x v="12"/>
    <n v="5"/>
    <n v="5"/>
    <n v="723158"/>
    <n v="206807"/>
    <n v="516351"/>
    <n v="26"/>
    <n v="64"/>
    <n v="36.5"/>
  </r>
  <r>
    <x v="14"/>
    <x v="14"/>
    <d v="2021-01-21T00:00:00"/>
    <s v="NA"/>
    <n v="0"/>
    <n v="34"/>
    <s v="21-40"/>
    <x v="1"/>
    <x v="4"/>
    <x v="3"/>
    <x v="3"/>
    <n v="1"/>
    <n v="1"/>
    <n v="5.5"/>
    <x v="6"/>
    <n v="6"/>
    <n v="4"/>
    <n v="676345"/>
    <n v="266703"/>
    <n v="409642"/>
    <n v="26"/>
    <n v="64"/>
    <n v="8.6"/>
  </r>
  <r>
    <x v="14"/>
    <x v="14"/>
    <d v="2022-12-26T00:00:00"/>
    <s v="NA"/>
    <n v="0"/>
    <n v="89"/>
    <s v="81+"/>
    <x v="1"/>
    <x v="2"/>
    <x v="1"/>
    <x v="0"/>
    <n v="1"/>
    <n v="1"/>
    <n v="3.6"/>
    <x v="0"/>
    <n v="4"/>
    <n v="5"/>
    <n v="620187"/>
    <n v="182275"/>
    <n v="437912"/>
    <n v="22"/>
    <n v="57"/>
    <n v="15"/>
  </r>
  <r>
    <x v="14"/>
    <x v="14"/>
    <d v="2023-05-18T00:00:00"/>
    <s v="NA"/>
    <n v="0"/>
    <n v="47"/>
    <s v="41-60"/>
    <x v="1"/>
    <x v="10"/>
    <x v="8"/>
    <x v="1"/>
    <n v="1"/>
    <n v="1"/>
    <n v="6.5"/>
    <x v="29"/>
    <n v="4"/>
    <n v="4"/>
    <n v="722284"/>
    <n v="319281"/>
    <n v="403003"/>
    <n v="25"/>
    <n v="65"/>
    <n v="13.6"/>
  </r>
  <r>
    <x v="14"/>
    <x v="14"/>
    <d v="2024-06-08T00:00:00"/>
    <s v="NA"/>
    <n v="0"/>
    <n v="44"/>
    <s v="41-60"/>
    <x v="0"/>
    <x v="5"/>
    <x v="0"/>
    <x v="2"/>
    <n v="1"/>
    <n v="1"/>
    <n v="6.3"/>
    <x v="28"/>
    <n v="5"/>
    <n v="4"/>
    <n v="693809"/>
    <n v="115558"/>
    <n v="578251"/>
    <n v="20"/>
    <n v="54"/>
    <n v="36"/>
  </r>
  <r>
    <x v="14"/>
    <x v="14"/>
    <d v="2023-04-13T00:00:00"/>
    <s v="NA"/>
    <n v="0"/>
    <n v="35"/>
    <s v="21-40"/>
    <x v="0"/>
    <x v="1"/>
    <x v="1"/>
    <x v="4"/>
    <n v="1"/>
    <n v="1"/>
    <n v="6.9"/>
    <x v="0"/>
    <n v="6"/>
    <n v="5"/>
    <n v="716655"/>
    <n v="242973"/>
    <n v="473682"/>
    <n v="30"/>
    <n v="61"/>
    <n v="12.5"/>
  </r>
  <r>
    <x v="14"/>
    <x v="14"/>
    <d v="2023-12-02T00:00:00"/>
    <s v="NA"/>
    <n v="0"/>
    <n v="52"/>
    <s v="41-60"/>
    <x v="1"/>
    <x v="4"/>
    <x v="3"/>
    <x v="3"/>
    <n v="1"/>
    <n v="1"/>
    <n v="3"/>
    <x v="18"/>
    <n v="3"/>
    <n v="3"/>
    <n v="687523"/>
    <n v="226750"/>
    <n v="460773"/>
    <n v="29"/>
    <n v="59"/>
    <n v="5.6"/>
  </r>
  <r>
    <x v="14"/>
    <x v="14"/>
    <d v="2024-03-10T00:00:00"/>
    <s v="NA"/>
    <n v="0"/>
    <n v="53"/>
    <s v="41-60"/>
    <x v="0"/>
    <x v="0"/>
    <x v="0"/>
    <x v="2"/>
    <n v="1"/>
    <n v="1"/>
    <n v="4.3"/>
    <x v="3"/>
    <n v="5"/>
    <n v="7"/>
    <n v="673491"/>
    <n v="189842"/>
    <n v="483649"/>
    <n v="28"/>
    <n v="65"/>
    <n v="10.5"/>
  </r>
  <r>
    <x v="14"/>
    <x v="14"/>
    <d v="2022-09-15T00:00:00"/>
    <s v="NA"/>
    <n v="0"/>
    <n v="30"/>
    <s v="21-40"/>
    <x v="1"/>
    <x v="3"/>
    <x v="2"/>
    <x v="0"/>
    <n v="1"/>
    <n v="1"/>
    <n v="6.8"/>
    <x v="15"/>
    <n v="6"/>
    <n v="6"/>
    <n v="667248"/>
    <n v="252964"/>
    <n v="414284"/>
    <n v="29"/>
    <n v="65"/>
    <n v="14"/>
  </r>
  <r>
    <x v="14"/>
    <x v="14"/>
    <d v="2022-09-29T00:00:00"/>
    <s v="NA"/>
    <n v="0"/>
    <n v="86"/>
    <s v="81+"/>
    <x v="0"/>
    <x v="5"/>
    <x v="0"/>
    <x v="1"/>
    <n v="1"/>
    <n v="1"/>
    <n v="4.9000000000000004"/>
    <x v="20"/>
    <n v="5"/>
    <n v="5"/>
    <n v="712074"/>
    <n v="155695"/>
    <n v="556379"/>
    <n v="24"/>
    <n v="60"/>
    <n v="5.8"/>
  </r>
  <r>
    <x v="14"/>
    <x v="14"/>
    <d v="2022-09-19T00:00:00"/>
    <s v="NA"/>
    <n v="0"/>
    <n v="25"/>
    <s v="21-40"/>
    <x v="0"/>
    <x v="2"/>
    <x v="1"/>
    <x v="3"/>
    <n v="1"/>
    <n v="1"/>
    <n v="6.1"/>
    <x v="8"/>
    <n v="7"/>
    <n v="4"/>
    <n v="716030"/>
    <n v="302084"/>
    <n v="413946"/>
    <n v="22"/>
    <n v="57"/>
    <n v="8.1"/>
  </r>
  <r>
    <x v="14"/>
    <x v="14"/>
    <d v="2024-03-17T00:00:00"/>
    <s v="NA"/>
    <n v="0"/>
    <n v="46"/>
    <s v="41-60"/>
    <x v="1"/>
    <x v="4"/>
    <x v="3"/>
    <x v="2"/>
    <n v="1"/>
    <n v="1"/>
    <n v="5.9"/>
    <x v="2"/>
    <n v="5"/>
    <n v="7"/>
    <n v="689770"/>
    <n v="203098"/>
    <n v="486672"/>
    <n v="30"/>
    <n v="58"/>
    <n v="14.2"/>
  </r>
  <r>
    <x v="14"/>
    <x v="14"/>
    <d v="2022-12-16T00:00:00"/>
    <s v="NA"/>
    <n v="0"/>
    <n v="85"/>
    <s v="81+"/>
    <x v="1"/>
    <x v="9"/>
    <x v="7"/>
    <x v="0"/>
    <n v="1"/>
    <n v="1"/>
    <n v="1.6"/>
    <x v="8"/>
    <n v="4"/>
    <n v="4"/>
    <n v="603492"/>
    <n v="145798"/>
    <n v="457694"/>
    <n v="21"/>
    <n v="54"/>
    <n v="8.6"/>
  </r>
  <r>
    <x v="0"/>
    <x v="0"/>
    <d v="2023-02-01T00:00:00"/>
    <s v="NA"/>
    <n v="0"/>
    <n v="44"/>
    <s v="41-60"/>
    <x v="1"/>
    <x v="3"/>
    <x v="2"/>
    <x v="3"/>
    <n v="1"/>
    <n v="1"/>
    <n v="5.3"/>
    <x v="3"/>
    <n v="3"/>
    <n v="7"/>
    <n v="912697"/>
    <n v="488699"/>
    <n v="423998"/>
    <n v="21"/>
    <n v="57"/>
    <n v="6.4"/>
  </r>
  <r>
    <x v="14"/>
    <x v="14"/>
    <d v="2024-04-06T00:00:00"/>
    <s v="NA"/>
    <n v="0"/>
    <n v="56"/>
    <s v="41-60"/>
    <x v="0"/>
    <x v="0"/>
    <x v="0"/>
    <x v="0"/>
    <n v="1"/>
    <n v="1"/>
    <n v="1.6"/>
    <x v="1"/>
    <n v="6"/>
    <n v="5"/>
    <n v="665680"/>
    <n v="209916"/>
    <n v="455764"/>
    <n v="27"/>
    <n v="62"/>
    <n v="14.1"/>
  </r>
  <r>
    <x v="0"/>
    <x v="0"/>
    <d v="2021-02-05T00:00:00"/>
    <s v="NA"/>
    <n v="0"/>
    <n v="61"/>
    <s v="61-80"/>
    <x v="1"/>
    <x v="10"/>
    <x v="8"/>
    <x v="2"/>
    <n v="1"/>
    <n v="1"/>
    <n v="5.7"/>
    <x v="7"/>
    <n v="5"/>
    <n v="4"/>
    <n v="674063"/>
    <n v="467481"/>
    <n v="206582"/>
    <n v="22"/>
    <n v="58"/>
    <n v="8.4"/>
  </r>
  <r>
    <x v="14"/>
    <x v="14"/>
    <d v="2023-05-25T00:00:00"/>
    <s v="NA"/>
    <n v="0"/>
    <n v="88"/>
    <s v="81+"/>
    <x v="1"/>
    <x v="12"/>
    <x v="9"/>
    <x v="4"/>
    <n v="1"/>
    <n v="1"/>
    <n v="3.8"/>
    <x v="12"/>
    <n v="5"/>
    <n v="6"/>
    <n v="763336"/>
    <n v="217762"/>
    <n v="545574"/>
    <n v="21"/>
    <n v="64"/>
    <n v="6.5"/>
  </r>
  <r>
    <x v="14"/>
    <x v="14"/>
    <d v="2023-01-08T00:00:00"/>
    <s v="NA"/>
    <n v="0"/>
    <n v="69"/>
    <s v="61-80"/>
    <x v="0"/>
    <x v="0"/>
    <x v="0"/>
    <x v="3"/>
    <n v="1"/>
    <n v="1"/>
    <n v="5.2"/>
    <x v="19"/>
    <n v="6"/>
    <n v="6"/>
    <n v="610171"/>
    <n v="159855"/>
    <n v="450316"/>
    <n v="30"/>
    <n v="58"/>
    <n v="14.1"/>
  </r>
  <r>
    <x v="14"/>
    <x v="14"/>
    <d v="2021-11-11T00:00:00"/>
    <s v="NA"/>
    <n v="0"/>
    <n v="53"/>
    <s v="41-60"/>
    <x v="1"/>
    <x v="12"/>
    <x v="9"/>
    <x v="2"/>
    <n v="1"/>
    <n v="1"/>
    <n v="5.5"/>
    <x v="8"/>
    <n v="5"/>
    <n v="4"/>
    <n v="680046"/>
    <n v="252151"/>
    <n v="427895"/>
    <n v="30"/>
    <n v="61"/>
    <n v="6.3"/>
  </r>
  <r>
    <x v="0"/>
    <x v="0"/>
    <d v="2023-12-04T00:00:00"/>
    <s v="NA"/>
    <n v="0"/>
    <n v="37"/>
    <s v="21-40"/>
    <x v="1"/>
    <x v="3"/>
    <x v="2"/>
    <x v="0"/>
    <n v="1"/>
    <n v="1"/>
    <n v="6.2"/>
    <x v="20"/>
    <n v="3"/>
    <n v="7"/>
    <n v="766198"/>
    <n v="384774"/>
    <n v="381424"/>
    <n v="21"/>
    <n v="63"/>
    <n v="5.5"/>
  </r>
  <r>
    <x v="0"/>
    <x v="0"/>
    <d v="2021-03-16T00:00:00"/>
    <s v="NA"/>
    <n v="0"/>
    <n v="57"/>
    <s v="41-60"/>
    <x v="1"/>
    <x v="12"/>
    <x v="9"/>
    <x v="2"/>
    <n v="1"/>
    <n v="1"/>
    <n v="3.9"/>
    <x v="21"/>
    <n v="3"/>
    <n v="6"/>
    <n v="934370"/>
    <n v="519191"/>
    <n v="415179"/>
    <n v="38"/>
    <n v="59"/>
    <n v="36.700000000000003"/>
  </r>
  <r>
    <x v="0"/>
    <x v="0"/>
    <d v="2023-12-13T00:00:00"/>
    <s v="NA"/>
    <n v="0"/>
    <n v="47"/>
    <s v="41-60"/>
    <x v="0"/>
    <x v="0"/>
    <x v="0"/>
    <x v="3"/>
    <n v="1"/>
    <n v="1"/>
    <n v="2.8"/>
    <x v="20"/>
    <n v="7"/>
    <n v="4"/>
    <n v="794032"/>
    <n v="538798"/>
    <n v="255234"/>
    <n v="36"/>
    <n v="54"/>
    <n v="9.1"/>
  </r>
  <r>
    <x v="0"/>
    <x v="0"/>
    <d v="2022-09-24T00:00:00"/>
    <s v="NA"/>
    <n v="0"/>
    <n v="34"/>
    <s v="21-40"/>
    <x v="1"/>
    <x v="13"/>
    <x v="10"/>
    <x v="2"/>
    <n v="1"/>
    <n v="1"/>
    <n v="5.4"/>
    <x v="21"/>
    <n v="6"/>
    <n v="7"/>
    <n v="732313"/>
    <n v="257712"/>
    <n v="474601"/>
    <n v="20"/>
    <n v="60"/>
    <n v="12.6"/>
  </r>
  <r>
    <x v="14"/>
    <x v="14"/>
    <d v="2022-07-20T00:00:00"/>
    <s v="NA"/>
    <n v="0"/>
    <n v="36"/>
    <s v="21-40"/>
    <x v="0"/>
    <x v="14"/>
    <x v="11"/>
    <x v="2"/>
    <n v="1"/>
    <n v="1"/>
    <n v="3.2"/>
    <x v="25"/>
    <n v="6"/>
    <n v="7"/>
    <n v="754526"/>
    <n v="322131"/>
    <n v="432395"/>
    <n v="24"/>
    <n v="64"/>
    <n v="14.9"/>
  </r>
  <r>
    <x v="0"/>
    <x v="0"/>
    <d v="2023-11-30T00:00:00"/>
    <s v="NA"/>
    <n v="0"/>
    <n v="78"/>
    <s v="61-80"/>
    <x v="0"/>
    <x v="0"/>
    <x v="0"/>
    <x v="3"/>
    <n v="1"/>
    <n v="1"/>
    <n v="2.2999999999999998"/>
    <x v="27"/>
    <n v="6"/>
    <n v="5"/>
    <n v="729594"/>
    <n v="466180"/>
    <n v="263414"/>
    <n v="20"/>
    <n v="60"/>
    <n v="14.9"/>
  </r>
  <r>
    <x v="0"/>
    <x v="0"/>
    <d v="2024-05-30T00:00:00"/>
    <s v="NA"/>
    <n v="0"/>
    <n v="46"/>
    <s v="41-60"/>
    <x v="1"/>
    <x v="8"/>
    <x v="6"/>
    <x v="3"/>
    <n v="1"/>
    <n v="1"/>
    <n v="3.3"/>
    <x v="3"/>
    <n v="7"/>
    <n v="3"/>
    <n v="777420"/>
    <n v="284507"/>
    <n v="492913"/>
    <n v="31"/>
    <n v="60"/>
    <n v="8.8000000000000007"/>
  </r>
  <r>
    <x v="0"/>
    <x v="0"/>
    <d v="2022-01-07T00:00:00"/>
    <s v="NA"/>
    <n v="0"/>
    <n v="46"/>
    <s v="41-60"/>
    <x v="0"/>
    <x v="10"/>
    <x v="8"/>
    <x v="4"/>
    <n v="1"/>
    <n v="1"/>
    <n v="6.4"/>
    <x v="30"/>
    <n v="4"/>
    <n v="6"/>
    <n v="925973"/>
    <n v="573235"/>
    <n v="352738"/>
    <n v="37"/>
    <n v="58"/>
    <n v="7.1"/>
  </r>
  <r>
    <x v="14"/>
    <x v="14"/>
    <d v="2023-11-16T00:00:00"/>
    <s v="NA"/>
    <n v="0"/>
    <n v="38"/>
    <s v="21-40"/>
    <x v="0"/>
    <x v="2"/>
    <x v="1"/>
    <x v="2"/>
    <n v="1"/>
    <n v="1"/>
    <n v="5.9"/>
    <x v="27"/>
    <n v="4"/>
    <n v="7"/>
    <n v="790744"/>
    <n v="284500"/>
    <n v="506244"/>
    <n v="30"/>
    <n v="60"/>
    <n v="36.6"/>
  </r>
  <r>
    <x v="14"/>
    <x v="14"/>
    <d v="2021-03-09T00:00:00"/>
    <s v="NA"/>
    <n v="0"/>
    <n v="50"/>
    <s v="41-60"/>
    <x v="1"/>
    <x v="7"/>
    <x v="5"/>
    <x v="4"/>
    <n v="1"/>
    <n v="1"/>
    <n v="6.7"/>
    <x v="26"/>
    <n v="3"/>
    <n v="7"/>
    <n v="778476"/>
    <n v="210226"/>
    <n v="568250"/>
    <n v="25"/>
    <n v="60"/>
    <n v="5"/>
  </r>
  <r>
    <x v="14"/>
    <x v="14"/>
    <d v="2022-03-16T00:00:00"/>
    <s v="NA"/>
    <n v="0"/>
    <n v="23"/>
    <s v="21-40"/>
    <x v="1"/>
    <x v="1"/>
    <x v="1"/>
    <x v="2"/>
    <n v="1"/>
    <n v="1"/>
    <n v="2.5"/>
    <x v="13"/>
    <n v="7"/>
    <n v="4"/>
    <n v="660919"/>
    <n v="177957"/>
    <n v="482962"/>
    <n v="26"/>
    <n v="54"/>
    <n v="5.5"/>
  </r>
  <r>
    <x v="14"/>
    <x v="14"/>
    <d v="2024-08-19T00:00:00"/>
    <s v="NA"/>
    <n v="0"/>
    <n v="35"/>
    <s v="21-40"/>
    <x v="0"/>
    <x v="7"/>
    <x v="5"/>
    <x v="1"/>
    <n v="1"/>
    <n v="1"/>
    <n v="5.8"/>
    <x v="20"/>
    <n v="4"/>
    <n v="6"/>
    <n v="793323"/>
    <n v="295804"/>
    <n v="497519"/>
    <n v="29"/>
    <n v="55"/>
    <n v="36.1"/>
  </r>
  <r>
    <x v="14"/>
    <x v="14"/>
    <d v="2023-02-27T00:00:00"/>
    <s v="NA"/>
    <n v="0"/>
    <n v="40"/>
    <s v="21-40"/>
    <x v="1"/>
    <x v="12"/>
    <x v="9"/>
    <x v="0"/>
    <n v="1"/>
    <n v="1"/>
    <n v="2.1"/>
    <x v="4"/>
    <n v="7"/>
    <n v="6"/>
    <n v="678037"/>
    <n v="267681"/>
    <n v="410356"/>
    <n v="21"/>
    <n v="66"/>
    <n v="13.7"/>
  </r>
  <r>
    <x v="14"/>
    <x v="14"/>
    <d v="2024-12-25T00:00:00"/>
    <s v="NA"/>
    <n v="0"/>
    <n v="34"/>
    <s v="21-40"/>
    <x v="1"/>
    <x v="1"/>
    <x v="1"/>
    <x v="4"/>
    <n v="1"/>
    <n v="1"/>
    <n v="5.2"/>
    <x v="23"/>
    <n v="5"/>
    <n v="7"/>
    <n v="666367"/>
    <n v="199041"/>
    <n v="467326"/>
    <n v="21"/>
    <n v="63"/>
    <n v="13.7"/>
  </r>
  <r>
    <x v="0"/>
    <x v="0"/>
    <d v="2023-09-17T00:00:00"/>
    <s v="NA"/>
    <n v="0"/>
    <n v="88"/>
    <s v="81+"/>
    <x v="0"/>
    <x v="0"/>
    <x v="0"/>
    <x v="2"/>
    <n v="1"/>
    <n v="1"/>
    <n v="3.5"/>
    <x v="5"/>
    <n v="3"/>
    <n v="7"/>
    <n v="880566"/>
    <n v="607430"/>
    <n v="273136"/>
    <n v="38"/>
    <n v="64"/>
    <n v="12.4"/>
  </r>
  <r>
    <x v="0"/>
    <x v="0"/>
    <d v="2022-06-09T00:00:00"/>
    <s v="NA"/>
    <n v="0"/>
    <n v="61"/>
    <s v="61-80"/>
    <x v="0"/>
    <x v="13"/>
    <x v="10"/>
    <x v="4"/>
    <n v="1"/>
    <n v="1"/>
    <n v="2.4"/>
    <x v="7"/>
    <n v="5"/>
    <n v="7"/>
    <n v="721572"/>
    <n v="381880"/>
    <n v="339692"/>
    <n v="26"/>
    <n v="64"/>
    <n v="6.7"/>
  </r>
  <r>
    <x v="13"/>
    <x v="13"/>
    <d v="2022-12-19T00:00:00"/>
    <s v="NA"/>
    <n v="0"/>
    <n v="73"/>
    <s v="61-80"/>
    <x v="1"/>
    <x v="13"/>
    <x v="10"/>
    <x v="4"/>
    <n v="1"/>
    <n v="1"/>
    <n v="4.5"/>
    <x v="29"/>
    <n v="5"/>
    <n v="6"/>
    <n v="953605"/>
    <n v="446917"/>
    <n v="506688"/>
    <n v="39"/>
    <n v="57"/>
    <n v="9.5"/>
  </r>
  <r>
    <x v="14"/>
    <x v="14"/>
    <d v="2022-12-10T00:00:00"/>
    <s v="NA"/>
    <n v="0"/>
    <n v="71"/>
    <s v="61-80"/>
    <x v="0"/>
    <x v="0"/>
    <x v="0"/>
    <x v="2"/>
    <n v="1"/>
    <n v="1"/>
    <n v="6.5"/>
    <x v="29"/>
    <n v="5"/>
    <n v="4"/>
    <n v="638503"/>
    <n v="204412"/>
    <n v="434091"/>
    <n v="23"/>
    <n v="57"/>
    <n v="7.3"/>
  </r>
  <r>
    <x v="0"/>
    <x v="0"/>
    <d v="2024-09-05T00:00:00"/>
    <s v="NA"/>
    <n v="0"/>
    <n v="55"/>
    <s v="41-60"/>
    <x v="1"/>
    <x v="12"/>
    <x v="9"/>
    <x v="2"/>
    <n v="1"/>
    <n v="1"/>
    <n v="6.4"/>
    <x v="19"/>
    <n v="6"/>
    <n v="5"/>
    <n v="855342"/>
    <n v="488519"/>
    <n v="366823"/>
    <n v="39"/>
    <n v="65"/>
    <n v="13.6"/>
  </r>
  <r>
    <x v="0"/>
    <x v="0"/>
    <d v="2022-06-21T00:00:00"/>
    <s v="NA"/>
    <n v="0"/>
    <n v="56"/>
    <s v="41-60"/>
    <x v="1"/>
    <x v="3"/>
    <x v="2"/>
    <x v="3"/>
    <n v="1"/>
    <n v="1"/>
    <n v="1.9"/>
    <x v="0"/>
    <n v="4"/>
    <n v="4"/>
    <n v="894322"/>
    <n v="452435"/>
    <n v="441887"/>
    <n v="36"/>
    <n v="65"/>
    <n v="14.9"/>
  </r>
  <r>
    <x v="0"/>
    <x v="0"/>
    <d v="2022-11-23T00:00:00"/>
    <s v="NA"/>
    <n v="0"/>
    <n v="39"/>
    <s v="21-40"/>
    <x v="0"/>
    <x v="5"/>
    <x v="0"/>
    <x v="2"/>
    <n v="1"/>
    <n v="1"/>
    <n v="1.6"/>
    <x v="8"/>
    <n v="3"/>
    <n v="4"/>
    <n v="789070"/>
    <n v="336878"/>
    <n v="452192"/>
    <n v="32"/>
    <n v="55"/>
    <n v="10.4"/>
  </r>
  <r>
    <x v="0"/>
    <x v="0"/>
    <d v="2023-05-07T00:00:00"/>
    <s v="NA"/>
    <n v="0"/>
    <n v="49"/>
    <s v="41-60"/>
    <x v="1"/>
    <x v="6"/>
    <x v="4"/>
    <x v="2"/>
    <n v="1"/>
    <n v="1"/>
    <n v="1.2"/>
    <x v="30"/>
    <n v="6"/>
    <n v="7"/>
    <n v="765797"/>
    <n v="277039"/>
    <n v="488758"/>
    <n v="36"/>
    <n v="58"/>
    <n v="12.9"/>
  </r>
  <r>
    <x v="0"/>
    <x v="0"/>
    <d v="2024-07-31T00:00:00"/>
    <s v="NA"/>
    <n v="0"/>
    <n v="46"/>
    <s v="41-60"/>
    <x v="0"/>
    <x v="2"/>
    <x v="1"/>
    <x v="3"/>
    <n v="1"/>
    <n v="1"/>
    <n v="4"/>
    <x v="17"/>
    <n v="3"/>
    <n v="5"/>
    <n v="872225"/>
    <n v="600172"/>
    <n v="272053"/>
    <n v="30"/>
    <n v="65"/>
    <n v="10.7"/>
  </r>
  <r>
    <x v="0"/>
    <x v="0"/>
    <d v="2023-07-26T00:00:00"/>
    <s v="NA"/>
    <n v="0"/>
    <n v="22"/>
    <s v="21-40"/>
    <x v="0"/>
    <x v="0"/>
    <x v="0"/>
    <x v="0"/>
    <n v="1"/>
    <n v="1"/>
    <n v="4.4000000000000004"/>
    <x v="25"/>
    <n v="7"/>
    <n v="7"/>
    <n v="886502"/>
    <n v="417136"/>
    <n v="469366"/>
    <n v="37"/>
    <n v="54"/>
    <n v="7"/>
  </r>
  <r>
    <x v="0"/>
    <x v="0"/>
    <d v="2024-07-14T00:00:00"/>
    <s v="NA"/>
    <n v="0"/>
    <n v="81"/>
    <s v="81+"/>
    <x v="0"/>
    <x v="6"/>
    <x v="4"/>
    <x v="2"/>
    <n v="1"/>
    <n v="1"/>
    <n v="3.2"/>
    <x v="24"/>
    <n v="6"/>
    <n v="5"/>
    <n v="776236"/>
    <n v="526074"/>
    <n v="250162"/>
    <n v="32"/>
    <n v="56"/>
    <n v="36.799999999999997"/>
  </r>
  <r>
    <x v="0"/>
    <x v="0"/>
    <d v="2022-02-25T00:00:00"/>
    <s v="NA"/>
    <n v="0"/>
    <n v="39"/>
    <s v="21-40"/>
    <x v="0"/>
    <x v="7"/>
    <x v="5"/>
    <x v="0"/>
    <n v="1"/>
    <n v="1"/>
    <n v="6.1"/>
    <x v="7"/>
    <n v="3"/>
    <n v="7"/>
    <n v="867240"/>
    <n v="449007"/>
    <n v="418233"/>
    <n v="37"/>
    <n v="57"/>
    <n v="5"/>
  </r>
  <r>
    <x v="0"/>
    <x v="0"/>
    <d v="2022-04-22T00:00:00"/>
    <s v="NA"/>
    <n v="0"/>
    <n v="31"/>
    <s v="21-40"/>
    <x v="1"/>
    <x v="11"/>
    <x v="8"/>
    <x v="2"/>
    <n v="1"/>
    <n v="1"/>
    <n v="1"/>
    <x v="16"/>
    <n v="7"/>
    <n v="5"/>
    <n v="855673"/>
    <n v="423639"/>
    <n v="432034"/>
    <n v="28"/>
    <n v="56"/>
    <n v="6.3"/>
  </r>
  <r>
    <x v="0"/>
    <x v="0"/>
    <d v="2021-01-30T00:00:00"/>
    <s v="NA"/>
    <n v="0"/>
    <n v="40"/>
    <s v="21-40"/>
    <x v="0"/>
    <x v="1"/>
    <x v="1"/>
    <x v="3"/>
    <n v="1"/>
    <n v="1"/>
    <n v="4.0999999999999996"/>
    <x v="26"/>
    <n v="5"/>
    <n v="5"/>
    <n v="858524"/>
    <n v="642686"/>
    <n v="215838"/>
    <n v="20"/>
    <n v="65"/>
    <n v="5.3"/>
  </r>
  <r>
    <x v="0"/>
    <x v="0"/>
    <d v="2024-04-02T00:00:00"/>
    <s v="NA"/>
    <n v="0"/>
    <n v="77"/>
    <s v="61-80"/>
    <x v="1"/>
    <x v="4"/>
    <x v="3"/>
    <x v="0"/>
    <n v="1"/>
    <n v="1"/>
    <n v="4.7"/>
    <x v="8"/>
    <n v="4"/>
    <n v="7"/>
    <n v="957785"/>
    <n v="534376"/>
    <n v="423409"/>
    <n v="40"/>
    <n v="61"/>
    <n v="10.1"/>
  </r>
  <r>
    <x v="0"/>
    <x v="0"/>
    <d v="2022-12-19T00:00:00"/>
    <s v="NA"/>
    <n v="0"/>
    <n v="32"/>
    <s v="21-40"/>
    <x v="1"/>
    <x v="3"/>
    <x v="2"/>
    <x v="1"/>
    <n v="1"/>
    <n v="1"/>
    <n v="5.0999999999999996"/>
    <x v="25"/>
    <n v="7"/>
    <n v="7"/>
    <n v="786248"/>
    <n v="346168"/>
    <n v="440080"/>
    <n v="35"/>
    <n v="60"/>
    <n v="5"/>
  </r>
  <r>
    <x v="0"/>
    <x v="0"/>
    <d v="2022-09-06T00:00:00"/>
    <s v="NA"/>
    <n v="0"/>
    <n v="28"/>
    <s v="21-40"/>
    <x v="1"/>
    <x v="8"/>
    <x v="6"/>
    <x v="2"/>
    <n v="1"/>
    <n v="1"/>
    <n v="2.5"/>
    <x v="8"/>
    <n v="4"/>
    <n v="6"/>
    <n v="671850"/>
    <n v="210001"/>
    <n v="461849"/>
    <n v="38"/>
    <n v="65"/>
    <n v="10.6"/>
  </r>
  <r>
    <x v="0"/>
    <x v="0"/>
    <d v="2023-05-14T00:00:00"/>
    <s v="NA"/>
    <n v="0"/>
    <n v="70"/>
    <s v="61-80"/>
    <x v="1"/>
    <x v="10"/>
    <x v="8"/>
    <x v="2"/>
    <n v="1"/>
    <n v="1"/>
    <n v="3.8"/>
    <x v="27"/>
    <n v="6"/>
    <n v="6"/>
    <n v="628879"/>
    <n v="296180"/>
    <n v="332699"/>
    <n v="36"/>
    <n v="66"/>
    <n v="14.7"/>
  </r>
  <r>
    <x v="13"/>
    <x v="13"/>
    <d v="2022-11-03T00:00:00"/>
    <s v="NA"/>
    <n v="0"/>
    <n v="74"/>
    <s v="61-80"/>
    <x v="0"/>
    <x v="13"/>
    <x v="10"/>
    <x v="1"/>
    <n v="1"/>
    <n v="1"/>
    <n v="4"/>
    <x v="3"/>
    <n v="4"/>
    <n v="4"/>
    <n v="840670"/>
    <n v="299708"/>
    <n v="540962"/>
    <n v="51"/>
    <n v="62"/>
    <n v="6.2"/>
  </r>
  <r>
    <x v="0"/>
    <x v="0"/>
    <d v="2021-01-07T00:00:00"/>
    <s v="NA"/>
    <n v="0"/>
    <n v="33"/>
    <s v="21-40"/>
    <x v="1"/>
    <x v="6"/>
    <x v="4"/>
    <x v="0"/>
    <n v="1"/>
    <n v="1"/>
    <n v="5.5"/>
    <x v="25"/>
    <n v="4"/>
    <n v="3"/>
    <n v="836254"/>
    <n v="604375"/>
    <n v="231879"/>
    <n v="36"/>
    <n v="60"/>
    <n v="36.9"/>
  </r>
  <r>
    <x v="0"/>
    <x v="0"/>
    <d v="2022-12-11T00:00:00"/>
    <s v="NA"/>
    <n v="0"/>
    <n v="40"/>
    <s v="21-40"/>
    <x v="0"/>
    <x v="7"/>
    <x v="5"/>
    <x v="1"/>
    <n v="1"/>
    <n v="1"/>
    <n v="5"/>
    <x v="16"/>
    <n v="6"/>
    <n v="5"/>
    <n v="815173"/>
    <n v="320989"/>
    <n v="494184"/>
    <n v="20"/>
    <n v="60"/>
    <n v="9.8000000000000007"/>
  </r>
  <r>
    <x v="0"/>
    <x v="0"/>
    <d v="2024-03-30T00:00:00"/>
    <s v="NA"/>
    <n v="0"/>
    <n v="28"/>
    <s v="21-40"/>
    <x v="1"/>
    <x v="3"/>
    <x v="2"/>
    <x v="0"/>
    <n v="1"/>
    <n v="1"/>
    <n v="6.5"/>
    <x v="30"/>
    <n v="4"/>
    <n v="6"/>
    <n v="792330"/>
    <n v="415182"/>
    <n v="377148"/>
    <n v="29"/>
    <n v="58"/>
    <n v="36.6"/>
  </r>
  <r>
    <x v="0"/>
    <x v="0"/>
    <d v="2023-08-30T00:00:00"/>
    <s v="NA"/>
    <n v="0"/>
    <n v="82"/>
    <s v="81+"/>
    <x v="0"/>
    <x v="0"/>
    <x v="0"/>
    <x v="4"/>
    <n v="1"/>
    <n v="1"/>
    <n v="6.2"/>
    <x v="18"/>
    <n v="6"/>
    <n v="6"/>
    <n v="985683"/>
    <n v="771736"/>
    <n v="213947"/>
    <n v="20"/>
    <n v="59"/>
    <n v="14.7"/>
  </r>
  <r>
    <x v="0"/>
    <x v="0"/>
    <d v="2023-06-15T00:00:00"/>
    <s v="NA"/>
    <n v="0"/>
    <n v="76"/>
    <s v="61-80"/>
    <x v="0"/>
    <x v="7"/>
    <x v="5"/>
    <x v="4"/>
    <n v="1"/>
    <n v="1"/>
    <n v="3.9"/>
    <x v="13"/>
    <n v="4"/>
    <n v="4"/>
    <n v="670083"/>
    <n v="339669"/>
    <n v="330414"/>
    <n v="22"/>
    <n v="61"/>
    <n v="6.3"/>
  </r>
  <r>
    <x v="0"/>
    <x v="0"/>
    <d v="2024-06-09T00:00:00"/>
    <s v="NA"/>
    <n v="0"/>
    <n v="52"/>
    <s v="41-60"/>
    <x v="0"/>
    <x v="7"/>
    <x v="5"/>
    <x v="3"/>
    <n v="1"/>
    <n v="1"/>
    <n v="3.4"/>
    <x v="17"/>
    <n v="4"/>
    <n v="4"/>
    <n v="948963"/>
    <n v="582533"/>
    <n v="366430"/>
    <n v="38"/>
    <n v="63"/>
    <n v="8.1999999999999993"/>
  </r>
  <r>
    <x v="0"/>
    <x v="0"/>
    <d v="2024-12-17T00:00:00"/>
    <s v="NA"/>
    <n v="0"/>
    <n v="43"/>
    <s v="41-60"/>
    <x v="0"/>
    <x v="0"/>
    <x v="0"/>
    <x v="4"/>
    <n v="1"/>
    <n v="1"/>
    <n v="5.5"/>
    <x v="12"/>
    <n v="4"/>
    <n v="3"/>
    <n v="725447"/>
    <n v="248778"/>
    <n v="476669"/>
    <n v="39"/>
    <n v="58"/>
    <n v="5.0999999999999996"/>
  </r>
  <r>
    <x v="0"/>
    <x v="0"/>
    <d v="2024-01-14T00:00:00"/>
    <s v="NA"/>
    <n v="0"/>
    <n v="47"/>
    <s v="41-60"/>
    <x v="1"/>
    <x v="3"/>
    <x v="2"/>
    <x v="3"/>
    <n v="1"/>
    <n v="1"/>
    <n v="4.5999999999999996"/>
    <x v="21"/>
    <n v="4"/>
    <n v="5"/>
    <n v="728608"/>
    <n v="411240"/>
    <n v="317368"/>
    <n v="23"/>
    <n v="65"/>
    <n v="9.4"/>
  </r>
  <r>
    <x v="0"/>
    <x v="0"/>
    <d v="2023-01-19T00:00:00"/>
    <s v="NA"/>
    <n v="0"/>
    <n v="59"/>
    <s v="41-60"/>
    <x v="1"/>
    <x v="3"/>
    <x v="2"/>
    <x v="2"/>
    <n v="1"/>
    <n v="1"/>
    <n v="1.2"/>
    <x v="24"/>
    <n v="6"/>
    <n v="6"/>
    <n v="644464"/>
    <n v="405438"/>
    <n v="239026"/>
    <n v="26"/>
    <n v="60"/>
    <n v="6.8"/>
  </r>
  <r>
    <x v="0"/>
    <x v="0"/>
    <d v="2021-12-10T00:00:00"/>
    <s v="NA"/>
    <n v="0"/>
    <n v="46"/>
    <s v="41-60"/>
    <x v="0"/>
    <x v="14"/>
    <x v="11"/>
    <x v="0"/>
    <n v="1"/>
    <n v="1"/>
    <n v="6.4"/>
    <x v="27"/>
    <n v="4"/>
    <n v="3"/>
    <n v="728840"/>
    <n v="404738"/>
    <n v="324102"/>
    <n v="29"/>
    <n v="62"/>
    <n v="12.7"/>
  </r>
  <r>
    <x v="0"/>
    <x v="0"/>
    <d v="2024-05-01T00:00:00"/>
    <s v="NA"/>
    <n v="0"/>
    <n v="22"/>
    <s v="21-40"/>
    <x v="1"/>
    <x v="10"/>
    <x v="8"/>
    <x v="4"/>
    <n v="1"/>
    <n v="1"/>
    <n v="6.9"/>
    <x v="21"/>
    <n v="3"/>
    <n v="7"/>
    <n v="626326"/>
    <n v="340353"/>
    <n v="285973"/>
    <n v="28"/>
    <n v="60"/>
    <n v="12.3"/>
  </r>
  <r>
    <x v="0"/>
    <x v="0"/>
    <d v="2023-04-02T00:00:00"/>
    <s v="NA"/>
    <n v="0"/>
    <n v="69"/>
    <s v="61-80"/>
    <x v="0"/>
    <x v="13"/>
    <x v="10"/>
    <x v="4"/>
    <n v="1"/>
    <n v="1"/>
    <n v="4.7"/>
    <x v="16"/>
    <n v="4"/>
    <n v="3"/>
    <n v="886526"/>
    <n v="522898"/>
    <n v="363628"/>
    <n v="30"/>
    <n v="54"/>
    <n v="8.5"/>
  </r>
  <r>
    <x v="0"/>
    <x v="0"/>
    <d v="2021-09-22T00:00:00"/>
    <s v="NA"/>
    <n v="0"/>
    <n v="31"/>
    <s v="21-40"/>
    <x v="1"/>
    <x v="6"/>
    <x v="4"/>
    <x v="1"/>
    <n v="1"/>
    <n v="1"/>
    <n v="3.9"/>
    <x v="0"/>
    <n v="7"/>
    <n v="7"/>
    <n v="948447"/>
    <n v="732276"/>
    <n v="216171"/>
    <n v="23"/>
    <n v="61"/>
    <n v="13.1"/>
  </r>
  <r>
    <x v="0"/>
    <x v="0"/>
    <d v="2021-04-29T00:00:00"/>
    <s v="NA"/>
    <n v="0"/>
    <n v="28"/>
    <s v="21-40"/>
    <x v="1"/>
    <x v="9"/>
    <x v="7"/>
    <x v="3"/>
    <n v="1"/>
    <n v="1"/>
    <n v="1.4"/>
    <x v="15"/>
    <n v="7"/>
    <n v="4"/>
    <n v="978243"/>
    <n v="657577"/>
    <n v="320666"/>
    <n v="37"/>
    <n v="55"/>
    <n v="13.4"/>
  </r>
  <r>
    <x v="0"/>
    <x v="0"/>
    <d v="2024-02-19T00:00:00"/>
    <s v="NA"/>
    <n v="0"/>
    <n v="78"/>
    <s v="61-80"/>
    <x v="1"/>
    <x v="2"/>
    <x v="1"/>
    <x v="1"/>
    <n v="1"/>
    <n v="1"/>
    <n v="2.6"/>
    <x v="8"/>
    <n v="7"/>
    <n v="3"/>
    <n v="967219"/>
    <n v="481314"/>
    <n v="485905"/>
    <n v="27"/>
    <n v="56"/>
    <n v="12.1"/>
  </r>
  <r>
    <x v="0"/>
    <x v="0"/>
    <d v="2021-08-08T00:00:00"/>
    <s v="NA"/>
    <n v="0"/>
    <n v="53"/>
    <s v="41-60"/>
    <x v="1"/>
    <x v="9"/>
    <x v="7"/>
    <x v="0"/>
    <n v="1"/>
    <n v="1"/>
    <n v="5.4"/>
    <x v="18"/>
    <n v="5"/>
    <n v="6"/>
    <n v="836684"/>
    <n v="414170"/>
    <n v="422514"/>
    <n v="25"/>
    <n v="63"/>
    <n v="6.6"/>
  </r>
  <r>
    <x v="14"/>
    <x v="14"/>
    <d v="2022-05-20T00:00:00"/>
    <s v="NA"/>
    <n v="0"/>
    <n v="69"/>
    <s v="61-80"/>
    <x v="0"/>
    <x v="0"/>
    <x v="0"/>
    <x v="2"/>
    <n v="1"/>
    <n v="1"/>
    <n v="6.6"/>
    <x v="5"/>
    <n v="6"/>
    <n v="5"/>
    <n v="698542"/>
    <n v="190165"/>
    <n v="508377"/>
    <n v="21"/>
    <n v="60"/>
    <n v="6.4"/>
  </r>
  <r>
    <x v="0"/>
    <x v="0"/>
    <d v="2024-11-07T00:00:00"/>
    <s v="NA"/>
    <n v="0"/>
    <n v="84"/>
    <s v="81+"/>
    <x v="0"/>
    <x v="2"/>
    <x v="1"/>
    <x v="3"/>
    <n v="1"/>
    <n v="1"/>
    <n v="2.6"/>
    <x v="17"/>
    <n v="7"/>
    <n v="5"/>
    <n v="887824"/>
    <n v="517660"/>
    <n v="370164"/>
    <n v="34"/>
    <n v="64"/>
    <n v="5.9"/>
  </r>
  <r>
    <x v="0"/>
    <x v="0"/>
    <d v="2024-12-05T00:00:00"/>
    <s v="NA"/>
    <n v="0"/>
    <n v="37"/>
    <s v="21-40"/>
    <x v="1"/>
    <x v="4"/>
    <x v="3"/>
    <x v="3"/>
    <n v="1"/>
    <n v="1"/>
    <n v="4.9000000000000004"/>
    <x v="19"/>
    <n v="5"/>
    <n v="3"/>
    <n v="918041"/>
    <n v="654270"/>
    <n v="263771"/>
    <n v="28"/>
    <n v="58"/>
    <n v="7.6"/>
  </r>
  <r>
    <x v="0"/>
    <x v="0"/>
    <d v="2023-03-03T00:00:00"/>
    <s v="NA"/>
    <n v="0"/>
    <n v="70"/>
    <s v="61-80"/>
    <x v="0"/>
    <x v="0"/>
    <x v="0"/>
    <x v="4"/>
    <n v="1"/>
    <n v="1"/>
    <n v="5.4"/>
    <x v="23"/>
    <n v="3"/>
    <n v="6"/>
    <n v="732915"/>
    <n v="453323"/>
    <n v="279592"/>
    <n v="39"/>
    <n v="56"/>
    <n v="6"/>
  </r>
  <r>
    <x v="0"/>
    <x v="0"/>
    <d v="2024-10-10T00:00:00"/>
    <s v="NA"/>
    <n v="0"/>
    <n v="82"/>
    <s v="81+"/>
    <x v="1"/>
    <x v="8"/>
    <x v="6"/>
    <x v="2"/>
    <n v="1"/>
    <n v="1"/>
    <n v="4.3"/>
    <x v="7"/>
    <n v="3"/>
    <n v="6"/>
    <n v="893224"/>
    <n v="597858"/>
    <n v="295366"/>
    <n v="37"/>
    <n v="61"/>
    <n v="13.8"/>
  </r>
  <r>
    <x v="0"/>
    <x v="0"/>
    <d v="2023-03-28T00:00:00"/>
    <s v="NA"/>
    <n v="0"/>
    <n v="26"/>
    <s v="21-40"/>
    <x v="0"/>
    <x v="6"/>
    <x v="4"/>
    <x v="2"/>
    <n v="1"/>
    <n v="1"/>
    <n v="6.3"/>
    <x v="5"/>
    <n v="4"/>
    <n v="6"/>
    <n v="622221"/>
    <n v="302649"/>
    <n v="319572"/>
    <n v="26"/>
    <n v="65"/>
    <n v="10.8"/>
  </r>
  <r>
    <x v="0"/>
    <x v="0"/>
    <d v="2022-03-13T00:00:00"/>
    <s v="NA"/>
    <n v="0"/>
    <n v="47"/>
    <s v="41-60"/>
    <x v="1"/>
    <x v="4"/>
    <x v="3"/>
    <x v="2"/>
    <n v="1"/>
    <n v="1"/>
    <n v="1.5"/>
    <x v="6"/>
    <n v="6"/>
    <n v="4"/>
    <n v="947443"/>
    <n v="545408"/>
    <n v="402035"/>
    <n v="40"/>
    <n v="59"/>
    <n v="12.7"/>
  </r>
  <r>
    <x v="0"/>
    <x v="0"/>
    <d v="2023-08-13T00:00:00"/>
    <s v="NA"/>
    <n v="0"/>
    <n v="85"/>
    <s v="81+"/>
    <x v="0"/>
    <x v="0"/>
    <x v="0"/>
    <x v="0"/>
    <n v="1"/>
    <n v="1"/>
    <n v="7"/>
    <x v="13"/>
    <n v="5"/>
    <n v="4"/>
    <n v="774756"/>
    <n v="491510"/>
    <n v="283246"/>
    <n v="38"/>
    <n v="62"/>
    <n v="10.6"/>
  </r>
  <r>
    <x v="0"/>
    <x v="0"/>
    <d v="2022-05-01T00:00:00"/>
    <s v="NA"/>
    <n v="0"/>
    <n v="85"/>
    <s v="81+"/>
    <x v="1"/>
    <x v="6"/>
    <x v="4"/>
    <x v="0"/>
    <n v="1"/>
    <n v="1"/>
    <n v="3.5"/>
    <x v="4"/>
    <n v="4"/>
    <n v="5"/>
    <n v="881976"/>
    <n v="412362"/>
    <n v="469614"/>
    <n v="26"/>
    <n v="62"/>
    <n v="5.2"/>
  </r>
  <r>
    <x v="0"/>
    <x v="0"/>
    <d v="2022-04-27T00:00:00"/>
    <s v="NA"/>
    <n v="0"/>
    <n v="29"/>
    <s v="21-40"/>
    <x v="1"/>
    <x v="10"/>
    <x v="8"/>
    <x v="1"/>
    <n v="1"/>
    <n v="1"/>
    <n v="2.7"/>
    <x v="20"/>
    <n v="4"/>
    <n v="4"/>
    <n v="972236"/>
    <n v="551876"/>
    <n v="420360"/>
    <n v="34"/>
    <n v="62"/>
    <n v="5.6"/>
  </r>
  <r>
    <x v="0"/>
    <x v="0"/>
    <d v="2022-04-18T00:00:00"/>
    <s v="NA"/>
    <n v="0"/>
    <n v="66"/>
    <s v="61-80"/>
    <x v="0"/>
    <x v="13"/>
    <x v="10"/>
    <x v="3"/>
    <n v="1"/>
    <n v="1"/>
    <n v="6.9"/>
    <x v="5"/>
    <n v="6"/>
    <n v="5"/>
    <n v="782402"/>
    <n v="522322"/>
    <n v="260080"/>
    <n v="25"/>
    <n v="64"/>
    <n v="10.1"/>
  </r>
  <r>
    <x v="0"/>
    <x v="0"/>
    <d v="2023-08-08T00:00:00"/>
    <s v="NA"/>
    <n v="0"/>
    <n v="31"/>
    <s v="21-40"/>
    <x v="0"/>
    <x v="14"/>
    <x v="11"/>
    <x v="0"/>
    <n v="1"/>
    <n v="1"/>
    <n v="2.2999999999999998"/>
    <x v="25"/>
    <n v="7"/>
    <n v="4"/>
    <n v="788644"/>
    <n v="445757"/>
    <n v="342887"/>
    <n v="33"/>
    <n v="58"/>
    <n v="14.1"/>
  </r>
  <r>
    <x v="0"/>
    <x v="0"/>
    <d v="2021-01-10T00:00:00"/>
    <s v="NA"/>
    <n v="0"/>
    <n v="78"/>
    <s v="61-80"/>
    <x v="1"/>
    <x v="2"/>
    <x v="1"/>
    <x v="3"/>
    <n v="1"/>
    <n v="1"/>
    <n v="2.9"/>
    <x v="23"/>
    <n v="4"/>
    <n v="6"/>
    <n v="983792"/>
    <n v="679442"/>
    <n v="304350"/>
    <n v="32"/>
    <n v="57"/>
    <n v="5"/>
  </r>
  <r>
    <x v="0"/>
    <x v="0"/>
    <d v="2023-03-29T00:00:00"/>
    <s v="NA"/>
    <n v="0"/>
    <n v="40"/>
    <s v="21-40"/>
    <x v="0"/>
    <x v="7"/>
    <x v="5"/>
    <x v="3"/>
    <n v="1"/>
    <n v="1"/>
    <n v="4.9000000000000004"/>
    <x v="0"/>
    <n v="5"/>
    <n v="5"/>
    <n v="763037"/>
    <n v="294845"/>
    <n v="468192"/>
    <n v="30"/>
    <n v="58"/>
    <n v="10.5"/>
  </r>
  <r>
    <x v="0"/>
    <x v="0"/>
    <d v="2024-01-02T00:00:00"/>
    <s v="NA"/>
    <n v="0"/>
    <n v="46"/>
    <s v="41-60"/>
    <x v="1"/>
    <x v="6"/>
    <x v="4"/>
    <x v="2"/>
    <n v="1"/>
    <n v="1"/>
    <n v="5.4"/>
    <x v="0"/>
    <n v="6"/>
    <n v="5"/>
    <n v="630619"/>
    <n v="268003"/>
    <n v="362616"/>
    <n v="25"/>
    <n v="60"/>
    <n v="36.9"/>
  </r>
  <r>
    <x v="0"/>
    <x v="0"/>
    <d v="2023-06-14T00:00:00"/>
    <s v="NA"/>
    <n v="0"/>
    <n v="39"/>
    <s v="21-40"/>
    <x v="0"/>
    <x v="2"/>
    <x v="1"/>
    <x v="2"/>
    <n v="1"/>
    <n v="1"/>
    <n v="3.4"/>
    <x v="29"/>
    <n v="5"/>
    <n v="6"/>
    <n v="784362"/>
    <n v="544793"/>
    <n v="239569"/>
    <n v="33"/>
    <n v="63"/>
    <n v="6"/>
  </r>
  <r>
    <x v="0"/>
    <x v="0"/>
    <d v="2021-06-03T00:00:00"/>
    <s v="NA"/>
    <n v="0"/>
    <n v="71"/>
    <s v="61-80"/>
    <x v="1"/>
    <x v="4"/>
    <x v="3"/>
    <x v="4"/>
    <n v="1"/>
    <n v="1"/>
    <n v="5.7"/>
    <x v="3"/>
    <n v="3"/>
    <n v="6"/>
    <n v="715090"/>
    <n v="325074"/>
    <n v="390016"/>
    <n v="26"/>
    <n v="56"/>
    <n v="12.9"/>
  </r>
  <r>
    <x v="0"/>
    <x v="0"/>
    <d v="2022-09-16T00:00:00"/>
    <s v="NA"/>
    <n v="0"/>
    <n v="49"/>
    <s v="41-60"/>
    <x v="1"/>
    <x v="13"/>
    <x v="10"/>
    <x v="0"/>
    <n v="1"/>
    <n v="1"/>
    <n v="3.2"/>
    <x v="24"/>
    <n v="7"/>
    <n v="5"/>
    <n v="642654"/>
    <n v="229302"/>
    <n v="413352"/>
    <n v="21"/>
    <n v="64"/>
    <n v="36.6"/>
  </r>
  <r>
    <x v="14"/>
    <x v="14"/>
    <d v="2023-04-19T00:00:00"/>
    <s v="NA"/>
    <n v="0"/>
    <n v="22"/>
    <s v="21-40"/>
    <x v="0"/>
    <x v="0"/>
    <x v="0"/>
    <x v="2"/>
    <n v="1"/>
    <n v="1"/>
    <n v="1.3"/>
    <x v="26"/>
    <n v="7"/>
    <n v="4"/>
    <n v="759138"/>
    <n v="314120"/>
    <n v="445018"/>
    <n v="30"/>
    <n v="63"/>
    <n v="14.3"/>
  </r>
  <r>
    <x v="0"/>
    <x v="0"/>
    <d v="2022-10-20T00:00:00"/>
    <s v="NA"/>
    <n v="0"/>
    <n v="36"/>
    <s v="21-40"/>
    <x v="1"/>
    <x v="3"/>
    <x v="2"/>
    <x v="1"/>
    <n v="1"/>
    <n v="1"/>
    <n v="6.4"/>
    <x v="7"/>
    <n v="5"/>
    <n v="3"/>
    <n v="613482"/>
    <n v="157680"/>
    <n v="455802"/>
    <n v="26"/>
    <n v="57"/>
    <n v="6.7"/>
  </r>
  <r>
    <x v="0"/>
    <x v="0"/>
    <d v="2023-01-31T00:00:00"/>
    <s v="NA"/>
    <n v="0"/>
    <n v="29"/>
    <s v="21-40"/>
    <x v="0"/>
    <x v="5"/>
    <x v="0"/>
    <x v="0"/>
    <n v="1"/>
    <n v="1"/>
    <n v="1.8"/>
    <x v="25"/>
    <n v="7"/>
    <n v="6"/>
    <n v="925990"/>
    <n v="587457"/>
    <n v="338533"/>
    <n v="27"/>
    <n v="66"/>
    <n v="14.4"/>
  </r>
  <r>
    <x v="0"/>
    <x v="0"/>
    <d v="2024-09-29T00:00:00"/>
    <s v="NA"/>
    <n v="0"/>
    <n v="35"/>
    <s v="21-40"/>
    <x v="1"/>
    <x v="1"/>
    <x v="1"/>
    <x v="2"/>
    <n v="1"/>
    <n v="1"/>
    <n v="5.8"/>
    <x v="3"/>
    <n v="5"/>
    <n v="5"/>
    <n v="736147"/>
    <n v="410605"/>
    <n v="325542"/>
    <n v="26"/>
    <n v="56"/>
    <n v="8.5"/>
  </r>
  <r>
    <x v="0"/>
    <x v="0"/>
    <d v="2023-06-02T00:00:00"/>
    <s v="NA"/>
    <n v="0"/>
    <n v="60"/>
    <s v="41-60"/>
    <x v="0"/>
    <x v="1"/>
    <x v="1"/>
    <x v="0"/>
    <n v="1"/>
    <n v="1"/>
    <n v="3.4"/>
    <x v="26"/>
    <n v="7"/>
    <n v="3"/>
    <n v="937668"/>
    <n v="624648"/>
    <n v="313020"/>
    <n v="38"/>
    <n v="63"/>
    <n v="36.1"/>
  </r>
  <r>
    <x v="14"/>
    <x v="14"/>
    <d v="2023-06-06T00:00:00"/>
    <s v="NA"/>
    <n v="0"/>
    <n v="44"/>
    <s v="41-60"/>
    <x v="1"/>
    <x v="3"/>
    <x v="2"/>
    <x v="1"/>
    <n v="1"/>
    <n v="1"/>
    <n v="6.8"/>
    <x v="18"/>
    <n v="4"/>
    <n v="4"/>
    <n v="724694"/>
    <n v="217171"/>
    <n v="507523"/>
    <n v="27"/>
    <n v="63"/>
    <n v="6.1"/>
  </r>
  <r>
    <x v="0"/>
    <x v="0"/>
    <d v="2024-10-02T00:00:00"/>
    <s v="NA"/>
    <n v="0"/>
    <n v="36"/>
    <s v="21-40"/>
    <x v="0"/>
    <x v="0"/>
    <x v="0"/>
    <x v="4"/>
    <n v="1"/>
    <n v="1"/>
    <n v="5.7"/>
    <x v="4"/>
    <n v="7"/>
    <n v="7"/>
    <n v="660785"/>
    <n v="230002"/>
    <n v="430783"/>
    <n v="23"/>
    <n v="60"/>
    <n v="9.1"/>
  </r>
  <r>
    <x v="0"/>
    <x v="0"/>
    <d v="2022-03-28T00:00:00"/>
    <s v="NA"/>
    <n v="0"/>
    <n v="67"/>
    <s v="61-80"/>
    <x v="0"/>
    <x v="5"/>
    <x v="0"/>
    <x v="4"/>
    <n v="1"/>
    <n v="1"/>
    <n v="4.5999999999999996"/>
    <x v="7"/>
    <n v="7"/>
    <n v="3"/>
    <n v="849731"/>
    <n v="353856"/>
    <n v="495875"/>
    <n v="30"/>
    <n v="65"/>
    <n v="36.4"/>
  </r>
  <r>
    <x v="0"/>
    <x v="0"/>
    <d v="2024-12-22T00:00:00"/>
    <s v="NA"/>
    <n v="0"/>
    <n v="71"/>
    <s v="61-80"/>
    <x v="0"/>
    <x v="0"/>
    <x v="0"/>
    <x v="2"/>
    <n v="1"/>
    <n v="1"/>
    <n v="1.4"/>
    <x v="4"/>
    <n v="5"/>
    <n v="5"/>
    <n v="998442"/>
    <n v="564378"/>
    <n v="434064"/>
    <n v="23"/>
    <n v="63"/>
    <n v="10.3"/>
  </r>
  <r>
    <x v="0"/>
    <x v="0"/>
    <d v="2023-06-16T00:00:00"/>
    <s v="NA"/>
    <n v="0"/>
    <n v="78"/>
    <s v="61-80"/>
    <x v="1"/>
    <x v="12"/>
    <x v="9"/>
    <x v="4"/>
    <n v="1"/>
    <n v="1"/>
    <n v="6.9"/>
    <x v="30"/>
    <n v="3"/>
    <n v="7"/>
    <n v="676368"/>
    <n v="232044"/>
    <n v="444324"/>
    <n v="29"/>
    <n v="57"/>
    <n v="13.9"/>
  </r>
  <r>
    <x v="14"/>
    <x v="14"/>
    <d v="2024-08-02T00:00:00"/>
    <s v="NA"/>
    <n v="0"/>
    <n v="43"/>
    <s v="41-60"/>
    <x v="1"/>
    <x v="3"/>
    <x v="2"/>
    <x v="3"/>
    <n v="1"/>
    <n v="1"/>
    <n v="3.2"/>
    <x v="17"/>
    <n v="4"/>
    <n v="3"/>
    <n v="746562"/>
    <n v="226570"/>
    <n v="519992"/>
    <n v="25"/>
    <n v="54"/>
    <n v="12.6"/>
  </r>
  <r>
    <x v="14"/>
    <x v="14"/>
    <d v="2022-10-09T00:00:00"/>
    <s v="NA"/>
    <n v="0"/>
    <n v="27"/>
    <s v="21-40"/>
    <x v="0"/>
    <x v="0"/>
    <x v="0"/>
    <x v="0"/>
    <n v="1"/>
    <n v="1"/>
    <n v="3.5"/>
    <x v="5"/>
    <n v="7"/>
    <n v="5"/>
    <n v="636360"/>
    <n v="103403"/>
    <n v="532957"/>
    <n v="29"/>
    <n v="58"/>
    <n v="36.5"/>
  </r>
  <r>
    <x v="14"/>
    <x v="14"/>
    <d v="2024-07-13T00:00:00"/>
    <s v="NA"/>
    <n v="0"/>
    <n v="77"/>
    <s v="61-80"/>
    <x v="0"/>
    <x v="10"/>
    <x v="8"/>
    <x v="4"/>
    <n v="1"/>
    <n v="1"/>
    <n v="4.4000000000000004"/>
    <x v="22"/>
    <n v="3"/>
    <n v="6"/>
    <n v="738419"/>
    <n v="257189"/>
    <n v="481230"/>
    <n v="25"/>
    <n v="57"/>
    <n v="10.4"/>
  </r>
  <r>
    <x v="0"/>
    <x v="0"/>
    <d v="2023-12-14T00:00:00"/>
    <s v="NA"/>
    <n v="0"/>
    <n v="33"/>
    <s v="21-40"/>
    <x v="0"/>
    <x v="2"/>
    <x v="1"/>
    <x v="0"/>
    <n v="1"/>
    <n v="1"/>
    <n v="1.1000000000000001"/>
    <x v="2"/>
    <n v="4"/>
    <n v="5"/>
    <n v="703170"/>
    <n v="243764"/>
    <n v="459406"/>
    <n v="23"/>
    <n v="61"/>
    <n v="36.700000000000003"/>
  </r>
  <r>
    <x v="0"/>
    <x v="0"/>
    <d v="2024-06-11T00:00:00"/>
    <s v="NA"/>
    <n v="0"/>
    <n v="49"/>
    <s v="41-60"/>
    <x v="0"/>
    <x v="5"/>
    <x v="0"/>
    <x v="0"/>
    <n v="1"/>
    <n v="1"/>
    <n v="3.2"/>
    <x v="0"/>
    <n v="5"/>
    <n v="5"/>
    <n v="701606"/>
    <n v="201962"/>
    <n v="499644"/>
    <n v="32"/>
    <n v="62"/>
    <n v="6"/>
  </r>
  <r>
    <x v="14"/>
    <x v="14"/>
    <d v="2024-03-11T00:00:00"/>
    <s v="NA"/>
    <n v="0"/>
    <n v="63"/>
    <s v="61-80"/>
    <x v="0"/>
    <x v="1"/>
    <x v="1"/>
    <x v="2"/>
    <n v="1"/>
    <n v="1"/>
    <n v="3.4"/>
    <x v="0"/>
    <n v="3"/>
    <n v="7"/>
    <n v="663213"/>
    <n v="241270"/>
    <n v="421943"/>
    <n v="30"/>
    <n v="54"/>
    <n v="6.2"/>
  </r>
  <r>
    <x v="14"/>
    <x v="14"/>
    <d v="2021-01-06T00:00:00"/>
    <s v="NA"/>
    <n v="0"/>
    <n v="44"/>
    <s v="41-60"/>
    <x v="1"/>
    <x v="2"/>
    <x v="1"/>
    <x v="1"/>
    <n v="1"/>
    <n v="1"/>
    <n v="2.2000000000000002"/>
    <x v="20"/>
    <n v="7"/>
    <n v="4"/>
    <n v="780945"/>
    <n v="194486"/>
    <n v="586459"/>
    <n v="24"/>
    <n v="63"/>
    <n v="5.2"/>
  </r>
  <r>
    <x v="14"/>
    <x v="14"/>
    <d v="2023-07-22T00:00:00"/>
    <s v="NA"/>
    <n v="0"/>
    <n v="54"/>
    <s v="41-60"/>
    <x v="1"/>
    <x v="3"/>
    <x v="2"/>
    <x v="1"/>
    <n v="1"/>
    <n v="1"/>
    <n v="3.6"/>
    <x v="7"/>
    <n v="7"/>
    <n v="5"/>
    <n v="767323"/>
    <n v="337320"/>
    <n v="430003"/>
    <n v="29"/>
    <n v="66"/>
    <n v="5.2"/>
  </r>
  <r>
    <x v="0"/>
    <x v="0"/>
    <d v="2024-04-07T00:00:00"/>
    <s v="NA"/>
    <n v="0"/>
    <n v="60"/>
    <s v="41-60"/>
    <x v="1"/>
    <x v="3"/>
    <x v="2"/>
    <x v="2"/>
    <n v="1"/>
    <n v="1"/>
    <n v="3.3"/>
    <x v="12"/>
    <n v="3"/>
    <n v="3"/>
    <n v="694267"/>
    <n v="289759"/>
    <n v="404508"/>
    <n v="39"/>
    <n v="58"/>
    <n v="7.8"/>
  </r>
  <r>
    <x v="0"/>
    <x v="0"/>
    <d v="2022-06-18T00:00:00"/>
    <s v="NA"/>
    <n v="0"/>
    <n v="46"/>
    <s v="41-60"/>
    <x v="1"/>
    <x v="8"/>
    <x v="6"/>
    <x v="1"/>
    <n v="1"/>
    <n v="1"/>
    <n v="6.4"/>
    <x v="18"/>
    <n v="7"/>
    <n v="7"/>
    <n v="948689"/>
    <n v="680938"/>
    <n v="267751"/>
    <n v="30"/>
    <n v="55"/>
    <n v="7.1"/>
  </r>
  <r>
    <x v="14"/>
    <x v="14"/>
    <d v="2021-12-10T00:00:00"/>
    <s v="NA"/>
    <n v="0"/>
    <n v="25"/>
    <s v="21-40"/>
    <x v="0"/>
    <x v="0"/>
    <x v="0"/>
    <x v="2"/>
    <n v="1"/>
    <n v="1"/>
    <n v="1.8"/>
    <x v="12"/>
    <n v="7"/>
    <n v="5"/>
    <n v="692439"/>
    <n v="178553"/>
    <n v="513886"/>
    <n v="27"/>
    <n v="58"/>
    <n v="12.8"/>
  </r>
  <r>
    <x v="14"/>
    <x v="14"/>
    <d v="2022-02-15T00:00:00"/>
    <s v="NA"/>
    <n v="0"/>
    <n v="45"/>
    <s v="41-60"/>
    <x v="1"/>
    <x v="7"/>
    <x v="5"/>
    <x v="4"/>
    <n v="1"/>
    <n v="1"/>
    <n v="4.8"/>
    <x v="27"/>
    <n v="3"/>
    <n v="5"/>
    <n v="612469"/>
    <n v="183946"/>
    <n v="428523"/>
    <n v="30"/>
    <n v="57"/>
    <n v="10.199999999999999"/>
  </r>
  <r>
    <x v="14"/>
    <x v="14"/>
    <d v="2024-08-08T00:00:00"/>
    <s v="NA"/>
    <n v="0"/>
    <n v="52"/>
    <s v="41-60"/>
    <x v="1"/>
    <x v="9"/>
    <x v="7"/>
    <x v="3"/>
    <n v="1"/>
    <n v="1"/>
    <n v="3.3"/>
    <x v="21"/>
    <n v="7"/>
    <n v="3"/>
    <n v="660479"/>
    <n v="146959"/>
    <n v="513520"/>
    <n v="23"/>
    <n v="60"/>
    <n v="6.3"/>
  </r>
  <r>
    <x v="0"/>
    <x v="0"/>
    <d v="2021-01-24T00:00:00"/>
    <s v="NA"/>
    <n v="0"/>
    <n v="52"/>
    <s v="41-60"/>
    <x v="0"/>
    <x v="0"/>
    <x v="0"/>
    <x v="2"/>
    <n v="1"/>
    <n v="1"/>
    <n v="5.9"/>
    <x v="10"/>
    <n v="5"/>
    <n v="6"/>
    <n v="754203"/>
    <n v="450324"/>
    <n v="303879"/>
    <n v="28"/>
    <n v="61"/>
    <n v="6.7"/>
  </r>
  <r>
    <x v="14"/>
    <x v="14"/>
    <d v="2022-09-22T00:00:00"/>
    <s v="NA"/>
    <n v="0"/>
    <n v="28"/>
    <s v="21-40"/>
    <x v="1"/>
    <x v="3"/>
    <x v="2"/>
    <x v="0"/>
    <n v="1"/>
    <n v="1"/>
    <n v="4.3"/>
    <x v="19"/>
    <n v="5"/>
    <n v="4"/>
    <n v="785446"/>
    <n v="337255"/>
    <n v="448191"/>
    <n v="30"/>
    <n v="63"/>
    <n v="13.6"/>
  </r>
  <r>
    <x v="14"/>
    <x v="14"/>
    <d v="2021-12-24T00:00:00"/>
    <s v="NA"/>
    <n v="0"/>
    <n v="57"/>
    <s v="41-60"/>
    <x v="0"/>
    <x v="0"/>
    <x v="0"/>
    <x v="2"/>
    <n v="1"/>
    <n v="1"/>
    <n v="2.8"/>
    <x v="11"/>
    <n v="5"/>
    <n v="6"/>
    <n v="635869"/>
    <n v="82851"/>
    <n v="553018"/>
    <n v="23"/>
    <n v="63"/>
    <n v="6.9"/>
  </r>
  <r>
    <x v="14"/>
    <x v="14"/>
    <d v="2023-07-17T00:00:00"/>
    <s v="NA"/>
    <n v="0"/>
    <n v="54"/>
    <s v="41-60"/>
    <x v="0"/>
    <x v="4"/>
    <x v="3"/>
    <x v="3"/>
    <n v="1"/>
    <n v="1"/>
    <n v="4.4000000000000004"/>
    <x v="23"/>
    <n v="4"/>
    <n v="6"/>
    <n v="670129"/>
    <n v="83658"/>
    <n v="586471"/>
    <n v="20"/>
    <n v="61"/>
    <n v="6.9"/>
  </r>
  <r>
    <x v="14"/>
    <x v="14"/>
    <d v="2023-02-14T00:00:00"/>
    <s v="NA"/>
    <n v="0"/>
    <n v="33"/>
    <s v="21-40"/>
    <x v="1"/>
    <x v="10"/>
    <x v="8"/>
    <x v="0"/>
    <n v="1"/>
    <n v="1"/>
    <n v="3.9"/>
    <x v="5"/>
    <n v="5"/>
    <n v="6"/>
    <n v="680931"/>
    <n v="200670"/>
    <n v="480261"/>
    <n v="26"/>
    <n v="66"/>
    <n v="14.5"/>
  </r>
  <r>
    <x v="0"/>
    <x v="0"/>
    <d v="2021-09-09T00:00:00"/>
    <s v="NA"/>
    <n v="0"/>
    <n v="33"/>
    <s v="21-40"/>
    <x v="1"/>
    <x v="1"/>
    <x v="1"/>
    <x v="2"/>
    <n v="1"/>
    <n v="1"/>
    <n v="2.4"/>
    <x v="15"/>
    <n v="5"/>
    <n v="7"/>
    <n v="903910"/>
    <n v="554519"/>
    <n v="349391"/>
    <n v="36"/>
    <n v="66"/>
    <n v="7.3"/>
  </r>
  <r>
    <x v="14"/>
    <x v="14"/>
    <d v="2024-07-10T00:00:00"/>
    <s v="NA"/>
    <n v="0"/>
    <n v="52"/>
    <s v="41-60"/>
    <x v="1"/>
    <x v="12"/>
    <x v="9"/>
    <x v="0"/>
    <n v="1"/>
    <n v="1"/>
    <n v="4.7"/>
    <x v="21"/>
    <n v="6"/>
    <n v="5"/>
    <n v="786807"/>
    <n v="266897"/>
    <n v="519910"/>
    <n v="29"/>
    <n v="66"/>
    <n v="10.199999999999999"/>
  </r>
  <r>
    <x v="14"/>
    <x v="14"/>
    <d v="2023-12-24T00:00:00"/>
    <s v="NA"/>
    <n v="0"/>
    <n v="65"/>
    <s v="61-80"/>
    <x v="1"/>
    <x v="3"/>
    <x v="2"/>
    <x v="3"/>
    <n v="1"/>
    <n v="1"/>
    <n v="4.2"/>
    <x v="4"/>
    <n v="5"/>
    <n v="5"/>
    <n v="659565"/>
    <n v="193641"/>
    <n v="465924"/>
    <n v="25"/>
    <n v="63"/>
    <n v="10.9"/>
  </r>
  <r>
    <x v="14"/>
    <x v="14"/>
    <d v="2022-02-11T00:00:00"/>
    <s v="NA"/>
    <n v="0"/>
    <n v="38"/>
    <s v="21-40"/>
    <x v="1"/>
    <x v="2"/>
    <x v="1"/>
    <x v="1"/>
    <n v="1"/>
    <n v="1"/>
    <n v="6.9"/>
    <x v="14"/>
    <n v="7"/>
    <n v="4"/>
    <n v="735597"/>
    <n v="306046"/>
    <n v="429551"/>
    <n v="22"/>
    <n v="55"/>
    <n v="6.9"/>
  </r>
  <r>
    <x v="14"/>
    <x v="14"/>
    <d v="2022-06-10T00:00:00"/>
    <s v="NA"/>
    <n v="0"/>
    <n v="78"/>
    <s v="61-80"/>
    <x v="1"/>
    <x v="2"/>
    <x v="1"/>
    <x v="2"/>
    <n v="1"/>
    <n v="1"/>
    <n v="3.3"/>
    <x v="11"/>
    <n v="6"/>
    <n v="5"/>
    <n v="734363"/>
    <n v="152347"/>
    <n v="582016"/>
    <n v="26"/>
    <n v="65"/>
    <n v="9.3000000000000007"/>
  </r>
  <r>
    <x v="14"/>
    <x v="14"/>
    <d v="2022-04-07T00:00:00"/>
    <s v="NA"/>
    <n v="0"/>
    <n v="44"/>
    <s v="41-60"/>
    <x v="0"/>
    <x v="6"/>
    <x v="4"/>
    <x v="4"/>
    <n v="1"/>
    <n v="1"/>
    <n v="6.4"/>
    <x v="12"/>
    <n v="4"/>
    <n v="4"/>
    <n v="603046"/>
    <n v="72915"/>
    <n v="530131"/>
    <n v="25"/>
    <n v="56"/>
    <n v="6.3"/>
  </r>
  <r>
    <x v="14"/>
    <x v="14"/>
    <d v="2022-08-11T00:00:00"/>
    <s v="NA"/>
    <n v="0"/>
    <n v="30"/>
    <s v="21-40"/>
    <x v="0"/>
    <x v="7"/>
    <x v="5"/>
    <x v="0"/>
    <n v="1"/>
    <n v="1"/>
    <n v="2.7"/>
    <x v="16"/>
    <n v="4"/>
    <n v="5"/>
    <n v="703145"/>
    <n v="125384"/>
    <n v="577761"/>
    <n v="23"/>
    <n v="55"/>
    <n v="14.6"/>
  </r>
  <r>
    <x v="14"/>
    <x v="14"/>
    <d v="2022-02-05T00:00:00"/>
    <s v="NA"/>
    <n v="0"/>
    <n v="80"/>
    <s v="61-80"/>
    <x v="1"/>
    <x v="3"/>
    <x v="2"/>
    <x v="0"/>
    <n v="1"/>
    <n v="1"/>
    <n v="6.7"/>
    <x v="15"/>
    <n v="3"/>
    <n v="6"/>
    <n v="748619"/>
    <n v="225679"/>
    <n v="522940"/>
    <n v="28"/>
    <n v="58"/>
    <n v="10.199999999999999"/>
  </r>
  <r>
    <x v="14"/>
    <x v="14"/>
    <d v="2024-04-01T00:00:00"/>
    <s v="NA"/>
    <n v="0"/>
    <n v="61"/>
    <s v="61-80"/>
    <x v="0"/>
    <x v="7"/>
    <x v="5"/>
    <x v="3"/>
    <n v="1"/>
    <n v="1"/>
    <n v="5"/>
    <x v="9"/>
    <n v="6"/>
    <n v="4"/>
    <n v="666360"/>
    <n v="198844"/>
    <n v="467516"/>
    <n v="20"/>
    <n v="54"/>
    <n v="10.1"/>
  </r>
  <r>
    <x v="14"/>
    <x v="14"/>
    <d v="2021-02-25T00:00:00"/>
    <s v="NA"/>
    <n v="0"/>
    <n v="37"/>
    <s v="21-40"/>
    <x v="1"/>
    <x v="6"/>
    <x v="4"/>
    <x v="2"/>
    <n v="1"/>
    <n v="1"/>
    <n v="3.2"/>
    <x v="30"/>
    <n v="3"/>
    <n v="6"/>
    <n v="729744"/>
    <n v="311845"/>
    <n v="417899"/>
    <n v="21"/>
    <n v="61"/>
    <n v="8"/>
  </r>
  <r>
    <x v="14"/>
    <x v="14"/>
    <d v="2024-09-30T00:00:00"/>
    <s v="NA"/>
    <n v="0"/>
    <n v="63"/>
    <s v="61-80"/>
    <x v="0"/>
    <x v="7"/>
    <x v="5"/>
    <x v="3"/>
    <n v="1"/>
    <n v="1"/>
    <n v="1.2"/>
    <x v="4"/>
    <n v="4"/>
    <n v="7"/>
    <n v="642890"/>
    <n v="186861"/>
    <n v="456029"/>
    <n v="22"/>
    <n v="64"/>
    <n v="8.6"/>
  </r>
  <r>
    <x v="14"/>
    <x v="14"/>
    <d v="2022-04-18T00:00:00"/>
    <s v="NA"/>
    <n v="0"/>
    <n v="34"/>
    <s v="21-40"/>
    <x v="0"/>
    <x v="1"/>
    <x v="1"/>
    <x v="1"/>
    <n v="1"/>
    <n v="1"/>
    <n v="5.6"/>
    <x v="6"/>
    <n v="4"/>
    <n v="3"/>
    <n v="782457"/>
    <n v="252365"/>
    <n v="530092"/>
    <n v="30"/>
    <n v="60"/>
    <n v="8"/>
  </r>
  <r>
    <x v="0"/>
    <x v="0"/>
    <d v="2021-09-01T00:00:00"/>
    <s v="NA"/>
    <n v="0"/>
    <n v="76"/>
    <s v="61-80"/>
    <x v="0"/>
    <x v="5"/>
    <x v="0"/>
    <x v="3"/>
    <n v="1"/>
    <n v="1"/>
    <n v="3.4"/>
    <x v="8"/>
    <n v="5"/>
    <n v="6"/>
    <n v="752805"/>
    <n v="312538"/>
    <n v="440267"/>
    <n v="21"/>
    <n v="61"/>
    <n v="10"/>
  </r>
  <r>
    <x v="14"/>
    <x v="14"/>
    <d v="2021-05-08T00:00:00"/>
    <s v="NA"/>
    <n v="0"/>
    <n v="46"/>
    <s v="41-60"/>
    <x v="1"/>
    <x v="3"/>
    <x v="2"/>
    <x v="4"/>
    <n v="1"/>
    <n v="1"/>
    <n v="6.9"/>
    <x v="5"/>
    <n v="5"/>
    <n v="7"/>
    <n v="755717"/>
    <n v="226415"/>
    <n v="529302"/>
    <n v="20"/>
    <n v="65"/>
    <n v="36"/>
  </r>
  <r>
    <x v="14"/>
    <x v="14"/>
    <d v="2024-12-13T00:00:00"/>
    <s v="NA"/>
    <n v="0"/>
    <n v="47"/>
    <s v="41-60"/>
    <x v="0"/>
    <x v="4"/>
    <x v="3"/>
    <x v="0"/>
    <n v="1"/>
    <n v="1"/>
    <n v="3.2"/>
    <x v="19"/>
    <n v="5"/>
    <n v="4"/>
    <n v="668954"/>
    <n v="190644"/>
    <n v="478310"/>
    <n v="29"/>
    <n v="61"/>
    <n v="7.7"/>
  </r>
  <r>
    <x v="14"/>
    <x v="14"/>
    <d v="2023-03-23T00:00:00"/>
    <s v="NA"/>
    <n v="0"/>
    <n v="36"/>
    <s v="21-40"/>
    <x v="0"/>
    <x v="2"/>
    <x v="1"/>
    <x v="2"/>
    <n v="1"/>
    <n v="1"/>
    <n v="5.2"/>
    <x v="16"/>
    <n v="3"/>
    <n v="4"/>
    <n v="753071"/>
    <n v="253166"/>
    <n v="499905"/>
    <n v="22"/>
    <n v="63"/>
    <n v="13.2"/>
  </r>
  <r>
    <x v="14"/>
    <x v="14"/>
    <d v="2023-06-25T00:00:00"/>
    <s v="NA"/>
    <n v="0"/>
    <n v="46"/>
    <s v="41-60"/>
    <x v="0"/>
    <x v="6"/>
    <x v="4"/>
    <x v="2"/>
    <n v="1"/>
    <n v="1"/>
    <n v="3.7"/>
    <x v="29"/>
    <n v="7"/>
    <n v="4"/>
    <n v="790986"/>
    <n v="242712"/>
    <n v="548274"/>
    <n v="20"/>
    <n v="56"/>
    <n v="12"/>
  </r>
  <r>
    <x v="14"/>
    <x v="14"/>
    <d v="2022-02-13T00:00:00"/>
    <s v="NA"/>
    <n v="0"/>
    <n v="81"/>
    <s v="81+"/>
    <x v="0"/>
    <x v="0"/>
    <x v="0"/>
    <x v="0"/>
    <n v="1"/>
    <n v="1"/>
    <n v="6.7"/>
    <x v="9"/>
    <n v="5"/>
    <n v="3"/>
    <n v="710844"/>
    <n v="274517"/>
    <n v="436327"/>
    <n v="25"/>
    <n v="64"/>
    <n v="10.199999999999999"/>
  </r>
  <r>
    <x v="14"/>
    <x v="14"/>
    <d v="2021-01-17T00:00:00"/>
    <s v="NA"/>
    <n v="0"/>
    <n v="77"/>
    <s v="61-80"/>
    <x v="0"/>
    <x v="10"/>
    <x v="8"/>
    <x v="2"/>
    <n v="1"/>
    <n v="1"/>
    <n v="6.8"/>
    <x v="4"/>
    <n v="5"/>
    <n v="4"/>
    <n v="605828"/>
    <n v="39115"/>
    <n v="566713"/>
    <n v="21"/>
    <n v="57"/>
    <n v="10.9"/>
  </r>
  <r>
    <x v="14"/>
    <x v="14"/>
    <d v="2023-08-05T00:00:00"/>
    <s v="NA"/>
    <n v="0"/>
    <n v="42"/>
    <s v="41-60"/>
    <x v="1"/>
    <x v="9"/>
    <x v="7"/>
    <x v="1"/>
    <n v="1"/>
    <n v="1"/>
    <n v="1.1000000000000001"/>
    <x v="5"/>
    <n v="7"/>
    <n v="5"/>
    <n v="729366"/>
    <n v="231385"/>
    <n v="497981"/>
    <n v="23"/>
    <n v="57"/>
    <n v="14.8"/>
  </r>
  <r>
    <x v="0"/>
    <x v="0"/>
    <d v="2021-08-30T00:00:00"/>
    <s v="NA"/>
    <n v="0"/>
    <n v="43"/>
    <s v="41-60"/>
    <x v="0"/>
    <x v="4"/>
    <x v="3"/>
    <x v="2"/>
    <n v="1"/>
    <n v="1"/>
    <n v="2.1"/>
    <x v="21"/>
    <n v="4"/>
    <n v="7"/>
    <n v="936525"/>
    <n v="564505"/>
    <n v="372020"/>
    <n v="34"/>
    <n v="55"/>
    <n v="14"/>
  </r>
  <r>
    <x v="14"/>
    <x v="14"/>
    <d v="2021-07-14T00:00:00"/>
    <s v="NA"/>
    <n v="0"/>
    <n v="81"/>
    <s v="81+"/>
    <x v="1"/>
    <x v="7"/>
    <x v="5"/>
    <x v="0"/>
    <n v="1"/>
    <n v="1"/>
    <n v="4.5"/>
    <x v="15"/>
    <n v="6"/>
    <n v="5"/>
    <n v="600639"/>
    <n v="182473"/>
    <n v="418166"/>
    <n v="22"/>
    <n v="62"/>
    <n v="36.5"/>
  </r>
  <r>
    <x v="0"/>
    <x v="0"/>
    <d v="2021-07-17T00:00:00"/>
    <s v="NA"/>
    <n v="0"/>
    <n v="81"/>
    <s v="81+"/>
    <x v="1"/>
    <x v="8"/>
    <x v="6"/>
    <x v="4"/>
    <n v="1"/>
    <n v="1"/>
    <n v="1.6"/>
    <x v="8"/>
    <n v="6"/>
    <n v="7"/>
    <n v="725974"/>
    <n v="481491"/>
    <n v="244483"/>
    <n v="30"/>
    <n v="58"/>
    <n v="10.7"/>
  </r>
  <r>
    <x v="14"/>
    <x v="14"/>
    <d v="2023-07-16T00:00:00"/>
    <s v="NA"/>
    <n v="0"/>
    <n v="46"/>
    <s v="41-60"/>
    <x v="1"/>
    <x v="10"/>
    <x v="8"/>
    <x v="0"/>
    <n v="1"/>
    <n v="1"/>
    <n v="5.9"/>
    <x v="1"/>
    <n v="4"/>
    <n v="6"/>
    <n v="692522"/>
    <n v="109382"/>
    <n v="583140"/>
    <n v="21"/>
    <n v="64"/>
    <n v="6.7"/>
  </r>
  <r>
    <x v="14"/>
    <x v="14"/>
    <d v="2021-10-30T00:00:00"/>
    <s v="NA"/>
    <n v="0"/>
    <n v="35"/>
    <s v="21-40"/>
    <x v="1"/>
    <x v="10"/>
    <x v="8"/>
    <x v="0"/>
    <n v="1"/>
    <n v="1"/>
    <n v="5.8"/>
    <x v="3"/>
    <n v="6"/>
    <n v="3"/>
    <n v="697237"/>
    <n v="181379"/>
    <n v="515858"/>
    <n v="26"/>
    <n v="58"/>
    <n v="6.1"/>
  </r>
  <r>
    <x v="0"/>
    <x v="0"/>
    <d v="2024-04-13T00:00:00"/>
    <s v="NA"/>
    <n v="0"/>
    <n v="68"/>
    <s v="61-80"/>
    <x v="1"/>
    <x v="7"/>
    <x v="5"/>
    <x v="1"/>
    <n v="1"/>
    <n v="1"/>
    <n v="6.7"/>
    <x v="17"/>
    <n v="7"/>
    <n v="3"/>
    <n v="795726"/>
    <n v="301510"/>
    <n v="494216"/>
    <n v="36"/>
    <n v="57"/>
    <n v="13.6"/>
  </r>
  <r>
    <x v="14"/>
    <x v="14"/>
    <d v="2024-07-06T00:00:00"/>
    <s v="NA"/>
    <n v="0"/>
    <n v="71"/>
    <s v="61-80"/>
    <x v="0"/>
    <x v="2"/>
    <x v="1"/>
    <x v="3"/>
    <n v="1"/>
    <n v="1"/>
    <n v="3"/>
    <x v="15"/>
    <n v="6"/>
    <n v="6"/>
    <n v="618284"/>
    <n v="50185"/>
    <n v="568099"/>
    <n v="23"/>
    <n v="54"/>
    <n v="12.1"/>
  </r>
  <r>
    <x v="14"/>
    <x v="14"/>
    <d v="2023-11-20T00:00:00"/>
    <s v="NA"/>
    <n v="0"/>
    <n v="71"/>
    <s v="61-80"/>
    <x v="1"/>
    <x v="3"/>
    <x v="2"/>
    <x v="2"/>
    <n v="1"/>
    <n v="1"/>
    <n v="1.8"/>
    <x v="20"/>
    <n v="7"/>
    <n v="3"/>
    <n v="630582"/>
    <n v="46287"/>
    <n v="584295"/>
    <n v="26"/>
    <n v="66"/>
    <n v="6.8"/>
  </r>
  <r>
    <x v="14"/>
    <x v="14"/>
    <d v="2021-05-30T00:00:00"/>
    <s v="NA"/>
    <n v="0"/>
    <n v="64"/>
    <s v="61-80"/>
    <x v="1"/>
    <x v="3"/>
    <x v="2"/>
    <x v="2"/>
    <n v="1"/>
    <n v="1"/>
    <n v="5.0999999999999996"/>
    <x v="15"/>
    <n v="5"/>
    <n v="7"/>
    <n v="658647"/>
    <n v="231963"/>
    <n v="426684"/>
    <n v="23"/>
    <n v="56"/>
    <n v="12.3"/>
  </r>
  <r>
    <x v="14"/>
    <x v="14"/>
    <d v="2024-01-27T00:00:00"/>
    <s v="NA"/>
    <n v="0"/>
    <n v="60"/>
    <s v="41-60"/>
    <x v="0"/>
    <x v="0"/>
    <x v="0"/>
    <x v="0"/>
    <n v="1"/>
    <n v="1"/>
    <n v="6.9"/>
    <x v="23"/>
    <n v="6"/>
    <n v="4"/>
    <n v="637516"/>
    <n v="82628"/>
    <n v="554888"/>
    <n v="30"/>
    <n v="59"/>
    <n v="10.5"/>
  </r>
  <r>
    <x v="14"/>
    <x v="14"/>
    <d v="2021-03-09T00:00:00"/>
    <s v="NA"/>
    <n v="0"/>
    <n v="48"/>
    <s v="41-60"/>
    <x v="1"/>
    <x v="10"/>
    <x v="8"/>
    <x v="3"/>
    <n v="1"/>
    <n v="1"/>
    <n v="3.3"/>
    <x v="21"/>
    <n v="5"/>
    <n v="5"/>
    <n v="653299"/>
    <n v="181358"/>
    <n v="471941"/>
    <n v="21"/>
    <n v="61"/>
    <n v="9"/>
  </r>
  <r>
    <x v="0"/>
    <x v="0"/>
    <d v="2022-09-26T00:00:00"/>
    <s v="NA"/>
    <n v="0"/>
    <n v="26"/>
    <s v="21-40"/>
    <x v="1"/>
    <x v="12"/>
    <x v="9"/>
    <x v="2"/>
    <n v="1"/>
    <n v="1"/>
    <n v="4.4000000000000004"/>
    <x v="1"/>
    <n v="7"/>
    <n v="5"/>
    <n v="704977"/>
    <n v="377759"/>
    <n v="327218"/>
    <n v="29"/>
    <n v="54"/>
    <n v="13.9"/>
  </r>
  <r>
    <x v="14"/>
    <x v="14"/>
    <d v="2022-05-03T00:00:00"/>
    <s v="NA"/>
    <n v="0"/>
    <n v="39"/>
    <s v="21-40"/>
    <x v="1"/>
    <x v="4"/>
    <x v="3"/>
    <x v="3"/>
    <n v="1"/>
    <n v="1"/>
    <n v="6.7"/>
    <x v="23"/>
    <n v="5"/>
    <n v="4"/>
    <n v="674964"/>
    <n v="180995"/>
    <n v="493969"/>
    <n v="27"/>
    <n v="65"/>
    <n v="8"/>
  </r>
  <r>
    <x v="0"/>
    <x v="0"/>
    <d v="2023-03-14T00:00:00"/>
    <s v="NA"/>
    <n v="0"/>
    <n v="88"/>
    <s v="81+"/>
    <x v="1"/>
    <x v="6"/>
    <x v="4"/>
    <x v="4"/>
    <n v="1"/>
    <n v="1"/>
    <n v="6.7"/>
    <x v="21"/>
    <n v="4"/>
    <n v="6"/>
    <n v="835583"/>
    <n v="481192"/>
    <n v="354391"/>
    <n v="21"/>
    <n v="63"/>
    <n v="12.1"/>
  </r>
  <r>
    <x v="0"/>
    <x v="0"/>
    <d v="2024-03-24T00:00:00"/>
    <s v="NA"/>
    <n v="0"/>
    <n v="29"/>
    <s v="21-40"/>
    <x v="0"/>
    <x v="13"/>
    <x v="10"/>
    <x v="2"/>
    <n v="1"/>
    <n v="1"/>
    <n v="4.5"/>
    <x v="23"/>
    <n v="6"/>
    <n v="7"/>
    <n v="839501"/>
    <n v="556443"/>
    <n v="283058"/>
    <n v="35"/>
    <n v="66"/>
    <n v="6.5"/>
  </r>
  <r>
    <x v="0"/>
    <x v="0"/>
    <d v="2022-03-12T00:00:00"/>
    <s v="NA"/>
    <n v="0"/>
    <n v="87"/>
    <s v="81+"/>
    <x v="0"/>
    <x v="0"/>
    <x v="0"/>
    <x v="0"/>
    <n v="1"/>
    <n v="1"/>
    <n v="6.3"/>
    <x v="7"/>
    <n v="5"/>
    <n v="3"/>
    <n v="962137"/>
    <n v="584604"/>
    <n v="377533"/>
    <n v="31"/>
    <n v="59"/>
    <n v="6.7"/>
  </r>
  <r>
    <x v="0"/>
    <x v="0"/>
    <d v="2023-10-29T00:00:00"/>
    <s v="NA"/>
    <n v="0"/>
    <n v="46"/>
    <s v="41-60"/>
    <x v="0"/>
    <x v="10"/>
    <x v="8"/>
    <x v="4"/>
    <n v="1"/>
    <n v="1"/>
    <n v="7"/>
    <x v="28"/>
    <n v="7"/>
    <n v="6"/>
    <n v="905713"/>
    <n v="647975"/>
    <n v="257738"/>
    <n v="38"/>
    <n v="55"/>
    <n v="6.2"/>
  </r>
  <r>
    <x v="0"/>
    <x v="0"/>
    <d v="2021-12-10T00:00:00"/>
    <s v="NA"/>
    <n v="0"/>
    <n v="90"/>
    <s v="81+"/>
    <x v="0"/>
    <x v="0"/>
    <x v="0"/>
    <x v="4"/>
    <n v="1"/>
    <n v="1"/>
    <n v="2.9"/>
    <x v="18"/>
    <n v="4"/>
    <n v="6"/>
    <n v="737030"/>
    <n v="441156"/>
    <n v="295874"/>
    <n v="27"/>
    <n v="60"/>
    <n v="13.8"/>
  </r>
  <r>
    <x v="14"/>
    <x v="14"/>
    <d v="2022-03-12T00:00:00"/>
    <s v="NA"/>
    <n v="0"/>
    <n v="79"/>
    <s v="61-80"/>
    <x v="1"/>
    <x v="6"/>
    <x v="4"/>
    <x v="4"/>
    <n v="1"/>
    <n v="1"/>
    <n v="5.5"/>
    <x v="30"/>
    <n v="4"/>
    <n v="3"/>
    <n v="727600"/>
    <n v="191401"/>
    <n v="536199"/>
    <n v="26"/>
    <n v="57"/>
    <n v="36.9"/>
  </r>
  <r>
    <x v="14"/>
    <x v="14"/>
    <d v="2022-12-25T00:00:00"/>
    <s v="NA"/>
    <n v="0"/>
    <n v="35"/>
    <s v="21-40"/>
    <x v="1"/>
    <x v="4"/>
    <x v="3"/>
    <x v="4"/>
    <n v="1"/>
    <n v="1"/>
    <n v="5.5"/>
    <x v="15"/>
    <n v="5"/>
    <n v="6"/>
    <n v="624580"/>
    <n v="95781"/>
    <n v="528799"/>
    <n v="20"/>
    <n v="56"/>
    <n v="5.4"/>
  </r>
  <r>
    <x v="14"/>
    <x v="14"/>
    <d v="2021-02-27T00:00:00"/>
    <s v="NA"/>
    <n v="0"/>
    <n v="30"/>
    <s v="21-40"/>
    <x v="1"/>
    <x v="4"/>
    <x v="3"/>
    <x v="0"/>
    <n v="1"/>
    <n v="1"/>
    <n v="2.2999999999999998"/>
    <x v="20"/>
    <n v="7"/>
    <n v="3"/>
    <n v="743705"/>
    <n v="200938"/>
    <n v="542767"/>
    <n v="26"/>
    <n v="57"/>
    <n v="12.1"/>
  </r>
  <r>
    <x v="14"/>
    <x v="14"/>
    <d v="2024-05-22T00:00:00"/>
    <s v="NA"/>
    <n v="0"/>
    <n v="29"/>
    <s v="21-40"/>
    <x v="1"/>
    <x v="2"/>
    <x v="1"/>
    <x v="0"/>
    <n v="1"/>
    <n v="1"/>
    <n v="6.7"/>
    <x v="9"/>
    <n v="3"/>
    <n v="5"/>
    <n v="620758"/>
    <n v="169082"/>
    <n v="451676"/>
    <n v="21"/>
    <n v="62"/>
    <n v="14"/>
  </r>
  <r>
    <x v="14"/>
    <x v="14"/>
    <d v="2023-09-30T00:00:00"/>
    <s v="NA"/>
    <n v="0"/>
    <n v="76"/>
    <s v="61-80"/>
    <x v="0"/>
    <x v="0"/>
    <x v="0"/>
    <x v="4"/>
    <n v="1"/>
    <n v="1"/>
    <n v="4.2"/>
    <x v="8"/>
    <n v="3"/>
    <n v="7"/>
    <n v="715637"/>
    <n v="242692"/>
    <n v="472945"/>
    <n v="22"/>
    <n v="60"/>
    <n v="9.3000000000000007"/>
  </r>
  <r>
    <x v="14"/>
    <x v="14"/>
    <d v="2022-12-11T00:00:00"/>
    <s v="NA"/>
    <n v="0"/>
    <n v="51"/>
    <s v="41-60"/>
    <x v="0"/>
    <x v="0"/>
    <x v="0"/>
    <x v="3"/>
    <n v="1"/>
    <n v="1"/>
    <n v="4"/>
    <x v="0"/>
    <n v="7"/>
    <n v="3"/>
    <n v="735303"/>
    <n v="257766"/>
    <n v="477537"/>
    <n v="28"/>
    <n v="54"/>
    <n v="5.2"/>
  </r>
  <r>
    <x v="14"/>
    <x v="14"/>
    <d v="2023-10-27T00:00:00"/>
    <s v="NA"/>
    <n v="0"/>
    <n v="89"/>
    <s v="81+"/>
    <x v="1"/>
    <x v="9"/>
    <x v="7"/>
    <x v="2"/>
    <n v="1"/>
    <n v="1"/>
    <n v="4.3"/>
    <x v="20"/>
    <n v="3"/>
    <n v="4"/>
    <n v="629449"/>
    <n v="52608"/>
    <n v="576841"/>
    <n v="21"/>
    <n v="55"/>
    <n v="10.199999999999999"/>
  </r>
  <r>
    <x v="14"/>
    <x v="14"/>
    <d v="2022-01-17T00:00:00"/>
    <s v="NA"/>
    <n v="0"/>
    <n v="28"/>
    <s v="21-40"/>
    <x v="0"/>
    <x v="7"/>
    <x v="5"/>
    <x v="2"/>
    <n v="1"/>
    <n v="1"/>
    <n v="6.8"/>
    <x v="10"/>
    <n v="3"/>
    <n v="6"/>
    <n v="735222"/>
    <n v="261474"/>
    <n v="473748"/>
    <n v="28"/>
    <n v="59"/>
    <n v="12.9"/>
  </r>
  <r>
    <x v="14"/>
    <x v="14"/>
    <d v="2021-11-27T00:00:00"/>
    <s v="NA"/>
    <n v="0"/>
    <n v="36"/>
    <s v="21-40"/>
    <x v="0"/>
    <x v="13"/>
    <x v="10"/>
    <x v="3"/>
    <n v="1"/>
    <n v="1"/>
    <n v="5.6"/>
    <x v="19"/>
    <n v="6"/>
    <n v="5"/>
    <n v="780517"/>
    <n v="290322"/>
    <n v="490195"/>
    <n v="21"/>
    <n v="59"/>
    <n v="5.0999999999999996"/>
  </r>
  <r>
    <x v="14"/>
    <x v="14"/>
    <d v="2022-04-07T00:00:00"/>
    <s v="NA"/>
    <n v="0"/>
    <n v="39"/>
    <s v="21-40"/>
    <x v="0"/>
    <x v="7"/>
    <x v="5"/>
    <x v="0"/>
    <n v="1"/>
    <n v="1"/>
    <n v="4.5"/>
    <x v="3"/>
    <n v="6"/>
    <n v="3"/>
    <n v="792487"/>
    <n v="294060"/>
    <n v="498427"/>
    <n v="30"/>
    <n v="58"/>
    <n v="6.6"/>
  </r>
  <r>
    <x v="14"/>
    <x v="14"/>
    <d v="2024-06-03T00:00:00"/>
    <s v="NA"/>
    <n v="0"/>
    <n v="46"/>
    <s v="41-60"/>
    <x v="1"/>
    <x v="10"/>
    <x v="8"/>
    <x v="2"/>
    <n v="1"/>
    <n v="1"/>
    <n v="2.7"/>
    <x v="1"/>
    <n v="3"/>
    <n v="6"/>
    <n v="754594"/>
    <n v="336459"/>
    <n v="418135"/>
    <n v="27"/>
    <n v="62"/>
    <n v="10.3"/>
  </r>
  <r>
    <x v="14"/>
    <x v="14"/>
    <d v="2023-02-18T00:00:00"/>
    <s v="NA"/>
    <n v="0"/>
    <n v="62"/>
    <s v="61-80"/>
    <x v="1"/>
    <x v="11"/>
    <x v="8"/>
    <x v="4"/>
    <n v="1"/>
    <n v="1"/>
    <n v="4.3"/>
    <x v="13"/>
    <n v="7"/>
    <n v="7"/>
    <n v="640984"/>
    <n v="202678"/>
    <n v="438306"/>
    <n v="26"/>
    <n v="54"/>
    <n v="14.9"/>
  </r>
  <r>
    <x v="14"/>
    <x v="14"/>
    <d v="2023-04-12T00:00:00"/>
    <s v="NA"/>
    <n v="0"/>
    <n v="29"/>
    <s v="21-40"/>
    <x v="0"/>
    <x v="5"/>
    <x v="0"/>
    <x v="0"/>
    <n v="1"/>
    <n v="1"/>
    <n v="6.7"/>
    <x v="4"/>
    <n v="4"/>
    <n v="3"/>
    <n v="720106"/>
    <n v="181072"/>
    <n v="539034"/>
    <n v="24"/>
    <n v="57"/>
    <n v="6.1"/>
  </r>
  <r>
    <x v="14"/>
    <x v="14"/>
    <d v="2024-08-26T00:00:00"/>
    <s v="NA"/>
    <n v="0"/>
    <n v="90"/>
    <s v="81+"/>
    <x v="0"/>
    <x v="0"/>
    <x v="0"/>
    <x v="1"/>
    <n v="1"/>
    <n v="1"/>
    <n v="1.1000000000000001"/>
    <x v="6"/>
    <n v="5"/>
    <n v="4"/>
    <n v="754705"/>
    <n v="267136"/>
    <n v="487569"/>
    <n v="27"/>
    <n v="65"/>
    <n v="8.4"/>
  </r>
  <r>
    <x v="14"/>
    <x v="14"/>
    <d v="2021-09-27T00:00:00"/>
    <s v="NA"/>
    <n v="0"/>
    <n v="60"/>
    <s v="41-60"/>
    <x v="0"/>
    <x v="0"/>
    <x v="0"/>
    <x v="0"/>
    <n v="1"/>
    <n v="1"/>
    <n v="4.7"/>
    <x v="12"/>
    <n v="7"/>
    <n v="6"/>
    <n v="689014"/>
    <n v="260392"/>
    <n v="428622"/>
    <n v="24"/>
    <n v="65"/>
    <n v="7"/>
  </r>
  <r>
    <x v="14"/>
    <x v="14"/>
    <d v="2024-05-26T00:00:00"/>
    <s v="NA"/>
    <n v="0"/>
    <n v="32"/>
    <s v="21-40"/>
    <x v="0"/>
    <x v="2"/>
    <x v="1"/>
    <x v="2"/>
    <n v="1"/>
    <n v="1"/>
    <n v="5.2"/>
    <x v="8"/>
    <n v="5"/>
    <n v="5"/>
    <n v="753989"/>
    <n v="172723"/>
    <n v="581266"/>
    <n v="22"/>
    <n v="60"/>
    <n v="36.200000000000003"/>
  </r>
  <r>
    <x v="14"/>
    <x v="14"/>
    <d v="2023-10-27T00:00:00"/>
    <s v="NA"/>
    <n v="0"/>
    <n v="80"/>
    <s v="61-80"/>
    <x v="1"/>
    <x v="11"/>
    <x v="8"/>
    <x v="4"/>
    <n v="1"/>
    <n v="1"/>
    <n v="6.2"/>
    <x v="23"/>
    <n v="5"/>
    <n v="3"/>
    <n v="779633"/>
    <n v="342318"/>
    <n v="437315"/>
    <n v="21"/>
    <n v="55"/>
    <n v="13.7"/>
  </r>
  <r>
    <x v="14"/>
    <x v="14"/>
    <d v="2023-05-27T00:00:00"/>
    <s v="NA"/>
    <n v="0"/>
    <n v="34"/>
    <s v="21-40"/>
    <x v="1"/>
    <x v="11"/>
    <x v="8"/>
    <x v="3"/>
    <n v="1"/>
    <n v="1"/>
    <n v="1.9"/>
    <x v="9"/>
    <n v="4"/>
    <n v="4"/>
    <n v="703552"/>
    <n v="209702"/>
    <n v="493850"/>
    <n v="29"/>
    <n v="64"/>
    <n v="14.9"/>
  </r>
  <r>
    <x v="14"/>
    <x v="14"/>
    <d v="2024-11-14T00:00:00"/>
    <s v="NA"/>
    <n v="0"/>
    <n v="77"/>
    <s v="61-80"/>
    <x v="1"/>
    <x v="2"/>
    <x v="1"/>
    <x v="0"/>
    <n v="1"/>
    <n v="1"/>
    <n v="5.6"/>
    <x v="1"/>
    <n v="5"/>
    <n v="3"/>
    <n v="798179"/>
    <n v="364206"/>
    <n v="433973"/>
    <n v="29"/>
    <n v="59"/>
    <n v="7.7"/>
  </r>
  <r>
    <x v="14"/>
    <x v="14"/>
    <d v="2022-05-30T00:00:00"/>
    <s v="NA"/>
    <n v="0"/>
    <n v="33"/>
    <s v="21-40"/>
    <x v="0"/>
    <x v="0"/>
    <x v="0"/>
    <x v="1"/>
    <n v="1"/>
    <n v="1"/>
    <n v="5.8"/>
    <x v="13"/>
    <n v="4"/>
    <n v="5"/>
    <n v="797387"/>
    <n v="280634"/>
    <n v="516753"/>
    <n v="22"/>
    <n v="59"/>
    <n v="10.7"/>
  </r>
  <r>
    <x v="14"/>
    <x v="14"/>
    <d v="2024-10-22T00:00:00"/>
    <s v="NA"/>
    <n v="0"/>
    <n v="58"/>
    <s v="41-60"/>
    <x v="1"/>
    <x v="13"/>
    <x v="10"/>
    <x v="3"/>
    <n v="1"/>
    <n v="1"/>
    <n v="5.3"/>
    <x v="11"/>
    <n v="3"/>
    <n v="4"/>
    <n v="629331"/>
    <n v="71056"/>
    <n v="558275"/>
    <n v="20"/>
    <n v="62"/>
    <n v="14.8"/>
  </r>
  <r>
    <x v="14"/>
    <x v="14"/>
    <d v="2024-03-26T00:00:00"/>
    <s v="NA"/>
    <n v="0"/>
    <n v="78"/>
    <s v="61-80"/>
    <x v="1"/>
    <x v="11"/>
    <x v="8"/>
    <x v="1"/>
    <n v="1"/>
    <n v="1"/>
    <n v="1.9"/>
    <x v="26"/>
    <n v="6"/>
    <n v="5"/>
    <n v="742922"/>
    <n v="204134"/>
    <n v="538788"/>
    <n v="24"/>
    <n v="65"/>
    <n v="5.2"/>
  </r>
  <r>
    <x v="14"/>
    <x v="14"/>
    <d v="2021-11-22T00:00:00"/>
    <s v="NA"/>
    <n v="0"/>
    <n v="82"/>
    <s v="81+"/>
    <x v="1"/>
    <x v="7"/>
    <x v="5"/>
    <x v="1"/>
    <n v="1"/>
    <n v="1"/>
    <n v="2.5"/>
    <x v="8"/>
    <n v="4"/>
    <n v="3"/>
    <n v="672655"/>
    <n v="235748"/>
    <n v="436907"/>
    <n v="21"/>
    <n v="60"/>
    <n v="36.4"/>
  </r>
  <r>
    <x v="14"/>
    <x v="14"/>
    <d v="2021-05-25T00:00:00"/>
    <s v="NA"/>
    <n v="0"/>
    <n v="31"/>
    <s v="21-40"/>
    <x v="1"/>
    <x v="10"/>
    <x v="8"/>
    <x v="3"/>
    <n v="1"/>
    <n v="1"/>
    <n v="3.2"/>
    <x v="28"/>
    <n v="6"/>
    <n v="5"/>
    <n v="632130"/>
    <n v="148659"/>
    <n v="483471"/>
    <n v="30"/>
    <n v="61"/>
    <n v="5.7"/>
  </r>
  <r>
    <x v="14"/>
    <x v="14"/>
    <d v="2022-01-07T00:00:00"/>
    <s v="NA"/>
    <n v="0"/>
    <n v="54"/>
    <s v="41-60"/>
    <x v="1"/>
    <x v="6"/>
    <x v="4"/>
    <x v="4"/>
    <n v="1"/>
    <n v="1"/>
    <n v="2"/>
    <x v="1"/>
    <n v="5"/>
    <n v="7"/>
    <n v="694325"/>
    <n v="109782"/>
    <n v="584543"/>
    <n v="25"/>
    <n v="62"/>
    <n v="14.9"/>
  </r>
  <r>
    <x v="14"/>
    <x v="14"/>
    <d v="2024-05-24T00:00:00"/>
    <s v="NA"/>
    <n v="0"/>
    <n v="76"/>
    <s v="61-80"/>
    <x v="0"/>
    <x v="10"/>
    <x v="8"/>
    <x v="2"/>
    <n v="1"/>
    <n v="1"/>
    <n v="1.7"/>
    <x v="15"/>
    <n v="7"/>
    <n v="3"/>
    <n v="633736"/>
    <n v="52146"/>
    <n v="581590"/>
    <n v="29"/>
    <n v="64"/>
    <n v="12.7"/>
  </r>
  <r>
    <x v="14"/>
    <x v="14"/>
    <d v="2023-11-14T00:00:00"/>
    <s v="NA"/>
    <n v="0"/>
    <n v="73"/>
    <s v="61-80"/>
    <x v="0"/>
    <x v="5"/>
    <x v="0"/>
    <x v="0"/>
    <n v="1"/>
    <n v="1"/>
    <n v="6.7"/>
    <x v="27"/>
    <n v="4"/>
    <n v="6"/>
    <n v="788441"/>
    <n v="210139"/>
    <n v="578302"/>
    <n v="21"/>
    <n v="64"/>
    <n v="13.4"/>
  </r>
  <r>
    <x v="14"/>
    <x v="14"/>
    <d v="2022-01-30T00:00:00"/>
    <s v="NA"/>
    <n v="0"/>
    <n v="37"/>
    <s v="21-40"/>
    <x v="0"/>
    <x v="1"/>
    <x v="1"/>
    <x v="1"/>
    <n v="1"/>
    <n v="1"/>
    <n v="1.6"/>
    <x v="30"/>
    <n v="4"/>
    <n v="5"/>
    <n v="799566"/>
    <n v="228929"/>
    <n v="570637"/>
    <n v="27"/>
    <n v="61"/>
    <n v="8.9"/>
  </r>
  <r>
    <x v="14"/>
    <x v="14"/>
    <d v="2023-08-31T00:00:00"/>
    <s v="NA"/>
    <n v="0"/>
    <n v="45"/>
    <s v="41-60"/>
    <x v="1"/>
    <x v="12"/>
    <x v="9"/>
    <x v="4"/>
    <n v="1"/>
    <n v="1"/>
    <n v="4.5999999999999996"/>
    <x v="24"/>
    <n v="6"/>
    <n v="6"/>
    <n v="788074"/>
    <n v="254713"/>
    <n v="533361"/>
    <n v="21"/>
    <n v="58"/>
    <n v="7.5"/>
  </r>
  <r>
    <x v="14"/>
    <x v="14"/>
    <d v="2022-11-19T00:00:00"/>
    <s v="NA"/>
    <n v="0"/>
    <n v="56"/>
    <s v="41-60"/>
    <x v="1"/>
    <x v="6"/>
    <x v="4"/>
    <x v="3"/>
    <n v="1"/>
    <n v="1"/>
    <n v="1"/>
    <x v="2"/>
    <n v="7"/>
    <n v="3"/>
    <n v="770429"/>
    <n v="235580"/>
    <n v="534849"/>
    <n v="24"/>
    <n v="64"/>
    <n v="9.1"/>
  </r>
  <r>
    <x v="14"/>
    <x v="14"/>
    <d v="2021-06-21T00:00:00"/>
    <s v="NA"/>
    <n v="0"/>
    <n v="90"/>
    <s v="81+"/>
    <x v="0"/>
    <x v="0"/>
    <x v="0"/>
    <x v="3"/>
    <n v="1"/>
    <n v="1"/>
    <n v="2.6"/>
    <x v="18"/>
    <n v="5"/>
    <n v="3"/>
    <n v="605150"/>
    <n v="185599"/>
    <n v="419551"/>
    <n v="27"/>
    <n v="56"/>
    <n v="36.9"/>
  </r>
  <r>
    <x v="14"/>
    <x v="14"/>
    <d v="2021-02-16T00:00:00"/>
    <s v="NA"/>
    <n v="0"/>
    <n v="53"/>
    <s v="41-60"/>
    <x v="1"/>
    <x v="3"/>
    <x v="2"/>
    <x v="1"/>
    <n v="1"/>
    <n v="1"/>
    <n v="6.8"/>
    <x v="10"/>
    <n v="4"/>
    <n v="5"/>
    <n v="779560"/>
    <n v="363700"/>
    <n v="415860"/>
    <n v="27"/>
    <n v="61"/>
    <n v="8.4"/>
  </r>
  <r>
    <x v="14"/>
    <x v="14"/>
    <d v="2024-10-09T00:00:00"/>
    <s v="NA"/>
    <n v="0"/>
    <n v="64"/>
    <s v="61-80"/>
    <x v="0"/>
    <x v="2"/>
    <x v="1"/>
    <x v="0"/>
    <n v="1"/>
    <n v="1"/>
    <n v="2.2999999999999998"/>
    <x v="10"/>
    <n v="6"/>
    <n v="6"/>
    <n v="616475"/>
    <n v="59252"/>
    <n v="557223"/>
    <n v="24"/>
    <n v="66"/>
    <n v="13.6"/>
  </r>
  <r>
    <x v="14"/>
    <x v="14"/>
    <d v="2023-10-24T00:00:00"/>
    <s v="NA"/>
    <n v="0"/>
    <n v="72"/>
    <s v="61-80"/>
    <x v="0"/>
    <x v="6"/>
    <x v="4"/>
    <x v="2"/>
    <n v="1"/>
    <n v="1"/>
    <n v="3.5"/>
    <x v="4"/>
    <n v="4"/>
    <n v="5"/>
    <n v="781048"/>
    <n v="295680"/>
    <n v="485368"/>
    <n v="28"/>
    <n v="59"/>
    <n v="12.1"/>
  </r>
  <r>
    <x v="14"/>
    <x v="14"/>
    <d v="2023-11-05T00:00:00"/>
    <s v="NA"/>
    <n v="0"/>
    <n v="35"/>
    <s v="21-40"/>
    <x v="1"/>
    <x v="3"/>
    <x v="2"/>
    <x v="2"/>
    <n v="1"/>
    <n v="1"/>
    <n v="3.5"/>
    <x v="27"/>
    <n v="5"/>
    <n v="4"/>
    <n v="612879"/>
    <n v="208303"/>
    <n v="404576"/>
    <n v="29"/>
    <n v="57"/>
    <n v="12.6"/>
  </r>
  <r>
    <x v="14"/>
    <x v="14"/>
    <d v="2021-08-05T00:00:00"/>
    <s v="NA"/>
    <n v="0"/>
    <n v="42"/>
    <s v="41-60"/>
    <x v="0"/>
    <x v="6"/>
    <x v="4"/>
    <x v="0"/>
    <n v="1"/>
    <n v="1"/>
    <n v="5.6"/>
    <x v="18"/>
    <n v="7"/>
    <n v="6"/>
    <n v="623660"/>
    <n v="131157"/>
    <n v="492503"/>
    <n v="20"/>
    <n v="56"/>
    <n v="6.3"/>
  </r>
  <r>
    <x v="14"/>
    <x v="14"/>
    <d v="2024-05-11T00:00:00"/>
    <s v="NA"/>
    <n v="0"/>
    <n v="31"/>
    <s v="21-40"/>
    <x v="1"/>
    <x v="12"/>
    <x v="9"/>
    <x v="1"/>
    <n v="1"/>
    <n v="1"/>
    <n v="2.4"/>
    <x v="3"/>
    <n v="7"/>
    <n v="6"/>
    <n v="769095"/>
    <n v="313600"/>
    <n v="455495"/>
    <n v="24"/>
    <n v="61"/>
    <n v="12.9"/>
  </r>
  <r>
    <x v="14"/>
    <x v="14"/>
    <d v="2021-07-19T00:00:00"/>
    <s v="NA"/>
    <n v="0"/>
    <n v="22"/>
    <s v="21-40"/>
    <x v="1"/>
    <x v="12"/>
    <x v="9"/>
    <x v="0"/>
    <n v="1"/>
    <n v="1"/>
    <n v="3"/>
    <x v="9"/>
    <n v="7"/>
    <n v="3"/>
    <n v="660663"/>
    <n v="195789"/>
    <n v="464874"/>
    <n v="29"/>
    <n v="63"/>
    <n v="8.4"/>
  </r>
  <r>
    <x v="14"/>
    <x v="14"/>
    <d v="2022-07-29T00:00:00"/>
    <s v="NA"/>
    <n v="0"/>
    <n v="29"/>
    <s v="21-40"/>
    <x v="1"/>
    <x v="3"/>
    <x v="2"/>
    <x v="0"/>
    <n v="1"/>
    <n v="1"/>
    <n v="2"/>
    <x v="9"/>
    <n v="6"/>
    <n v="3"/>
    <n v="766709"/>
    <n v="183967"/>
    <n v="582742"/>
    <n v="21"/>
    <n v="64"/>
    <n v="10.1"/>
  </r>
  <r>
    <x v="14"/>
    <x v="14"/>
    <d v="2022-07-25T00:00:00"/>
    <s v="NA"/>
    <n v="0"/>
    <n v="41"/>
    <s v="41-60"/>
    <x v="1"/>
    <x v="4"/>
    <x v="3"/>
    <x v="2"/>
    <n v="1"/>
    <n v="1"/>
    <n v="4.3"/>
    <x v="7"/>
    <n v="4"/>
    <n v="4"/>
    <n v="701725"/>
    <n v="142107"/>
    <n v="559618"/>
    <n v="27"/>
    <n v="60"/>
    <n v="7.2"/>
  </r>
  <r>
    <x v="14"/>
    <x v="14"/>
    <d v="2022-08-28T00:00:00"/>
    <s v="NA"/>
    <n v="0"/>
    <n v="82"/>
    <s v="81+"/>
    <x v="0"/>
    <x v="6"/>
    <x v="4"/>
    <x v="4"/>
    <n v="1"/>
    <n v="1"/>
    <n v="6.3"/>
    <x v="23"/>
    <n v="6"/>
    <n v="7"/>
    <n v="763589"/>
    <n v="186672"/>
    <n v="576917"/>
    <n v="22"/>
    <n v="62"/>
    <n v="6.2"/>
  </r>
  <r>
    <x v="14"/>
    <x v="14"/>
    <d v="2024-11-11T00:00:00"/>
    <s v="NA"/>
    <n v="0"/>
    <n v="42"/>
    <s v="41-60"/>
    <x v="1"/>
    <x v="4"/>
    <x v="3"/>
    <x v="4"/>
    <n v="1"/>
    <n v="1"/>
    <n v="6.5"/>
    <x v="2"/>
    <n v="6"/>
    <n v="4"/>
    <n v="608109"/>
    <n v="169573"/>
    <n v="438536"/>
    <n v="23"/>
    <n v="57"/>
    <n v="7.5"/>
  </r>
  <r>
    <x v="0"/>
    <x v="0"/>
    <d v="2022-06-24T00:00:00"/>
    <s v="NA"/>
    <n v="0"/>
    <n v="44"/>
    <s v="41-60"/>
    <x v="1"/>
    <x v="3"/>
    <x v="2"/>
    <x v="4"/>
    <n v="1"/>
    <n v="1"/>
    <n v="6.9"/>
    <x v="26"/>
    <n v="7"/>
    <n v="5"/>
    <n v="615024"/>
    <n v="361405"/>
    <n v="253619"/>
    <n v="26"/>
    <n v="64"/>
    <n v="8.1"/>
  </r>
  <r>
    <x v="14"/>
    <x v="14"/>
    <d v="2022-06-26T00:00:00"/>
    <s v="NA"/>
    <n v="0"/>
    <n v="55"/>
    <s v="41-60"/>
    <x v="1"/>
    <x v="11"/>
    <x v="8"/>
    <x v="3"/>
    <n v="1"/>
    <n v="1"/>
    <n v="6.7"/>
    <x v="0"/>
    <n v="3"/>
    <n v="5"/>
    <n v="788442"/>
    <n v="275303"/>
    <n v="513139"/>
    <n v="25"/>
    <n v="58"/>
    <n v="6"/>
  </r>
  <r>
    <x v="14"/>
    <x v="14"/>
    <d v="2024-05-29T00:00:00"/>
    <s v="NA"/>
    <n v="0"/>
    <n v="47"/>
    <s v="41-60"/>
    <x v="1"/>
    <x v="6"/>
    <x v="4"/>
    <x v="3"/>
    <n v="1"/>
    <n v="1"/>
    <n v="3.8"/>
    <x v="7"/>
    <n v="6"/>
    <n v="6"/>
    <n v="696984"/>
    <n v="296785"/>
    <n v="400199"/>
    <n v="29"/>
    <n v="56"/>
    <n v="13.1"/>
  </r>
  <r>
    <x v="14"/>
    <x v="14"/>
    <d v="2024-09-10T00:00:00"/>
    <s v="NA"/>
    <n v="0"/>
    <n v="49"/>
    <s v="41-60"/>
    <x v="1"/>
    <x v="4"/>
    <x v="3"/>
    <x v="2"/>
    <n v="1"/>
    <n v="1"/>
    <n v="1.3"/>
    <x v="21"/>
    <n v="3"/>
    <n v="4"/>
    <n v="692825"/>
    <n v="286993"/>
    <n v="405832"/>
    <n v="24"/>
    <n v="63"/>
    <n v="6.5"/>
  </r>
  <r>
    <x v="0"/>
    <x v="0"/>
    <d v="2021-01-22T00:00:00"/>
    <s v="NA"/>
    <n v="0"/>
    <n v="29"/>
    <s v="21-40"/>
    <x v="1"/>
    <x v="13"/>
    <x v="10"/>
    <x v="0"/>
    <n v="1"/>
    <n v="1"/>
    <n v="4.3"/>
    <x v="27"/>
    <n v="4"/>
    <n v="6"/>
    <n v="991939"/>
    <n v="602103"/>
    <n v="389836"/>
    <n v="27"/>
    <n v="54"/>
    <n v="36.5"/>
  </r>
  <r>
    <x v="14"/>
    <x v="14"/>
    <d v="2021-08-10T00:00:00"/>
    <s v="NA"/>
    <n v="0"/>
    <n v="43"/>
    <s v="41-60"/>
    <x v="1"/>
    <x v="13"/>
    <x v="10"/>
    <x v="0"/>
    <n v="1"/>
    <n v="1"/>
    <n v="6.6"/>
    <x v="1"/>
    <n v="3"/>
    <n v="6"/>
    <n v="633659"/>
    <n v="96725"/>
    <n v="536934"/>
    <n v="23"/>
    <n v="65"/>
    <n v="36.6"/>
  </r>
  <r>
    <x v="14"/>
    <x v="14"/>
    <d v="2021-03-05T00:00:00"/>
    <s v="NA"/>
    <n v="0"/>
    <n v="42"/>
    <s v="41-60"/>
    <x v="1"/>
    <x v="10"/>
    <x v="8"/>
    <x v="2"/>
    <n v="1"/>
    <n v="1"/>
    <n v="2.6"/>
    <x v="20"/>
    <n v="5"/>
    <n v="7"/>
    <n v="717637"/>
    <n v="315568"/>
    <n v="402069"/>
    <n v="23"/>
    <n v="60"/>
    <n v="14.5"/>
  </r>
  <r>
    <x v="14"/>
    <x v="14"/>
    <d v="2022-09-26T00:00:00"/>
    <s v="NA"/>
    <n v="0"/>
    <n v="36"/>
    <s v="21-40"/>
    <x v="0"/>
    <x v="4"/>
    <x v="3"/>
    <x v="0"/>
    <n v="1"/>
    <n v="1"/>
    <n v="5.2"/>
    <x v="28"/>
    <n v="6"/>
    <n v="4"/>
    <n v="763443"/>
    <n v="214393"/>
    <n v="549050"/>
    <n v="21"/>
    <n v="63"/>
    <n v="12.7"/>
  </r>
  <r>
    <x v="14"/>
    <x v="14"/>
    <d v="2023-01-11T00:00:00"/>
    <s v="NA"/>
    <n v="0"/>
    <n v="23"/>
    <s v="21-40"/>
    <x v="1"/>
    <x v="2"/>
    <x v="1"/>
    <x v="3"/>
    <n v="1"/>
    <n v="1"/>
    <n v="4.8"/>
    <x v="28"/>
    <n v="5"/>
    <n v="7"/>
    <n v="620891"/>
    <n v="189432"/>
    <n v="431459"/>
    <n v="26"/>
    <n v="58"/>
    <n v="14.7"/>
  </r>
  <r>
    <x v="14"/>
    <x v="14"/>
    <d v="2021-12-05T00:00:00"/>
    <s v="NA"/>
    <n v="0"/>
    <n v="46"/>
    <s v="41-60"/>
    <x v="0"/>
    <x v="1"/>
    <x v="1"/>
    <x v="2"/>
    <n v="1"/>
    <n v="1"/>
    <n v="5.6"/>
    <x v="24"/>
    <n v="5"/>
    <n v="5"/>
    <n v="662178"/>
    <n v="232410"/>
    <n v="429768"/>
    <n v="23"/>
    <n v="56"/>
    <n v="5.7"/>
  </r>
  <r>
    <x v="14"/>
    <x v="14"/>
    <d v="2021-12-22T00:00:00"/>
    <s v="NA"/>
    <n v="0"/>
    <n v="63"/>
    <s v="61-80"/>
    <x v="1"/>
    <x v="7"/>
    <x v="5"/>
    <x v="4"/>
    <n v="1"/>
    <n v="1"/>
    <n v="1.9"/>
    <x v="29"/>
    <n v="3"/>
    <n v="6"/>
    <n v="789828"/>
    <n v="280092"/>
    <n v="509736"/>
    <n v="21"/>
    <n v="60"/>
    <n v="10.199999999999999"/>
  </r>
  <r>
    <x v="14"/>
    <x v="14"/>
    <d v="2024-11-19T00:00:00"/>
    <s v="NA"/>
    <n v="0"/>
    <n v="29"/>
    <s v="21-40"/>
    <x v="0"/>
    <x v="0"/>
    <x v="0"/>
    <x v="1"/>
    <n v="1"/>
    <n v="1"/>
    <n v="3.6"/>
    <x v="19"/>
    <n v="6"/>
    <n v="4"/>
    <n v="793566"/>
    <n v="314286"/>
    <n v="479280"/>
    <n v="26"/>
    <n v="62"/>
    <n v="8.6"/>
  </r>
  <r>
    <x v="0"/>
    <x v="0"/>
    <d v="2024-12-02T00:00:00"/>
    <s v="NA"/>
    <n v="0"/>
    <n v="23"/>
    <s v="21-40"/>
    <x v="0"/>
    <x v="0"/>
    <x v="0"/>
    <x v="2"/>
    <n v="1"/>
    <n v="1"/>
    <n v="2.8"/>
    <x v="29"/>
    <n v="5"/>
    <n v="6"/>
    <n v="896552"/>
    <n v="423909"/>
    <n v="472643"/>
    <n v="32"/>
    <n v="59"/>
    <n v="12.5"/>
  </r>
  <r>
    <x v="0"/>
    <x v="0"/>
    <d v="2023-02-07T00:00:00"/>
    <s v="NA"/>
    <n v="0"/>
    <n v="31"/>
    <s v="21-40"/>
    <x v="1"/>
    <x v="2"/>
    <x v="1"/>
    <x v="1"/>
    <n v="1"/>
    <n v="1"/>
    <n v="4.5"/>
    <x v="16"/>
    <n v="5"/>
    <n v="6"/>
    <n v="963066"/>
    <n v="750014"/>
    <n v="213052"/>
    <n v="33"/>
    <n v="54"/>
    <n v="13.1"/>
  </r>
  <r>
    <x v="14"/>
    <x v="14"/>
    <d v="2021-06-13T00:00:00"/>
    <s v="NA"/>
    <n v="0"/>
    <n v="62"/>
    <s v="61-80"/>
    <x v="1"/>
    <x v="10"/>
    <x v="8"/>
    <x v="2"/>
    <n v="1"/>
    <n v="1"/>
    <n v="6.8"/>
    <x v="0"/>
    <n v="4"/>
    <n v="3"/>
    <n v="715536"/>
    <n v="311177"/>
    <n v="404359"/>
    <n v="24"/>
    <n v="58"/>
    <n v="12.2"/>
  </r>
  <r>
    <x v="14"/>
    <x v="14"/>
    <d v="2023-03-05T00:00:00"/>
    <s v="NA"/>
    <n v="0"/>
    <n v="57"/>
    <s v="41-60"/>
    <x v="1"/>
    <x v="6"/>
    <x v="4"/>
    <x v="0"/>
    <n v="1"/>
    <n v="1"/>
    <n v="4.2"/>
    <x v="21"/>
    <n v="7"/>
    <n v="3"/>
    <n v="779900"/>
    <n v="340222"/>
    <n v="439678"/>
    <n v="29"/>
    <n v="62"/>
    <n v="9.6999999999999993"/>
  </r>
  <r>
    <x v="14"/>
    <x v="14"/>
    <d v="2022-03-10T00:00:00"/>
    <s v="NA"/>
    <n v="0"/>
    <n v="37"/>
    <s v="21-40"/>
    <x v="0"/>
    <x v="0"/>
    <x v="0"/>
    <x v="1"/>
    <n v="1"/>
    <n v="1"/>
    <n v="4.3"/>
    <x v="23"/>
    <n v="5"/>
    <n v="4"/>
    <n v="649698"/>
    <n v="66763"/>
    <n v="582935"/>
    <n v="27"/>
    <n v="54"/>
    <n v="12.5"/>
  </r>
  <r>
    <x v="14"/>
    <x v="14"/>
    <d v="2023-09-06T00:00:00"/>
    <s v="NA"/>
    <n v="0"/>
    <n v="74"/>
    <s v="61-80"/>
    <x v="1"/>
    <x v="11"/>
    <x v="8"/>
    <x v="4"/>
    <n v="1"/>
    <n v="1"/>
    <n v="2.2999999999999998"/>
    <x v="22"/>
    <n v="3"/>
    <n v="7"/>
    <n v="750813"/>
    <n v="291288"/>
    <n v="459525"/>
    <n v="28"/>
    <n v="58"/>
    <n v="12.2"/>
  </r>
  <r>
    <x v="14"/>
    <x v="14"/>
    <d v="2022-07-13T00:00:00"/>
    <s v="NA"/>
    <n v="0"/>
    <n v="81"/>
    <s v="81+"/>
    <x v="0"/>
    <x v="13"/>
    <x v="10"/>
    <x v="0"/>
    <n v="1"/>
    <n v="1"/>
    <n v="5.3"/>
    <x v="7"/>
    <n v="5"/>
    <n v="4"/>
    <n v="773932"/>
    <n v="322096"/>
    <n v="451836"/>
    <n v="21"/>
    <n v="62"/>
    <n v="8.9"/>
  </r>
  <r>
    <x v="14"/>
    <x v="14"/>
    <d v="2021-02-24T00:00:00"/>
    <s v="NA"/>
    <n v="0"/>
    <n v="83"/>
    <s v="81+"/>
    <x v="1"/>
    <x v="3"/>
    <x v="2"/>
    <x v="4"/>
    <n v="1"/>
    <n v="1"/>
    <n v="4.2"/>
    <x v="4"/>
    <n v="5"/>
    <n v="7"/>
    <n v="772049"/>
    <n v="206067"/>
    <n v="565982"/>
    <n v="28"/>
    <n v="56"/>
    <n v="9.6999999999999993"/>
  </r>
  <r>
    <x v="14"/>
    <x v="14"/>
    <d v="2021-11-13T00:00:00"/>
    <s v="NA"/>
    <n v="0"/>
    <n v="80"/>
    <s v="61-80"/>
    <x v="1"/>
    <x v="6"/>
    <x v="4"/>
    <x v="2"/>
    <n v="1"/>
    <n v="1"/>
    <n v="5.2"/>
    <x v="15"/>
    <n v="3"/>
    <n v="3"/>
    <n v="738268"/>
    <n v="309532"/>
    <n v="428736"/>
    <n v="28"/>
    <n v="61"/>
    <n v="14.7"/>
  </r>
  <r>
    <x v="14"/>
    <x v="14"/>
    <d v="2021-06-23T00:00:00"/>
    <s v="NA"/>
    <n v="0"/>
    <n v="55"/>
    <s v="41-60"/>
    <x v="1"/>
    <x v="4"/>
    <x v="3"/>
    <x v="1"/>
    <n v="1"/>
    <n v="1"/>
    <n v="6.8"/>
    <x v="24"/>
    <n v="5"/>
    <n v="3"/>
    <n v="665084"/>
    <n v="116889"/>
    <n v="548195"/>
    <n v="25"/>
    <n v="58"/>
    <n v="6.7"/>
  </r>
  <r>
    <x v="14"/>
    <x v="14"/>
    <d v="2022-02-03T00:00:00"/>
    <s v="NA"/>
    <n v="0"/>
    <n v="55"/>
    <s v="41-60"/>
    <x v="1"/>
    <x v="3"/>
    <x v="2"/>
    <x v="1"/>
    <n v="1"/>
    <n v="1"/>
    <n v="1.6"/>
    <x v="1"/>
    <n v="3"/>
    <n v="3"/>
    <n v="764707"/>
    <n v="287900"/>
    <n v="476807"/>
    <n v="30"/>
    <n v="58"/>
    <n v="8.3000000000000007"/>
  </r>
  <r>
    <x v="14"/>
    <x v="14"/>
    <d v="2022-07-04T00:00:00"/>
    <s v="NA"/>
    <n v="0"/>
    <n v="47"/>
    <s v="41-60"/>
    <x v="1"/>
    <x v="11"/>
    <x v="8"/>
    <x v="4"/>
    <n v="1"/>
    <n v="1"/>
    <n v="4.5"/>
    <x v="15"/>
    <n v="7"/>
    <n v="7"/>
    <n v="796078"/>
    <n v="296083"/>
    <n v="499995"/>
    <n v="30"/>
    <n v="57"/>
    <n v="5.6"/>
  </r>
  <r>
    <x v="14"/>
    <x v="14"/>
    <d v="2023-07-21T00:00:00"/>
    <s v="NA"/>
    <n v="0"/>
    <n v="28"/>
    <s v="21-40"/>
    <x v="0"/>
    <x v="0"/>
    <x v="0"/>
    <x v="2"/>
    <n v="1"/>
    <n v="1"/>
    <n v="2.2000000000000002"/>
    <x v="0"/>
    <n v="6"/>
    <n v="6"/>
    <n v="658186"/>
    <n v="144744"/>
    <n v="513442"/>
    <n v="20"/>
    <n v="58"/>
    <n v="6.3"/>
  </r>
  <r>
    <x v="14"/>
    <x v="14"/>
    <d v="2021-07-08T00:00:00"/>
    <s v="NA"/>
    <n v="0"/>
    <n v="39"/>
    <s v="21-40"/>
    <x v="1"/>
    <x v="10"/>
    <x v="8"/>
    <x v="4"/>
    <n v="1"/>
    <n v="1"/>
    <n v="5.0999999999999996"/>
    <x v="4"/>
    <n v="5"/>
    <n v="6"/>
    <n v="669026"/>
    <n v="223052"/>
    <n v="445974"/>
    <n v="24"/>
    <n v="55"/>
    <n v="14.8"/>
  </r>
  <r>
    <x v="14"/>
    <x v="14"/>
    <d v="2022-01-06T00:00:00"/>
    <s v="NA"/>
    <n v="0"/>
    <n v="77"/>
    <s v="61-80"/>
    <x v="0"/>
    <x v="0"/>
    <x v="0"/>
    <x v="1"/>
    <n v="1"/>
    <n v="1"/>
    <n v="6.1"/>
    <x v="8"/>
    <n v="3"/>
    <n v="5"/>
    <n v="687596"/>
    <n v="238947"/>
    <n v="448649"/>
    <n v="20"/>
    <n v="56"/>
    <n v="8.9"/>
  </r>
  <r>
    <x v="14"/>
    <x v="14"/>
    <d v="2023-08-03T00:00:00"/>
    <s v="NA"/>
    <n v="0"/>
    <n v="48"/>
    <s v="41-60"/>
    <x v="1"/>
    <x v="4"/>
    <x v="3"/>
    <x v="2"/>
    <n v="1"/>
    <n v="1"/>
    <n v="1.5"/>
    <x v="20"/>
    <n v="6"/>
    <n v="4"/>
    <n v="776410"/>
    <n v="187455"/>
    <n v="588955"/>
    <n v="27"/>
    <n v="59"/>
    <n v="12.9"/>
  </r>
  <r>
    <x v="14"/>
    <x v="14"/>
    <d v="2023-08-23T00:00:00"/>
    <s v="NA"/>
    <n v="0"/>
    <n v="72"/>
    <s v="61-80"/>
    <x v="0"/>
    <x v="10"/>
    <x v="8"/>
    <x v="0"/>
    <n v="1"/>
    <n v="1"/>
    <n v="1.1000000000000001"/>
    <x v="18"/>
    <n v="3"/>
    <n v="5"/>
    <n v="653686"/>
    <n v="214007"/>
    <n v="439679"/>
    <n v="30"/>
    <n v="65"/>
    <n v="5.9"/>
  </r>
  <r>
    <x v="14"/>
    <x v="14"/>
    <d v="2023-01-01T00:00:00"/>
    <s v="NA"/>
    <n v="0"/>
    <n v="34"/>
    <s v="21-40"/>
    <x v="1"/>
    <x v="2"/>
    <x v="1"/>
    <x v="3"/>
    <n v="1"/>
    <n v="1"/>
    <n v="2.5"/>
    <x v="25"/>
    <n v="7"/>
    <n v="4"/>
    <n v="747479"/>
    <n v="217846"/>
    <n v="529633"/>
    <n v="29"/>
    <n v="54"/>
    <n v="36.200000000000003"/>
  </r>
  <r>
    <x v="14"/>
    <x v="14"/>
    <d v="2024-05-27T00:00:00"/>
    <s v="NA"/>
    <n v="0"/>
    <n v="36"/>
    <s v="21-40"/>
    <x v="0"/>
    <x v="0"/>
    <x v="0"/>
    <x v="1"/>
    <n v="1"/>
    <n v="1"/>
    <n v="6.6"/>
    <x v="25"/>
    <n v="6"/>
    <n v="6"/>
    <n v="687557"/>
    <n v="167324"/>
    <n v="520233"/>
    <n v="22"/>
    <n v="58"/>
    <n v="36"/>
  </r>
  <r>
    <x v="14"/>
    <x v="14"/>
    <d v="2024-09-22T00:00:00"/>
    <s v="NA"/>
    <n v="0"/>
    <n v="44"/>
    <s v="41-60"/>
    <x v="0"/>
    <x v="5"/>
    <x v="0"/>
    <x v="3"/>
    <n v="1"/>
    <n v="1"/>
    <n v="3.4"/>
    <x v="28"/>
    <n v="4"/>
    <n v="6"/>
    <n v="674462"/>
    <n v="208492"/>
    <n v="465970"/>
    <n v="23"/>
    <n v="64"/>
    <n v="12.3"/>
  </r>
  <r>
    <x v="14"/>
    <x v="14"/>
    <d v="2021-01-20T00:00:00"/>
    <s v="NA"/>
    <n v="0"/>
    <n v="40"/>
    <s v="21-40"/>
    <x v="1"/>
    <x v="6"/>
    <x v="4"/>
    <x v="0"/>
    <n v="1"/>
    <n v="1"/>
    <n v="4.5999999999999996"/>
    <x v="23"/>
    <n v="3"/>
    <n v="6"/>
    <n v="794899"/>
    <n v="373083"/>
    <n v="421816"/>
    <n v="28"/>
    <n v="60"/>
    <n v="8.6999999999999993"/>
  </r>
  <r>
    <x v="14"/>
    <x v="14"/>
    <d v="2022-06-26T00:00:00"/>
    <s v="NA"/>
    <n v="0"/>
    <n v="25"/>
    <s v="21-40"/>
    <x v="0"/>
    <x v="0"/>
    <x v="0"/>
    <x v="3"/>
    <n v="1"/>
    <n v="1"/>
    <n v="5.9"/>
    <x v="2"/>
    <n v="6"/>
    <n v="5"/>
    <n v="658389"/>
    <n v="236070"/>
    <n v="422319"/>
    <n v="21"/>
    <n v="59"/>
    <n v="8.6"/>
  </r>
  <r>
    <x v="14"/>
    <x v="14"/>
    <d v="2023-06-18T00:00:00"/>
    <s v="NA"/>
    <n v="0"/>
    <n v="50"/>
    <s v="41-60"/>
    <x v="1"/>
    <x v="10"/>
    <x v="8"/>
    <x v="1"/>
    <n v="1"/>
    <n v="1"/>
    <n v="6.9"/>
    <x v="24"/>
    <n v="6"/>
    <n v="4"/>
    <n v="775949"/>
    <n v="371636"/>
    <n v="404313"/>
    <n v="28"/>
    <n v="63"/>
    <n v="15"/>
  </r>
  <r>
    <x v="14"/>
    <x v="14"/>
    <d v="2022-07-08T00:00:00"/>
    <s v="NA"/>
    <n v="0"/>
    <n v="32"/>
    <s v="21-40"/>
    <x v="0"/>
    <x v="6"/>
    <x v="4"/>
    <x v="2"/>
    <n v="1"/>
    <n v="1"/>
    <n v="5.8"/>
    <x v="29"/>
    <n v="4"/>
    <n v="3"/>
    <n v="737922"/>
    <n v="159643"/>
    <n v="578279"/>
    <n v="25"/>
    <n v="62"/>
    <n v="9.1"/>
  </r>
  <r>
    <x v="14"/>
    <x v="14"/>
    <d v="2021-06-10T00:00:00"/>
    <s v="NA"/>
    <n v="0"/>
    <n v="22"/>
    <s v="21-40"/>
    <x v="0"/>
    <x v="10"/>
    <x v="8"/>
    <x v="1"/>
    <n v="1"/>
    <n v="1"/>
    <n v="4.0999999999999996"/>
    <x v="10"/>
    <n v="6"/>
    <n v="4"/>
    <n v="623623"/>
    <n v="209814"/>
    <n v="413809"/>
    <n v="30"/>
    <n v="60"/>
    <n v="8.4"/>
  </r>
  <r>
    <x v="14"/>
    <x v="14"/>
    <d v="2021-02-21T00:00:00"/>
    <s v="NA"/>
    <n v="0"/>
    <n v="59"/>
    <s v="41-60"/>
    <x v="0"/>
    <x v="0"/>
    <x v="0"/>
    <x v="3"/>
    <n v="1"/>
    <n v="1"/>
    <n v="4.0999999999999996"/>
    <x v="15"/>
    <n v="4"/>
    <n v="5"/>
    <n v="735814"/>
    <n v="276933"/>
    <n v="458881"/>
    <n v="28"/>
    <n v="57"/>
    <n v="36.200000000000003"/>
  </r>
  <r>
    <x v="14"/>
    <x v="14"/>
    <d v="2021-02-01T00:00:00"/>
    <s v="NA"/>
    <n v="0"/>
    <n v="72"/>
    <s v="61-80"/>
    <x v="1"/>
    <x v="12"/>
    <x v="9"/>
    <x v="2"/>
    <n v="1"/>
    <n v="1"/>
    <n v="3.2"/>
    <x v="16"/>
    <n v="6"/>
    <n v="6"/>
    <n v="695742"/>
    <n v="124808"/>
    <n v="570934"/>
    <n v="26"/>
    <n v="54"/>
    <n v="8.8000000000000007"/>
  </r>
  <r>
    <x v="14"/>
    <x v="14"/>
    <d v="2022-01-14T00:00:00"/>
    <s v="NA"/>
    <n v="0"/>
    <n v="42"/>
    <s v="41-60"/>
    <x v="1"/>
    <x v="10"/>
    <x v="8"/>
    <x v="0"/>
    <n v="1"/>
    <n v="1"/>
    <n v="5"/>
    <x v="12"/>
    <n v="5"/>
    <n v="5"/>
    <n v="659297"/>
    <n v="244894"/>
    <n v="414403"/>
    <n v="27"/>
    <n v="66"/>
    <n v="10.9"/>
  </r>
  <r>
    <x v="14"/>
    <x v="14"/>
    <d v="2022-02-20T00:00:00"/>
    <s v="NA"/>
    <n v="0"/>
    <n v="86"/>
    <s v="81+"/>
    <x v="1"/>
    <x v="11"/>
    <x v="8"/>
    <x v="3"/>
    <n v="1"/>
    <n v="1"/>
    <n v="2.7"/>
    <x v="12"/>
    <n v="7"/>
    <n v="7"/>
    <n v="703048"/>
    <n v="157384"/>
    <n v="545664"/>
    <n v="27"/>
    <n v="59"/>
    <n v="10.6"/>
  </r>
  <r>
    <x v="14"/>
    <x v="14"/>
    <d v="2024-09-17T00:00:00"/>
    <s v="NA"/>
    <n v="0"/>
    <n v="80"/>
    <s v="61-80"/>
    <x v="0"/>
    <x v="0"/>
    <x v="0"/>
    <x v="4"/>
    <n v="1"/>
    <n v="1"/>
    <n v="3"/>
    <x v="21"/>
    <n v="7"/>
    <n v="5"/>
    <n v="772265"/>
    <n v="280208"/>
    <n v="492057"/>
    <n v="28"/>
    <n v="58"/>
    <n v="10.199999999999999"/>
  </r>
  <r>
    <x v="14"/>
    <x v="14"/>
    <d v="2023-06-23T00:00:00"/>
    <s v="NA"/>
    <n v="0"/>
    <n v="35"/>
    <s v="21-40"/>
    <x v="1"/>
    <x v="4"/>
    <x v="3"/>
    <x v="4"/>
    <n v="1"/>
    <n v="1"/>
    <n v="1.8"/>
    <x v="8"/>
    <n v="6"/>
    <n v="6"/>
    <n v="672929"/>
    <n v="127434"/>
    <n v="545495"/>
    <n v="22"/>
    <n v="59"/>
    <n v="14.1"/>
  </r>
  <r>
    <x v="14"/>
    <x v="14"/>
    <d v="2022-01-25T00:00:00"/>
    <s v="NA"/>
    <n v="0"/>
    <n v="29"/>
    <s v="21-40"/>
    <x v="1"/>
    <x v="9"/>
    <x v="7"/>
    <x v="0"/>
    <n v="1"/>
    <n v="1"/>
    <n v="1.4"/>
    <x v="16"/>
    <n v="5"/>
    <n v="3"/>
    <n v="733154"/>
    <n v="196735"/>
    <n v="536419"/>
    <n v="28"/>
    <n v="54"/>
    <n v="9.1999999999999993"/>
  </r>
  <r>
    <x v="14"/>
    <x v="14"/>
    <d v="2021-08-22T00:00:00"/>
    <s v="NA"/>
    <n v="0"/>
    <n v="29"/>
    <s v="21-40"/>
    <x v="0"/>
    <x v="7"/>
    <x v="5"/>
    <x v="4"/>
    <n v="1"/>
    <n v="1"/>
    <n v="4"/>
    <x v="14"/>
    <n v="6"/>
    <n v="4"/>
    <n v="716518"/>
    <n v="141087"/>
    <n v="575431"/>
    <n v="30"/>
    <n v="58"/>
    <n v="9.6"/>
  </r>
  <r>
    <x v="14"/>
    <x v="14"/>
    <d v="2024-05-20T00:00:00"/>
    <s v="NA"/>
    <n v="0"/>
    <n v="59"/>
    <s v="41-60"/>
    <x v="1"/>
    <x v="3"/>
    <x v="2"/>
    <x v="1"/>
    <n v="1"/>
    <n v="1"/>
    <n v="6.5"/>
    <x v="0"/>
    <n v="7"/>
    <n v="5"/>
    <n v="761549"/>
    <n v="189928"/>
    <n v="571621"/>
    <n v="29"/>
    <n v="62"/>
    <n v="8.1"/>
  </r>
  <r>
    <x v="14"/>
    <x v="14"/>
    <d v="2022-10-17T00:00:00"/>
    <s v="NA"/>
    <n v="0"/>
    <n v="82"/>
    <s v="81+"/>
    <x v="1"/>
    <x v="3"/>
    <x v="2"/>
    <x v="0"/>
    <n v="1"/>
    <n v="1"/>
    <n v="1.5"/>
    <x v="10"/>
    <n v="4"/>
    <n v="4"/>
    <n v="692238"/>
    <n v="217164"/>
    <n v="475074"/>
    <n v="25"/>
    <n v="63"/>
    <n v="36.200000000000003"/>
  </r>
  <r>
    <x v="14"/>
    <x v="14"/>
    <d v="2022-03-29T00:00:00"/>
    <s v="NA"/>
    <n v="0"/>
    <n v="30"/>
    <s v="21-40"/>
    <x v="1"/>
    <x v="2"/>
    <x v="1"/>
    <x v="2"/>
    <n v="1"/>
    <n v="1"/>
    <n v="6.2"/>
    <x v="18"/>
    <n v="5"/>
    <n v="5"/>
    <n v="724957"/>
    <n v="228755"/>
    <n v="496202"/>
    <n v="29"/>
    <n v="66"/>
    <n v="36.200000000000003"/>
  </r>
  <r>
    <x v="14"/>
    <x v="14"/>
    <d v="2022-03-28T00:00:00"/>
    <s v="NA"/>
    <n v="0"/>
    <n v="90"/>
    <s v="81+"/>
    <x v="0"/>
    <x v="0"/>
    <x v="0"/>
    <x v="3"/>
    <n v="1"/>
    <n v="1"/>
    <n v="1.1000000000000001"/>
    <x v="29"/>
    <n v="3"/>
    <n v="4"/>
    <n v="689975"/>
    <n v="263887"/>
    <n v="426088"/>
    <n v="27"/>
    <n v="59"/>
    <n v="6.3"/>
  </r>
  <r>
    <x v="14"/>
    <x v="14"/>
    <d v="2022-06-25T00:00:00"/>
    <s v="NA"/>
    <n v="0"/>
    <n v="55"/>
    <s v="41-60"/>
    <x v="1"/>
    <x v="3"/>
    <x v="2"/>
    <x v="2"/>
    <n v="1"/>
    <n v="1"/>
    <n v="3.3"/>
    <x v="16"/>
    <n v="6"/>
    <n v="6"/>
    <n v="770677"/>
    <n v="253985"/>
    <n v="516692"/>
    <n v="26"/>
    <n v="56"/>
    <n v="10.1"/>
  </r>
  <r>
    <x v="14"/>
    <x v="14"/>
    <d v="2023-04-28T00:00:00"/>
    <s v="NA"/>
    <n v="0"/>
    <n v="79"/>
    <s v="61-80"/>
    <x v="1"/>
    <x v="9"/>
    <x v="7"/>
    <x v="3"/>
    <n v="1"/>
    <n v="1"/>
    <n v="5.3"/>
    <x v="23"/>
    <n v="5"/>
    <n v="5"/>
    <n v="680135"/>
    <n v="179412"/>
    <n v="500723"/>
    <n v="28"/>
    <n v="56"/>
    <n v="5.8"/>
  </r>
  <r>
    <x v="14"/>
    <x v="14"/>
    <d v="2022-10-23T00:00:00"/>
    <s v="NA"/>
    <n v="0"/>
    <n v="73"/>
    <s v="61-80"/>
    <x v="1"/>
    <x v="12"/>
    <x v="9"/>
    <x v="0"/>
    <n v="1"/>
    <n v="1"/>
    <n v="1.8"/>
    <x v="16"/>
    <n v="6"/>
    <n v="7"/>
    <n v="791413"/>
    <n v="249486"/>
    <n v="541927"/>
    <n v="29"/>
    <n v="60"/>
    <n v="8.3000000000000007"/>
  </r>
  <r>
    <x v="14"/>
    <x v="14"/>
    <d v="2023-09-01T00:00:00"/>
    <s v="NA"/>
    <n v="0"/>
    <n v="51"/>
    <s v="41-60"/>
    <x v="1"/>
    <x v="12"/>
    <x v="9"/>
    <x v="0"/>
    <n v="1"/>
    <n v="1"/>
    <n v="6.1"/>
    <x v="2"/>
    <n v="4"/>
    <n v="5"/>
    <n v="743404"/>
    <n v="236583"/>
    <n v="506821"/>
    <n v="23"/>
    <n v="66"/>
    <n v="36.4"/>
  </r>
  <r>
    <x v="14"/>
    <x v="14"/>
    <d v="2021-11-04T00:00:00"/>
    <s v="NA"/>
    <n v="0"/>
    <n v="44"/>
    <s v="41-60"/>
    <x v="0"/>
    <x v="0"/>
    <x v="0"/>
    <x v="3"/>
    <n v="1"/>
    <n v="1"/>
    <n v="2"/>
    <x v="30"/>
    <n v="7"/>
    <n v="3"/>
    <n v="609055"/>
    <n v="77847"/>
    <n v="531208"/>
    <n v="26"/>
    <n v="66"/>
    <n v="5.6"/>
  </r>
  <r>
    <x v="14"/>
    <x v="14"/>
    <d v="2024-02-01T00:00:00"/>
    <s v="NA"/>
    <n v="0"/>
    <n v="89"/>
    <s v="81+"/>
    <x v="1"/>
    <x v="8"/>
    <x v="6"/>
    <x v="0"/>
    <n v="1"/>
    <n v="1"/>
    <n v="6.6"/>
    <x v="3"/>
    <n v="6"/>
    <n v="6"/>
    <n v="680925"/>
    <n v="230263"/>
    <n v="450662"/>
    <n v="25"/>
    <n v="63"/>
    <n v="7.1"/>
  </r>
  <r>
    <x v="14"/>
    <x v="14"/>
    <d v="2024-04-14T00:00:00"/>
    <s v="NA"/>
    <n v="0"/>
    <n v="50"/>
    <s v="41-60"/>
    <x v="1"/>
    <x v="12"/>
    <x v="9"/>
    <x v="3"/>
    <n v="1"/>
    <n v="1"/>
    <n v="2"/>
    <x v="2"/>
    <n v="3"/>
    <n v="7"/>
    <n v="653284"/>
    <n v="207619"/>
    <n v="445665"/>
    <n v="20"/>
    <n v="58"/>
    <n v="8.1"/>
  </r>
  <r>
    <x v="14"/>
    <x v="14"/>
    <d v="2024-03-01T00:00:00"/>
    <s v="NA"/>
    <n v="0"/>
    <n v="76"/>
    <s v="61-80"/>
    <x v="1"/>
    <x v="7"/>
    <x v="5"/>
    <x v="3"/>
    <n v="1"/>
    <n v="1"/>
    <n v="5.0999999999999996"/>
    <x v="1"/>
    <n v="7"/>
    <n v="6"/>
    <n v="622501"/>
    <n v="189172"/>
    <n v="433329"/>
    <n v="20"/>
    <n v="58"/>
    <n v="14.4"/>
  </r>
  <r>
    <x v="14"/>
    <x v="14"/>
    <d v="2021-12-09T00:00:00"/>
    <s v="NA"/>
    <n v="0"/>
    <n v="37"/>
    <s v="21-40"/>
    <x v="0"/>
    <x v="0"/>
    <x v="0"/>
    <x v="1"/>
    <n v="1"/>
    <n v="1"/>
    <n v="6.9"/>
    <x v="14"/>
    <n v="6"/>
    <n v="5"/>
    <n v="734717"/>
    <n v="298077"/>
    <n v="436640"/>
    <n v="28"/>
    <n v="58"/>
    <n v="10.1"/>
  </r>
  <r>
    <x v="14"/>
    <x v="14"/>
    <d v="2022-06-05T00:00:00"/>
    <s v="NA"/>
    <n v="0"/>
    <n v="79"/>
    <s v="61-80"/>
    <x v="0"/>
    <x v="2"/>
    <x v="1"/>
    <x v="3"/>
    <n v="1"/>
    <n v="1"/>
    <n v="5.3"/>
    <x v="15"/>
    <n v="6"/>
    <n v="4"/>
    <n v="705405"/>
    <n v="278924"/>
    <n v="426481"/>
    <n v="24"/>
    <n v="55"/>
    <n v="10.4"/>
  </r>
  <r>
    <x v="14"/>
    <x v="14"/>
    <d v="2023-03-13T00:00:00"/>
    <s v="NA"/>
    <n v="0"/>
    <n v="29"/>
    <s v="21-40"/>
    <x v="1"/>
    <x v="4"/>
    <x v="3"/>
    <x v="0"/>
    <n v="1"/>
    <n v="1"/>
    <n v="4"/>
    <x v="5"/>
    <n v="7"/>
    <n v="6"/>
    <n v="760265"/>
    <n v="213514"/>
    <n v="546751"/>
    <n v="23"/>
    <n v="58"/>
    <n v="14.3"/>
  </r>
  <r>
    <x v="14"/>
    <x v="14"/>
    <d v="2024-08-26T00:00:00"/>
    <s v="NA"/>
    <n v="0"/>
    <n v="33"/>
    <s v="21-40"/>
    <x v="1"/>
    <x v="12"/>
    <x v="9"/>
    <x v="2"/>
    <n v="1"/>
    <n v="1"/>
    <n v="6.9"/>
    <x v="1"/>
    <n v="7"/>
    <n v="6"/>
    <n v="784634"/>
    <n v="355256"/>
    <n v="429378"/>
    <n v="28"/>
    <n v="64"/>
    <n v="10.9"/>
  </r>
  <r>
    <x v="14"/>
    <x v="14"/>
    <d v="2021-10-02T00:00:00"/>
    <s v="NA"/>
    <n v="0"/>
    <n v="86"/>
    <s v="81+"/>
    <x v="1"/>
    <x v="11"/>
    <x v="8"/>
    <x v="0"/>
    <n v="1"/>
    <n v="1"/>
    <n v="1.9"/>
    <x v="21"/>
    <n v="3"/>
    <n v="6"/>
    <n v="641809"/>
    <n v="152412"/>
    <n v="489397"/>
    <n v="23"/>
    <n v="59"/>
    <n v="6.7"/>
  </r>
  <r>
    <x v="14"/>
    <x v="14"/>
    <d v="2024-10-17T00:00:00"/>
    <s v="NA"/>
    <n v="0"/>
    <n v="77"/>
    <s v="61-80"/>
    <x v="0"/>
    <x v="5"/>
    <x v="0"/>
    <x v="4"/>
    <n v="1"/>
    <n v="1"/>
    <n v="5.5"/>
    <x v="24"/>
    <n v="5"/>
    <n v="6"/>
    <n v="748887"/>
    <n v="242157"/>
    <n v="506730"/>
    <n v="26"/>
    <n v="60"/>
    <n v="10.9"/>
  </r>
  <r>
    <x v="14"/>
    <x v="14"/>
    <d v="2023-09-15T00:00:00"/>
    <s v="NA"/>
    <n v="0"/>
    <n v="80"/>
    <s v="61-80"/>
    <x v="1"/>
    <x v="4"/>
    <x v="3"/>
    <x v="0"/>
    <n v="1"/>
    <n v="1"/>
    <n v="2.8"/>
    <x v="12"/>
    <n v="4"/>
    <n v="3"/>
    <n v="799418"/>
    <n v="371042"/>
    <n v="428376"/>
    <n v="20"/>
    <n v="64"/>
    <n v="9.1999999999999993"/>
  </r>
  <r>
    <x v="14"/>
    <x v="14"/>
    <d v="2023-06-18T00:00:00"/>
    <s v="NA"/>
    <n v="0"/>
    <n v="52"/>
    <s v="41-60"/>
    <x v="0"/>
    <x v="10"/>
    <x v="8"/>
    <x v="2"/>
    <n v="1"/>
    <n v="1"/>
    <n v="6.5"/>
    <x v="13"/>
    <n v="5"/>
    <n v="5"/>
    <n v="687519"/>
    <n v="241802"/>
    <n v="445717"/>
    <n v="20"/>
    <n v="63"/>
    <n v="36.1"/>
  </r>
  <r>
    <x v="0"/>
    <x v="0"/>
    <d v="2022-08-25T00:00:00"/>
    <s v="NA"/>
    <n v="0"/>
    <n v="26"/>
    <s v="21-40"/>
    <x v="1"/>
    <x v="12"/>
    <x v="9"/>
    <x v="3"/>
    <n v="1"/>
    <n v="1"/>
    <n v="4.7"/>
    <x v="29"/>
    <n v="4"/>
    <n v="5"/>
    <n v="669671"/>
    <n v="365912"/>
    <n v="303759"/>
    <n v="30"/>
    <n v="60"/>
    <n v="13.5"/>
  </r>
  <r>
    <x v="14"/>
    <x v="14"/>
    <d v="2022-06-25T00:00:00"/>
    <s v="NA"/>
    <n v="0"/>
    <n v="40"/>
    <s v="21-40"/>
    <x v="1"/>
    <x v="9"/>
    <x v="7"/>
    <x v="1"/>
    <n v="1"/>
    <n v="1"/>
    <n v="6.5"/>
    <x v="25"/>
    <n v="4"/>
    <n v="6"/>
    <n v="785307"/>
    <n v="276859"/>
    <n v="508448"/>
    <n v="20"/>
    <n v="59"/>
    <n v="6.4"/>
  </r>
  <r>
    <x v="14"/>
    <x v="14"/>
    <d v="2023-01-15T00:00:00"/>
    <s v="NA"/>
    <n v="0"/>
    <n v="47"/>
    <s v="41-60"/>
    <x v="0"/>
    <x v="7"/>
    <x v="5"/>
    <x v="3"/>
    <n v="1"/>
    <n v="1"/>
    <n v="5.8"/>
    <x v="6"/>
    <n v="7"/>
    <n v="3"/>
    <n v="783608"/>
    <n v="382746"/>
    <n v="400862"/>
    <n v="29"/>
    <n v="60"/>
    <n v="5.6"/>
  </r>
  <r>
    <x v="14"/>
    <x v="14"/>
    <d v="2022-01-14T00:00:00"/>
    <s v="NA"/>
    <n v="0"/>
    <n v="87"/>
    <s v="81+"/>
    <x v="0"/>
    <x v="0"/>
    <x v="0"/>
    <x v="0"/>
    <n v="1"/>
    <n v="1"/>
    <n v="1.3"/>
    <x v="3"/>
    <n v="7"/>
    <n v="4"/>
    <n v="733615"/>
    <n v="331669"/>
    <n v="401946"/>
    <n v="24"/>
    <n v="56"/>
    <n v="5.5"/>
  </r>
  <r>
    <x v="0"/>
    <x v="0"/>
    <d v="2022-02-12T00:00:00"/>
    <s v="NA"/>
    <n v="0"/>
    <n v="42"/>
    <s v="41-60"/>
    <x v="1"/>
    <x v="1"/>
    <x v="1"/>
    <x v="1"/>
    <n v="1"/>
    <n v="1"/>
    <n v="2.4"/>
    <x v="14"/>
    <n v="4"/>
    <n v="7"/>
    <n v="646360"/>
    <n v="264739"/>
    <n v="381621"/>
    <n v="27"/>
    <n v="56"/>
    <n v="13.3"/>
  </r>
  <r>
    <x v="14"/>
    <x v="14"/>
    <d v="2024-02-13T00:00:00"/>
    <s v="NA"/>
    <n v="0"/>
    <n v="55"/>
    <s v="41-60"/>
    <x v="1"/>
    <x v="13"/>
    <x v="10"/>
    <x v="2"/>
    <n v="1"/>
    <n v="1"/>
    <n v="5.9"/>
    <x v="8"/>
    <n v="7"/>
    <n v="3"/>
    <n v="745878"/>
    <n v="300603"/>
    <n v="445275"/>
    <n v="21"/>
    <n v="66"/>
    <n v="13.6"/>
  </r>
  <r>
    <x v="14"/>
    <x v="14"/>
    <d v="2022-10-01T00:00:00"/>
    <s v="NA"/>
    <n v="0"/>
    <n v="70"/>
    <s v="61-80"/>
    <x v="1"/>
    <x v="11"/>
    <x v="8"/>
    <x v="4"/>
    <n v="1"/>
    <n v="1"/>
    <n v="5.5"/>
    <x v="10"/>
    <n v="3"/>
    <n v="4"/>
    <n v="727149"/>
    <n v="217475"/>
    <n v="509674"/>
    <n v="29"/>
    <n v="56"/>
    <n v="8.8000000000000007"/>
  </r>
  <r>
    <x v="14"/>
    <x v="14"/>
    <d v="2024-09-08T00:00:00"/>
    <s v="NA"/>
    <n v="0"/>
    <n v="43"/>
    <s v="41-60"/>
    <x v="1"/>
    <x v="6"/>
    <x v="4"/>
    <x v="3"/>
    <n v="1"/>
    <n v="1"/>
    <n v="3.4"/>
    <x v="9"/>
    <n v="3"/>
    <n v="7"/>
    <n v="735447"/>
    <n v="171081"/>
    <n v="564366"/>
    <n v="29"/>
    <n v="55"/>
    <n v="14"/>
  </r>
  <r>
    <x v="14"/>
    <x v="14"/>
    <d v="2021-02-13T00:00:00"/>
    <s v="NA"/>
    <n v="0"/>
    <n v="53"/>
    <s v="41-60"/>
    <x v="0"/>
    <x v="1"/>
    <x v="1"/>
    <x v="0"/>
    <n v="1"/>
    <n v="1"/>
    <n v="5.5"/>
    <x v="4"/>
    <n v="3"/>
    <n v="7"/>
    <n v="668787"/>
    <n v="183514"/>
    <n v="485273"/>
    <n v="30"/>
    <n v="62"/>
    <n v="12.7"/>
  </r>
  <r>
    <x v="14"/>
    <x v="14"/>
    <d v="2024-06-04T00:00:00"/>
    <s v="NA"/>
    <n v="0"/>
    <n v="30"/>
    <s v="21-40"/>
    <x v="1"/>
    <x v="2"/>
    <x v="1"/>
    <x v="3"/>
    <n v="1"/>
    <n v="1"/>
    <n v="4.2"/>
    <x v="27"/>
    <n v="5"/>
    <n v="7"/>
    <n v="613196"/>
    <n v="108782"/>
    <n v="504414"/>
    <n v="26"/>
    <n v="58"/>
    <n v="9.9"/>
  </r>
  <r>
    <x v="14"/>
    <x v="14"/>
    <d v="2024-03-16T00:00:00"/>
    <s v="NA"/>
    <n v="0"/>
    <n v="40"/>
    <s v="21-40"/>
    <x v="1"/>
    <x v="2"/>
    <x v="1"/>
    <x v="4"/>
    <n v="1"/>
    <n v="1"/>
    <n v="3.5"/>
    <x v="1"/>
    <n v="5"/>
    <n v="5"/>
    <n v="607348"/>
    <n v="33310"/>
    <n v="574038"/>
    <n v="23"/>
    <n v="60"/>
    <n v="9.5"/>
  </r>
  <r>
    <x v="14"/>
    <x v="14"/>
    <d v="2022-08-27T00:00:00"/>
    <s v="NA"/>
    <n v="0"/>
    <n v="38"/>
    <s v="21-40"/>
    <x v="1"/>
    <x v="3"/>
    <x v="2"/>
    <x v="4"/>
    <n v="1"/>
    <n v="1"/>
    <n v="1.6"/>
    <x v="17"/>
    <n v="5"/>
    <n v="4"/>
    <n v="765536"/>
    <n v="290652"/>
    <n v="474884"/>
    <n v="25"/>
    <n v="63"/>
    <n v="7.9"/>
  </r>
  <r>
    <x v="14"/>
    <x v="14"/>
    <d v="2024-07-29T00:00:00"/>
    <s v="NA"/>
    <n v="0"/>
    <n v="40"/>
    <s v="21-40"/>
    <x v="1"/>
    <x v="3"/>
    <x v="2"/>
    <x v="3"/>
    <n v="1"/>
    <n v="1"/>
    <n v="6.4"/>
    <x v="16"/>
    <n v="7"/>
    <n v="3"/>
    <n v="670869"/>
    <n v="137704"/>
    <n v="533165"/>
    <n v="26"/>
    <n v="54"/>
    <n v="36.6"/>
  </r>
  <r>
    <x v="14"/>
    <x v="14"/>
    <d v="2022-09-15T00:00:00"/>
    <s v="NA"/>
    <n v="0"/>
    <n v="60"/>
    <s v="41-60"/>
    <x v="1"/>
    <x v="3"/>
    <x v="2"/>
    <x v="3"/>
    <n v="1"/>
    <n v="1"/>
    <n v="5.6"/>
    <x v="9"/>
    <n v="4"/>
    <n v="4"/>
    <n v="796310"/>
    <n v="214683"/>
    <n v="581627"/>
    <n v="22"/>
    <n v="54"/>
    <n v="9.5"/>
  </r>
  <r>
    <x v="14"/>
    <x v="14"/>
    <d v="2024-10-28T00:00:00"/>
    <s v="NA"/>
    <n v="0"/>
    <n v="46"/>
    <s v="41-60"/>
    <x v="0"/>
    <x v="10"/>
    <x v="8"/>
    <x v="1"/>
    <n v="1"/>
    <n v="1"/>
    <n v="5.7"/>
    <x v="19"/>
    <n v="7"/>
    <n v="3"/>
    <n v="606714"/>
    <n v="97819"/>
    <n v="508895"/>
    <n v="20"/>
    <n v="64"/>
    <n v="10.1"/>
  </r>
  <r>
    <x v="14"/>
    <x v="14"/>
    <d v="2022-08-04T00:00:00"/>
    <s v="NA"/>
    <n v="0"/>
    <n v="27"/>
    <s v="21-40"/>
    <x v="1"/>
    <x v="11"/>
    <x v="8"/>
    <x v="0"/>
    <n v="1"/>
    <n v="1"/>
    <n v="5.2"/>
    <x v="28"/>
    <n v="5"/>
    <n v="5"/>
    <n v="742977"/>
    <n v="181503"/>
    <n v="561474"/>
    <n v="25"/>
    <n v="59"/>
    <n v="10"/>
  </r>
  <r>
    <x v="14"/>
    <x v="14"/>
    <d v="2022-11-02T00:00:00"/>
    <s v="NA"/>
    <n v="0"/>
    <n v="31"/>
    <s v="21-40"/>
    <x v="1"/>
    <x v="6"/>
    <x v="4"/>
    <x v="4"/>
    <n v="1"/>
    <n v="1"/>
    <n v="6.8"/>
    <x v="30"/>
    <n v="7"/>
    <n v="4"/>
    <n v="773804"/>
    <n v="287153"/>
    <n v="486651"/>
    <n v="30"/>
    <n v="56"/>
    <n v="10.4"/>
  </r>
  <r>
    <x v="14"/>
    <x v="14"/>
    <d v="2023-03-26T00:00:00"/>
    <s v="NA"/>
    <n v="0"/>
    <n v="73"/>
    <s v="61-80"/>
    <x v="1"/>
    <x v="3"/>
    <x v="2"/>
    <x v="3"/>
    <n v="1"/>
    <n v="1"/>
    <n v="2.7"/>
    <x v="1"/>
    <n v="7"/>
    <n v="4"/>
    <n v="680596"/>
    <n v="176380"/>
    <n v="504216"/>
    <n v="24"/>
    <n v="62"/>
    <n v="13.1"/>
  </r>
  <r>
    <x v="14"/>
    <x v="14"/>
    <d v="2022-12-24T00:00:00"/>
    <s v="NA"/>
    <n v="0"/>
    <n v="37"/>
    <s v="21-40"/>
    <x v="0"/>
    <x v="0"/>
    <x v="0"/>
    <x v="1"/>
    <n v="1"/>
    <n v="1"/>
    <n v="2.4"/>
    <x v="15"/>
    <n v="5"/>
    <n v="5"/>
    <n v="689203"/>
    <n v="280229"/>
    <n v="408974"/>
    <n v="29"/>
    <n v="64"/>
    <n v="10.3"/>
  </r>
  <r>
    <x v="14"/>
    <x v="14"/>
    <d v="2021-05-14T00:00:00"/>
    <s v="NA"/>
    <n v="0"/>
    <n v="67"/>
    <s v="61-80"/>
    <x v="0"/>
    <x v="0"/>
    <x v="0"/>
    <x v="0"/>
    <n v="1"/>
    <n v="1"/>
    <n v="3.2"/>
    <x v="8"/>
    <n v="6"/>
    <n v="6"/>
    <n v="738240"/>
    <n v="300378"/>
    <n v="437862"/>
    <n v="25"/>
    <n v="55"/>
    <n v="12.1"/>
  </r>
  <r>
    <x v="14"/>
    <x v="14"/>
    <d v="2023-04-01T00:00:00"/>
    <s v="NA"/>
    <n v="0"/>
    <n v="52"/>
    <s v="41-60"/>
    <x v="0"/>
    <x v="0"/>
    <x v="0"/>
    <x v="4"/>
    <n v="1"/>
    <n v="1"/>
    <n v="2.4"/>
    <x v="11"/>
    <n v="7"/>
    <n v="6"/>
    <n v="675790"/>
    <n v="93117"/>
    <n v="582673"/>
    <n v="25"/>
    <n v="66"/>
    <n v="36.200000000000003"/>
  </r>
  <r>
    <x v="14"/>
    <x v="14"/>
    <d v="2021-07-19T00:00:00"/>
    <s v="NA"/>
    <n v="0"/>
    <n v="49"/>
    <s v="41-60"/>
    <x v="0"/>
    <x v="0"/>
    <x v="0"/>
    <x v="2"/>
    <n v="1"/>
    <n v="1"/>
    <n v="3.8"/>
    <x v="8"/>
    <n v="3"/>
    <n v="7"/>
    <n v="716275"/>
    <n v="256018"/>
    <n v="460257"/>
    <n v="23"/>
    <n v="56"/>
    <n v="12.4"/>
  </r>
  <r>
    <x v="14"/>
    <x v="14"/>
    <d v="2021-10-17T00:00:00"/>
    <s v="NA"/>
    <n v="0"/>
    <n v="46"/>
    <s v="41-60"/>
    <x v="1"/>
    <x v="3"/>
    <x v="2"/>
    <x v="0"/>
    <n v="1"/>
    <n v="1"/>
    <n v="3.5"/>
    <x v="21"/>
    <n v="3"/>
    <n v="5"/>
    <n v="654843"/>
    <n v="141979"/>
    <n v="512864"/>
    <n v="20"/>
    <n v="54"/>
    <n v="6.2"/>
  </r>
  <r>
    <x v="14"/>
    <x v="14"/>
    <d v="2024-07-07T00:00:00"/>
    <s v="NA"/>
    <n v="0"/>
    <n v="37"/>
    <s v="21-40"/>
    <x v="0"/>
    <x v="0"/>
    <x v="0"/>
    <x v="2"/>
    <n v="1"/>
    <n v="1"/>
    <n v="1.6"/>
    <x v="12"/>
    <n v="3"/>
    <n v="7"/>
    <n v="657565"/>
    <n v="98705"/>
    <n v="558860"/>
    <n v="29"/>
    <n v="66"/>
    <n v="5.4"/>
  </r>
  <r>
    <x v="14"/>
    <x v="14"/>
    <d v="2022-06-07T00:00:00"/>
    <s v="NA"/>
    <n v="0"/>
    <n v="31"/>
    <s v="21-40"/>
    <x v="1"/>
    <x v="8"/>
    <x v="6"/>
    <x v="2"/>
    <n v="1"/>
    <n v="1"/>
    <n v="1.6"/>
    <x v="5"/>
    <n v="7"/>
    <n v="4"/>
    <n v="628760"/>
    <n v="222317"/>
    <n v="406443"/>
    <n v="24"/>
    <n v="59"/>
    <n v="7"/>
  </r>
  <r>
    <x v="14"/>
    <x v="14"/>
    <d v="2023-08-18T00:00:00"/>
    <s v="NA"/>
    <n v="0"/>
    <n v="63"/>
    <s v="61-80"/>
    <x v="0"/>
    <x v="5"/>
    <x v="0"/>
    <x v="1"/>
    <n v="1"/>
    <n v="1"/>
    <n v="5.2"/>
    <x v="11"/>
    <n v="4"/>
    <n v="7"/>
    <n v="693604"/>
    <n v="234772"/>
    <n v="458832"/>
    <n v="27"/>
    <n v="54"/>
    <n v="8"/>
  </r>
  <r>
    <x v="14"/>
    <x v="14"/>
    <d v="2022-02-03T00:00:00"/>
    <s v="NA"/>
    <n v="0"/>
    <n v="90"/>
    <s v="81+"/>
    <x v="0"/>
    <x v="5"/>
    <x v="0"/>
    <x v="1"/>
    <n v="1"/>
    <n v="1"/>
    <n v="1.4"/>
    <x v="19"/>
    <n v="4"/>
    <n v="5"/>
    <n v="739286"/>
    <n v="202878"/>
    <n v="536408"/>
    <n v="30"/>
    <n v="57"/>
    <n v="10.6"/>
  </r>
  <r>
    <x v="14"/>
    <x v="14"/>
    <d v="2021-09-30T00:00:00"/>
    <s v="NA"/>
    <n v="0"/>
    <n v="38"/>
    <s v="21-40"/>
    <x v="1"/>
    <x v="10"/>
    <x v="8"/>
    <x v="1"/>
    <n v="1"/>
    <n v="1"/>
    <n v="3.9"/>
    <x v="26"/>
    <n v="4"/>
    <n v="4"/>
    <n v="737750"/>
    <n v="193064"/>
    <n v="544686"/>
    <n v="27"/>
    <n v="60"/>
    <n v="12.1"/>
  </r>
  <r>
    <x v="14"/>
    <x v="14"/>
    <d v="2021-06-27T00:00:00"/>
    <s v="NA"/>
    <n v="0"/>
    <n v="36"/>
    <s v="21-40"/>
    <x v="1"/>
    <x v="3"/>
    <x v="2"/>
    <x v="4"/>
    <n v="1"/>
    <n v="1"/>
    <n v="2.2000000000000002"/>
    <x v="0"/>
    <n v="3"/>
    <n v="6"/>
    <n v="682400"/>
    <n v="161426"/>
    <n v="520974"/>
    <n v="30"/>
    <n v="61"/>
    <n v="5.0999999999999996"/>
  </r>
  <r>
    <x v="14"/>
    <x v="14"/>
    <d v="2023-02-15T00:00:00"/>
    <s v="NA"/>
    <n v="0"/>
    <n v="64"/>
    <s v="61-80"/>
    <x v="1"/>
    <x v="10"/>
    <x v="8"/>
    <x v="1"/>
    <n v="1"/>
    <n v="1"/>
    <n v="1.8"/>
    <x v="27"/>
    <n v="5"/>
    <n v="5"/>
    <n v="696673"/>
    <n v="260277"/>
    <n v="436396"/>
    <n v="21"/>
    <n v="60"/>
    <n v="13.7"/>
  </r>
  <r>
    <x v="14"/>
    <x v="14"/>
    <d v="2021-02-01T00:00:00"/>
    <s v="NA"/>
    <n v="0"/>
    <n v="40"/>
    <s v="21-40"/>
    <x v="1"/>
    <x v="6"/>
    <x v="4"/>
    <x v="3"/>
    <n v="1"/>
    <n v="1"/>
    <n v="2.1"/>
    <x v="8"/>
    <n v="5"/>
    <n v="3"/>
    <n v="743384"/>
    <n v="300582"/>
    <n v="442802"/>
    <n v="22"/>
    <n v="65"/>
    <n v="7.3"/>
  </r>
  <r>
    <x v="8"/>
    <x v="8"/>
    <d v="2023-03-26T00:00:00"/>
    <s v="NA"/>
    <n v="0"/>
    <n v="68"/>
    <s v="61-80"/>
    <x v="0"/>
    <x v="7"/>
    <x v="5"/>
    <x v="3"/>
    <n v="1"/>
    <n v="1"/>
    <n v="5.3"/>
    <x v="12"/>
    <n v="4"/>
    <n v="3"/>
    <n v="757826"/>
    <n v="197244"/>
    <n v="560582"/>
    <n v="49"/>
    <n v="55"/>
    <n v="12.9"/>
  </r>
  <r>
    <x v="8"/>
    <x v="8"/>
    <d v="2022-12-05T00:00:00"/>
    <s v="NA"/>
    <n v="0"/>
    <n v="74"/>
    <s v="61-80"/>
    <x v="0"/>
    <x v="13"/>
    <x v="10"/>
    <x v="2"/>
    <n v="1"/>
    <n v="1"/>
    <n v="2.1"/>
    <x v="1"/>
    <n v="3"/>
    <n v="4"/>
    <n v="729808"/>
    <n v="173215"/>
    <n v="556593"/>
    <n v="52"/>
    <n v="60"/>
    <n v="10"/>
  </r>
  <r>
    <x v="8"/>
    <x v="8"/>
    <d v="2022-03-07T00:00:00"/>
    <s v="NA"/>
    <n v="0"/>
    <n v="64"/>
    <s v="61-80"/>
    <x v="1"/>
    <x v="3"/>
    <x v="2"/>
    <x v="3"/>
    <n v="1"/>
    <n v="1"/>
    <n v="5.4"/>
    <x v="19"/>
    <n v="3"/>
    <n v="5"/>
    <n v="819019"/>
    <n v="227150"/>
    <n v="591869"/>
    <n v="50"/>
    <n v="66"/>
    <n v="5.9"/>
  </r>
  <r>
    <x v="8"/>
    <x v="8"/>
    <d v="2023-05-29T00:00:00"/>
    <s v="NA"/>
    <n v="0"/>
    <n v="88"/>
    <s v="81+"/>
    <x v="1"/>
    <x v="4"/>
    <x v="3"/>
    <x v="0"/>
    <n v="1"/>
    <n v="1"/>
    <n v="2.2999999999999998"/>
    <x v="11"/>
    <n v="5"/>
    <n v="6"/>
    <n v="638252"/>
    <n v="99528"/>
    <n v="538724"/>
    <n v="44"/>
    <n v="63"/>
    <n v="12.7"/>
  </r>
  <r>
    <x v="8"/>
    <x v="8"/>
    <d v="2023-01-21T00:00:00"/>
    <s v="NA"/>
    <n v="0"/>
    <n v="22"/>
    <s v="21-40"/>
    <x v="1"/>
    <x v="2"/>
    <x v="1"/>
    <x v="2"/>
    <n v="1"/>
    <n v="1"/>
    <n v="1.3"/>
    <x v="7"/>
    <n v="3"/>
    <n v="7"/>
    <n v="816366"/>
    <n v="219494"/>
    <n v="596872"/>
    <n v="42"/>
    <n v="57"/>
    <n v="7.6"/>
  </r>
  <r>
    <x v="8"/>
    <x v="8"/>
    <d v="2022-08-16T00:00:00"/>
    <s v="NA"/>
    <n v="0"/>
    <n v="83"/>
    <s v="81+"/>
    <x v="0"/>
    <x v="4"/>
    <x v="3"/>
    <x v="4"/>
    <n v="1"/>
    <n v="1"/>
    <n v="1.8"/>
    <x v="9"/>
    <n v="4"/>
    <n v="5"/>
    <n v="725792"/>
    <n v="152283"/>
    <n v="573509"/>
    <n v="56"/>
    <n v="57"/>
    <n v="7.2"/>
  </r>
  <r>
    <x v="8"/>
    <x v="8"/>
    <d v="2022-05-25T00:00:00"/>
    <s v="NA"/>
    <n v="0"/>
    <n v="28"/>
    <s v="21-40"/>
    <x v="0"/>
    <x v="0"/>
    <x v="0"/>
    <x v="1"/>
    <n v="1"/>
    <n v="1"/>
    <n v="2"/>
    <x v="5"/>
    <n v="6"/>
    <n v="7"/>
    <n v="899619"/>
    <n v="335430"/>
    <n v="564189"/>
    <n v="53"/>
    <n v="59"/>
    <n v="7"/>
  </r>
  <r>
    <x v="8"/>
    <x v="8"/>
    <d v="2021-04-22T00:00:00"/>
    <s v="NA"/>
    <n v="0"/>
    <n v="80"/>
    <s v="61-80"/>
    <x v="0"/>
    <x v="12"/>
    <x v="9"/>
    <x v="2"/>
    <n v="1"/>
    <n v="1"/>
    <n v="6.7"/>
    <x v="12"/>
    <n v="4"/>
    <n v="4"/>
    <n v="736377"/>
    <n v="172002"/>
    <n v="564375"/>
    <n v="50"/>
    <n v="58"/>
    <n v="8.5"/>
  </r>
  <r>
    <x v="8"/>
    <x v="8"/>
    <d v="2023-03-25T00:00:00"/>
    <s v="NA"/>
    <n v="0"/>
    <n v="39"/>
    <s v="21-40"/>
    <x v="0"/>
    <x v="0"/>
    <x v="0"/>
    <x v="0"/>
    <n v="1"/>
    <n v="1"/>
    <n v="6.8"/>
    <x v="10"/>
    <n v="4"/>
    <n v="3"/>
    <n v="706296"/>
    <n v="167984"/>
    <n v="538312"/>
    <n v="59"/>
    <n v="59"/>
    <n v="8.8000000000000007"/>
  </r>
  <r>
    <x v="8"/>
    <x v="8"/>
    <d v="2021-11-15T00:00:00"/>
    <s v="NA"/>
    <n v="0"/>
    <n v="23"/>
    <s v="21-40"/>
    <x v="1"/>
    <x v="4"/>
    <x v="3"/>
    <x v="3"/>
    <n v="1"/>
    <n v="1"/>
    <n v="6.8"/>
    <x v="12"/>
    <n v="5"/>
    <n v="5"/>
    <n v="761856"/>
    <n v="224973"/>
    <n v="536883"/>
    <n v="47"/>
    <n v="64"/>
    <n v="7.5"/>
  </r>
  <r>
    <x v="8"/>
    <x v="8"/>
    <d v="2022-03-29T00:00:00"/>
    <s v="NA"/>
    <n v="0"/>
    <n v="47"/>
    <s v="41-60"/>
    <x v="0"/>
    <x v="7"/>
    <x v="5"/>
    <x v="4"/>
    <n v="1"/>
    <n v="1"/>
    <n v="5.9"/>
    <x v="27"/>
    <n v="6"/>
    <n v="4"/>
    <n v="882559"/>
    <n v="345915"/>
    <n v="536644"/>
    <n v="42"/>
    <n v="57"/>
    <n v="10"/>
  </r>
  <r>
    <x v="8"/>
    <x v="8"/>
    <d v="2024-02-01T00:00:00"/>
    <s v="NA"/>
    <n v="0"/>
    <n v="36"/>
    <s v="21-40"/>
    <x v="0"/>
    <x v="2"/>
    <x v="1"/>
    <x v="4"/>
    <n v="1"/>
    <n v="1"/>
    <n v="2.8"/>
    <x v="30"/>
    <n v="3"/>
    <n v="7"/>
    <n v="782716"/>
    <n v="229174"/>
    <n v="553542"/>
    <n v="54"/>
    <n v="62"/>
    <n v="8.5"/>
  </r>
  <r>
    <x v="14"/>
    <x v="14"/>
    <d v="2023-02-20T00:00:00"/>
    <s v="NA"/>
    <n v="0"/>
    <n v="33"/>
    <s v="21-40"/>
    <x v="0"/>
    <x v="7"/>
    <x v="5"/>
    <x v="1"/>
    <n v="1"/>
    <n v="1"/>
    <n v="5.2"/>
    <x v="17"/>
    <n v="4"/>
    <n v="3"/>
    <n v="713901"/>
    <n v="249128"/>
    <n v="464773"/>
    <n v="22"/>
    <n v="56"/>
    <n v="13.7"/>
  </r>
  <r>
    <x v="8"/>
    <x v="8"/>
    <d v="2021-06-24T00:00:00"/>
    <s v="NA"/>
    <n v="0"/>
    <n v="44"/>
    <s v="41-60"/>
    <x v="0"/>
    <x v="2"/>
    <x v="1"/>
    <x v="4"/>
    <n v="1"/>
    <n v="1"/>
    <n v="1.5"/>
    <x v="25"/>
    <n v="5"/>
    <n v="5"/>
    <n v="749238"/>
    <n v="163913"/>
    <n v="585325"/>
    <n v="56"/>
    <n v="65"/>
    <n v="10"/>
  </r>
  <r>
    <x v="8"/>
    <x v="8"/>
    <d v="2021-04-22T00:00:00"/>
    <s v="NA"/>
    <n v="0"/>
    <n v="38"/>
    <s v="21-40"/>
    <x v="0"/>
    <x v="13"/>
    <x v="10"/>
    <x v="4"/>
    <n v="1"/>
    <n v="1"/>
    <n v="1.2"/>
    <x v="23"/>
    <n v="7"/>
    <n v="4"/>
    <n v="702510"/>
    <n v="102888"/>
    <n v="599622"/>
    <n v="53"/>
    <n v="54"/>
    <n v="6"/>
  </r>
  <r>
    <x v="8"/>
    <x v="8"/>
    <d v="2024-02-04T00:00:00"/>
    <s v="NA"/>
    <n v="0"/>
    <n v="23"/>
    <s v="21-40"/>
    <x v="1"/>
    <x v="10"/>
    <x v="8"/>
    <x v="0"/>
    <n v="1"/>
    <n v="1"/>
    <n v="5.5"/>
    <x v="0"/>
    <n v="5"/>
    <n v="7"/>
    <n v="836067"/>
    <n v="315297"/>
    <n v="520770"/>
    <n v="48"/>
    <n v="55"/>
    <n v="7.4"/>
  </r>
  <r>
    <x v="8"/>
    <x v="8"/>
    <d v="2024-01-12T00:00:00"/>
    <s v="NA"/>
    <n v="0"/>
    <n v="81"/>
    <s v="81+"/>
    <x v="0"/>
    <x v="1"/>
    <x v="1"/>
    <x v="4"/>
    <n v="1"/>
    <n v="1"/>
    <n v="3.5"/>
    <x v="19"/>
    <n v="5"/>
    <n v="3"/>
    <n v="610253"/>
    <n v="70952"/>
    <n v="539301"/>
    <n v="53"/>
    <n v="55"/>
    <n v="5.3"/>
  </r>
  <r>
    <x v="8"/>
    <x v="8"/>
    <d v="2022-05-23T00:00:00"/>
    <s v="NA"/>
    <n v="0"/>
    <n v="73"/>
    <s v="61-80"/>
    <x v="0"/>
    <x v="0"/>
    <x v="0"/>
    <x v="0"/>
    <n v="1"/>
    <n v="1"/>
    <n v="2.8"/>
    <x v="6"/>
    <n v="4"/>
    <n v="3"/>
    <n v="643975"/>
    <n v="69046"/>
    <n v="574929"/>
    <n v="46"/>
    <n v="59"/>
    <n v="6.5"/>
  </r>
  <r>
    <x v="8"/>
    <x v="8"/>
    <d v="2021-11-04T00:00:00"/>
    <s v="NA"/>
    <n v="0"/>
    <n v="65"/>
    <s v="61-80"/>
    <x v="0"/>
    <x v="2"/>
    <x v="1"/>
    <x v="0"/>
    <n v="1"/>
    <n v="1"/>
    <n v="3.3"/>
    <x v="10"/>
    <n v="7"/>
    <n v="5"/>
    <n v="609347"/>
    <n v="99214"/>
    <n v="510133"/>
    <n v="53"/>
    <n v="59"/>
    <n v="8.4"/>
  </r>
  <r>
    <x v="8"/>
    <x v="8"/>
    <d v="2021-02-04T00:00:00"/>
    <s v="NA"/>
    <n v="0"/>
    <n v="70"/>
    <s v="61-80"/>
    <x v="0"/>
    <x v="5"/>
    <x v="0"/>
    <x v="4"/>
    <n v="1"/>
    <n v="1"/>
    <n v="3.2"/>
    <x v="29"/>
    <n v="7"/>
    <n v="5"/>
    <n v="705387"/>
    <n v="141510"/>
    <n v="563877"/>
    <n v="45"/>
    <n v="63"/>
    <n v="13.7"/>
  </r>
  <r>
    <x v="8"/>
    <x v="8"/>
    <d v="2022-02-09T00:00:00"/>
    <s v="NA"/>
    <n v="0"/>
    <n v="35"/>
    <s v="21-40"/>
    <x v="1"/>
    <x v="2"/>
    <x v="1"/>
    <x v="1"/>
    <n v="1"/>
    <n v="1"/>
    <n v="2"/>
    <x v="26"/>
    <n v="7"/>
    <n v="7"/>
    <n v="652864"/>
    <n v="82277"/>
    <n v="570587"/>
    <n v="59"/>
    <n v="54"/>
    <n v="7.3"/>
  </r>
  <r>
    <x v="8"/>
    <x v="8"/>
    <d v="2022-06-13T00:00:00"/>
    <s v="NA"/>
    <n v="0"/>
    <n v="46"/>
    <s v="41-60"/>
    <x v="0"/>
    <x v="5"/>
    <x v="0"/>
    <x v="3"/>
    <n v="1"/>
    <n v="1"/>
    <n v="6.9"/>
    <x v="2"/>
    <n v="3"/>
    <n v="3"/>
    <n v="780618"/>
    <n v="250585"/>
    <n v="530033"/>
    <n v="46"/>
    <n v="60"/>
    <n v="14.8"/>
  </r>
  <r>
    <x v="8"/>
    <x v="8"/>
    <d v="2021-06-01T00:00:00"/>
    <s v="NA"/>
    <n v="0"/>
    <n v="21"/>
    <s v="21-40"/>
    <x v="1"/>
    <x v="2"/>
    <x v="1"/>
    <x v="3"/>
    <n v="1"/>
    <n v="1"/>
    <n v="6.5"/>
    <x v="16"/>
    <n v="7"/>
    <n v="7"/>
    <n v="840582"/>
    <n v="246139"/>
    <n v="594443"/>
    <n v="44"/>
    <n v="64"/>
    <n v="6.5"/>
  </r>
  <r>
    <x v="8"/>
    <x v="8"/>
    <d v="2024-11-21T00:00:00"/>
    <s v="NA"/>
    <n v="0"/>
    <n v="87"/>
    <s v="81+"/>
    <x v="1"/>
    <x v="6"/>
    <x v="4"/>
    <x v="4"/>
    <n v="1"/>
    <n v="1"/>
    <n v="2.6"/>
    <x v="21"/>
    <n v="4"/>
    <n v="5"/>
    <n v="658844"/>
    <n v="75832"/>
    <n v="583012"/>
    <n v="54"/>
    <n v="56"/>
    <n v="7.4"/>
  </r>
  <r>
    <x v="8"/>
    <x v="8"/>
    <d v="2022-01-13T00:00:00"/>
    <s v="NA"/>
    <n v="0"/>
    <n v="43"/>
    <s v="41-60"/>
    <x v="1"/>
    <x v="3"/>
    <x v="2"/>
    <x v="1"/>
    <n v="1"/>
    <n v="1"/>
    <n v="4"/>
    <x v="26"/>
    <n v="4"/>
    <n v="6"/>
    <n v="782859"/>
    <n v="247598"/>
    <n v="535261"/>
    <n v="45"/>
    <n v="65"/>
    <n v="12.1"/>
  </r>
  <r>
    <x v="8"/>
    <x v="8"/>
    <d v="2021-06-15T00:00:00"/>
    <s v="NA"/>
    <n v="0"/>
    <n v="56"/>
    <s v="41-60"/>
    <x v="1"/>
    <x v="13"/>
    <x v="10"/>
    <x v="3"/>
    <n v="1"/>
    <n v="1"/>
    <n v="2.5"/>
    <x v="7"/>
    <n v="5"/>
    <n v="4"/>
    <n v="638191"/>
    <n v="73408"/>
    <n v="564783"/>
    <n v="56"/>
    <n v="60"/>
    <n v="7.7"/>
  </r>
  <r>
    <x v="8"/>
    <x v="8"/>
    <d v="2023-06-23T00:00:00"/>
    <s v="NA"/>
    <n v="0"/>
    <n v="49"/>
    <s v="41-60"/>
    <x v="0"/>
    <x v="9"/>
    <x v="7"/>
    <x v="2"/>
    <n v="1"/>
    <n v="1"/>
    <n v="4.0999999999999996"/>
    <x v="7"/>
    <n v="3"/>
    <n v="3"/>
    <n v="816903"/>
    <n v="241176"/>
    <n v="575727"/>
    <n v="42"/>
    <n v="61"/>
    <n v="13.2"/>
  </r>
  <r>
    <x v="8"/>
    <x v="8"/>
    <d v="2021-11-04T00:00:00"/>
    <s v="NA"/>
    <n v="0"/>
    <n v="52"/>
    <s v="41-60"/>
    <x v="0"/>
    <x v="6"/>
    <x v="4"/>
    <x v="3"/>
    <n v="1"/>
    <n v="1"/>
    <n v="6.6"/>
    <x v="5"/>
    <n v="7"/>
    <n v="6"/>
    <n v="870932"/>
    <n v="327959"/>
    <n v="542973"/>
    <n v="53"/>
    <n v="60"/>
    <n v="8.6999999999999993"/>
  </r>
  <r>
    <x v="8"/>
    <x v="8"/>
    <d v="2024-11-06T00:00:00"/>
    <s v="NA"/>
    <n v="0"/>
    <n v="65"/>
    <s v="61-80"/>
    <x v="1"/>
    <x v="12"/>
    <x v="9"/>
    <x v="2"/>
    <n v="1"/>
    <n v="1"/>
    <n v="6.8"/>
    <x v="19"/>
    <n v="3"/>
    <n v="6"/>
    <n v="615162"/>
    <n v="21710"/>
    <n v="593452"/>
    <n v="53"/>
    <n v="63"/>
    <n v="5.8"/>
  </r>
  <r>
    <x v="8"/>
    <x v="8"/>
    <d v="2023-08-06T00:00:00"/>
    <s v="NA"/>
    <n v="0"/>
    <n v="44"/>
    <s v="41-60"/>
    <x v="1"/>
    <x v="2"/>
    <x v="1"/>
    <x v="0"/>
    <n v="1"/>
    <n v="1"/>
    <n v="1.4"/>
    <x v="22"/>
    <n v="7"/>
    <n v="5"/>
    <n v="851992"/>
    <n v="335486"/>
    <n v="516506"/>
    <n v="49"/>
    <n v="66"/>
    <n v="10.6"/>
  </r>
  <r>
    <x v="8"/>
    <x v="8"/>
    <d v="2022-10-27T00:00:00"/>
    <s v="NA"/>
    <n v="0"/>
    <n v="88"/>
    <s v="81+"/>
    <x v="1"/>
    <x v="7"/>
    <x v="5"/>
    <x v="3"/>
    <n v="1"/>
    <n v="1"/>
    <n v="3.1"/>
    <x v="1"/>
    <n v="4"/>
    <n v="5"/>
    <n v="707567"/>
    <n v="129382"/>
    <n v="578185"/>
    <n v="47"/>
    <n v="66"/>
    <n v="12.1"/>
  </r>
  <r>
    <x v="8"/>
    <x v="8"/>
    <d v="2023-08-21T00:00:00"/>
    <s v="NA"/>
    <n v="0"/>
    <n v="35"/>
    <s v="21-40"/>
    <x v="1"/>
    <x v="1"/>
    <x v="1"/>
    <x v="1"/>
    <n v="1"/>
    <n v="1"/>
    <n v="2.9"/>
    <x v="12"/>
    <n v="3"/>
    <n v="5"/>
    <n v="658943"/>
    <n v="129834"/>
    <n v="529109"/>
    <n v="51"/>
    <n v="58"/>
    <n v="5.2"/>
  </r>
  <r>
    <x v="8"/>
    <x v="8"/>
    <d v="2024-07-23T00:00:00"/>
    <s v="NA"/>
    <n v="0"/>
    <n v="39"/>
    <s v="21-40"/>
    <x v="0"/>
    <x v="9"/>
    <x v="7"/>
    <x v="1"/>
    <n v="1"/>
    <n v="1"/>
    <n v="4.7"/>
    <x v="2"/>
    <n v="6"/>
    <n v="3"/>
    <n v="718139"/>
    <n v="185471"/>
    <n v="532668"/>
    <n v="49"/>
    <n v="54"/>
    <n v="14.5"/>
  </r>
  <r>
    <x v="8"/>
    <x v="8"/>
    <d v="2024-02-18T00:00:00"/>
    <s v="NA"/>
    <n v="0"/>
    <n v="49"/>
    <s v="41-60"/>
    <x v="0"/>
    <x v="5"/>
    <x v="0"/>
    <x v="1"/>
    <n v="1"/>
    <n v="1"/>
    <n v="1.2"/>
    <x v="18"/>
    <n v="7"/>
    <n v="4"/>
    <n v="619614"/>
    <n v="31902"/>
    <n v="587712"/>
    <n v="41"/>
    <n v="63"/>
    <n v="36.200000000000003"/>
  </r>
  <r>
    <x v="8"/>
    <x v="8"/>
    <d v="2021-10-04T00:00:00"/>
    <s v="NA"/>
    <n v="0"/>
    <n v="89"/>
    <s v="81+"/>
    <x v="0"/>
    <x v="0"/>
    <x v="0"/>
    <x v="4"/>
    <n v="1"/>
    <n v="1"/>
    <n v="6.6"/>
    <x v="29"/>
    <n v="5"/>
    <n v="6"/>
    <n v="887165"/>
    <n v="377511"/>
    <n v="509654"/>
    <n v="47"/>
    <n v="55"/>
    <n v="9.1999999999999993"/>
  </r>
  <r>
    <x v="8"/>
    <x v="8"/>
    <d v="2024-07-01T00:00:00"/>
    <s v="NA"/>
    <n v="0"/>
    <n v="85"/>
    <s v="81+"/>
    <x v="0"/>
    <x v="5"/>
    <x v="0"/>
    <x v="0"/>
    <n v="1"/>
    <n v="1"/>
    <n v="5.7"/>
    <x v="14"/>
    <n v="7"/>
    <n v="4"/>
    <n v="637649"/>
    <n v="43914"/>
    <n v="593735"/>
    <n v="49"/>
    <n v="62"/>
    <n v="8"/>
  </r>
  <r>
    <x v="8"/>
    <x v="8"/>
    <d v="2021-04-13T00:00:00"/>
    <s v="NA"/>
    <n v="0"/>
    <n v="87"/>
    <s v="81+"/>
    <x v="1"/>
    <x v="13"/>
    <x v="10"/>
    <x v="3"/>
    <n v="1"/>
    <n v="1"/>
    <n v="2.2000000000000002"/>
    <x v="2"/>
    <n v="3"/>
    <n v="3"/>
    <n v="715486"/>
    <n v="205104"/>
    <n v="510382"/>
    <n v="42"/>
    <n v="62"/>
    <n v="6.7"/>
  </r>
  <r>
    <x v="8"/>
    <x v="8"/>
    <d v="2023-09-25T00:00:00"/>
    <s v="NA"/>
    <n v="0"/>
    <n v="78"/>
    <s v="61-80"/>
    <x v="0"/>
    <x v="2"/>
    <x v="1"/>
    <x v="2"/>
    <n v="1"/>
    <n v="1"/>
    <n v="6.5"/>
    <x v="15"/>
    <n v="7"/>
    <n v="6"/>
    <n v="861347"/>
    <n v="303735"/>
    <n v="557612"/>
    <n v="53"/>
    <n v="59"/>
    <n v="6.3"/>
  </r>
  <r>
    <x v="8"/>
    <x v="8"/>
    <d v="2021-08-16T00:00:00"/>
    <s v="NA"/>
    <n v="0"/>
    <n v="39"/>
    <s v="21-40"/>
    <x v="0"/>
    <x v="9"/>
    <x v="7"/>
    <x v="3"/>
    <n v="1"/>
    <n v="1"/>
    <n v="6.2"/>
    <x v="22"/>
    <n v="4"/>
    <n v="7"/>
    <n v="791670"/>
    <n v="208291"/>
    <n v="583379"/>
    <n v="48"/>
    <n v="58"/>
    <n v="7"/>
  </r>
  <r>
    <x v="8"/>
    <x v="8"/>
    <d v="2024-09-07T00:00:00"/>
    <s v="NA"/>
    <n v="0"/>
    <n v="87"/>
    <s v="81+"/>
    <x v="1"/>
    <x v="6"/>
    <x v="4"/>
    <x v="3"/>
    <n v="1"/>
    <n v="1"/>
    <n v="1.6"/>
    <x v="21"/>
    <n v="7"/>
    <n v="5"/>
    <n v="627856"/>
    <n v="121598"/>
    <n v="506258"/>
    <n v="54"/>
    <n v="59"/>
    <n v="7.8"/>
  </r>
  <r>
    <x v="8"/>
    <x v="8"/>
    <d v="2023-02-02T00:00:00"/>
    <s v="NA"/>
    <n v="0"/>
    <n v="46"/>
    <s v="41-60"/>
    <x v="1"/>
    <x v="12"/>
    <x v="9"/>
    <x v="2"/>
    <n v="1"/>
    <n v="1"/>
    <n v="5.6"/>
    <x v="24"/>
    <n v="7"/>
    <n v="5"/>
    <n v="750738"/>
    <n v="232265"/>
    <n v="518473"/>
    <n v="54"/>
    <n v="60"/>
    <n v="8.3000000000000007"/>
  </r>
  <r>
    <x v="8"/>
    <x v="8"/>
    <d v="2021-04-14T00:00:00"/>
    <s v="NA"/>
    <n v="0"/>
    <n v="46"/>
    <s v="41-60"/>
    <x v="0"/>
    <x v="12"/>
    <x v="9"/>
    <x v="4"/>
    <n v="1"/>
    <n v="1"/>
    <n v="5.3"/>
    <x v="9"/>
    <n v="6"/>
    <n v="6"/>
    <n v="702935"/>
    <n v="169968"/>
    <n v="532967"/>
    <n v="45"/>
    <n v="55"/>
    <n v="12.1"/>
  </r>
  <r>
    <x v="8"/>
    <x v="8"/>
    <d v="2021-12-30T00:00:00"/>
    <s v="NA"/>
    <n v="0"/>
    <n v="47"/>
    <s v="41-60"/>
    <x v="0"/>
    <x v="12"/>
    <x v="9"/>
    <x v="4"/>
    <n v="1"/>
    <n v="1"/>
    <n v="2.2999999999999998"/>
    <x v="7"/>
    <n v="5"/>
    <n v="3"/>
    <n v="706471"/>
    <n v="109401"/>
    <n v="597070"/>
    <n v="51"/>
    <n v="55"/>
    <n v="8.4"/>
  </r>
  <r>
    <x v="8"/>
    <x v="8"/>
    <d v="2021-07-02T00:00:00"/>
    <s v="NA"/>
    <n v="0"/>
    <n v="44"/>
    <s v="41-60"/>
    <x v="0"/>
    <x v="7"/>
    <x v="5"/>
    <x v="4"/>
    <n v="1"/>
    <n v="1"/>
    <n v="5.2"/>
    <x v="15"/>
    <n v="7"/>
    <n v="4"/>
    <n v="807485"/>
    <n v="298399"/>
    <n v="509086"/>
    <n v="47"/>
    <n v="56"/>
    <n v="12.1"/>
  </r>
  <r>
    <x v="8"/>
    <x v="8"/>
    <d v="2024-12-24T00:00:00"/>
    <s v="NA"/>
    <n v="0"/>
    <n v="37"/>
    <s v="21-40"/>
    <x v="1"/>
    <x v="3"/>
    <x v="2"/>
    <x v="4"/>
    <n v="1"/>
    <n v="1"/>
    <n v="2.4"/>
    <x v="29"/>
    <n v="5"/>
    <n v="5"/>
    <n v="883408"/>
    <n v="341764"/>
    <n v="541644"/>
    <n v="58"/>
    <n v="54"/>
    <n v="12.6"/>
  </r>
  <r>
    <x v="8"/>
    <x v="8"/>
    <d v="2024-10-01T00:00:00"/>
    <s v="NA"/>
    <n v="0"/>
    <n v="35"/>
    <s v="21-40"/>
    <x v="0"/>
    <x v="12"/>
    <x v="9"/>
    <x v="0"/>
    <n v="1"/>
    <n v="1"/>
    <n v="3.7"/>
    <x v="5"/>
    <n v="6"/>
    <n v="4"/>
    <n v="605515"/>
    <n v="49569"/>
    <n v="555946"/>
    <n v="50"/>
    <n v="59"/>
    <n v="5.4"/>
  </r>
  <r>
    <x v="8"/>
    <x v="8"/>
    <d v="2023-02-23T00:00:00"/>
    <s v="NA"/>
    <n v="0"/>
    <n v="78"/>
    <s v="61-80"/>
    <x v="1"/>
    <x v="4"/>
    <x v="3"/>
    <x v="4"/>
    <n v="1"/>
    <n v="1"/>
    <n v="4.5999999999999996"/>
    <x v="23"/>
    <n v="4"/>
    <n v="4"/>
    <n v="891709"/>
    <n v="323447"/>
    <n v="568262"/>
    <n v="58"/>
    <n v="64"/>
    <n v="14.2"/>
  </r>
  <r>
    <x v="8"/>
    <x v="8"/>
    <d v="2023-05-10T00:00:00"/>
    <s v="NA"/>
    <n v="0"/>
    <n v="40"/>
    <s v="21-40"/>
    <x v="1"/>
    <x v="6"/>
    <x v="4"/>
    <x v="2"/>
    <n v="1"/>
    <n v="1"/>
    <n v="5"/>
    <x v="0"/>
    <n v="3"/>
    <n v="7"/>
    <n v="603608"/>
    <n v="43993"/>
    <n v="559615"/>
    <n v="51"/>
    <n v="57"/>
    <n v="13.5"/>
  </r>
  <r>
    <x v="8"/>
    <x v="8"/>
    <d v="2022-08-09T00:00:00"/>
    <s v="NA"/>
    <n v="0"/>
    <n v="40"/>
    <s v="21-40"/>
    <x v="0"/>
    <x v="0"/>
    <x v="0"/>
    <x v="1"/>
    <n v="1"/>
    <n v="1"/>
    <n v="2.7"/>
    <x v="19"/>
    <n v="6"/>
    <n v="4"/>
    <n v="820959"/>
    <n v="286171"/>
    <n v="534788"/>
    <n v="56"/>
    <n v="63"/>
    <n v="9.3000000000000007"/>
  </r>
  <r>
    <x v="8"/>
    <x v="8"/>
    <d v="2024-01-10T00:00:00"/>
    <s v="NA"/>
    <n v="0"/>
    <n v="45"/>
    <s v="41-60"/>
    <x v="1"/>
    <x v="3"/>
    <x v="2"/>
    <x v="4"/>
    <n v="1"/>
    <n v="1"/>
    <n v="3.6"/>
    <x v="17"/>
    <n v="7"/>
    <n v="5"/>
    <n v="763706"/>
    <n v="190984"/>
    <n v="572722"/>
    <n v="48"/>
    <n v="59"/>
    <n v="14.1"/>
  </r>
  <r>
    <x v="8"/>
    <x v="8"/>
    <d v="2023-02-08T00:00:00"/>
    <s v="NA"/>
    <n v="0"/>
    <n v="47"/>
    <s v="41-60"/>
    <x v="1"/>
    <x v="10"/>
    <x v="8"/>
    <x v="2"/>
    <n v="1"/>
    <n v="1"/>
    <n v="1.8"/>
    <x v="23"/>
    <n v="7"/>
    <n v="3"/>
    <n v="632922"/>
    <n v="116827"/>
    <n v="516095"/>
    <n v="48"/>
    <n v="61"/>
    <n v="7.5"/>
  </r>
  <r>
    <x v="8"/>
    <x v="8"/>
    <d v="2022-10-18T00:00:00"/>
    <s v="NA"/>
    <n v="0"/>
    <n v="37"/>
    <s v="21-40"/>
    <x v="0"/>
    <x v="2"/>
    <x v="1"/>
    <x v="0"/>
    <n v="1"/>
    <n v="1"/>
    <n v="3.8"/>
    <x v="9"/>
    <n v="3"/>
    <n v="7"/>
    <n v="733739"/>
    <n v="229906"/>
    <n v="503833"/>
    <n v="52"/>
    <n v="54"/>
    <n v="36.700000000000003"/>
  </r>
  <r>
    <x v="8"/>
    <x v="8"/>
    <d v="2024-08-03T00:00:00"/>
    <s v="NA"/>
    <n v="0"/>
    <n v="89"/>
    <s v="81+"/>
    <x v="1"/>
    <x v="3"/>
    <x v="2"/>
    <x v="2"/>
    <n v="1"/>
    <n v="1"/>
    <n v="7"/>
    <x v="20"/>
    <n v="3"/>
    <n v="7"/>
    <n v="816178"/>
    <n v="232043"/>
    <n v="584135"/>
    <n v="42"/>
    <n v="54"/>
    <n v="14.4"/>
  </r>
  <r>
    <x v="8"/>
    <x v="8"/>
    <d v="2022-10-25T00:00:00"/>
    <s v="NA"/>
    <n v="0"/>
    <n v="39"/>
    <s v="21-40"/>
    <x v="1"/>
    <x v="8"/>
    <x v="6"/>
    <x v="3"/>
    <n v="1"/>
    <n v="1"/>
    <n v="3.4"/>
    <x v="21"/>
    <n v="3"/>
    <n v="3"/>
    <n v="879266"/>
    <n v="318363"/>
    <n v="560903"/>
    <n v="42"/>
    <n v="54"/>
    <n v="5.3"/>
  </r>
  <r>
    <x v="8"/>
    <x v="8"/>
    <d v="2023-11-13T00:00:00"/>
    <s v="NA"/>
    <n v="0"/>
    <n v="78"/>
    <s v="61-80"/>
    <x v="0"/>
    <x v="4"/>
    <x v="3"/>
    <x v="1"/>
    <n v="1"/>
    <n v="1"/>
    <n v="3.3"/>
    <x v="3"/>
    <n v="4"/>
    <n v="3"/>
    <n v="864277"/>
    <n v="270492"/>
    <n v="593785"/>
    <n v="47"/>
    <n v="61"/>
    <n v="14.3"/>
  </r>
  <r>
    <x v="8"/>
    <x v="8"/>
    <d v="2021-07-12T00:00:00"/>
    <s v="NA"/>
    <n v="0"/>
    <n v="43"/>
    <s v="41-60"/>
    <x v="1"/>
    <x v="4"/>
    <x v="3"/>
    <x v="4"/>
    <n v="1"/>
    <n v="1"/>
    <n v="4.9000000000000004"/>
    <x v="29"/>
    <n v="3"/>
    <n v="5"/>
    <n v="799095"/>
    <n v="242115"/>
    <n v="556980"/>
    <n v="57"/>
    <n v="64"/>
    <n v="5.5"/>
  </r>
  <r>
    <x v="8"/>
    <x v="8"/>
    <d v="2021-04-11T00:00:00"/>
    <s v="NA"/>
    <n v="0"/>
    <n v="24"/>
    <s v="21-40"/>
    <x v="0"/>
    <x v="13"/>
    <x v="10"/>
    <x v="1"/>
    <n v="1"/>
    <n v="1"/>
    <n v="5.2"/>
    <x v="5"/>
    <n v="4"/>
    <n v="7"/>
    <n v="886650"/>
    <n v="309918"/>
    <n v="576732"/>
    <n v="45"/>
    <n v="59"/>
    <n v="7.9"/>
  </r>
  <r>
    <x v="8"/>
    <x v="8"/>
    <d v="2022-11-21T00:00:00"/>
    <s v="NA"/>
    <n v="0"/>
    <n v="25"/>
    <s v="21-40"/>
    <x v="1"/>
    <x v="7"/>
    <x v="5"/>
    <x v="4"/>
    <n v="1"/>
    <n v="1"/>
    <n v="1"/>
    <x v="18"/>
    <n v="7"/>
    <n v="6"/>
    <n v="659291"/>
    <n v="146940"/>
    <n v="512351"/>
    <n v="56"/>
    <n v="62"/>
    <n v="14.6"/>
  </r>
  <r>
    <x v="14"/>
    <x v="14"/>
    <d v="2022-11-07T00:00:00"/>
    <s v="NA"/>
    <n v="0"/>
    <n v="77"/>
    <s v="61-80"/>
    <x v="0"/>
    <x v="6"/>
    <x v="4"/>
    <x v="1"/>
    <n v="1"/>
    <n v="1"/>
    <n v="6.4"/>
    <x v="18"/>
    <n v="7"/>
    <n v="5"/>
    <n v="712201"/>
    <n v="168051"/>
    <n v="544150"/>
    <n v="20"/>
    <n v="63"/>
    <n v="10.4"/>
  </r>
  <r>
    <x v="8"/>
    <x v="8"/>
    <d v="2023-04-08T00:00:00"/>
    <s v="NA"/>
    <n v="0"/>
    <n v="78"/>
    <s v="61-80"/>
    <x v="1"/>
    <x v="3"/>
    <x v="2"/>
    <x v="1"/>
    <n v="1"/>
    <n v="1"/>
    <n v="2.6"/>
    <x v="11"/>
    <n v="6"/>
    <n v="7"/>
    <n v="846731"/>
    <n v="289553"/>
    <n v="557178"/>
    <n v="47"/>
    <n v="54"/>
    <n v="7.8"/>
  </r>
  <r>
    <x v="14"/>
    <x v="14"/>
    <d v="2024-02-19T00:00:00"/>
    <s v="NA"/>
    <n v="0"/>
    <n v="51"/>
    <s v="41-60"/>
    <x v="1"/>
    <x v="2"/>
    <x v="1"/>
    <x v="3"/>
    <n v="1"/>
    <n v="1"/>
    <n v="5.9"/>
    <x v="14"/>
    <n v="7"/>
    <n v="6"/>
    <n v="789403"/>
    <n v="221648"/>
    <n v="567755"/>
    <n v="20"/>
    <n v="61"/>
    <n v="13.7"/>
  </r>
  <r>
    <x v="14"/>
    <x v="14"/>
    <d v="2023-05-23T00:00:00"/>
    <s v="NA"/>
    <n v="0"/>
    <n v="33"/>
    <s v="21-40"/>
    <x v="1"/>
    <x v="1"/>
    <x v="1"/>
    <x v="2"/>
    <n v="1"/>
    <n v="1"/>
    <n v="6.6"/>
    <x v="12"/>
    <n v="7"/>
    <n v="5"/>
    <n v="607914"/>
    <n v="37566"/>
    <n v="570348"/>
    <n v="25"/>
    <n v="62"/>
    <n v="14.4"/>
  </r>
  <r>
    <x v="14"/>
    <x v="14"/>
    <d v="2023-03-26T00:00:00"/>
    <s v="NA"/>
    <n v="0"/>
    <n v="44"/>
    <s v="41-60"/>
    <x v="1"/>
    <x v="3"/>
    <x v="2"/>
    <x v="4"/>
    <n v="1"/>
    <n v="1"/>
    <n v="5.5"/>
    <x v="23"/>
    <n v="3"/>
    <n v="3"/>
    <n v="693533"/>
    <n v="274618"/>
    <n v="418915"/>
    <n v="25"/>
    <n v="55"/>
    <n v="12.2"/>
  </r>
  <r>
    <x v="8"/>
    <x v="8"/>
    <d v="2023-05-03T00:00:00"/>
    <s v="NA"/>
    <n v="0"/>
    <n v="55"/>
    <s v="41-60"/>
    <x v="1"/>
    <x v="8"/>
    <x v="6"/>
    <x v="3"/>
    <n v="1"/>
    <n v="1"/>
    <n v="2.6"/>
    <x v="9"/>
    <n v="3"/>
    <n v="4"/>
    <n v="721941"/>
    <n v="163911"/>
    <n v="558030"/>
    <n v="42"/>
    <n v="55"/>
    <n v="10.7"/>
  </r>
  <r>
    <x v="8"/>
    <x v="8"/>
    <d v="2021-03-06T00:00:00"/>
    <s v="NA"/>
    <n v="0"/>
    <n v="33"/>
    <s v="21-40"/>
    <x v="1"/>
    <x v="9"/>
    <x v="7"/>
    <x v="4"/>
    <n v="1"/>
    <n v="1"/>
    <n v="5.3"/>
    <x v="18"/>
    <n v="7"/>
    <n v="4"/>
    <n v="615128"/>
    <n v="106736"/>
    <n v="508392"/>
    <n v="56"/>
    <n v="62"/>
    <n v="7.7"/>
  </r>
  <r>
    <x v="14"/>
    <x v="14"/>
    <d v="2021-02-25T00:00:00"/>
    <s v="NA"/>
    <n v="0"/>
    <n v="22"/>
    <s v="21-40"/>
    <x v="0"/>
    <x v="0"/>
    <x v="0"/>
    <x v="2"/>
    <n v="1"/>
    <n v="1"/>
    <n v="3.4"/>
    <x v="27"/>
    <n v="6"/>
    <n v="6"/>
    <n v="751228"/>
    <n v="337467"/>
    <n v="413761"/>
    <n v="24"/>
    <n v="58"/>
    <n v="10.1"/>
  </r>
  <r>
    <x v="14"/>
    <x v="14"/>
    <d v="2022-01-19T00:00:00"/>
    <s v="NA"/>
    <n v="0"/>
    <n v="49"/>
    <s v="41-60"/>
    <x v="1"/>
    <x v="3"/>
    <x v="2"/>
    <x v="3"/>
    <n v="1"/>
    <n v="1"/>
    <n v="5.8"/>
    <x v="18"/>
    <n v="7"/>
    <n v="3"/>
    <n v="607201"/>
    <n v="123915"/>
    <n v="483286"/>
    <n v="27"/>
    <n v="63"/>
    <n v="7.7"/>
  </r>
  <r>
    <x v="8"/>
    <x v="8"/>
    <d v="2022-04-15T00:00:00"/>
    <s v="NA"/>
    <n v="0"/>
    <n v="28"/>
    <s v="21-40"/>
    <x v="0"/>
    <x v="13"/>
    <x v="10"/>
    <x v="3"/>
    <n v="1"/>
    <n v="1"/>
    <n v="4.5999999999999996"/>
    <x v="26"/>
    <n v="4"/>
    <n v="7"/>
    <n v="608496"/>
    <n v="52026"/>
    <n v="556470"/>
    <n v="45"/>
    <n v="61"/>
    <n v="10.5"/>
  </r>
  <r>
    <x v="14"/>
    <x v="14"/>
    <d v="2022-04-09T00:00:00"/>
    <s v="NA"/>
    <n v="0"/>
    <n v="53"/>
    <s v="41-60"/>
    <x v="1"/>
    <x v="11"/>
    <x v="8"/>
    <x v="3"/>
    <n v="1"/>
    <n v="1"/>
    <n v="3.5"/>
    <x v="29"/>
    <n v="4"/>
    <n v="6"/>
    <n v="631455"/>
    <n v="170609"/>
    <n v="460846"/>
    <n v="26"/>
    <n v="59"/>
    <n v="6.1"/>
  </r>
  <r>
    <x v="14"/>
    <x v="14"/>
    <d v="2021-02-23T00:00:00"/>
    <s v="NA"/>
    <n v="0"/>
    <n v="62"/>
    <s v="61-80"/>
    <x v="1"/>
    <x v="6"/>
    <x v="4"/>
    <x v="4"/>
    <n v="1"/>
    <n v="1"/>
    <n v="3.7"/>
    <x v="0"/>
    <n v="7"/>
    <n v="6"/>
    <n v="662829"/>
    <n v="217801"/>
    <n v="445028"/>
    <n v="29"/>
    <n v="58"/>
    <n v="6.5"/>
  </r>
  <r>
    <x v="14"/>
    <x v="14"/>
    <d v="2022-02-17T00:00:00"/>
    <s v="NA"/>
    <n v="0"/>
    <n v="81"/>
    <s v="81+"/>
    <x v="1"/>
    <x v="12"/>
    <x v="9"/>
    <x v="0"/>
    <n v="1"/>
    <n v="1"/>
    <n v="2.9"/>
    <x v="30"/>
    <n v="3"/>
    <n v="5"/>
    <n v="656028"/>
    <n v="238321"/>
    <n v="417707"/>
    <n v="26"/>
    <n v="58"/>
    <n v="12.2"/>
  </r>
  <r>
    <x v="8"/>
    <x v="8"/>
    <d v="2024-02-01T00:00:00"/>
    <s v="NA"/>
    <n v="0"/>
    <n v="75"/>
    <s v="61-80"/>
    <x v="0"/>
    <x v="7"/>
    <x v="5"/>
    <x v="4"/>
    <n v="1"/>
    <n v="1"/>
    <n v="6.8"/>
    <x v="9"/>
    <n v="5"/>
    <n v="7"/>
    <n v="819461"/>
    <n v="306339"/>
    <n v="513122"/>
    <n v="47"/>
    <n v="57"/>
    <n v="9.5"/>
  </r>
  <r>
    <x v="14"/>
    <x v="14"/>
    <d v="2022-06-14T00:00:00"/>
    <s v="NA"/>
    <n v="0"/>
    <n v="37"/>
    <s v="21-40"/>
    <x v="0"/>
    <x v="1"/>
    <x v="1"/>
    <x v="3"/>
    <n v="1"/>
    <n v="1"/>
    <n v="6.8"/>
    <x v="3"/>
    <n v="3"/>
    <n v="6"/>
    <n v="774446"/>
    <n v="316184"/>
    <n v="458262"/>
    <n v="20"/>
    <n v="61"/>
    <n v="12.8"/>
  </r>
  <r>
    <x v="14"/>
    <x v="14"/>
    <d v="2023-07-21T00:00:00"/>
    <s v="NA"/>
    <n v="0"/>
    <n v="51"/>
    <s v="41-60"/>
    <x v="0"/>
    <x v="0"/>
    <x v="0"/>
    <x v="0"/>
    <n v="1"/>
    <n v="1"/>
    <n v="3.1"/>
    <x v="11"/>
    <n v="5"/>
    <n v="7"/>
    <n v="782669"/>
    <n v="226704"/>
    <n v="555965"/>
    <n v="24"/>
    <n v="58"/>
    <n v="6.6"/>
  </r>
  <r>
    <x v="14"/>
    <x v="14"/>
    <d v="2021-08-02T00:00:00"/>
    <s v="NA"/>
    <n v="0"/>
    <n v="45"/>
    <s v="41-60"/>
    <x v="1"/>
    <x v="2"/>
    <x v="1"/>
    <x v="0"/>
    <n v="1"/>
    <n v="1"/>
    <n v="1.5"/>
    <x v="5"/>
    <n v="3"/>
    <n v="6"/>
    <n v="703182"/>
    <n v="247131"/>
    <n v="456051"/>
    <n v="21"/>
    <n v="66"/>
    <n v="5.3"/>
  </r>
  <r>
    <x v="8"/>
    <x v="8"/>
    <d v="2021-08-21T00:00:00"/>
    <s v="NA"/>
    <n v="0"/>
    <n v="60"/>
    <s v="41-60"/>
    <x v="1"/>
    <x v="13"/>
    <x v="10"/>
    <x v="0"/>
    <n v="1"/>
    <n v="1"/>
    <n v="5.7"/>
    <x v="14"/>
    <n v="5"/>
    <n v="5"/>
    <n v="661789"/>
    <n v="91268"/>
    <n v="570521"/>
    <n v="58"/>
    <n v="61"/>
    <n v="13.8"/>
  </r>
  <r>
    <x v="14"/>
    <x v="14"/>
    <d v="2024-07-29T00:00:00"/>
    <s v="NA"/>
    <n v="0"/>
    <n v="82"/>
    <s v="81+"/>
    <x v="0"/>
    <x v="4"/>
    <x v="3"/>
    <x v="0"/>
    <n v="1"/>
    <n v="1"/>
    <n v="2.5"/>
    <x v="23"/>
    <n v="5"/>
    <n v="6"/>
    <n v="649604"/>
    <n v="71628"/>
    <n v="577976"/>
    <n v="24"/>
    <n v="62"/>
    <n v="13.3"/>
  </r>
  <r>
    <x v="14"/>
    <x v="14"/>
    <d v="2024-04-07T00:00:00"/>
    <s v="NA"/>
    <n v="0"/>
    <n v="62"/>
    <s v="61-80"/>
    <x v="1"/>
    <x v="13"/>
    <x v="10"/>
    <x v="1"/>
    <n v="1"/>
    <n v="1"/>
    <n v="3.1"/>
    <x v="25"/>
    <n v="3"/>
    <n v="3"/>
    <n v="635364"/>
    <n v="105440"/>
    <n v="529924"/>
    <n v="27"/>
    <n v="59"/>
    <n v="12.8"/>
  </r>
  <r>
    <x v="14"/>
    <x v="14"/>
    <d v="2023-11-13T00:00:00"/>
    <s v="NA"/>
    <n v="0"/>
    <n v="41"/>
    <s v="41-60"/>
    <x v="0"/>
    <x v="0"/>
    <x v="0"/>
    <x v="1"/>
    <n v="1"/>
    <n v="1"/>
    <n v="6.3"/>
    <x v="10"/>
    <n v="5"/>
    <n v="5"/>
    <n v="722870"/>
    <n v="223816"/>
    <n v="499054"/>
    <n v="23"/>
    <n v="58"/>
    <n v="7.8"/>
  </r>
  <r>
    <x v="8"/>
    <x v="8"/>
    <d v="2024-04-26T00:00:00"/>
    <s v="NA"/>
    <n v="0"/>
    <n v="30"/>
    <s v="21-40"/>
    <x v="1"/>
    <x v="1"/>
    <x v="1"/>
    <x v="3"/>
    <n v="1"/>
    <n v="1"/>
    <n v="2.2000000000000002"/>
    <x v="15"/>
    <n v="4"/>
    <n v="4"/>
    <n v="623738"/>
    <n v="80996"/>
    <n v="542742"/>
    <n v="52"/>
    <n v="60"/>
    <n v="9.1"/>
  </r>
  <r>
    <x v="8"/>
    <x v="8"/>
    <d v="2021-07-10T00:00:00"/>
    <s v="NA"/>
    <n v="0"/>
    <n v="22"/>
    <s v="21-40"/>
    <x v="0"/>
    <x v="12"/>
    <x v="9"/>
    <x v="1"/>
    <n v="1"/>
    <n v="1"/>
    <n v="2.8"/>
    <x v="7"/>
    <n v="4"/>
    <n v="4"/>
    <n v="748130"/>
    <n v="215841"/>
    <n v="532289"/>
    <n v="42"/>
    <n v="56"/>
    <n v="10.5"/>
  </r>
  <r>
    <x v="14"/>
    <x v="14"/>
    <d v="2021-03-10T00:00:00"/>
    <s v="NA"/>
    <n v="0"/>
    <n v="85"/>
    <s v="81+"/>
    <x v="1"/>
    <x v="4"/>
    <x v="3"/>
    <x v="4"/>
    <n v="1"/>
    <n v="1"/>
    <n v="6.9"/>
    <x v="15"/>
    <n v="6"/>
    <n v="5"/>
    <n v="692634"/>
    <n v="247124"/>
    <n v="445510"/>
    <n v="21"/>
    <n v="60"/>
    <n v="10.199999999999999"/>
  </r>
  <r>
    <x v="14"/>
    <x v="14"/>
    <d v="2021-10-05T00:00:00"/>
    <s v="NA"/>
    <n v="0"/>
    <n v="31"/>
    <s v="21-40"/>
    <x v="1"/>
    <x v="3"/>
    <x v="2"/>
    <x v="4"/>
    <n v="1"/>
    <n v="1"/>
    <n v="3.1"/>
    <x v="12"/>
    <n v="4"/>
    <n v="7"/>
    <n v="724206"/>
    <n v="172462"/>
    <n v="551744"/>
    <n v="27"/>
    <n v="56"/>
    <n v="12.1"/>
  </r>
  <r>
    <x v="14"/>
    <x v="14"/>
    <d v="2022-11-23T00:00:00"/>
    <s v="NA"/>
    <n v="0"/>
    <n v="32"/>
    <s v="21-40"/>
    <x v="1"/>
    <x v="4"/>
    <x v="3"/>
    <x v="1"/>
    <n v="1"/>
    <n v="1"/>
    <n v="6.1"/>
    <x v="19"/>
    <n v="4"/>
    <n v="4"/>
    <n v="744021"/>
    <n v="306516"/>
    <n v="437505"/>
    <n v="24"/>
    <n v="54"/>
    <n v="5.9"/>
  </r>
  <r>
    <x v="14"/>
    <x v="14"/>
    <d v="2024-06-23T00:00:00"/>
    <s v="NA"/>
    <n v="0"/>
    <n v="31"/>
    <s v="21-40"/>
    <x v="0"/>
    <x v="2"/>
    <x v="1"/>
    <x v="2"/>
    <n v="1"/>
    <n v="1"/>
    <n v="2"/>
    <x v="0"/>
    <n v="3"/>
    <n v="4"/>
    <n v="652763"/>
    <n v="216937"/>
    <n v="435826"/>
    <n v="28"/>
    <n v="61"/>
    <n v="10.6"/>
  </r>
  <r>
    <x v="14"/>
    <x v="14"/>
    <d v="2021-10-27T00:00:00"/>
    <s v="NA"/>
    <n v="0"/>
    <n v="25"/>
    <s v="21-40"/>
    <x v="1"/>
    <x v="13"/>
    <x v="10"/>
    <x v="4"/>
    <n v="1"/>
    <n v="1"/>
    <n v="4.7"/>
    <x v="8"/>
    <n v="4"/>
    <n v="6"/>
    <n v="686512"/>
    <n v="191055"/>
    <n v="495457"/>
    <n v="24"/>
    <n v="62"/>
    <n v="8.8000000000000007"/>
  </r>
  <r>
    <x v="14"/>
    <x v="14"/>
    <d v="2023-02-15T00:00:00"/>
    <s v="NA"/>
    <n v="0"/>
    <n v="61"/>
    <s v="61-80"/>
    <x v="1"/>
    <x v="9"/>
    <x v="7"/>
    <x v="4"/>
    <n v="1"/>
    <n v="1"/>
    <n v="3"/>
    <x v="3"/>
    <n v="5"/>
    <n v="7"/>
    <n v="725342"/>
    <n v="195270"/>
    <n v="530072"/>
    <n v="26"/>
    <n v="55"/>
    <n v="13.5"/>
  </r>
  <r>
    <x v="14"/>
    <x v="14"/>
    <d v="2024-04-18T00:00:00"/>
    <s v="NA"/>
    <n v="0"/>
    <n v="36"/>
    <s v="21-40"/>
    <x v="1"/>
    <x v="4"/>
    <x v="3"/>
    <x v="4"/>
    <n v="1"/>
    <n v="1"/>
    <n v="2.6"/>
    <x v="12"/>
    <n v="7"/>
    <n v="7"/>
    <n v="678144"/>
    <n v="257272"/>
    <n v="420872"/>
    <n v="26"/>
    <n v="66"/>
    <n v="6.6"/>
  </r>
  <r>
    <x v="14"/>
    <x v="14"/>
    <d v="2023-09-26T00:00:00"/>
    <s v="NA"/>
    <n v="0"/>
    <n v="52"/>
    <s v="41-60"/>
    <x v="1"/>
    <x v="4"/>
    <x v="3"/>
    <x v="1"/>
    <n v="1"/>
    <n v="1"/>
    <n v="5.5"/>
    <x v="23"/>
    <n v="6"/>
    <n v="3"/>
    <n v="739821"/>
    <n v="293190"/>
    <n v="446631"/>
    <n v="27"/>
    <n v="57"/>
    <n v="9.5"/>
  </r>
  <r>
    <x v="14"/>
    <x v="14"/>
    <d v="2022-01-03T00:00:00"/>
    <s v="NA"/>
    <n v="0"/>
    <n v="29"/>
    <s v="21-40"/>
    <x v="1"/>
    <x v="2"/>
    <x v="1"/>
    <x v="0"/>
    <n v="1"/>
    <n v="1"/>
    <n v="4.9000000000000004"/>
    <x v="26"/>
    <n v="6"/>
    <n v="5"/>
    <n v="668585"/>
    <n v="264114"/>
    <n v="404471"/>
    <n v="30"/>
    <n v="63"/>
    <n v="8"/>
  </r>
  <r>
    <x v="14"/>
    <x v="14"/>
    <d v="2023-11-20T00:00:00"/>
    <s v="NA"/>
    <n v="0"/>
    <n v="34"/>
    <s v="21-40"/>
    <x v="1"/>
    <x v="12"/>
    <x v="9"/>
    <x v="4"/>
    <n v="1"/>
    <n v="1"/>
    <n v="5.3"/>
    <x v="26"/>
    <n v="6"/>
    <n v="6"/>
    <n v="612846"/>
    <n v="43165"/>
    <n v="569681"/>
    <n v="27"/>
    <n v="55"/>
    <n v="36.1"/>
  </r>
  <r>
    <x v="14"/>
    <x v="14"/>
    <d v="2024-09-19T00:00:00"/>
    <s v="NA"/>
    <n v="0"/>
    <n v="43"/>
    <s v="41-60"/>
    <x v="1"/>
    <x v="9"/>
    <x v="7"/>
    <x v="2"/>
    <n v="1"/>
    <n v="1"/>
    <n v="6.1"/>
    <x v="0"/>
    <n v="3"/>
    <n v="5"/>
    <n v="680720"/>
    <n v="120680"/>
    <n v="560040"/>
    <n v="25"/>
    <n v="60"/>
    <n v="9.5"/>
  </r>
  <r>
    <x v="14"/>
    <x v="14"/>
    <d v="2021-06-30T00:00:00"/>
    <s v="NA"/>
    <n v="0"/>
    <n v="34"/>
    <s v="21-40"/>
    <x v="1"/>
    <x v="11"/>
    <x v="8"/>
    <x v="0"/>
    <n v="1"/>
    <n v="1"/>
    <n v="5.9"/>
    <x v="8"/>
    <n v="7"/>
    <n v="3"/>
    <n v="781731"/>
    <n v="204954"/>
    <n v="576777"/>
    <n v="25"/>
    <n v="59"/>
    <n v="8.1999999999999993"/>
  </r>
  <r>
    <x v="14"/>
    <x v="14"/>
    <d v="2022-01-08T00:00:00"/>
    <s v="NA"/>
    <n v="0"/>
    <n v="77"/>
    <s v="61-80"/>
    <x v="0"/>
    <x v="0"/>
    <x v="0"/>
    <x v="0"/>
    <n v="1"/>
    <n v="1"/>
    <n v="6.8"/>
    <x v="8"/>
    <n v="4"/>
    <n v="7"/>
    <n v="768807"/>
    <n v="254652"/>
    <n v="514155"/>
    <n v="22"/>
    <n v="65"/>
    <n v="9.4"/>
  </r>
  <r>
    <x v="14"/>
    <x v="14"/>
    <d v="2022-02-11T00:00:00"/>
    <s v="NA"/>
    <n v="0"/>
    <n v="67"/>
    <s v="61-80"/>
    <x v="1"/>
    <x v="6"/>
    <x v="4"/>
    <x v="4"/>
    <n v="1"/>
    <n v="1"/>
    <n v="5.5"/>
    <x v="7"/>
    <n v="6"/>
    <n v="7"/>
    <n v="758150"/>
    <n v="287945"/>
    <n v="470205"/>
    <n v="29"/>
    <n v="57"/>
    <n v="5"/>
  </r>
  <r>
    <x v="14"/>
    <x v="14"/>
    <d v="2024-10-29T00:00:00"/>
    <s v="NA"/>
    <n v="0"/>
    <n v="65"/>
    <s v="61-80"/>
    <x v="0"/>
    <x v="2"/>
    <x v="1"/>
    <x v="2"/>
    <n v="1"/>
    <n v="1"/>
    <n v="1.9"/>
    <x v="2"/>
    <n v="4"/>
    <n v="6"/>
    <n v="798029"/>
    <n v="358562"/>
    <n v="439467"/>
    <n v="26"/>
    <n v="63"/>
    <n v="9.9"/>
  </r>
  <r>
    <x v="14"/>
    <x v="14"/>
    <d v="2021-04-29T00:00:00"/>
    <s v="NA"/>
    <n v="0"/>
    <n v="46"/>
    <s v="41-60"/>
    <x v="1"/>
    <x v="3"/>
    <x v="2"/>
    <x v="2"/>
    <n v="1"/>
    <n v="1"/>
    <n v="3.7"/>
    <x v="16"/>
    <n v="3"/>
    <n v="6"/>
    <n v="636201"/>
    <n v="203750"/>
    <n v="432451"/>
    <n v="30"/>
    <n v="55"/>
    <n v="6.9"/>
  </r>
  <r>
    <x v="14"/>
    <x v="14"/>
    <d v="2022-05-27T00:00:00"/>
    <s v="NA"/>
    <n v="0"/>
    <n v="52"/>
    <s v="41-60"/>
    <x v="1"/>
    <x v="2"/>
    <x v="1"/>
    <x v="3"/>
    <n v="1"/>
    <n v="1"/>
    <n v="3.6"/>
    <x v="25"/>
    <n v="7"/>
    <n v="6"/>
    <n v="732501"/>
    <n v="195569"/>
    <n v="536932"/>
    <n v="20"/>
    <n v="66"/>
    <n v="6.8"/>
  </r>
  <r>
    <x v="14"/>
    <x v="14"/>
    <d v="2022-04-03T00:00:00"/>
    <s v="NA"/>
    <n v="0"/>
    <n v="39"/>
    <s v="21-40"/>
    <x v="0"/>
    <x v="0"/>
    <x v="0"/>
    <x v="1"/>
    <n v="1"/>
    <n v="1"/>
    <n v="2.7"/>
    <x v="24"/>
    <n v="6"/>
    <n v="4"/>
    <n v="622496"/>
    <n v="49574"/>
    <n v="572922"/>
    <n v="20"/>
    <n v="62"/>
    <n v="8.4"/>
  </r>
  <r>
    <x v="14"/>
    <x v="14"/>
    <d v="2023-03-20T00:00:00"/>
    <s v="NA"/>
    <n v="0"/>
    <n v="54"/>
    <s v="41-60"/>
    <x v="1"/>
    <x v="2"/>
    <x v="1"/>
    <x v="2"/>
    <n v="1"/>
    <n v="1"/>
    <n v="4.4000000000000004"/>
    <x v="8"/>
    <n v="5"/>
    <n v="3"/>
    <n v="738615"/>
    <n v="176523"/>
    <n v="562092"/>
    <n v="29"/>
    <n v="56"/>
    <n v="14.6"/>
  </r>
  <r>
    <x v="14"/>
    <x v="14"/>
    <d v="2023-01-19T00:00:00"/>
    <s v="NA"/>
    <n v="0"/>
    <n v="37"/>
    <s v="21-40"/>
    <x v="1"/>
    <x v="3"/>
    <x v="2"/>
    <x v="2"/>
    <n v="1"/>
    <n v="1"/>
    <n v="6.5"/>
    <x v="1"/>
    <n v="7"/>
    <n v="3"/>
    <n v="728745"/>
    <n v="249354"/>
    <n v="479391"/>
    <n v="23"/>
    <n v="56"/>
    <n v="10.6"/>
  </r>
  <r>
    <x v="14"/>
    <x v="14"/>
    <d v="2023-04-19T00:00:00"/>
    <s v="NA"/>
    <n v="0"/>
    <n v="52"/>
    <s v="41-60"/>
    <x v="0"/>
    <x v="0"/>
    <x v="0"/>
    <x v="4"/>
    <n v="1"/>
    <n v="1"/>
    <n v="2.5"/>
    <x v="1"/>
    <n v="6"/>
    <n v="4"/>
    <n v="715379"/>
    <n v="145852"/>
    <n v="569527"/>
    <n v="26"/>
    <n v="65"/>
    <n v="7.1"/>
  </r>
  <r>
    <x v="14"/>
    <x v="14"/>
    <d v="2021-01-14T00:00:00"/>
    <s v="NA"/>
    <n v="0"/>
    <n v="30"/>
    <s v="21-40"/>
    <x v="0"/>
    <x v="0"/>
    <x v="0"/>
    <x v="2"/>
    <n v="1"/>
    <n v="1"/>
    <n v="3"/>
    <x v="20"/>
    <n v="6"/>
    <n v="6"/>
    <n v="793620"/>
    <n v="249927"/>
    <n v="543693"/>
    <n v="26"/>
    <n v="62"/>
    <n v="14.4"/>
  </r>
  <r>
    <x v="14"/>
    <x v="14"/>
    <d v="2021-09-05T00:00:00"/>
    <s v="NA"/>
    <n v="0"/>
    <n v="25"/>
    <s v="21-40"/>
    <x v="0"/>
    <x v="5"/>
    <x v="0"/>
    <x v="2"/>
    <n v="1"/>
    <n v="1"/>
    <n v="2.4"/>
    <x v="23"/>
    <n v="6"/>
    <n v="7"/>
    <n v="776585"/>
    <n v="259044"/>
    <n v="517541"/>
    <n v="21"/>
    <n v="59"/>
    <n v="12.5"/>
  </r>
  <r>
    <x v="14"/>
    <x v="14"/>
    <d v="2022-01-24T00:00:00"/>
    <s v="NA"/>
    <n v="0"/>
    <n v="85"/>
    <s v="81+"/>
    <x v="1"/>
    <x v="2"/>
    <x v="1"/>
    <x v="0"/>
    <n v="1"/>
    <n v="1"/>
    <n v="3.7"/>
    <x v="28"/>
    <n v="5"/>
    <n v="3"/>
    <n v="709779"/>
    <n v="147116"/>
    <n v="562663"/>
    <n v="28"/>
    <n v="65"/>
    <n v="10.4"/>
  </r>
  <r>
    <x v="14"/>
    <x v="14"/>
    <d v="2023-07-24T00:00:00"/>
    <s v="NA"/>
    <n v="0"/>
    <n v="81"/>
    <s v="81+"/>
    <x v="1"/>
    <x v="10"/>
    <x v="8"/>
    <x v="4"/>
    <n v="1"/>
    <n v="1"/>
    <n v="4.0999999999999996"/>
    <x v="1"/>
    <n v="7"/>
    <n v="3"/>
    <n v="676261"/>
    <n v="109870"/>
    <n v="566391"/>
    <n v="20"/>
    <n v="65"/>
    <n v="14.4"/>
  </r>
  <r>
    <x v="14"/>
    <x v="14"/>
    <d v="2022-12-07T00:00:00"/>
    <s v="NA"/>
    <n v="0"/>
    <n v="29"/>
    <s v="21-40"/>
    <x v="0"/>
    <x v="0"/>
    <x v="0"/>
    <x v="1"/>
    <n v="1"/>
    <n v="1"/>
    <n v="6.1"/>
    <x v="20"/>
    <n v="3"/>
    <n v="6"/>
    <n v="638534"/>
    <n v="209064"/>
    <n v="429470"/>
    <n v="30"/>
    <n v="59"/>
    <n v="36.5"/>
  </r>
  <r>
    <x v="14"/>
    <x v="14"/>
    <d v="2022-02-27T00:00:00"/>
    <s v="NA"/>
    <n v="0"/>
    <n v="21"/>
    <s v="21-40"/>
    <x v="1"/>
    <x v="6"/>
    <x v="4"/>
    <x v="1"/>
    <n v="1"/>
    <n v="1"/>
    <n v="4.3"/>
    <x v="11"/>
    <n v="3"/>
    <n v="4"/>
    <n v="746319"/>
    <n v="190315"/>
    <n v="556004"/>
    <n v="29"/>
    <n v="61"/>
    <n v="14.8"/>
  </r>
  <r>
    <x v="14"/>
    <x v="14"/>
    <d v="2021-09-11T00:00:00"/>
    <s v="NA"/>
    <n v="0"/>
    <n v="25"/>
    <s v="21-40"/>
    <x v="0"/>
    <x v="0"/>
    <x v="0"/>
    <x v="0"/>
    <n v="1"/>
    <n v="1"/>
    <n v="1.6"/>
    <x v="28"/>
    <n v="3"/>
    <n v="6"/>
    <n v="645897"/>
    <n v="151125"/>
    <n v="494772"/>
    <n v="25"/>
    <n v="58"/>
    <n v="7.6"/>
  </r>
  <r>
    <x v="14"/>
    <x v="14"/>
    <d v="2022-10-26T00:00:00"/>
    <s v="NA"/>
    <n v="0"/>
    <n v="47"/>
    <s v="41-60"/>
    <x v="0"/>
    <x v="13"/>
    <x v="10"/>
    <x v="3"/>
    <n v="1"/>
    <n v="1"/>
    <n v="4.2"/>
    <x v="19"/>
    <n v="3"/>
    <n v="5"/>
    <n v="749418"/>
    <n v="168815"/>
    <n v="580603"/>
    <n v="23"/>
    <n v="60"/>
    <n v="12.8"/>
  </r>
  <r>
    <x v="14"/>
    <x v="14"/>
    <d v="2022-01-17T00:00:00"/>
    <s v="NA"/>
    <n v="0"/>
    <n v="22"/>
    <s v="21-40"/>
    <x v="0"/>
    <x v="4"/>
    <x v="3"/>
    <x v="2"/>
    <n v="1"/>
    <n v="1"/>
    <n v="4.2"/>
    <x v="25"/>
    <n v="3"/>
    <n v="6"/>
    <n v="607152"/>
    <n v="80778"/>
    <n v="526374"/>
    <n v="28"/>
    <n v="57"/>
    <n v="14.4"/>
  </r>
  <r>
    <x v="14"/>
    <x v="14"/>
    <d v="2023-08-14T00:00:00"/>
    <s v="NA"/>
    <n v="0"/>
    <n v="90"/>
    <s v="81+"/>
    <x v="1"/>
    <x v="10"/>
    <x v="8"/>
    <x v="3"/>
    <n v="1"/>
    <n v="1"/>
    <n v="5.7"/>
    <x v="7"/>
    <n v="3"/>
    <n v="5"/>
    <n v="657769"/>
    <n v="169136"/>
    <n v="488633"/>
    <n v="26"/>
    <n v="64"/>
    <n v="6.1"/>
  </r>
  <r>
    <x v="14"/>
    <x v="14"/>
    <d v="2024-07-23T00:00:00"/>
    <s v="NA"/>
    <n v="0"/>
    <n v="29"/>
    <s v="21-40"/>
    <x v="0"/>
    <x v="0"/>
    <x v="0"/>
    <x v="1"/>
    <n v="1"/>
    <n v="1"/>
    <n v="6.9"/>
    <x v="16"/>
    <n v="5"/>
    <n v="3"/>
    <n v="643244"/>
    <n v="179847"/>
    <n v="463397"/>
    <n v="25"/>
    <n v="60"/>
    <n v="9.3000000000000007"/>
  </r>
  <r>
    <x v="8"/>
    <x v="8"/>
    <d v="2024-07-24T00:00:00"/>
    <s v="NA"/>
    <n v="0"/>
    <n v="33"/>
    <s v="21-40"/>
    <x v="0"/>
    <x v="0"/>
    <x v="0"/>
    <x v="1"/>
    <n v="1"/>
    <n v="1"/>
    <n v="3.4"/>
    <x v="3"/>
    <n v="3"/>
    <n v="4"/>
    <n v="875559"/>
    <n v="290279"/>
    <n v="585280"/>
    <n v="52"/>
    <n v="65"/>
    <n v="14.4"/>
  </r>
  <r>
    <x v="8"/>
    <x v="8"/>
    <d v="2022-02-05T00:00:00"/>
    <s v="NA"/>
    <n v="0"/>
    <n v="46"/>
    <s v="41-60"/>
    <x v="1"/>
    <x v="4"/>
    <x v="3"/>
    <x v="0"/>
    <n v="1"/>
    <n v="1"/>
    <n v="6.3"/>
    <x v="1"/>
    <n v="4"/>
    <n v="4"/>
    <n v="719191"/>
    <n v="166998"/>
    <n v="552193"/>
    <n v="42"/>
    <n v="55"/>
    <n v="36.200000000000003"/>
  </r>
  <r>
    <x v="8"/>
    <x v="8"/>
    <d v="2023-05-30T00:00:00"/>
    <s v="NA"/>
    <n v="0"/>
    <n v="30"/>
    <s v="21-40"/>
    <x v="0"/>
    <x v="10"/>
    <x v="8"/>
    <x v="1"/>
    <n v="1"/>
    <n v="1"/>
    <n v="1.4"/>
    <x v="23"/>
    <n v="3"/>
    <n v="4"/>
    <n v="661921"/>
    <n v="109302"/>
    <n v="552619"/>
    <n v="40"/>
    <n v="66"/>
    <n v="9.9"/>
  </r>
  <r>
    <x v="8"/>
    <x v="8"/>
    <d v="2022-06-26T00:00:00"/>
    <s v="NA"/>
    <n v="0"/>
    <n v="32"/>
    <s v="21-40"/>
    <x v="1"/>
    <x v="12"/>
    <x v="9"/>
    <x v="2"/>
    <n v="1"/>
    <n v="1"/>
    <n v="4.5"/>
    <x v="4"/>
    <n v="5"/>
    <n v="4"/>
    <n v="832826"/>
    <n v="242005"/>
    <n v="590821"/>
    <n v="55"/>
    <n v="58"/>
    <n v="9.6"/>
  </r>
  <r>
    <x v="8"/>
    <x v="8"/>
    <d v="2023-02-01T00:00:00"/>
    <s v="NA"/>
    <n v="0"/>
    <n v="67"/>
    <s v="61-80"/>
    <x v="0"/>
    <x v="7"/>
    <x v="5"/>
    <x v="2"/>
    <n v="1"/>
    <n v="1"/>
    <n v="4.3"/>
    <x v="24"/>
    <n v="6"/>
    <n v="3"/>
    <n v="767301"/>
    <n v="263603"/>
    <n v="503698"/>
    <n v="41"/>
    <n v="64"/>
    <n v="10.7"/>
  </r>
  <r>
    <x v="8"/>
    <x v="8"/>
    <d v="2021-02-08T00:00:00"/>
    <s v="NA"/>
    <n v="0"/>
    <n v="75"/>
    <s v="61-80"/>
    <x v="1"/>
    <x v="2"/>
    <x v="1"/>
    <x v="3"/>
    <n v="1"/>
    <n v="1"/>
    <n v="6.1"/>
    <x v="4"/>
    <n v="5"/>
    <n v="6"/>
    <n v="843694"/>
    <n v="266499"/>
    <n v="577195"/>
    <n v="46"/>
    <n v="65"/>
    <n v="9.6"/>
  </r>
  <r>
    <x v="8"/>
    <x v="8"/>
    <d v="2023-02-11T00:00:00"/>
    <s v="NA"/>
    <n v="0"/>
    <n v="44"/>
    <s v="41-60"/>
    <x v="1"/>
    <x v="6"/>
    <x v="4"/>
    <x v="0"/>
    <n v="1"/>
    <n v="1"/>
    <n v="2.5"/>
    <x v="24"/>
    <n v="6"/>
    <n v="6"/>
    <n v="658001"/>
    <n v="83160"/>
    <n v="574841"/>
    <n v="46"/>
    <n v="64"/>
    <n v="36.299999999999997"/>
  </r>
  <r>
    <x v="8"/>
    <x v="8"/>
    <d v="2024-02-08T00:00:00"/>
    <s v="NA"/>
    <n v="0"/>
    <n v="34"/>
    <s v="21-40"/>
    <x v="1"/>
    <x v="4"/>
    <x v="3"/>
    <x v="4"/>
    <n v="1"/>
    <n v="1"/>
    <n v="2.1"/>
    <x v="12"/>
    <n v="4"/>
    <n v="4"/>
    <n v="835205"/>
    <n v="296900"/>
    <n v="538305"/>
    <n v="49"/>
    <n v="54"/>
    <n v="9.5"/>
  </r>
  <r>
    <x v="8"/>
    <x v="8"/>
    <d v="2024-10-04T00:00:00"/>
    <s v="NA"/>
    <n v="0"/>
    <n v="38"/>
    <s v="21-40"/>
    <x v="1"/>
    <x v="2"/>
    <x v="1"/>
    <x v="1"/>
    <n v="1"/>
    <n v="1"/>
    <n v="5.8"/>
    <x v="11"/>
    <n v="5"/>
    <n v="5"/>
    <n v="639641"/>
    <n v="136599"/>
    <n v="503042"/>
    <n v="60"/>
    <n v="62"/>
    <n v="10.4"/>
  </r>
  <r>
    <x v="14"/>
    <x v="14"/>
    <d v="2024-10-19T00:00:00"/>
    <s v="NA"/>
    <n v="0"/>
    <n v="59"/>
    <s v="41-60"/>
    <x v="1"/>
    <x v="2"/>
    <x v="1"/>
    <x v="4"/>
    <n v="1"/>
    <n v="1"/>
    <n v="3.6"/>
    <x v="18"/>
    <n v="7"/>
    <n v="5"/>
    <n v="645882"/>
    <n v="195112"/>
    <n v="450770"/>
    <n v="26"/>
    <n v="54"/>
    <n v="36.200000000000003"/>
  </r>
  <r>
    <x v="8"/>
    <x v="8"/>
    <d v="2024-02-15T00:00:00"/>
    <s v="NA"/>
    <n v="0"/>
    <n v="46"/>
    <s v="41-60"/>
    <x v="0"/>
    <x v="10"/>
    <x v="8"/>
    <x v="3"/>
    <n v="1"/>
    <n v="1"/>
    <n v="6.2"/>
    <x v="5"/>
    <n v="4"/>
    <n v="7"/>
    <n v="799481"/>
    <n v="252937"/>
    <n v="546544"/>
    <n v="51"/>
    <n v="62"/>
    <n v="15"/>
  </r>
  <r>
    <x v="14"/>
    <x v="14"/>
    <d v="2024-04-05T00:00:00"/>
    <s v="NA"/>
    <n v="0"/>
    <n v="60"/>
    <s v="41-60"/>
    <x v="0"/>
    <x v="2"/>
    <x v="1"/>
    <x v="2"/>
    <n v="1"/>
    <n v="1"/>
    <n v="2"/>
    <x v="26"/>
    <n v="5"/>
    <n v="5"/>
    <n v="719385"/>
    <n v="246984"/>
    <n v="472401"/>
    <n v="22"/>
    <n v="58"/>
    <n v="5.4"/>
  </r>
  <r>
    <x v="8"/>
    <x v="8"/>
    <d v="2021-12-18T00:00:00"/>
    <s v="NA"/>
    <n v="0"/>
    <n v="31"/>
    <s v="21-40"/>
    <x v="0"/>
    <x v="10"/>
    <x v="8"/>
    <x v="4"/>
    <n v="1"/>
    <n v="1"/>
    <n v="2.6"/>
    <x v="24"/>
    <n v="7"/>
    <n v="5"/>
    <n v="789817"/>
    <n v="272416"/>
    <n v="517401"/>
    <n v="55"/>
    <n v="62"/>
    <n v="5.3"/>
  </r>
  <r>
    <x v="8"/>
    <x v="8"/>
    <d v="2021-10-05T00:00:00"/>
    <s v="NA"/>
    <n v="0"/>
    <n v="35"/>
    <s v="21-40"/>
    <x v="1"/>
    <x v="7"/>
    <x v="5"/>
    <x v="2"/>
    <n v="1"/>
    <n v="1"/>
    <n v="2.5"/>
    <x v="18"/>
    <n v="4"/>
    <n v="6"/>
    <n v="867954"/>
    <n v="282721"/>
    <n v="585233"/>
    <n v="54"/>
    <n v="65"/>
    <n v="6.3"/>
  </r>
  <r>
    <x v="8"/>
    <x v="8"/>
    <d v="2022-09-20T00:00:00"/>
    <s v="NA"/>
    <n v="0"/>
    <n v="40"/>
    <s v="21-40"/>
    <x v="0"/>
    <x v="12"/>
    <x v="9"/>
    <x v="0"/>
    <n v="1"/>
    <n v="1"/>
    <n v="4.0999999999999996"/>
    <x v="23"/>
    <n v="6"/>
    <n v="7"/>
    <n v="702932"/>
    <n v="149460"/>
    <n v="553472"/>
    <n v="52"/>
    <n v="57"/>
    <n v="5.6"/>
  </r>
  <r>
    <x v="14"/>
    <x v="14"/>
    <d v="2021-01-19T00:00:00"/>
    <s v="NA"/>
    <n v="0"/>
    <n v="79"/>
    <s v="61-80"/>
    <x v="0"/>
    <x v="0"/>
    <x v="0"/>
    <x v="4"/>
    <n v="1"/>
    <n v="1"/>
    <n v="1.5"/>
    <x v="28"/>
    <n v="3"/>
    <n v="4"/>
    <n v="734172"/>
    <n v="255622"/>
    <n v="478550"/>
    <n v="20"/>
    <n v="59"/>
    <n v="6.5"/>
  </r>
  <r>
    <x v="8"/>
    <x v="8"/>
    <d v="2022-01-04T00:00:00"/>
    <s v="NA"/>
    <n v="0"/>
    <n v="37"/>
    <s v="21-40"/>
    <x v="1"/>
    <x v="6"/>
    <x v="4"/>
    <x v="4"/>
    <n v="1"/>
    <n v="1"/>
    <n v="2.6"/>
    <x v="4"/>
    <n v="5"/>
    <n v="3"/>
    <n v="605057"/>
    <n v="17000"/>
    <n v="588057"/>
    <n v="42"/>
    <n v="55"/>
    <n v="36.5"/>
  </r>
  <r>
    <x v="8"/>
    <x v="8"/>
    <d v="2022-08-17T00:00:00"/>
    <s v="NA"/>
    <n v="0"/>
    <n v="73"/>
    <s v="61-80"/>
    <x v="1"/>
    <x v="6"/>
    <x v="4"/>
    <x v="1"/>
    <n v="1"/>
    <n v="1"/>
    <n v="4.7"/>
    <x v="24"/>
    <n v="3"/>
    <n v="7"/>
    <n v="675196"/>
    <n v="116900"/>
    <n v="558296"/>
    <n v="45"/>
    <n v="63"/>
    <n v="5.7"/>
  </r>
  <r>
    <x v="14"/>
    <x v="14"/>
    <d v="2021-01-01T00:00:00"/>
    <s v="NA"/>
    <n v="0"/>
    <n v="74"/>
    <s v="61-80"/>
    <x v="1"/>
    <x v="6"/>
    <x v="4"/>
    <x v="1"/>
    <n v="1"/>
    <n v="1"/>
    <n v="3.9"/>
    <x v="7"/>
    <n v="4"/>
    <n v="4"/>
    <n v="736930"/>
    <n v="189968"/>
    <n v="546962"/>
    <n v="30"/>
    <n v="61"/>
    <n v="7.9"/>
  </r>
  <r>
    <x v="8"/>
    <x v="8"/>
    <d v="2021-10-02T00:00:00"/>
    <s v="NA"/>
    <n v="0"/>
    <n v="36"/>
    <s v="21-40"/>
    <x v="1"/>
    <x v="10"/>
    <x v="8"/>
    <x v="4"/>
    <n v="1"/>
    <n v="1"/>
    <n v="4.8"/>
    <x v="23"/>
    <n v="7"/>
    <n v="3"/>
    <n v="660560"/>
    <n v="126370"/>
    <n v="534190"/>
    <n v="55"/>
    <n v="63"/>
    <n v="6.1"/>
  </r>
  <r>
    <x v="8"/>
    <x v="8"/>
    <d v="2023-10-21T00:00:00"/>
    <s v="NA"/>
    <n v="0"/>
    <n v="78"/>
    <s v="61-80"/>
    <x v="0"/>
    <x v="5"/>
    <x v="0"/>
    <x v="2"/>
    <n v="1"/>
    <n v="1"/>
    <n v="6.2"/>
    <x v="30"/>
    <n v="5"/>
    <n v="4"/>
    <n v="854099"/>
    <n v="259220"/>
    <n v="594879"/>
    <n v="52"/>
    <n v="59"/>
    <n v="8.1"/>
  </r>
  <r>
    <x v="8"/>
    <x v="8"/>
    <d v="2021-11-09T00:00:00"/>
    <s v="NA"/>
    <n v="0"/>
    <n v="42"/>
    <s v="41-60"/>
    <x v="0"/>
    <x v="6"/>
    <x v="4"/>
    <x v="4"/>
    <n v="1"/>
    <n v="1"/>
    <n v="6.7"/>
    <x v="6"/>
    <n v="3"/>
    <n v="4"/>
    <n v="896294"/>
    <n v="328901"/>
    <n v="567393"/>
    <n v="41"/>
    <n v="59"/>
    <n v="36.9"/>
  </r>
  <r>
    <x v="14"/>
    <x v="14"/>
    <d v="2024-07-15T00:00:00"/>
    <s v="NA"/>
    <n v="0"/>
    <n v="54"/>
    <s v="41-60"/>
    <x v="0"/>
    <x v="0"/>
    <x v="0"/>
    <x v="4"/>
    <n v="1"/>
    <n v="1"/>
    <n v="6.2"/>
    <x v="14"/>
    <n v="6"/>
    <n v="5"/>
    <n v="785710"/>
    <n v="324923"/>
    <n v="460787"/>
    <n v="22"/>
    <n v="61"/>
    <n v="8.6"/>
  </r>
  <r>
    <x v="8"/>
    <x v="8"/>
    <d v="2021-03-12T00:00:00"/>
    <s v="NA"/>
    <n v="0"/>
    <n v="28"/>
    <s v="21-40"/>
    <x v="1"/>
    <x v="4"/>
    <x v="3"/>
    <x v="2"/>
    <n v="1"/>
    <n v="1"/>
    <n v="5.2"/>
    <x v="30"/>
    <n v="4"/>
    <n v="6"/>
    <n v="709358"/>
    <n v="200665"/>
    <n v="508693"/>
    <n v="50"/>
    <n v="60"/>
    <n v="12.1"/>
  </r>
  <r>
    <x v="14"/>
    <x v="14"/>
    <d v="2022-07-04T00:00:00"/>
    <s v="NA"/>
    <n v="0"/>
    <n v="50"/>
    <s v="41-60"/>
    <x v="1"/>
    <x v="2"/>
    <x v="1"/>
    <x v="1"/>
    <n v="1"/>
    <n v="1"/>
    <n v="4"/>
    <x v="10"/>
    <n v="5"/>
    <n v="6"/>
    <n v="703263"/>
    <n v="186211"/>
    <n v="517052"/>
    <n v="28"/>
    <n v="57"/>
    <n v="8"/>
  </r>
  <r>
    <x v="8"/>
    <x v="8"/>
    <d v="2021-10-31T00:00:00"/>
    <s v="NA"/>
    <n v="0"/>
    <n v="80"/>
    <s v="61-80"/>
    <x v="1"/>
    <x v="3"/>
    <x v="2"/>
    <x v="4"/>
    <n v="1"/>
    <n v="1"/>
    <n v="4.4000000000000004"/>
    <x v="16"/>
    <n v="5"/>
    <n v="5"/>
    <n v="868730"/>
    <n v="351641"/>
    <n v="517089"/>
    <n v="45"/>
    <n v="55"/>
    <n v="36.200000000000003"/>
  </r>
  <r>
    <x v="8"/>
    <x v="8"/>
    <d v="2021-11-12T00:00:00"/>
    <s v="NA"/>
    <n v="0"/>
    <n v="27"/>
    <s v="21-40"/>
    <x v="0"/>
    <x v="6"/>
    <x v="4"/>
    <x v="0"/>
    <n v="1"/>
    <n v="1"/>
    <n v="2.2000000000000002"/>
    <x v="9"/>
    <n v="7"/>
    <n v="4"/>
    <n v="780833"/>
    <n v="267212"/>
    <n v="513621"/>
    <n v="50"/>
    <n v="60"/>
    <n v="6.4"/>
  </r>
  <r>
    <x v="8"/>
    <x v="8"/>
    <d v="2023-05-30T00:00:00"/>
    <s v="NA"/>
    <n v="0"/>
    <n v="89"/>
    <s v="81+"/>
    <x v="0"/>
    <x v="4"/>
    <x v="3"/>
    <x v="0"/>
    <n v="1"/>
    <n v="1"/>
    <n v="2.9"/>
    <x v="6"/>
    <n v="7"/>
    <n v="4"/>
    <n v="728309"/>
    <n v="176773"/>
    <n v="551536"/>
    <n v="56"/>
    <n v="60"/>
    <n v="36.6"/>
  </r>
  <r>
    <x v="14"/>
    <x v="14"/>
    <d v="2021-06-28T00:00:00"/>
    <s v="NA"/>
    <n v="0"/>
    <n v="84"/>
    <s v="81+"/>
    <x v="1"/>
    <x v="10"/>
    <x v="8"/>
    <x v="0"/>
    <n v="1"/>
    <n v="1"/>
    <n v="6.2"/>
    <x v="29"/>
    <n v="7"/>
    <n v="7"/>
    <n v="617612"/>
    <n v="131806"/>
    <n v="485806"/>
    <n v="28"/>
    <n v="62"/>
    <n v="14"/>
  </r>
  <r>
    <x v="8"/>
    <x v="8"/>
    <d v="2021-07-24T00:00:00"/>
    <s v="NA"/>
    <n v="0"/>
    <n v="42"/>
    <s v="41-60"/>
    <x v="0"/>
    <x v="0"/>
    <x v="0"/>
    <x v="2"/>
    <n v="1"/>
    <n v="1"/>
    <n v="2.9"/>
    <x v="3"/>
    <n v="4"/>
    <n v="6"/>
    <n v="617298"/>
    <n v="64977"/>
    <n v="552321"/>
    <n v="57"/>
    <n v="60"/>
    <n v="9.5"/>
  </r>
  <r>
    <x v="8"/>
    <x v="8"/>
    <d v="2022-07-17T00:00:00"/>
    <s v="NA"/>
    <n v="0"/>
    <n v="30"/>
    <s v="21-40"/>
    <x v="0"/>
    <x v="0"/>
    <x v="0"/>
    <x v="3"/>
    <n v="1"/>
    <n v="1"/>
    <n v="3.1"/>
    <x v="0"/>
    <n v="3"/>
    <n v="4"/>
    <n v="650416"/>
    <n v="80643"/>
    <n v="569773"/>
    <n v="44"/>
    <n v="56"/>
    <n v="14.9"/>
  </r>
  <r>
    <x v="8"/>
    <x v="8"/>
    <d v="2022-12-30T00:00:00"/>
    <s v="NA"/>
    <n v="0"/>
    <n v="43"/>
    <s v="41-60"/>
    <x v="1"/>
    <x v="2"/>
    <x v="1"/>
    <x v="2"/>
    <n v="1"/>
    <n v="1"/>
    <n v="2.2999999999999998"/>
    <x v="5"/>
    <n v="5"/>
    <n v="4"/>
    <n v="862967"/>
    <n v="354886"/>
    <n v="508081"/>
    <n v="54"/>
    <n v="60"/>
    <n v="6.9"/>
  </r>
  <r>
    <x v="8"/>
    <x v="8"/>
    <d v="2024-10-06T00:00:00"/>
    <s v="NA"/>
    <n v="0"/>
    <n v="39"/>
    <s v="21-40"/>
    <x v="0"/>
    <x v="6"/>
    <x v="4"/>
    <x v="4"/>
    <n v="1"/>
    <n v="1"/>
    <n v="5.8"/>
    <x v="20"/>
    <n v="5"/>
    <n v="7"/>
    <n v="744992"/>
    <n v="153690"/>
    <n v="591302"/>
    <n v="58"/>
    <n v="55"/>
    <n v="8.1"/>
  </r>
  <r>
    <x v="14"/>
    <x v="14"/>
    <d v="2024-09-27T00:00:00"/>
    <s v="NA"/>
    <n v="0"/>
    <n v="37"/>
    <s v="21-40"/>
    <x v="0"/>
    <x v="0"/>
    <x v="0"/>
    <x v="3"/>
    <n v="1"/>
    <n v="1"/>
    <n v="5.7"/>
    <x v="20"/>
    <n v="5"/>
    <n v="5"/>
    <n v="744268"/>
    <n v="270770"/>
    <n v="473498"/>
    <n v="27"/>
    <n v="60"/>
    <n v="7.1"/>
  </r>
  <r>
    <x v="8"/>
    <x v="8"/>
    <d v="2021-09-21T00:00:00"/>
    <s v="NA"/>
    <n v="0"/>
    <n v="66"/>
    <s v="61-80"/>
    <x v="0"/>
    <x v="10"/>
    <x v="8"/>
    <x v="1"/>
    <n v="1"/>
    <n v="1"/>
    <n v="1.1000000000000001"/>
    <x v="3"/>
    <n v="4"/>
    <n v="3"/>
    <n v="736565"/>
    <n v="200872"/>
    <n v="535693"/>
    <n v="54"/>
    <n v="57"/>
    <n v="36.1"/>
  </r>
  <r>
    <x v="8"/>
    <x v="8"/>
    <d v="2022-04-24T00:00:00"/>
    <s v="NA"/>
    <n v="0"/>
    <n v="45"/>
    <s v="41-60"/>
    <x v="1"/>
    <x v="3"/>
    <x v="2"/>
    <x v="4"/>
    <n v="1"/>
    <n v="1"/>
    <n v="1.1000000000000001"/>
    <x v="15"/>
    <n v="7"/>
    <n v="6"/>
    <n v="612437"/>
    <n v="86836"/>
    <n v="525601"/>
    <n v="52"/>
    <n v="60"/>
    <n v="36.5"/>
  </r>
  <r>
    <x v="8"/>
    <x v="8"/>
    <d v="2023-07-26T00:00:00"/>
    <s v="NA"/>
    <n v="0"/>
    <n v="64"/>
    <s v="61-80"/>
    <x v="0"/>
    <x v="7"/>
    <x v="5"/>
    <x v="2"/>
    <n v="1"/>
    <n v="1"/>
    <n v="4.5999999999999996"/>
    <x v="4"/>
    <n v="6"/>
    <n v="6"/>
    <n v="646715"/>
    <n v="135864"/>
    <n v="510851"/>
    <n v="50"/>
    <n v="58"/>
    <n v="6"/>
  </r>
  <r>
    <x v="8"/>
    <x v="8"/>
    <d v="2023-11-18T00:00:00"/>
    <s v="NA"/>
    <n v="0"/>
    <n v="90"/>
    <s v="81+"/>
    <x v="1"/>
    <x v="12"/>
    <x v="9"/>
    <x v="4"/>
    <n v="1"/>
    <n v="1"/>
    <n v="3"/>
    <x v="17"/>
    <n v="4"/>
    <n v="3"/>
    <n v="840708"/>
    <n v="333794"/>
    <n v="506914"/>
    <n v="47"/>
    <n v="61"/>
    <n v="8.3000000000000007"/>
  </r>
  <r>
    <x v="8"/>
    <x v="8"/>
    <d v="2022-08-22T00:00:00"/>
    <s v="NA"/>
    <n v="0"/>
    <n v="74"/>
    <s v="61-80"/>
    <x v="0"/>
    <x v="12"/>
    <x v="9"/>
    <x v="1"/>
    <n v="1"/>
    <n v="1"/>
    <n v="5.4"/>
    <x v="14"/>
    <n v="3"/>
    <n v="4"/>
    <n v="721706"/>
    <n v="192816"/>
    <n v="528890"/>
    <n v="57"/>
    <n v="62"/>
    <n v="6.6"/>
  </r>
  <r>
    <x v="8"/>
    <x v="8"/>
    <d v="2021-05-02T00:00:00"/>
    <s v="NA"/>
    <n v="0"/>
    <n v="54"/>
    <s v="41-60"/>
    <x v="0"/>
    <x v="2"/>
    <x v="1"/>
    <x v="3"/>
    <n v="1"/>
    <n v="1"/>
    <n v="5.3"/>
    <x v="15"/>
    <n v="6"/>
    <n v="3"/>
    <n v="669101"/>
    <n v="145268"/>
    <n v="523833"/>
    <n v="43"/>
    <n v="57"/>
    <n v="9.6999999999999993"/>
  </r>
  <r>
    <x v="8"/>
    <x v="8"/>
    <d v="2024-03-15T00:00:00"/>
    <s v="NA"/>
    <n v="0"/>
    <n v="30"/>
    <s v="21-40"/>
    <x v="1"/>
    <x v="9"/>
    <x v="7"/>
    <x v="0"/>
    <n v="1"/>
    <n v="1"/>
    <n v="5.8"/>
    <x v="5"/>
    <n v="6"/>
    <n v="4"/>
    <n v="805022"/>
    <n v="241744"/>
    <n v="563278"/>
    <n v="53"/>
    <n v="65"/>
    <n v="6.8"/>
  </r>
  <r>
    <x v="8"/>
    <x v="8"/>
    <d v="2022-09-02T00:00:00"/>
    <s v="NA"/>
    <n v="0"/>
    <n v="90"/>
    <s v="81+"/>
    <x v="1"/>
    <x v="7"/>
    <x v="5"/>
    <x v="2"/>
    <n v="1"/>
    <n v="1"/>
    <n v="1.3"/>
    <x v="15"/>
    <n v="3"/>
    <n v="5"/>
    <n v="619300"/>
    <n v="93368"/>
    <n v="525932"/>
    <n v="41"/>
    <n v="66"/>
    <n v="7.2"/>
  </r>
  <r>
    <x v="8"/>
    <x v="8"/>
    <d v="2022-10-15T00:00:00"/>
    <s v="NA"/>
    <n v="0"/>
    <n v="29"/>
    <s v="21-40"/>
    <x v="0"/>
    <x v="14"/>
    <x v="11"/>
    <x v="1"/>
    <n v="1"/>
    <n v="1"/>
    <n v="5.9"/>
    <x v="26"/>
    <n v="5"/>
    <n v="3"/>
    <n v="688204"/>
    <n v="95795"/>
    <n v="592409"/>
    <n v="44"/>
    <n v="57"/>
    <n v="5.7"/>
  </r>
  <r>
    <x v="8"/>
    <x v="8"/>
    <d v="2022-01-30T00:00:00"/>
    <s v="NA"/>
    <n v="0"/>
    <n v="34"/>
    <s v="21-40"/>
    <x v="1"/>
    <x v="11"/>
    <x v="8"/>
    <x v="2"/>
    <n v="1"/>
    <n v="1"/>
    <n v="1.4"/>
    <x v="11"/>
    <n v="5"/>
    <n v="7"/>
    <n v="863939"/>
    <n v="356456"/>
    <n v="507483"/>
    <n v="43"/>
    <n v="65"/>
    <n v="7"/>
  </r>
  <r>
    <x v="8"/>
    <x v="8"/>
    <d v="2023-11-17T00:00:00"/>
    <s v="NA"/>
    <n v="0"/>
    <n v="84"/>
    <s v="81+"/>
    <x v="1"/>
    <x v="1"/>
    <x v="1"/>
    <x v="3"/>
    <n v="1"/>
    <n v="1"/>
    <n v="3.1"/>
    <x v="9"/>
    <n v="3"/>
    <n v="5"/>
    <n v="670578"/>
    <n v="108900"/>
    <n v="561678"/>
    <n v="58"/>
    <n v="58"/>
    <n v="6.2"/>
  </r>
  <r>
    <x v="8"/>
    <x v="8"/>
    <d v="2024-10-26T00:00:00"/>
    <s v="NA"/>
    <n v="0"/>
    <n v="43"/>
    <s v="41-60"/>
    <x v="0"/>
    <x v="2"/>
    <x v="1"/>
    <x v="0"/>
    <n v="1"/>
    <n v="1"/>
    <n v="1.7"/>
    <x v="5"/>
    <n v="7"/>
    <n v="3"/>
    <n v="714939"/>
    <n v="175453"/>
    <n v="539486"/>
    <n v="40"/>
    <n v="57"/>
    <n v="10"/>
  </r>
  <r>
    <x v="8"/>
    <x v="8"/>
    <d v="2022-01-04T00:00:00"/>
    <s v="NA"/>
    <n v="0"/>
    <n v="26"/>
    <s v="21-40"/>
    <x v="1"/>
    <x v="6"/>
    <x v="4"/>
    <x v="4"/>
    <n v="1"/>
    <n v="1"/>
    <n v="5.2"/>
    <x v="1"/>
    <n v="6"/>
    <n v="5"/>
    <n v="736534"/>
    <n v="153979"/>
    <n v="582555"/>
    <n v="56"/>
    <n v="54"/>
    <n v="12.7"/>
  </r>
  <r>
    <x v="14"/>
    <x v="14"/>
    <d v="2021-04-11T00:00:00"/>
    <s v="NA"/>
    <n v="0"/>
    <n v="48"/>
    <s v="41-60"/>
    <x v="0"/>
    <x v="4"/>
    <x v="3"/>
    <x v="2"/>
    <n v="1"/>
    <n v="1"/>
    <n v="2.2000000000000002"/>
    <x v="12"/>
    <n v="5"/>
    <n v="5"/>
    <n v="764864"/>
    <n v="178361"/>
    <n v="586503"/>
    <n v="30"/>
    <n v="54"/>
    <n v="14.8"/>
  </r>
  <r>
    <x v="14"/>
    <x v="14"/>
    <d v="2021-09-08T00:00:00"/>
    <s v="NA"/>
    <n v="0"/>
    <n v="46"/>
    <s v="41-60"/>
    <x v="1"/>
    <x v="2"/>
    <x v="1"/>
    <x v="0"/>
    <n v="1"/>
    <n v="1"/>
    <n v="4.2"/>
    <x v="27"/>
    <n v="6"/>
    <n v="5"/>
    <n v="727734"/>
    <n v="197914"/>
    <n v="529820"/>
    <n v="26"/>
    <n v="64"/>
    <n v="12.2"/>
  </r>
  <r>
    <x v="14"/>
    <x v="14"/>
    <d v="2023-10-03T00:00:00"/>
    <s v="NA"/>
    <n v="0"/>
    <n v="39"/>
    <s v="21-40"/>
    <x v="1"/>
    <x v="2"/>
    <x v="1"/>
    <x v="4"/>
    <n v="1"/>
    <n v="1"/>
    <n v="6.7"/>
    <x v="0"/>
    <n v="4"/>
    <n v="5"/>
    <n v="755238"/>
    <n v="219068"/>
    <n v="536170"/>
    <n v="29"/>
    <n v="65"/>
    <n v="8.1"/>
  </r>
  <r>
    <x v="8"/>
    <x v="8"/>
    <d v="2023-07-13T00:00:00"/>
    <s v="NA"/>
    <n v="0"/>
    <n v="53"/>
    <s v="41-60"/>
    <x v="1"/>
    <x v="8"/>
    <x v="6"/>
    <x v="3"/>
    <n v="1"/>
    <n v="1"/>
    <n v="3.9"/>
    <x v="18"/>
    <n v="7"/>
    <n v="3"/>
    <n v="832228"/>
    <n v="316301"/>
    <n v="515927"/>
    <n v="54"/>
    <n v="62"/>
    <n v="13.3"/>
  </r>
  <r>
    <x v="8"/>
    <x v="8"/>
    <d v="2024-04-27T00:00:00"/>
    <s v="NA"/>
    <n v="0"/>
    <n v="55"/>
    <s v="41-60"/>
    <x v="1"/>
    <x v="10"/>
    <x v="8"/>
    <x v="2"/>
    <n v="1"/>
    <n v="1"/>
    <n v="5.2"/>
    <x v="17"/>
    <n v="5"/>
    <n v="7"/>
    <n v="684190"/>
    <n v="176877"/>
    <n v="507313"/>
    <n v="41"/>
    <n v="65"/>
    <n v="14.9"/>
  </r>
  <r>
    <x v="8"/>
    <x v="8"/>
    <d v="2021-02-04T00:00:00"/>
    <s v="NA"/>
    <n v="0"/>
    <n v="22"/>
    <s v="21-40"/>
    <x v="1"/>
    <x v="2"/>
    <x v="1"/>
    <x v="4"/>
    <n v="1"/>
    <n v="1"/>
    <n v="5.3"/>
    <x v="27"/>
    <n v="3"/>
    <n v="5"/>
    <n v="850472"/>
    <n v="297930"/>
    <n v="552542"/>
    <n v="42"/>
    <n v="55"/>
    <n v="7.8"/>
  </r>
  <r>
    <x v="8"/>
    <x v="8"/>
    <d v="2024-02-14T00:00:00"/>
    <s v="NA"/>
    <n v="0"/>
    <n v="27"/>
    <s v="21-40"/>
    <x v="1"/>
    <x v="11"/>
    <x v="8"/>
    <x v="4"/>
    <n v="1"/>
    <n v="1"/>
    <n v="1.4"/>
    <x v="22"/>
    <n v="4"/>
    <n v="6"/>
    <n v="705466"/>
    <n v="117650"/>
    <n v="587816"/>
    <n v="41"/>
    <n v="57"/>
    <n v="5.6"/>
  </r>
  <r>
    <x v="8"/>
    <x v="8"/>
    <d v="2021-05-12T00:00:00"/>
    <s v="NA"/>
    <n v="0"/>
    <n v="52"/>
    <s v="41-60"/>
    <x v="1"/>
    <x v="8"/>
    <x v="6"/>
    <x v="1"/>
    <n v="1"/>
    <n v="1"/>
    <n v="3"/>
    <x v="6"/>
    <n v="3"/>
    <n v="3"/>
    <n v="648088"/>
    <n v="109765"/>
    <n v="538323"/>
    <n v="50"/>
    <n v="60"/>
    <n v="5.6"/>
  </r>
  <r>
    <x v="8"/>
    <x v="8"/>
    <d v="2024-12-19T00:00:00"/>
    <s v="NA"/>
    <n v="0"/>
    <n v="36"/>
    <s v="21-40"/>
    <x v="1"/>
    <x v="11"/>
    <x v="8"/>
    <x v="0"/>
    <n v="1"/>
    <n v="1"/>
    <n v="2"/>
    <x v="28"/>
    <n v="3"/>
    <n v="5"/>
    <n v="818052"/>
    <n v="234453"/>
    <n v="583599"/>
    <n v="53"/>
    <n v="63"/>
    <n v="14.2"/>
  </r>
  <r>
    <x v="8"/>
    <x v="8"/>
    <d v="2022-02-19T00:00:00"/>
    <s v="NA"/>
    <n v="0"/>
    <n v="50"/>
    <s v="41-60"/>
    <x v="0"/>
    <x v="12"/>
    <x v="9"/>
    <x v="4"/>
    <n v="1"/>
    <n v="1"/>
    <n v="6.8"/>
    <x v="24"/>
    <n v="5"/>
    <n v="4"/>
    <n v="701330"/>
    <n v="190357"/>
    <n v="510973"/>
    <n v="44"/>
    <n v="57"/>
    <n v="36.200000000000003"/>
  </r>
  <r>
    <x v="8"/>
    <x v="8"/>
    <d v="2021-03-10T00:00:00"/>
    <s v="NA"/>
    <n v="0"/>
    <n v="84"/>
    <s v="81+"/>
    <x v="1"/>
    <x v="2"/>
    <x v="1"/>
    <x v="2"/>
    <n v="1"/>
    <n v="1"/>
    <n v="4.3"/>
    <x v="7"/>
    <n v="3"/>
    <n v="7"/>
    <n v="676372"/>
    <n v="159721"/>
    <n v="516651"/>
    <n v="55"/>
    <n v="54"/>
    <n v="36.700000000000003"/>
  </r>
  <r>
    <x v="8"/>
    <x v="8"/>
    <d v="2022-07-16T00:00:00"/>
    <s v="NA"/>
    <n v="0"/>
    <n v="60"/>
    <s v="41-60"/>
    <x v="0"/>
    <x v="9"/>
    <x v="7"/>
    <x v="0"/>
    <n v="1"/>
    <n v="1"/>
    <n v="1.4"/>
    <x v="9"/>
    <n v="6"/>
    <n v="3"/>
    <n v="812904"/>
    <n v="230499"/>
    <n v="582405"/>
    <n v="58"/>
    <n v="63"/>
    <n v="13.8"/>
  </r>
  <r>
    <x v="8"/>
    <x v="8"/>
    <d v="2022-04-27T00:00:00"/>
    <s v="NA"/>
    <n v="0"/>
    <n v="70"/>
    <s v="61-80"/>
    <x v="1"/>
    <x v="9"/>
    <x v="7"/>
    <x v="4"/>
    <n v="1"/>
    <n v="1"/>
    <n v="6.4"/>
    <x v="21"/>
    <n v="6"/>
    <n v="4"/>
    <n v="887256"/>
    <n v="362577"/>
    <n v="524679"/>
    <n v="46"/>
    <n v="56"/>
    <n v="7.8"/>
  </r>
  <r>
    <x v="8"/>
    <x v="8"/>
    <d v="2024-04-18T00:00:00"/>
    <s v="NA"/>
    <n v="0"/>
    <n v="46"/>
    <s v="41-60"/>
    <x v="1"/>
    <x v="1"/>
    <x v="1"/>
    <x v="0"/>
    <n v="1"/>
    <n v="1"/>
    <n v="4.8"/>
    <x v="14"/>
    <n v="6"/>
    <n v="3"/>
    <n v="675088"/>
    <n v="94185"/>
    <n v="580903"/>
    <n v="46"/>
    <n v="66"/>
    <n v="12.8"/>
  </r>
  <r>
    <x v="8"/>
    <x v="8"/>
    <d v="2021-03-11T00:00:00"/>
    <s v="NA"/>
    <n v="0"/>
    <n v="62"/>
    <s v="61-80"/>
    <x v="1"/>
    <x v="13"/>
    <x v="10"/>
    <x v="2"/>
    <n v="1"/>
    <n v="1"/>
    <n v="5.5"/>
    <x v="2"/>
    <n v="7"/>
    <n v="4"/>
    <n v="821238"/>
    <n v="224384"/>
    <n v="596854"/>
    <n v="40"/>
    <n v="55"/>
    <n v="12.9"/>
  </r>
  <r>
    <x v="8"/>
    <x v="8"/>
    <d v="2021-04-18T00:00:00"/>
    <s v="NA"/>
    <n v="0"/>
    <n v="35"/>
    <s v="21-40"/>
    <x v="1"/>
    <x v="2"/>
    <x v="1"/>
    <x v="4"/>
    <n v="1"/>
    <n v="1"/>
    <n v="4.2"/>
    <x v="29"/>
    <n v="5"/>
    <n v="5"/>
    <n v="793101"/>
    <n v="194417"/>
    <n v="598684"/>
    <n v="41"/>
    <n v="54"/>
    <n v="9.4"/>
  </r>
  <r>
    <x v="8"/>
    <x v="8"/>
    <d v="2021-11-25T00:00:00"/>
    <s v="NA"/>
    <n v="0"/>
    <n v="31"/>
    <s v="21-40"/>
    <x v="0"/>
    <x v="9"/>
    <x v="7"/>
    <x v="2"/>
    <n v="1"/>
    <n v="1"/>
    <n v="2.7"/>
    <x v="4"/>
    <n v="6"/>
    <n v="3"/>
    <n v="724139"/>
    <n v="198386"/>
    <n v="525753"/>
    <n v="49"/>
    <n v="55"/>
    <n v="12"/>
  </r>
  <r>
    <x v="14"/>
    <x v="14"/>
    <d v="2021-12-14T00:00:00"/>
    <s v="NA"/>
    <n v="0"/>
    <n v="62"/>
    <s v="61-80"/>
    <x v="0"/>
    <x v="0"/>
    <x v="0"/>
    <x v="3"/>
    <n v="1"/>
    <n v="1"/>
    <n v="2.6"/>
    <x v="29"/>
    <n v="3"/>
    <n v="6"/>
    <n v="643973"/>
    <n v="192932"/>
    <n v="451041"/>
    <n v="25"/>
    <n v="58"/>
    <n v="8.6999999999999993"/>
  </r>
  <r>
    <x v="8"/>
    <x v="8"/>
    <d v="2024-03-13T00:00:00"/>
    <s v="NA"/>
    <n v="0"/>
    <n v="88"/>
    <s v="81+"/>
    <x v="0"/>
    <x v="7"/>
    <x v="5"/>
    <x v="1"/>
    <n v="1"/>
    <n v="1"/>
    <n v="6.9"/>
    <x v="18"/>
    <n v="3"/>
    <n v="4"/>
    <n v="887369"/>
    <n v="379630"/>
    <n v="507739"/>
    <n v="54"/>
    <n v="63"/>
    <n v="14.8"/>
  </r>
  <r>
    <x v="8"/>
    <x v="8"/>
    <d v="2024-06-08T00:00:00"/>
    <s v="NA"/>
    <n v="0"/>
    <n v="42"/>
    <s v="41-60"/>
    <x v="0"/>
    <x v="14"/>
    <x v="11"/>
    <x v="2"/>
    <n v="1"/>
    <n v="1"/>
    <n v="5.7"/>
    <x v="5"/>
    <n v="6"/>
    <n v="5"/>
    <n v="820750"/>
    <n v="259126"/>
    <n v="561624"/>
    <n v="45"/>
    <n v="63"/>
    <n v="6.7"/>
  </r>
  <r>
    <x v="14"/>
    <x v="14"/>
    <d v="2022-05-21T00:00:00"/>
    <s v="NA"/>
    <n v="0"/>
    <n v="39"/>
    <s v="21-40"/>
    <x v="0"/>
    <x v="4"/>
    <x v="3"/>
    <x v="1"/>
    <n v="1"/>
    <n v="1"/>
    <n v="1"/>
    <x v="4"/>
    <n v="6"/>
    <n v="3"/>
    <n v="736039"/>
    <n v="299040"/>
    <n v="436999"/>
    <n v="26"/>
    <n v="58"/>
    <n v="9.8000000000000007"/>
  </r>
  <r>
    <x v="8"/>
    <x v="8"/>
    <d v="2023-10-06T00:00:00"/>
    <s v="NA"/>
    <n v="0"/>
    <n v="88"/>
    <s v="81+"/>
    <x v="0"/>
    <x v="7"/>
    <x v="5"/>
    <x v="0"/>
    <n v="1"/>
    <n v="1"/>
    <n v="4.3"/>
    <x v="0"/>
    <n v="5"/>
    <n v="5"/>
    <n v="763629"/>
    <n v="215376"/>
    <n v="548253"/>
    <n v="45"/>
    <n v="63"/>
    <n v="7.7"/>
  </r>
  <r>
    <x v="8"/>
    <x v="8"/>
    <d v="2022-10-02T00:00:00"/>
    <s v="NA"/>
    <n v="0"/>
    <n v="68"/>
    <s v="61-80"/>
    <x v="0"/>
    <x v="12"/>
    <x v="9"/>
    <x v="3"/>
    <n v="1"/>
    <n v="1"/>
    <n v="2.4"/>
    <x v="10"/>
    <n v="4"/>
    <n v="5"/>
    <n v="728434"/>
    <n v="193777"/>
    <n v="534657"/>
    <n v="48"/>
    <n v="59"/>
    <n v="14.5"/>
  </r>
  <r>
    <x v="8"/>
    <x v="8"/>
    <d v="2021-01-03T00:00:00"/>
    <s v="NA"/>
    <n v="0"/>
    <n v="45"/>
    <s v="41-60"/>
    <x v="1"/>
    <x v="7"/>
    <x v="5"/>
    <x v="2"/>
    <n v="1"/>
    <n v="1"/>
    <n v="1.5"/>
    <x v="6"/>
    <n v="7"/>
    <n v="6"/>
    <n v="833535"/>
    <n v="243245"/>
    <n v="590290"/>
    <n v="44"/>
    <n v="65"/>
    <n v="12.3"/>
  </r>
  <r>
    <x v="8"/>
    <x v="8"/>
    <d v="2023-09-19T00:00:00"/>
    <s v="NA"/>
    <n v="0"/>
    <n v="34"/>
    <s v="21-40"/>
    <x v="0"/>
    <x v="5"/>
    <x v="0"/>
    <x v="2"/>
    <n v="1"/>
    <n v="1"/>
    <n v="1.9"/>
    <x v="23"/>
    <n v="4"/>
    <n v="3"/>
    <n v="671939"/>
    <n v="131673"/>
    <n v="540266"/>
    <n v="45"/>
    <n v="54"/>
    <n v="7.2"/>
  </r>
  <r>
    <x v="8"/>
    <x v="8"/>
    <d v="2024-06-04T00:00:00"/>
    <s v="NA"/>
    <n v="0"/>
    <n v="71"/>
    <s v="61-80"/>
    <x v="1"/>
    <x v="4"/>
    <x v="3"/>
    <x v="2"/>
    <n v="1"/>
    <n v="1"/>
    <n v="3.6"/>
    <x v="6"/>
    <n v="3"/>
    <n v="6"/>
    <n v="695598"/>
    <n v="155072"/>
    <n v="540526"/>
    <n v="44"/>
    <n v="62"/>
    <n v="14.2"/>
  </r>
  <r>
    <x v="14"/>
    <x v="14"/>
    <d v="2024-08-10T00:00:00"/>
    <s v="NA"/>
    <n v="0"/>
    <n v="66"/>
    <s v="61-80"/>
    <x v="0"/>
    <x v="5"/>
    <x v="0"/>
    <x v="1"/>
    <n v="1"/>
    <n v="1"/>
    <n v="1.2"/>
    <x v="23"/>
    <n v="4"/>
    <n v="7"/>
    <n v="687363"/>
    <n v="281389"/>
    <n v="405974"/>
    <n v="20"/>
    <n v="62"/>
    <n v="10.199999999999999"/>
  </r>
  <r>
    <x v="8"/>
    <x v="8"/>
    <d v="2022-06-29T00:00:00"/>
    <s v="NA"/>
    <n v="0"/>
    <n v="27"/>
    <s v="21-40"/>
    <x v="0"/>
    <x v="5"/>
    <x v="0"/>
    <x v="4"/>
    <n v="1"/>
    <n v="1"/>
    <n v="6.7"/>
    <x v="5"/>
    <n v="5"/>
    <n v="4"/>
    <n v="605871"/>
    <n v="81482"/>
    <n v="524389"/>
    <n v="50"/>
    <n v="62"/>
    <n v="9.3000000000000007"/>
  </r>
  <r>
    <x v="8"/>
    <x v="8"/>
    <d v="2021-12-28T00:00:00"/>
    <s v="NA"/>
    <n v="0"/>
    <n v="39"/>
    <s v="21-40"/>
    <x v="0"/>
    <x v="0"/>
    <x v="0"/>
    <x v="3"/>
    <n v="1"/>
    <n v="1"/>
    <n v="1.2"/>
    <x v="11"/>
    <n v="4"/>
    <n v="7"/>
    <n v="799141"/>
    <n v="254307"/>
    <n v="544834"/>
    <n v="51"/>
    <n v="62"/>
    <n v="14.1"/>
  </r>
  <r>
    <x v="8"/>
    <x v="8"/>
    <d v="2022-11-04T00:00:00"/>
    <s v="NA"/>
    <n v="0"/>
    <n v="25"/>
    <s v="21-40"/>
    <x v="1"/>
    <x v="10"/>
    <x v="8"/>
    <x v="0"/>
    <n v="1"/>
    <n v="1"/>
    <n v="5.5"/>
    <x v="21"/>
    <n v="3"/>
    <n v="3"/>
    <n v="896370"/>
    <n v="297917"/>
    <n v="598453"/>
    <n v="52"/>
    <n v="56"/>
    <n v="7.5"/>
  </r>
  <r>
    <x v="8"/>
    <x v="8"/>
    <d v="2021-01-30T00:00:00"/>
    <s v="NA"/>
    <n v="0"/>
    <n v="80"/>
    <s v="61-80"/>
    <x v="0"/>
    <x v="0"/>
    <x v="0"/>
    <x v="4"/>
    <n v="1"/>
    <n v="1"/>
    <n v="6.1"/>
    <x v="27"/>
    <n v="5"/>
    <n v="7"/>
    <n v="833702"/>
    <n v="307088"/>
    <n v="526614"/>
    <n v="52"/>
    <n v="65"/>
    <n v="36.4"/>
  </r>
  <r>
    <x v="8"/>
    <x v="8"/>
    <d v="2021-12-03T00:00:00"/>
    <s v="NA"/>
    <n v="0"/>
    <n v="31"/>
    <s v="21-40"/>
    <x v="1"/>
    <x v="3"/>
    <x v="2"/>
    <x v="4"/>
    <n v="1"/>
    <n v="1"/>
    <n v="6.1"/>
    <x v="6"/>
    <n v="6"/>
    <n v="6"/>
    <n v="868210"/>
    <n v="319247"/>
    <n v="548963"/>
    <n v="42"/>
    <n v="61"/>
    <n v="7.7"/>
  </r>
  <r>
    <x v="8"/>
    <x v="8"/>
    <d v="2021-03-07T00:00:00"/>
    <s v="NA"/>
    <n v="0"/>
    <n v="25"/>
    <s v="21-40"/>
    <x v="0"/>
    <x v="12"/>
    <x v="9"/>
    <x v="2"/>
    <n v="1"/>
    <n v="1"/>
    <n v="1.6"/>
    <x v="4"/>
    <n v="7"/>
    <n v="6"/>
    <n v="608626"/>
    <n v="13550"/>
    <n v="595076"/>
    <n v="47"/>
    <n v="64"/>
    <n v="12.3"/>
  </r>
  <r>
    <x v="8"/>
    <x v="8"/>
    <d v="2021-10-16T00:00:00"/>
    <s v="NA"/>
    <n v="0"/>
    <n v="33"/>
    <s v="21-40"/>
    <x v="0"/>
    <x v="9"/>
    <x v="7"/>
    <x v="2"/>
    <n v="1"/>
    <n v="1"/>
    <n v="3.7"/>
    <x v="28"/>
    <n v="7"/>
    <n v="6"/>
    <n v="844365"/>
    <n v="271596"/>
    <n v="572769"/>
    <n v="46"/>
    <n v="62"/>
    <n v="8.1999999999999993"/>
  </r>
  <r>
    <x v="8"/>
    <x v="8"/>
    <d v="2022-02-27T00:00:00"/>
    <s v="NA"/>
    <n v="0"/>
    <n v="44"/>
    <s v="41-60"/>
    <x v="1"/>
    <x v="12"/>
    <x v="9"/>
    <x v="2"/>
    <n v="1"/>
    <n v="1"/>
    <n v="3.7"/>
    <x v="1"/>
    <n v="5"/>
    <n v="5"/>
    <n v="872554"/>
    <n v="324942"/>
    <n v="547612"/>
    <n v="56"/>
    <n v="66"/>
    <n v="6.7"/>
  </r>
  <r>
    <x v="8"/>
    <x v="8"/>
    <d v="2024-08-04T00:00:00"/>
    <s v="NA"/>
    <n v="0"/>
    <n v="90"/>
    <s v="81+"/>
    <x v="1"/>
    <x v="2"/>
    <x v="1"/>
    <x v="3"/>
    <n v="1"/>
    <n v="1"/>
    <n v="4.5999999999999996"/>
    <x v="27"/>
    <n v="5"/>
    <n v="5"/>
    <n v="785641"/>
    <n v="281695"/>
    <n v="503946"/>
    <n v="40"/>
    <n v="59"/>
    <n v="7.8"/>
  </r>
  <r>
    <x v="8"/>
    <x v="8"/>
    <d v="2021-07-03T00:00:00"/>
    <s v="NA"/>
    <n v="0"/>
    <n v="66"/>
    <s v="61-80"/>
    <x v="0"/>
    <x v="9"/>
    <x v="7"/>
    <x v="1"/>
    <n v="1"/>
    <n v="1"/>
    <n v="5.7"/>
    <x v="13"/>
    <n v="4"/>
    <n v="3"/>
    <n v="606421"/>
    <n v="18058"/>
    <n v="588363"/>
    <n v="47"/>
    <n v="54"/>
    <n v="36.9"/>
  </r>
  <r>
    <x v="8"/>
    <x v="8"/>
    <d v="2022-09-26T00:00:00"/>
    <s v="NA"/>
    <n v="0"/>
    <n v="44"/>
    <s v="41-60"/>
    <x v="1"/>
    <x v="3"/>
    <x v="2"/>
    <x v="3"/>
    <n v="1"/>
    <n v="1"/>
    <n v="4.3"/>
    <x v="7"/>
    <n v="7"/>
    <n v="5"/>
    <n v="656877"/>
    <n v="123619"/>
    <n v="533258"/>
    <n v="50"/>
    <n v="60"/>
    <n v="36"/>
  </r>
  <r>
    <x v="8"/>
    <x v="8"/>
    <d v="2024-01-28T00:00:00"/>
    <s v="NA"/>
    <n v="0"/>
    <n v="88"/>
    <s v="81+"/>
    <x v="1"/>
    <x v="10"/>
    <x v="8"/>
    <x v="2"/>
    <n v="1"/>
    <n v="1"/>
    <n v="5.7"/>
    <x v="15"/>
    <n v="4"/>
    <n v="3"/>
    <n v="649073"/>
    <n v="118631"/>
    <n v="530442"/>
    <n v="56"/>
    <n v="64"/>
    <n v="9.4"/>
  </r>
  <r>
    <x v="8"/>
    <x v="8"/>
    <d v="2022-02-11T00:00:00"/>
    <s v="NA"/>
    <n v="0"/>
    <n v="25"/>
    <s v="21-40"/>
    <x v="0"/>
    <x v="0"/>
    <x v="0"/>
    <x v="0"/>
    <n v="1"/>
    <n v="1"/>
    <n v="3.1"/>
    <x v="8"/>
    <n v="3"/>
    <n v="7"/>
    <n v="712732"/>
    <n v="168223"/>
    <n v="544509"/>
    <n v="58"/>
    <n v="57"/>
    <n v="13.2"/>
  </r>
  <r>
    <x v="8"/>
    <x v="8"/>
    <d v="2022-01-01T00:00:00"/>
    <s v="NA"/>
    <n v="0"/>
    <n v="86"/>
    <s v="81+"/>
    <x v="1"/>
    <x v="6"/>
    <x v="4"/>
    <x v="0"/>
    <n v="1"/>
    <n v="1"/>
    <n v="5.6"/>
    <x v="29"/>
    <n v="5"/>
    <n v="3"/>
    <n v="651374"/>
    <n v="56404"/>
    <n v="594970"/>
    <n v="51"/>
    <n v="58"/>
    <n v="10.9"/>
  </r>
  <r>
    <x v="8"/>
    <x v="8"/>
    <d v="2021-03-24T00:00:00"/>
    <s v="NA"/>
    <n v="0"/>
    <n v="59"/>
    <s v="41-60"/>
    <x v="1"/>
    <x v="4"/>
    <x v="3"/>
    <x v="0"/>
    <n v="1"/>
    <n v="1"/>
    <n v="4.7"/>
    <x v="4"/>
    <n v="6"/>
    <n v="3"/>
    <n v="673296"/>
    <n v="122237"/>
    <n v="551059"/>
    <n v="44"/>
    <n v="63"/>
    <n v="12.5"/>
  </r>
  <r>
    <x v="8"/>
    <x v="8"/>
    <d v="2021-08-23T00:00:00"/>
    <s v="NA"/>
    <n v="0"/>
    <n v="74"/>
    <s v="61-80"/>
    <x v="0"/>
    <x v="10"/>
    <x v="8"/>
    <x v="2"/>
    <n v="1"/>
    <n v="1"/>
    <n v="6.3"/>
    <x v="4"/>
    <n v="5"/>
    <n v="5"/>
    <n v="789226"/>
    <n v="267804"/>
    <n v="521422"/>
    <n v="52"/>
    <n v="61"/>
    <n v="6.9"/>
  </r>
  <r>
    <x v="8"/>
    <x v="8"/>
    <d v="2023-09-09T00:00:00"/>
    <s v="NA"/>
    <n v="0"/>
    <n v="32"/>
    <s v="21-40"/>
    <x v="1"/>
    <x v="11"/>
    <x v="8"/>
    <x v="1"/>
    <n v="1"/>
    <n v="1"/>
    <n v="2.4"/>
    <x v="24"/>
    <n v="7"/>
    <n v="6"/>
    <n v="685896"/>
    <n v="122490"/>
    <n v="563406"/>
    <n v="60"/>
    <n v="66"/>
    <n v="36.700000000000003"/>
  </r>
  <r>
    <x v="8"/>
    <x v="8"/>
    <d v="2024-12-20T00:00:00"/>
    <s v="NA"/>
    <n v="0"/>
    <n v="28"/>
    <s v="21-40"/>
    <x v="0"/>
    <x v="12"/>
    <x v="9"/>
    <x v="0"/>
    <n v="1"/>
    <n v="1"/>
    <n v="5.7"/>
    <x v="10"/>
    <n v="5"/>
    <n v="7"/>
    <n v="854140"/>
    <n v="294840"/>
    <n v="559300"/>
    <n v="57"/>
    <n v="66"/>
    <n v="9.8000000000000007"/>
  </r>
  <r>
    <x v="8"/>
    <x v="8"/>
    <d v="2021-09-22T00:00:00"/>
    <s v="NA"/>
    <n v="0"/>
    <n v="33"/>
    <s v="21-40"/>
    <x v="0"/>
    <x v="13"/>
    <x v="10"/>
    <x v="2"/>
    <n v="1"/>
    <n v="1"/>
    <n v="1.5"/>
    <x v="27"/>
    <n v="6"/>
    <n v="3"/>
    <n v="624020"/>
    <n v="54102"/>
    <n v="569918"/>
    <n v="50"/>
    <n v="65"/>
    <n v="7"/>
  </r>
  <r>
    <x v="8"/>
    <x v="8"/>
    <d v="2023-05-08T00:00:00"/>
    <s v="NA"/>
    <n v="0"/>
    <n v="44"/>
    <s v="41-60"/>
    <x v="1"/>
    <x v="1"/>
    <x v="1"/>
    <x v="0"/>
    <n v="1"/>
    <n v="1"/>
    <n v="2.9"/>
    <x v="11"/>
    <n v="3"/>
    <n v="6"/>
    <n v="792097"/>
    <n v="214959"/>
    <n v="577138"/>
    <n v="54"/>
    <n v="58"/>
    <n v="36.799999999999997"/>
  </r>
  <r>
    <x v="8"/>
    <x v="8"/>
    <d v="2024-10-22T00:00:00"/>
    <s v="NA"/>
    <n v="0"/>
    <n v="46"/>
    <s v="41-60"/>
    <x v="0"/>
    <x v="12"/>
    <x v="9"/>
    <x v="1"/>
    <n v="1"/>
    <n v="1"/>
    <n v="2.1"/>
    <x v="25"/>
    <n v="6"/>
    <n v="3"/>
    <n v="727038"/>
    <n v="223428"/>
    <n v="503610"/>
    <n v="56"/>
    <n v="55"/>
    <n v="7.8"/>
  </r>
  <r>
    <x v="8"/>
    <x v="8"/>
    <d v="2023-09-28T00:00:00"/>
    <s v="NA"/>
    <n v="0"/>
    <n v="52"/>
    <s v="41-60"/>
    <x v="1"/>
    <x v="1"/>
    <x v="1"/>
    <x v="2"/>
    <n v="1"/>
    <n v="1"/>
    <n v="2.2999999999999998"/>
    <x v="23"/>
    <n v="5"/>
    <n v="5"/>
    <n v="742447"/>
    <n v="178065"/>
    <n v="564382"/>
    <n v="50"/>
    <n v="56"/>
    <n v="5.8"/>
  </r>
  <r>
    <x v="8"/>
    <x v="8"/>
    <d v="2021-10-27T00:00:00"/>
    <s v="NA"/>
    <n v="0"/>
    <n v="39"/>
    <s v="21-40"/>
    <x v="0"/>
    <x v="4"/>
    <x v="3"/>
    <x v="4"/>
    <n v="1"/>
    <n v="1"/>
    <n v="2.2999999999999998"/>
    <x v="18"/>
    <n v="3"/>
    <n v="6"/>
    <n v="849500"/>
    <n v="349048"/>
    <n v="500452"/>
    <n v="44"/>
    <n v="64"/>
    <n v="7.3"/>
  </r>
  <r>
    <x v="8"/>
    <x v="8"/>
    <d v="2022-08-24T00:00:00"/>
    <s v="NA"/>
    <n v="0"/>
    <n v="43"/>
    <s v="41-60"/>
    <x v="0"/>
    <x v="5"/>
    <x v="0"/>
    <x v="3"/>
    <n v="1"/>
    <n v="1"/>
    <n v="3.6"/>
    <x v="5"/>
    <n v="4"/>
    <n v="6"/>
    <n v="723879"/>
    <n v="184841"/>
    <n v="539038"/>
    <n v="47"/>
    <n v="58"/>
    <n v="6.7"/>
  </r>
  <r>
    <x v="8"/>
    <x v="8"/>
    <d v="2021-04-06T00:00:00"/>
    <s v="NA"/>
    <n v="0"/>
    <n v="61"/>
    <s v="61-80"/>
    <x v="0"/>
    <x v="13"/>
    <x v="10"/>
    <x v="4"/>
    <n v="1"/>
    <n v="1"/>
    <n v="1.1000000000000001"/>
    <x v="22"/>
    <n v="5"/>
    <n v="6"/>
    <n v="766356"/>
    <n v="263037"/>
    <n v="503319"/>
    <n v="60"/>
    <n v="60"/>
    <n v="14.7"/>
  </r>
  <r>
    <x v="8"/>
    <x v="8"/>
    <d v="2023-10-11T00:00:00"/>
    <s v="NA"/>
    <n v="0"/>
    <n v="36"/>
    <s v="21-40"/>
    <x v="0"/>
    <x v="4"/>
    <x v="3"/>
    <x v="1"/>
    <n v="1"/>
    <n v="1"/>
    <n v="6.3"/>
    <x v="15"/>
    <n v="5"/>
    <n v="6"/>
    <n v="781510"/>
    <n v="190591"/>
    <n v="590919"/>
    <n v="56"/>
    <n v="62"/>
    <n v="13.6"/>
  </r>
  <r>
    <x v="8"/>
    <x v="8"/>
    <d v="2023-03-16T00:00:00"/>
    <s v="NA"/>
    <n v="0"/>
    <n v="21"/>
    <s v="21-40"/>
    <x v="0"/>
    <x v="7"/>
    <x v="5"/>
    <x v="3"/>
    <n v="1"/>
    <n v="1"/>
    <n v="6.5"/>
    <x v="18"/>
    <n v="7"/>
    <n v="5"/>
    <n v="682914"/>
    <n v="135082"/>
    <n v="547832"/>
    <n v="50"/>
    <n v="58"/>
    <n v="12.5"/>
  </r>
  <r>
    <x v="8"/>
    <x v="8"/>
    <d v="2022-08-21T00:00:00"/>
    <s v="NA"/>
    <n v="0"/>
    <n v="66"/>
    <s v="61-80"/>
    <x v="0"/>
    <x v="0"/>
    <x v="0"/>
    <x v="4"/>
    <n v="1"/>
    <n v="1"/>
    <n v="1.4"/>
    <x v="26"/>
    <n v="3"/>
    <n v="6"/>
    <n v="616666"/>
    <n v="90636"/>
    <n v="526030"/>
    <n v="40"/>
    <n v="62"/>
    <n v="10"/>
  </r>
  <r>
    <x v="8"/>
    <x v="8"/>
    <d v="2022-03-20T00:00:00"/>
    <s v="NA"/>
    <n v="0"/>
    <n v="36"/>
    <s v="21-40"/>
    <x v="1"/>
    <x v="6"/>
    <x v="4"/>
    <x v="1"/>
    <n v="1"/>
    <n v="1"/>
    <n v="4.9000000000000004"/>
    <x v="6"/>
    <n v="5"/>
    <n v="4"/>
    <n v="744095"/>
    <n v="223020"/>
    <n v="521075"/>
    <n v="56"/>
    <n v="66"/>
    <n v="13.6"/>
  </r>
  <r>
    <x v="8"/>
    <x v="8"/>
    <d v="2022-04-01T00:00:00"/>
    <s v="NA"/>
    <n v="0"/>
    <n v="45"/>
    <s v="41-60"/>
    <x v="1"/>
    <x v="6"/>
    <x v="4"/>
    <x v="4"/>
    <n v="1"/>
    <n v="1"/>
    <n v="3.5"/>
    <x v="12"/>
    <n v="7"/>
    <n v="3"/>
    <n v="810404"/>
    <n v="235849"/>
    <n v="574555"/>
    <n v="40"/>
    <n v="59"/>
    <n v="7.7"/>
  </r>
  <r>
    <x v="8"/>
    <x v="8"/>
    <d v="2021-08-05T00:00:00"/>
    <s v="NA"/>
    <n v="0"/>
    <n v="61"/>
    <s v="61-80"/>
    <x v="0"/>
    <x v="0"/>
    <x v="0"/>
    <x v="2"/>
    <n v="1"/>
    <n v="1"/>
    <n v="5.2"/>
    <x v="8"/>
    <n v="5"/>
    <n v="5"/>
    <n v="713744"/>
    <n v="132536"/>
    <n v="581208"/>
    <n v="40"/>
    <n v="62"/>
    <n v="13.5"/>
  </r>
  <r>
    <x v="8"/>
    <x v="8"/>
    <d v="2024-08-25T00:00:00"/>
    <s v="NA"/>
    <n v="0"/>
    <n v="43"/>
    <s v="41-60"/>
    <x v="1"/>
    <x v="8"/>
    <x v="6"/>
    <x v="0"/>
    <n v="1"/>
    <n v="1"/>
    <n v="5"/>
    <x v="19"/>
    <n v="7"/>
    <n v="4"/>
    <n v="633345"/>
    <n v="61295"/>
    <n v="572050"/>
    <n v="47"/>
    <n v="57"/>
    <n v="12.6"/>
  </r>
  <r>
    <x v="8"/>
    <x v="8"/>
    <d v="2022-01-30T00:00:00"/>
    <s v="NA"/>
    <n v="0"/>
    <n v="34"/>
    <s v="21-40"/>
    <x v="1"/>
    <x v="6"/>
    <x v="4"/>
    <x v="1"/>
    <n v="1"/>
    <n v="1"/>
    <n v="3.7"/>
    <x v="22"/>
    <n v="3"/>
    <n v="4"/>
    <n v="863744"/>
    <n v="312946"/>
    <n v="550798"/>
    <n v="55"/>
    <n v="62"/>
    <n v="14.8"/>
  </r>
  <r>
    <x v="8"/>
    <x v="8"/>
    <d v="2021-03-31T00:00:00"/>
    <s v="NA"/>
    <n v="0"/>
    <n v="73"/>
    <s v="61-80"/>
    <x v="0"/>
    <x v="7"/>
    <x v="5"/>
    <x v="4"/>
    <n v="1"/>
    <n v="1"/>
    <n v="4.2"/>
    <x v="4"/>
    <n v="4"/>
    <n v="5"/>
    <n v="879929"/>
    <n v="370900"/>
    <n v="509029"/>
    <n v="40"/>
    <n v="65"/>
    <n v="14.6"/>
  </r>
  <r>
    <x v="8"/>
    <x v="8"/>
    <d v="2022-08-30T00:00:00"/>
    <s v="NA"/>
    <n v="0"/>
    <n v="43"/>
    <s v="41-60"/>
    <x v="1"/>
    <x v="3"/>
    <x v="2"/>
    <x v="1"/>
    <n v="1"/>
    <n v="1"/>
    <n v="3.6"/>
    <x v="17"/>
    <n v="5"/>
    <n v="7"/>
    <n v="668262"/>
    <n v="131800"/>
    <n v="536462"/>
    <n v="41"/>
    <n v="56"/>
    <n v="10.4"/>
  </r>
  <r>
    <x v="8"/>
    <x v="8"/>
    <d v="2021-07-29T00:00:00"/>
    <s v="NA"/>
    <n v="0"/>
    <n v="79"/>
    <s v="61-80"/>
    <x v="1"/>
    <x v="9"/>
    <x v="7"/>
    <x v="0"/>
    <n v="1"/>
    <n v="1"/>
    <n v="1.9"/>
    <x v="7"/>
    <n v="6"/>
    <n v="3"/>
    <n v="769668"/>
    <n v="220174"/>
    <n v="549494"/>
    <n v="60"/>
    <n v="62"/>
    <n v="10.3"/>
  </r>
  <r>
    <x v="8"/>
    <x v="8"/>
    <d v="2023-01-01T00:00:00"/>
    <s v="NA"/>
    <n v="0"/>
    <n v="86"/>
    <s v="81+"/>
    <x v="1"/>
    <x v="6"/>
    <x v="4"/>
    <x v="2"/>
    <n v="1"/>
    <n v="1"/>
    <n v="5.6"/>
    <x v="8"/>
    <n v="7"/>
    <n v="3"/>
    <n v="666308"/>
    <n v="119179"/>
    <n v="547129"/>
    <n v="58"/>
    <n v="63"/>
    <n v="14.3"/>
  </r>
  <r>
    <x v="8"/>
    <x v="8"/>
    <d v="2024-04-23T00:00:00"/>
    <s v="NA"/>
    <n v="0"/>
    <n v="50"/>
    <s v="41-60"/>
    <x v="1"/>
    <x v="4"/>
    <x v="3"/>
    <x v="1"/>
    <n v="1"/>
    <n v="1"/>
    <n v="4.0999999999999996"/>
    <x v="16"/>
    <n v="4"/>
    <n v="3"/>
    <n v="705625"/>
    <n v="124363"/>
    <n v="581262"/>
    <n v="50"/>
    <n v="60"/>
    <n v="8.3000000000000007"/>
  </r>
  <r>
    <x v="8"/>
    <x v="8"/>
    <d v="2024-07-23T00:00:00"/>
    <s v="NA"/>
    <n v="0"/>
    <n v="80"/>
    <s v="61-80"/>
    <x v="1"/>
    <x v="6"/>
    <x v="4"/>
    <x v="0"/>
    <n v="1"/>
    <n v="1"/>
    <n v="1"/>
    <x v="18"/>
    <n v="7"/>
    <n v="4"/>
    <n v="870272"/>
    <n v="355385"/>
    <n v="514887"/>
    <n v="59"/>
    <n v="57"/>
    <n v="36.200000000000003"/>
  </r>
  <r>
    <x v="8"/>
    <x v="8"/>
    <d v="2021-03-29T00:00:00"/>
    <s v="NA"/>
    <n v="0"/>
    <n v="34"/>
    <s v="21-40"/>
    <x v="1"/>
    <x v="3"/>
    <x v="2"/>
    <x v="0"/>
    <n v="1"/>
    <n v="1"/>
    <n v="6.9"/>
    <x v="23"/>
    <n v="7"/>
    <n v="5"/>
    <n v="886631"/>
    <n v="341463"/>
    <n v="545168"/>
    <n v="49"/>
    <n v="56"/>
    <n v="8.8000000000000007"/>
  </r>
  <r>
    <x v="8"/>
    <x v="8"/>
    <d v="2021-01-24T00:00:00"/>
    <s v="NA"/>
    <n v="0"/>
    <n v="33"/>
    <s v="21-40"/>
    <x v="0"/>
    <x v="5"/>
    <x v="0"/>
    <x v="0"/>
    <n v="1"/>
    <n v="1"/>
    <n v="2.2000000000000002"/>
    <x v="15"/>
    <n v="5"/>
    <n v="7"/>
    <n v="674757"/>
    <n v="95829"/>
    <n v="578928"/>
    <n v="50"/>
    <n v="63"/>
    <n v="13.3"/>
  </r>
  <r>
    <x v="14"/>
    <x v="14"/>
    <d v="2023-07-29T00:00:00"/>
    <s v="NA"/>
    <n v="0"/>
    <n v="66"/>
    <s v="61-80"/>
    <x v="1"/>
    <x v="6"/>
    <x v="4"/>
    <x v="4"/>
    <n v="1"/>
    <n v="1"/>
    <n v="2.5"/>
    <x v="7"/>
    <n v="7"/>
    <n v="7"/>
    <n v="792360"/>
    <n v="324767"/>
    <n v="467593"/>
    <n v="30"/>
    <n v="60"/>
    <n v="9.1"/>
  </r>
  <r>
    <x v="8"/>
    <x v="8"/>
    <d v="2024-03-18T00:00:00"/>
    <s v="NA"/>
    <n v="0"/>
    <n v="36"/>
    <s v="21-40"/>
    <x v="0"/>
    <x v="1"/>
    <x v="1"/>
    <x v="1"/>
    <n v="1"/>
    <n v="1"/>
    <n v="2.2000000000000002"/>
    <x v="2"/>
    <n v="6"/>
    <n v="5"/>
    <n v="821467"/>
    <n v="295099"/>
    <n v="526368"/>
    <n v="41"/>
    <n v="59"/>
    <n v="13.8"/>
  </r>
  <r>
    <x v="8"/>
    <x v="8"/>
    <d v="2024-07-19T00:00:00"/>
    <s v="NA"/>
    <n v="0"/>
    <n v="27"/>
    <s v="21-40"/>
    <x v="0"/>
    <x v="14"/>
    <x v="11"/>
    <x v="3"/>
    <n v="1"/>
    <n v="1"/>
    <n v="3.4"/>
    <x v="13"/>
    <n v="4"/>
    <n v="3"/>
    <n v="710956"/>
    <n v="187361"/>
    <n v="523595"/>
    <n v="57"/>
    <n v="55"/>
    <n v="6.5"/>
  </r>
  <r>
    <x v="8"/>
    <x v="8"/>
    <d v="2024-04-01T00:00:00"/>
    <s v="NA"/>
    <n v="0"/>
    <n v="58"/>
    <s v="41-60"/>
    <x v="0"/>
    <x v="13"/>
    <x v="10"/>
    <x v="3"/>
    <n v="1"/>
    <n v="1"/>
    <n v="5.8"/>
    <x v="30"/>
    <n v="7"/>
    <n v="7"/>
    <n v="813736"/>
    <n v="309688"/>
    <n v="504048"/>
    <n v="44"/>
    <n v="54"/>
    <n v="10.199999999999999"/>
  </r>
  <r>
    <x v="8"/>
    <x v="8"/>
    <d v="2021-06-23T00:00:00"/>
    <s v="NA"/>
    <n v="0"/>
    <n v="33"/>
    <s v="21-40"/>
    <x v="0"/>
    <x v="14"/>
    <x v="11"/>
    <x v="4"/>
    <n v="1"/>
    <n v="1"/>
    <n v="1.4"/>
    <x v="26"/>
    <n v="5"/>
    <n v="4"/>
    <n v="687787"/>
    <n v="105849"/>
    <n v="581938"/>
    <n v="60"/>
    <n v="56"/>
    <n v="9.4"/>
  </r>
  <r>
    <x v="8"/>
    <x v="8"/>
    <d v="2023-12-26T00:00:00"/>
    <s v="NA"/>
    <n v="0"/>
    <n v="21"/>
    <s v="21-40"/>
    <x v="0"/>
    <x v="0"/>
    <x v="0"/>
    <x v="2"/>
    <n v="1"/>
    <n v="1"/>
    <n v="1.4"/>
    <x v="20"/>
    <n v="5"/>
    <n v="7"/>
    <n v="658737"/>
    <n v="146719"/>
    <n v="512018"/>
    <n v="57"/>
    <n v="61"/>
    <n v="6.5"/>
  </r>
  <r>
    <x v="8"/>
    <x v="8"/>
    <d v="2022-03-21T00:00:00"/>
    <s v="NA"/>
    <n v="0"/>
    <n v="36"/>
    <s v="21-40"/>
    <x v="0"/>
    <x v="2"/>
    <x v="1"/>
    <x v="3"/>
    <n v="1"/>
    <n v="1"/>
    <n v="1.8"/>
    <x v="23"/>
    <n v="7"/>
    <n v="7"/>
    <n v="639231"/>
    <n v="102949"/>
    <n v="536282"/>
    <n v="43"/>
    <n v="65"/>
    <n v="7.6"/>
  </r>
  <r>
    <x v="8"/>
    <x v="8"/>
    <d v="2022-12-05T00:00:00"/>
    <s v="NA"/>
    <n v="0"/>
    <n v="43"/>
    <s v="41-60"/>
    <x v="0"/>
    <x v="12"/>
    <x v="9"/>
    <x v="0"/>
    <n v="1"/>
    <n v="1"/>
    <n v="6.1"/>
    <x v="19"/>
    <n v="3"/>
    <n v="7"/>
    <n v="702613"/>
    <n v="145825"/>
    <n v="556788"/>
    <n v="52"/>
    <n v="66"/>
    <n v="14.4"/>
  </r>
  <r>
    <x v="14"/>
    <x v="14"/>
    <d v="2021-09-15T00:00:00"/>
    <s v="NA"/>
    <n v="0"/>
    <n v="70"/>
    <s v="61-80"/>
    <x v="0"/>
    <x v="14"/>
    <x v="11"/>
    <x v="1"/>
    <n v="1"/>
    <n v="1"/>
    <n v="5"/>
    <x v="14"/>
    <n v="7"/>
    <n v="5"/>
    <n v="757464"/>
    <n v="187897"/>
    <n v="569567"/>
    <n v="20"/>
    <n v="63"/>
    <n v="6.2"/>
  </r>
  <r>
    <x v="8"/>
    <x v="8"/>
    <d v="2022-04-18T00:00:00"/>
    <s v="NA"/>
    <n v="0"/>
    <n v="78"/>
    <s v="61-80"/>
    <x v="1"/>
    <x v="13"/>
    <x v="10"/>
    <x v="1"/>
    <n v="1"/>
    <n v="1"/>
    <n v="4.4000000000000004"/>
    <x v="5"/>
    <n v="6"/>
    <n v="3"/>
    <n v="700414"/>
    <n v="100692"/>
    <n v="599722"/>
    <n v="56"/>
    <n v="58"/>
    <n v="10.199999999999999"/>
  </r>
  <r>
    <x v="8"/>
    <x v="8"/>
    <d v="2021-04-22T00:00:00"/>
    <s v="NA"/>
    <n v="0"/>
    <n v="27"/>
    <s v="21-40"/>
    <x v="1"/>
    <x v="6"/>
    <x v="4"/>
    <x v="0"/>
    <n v="1"/>
    <n v="1"/>
    <n v="2.5"/>
    <x v="19"/>
    <n v="5"/>
    <n v="6"/>
    <n v="737538"/>
    <n v="138355"/>
    <n v="599183"/>
    <n v="52"/>
    <n v="59"/>
    <n v="8.6"/>
  </r>
  <r>
    <x v="8"/>
    <x v="8"/>
    <d v="2023-08-31T00:00:00"/>
    <s v="NA"/>
    <n v="0"/>
    <n v="85"/>
    <s v="81+"/>
    <x v="0"/>
    <x v="0"/>
    <x v="0"/>
    <x v="2"/>
    <n v="1"/>
    <n v="1"/>
    <n v="1.6"/>
    <x v="14"/>
    <n v="5"/>
    <n v="6"/>
    <n v="804469"/>
    <n v="266063"/>
    <n v="538406"/>
    <n v="54"/>
    <n v="59"/>
    <n v="8.5"/>
  </r>
  <r>
    <x v="8"/>
    <x v="8"/>
    <d v="2024-07-07T00:00:00"/>
    <s v="NA"/>
    <n v="0"/>
    <n v="32"/>
    <s v="21-40"/>
    <x v="1"/>
    <x v="4"/>
    <x v="3"/>
    <x v="2"/>
    <n v="1"/>
    <n v="1"/>
    <n v="3.6"/>
    <x v="21"/>
    <n v="3"/>
    <n v="4"/>
    <n v="634041"/>
    <n v="107809"/>
    <n v="526232"/>
    <n v="42"/>
    <n v="65"/>
    <n v="5.5"/>
  </r>
  <r>
    <x v="14"/>
    <x v="14"/>
    <d v="2021-02-19T00:00:00"/>
    <s v="NA"/>
    <n v="0"/>
    <n v="65"/>
    <s v="61-80"/>
    <x v="1"/>
    <x v="3"/>
    <x v="2"/>
    <x v="2"/>
    <n v="1"/>
    <n v="1"/>
    <n v="6.5"/>
    <x v="19"/>
    <n v="6"/>
    <n v="3"/>
    <n v="774910"/>
    <n v="289366"/>
    <n v="485544"/>
    <n v="25"/>
    <n v="63"/>
    <n v="5.6"/>
  </r>
  <r>
    <x v="14"/>
    <x v="14"/>
    <d v="2024-04-07T00:00:00"/>
    <s v="NA"/>
    <n v="0"/>
    <n v="69"/>
    <s v="61-80"/>
    <x v="1"/>
    <x v="10"/>
    <x v="8"/>
    <x v="0"/>
    <n v="1"/>
    <n v="1"/>
    <n v="4.7"/>
    <x v="24"/>
    <n v="7"/>
    <n v="6"/>
    <n v="729680"/>
    <n v="286515"/>
    <n v="443165"/>
    <n v="21"/>
    <n v="57"/>
    <n v="8.5"/>
  </r>
  <r>
    <x v="14"/>
    <x v="14"/>
    <d v="2023-06-17T00:00:00"/>
    <s v="NA"/>
    <n v="0"/>
    <n v="55"/>
    <s v="41-60"/>
    <x v="1"/>
    <x v="3"/>
    <x v="2"/>
    <x v="1"/>
    <n v="1"/>
    <n v="1"/>
    <n v="6"/>
    <x v="8"/>
    <n v="4"/>
    <n v="7"/>
    <n v="730582"/>
    <n v="177605"/>
    <n v="552977"/>
    <n v="26"/>
    <n v="60"/>
    <n v="14.3"/>
  </r>
  <r>
    <x v="8"/>
    <x v="8"/>
    <d v="2023-12-18T00:00:00"/>
    <s v="NA"/>
    <n v="0"/>
    <n v="81"/>
    <s v="81+"/>
    <x v="0"/>
    <x v="0"/>
    <x v="0"/>
    <x v="0"/>
    <n v="1"/>
    <n v="1"/>
    <n v="4.7"/>
    <x v="3"/>
    <n v="4"/>
    <n v="5"/>
    <n v="773909"/>
    <n v="240419"/>
    <n v="533490"/>
    <n v="50"/>
    <n v="64"/>
    <n v="7.2"/>
  </r>
  <r>
    <x v="8"/>
    <x v="8"/>
    <d v="2021-01-27T00:00:00"/>
    <s v="NA"/>
    <n v="0"/>
    <n v="77"/>
    <s v="61-80"/>
    <x v="0"/>
    <x v="7"/>
    <x v="5"/>
    <x v="4"/>
    <n v="1"/>
    <n v="1"/>
    <n v="5.5"/>
    <x v="29"/>
    <n v="3"/>
    <n v="6"/>
    <n v="843524"/>
    <n v="300806"/>
    <n v="542718"/>
    <n v="53"/>
    <n v="64"/>
    <n v="8.8000000000000007"/>
  </r>
  <r>
    <x v="14"/>
    <x v="14"/>
    <d v="2021-09-08T00:00:00"/>
    <s v="NA"/>
    <n v="0"/>
    <n v="56"/>
    <s v="41-60"/>
    <x v="1"/>
    <x v="2"/>
    <x v="1"/>
    <x v="4"/>
    <n v="1"/>
    <n v="1"/>
    <n v="5.6"/>
    <x v="19"/>
    <n v="3"/>
    <n v="5"/>
    <n v="692524"/>
    <n v="108364"/>
    <n v="584160"/>
    <n v="21"/>
    <n v="61"/>
    <n v="7.7"/>
  </r>
  <r>
    <x v="8"/>
    <x v="8"/>
    <d v="2022-08-22T00:00:00"/>
    <s v="NA"/>
    <n v="0"/>
    <n v="38"/>
    <s v="21-40"/>
    <x v="0"/>
    <x v="0"/>
    <x v="0"/>
    <x v="2"/>
    <n v="1"/>
    <n v="1"/>
    <n v="1.3"/>
    <x v="11"/>
    <n v="4"/>
    <n v="5"/>
    <n v="630673"/>
    <n v="83877"/>
    <n v="546796"/>
    <n v="42"/>
    <n v="55"/>
    <n v="12.1"/>
  </r>
  <r>
    <x v="8"/>
    <x v="8"/>
    <d v="2022-06-22T00:00:00"/>
    <s v="NA"/>
    <n v="0"/>
    <n v="28"/>
    <s v="21-40"/>
    <x v="0"/>
    <x v="5"/>
    <x v="0"/>
    <x v="3"/>
    <n v="1"/>
    <n v="1"/>
    <n v="1"/>
    <x v="24"/>
    <n v="5"/>
    <n v="5"/>
    <n v="766790"/>
    <n v="196762"/>
    <n v="570028"/>
    <n v="41"/>
    <n v="56"/>
    <n v="9.4"/>
  </r>
  <r>
    <x v="8"/>
    <x v="8"/>
    <d v="2021-04-24T00:00:00"/>
    <s v="NA"/>
    <n v="0"/>
    <n v="25"/>
    <s v="21-40"/>
    <x v="0"/>
    <x v="0"/>
    <x v="0"/>
    <x v="0"/>
    <n v="1"/>
    <n v="1"/>
    <n v="5.2"/>
    <x v="10"/>
    <n v="3"/>
    <n v="7"/>
    <n v="689547"/>
    <n v="166701"/>
    <n v="522846"/>
    <n v="45"/>
    <n v="59"/>
    <n v="8.9"/>
  </r>
  <r>
    <x v="8"/>
    <x v="8"/>
    <d v="2023-03-12T00:00:00"/>
    <s v="NA"/>
    <n v="0"/>
    <n v="47"/>
    <s v="41-60"/>
    <x v="0"/>
    <x v="5"/>
    <x v="0"/>
    <x v="4"/>
    <n v="1"/>
    <n v="1"/>
    <n v="6.8"/>
    <x v="9"/>
    <n v="3"/>
    <n v="4"/>
    <n v="780142"/>
    <n v="262881"/>
    <n v="517261"/>
    <n v="51"/>
    <n v="60"/>
    <n v="36.299999999999997"/>
  </r>
  <r>
    <x v="8"/>
    <x v="8"/>
    <d v="2022-02-02T00:00:00"/>
    <s v="NA"/>
    <n v="0"/>
    <n v="59"/>
    <s v="41-60"/>
    <x v="0"/>
    <x v="9"/>
    <x v="7"/>
    <x v="2"/>
    <n v="1"/>
    <n v="1"/>
    <n v="1.9"/>
    <x v="20"/>
    <n v="5"/>
    <n v="7"/>
    <n v="803176"/>
    <n v="213383"/>
    <n v="589793"/>
    <n v="59"/>
    <n v="56"/>
    <n v="14.8"/>
  </r>
  <r>
    <x v="8"/>
    <x v="8"/>
    <d v="2021-10-24T00:00:00"/>
    <s v="NA"/>
    <n v="0"/>
    <n v="24"/>
    <s v="21-40"/>
    <x v="0"/>
    <x v="12"/>
    <x v="9"/>
    <x v="2"/>
    <n v="1"/>
    <n v="1"/>
    <n v="4.0999999999999996"/>
    <x v="7"/>
    <n v="4"/>
    <n v="4"/>
    <n v="681665"/>
    <n v="94006"/>
    <n v="587659"/>
    <n v="48"/>
    <n v="54"/>
    <n v="13.5"/>
  </r>
  <r>
    <x v="8"/>
    <x v="8"/>
    <d v="2021-02-22T00:00:00"/>
    <s v="NA"/>
    <n v="0"/>
    <n v="81"/>
    <s v="81+"/>
    <x v="1"/>
    <x v="8"/>
    <x v="6"/>
    <x v="1"/>
    <n v="1"/>
    <n v="1"/>
    <n v="2.6"/>
    <x v="7"/>
    <n v="5"/>
    <n v="4"/>
    <n v="733183"/>
    <n v="228234"/>
    <n v="504949"/>
    <n v="58"/>
    <n v="58"/>
    <n v="7.7"/>
  </r>
  <r>
    <x v="8"/>
    <x v="8"/>
    <d v="2022-05-07T00:00:00"/>
    <s v="NA"/>
    <n v="0"/>
    <n v="46"/>
    <s v="41-60"/>
    <x v="1"/>
    <x v="11"/>
    <x v="8"/>
    <x v="0"/>
    <n v="1"/>
    <n v="1"/>
    <n v="5.7"/>
    <x v="7"/>
    <n v="6"/>
    <n v="7"/>
    <n v="815460"/>
    <n v="278586"/>
    <n v="536874"/>
    <n v="56"/>
    <n v="57"/>
    <n v="7.6"/>
  </r>
  <r>
    <x v="8"/>
    <x v="8"/>
    <d v="2024-12-19T00:00:00"/>
    <s v="NA"/>
    <n v="0"/>
    <n v="50"/>
    <s v="41-60"/>
    <x v="0"/>
    <x v="12"/>
    <x v="9"/>
    <x v="2"/>
    <n v="1"/>
    <n v="1"/>
    <n v="6.1"/>
    <x v="4"/>
    <n v="4"/>
    <n v="4"/>
    <n v="603991"/>
    <n v="100585"/>
    <n v="503406"/>
    <n v="50"/>
    <n v="65"/>
    <n v="10.4"/>
  </r>
  <r>
    <x v="8"/>
    <x v="8"/>
    <d v="2024-12-19T00:00:00"/>
    <s v="NA"/>
    <n v="0"/>
    <n v="84"/>
    <s v="81+"/>
    <x v="0"/>
    <x v="10"/>
    <x v="8"/>
    <x v="2"/>
    <n v="1"/>
    <n v="1"/>
    <n v="3.8"/>
    <x v="22"/>
    <n v="4"/>
    <n v="3"/>
    <n v="744808"/>
    <n v="148672"/>
    <n v="596136"/>
    <n v="45"/>
    <n v="59"/>
    <n v="9.8000000000000007"/>
  </r>
  <r>
    <x v="8"/>
    <x v="8"/>
    <d v="2024-06-23T00:00:00"/>
    <s v="NA"/>
    <n v="0"/>
    <n v="78"/>
    <s v="61-80"/>
    <x v="1"/>
    <x v="6"/>
    <x v="4"/>
    <x v="3"/>
    <n v="1"/>
    <n v="1"/>
    <n v="2.7"/>
    <x v="27"/>
    <n v="3"/>
    <n v="4"/>
    <n v="730091"/>
    <n v="167392"/>
    <n v="562699"/>
    <n v="59"/>
    <n v="62"/>
    <n v="14.9"/>
  </r>
  <r>
    <x v="8"/>
    <x v="8"/>
    <d v="2022-09-10T00:00:00"/>
    <s v="NA"/>
    <n v="0"/>
    <n v="51"/>
    <s v="41-60"/>
    <x v="1"/>
    <x v="12"/>
    <x v="9"/>
    <x v="0"/>
    <n v="1"/>
    <n v="1"/>
    <n v="3.7"/>
    <x v="23"/>
    <n v="7"/>
    <n v="6"/>
    <n v="686501"/>
    <n v="155434"/>
    <n v="531067"/>
    <n v="57"/>
    <n v="61"/>
    <n v="6.8"/>
  </r>
  <r>
    <x v="8"/>
    <x v="8"/>
    <d v="2021-01-08T00:00:00"/>
    <s v="NA"/>
    <n v="0"/>
    <n v="44"/>
    <s v="41-60"/>
    <x v="1"/>
    <x v="3"/>
    <x v="2"/>
    <x v="0"/>
    <n v="1"/>
    <n v="1"/>
    <n v="5.0999999999999996"/>
    <x v="6"/>
    <n v="6"/>
    <n v="3"/>
    <n v="771461"/>
    <n v="252654"/>
    <n v="518807"/>
    <n v="57"/>
    <n v="61"/>
    <n v="13.5"/>
  </r>
  <r>
    <x v="8"/>
    <x v="8"/>
    <d v="2022-04-13T00:00:00"/>
    <s v="NA"/>
    <n v="0"/>
    <n v="69"/>
    <s v="61-80"/>
    <x v="1"/>
    <x v="7"/>
    <x v="5"/>
    <x v="4"/>
    <n v="1"/>
    <n v="1"/>
    <n v="2.8"/>
    <x v="4"/>
    <n v="3"/>
    <n v="6"/>
    <n v="606125"/>
    <n v="48840"/>
    <n v="557285"/>
    <n v="43"/>
    <n v="57"/>
    <n v="8.6999999999999993"/>
  </r>
  <r>
    <x v="8"/>
    <x v="8"/>
    <d v="2021-03-05T00:00:00"/>
    <s v="NA"/>
    <n v="0"/>
    <n v="73"/>
    <s v="61-80"/>
    <x v="0"/>
    <x v="2"/>
    <x v="1"/>
    <x v="3"/>
    <n v="1"/>
    <n v="1"/>
    <n v="4.9000000000000004"/>
    <x v="15"/>
    <n v="3"/>
    <n v="7"/>
    <n v="651670"/>
    <n v="63994"/>
    <n v="587676"/>
    <n v="51"/>
    <n v="55"/>
    <n v="7.6"/>
  </r>
  <r>
    <x v="8"/>
    <x v="8"/>
    <d v="2021-12-20T00:00:00"/>
    <s v="NA"/>
    <n v="0"/>
    <n v="33"/>
    <s v="21-40"/>
    <x v="1"/>
    <x v="4"/>
    <x v="3"/>
    <x v="0"/>
    <n v="1"/>
    <n v="1"/>
    <n v="4.4000000000000004"/>
    <x v="21"/>
    <n v="4"/>
    <n v="4"/>
    <n v="685056"/>
    <n v="107321"/>
    <n v="577735"/>
    <n v="56"/>
    <n v="57"/>
    <n v="12.4"/>
  </r>
  <r>
    <x v="8"/>
    <x v="8"/>
    <d v="2021-03-28T00:00:00"/>
    <s v="NA"/>
    <n v="0"/>
    <n v="50"/>
    <s v="41-60"/>
    <x v="0"/>
    <x v="1"/>
    <x v="1"/>
    <x v="3"/>
    <n v="1"/>
    <n v="1"/>
    <n v="5.8"/>
    <x v="24"/>
    <n v="6"/>
    <n v="7"/>
    <n v="841657"/>
    <n v="282970"/>
    <n v="558687"/>
    <n v="50"/>
    <n v="62"/>
    <n v="13.3"/>
  </r>
  <r>
    <x v="8"/>
    <x v="8"/>
    <d v="2021-10-14T00:00:00"/>
    <s v="NA"/>
    <n v="0"/>
    <n v="36"/>
    <s v="21-40"/>
    <x v="0"/>
    <x v="7"/>
    <x v="5"/>
    <x v="0"/>
    <n v="1"/>
    <n v="1"/>
    <n v="5.8"/>
    <x v="12"/>
    <n v="4"/>
    <n v="6"/>
    <n v="665132"/>
    <n v="146771"/>
    <n v="518361"/>
    <n v="54"/>
    <n v="56"/>
    <n v="14.9"/>
  </r>
  <r>
    <x v="8"/>
    <x v="8"/>
    <d v="2024-02-19T00:00:00"/>
    <s v="NA"/>
    <n v="0"/>
    <n v="43"/>
    <s v="41-60"/>
    <x v="0"/>
    <x v="5"/>
    <x v="0"/>
    <x v="2"/>
    <n v="1"/>
    <n v="1"/>
    <n v="2.9"/>
    <x v="10"/>
    <n v="6"/>
    <n v="7"/>
    <n v="829526"/>
    <n v="263908"/>
    <n v="565618"/>
    <n v="42"/>
    <n v="62"/>
    <n v="6.5"/>
  </r>
  <r>
    <x v="8"/>
    <x v="8"/>
    <d v="2021-08-24T00:00:00"/>
    <s v="NA"/>
    <n v="0"/>
    <n v="72"/>
    <s v="61-80"/>
    <x v="1"/>
    <x v="3"/>
    <x v="2"/>
    <x v="1"/>
    <n v="1"/>
    <n v="1"/>
    <n v="4.7"/>
    <x v="10"/>
    <n v="5"/>
    <n v="5"/>
    <n v="747440"/>
    <n v="245732"/>
    <n v="501708"/>
    <n v="56"/>
    <n v="55"/>
    <n v="12.3"/>
  </r>
  <r>
    <x v="8"/>
    <x v="8"/>
    <d v="2022-02-16T00:00:00"/>
    <s v="NA"/>
    <n v="0"/>
    <n v="22"/>
    <s v="21-40"/>
    <x v="0"/>
    <x v="2"/>
    <x v="1"/>
    <x v="0"/>
    <n v="1"/>
    <n v="1"/>
    <n v="1.5"/>
    <x v="14"/>
    <n v="7"/>
    <n v="6"/>
    <n v="819502"/>
    <n v="279331"/>
    <n v="540171"/>
    <n v="45"/>
    <n v="65"/>
    <n v="10.6"/>
  </r>
  <r>
    <x v="8"/>
    <x v="8"/>
    <d v="2024-07-19T00:00:00"/>
    <s v="NA"/>
    <n v="0"/>
    <n v="43"/>
    <s v="41-60"/>
    <x v="0"/>
    <x v="12"/>
    <x v="9"/>
    <x v="4"/>
    <n v="1"/>
    <n v="1"/>
    <n v="1.3"/>
    <x v="28"/>
    <n v="6"/>
    <n v="7"/>
    <n v="784227"/>
    <n v="250945"/>
    <n v="533282"/>
    <n v="57"/>
    <n v="57"/>
    <n v="6.9"/>
  </r>
  <r>
    <x v="8"/>
    <x v="8"/>
    <d v="2022-01-19T00:00:00"/>
    <s v="NA"/>
    <n v="0"/>
    <n v="83"/>
    <s v="81+"/>
    <x v="0"/>
    <x v="4"/>
    <x v="3"/>
    <x v="4"/>
    <n v="1"/>
    <n v="1"/>
    <n v="3.6"/>
    <x v="1"/>
    <n v="6"/>
    <n v="3"/>
    <n v="659761"/>
    <n v="83305"/>
    <n v="576456"/>
    <n v="44"/>
    <n v="60"/>
    <n v="8.4"/>
  </r>
  <r>
    <x v="8"/>
    <x v="8"/>
    <d v="2022-04-08T00:00:00"/>
    <s v="NA"/>
    <n v="0"/>
    <n v="87"/>
    <s v="81+"/>
    <x v="0"/>
    <x v="5"/>
    <x v="0"/>
    <x v="0"/>
    <n v="1"/>
    <n v="1"/>
    <n v="2.6"/>
    <x v="1"/>
    <n v="7"/>
    <n v="4"/>
    <n v="667009"/>
    <n v="95556"/>
    <n v="571453"/>
    <n v="52"/>
    <n v="63"/>
    <n v="7.2"/>
  </r>
  <r>
    <x v="8"/>
    <x v="8"/>
    <d v="2021-03-20T00:00:00"/>
    <s v="NA"/>
    <n v="0"/>
    <n v="45"/>
    <s v="41-60"/>
    <x v="1"/>
    <x v="11"/>
    <x v="8"/>
    <x v="3"/>
    <n v="1"/>
    <n v="1"/>
    <n v="4.5"/>
    <x v="24"/>
    <n v="4"/>
    <n v="4"/>
    <n v="660104"/>
    <n v="124018"/>
    <n v="536086"/>
    <n v="41"/>
    <n v="54"/>
    <n v="9.6999999999999993"/>
  </r>
  <r>
    <x v="8"/>
    <x v="8"/>
    <d v="2022-12-07T00:00:00"/>
    <s v="NA"/>
    <n v="0"/>
    <n v="69"/>
    <s v="61-80"/>
    <x v="1"/>
    <x v="2"/>
    <x v="1"/>
    <x v="2"/>
    <n v="1"/>
    <n v="1"/>
    <n v="4.9000000000000004"/>
    <x v="4"/>
    <n v="7"/>
    <n v="6"/>
    <n v="649568"/>
    <n v="120522"/>
    <n v="529046"/>
    <n v="56"/>
    <n v="56"/>
    <n v="5.4"/>
  </r>
  <r>
    <x v="8"/>
    <x v="8"/>
    <d v="2022-06-19T00:00:00"/>
    <s v="NA"/>
    <n v="0"/>
    <n v="47"/>
    <s v="41-60"/>
    <x v="0"/>
    <x v="9"/>
    <x v="7"/>
    <x v="0"/>
    <n v="1"/>
    <n v="1"/>
    <n v="2.1"/>
    <x v="5"/>
    <n v="6"/>
    <n v="3"/>
    <n v="732360"/>
    <n v="216934"/>
    <n v="515426"/>
    <n v="46"/>
    <n v="66"/>
    <n v="8.4"/>
  </r>
  <r>
    <x v="8"/>
    <x v="8"/>
    <d v="2024-10-06T00:00:00"/>
    <s v="NA"/>
    <n v="0"/>
    <n v="86"/>
    <s v="81+"/>
    <x v="1"/>
    <x v="11"/>
    <x v="8"/>
    <x v="3"/>
    <n v="1"/>
    <n v="1"/>
    <n v="2.6"/>
    <x v="14"/>
    <n v="4"/>
    <n v="6"/>
    <n v="766603"/>
    <n v="257800"/>
    <n v="508803"/>
    <n v="46"/>
    <n v="60"/>
    <n v="5.6"/>
  </r>
  <r>
    <x v="8"/>
    <x v="8"/>
    <d v="2023-11-18T00:00:00"/>
    <s v="NA"/>
    <n v="0"/>
    <n v="43"/>
    <s v="41-60"/>
    <x v="0"/>
    <x v="4"/>
    <x v="3"/>
    <x v="1"/>
    <n v="1"/>
    <n v="1"/>
    <n v="2.9"/>
    <x v="15"/>
    <n v="5"/>
    <n v="3"/>
    <n v="783652"/>
    <n v="282188"/>
    <n v="501464"/>
    <n v="43"/>
    <n v="61"/>
    <n v="12"/>
  </r>
  <r>
    <x v="8"/>
    <x v="8"/>
    <d v="2023-03-11T00:00:00"/>
    <s v="NA"/>
    <n v="0"/>
    <n v="37"/>
    <s v="21-40"/>
    <x v="0"/>
    <x v="1"/>
    <x v="1"/>
    <x v="3"/>
    <n v="1"/>
    <n v="1"/>
    <n v="1.6"/>
    <x v="16"/>
    <n v="5"/>
    <n v="7"/>
    <n v="871327"/>
    <n v="338255"/>
    <n v="533072"/>
    <n v="42"/>
    <n v="59"/>
    <n v="10.8"/>
  </r>
  <r>
    <x v="8"/>
    <x v="8"/>
    <d v="2022-03-06T00:00:00"/>
    <s v="NA"/>
    <n v="0"/>
    <n v="46"/>
    <s v="41-60"/>
    <x v="1"/>
    <x v="3"/>
    <x v="2"/>
    <x v="2"/>
    <n v="1"/>
    <n v="1"/>
    <n v="3.7"/>
    <x v="23"/>
    <n v="4"/>
    <n v="3"/>
    <n v="842258"/>
    <n v="325818"/>
    <n v="516440"/>
    <n v="51"/>
    <n v="65"/>
    <n v="8"/>
  </r>
  <r>
    <x v="8"/>
    <x v="8"/>
    <d v="2022-09-15T00:00:00"/>
    <s v="NA"/>
    <n v="0"/>
    <n v="53"/>
    <s v="41-60"/>
    <x v="1"/>
    <x v="10"/>
    <x v="8"/>
    <x v="3"/>
    <n v="1"/>
    <n v="1"/>
    <n v="2.4"/>
    <x v="17"/>
    <n v="4"/>
    <n v="3"/>
    <n v="614904"/>
    <n v="72554"/>
    <n v="542350"/>
    <n v="44"/>
    <n v="57"/>
    <n v="13.8"/>
  </r>
  <r>
    <x v="8"/>
    <x v="8"/>
    <d v="2023-01-12T00:00:00"/>
    <s v="NA"/>
    <n v="0"/>
    <n v="47"/>
    <s v="41-60"/>
    <x v="0"/>
    <x v="12"/>
    <x v="9"/>
    <x v="1"/>
    <n v="1"/>
    <n v="1"/>
    <n v="5.9"/>
    <x v="25"/>
    <n v="6"/>
    <n v="6"/>
    <n v="899907"/>
    <n v="383446"/>
    <n v="516461"/>
    <n v="51"/>
    <n v="56"/>
    <n v="13"/>
  </r>
  <r>
    <x v="8"/>
    <x v="8"/>
    <d v="2021-09-26T00:00:00"/>
    <s v="NA"/>
    <n v="0"/>
    <n v="36"/>
    <s v="21-40"/>
    <x v="1"/>
    <x v="12"/>
    <x v="9"/>
    <x v="4"/>
    <n v="1"/>
    <n v="1"/>
    <n v="5.0999999999999996"/>
    <x v="20"/>
    <n v="5"/>
    <n v="4"/>
    <n v="672461"/>
    <n v="141017"/>
    <n v="531444"/>
    <n v="52"/>
    <n v="64"/>
    <n v="36.9"/>
  </r>
  <r>
    <x v="8"/>
    <x v="8"/>
    <d v="2022-10-26T00:00:00"/>
    <s v="NA"/>
    <n v="0"/>
    <n v="90"/>
    <s v="81+"/>
    <x v="0"/>
    <x v="7"/>
    <x v="5"/>
    <x v="0"/>
    <n v="1"/>
    <n v="1"/>
    <n v="5"/>
    <x v="7"/>
    <n v="7"/>
    <n v="6"/>
    <n v="859221"/>
    <n v="322218"/>
    <n v="537003"/>
    <n v="52"/>
    <n v="62"/>
    <n v="5.8"/>
  </r>
  <r>
    <x v="8"/>
    <x v="8"/>
    <d v="2021-12-28T00:00:00"/>
    <s v="NA"/>
    <n v="0"/>
    <n v="44"/>
    <s v="41-60"/>
    <x v="0"/>
    <x v="0"/>
    <x v="0"/>
    <x v="1"/>
    <n v="1"/>
    <n v="1"/>
    <n v="3.7"/>
    <x v="5"/>
    <n v="5"/>
    <n v="4"/>
    <n v="787675"/>
    <n v="222115"/>
    <n v="565560"/>
    <n v="58"/>
    <n v="65"/>
    <n v="13"/>
  </r>
  <r>
    <x v="8"/>
    <x v="8"/>
    <d v="2022-08-16T00:00:00"/>
    <s v="NA"/>
    <n v="0"/>
    <n v="39"/>
    <s v="21-40"/>
    <x v="0"/>
    <x v="1"/>
    <x v="1"/>
    <x v="1"/>
    <n v="1"/>
    <n v="1"/>
    <n v="4.5"/>
    <x v="18"/>
    <n v="6"/>
    <n v="5"/>
    <n v="792284"/>
    <n v="251897"/>
    <n v="540387"/>
    <n v="59"/>
    <n v="60"/>
    <n v="13.6"/>
  </r>
  <r>
    <x v="8"/>
    <x v="8"/>
    <d v="2022-09-18T00:00:00"/>
    <s v="NA"/>
    <n v="0"/>
    <n v="42"/>
    <s v="41-60"/>
    <x v="0"/>
    <x v="14"/>
    <x v="11"/>
    <x v="1"/>
    <n v="1"/>
    <n v="1"/>
    <n v="6.8"/>
    <x v="2"/>
    <n v="7"/>
    <n v="3"/>
    <n v="642739"/>
    <n v="90438"/>
    <n v="552301"/>
    <n v="47"/>
    <n v="63"/>
    <n v="13.8"/>
  </r>
  <r>
    <x v="8"/>
    <x v="8"/>
    <d v="2022-11-01T00:00:00"/>
    <s v="NA"/>
    <n v="0"/>
    <n v="37"/>
    <s v="21-40"/>
    <x v="0"/>
    <x v="10"/>
    <x v="8"/>
    <x v="4"/>
    <n v="1"/>
    <n v="1"/>
    <n v="6.6"/>
    <x v="25"/>
    <n v="6"/>
    <n v="5"/>
    <n v="799336"/>
    <n v="288382"/>
    <n v="510954"/>
    <n v="43"/>
    <n v="59"/>
    <n v="36.9"/>
  </r>
  <r>
    <x v="8"/>
    <x v="8"/>
    <d v="2021-02-23T00:00:00"/>
    <s v="NA"/>
    <n v="0"/>
    <n v="28"/>
    <s v="21-40"/>
    <x v="1"/>
    <x v="2"/>
    <x v="1"/>
    <x v="0"/>
    <n v="1"/>
    <n v="1"/>
    <n v="3.5"/>
    <x v="2"/>
    <n v="7"/>
    <n v="7"/>
    <n v="743366"/>
    <n v="180891"/>
    <n v="562475"/>
    <n v="60"/>
    <n v="57"/>
    <n v="8.3000000000000007"/>
  </r>
  <r>
    <x v="8"/>
    <x v="8"/>
    <d v="2022-05-10T00:00:00"/>
    <s v="NA"/>
    <n v="0"/>
    <n v="46"/>
    <s v="41-60"/>
    <x v="1"/>
    <x v="7"/>
    <x v="5"/>
    <x v="1"/>
    <n v="1"/>
    <n v="1"/>
    <n v="4.2"/>
    <x v="27"/>
    <n v="5"/>
    <n v="4"/>
    <n v="642921"/>
    <n v="92233"/>
    <n v="550688"/>
    <n v="45"/>
    <n v="60"/>
    <n v="13.2"/>
  </r>
  <r>
    <x v="8"/>
    <x v="8"/>
    <d v="2021-03-07T00:00:00"/>
    <s v="NA"/>
    <n v="0"/>
    <n v="60"/>
    <s v="41-60"/>
    <x v="0"/>
    <x v="2"/>
    <x v="1"/>
    <x v="2"/>
    <n v="1"/>
    <n v="1"/>
    <n v="4.2"/>
    <x v="1"/>
    <n v="6"/>
    <n v="5"/>
    <n v="834240"/>
    <n v="247447"/>
    <n v="586793"/>
    <n v="60"/>
    <n v="56"/>
    <n v="9.1999999999999993"/>
  </r>
  <r>
    <x v="8"/>
    <x v="8"/>
    <d v="2022-01-18T00:00:00"/>
    <s v="NA"/>
    <n v="0"/>
    <n v="27"/>
    <s v="21-40"/>
    <x v="0"/>
    <x v="5"/>
    <x v="0"/>
    <x v="2"/>
    <n v="1"/>
    <n v="1"/>
    <n v="2.2000000000000002"/>
    <x v="29"/>
    <n v="7"/>
    <n v="7"/>
    <n v="656376"/>
    <n v="156331"/>
    <n v="500045"/>
    <n v="59"/>
    <n v="60"/>
    <n v="6.8"/>
  </r>
  <r>
    <x v="8"/>
    <x v="8"/>
    <d v="2023-05-19T00:00:00"/>
    <s v="NA"/>
    <n v="0"/>
    <n v="41"/>
    <s v="41-60"/>
    <x v="1"/>
    <x v="9"/>
    <x v="7"/>
    <x v="0"/>
    <n v="1"/>
    <n v="1"/>
    <n v="2.4"/>
    <x v="19"/>
    <n v="5"/>
    <n v="3"/>
    <n v="856907"/>
    <n v="313837"/>
    <n v="543070"/>
    <n v="44"/>
    <n v="64"/>
    <n v="9.5"/>
  </r>
  <r>
    <x v="8"/>
    <x v="8"/>
    <d v="2023-04-23T00:00:00"/>
    <s v="NA"/>
    <n v="0"/>
    <n v="44"/>
    <s v="41-60"/>
    <x v="0"/>
    <x v="7"/>
    <x v="5"/>
    <x v="4"/>
    <n v="1"/>
    <n v="1"/>
    <n v="3.8"/>
    <x v="8"/>
    <n v="3"/>
    <n v="3"/>
    <n v="861748"/>
    <n v="332722"/>
    <n v="529026"/>
    <n v="50"/>
    <n v="59"/>
    <n v="14.5"/>
  </r>
  <r>
    <x v="8"/>
    <x v="8"/>
    <d v="2024-06-20T00:00:00"/>
    <s v="NA"/>
    <n v="0"/>
    <n v="40"/>
    <s v="21-40"/>
    <x v="0"/>
    <x v="7"/>
    <x v="5"/>
    <x v="3"/>
    <n v="1"/>
    <n v="1"/>
    <n v="4.0999999999999996"/>
    <x v="11"/>
    <n v="6"/>
    <n v="6"/>
    <n v="688570"/>
    <n v="95665"/>
    <n v="592905"/>
    <n v="51"/>
    <n v="58"/>
    <n v="8.3000000000000007"/>
  </r>
  <r>
    <x v="8"/>
    <x v="8"/>
    <d v="2022-06-20T00:00:00"/>
    <s v="NA"/>
    <n v="0"/>
    <n v="80"/>
    <s v="61-80"/>
    <x v="1"/>
    <x v="6"/>
    <x v="4"/>
    <x v="1"/>
    <n v="1"/>
    <n v="1"/>
    <n v="2"/>
    <x v="10"/>
    <n v="3"/>
    <n v="5"/>
    <n v="694623"/>
    <n v="103876"/>
    <n v="590747"/>
    <n v="58"/>
    <n v="54"/>
    <n v="8"/>
  </r>
  <r>
    <x v="8"/>
    <x v="8"/>
    <d v="2023-07-28T00:00:00"/>
    <s v="NA"/>
    <n v="0"/>
    <n v="61"/>
    <s v="61-80"/>
    <x v="0"/>
    <x v="13"/>
    <x v="10"/>
    <x v="2"/>
    <n v="1"/>
    <n v="1"/>
    <n v="5.6"/>
    <x v="27"/>
    <n v="7"/>
    <n v="7"/>
    <n v="736430"/>
    <n v="210461"/>
    <n v="525969"/>
    <n v="58"/>
    <n v="56"/>
    <n v="10"/>
  </r>
  <r>
    <x v="8"/>
    <x v="8"/>
    <d v="2024-03-30T00:00:00"/>
    <s v="NA"/>
    <n v="0"/>
    <n v="87"/>
    <s v="81+"/>
    <x v="1"/>
    <x v="10"/>
    <x v="8"/>
    <x v="1"/>
    <n v="1"/>
    <n v="1"/>
    <n v="6.8"/>
    <x v="9"/>
    <n v="6"/>
    <n v="5"/>
    <n v="853430"/>
    <n v="299384"/>
    <n v="554046"/>
    <n v="43"/>
    <n v="56"/>
    <n v="14.1"/>
  </r>
  <r>
    <x v="8"/>
    <x v="8"/>
    <d v="2021-05-25T00:00:00"/>
    <s v="NA"/>
    <n v="0"/>
    <n v="86"/>
    <s v="81+"/>
    <x v="1"/>
    <x v="6"/>
    <x v="4"/>
    <x v="1"/>
    <n v="1"/>
    <n v="1"/>
    <n v="1.2"/>
    <x v="21"/>
    <n v="6"/>
    <n v="5"/>
    <n v="814258"/>
    <n v="288321"/>
    <n v="525937"/>
    <n v="46"/>
    <n v="64"/>
    <n v="8"/>
  </r>
  <r>
    <x v="8"/>
    <x v="8"/>
    <d v="2022-06-03T00:00:00"/>
    <s v="NA"/>
    <n v="0"/>
    <n v="74"/>
    <s v="61-80"/>
    <x v="0"/>
    <x v="0"/>
    <x v="0"/>
    <x v="4"/>
    <n v="1"/>
    <n v="1"/>
    <n v="2.9"/>
    <x v="16"/>
    <n v="6"/>
    <n v="3"/>
    <n v="644893"/>
    <n v="58363"/>
    <n v="586530"/>
    <n v="43"/>
    <n v="63"/>
    <n v="14.1"/>
  </r>
  <r>
    <x v="8"/>
    <x v="8"/>
    <d v="2021-08-03T00:00:00"/>
    <s v="NA"/>
    <n v="0"/>
    <n v="80"/>
    <s v="61-80"/>
    <x v="1"/>
    <x v="3"/>
    <x v="2"/>
    <x v="0"/>
    <n v="1"/>
    <n v="1"/>
    <n v="4.0999999999999996"/>
    <x v="15"/>
    <n v="6"/>
    <n v="3"/>
    <n v="857296"/>
    <n v="262481"/>
    <n v="594815"/>
    <n v="60"/>
    <n v="63"/>
    <n v="12.9"/>
  </r>
  <r>
    <x v="8"/>
    <x v="8"/>
    <d v="2024-02-03T00:00:00"/>
    <s v="NA"/>
    <n v="0"/>
    <n v="49"/>
    <s v="41-60"/>
    <x v="0"/>
    <x v="14"/>
    <x v="11"/>
    <x v="2"/>
    <n v="1"/>
    <n v="1"/>
    <n v="6.5"/>
    <x v="11"/>
    <n v="5"/>
    <n v="6"/>
    <n v="882368"/>
    <n v="300817"/>
    <n v="581551"/>
    <n v="41"/>
    <n v="66"/>
    <n v="10.7"/>
  </r>
  <r>
    <x v="8"/>
    <x v="8"/>
    <d v="2024-08-24T00:00:00"/>
    <s v="NA"/>
    <n v="0"/>
    <n v="32"/>
    <s v="21-40"/>
    <x v="1"/>
    <x v="3"/>
    <x v="2"/>
    <x v="1"/>
    <n v="1"/>
    <n v="1"/>
    <n v="5.5"/>
    <x v="6"/>
    <n v="4"/>
    <n v="6"/>
    <n v="603028"/>
    <n v="3449"/>
    <n v="599579"/>
    <n v="54"/>
    <n v="65"/>
    <n v="8.4"/>
  </r>
  <r>
    <x v="8"/>
    <x v="8"/>
    <d v="2021-04-14T00:00:00"/>
    <s v="NA"/>
    <n v="0"/>
    <n v="38"/>
    <s v="21-40"/>
    <x v="0"/>
    <x v="0"/>
    <x v="0"/>
    <x v="4"/>
    <n v="1"/>
    <n v="1"/>
    <n v="7"/>
    <x v="10"/>
    <n v="4"/>
    <n v="6"/>
    <n v="681054"/>
    <n v="83011"/>
    <n v="598043"/>
    <n v="47"/>
    <n v="59"/>
    <n v="12.8"/>
  </r>
  <r>
    <x v="8"/>
    <x v="8"/>
    <d v="2024-03-21T00:00:00"/>
    <s v="NA"/>
    <n v="0"/>
    <n v="74"/>
    <s v="61-80"/>
    <x v="1"/>
    <x v="11"/>
    <x v="8"/>
    <x v="4"/>
    <n v="1"/>
    <n v="1"/>
    <n v="2.2000000000000002"/>
    <x v="27"/>
    <n v="7"/>
    <n v="4"/>
    <n v="819625"/>
    <n v="220780"/>
    <n v="598845"/>
    <n v="41"/>
    <n v="66"/>
    <n v="36.5"/>
  </r>
  <r>
    <x v="8"/>
    <x v="8"/>
    <d v="2022-04-10T00:00:00"/>
    <s v="NA"/>
    <n v="0"/>
    <n v="23"/>
    <s v="21-40"/>
    <x v="1"/>
    <x v="2"/>
    <x v="1"/>
    <x v="2"/>
    <n v="1"/>
    <n v="1"/>
    <n v="5.4"/>
    <x v="22"/>
    <n v="3"/>
    <n v="5"/>
    <n v="736366"/>
    <n v="205632"/>
    <n v="530734"/>
    <n v="57"/>
    <n v="57"/>
    <n v="14.4"/>
  </r>
  <r>
    <x v="8"/>
    <x v="8"/>
    <d v="2023-03-20T00:00:00"/>
    <s v="NA"/>
    <n v="0"/>
    <n v="62"/>
    <s v="61-80"/>
    <x v="0"/>
    <x v="10"/>
    <x v="8"/>
    <x v="2"/>
    <n v="1"/>
    <n v="1"/>
    <n v="1.7"/>
    <x v="20"/>
    <n v="7"/>
    <n v="7"/>
    <n v="737235"/>
    <n v="204001"/>
    <n v="533234"/>
    <n v="60"/>
    <n v="54"/>
    <n v="12"/>
  </r>
  <r>
    <x v="8"/>
    <x v="8"/>
    <d v="2023-08-21T00:00:00"/>
    <s v="NA"/>
    <n v="0"/>
    <n v="36"/>
    <s v="21-40"/>
    <x v="0"/>
    <x v="6"/>
    <x v="4"/>
    <x v="0"/>
    <n v="1"/>
    <n v="1"/>
    <n v="6.9"/>
    <x v="22"/>
    <n v="6"/>
    <n v="6"/>
    <n v="898565"/>
    <n v="308326"/>
    <n v="590239"/>
    <n v="54"/>
    <n v="54"/>
    <n v="10.7"/>
  </r>
  <r>
    <x v="8"/>
    <x v="8"/>
    <d v="2022-01-01T00:00:00"/>
    <s v="NA"/>
    <n v="0"/>
    <n v="29"/>
    <s v="21-40"/>
    <x v="0"/>
    <x v="6"/>
    <x v="4"/>
    <x v="1"/>
    <n v="1"/>
    <n v="1"/>
    <n v="4"/>
    <x v="12"/>
    <n v="6"/>
    <n v="7"/>
    <n v="747958"/>
    <n v="232968"/>
    <n v="514990"/>
    <n v="49"/>
    <n v="54"/>
    <n v="9.9"/>
  </r>
  <r>
    <x v="8"/>
    <x v="8"/>
    <d v="2022-05-30T00:00:00"/>
    <s v="NA"/>
    <n v="0"/>
    <n v="35"/>
    <s v="21-40"/>
    <x v="1"/>
    <x v="13"/>
    <x v="10"/>
    <x v="2"/>
    <n v="1"/>
    <n v="1"/>
    <n v="6.6"/>
    <x v="24"/>
    <n v="4"/>
    <n v="4"/>
    <n v="806713"/>
    <n v="254962"/>
    <n v="551751"/>
    <n v="57"/>
    <n v="57"/>
    <n v="7"/>
  </r>
  <r>
    <x v="8"/>
    <x v="8"/>
    <d v="2022-04-28T00:00:00"/>
    <s v="NA"/>
    <n v="0"/>
    <n v="30"/>
    <s v="21-40"/>
    <x v="1"/>
    <x v="4"/>
    <x v="3"/>
    <x v="2"/>
    <n v="1"/>
    <n v="1"/>
    <n v="3.8"/>
    <x v="12"/>
    <n v="6"/>
    <n v="5"/>
    <n v="857335"/>
    <n v="355623"/>
    <n v="501712"/>
    <n v="48"/>
    <n v="55"/>
    <n v="6.9"/>
  </r>
  <r>
    <x v="8"/>
    <x v="8"/>
    <d v="2021-08-31T00:00:00"/>
    <s v="NA"/>
    <n v="0"/>
    <n v="71"/>
    <s v="61-80"/>
    <x v="0"/>
    <x v="2"/>
    <x v="1"/>
    <x v="4"/>
    <n v="1"/>
    <n v="1"/>
    <n v="6.1"/>
    <x v="23"/>
    <n v="5"/>
    <n v="7"/>
    <n v="808607"/>
    <n v="211285"/>
    <n v="597322"/>
    <n v="40"/>
    <n v="60"/>
    <n v="9.4"/>
  </r>
  <r>
    <x v="8"/>
    <x v="8"/>
    <d v="2023-07-06T00:00:00"/>
    <s v="NA"/>
    <n v="0"/>
    <n v="66"/>
    <s v="61-80"/>
    <x v="1"/>
    <x v="2"/>
    <x v="1"/>
    <x v="4"/>
    <n v="1"/>
    <n v="1"/>
    <n v="6.3"/>
    <x v="6"/>
    <n v="6"/>
    <n v="3"/>
    <n v="814884"/>
    <n v="227964"/>
    <n v="586920"/>
    <n v="41"/>
    <n v="57"/>
    <n v="13.5"/>
  </r>
  <r>
    <x v="8"/>
    <x v="8"/>
    <d v="2021-08-15T00:00:00"/>
    <s v="NA"/>
    <n v="0"/>
    <n v="33"/>
    <s v="21-40"/>
    <x v="1"/>
    <x v="3"/>
    <x v="2"/>
    <x v="1"/>
    <n v="1"/>
    <n v="1"/>
    <n v="1.3"/>
    <x v="19"/>
    <n v="6"/>
    <n v="5"/>
    <n v="807767"/>
    <n v="287195"/>
    <n v="520572"/>
    <n v="44"/>
    <n v="59"/>
    <n v="9.1"/>
  </r>
  <r>
    <x v="8"/>
    <x v="8"/>
    <d v="2021-01-08T00:00:00"/>
    <s v="NA"/>
    <n v="0"/>
    <n v="79"/>
    <s v="61-80"/>
    <x v="1"/>
    <x v="3"/>
    <x v="2"/>
    <x v="3"/>
    <n v="1"/>
    <n v="1"/>
    <n v="4.2"/>
    <x v="10"/>
    <n v="4"/>
    <n v="7"/>
    <n v="634985"/>
    <n v="133157"/>
    <n v="501828"/>
    <n v="42"/>
    <n v="54"/>
    <n v="6.5"/>
  </r>
  <r>
    <x v="8"/>
    <x v="8"/>
    <d v="2023-08-05T00:00:00"/>
    <s v="NA"/>
    <n v="0"/>
    <n v="44"/>
    <s v="41-60"/>
    <x v="1"/>
    <x v="4"/>
    <x v="3"/>
    <x v="1"/>
    <n v="1"/>
    <n v="1"/>
    <n v="1.8"/>
    <x v="30"/>
    <n v="3"/>
    <n v="5"/>
    <n v="639767"/>
    <n v="104573"/>
    <n v="535194"/>
    <n v="55"/>
    <n v="54"/>
    <n v="14.5"/>
  </r>
  <r>
    <x v="8"/>
    <x v="8"/>
    <d v="2024-09-30T00:00:00"/>
    <s v="NA"/>
    <n v="0"/>
    <n v="30"/>
    <s v="21-40"/>
    <x v="1"/>
    <x v="6"/>
    <x v="4"/>
    <x v="2"/>
    <n v="1"/>
    <n v="1"/>
    <n v="6.2"/>
    <x v="20"/>
    <n v="3"/>
    <n v="4"/>
    <n v="839437"/>
    <n v="296945"/>
    <n v="542492"/>
    <n v="58"/>
    <n v="66"/>
    <n v="13.4"/>
  </r>
  <r>
    <x v="8"/>
    <x v="8"/>
    <d v="2021-02-03T00:00:00"/>
    <s v="NA"/>
    <n v="0"/>
    <n v="75"/>
    <s v="61-80"/>
    <x v="0"/>
    <x v="9"/>
    <x v="7"/>
    <x v="3"/>
    <n v="1"/>
    <n v="1"/>
    <n v="2.6"/>
    <x v="20"/>
    <n v="7"/>
    <n v="3"/>
    <n v="699597"/>
    <n v="174426"/>
    <n v="525171"/>
    <n v="47"/>
    <n v="64"/>
    <n v="36"/>
  </r>
  <r>
    <x v="8"/>
    <x v="8"/>
    <d v="2024-01-10T00:00:00"/>
    <s v="NA"/>
    <n v="0"/>
    <n v="50"/>
    <s v="41-60"/>
    <x v="0"/>
    <x v="0"/>
    <x v="0"/>
    <x v="0"/>
    <n v="1"/>
    <n v="1"/>
    <n v="1.6"/>
    <x v="7"/>
    <n v="5"/>
    <n v="5"/>
    <n v="803128"/>
    <n v="232580"/>
    <n v="570548"/>
    <n v="43"/>
    <n v="64"/>
    <n v="14.3"/>
  </r>
  <r>
    <x v="8"/>
    <x v="8"/>
    <d v="2021-03-07T00:00:00"/>
    <s v="NA"/>
    <n v="0"/>
    <n v="37"/>
    <s v="21-40"/>
    <x v="1"/>
    <x v="9"/>
    <x v="7"/>
    <x v="1"/>
    <n v="1"/>
    <n v="1"/>
    <n v="2.9"/>
    <x v="25"/>
    <n v="6"/>
    <n v="5"/>
    <n v="617405"/>
    <n v="107411"/>
    <n v="509994"/>
    <n v="51"/>
    <n v="56"/>
    <n v="6.3"/>
  </r>
  <r>
    <x v="8"/>
    <x v="8"/>
    <d v="2024-08-29T00:00:00"/>
    <s v="NA"/>
    <n v="0"/>
    <n v="26"/>
    <s v="21-40"/>
    <x v="0"/>
    <x v="2"/>
    <x v="1"/>
    <x v="0"/>
    <n v="1"/>
    <n v="1"/>
    <n v="4"/>
    <x v="27"/>
    <n v="6"/>
    <n v="6"/>
    <n v="671442"/>
    <n v="127382"/>
    <n v="544060"/>
    <n v="60"/>
    <n v="56"/>
    <n v="5.9"/>
  </r>
  <r>
    <x v="8"/>
    <x v="8"/>
    <d v="2022-09-05T00:00:00"/>
    <s v="NA"/>
    <n v="0"/>
    <n v="37"/>
    <s v="21-40"/>
    <x v="1"/>
    <x v="13"/>
    <x v="10"/>
    <x v="3"/>
    <n v="1"/>
    <n v="1"/>
    <n v="1.9"/>
    <x v="27"/>
    <n v="7"/>
    <n v="4"/>
    <n v="809669"/>
    <n v="240971"/>
    <n v="568698"/>
    <n v="60"/>
    <n v="58"/>
    <n v="10.199999999999999"/>
  </r>
  <r>
    <x v="8"/>
    <x v="8"/>
    <d v="2023-04-08T00:00:00"/>
    <s v="NA"/>
    <n v="0"/>
    <n v="56"/>
    <s v="41-60"/>
    <x v="0"/>
    <x v="2"/>
    <x v="1"/>
    <x v="0"/>
    <n v="1"/>
    <n v="1"/>
    <n v="6.4"/>
    <x v="10"/>
    <n v="5"/>
    <n v="5"/>
    <n v="646405"/>
    <n v="51769"/>
    <n v="594636"/>
    <n v="50"/>
    <n v="55"/>
    <n v="9.6999999999999993"/>
  </r>
  <r>
    <x v="8"/>
    <x v="8"/>
    <d v="2021-07-07T00:00:00"/>
    <s v="NA"/>
    <n v="0"/>
    <n v="40"/>
    <s v="21-40"/>
    <x v="1"/>
    <x v="12"/>
    <x v="9"/>
    <x v="1"/>
    <n v="1"/>
    <n v="1"/>
    <n v="3.2"/>
    <x v="17"/>
    <n v="6"/>
    <n v="6"/>
    <n v="793459"/>
    <n v="291211"/>
    <n v="502248"/>
    <n v="53"/>
    <n v="65"/>
    <n v="6.4"/>
  </r>
  <r>
    <x v="8"/>
    <x v="8"/>
    <d v="2021-04-03T00:00:00"/>
    <s v="NA"/>
    <n v="0"/>
    <n v="63"/>
    <s v="61-80"/>
    <x v="1"/>
    <x v="8"/>
    <x v="6"/>
    <x v="4"/>
    <n v="1"/>
    <n v="1"/>
    <n v="2.9"/>
    <x v="18"/>
    <n v="4"/>
    <n v="3"/>
    <n v="634876"/>
    <n v="110730"/>
    <n v="524146"/>
    <n v="47"/>
    <n v="61"/>
    <n v="12.1"/>
  </r>
  <r>
    <x v="8"/>
    <x v="8"/>
    <d v="2021-10-05T00:00:00"/>
    <s v="NA"/>
    <n v="0"/>
    <n v="81"/>
    <s v="81+"/>
    <x v="0"/>
    <x v="7"/>
    <x v="5"/>
    <x v="3"/>
    <n v="1"/>
    <n v="1"/>
    <n v="2.1"/>
    <x v="23"/>
    <n v="6"/>
    <n v="3"/>
    <n v="608191"/>
    <n v="22296"/>
    <n v="585895"/>
    <n v="54"/>
    <n v="55"/>
    <n v="10.4"/>
  </r>
  <r>
    <x v="8"/>
    <x v="8"/>
    <d v="2024-05-01T00:00:00"/>
    <s v="NA"/>
    <n v="0"/>
    <n v="27"/>
    <s v="21-40"/>
    <x v="1"/>
    <x v="4"/>
    <x v="3"/>
    <x v="0"/>
    <n v="1"/>
    <n v="1"/>
    <n v="2.7"/>
    <x v="19"/>
    <n v="6"/>
    <n v="7"/>
    <n v="876323"/>
    <n v="372551"/>
    <n v="503772"/>
    <n v="40"/>
    <n v="58"/>
    <n v="14.2"/>
  </r>
  <r>
    <x v="8"/>
    <x v="8"/>
    <d v="2024-02-07T00:00:00"/>
    <s v="NA"/>
    <n v="0"/>
    <n v="28"/>
    <s v="21-40"/>
    <x v="1"/>
    <x v="6"/>
    <x v="4"/>
    <x v="0"/>
    <n v="1"/>
    <n v="1"/>
    <n v="1.9"/>
    <x v="27"/>
    <n v="6"/>
    <n v="7"/>
    <n v="666182"/>
    <n v="123818"/>
    <n v="542364"/>
    <n v="55"/>
    <n v="60"/>
    <n v="6.8"/>
  </r>
  <r>
    <x v="8"/>
    <x v="8"/>
    <d v="2021-08-21T00:00:00"/>
    <s v="NA"/>
    <n v="0"/>
    <n v="65"/>
    <s v="61-80"/>
    <x v="1"/>
    <x v="3"/>
    <x v="2"/>
    <x v="1"/>
    <n v="1"/>
    <n v="1"/>
    <n v="5"/>
    <x v="11"/>
    <n v="6"/>
    <n v="3"/>
    <n v="825624"/>
    <n v="305668"/>
    <n v="519956"/>
    <n v="56"/>
    <n v="54"/>
    <n v="5.7"/>
  </r>
  <r>
    <x v="8"/>
    <x v="8"/>
    <d v="2022-04-28T00:00:00"/>
    <s v="NA"/>
    <n v="0"/>
    <n v="73"/>
    <s v="61-80"/>
    <x v="0"/>
    <x v="5"/>
    <x v="0"/>
    <x v="3"/>
    <n v="1"/>
    <n v="1"/>
    <n v="6.1"/>
    <x v="11"/>
    <n v="7"/>
    <n v="5"/>
    <n v="725062"/>
    <n v="211959"/>
    <n v="513103"/>
    <n v="51"/>
    <n v="63"/>
    <n v="36.9"/>
  </r>
  <r>
    <x v="8"/>
    <x v="8"/>
    <d v="2022-03-28T00:00:00"/>
    <s v="NA"/>
    <n v="0"/>
    <n v="24"/>
    <s v="21-40"/>
    <x v="1"/>
    <x v="12"/>
    <x v="9"/>
    <x v="2"/>
    <n v="1"/>
    <n v="1"/>
    <n v="2.8"/>
    <x v="24"/>
    <n v="5"/>
    <n v="6"/>
    <n v="607336"/>
    <n v="15980"/>
    <n v="591356"/>
    <n v="56"/>
    <n v="58"/>
    <n v="5.3"/>
  </r>
  <r>
    <x v="8"/>
    <x v="8"/>
    <d v="2021-12-03T00:00:00"/>
    <s v="NA"/>
    <n v="0"/>
    <n v="34"/>
    <s v="21-40"/>
    <x v="1"/>
    <x v="12"/>
    <x v="9"/>
    <x v="0"/>
    <n v="1"/>
    <n v="1"/>
    <n v="5.7"/>
    <x v="20"/>
    <n v="4"/>
    <n v="6"/>
    <n v="673238"/>
    <n v="155851"/>
    <n v="517387"/>
    <n v="59"/>
    <n v="57"/>
    <n v="10.3"/>
  </r>
  <r>
    <x v="8"/>
    <x v="8"/>
    <d v="2023-04-21T00:00:00"/>
    <s v="NA"/>
    <n v="0"/>
    <n v="67"/>
    <s v="61-80"/>
    <x v="0"/>
    <x v="9"/>
    <x v="7"/>
    <x v="2"/>
    <n v="1"/>
    <n v="1"/>
    <n v="1.3"/>
    <x v="6"/>
    <n v="7"/>
    <n v="3"/>
    <n v="745444"/>
    <n v="158859"/>
    <n v="586585"/>
    <n v="46"/>
    <n v="56"/>
    <n v="13.7"/>
  </r>
  <r>
    <x v="8"/>
    <x v="8"/>
    <d v="2023-09-16T00:00:00"/>
    <s v="NA"/>
    <n v="0"/>
    <n v="48"/>
    <s v="41-60"/>
    <x v="0"/>
    <x v="9"/>
    <x v="7"/>
    <x v="4"/>
    <n v="1"/>
    <n v="1"/>
    <n v="4.3"/>
    <x v="1"/>
    <n v="3"/>
    <n v="4"/>
    <n v="814341"/>
    <n v="234451"/>
    <n v="579890"/>
    <n v="44"/>
    <n v="62"/>
    <n v="7.4"/>
  </r>
  <r>
    <x v="8"/>
    <x v="8"/>
    <d v="2022-11-30T00:00:00"/>
    <s v="NA"/>
    <n v="0"/>
    <n v="40"/>
    <s v="21-40"/>
    <x v="1"/>
    <x v="12"/>
    <x v="9"/>
    <x v="3"/>
    <n v="1"/>
    <n v="1"/>
    <n v="6.8"/>
    <x v="19"/>
    <n v="6"/>
    <n v="7"/>
    <n v="677167"/>
    <n v="141223"/>
    <n v="535944"/>
    <n v="56"/>
    <n v="57"/>
    <n v="8.3000000000000007"/>
  </r>
  <r>
    <x v="8"/>
    <x v="8"/>
    <d v="2023-07-29T00:00:00"/>
    <s v="NA"/>
    <n v="0"/>
    <n v="51"/>
    <s v="41-60"/>
    <x v="1"/>
    <x v="12"/>
    <x v="9"/>
    <x v="1"/>
    <n v="1"/>
    <n v="1"/>
    <n v="1.2"/>
    <x v="9"/>
    <n v="6"/>
    <n v="3"/>
    <n v="755323"/>
    <n v="222248"/>
    <n v="533075"/>
    <n v="48"/>
    <n v="55"/>
    <n v="14.6"/>
  </r>
  <r>
    <x v="8"/>
    <x v="8"/>
    <d v="2024-06-08T00:00:00"/>
    <s v="NA"/>
    <n v="0"/>
    <n v="59"/>
    <s v="41-60"/>
    <x v="1"/>
    <x v="12"/>
    <x v="9"/>
    <x v="0"/>
    <n v="1"/>
    <n v="1"/>
    <n v="2.8"/>
    <x v="14"/>
    <n v="5"/>
    <n v="6"/>
    <n v="643683"/>
    <n v="98602"/>
    <n v="545081"/>
    <n v="44"/>
    <n v="57"/>
    <n v="10.3"/>
  </r>
  <r>
    <x v="8"/>
    <x v="8"/>
    <d v="2023-10-08T00:00:00"/>
    <s v="NA"/>
    <n v="0"/>
    <n v="40"/>
    <s v="21-40"/>
    <x v="1"/>
    <x v="3"/>
    <x v="2"/>
    <x v="1"/>
    <n v="1"/>
    <n v="1"/>
    <n v="3.8"/>
    <x v="5"/>
    <n v="4"/>
    <n v="4"/>
    <n v="858045"/>
    <n v="258577"/>
    <n v="599468"/>
    <n v="53"/>
    <n v="56"/>
    <n v="8.1"/>
  </r>
  <r>
    <x v="8"/>
    <x v="8"/>
    <d v="2022-03-26T00:00:00"/>
    <s v="NA"/>
    <n v="0"/>
    <n v="61"/>
    <s v="61-80"/>
    <x v="0"/>
    <x v="12"/>
    <x v="9"/>
    <x v="4"/>
    <n v="1"/>
    <n v="1"/>
    <n v="4.3"/>
    <x v="6"/>
    <n v="3"/>
    <n v="3"/>
    <n v="693795"/>
    <n v="135244"/>
    <n v="558551"/>
    <n v="53"/>
    <n v="56"/>
    <n v="36.6"/>
  </r>
  <r>
    <x v="9"/>
    <x v="9"/>
    <d v="2021-04-08T00:00:00"/>
    <s v="NA"/>
    <n v="0"/>
    <n v="87"/>
    <s v="81+"/>
    <x v="1"/>
    <x v="4"/>
    <x v="3"/>
    <x v="1"/>
    <n v="1"/>
    <n v="1"/>
    <n v="5.7"/>
    <x v="11"/>
    <n v="4"/>
    <n v="5"/>
    <n v="960674"/>
    <n v="67733"/>
    <n v="892941"/>
    <n v="32"/>
    <n v="59"/>
    <n v="36"/>
  </r>
  <r>
    <x v="8"/>
    <x v="8"/>
    <d v="2022-01-14T00:00:00"/>
    <s v="NA"/>
    <n v="0"/>
    <n v="74"/>
    <s v="61-80"/>
    <x v="0"/>
    <x v="5"/>
    <x v="0"/>
    <x v="2"/>
    <n v="1"/>
    <n v="1"/>
    <n v="5.7"/>
    <x v="7"/>
    <n v="5"/>
    <n v="3"/>
    <n v="851559"/>
    <n v="292771"/>
    <n v="558788"/>
    <n v="54"/>
    <n v="57"/>
    <n v="10.199999999999999"/>
  </r>
  <r>
    <x v="8"/>
    <x v="8"/>
    <d v="2022-08-07T00:00:00"/>
    <s v="NA"/>
    <n v="0"/>
    <n v="28"/>
    <s v="21-40"/>
    <x v="1"/>
    <x v="6"/>
    <x v="4"/>
    <x v="1"/>
    <n v="1"/>
    <n v="1"/>
    <n v="5.5"/>
    <x v="20"/>
    <n v="6"/>
    <n v="6"/>
    <n v="803281"/>
    <n v="263138"/>
    <n v="540143"/>
    <n v="41"/>
    <n v="61"/>
    <n v="7.7"/>
  </r>
  <r>
    <x v="8"/>
    <x v="8"/>
    <d v="2024-04-05T00:00:00"/>
    <s v="NA"/>
    <n v="0"/>
    <n v="64"/>
    <s v="61-80"/>
    <x v="0"/>
    <x v="6"/>
    <x v="4"/>
    <x v="0"/>
    <n v="1"/>
    <n v="1"/>
    <n v="4.4000000000000004"/>
    <x v="22"/>
    <n v="6"/>
    <n v="7"/>
    <n v="829443"/>
    <n v="298567"/>
    <n v="530876"/>
    <n v="47"/>
    <n v="65"/>
    <n v="10.6"/>
  </r>
  <r>
    <x v="8"/>
    <x v="8"/>
    <d v="2023-08-14T00:00:00"/>
    <s v="NA"/>
    <n v="0"/>
    <n v="87"/>
    <s v="81+"/>
    <x v="0"/>
    <x v="0"/>
    <x v="0"/>
    <x v="0"/>
    <n v="1"/>
    <n v="1"/>
    <n v="5.4"/>
    <x v="23"/>
    <n v="6"/>
    <n v="3"/>
    <n v="739938"/>
    <n v="152067"/>
    <n v="587871"/>
    <n v="45"/>
    <n v="58"/>
    <n v="36.1"/>
  </r>
  <r>
    <x v="9"/>
    <x v="9"/>
    <d v="2024-01-29T00:00:00"/>
    <s v="NA"/>
    <n v="0"/>
    <n v="85"/>
    <s v="81+"/>
    <x v="0"/>
    <x v="5"/>
    <x v="0"/>
    <x v="4"/>
    <n v="1"/>
    <n v="1"/>
    <n v="6.3"/>
    <x v="7"/>
    <n v="6"/>
    <n v="6"/>
    <n v="902590"/>
    <n v="52766"/>
    <n v="849824"/>
    <n v="34"/>
    <n v="59"/>
    <n v="12"/>
  </r>
  <r>
    <x v="9"/>
    <x v="9"/>
    <d v="2023-11-12T00:00:00"/>
    <s v="NA"/>
    <n v="0"/>
    <n v="28"/>
    <s v="21-40"/>
    <x v="0"/>
    <x v="12"/>
    <x v="9"/>
    <x v="0"/>
    <n v="1"/>
    <n v="1"/>
    <n v="1.1000000000000001"/>
    <x v="12"/>
    <n v="6"/>
    <n v="4"/>
    <n v="965681"/>
    <n v="112073"/>
    <n v="853608"/>
    <n v="31"/>
    <n v="63"/>
    <n v="7.1"/>
  </r>
  <r>
    <x v="9"/>
    <x v="9"/>
    <d v="2021-11-05T00:00:00"/>
    <s v="NA"/>
    <n v="0"/>
    <n v="52"/>
    <s v="41-60"/>
    <x v="1"/>
    <x v="3"/>
    <x v="2"/>
    <x v="3"/>
    <n v="1"/>
    <n v="1"/>
    <n v="6.2"/>
    <x v="12"/>
    <n v="6"/>
    <n v="6"/>
    <n v="900536"/>
    <n v="28190"/>
    <n v="872346"/>
    <n v="40"/>
    <n v="66"/>
    <n v="10.8"/>
  </r>
  <r>
    <x v="9"/>
    <x v="9"/>
    <d v="2021-07-08T00:00:00"/>
    <s v="NA"/>
    <n v="0"/>
    <n v="23"/>
    <s v="21-40"/>
    <x v="1"/>
    <x v="12"/>
    <x v="9"/>
    <x v="4"/>
    <n v="1"/>
    <n v="1"/>
    <n v="4.2"/>
    <x v="25"/>
    <n v="7"/>
    <n v="3"/>
    <n v="954246"/>
    <n v="105274"/>
    <n v="848972"/>
    <n v="36"/>
    <n v="61"/>
    <n v="36.9"/>
  </r>
  <r>
    <x v="9"/>
    <x v="9"/>
    <d v="2021-03-09T00:00:00"/>
    <s v="NA"/>
    <n v="0"/>
    <n v="79"/>
    <s v="61-80"/>
    <x v="0"/>
    <x v="13"/>
    <x v="10"/>
    <x v="0"/>
    <n v="1"/>
    <n v="1"/>
    <n v="5.5"/>
    <x v="2"/>
    <n v="7"/>
    <n v="3"/>
    <n v="988049"/>
    <n v="142077"/>
    <n v="845972"/>
    <n v="35"/>
    <n v="58"/>
    <n v="9.1999999999999993"/>
  </r>
  <r>
    <x v="9"/>
    <x v="9"/>
    <d v="2024-02-16T00:00:00"/>
    <s v="NA"/>
    <n v="0"/>
    <n v="32"/>
    <s v="21-40"/>
    <x v="0"/>
    <x v="12"/>
    <x v="9"/>
    <x v="3"/>
    <n v="1"/>
    <n v="1"/>
    <n v="2.6"/>
    <x v="12"/>
    <n v="4"/>
    <n v="6"/>
    <n v="922637"/>
    <n v="87611"/>
    <n v="835026"/>
    <n v="40"/>
    <n v="60"/>
    <n v="10.9"/>
  </r>
  <r>
    <x v="9"/>
    <x v="9"/>
    <d v="2023-04-22T00:00:00"/>
    <s v="NA"/>
    <n v="0"/>
    <n v="88"/>
    <s v="81+"/>
    <x v="1"/>
    <x v="7"/>
    <x v="5"/>
    <x v="2"/>
    <n v="1"/>
    <n v="1"/>
    <n v="1.5"/>
    <x v="17"/>
    <n v="5"/>
    <n v="5"/>
    <n v="999855"/>
    <n v="160775"/>
    <n v="839080"/>
    <n v="33"/>
    <n v="62"/>
    <n v="7"/>
  </r>
  <r>
    <x v="9"/>
    <x v="9"/>
    <d v="2021-06-01T00:00:00"/>
    <s v="NA"/>
    <n v="0"/>
    <n v="23"/>
    <s v="21-40"/>
    <x v="1"/>
    <x v="2"/>
    <x v="1"/>
    <x v="4"/>
    <n v="1"/>
    <n v="1"/>
    <n v="4.8"/>
    <x v="3"/>
    <n v="3"/>
    <n v="3"/>
    <n v="994616"/>
    <n v="106065"/>
    <n v="888551"/>
    <n v="35"/>
    <n v="64"/>
    <n v="14.6"/>
  </r>
  <r>
    <x v="9"/>
    <x v="9"/>
    <d v="2022-12-14T00:00:00"/>
    <s v="NA"/>
    <n v="0"/>
    <n v="50"/>
    <s v="41-60"/>
    <x v="0"/>
    <x v="13"/>
    <x v="10"/>
    <x v="1"/>
    <n v="1"/>
    <n v="1"/>
    <n v="3.1"/>
    <x v="20"/>
    <n v="3"/>
    <n v="6"/>
    <n v="925421"/>
    <n v="93670"/>
    <n v="831751"/>
    <n v="40"/>
    <n v="54"/>
    <n v="36.700000000000003"/>
  </r>
  <r>
    <x v="9"/>
    <x v="9"/>
    <d v="2024-09-10T00:00:00"/>
    <s v="NA"/>
    <n v="0"/>
    <n v="56"/>
    <s v="41-60"/>
    <x v="0"/>
    <x v="10"/>
    <x v="8"/>
    <x v="2"/>
    <n v="1"/>
    <n v="1"/>
    <n v="3.1"/>
    <x v="24"/>
    <n v="6"/>
    <n v="5"/>
    <n v="966909"/>
    <n v="103481"/>
    <n v="863428"/>
    <n v="33"/>
    <n v="58"/>
    <n v="9.8000000000000007"/>
  </r>
  <r>
    <x v="9"/>
    <x v="9"/>
    <d v="2024-11-13T00:00:00"/>
    <s v="NA"/>
    <n v="0"/>
    <n v="89"/>
    <s v="81+"/>
    <x v="1"/>
    <x v="12"/>
    <x v="9"/>
    <x v="1"/>
    <n v="1"/>
    <n v="1"/>
    <n v="6.7"/>
    <x v="7"/>
    <n v="3"/>
    <n v="6"/>
    <n v="966665"/>
    <n v="144991"/>
    <n v="821674"/>
    <n v="39"/>
    <n v="64"/>
    <n v="6"/>
  </r>
  <r>
    <x v="9"/>
    <x v="9"/>
    <d v="2023-08-12T00:00:00"/>
    <s v="NA"/>
    <n v="0"/>
    <n v="41"/>
    <s v="41-60"/>
    <x v="1"/>
    <x v="9"/>
    <x v="7"/>
    <x v="1"/>
    <n v="1"/>
    <n v="1"/>
    <n v="6.9"/>
    <x v="10"/>
    <n v="5"/>
    <n v="5"/>
    <n v="944395"/>
    <n v="139055"/>
    <n v="805340"/>
    <n v="35"/>
    <n v="62"/>
    <n v="5.5"/>
  </r>
  <r>
    <x v="9"/>
    <x v="9"/>
    <d v="2023-05-17T00:00:00"/>
    <s v="NA"/>
    <n v="0"/>
    <n v="29"/>
    <s v="21-40"/>
    <x v="0"/>
    <x v="0"/>
    <x v="0"/>
    <x v="4"/>
    <n v="1"/>
    <n v="1"/>
    <n v="4.2"/>
    <x v="19"/>
    <n v="3"/>
    <n v="5"/>
    <n v="902412"/>
    <n v="95775"/>
    <n v="806637"/>
    <n v="38"/>
    <n v="61"/>
    <n v="9.8000000000000007"/>
  </r>
  <r>
    <x v="9"/>
    <x v="9"/>
    <d v="2021-03-19T00:00:00"/>
    <s v="NA"/>
    <n v="0"/>
    <n v="67"/>
    <s v="61-80"/>
    <x v="1"/>
    <x v="1"/>
    <x v="1"/>
    <x v="4"/>
    <n v="1"/>
    <n v="1"/>
    <n v="6"/>
    <x v="25"/>
    <n v="4"/>
    <n v="5"/>
    <n v="937067"/>
    <n v="132741"/>
    <n v="804326"/>
    <n v="38"/>
    <n v="66"/>
    <n v="36.5"/>
  </r>
  <r>
    <x v="9"/>
    <x v="9"/>
    <d v="2024-03-01T00:00:00"/>
    <s v="NA"/>
    <n v="0"/>
    <n v="74"/>
    <s v="61-80"/>
    <x v="1"/>
    <x v="13"/>
    <x v="10"/>
    <x v="0"/>
    <n v="1"/>
    <n v="1"/>
    <n v="4.2"/>
    <x v="1"/>
    <n v="6"/>
    <n v="4"/>
    <n v="955551"/>
    <n v="145009"/>
    <n v="810542"/>
    <n v="38"/>
    <n v="57"/>
    <n v="12.9"/>
  </r>
  <r>
    <x v="9"/>
    <x v="9"/>
    <d v="2022-05-17T00:00:00"/>
    <s v="NA"/>
    <n v="0"/>
    <n v="52"/>
    <s v="41-60"/>
    <x v="0"/>
    <x v="1"/>
    <x v="1"/>
    <x v="4"/>
    <n v="1"/>
    <n v="1"/>
    <n v="3.4"/>
    <x v="22"/>
    <n v="3"/>
    <n v="3"/>
    <n v="960296"/>
    <n v="68111"/>
    <n v="892185"/>
    <n v="31"/>
    <n v="56"/>
    <n v="12.8"/>
  </r>
  <r>
    <x v="9"/>
    <x v="9"/>
    <d v="2021-02-25T00:00:00"/>
    <s v="NA"/>
    <n v="0"/>
    <n v="65"/>
    <s v="61-80"/>
    <x v="1"/>
    <x v="1"/>
    <x v="1"/>
    <x v="3"/>
    <n v="1"/>
    <n v="1"/>
    <n v="5.5"/>
    <x v="27"/>
    <n v="6"/>
    <n v="6"/>
    <n v="921426"/>
    <n v="65870"/>
    <n v="855556"/>
    <n v="33"/>
    <n v="57"/>
    <n v="6.2"/>
  </r>
  <r>
    <x v="9"/>
    <x v="9"/>
    <d v="2022-02-18T00:00:00"/>
    <s v="NA"/>
    <n v="0"/>
    <n v="52"/>
    <s v="41-60"/>
    <x v="0"/>
    <x v="2"/>
    <x v="1"/>
    <x v="0"/>
    <n v="1"/>
    <n v="1"/>
    <n v="3.4"/>
    <x v="30"/>
    <n v="3"/>
    <n v="6"/>
    <n v="960280"/>
    <n v="113153"/>
    <n v="847127"/>
    <n v="39"/>
    <n v="63"/>
    <n v="5.5"/>
  </r>
  <r>
    <x v="9"/>
    <x v="9"/>
    <d v="2023-07-20T00:00:00"/>
    <s v="NA"/>
    <n v="0"/>
    <n v="49"/>
    <s v="41-60"/>
    <x v="1"/>
    <x v="4"/>
    <x v="3"/>
    <x v="3"/>
    <n v="1"/>
    <n v="1"/>
    <n v="2.2000000000000002"/>
    <x v="12"/>
    <n v="4"/>
    <n v="5"/>
    <n v="936515"/>
    <n v="61450"/>
    <n v="875065"/>
    <n v="40"/>
    <n v="56"/>
    <n v="9.6"/>
  </r>
  <r>
    <x v="9"/>
    <x v="9"/>
    <d v="2024-05-26T00:00:00"/>
    <s v="NA"/>
    <n v="0"/>
    <n v="78"/>
    <s v="61-80"/>
    <x v="1"/>
    <x v="13"/>
    <x v="10"/>
    <x v="3"/>
    <n v="1"/>
    <n v="1"/>
    <n v="6.2"/>
    <x v="29"/>
    <n v="6"/>
    <n v="6"/>
    <n v="943609"/>
    <n v="128401"/>
    <n v="815208"/>
    <n v="37"/>
    <n v="66"/>
    <n v="14.4"/>
  </r>
  <r>
    <x v="9"/>
    <x v="9"/>
    <d v="2022-03-03T00:00:00"/>
    <s v="NA"/>
    <n v="0"/>
    <n v="81"/>
    <s v="81+"/>
    <x v="1"/>
    <x v="10"/>
    <x v="8"/>
    <x v="2"/>
    <n v="1"/>
    <n v="1"/>
    <n v="1.6"/>
    <x v="23"/>
    <n v="4"/>
    <n v="3"/>
    <n v="979069"/>
    <n v="98170"/>
    <n v="880899"/>
    <n v="34"/>
    <n v="61"/>
    <n v="13"/>
  </r>
  <r>
    <x v="9"/>
    <x v="9"/>
    <d v="2021-03-05T00:00:00"/>
    <s v="NA"/>
    <n v="0"/>
    <n v="43"/>
    <s v="41-60"/>
    <x v="0"/>
    <x v="2"/>
    <x v="1"/>
    <x v="4"/>
    <n v="1"/>
    <n v="1"/>
    <n v="3.3"/>
    <x v="30"/>
    <n v="5"/>
    <n v="4"/>
    <n v="904594"/>
    <n v="27678"/>
    <n v="876916"/>
    <n v="40"/>
    <n v="59"/>
    <n v="12"/>
  </r>
  <r>
    <x v="9"/>
    <x v="9"/>
    <d v="2024-03-29T00:00:00"/>
    <s v="NA"/>
    <n v="0"/>
    <n v="85"/>
    <s v="81+"/>
    <x v="1"/>
    <x v="3"/>
    <x v="2"/>
    <x v="0"/>
    <n v="1"/>
    <n v="1"/>
    <n v="5.2"/>
    <x v="30"/>
    <n v="7"/>
    <n v="7"/>
    <n v="966244"/>
    <n v="93579"/>
    <n v="872665"/>
    <n v="31"/>
    <n v="59"/>
    <n v="9.6999999999999993"/>
  </r>
  <r>
    <x v="9"/>
    <x v="9"/>
    <d v="2024-06-17T00:00:00"/>
    <s v="NA"/>
    <n v="0"/>
    <n v="75"/>
    <s v="61-80"/>
    <x v="1"/>
    <x v="8"/>
    <x v="6"/>
    <x v="1"/>
    <n v="1"/>
    <n v="1"/>
    <n v="3.8"/>
    <x v="9"/>
    <n v="4"/>
    <n v="5"/>
    <n v="981706"/>
    <n v="137898"/>
    <n v="843808"/>
    <n v="39"/>
    <n v="60"/>
    <n v="7.6"/>
  </r>
  <r>
    <x v="9"/>
    <x v="9"/>
    <d v="2021-09-16T00:00:00"/>
    <s v="NA"/>
    <n v="0"/>
    <n v="56"/>
    <s v="41-60"/>
    <x v="0"/>
    <x v="12"/>
    <x v="9"/>
    <x v="1"/>
    <n v="1"/>
    <n v="1"/>
    <n v="5.4"/>
    <x v="21"/>
    <n v="3"/>
    <n v="4"/>
    <n v="975245"/>
    <n v="154149"/>
    <n v="821096"/>
    <n v="31"/>
    <n v="63"/>
    <n v="8"/>
  </r>
  <r>
    <x v="9"/>
    <x v="9"/>
    <d v="2021-11-02T00:00:00"/>
    <s v="NA"/>
    <n v="0"/>
    <n v="39"/>
    <s v="21-40"/>
    <x v="1"/>
    <x v="8"/>
    <x v="6"/>
    <x v="3"/>
    <n v="1"/>
    <n v="1"/>
    <n v="6.6"/>
    <x v="3"/>
    <n v="4"/>
    <n v="4"/>
    <n v="988838"/>
    <n v="161002"/>
    <n v="827836"/>
    <n v="36"/>
    <n v="58"/>
    <n v="12.6"/>
  </r>
  <r>
    <x v="9"/>
    <x v="9"/>
    <d v="2021-01-25T00:00:00"/>
    <s v="NA"/>
    <n v="0"/>
    <n v="23"/>
    <s v="21-40"/>
    <x v="1"/>
    <x v="10"/>
    <x v="8"/>
    <x v="0"/>
    <n v="1"/>
    <n v="1"/>
    <n v="1.5"/>
    <x v="25"/>
    <n v="3"/>
    <n v="7"/>
    <n v="937492"/>
    <n v="62993"/>
    <n v="874499"/>
    <n v="33"/>
    <n v="56"/>
    <n v="10.9"/>
  </r>
  <r>
    <x v="9"/>
    <x v="9"/>
    <d v="2021-03-24T00:00:00"/>
    <s v="NA"/>
    <n v="0"/>
    <n v="33"/>
    <s v="21-40"/>
    <x v="1"/>
    <x v="3"/>
    <x v="2"/>
    <x v="1"/>
    <n v="1"/>
    <n v="1"/>
    <n v="4.7"/>
    <x v="13"/>
    <n v="6"/>
    <n v="3"/>
    <n v="933222"/>
    <n v="54014"/>
    <n v="879208"/>
    <n v="33"/>
    <n v="60"/>
    <n v="12.3"/>
  </r>
  <r>
    <x v="9"/>
    <x v="9"/>
    <d v="2021-05-18T00:00:00"/>
    <s v="NA"/>
    <n v="0"/>
    <n v="48"/>
    <s v="41-60"/>
    <x v="0"/>
    <x v="5"/>
    <x v="0"/>
    <x v="2"/>
    <n v="1"/>
    <n v="1"/>
    <n v="1.9"/>
    <x v="17"/>
    <n v="5"/>
    <n v="7"/>
    <n v="986139"/>
    <n v="123802"/>
    <n v="862337"/>
    <n v="31"/>
    <n v="57"/>
    <n v="36.299999999999997"/>
  </r>
  <r>
    <x v="9"/>
    <x v="9"/>
    <d v="2023-03-08T00:00:00"/>
    <s v="NA"/>
    <n v="0"/>
    <n v="22"/>
    <s v="21-40"/>
    <x v="0"/>
    <x v="12"/>
    <x v="9"/>
    <x v="1"/>
    <n v="1"/>
    <n v="1"/>
    <n v="1.3"/>
    <x v="24"/>
    <n v="3"/>
    <n v="6"/>
    <n v="915724"/>
    <n v="65132"/>
    <n v="850592"/>
    <n v="35"/>
    <n v="62"/>
    <n v="14.4"/>
  </r>
  <r>
    <x v="9"/>
    <x v="9"/>
    <d v="2021-11-18T00:00:00"/>
    <s v="NA"/>
    <n v="0"/>
    <n v="44"/>
    <s v="41-60"/>
    <x v="1"/>
    <x v="3"/>
    <x v="2"/>
    <x v="2"/>
    <n v="1"/>
    <n v="1"/>
    <n v="3.1"/>
    <x v="14"/>
    <n v="7"/>
    <n v="4"/>
    <n v="922923"/>
    <n v="62585"/>
    <n v="860338"/>
    <n v="34"/>
    <n v="56"/>
    <n v="13.2"/>
  </r>
  <r>
    <x v="9"/>
    <x v="9"/>
    <d v="2023-01-25T00:00:00"/>
    <s v="NA"/>
    <n v="0"/>
    <n v="37"/>
    <s v="21-40"/>
    <x v="1"/>
    <x v="1"/>
    <x v="1"/>
    <x v="3"/>
    <n v="1"/>
    <n v="1"/>
    <n v="2.6"/>
    <x v="15"/>
    <n v="7"/>
    <n v="6"/>
    <n v="910166"/>
    <n v="68493"/>
    <n v="841673"/>
    <n v="30"/>
    <n v="62"/>
    <n v="9.9"/>
  </r>
  <r>
    <x v="9"/>
    <x v="9"/>
    <d v="2024-07-22T00:00:00"/>
    <s v="NA"/>
    <n v="0"/>
    <n v="89"/>
    <s v="81+"/>
    <x v="0"/>
    <x v="2"/>
    <x v="1"/>
    <x v="4"/>
    <n v="1"/>
    <n v="1"/>
    <n v="3.3"/>
    <x v="26"/>
    <n v="3"/>
    <n v="5"/>
    <n v="916574"/>
    <n v="23194"/>
    <n v="893380"/>
    <n v="39"/>
    <n v="61"/>
    <n v="6.8"/>
  </r>
  <r>
    <x v="9"/>
    <x v="9"/>
    <d v="2023-01-12T00:00:00"/>
    <s v="NA"/>
    <n v="0"/>
    <n v="49"/>
    <s v="41-60"/>
    <x v="0"/>
    <x v="7"/>
    <x v="5"/>
    <x v="2"/>
    <n v="1"/>
    <n v="1"/>
    <n v="4"/>
    <x v="20"/>
    <n v="5"/>
    <n v="7"/>
    <n v="980030"/>
    <n v="136901"/>
    <n v="843129"/>
    <n v="30"/>
    <n v="57"/>
    <n v="9.3000000000000007"/>
  </r>
  <r>
    <x v="9"/>
    <x v="9"/>
    <d v="2022-01-17T00:00:00"/>
    <s v="NA"/>
    <n v="0"/>
    <n v="85"/>
    <s v="81+"/>
    <x v="0"/>
    <x v="2"/>
    <x v="1"/>
    <x v="3"/>
    <n v="1"/>
    <n v="1"/>
    <n v="6.8"/>
    <x v="1"/>
    <n v="5"/>
    <n v="4"/>
    <n v="982028"/>
    <n v="149668"/>
    <n v="832360"/>
    <n v="39"/>
    <n v="58"/>
    <n v="9.1"/>
  </r>
  <r>
    <x v="9"/>
    <x v="9"/>
    <d v="2023-09-29T00:00:00"/>
    <s v="NA"/>
    <n v="0"/>
    <n v="37"/>
    <s v="21-40"/>
    <x v="1"/>
    <x v="10"/>
    <x v="8"/>
    <x v="0"/>
    <n v="1"/>
    <n v="1"/>
    <n v="4.3"/>
    <x v="26"/>
    <n v="7"/>
    <n v="6"/>
    <n v="968363"/>
    <n v="120333"/>
    <n v="848030"/>
    <n v="40"/>
    <n v="63"/>
    <n v="8.9"/>
  </r>
  <r>
    <x v="9"/>
    <x v="9"/>
    <d v="2023-12-19T00:00:00"/>
    <s v="NA"/>
    <n v="0"/>
    <n v="71"/>
    <s v="61-80"/>
    <x v="1"/>
    <x v="2"/>
    <x v="1"/>
    <x v="1"/>
    <n v="1"/>
    <n v="1"/>
    <n v="5.6"/>
    <x v="29"/>
    <n v="7"/>
    <n v="7"/>
    <n v="966524"/>
    <n v="134859"/>
    <n v="831665"/>
    <n v="37"/>
    <n v="65"/>
    <n v="9.1999999999999993"/>
  </r>
  <r>
    <x v="9"/>
    <x v="9"/>
    <d v="2021-11-01T00:00:00"/>
    <s v="NA"/>
    <n v="0"/>
    <n v="58"/>
    <s v="41-60"/>
    <x v="0"/>
    <x v="7"/>
    <x v="5"/>
    <x v="4"/>
    <n v="1"/>
    <n v="1"/>
    <n v="5.8"/>
    <x v="27"/>
    <n v="5"/>
    <n v="4"/>
    <n v="937165"/>
    <n v="121117"/>
    <n v="816048"/>
    <n v="39"/>
    <n v="55"/>
    <n v="12"/>
  </r>
  <r>
    <x v="9"/>
    <x v="9"/>
    <d v="2023-01-26T00:00:00"/>
    <s v="NA"/>
    <n v="0"/>
    <n v="41"/>
    <s v="41-60"/>
    <x v="1"/>
    <x v="12"/>
    <x v="9"/>
    <x v="3"/>
    <n v="1"/>
    <n v="1"/>
    <n v="5"/>
    <x v="25"/>
    <n v="6"/>
    <n v="5"/>
    <n v="910103"/>
    <n v="33586"/>
    <n v="876517"/>
    <n v="38"/>
    <n v="54"/>
    <n v="7.7"/>
  </r>
  <r>
    <x v="9"/>
    <x v="9"/>
    <d v="2023-07-02T00:00:00"/>
    <s v="NA"/>
    <n v="0"/>
    <n v="66"/>
    <s v="61-80"/>
    <x v="0"/>
    <x v="2"/>
    <x v="1"/>
    <x v="1"/>
    <n v="1"/>
    <n v="1"/>
    <n v="1.3"/>
    <x v="27"/>
    <n v="6"/>
    <n v="7"/>
    <n v="983967"/>
    <n v="118460"/>
    <n v="865507"/>
    <n v="34"/>
    <n v="63"/>
    <n v="12.6"/>
  </r>
  <r>
    <x v="9"/>
    <x v="9"/>
    <d v="2024-06-04T00:00:00"/>
    <s v="NA"/>
    <n v="0"/>
    <n v="34"/>
    <s v="21-40"/>
    <x v="1"/>
    <x v="3"/>
    <x v="2"/>
    <x v="0"/>
    <n v="1"/>
    <n v="1"/>
    <n v="6.6"/>
    <x v="16"/>
    <n v="4"/>
    <n v="6"/>
    <n v="972733"/>
    <n v="73017"/>
    <n v="899716"/>
    <n v="32"/>
    <n v="56"/>
    <n v="10.3"/>
  </r>
  <r>
    <x v="9"/>
    <x v="9"/>
    <d v="2021-08-07T00:00:00"/>
    <s v="NA"/>
    <n v="0"/>
    <n v="59"/>
    <s v="41-60"/>
    <x v="0"/>
    <x v="9"/>
    <x v="7"/>
    <x v="1"/>
    <n v="1"/>
    <n v="1"/>
    <n v="2.9"/>
    <x v="13"/>
    <n v="7"/>
    <n v="5"/>
    <n v="913587"/>
    <n v="58362"/>
    <n v="855225"/>
    <n v="38"/>
    <n v="58"/>
    <n v="5.4"/>
  </r>
  <r>
    <x v="9"/>
    <x v="9"/>
    <d v="2021-08-12T00:00:00"/>
    <s v="NA"/>
    <n v="0"/>
    <n v="49"/>
    <s v="41-60"/>
    <x v="0"/>
    <x v="0"/>
    <x v="0"/>
    <x v="3"/>
    <n v="1"/>
    <n v="1"/>
    <n v="4.3"/>
    <x v="21"/>
    <n v="7"/>
    <n v="7"/>
    <n v="914361"/>
    <n v="35059"/>
    <n v="879302"/>
    <n v="40"/>
    <n v="58"/>
    <n v="7.7"/>
  </r>
  <r>
    <x v="9"/>
    <x v="9"/>
    <d v="2022-04-10T00:00:00"/>
    <s v="NA"/>
    <n v="0"/>
    <n v="69"/>
    <s v="61-80"/>
    <x v="0"/>
    <x v="4"/>
    <x v="3"/>
    <x v="4"/>
    <n v="1"/>
    <n v="1"/>
    <n v="3.9"/>
    <x v="28"/>
    <n v="7"/>
    <n v="5"/>
    <n v="992256"/>
    <n v="120135"/>
    <n v="872121"/>
    <n v="32"/>
    <n v="57"/>
    <n v="13.3"/>
  </r>
  <r>
    <x v="9"/>
    <x v="9"/>
    <d v="2022-09-29T00:00:00"/>
    <s v="NA"/>
    <n v="0"/>
    <n v="65"/>
    <s v="61-80"/>
    <x v="0"/>
    <x v="12"/>
    <x v="9"/>
    <x v="1"/>
    <n v="1"/>
    <n v="1"/>
    <n v="4.5999999999999996"/>
    <x v="19"/>
    <n v="5"/>
    <n v="7"/>
    <n v="990372"/>
    <n v="142768"/>
    <n v="847604"/>
    <n v="35"/>
    <n v="54"/>
    <n v="14.4"/>
  </r>
  <r>
    <x v="9"/>
    <x v="9"/>
    <d v="2022-03-26T00:00:00"/>
    <s v="NA"/>
    <n v="0"/>
    <n v="85"/>
    <s v="81+"/>
    <x v="0"/>
    <x v="0"/>
    <x v="0"/>
    <x v="3"/>
    <n v="1"/>
    <n v="1"/>
    <n v="3.5"/>
    <x v="7"/>
    <n v="7"/>
    <n v="3"/>
    <n v="921986"/>
    <n v="25686"/>
    <n v="896300"/>
    <n v="39"/>
    <n v="66"/>
    <n v="8.1999999999999993"/>
  </r>
  <r>
    <x v="9"/>
    <x v="9"/>
    <d v="2022-05-29T00:00:00"/>
    <s v="NA"/>
    <n v="0"/>
    <n v="57"/>
    <s v="41-60"/>
    <x v="1"/>
    <x v="7"/>
    <x v="5"/>
    <x v="0"/>
    <n v="1"/>
    <n v="1"/>
    <n v="4.9000000000000004"/>
    <x v="13"/>
    <n v="3"/>
    <n v="7"/>
    <n v="977963"/>
    <n v="107591"/>
    <n v="870372"/>
    <n v="30"/>
    <n v="66"/>
    <n v="5.0999999999999996"/>
  </r>
  <r>
    <x v="9"/>
    <x v="9"/>
    <d v="2021-05-18T00:00:00"/>
    <s v="NA"/>
    <n v="0"/>
    <n v="65"/>
    <s v="61-80"/>
    <x v="0"/>
    <x v="9"/>
    <x v="7"/>
    <x v="3"/>
    <n v="1"/>
    <n v="1"/>
    <n v="5.7"/>
    <x v="26"/>
    <n v="4"/>
    <n v="3"/>
    <n v="967818"/>
    <n v="118425"/>
    <n v="849393"/>
    <n v="36"/>
    <n v="63"/>
    <n v="7.6"/>
  </r>
  <r>
    <x v="9"/>
    <x v="9"/>
    <d v="2021-10-31T00:00:00"/>
    <s v="NA"/>
    <n v="0"/>
    <n v="89"/>
    <s v="81+"/>
    <x v="0"/>
    <x v="7"/>
    <x v="5"/>
    <x v="3"/>
    <n v="1"/>
    <n v="1"/>
    <n v="6.7"/>
    <x v="29"/>
    <n v="4"/>
    <n v="5"/>
    <n v="957853"/>
    <n v="114731"/>
    <n v="843122"/>
    <n v="40"/>
    <n v="63"/>
    <n v="14.3"/>
  </r>
  <r>
    <x v="9"/>
    <x v="9"/>
    <d v="2023-06-01T00:00:00"/>
    <s v="NA"/>
    <n v="0"/>
    <n v="54"/>
    <s v="41-60"/>
    <x v="0"/>
    <x v="12"/>
    <x v="9"/>
    <x v="3"/>
    <n v="1"/>
    <n v="1"/>
    <n v="4.8"/>
    <x v="9"/>
    <n v="6"/>
    <n v="3"/>
    <n v="921275"/>
    <n v="25206"/>
    <n v="896069"/>
    <n v="37"/>
    <n v="62"/>
    <n v="10.5"/>
  </r>
  <r>
    <x v="9"/>
    <x v="9"/>
    <d v="2021-04-29T00:00:00"/>
    <s v="NA"/>
    <n v="0"/>
    <n v="31"/>
    <s v="21-40"/>
    <x v="1"/>
    <x v="12"/>
    <x v="9"/>
    <x v="0"/>
    <n v="1"/>
    <n v="1"/>
    <n v="1.9"/>
    <x v="8"/>
    <n v="3"/>
    <n v="4"/>
    <n v="972308"/>
    <n v="129122"/>
    <n v="843186"/>
    <n v="32"/>
    <n v="58"/>
    <n v="9.3000000000000007"/>
  </r>
  <r>
    <x v="9"/>
    <x v="9"/>
    <d v="2024-04-23T00:00:00"/>
    <s v="NA"/>
    <n v="0"/>
    <n v="24"/>
    <s v="21-40"/>
    <x v="0"/>
    <x v="13"/>
    <x v="10"/>
    <x v="2"/>
    <n v="1"/>
    <n v="1"/>
    <n v="3.7"/>
    <x v="18"/>
    <n v="4"/>
    <n v="7"/>
    <n v="925868"/>
    <n v="58583"/>
    <n v="867285"/>
    <n v="30"/>
    <n v="60"/>
    <n v="12.2"/>
  </r>
  <r>
    <x v="9"/>
    <x v="9"/>
    <d v="2024-05-03T00:00:00"/>
    <s v="NA"/>
    <n v="0"/>
    <n v="25"/>
    <s v="21-40"/>
    <x v="1"/>
    <x v="2"/>
    <x v="1"/>
    <x v="1"/>
    <n v="1"/>
    <n v="1"/>
    <n v="5.4"/>
    <x v="7"/>
    <n v="6"/>
    <n v="6"/>
    <n v="986129"/>
    <n v="101364"/>
    <n v="884765"/>
    <n v="36"/>
    <n v="64"/>
    <n v="14.6"/>
  </r>
  <r>
    <x v="9"/>
    <x v="9"/>
    <d v="2022-11-26T00:00:00"/>
    <s v="NA"/>
    <n v="0"/>
    <n v="33"/>
    <s v="21-40"/>
    <x v="1"/>
    <x v="10"/>
    <x v="8"/>
    <x v="2"/>
    <n v="1"/>
    <n v="1"/>
    <n v="6.1"/>
    <x v="17"/>
    <n v="7"/>
    <n v="3"/>
    <n v="992671"/>
    <n v="120591"/>
    <n v="872080"/>
    <n v="36"/>
    <n v="57"/>
    <n v="10"/>
  </r>
  <r>
    <x v="9"/>
    <x v="9"/>
    <d v="2021-01-05T00:00:00"/>
    <s v="NA"/>
    <n v="0"/>
    <n v="43"/>
    <s v="41-60"/>
    <x v="1"/>
    <x v="12"/>
    <x v="9"/>
    <x v="1"/>
    <n v="1"/>
    <n v="1"/>
    <n v="6.4"/>
    <x v="20"/>
    <n v="3"/>
    <n v="4"/>
    <n v="901752"/>
    <n v="18087"/>
    <n v="883665"/>
    <n v="37"/>
    <n v="58"/>
    <n v="12.4"/>
  </r>
  <r>
    <x v="9"/>
    <x v="9"/>
    <d v="2023-03-17T00:00:00"/>
    <s v="NA"/>
    <n v="0"/>
    <n v="25"/>
    <s v="21-40"/>
    <x v="0"/>
    <x v="12"/>
    <x v="9"/>
    <x v="1"/>
    <n v="1"/>
    <n v="1"/>
    <n v="5.4"/>
    <x v="12"/>
    <n v="5"/>
    <n v="7"/>
    <n v="964460"/>
    <n v="117394"/>
    <n v="847066"/>
    <n v="37"/>
    <n v="56"/>
    <n v="13.6"/>
  </r>
  <r>
    <x v="9"/>
    <x v="9"/>
    <d v="2023-07-28T00:00:00"/>
    <s v="NA"/>
    <n v="0"/>
    <n v="85"/>
    <s v="81+"/>
    <x v="0"/>
    <x v="12"/>
    <x v="9"/>
    <x v="3"/>
    <n v="1"/>
    <n v="1"/>
    <n v="2.7"/>
    <x v="5"/>
    <n v="4"/>
    <n v="7"/>
    <n v="990451"/>
    <n v="148969"/>
    <n v="841482"/>
    <n v="38"/>
    <n v="57"/>
    <n v="14.8"/>
  </r>
  <r>
    <x v="9"/>
    <x v="9"/>
    <d v="2022-11-29T00:00:00"/>
    <s v="NA"/>
    <n v="0"/>
    <n v="34"/>
    <s v="21-40"/>
    <x v="1"/>
    <x v="12"/>
    <x v="9"/>
    <x v="0"/>
    <n v="1"/>
    <n v="1"/>
    <n v="5.4"/>
    <x v="7"/>
    <n v="3"/>
    <n v="4"/>
    <n v="997507"/>
    <n v="157800"/>
    <n v="839707"/>
    <n v="32"/>
    <n v="61"/>
    <n v="12.1"/>
  </r>
  <r>
    <x v="9"/>
    <x v="9"/>
    <d v="2024-02-27T00:00:00"/>
    <s v="NA"/>
    <n v="0"/>
    <n v="77"/>
    <s v="61-80"/>
    <x v="1"/>
    <x v="3"/>
    <x v="2"/>
    <x v="0"/>
    <n v="1"/>
    <n v="1"/>
    <n v="1.5"/>
    <x v="4"/>
    <n v="7"/>
    <n v="4"/>
    <n v="958231"/>
    <n v="78093"/>
    <n v="880138"/>
    <n v="38"/>
    <n v="57"/>
    <n v="10.7"/>
  </r>
  <r>
    <x v="9"/>
    <x v="9"/>
    <d v="2021-03-09T00:00:00"/>
    <s v="NA"/>
    <n v="0"/>
    <n v="24"/>
    <s v="21-40"/>
    <x v="1"/>
    <x v="4"/>
    <x v="3"/>
    <x v="2"/>
    <n v="1"/>
    <n v="1"/>
    <n v="4.3"/>
    <x v="16"/>
    <n v="6"/>
    <n v="3"/>
    <n v="924468"/>
    <n v="41980"/>
    <n v="882488"/>
    <n v="35"/>
    <n v="60"/>
    <n v="12.5"/>
  </r>
  <r>
    <x v="9"/>
    <x v="9"/>
    <d v="2023-02-15T00:00:00"/>
    <s v="NA"/>
    <n v="0"/>
    <n v="85"/>
    <s v="81+"/>
    <x v="1"/>
    <x v="1"/>
    <x v="1"/>
    <x v="4"/>
    <n v="1"/>
    <n v="1"/>
    <n v="6.3"/>
    <x v="6"/>
    <n v="3"/>
    <n v="6"/>
    <n v="927507"/>
    <n v="46530"/>
    <n v="880977"/>
    <n v="39"/>
    <n v="61"/>
    <n v="36"/>
  </r>
  <r>
    <x v="9"/>
    <x v="9"/>
    <d v="2022-05-01T00:00:00"/>
    <s v="NA"/>
    <n v="0"/>
    <n v="36"/>
    <s v="21-40"/>
    <x v="0"/>
    <x v="13"/>
    <x v="10"/>
    <x v="0"/>
    <n v="1"/>
    <n v="1"/>
    <n v="6.4"/>
    <x v="25"/>
    <n v="5"/>
    <n v="6"/>
    <n v="903573"/>
    <n v="103332"/>
    <n v="800241"/>
    <n v="39"/>
    <n v="56"/>
    <n v="9.6999999999999993"/>
  </r>
  <r>
    <x v="9"/>
    <x v="9"/>
    <d v="2023-08-26T00:00:00"/>
    <s v="NA"/>
    <n v="0"/>
    <n v="41"/>
    <s v="41-60"/>
    <x v="0"/>
    <x v="7"/>
    <x v="5"/>
    <x v="0"/>
    <n v="1"/>
    <n v="1"/>
    <n v="1.5"/>
    <x v="23"/>
    <n v="6"/>
    <n v="3"/>
    <n v="962312"/>
    <n v="100136"/>
    <n v="862176"/>
    <n v="31"/>
    <n v="56"/>
    <n v="12.1"/>
  </r>
  <r>
    <x v="9"/>
    <x v="9"/>
    <d v="2023-03-08T00:00:00"/>
    <s v="NA"/>
    <n v="0"/>
    <n v="25"/>
    <s v="21-40"/>
    <x v="0"/>
    <x v="5"/>
    <x v="0"/>
    <x v="3"/>
    <n v="1"/>
    <n v="1"/>
    <n v="3.2"/>
    <x v="28"/>
    <n v="7"/>
    <n v="4"/>
    <n v="960747"/>
    <n v="137117"/>
    <n v="823630"/>
    <n v="33"/>
    <n v="54"/>
    <n v="10.6"/>
  </r>
  <r>
    <x v="9"/>
    <x v="9"/>
    <d v="2023-11-13T00:00:00"/>
    <s v="NA"/>
    <n v="0"/>
    <n v="43"/>
    <s v="41-60"/>
    <x v="0"/>
    <x v="14"/>
    <x v="11"/>
    <x v="2"/>
    <n v="1"/>
    <n v="1"/>
    <n v="6.3"/>
    <x v="3"/>
    <n v="3"/>
    <n v="4"/>
    <n v="937381"/>
    <n v="61006"/>
    <n v="876375"/>
    <n v="39"/>
    <n v="55"/>
    <n v="5.9"/>
  </r>
  <r>
    <x v="9"/>
    <x v="9"/>
    <d v="2022-02-05T00:00:00"/>
    <s v="NA"/>
    <n v="0"/>
    <n v="60"/>
    <s v="41-60"/>
    <x v="0"/>
    <x v="2"/>
    <x v="1"/>
    <x v="0"/>
    <n v="1"/>
    <n v="1"/>
    <n v="2.2999999999999998"/>
    <x v="18"/>
    <n v="7"/>
    <n v="5"/>
    <n v="997914"/>
    <n v="101431"/>
    <n v="896483"/>
    <n v="31"/>
    <n v="56"/>
    <n v="9.4"/>
  </r>
  <r>
    <x v="9"/>
    <x v="9"/>
    <d v="2023-05-09T00:00:00"/>
    <s v="NA"/>
    <n v="0"/>
    <n v="67"/>
    <s v="61-80"/>
    <x v="1"/>
    <x v="12"/>
    <x v="9"/>
    <x v="4"/>
    <n v="1"/>
    <n v="1"/>
    <n v="1"/>
    <x v="14"/>
    <n v="3"/>
    <n v="3"/>
    <n v="989001"/>
    <n v="162361"/>
    <n v="826640"/>
    <n v="39"/>
    <n v="63"/>
    <n v="10.1"/>
  </r>
  <r>
    <x v="9"/>
    <x v="9"/>
    <d v="2021-07-05T00:00:00"/>
    <s v="NA"/>
    <n v="0"/>
    <n v="59"/>
    <s v="41-60"/>
    <x v="0"/>
    <x v="10"/>
    <x v="8"/>
    <x v="4"/>
    <n v="1"/>
    <n v="1"/>
    <n v="2.2999999999999998"/>
    <x v="12"/>
    <n v="5"/>
    <n v="4"/>
    <n v="922755"/>
    <n v="26582"/>
    <n v="896173"/>
    <n v="34"/>
    <n v="66"/>
    <n v="36.6"/>
  </r>
  <r>
    <x v="9"/>
    <x v="9"/>
    <d v="2024-12-08T00:00:00"/>
    <s v="NA"/>
    <n v="0"/>
    <n v="55"/>
    <s v="41-60"/>
    <x v="0"/>
    <x v="12"/>
    <x v="9"/>
    <x v="3"/>
    <n v="1"/>
    <n v="1"/>
    <n v="3.6"/>
    <x v="11"/>
    <n v="4"/>
    <n v="7"/>
    <n v="908684"/>
    <n v="64118"/>
    <n v="844566"/>
    <n v="32"/>
    <n v="56"/>
    <n v="6.5"/>
  </r>
  <r>
    <x v="9"/>
    <x v="9"/>
    <d v="2024-04-28T00:00:00"/>
    <s v="NA"/>
    <n v="0"/>
    <n v="88"/>
    <s v="81+"/>
    <x v="1"/>
    <x v="10"/>
    <x v="8"/>
    <x v="4"/>
    <n v="1"/>
    <n v="1"/>
    <n v="1.8"/>
    <x v="4"/>
    <n v="7"/>
    <n v="7"/>
    <n v="951569"/>
    <n v="117870"/>
    <n v="833699"/>
    <n v="39"/>
    <n v="64"/>
    <n v="14.1"/>
  </r>
  <r>
    <x v="9"/>
    <x v="9"/>
    <d v="2022-05-31T00:00:00"/>
    <s v="NA"/>
    <n v="0"/>
    <n v="43"/>
    <s v="41-60"/>
    <x v="0"/>
    <x v="0"/>
    <x v="0"/>
    <x v="4"/>
    <n v="1"/>
    <n v="1"/>
    <n v="2.1"/>
    <x v="6"/>
    <n v="6"/>
    <n v="4"/>
    <n v="914240"/>
    <n v="98661"/>
    <n v="815579"/>
    <n v="40"/>
    <n v="65"/>
    <n v="8.4"/>
  </r>
  <r>
    <x v="9"/>
    <x v="9"/>
    <d v="2022-07-05T00:00:00"/>
    <s v="NA"/>
    <n v="0"/>
    <n v="46"/>
    <s v="41-60"/>
    <x v="1"/>
    <x v="3"/>
    <x v="2"/>
    <x v="4"/>
    <n v="1"/>
    <n v="1"/>
    <n v="5.0999999999999996"/>
    <x v="27"/>
    <n v="6"/>
    <n v="4"/>
    <n v="909122"/>
    <n v="46183"/>
    <n v="862939"/>
    <n v="39"/>
    <n v="63"/>
    <n v="36.700000000000003"/>
  </r>
  <r>
    <x v="9"/>
    <x v="9"/>
    <d v="2021-12-15T00:00:00"/>
    <s v="NA"/>
    <n v="0"/>
    <n v="69"/>
    <s v="61-80"/>
    <x v="0"/>
    <x v="7"/>
    <x v="5"/>
    <x v="2"/>
    <n v="1"/>
    <n v="1"/>
    <n v="3.1"/>
    <x v="0"/>
    <n v="4"/>
    <n v="7"/>
    <n v="929514"/>
    <n v="70361"/>
    <n v="859153"/>
    <n v="39"/>
    <n v="59"/>
    <n v="36.1"/>
  </r>
  <r>
    <x v="9"/>
    <x v="9"/>
    <d v="2022-03-25T00:00:00"/>
    <s v="NA"/>
    <n v="0"/>
    <n v="58"/>
    <s v="41-60"/>
    <x v="1"/>
    <x v="10"/>
    <x v="8"/>
    <x v="1"/>
    <n v="1"/>
    <n v="1"/>
    <n v="6.9"/>
    <x v="29"/>
    <n v="3"/>
    <n v="4"/>
    <n v="905416"/>
    <n v="52112"/>
    <n v="853304"/>
    <n v="34"/>
    <n v="54"/>
    <n v="10.6"/>
  </r>
  <r>
    <x v="9"/>
    <x v="9"/>
    <d v="2023-03-30T00:00:00"/>
    <s v="NA"/>
    <n v="0"/>
    <n v="47"/>
    <s v="41-60"/>
    <x v="1"/>
    <x v="13"/>
    <x v="10"/>
    <x v="1"/>
    <n v="1"/>
    <n v="1"/>
    <n v="6.1"/>
    <x v="15"/>
    <n v="6"/>
    <n v="4"/>
    <n v="905315"/>
    <n v="56552"/>
    <n v="848763"/>
    <n v="30"/>
    <n v="62"/>
    <n v="9.5"/>
  </r>
  <r>
    <x v="9"/>
    <x v="9"/>
    <d v="2022-02-04T00:00:00"/>
    <s v="NA"/>
    <n v="0"/>
    <n v="39"/>
    <s v="21-40"/>
    <x v="0"/>
    <x v="13"/>
    <x v="10"/>
    <x v="0"/>
    <n v="1"/>
    <n v="1"/>
    <n v="2.2000000000000002"/>
    <x v="24"/>
    <n v="4"/>
    <n v="7"/>
    <n v="994750"/>
    <n v="102190"/>
    <n v="892560"/>
    <n v="35"/>
    <n v="64"/>
    <n v="12.3"/>
  </r>
  <r>
    <x v="9"/>
    <x v="9"/>
    <d v="2023-07-26T00:00:00"/>
    <s v="NA"/>
    <n v="0"/>
    <n v="44"/>
    <s v="41-60"/>
    <x v="1"/>
    <x v="7"/>
    <x v="5"/>
    <x v="3"/>
    <n v="1"/>
    <n v="1"/>
    <n v="3.3"/>
    <x v="13"/>
    <n v="4"/>
    <n v="4"/>
    <n v="901651"/>
    <n v="12608"/>
    <n v="889043"/>
    <n v="30"/>
    <n v="61"/>
    <n v="14.4"/>
  </r>
  <r>
    <x v="9"/>
    <x v="9"/>
    <d v="2021-01-10T00:00:00"/>
    <s v="NA"/>
    <n v="0"/>
    <n v="28"/>
    <s v="21-40"/>
    <x v="1"/>
    <x v="3"/>
    <x v="2"/>
    <x v="3"/>
    <n v="1"/>
    <n v="1"/>
    <n v="1.4"/>
    <x v="14"/>
    <n v="4"/>
    <n v="3"/>
    <n v="971320"/>
    <n v="105294"/>
    <n v="866026"/>
    <n v="38"/>
    <n v="59"/>
    <n v="10.199999999999999"/>
  </r>
  <r>
    <x v="9"/>
    <x v="9"/>
    <d v="2021-08-10T00:00:00"/>
    <s v="NA"/>
    <n v="0"/>
    <n v="37"/>
    <s v="21-40"/>
    <x v="0"/>
    <x v="9"/>
    <x v="7"/>
    <x v="3"/>
    <n v="1"/>
    <n v="1"/>
    <n v="5.5"/>
    <x v="17"/>
    <n v="5"/>
    <n v="5"/>
    <n v="984706"/>
    <n v="87619"/>
    <n v="897087"/>
    <n v="34"/>
    <n v="54"/>
    <n v="36.4"/>
  </r>
  <r>
    <x v="9"/>
    <x v="9"/>
    <d v="2022-08-12T00:00:00"/>
    <s v="NA"/>
    <n v="0"/>
    <n v="79"/>
    <s v="61-80"/>
    <x v="1"/>
    <x v="6"/>
    <x v="4"/>
    <x v="1"/>
    <n v="1"/>
    <n v="1"/>
    <n v="4.8"/>
    <x v="14"/>
    <n v="7"/>
    <n v="3"/>
    <n v="960717"/>
    <n v="151434"/>
    <n v="809283"/>
    <n v="35"/>
    <n v="58"/>
    <n v="13.9"/>
  </r>
  <r>
    <x v="9"/>
    <x v="9"/>
    <d v="2023-08-15T00:00:00"/>
    <s v="NA"/>
    <n v="0"/>
    <n v="27"/>
    <s v="21-40"/>
    <x v="1"/>
    <x v="2"/>
    <x v="1"/>
    <x v="1"/>
    <n v="1"/>
    <n v="1"/>
    <n v="5.8"/>
    <x v="5"/>
    <n v="5"/>
    <n v="6"/>
    <n v="906522"/>
    <n v="81985"/>
    <n v="824537"/>
    <n v="40"/>
    <n v="63"/>
    <n v="10.8"/>
  </r>
  <r>
    <x v="9"/>
    <x v="9"/>
    <d v="2024-04-08T00:00:00"/>
    <s v="NA"/>
    <n v="0"/>
    <n v="39"/>
    <s v="21-40"/>
    <x v="1"/>
    <x v="12"/>
    <x v="9"/>
    <x v="1"/>
    <n v="1"/>
    <n v="1"/>
    <n v="6.6"/>
    <x v="17"/>
    <n v="7"/>
    <n v="6"/>
    <n v="908180"/>
    <n v="19430"/>
    <n v="888750"/>
    <n v="39"/>
    <n v="59"/>
    <n v="9.9"/>
  </r>
  <r>
    <x v="9"/>
    <x v="9"/>
    <d v="2024-06-24T00:00:00"/>
    <s v="NA"/>
    <n v="0"/>
    <n v="55"/>
    <s v="41-60"/>
    <x v="1"/>
    <x v="6"/>
    <x v="4"/>
    <x v="2"/>
    <n v="1"/>
    <n v="1"/>
    <n v="2"/>
    <x v="21"/>
    <n v="3"/>
    <n v="5"/>
    <n v="946875"/>
    <n v="100065"/>
    <n v="846810"/>
    <n v="39"/>
    <n v="65"/>
    <n v="10.199999999999999"/>
  </r>
  <r>
    <x v="9"/>
    <x v="9"/>
    <d v="2022-07-02T00:00:00"/>
    <s v="NA"/>
    <n v="0"/>
    <n v="35"/>
    <s v="21-40"/>
    <x v="1"/>
    <x v="6"/>
    <x v="4"/>
    <x v="3"/>
    <n v="1"/>
    <n v="1"/>
    <n v="1.7"/>
    <x v="23"/>
    <n v="6"/>
    <n v="7"/>
    <n v="959937"/>
    <n v="102492"/>
    <n v="857445"/>
    <n v="34"/>
    <n v="58"/>
    <n v="6.5"/>
  </r>
  <r>
    <x v="9"/>
    <x v="9"/>
    <d v="2024-02-29T00:00:00"/>
    <s v="NA"/>
    <n v="0"/>
    <n v="33"/>
    <s v="21-40"/>
    <x v="0"/>
    <x v="13"/>
    <x v="10"/>
    <x v="2"/>
    <n v="1"/>
    <n v="1"/>
    <n v="2.9"/>
    <x v="18"/>
    <n v="3"/>
    <n v="7"/>
    <n v="983050"/>
    <n v="109401"/>
    <n v="873649"/>
    <n v="38"/>
    <n v="56"/>
    <n v="13.9"/>
  </r>
  <r>
    <x v="9"/>
    <x v="9"/>
    <d v="2024-12-08T00:00:00"/>
    <s v="NA"/>
    <n v="0"/>
    <n v="43"/>
    <s v="41-60"/>
    <x v="0"/>
    <x v="2"/>
    <x v="1"/>
    <x v="3"/>
    <n v="1"/>
    <n v="1"/>
    <n v="5"/>
    <x v="27"/>
    <n v="7"/>
    <n v="4"/>
    <n v="964526"/>
    <n v="134087"/>
    <n v="830439"/>
    <n v="40"/>
    <n v="64"/>
    <n v="12.1"/>
  </r>
  <r>
    <x v="9"/>
    <x v="9"/>
    <d v="2022-10-06T00:00:00"/>
    <s v="NA"/>
    <n v="0"/>
    <n v="80"/>
    <s v="61-80"/>
    <x v="0"/>
    <x v="2"/>
    <x v="1"/>
    <x v="0"/>
    <n v="1"/>
    <n v="1"/>
    <n v="6.9"/>
    <x v="1"/>
    <n v="6"/>
    <n v="6"/>
    <n v="932923"/>
    <n v="77125"/>
    <n v="855798"/>
    <n v="31"/>
    <n v="66"/>
    <n v="10.1"/>
  </r>
  <r>
    <x v="9"/>
    <x v="9"/>
    <d v="2023-01-31T00:00:00"/>
    <s v="NA"/>
    <n v="0"/>
    <n v="69"/>
    <s v="61-80"/>
    <x v="0"/>
    <x v="10"/>
    <x v="8"/>
    <x v="4"/>
    <n v="1"/>
    <n v="1"/>
    <n v="2.6"/>
    <x v="27"/>
    <n v="5"/>
    <n v="7"/>
    <n v="959336"/>
    <n v="87526"/>
    <n v="871810"/>
    <n v="32"/>
    <n v="55"/>
    <n v="8.5"/>
  </r>
  <r>
    <x v="9"/>
    <x v="9"/>
    <d v="2022-07-09T00:00:00"/>
    <s v="NA"/>
    <n v="0"/>
    <n v="28"/>
    <s v="21-40"/>
    <x v="1"/>
    <x v="3"/>
    <x v="2"/>
    <x v="0"/>
    <n v="1"/>
    <n v="1"/>
    <n v="3.3"/>
    <x v="5"/>
    <n v="3"/>
    <n v="5"/>
    <n v="956696"/>
    <n v="131430"/>
    <n v="825266"/>
    <n v="31"/>
    <n v="64"/>
    <n v="12.1"/>
  </r>
  <r>
    <x v="9"/>
    <x v="9"/>
    <d v="2021-04-21T00:00:00"/>
    <s v="NA"/>
    <n v="0"/>
    <n v="86"/>
    <s v="81+"/>
    <x v="0"/>
    <x v="7"/>
    <x v="5"/>
    <x v="0"/>
    <n v="1"/>
    <n v="1"/>
    <n v="3.7"/>
    <x v="5"/>
    <n v="4"/>
    <n v="3"/>
    <n v="955636"/>
    <n v="142737"/>
    <n v="812899"/>
    <n v="36"/>
    <n v="54"/>
    <n v="6"/>
  </r>
  <r>
    <x v="9"/>
    <x v="9"/>
    <d v="2022-01-23T00:00:00"/>
    <s v="NA"/>
    <n v="0"/>
    <n v="25"/>
    <s v="21-40"/>
    <x v="0"/>
    <x v="2"/>
    <x v="1"/>
    <x v="3"/>
    <n v="1"/>
    <n v="1"/>
    <n v="1.9"/>
    <x v="29"/>
    <n v="7"/>
    <n v="3"/>
    <n v="922255"/>
    <n v="49064"/>
    <n v="873191"/>
    <n v="35"/>
    <n v="65"/>
    <n v="8.4"/>
  </r>
  <r>
    <x v="9"/>
    <x v="9"/>
    <d v="2023-12-02T00:00:00"/>
    <s v="NA"/>
    <n v="0"/>
    <n v="37"/>
    <s v="21-40"/>
    <x v="0"/>
    <x v="0"/>
    <x v="0"/>
    <x v="4"/>
    <n v="1"/>
    <n v="1"/>
    <n v="6.3"/>
    <x v="15"/>
    <n v="5"/>
    <n v="4"/>
    <n v="913545"/>
    <n v="102999"/>
    <n v="810546"/>
    <n v="39"/>
    <n v="66"/>
    <n v="9.4"/>
  </r>
  <r>
    <x v="9"/>
    <x v="9"/>
    <d v="2022-02-08T00:00:00"/>
    <s v="NA"/>
    <n v="0"/>
    <n v="51"/>
    <s v="41-60"/>
    <x v="1"/>
    <x v="6"/>
    <x v="4"/>
    <x v="2"/>
    <n v="1"/>
    <n v="1"/>
    <n v="3.1"/>
    <x v="20"/>
    <n v="4"/>
    <n v="5"/>
    <n v="985504"/>
    <n v="109987"/>
    <n v="875517"/>
    <n v="38"/>
    <n v="59"/>
    <n v="5.7"/>
  </r>
  <r>
    <x v="9"/>
    <x v="9"/>
    <d v="2024-10-13T00:00:00"/>
    <s v="NA"/>
    <n v="0"/>
    <n v="35"/>
    <s v="21-40"/>
    <x v="0"/>
    <x v="5"/>
    <x v="0"/>
    <x v="2"/>
    <n v="1"/>
    <n v="1"/>
    <n v="5.5"/>
    <x v="14"/>
    <n v="4"/>
    <n v="6"/>
    <n v="986077"/>
    <n v="148422"/>
    <n v="837655"/>
    <n v="39"/>
    <n v="62"/>
    <n v="36.5"/>
  </r>
  <r>
    <x v="9"/>
    <x v="9"/>
    <d v="2023-10-12T00:00:00"/>
    <s v="NA"/>
    <n v="0"/>
    <n v="39"/>
    <s v="21-40"/>
    <x v="0"/>
    <x v="12"/>
    <x v="9"/>
    <x v="3"/>
    <n v="1"/>
    <n v="1"/>
    <n v="2.4"/>
    <x v="17"/>
    <n v="6"/>
    <n v="4"/>
    <n v="967995"/>
    <n v="71476"/>
    <n v="896519"/>
    <n v="31"/>
    <n v="58"/>
    <n v="12.2"/>
  </r>
  <r>
    <x v="9"/>
    <x v="9"/>
    <d v="2024-11-16T00:00:00"/>
    <s v="NA"/>
    <n v="0"/>
    <n v="26"/>
    <s v="21-40"/>
    <x v="0"/>
    <x v="2"/>
    <x v="1"/>
    <x v="2"/>
    <n v="1"/>
    <n v="1"/>
    <n v="5.9"/>
    <x v="25"/>
    <n v="6"/>
    <n v="4"/>
    <n v="991622"/>
    <n v="105931"/>
    <n v="885691"/>
    <n v="32"/>
    <n v="55"/>
    <n v="14"/>
  </r>
  <r>
    <x v="9"/>
    <x v="9"/>
    <d v="2021-06-27T00:00:00"/>
    <s v="NA"/>
    <n v="0"/>
    <n v="40"/>
    <s v="21-40"/>
    <x v="0"/>
    <x v="10"/>
    <x v="8"/>
    <x v="4"/>
    <n v="1"/>
    <n v="1"/>
    <n v="4.4000000000000004"/>
    <x v="27"/>
    <n v="3"/>
    <n v="4"/>
    <n v="917597"/>
    <n v="31570"/>
    <n v="886027"/>
    <n v="35"/>
    <n v="61"/>
    <n v="36.6"/>
  </r>
  <r>
    <x v="9"/>
    <x v="9"/>
    <d v="2024-11-01T00:00:00"/>
    <s v="NA"/>
    <n v="0"/>
    <n v="33"/>
    <s v="21-40"/>
    <x v="1"/>
    <x v="4"/>
    <x v="3"/>
    <x v="3"/>
    <n v="1"/>
    <n v="1"/>
    <n v="2.2999999999999998"/>
    <x v="20"/>
    <n v="6"/>
    <n v="4"/>
    <n v="955451"/>
    <n v="99525"/>
    <n v="855926"/>
    <n v="34"/>
    <n v="64"/>
    <n v="5.3"/>
  </r>
  <r>
    <x v="9"/>
    <x v="9"/>
    <d v="2021-10-09T00:00:00"/>
    <s v="NA"/>
    <n v="0"/>
    <n v="80"/>
    <s v="61-80"/>
    <x v="1"/>
    <x v="7"/>
    <x v="5"/>
    <x v="4"/>
    <n v="1"/>
    <n v="1"/>
    <n v="5.7"/>
    <x v="19"/>
    <n v="5"/>
    <n v="4"/>
    <n v="947539"/>
    <n v="97691"/>
    <n v="849848"/>
    <n v="34"/>
    <n v="60"/>
    <n v="13.2"/>
  </r>
  <r>
    <x v="9"/>
    <x v="9"/>
    <d v="2022-04-26T00:00:00"/>
    <s v="NA"/>
    <n v="0"/>
    <n v="62"/>
    <s v="61-80"/>
    <x v="1"/>
    <x v="1"/>
    <x v="1"/>
    <x v="4"/>
    <n v="1"/>
    <n v="1"/>
    <n v="2.8"/>
    <x v="11"/>
    <n v="4"/>
    <n v="5"/>
    <n v="967690"/>
    <n v="95407"/>
    <n v="872283"/>
    <n v="36"/>
    <n v="58"/>
    <n v="6"/>
  </r>
  <r>
    <x v="9"/>
    <x v="9"/>
    <d v="2023-05-07T00:00:00"/>
    <s v="NA"/>
    <n v="0"/>
    <n v="21"/>
    <s v="21-40"/>
    <x v="0"/>
    <x v="7"/>
    <x v="5"/>
    <x v="0"/>
    <n v="1"/>
    <n v="1"/>
    <n v="2.2000000000000002"/>
    <x v="11"/>
    <n v="5"/>
    <n v="5"/>
    <n v="997957"/>
    <n v="166638"/>
    <n v="831319"/>
    <n v="40"/>
    <n v="57"/>
    <n v="12.8"/>
  </r>
  <r>
    <x v="9"/>
    <x v="9"/>
    <d v="2022-05-19T00:00:00"/>
    <s v="NA"/>
    <n v="0"/>
    <n v="86"/>
    <s v="81+"/>
    <x v="0"/>
    <x v="6"/>
    <x v="4"/>
    <x v="1"/>
    <n v="1"/>
    <n v="1"/>
    <n v="1.8"/>
    <x v="17"/>
    <n v="5"/>
    <n v="3"/>
    <n v="978996"/>
    <n v="140769"/>
    <n v="838227"/>
    <n v="36"/>
    <n v="54"/>
    <n v="12.6"/>
  </r>
  <r>
    <x v="9"/>
    <x v="9"/>
    <d v="2022-04-27T00:00:00"/>
    <s v="NA"/>
    <n v="0"/>
    <n v="44"/>
    <s v="41-60"/>
    <x v="0"/>
    <x v="0"/>
    <x v="0"/>
    <x v="0"/>
    <n v="1"/>
    <n v="1"/>
    <n v="6.1"/>
    <x v="20"/>
    <n v="5"/>
    <n v="3"/>
    <n v="937050"/>
    <n v="122445"/>
    <n v="814605"/>
    <n v="37"/>
    <n v="64"/>
    <n v="6"/>
  </r>
  <r>
    <x v="9"/>
    <x v="9"/>
    <d v="2021-04-19T00:00:00"/>
    <s v="NA"/>
    <n v="0"/>
    <n v="75"/>
    <s v="61-80"/>
    <x v="0"/>
    <x v="6"/>
    <x v="4"/>
    <x v="4"/>
    <n v="1"/>
    <n v="1"/>
    <n v="3"/>
    <x v="3"/>
    <n v="4"/>
    <n v="3"/>
    <n v="942470"/>
    <n v="103751"/>
    <n v="838719"/>
    <n v="39"/>
    <n v="64"/>
    <n v="7.3"/>
  </r>
  <r>
    <x v="9"/>
    <x v="9"/>
    <d v="2021-02-04T00:00:00"/>
    <s v="NA"/>
    <n v="0"/>
    <n v="80"/>
    <s v="61-80"/>
    <x v="1"/>
    <x v="6"/>
    <x v="4"/>
    <x v="3"/>
    <n v="1"/>
    <n v="1"/>
    <n v="3.4"/>
    <x v="9"/>
    <n v="3"/>
    <n v="4"/>
    <n v="971048"/>
    <n v="143692"/>
    <n v="827356"/>
    <n v="34"/>
    <n v="59"/>
    <n v="13.1"/>
  </r>
  <r>
    <x v="9"/>
    <x v="9"/>
    <d v="2022-08-04T00:00:00"/>
    <s v="NA"/>
    <n v="0"/>
    <n v="39"/>
    <s v="21-40"/>
    <x v="1"/>
    <x v="10"/>
    <x v="8"/>
    <x v="1"/>
    <n v="1"/>
    <n v="1"/>
    <n v="2.8"/>
    <x v="4"/>
    <n v="4"/>
    <n v="4"/>
    <n v="958829"/>
    <n v="80276"/>
    <n v="878553"/>
    <n v="38"/>
    <n v="56"/>
    <n v="7"/>
  </r>
  <r>
    <x v="9"/>
    <x v="9"/>
    <d v="2022-02-13T00:00:00"/>
    <s v="NA"/>
    <n v="0"/>
    <n v="66"/>
    <s v="61-80"/>
    <x v="1"/>
    <x v="4"/>
    <x v="3"/>
    <x v="1"/>
    <n v="1"/>
    <n v="1"/>
    <n v="3.7"/>
    <x v="14"/>
    <n v="7"/>
    <n v="6"/>
    <n v="999293"/>
    <n v="100804"/>
    <n v="898489"/>
    <n v="40"/>
    <n v="65"/>
    <n v="8.9"/>
  </r>
  <r>
    <x v="9"/>
    <x v="9"/>
    <d v="2023-10-24T00:00:00"/>
    <s v="NA"/>
    <n v="0"/>
    <n v="69"/>
    <s v="61-80"/>
    <x v="1"/>
    <x v="3"/>
    <x v="2"/>
    <x v="4"/>
    <n v="1"/>
    <n v="1"/>
    <n v="6.6"/>
    <x v="5"/>
    <n v="4"/>
    <n v="4"/>
    <n v="938958"/>
    <n v="67205"/>
    <n v="871753"/>
    <n v="36"/>
    <n v="55"/>
    <n v="6.9"/>
  </r>
  <r>
    <x v="9"/>
    <x v="9"/>
    <d v="2024-12-30T00:00:00"/>
    <s v="NA"/>
    <n v="0"/>
    <n v="59"/>
    <s v="41-60"/>
    <x v="0"/>
    <x v="10"/>
    <x v="8"/>
    <x v="0"/>
    <n v="1"/>
    <n v="1"/>
    <n v="3.6"/>
    <x v="29"/>
    <n v="4"/>
    <n v="7"/>
    <n v="921204"/>
    <n v="28034"/>
    <n v="893170"/>
    <n v="33"/>
    <n v="54"/>
    <n v="14.9"/>
  </r>
  <r>
    <x v="9"/>
    <x v="9"/>
    <d v="2021-08-13T00:00:00"/>
    <s v="NA"/>
    <n v="0"/>
    <n v="47"/>
    <s v="41-60"/>
    <x v="0"/>
    <x v="0"/>
    <x v="0"/>
    <x v="0"/>
    <n v="1"/>
    <n v="1"/>
    <n v="6.8"/>
    <x v="16"/>
    <n v="7"/>
    <n v="5"/>
    <n v="939972"/>
    <n v="72209"/>
    <n v="867763"/>
    <n v="39"/>
    <n v="58"/>
    <n v="8.6"/>
  </r>
  <r>
    <x v="9"/>
    <x v="9"/>
    <d v="2023-05-22T00:00:00"/>
    <s v="NA"/>
    <n v="0"/>
    <n v="29"/>
    <s v="21-40"/>
    <x v="1"/>
    <x v="12"/>
    <x v="9"/>
    <x v="0"/>
    <n v="1"/>
    <n v="1"/>
    <n v="4.2"/>
    <x v="13"/>
    <n v="7"/>
    <n v="4"/>
    <n v="917280"/>
    <n v="66327"/>
    <n v="850953"/>
    <n v="37"/>
    <n v="54"/>
    <n v="8.1999999999999993"/>
  </r>
  <r>
    <x v="9"/>
    <x v="9"/>
    <d v="2022-12-15T00:00:00"/>
    <s v="NA"/>
    <n v="0"/>
    <n v="31"/>
    <s v="21-40"/>
    <x v="1"/>
    <x v="3"/>
    <x v="2"/>
    <x v="4"/>
    <n v="1"/>
    <n v="1"/>
    <n v="1.5"/>
    <x v="12"/>
    <n v="6"/>
    <n v="7"/>
    <n v="954359"/>
    <n v="152153"/>
    <n v="802206"/>
    <n v="30"/>
    <n v="64"/>
    <n v="5.8"/>
  </r>
  <r>
    <x v="9"/>
    <x v="9"/>
    <d v="2022-01-05T00:00:00"/>
    <s v="NA"/>
    <n v="0"/>
    <n v="25"/>
    <s v="21-40"/>
    <x v="1"/>
    <x v="1"/>
    <x v="1"/>
    <x v="1"/>
    <n v="1"/>
    <n v="1"/>
    <n v="5.9"/>
    <x v="25"/>
    <n v="7"/>
    <n v="4"/>
    <n v="967128"/>
    <n v="147931"/>
    <n v="819197"/>
    <n v="32"/>
    <n v="54"/>
    <n v="10.8"/>
  </r>
  <r>
    <x v="9"/>
    <x v="9"/>
    <d v="2022-05-22T00:00:00"/>
    <s v="NA"/>
    <n v="0"/>
    <n v="55"/>
    <s v="41-60"/>
    <x v="1"/>
    <x v="2"/>
    <x v="1"/>
    <x v="0"/>
    <n v="1"/>
    <n v="1"/>
    <n v="3"/>
    <x v="6"/>
    <n v="6"/>
    <n v="7"/>
    <n v="984514"/>
    <n v="87948"/>
    <n v="896566"/>
    <n v="38"/>
    <n v="58"/>
    <n v="10.3"/>
  </r>
  <r>
    <x v="9"/>
    <x v="9"/>
    <d v="2024-06-10T00:00:00"/>
    <s v="NA"/>
    <n v="0"/>
    <n v="43"/>
    <s v="41-60"/>
    <x v="1"/>
    <x v="13"/>
    <x v="10"/>
    <x v="0"/>
    <n v="1"/>
    <n v="1"/>
    <n v="5.9"/>
    <x v="29"/>
    <n v="4"/>
    <n v="4"/>
    <n v="980028"/>
    <n v="120006"/>
    <n v="860022"/>
    <n v="37"/>
    <n v="55"/>
    <n v="10.1"/>
  </r>
  <r>
    <x v="9"/>
    <x v="9"/>
    <d v="2024-06-19T00:00:00"/>
    <s v="NA"/>
    <n v="0"/>
    <n v="32"/>
    <s v="21-40"/>
    <x v="1"/>
    <x v="3"/>
    <x v="2"/>
    <x v="2"/>
    <n v="1"/>
    <n v="1"/>
    <n v="2.6"/>
    <x v="30"/>
    <n v="5"/>
    <n v="4"/>
    <n v="944486"/>
    <n v="77896"/>
    <n v="866590"/>
    <n v="38"/>
    <n v="60"/>
    <n v="5.0999999999999996"/>
  </r>
  <r>
    <x v="9"/>
    <x v="9"/>
    <d v="2022-11-07T00:00:00"/>
    <s v="NA"/>
    <n v="0"/>
    <n v="60"/>
    <s v="41-60"/>
    <x v="0"/>
    <x v="0"/>
    <x v="0"/>
    <x v="2"/>
    <n v="1"/>
    <n v="1"/>
    <n v="1.2"/>
    <x v="23"/>
    <n v="3"/>
    <n v="4"/>
    <n v="951436"/>
    <n v="99902"/>
    <n v="851534"/>
    <n v="38"/>
    <n v="59"/>
    <n v="13.5"/>
  </r>
  <r>
    <x v="9"/>
    <x v="9"/>
    <d v="2022-10-18T00:00:00"/>
    <s v="NA"/>
    <n v="0"/>
    <n v="43"/>
    <s v="41-60"/>
    <x v="1"/>
    <x v="9"/>
    <x v="7"/>
    <x v="1"/>
    <n v="1"/>
    <n v="1"/>
    <n v="2.1"/>
    <x v="3"/>
    <n v="3"/>
    <n v="7"/>
    <n v="919400"/>
    <n v="75070"/>
    <n v="844330"/>
    <n v="32"/>
    <n v="64"/>
    <n v="10.3"/>
  </r>
  <r>
    <x v="9"/>
    <x v="9"/>
    <d v="2023-04-22T00:00:00"/>
    <s v="NA"/>
    <n v="0"/>
    <n v="26"/>
    <s v="21-40"/>
    <x v="0"/>
    <x v="0"/>
    <x v="0"/>
    <x v="2"/>
    <n v="1"/>
    <n v="1"/>
    <n v="5"/>
    <x v="18"/>
    <n v="4"/>
    <n v="3"/>
    <n v="984456"/>
    <n v="153132"/>
    <n v="831324"/>
    <n v="37"/>
    <n v="57"/>
    <n v="5.9"/>
  </r>
  <r>
    <x v="9"/>
    <x v="9"/>
    <d v="2022-07-04T00:00:00"/>
    <s v="NA"/>
    <n v="0"/>
    <n v="29"/>
    <s v="21-40"/>
    <x v="1"/>
    <x v="10"/>
    <x v="8"/>
    <x v="1"/>
    <n v="1"/>
    <n v="1"/>
    <n v="2.4"/>
    <x v="11"/>
    <n v="3"/>
    <n v="5"/>
    <n v="953596"/>
    <n v="132130"/>
    <n v="821466"/>
    <n v="32"/>
    <n v="66"/>
    <n v="9.3000000000000007"/>
  </r>
  <r>
    <x v="9"/>
    <x v="9"/>
    <d v="2022-08-08T00:00:00"/>
    <s v="NA"/>
    <n v="0"/>
    <n v="43"/>
    <s v="41-60"/>
    <x v="0"/>
    <x v="6"/>
    <x v="4"/>
    <x v="4"/>
    <n v="1"/>
    <n v="1"/>
    <n v="2.2999999999999998"/>
    <x v="2"/>
    <n v="3"/>
    <n v="6"/>
    <n v="924616"/>
    <n v="109525"/>
    <n v="815091"/>
    <n v="40"/>
    <n v="60"/>
    <n v="5.4"/>
  </r>
  <r>
    <x v="9"/>
    <x v="9"/>
    <d v="2022-08-02T00:00:00"/>
    <s v="NA"/>
    <n v="0"/>
    <n v="47"/>
    <s v="41-60"/>
    <x v="0"/>
    <x v="0"/>
    <x v="0"/>
    <x v="4"/>
    <n v="1"/>
    <n v="1"/>
    <n v="6.3"/>
    <x v="25"/>
    <n v="6"/>
    <n v="5"/>
    <n v="906226"/>
    <n v="71091"/>
    <n v="835135"/>
    <n v="38"/>
    <n v="60"/>
    <n v="5.4"/>
  </r>
  <r>
    <x v="9"/>
    <x v="9"/>
    <d v="2024-03-27T00:00:00"/>
    <s v="NA"/>
    <n v="0"/>
    <n v="58"/>
    <s v="41-60"/>
    <x v="0"/>
    <x v="4"/>
    <x v="3"/>
    <x v="2"/>
    <n v="1"/>
    <n v="1"/>
    <n v="6.4"/>
    <x v="14"/>
    <n v="7"/>
    <n v="3"/>
    <n v="975367"/>
    <n v="79183"/>
    <n v="896184"/>
    <n v="39"/>
    <n v="66"/>
    <n v="12.7"/>
  </r>
  <r>
    <x v="9"/>
    <x v="9"/>
    <d v="2023-08-24T00:00:00"/>
    <s v="NA"/>
    <n v="0"/>
    <n v="38"/>
    <s v="21-40"/>
    <x v="0"/>
    <x v="13"/>
    <x v="10"/>
    <x v="2"/>
    <n v="1"/>
    <n v="1"/>
    <n v="1.1000000000000001"/>
    <x v="15"/>
    <n v="7"/>
    <n v="5"/>
    <n v="977854"/>
    <n v="159044"/>
    <n v="818810"/>
    <n v="34"/>
    <n v="64"/>
    <n v="12.1"/>
  </r>
  <r>
    <x v="9"/>
    <x v="9"/>
    <d v="2023-10-20T00:00:00"/>
    <s v="NA"/>
    <n v="0"/>
    <n v="40"/>
    <s v="21-40"/>
    <x v="1"/>
    <x v="8"/>
    <x v="6"/>
    <x v="3"/>
    <n v="1"/>
    <n v="1"/>
    <n v="4"/>
    <x v="27"/>
    <n v="7"/>
    <n v="5"/>
    <n v="984250"/>
    <n v="103340"/>
    <n v="880910"/>
    <n v="34"/>
    <n v="64"/>
    <n v="5.8"/>
  </r>
  <r>
    <x v="9"/>
    <x v="9"/>
    <d v="2023-12-04T00:00:00"/>
    <s v="NA"/>
    <n v="0"/>
    <n v="82"/>
    <s v="81+"/>
    <x v="1"/>
    <x v="4"/>
    <x v="3"/>
    <x v="2"/>
    <n v="1"/>
    <n v="1"/>
    <n v="6.9"/>
    <x v="20"/>
    <n v="5"/>
    <n v="5"/>
    <n v="919135"/>
    <n v="68136"/>
    <n v="850999"/>
    <n v="35"/>
    <n v="55"/>
    <n v="14.4"/>
  </r>
  <r>
    <x v="9"/>
    <x v="9"/>
    <d v="2022-02-16T00:00:00"/>
    <s v="NA"/>
    <n v="0"/>
    <n v="54"/>
    <s v="41-60"/>
    <x v="0"/>
    <x v="12"/>
    <x v="9"/>
    <x v="3"/>
    <n v="1"/>
    <n v="1"/>
    <n v="2.6"/>
    <x v="19"/>
    <n v="3"/>
    <n v="7"/>
    <n v="936703"/>
    <n v="127269"/>
    <n v="809434"/>
    <n v="36"/>
    <n v="64"/>
    <n v="7.9"/>
  </r>
  <r>
    <x v="9"/>
    <x v="9"/>
    <d v="2022-01-18T00:00:00"/>
    <s v="NA"/>
    <n v="0"/>
    <n v="46"/>
    <s v="41-60"/>
    <x v="1"/>
    <x v="7"/>
    <x v="5"/>
    <x v="0"/>
    <n v="1"/>
    <n v="1"/>
    <n v="6"/>
    <x v="17"/>
    <n v="6"/>
    <n v="3"/>
    <n v="968290"/>
    <n v="159718"/>
    <n v="808572"/>
    <n v="40"/>
    <n v="66"/>
    <n v="6"/>
  </r>
  <r>
    <x v="9"/>
    <x v="9"/>
    <d v="2022-09-07T00:00:00"/>
    <s v="NA"/>
    <n v="0"/>
    <n v="86"/>
    <s v="81+"/>
    <x v="1"/>
    <x v="11"/>
    <x v="8"/>
    <x v="4"/>
    <n v="1"/>
    <n v="1"/>
    <n v="2.7"/>
    <x v="16"/>
    <n v="5"/>
    <n v="7"/>
    <n v="902734"/>
    <n v="36375"/>
    <n v="866359"/>
    <n v="37"/>
    <n v="59"/>
    <n v="14.3"/>
  </r>
  <r>
    <x v="9"/>
    <x v="9"/>
    <d v="2024-01-16T00:00:00"/>
    <s v="NA"/>
    <n v="0"/>
    <n v="26"/>
    <s v="21-40"/>
    <x v="0"/>
    <x v="4"/>
    <x v="3"/>
    <x v="3"/>
    <n v="1"/>
    <n v="1"/>
    <n v="4.3"/>
    <x v="2"/>
    <n v="6"/>
    <n v="6"/>
    <n v="919278"/>
    <n v="98648"/>
    <n v="820630"/>
    <n v="34"/>
    <n v="63"/>
    <n v="5.9"/>
  </r>
  <r>
    <x v="9"/>
    <x v="9"/>
    <d v="2023-02-11T00:00:00"/>
    <s v="NA"/>
    <n v="0"/>
    <n v="87"/>
    <s v="81+"/>
    <x v="1"/>
    <x v="2"/>
    <x v="1"/>
    <x v="1"/>
    <n v="1"/>
    <n v="1"/>
    <n v="5.2"/>
    <x v="27"/>
    <n v="7"/>
    <n v="5"/>
    <n v="919378"/>
    <n v="84555"/>
    <n v="834823"/>
    <n v="36"/>
    <n v="56"/>
    <n v="14.6"/>
  </r>
  <r>
    <x v="9"/>
    <x v="9"/>
    <d v="2021-10-17T00:00:00"/>
    <s v="NA"/>
    <n v="0"/>
    <n v="44"/>
    <s v="41-60"/>
    <x v="1"/>
    <x v="3"/>
    <x v="2"/>
    <x v="3"/>
    <n v="1"/>
    <n v="1"/>
    <n v="5.6"/>
    <x v="23"/>
    <n v="4"/>
    <n v="4"/>
    <n v="902455"/>
    <n v="80023"/>
    <n v="822432"/>
    <n v="35"/>
    <n v="66"/>
    <n v="14.1"/>
  </r>
  <r>
    <x v="9"/>
    <x v="9"/>
    <d v="2022-01-27T00:00:00"/>
    <s v="NA"/>
    <n v="0"/>
    <n v="42"/>
    <s v="41-60"/>
    <x v="0"/>
    <x v="12"/>
    <x v="9"/>
    <x v="1"/>
    <n v="1"/>
    <n v="1"/>
    <n v="5"/>
    <x v="0"/>
    <n v="3"/>
    <n v="5"/>
    <n v="924495"/>
    <n v="98141"/>
    <n v="826354"/>
    <n v="37"/>
    <n v="60"/>
    <n v="12.9"/>
  </r>
  <r>
    <x v="9"/>
    <x v="9"/>
    <d v="2024-12-08T00:00:00"/>
    <s v="NA"/>
    <n v="0"/>
    <n v="89"/>
    <s v="81+"/>
    <x v="0"/>
    <x v="0"/>
    <x v="0"/>
    <x v="3"/>
    <n v="1"/>
    <n v="1"/>
    <n v="1.7"/>
    <x v="19"/>
    <n v="6"/>
    <n v="3"/>
    <n v="970423"/>
    <n v="136537"/>
    <n v="833886"/>
    <n v="39"/>
    <n v="60"/>
    <n v="14.5"/>
  </r>
  <r>
    <x v="9"/>
    <x v="9"/>
    <d v="2024-09-29T00:00:00"/>
    <s v="NA"/>
    <n v="0"/>
    <n v="55"/>
    <s v="41-60"/>
    <x v="0"/>
    <x v="9"/>
    <x v="7"/>
    <x v="4"/>
    <n v="1"/>
    <n v="1"/>
    <n v="3"/>
    <x v="26"/>
    <n v="4"/>
    <n v="5"/>
    <n v="948809"/>
    <n v="135113"/>
    <n v="813696"/>
    <n v="31"/>
    <n v="56"/>
    <n v="13.3"/>
  </r>
  <r>
    <x v="9"/>
    <x v="9"/>
    <d v="2022-02-10T00:00:00"/>
    <s v="NA"/>
    <n v="0"/>
    <n v="74"/>
    <s v="61-80"/>
    <x v="1"/>
    <x v="6"/>
    <x v="4"/>
    <x v="2"/>
    <n v="1"/>
    <n v="1"/>
    <n v="1.8"/>
    <x v="27"/>
    <n v="6"/>
    <n v="4"/>
    <n v="905268"/>
    <n v="8311"/>
    <n v="896957"/>
    <n v="36"/>
    <n v="62"/>
    <n v="12.6"/>
  </r>
  <r>
    <x v="8"/>
    <x v="8"/>
    <d v="2023-10-26T00:00:00"/>
    <s v="NA"/>
    <n v="0"/>
    <n v="21"/>
    <s v="21-40"/>
    <x v="0"/>
    <x v="12"/>
    <x v="9"/>
    <x v="3"/>
    <n v="1"/>
    <n v="1"/>
    <n v="4.9000000000000004"/>
    <x v="12"/>
    <n v="3"/>
    <n v="3"/>
    <n v="757632"/>
    <n v="215897"/>
    <n v="541735"/>
    <n v="48"/>
    <n v="64"/>
    <n v="36.5"/>
  </r>
  <r>
    <x v="9"/>
    <x v="9"/>
    <d v="2023-01-23T00:00:00"/>
    <s v="NA"/>
    <n v="0"/>
    <n v="45"/>
    <s v="41-60"/>
    <x v="0"/>
    <x v="2"/>
    <x v="1"/>
    <x v="1"/>
    <n v="1"/>
    <n v="1"/>
    <n v="6.2"/>
    <x v="10"/>
    <n v="4"/>
    <n v="6"/>
    <n v="906571"/>
    <n v="35485"/>
    <n v="871086"/>
    <n v="36"/>
    <n v="61"/>
    <n v="10.8"/>
  </r>
  <r>
    <x v="9"/>
    <x v="9"/>
    <d v="2023-09-02T00:00:00"/>
    <s v="NA"/>
    <n v="0"/>
    <n v="32"/>
    <s v="21-40"/>
    <x v="1"/>
    <x v="9"/>
    <x v="7"/>
    <x v="1"/>
    <n v="1"/>
    <n v="1"/>
    <n v="4.7"/>
    <x v="24"/>
    <n v="7"/>
    <n v="6"/>
    <n v="954398"/>
    <n v="103072"/>
    <n v="851326"/>
    <n v="32"/>
    <n v="64"/>
    <n v="36.4"/>
  </r>
  <r>
    <x v="9"/>
    <x v="9"/>
    <d v="2022-06-19T00:00:00"/>
    <s v="NA"/>
    <n v="0"/>
    <n v="45"/>
    <s v="41-60"/>
    <x v="1"/>
    <x v="13"/>
    <x v="10"/>
    <x v="3"/>
    <n v="1"/>
    <n v="1"/>
    <n v="1.1000000000000001"/>
    <x v="17"/>
    <n v="4"/>
    <n v="4"/>
    <n v="922799"/>
    <n v="92433"/>
    <n v="830366"/>
    <n v="34"/>
    <n v="55"/>
    <n v="7"/>
  </r>
  <r>
    <x v="9"/>
    <x v="9"/>
    <d v="2024-05-23T00:00:00"/>
    <s v="NA"/>
    <n v="0"/>
    <n v="64"/>
    <s v="61-80"/>
    <x v="0"/>
    <x v="6"/>
    <x v="4"/>
    <x v="1"/>
    <n v="1"/>
    <n v="1"/>
    <n v="2.7"/>
    <x v="28"/>
    <n v="4"/>
    <n v="4"/>
    <n v="933125"/>
    <n v="100928"/>
    <n v="832197"/>
    <n v="34"/>
    <n v="65"/>
    <n v="7.4"/>
  </r>
  <r>
    <x v="9"/>
    <x v="9"/>
    <d v="2021-11-12T00:00:00"/>
    <s v="NA"/>
    <n v="0"/>
    <n v="86"/>
    <s v="81+"/>
    <x v="0"/>
    <x v="6"/>
    <x v="4"/>
    <x v="2"/>
    <n v="1"/>
    <n v="1"/>
    <n v="1.1000000000000001"/>
    <x v="6"/>
    <n v="6"/>
    <n v="6"/>
    <n v="987660"/>
    <n v="140586"/>
    <n v="847074"/>
    <n v="37"/>
    <n v="55"/>
    <n v="12.4"/>
  </r>
  <r>
    <x v="8"/>
    <x v="8"/>
    <d v="2023-04-19T00:00:00"/>
    <s v="NA"/>
    <n v="0"/>
    <n v="35"/>
    <s v="21-40"/>
    <x v="0"/>
    <x v="4"/>
    <x v="3"/>
    <x v="4"/>
    <n v="1"/>
    <n v="1"/>
    <n v="1.4"/>
    <x v="15"/>
    <n v="7"/>
    <n v="7"/>
    <n v="875008"/>
    <n v="335250"/>
    <n v="539758"/>
    <n v="58"/>
    <n v="62"/>
    <n v="36.9"/>
  </r>
  <r>
    <x v="9"/>
    <x v="9"/>
    <d v="2024-06-09T00:00:00"/>
    <s v="NA"/>
    <n v="0"/>
    <n v="38"/>
    <s v="21-40"/>
    <x v="0"/>
    <x v="2"/>
    <x v="1"/>
    <x v="1"/>
    <n v="1"/>
    <n v="1"/>
    <n v="4.9000000000000004"/>
    <x v="22"/>
    <n v="4"/>
    <n v="4"/>
    <n v="937543"/>
    <n v="121133"/>
    <n v="816410"/>
    <n v="31"/>
    <n v="60"/>
    <n v="7.4"/>
  </r>
  <r>
    <x v="9"/>
    <x v="9"/>
    <d v="2023-10-14T00:00:00"/>
    <s v="NA"/>
    <n v="0"/>
    <n v="79"/>
    <s v="61-80"/>
    <x v="1"/>
    <x v="8"/>
    <x v="6"/>
    <x v="4"/>
    <n v="1"/>
    <n v="1"/>
    <n v="4.5"/>
    <x v="16"/>
    <n v="6"/>
    <n v="3"/>
    <n v="990882"/>
    <n v="141666"/>
    <n v="849216"/>
    <n v="31"/>
    <n v="62"/>
    <n v="6"/>
  </r>
  <r>
    <x v="9"/>
    <x v="9"/>
    <d v="2021-02-22T00:00:00"/>
    <s v="NA"/>
    <n v="0"/>
    <n v="76"/>
    <s v="61-80"/>
    <x v="1"/>
    <x v="4"/>
    <x v="3"/>
    <x v="3"/>
    <n v="1"/>
    <n v="1"/>
    <n v="1.6"/>
    <x v="0"/>
    <n v="7"/>
    <n v="7"/>
    <n v="931308"/>
    <n v="128253"/>
    <n v="803055"/>
    <n v="37"/>
    <n v="60"/>
    <n v="13.1"/>
  </r>
  <r>
    <x v="9"/>
    <x v="9"/>
    <d v="2023-08-01T00:00:00"/>
    <s v="NA"/>
    <n v="0"/>
    <n v="43"/>
    <s v="41-60"/>
    <x v="0"/>
    <x v="2"/>
    <x v="1"/>
    <x v="1"/>
    <n v="1"/>
    <n v="1"/>
    <n v="6.3"/>
    <x v="26"/>
    <n v="7"/>
    <n v="3"/>
    <n v="904577"/>
    <n v="45185"/>
    <n v="859392"/>
    <n v="40"/>
    <n v="64"/>
    <n v="9.6"/>
  </r>
  <r>
    <x v="9"/>
    <x v="9"/>
    <d v="2022-09-14T00:00:00"/>
    <s v="NA"/>
    <n v="0"/>
    <n v="82"/>
    <s v="81+"/>
    <x v="0"/>
    <x v="5"/>
    <x v="0"/>
    <x v="2"/>
    <n v="1"/>
    <n v="1"/>
    <n v="2.9"/>
    <x v="19"/>
    <n v="5"/>
    <n v="6"/>
    <n v="975261"/>
    <n v="172945"/>
    <n v="802316"/>
    <n v="38"/>
    <n v="62"/>
    <n v="9.1"/>
  </r>
  <r>
    <x v="8"/>
    <x v="8"/>
    <d v="2022-07-07T00:00:00"/>
    <s v="NA"/>
    <n v="0"/>
    <n v="50"/>
    <s v="41-60"/>
    <x v="0"/>
    <x v="5"/>
    <x v="0"/>
    <x v="3"/>
    <n v="1"/>
    <n v="1"/>
    <n v="6.6"/>
    <x v="15"/>
    <n v="3"/>
    <n v="3"/>
    <n v="618188"/>
    <n v="43013"/>
    <n v="575175"/>
    <n v="42"/>
    <n v="66"/>
    <n v="5.2"/>
  </r>
  <r>
    <x v="9"/>
    <x v="9"/>
    <d v="2024-12-12T00:00:00"/>
    <s v="NA"/>
    <n v="0"/>
    <n v="28"/>
    <s v="21-40"/>
    <x v="1"/>
    <x v="8"/>
    <x v="6"/>
    <x v="3"/>
    <n v="1"/>
    <n v="1"/>
    <n v="5.5"/>
    <x v="24"/>
    <n v="3"/>
    <n v="5"/>
    <n v="996661"/>
    <n v="162257"/>
    <n v="834404"/>
    <n v="37"/>
    <n v="55"/>
    <n v="36.1"/>
  </r>
  <r>
    <x v="9"/>
    <x v="9"/>
    <d v="2023-09-19T00:00:00"/>
    <s v="NA"/>
    <n v="0"/>
    <n v="73"/>
    <s v="61-80"/>
    <x v="1"/>
    <x v="2"/>
    <x v="1"/>
    <x v="4"/>
    <n v="1"/>
    <n v="1"/>
    <n v="1.6"/>
    <x v="28"/>
    <n v="7"/>
    <n v="4"/>
    <n v="902704"/>
    <n v="86694"/>
    <n v="816010"/>
    <n v="35"/>
    <n v="56"/>
    <n v="12.6"/>
  </r>
  <r>
    <x v="9"/>
    <x v="9"/>
    <d v="2022-11-20T00:00:00"/>
    <s v="NA"/>
    <n v="0"/>
    <n v="89"/>
    <s v="81+"/>
    <x v="0"/>
    <x v="9"/>
    <x v="7"/>
    <x v="3"/>
    <n v="1"/>
    <n v="1"/>
    <n v="5.4"/>
    <x v="30"/>
    <n v="4"/>
    <n v="3"/>
    <n v="927716"/>
    <n v="114875"/>
    <n v="812841"/>
    <n v="35"/>
    <n v="62"/>
    <n v="12"/>
  </r>
  <r>
    <x v="9"/>
    <x v="9"/>
    <d v="2021-08-22T00:00:00"/>
    <s v="NA"/>
    <n v="0"/>
    <n v="49"/>
    <s v="41-60"/>
    <x v="1"/>
    <x v="3"/>
    <x v="2"/>
    <x v="0"/>
    <n v="1"/>
    <n v="1"/>
    <n v="1.3"/>
    <x v="16"/>
    <n v="5"/>
    <n v="4"/>
    <n v="912366"/>
    <n v="15434"/>
    <n v="896932"/>
    <n v="37"/>
    <n v="60"/>
    <n v="14.5"/>
  </r>
  <r>
    <x v="9"/>
    <x v="9"/>
    <d v="2023-03-03T00:00:00"/>
    <s v="NA"/>
    <n v="0"/>
    <n v="49"/>
    <s v="41-60"/>
    <x v="1"/>
    <x v="1"/>
    <x v="1"/>
    <x v="1"/>
    <n v="1"/>
    <n v="1"/>
    <n v="1.6"/>
    <x v="10"/>
    <n v="7"/>
    <n v="7"/>
    <n v="973166"/>
    <n v="80331"/>
    <n v="892835"/>
    <n v="35"/>
    <n v="58"/>
    <n v="14.7"/>
  </r>
  <r>
    <x v="9"/>
    <x v="9"/>
    <d v="2022-03-24T00:00:00"/>
    <s v="NA"/>
    <n v="0"/>
    <n v="43"/>
    <s v="41-60"/>
    <x v="0"/>
    <x v="13"/>
    <x v="10"/>
    <x v="1"/>
    <n v="1"/>
    <n v="1"/>
    <n v="7"/>
    <x v="3"/>
    <n v="6"/>
    <n v="7"/>
    <n v="958329"/>
    <n v="100859"/>
    <n v="857470"/>
    <n v="33"/>
    <n v="54"/>
    <n v="13.5"/>
  </r>
  <r>
    <x v="9"/>
    <x v="9"/>
    <d v="2022-10-03T00:00:00"/>
    <s v="NA"/>
    <n v="0"/>
    <n v="76"/>
    <s v="61-80"/>
    <x v="0"/>
    <x v="9"/>
    <x v="7"/>
    <x v="3"/>
    <n v="1"/>
    <n v="1"/>
    <n v="5.9"/>
    <x v="17"/>
    <n v="5"/>
    <n v="6"/>
    <n v="947572"/>
    <n v="106017"/>
    <n v="841555"/>
    <n v="36"/>
    <n v="60"/>
    <n v="7"/>
  </r>
  <r>
    <x v="9"/>
    <x v="9"/>
    <d v="2022-06-13T00:00:00"/>
    <s v="NA"/>
    <n v="0"/>
    <n v="37"/>
    <s v="21-40"/>
    <x v="1"/>
    <x v="3"/>
    <x v="2"/>
    <x v="3"/>
    <n v="1"/>
    <n v="1"/>
    <n v="5.5"/>
    <x v="21"/>
    <n v="7"/>
    <n v="7"/>
    <n v="955390"/>
    <n v="112517"/>
    <n v="842873"/>
    <n v="33"/>
    <n v="66"/>
    <n v="14.6"/>
  </r>
  <r>
    <x v="9"/>
    <x v="9"/>
    <d v="2023-02-08T00:00:00"/>
    <s v="NA"/>
    <n v="0"/>
    <n v="65"/>
    <s v="61-80"/>
    <x v="0"/>
    <x v="7"/>
    <x v="5"/>
    <x v="4"/>
    <n v="1"/>
    <n v="1"/>
    <n v="6.4"/>
    <x v="23"/>
    <n v="4"/>
    <n v="5"/>
    <n v="947771"/>
    <n v="80291"/>
    <n v="867480"/>
    <n v="40"/>
    <n v="61"/>
    <n v="14.6"/>
  </r>
  <r>
    <x v="9"/>
    <x v="9"/>
    <d v="2023-08-26T00:00:00"/>
    <s v="NA"/>
    <n v="0"/>
    <n v="38"/>
    <s v="21-40"/>
    <x v="1"/>
    <x v="4"/>
    <x v="3"/>
    <x v="2"/>
    <n v="1"/>
    <n v="1"/>
    <n v="3.4"/>
    <x v="28"/>
    <n v="5"/>
    <n v="3"/>
    <n v="965213"/>
    <n v="158304"/>
    <n v="806909"/>
    <n v="33"/>
    <n v="62"/>
    <n v="10.5"/>
  </r>
  <r>
    <x v="9"/>
    <x v="9"/>
    <d v="2021-04-12T00:00:00"/>
    <s v="NA"/>
    <n v="0"/>
    <n v="53"/>
    <s v="41-60"/>
    <x v="1"/>
    <x v="10"/>
    <x v="8"/>
    <x v="1"/>
    <n v="1"/>
    <n v="1"/>
    <n v="4.5999999999999996"/>
    <x v="28"/>
    <n v="7"/>
    <n v="3"/>
    <n v="930501"/>
    <n v="37340"/>
    <n v="893161"/>
    <n v="34"/>
    <n v="59"/>
    <n v="10.5"/>
  </r>
  <r>
    <x v="9"/>
    <x v="9"/>
    <d v="2023-01-30T00:00:00"/>
    <s v="NA"/>
    <n v="0"/>
    <n v="34"/>
    <s v="21-40"/>
    <x v="1"/>
    <x v="7"/>
    <x v="5"/>
    <x v="3"/>
    <n v="1"/>
    <n v="1"/>
    <n v="6.5"/>
    <x v="6"/>
    <n v="3"/>
    <n v="4"/>
    <n v="969909"/>
    <n v="151639"/>
    <n v="818270"/>
    <n v="40"/>
    <n v="65"/>
    <n v="6.2"/>
  </r>
  <r>
    <x v="9"/>
    <x v="9"/>
    <d v="2021-10-11T00:00:00"/>
    <s v="NA"/>
    <n v="0"/>
    <n v="57"/>
    <s v="41-60"/>
    <x v="1"/>
    <x v="6"/>
    <x v="4"/>
    <x v="0"/>
    <n v="1"/>
    <n v="1"/>
    <n v="2.2999999999999998"/>
    <x v="9"/>
    <n v="6"/>
    <n v="6"/>
    <n v="954886"/>
    <n v="94281"/>
    <n v="860605"/>
    <n v="30"/>
    <n v="63"/>
    <n v="6.1"/>
  </r>
  <r>
    <x v="9"/>
    <x v="9"/>
    <d v="2023-06-26T00:00:00"/>
    <s v="NA"/>
    <n v="0"/>
    <n v="49"/>
    <s v="41-60"/>
    <x v="0"/>
    <x v="7"/>
    <x v="5"/>
    <x v="1"/>
    <n v="1"/>
    <n v="1"/>
    <n v="1.6"/>
    <x v="17"/>
    <n v="4"/>
    <n v="4"/>
    <n v="948846"/>
    <n v="115994"/>
    <n v="832852"/>
    <n v="39"/>
    <n v="58"/>
    <n v="12.4"/>
  </r>
  <r>
    <x v="9"/>
    <x v="9"/>
    <d v="2022-03-17T00:00:00"/>
    <s v="NA"/>
    <n v="0"/>
    <n v="81"/>
    <s v="81+"/>
    <x v="0"/>
    <x v="0"/>
    <x v="0"/>
    <x v="2"/>
    <n v="1"/>
    <n v="1"/>
    <n v="5.2"/>
    <x v="16"/>
    <n v="4"/>
    <n v="6"/>
    <n v="997543"/>
    <n v="104874"/>
    <n v="892669"/>
    <n v="31"/>
    <n v="56"/>
    <n v="7.9"/>
  </r>
  <r>
    <x v="9"/>
    <x v="9"/>
    <d v="2021-03-13T00:00:00"/>
    <s v="NA"/>
    <n v="0"/>
    <n v="65"/>
    <s v="61-80"/>
    <x v="1"/>
    <x v="7"/>
    <x v="5"/>
    <x v="1"/>
    <n v="1"/>
    <n v="1"/>
    <n v="3.8"/>
    <x v="10"/>
    <n v="7"/>
    <n v="3"/>
    <n v="933582"/>
    <n v="47552"/>
    <n v="886030"/>
    <n v="30"/>
    <n v="61"/>
    <n v="13.4"/>
  </r>
  <r>
    <x v="9"/>
    <x v="9"/>
    <d v="2023-03-12T00:00:00"/>
    <s v="NA"/>
    <n v="0"/>
    <n v="79"/>
    <s v="61-80"/>
    <x v="0"/>
    <x v="6"/>
    <x v="4"/>
    <x v="0"/>
    <n v="1"/>
    <n v="1"/>
    <n v="4.4000000000000004"/>
    <x v="4"/>
    <n v="4"/>
    <n v="6"/>
    <n v="924271"/>
    <n v="94098"/>
    <n v="830173"/>
    <n v="39"/>
    <n v="65"/>
    <n v="5.0999999999999996"/>
  </r>
  <r>
    <x v="9"/>
    <x v="9"/>
    <d v="2022-01-27T00:00:00"/>
    <s v="NA"/>
    <n v="0"/>
    <n v="43"/>
    <s v="41-60"/>
    <x v="0"/>
    <x v="0"/>
    <x v="0"/>
    <x v="2"/>
    <n v="1"/>
    <n v="1"/>
    <n v="1.5"/>
    <x v="17"/>
    <n v="6"/>
    <n v="4"/>
    <n v="901869"/>
    <n v="28414"/>
    <n v="873455"/>
    <n v="31"/>
    <n v="64"/>
    <n v="5.8"/>
  </r>
  <r>
    <x v="9"/>
    <x v="9"/>
    <d v="2023-07-10T00:00:00"/>
    <s v="NA"/>
    <n v="0"/>
    <n v="54"/>
    <s v="41-60"/>
    <x v="1"/>
    <x v="3"/>
    <x v="2"/>
    <x v="3"/>
    <n v="1"/>
    <n v="1"/>
    <n v="1.2"/>
    <x v="25"/>
    <n v="7"/>
    <n v="4"/>
    <n v="977999"/>
    <n v="129585"/>
    <n v="848414"/>
    <n v="40"/>
    <n v="55"/>
    <n v="10.199999999999999"/>
  </r>
  <r>
    <x v="9"/>
    <x v="9"/>
    <d v="2024-02-24T00:00:00"/>
    <s v="NA"/>
    <n v="0"/>
    <n v="46"/>
    <s v="41-60"/>
    <x v="1"/>
    <x v="6"/>
    <x v="4"/>
    <x v="1"/>
    <n v="1"/>
    <n v="1"/>
    <n v="4.8"/>
    <x v="27"/>
    <n v="7"/>
    <n v="3"/>
    <n v="910459"/>
    <n v="13218"/>
    <n v="897241"/>
    <n v="32"/>
    <n v="63"/>
    <n v="7.7"/>
  </r>
  <r>
    <x v="9"/>
    <x v="9"/>
    <d v="2021-01-29T00:00:00"/>
    <s v="NA"/>
    <n v="0"/>
    <n v="66"/>
    <s v="61-80"/>
    <x v="1"/>
    <x v="6"/>
    <x v="4"/>
    <x v="4"/>
    <n v="1"/>
    <n v="1"/>
    <n v="1.3"/>
    <x v="16"/>
    <n v="5"/>
    <n v="4"/>
    <n v="998081"/>
    <n v="191256"/>
    <n v="806825"/>
    <n v="31"/>
    <n v="58"/>
    <n v="10.5"/>
  </r>
  <r>
    <x v="9"/>
    <x v="9"/>
    <d v="2021-04-12T00:00:00"/>
    <s v="NA"/>
    <n v="0"/>
    <n v="39"/>
    <s v="21-40"/>
    <x v="0"/>
    <x v="2"/>
    <x v="1"/>
    <x v="2"/>
    <n v="1"/>
    <n v="1"/>
    <n v="3.3"/>
    <x v="1"/>
    <n v="3"/>
    <n v="6"/>
    <n v="935456"/>
    <n v="97860"/>
    <n v="837596"/>
    <n v="34"/>
    <n v="57"/>
    <n v="14.4"/>
  </r>
  <r>
    <x v="9"/>
    <x v="9"/>
    <d v="2024-02-26T00:00:00"/>
    <s v="NA"/>
    <n v="0"/>
    <n v="44"/>
    <s v="41-60"/>
    <x v="0"/>
    <x v="14"/>
    <x v="11"/>
    <x v="0"/>
    <n v="1"/>
    <n v="1"/>
    <n v="3.9"/>
    <x v="18"/>
    <n v="4"/>
    <n v="4"/>
    <n v="953982"/>
    <n v="69607"/>
    <n v="884375"/>
    <n v="39"/>
    <n v="56"/>
    <n v="7.4"/>
  </r>
  <r>
    <x v="9"/>
    <x v="9"/>
    <d v="2023-12-15T00:00:00"/>
    <s v="NA"/>
    <n v="0"/>
    <n v="25"/>
    <s v="21-40"/>
    <x v="0"/>
    <x v="2"/>
    <x v="1"/>
    <x v="2"/>
    <n v="1"/>
    <n v="1"/>
    <n v="4.5999999999999996"/>
    <x v="13"/>
    <n v="5"/>
    <n v="5"/>
    <n v="930908"/>
    <n v="114873"/>
    <n v="816035"/>
    <n v="36"/>
    <n v="56"/>
    <n v="9.9"/>
  </r>
  <r>
    <x v="9"/>
    <x v="9"/>
    <d v="2022-10-13T00:00:00"/>
    <s v="NA"/>
    <n v="0"/>
    <n v="37"/>
    <s v="21-40"/>
    <x v="0"/>
    <x v="4"/>
    <x v="3"/>
    <x v="4"/>
    <n v="1"/>
    <n v="1"/>
    <n v="1.9"/>
    <x v="2"/>
    <n v="6"/>
    <n v="6"/>
    <n v="952356"/>
    <n v="102208"/>
    <n v="850148"/>
    <n v="32"/>
    <n v="66"/>
    <n v="7.5"/>
  </r>
  <r>
    <x v="9"/>
    <x v="9"/>
    <d v="2024-07-31T00:00:00"/>
    <s v="NA"/>
    <n v="0"/>
    <n v="80"/>
    <s v="61-80"/>
    <x v="0"/>
    <x v="6"/>
    <x v="4"/>
    <x v="0"/>
    <n v="1"/>
    <n v="1"/>
    <n v="1.3"/>
    <x v="6"/>
    <n v="3"/>
    <n v="3"/>
    <n v="901360"/>
    <n v="71619"/>
    <n v="829741"/>
    <n v="35"/>
    <n v="54"/>
    <n v="8.6"/>
  </r>
  <r>
    <x v="9"/>
    <x v="9"/>
    <d v="2022-06-16T00:00:00"/>
    <s v="NA"/>
    <n v="0"/>
    <n v="46"/>
    <s v="41-60"/>
    <x v="1"/>
    <x v="11"/>
    <x v="8"/>
    <x v="2"/>
    <n v="1"/>
    <n v="1"/>
    <n v="3.8"/>
    <x v="7"/>
    <n v="7"/>
    <n v="3"/>
    <n v="918708"/>
    <n v="116113"/>
    <n v="802595"/>
    <n v="40"/>
    <n v="66"/>
    <n v="9"/>
  </r>
  <r>
    <x v="9"/>
    <x v="9"/>
    <d v="2023-09-12T00:00:00"/>
    <s v="NA"/>
    <n v="0"/>
    <n v="88"/>
    <s v="81+"/>
    <x v="1"/>
    <x v="6"/>
    <x v="4"/>
    <x v="3"/>
    <n v="1"/>
    <n v="1"/>
    <n v="6.2"/>
    <x v="6"/>
    <n v="5"/>
    <n v="4"/>
    <n v="977366"/>
    <n v="106786"/>
    <n v="870580"/>
    <n v="37"/>
    <n v="62"/>
    <n v="8"/>
  </r>
  <r>
    <x v="9"/>
    <x v="9"/>
    <d v="2022-01-20T00:00:00"/>
    <s v="NA"/>
    <n v="0"/>
    <n v="32"/>
    <s v="21-40"/>
    <x v="1"/>
    <x v="10"/>
    <x v="8"/>
    <x v="0"/>
    <n v="1"/>
    <n v="1"/>
    <n v="4.5"/>
    <x v="27"/>
    <n v="5"/>
    <n v="7"/>
    <n v="921293"/>
    <n v="108679"/>
    <n v="812614"/>
    <n v="39"/>
    <n v="59"/>
    <n v="36.299999999999997"/>
  </r>
  <r>
    <x v="9"/>
    <x v="9"/>
    <d v="2022-04-25T00:00:00"/>
    <s v="NA"/>
    <n v="0"/>
    <n v="40"/>
    <s v="21-40"/>
    <x v="0"/>
    <x v="7"/>
    <x v="5"/>
    <x v="0"/>
    <n v="1"/>
    <n v="1"/>
    <n v="6.3"/>
    <x v="12"/>
    <n v="6"/>
    <n v="5"/>
    <n v="965430"/>
    <n v="69325"/>
    <n v="896105"/>
    <n v="36"/>
    <n v="64"/>
    <n v="9.5"/>
  </r>
  <r>
    <x v="9"/>
    <x v="9"/>
    <d v="2024-03-16T00:00:00"/>
    <s v="NA"/>
    <n v="0"/>
    <n v="43"/>
    <s v="41-60"/>
    <x v="0"/>
    <x v="0"/>
    <x v="0"/>
    <x v="2"/>
    <n v="1"/>
    <n v="1"/>
    <n v="5.5"/>
    <x v="5"/>
    <n v="5"/>
    <n v="5"/>
    <n v="962315"/>
    <n v="67432"/>
    <n v="894883"/>
    <n v="30"/>
    <n v="63"/>
    <n v="6.4"/>
  </r>
  <r>
    <x v="9"/>
    <x v="9"/>
    <d v="2023-01-15T00:00:00"/>
    <s v="NA"/>
    <n v="0"/>
    <n v="30"/>
    <s v="21-40"/>
    <x v="0"/>
    <x v="1"/>
    <x v="1"/>
    <x v="4"/>
    <n v="1"/>
    <n v="1"/>
    <n v="1.6"/>
    <x v="25"/>
    <n v="6"/>
    <n v="4"/>
    <n v="962389"/>
    <n v="109430"/>
    <n v="852959"/>
    <n v="36"/>
    <n v="61"/>
    <n v="6.5"/>
  </r>
  <r>
    <x v="9"/>
    <x v="9"/>
    <d v="2023-09-21T00:00:00"/>
    <s v="NA"/>
    <n v="0"/>
    <n v="74"/>
    <s v="61-80"/>
    <x v="0"/>
    <x v="2"/>
    <x v="1"/>
    <x v="1"/>
    <n v="1"/>
    <n v="1"/>
    <n v="5.2"/>
    <x v="15"/>
    <n v="6"/>
    <n v="3"/>
    <n v="983536"/>
    <n v="97391"/>
    <n v="886145"/>
    <n v="34"/>
    <n v="63"/>
    <n v="6.9"/>
  </r>
  <r>
    <x v="9"/>
    <x v="9"/>
    <d v="2024-11-27T00:00:00"/>
    <s v="NA"/>
    <n v="0"/>
    <n v="64"/>
    <s v="61-80"/>
    <x v="1"/>
    <x v="4"/>
    <x v="3"/>
    <x v="1"/>
    <n v="1"/>
    <n v="1"/>
    <n v="2.6"/>
    <x v="1"/>
    <n v="5"/>
    <n v="4"/>
    <n v="931655"/>
    <n v="91228"/>
    <n v="840427"/>
    <n v="34"/>
    <n v="57"/>
    <n v="7.5"/>
  </r>
  <r>
    <x v="9"/>
    <x v="9"/>
    <d v="2021-10-03T00:00:00"/>
    <s v="NA"/>
    <n v="0"/>
    <n v="44"/>
    <s v="41-60"/>
    <x v="0"/>
    <x v="12"/>
    <x v="9"/>
    <x v="0"/>
    <n v="1"/>
    <n v="1"/>
    <n v="4.3"/>
    <x v="10"/>
    <n v="5"/>
    <n v="5"/>
    <n v="990137"/>
    <n v="153590"/>
    <n v="836547"/>
    <n v="40"/>
    <n v="63"/>
    <n v="10.8"/>
  </r>
  <r>
    <x v="9"/>
    <x v="9"/>
    <d v="2024-05-28T00:00:00"/>
    <s v="NA"/>
    <n v="0"/>
    <n v="74"/>
    <s v="61-80"/>
    <x v="1"/>
    <x v="3"/>
    <x v="2"/>
    <x v="2"/>
    <n v="1"/>
    <n v="1"/>
    <n v="3"/>
    <x v="2"/>
    <n v="7"/>
    <n v="4"/>
    <n v="993416"/>
    <n v="157517"/>
    <n v="835899"/>
    <n v="37"/>
    <n v="58"/>
    <n v="9.1"/>
  </r>
  <r>
    <x v="9"/>
    <x v="9"/>
    <d v="2022-09-29T00:00:00"/>
    <s v="NA"/>
    <n v="0"/>
    <n v="40"/>
    <s v="21-40"/>
    <x v="1"/>
    <x v="2"/>
    <x v="1"/>
    <x v="3"/>
    <n v="1"/>
    <n v="1"/>
    <n v="3.7"/>
    <x v="23"/>
    <n v="7"/>
    <n v="6"/>
    <n v="939934"/>
    <n v="43136"/>
    <n v="896798"/>
    <n v="35"/>
    <n v="63"/>
    <n v="12.3"/>
  </r>
  <r>
    <x v="9"/>
    <x v="9"/>
    <d v="2022-03-21T00:00:00"/>
    <s v="NA"/>
    <n v="0"/>
    <n v="60"/>
    <s v="41-60"/>
    <x v="1"/>
    <x v="10"/>
    <x v="8"/>
    <x v="1"/>
    <n v="1"/>
    <n v="1"/>
    <n v="4.5999999999999996"/>
    <x v="2"/>
    <n v="7"/>
    <n v="4"/>
    <n v="909364"/>
    <n v="28330"/>
    <n v="881034"/>
    <n v="36"/>
    <n v="65"/>
    <n v="12.4"/>
  </r>
  <r>
    <x v="9"/>
    <x v="9"/>
    <d v="2021-03-18T00:00:00"/>
    <s v="NA"/>
    <n v="0"/>
    <n v="64"/>
    <s v="61-80"/>
    <x v="0"/>
    <x v="2"/>
    <x v="1"/>
    <x v="1"/>
    <n v="1"/>
    <n v="1"/>
    <n v="4.7"/>
    <x v="15"/>
    <n v="7"/>
    <n v="6"/>
    <n v="979669"/>
    <n v="80838"/>
    <n v="898831"/>
    <n v="37"/>
    <n v="62"/>
    <n v="13.9"/>
  </r>
  <r>
    <x v="9"/>
    <x v="9"/>
    <d v="2023-01-26T00:00:00"/>
    <s v="NA"/>
    <n v="0"/>
    <n v="89"/>
    <s v="81+"/>
    <x v="1"/>
    <x v="7"/>
    <x v="5"/>
    <x v="3"/>
    <n v="1"/>
    <n v="1"/>
    <n v="6.1"/>
    <x v="15"/>
    <n v="4"/>
    <n v="3"/>
    <n v="935344"/>
    <n v="75125"/>
    <n v="860219"/>
    <n v="30"/>
    <n v="60"/>
    <n v="14.2"/>
  </r>
  <r>
    <x v="9"/>
    <x v="9"/>
    <d v="2024-09-20T00:00:00"/>
    <s v="NA"/>
    <n v="0"/>
    <n v="25"/>
    <s v="21-40"/>
    <x v="1"/>
    <x v="3"/>
    <x v="2"/>
    <x v="1"/>
    <n v="1"/>
    <n v="1"/>
    <n v="3.1"/>
    <x v="2"/>
    <n v="4"/>
    <n v="5"/>
    <n v="948364"/>
    <n v="54865"/>
    <n v="893499"/>
    <n v="32"/>
    <n v="59"/>
    <n v="14.9"/>
  </r>
  <r>
    <x v="9"/>
    <x v="9"/>
    <d v="2022-12-28T00:00:00"/>
    <s v="NA"/>
    <n v="0"/>
    <n v="73"/>
    <s v="61-80"/>
    <x v="0"/>
    <x v="4"/>
    <x v="3"/>
    <x v="4"/>
    <n v="1"/>
    <n v="1"/>
    <n v="1.8"/>
    <x v="19"/>
    <n v="3"/>
    <n v="7"/>
    <n v="952324"/>
    <n v="133173"/>
    <n v="819151"/>
    <n v="39"/>
    <n v="66"/>
    <n v="8.1"/>
  </r>
  <r>
    <x v="9"/>
    <x v="9"/>
    <d v="2022-03-10T00:00:00"/>
    <s v="NA"/>
    <n v="0"/>
    <n v="34"/>
    <s v="21-40"/>
    <x v="1"/>
    <x v="13"/>
    <x v="10"/>
    <x v="3"/>
    <n v="1"/>
    <n v="1"/>
    <n v="3.9"/>
    <x v="12"/>
    <n v="6"/>
    <n v="7"/>
    <n v="906663"/>
    <n v="39350"/>
    <n v="867313"/>
    <n v="39"/>
    <n v="62"/>
    <n v="14.5"/>
  </r>
  <r>
    <x v="9"/>
    <x v="9"/>
    <d v="2022-05-02T00:00:00"/>
    <s v="NA"/>
    <n v="0"/>
    <n v="36"/>
    <s v="21-40"/>
    <x v="0"/>
    <x v="10"/>
    <x v="8"/>
    <x v="2"/>
    <n v="1"/>
    <n v="1"/>
    <n v="4.3"/>
    <x v="28"/>
    <n v="7"/>
    <n v="4"/>
    <n v="908238"/>
    <n v="81932"/>
    <n v="826306"/>
    <n v="36"/>
    <n v="61"/>
    <n v="9.5"/>
  </r>
  <r>
    <x v="9"/>
    <x v="9"/>
    <d v="2021-05-14T00:00:00"/>
    <s v="NA"/>
    <n v="0"/>
    <n v="37"/>
    <s v="21-40"/>
    <x v="1"/>
    <x v="6"/>
    <x v="4"/>
    <x v="0"/>
    <n v="1"/>
    <n v="1"/>
    <n v="4.2"/>
    <x v="29"/>
    <n v="7"/>
    <n v="5"/>
    <n v="923394"/>
    <n v="102081"/>
    <n v="821313"/>
    <n v="36"/>
    <n v="63"/>
    <n v="36.4"/>
  </r>
  <r>
    <x v="9"/>
    <x v="9"/>
    <d v="2021-12-07T00:00:00"/>
    <s v="NA"/>
    <n v="0"/>
    <n v="77"/>
    <s v="61-80"/>
    <x v="0"/>
    <x v="14"/>
    <x v="11"/>
    <x v="0"/>
    <n v="1"/>
    <n v="1"/>
    <n v="2.6"/>
    <x v="5"/>
    <n v="5"/>
    <n v="4"/>
    <n v="956776"/>
    <n v="84100"/>
    <n v="872676"/>
    <n v="30"/>
    <n v="64"/>
    <n v="5.5"/>
  </r>
  <r>
    <x v="8"/>
    <x v="8"/>
    <d v="2022-01-07T00:00:00"/>
    <s v="NA"/>
    <n v="0"/>
    <n v="87"/>
    <s v="81+"/>
    <x v="1"/>
    <x v="2"/>
    <x v="1"/>
    <x v="3"/>
    <n v="1"/>
    <n v="1"/>
    <n v="4.5999999999999996"/>
    <x v="11"/>
    <n v="4"/>
    <n v="3"/>
    <n v="748403"/>
    <n v="198042"/>
    <n v="550361"/>
    <n v="43"/>
    <n v="56"/>
    <n v="14.3"/>
  </r>
  <r>
    <x v="9"/>
    <x v="9"/>
    <d v="2021-09-17T00:00:00"/>
    <s v="NA"/>
    <n v="0"/>
    <n v="31"/>
    <s v="21-40"/>
    <x v="0"/>
    <x v="7"/>
    <x v="5"/>
    <x v="2"/>
    <n v="1"/>
    <n v="1"/>
    <n v="2.8"/>
    <x v="1"/>
    <n v="7"/>
    <n v="7"/>
    <n v="937726"/>
    <n v="101507"/>
    <n v="836219"/>
    <n v="32"/>
    <n v="65"/>
    <n v="36.700000000000003"/>
  </r>
  <r>
    <x v="9"/>
    <x v="9"/>
    <d v="2022-10-03T00:00:00"/>
    <s v="NA"/>
    <n v="0"/>
    <n v="33"/>
    <s v="21-40"/>
    <x v="0"/>
    <x v="12"/>
    <x v="9"/>
    <x v="0"/>
    <n v="1"/>
    <n v="1"/>
    <n v="2.9"/>
    <x v="20"/>
    <n v="6"/>
    <n v="3"/>
    <n v="929229"/>
    <n v="35323"/>
    <n v="893906"/>
    <n v="31"/>
    <n v="64"/>
    <n v="8.9"/>
  </r>
  <r>
    <x v="8"/>
    <x v="8"/>
    <d v="2024-12-23T00:00:00"/>
    <s v="NA"/>
    <n v="0"/>
    <n v="27"/>
    <s v="21-40"/>
    <x v="0"/>
    <x v="2"/>
    <x v="1"/>
    <x v="1"/>
    <n v="1"/>
    <n v="1"/>
    <n v="3.3"/>
    <x v="4"/>
    <n v="5"/>
    <n v="7"/>
    <n v="852988"/>
    <n v="294523"/>
    <n v="558465"/>
    <n v="46"/>
    <n v="62"/>
    <n v="8.6"/>
  </r>
  <r>
    <x v="9"/>
    <x v="9"/>
    <d v="2024-05-04T00:00:00"/>
    <s v="NA"/>
    <n v="0"/>
    <n v="46"/>
    <s v="41-60"/>
    <x v="0"/>
    <x v="5"/>
    <x v="0"/>
    <x v="2"/>
    <n v="1"/>
    <n v="1"/>
    <n v="2.1"/>
    <x v="8"/>
    <n v="7"/>
    <n v="3"/>
    <n v="919172"/>
    <n v="48891"/>
    <n v="870281"/>
    <n v="39"/>
    <n v="55"/>
    <n v="5"/>
  </r>
  <r>
    <x v="8"/>
    <x v="8"/>
    <d v="2023-12-31T00:00:00"/>
    <s v="NA"/>
    <n v="0"/>
    <n v="49"/>
    <s v="41-60"/>
    <x v="1"/>
    <x v="10"/>
    <x v="8"/>
    <x v="3"/>
    <n v="1"/>
    <n v="1"/>
    <n v="6.7"/>
    <x v="9"/>
    <n v="7"/>
    <n v="6"/>
    <n v="854781"/>
    <n v="299987"/>
    <n v="554794"/>
    <n v="46"/>
    <n v="65"/>
    <n v="10.3"/>
  </r>
  <r>
    <x v="9"/>
    <x v="9"/>
    <d v="2022-09-23T00:00:00"/>
    <s v="NA"/>
    <n v="0"/>
    <n v="35"/>
    <s v="21-40"/>
    <x v="0"/>
    <x v="9"/>
    <x v="7"/>
    <x v="3"/>
    <n v="1"/>
    <n v="1"/>
    <n v="6.4"/>
    <x v="24"/>
    <n v="3"/>
    <n v="5"/>
    <n v="926476"/>
    <n v="96701"/>
    <n v="829775"/>
    <n v="39"/>
    <n v="57"/>
    <n v="13.6"/>
  </r>
  <r>
    <x v="8"/>
    <x v="8"/>
    <d v="2024-11-11T00:00:00"/>
    <s v="NA"/>
    <n v="0"/>
    <n v="22"/>
    <s v="21-40"/>
    <x v="1"/>
    <x v="12"/>
    <x v="9"/>
    <x v="4"/>
    <n v="1"/>
    <n v="1"/>
    <n v="1.5"/>
    <x v="16"/>
    <n v="7"/>
    <n v="5"/>
    <n v="607433"/>
    <n v="71259"/>
    <n v="536174"/>
    <n v="41"/>
    <n v="57"/>
    <n v="13.9"/>
  </r>
  <r>
    <x v="9"/>
    <x v="9"/>
    <d v="2021-08-26T00:00:00"/>
    <s v="NA"/>
    <n v="0"/>
    <n v="66"/>
    <s v="61-80"/>
    <x v="0"/>
    <x v="9"/>
    <x v="7"/>
    <x v="2"/>
    <n v="1"/>
    <n v="1"/>
    <n v="2.1"/>
    <x v="8"/>
    <n v="6"/>
    <n v="7"/>
    <n v="944921"/>
    <n v="51247"/>
    <n v="893674"/>
    <n v="31"/>
    <n v="56"/>
    <n v="9.4"/>
  </r>
  <r>
    <x v="8"/>
    <x v="8"/>
    <d v="2022-11-23T00:00:00"/>
    <s v="NA"/>
    <n v="0"/>
    <n v="31"/>
    <s v="21-40"/>
    <x v="0"/>
    <x v="0"/>
    <x v="0"/>
    <x v="2"/>
    <n v="1"/>
    <n v="1"/>
    <n v="3.3"/>
    <x v="2"/>
    <n v="3"/>
    <n v="6"/>
    <n v="630678"/>
    <n v="87310"/>
    <n v="543368"/>
    <n v="60"/>
    <n v="66"/>
    <n v="14.1"/>
  </r>
  <r>
    <x v="9"/>
    <x v="9"/>
    <d v="2022-02-14T00:00:00"/>
    <s v="NA"/>
    <n v="0"/>
    <n v="45"/>
    <s v="41-60"/>
    <x v="1"/>
    <x v="4"/>
    <x v="3"/>
    <x v="1"/>
    <n v="1"/>
    <n v="1"/>
    <n v="4.9000000000000004"/>
    <x v="1"/>
    <n v="3"/>
    <n v="6"/>
    <n v="936516"/>
    <n v="82840"/>
    <n v="853676"/>
    <n v="40"/>
    <n v="58"/>
    <n v="7.3"/>
  </r>
  <r>
    <x v="9"/>
    <x v="9"/>
    <d v="2021-08-11T00:00:00"/>
    <s v="NA"/>
    <n v="0"/>
    <n v="39"/>
    <s v="21-40"/>
    <x v="0"/>
    <x v="7"/>
    <x v="5"/>
    <x v="2"/>
    <n v="1"/>
    <n v="1"/>
    <n v="6.7"/>
    <x v="26"/>
    <n v="6"/>
    <n v="5"/>
    <n v="926555"/>
    <n v="122925"/>
    <n v="803630"/>
    <n v="34"/>
    <n v="59"/>
    <n v="10.7"/>
  </r>
  <r>
    <x v="8"/>
    <x v="8"/>
    <d v="2021-12-24T00:00:00"/>
    <s v="NA"/>
    <n v="0"/>
    <n v="78"/>
    <s v="61-80"/>
    <x v="1"/>
    <x v="10"/>
    <x v="8"/>
    <x v="1"/>
    <n v="1"/>
    <n v="1"/>
    <n v="6.1"/>
    <x v="9"/>
    <n v="5"/>
    <n v="4"/>
    <n v="840250"/>
    <n v="298816"/>
    <n v="541434"/>
    <n v="54"/>
    <n v="56"/>
    <n v="13.8"/>
  </r>
  <r>
    <x v="9"/>
    <x v="9"/>
    <d v="2021-01-26T00:00:00"/>
    <s v="NA"/>
    <n v="0"/>
    <n v="56"/>
    <s v="41-60"/>
    <x v="1"/>
    <x v="12"/>
    <x v="9"/>
    <x v="4"/>
    <n v="1"/>
    <n v="1"/>
    <n v="1.2"/>
    <x v="20"/>
    <n v="6"/>
    <n v="5"/>
    <n v="995109"/>
    <n v="154306"/>
    <n v="840803"/>
    <n v="36"/>
    <n v="56"/>
    <n v="9.4"/>
  </r>
  <r>
    <x v="9"/>
    <x v="9"/>
    <d v="2021-10-17T00:00:00"/>
    <s v="NA"/>
    <n v="0"/>
    <n v="79"/>
    <s v="61-80"/>
    <x v="1"/>
    <x v="6"/>
    <x v="4"/>
    <x v="0"/>
    <n v="1"/>
    <n v="1"/>
    <n v="1.9"/>
    <x v="11"/>
    <n v="5"/>
    <n v="6"/>
    <n v="958759"/>
    <n v="73004"/>
    <n v="885755"/>
    <n v="34"/>
    <n v="55"/>
    <n v="12.1"/>
  </r>
  <r>
    <x v="9"/>
    <x v="9"/>
    <d v="2022-08-17T00:00:00"/>
    <s v="NA"/>
    <n v="0"/>
    <n v="55"/>
    <s v="41-60"/>
    <x v="0"/>
    <x v="0"/>
    <x v="0"/>
    <x v="1"/>
    <n v="1"/>
    <n v="1"/>
    <n v="1.3"/>
    <x v="4"/>
    <n v="5"/>
    <n v="3"/>
    <n v="961238"/>
    <n v="149088"/>
    <n v="812150"/>
    <n v="36"/>
    <n v="66"/>
    <n v="8"/>
  </r>
  <r>
    <x v="9"/>
    <x v="9"/>
    <d v="2023-07-24T00:00:00"/>
    <s v="NA"/>
    <n v="0"/>
    <n v="74"/>
    <s v="61-80"/>
    <x v="0"/>
    <x v="1"/>
    <x v="1"/>
    <x v="0"/>
    <n v="1"/>
    <n v="1"/>
    <n v="6.3"/>
    <x v="19"/>
    <n v="7"/>
    <n v="5"/>
    <n v="938286"/>
    <n v="104661"/>
    <n v="833625"/>
    <n v="36"/>
    <n v="64"/>
    <n v="10.7"/>
  </r>
  <r>
    <x v="9"/>
    <x v="9"/>
    <d v="2024-03-17T00:00:00"/>
    <s v="NA"/>
    <n v="0"/>
    <n v="41"/>
    <s v="41-60"/>
    <x v="1"/>
    <x v="3"/>
    <x v="2"/>
    <x v="4"/>
    <n v="1"/>
    <n v="1"/>
    <n v="1.8"/>
    <x v="17"/>
    <n v="5"/>
    <n v="4"/>
    <n v="971490"/>
    <n v="168343"/>
    <n v="803147"/>
    <n v="32"/>
    <n v="58"/>
    <n v="9.4"/>
  </r>
  <r>
    <x v="9"/>
    <x v="9"/>
    <d v="2023-03-03T00:00:00"/>
    <s v="NA"/>
    <n v="0"/>
    <n v="68"/>
    <s v="61-80"/>
    <x v="1"/>
    <x v="12"/>
    <x v="9"/>
    <x v="4"/>
    <n v="1"/>
    <n v="1"/>
    <n v="5.3"/>
    <x v="27"/>
    <n v="4"/>
    <n v="3"/>
    <n v="994258"/>
    <n v="184922"/>
    <n v="809336"/>
    <n v="30"/>
    <n v="54"/>
    <n v="10"/>
  </r>
  <r>
    <x v="9"/>
    <x v="9"/>
    <d v="2024-09-26T00:00:00"/>
    <s v="NA"/>
    <n v="0"/>
    <n v="70"/>
    <s v="61-80"/>
    <x v="1"/>
    <x v="3"/>
    <x v="2"/>
    <x v="2"/>
    <n v="1"/>
    <n v="1"/>
    <n v="5.8"/>
    <x v="28"/>
    <n v="4"/>
    <n v="7"/>
    <n v="963102"/>
    <n v="101270"/>
    <n v="861832"/>
    <n v="36"/>
    <n v="64"/>
    <n v="14.7"/>
  </r>
  <r>
    <x v="9"/>
    <x v="9"/>
    <d v="2021-05-16T00:00:00"/>
    <s v="NA"/>
    <n v="0"/>
    <n v="30"/>
    <s v="21-40"/>
    <x v="0"/>
    <x v="1"/>
    <x v="1"/>
    <x v="0"/>
    <n v="1"/>
    <n v="1"/>
    <n v="3.4"/>
    <x v="10"/>
    <n v="4"/>
    <n v="7"/>
    <n v="901867"/>
    <n v="78789"/>
    <n v="823078"/>
    <n v="35"/>
    <n v="62"/>
    <n v="13.3"/>
  </r>
  <r>
    <x v="9"/>
    <x v="9"/>
    <d v="2022-10-13T00:00:00"/>
    <s v="NA"/>
    <n v="0"/>
    <n v="82"/>
    <s v="81+"/>
    <x v="1"/>
    <x v="10"/>
    <x v="8"/>
    <x v="4"/>
    <n v="1"/>
    <n v="1"/>
    <n v="2.6"/>
    <x v="10"/>
    <n v="4"/>
    <n v="3"/>
    <n v="940789"/>
    <n v="68570"/>
    <n v="872219"/>
    <n v="34"/>
    <n v="65"/>
    <n v="36.299999999999997"/>
  </r>
  <r>
    <x v="9"/>
    <x v="9"/>
    <d v="2024-09-03T00:00:00"/>
    <s v="NA"/>
    <n v="0"/>
    <n v="76"/>
    <s v="61-80"/>
    <x v="0"/>
    <x v="5"/>
    <x v="0"/>
    <x v="4"/>
    <n v="1"/>
    <n v="1"/>
    <n v="5.6"/>
    <x v="6"/>
    <n v="5"/>
    <n v="5"/>
    <n v="936771"/>
    <n v="73755"/>
    <n v="863016"/>
    <n v="36"/>
    <n v="66"/>
    <n v="14.7"/>
  </r>
  <r>
    <x v="9"/>
    <x v="9"/>
    <d v="2022-12-30T00:00:00"/>
    <s v="NA"/>
    <n v="0"/>
    <n v="60"/>
    <s v="41-60"/>
    <x v="0"/>
    <x v="4"/>
    <x v="3"/>
    <x v="1"/>
    <n v="1"/>
    <n v="1"/>
    <n v="3.4"/>
    <x v="18"/>
    <n v="4"/>
    <n v="6"/>
    <n v="913488"/>
    <n v="44629"/>
    <n v="868859"/>
    <n v="39"/>
    <n v="55"/>
    <n v="9.5"/>
  </r>
  <r>
    <x v="9"/>
    <x v="9"/>
    <d v="2023-08-16T00:00:00"/>
    <s v="NA"/>
    <n v="0"/>
    <n v="78"/>
    <s v="61-80"/>
    <x v="1"/>
    <x v="2"/>
    <x v="1"/>
    <x v="0"/>
    <n v="1"/>
    <n v="1"/>
    <n v="5.6"/>
    <x v="8"/>
    <n v="3"/>
    <n v="3"/>
    <n v="976203"/>
    <n v="168442"/>
    <n v="807761"/>
    <n v="34"/>
    <n v="57"/>
    <n v="10.6"/>
  </r>
  <r>
    <x v="9"/>
    <x v="9"/>
    <d v="2024-02-09T00:00:00"/>
    <s v="NA"/>
    <n v="0"/>
    <n v="46"/>
    <s v="41-60"/>
    <x v="0"/>
    <x v="2"/>
    <x v="1"/>
    <x v="1"/>
    <n v="1"/>
    <n v="1"/>
    <n v="2.4"/>
    <x v="25"/>
    <n v="6"/>
    <n v="3"/>
    <n v="927951"/>
    <n v="66098"/>
    <n v="861853"/>
    <n v="38"/>
    <n v="60"/>
    <n v="5.4"/>
  </r>
  <r>
    <x v="9"/>
    <x v="9"/>
    <d v="2024-10-25T00:00:00"/>
    <s v="NA"/>
    <n v="0"/>
    <n v="38"/>
    <s v="21-40"/>
    <x v="1"/>
    <x v="4"/>
    <x v="3"/>
    <x v="3"/>
    <n v="1"/>
    <n v="1"/>
    <n v="3.2"/>
    <x v="11"/>
    <n v="6"/>
    <n v="7"/>
    <n v="975166"/>
    <n v="128445"/>
    <n v="846721"/>
    <n v="37"/>
    <n v="55"/>
    <n v="13"/>
  </r>
  <r>
    <x v="9"/>
    <x v="9"/>
    <d v="2021-10-29T00:00:00"/>
    <s v="NA"/>
    <n v="0"/>
    <n v="68"/>
    <s v="61-80"/>
    <x v="1"/>
    <x v="2"/>
    <x v="1"/>
    <x v="0"/>
    <n v="1"/>
    <n v="1"/>
    <n v="3.9"/>
    <x v="7"/>
    <n v="3"/>
    <n v="5"/>
    <n v="996737"/>
    <n v="97297"/>
    <n v="899440"/>
    <n v="33"/>
    <n v="58"/>
    <n v="10.199999999999999"/>
  </r>
  <r>
    <x v="9"/>
    <x v="9"/>
    <d v="2023-09-25T00:00:00"/>
    <s v="NA"/>
    <n v="0"/>
    <n v="37"/>
    <s v="21-40"/>
    <x v="1"/>
    <x v="11"/>
    <x v="8"/>
    <x v="4"/>
    <n v="1"/>
    <n v="1"/>
    <n v="2.5"/>
    <x v="23"/>
    <n v="5"/>
    <n v="7"/>
    <n v="957851"/>
    <n v="148763"/>
    <n v="809088"/>
    <n v="32"/>
    <n v="55"/>
    <n v="7.5"/>
  </r>
  <r>
    <x v="9"/>
    <x v="9"/>
    <d v="2021-10-29T00:00:00"/>
    <s v="NA"/>
    <n v="0"/>
    <n v="73"/>
    <s v="61-80"/>
    <x v="0"/>
    <x v="0"/>
    <x v="0"/>
    <x v="1"/>
    <n v="1"/>
    <n v="1"/>
    <n v="4.8"/>
    <x v="13"/>
    <n v="7"/>
    <n v="3"/>
    <n v="914053"/>
    <n v="63521"/>
    <n v="850532"/>
    <n v="30"/>
    <n v="66"/>
    <n v="5.2"/>
  </r>
  <r>
    <x v="9"/>
    <x v="9"/>
    <d v="2021-04-13T00:00:00"/>
    <s v="NA"/>
    <n v="0"/>
    <n v="64"/>
    <s v="61-80"/>
    <x v="0"/>
    <x v="0"/>
    <x v="0"/>
    <x v="2"/>
    <n v="1"/>
    <n v="1"/>
    <n v="3.9"/>
    <x v="7"/>
    <n v="4"/>
    <n v="4"/>
    <n v="947960"/>
    <n v="82798"/>
    <n v="865162"/>
    <n v="30"/>
    <n v="65"/>
    <n v="14.7"/>
  </r>
  <r>
    <x v="9"/>
    <x v="9"/>
    <d v="2023-10-09T00:00:00"/>
    <s v="NA"/>
    <n v="0"/>
    <n v="62"/>
    <s v="61-80"/>
    <x v="1"/>
    <x v="3"/>
    <x v="2"/>
    <x v="1"/>
    <n v="1"/>
    <n v="1"/>
    <n v="3.2"/>
    <x v="26"/>
    <n v="5"/>
    <n v="4"/>
    <n v="948662"/>
    <n v="119782"/>
    <n v="828880"/>
    <n v="37"/>
    <n v="61"/>
    <n v="10.1"/>
  </r>
  <r>
    <x v="9"/>
    <x v="9"/>
    <d v="2024-11-16T00:00:00"/>
    <s v="NA"/>
    <n v="0"/>
    <n v="39"/>
    <s v="21-40"/>
    <x v="1"/>
    <x v="10"/>
    <x v="8"/>
    <x v="3"/>
    <n v="1"/>
    <n v="1"/>
    <n v="6.1"/>
    <x v="12"/>
    <n v="6"/>
    <n v="4"/>
    <n v="989659"/>
    <n v="95918"/>
    <n v="893741"/>
    <n v="38"/>
    <n v="58"/>
    <n v="6.3"/>
  </r>
  <r>
    <x v="9"/>
    <x v="9"/>
    <d v="2021-10-02T00:00:00"/>
    <s v="NA"/>
    <n v="0"/>
    <n v="79"/>
    <s v="61-80"/>
    <x v="0"/>
    <x v="0"/>
    <x v="0"/>
    <x v="4"/>
    <n v="1"/>
    <n v="1"/>
    <n v="5.9"/>
    <x v="8"/>
    <n v="3"/>
    <n v="5"/>
    <n v="904236"/>
    <n v="82663"/>
    <n v="821573"/>
    <n v="34"/>
    <n v="55"/>
    <n v="7.2"/>
  </r>
  <r>
    <x v="9"/>
    <x v="9"/>
    <d v="2024-03-10T00:00:00"/>
    <s v="NA"/>
    <n v="0"/>
    <n v="53"/>
    <s v="41-60"/>
    <x v="1"/>
    <x v="7"/>
    <x v="5"/>
    <x v="0"/>
    <n v="1"/>
    <n v="1"/>
    <n v="3"/>
    <x v="23"/>
    <n v="7"/>
    <n v="3"/>
    <n v="918757"/>
    <n v="34990"/>
    <n v="883767"/>
    <n v="39"/>
    <n v="56"/>
    <n v="10.9"/>
  </r>
  <r>
    <x v="9"/>
    <x v="9"/>
    <d v="2022-03-23T00:00:00"/>
    <s v="NA"/>
    <n v="0"/>
    <n v="23"/>
    <s v="21-40"/>
    <x v="1"/>
    <x v="6"/>
    <x v="4"/>
    <x v="1"/>
    <n v="1"/>
    <n v="1"/>
    <n v="5"/>
    <x v="5"/>
    <n v="5"/>
    <n v="5"/>
    <n v="925678"/>
    <n v="72475"/>
    <n v="853203"/>
    <n v="37"/>
    <n v="54"/>
    <n v="36.1"/>
  </r>
  <r>
    <x v="9"/>
    <x v="9"/>
    <d v="2024-04-28T00:00:00"/>
    <s v="NA"/>
    <n v="0"/>
    <n v="21"/>
    <s v="21-40"/>
    <x v="0"/>
    <x v="0"/>
    <x v="0"/>
    <x v="4"/>
    <n v="1"/>
    <n v="1"/>
    <n v="4.3"/>
    <x v="14"/>
    <n v="7"/>
    <n v="5"/>
    <n v="947586"/>
    <n v="127346"/>
    <n v="820240"/>
    <n v="31"/>
    <n v="63"/>
    <n v="7.1"/>
  </r>
  <r>
    <x v="9"/>
    <x v="9"/>
    <d v="2023-08-06T00:00:00"/>
    <s v="NA"/>
    <n v="0"/>
    <n v="39"/>
    <s v="21-40"/>
    <x v="0"/>
    <x v="14"/>
    <x v="11"/>
    <x v="3"/>
    <n v="1"/>
    <n v="1"/>
    <n v="1.2"/>
    <x v="30"/>
    <n v="3"/>
    <n v="5"/>
    <n v="999322"/>
    <n v="123883"/>
    <n v="875439"/>
    <n v="33"/>
    <n v="66"/>
    <n v="13"/>
  </r>
  <r>
    <x v="9"/>
    <x v="9"/>
    <d v="2022-05-24T00:00:00"/>
    <s v="NA"/>
    <n v="0"/>
    <n v="40"/>
    <s v="21-40"/>
    <x v="0"/>
    <x v="7"/>
    <x v="5"/>
    <x v="3"/>
    <n v="1"/>
    <n v="1"/>
    <n v="6.7"/>
    <x v="2"/>
    <n v="5"/>
    <n v="7"/>
    <n v="930500"/>
    <n v="113267"/>
    <n v="817233"/>
    <n v="31"/>
    <n v="61"/>
    <n v="13.7"/>
  </r>
  <r>
    <x v="9"/>
    <x v="9"/>
    <d v="2024-04-10T00:00:00"/>
    <s v="NA"/>
    <n v="0"/>
    <n v="70"/>
    <s v="61-80"/>
    <x v="1"/>
    <x v="7"/>
    <x v="5"/>
    <x v="4"/>
    <n v="1"/>
    <n v="1"/>
    <n v="6.5"/>
    <x v="22"/>
    <n v="4"/>
    <n v="5"/>
    <n v="933184"/>
    <n v="41952"/>
    <n v="891232"/>
    <n v="31"/>
    <n v="64"/>
    <n v="10.5"/>
  </r>
  <r>
    <x v="9"/>
    <x v="9"/>
    <d v="2024-06-10T00:00:00"/>
    <s v="NA"/>
    <n v="0"/>
    <n v="66"/>
    <s v="61-80"/>
    <x v="1"/>
    <x v="3"/>
    <x v="2"/>
    <x v="3"/>
    <n v="1"/>
    <n v="1"/>
    <n v="3.4"/>
    <x v="19"/>
    <n v="6"/>
    <n v="4"/>
    <n v="983196"/>
    <n v="153211"/>
    <n v="829985"/>
    <n v="34"/>
    <n v="58"/>
    <n v="9.6999999999999993"/>
  </r>
  <r>
    <x v="9"/>
    <x v="9"/>
    <d v="2023-03-10T00:00:00"/>
    <s v="NA"/>
    <n v="0"/>
    <n v="39"/>
    <s v="21-40"/>
    <x v="0"/>
    <x v="13"/>
    <x v="10"/>
    <x v="4"/>
    <n v="1"/>
    <n v="1"/>
    <n v="2.2999999999999998"/>
    <x v="10"/>
    <n v="7"/>
    <n v="3"/>
    <n v="904543"/>
    <n v="63037"/>
    <n v="841506"/>
    <n v="31"/>
    <n v="61"/>
    <n v="7.9"/>
  </r>
  <r>
    <x v="9"/>
    <x v="9"/>
    <d v="2024-03-04T00:00:00"/>
    <s v="NA"/>
    <n v="0"/>
    <n v="67"/>
    <s v="61-80"/>
    <x v="1"/>
    <x v="8"/>
    <x v="6"/>
    <x v="4"/>
    <n v="1"/>
    <n v="1"/>
    <n v="4.3"/>
    <x v="7"/>
    <n v="7"/>
    <n v="6"/>
    <n v="961351"/>
    <n v="134657"/>
    <n v="826694"/>
    <n v="40"/>
    <n v="54"/>
    <n v="9.5"/>
  </r>
  <r>
    <x v="9"/>
    <x v="9"/>
    <d v="2022-06-25T00:00:00"/>
    <s v="NA"/>
    <n v="0"/>
    <n v="83"/>
    <s v="81+"/>
    <x v="1"/>
    <x v="4"/>
    <x v="3"/>
    <x v="1"/>
    <n v="1"/>
    <n v="1"/>
    <n v="4.4000000000000004"/>
    <x v="19"/>
    <n v="4"/>
    <n v="7"/>
    <n v="936537"/>
    <n v="90834"/>
    <n v="845703"/>
    <n v="38"/>
    <n v="58"/>
    <n v="9.8000000000000007"/>
  </r>
  <r>
    <x v="9"/>
    <x v="9"/>
    <d v="2024-12-01T00:00:00"/>
    <s v="NA"/>
    <n v="0"/>
    <n v="73"/>
    <s v="61-80"/>
    <x v="1"/>
    <x v="1"/>
    <x v="1"/>
    <x v="4"/>
    <n v="1"/>
    <n v="1"/>
    <n v="5"/>
    <x v="6"/>
    <n v="6"/>
    <n v="6"/>
    <n v="933433"/>
    <n v="114044"/>
    <n v="819389"/>
    <n v="40"/>
    <n v="64"/>
    <n v="13.1"/>
  </r>
  <r>
    <x v="9"/>
    <x v="9"/>
    <d v="2021-07-16T00:00:00"/>
    <s v="NA"/>
    <n v="0"/>
    <n v="77"/>
    <s v="61-80"/>
    <x v="0"/>
    <x v="12"/>
    <x v="9"/>
    <x v="4"/>
    <n v="1"/>
    <n v="1"/>
    <n v="3.2"/>
    <x v="12"/>
    <n v="6"/>
    <n v="5"/>
    <n v="954873"/>
    <n v="89540"/>
    <n v="865333"/>
    <n v="30"/>
    <n v="58"/>
    <n v="10.7"/>
  </r>
  <r>
    <x v="9"/>
    <x v="9"/>
    <d v="2022-03-22T00:00:00"/>
    <s v="NA"/>
    <n v="0"/>
    <n v="39"/>
    <s v="21-40"/>
    <x v="1"/>
    <x v="7"/>
    <x v="5"/>
    <x v="4"/>
    <n v="1"/>
    <n v="1"/>
    <n v="4.2"/>
    <x v="22"/>
    <n v="4"/>
    <n v="6"/>
    <n v="928537"/>
    <n v="95141"/>
    <n v="833396"/>
    <n v="32"/>
    <n v="65"/>
    <n v="36.200000000000003"/>
  </r>
  <r>
    <x v="9"/>
    <x v="9"/>
    <d v="2023-10-31T00:00:00"/>
    <s v="NA"/>
    <n v="0"/>
    <n v="41"/>
    <s v="41-60"/>
    <x v="1"/>
    <x v="6"/>
    <x v="4"/>
    <x v="2"/>
    <n v="1"/>
    <n v="1"/>
    <n v="5.8"/>
    <x v="2"/>
    <n v="4"/>
    <n v="5"/>
    <n v="917955"/>
    <n v="70667"/>
    <n v="847288"/>
    <n v="31"/>
    <n v="65"/>
    <n v="7.1"/>
  </r>
  <r>
    <x v="9"/>
    <x v="9"/>
    <d v="2022-09-02T00:00:00"/>
    <s v="NA"/>
    <n v="0"/>
    <n v="49"/>
    <s v="41-60"/>
    <x v="1"/>
    <x v="10"/>
    <x v="8"/>
    <x v="1"/>
    <n v="1"/>
    <n v="1"/>
    <n v="6.8"/>
    <x v="30"/>
    <n v="4"/>
    <n v="4"/>
    <n v="933473"/>
    <n v="35227"/>
    <n v="898246"/>
    <n v="30"/>
    <n v="65"/>
    <n v="36.200000000000003"/>
  </r>
  <r>
    <x v="9"/>
    <x v="9"/>
    <d v="2022-11-20T00:00:00"/>
    <s v="NA"/>
    <n v="0"/>
    <n v="65"/>
    <s v="61-80"/>
    <x v="0"/>
    <x v="12"/>
    <x v="9"/>
    <x v="1"/>
    <n v="1"/>
    <n v="1"/>
    <n v="6.7"/>
    <x v="18"/>
    <n v="6"/>
    <n v="7"/>
    <n v="913970"/>
    <n v="86484"/>
    <n v="827486"/>
    <n v="40"/>
    <n v="61"/>
    <n v="14.9"/>
  </r>
  <r>
    <x v="9"/>
    <x v="9"/>
    <d v="2024-06-05T00:00:00"/>
    <s v="NA"/>
    <n v="0"/>
    <n v="41"/>
    <s v="41-60"/>
    <x v="0"/>
    <x v="0"/>
    <x v="0"/>
    <x v="0"/>
    <n v="1"/>
    <n v="1"/>
    <n v="2"/>
    <x v="23"/>
    <n v="6"/>
    <n v="4"/>
    <n v="963432"/>
    <n v="69687"/>
    <n v="893745"/>
    <n v="31"/>
    <n v="61"/>
    <n v="12.6"/>
  </r>
  <r>
    <x v="9"/>
    <x v="9"/>
    <d v="2024-05-31T00:00:00"/>
    <s v="NA"/>
    <n v="0"/>
    <n v="76"/>
    <s v="61-80"/>
    <x v="1"/>
    <x v="3"/>
    <x v="2"/>
    <x v="0"/>
    <n v="1"/>
    <n v="1"/>
    <n v="3.4"/>
    <x v="15"/>
    <n v="3"/>
    <n v="3"/>
    <n v="948338"/>
    <n v="137352"/>
    <n v="810986"/>
    <n v="33"/>
    <n v="62"/>
    <n v="13.4"/>
  </r>
  <r>
    <x v="9"/>
    <x v="9"/>
    <d v="2022-07-07T00:00:00"/>
    <s v="NA"/>
    <n v="0"/>
    <n v="90"/>
    <s v="81+"/>
    <x v="0"/>
    <x v="10"/>
    <x v="8"/>
    <x v="2"/>
    <n v="1"/>
    <n v="1"/>
    <n v="1.2"/>
    <x v="3"/>
    <n v="3"/>
    <n v="3"/>
    <n v="919826"/>
    <n v="67050"/>
    <n v="852776"/>
    <n v="32"/>
    <n v="65"/>
    <n v="13.4"/>
  </r>
  <r>
    <x v="9"/>
    <x v="9"/>
    <d v="2022-07-16T00:00:00"/>
    <s v="NA"/>
    <n v="0"/>
    <n v="24"/>
    <s v="21-40"/>
    <x v="1"/>
    <x v="4"/>
    <x v="3"/>
    <x v="0"/>
    <n v="1"/>
    <n v="1"/>
    <n v="1.5"/>
    <x v="20"/>
    <n v="4"/>
    <n v="4"/>
    <n v="933798"/>
    <n v="45757"/>
    <n v="888041"/>
    <n v="37"/>
    <n v="57"/>
    <n v="36.799999999999997"/>
  </r>
  <r>
    <x v="9"/>
    <x v="9"/>
    <d v="2023-01-04T00:00:00"/>
    <s v="NA"/>
    <n v="0"/>
    <n v="36"/>
    <s v="21-40"/>
    <x v="1"/>
    <x v="3"/>
    <x v="2"/>
    <x v="3"/>
    <n v="1"/>
    <n v="1"/>
    <n v="2.1"/>
    <x v="9"/>
    <n v="7"/>
    <n v="3"/>
    <n v="992747"/>
    <n v="147325"/>
    <n v="845422"/>
    <n v="40"/>
    <n v="58"/>
    <n v="5.4"/>
  </r>
  <r>
    <x v="9"/>
    <x v="9"/>
    <d v="2023-09-06T00:00:00"/>
    <s v="NA"/>
    <n v="0"/>
    <n v="78"/>
    <s v="61-80"/>
    <x v="0"/>
    <x v="1"/>
    <x v="1"/>
    <x v="2"/>
    <n v="1"/>
    <n v="1"/>
    <n v="1.3"/>
    <x v="13"/>
    <n v="7"/>
    <n v="4"/>
    <n v="970773"/>
    <n v="134265"/>
    <n v="836508"/>
    <n v="35"/>
    <n v="55"/>
    <n v="15"/>
  </r>
  <r>
    <x v="9"/>
    <x v="9"/>
    <d v="2023-05-30T00:00:00"/>
    <s v="NA"/>
    <n v="0"/>
    <n v="38"/>
    <s v="21-40"/>
    <x v="0"/>
    <x v="12"/>
    <x v="9"/>
    <x v="3"/>
    <n v="1"/>
    <n v="1"/>
    <n v="4.2"/>
    <x v="3"/>
    <n v="5"/>
    <n v="7"/>
    <n v="980955"/>
    <n v="146604"/>
    <n v="834351"/>
    <n v="33"/>
    <n v="54"/>
    <n v="14.5"/>
  </r>
  <r>
    <x v="9"/>
    <x v="9"/>
    <d v="2022-10-16T00:00:00"/>
    <s v="NA"/>
    <n v="0"/>
    <n v="29"/>
    <s v="21-40"/>
    <x v="0"/>
    <x v="0"/>
    <x v="0"/>
    <x v="2"/>
    <n v="1"/>
    <n v="1"/>
    <n v="4.2"/>
    <x v="4"/>
    <n v="3"/>
    <n v="3"/>
    <n v="952614"/>
    <n v="145238"/>
    <n v="807376"/>
    <n v="32"/>
    <n v="64"/>
    <n v="9.6999999999999993"/>
  </r>
  <r>
    <x v="9"/>
    <x v="9"/>
    <d v="2024-06-18T00:00:00"/>
    <s v="NA"/>
    <n v="0"/>
    <n v="75"/>
    <s v="61-80"/>
    <x v="0"/>
    <x v="0"/>
    <x v="0"/>
    <x v="2"/>
    <n v="1"/>
    <n v="1"/>
    <n v="3.4"/>
    <x v="26"/>
    <n v="6"/>
    <n v="6"/>
    <n v="923792"/>
    <n v="83406"/>
    <n v="840386"/>
    <n v="31"/>
    <n v="64"/>
    <n v="8"/>
  </r>
  <r>
    <x v="9"/>
    <x v="9"/>
    <d v="2021-10-01T00:00:00"/>
    <s v="NA"/>
    <n v="0"/>
    <n v="83"/>
    <s v="81+"/>
    <x v="1"/>
    <x v="12"/>
    <x v="9"/>
    <x v="0"/>
    <n v="1"/>
    <n v="1"/>
    <n v="2.6"/>
    <x v="28"/>
    <n v="4"/>
    <n v="6"/>
    <n v="953055"/>
    <n v="144959"/>
    <n v="808096"/>
    <n v="37"/>
    <n v="54"/>
    <n v="12.3"/>
  </r>
  <r>
    <x v="9"/>
    <x v="9"/>
    <d v="2023-11-24T00:00:00"/>
    <s v="NA"/>
    <n v="0"/>
    <n v="41"/>
    <s v="41-60"/>
    <x v="1"/>
    <x v="6"/>
    <x v="4"/>
    <x v="0"/>
    <n v="1"/>
    <n v="1"/>
    <n v="3.8"/>
    <x v="26"/>
    <n v="4"/>
    <n v="5"/>
    <n v="953630"/>
    <n v="92404"/>
    <n v="861226"/>
    <n v="35"/>
    <n v="57"/>
    <n v="14.5"/>
  </r>
  <r>
    <x v="9"/>
    <x v="9"/>
    <d v="2024-01-08T00:00:00"/>
    <s v="NA"/>
    <n v="0"/>
    <n v="78"/>
    <s v="61-80"/>
    <x v="1"/>
    <x v="9"/>
    <x v="7"/>
    <x v="4"/>
    <n v="1"/>
    <n v="1"/>
    <n v="1.8"/>
    <x v="23"/>
    <n v="7"/>
    <n v="5"/>
    <n v="988166"/>
    <n v="146721"/>
    <n v="841445"/>
    <n v="30"/>
    <n v="57"/>
    <n v="6.3"/>
  </r>
  <r>
    <x v="9"/>
    <x v="9"/>
    <d v="2024-12-20T00:00:00"/>
    <s v="NA"/>
    <n v="0"/>
    <n v="74"/>
    <s v="61-80"/>
    <x v="1"/>
    <x v="2"/>
    <x v="1"/>
    <x v="2"/>
    <n v="1"/>
    <n v="1"/>
    <n v="1.3"/>
    <x v="8"/>
    <n v="6"/>
    <n v="7"/>
    <n v="945335"/>
    <n v="46344"/>
    <n v="898991"/>
    <n v="33"/>
    <n v="62"/>
    <n v="9.4"/>
  </r>
  <r>
    <x v="9"/>
    <x v="9"/>
    <d v="2024-05-05T00:00:00"/>
    <s v="NA"/>
    <n v="0"/>
    <n v="88"/>
    <s v="81+"/>
    <x v="1"/>
    <x v="3"/>
    <x v="2"/>
    <x v="3"/>
    <n v="1"/>
    <n v="1"/>
    <n v="6.1"/>
    <x v="6"/>
    <n v="3"/>
    <n v="6"/>
    <n v="976429"/>
    <n v="130211"/>
    <n v="846218"/>
    <n v="35"/>
    <n v="58"/>
    <n v="14.4"/>
  </r>
  <r>
    <x v="9"/>
    <x v="9"/>
    <d v="2022-04-27T00:00:00"/>
    <s v="NA"/>
    <n v="0"/>
    <n v="43"/>
    <s v="41-60"/>
    <x v="0"/>
    <x v="9"/>
    <x v="7"/>
    <x v="4"/>
    <n v="1"/>
    <n v="1"/>
    <n v="6.7"/>
    <x v="2"/>
    <n v="7"/>
    <n v="6"/>
    <n v="995694"/>
    <n v="124650"/>
    <n v="871044"/>
    <n v="39"/>
    <n v="54"/>
    <n v="36.6"/>
  </r>
  <r>
    <x v="9"/>
    <x v="9"/>
    <d v="2021-02-15T00:00:00"/>
    <s v="NA"/>
    <n v="0"/>
    <n v="43"/>
    <s v="41-60"/>
    <x v="0"/>
    <x v="5"/>
    <x v="0"/>
    <x v="0"/>
    <n v="1"/>
    <n v="1"/>
    <n v="2.5"/>
    <x v="30"/>
    <n v="7"/>
    <n v="5"/>
    <n v="996959"/>
    <n v="105259"/>
    <n v="891700"/>
    <n v="39"/>
    <n v="65"/>
    <n v="5.3"/>
  </r>
  <r>
    <x v="9"/>
    <x v="9"/>
    <d v="2024-10-18T00:00:00"/>
    <s v="NA"/>
    <n v="0"/>
    <n v="56"/>
    <s v="41-60"/>
    <x v="1"/>
    <x v="6"/>
    <x v="4"/>
    <x v="3"/>
    <n v="1"/>
    <n v="1"/>
    <n v="1.5"/>
    <x v="9"/>
    <n v="7"/>
    <n v="5"/>
    <n v="959706"/>
    <n v="154869"/>
    <n v="804837"/>
    <n v="33"/>
    <n v="59"/>
    <n v="9.9"/>
  </r>
  <r>
    <x v="9"/>
    <x v="9"/>
    <d v="2022-05-27T00:00:00"/>
    <s v="NA"/>
    <n v="0"/>
    <n v="71"/>
    <s v="61-80"/>
    <x v="1"/>
    <x v="6"/>
    <x v="4"/>
    <x v="3"/>
    <n v="1"/>
    <n v="1"/>
    <n v="2.5"/>
    <x v="15"/>
    <n v="3"/>
    <n v="5"/>
    <n v="936868"/>
    <n v="117865"/>
    <n v="819003"/>
    <n v="31"/>
    <n v="61"/>
    <n v="8.6999999999999993"/>
  </r>
  <r>
    <x v="9"/>
    <x v="9"/>
    <d v="2023-06-13T00:00:00"/>
    <s v="NA"/>
    <n v="0"/>
    <n v="40"/>
    <s v="21-40"/>
    <x v="1"/>
    <x v="6"/>
    <x v="4"/>
    <x v="2"/>
    <n v="1"/>
    <n v="1"/>
    <n v="5.8"/>
    <x v="14"/>
    <n v="5"/>
    <n v="4"/>
    <n v="915213"/>
    <n v="28312"/>
    <n v="886901"/>
    <n v="37"/>
    <n v="59"/>
    <n v="5.0999999999999996"/>
  </r>
  <r>
    <x v="9"/>
    <x v="9"/>
    <d v="2021-11-06T00:00:00"/>
    <s v="NA"/>
    <n v="0"/>
    <n v="58"/>
    <s v="41-60"/>
    <x v="1"/>
    <x v="4"/>
    <x v="3"/>
    <x v="2"/>
    <n v="1"/>
    <n v="1"/>
    <n v="3.9"/>
    <x v="15"/>
    <n v="6"/>
    <n v="7"/>
    <n v="920998"/>
    <n v="84673"/>
    <n v="836325"/>
    <n v="34"/>
    <n v="57"/>
    <n v="7.5"/>
  </r>
  <r>
    <x v="9"/>
    <x v="9"/>
    <d v="2023-09-12T00:00:00"/>
    <s v="NA"/>
    <n v="0"/>
    <n v="37"/>
    <s v="21-40"/>
    <x v="0"/>
    <x v="0"/>
    <x v="0"/>
    <x v="3"/>
    <n v="1"/>
    <n v="1"/>
    <n v="5.3"/>
    <x v="12"/>
    <n v="4"/>
    <n v="5"/>
    <n v="998148"/>
    <n v="128175"/>
    <n v="869973"/>
    <n v="38"/>
    <n v="65"/>
    <n v="6"/>
  </r>
  <r>
    <x v="9"/>
    <x v="9"/>
    <d v="2021-10-05T00:00:00"/>
    <s v="NA"/>
    <n v="0"/>
    <n v="74"/>
    <s v="61-80"/>
    <x v="1"/>
    <x v="4"/>
    <x v="3"/>
    <x v="3"/>
    <n v="1"/>
    <n v="1"/>
    <n v="1.9"/>
    <x v="12"/>
    <n v="4"/>
    <n v="5"/>
    <n v="987151"/>
    <n v="146070"/>
    <n v="841081"/>
    <n v="38"/>
    <n v="65"/>
    <n v="12.1"/>
  </r>
  <r>
    <x v="9"/>
    <x v="9"/>
    <d v="2022-01-12T00:00:00"/>
    <s v="NA"/>
    <n v="0"/>
    <n v="34"/>
    <s v="21-40"/>
    <x v="1"/>
    <x v="3"/>
    <x v="2"/>
    <x v="3"/>
    <n v="1"/>
    <n v="1"/>
    <n v="2.9"/>
    <x v="12"/>
    <n v="3"/>
    <n v="4"/>
    <n v="992627"/>
    <n v="156931"/>
    <n v="835696"/>
    <n v="30"/>
    <n v="65"/>
    <n v="6.3"/>
  </r>
  <r>
    <x v="9"/>
    <x v="9"/>
    <d v="2024-11-13T00:00:00"/>
    <s v="NA"/>
    <n v="0"/>
    <n v="62"/>
    <s v="61-80"/>
    <x v="0"/>
    <x v="12"/>
    <x v="9"/>
    <x v="0"/>
    <n v="1"/>
    <n v="1"/>
    <n v="3.3"/>
    <x v="21"/>
    <n v="3"/>
    <n v="7"/>
    <n v="937780"/>
    <n v="78646"/>
    <n v="859134"/>
    <n v="30"/>
    <n v="63"/>
    <n v="14"/>
  </r>
  <r>
    <x v="9"/>
    <x v="9"/>
    <d v="2024-12-25T00:00:00"/>
    <s v="NA"/>
    <n v="0"/>
    <n v="26"/>
    <s v="21-40"/>
    <x v="1"/>
    <x v="4"/>
    <x v="3"/>
    <x v="2"/>
    <n v="1"/>
    <n v="1"/>
    <n v="6.4"/>
    <x v="26"/>
    <n v="6"/>
    <n v="6"/>
    <n v="958274"/>
    <n v="94168"/>
    <n v="864106"/>
    <n v="30"/>
    <n v="64"/>
    <n v="14.6"/>
  </r>
  <r>
    <x v="9"/>
    <x v="9"/>
    <d v="2023-09-27T00:00:00"/>
    <s v="NA"/>
    <n v="0"/>
    <n v="26"/>
    <s v="21-40"/>
    <x v="1"/>
    <x v="3"/>
    <x v="2"/>
    <x v="3"/>
    <n v="1"/>
    <n v="1"/>
    <n v="6.5"/>
    <x v="7"/>
    <n v="6"/>
    <n v="4"/>
    <n v="982659"/>
    <n v="89497"/>
    <n v="893162"/>
    <n v="35"/>
    <n v="62"/>
    <n v="8.3000000000000007"/>
  </r>
  <r>
    <x v="9"/>
    <x v="9"/>
    <d v="2022-06-14T00:00:00"/>
    <s v="NA"/>
    <n v="0"/>
    <n v="42"/>
    <s v="41-60"/>
    <x v="1"/>
    <x v="3"/>
    <x v="2"/>
    <x v="2"/>
    <n v="1"/>
    <n v="1"/>
    <n v="2.4"/>
    <x v="20"/>
    <n v="6"/>
    <n v="7"/>
    <n v="998968"/>
    <n v="182650"/>
    <n v="816318"/>
    <n v="37"/>
    <n v="56"/>
    <n v="13.4"/>
  </r>
  <r>
    <x v="9"/>
    <x v="9"/>
    <d v="2023-09-30T00:00:00"/>
    <s v="NA"/>
    <n v="0"/>
    <n v="47"/>
    <s v="41-60"/>
    <x v="0"/>
    <x v="10"/>
    <x v="8"/>
    <x v="3"/>
    <n v="1"/>
    <n v="1"/>
    <n v="4.2"/>
    <x v="21"/>
    <n v="5"/>
    <n v="3"/>
    <n v="918087"/>
    <n v="89106"/>
    <n v="828981"/>
    <n v="36"/>
    <n v="58"/>
    <n v="7.4"/>
  </r>
  <r>
    <x v="9"/>
    <x v="9"/>
    <d v="2023-04-18T00:00:00"/>
    <s v="NA"/>
    <n v="0"/>
    <n v="43"/>
    <s v="41-60"/>
    <x v="1"/>
    <x v="11"/>
    <x v="8"/>
    <x v="0"/>
    <n v="1"/>
    <n v="1"/>
    <n v="5.0999999999999996"/>
    <x v="21"/>
    <n v="4"/>
    <n v="4"/>
    <n v="995680"/>
    <n v="190648"/>
    <n v="805032"/>
    <n v="34"/>
    <n v="64"/>
    <n v="13.7"/>
  </r>
  <r>
    <x v="9"/>
    <x v="9"/>
    <d v="2022-06-18T00:00:00"/>
    <s v="NA"/>
    <n v="0"/>
    <n v="64"/>
    <s v="61-80"/>
    <x v="0"/>
    <x v="5"/>
    <x v="0"/>
    <x v="2"/>
    <n v="1"/>
    <n v="1"/>
    <n v="4.2"/>
    <x v="27"/>
    <n v="3"/>
    <n v="6"/>
    <n v="914665"/>
    <n v="57191"/>
    <n v="857474"/>
    <n v="39"/>
    <n v="64"/>
    <n v="14.4"/>
  </r>
  <r>
    <x v="9"/>
    <x v="9"/>
    <d v="2021-07-17T00:00:00"/>
    <s v="NA"/>
    <n v="0"/>
    <n v="39"/>
    <s v="21-40"/>
    <x v="0"/>
    <x v="0"/>
    <x v="0"/>
    <x v="0"/>
    <n v="1"/>
    <n v="1"/>
    <n v="6.7"/>
    <x v="20"/>
    <n v="5"/>
    <n v="3"/>
    <n v="939426"/>
    <n v="41546"/>
    <n v="897880"/>
    <n v="35"/>
    <n v="63"/>
    <n v="10.5"/>
  </r>
  <r>
    <x v="9"/>
    <x v="9"/>
    <d v="2024-09-22T00:00:00"/>
    <s v="NA"/>
    <n v="0"/>
    <n v="63"/>
    <s v="61-80"/>
    <x v="0"/>
    <x v="7"/>
    <x v="5"/>
    <x v="2"/>
    <n v="1"/>
    <n v="1"/>
    <n v="1.7"/>
    <x v="3"/>
    <n v="5"/>
    <n v="7"/>
    <n v="961617"/>
    <n v="72727"/>
    <n v="888890"/>
    <n v="39"/>
    <n v="63"/>
    <n v="9.5"/>
  </r>
  <r>
    <x v="9"/>
    <x v="9"/>
    <d v="2021-04-03T00:00:00"/>
    <s v="NA"/>
    <n v="0"/>
    <n v="33"/>
    <s v="21-40"/>
    <x v="0"/>
    <x v="14"/>
    <x v="11"/>
    <x v="1"/>
    <n v="1"/>
    <n v="1"/>
    <n v="5"/>
    <x v="15"/>
    <n v="5"/>
    <n v="6"/>
    <n v="999094"/>
    <n v="176334"/>
    <n v="822760"/>
    <n v="36"/>
    <n v="61"/>
    <n v="9.4"/>
  </r>
  <r>
    <x v="5"/>
    <x v="5"/>
    <d v="2023-03-19T00:00:00"/>
    <s v="NA"/>
    <n v="0"/>
    <n v="78"/>
    <s v="61-80"/>
    <x v="0"/>
    <x v="12"/>
    <x v="9"/>
    <x v="1"/>
    <n v="1"/>
    <n v="1"/>
    <n v="3.9"/>
    <x v="29"/>
    <n v="3"/>
    <n v="6"/>
    <n v="546659"/>
    <n v="79003"/>
    <n v="467656"/>
    <n v="37"/>
    <n v="60"/>
    <n v="12.7"/>
  </r>
  <r>
    <x v="5"/>
    <x v="5"/>
    <d v="2022-12-17T00:00:00"/>
    <s v="NA"/>
    <n v="0"/>
    <n v="30"/>
    <s v="21-40"/>
    <x v="0"/>
    <x v="1"/>
    <x v="1"/>
    <x v="2"/>
    <n v="1"/>
    <n v="1"/>
    <n v="6.8"/>
    <x v="27"/>
    <n v="5"/>
    <n v="7"/>
    <n v="584759"/>
    <n v="130902"/>
    <n v="453857"/>
    <n v="36"/>
    <n v="56"/>
    <n v="5.7"/>
  </r>
  <r>
    <x v="5"/>
    <x v="5"/>
    <d v="2023-08-27T00:00:00"/>
    <s v="NA"/>
    <n v="0"/>
    <n v="83"/>
    <s v="81+"/>
    <x v="0"/>
    <x v="10"/>
    <x v="8"/>
    <x v="1"/>
    <n v="1"/>
    <n v="1"/>
    <n v="3.7"/>
    <x v="10"/>
    <n v="4"/>
    <n v="5"/>
    <n v="526504"/>
    <n v="70857"/>
    <n v="455647"/>
    <n v="36"/>
    <n v="64"/>
    <n v="13.3"/>
  </r>
  <r>
    <x v="8"/>
    <x v="8"/>
    <d v="2023-05-25T00:00:00"/>
    <s v="NA"/>
    <n v="0"/>
    <n v="25"/>
    <s v="21-40"/>
    <x v="1"/>
    <x v="11"/>
    <x v="8"/>
    <x v="4"/>
    <n v="1"/>
    <n v="1"/>
    <n v="6"/>
    <x v="5"/>
    <n v="5"/>
    <n v="3"/>
    <n v="703841"/>
    <n v="119568"/>
    <n v="584273"/>
    <n v="51"/>
    <n v="57"/>
    <n v="6.5"/>
  </r>
  <r>
    <x v="5"/>
    <x v="5"/>
    <d v="2022-07-16T00:00:00"/>
    <s v="NA"/>
    <n v="0"/>
    <n v="47"/>
    <s v="41-60"/>
    <x v="1"/>
    <x v="2"/>
    <x v="1"/>
    <x v="2"/>
    <n v="1"/>
    <n v="1"/>
    <n v="4.5999999999999996"/>
    <x v="27"/>
    <n v="4"/>
    <n v="6"/>
    <n v="538927"/>
    <n v="124229"/>
    <n v="414698"/>
    <n v="39"/>
    <n v="57"/>
    <n v="7.4"/>
  </r>
  <r>
    <x v="9"/>
    <x v="9"/>
    <d v="2023-01-15T00:00:00"/>
    <s v="NA"/>
    <n v="0"/>
    <n v="22"/>
    <s v="21-40"/>
    <x v="1"/>
    <x v="6"/>
    <x v="4"/>
    <x v="1"/>
    <n v="1"/>
    <n v="1"/>
    <n v="5.0999999999999996"/>
    <x v="14"/>
    <n v="5"/>
    <n v="4"/>
    <n v="989284"/>
    <n v="129211"/>
    <n v="860073"/>
    <n v="34"/>
    <n v="64"/>
    <n v="7.9"/>
  </r>
  <r>
    <x v="5"/>
    <x v="5"/>
    <d v="2023-07-28T00:00:00"/>
    <s v="NA"/>
    <n v="0"/>
    <n v="58"/>
    <s v="41-60"/>
    <x v="1"/>
    <x v="8"/>
    <x v="6"/>
    <x v="3"/>
    <n v="1"/>
    <n v="1"/>
    <n v="4.9000000000000004"/>
    <x v="29"/>
    <n v="3"/>
    <n v="7"/>
    <n v="525644"/>
    <n v="88600"/>
    <n v="437044"/>
    <n v="39"/>
    <n v="56"/>
    <n v="12.3"/>
  </r>
  <r>
    <x v="8"/>
    <x v="8"/>
    <d v="2024-07-08T00:00:00"/>
    <s v="NA"/>
    <n v="0"/>
    <n v="30"/>
    <s v="21-40"/>
    <x v="0"/>
    <x v="10"/>
    <x v="8"/>
    <x v="2"/>
    <n v="1"/>
    <n v="1"/>
    <n v="4.5999999999999996"/>
    <x v="18"/>
    <n v="6"/>
    <n v="6"/>
    <n v="840584"/>
    <n v="332694"/>
    <n v="507890"/>
    <n v="47"/>
    <n v="54"/>
    <n v="12.4"/>
  </r>
  <r>
    <x v="8"/>
    <x v="8"/>
    <d v="2021-05-22T00:00:00"/>
    <s v="NA"/>
    <n v="0"/>
    <n v="29"/>
    <s v="21-40"/>
    <x v="0"/>
    <x v="4"/>
    <x v="3"/>
    <x v="2"/>
    <n v="1"/>
    <n v="1"/>
    <n v="4"/>
    <x v="11"/>
    <n v="3"/>
    <n v="5"/>
    <n v="770768"/>
    <n v="186639"/>
    <n v="584129"/>
    <n v="41"/>
    <n v="60"/>
    <n v="13"/>
  </r>
  <r>
    <x v="5"/>
    <x v="5"/>
    <d v="2022-10-11T00:00:00"/>
    <s v="NA"/>
    <n v="0"/>
    <n v="39"/>
    <s v="21-40"/>
    <x v="0"/>
    <x v="0"/>
    <x v="0"/>
    <x v="3"/>
    <n v="1"/>
    <n v="1"/>
    <n v="4.0999999999999996"/>
    <x v="10"/>
    <n v="5"/>
    <n v="4"/>
    <n v="590658"/>
    <n v="102751"/>
    <n v="487907"/>
    <n v="38"/>
    <n v="60"/>
    <n v="7.9"/>
  </r>
  <r>
    <x v="5"/>
    <x v="5"/>
    <d v="2022-08-13T00:00:00"/>
    <s v="NA"/>
    <n v="0"/>
    <n v="28"/>
    <s v="21-40"/>
    <x v="1"/>
    <x v="3"/>
    <x v="2"/>
    <x v="2"/>
    <n v="1"/>
    <n v="1"/>
    <n v="4"/>
    <x v="21"/>
    <n v="6"/>
    <n v="3"/>
    <n v="565972"/>
    <n v="162501"/>
    <n v="403471"/>
    <n v="36"/>
    <n v="63"/>
    <n v="14.1"/>
  </r>
  <r>
    <x v="5"/>
    <x v="5"/>
    <d v="2021-09-30T00:00:00"/>
    <s v="NA"/>
    <n v="0"/>
    <n v="27"/>
    <s v="21-40"/>
    <x v="0"/>
    <x v="12"/>
    <x v="9"/>
    <x v="0"/>
    <n v="1"/>
    <n v="1"/>
    <n v="2.8"/>
    <x v="13"/>
    <n v="6"/>
    <n v="4"/>
    <n v="544850"/>
    <n v="113126"/>
    <n v="431724"/>
    <n v="38"/>
    <n v="55"/>
    <n v="8.6999999999999993"/>
  </r>
  <r>
    <x v="9"/>
    <x v="9"/>
    <d v="2022-07-25T00:00:00"/>
    <s v="NA"/>
    <n v="0"/>
    <n v="39"/>
    <s v="21-40"/>
    <x v="1"/>
    <x v="6"/>
    <x v="4"/>
    <x v="3"/>
    <n v="1"/>
    <n v="1"/>
    <n v="2.2999999999999998"/>
    <x v="19"/>
    <n v="3"/>
    <n v="7"/>
    <n v="962253"/>
    <n v="94856"/>
    <n v="867397"/>
    <n v="31"/>
    <n v="65"/>
    <n v="5.8"/>
  </r>
  <r>
    <x v="9"/>
    <x v="9"/>
    <d v="2022-11-22T00:00:00"/>
    <s v="NA"/>
    <n v="0"/>
    <n v="86"/>
    <s v="81+"/>
    <x v="1"/>
    <x v="9"/>
    <x v="7"/>
    <x v="3"/>
    <n v="1"/>
    <n v="1"/>
    <n v="2.6"/>
    <x v="17"/>
    <n v="5"/>
    <n v="7"/>
    <n v="927121"/>
    <n v="125209"/>
    <n v="801912"/>
    <n v="34"/>
    <n v="66"/>
    <n v="6.1"/>
  </r>
  <r>
    <x v="5"/>
    <x v="5"/>
    <d v="2022-06-18T00:00:00"/>
    <s v="NA"/>
    <n v="0"/>
    <n v="84"/>
    <s v="81+"/>
    <x v="1"/>
    <x v="13"/>
    <x v="10"/>
    <x v="0"/>
    <n v="1"/>
    <n v="1"/>
    <n v="6.2"/>
    <x v="24"/>
    <n v="4"/>
    <n v="6"/>
    <n v="588182"/>
    <n v="151144"/>
    <n v="437038"/>
    <n v="35"/>
    <n v="57"/>
    <n v="13.9"/>
  </r>
  <r>
    <x v="8"/>
    <x v="8"/>
    <d v="2023-04-21T00:00:00"/>
    <s v="NA"/>
    <n v="0"/>
    <n v="31"/>
    <s v="21-40"/>
    <x v="0"/>
    <x v="9"/>
    <x v="7"/>
    <x v="1"/>
    <n v="1"/>
    <n v="1"/>
    <n v="5.2"/>
    <x v="27"/>
    <n v="4"/>
    <n v="6"/>
    <n v="702529"/>
    <n v="175859"/>
    <n v="526670"/>
    <n v="43"/>
    <n v="58"/>
    <n v="7.7"/>
  </r>
  <r>
    <x v="5"/>
    <x v="5"/>
    <d v="2024-03-25T00:00:00"/>
    <s v="NA"/>
    <n v="0"/>
    <n v="90"/>
    <s v="81+"/>
    <x v="1"/>
    <x v="4"/>
    <x v="3"/>
    <x v="0"/>
    <n v="1"/>
    <n v="1"/>
    <n v="6.9"/>
    <x v="10"/>
    <n v="6"/>
    <n v="6"/>
    <n v="506674"/>
    <n v="85442"/>
    <n v="421232"/>
    <n v="37"/>
    <n v="60"/>
    <n v="7.6"/>
  </r>
  <r>
    <x v="9"/>
    <x v="9"/>
    <d v="2024-01-24T00:00:00"/>
    <s v="NA"/>
    <n v="0"/>
    <n v="87"/>
    <s v="81+"/>
    <x v="1"/>
    <x v="6"/>
    <x v="4"/>
    <x v="2"/>
    <n v="1"/>
    <n v="1"/>
    <n v="3.9"/>
    <x v="12"/>
    <n v="7"/>
    <n v="3"/>
    <n v="920653"/>
    <n v="40648"/>
    <n v="880005"/>
    <n v="31"/>
    <n v="63"/>
    <n v="14"/>
  </r>
  <r>
    <x v="9"/>
    <x v="9"/>
    <d v="2023-12-07T00:00:00"/>
    <s v="NA"/>
    <n v="0"/>
    <n v="47"/>
    <s v="41-60"/>
    <x v="1"/>
    <x v="10"/>
    <x v="8"/>
    <x v="0"/>
    <n v="1"/>
    <n v="1"/>
    <n v="4.8"/>
    <x v="15"/>
    <n v="4"/>
    <n v="5"/>
    <n v="981666"/>
    <n v="162009"/>
    <n v="819657"/>
    <n v="34"/>
    <n v="62"/>
    <n v="5.6"/>
  </r>
  <r>
    <x v="5"/>
    <x v="5"/>
    <d v="2022-11-14T00:00:00"/>
    <s v="NA"/>
    <n v="0"/>
    <n v="25"/>
    <s v="21-40"/>
    <x v="0"/>
    <x v="5"/>
    <x v="0"/>
    <x v="1"/>
    <n v="1"/>
    <n v="1"/>
    <n v="2.7"/>
    <x v="13"/>
    <n v="6"/>
    <n v="4"/>
    <n v="543982"/>
    <n v="71034"/>
    <n v="472948"/>
    <n v="35"/>
    <n v="66"/>
    <n v="36.5"/>
  </r>
  <r>
    <x v="5"/>
    <x v="5"/>
    <d v="2022-09-10T00:00:00"/>
    <s v="NA"/>
    <n v="0"/>
    <n v="46"/>
    <s v="41-60"/>
    <x v="1"/>
    <x v="3"/>
    <x v="2"/>
    <x v="2"/>
    <n v="1"/>
    <n v="1"/>
    <n v="3.2"/>
    <x v="22"/>
    <n v="7"/>
    <n v="6"/>
    <n v="524966"/>
    <n v="86176"/>
    <n v="438790"/>
    <n v="35"/>
    <n v="64"/>
    <n v="12.8"/>
  </r>
  <r>
    <x v="9"/>
    <x v="9"/>
    <d v="2023-10-18T00:00:00"/>
    <s v="NA"/>
    <n v="0"/>
    <n v="46"/>
    <s v="41-60"/>
    <x v="1"/>
    <x v="8"/>
    <x v="6"/>
    <x v="3"/>
    <n v="1"/>
    <n v="1"/>
    <n v="4.9000000000000004"/>
    <x v="21"/>
    <n v="6"/>
    <n v="7"/>
    <n v="945945"/>
    <n v="104876"/>
    <n v="841069"/>
    <n v="40"/>
    <n v="54"/>
    <n v="13.6"/>
  </r>
  <r>
    <x v="5"/>
    <x v="5"/>
    <d v="2022-05-08T00:00:00"/>
    <s v="NA"/>
    <n v="0"/>
    <n v="60"/>
    <s v="41-60"/>
    <x v="1"/>
    <x v="13"/>
    <x v="10"/>
    <x v="1"/>
    <n v="1"/>
    <n v="1"/>
    <n v="5.6"/>
    <x v="2"/>
    <n v="6"/>
    <n v="6"/>
    <n v="502376"/>
    <n v="95503"/>
    <n v="406873"/>
    <n v="36"/>
    <n v="61"/>
    <n v="8.6999999999999993"/>
  </r>
  <r>
    <x v="8"/>
    <x v="8"/>
    <d v="2023-07-11T00:00:00"/>
    <s v="NA"/>
    <n v="0"/>
    <n v="82"/>
    <s v="81+"/>
    <x v="1"/>
    <x v="10"/>
    <x v="8"/>
    <x v="1"/>
    <n v="1"/>
    <n v="1"/>
    <n v="2.2000000000000002"/>
    <x v="4"/>
    <n v="3"/>
    <n v="5"/>
    <n v="600326"/>
    <n v="93127"/>
    <n v="507199"/>
    <n v="42"/>
    <n v="64"/>
    <n v="13.5"/>
  </r>
  <r>
    <x v="9"/>
    <x v="9"/>
    <d v="2023-06-10T00:00:00"/>
    <s v="NA"/>
    <n v="0"/>
    <n v="58"/>
    <s v="41-60"/>
    <x v="0"/>
    <x v="5"/>
    <x v="0"/>
    <x v="3"/>
    <n v="1"/>
    <n v="1"/>
    <n v="2.2000000000000002"/>
    <x v="20"/>
    <n v="7"/>
    <n v="4"/>
    <n v="998307"/>
    <n v="143343"/>
    <n v="854964"/>
    <n v="38"/>
    <n v="59"/>
    <n v="12.5"/>
  </r>
  <r>
    <x v="9"/>
    <x v="9"/>
    <d v="2023-11-20T00:00:00"/>
    <s v="NA"/>
    <n v="0"/>
    <n v="23"/>
    <s v="21-40"/>
    <x v="1"/>
    <x v="3"/>
    <x v="2"/>
    <x v="2"/>
    <n v="1"/>
    <n v="1"/>
    <n v="2.4"/>
    <x v="6"/>
    <n v="4"/>
    <n v="7"/>
    <n v="917199"/>
    <n v="53074"/>
    <n v="864125"/>
    <n v="39"/>
    <n v="55"/>
    <n v="7.7"/>
  </r>
  <r>
    <x v="5"/>
    <x v="5"/>
    <d v="2021-10-17T00:00:00"/>
    <s v="NA"/>
    <n v="0"/>
    <n v="49"/>
    <s v="41-60"/>
    <x v="1"/>
    <x v="11"/>
    <x v="8"/>
    <x v="4"/>
    <n v="1"/>
    <n v="1"/>
    <n v="6.5"/>
    <x v="16"/>
    <n v="6"/>
    <n v="7"/>
    <n v="550410"/>
    <n v="113573"/>
    <n v="436837"/>
    <n v="37"/>
    <n v="64"/>
    <n v="12"/>
  </r>
  <r>
    <x v="9"/>
    <x v="9"/>
    <d v="2024-07-18T00:00:00"/>
    <s v="NA"/>
    <n v="0"/>
    <n v="84"/>
    <s v="81+"/>
    <x v="1"/>
    <x v="10"/>
    <x v="8"/>
    <x v="4"/>
    <n v="1"/>
    <n v="1"/>
    <n v="2.5"/>
    <x v="21"/>
    <n v="7"/>
    <n v="5"/>
    <n v="957255"/>
    <n v="149840"/>
    <n v="807415"/>
    <n v="32"/>
    <n v="64"/>
    <n v="13.4"/>
  </r>
  <r>
    <x v="9"/>
    <x v="9"/>
    <d v="2023-03-16T00:00:00"/>
    <s v="NA"/>
    <n v="0"/>
    <n v="58"/>
    <s v="41-60"/>
    <x v="1"/>
    <x v="3"/>
    <x v="2"/>
    <x v="3"/>
    <n v="1"/>
    <n v="1"/>
    <n v="1.8"/>
    <x v="16"/>
    <n v="3"/>
    <n v="5"/>
    <n v="947006"/>
    <n v="117806"/>
    <n v="829200"/>
    <n v="32"/>
    <n v="56"/>
    <n v="36.299999999999997"/>
  </r>
  <r>
    <x v="5"/>
    <x v="5"/>
    <d v="2023-01-18T00:00:00"/>
    <s v="NA"/>
    <n v="0"/>
    <n v="80"/>
    <s v="61-80"/>
    <x v="1"/>
    <x v="12"/>
    <x v="9"/>
    <x v="1"/>
    <n v="1"/>
    <n v="1"/>
    <n v="3.4"/>
    <x v="2"/>
    <n v="6"/>
    <n v="7"/>
    <n v="514201"/>
    <n v="51763"/>
    <n v="462438"/>
    <n v="36"/>
    <n v="59"/>
    <n v="5.9"/>
  </r>
  <r>
    <x v="5"/>
    <x v="5"/>
    <d v="2022-04-02T00:00:00"/>
    <s v="NA"/>
    <n v="0"/>
    <n v="66"/>
    <s v="61-80"/>
    <x v="0"/>
    <x v="0"/>
    <x v="0"/>
    <x v="4"/>
    <n v="1"/>
    <n v="1"/>
    <n v="3.8"/>
    <x v="7"/>
    <n v="3"/>
    <n v="7"/>
    <n v="520173"/>
    <n v="95986"/>
    <n v="424187"/>
    <n v="40"/>
    <n v="61"/>
    <n v="5"/>
  </r>
  <r>
    <x v="5"/>
    <x v="5"/>
    <d v="2024-12-08T00:00:00"/>
    <s v="NA"/>
    <n v="0"/>
    <n v="81"/>
    <s v="81+"/>
    <x v="0"/>
    <x v="5"/>
    <x v="0"/>
    <x v="3"/>
    <n v="1"/>
    <n v="1"/>
    <n v="2"/>
    <x v="18"/>
    <n v="6"/>
    <n v="6"/>
    <n v="572149"/>
    <n v="121188"/>
    <n v="450961"/>
    <n v="38"/>
    <n v="55"/>
    <n v="36.5"/>
  </r>
  <r>
    <x v="8"/>
    <x v="8"/>
    <d v="2021-12-07T00:00:00"/>
    <s v="NA"/>
    <n v="0"/>
    <n v="36"/>
    <s v="21-40"/>
    <x v="0"/>
    <x v="0"/>
    <x v="0"/>
    <x v="1"/>
    <n v="1"/>
    <n v="1"/>
    <n v="2"/>
    <x v="5"/>
    <n v="6"/>
    <n v="7"/>
    <n v="696335"/>
    <n v="162636"/>
    <n v="533699"/>
    <n v="53"/>
    <n v="61"/>
    <n v="9.5"/>
  </r>
  <r>
    <x v="5"/>
    <x v="5"/>
    <d v="2022-03-18T00:00:00"/>
    <s v="NA"/>
    <n v="0"/>
    <n v="78"/>
    <s v="61-80"/>
    <x v="1"/>
    <x v="12"/>
    <x v="9"/>
    <x v="2"/>
    <n v="1"/>
    <n v="1"/>
    <n v="6.1"/>
    <x v="21"/>
    <n v="5"/>
    <n v="6"/>
    <n v="573362"/>
    <n v="104891"/>
    <n v="468471"/>
    <n v="37"/>
    <n v="56"/>
    <n v="7.2"/>
  </r>
  <r>
    <x v="9"/>
    <x v="9"/>
    <d v="2024-02-20T00:00:00"/>
    <s v="NA"/>
    <n v="0"/>
    <n v="27"/>
    <s v="21-40"/>
    <x v="0"/>
    <x v="0"/>
    <x v="0"/>
    <x v="3"/>
    <n v="1"/>
    <n v="1"/>
    <n v="3"/>
    <x v="6"/>
    <n v="3"/>
    <n v="4"/>
    <n v="927778"/>
    <n v="106099"/>
    <n v="821679"/>
    <n v="34"/>
    <n v="66"/>
    <n v="8.6999999999999993"/>
  </r>
  <r>
    <x v="9"/>
    <x v="9"/>
    <d v="2023-05-10T00:00:00"/>
    <s v="NA"/>
    <n v="0"/>
    <n v="86"/>
    <s v="81+"/>
    <x v="1"/>
    <x v="8"/>
    <x v="6"/>
    <x v="2"/>
    <n v="1"/>
    <n v="1"/>
    <n v="5.0999999999999996"/>
    <x v="25"/>
    <n v="5"/>
    <n v="6"/>
    <n v="914153"/>
    <n v="59783"/>
    <n v="854370"/>
    <n v="37"/>
    <n v="61"/>
    <n v="36.200000000000003"/>
  </r>
  <r>
    <x v="9"/>
    <x v="9"/>
    <d v="2021-12-25T00:00:00"/>
    <s v="NA"/>
    <n v="0"/>
    <n v="35"/>
    <s v="21-40"/>
    <x v="1"/>
    <x v="12"/>
    <x v="9"/>
    <x v="2"/>
    <n v="1"/>
    <n v="1"/>
    <n v="3.8"/>
    <x v="27"/>
    <n v="6"/>
    <n v="5"/>
    <n v="906388"/>
    <n v="65933"/>
    <n v="840455"/>
    <n v="37"/>
    <n v="64"/>
    <n v="36.799999999999997"/>
  </r>
  <r>
    <x v="9"/>
    <x v="9"/>
    <d v="2024-10-12T00:00:00"/>
    <s v="NA"/>
    <n v="0"/>
    <n v="37"/>
    <s v="21-40"/>
    <x v="0"/>
    <x v="4"/>
    <x v="3"/>
    <x v="2"/>
    <n v="1"/>
    <n v="1"/>
    <n v="5.7"/>
    <x v="5"/>
    <n v="3"/>
    <n v="6"/>
    <n v="954082"/>
    <n v="90705"/>
    <n v="863377"/>
    <n v="39"/>
    <n v="56"/>
    <n v="6.5"/>
  </r>
  <r>
    <x v="9"/>
    <x v="9"/>
    <d v="2024-09-30T00:00:00"/>
    <s v="NA"/>
    <n v="0"/>
    <n v="22"/>
    <s v="21-40"/>
    <x v="1"/>
    <x v="12"/>
    <x v="9"/>
    <x v="4"/>
    <n v="1"/>
    <n v="1"/>
    <n v="2.2000000000000002"/>
    <x v="18"/>
    <n v="3"/>
    <n v="6"/>
    <n v="936382"/>
    <n v="43590"/>
    <n v="892792"/>
    <n v="39"/>
    <n v="63"/>
    <n v="6.7"/>
  </r>
  <r>
    <x v="9"/>
    <x v="9"/>
    <d v="2022-11-15T00:00:00"/>
    <s v="NA"/>
    <n v="0"/>
    <n v="37"/>
    <s v="21-40"/>
    <x v="0"/>
    <x v="5"/>
    <x v="0"/>
    <x v="4"/>
    <n v="1"/>
    <n v="1"/>
    <n v="4.0999999999999996"/>
    <x v="14"/>
    <n v="4"/>
    <n v="7"/>
    <n v="976987"/>
    <n v="107151"/>
    <n v="869836"/>
    <n v="35"/>
    <n v="61"/>
    <n v="9.1999999999999993"/>
  </r>
  <r>
    <x v="9"/>
    <x v="9"/>
    <d v="2023-11-10T00:00:00"/>
    <s v="NA"/>
    <n v="0"/>
    <n v="24"/>
    <s v="21-40"/>
    <x v="0"/>
    <x v="10"/>
    <x v="8"/>
    <x v="2"/>
    <n v="1"/>
    <n v="1"/>
    <n v="3.2"/>
    <x v="12"/>
    <n v="5"/>
    <n v="6"/>
    <n v="981638"/>
    <n v="115042"/>
    <n v="866596"/>
    <n v="39"/>
    <n v="55"/>
    <n v="12.8"/>
  </r>
  <r>
    <x v="9"/>
    <x v="9"/>
    <d v="2021-06-02T00:00:00"/>
    <s v="NA"/>
    <n v="0"/>
    <n v="39"/>
    <s v="21-40"/>
    <x v="1"/>
    <x v="1"/>
    <x v="1"/>
    <x v="0"/>
    <n v="1"/>
    <n v="1"/>
    <n v="5.4"/>
    <x v="13"/>
    <n v="4"/>
    <n v="6"/>
    <n v="953856"/>
    <n v="96891"/>
    <n v="856965"/>
    <n v="37"/>
    <n v="61"/>
    <n v="13"/>
  </r>
  <r>
    <x v="5"/>
    <x v="5"/>
    <d v="2023-07-31T00:00:00"/>
    <s v="NA"/>
    <n v="0"/>
    <n v="85"/>
    <s v="81+"/>
    <x v="1"/>
    <x v="2"/>
    <x v="1"/>
    <x v="0"/>
    <n v="1"/>
    <n v="1"/>
    <n v="2.9"/>
    <x v="17"/>
    <n v="6"/>
    <n v="4"/>
    <n v="521944"/>
    <n v="115380"/>
    <n v="406564"/>
    <n v="39"/>
    <n v="54"/>
    <n v="13"/>
  </r>
  <r>
    <x v="5"/>
    <x v="5"/>
    <d v="2021-05-13T00:00:00"/>
    <s v="NA"/>
    <n v="0"/>
    <n v="47"/>
    <s v="41-60"/>
    <x v="1"/>
    <x v="4"/>
    <x v="3"/>
    <x v="0"/>
    <n v="1"/>
    <n v="1"/>
    <n v="6"/>
    <x v="9"/>
    <n v="3"/>
    <n v="5"/>
    <n v="557354"/>
    <n v="136006"/>
    <n v="421348"/>
    <n v="36"/>
    <n v="62"/>
    <n v="14"/>
  </r>
  <r>
    <x v="5"/>
    <x v="5"/>
    <d v="2021-07-28T00:00:00"/>
    <s v="NA"/>
    <n v="0"/>
    <n v="44"/>
    <s v="41-60"/>
    <x v="0"/>
    <x v="4"/>
    <x v="3"/>
    <x v="3"/>
    <n v="1"/>
    <n v="1"/>
    <n v="1.3"/>
    <x v="14"/>
    <n v="4"/>
    <n v="6"/>
    <n v="500412"/>
    <n v="105625"/>
    <n v="394787"/>
    <n v="35"/>
    <n v="63"/>
    <n v="8.4"/>
  </r>
  <r>
    <x v="5"/>
    <x v="5"/>
    <d v="2023-02-13T00:00:00"/>
    <s v="NA"/>
    <n v="0"/>
    <n v="39"/>
    <s v="21-40"/>
    <x v="1"/>
    <x v="9"/>
    <x v="7"/>
    <x v="1"/>
    <n v="1"/>
    <n v="1"/>
    <n v="1.6"/>
    <x v="13"/>
    <n v="7"/>
    <n v="7"/>
    <n v="577730"/>
    <n v="139476"/>
    <n v="438254"/>
    <n v="36"/>
    <n v="62"/>
    <n v="9.5"/>
  </r>
  <r>
    <x v="5"/>
    <x v="5"/>
    <d v="2021-06-12T00:00:00"/>
    <s v="NA"/>
    <n v="0"/>
    <n v="61"/>
    <s v="61-80"/>
    <x v="0"/>
    <x v="14"/>
    <x v="11"/>
    <x v="0"/>
    <n v="1"/>
    <n v="1"/>
    <n v="3.2"/>
    <x v="4"/>
    <n v="3"/>
    <n v="5"/>
    <n v="537804"/>
    <n v="76428"/>
    <n v="461376"/>
    <n v="35"/>
    <n v="55"/>
    <n v="8.6999999999999993"/>
  </r>
  <r>
    <x v="5"/>
    <x v="5"/>
    <d v="2021-06-07T00:00:00"/>
    <s v="NA"/>
    <n v="0"/>
    <n v="82"/>
    <s v="81+"/>
    <x v="1"/>
    <x v="9"/>
    <x v="7"/>
    <x v="1"/>
    <n v="1"/>
    <n v="1"/>
    <n v="3.6"/>
    <x v="12"/>
    <n v="6"/>
    <n v="4"/>
    <n v="556937"/>
    <n v="129650"/>
    <n v="427287"/>
    <n v="38"/>
    <n v="56"/>
    <n v="7.7"/>
  </r>
  <r>
    <x v="5"/>
    <x v="5"/>
    <d v="2022-03-11T00:00:00"/>
    <s v="NA"/>
    <n v="0"/>
    <n v="26"/>
    <s v="21-40"/>
    <x v="1"/>
    <x v="2"/>
    <x v="1"/>
    <x v="3"/>
    <n v="1"/>
    <n v="1"/>
    <n v="5.9"/>
    <x v="9"/>
    <n v="7"/>
    <n v="3"/>
    <n v="587350"/>
    <n v="183749"/>
    <n v="403601"/>
    <n v="35"/>
    <n v="54"/>
    <n v="12.4"/>
  </r>
  <r>
    <x v="5"/>
    <x v="5"/>
    <d v="2022-12-21T00:00:00"/>
    <s v="NA"/>
    <n v="0"/>
    <n v="39"/>
    <s v="21-40"/>
    <x v="0"/>
    <x v="5"/>
    <x v="0"/>
    <x v="1"/>
    <n v="1"/>
    <n v="1"/>
    <n v="3.3"/>
    <x v="16"/>
    <n v="4"/>
    <n v="6"/>
    <n v="504212"/>
    <n v="36503"/>
    <n v="467709"/>
    <n v="37"/>
    <n v="57"/>
    <n v="8.8000000000000007"/>
  </r>
  <r>
    <x v="5"/>
    <x v="5"/>
    <d v="2021-09-28T00:00:00"/>
    <s v="NA"/>
    <n v="0"/>
    <n v="75"/>
    <s v="61-80"/>
    <x v="1"/>
    <x v="12"/>
    <x v="9"/>
    <x v="0"/>
    <n v="1"/>
    <n v="1"/>
    <n v="2.6"/>
    <x v="3"/>
    <n v="4"/>
    <n v="4"/>
    <n v="594689"/>
    <n v="131544"/>
    <n v="463145"/>
    <n v="40"/>
    <n v="56"/>
    <n v="36"/>
  </r>
  <r>
    <x v="5"/>
    <x v="5"/>
    <d v="2022-11-17T00:00:00"/>
    <s v="NA"/>
    <n v="0"/>
    <n v="40"/>
    <s v="21-40"/>
    <x v="0"/>
    <x v="0"/>
    <x v="0"/>
    <x v="1"/>
    <n v="1"/>
    <n v="1"/>
    <n v="3.9"/>
    <x v="3"/>
    <n v="6"/>
    <n v="3"/>
    <n v="500707"/>
    <n v="68560"/>
    <n v="432147"/>
    <n v="35"/>
    <n v="62"/>
    <n v="8.4"/>
  </r>
  <r>
    <x v="5"/>
    <x v="5"/>
    <d v="2024-08-19T00:00:00"/>
    <s v="NA"/>
    <n v="0"/>
    <n v="46"/>
    <s v="41-60"/>
    <x v="0"/>
    <x v="13"/>
    <x v="10"/>
    <x v="1"/>
    <n v="1"/>
    <n v="1"/>
    <n v="3.4"/>
    <x v="20"/>
    <n v="4"/>
    <n v="4"/>
    <n v="549448"/>
    <n v="145801"/>
    <n v="403647"/>
    <n v="37"/>
    <n v="61"/>
    <n v="8.3000000000000007"/>
  </r>
  <r>
    <x v="5"/>
    <x v="5"/>
    <d v="2023-05-03T00:00:00"/>
    <s v="NA"/>
    <n v="0"/>
    <n v="51"/>
    <s v="41-60"/>
    <x v="1"/>
    <x v="11"/>
    <x v="8"/>
    <x v="1"/>
    <n v="1"/>
    <n v="1"/>
    <n v="3.9"/>
    <x v="11"/>
    <n v="3"/>
    <n v="5"/>
    <n v="581666"/>
    <n v="101265"/>
    <n v="480401"/>
    <n v="37"/>
    <n v="60"/>
    <n v="6.4"/>
  </r>
  <r>
    <x v="5"/>
    <x v="5"/>
    <d v="2022-12-09T00:00:00"/>
    <s v="NA"/>
    <n v="0"/>
    <n v="34"/>
    <s v="21-40"/>
    <x v="1"/>
    <x v="4"/>
    <x v="3"/>
    <x v="0"/>
    <n v="1"/>
    <n v="1"/>
    <n v="2.8"/>
    <x v="27"/>
    <n v="7"/>
    <n v="7"/>
    <n v="587887"/>
    <n v="112114"/>
    <n v="475773"/>
    <n v="35"/>
    <n v="65"/>
    <n v="10.7"/>
  </r>
  <r>
    <x v="5"/>
    <x v="5"/>
    <d v="2024-05-28T00:00:00"/>
    <s v="NA"/>
    <n v="0"/>
    <n v="23"/>
    <s v="21-40"/>
    <x v="1"/>
    <x v="3"/>
    <x v="2"/>
    <x v="0"/>
    <n v="1"/>
    <n v="1"/>
    <n v="5.9"/>
    <x v="12"/>
    <n v="7"/>
    <n v="5"/>
    <n v="522356"/>
    <n v="87843"/>
    <n v="434513"/>
    <n v="39"/>
    <n v="63"/>
    <n v="12.7"/>
  </r>
  <r>
    <x v="5"/>
    <x v="5"/>
    <d v="2024-03-04T00:00:00"/>
    <s v="NA"/>
    <n v="0"/>
    <n v="72"/>
    <s v="61-80"/>
    <x v="0"/>
    <x v="0"/>
    <x v="0"/>
    <x v="4"/>
    <n v="1"/>
    <n v="1"/>
    <n v="6.9"/>
    <x v="1"/>
    <n v="6"/>
    <n v="4"/>
    <n v="509967"/>
    <n v="128431"/>
    <n v="381536"/>
    <n v="36"/>
    <n v="60"/>
    <n v="9.6999999999999993"/>
  </r>
  <r>
    <x v="5"/>
    <x v="5"/>
    <d v="2022-05-08T00:00:00"/>
    <s v="NA"/>
    <n v="0"/>
    <n v="40"/>
    <s v="21-40"/>
    <x v="0"/>
    <x v="10"/>
    <x v="8"/>
    <x v="4"/>
    <n v="1"/>
    <n v="1"/>
    <n v="5.7"/>
    <x v="27"/>
    <n v="5"/>
    <n v="4"/>
    <n v="536018"/>
    <n v="50013"/>
    <n v="486005"/>
    <n v="38"/>
    <n v="58"/>
    <n v="12.2"/>
  </r>
  <r>
    <x v="5"/>
    <x v="5"/>
    <d v="2024-02-19T00:00:00"/>
    <s v="NA"/>
    <n v="0"/>
    <n v="29"/>
    <s v="21-40"/>
    <x v="0"/>
    <x v="0"/>
    <x v="0"/>
    <x v="4"/>
    <n v="1"/>
    <n v="1"/>
    <n v="3.5"/>
    <x v="10"/>
    <n v="4"/>
    <n v="6"/>
    <n v="514363"/>
    <n v="40525"/>
    <n v="473838"/>
    <n v="40"/>
    <n v="62"/>
    <n v="9.6999999999999993"/>
  </r>
  <r>
    <x v="5"/>
    <x v="5"/>
    <d v="2022-07-16T00:00:00"/>
    <s v="NA"/>
    <n v="0"/>
    <n v="88"/>
    <s v="81+"/>
    <x v="0"/>
    <x v="4"/>
    <x v="3"/>
    <x v="3"/>
    <n v="1"/>
    <n v="1"/>
    <n v="1.6"/>
    <x v="19"/>
    <n v="5"/>
    <n v="3"/>
    <n v="598221"/>
    <n v="215378"/>
    <n v="382843"/>
    <n v="38"/>
    <n v="59"/>
    <n v="9.9"/>
  </r>
  <r>
    <x v="5"/>
    <x v="5"/>
    <d v="2022-12-22T00:00:00"/>
    <s v="NA"/>
    <n v="0"/>
    <n v="87"/>
    <s v="81+"/>
    <x v="1"/>
    <x v="2"/>
    <x v="1"/>
    <x v="3"/>
    <n v="1"/>
    <n v="1"/>
    <n v="5.4"/>
    <x v="2"/>
    <n v="4"/>
    <n v="5"/>
    <n v="559543"/>
    <n v="168506"/>
    <n v="391037"/>
    <n v="37"/>
    <n v="59"/>
    <n v="6.2"/>
  </r>
  <r>
    <x v="5"/>
    <x v="5"/>
    <d v="2021-09-30T00:00:00"/>
    <s v="NA"/>
    <n v="0"/>
    <n v="28"/>
    <s v="21-40"/>
    <x v="0"/>
    <x v="5"/>
    <x v="0"/>
    <x v="3"/>
    <n v="1"/>
    <n v="1"/>
    <n v="6.6"/>
    <x v="8"/>
    <n v="3"/>
    <n v="6"/>
    <n v="593724"/>
    <n v="136873"/>
    <n v="456851"/>
    <n v="36"/>
    <n v="59"/>
    <n v="12"/>
  </r>
  <r>
    <x v="5"/>
    <x v="5"/>
    <d v="2022-04-22T00:00:00"/>
    <s v="NA"/>
    <n v="0"/>
    <n v="55"/>
    <s v="41-60"/>
    <x v="0"/>
    <x v="0"/>
    <x v="0"/>
    <x v="2"/>
    <n v="1"/>
    <n v="1"/>
    <n v="5.9"/>
    <x v="21"/>
    <n v="5"/>
    <n v="3"/>
    <n v="552064"/>
    <n v="131771"/>
    <n v="420293"/>
    <n v="36"/>
    <n v="55"/>
    <n v="36.700000000000003"/>
  </r>
  <r>
    <x v="5"/>
    <x v="5"/>
    <d v="2024-04-08T00:00:00"/>
    <s v="NA"/>
    <n v="0"/>
    <n v="30"/>
    <s v="21-40"/>
    <x v="0"/>
    <x v="7"/>
    <x v="5"/>
    <x v="0"/>
    <n v="1"/>
    <n v="1"/>
    <n v="2"/>
    <x v="5"/>
    <n v="5"/>
    <n v="6"/>
    <n v="505308"/>
    <n v="46964"/>
    <n v="458344"/>
    <n v="37"/>
    <n v="62"/>
    <n v="13.8"/>
  </r>
  <r>
    <x v="5"/>
    <x v="5"/>
    <d v="2021-05-31T00:00:00"/>
    <s v="NA"/>
    <n v="0"/>
    <n v="39"/>
    <s v="21-40"/>
    <x v="1"/>
    <x v="3"/>
    <x v="2"/>
    <x v="0"/>
    <n v="1"/>
    <n v="1"/>
    <n v="3.5"/>
    <x v="18"/>
    <n v="4"/>
    <n v="3"/>
    <n v="587278"/>
    <n v="185913"/>
    <n v="401365"/>
    <n v="37"/>
    <n v="65"/>
    <n v="7"/>
  </r>
  <r>
    <x v="5"/>
    <x v="5"/>
    <d v="2024-05-01T00:00:00"/>
    <s v="NA"/>
    <n v="0"/>
    <n v="61"/>
    <s v="61-80"/>
    <x v="0"/>
    <x v="0"/>
    <x v="0"/>
    <x v="1"/>
    <n v="1"/>
    <n v="1"/>
    <n v="1.4"/>
    <x v="19"/>
    <n v="4"/>
    <n v="6"/>
    <n v="539554"/>
    <n v="54189"/>
    <n v="485365"/>
    <n v="38"/>
    <n v="66"/>
    <n v="36.1"/>
  </r>
  <r>
    <x v="5"/>
    <x v="5"/>
    <d v="2022-03-02T00:00:00"/>
    <s v="NA"/>
    <n v="0"/>
    <n v="34"/>
    <s v="21-40"/>
    <x v="0"/>
    <x v="13"/>
    <x v="10"/>
    <x v="3"/>
    <n v="1"/>
    <n v="1"/>
    <n v="1.1000000000000001"/>
    <x v="10"/>
    <n v="7"/>
    <n v="3"/>
    <n v="518536"/>
    <n v="131043"/>
    <n v="387493"/>
    <n v="38"/>
    <n v="65"/>
    <n v="36.700000000000003"/>
  </r>
  <r>
    <x v="5"/>
    <x v="5"/>
    <d v="2023-08-24T00:00:00"/>
    <s v="NA"/>
    <n v="0"/>
    <n v="36"/>
    <s v="21-40"/>
    <x v="1"/>
    <x v="10"/>
    <x v="8"/>
    <x v="1"/>
    <n v="1"/>
    <n v="1"/>
    <n v="4.5"/>
    <x v="4"/>
    <n v="7"/>
    <n v="5"/>
    <n v="598373"/>
    <n v="194941"/>
    <n v="403432"/>
    <n v="40"/>
    <n v="57"/>
    <n v="8.3000000000000007"/>
  </r>
  <r>
    <x v="5"/>
    <x v="5"/>
    <d v="2021-08-09T00:00:00"/>
    <s v="NA"/>
    <n v="0"/>
    <n v="45"/>
    <s v="41-60"/>
    <x v="1"/>
    <x v="3"/>
    <x v="2"/>
    <x v="2"/>
    <n v="1"/>
    <n v="1"/>
    <n v="2.5"/>
    <x v="22"/>
    <n v="5"/>
    <n v="4"/>
    <n v="540751"/>
    <n v="90306"/>
    <n v="450445"/>
    <n v="35"/>
    <n v="57"/>
    <n v="10.4"/>
  </r>
  <r>
    <x v="5"/>
    <x v="5"/>
    <d v="2021-07-13T00:00:00"/>
    <s v="NA"/>
    <n v="0"/>
    <n v="71"/>
    <s v="61-80"/>
    <x v="0"/>
    <x v="12"/>
    <x v="9"/>
    <x v="2"/>
    <n v="1"/>
    <n v="1"/>
    <n v="3"/>
    <x v="2"/>
    <n v="4"/>
    <n v="4"/>
    <n v="552758"/>
    <n v="77123"/>
    <n v="475635"/>
    <n v="37"/>
    <n v="58"/>
    <n v="13"/>
  </r>
  <r>
    <x v="5"/>
    <x v="5"/>
    <d v="2021-08-31T00:00:00"/>
    <s v="NA"/>
    <n v="0"/>
    <n v="36"/>
    <s v="21-40"/>
    <x v="0"/>
    <x v="0"/>
    <x v="0"/>
    <x v="1"/>
    <n v="1"/>
    <n v="1"/>
    <n v="1.8"/>
    <x v="18"/>
    <n v="7"/>
    <n v="6"/>
    <n v="550086"/>
    <n v="120326"/>
    <n v="429760"/>
    <n v="38"/>
    <n v="57"/>
    <n v="7.6"/>
  </r>
  <r>
    <x v="5"/>
    <x v="5"/>
    <d v="2022-02-23T00:00:00"/>
    <s v="NA"/>
    <n v="0"/>
    <n v="47"/>
    <s v="41-60"/>
    <x v="0"/>
    <x v="0"/>
    <x v="0"/>
    <x v="3"/>
    <n v="1"/>
    <n v="1"/>
    <n v="4.9000000000000004"/>
    <x v="8"/>
    <n v="6"/>
    <n v="7"/>
    <n v="589453"/>
    <n v="118852"/>
    <n v="470601"/>
    <n v="35"/>
    <n v="66"/>
    <n v="13.6"/>
  </r>
  <r>
    <x v="5"/>
    <x v="5"/>
    <d v="2023-12-11T00:00:00"/>
    <s v="NA"/>
    <n v="0"/>
    <n v="63"/>
    <s v="61-80"/>
    <x v="0"/>
    <x v="12"/>
    <x v="9"/>
    <x v="1"/>
    <n v="1"/>
    <n v="1"/>
    <n v="5.9"/>
    <x v="19"/>
    <n v="4"/>
    <n v="4"/>
    <n v="513621"/>
    <n v="120359"/>
    <n v="393262"/>
    <n v="37"/>
    <n v="64"/>
    <n v="36.200000000000003"/>
  </r>
  <r>
    <x v="5"/>
    <x v="5"/>
    <d v="2021-12-05T00:00:00"/>
    <s v="NA"/>
    <n v="0"/>
    <n v="33"/>
    <s v="21-40"/>
    <x v="1"/>
    <x v="4"/>
    <x v="3"/>
    <x v="1"/>
    <n v="1"/>
    <n v="1"/>
    <n v="6.8"/>
    <x v="16"/>
    <n v="7"/>
    <n v="6"/>
    <n v="519279"/>
    <n v="45291"/>
    <n v="473988"/>
    <n v="36"/>
    <n v="60"/>
    <n v="8.1"/>
  </r>
  <r>
    <x v="5"/>
    <x v="5"/>
    <d v="2021-01-14T00:00:00"/>
    <s v="NA"/>
    <n v="0"/>
    <n v="25"/>
    <s v="21-40"/>
    <x v="1"/>
    <x v="6"/>
    <x v="4"/>
    <x v="1"/>
    <n v="1"/>
    <n v="1"/>
    <n v="5"/>
    <x v="21"/>
    <n v="6"/>
    <n v="4"/>
    <n v="573530"/>
    <n v="116654"/>
    <n v="456876"/>
    <n v="38"/>
    <n v="54"/>
    <n v="8.1999999999999993"/>
  </r>
  <r>
    <x v="5"/>
    <x v="5"/>
    <d v="2024-10-25T00:00:00"/>
    <s v="NA"/>
    <n v="0"/>
    <n v="56"/>
    <s v="41-60"/>
    <x v="1"/>
    <x v="12"/>
    <x v="9"/>
    <x v="3"/>
    <n v="1"/>
    <n v="1"/>
    <n v="2.7"/>
    <x v="11"/>
    <n v="6"/>
    <n v="7"/>
    <n v="581327"/>
    <n v="125235"/>
    <n v="456092"/>
    <n v="37"/>
    <n v="61"/>
    <n v="12.2"/>
  </r>
  <r>
    <x v="5"/>
    <x v="5"/>
    <d v="2022-01-24T00:00:00"/>
    <s v="NA"/>
    <n v="0"/>
    <n v="40"/>
    <s v="21-40"/>
    <x v="1"/>
    <x v="12"/>
    <x v="9"/>
    <x v="4"/>
    <n v="1"/>
    <n v="1"/>
    <n v="1.7"/>
    <x v="30"/>
    <n v="6"/>
    <n v="5"/>
    <n v="565351"/>
    <n v="119338"/>
    <n v="446013"/>
    <n v="35"/>
    <n v="59"/>
    <n v="10.8"/>
  </r>
  <r>
    <x v="5"/>
    <x v="5"/>
    <d v="2022-09-26T00:00:00"/>
    <s v="NA"/>
    <n v="0"/>
    <n v="78"/>
    <s v="61-80"/>
    <x v="0"/>
    <x v="6"/>
    <x v="4"/>
    <x v="2"/>
    <n v="1"/>
    <n v="1"/>
    <n v="2.8"/>
    <x v="12"/>
    <n v="3"/>
    <n v="7"/>
    <n v="596154"/>
    <n v="209518"/>
    <n v="386636"/>
    <n v="39"/>
    <n v="57"/>
    <n v="8.6"/>
  </r>
  <r>
    <x v="5"/>
    <x v="5"/>
    <d v="2021-03-28T00:00:00"/>
    <s v="NA"/>
    <n v="0"/>
    <n v="26"/>
    <s v="21-40"/>
    <x v="1"/>
    <x v="6"/>
    <x v="4"/>
    <x v="4"/>
    <n v="1"/>
    <n v="1"/>
    <n v="1.3"/>
    <x v="24"/>
    <n v="5"/>
    <n v="3"/>
    <n v="570934"/>
    <n v="152378"/>
    <n v="418556"/>
    <n v="37"/>
    <n v="58"/>
    <n v="13.2"/>
  </r>
  <r>
    <x v="5"/>
    <x v="5"/>
    <d v="2024-01-08T00:00:00"/>
    <s v="NA"/>
    <n v="0"/>
    <n v="49"/>
    <s v="41-60"/>
    <x v="0"/>
    <x v="1"/>
    <x v="1"/>
    <x v="0"/>
    <n v="1"/>
    <n v="1"/>
    <n v="6.4"/>
    <x v="7"/>
    <n v="5"/>
    <n v="5"/>
    <n v="587953"/>
    <n v="155680"/>
    <n v="432273"/>
    <n v="38"/>
    <n v="61"/>
    <n v="6.4"/>
  </r>
  <r>
    <x v="5"/>
    <x v="5"/>
    <d v="2023-09-19T00:00:00"/>
    <s v="NA"/>
    <n v="0"/>
    <n v="37"/>
    <s v="21-40"/>
    <x v="1"/>
    <x v="8"/>
    <x v="6"/>
    <x v="3"/>
    <n v="1"/>
    <n v="1"/>
    <n v="6.4"/>
    <x v="24"/>
    <n v="5"/>
    <n v="3"/>
    <n v="574099"/>
    <n v="183922"/>
    <n v="390177"/>
    <n v="35"/>
    <n v="61"/>
    <n v="12"/>
  </r>
  <r>
    <x v="5"/>
    <x v="5"/>
    <d v="2024-11-18T00:00:00"/>
    <s v="NA"/>
    <n v="0"/>
    <n v="49"/>
    <s v="41-60"/>
    <x v="0"/>
    <x v="9"/>
    <x v="7"/>
    <x v="1"/>
    <n v="1"/>
    <n v="1"/>
    <n v="5.4"/>
    <x v="14"/>
    <n v="3"/>
    <n v="5"/>
    <n v="525415"/>
    <n v="80852"/>
    <n v="444563"/>
    <n v="40"/>
    <n v="57"/>
    <n v="5"/>
  </r>
  <r>
    <x v="5"/>
    <x v="5"/>
    <d v="2022-05-02T00:00:00"/>
    <s v="NA"/>
    <n v="0"/>
    <n v="75"/>
    <s v="61-80"/>
    <x v="1"/>
    <x v="3"/>
    <x v="2"/>
    <x v="2"/>
    <n v="1"/>
    <n v="1"/>
    <n v="2.2999999999999998"/>
    <x v="29"/>
    <n v="5"/>
    <n v="4"/>
    <n v="583829"/>
    <n v="94249"/>
    <n v="489580"/>
    <n v="40"/>
    <n v="57"/>
    <n v="7.2"/>
  </r>
  <r>
    <x v="5"/>
    <x v="5"/>
    <d v="2023-06-10T00:00:00"/>
    <s v="NA"/>
    <n v="0"/>
    <n v="36"/>
    <s v="21-40"/>
    <x v="1"/>
    <x v="9"/>
    <x v="7"/>
    <x v="0"/>
    <n v="1"/>
    <n v="1"/>
    <n v="2.2000000000000002"/>
    <x v="5"/>
    <n v="5"/>
    <n v="4"/>
    <n v="593691"/>
    <n v="115460"/>
    <n v="478231"/>
    <n v="37"/>
    <n v="55"/>
    <n v="8.6999999999999993"/>
  </r>
  <r>
    <x v="5"/>
    <x v="5"/>
    <d v="2022-12-11T00:00:00"/>
    <s v="NA"/>
    <n v="0"/>
    <n v="75"/>
    <s v="61-80"/>
    <x v="1"/>
    <x v="3"/>
    <x v="2"/>
    <x v="4"/>
    <n v="1"/>
    <n v="1"/>
    <n v="2.2000000000000002"/>
    <x v="23"/>
    <n v="3"/>
    <n v="6"/>
    <n v="500342"/>
    <n v="81111"/>
    <n v="419231"/>
    <n v="35"/>
    <n v="61"/>
    <n v="6.8"/>
  </r>
  <r>
    <x v="8"/>
    <x v="8"/>
    <d v="2024-02-08T00:00:00"/>
    <s v="NA"/>
    <n v="0"/>
    <n v="29"/>
    <s v="21-40"/>
    <x v="1"/>
    <x v="2"/>
    <x v="1"/>
    <x v="2"/>
    <n v="1"/>
    <n v="1"/>
    <n v="6"/>
    <x v="26"/>
    <n v="6"/>
    <n v="3"/>
    <n v="800706"/>
    <n v="212038"/>
    <n v="588668"/>
    <n v="40"/>
    <n v="59"/>
    <n v="14.5"/>
  </r>
  <r>
    <x v="8"/>
    <x v="8"/>
    <d v="2022-06-25T00:00:00"/>
    <s v="NA"/>
    <n v="0"/>
    <n v="76"/>
    <s v="61-80"/>
    <x v="1"/>
    <x v="3"/>
    <x v="2"/>
    <x v="4"/>
    <n v="1"/>
    <n v="1"/>
    <n v="4.2"/>
    <x v="12"/>
    <n v="4"/>
    <n v="6"/>
    <n v="820892"/>
    <n v="253912"/>
    <n v="566980"/>
    <n v="54"/>
    <n v="66"/>
    <n v="13"/>
  </r>
  <r>
    <x v="8"/>
    <x v="8"/>
    <d v="2024-03-29T00:00:00"/>
    <s v="NA"/>
    <n v="0"/>
    <n v="46"/>
    <s v="41-60"/>
    <x v="1"/>
    <x v="10"/>
    <x v="8"/>
    <x v="3"/>
    <n v="1"/>
    <n v="1"/>
    <n v="3.7"/>
    <x v="24"/>
    <n v="7"/>
    <n v="3"/>
    <n v="744145"/>
    <n v="230665"/>
    <n v="513480"/>
    <n v="47"/>
    <n v="54"/>
    <n v="14.5"/>
  </r>
  <r>
    <x v="8"/>
    <x v="8"/>
    <d v="2023-11-03T00:00:00"/>
    <s v="NA"/>
    <n v="0"/>
    <n v="44"/>
    <s v="41-60"/>
    <x v="1"/>
    <x v="12"/>
    <x v="9"/>
    <x v="3"/>
    <n v="1"/>
    <n v="1"/>
    <n v="1"/>
    <x v="18"/>
    <n v="7"/>
    <n v="3"/>
    <n v="748193"/>
    <n v="203505"/>
    <n v="544688"/>
    <n v="49"/>
    <n v="55"/>
    <n v="7.7"/>
  </r>
  <r>
    <x v="5"/>
    <x v="5"/>
    <d v="2022-01-17T00:00:00"/>
    <s v="NA"/>
    <n v="0"/>
    <n v="66"/>
    <s v="61-80"/>
    <x v="0"/>
    <x v="10"/>
    <x v="8"/>
    <x v="4"/>
    <n v="1"/>
    <n v="1"/>
    <n v="5.7"/>
    <x v="28"/>
    <n v="3"/>
    <n v="6"/>
    <n v="521265"/>
    <n v="106006"/>
    <n v="415259"/>
    <n v="37"/>
    <n v="55"/>
    <n v="6.3"/>
  </r>
  <r>
    <x v="8"/>
    <x v="8"/>
    <d v="2024-12-11T00:00:00"/>
    <s v="NA"/>
    <n v="0"/>
    <n v="74"/>
    <s v="61-80"/>
    <x v="0"/>
    <x v="14"/>
    <x v="11"/>
    <x v="1"/>
    <n v="1"/>
    <n v="1"/>
    <n v="2.4"/>
    <x v="17"/>
    <n v="4"/>
    <n v="5"/>
    <n v="833713"/>
    <n v="279071"/>
    <n v="554642"/>
    <n v="53"/>
    <n v="58"/>
    <n v="9.6"/>
  </r>
  <r>
    <x v="5"/>
    <x v="5"/>
    <d v="2024-06-28T00:00:00"/>
    <s v="NA"/>
    <n v="0"/>
    <n v="76"/>
    <s v="61-80"/>
    <x v="0"/>
    <x v="0"/>
    <x v="0"/>
    <x v="2"/>
    <n v="1"/>
    <n v="1"/>
    <n v="4.0999999999999996"/>
    <x v="3"/>
    <n v="5"/>
    <n v="7"/>
    <n v="516672"/>
    <n v="97849"/>
    <n v="418823"/>
    <n v="36"/>
    <n v="63"/>
    <n v="12.9"/>
  </r>
  <r>
    <x v="8"/>
    <x v="8"/>
    <d v="2023-06-25T00:00:00"/>
    <s v="NA"/>
    <n v="0"/>
    <n v="26"/>
    <s v="21-40"/>
    <x v="1"/>
    <x v="11"/>
    <x v="8"/>
    <x v="0"/>
    <n v="1"/>
    <n v="1"/>
    <n v="3.9"/>
    <x v="1"/>
    <n v="5"/>
    <n v="5"/>
    <n v="765196"/>
    <n v="208279"/>
    <n v="556917"/>
    <n v="43"/>
    <n v="66"/>
    <n v="14.7"/>
  </r>
  <r>
    <x v="5"/>
    <x v="5"/>
    <d v="2024-09-25T00:00:00"/>
    <s v="NA"/>
    <n v="0"/>
    <n v="48"/>
    <s v="41-60"/>
    <x v="0"/>
    <x v="14"/>
    <x v="11"/>
    <x v="3"/>
    <n v="1"/>
    <n v="1"/>
    <n v="6.9"/>
    <x v="19"/>
    <n v="5"/>
    <n v="3"/>
    <n v="558764"/>
    <n v="130401"/>
    <n v="428363"/>
    <n v="39"/>
    <n v="63"/>
    <n v="9.3000000000000007"/>
  </r>
  <r>
    <x v="8"/>
    <x v="8"/>
    <d v="2023-01-20T00:00:00"/>
    <s v="NA"/>
    <n v="0"/>
    <n v="40"/>
    <s v="21-40"/>
    <x v="1"/>
    <x v="4"/>
    <x v="3"/>
    <x v="4"/>
    <n v="1"/>
    <n v="1"/>
    <n v="5.8"/>
    <x v="10"/>
    <n v="7"/>
    <n v="3"/>
    <n v="648393"/>
    <n v="81431"/>
    <n v="566962"/>
    <n v="48"/>
    <n v="60"/>
    <n v="12.5"/>
  </r>
  <r>
    <x v="5"/>
    <x v="5"/>
    <d v="2021-01-16T00:00:00"/>
    <s v="NA"/>
    <n v="0"/>
    <n v="90"/>
    <s v="81+"/>
    <x v="1"/>
    <x v="8"/>
    <x v="6"/>
    <x v="2"/>
    <n v="1"/>
    <n v="1"/>
    <n v="3.4"/>
    <x v="10"/>
    <n v="5"/>
    <n v="7"/>
    <n v="542185"/>
    <n v="59183"/>
    <n v="483002"/>
    <n v="40"/>
    <n v="66"/>
    <n v="12.8"/>
  </r>
  <r>
    <x v="5"/>
    <x v="5"/>
    <d v="2021-12-15T00:00:00"/>
    <s v="NA"/>
    <n v="0"/>
    <n v="40"/>
    <s v="21-40"/>
    <x v="0"/>
    <x v="10"/>
    <x v="8"/>
    <x v="4"/>
    <n v="1"/>
    <n v="1"/>
    <n v="4.9000000000000004"/>
    <x v="14"/>
    <n v="7"/>
    <n v="6"/>
    <n v="585253"/>
    <n v="188760"/>
    <n v="396493"/>
    <n v="38"/>
    <n v="54"/>
    <n v="12.7"/>
  </r>
  <r>
    <x v="5"/>
    <x v="5"/>
    <d v="2022-06-12T00:00:00"/>
    <s v="NA"/>
    <n v="0"/>
    <n v="39"/>
    <s v="21-40"/>
    <x v="0"/>
    <x v="0"/>
    <x v="0"/>
    <x v="2"/>
    <n v="1"/>
    <n v="1"/>
    <n v="5.6"/>
    <x v="18"/>
    <n v="6"/>
    <n v="3"/>
    <n v="517361"/>
    <n v="54734"/>
    <n v="462627"/>
    <n v="38"/>
    <n v="57"/>
    <n v="13.4"/>
  </r>
  <r>
    <x v="8"/>
    <x v="8"/>
    <d v="2021-05-31T00:00:00"/>
    <s v="NA"/>
    <n v="0"/>
    <n v="75"/>
    <s v="61-80"/>
    <x v="0"/>
    <x v="4"/>
    <x v="3"/>
    <x v="4"/>
    <n v="1"/>
    <n v="1"/>
    <n v="2.5"/>
    <x v="16"/>
    <n v="4"/>
    <n v="7"/>
    <n v="792578"/>
    <n v="224027"/>
    <n v="568551"/>
    <n v="58"/>
    <n v="62"/>
    <n v="10.3"/>
  </r>
  <r>
    <x v="5"/>
    <x v="5"/>
    <d v="2021-12-18T00:00:00"/>
    <s v="NA"/>
    <n v="0"/>
    <n v="67"/>
    <s v="61-80"/>
    <x v="1"/>
    <x v="1"/>
    <x v="1"/>
    <x v="0"/>
    <n v="1"/>
    <n v="1"/>
    <n v="2.7"/>
    <x v="15"/>
    <n v="6"/>
    <n v="4"/>
    <n v="524560"/>
    <n v="143327"/>
    <n v="381233"/>
    <n v="36"/>
    <n v="57"/>
    <n v="36.4"/>
  </r>
  <r>
    <x v="5"/>
    <x v="5"/>
    <d v="2023-10-19T00:00:00"/>
    <s v="NA"/>
    <n v="0"/>
    <n v="68"/>
    <s v="61-80"/>
    <x v="1"/>
    <x v="1"/>
    <x v="1"/>
    <x v="0"/>
    <n v="1"/>
    <n v="1"/>
    <n v="5.4"/>
    <x v="12"/>
    <n v="7"/>
    <n v="3"/>
    <n v="577016"/>
    <n v="110259"/>
    <n v="466757"/>
    <n v="40"/>
    <n v="58"/>
    <n v="5.4"/>
  </r>
  <r>
    <x v="5"/>
    <x v="5"/>
    <d v="2021-01-12T00:00:00"/>
    <s v="NA"/>
    <n v="0"/>
    <n v="36"/>
    <s v="21-40"/>
    <x v="1"/>
    <x v="8"/>
    <x v="6"/>
    <x v="4"/>
    <n v="1"/>
    <n v="1"/>
    <n v="3.2"/>
    <x v="12"/>
    <n v="5"/>
    <n v="6"/>
    <n v="535597"/>
    <n v="134949"/>
    <n v="400648"/>
    <n v="36"/>
    <n v="62"/>
    <n v="7.1"/>
  </r>
  <r>
    <x v="8"/>
    <x v="8"/>
    <d v="2023-06-07T00:00:00"/>
    <s v="NA"/>
    <n v="0"/>
    <n v="54"/>
    <s v="41-60"/>
    <x v="1"/>
    <x v="4"/>
    <x v="3"/>
    <x v="0"/>
    <n v="1"/>
    <n v="1"/>
    <n v="1.6"/>
    <x v="24"/>
    <n v="4"/>
    <n v="3"/>
    <n v="672567"/>
    <n v="73095"/>
    <n v="599472"/>
    <n v="56"/>
    <n v="62"/>
    <n v="13.9"/>
  </r>
  <r>
    <x v="5"/>
    <x v="5"/>
    <d v="2024-02-02T00:00:00"/>
    <s v="NA"/>
    <n v="0"/>
    <n v="85"/>
    <s v="81+"/>
    <x v="0"/>
    <x v="9"/>
    <x v="7"/>
    <x v="3"/>
    <n v="1"/>
    <n v="1"/>
    <n v="5.2"/>
    <x v="19"/>
    <n v="5"/>
    <n v="4"/>
    <n v="510185"/>
    <n v="80772"/>
    <n v="429413"/>
    <n v="38"/>
    <n v="54"/>
    <n v="7.3"/>
  </r>
  <r>
    <x v="8"/>
    <x v="8"/>
    <d v="2022-07-09T00:00:00"/>
    <s v="NA"/>
    <n v="0"/>
    <n v="38"/>
    <s v="21-40"/>
    <x v="1"/>
    <x v="2"/>
    <x v="1"/>
    <x v="2"/>
    <n v="1"/>
    <n v="1"/>
    <n v="6.1"/>
    <x v="13"/>
    <n v="3"/>
    <n v="3"/>
    <n v="614699"/>
    <n v="97318"/>
    <n v="517381"/>
    <n v="57"/>
    <n v="60"/>
    <n v="6"/>
  </r>
  <r>
    <x v="5"/>
    <x v="5"/>
    <d v="2021-12-10T00:00:00"/>
    <s v="NA"/>
    <n v="0"/>
    <n v="59"/>
    <s v="41-60"/>
    <x v="0"/>
    <x v="6"/>
    <x v="4"/>
    <x v="4"/>
    <n v="1"/>
    <n v="1"/>
    <n v="4"/>
    <x v="8"/>
    <n v="5"/>
    <n v="7"/>
    <n v="522718"/>
    <n v="80986"/>
    <n v="441732"/>
    <n v="37"/>
    <n v="55"/>
    <n v="9.1999999999999993"/>
  </r>
  <r>
    <x v="5"/>
    <x v="5"/>
    <d v="2022-12-17T00:00:00"/>
    <s v="NA"/>
    <n v="0"/>
    <n v="52"/>
    <s v="41-60"/>
    <x v="0"/>
    <x v="4"/>
    <x v="3"/>
    <x v="3"/>
    <n v="1"/>
    <n v="1"/>
    <n v="3"/>
    <x v="0"/>
    <n v="4"/>
    <n v="6"/>
    <n v="537722"/>
    <n v="116897"/>
    <n v="420825"/>
    <n v="39"/>
    <n v="63"/>
    <n v="5.6"/>
  </r>
  <r>
    <x v="8"/>
    <x v="8"/>
    <d v="2022-06-28T00:00:00"/>
    <s v="NA"/>
    <n v="0"/>
    <n v="29"/>
    <s v="21-40"/>
    <x v="0"/>
    <x v="14"/>
    <x v="11"/>
    <x v="2"/>
    <n v="1"/>
    <n v="1"/>
    <n v="1.7"/>
    <x v="29"/>
    <n v="6"/>
    <n v="3"/>
    <n v="662284"/>
    <n v="144502"/>
    <n v="517782"/>
    <n v="52"/>
    <n v="59"/>
    <n v="36.4"/>
  </r>
  <r>
    <x v="5"/>
    <x v="5"/>
    <d v="2024-01-04T00:00:00"/>
    <s v="NA"/>
    <n v="0"/>
    <n v="59"/>
    <s v="41-60"/>
    <x v="1"/>
    <x v="10"/>
    <x v="8"/>
    <x v="4"/>
    <n v="1"/>
    <n v="1"/>
    <n v="3.2"/>
    <x v="1"/>
    <n v="7"/>
    <n v="6"/>
    <n v="533644"/>
    <n v="103567"/>
    <n v="430077"/>
    <n v="40"/>
    <n v="57"/>
    <n v="13.9"/>
  </r>
  <r>
    <x v="5"/>
    <x v="5"/>
    <d v="2024-11-01T00:00:00"/>
    <s v="NA"/>
    <n v="0"/>
    <n v="31"/>
    <s v="21-40"/>
    <x v="1"/>
    <x v="2"/>
    <x v="1"/>
    <x v="2"/>
    <n v="1"/>
    <n v="1"/>
    <n v="4.7"/>
    <x v="21"/>
    <n v="4"/>
    <n v="5"/>
    <n v="593094"/>
    <n v="109891"/>
    <n v="483203"/>
    <n v="36"/>
    <n v="65"/>
    <n v="14.1"/>
  </r>
  <r>
    <x v="5"/>
    <x v="5"/>
    <d v="2021-07-21T00:00:00"/>
    <s v="NA"/>
    <n v="0"/>
    <n v="40"/>
    <s v="21-40"/>
    <x v="0"/>
    <x v="14"/>
    <x v="11"/>
    <x v="4"/>
    <n v="1"/>
    <n v="1"/>
    <n v="1.1000000000000001"/>
    <x v="24"/>
    <n v="5"/>
    <n v="3"/>
    <n v="551457"/>
    <n v="92558"/>
    <n v="458899"/>
    <n v="37"/>
    <n v="57"/>
    <n v="5.0999999999999996"/>
  </r>
  <r>
    <x v="5"/>
    <x v="5"/>
    <d v="2024-02-01T00:00:00"/>
    <s v="NA"/>
    <n v="0"/>
    <n v="90"/>
    <s v="81+"/>
    <x v="0"/>
    <x v="0"/>
    <x v="0"/>
    <x v="4"/>
    <n v="1"/>
    <n v="1"/>
    <n v="3.2"/>
    <x v="7"/>
    <n v="7"/>
    <n v="6"/>
    <n v="533652"/>
    <n v="113901"/>
    <n v="419751"/>
    <n v="35"/>
    <n v="57"/>
    <n v="7.2"/>
  </r>
  <r>
    <x v="5"/>
    <x v="5"/>
    <d v="2024-10-25T00:00:00"/>
    <s v="NA"/>
    <n v="0"/>
    <n v="28"/>
    <s v="21-40"/>
    <x v="0"/>
    <x v="4"/>
    <x v="3"/>
    <x v="3"/>
    <n v="1"/>
    <n v="1"/>
    <n v="4.8"/>
    <x v="14"/>
    <n v="7"/>
    <n v="7"/>
    <n v="512362"/>
    <n v="116306"/>
    <n v="396056"/>
    <n v="38"/>
    <n v="58"/>
    <n v="6.1"/>
  </r>
  <r>
    <x v="5"/>
    <x v="5"/>
    <d v="2024-07-09T00:00:00"/>
    <s v="NA"/>
    <n v="0"/>
    <n v="40"/>
    <s v="21-40"/>
    <x v="0"/>
    <x v="14"/>
    <x v="11"/>
    <x v="3"/>
    <n v="1"/>
    <n v="1"/>
    <n v="5.5"/>
    <x v="2"/>
    <n v="7"/>
    <n v="5"/>
    <n v="588217"/>
    <n v="160274"/>
    <n v="427943"/>
    <n v="35"/>
    <n v="62"/>
    <n v="14.5"/>
  </r>
  <r>
    <x v="5"/>
    <x v="5"/>
    <d v="2024-05-22T00:00:00"/>
    <s v="NA"/>
    <n v="0"/>
    <n v="30"/>
    <s v="21-40"/>
    <x v="1"/>
    <x v="9"/>
    <x v="7"/>
    <x v="1"/>
    <n v="1"/>
    <n v="1"/>
    <n v="1.5"/>
    <x v="3"/>
    <n v="5"/>
    <n v="6"/>
    <n v="521290"/>
    <n v="97029"/>
    <n v="424261"/>
    <n v="38"/>
    <n v="64"/>
    <n v="8.4"/>
  </r>
  <r>
    <x v="5"/>
    <x v="5"/>
    <d v="2024-09-27T00:00:00"/>
    <s v="NA"/>
    <n v="0"/>
    <n v="25"/>
    <s v="21-40"/>
    <x v="0"/>
    <x v="14"/>
    <x v="11"/>
    <x v="2"/>
    <n v="1"/>
    <n v="1"/>
    <n v="4.3"/>
    <x v="23"/>
    <n v="5"/>
    <n v="5"/>
    <n v="526620"/>
    <n v="136434"/>
    <n v="390186"/>
    <n v="35"/>
    <n v="63"/>
    <n v="14.1"/>
  </r>
  <r>
    <x v="5"/>
    <x v="5"/>
    <d v="2023-03-04T00:00:00"/>
    <s v="NA"/>
    <n v="0"/>
    <n v="59"/>
    <s v="41-60"/>
    <x v="1"/>
    <x v="3"/>
    <x v="2"/>
    <x v="3"/>
    <n v="1"/>
    <n v="1"/>
    <n v="6.9"/>
    <x v="18"/>
    <n v="3"/>
    <n v="7"/>
    <n v="589493"/>
    <n v="169598"/>
    <n v="419895"/>
    <n v="39"/>
    <n v="59"/>
    <n v="7.1"/>
  </r>
  <r>
    <x v="5"/>
    <x v="5"/>
    <d v="2023-06-10T00:00:00"/>
    <s v="NA"/>
    <n v="0"/>
    <n v="88"/>
    <s v="81+"/>
    <x v="0"/>
    <x v="12"/>
    <x v="9"/>
    <x v="0"/>
    <n v="1"/>
    <n v="1"/>
    <n v="4.3"/>
    <x v="11"/>
    <n v="5"/>
    <n v="3"/>
    <n v="508581"/>
    <n v="52405"/>
    <n v="456176"/>
    <n v="36"/>
    <n v="59"/>
    <n v="14.4"/>
  </r>
  <r>
    <x v="8"/>
    <x v="8"/>
    <d v="2021-05-05T00:00:00"/>
    <s v="NA"/>
    <n v="0"/>
    <n v="46"/>
    <s v="41-60"/>
    <x v="0"/>
    <x v="1"/>
    <x v="1"/>
    <x v="4"/>
    <n v="1"/>
    <n v="1"/>
    <n v="1.9"/>
    <x v="11"/>
    <n v="5"/>
    <n v="7"/>
    <n v="746099"/>
    <n v="209933"/>
    <n v="536166"/>
    <n v="49"/>
    <n v="66"/>
    <n v="6.6"/>
  </r>
  <r>
    <x v="8"/>
    <x v="8"/>
    <d v="2024-12-09T00:00:00"/>
    <s v="NA"/>
    <n v="0"/>
    <n v="89"/>
    <s v="81+"/>
    <x v="0"/>
    <x v="6"/>
    <x v="4"/>
    <x v="3"/>
    <n v="1"/>
    <n v="1"/>
    <n v="6.2"/>
    <x v="30"/>
    <n v="4"/>
    <n v="4"/>
    <n v="799705"/>
    <n v="248203"/>
    <n v="551502"/>
    <n v="49"/>
    <n v="60"/>
    <n v="10"/>
  </r>
  <r>
    <x v="5"/>
    <x v="5"/>
    <d v="2022-03-04T00:00:00"/>
    <s v="NA"/>
    <n v="0"/>
    <n v="48"/>
    <s v="41-60"/>
    <x v="0"/>
    <x v="12"/>
    <x v="9"/>
    <x v="4"/>
    <n v="1"/>
    <n v="1"/>
    <n v="4.4000000000000004"/>
    <x v="26"/>
    <n v="5"/>
    <n v="5"/>
    <n v="516575"/>
    <n v="108203"/>
    <n v="408372"/>
    <n v="39"/>
    <n v="59"/>
    <n v="8.8000000000000007"/>
  </r>
  <r>
    <x v="5"/>
    <x v="5"/>
    <d v="2024-06-21T00:00:00"/>
    <s v="NA"/>
    <n v="0"/>
    <n v="85"/>
    <s v="81+"/>
    <x v="0"/>
    <x v="4"/>
    <x v="3"/>
    <x v="1"/>
    <n v="1"/>
    <n v="1"/>
    <n v="4.0999999999999996"/>
    <x v="29"/>
    <n v="6"/>
    <n v="6"/>
    <n v="588236"/>
    <n v="180373"/>
    <n v="407863"/>
    <n v="38"/>
    <n v="61"/>
    <n v="10.9"/>
  </r>
  <r>
    <x v="9"/>
    <x v="9"/>
    <d v="2024-03-16T00:00:00"/>
    <s v="NA"/>
    <n v="0"/>
    <n v="33"/>
    <s v="21-40"/>
    <x v="1"/>
    <x v="3"/>
    <x v="2"/>
    <x v="1"/>
    <n v="1"/>
    <n v="1"/>
    <n v="3.9"/>
    <x v="2"/>
    <n v="3"/>
    <n v="6"/>
    <n v="931227"/>
    <n v="103485"/>
    <n v="827742"/>
    <n v="38"/>
    <n v="59"/>
    <n v="36.700000000000003"/>
  </r>
  <r>
    <x v="5"/>
    <x v="5"/>
    <d v="2024-07-01T00:00:00"/>
    <s v="NA"/>
    <n v="0"/>
    <n v="40"/>
    <s v="21-40"/>
    <x v="1"/>
    <x v="7"/>
    <x v="5"/>
    <x v="3"/>
    <n v="1"/>
    <n v="1"/>
    <n v="6.7"/>
    <x v="28"/>
    <n v="5"/>
    <n v="6"/>
    <n v="576036"/>
    <n v="90765"/>
    <n v="485271"/>
    <n v="38"/>
    <n v="65"/>
    <n v="13.6"/>
  </r>
  <r>
    <x v="5"/>
    <x v="5"/>
    <d v="2022-10-13T00:00:00"/>
    <s v="NA"/>
    <n v="0"/>
    <n v="35"/>
    <s v="21-40"/>
    <x v="1"/>
    <x v="3"/>
    <x v="2"/>
    <x v="4"/>
    <n v="1"/>
    <n v="1"/>
    <n v="4"/>
    <x v="28"/>
    <n v="4"/>
    <n v="7"/>
    <n v="545269"/>
    <n v="135089"/>
    <n v="410180"/>
    <n v="37"/>
    <n v="59"/>
    <n v="14.1"/>
  </r>
  <r>
    <x v="5"/>
    <x v="5"/>
    <d v="2024-10-08T00:00:00"/>
    <s v="NA"/>
    <n v="0"/>
    <n v="38"/>
    <s v="21-40"/>
    <x v="0"/>
    <x v="0"/>
    <x v="0"/>
    <x v="4"/>
    <n v="1"/>
    <n v="1"/>
    <n v="1.2"/>
    <x v="15"/>
    <n v="3"/>
    <n v="6"/>
    <n v="521409"/>
    <n v="119780"/>
    <n v="401629"/>
    <n v="37"/>
    <n v="55"/>
    <n v="12"/>
  </r>
  <r>
    <x v="5"/>
    <x v="5"/>
    <d v="2021-12-26T00:00:00"/>
    <s v="NA"/>
    <n v="0"/>
    <n v="65"/>
    <s v="61-80"/>
    <x v="0"/>
    <x v="7"/>
    <x v="5"/>
    <x v="2"/>
    <n v="1"/>
    <n v="1"/>
    <n v="5.6"/>
    <x v="28"/>
    <n v="4"/>
    <n v="3"/>
    <n v="598378"/>
    <n v="116217"/>
    <n v="482161"/>
    <n v="37"/>
    <n v="54"/>
    <n v="13.2"/>
  </r>
  <r>
    <x v="5"/>
    <x v="5"/>
    <d v="2023-10-19T00:00:00"/>
    <s v="NA"/>
    <n v="0"/>
    <n v="23"/>
    <s v="21-40"/>
    <x v="0"/>
    <x v="12"/>
    <x v="9"/>
    <x v="2"/>
    <n v="1"/>
    <n v="1"/>
    <n v="2.1"/>
    <x v="30"/>
    <n v="7"/>
    <n v="5"/>
    <n v="595644"/>
    <n v="172051"/>
    <n v="423593"/>
    <n v="39"/>
    <n v="64"/>
    <n v="36.200000000000003"/>
  </r>
  <r>
    <x v="5"/>
    <x v="5"/>
    <d v="2024-06-02T00:00:00"/>
    <s v="NA"/>
    <n v="0"/>
    <n v="83"/>
    <s v="81+"/>
    <x v="0"/>
    <x v="5"/>
    <x v="0"/>
    <x v="2"/>
    <n v="1"/>
    <n v="1"/>
    <n v="2.8"/>
    <x v="13"/>
    <n v="4"/>
    <n v="5"/>
    <n v="510310"/>
    <n v="33260"/>
    <n v="477050"/>
    <n v="35"/>
    <n v="62"/>
    <n v="8.3000000000000007"/>
  </r>
  <r>
    <x v="5"/>
    <x v="5"/>
    <d v="2024-06-25T00:00:00"/>
    <s v="NA"/>
    <n v="0"/>
    <n v="85"/>
    <s v="81+"/>
    <x v="1"/>
    <x v="2"/>
    <x v="1"/>
    <x v="3"/>
    <n v="1"/>
    <n v="1"/>
    <n v="1"/>
    <x v="3"/>
    <n v="3"/>
    <n v="3"/>
    <n v="568331"/>
    <n v="102546"/>
    <n v="465785"/>
    <n v="40"/>
    <n v="60"/>
    <n v="8.8000000000000007"/>
  </r>
  <r>
    <x v="9"/>
    <x v="9"/>
    <d v="2023-10-06T00:00:00"/>
    <s v="NA"/>
    <n v="0"/>
    <n v="49"/>
    <s v="41-60"/>
    <x v="1"/>
    <x v="10"/>
    <x v="8"/>
    <x v="3"/>
    <n v="1"/>
    <n v="1"/>
    <n v="6"/>
    <x v="10"/>
    <n v="4"/>
    <n v="4"/>
    <n v="980534"/>
    <n v="173760"/>
    <n v="806774"/>
    <n v="38"/>
    <n v="55"/>
    <n v="36.4"/>
  </r>
  <r>
    <x v="5"/>
    <x v="5"/>
    <d v="2021-07-07T00:00:00"/>
    <s v="NA"/>
    <n v="0"/>
    <n v="47"/>
    <s v="41-60"/>
    <x v="1"/>
    <x v="1"/>
    <x v="1"/>
    <x v="0"/>
    <n v="1"/>
    <n v="1"/>
    <n v="4.5999999999999996"/>
    <x v="18"/>
    <n v="7"/>
    <n v="4"/>
    <n v="570331"/>
    <n v="149556"/>
    <n v="420775"/>
    <n v="35"/>
    <n v="64"/>
    <n v="12.9"/>
  </r>
  <r>
    <x v="5"/>
    <x v="5"/>
    <d v="2023-11-21T00:00:00"/>
    <s v="NA"/>
    <n v="0"/>
    <n v="31"/>
    <s v="21-40"/>
    <x v="0"/>
    <x v="1"/>
    <x v="1"/>
    <x v="3"/>
    <n v="1"/>
    <n v="1"/>
    <n v="5.7"/>
    <x v="14"/>
    <n v="6"/>
    <n v="4"/>
    <n v="502401"/>
    <n v="48229"/>
    <n v="454172"/>
    <n v="40"/>
    <n v="66"/>
    <n v="6.1"/>
  </r>
  <r>
    <x v="5"/>
    <x v="5"/>
    <d v="2022-03-06T00:00:00"/>
    <s v="NA"/>
    <n v="0"/>
    <n v="23"/>
    <s v="21-40"/>
    <x v="0"/>
    <x v="0"/>
    <x v="0"/>
    <x v="1"/>
    <n v="1"/>
    <n v="1"/>
    <n v="5.9"/>
    <x v="13"/>
    <n v="6"/>
    <n v="3"/>
    <n v="587159"/>
    <n v="168058"/>
    <n v="419101"/>
    <n v="37"/>
    <n v="64"/>
    <n v="5.8"/>
  </r>
  <r>
    <x v="5"/>
    <x v="5"/>
    <d v="2022-10-26T00:00:00"/>
    <s v="NA"/>
    <n v="0"/>
    <n v="25"/>
    <s v="21-40"/>
    <x v="0"/>
    <x v="5"/>
    <x v="0"/>
    <x v="3"/>
    <n v="1"/>
    <n v="1"/>
    <n v="3.8"/>
    <x v="1"/>
    <n v="6"/>
    <n v="6"/>
    <n v="505616"/>
    <n v="114978"/>
    <n v="390638"/>
    <n v="38"/>
    <n v="59"/>
    <n v="15"/>
  </r>
  <r>
    <x v="5"/>
    <x v="5"/>
    <d v="2024-05-04T00:00:00"/>
    <s v="NA"/>
    <n v="0"/>
    <n v="69"/>
    <s v="61-80"/>
    <x v="0"/>
    <x v="13"/>
    <x v="10"/>
    <x v="4"/>
    <n v="1"/>
    <n v="1"/>
    <n v="4.4000000000000004"/>
    <x v="23"/>
    <n v="6"/>
    <n v="7"/>
    <n v="562519"/>
    <n v="81036"/>
    <n v="481483"/>
    <n v="38"/>
    <n v="56"/>
    <n v="8.1"/>
  </r>
  <r>
    <x v="5"/>
    <x v="5"/>
    <d v="2024-09-04T00:00:00"/>
    <s v="NA"/>
    <n v="0"/>
    <n v="59"/>
    <s v="41-60"/>
    <x v="0"/>
    <x v="12"/>
    <x v="9"/>
    <x v="3"/>
    <n v="1"/>
    <n v="1"/>
    <n v="3.8"/>
    <x v="6"/>
    <n v="6"/>
    <n v="4"/>
    <n v="526341"/>
    <n v="76894"/>
    <n v="449447"/>
    <n v="36"/>
    <n v="66"/>
    <n v="8.3000000000000007"/>
  </r>
  <r>
    <x v="5"/>
    <x v="5"/>
    <d v="2021-07-22T00:00:00"/>
    <s v="NA"/>
    <n v="0"/>
    <n v="45"/>
    <s v="41-60"/>
    <x v="0"/>
    <x v="13"/>
    <x v="10"/>
    <x v="3"/>
    <n v="1"/>
    <n v="1"/>
    <n v="3.8"/>
    <x v="7"/>
    <n v="7"/>
    <n v="6"/>
    <n v="550176"/>
    <n v="127524"/>
    <n v="422652"/>
    <n v="37"/>
    <n v="66"/>
    <n v="14.1"/>
  </r>
  <r>
    <x v="5"/>
    <x v="5"/>
    <d v="2021-01-18T00:00:00"/>
    <s v="NA"/>
    <n v="0"/>
    <n v="46"/>
    <s v="41-60"/>
    <x v="1"/>
    <x v="3"/>
    <x v="2"/>
    <x v="4"/>
    <n v="1"/>
    <n v="1"/>
    <n v="7"/>
    <x v="7"/>
    <n v="3"/>
    <n v="6"/>
    <n v="523767"/>
    <n v="118828"/>
    <n v="404939"/>
    <n v="35"/>
    <n v="56"/>
    <n v="6.2"/>
  </r>
  <r>
    <x v="5"/>
    <x v="5"/>
    <d v="2021-10-17T00:00:00"/>
    <s v="NA"/>
    <n v="0"/>
    <n v="54"/>
    <s v="41-60"/>
    <x v="0"/>
    <x v="12"/>
    <x v="9"/>
    <x v="3"/>
    <n v="1"/>
    <n v="1"/>
    <n v="3"/>
    <x v="4"/>
    <n v="3"/>
    <n v="7"/>
    <n v="530618"/>
    <n v="55675"/>
    <n v="474943"/>
    <n v="35"/>
    <n v="56"/>
    <n v="7.3"/>
  </r>
  <r>
    <x v="5"/>
    <x v="5"/>
    <d v="2024-06-17T00:00:00"/>
    <s v="NA"/>
    <n v="0"/>
    <n v="58"/>
    <s v="41-60"/>
    <x v="1"/>
    <x v="13"/>
    <x v="10"/>
    <x v="3"/>
    <n v="1"/>
    <n v="1"/>
    <n v="6.3"/>
    <x v="7"/>
    <n v="4"/>
    <n v="7"/>
    <n v="585493"/>
    <n v="131954"/>
    <n v="453539"/>
    <n v="39"/>
    <n v="54"/>
    <n v="5.4"/>
  </r>
  <r>
    <x v="5"/>
    <x v="5"/>
    <d v="2023-03-21T00:00:00"/>
    <s v="NA"/>
    <n v="0"/>
    <n v="57"/>
    <s v="41-60"/>
    <x v="1"/>
    <x v="4"/>
    <x v="3"/>
    <x v="2"/>
    <n v="1"/>
    <n v="1"/>
    <n v="2.4"/>
    <x v="10"/>
    <n v="7"/>
    <n v="7"/>
    <n v="555531"/>
    <n v="83986"/>
    <n v="471545"/>
    <n v="39"/>
    <n v="61"/>
    <n v="10"/>
  </r>
  <r>
    <x v="5"/>
    <x v="5"/>
    <d v="2021-12-12T00:00:00"/>
    <s v="NA"/>
    <n v="0"/>
    <n v="47"/>
    <s v="41-60"/>
    <x v="0"/>
    <x v="12"/>
    <x v="9"/>
    <x v="3"/>
    <n v="1"/>
    <n v="1"/>
    <n v="3.2"/>
    <x v="1"/>
    <n v="7"/>
    <n v="4"/>
    <n v="505788"/>
    <n v="102833"/>
    <n v="402955"/>
    <n v="40"/>
    <n v="64"/>
    <n v="36.1"/>
  </r>
  <r>
    <x v="5"/>
    <x v="5"/>
    <d v="2023-07-29T00:00:00"/>
    <s v="NA"/>
    <n v="0"/>
    <n v="56"/>
    <s v="41-60"/>
    <x v="1"/>
    <x v="2"/>
    <x v="1"/>
    <x v="3"/>
    <n v="1"/>
    <n v="1"/>
    <n v="1.7"/>
    <x v="5"/>
    <n v="6"/>
    <n v="4"/>
    <n v="593381"/>
    <n v="110776"/>
    <n v="482605"/>
    <n v="36"/>
    <n v="60"/>
    <n v="12.4"/>
  </r>
  <r>
    <x v="5"/>
    <x v="5"/>
    <d v="2021-10-05T00:00:00"/>
    <s v="NA"/>
    <n v="0"/>
    <n v="28"/>
    <s v="21-40"/>
    <x v="0"/>
    <x v="12"/>
    <x v="9"/>
    <x v="3"/>
    <n v="1"/>
    <n v="1"/>
    <n v="2.5"/>
    <x v="25"/>
    <n v="6"/>
    <n v="6"/>
    <n v="560443"/>
    <n v="117171"/>
    <n v="443272"/>
    <n v="36"/>
    <n v="58"/>
    <n v="7.7"/>
  </r>
  <r>
    <x v="9"/>
    <x v="9"/>
    <d v="2023-09-21T00:00:00"/>
    <s v="NA"/>
    <n v="0"/>
    <n v="65"/>
    <s v="61-80"/>
    <x v="1"/>
    <x v="4"/>
    <x v="3"/>
    <x v="3"/>
    <n v="1"/>
    <n v="1"/>
    <n v="5.0999999999999996"/>
    <x v="19"/>
    <n v="6"/>
    <n v="5"/>
    <n v="936662"/>
    <n v="41825"/>
    <n v="894837"/>
    <n v="37"/>
    <n v="63"/>
    <n v="10.5"/>
  </r>
  <r>
    <x v="5"/>
    <x v="5"/>
    <d v="2023-12-10T00:00:00"/>
    <s v="NA"/>
    <n v="0"/>
    <n v="83"/>
    <s v="81+"/>
    <x v="1"/>
    <x v="9"/>
    <x v="7"/>
    <x v="4"/>
    <n v="1"/>
    <n v="1"/>
    <n v="5.5"/>
    <x v="21"/>
    <n v="5"/>
    <n v="5"/>
    <n v="592595"/>
    <n v="135076"/>
    <n v="457519"/>
    <n v="35"/>
    <n v="65"/>
    <n v="12"/>
  </r>
  <r>
    <x v="5"/>
    <x v="5"/>
    <d v="2024-12-06T00:00:00"/>
    <s v="NA"/>
    <n v="0"/>
    <n v="31"/>
    <s v="21-40"/>
    <x v="1"/>
    <x v="2"/>
    <x v="1"/>
    <x v="2"/>
    <n v="1"/>
    <n v="1"/>
    <n v="6.6"/>
    <x v="1"/>
    <n v="3"/>
    <n v="4"/>
    <n v="556955"/>
    <n v="158982"/>
    <n v="397973"/>
    <n v="37"/>
    <n v="61"/>
    <n v="6.2"/>
  </r>
  <r>
    <x v="5"/>
    <x v="5"/>
    <d v="2022-12-05T00:00:00"/>
    <s v="NA"/>
    <n v="0"/>
    <n v="47"/>
    <s v="41-60"/>
    <x v="0"/>
    <x v="12"/>
    <x v="9"/>
    <x v="4"/>
    <n v="1"/>
    <n v="1"/>
    <n v="2.2000000000000002"/>
    <x v="29"/>
    <n v="7"/>
    <n v="6"/>
    <n v="589604"/>
    <n v="187482"/>
    <n v="402122"/>
    <n v="40"/>
    <n v="54"/>
    <n v="12.7"/>
  </r>
  <r>
    <x v="5"/>
    <x v="5"/>
    <d v="2021-10-13T00:00:00"/>
    <s v="NA"/>
    <n v="0"/>
    <n v="62"/>
    <s v="61-80"/>
    <x v="1"/>
    <x v="9"/>
    <x v="7"/>
    <x v="1"/>
    <n v="1"/>
    <n v="1"/>
    <n v="3.3"/>
    <x v="10"/>
    <n v="4"/>
    <n v="5"/>
    <n v="578954"/>
    <n v="161087"/>
    <n v="417867"/>
    <n v="40"/>
    <n v="60"/>
    <n v="8.4"/>
  </r>
  <r>
    <x v="9"/>
    <x v="9"/>
    <d v="2021-02-20T00:00:00"/>
    <s v="NA"/>
    <n v="0"/>
    <n v="66"/>
    <s v="61-80"/>
    <x v="0"/>
    <x v="7"/>
    <x v="5"/>
    <x v="3"/>
    <n v="1"/>
    <n v="1"/>
    <n v="2.9"/>
    <x v="11"/>
    <n v="7"/>
    <n v="3"/>
    <n v="923776"/>
    <n v="103335"/>
    <n v="820441"/>
    <n v="39"/>
    <n v="66"/>
    <n v="36.1"/>
  </r>
  <r>
    <x v="5"/>
    <x v="5"/>
    <d v="2021-12-20T00:00:00"/>
    <s v="NA"/>
    <n v="0"/>
    <n v="39"/>
    <s v="21-40"/>
    <x v="0"/>
    <x v="12"/>
    <x v="9"/>
    <x v="2"/>
    <n v="1"/>
    <n v="1"/>
    <n v="2"/>
    <x v="19"/>
    <n v="4"/>
    <n v="7"/>
    <n v="536503"/>
    <n v="147946"/>
    <n v="388557"/>
    <n v="39"/>
    <n v="57"/>
    <n v="5.7"/>
  </r>
  <r>
    <x v="5"/>
    <x v="5"/>
    <d v="2024-02-02T00:00:00"/>
    <s v="NA"/>
    <n v="0"/>
    <n v="86"/>
    <s v="81+"/>
    <x v="0"/>
    <x v="0"/>
    <x v="0"/>
    <x v="4"/>
    <n v="1"/>
    <n v="1"/>
    <n v="5.5"/>
    <x v="29"/>
    <n v="3"/>
    <n v="7"/>
    <n v="597124"/>
    <n v="160781"/>
    <n v="436343"/>
    <n v="40"/>
    <n v="56"/>
    <n v="5.2"/>
  </r>
  <r>
    <x v="5"/>
    <x v="5"/>
    <d v="2022-05-20T00:00:00"/>
    <s v="NA"/>
    <n v="0"/>
    <n v="34"/>
    <s v="21-40"/>
    <x v="1"/>
    <x v="3"/>
    <x v="2"/>
    <x v="0"/>
    <n v="1"/>
    <n v="1"/>
    <n v="5.3"/>
    <x v="15"/>
    <n v="4"/>
    <n v="7"/>
    <n v="538107"/>
    <n v="53506"/>
    <n v="484601"/>
    <n v="36"/>
    <n v="64"/>
    <n v="12.8"/>
  </r>
  <r>
    <x v="5"/>
    <x v="5"/>
    <d v="2021-05-13T00:00:00"/>
    <s v="NA"/>
    <n v="0"/>
    <n v="39"/>
    <s v="21-40"/>
    <x v="0"/>
    <x v="2"/>
    <x v="1"/>
    <x v="2"/>
    <n v="1"/>
    <n v="1"/>
    <n v="1.2"/>
    <x v="11"/>
    <n v="6"/>
    <n v="3"/>
    <n v="535459"/>
    <n v="150384"/>
    <n v="385075"/>
    <n v="38"/>
    <n v="63"/>
    <n v="9"/>
  </r>
  <r>
    <x v="5"/>
    <x v="5"/>
    <d v="2024-09-12T00:00:00"/>
    <s v="NA"/>
    <n v="0"/>
    <n v="45"/>
    <s v="41-60"/>
    <x v="0"/>
    <x v="9"/>
    <x v="7"/>
    <x v="2"/>
    <n v="1"/>
    <n v="1"/>
    <n v="2.2999999999999998"/>
    <x v="18"/>
    <n v="4"/>
    <n v="6"/>
    <n v="507872"/>
    <n v="92209"/>
    <n v="415663"/>
    <n v="40"/>
    <n v="65"/>
    <n v="9.6"/>
  </r>
  <r>
    <x v="5"/>
    <x v="5"/>
    <d v="2023-06-16T00:00:00"/>
    <s v="NA"/>
    <n v="0"/>
    <n v="62"/>
    <s v="61-80"/>
    <x v="1"/>
    <x v="6"/>
    <x v="4"/>
    <x v="1"/>
    <n v="1"/>
    <n v="1"/>
    <n v="1.6"/>
    <x v="29"/>
    <n v="4"/>
    <n v="3"/>
    <n v="555480"/>
    <n v="118275"/>
    <n v="437205"/>
    <n v="35"/>
    <n v="58"/>
    <n v="6.5"/>
  </r>
  <r>
    <x v="5"/>
    <x v="5"/>
    <d v="2024-11-07T00:00:00"/>
    <s v="NA"/>
    <n v="0"/>
    <n v="60"/>
    <s v="41-60"/>
    <x v="0"/>
    <x v="9"/>
    <x v="7"/>
    <x v="0"/>
    <n v="1"/>
    <n v="1"/>
    <n v="1.2"/>
    <x v="21"/>
    <n v="6"/>
    <n v="3"/>
    <n v="536584"/>
    <n v="57428"/>
    <n v="479156"/>
    <n v="35"/>
    <n v="66"/>
    <n v="6.4"/>
  </r>
  <r>
    <x v="5"/>
    <x v="5"/>
    <d v="2022-11-06T00:00:00"/>
    <s v="NA"/>
    <n v="0"/>
    <n v="31"/>
    <s v="21-40"/>
    <x v="0"/>
    <x v="2"/>
    <x v="1"/>
    <x v="3"/>
    <n v="1"/>
    <n v="1"/>
    <n v="5.5"/>
    <x v="21"/>
    <n v="3"/>
    <n v="5"/>
    <n v="547843"/>
    <n v="64043"/>
    <n v="483800"/>
    <n v="38"/>
    <n v="59"/>
    <n v="6.1"/>
  </r>
  <r>
    <x v="5"/>
    <x v="5"/>
    <d v="2022-07-13T00:00:00"/>
    <s v="NA"/>
    <n v="0"/>
    <n v="66"/>
    <s v="61-80"/>
    <x v="1"/>
    <x v="3"/>
    <x v="2"/>
    <x v="3"/>
    <n v="1"/>
    <n v="1"/>
    <n v="5.5"/>
    <x v="13"/>
    <n v="3"/>
    <n v="3"/>
    <n v="500673"/>
    <n v="29593"/>
    <n v="471080"/>
    <n v="40"/>
    <n v="60"/>
    <n v="7.1"/>
  </r>
  <r>
    <x v="5"/>
    <x v="5"/>
    <d v="2021-05-16T00:00:00"/>
    <s v="NA"/>
    <n v="0"/>
    <n v="72"/>
    <s v="61-80"/>
    <x v="1"/>
    <x v="13"/>
    <x v="10"/>
    <x v="4"/>
    <n v="1"/>
    <n v="1"/>
    <n v="6.4"/>
    <x v="25"/>
    <n v="5"/>
    <n v="5"/>
    <n v="595968"/>
    <n v="139580"/>
    <n v="456388"/>
    <n v="38"/>
    <n v="66"/>
    <n v="36.4"/>
  </r>
  <r>
    <x v="9"/>
    <x v="9"/>
    <d v="2021-06-15T00:00:00"/>
    <s v="NA"/>
    <n v="0"/>
    <n v="33"/>
    <s v="21-40"/>
    <x v="0"/>
    <x v="2"/>
    <x v="1"/>
    <x v="0"/>
    <n v="1"/>
    <n v="1"/>
    <n v="4.5"/>
    <x v="8"/>
    <n v="7"/>
    <n v="5"/>
    <n v="931265"/>
    <n v="108319"/>
    <n v="822946"/>
    <n v="30"/>
    <n v="64"/>
    <n v="6.1"/>
  </r>
  <r>
    <x v="5"/>
    <x v="5"/>
    <d v="2021-11-20T00:00:00"/>
    <s v="NA"/>
    <n v="0"/>
    <n v="46"/>
    <s v="41-60"/>
    <x v="1"/>
    <x v="12"/>
    <x v="9"/>
    <x v="1"/>
    <n v="1"/>
    <n v="1"/>
    <n v="4.0999999999999996"/>
    <x v="9"/>
    <n v="6"/>
    <n v="4"/>
    <n v="540832"/>
    <n v="80467"/>
    <n v="460365"/>
    <n v="40"/>
    <n v="64"/>
    <n v="5"/>
  </r>
  <r>
    <x v="5"/>
    <x v="5"/>
    <d v="2022-08-30T00:00:00"/>
    <s v="NA"/>
    <n v="0"/>
    <n v="31"/>
    <s v="21-40"/>
    <x v="0"/>
    <x v="5"/>
    <x v="0"/>
    <x v="0"/>
    <n v="1"/>
    <n v="1"/>
    <n v="6.4"/>
    <x v="10"/>
    <n v="3"/>
    <n v="6"/>
    <n v="531422"/>
    <n v="127323"/>
    <n v="404099"/>
    <n v="39"/>
    <n v="64"/>
    <n v="6.7"/>
  </r>
  <r>
    <x v="5"/>
    <x v="5"/>
    <d v="2021-07-06T00:00:00"/>
    <s v="NA"/>
    <n v="0"/>
    <n v="74"/>
    <s v="61-80"/>
    <x v="0"/>
    <x v="9"/>
    <x v="7"/>
    <x v="1"/>
    <n v="1"/>
    <n v="1"/>
    <n v="1.3"/>
    <x v="5"/>
    <n v="7"/>
    <n v="6"/>
    <n v="512392"/>
    <n v="66934"/>
    <n v="445458"/>
    <n v="38"/>
    <n v="63"/>
    <n v="14"/>
  </r>
  <r>
    <x v="5"/>
    <x v="5"/>
    <d v="2022-07-29T00:00:00"/>
    <s v="NA"/>
    <n v="0"/>
    <n v="27"/>
    <s v="21-40"/>
    <x v="0"/>
    <x v="0"/>
    <x v="0"/>
    <x v="2"/>
    <n v="1"/>
    <n v="1"/>
    <n v="4.8"/>
    <x v="18"/>
    <n v="6"/>
    <n v="5"/>
    <n v="566333"/>
    <n v="183990"/>
    <n v="382343"/>
    <n v="35"/>
    <n v="55"/>
    <n v="12.1"/>
  </r>
  <r>
    <x v="5"/>
    <x v="5"/>
    <d v="2021-02-13T00:00:00"/>
    <s v="NA"/>
    <n v="0"/>
    <n v="66"/>
    <s v="61-80"/>
    <x v="1"/>
    <x v="9"/>
    <x v="7"/>
    <x v="2"/>
    <n v="1"/>
    <n v="1"/>
    <n v="4.3"/>
    <x v="24"/>
    <n v="5"/>
    <n v="3"/>
    <n v="504231"/>
    <n v="47171"/>
    <n v="457060"/>
    <n v="35"/>
    <n v="64"/>
    <n v="12.9"/>
  </r>
  <r>
    <x v="5"/>
    <x v="5"/>
    <d v="2024-12-15T00:00:00"/>
    <s v="NA"/>
    <n v="0"/>
    <n v="53"/>
    <s v="41-60"/>
    <x v="0"/>
    <x v="1"/>
    <x v="1"/>
    <x v="4"/>
    <n v="1"/>
    <n v="1"/>
    <n v="2.2000000000000002"/>
    <x v="4"/>
    <n v="4"/>
    <n v="7"/>
    <n v="563983"/>
    <n v="117962"/>
    <n v="446021"/>
    <n v="38"/>
    <n v="57"/>
    <n v="7.3"/>
  </r>
  <r>
    <x v="5"/>
    <x v="5"/>
    <d v="2023-08-17T00:00:00"/>
    <s v="NA"/>
    <n v="0"/>
    <n v="73"/>
    <s v="61-80"/>
    <x v="0"/>
    <x v="10"/>
    <x v="8"/>
    <x v="4"/>
    <n v="1"/>
    <n v="1"/>
    <n v="1.9"/>
    <x v="24"/>
    <n v="5"/>
    <n v="7"/>
    <n v="592630"/>
    <n v="131586"/>
    <n v="461044"/>
    <n v="37"/>
    <n v="58"/>
    <n v="10.5"/>
  </r>
  <r>
    <x v="5"/>
    <x v="5"/>
    <d v="2021-03-20T00:00:00"/>
    <s v="NA"/>
    <n v="0"/>
    <n v="79"/>
    <s v="61-80"/>
    <x v="0"/>
    <x v="12"/>
    <x v="9"/>
    <x v="3"/>
    <n v="1"/>
    <n v="1"/>
    <n v="6.1"/>
    <x v="14"/>
    <n v="3"/>
    <n v="5"/>
    <n v="533684"/>
    <n v="105360"/>
    <n v="428324"/>
    <n v="38"/>
    <n v="62"/>
    <n v="14.3"/>
  </r>
  <r>
    <x v="5"/>
    <x v="5"/>
    <d v="2021-11-09T00:00:00"/>
    <s v="NA"/>
    <n v="0"/>
    <n v="40"/>
    <s v="21-40"/>
    <x v="0"/>
    <x v="13"/>
    <x v="10"/>
    <x v="0"/>
    <n v="1"/>
    <n v="1"/>
    <n v="1"/>
    <x v="5"/>
    <n v="5"/>
    <n v="3"/>
    <n v="599186"/>
    <n v="160815"/>
    <n v="438371"/>
    <n v="36"/>
    <n v="58"/>
    <n v="6.1"/>
  </r>
  <r>
    <x v="5"/>
    <x v="5"/>
    <d v="2022-06-22T00:00:00"/>
    <s v="NA"/>
    <n v="0"/>
    <n v="33"/>
    <s v="21-40"/>
    <x v="1"/>
    <x v="4"/>
    <x v="3"/>
    <x v="2"/>
    <n v="1"/>
    <n v="1"/>
    <n v="2.2000000000000002"/>
    <x v="12"/>
    <n v="6"/>
    <n v="7"/>
    <n v="505533"/>
    <n v="25633"/>
    <n v="479900"/>
    <n v="35"/>
    <n v="55"/>
    <n v="12.4"/>
  </r>
  <r>
    <x v="5"/>
    <x v="5"/>
    <d v="2024-11-10T00:00:00"/>
    <s v="NA"/>
    <n v="0"/>
    <n v="29"/>
    <s v="21-40"/>
    <x v="1"/>
    <x v="2"/>
    <x v="1"/>
    <x v="1"/>
    <n v="1"/>
    <n v="1"/>
    <n v="4.0999999999999996"/>
    <x v="10"/>
    <n v="6"/>
    <n v="4"/>
    <n v="572700"/>
    <n v="90485"/>
    <n v="482215"/>
    <n v="38"/>
    <n v="56"/>
    <n v="7.7"/>
  </r>
  <r>
    <x v="5"/>
    <x v="5"/>
    <d v="2021-09-25T00:00:00"/>
    <s v="NA"/>
    <n v="0"/>
    <n v="73"/>
    <s v="61-80"/>
    <x v="1"/>
    <x v="13"/>
    <x v="10"/>
    <x v="3"/>
    <n v="1"/>
    <n v="1"/>
    <n v="1.6"/>
    <x v="2"/>
    <n v="6"/>
    <n v="5"/>
    <n v="588744"/>
    <n v="114161"/>
    <n v="474583"/>
    <n v="39"/>
    <n v="55"/>
    <n v="8.9"/>
  </r>
  <r>
    <x v="5"/>
    <x v="5"/>
    <d v="2023-08-15T00:00:00"/>
    <s v="NA"/>
    <n v="0"/>
    <n v="28"/>
    <s v="21-40"/>
    <x v="0"/>
    <x v="6"/>
    <x v="4"/>
    <x v="2"/>
    <n v="1"/>
    <n v="1"/>
    <n v="1.9"/>
    <x v="29"/>
    <n v="5"/>
    <n v="3"/>
    <n v="555783"/>
    <n v="139623"/>
    <n v="416160"/>
    <n v="37"/>
    <n v="62"/>
    <n v="10.5"/>
  </r>
  <r>
    <x v="5"/>
    <x v="5"/>
    <d v="2024-01-09T00:00:00"/>
    <s v="NA"/>
    <n v="0"/>
    <n v="66"/>
    <s v="61-80"/>
    <x v="0"/>
    <x v="2"/>
    <x v="1"/>
    <x v="0"/>
    <n v="1"/>
    <n v="1"/>
    <n v="2.4"/>
    <x v="4"/>
    <n v="5"/>
    <n v="7"/>
    <n v="588177"/>
    <n v="132104"/>
    <n v="456073"/>
    <n v="39"/>
    <n v="57"/>
    <n v="10.4"/>
  </r>
  <r>
    <x v="5"/>
    <x v="5"/>
    <d v="2022-10-04T00:00:00"/>
    <s v="NA"/>
    <n v="0"/>
    <n v="49"/>
    <s v="41-60"/>
    <x v="1"/>
    <x v="12"/>
    <x v="9"/>
    <x v="4"/>
    <n v="1"/>
    <n v="1"/>
    <n v="5.7"/>
    <x v="20"/>
    <n v="6"/>
    <n v="3"/>
    <n v="547741"/>
    <n v="161136"/>
    <n v="386605"/>
    <n v="39"/>
    <n v="59"/>
    <n v="8.3000000000000007"/>
  </r>
  <r>
    <x v="5"/>
    <x v="5"/>
    <d v="2022-10-20T00:00:00"/>
    <s v="NA"/>
    <n v="0"/>
    <n v="46"/>
    <s v="41-60"/>
    <x v="1"/>
    <x v="12"/>
    <x v="9"/>
    <x v="2"/>
    <n v="1"/>
    <n v="1"/>
    <n v="4.2"/>
    <x v="16"/>
    <n v="3"/>
    <n v="3"/>
    <n v="568484"/>
    <n v="154988"/>
    <n v="413496"/>
    <n v="37"/>
    <n v="54"/>
    <n v="6.6"/>
  </r>
  <r>
    <x v="5"/>
    <x v="5"/>
    <d v="2022-12-16T00:00:00"/>
    <s v="NA"/>
    <n v="0"/>
    <n v="78"/>
    <s v="61-80"/>
    <x v="0"/>
    <x v="9"/>
    <x v="7"/>
    <x v="2"/>
    <n v="1"/>
    <n v="1"/>
    <n v="5.8"/>
    <x v="14"/>
    <n v="7"/>
    <n v="6"/>
    <n v="584007"/>
    <n v="110434"/>
    <n v="473573"/>
    <n v="35"/>
    <n v="65"/>
    <n v="6.6"/>
  </r>
  <r>
    <x v="5"/>
    <x v="5"/>
    <d v="2021-12-29T00:00:00"/>
    <s v="NA"/>
    <n v="0"/>
    <n v="84"/>
    <s v="81+"/>
    <x v="1"/>
    <x v="7"/>
    <x v="5"/>
    <x v="0"/>
    <n v="1"/>
    <n v="1"/>
    <n v="6.8"/>
    <x v="29"/>
    <n v="7"/>
    <n v="6"/>
    <n v="534551"/>
    <n v="103820"/>
    <n v="430731"/>
    <n v="36"/>
    <n v="54"/>
    <n v="36.1"/>
  </r>
  <r>
    <x v="5"/>
    <x v="5"/>
    <d v="2024-09-19T00:00:00"/>
    <s v="NA"/>
    <n v="0"/>
    <n v="43"/>
    <s v="41-60"/>
    <x v="1"/>
    <x v="3"/>
    <x v="2"/>
    <x v="0"/>
    <n v="1"/>
    <n v="1"/>
    <n v="4.4000000000000004"/>
    <x v="1"/>
    <n v="4"/>
    <n v="7"/>
    <n v="554555"/>
    <n v="96819"/>
    <n v="457736"/>
    <n v="35"/>
    <n v="55"/>
    <n v="10.199999999999999"/>
  </r>
  <r>
    <x v="5"/>
    <x v="5"/>
    <d v="2021-02-14T00:00:00"/>
    <s v="NA"/>
    <n v="0"/>
    <n v="86"/>
    <s v="81+"/>
    <x v="1"/>
    <x v="11"/>
    <x v="8"/>
    <x v="3"/>
    <n v="1"/>
    <n v="1"/>
    <n v="4.5999999999999996"/>
    <x v="26"/>
    <n v="7"/>
    <n v="7"/>
    <n v="599901"/>
    <n v="170081"/>
    <n v="429820"/>
    <n v="35"/>
    <n v="60"/>
    <n v="13.4"/>
  </r>
  <r>
    <x v="5"/>
    <x v="5"/>
    <d v="2022-10-07T00:00:00"/>
    <s v="NA"/>
    <n v="0"/>
    <n v="27"/>
    <s v="21-40"/>
    <x v="1"/>
    <x v="3"/>
    <x v="2"/>
    <x v="0"/>
    <n v="1"/>
    <n v="1"/>
    <n v="5.9"/>
    <x v="12"/>
    <n v="4"/>
    <n v="7"/>
    <n v="504466"/>
    <n v="45448"/>
    <n v="459018"/>
    <n v="37"/>
    <n v="57"/>
    <n v="9"/>
  </r>
  <r>
    <x v="5"/>
    <x v="5"/>
    <d v="2022-02-23T00:00:00"/>
    <s v="NA"/>
    <n v="0"/>
    <n v="37"/>
    <s v="21-40"/>
    <x v="1"/>
    <x v="8"/>
    <x v="6"/>
    <x v="1"/>
    <n v="1"/>
    <n v="1"/>
    <n v="2.6"/>
    <x v="12"/>
    <n v="7"/>
    <n v="5"/>
    <n v="553275"/>
    <n v="100367"/>
    <n v="452908"/>
    <n v="40"/>
    <n v="66"/>
    <n v="8.6999999999999993"/>
  </r>
  <r>
    <x v="5"/>
    <x v="5"/>
    <d v="2024-02-01T00:00:00"/>
    <s v="NA"/>
    <n v="0"/>
    <n v="74"/>
    <s v="61-80"/>
    <x v="0"/>
    <x v="2"/>
    <x v="1"/>
    <x v="2"/>
    <n v="1"/>
    <n v="1"/>
    <n v="6"/>
    <x v="9"/>
    <n v="6"/>
    <n v="4"/>
    <n v="587736"/>
    <n v="136287"/>
    <n v="451449"/>
    <n v="38"/>
    <n v="56"/>
    <n v="36.9"/>
  </r>
  <r>
    <x v="5"/>
    <x v="5"/>
    <d v="2024-11-24T00:00:00"/>
    <s v="NA"/>
    <n v="0"/>
    <n v="59"/>
    <s v="41-60"/>
    <x v="1"/>
    <x v="9"/>
    <x v="7"/>
    <x v="3"/>
    <n v="1"/>
    <n v="1"/>
    <n v="6.8"/>
    <x v="29"/>
    <n v="5"/>
    <n v="4"/>
    <n v="589492"/>
    <n v="193383"/>
    <n v="396109"/>
    <n v="36"/>
    <n v="61"/>
    <n v="6.8"/>
  </r>
  <r>
    <x v="9"/>
    <x v="9"/>
    <d v="2022-11-16T00:00:00"/>
    <s v="NA"/>
    <n v="0"/>
    <n v="59"/>
    <s v="41-60"/>
    <x v="1"/>
    <x v="10"/>
    <x v="8"/>
    <x v="4"/>
    <n v="1"/>
    <n v="1"/>
    <n v="6.9"/>
    <x v="14"/>
    <n v="6"/>
    <n v="7"/>
    <n v="991445"/>
    <n v="101469"/>
    <n v="889976"/>
    <n v="30"/>
    <n v="56"/>
    <n v="36.299999999999997"/>
  </r>
  <r>
    <x v="5"/>
    <x v="5"/>
    <d v="2021-06-20T00:00:00"/>
    <s v="NA"/>
    <n v="0"/>
    <n v="73"/>
    <s v="61-80"/>
    <x v="0"/>
    <x v="10"/>
    <x v="8"/>
    <x v="3"/>
    <n v="1"/>
    <n v="1"/>
    <n v="5.7"/>
    <x v="25"/>
    <n v="3"/>
    <n v="7"/>
    <n v="555354"/>
    <n v="131814"/>
    <n v="423540"/>
    <n v="40"/>
    <n v="60"/>
    <n v="14.1"/>
  </r>
  <r>
    <x v="5"/>
    <x v="5"/>
    <d v="2021-07-18T00:00:00"/>
    <s v="NA"/>
    <n v="0"/>
    <n v="36"/>
    <s v="21-40"/>
    <x v="0"/>
    <x v="4"/>
    <x v="3"/>
    <x v="1"/>
    <n v="1"/>
    <n v="1"/>
    <n v="1.2"/>
    <x v="24"/>
    <n v="7"/>
    <n v="5"/>
    <n v="598449"/>
    <n v="198094"/>
    <n v="400355"/>
    <n v="37"/>
    <n v="60"/>
    <n v="10.6"/>
  </r>
  <r>
    <x v="5"/>
    <x v="5"/>
    <d v="2023-12-08T00:00:00"/>
    <s v="NA"/>
    <n v="0"/>
    <n v="59"/>
    <s v="41-60"/>
    <x v="1"/>
    <x v="12"/>
    <x v="9"/>
    <x v="4"/>
    <n v="1"/>
    <n v="1"/>
    <n v="3.7"/>
    <x v="11"/>
    <n v="5"/>
    <n v="4"/>
    <n v="532469"/>
    <n v="112151"/>
    <n v="420318"/>
    <n v="36"/>
    <n v="55"/>
    <n v="6.4"/>
  </r>
  <r>
    <x v="5"/>
    <x v="5"/>
    <d v="2021-04-05T00:00:00"/>
    <s v="NA"/>
    <n v="0"/>
    <n v="47"/>
    <s v="41-60"/>
    <x v="1"/>
    <x v="2"/>
    <x v="1"/>
    <x v="1"/>
    <n v="1"/>
    <n v="1"/>
    <n v="5.7"/>
    <x v="26"/>
    <n v="7"/>
    <n v="5"/>
    <n v="568801"/>
    <n v="185186"/>
    <n v="383615"/>
    <n v="39"/>
    <n v="63"/>
    <n v="13.8"/>
  </r>
  <r>
    <x v="5"/>
    <x v="5"/>
    <d v="2021-02-27T00:00:00"/>
    <s v="NA"/>
    <n v="0"/>
    <n v="27"/>
    <s v="21-40"/>
    <x v="1"/>
    <x v="1"/>
    <x v="1"/>
    <x v="2"/>
    <n v="1"/>
    <n v="1"/>
    <n v="5.3"/>
    <x v="2"/>
    <n v="3"/>
    <n v="7"/>
    <n v="581407"/>
    <n v="130164"/>
    <n v="451243"/>
    <n v="37"/>
    <n v="63"/>
    <n v="9.3000000000000007"/>
  </r>
  <r>
    <x v="9"/>
    <x v="9"/>
    <d v="2022-09-16T00:00:00"/>
    <s v="NA"/>
    <n v="0"/>
    <n v="61"/>
    <s v="61-80"/>
    <x v="1"/>
    <x v="2"/>
    <x v="1"/>
    <x v="3"/>
    <n v="1"/>
    <n v="1"/>
    <n v="5.7"/>
    <x v="21"/>
    <n v="4"/>
    <n v="7"/>
    <n v="920966"/>
    <n v="84062"/>
    <n v="836904"/>
    <n v="30"/>
    <n v="57"/>
    <n v="12.3"/>
  </r>
  <r>
    <x v="5"/>
    <x v="5"/>
    <d v="2024-08-27T00:00:00"/>
    <s v="NA"/>
    <n v="0"/>
    <n v="65"/>
    <s v="61-80"/>
    <x v="1"/>
    <x v="9"/>
    <x v="7"/>
    <x v="4"/>
    <n v="1"/>
    <n v="1"/>
    <n v="4.8"/>
    <x v="21"/>
    <n v="7"/>
    <n v="7"/>
    <n v="520407"/>
    <n v="97432"/>
    <n v="422975"/>
    <n v="36"/>
    <n v="56"/>
    <n v="6.3"/>
  </r>
  <r>
    <x v="5"/>
    <x v="5"/>
    <d v="2022-09-23T00:00:00"/>
    <s v="NA"/>
    <n v="0"/>
    <n v="36"/>
    <s v="21-40"/>
    <x v="1"/>
    <x v="8"/>
    <x v="6"/>
    <x v="3"/>
    <n v="1"/>
    <n v="1"/>
    <n v="1.4"/>
    <x v="8"/>
    <n v="7"/>
    <n v="4"/>
    <n v="532968"/>
    <n v="127926"/>
    <n v="405042"/>
    <n v="39"/>
    <n v="63"/>
    <n v="36"/>
  </r>
  <r>
    <x v="5"/>
    <x v="5"/>
    <d v="2021-07-04T00:00:00"/>
    <s v="NA"/>
    <n v="0"/>
    <n v="34"/>
    <s v="21-40"/>
    <x v="1"/>
    <x v="4"/>
    <x v="3"/>
    <x v="2"/>
    <n v="1"/>
    <n v="1"/>
    <n v="5.5"/>
    <x v="16"/>
    <n v="6"/>
    <n v="3"/>
    <n v="524196"/>
    <n v="60133"/>
    <n v="464063"/>
    <n v="37"/>
    <n v="54"/>
    <n v="13"/>
  </r>
  <r>
    <x v="5"/>
    <x v="5"/>
    <d v="2024-09-16T00:00:00"/>
    <s v="NA"/>
    <n v="0"/>
    <n v="84"/>
    <s v="81+"/>
    <x v="0"/>
    <x v="4"/>
    <x v="3"/>
    <x v="2"/>
    <n v="1"/>
    <n v="1"/>
    <n v="6"/>
    <x v="6"/>
    <n v="7"/>
    <n v="7"/>
    <n v="555210"/>
    <n v="132854"/>
    <n v="422356"/>
    <n v="36"/>
    <n v="62"/>
    <n v="6.2"/>
  </r>
  <r>
    <x v="5"/>
    <x v="5"/>
    <d v="2023-07-03T00:00:00"/>
    <s v="NA"/>
    <n v="0"/>
    <n v="22"/>
    <s v="21-40"/>
    <x v="1"/>
    <x v="12"/>
    <x v="9"/>
    <x v="2"/>
    <n v="1"/>
    <n v="1"/>
    <n v="7"/>
    <x v="13"/>
    <n v="6"/>
    <n v="5"/>
    <n v="557971"/>
    <n v="167797"/>
    <n v="390174"/>
    <n v="36"/>
    <n v="55"/>
    <n v="36"/>
  </r>
  <r>
    <x v="5"/>
    <x v="5"/>
    <d v="2022-08-26T00:00:00"/>
    <s v="NA"/>
    <n v="0"/>
    <n v="81"/>
    <s v="81+"/>
    <x v="0"/>
    <x v="12"/>
    <x v="9"/>
    <x v="4"/>
    <n v="1"/>
    <n v="1"/>
    <n v="3.5"/>
    <x v="11"/>
    <n v="3"/>
    <n v="3"/>
    <n v="524859"/>
    <n v="51581"/>
    <n v="473278"/>
    <n v="37"/>
    <n v="63"/>
    <n v="13.2"/>
  </r>
  <r>
    <x v="9"/>
    <x v="9"/>
    <d v="2023-12-30T00:00:00"/>
    <s v="NA"/>
    <n v="0"/>
    <n v="43"/>
    <s v="41-60"/>
    <x v="0"/>
    <x v="12"/>
    <x v="9"/>
    <x v="4"/>
    <n v="1"/>
    <n v="1"/>
    <n v="4.4000000000000004"/>
    <x v="14"/>
    <n v="7"/>
    <n v="3"/>
    <n v="968752"/>
    <n v="114090"/>
    <n v="854662"/>
    <n v="34"/>
    <n v="55"/>
    <n v="5.5"/>
  </r>
  <r>
    <x v="5"/>
    <x v="5"/>
    <d v="2021-03-07T00:00:00"/>
    <s v="NA"/>
    <n v="0"/>
    <n v="49"/>
    <s v="41-60"/>
    <x v="0"/>
    <x v="12"/>
    <x v="9"/>
    <x v="4"/>
    <n v="1"/>
    <n v="1"/>
    <n v="3.5"/>
    <x v="1"/>
    <n v="7"/>
    <n v="7"/>
    <n v="517989"/>
    <n v="70980"/>
    <n v="447009"/>
    <n v="37"/>
    <n v="54"/>
    <n v="9.9"/>
  </r>
  <r>
    <x v="5"/>
    <x v="5"/>
    <d v="2023-12-06T00:00:00"/>
    <s v="NA"/>
    <n v="0"/>
    <n v="27"/>
    <s v="21-40"/>
    <x v="0"/>
    <x v="10"/>
    <x v="8"/>
    <x v="0"/>
    <n v="1"/>
    <n v="1"/>
    <n v="5.3"/>
    <x v="12"/>
    <n v="4"/>
    <n v="5"/>
    <n v="598877"/>
    <n v="123997"/>
    <n v="474880"/>
    <n v="35"/>
    <n v="55"/>
    <n v="9.1"/>
  </r>
  <r>
    <x v="5"/>
    <x v="5"/>
    <d v="2021-04-18T00:00:00"/>
    <s v="NA"/>
    <n v="0"/>
    <n v="40"/>
    <s v="21-40"/>
    <x v="1"/>
    <x v="10"/>
    <x v="8"/>
    <x v="1"/>
    <n v="1"/>
    <n v="1"/>
    <n v="2.5"/>
    <x v="4"/>
    <n v="6"/>
    <n v="3"/>
    <n v="553558"/>
    <n v="141400"/>
    <n v="412158"/>
    <n v="35"/>
    <n v="55"/>
    <n v="9.8000000000000007"/>
  </r>
  <r>
    <x v="5"/>
    <x v="5"/>
    <d v="2021-12-18T00:00:00"/>
    <s v="NA"/>
    <n v="0"/>
    <n v="32"/>
    <s v="21-40"/>
    <x v="1"/>
    <x v="9"/>
    <x v="7"/>
    <x v="2"/>
    <n v="1"/>
    <n v="1"/>
    <n v="4.5999999999999996"/>
    <x v="25"/>
    <n v="6"/>
    <n v="6"/>
    <n v="546179"/>
    <n v="152337"/>
    <n v="393842"/>
    <n v="38"/>
    <n v="56"/>
    <n v="36.5"/>
  </r>
  <r>
    <x v="5"/>
    <x v="5"/>
    <d v="2022-09-17T00:00:00"/>
    <s v="NA"/>
    <n v="0"/>
    <n v="71"/>
    <s v="61-80"/>
    <x v="0"/>
    <x v="12"/>
    <x v="9"/>
    <x v="0"/>
    <n v="1"/>
    <n v="1"/>
    <n v="1.2"/>
    <x v="21"/>
    <n v="3"/>
    <n v="6"/>
    <n v="552035"/>
    <n v="138060"/>
    <n v="413975"/>
    <n v="36"/>
    <n v="60"/>
    <n v="6.8"/>
  </r>
  <r>
    <x v="5"/>
    <x v="5"/>
    <d v="2022-02-09T00:00:00"/>
    <s v="NA"/>
    <n v="0"/>
    <n v="35"/>
    <s v="21-40"/>
    <x v="0"/>
    <x v="0"/>
    <x v="0"/>
    <x v="0"/>
    <n v="1"/>
    <n v="1"/>
    <n v="2.8"/>
    <x v="21"/>
    <n v="3"/>
    <n v="7"/>
    <n v="500022"/>
    <n v="46657"/>
    <n v="453365"/>
    <n v="39"/>
    <n v="57"/>
    <n v="5"/>
  </r>
  <r>
    <x v="5"/>
    <x v="5"/>
    <d v="2021-10-20T00:00:00"/>
    <s v="NA"/>
    <n v="0"/>
    <n v="24"/>
    <s v="21-40"/>
    <x v="1"/>
    <x v="7"/>
    <x v="5"/>
    <x v="1"/>
    <n v="1"/>
    <n v="1"/>
    <n v="2.9"/>
    <x v="23"/>
    <n v="4"/>
    <n v="7"/>
    <n v="598192"/>
    <n v="146310"/>
    <n v="451882"/>
    <n v="40"/>
    <n v="62"/>
    <n v="13.2"/>
  </r>
  <r>
    <x v="5"/>
    <x v="5"/>
    <d v="2022-08-21T00:00:00"/>
    <s v="NA"/>
    <n v="0"/>
    <n v="29"/>
    <s v="21-40"/>
    <x v="1"/>
    <x v="8"/>
    <x v="6"/>
    <x v="2"/>
    <n v="1"/>
    <n v="1"/>
    <n v="5"/>
    <x v="5"/>
    <n v="6"/>
    <n v="7"/>
    <n v="535482"/>
    <n v="49896"/>
    <n v="485586"/>
    <n v="39"/>
    <n v="65"/>
    <n v="9.8000000000000007"/>
  </r>
  <r>
    <x v="5"/>
    <x v="5"/>
    <d v="2021-11-19T00:00:00"/>
    <s v="NA"/>
    <n v="0"/>
    <n v="21"/>
    <s v="21-40"/>
    <x v="0"/>
    <x v="0"/>
    <x v="0"/>
    <x v="4"/>
    <n v="1"/>
    <n v="1"/>
    <n v="3.4"/>
    <x v="26"/>
    <n v="3"/>
    <n v="7"/>
    <n v="592307"/>
    <n v="189610"/>
    <n v="402697"/>
    <n v="39"/>
    <n v="55"/>
    <n v="7.9"/>
  </r>
  <r>
    <x v="5"/>
    <x v="5"/>
    <d v="2023-03-09T00:00:00"/>
    <s v="NA"/>
    <n v="0"/>
    <n v="58"/>
    <s v="41-60"/>
    <x v="0"/>
    <x v="14"/>
    <x v="11"/>
    <x v="2"/>
    <n v="1"/>
    <n v="1"/>
    <n v="3.4"/>
    <x v="16"/>
    <n v="3"/>
    <n v="5"/>
    <n v="521352"/>
    <n v="55019"/>
    <n v="466333"/>
    <n v="35"/>
    <n v="56"/>
    <n v="36.9"/>
  </r>
  <r>
    <x v="5"/>
    <x v="5"/>
    <d v="2023-10-10T00:00:00"/>
    <s v="NA"/>
    <n v="0"/>
    <n v="28"/>
    <s v="21-40"/>
    <x v="0"/>
    <x v="0"/>
    <x v="0"/>
    <x v="2"/>
    <n v="1"/>
    <n v="1"/>
    <n v="5.3"/>
    <x v="10"/>
    <n v="4"/>
    <n v="4"/>
    <n v="591587"/>
    <n v="120853"/>
    <n v="470734"/>
    <n v="39"/>
    <n v="66"/>
    <n v="5.2"/>
  </r>
  <r>
    <x v="5"/>
    <x v="5"/>
    <d v="2021-01-06T00:00:00"/>
    <s v="NA"/>
    <n v="0"/>
    <n v="63"/>
    <s v="61-80"/>
    <x v="0"/>
    <x v="5"/>
    <x v="0"/>
    <x v="1"/>
    <n v="1"/>
    <n v="1"/>
    <n v="6.3"/>
    <x v="6"/>
    <n v="3"/>
    <n v="4"/>
    <n v="595214"/>
    <n v="208663"/>
    <n v="386551"/>
    <n v="35"/>
    <n v="55"/>
    <n v="6.6"/>
  </r>
  <r>
    <x v="5"/>
    <x v="5"/>
    <d v="2023-02-13T00:00:00"/>
    <s v="NA"/>
    <n v="0"/>
    <n v="26"/>
    <s v="21-40"/>
    <x v="0"/>
    <x v="6"/>
    <x v="4"/>
    <x v="2"/>
    <n v="1"/>
    <n v="1"/>
    <n v="3"/>
    <x v="3"/>
    <n v="5"/>
    <n v="7"/>
    <n v="544777"/>
    <n v="129676"/>
    <n v="415101"/>
    <n v="38"/>
    <n v="61"/>
    <n v="6.5"/>
  </r>
  <r>
    <x v="5"/>
    <x v="5"/>
    <d v="2022-11-19T00:00:00"/>
    <s v="NA"/>
    <n v="0"/>
    <n v="53"/>
    <s v="41-60"/>
    <x v="1"/>
    <x v="3"/>
    <x v="2"/>
    <x v="3"/>
    <n v="1"/>
    <n v="1"/>
    <n v="1.6"/>
    <x v="19"/>
    <n v="7"/>
    <n v="7"/>
    <n v="512055"/>
    <n v="123233"/>
    <n v="388822"/>
    <n v="38"/>
    <n v="61"/>
    <n v="8.9"/>
  </r>
  <r>
    <x v="5"/>
    <x v="5"/>
    <d v="2024-08-27T00:00:00"/>
    <s v="NA"/>
    <n v="0"/>
    <n v="52"/>
    <s v="41-60"/>
    <x v="1"/>
    <x v="4"/>
    <x v="3"/>
    <x v="1"/>
    <n v="1"/>
    <n v="1"/>
    <n v="2.6"/>
    <x v="24"/>
    <n v="3"/>
    <n v="4"/>
    <n v="562560"/>
    <n v="138134"/>
    <n v="424426"/>
    <n v="39"/>
    <n v="63"/>
    <n v="5.6"/>
  </r>
  <r>
    <x v="5"/>
    <x v="5"/>
    <d v="2023-04-14T00:00:00"/>
    <s v="NA"/>
    <n v="0"/>
    <n v="49"/>
    <s v="41-60"/>
    <x v="1"/>
    <x v="12"/>
    <x v="9"/>
    <x v="4"/>
    <n v="1"/>
    <n v="1"/>
    <n v="2.2000000000000002"/>
    <x v="2"/>
    <n v="5"/>
    <n v="3"/>
    <n v="506233"/>
    <n v="85010"/>
    <n v="421223"/>
    <n v="39"/>
    <n v="58"/>
    <n v="12.7"/>
  </r>
  <r>
    <x v="9"/>
    <x v="9"/>
    <d v="2021-04-22T00:00:00"/>
    <s v="NA"/>
    <n v="0"/>
    <n v="46"/>
    <s v="41-60"/>
    <x v="0"/>
    <x v="12"/>
    <x v="9"/>
    <x v="4"/>
    <n v="1"/>
    <n v="1"/>
    <n v="1.5"/>
    <x v="4"/>
    <n v="7"/>
    <n v="3"/>
    <n v="964100"/>
    <n v="119070"/>
    <n v="845030"/>
    <n v="30"/>
    <n v="59"/>
    <n v="9"/>
  </r>
  <r>
    <x v="9"/>
    <x v="9"/>
    <d v="2021-12-23T00:00:00"/>
    <s v="NA"/>
    <n v="0"/>
    <n v="35"/>
    <s v="21-40"/>
    <x v="1"/>
    <x v="6"/>
    <x v="4"/>
    <x v="3"/>
    <n v="1"/>
    <n v="1"/>
    <n v="2.8"/>
    <x v="19"/>
    <n v="7"/>
    <n v="6"/>
    <n v="978306"/>
    <n v="133113"/>
    <n v="845193"/>
    <n v="40"/>
    <n v="64"/>
    <n v="6.3"/>
  </r>
  <r>
    <x v="5"/>
    <x v="5"/>
    <d v="2024-09-11T00:00:00"/>
    <s v="NA"/>
    <n v="0"/>
    <n v="52"/>
    <s v="41-60"/>
    <x v="0"/>
    <x v="12"/>
    <x v="9"/>
    <x v="4"/>
    <n v="1"/>
    <n v="1"/>
    <n v="6.1"/>
    <x v="22"/>
    <n v="5"/>
    <n v="6"/>
    <n v="534577"/>
    <n v="47927"/>
    <n v="486650"/>
    <n v="40"/>
    <n v="59"/>
    <n v="7.8"/>
  </r>
  <r>
    <x v="9"/>
    <x v="9"/>
    <d v="2022-11-23T00:00:00"/>
    <s v="NA"/>
    <n v="0"/>
    <n v="49"/>
    <s v="41-60"/>
    <x v="1"/>
    <x v="13"/>
    <x v="10"/>
    <x v="4"/>
    <n v="1"/>
    <n v="1"/>
    <n v="3.3"/>
    <x v="27"/>
    <n v="5"/>
    <n v="5"/>
    <n v="907374"/>
    <n v="9814"/>
    <n v="897560"/>
    <n v="33"/>
    <n v="63"/>
    <n v="8"/>
  </r>
  <r>
    <x v="9"/>
    <x v="9"/>
    <d v="2024-05-09T00:00:00"/>
    <s v="NA"/>
    <n v="0"/>
    <n v="45"/>
    <s v="41-60"/>
    <x v="1"/>
    <x v="12"/>
    <x v="9"/>
    <x v="4"/>
    <n v="1"/>
    <n v="1"/>
    <n v="6"/>
    <x v="27"/>
    <n v="7"/>
    <n v="7"/>
    <n v="950441"/>
    <n v="69237"/>
    <n v="881204"/>
    <n v="40"/>
    <n v="55"/>
    <n v="10.7"/>
  </r>
  <r>
    <x v="9"/>
    <x v="9"/>
    <d v="2022-05-12T00:00:00"/>
    <s v="NA"/>
    <n v="0"/>
    <n v="78"/>
    <s v="61-80"/>
    <x v="0"/>
    <x v="12"/>
    <x v="9"/>
    <x v="3"/>
    <n v="1"/>
    <n v="1"/>
    <n v="6.8"/>
    <x v="16"/>
    <n v="6"/>
    <n v="7"/>
    <n v="964251"/>
    <n v="160900"/>
    <n v="803351"/>
    <n v="32"/>
    <n v="66"/>
    <n v="7.2"/>
  </r>
  <r>
    <x v="9"/>
    <x v="9"/>
    <d v="2023-05-11T00:00:00"/>
    <s v="NA"/>
    <n v="0"/>
    <n v="89"/>
    <s v="81+"/>
    <x v="1"/>
    <x v="3"/>
    <x v="2"/>
    <x v="0"/>
    <n v="1"/>
    <n v="1"/>
    <n v="3.1"/>
    <x v="6"/>
    <n v="3"/>
    <n v="3"/>
    <n v="987414"/>
    <n v="105476"/>
    <n v="881938"/>
    <n v="31"/>
    <n v="58"/>
    <n v="7.3"/>
  </r>
  <r>
    <x v="5"/>
    <x v="5"/>
    <d v="2022-12-31T00:00:00"/>
    <s v="NA"/>
    <n v="0"/>
    <n v="65"/>
    <s v="61-80"/>
    <x v="1"/>
    <x v="4"/>
    <x v="3"/>
    <x v="1"/>
    <n v="1"/>
    <n v="1"/>
    <n v="5.0999999999999996"/>
    <x v="10"/>
    <n v="3"/>
    <n v="4"/>
    <n v="563407"/>
    <n v="132484"/>
    <n v="430923"/>
    <n v="35"/>
    <n v="54"/>
    <n v="7.8"/>
  </r>
  <r>
    <x v="5"/>
    <x v="5"/>
    <d v="2023-01-17T00:00:00"/>
    <s v="NA"/>
    <n v="0"/>
    <n v="86"/>
    <s v="81+"/>
    <x v="1"/>
    <x v="2"/>
    <x v="1"/>
    <x v="0"/>
    <n v="1"/>
    <n v="1"/>
    <n v="4.7"/>
    <x v="21"/>
    <n v="6"/>
    <n v="7"/>
    <n v="523303"/>
    <n v="130280"/>
    <n v="393023"/>
    <n v="36"/>
    <n v="63"/>
    <n v="5.6"/>
  </r>
  <r>
    <x v="5"/>
    <x v="5"/>
    <d v="2021-07-04T00:00:00"/>
    <s v="NA"/>
    <n v="0"/>
    <n v="51"/>
    <s v="41-60"/>
    <x v="1"/>
    <x v="10"/>
    <x v="8"/>
    <x v="1"/>
    <n v="1"/>
    <n v="1"/>
    <n v="6.3"/>
    <x v="9"/>
    <n v="4"/>
    <n v="7"/>
    <n v="599933"/>
    <n v="201552"/>
    <n v="398381"/>
    <n v="40"/>
    <n v="59"/>
    <n v="9.1999999999999993"/>
  </r>
  <r>
    <x v="5"/>
    <x v="5"/>
    <d v="2024-01-11T00:00:00"/>
    <s v="NA"/>
    <n v="0"/>
    <n v="70"/>
    <s v="61-80"/>
    <x v="1"/>
    <x v="9"/>
    <x v="7"/>
    <x v="0"/>
    <n v="1"/>
    <n v="1"/>
    <n v="6.9"/>
    <x v="17"/>
    <n v="3"/>
    <n v="6"/>
    <n v="538647"/>
    <n v="131242"/>
    <n v="407405"/>
    <n v="36"/>
    <n v="59"/>
    <n v="10.9"/>
  </r>
  <r>
    <x v="5"/>
    <x v="5"/>
    <d v="2023-02-18T00:00:00"/>
    <s v="NA"/>
    <n v="0"/>
    <n v="88"/>
    <s v="81+"/>
    <x v="0"/>
    <x v="4"/>
    <x v="3"/>
    <x v="4"/>
    <n v="1"/>
    <n v="1"/>
    <n v="4.2"/>
    <x v="16"/>
    <n v="3"/>
    <n v="7"/>
    <n v="541636"/>
    <n v="151912"/>
    <n v="389724"/>
    <n v="40"/>
    <n v="63"/>
    <n v="8.4"/>
  </r>
  <r>
    <x v="5"/>
    <x v="5"/>
    <d v="2022-01-26T00:00:00"/>
    <s v="NA"/>
    <n v="0"/>
    <n v="47"/>
    <s v="41-60"/>
    <x v="1"/>
    <x v="13"/>
    <x v="10"/>
    <x v="4"/>
    <n v="1"/>
    <n v="1"/>
    <n v="2.2000000000000002"/>
    <x v="20"/>
    <n v="7"/>
    <n v="4"/>
    <n v="548481"/>
    <n v="151279"/>
    <n v="397202"/>
    <n v="39"/>
    <n v="64"/>
    <n v="12.7"/>
  </r>
  <r>
    <x v="5"/>
    <x v="5"/>
    <d v="2022-08-14T00:00:00"/>
    <s v="NA"/>
    <n v="0"/>
    <n v="40"/>
    <s v="21-40"/>
    <x v="0"/>
    <x v="0"/>
    <x v="0"/>
    <x v="0"/>
    <n v="1"/>
    <n v="1"/>
    <n v="3.6"/>
    <x v="21"/>
    <n v="7"/>
    <n v="4"/>
    <n v="589465"/>
    <n v="185694"/>
    <n v="403771"/>
    <n v="37"/>
    <n v="60"/>
    <n v="6.5"/>
  </r>
  <r>
    <x v="5"/>
    <x v="5"/>
    <d v="2022-06-13T00:00:00"/>
    <s v="NA"/>
    <n v="0"/>
    <n v="28"/>
    <s v="21-40"/>
    <x v="0"/>
    <x v="10"/>
    <x v="8"/>
    <x v="4"/>
    <n v="1"/>
    <n v="1"/>
    <n v="5"/>
    <x v="15"/>
    <n v="3"/>
    <n v="7"/>
    <n v="579675"/>
    <n v="142762"/>
    <n v="436913"/>
    <n v="37"/>
    <n v="55"/>
    <n v="36"/>
  </r>
  <r>
    <x v="5"/>
    <x v="5"/>
    <d v="2024-02-04T00:00:00"/>
    <s v="NA"/>
    <n v="0"/>
    <n v="22"/>
    <s v="21-40"/>
    <x v="0"/>
    <x v="1"/>
    <x v="1"/>
    <x v="4"/>
    <n v="1"/>
    <n v="1"/>
    <n v="2.6"/>
    <x v="4"/>
    <n v="5"/>
    <n v="4"/>
    <n v="536053"/>
    <n v="103778"/>
    <n v="432275"/>
    <n v="37"/>
    <n v="56"/>
    <n v="6.1"/>
  </r>
  <r>
    <x v="5"/>
    <x v="5"/>
    <d v="2021-04-17T00:00:00"/>
    <s v="NA"/>
    <n v="0"/>
    <n v="35"/>
    <s v="21-40"/>
    <x v="0"/>
    <x v="0"/>
    <x v="0"/>
    <x v="2"/>
    <n v="1"/>
    <n v="1"/>
    <n v="4.0999999999999996"/>
    <x v="2"/>
    <n v="4"/>
    <n v="7"/>
    <n v="508407"/>
    <n v="66976"/>
    <n v="441431"/>
    <n v="39"/>
    <n v="57"/>
    <n v="12.7"/>
  </r>
  <r>
    <x v="5"/>
    <x v="5"/>
    <d v="2024-01-12T00:00:00"/>
    <s v="NA"/>
    <n v="0"/>
    <n v="21"/>
    <s v="21-40"/>
    <x v="0"/>
    <x v="7"/>
    <x v="5"/>
    <x v="1"/>
    <n v="1"/>
    <n v="1"/>
    <n v="2"/>
    <x v="15"/>
    <n v="6"/>
    <n v="5"/>
    <n v="581582"/>
    <n v="117390"/>
    <n v="464192"/>
    <n v="40"/>
    <n v="56"/>
    <n v="6.7"/>
  </r>
  <r>
    <x v="5"/>
    <x v="5"/>
    <d v="2023-08-16T00:00:00"/>
    <s v="NA"/>
    <n v="0"/>
    <n v="82"/>
    <s v="81+"/>
    <x v="0"/>
    <x v="4"/>
    <x v="3"/>
    <x v="0"/>
    <n v="1"/>
    <n v="1"/>
    <n v="3.4"/>
    <x v="2"/>
    <n v="5"/>
    <n v="7"/>
    <n v="595202"/>
    <n v="132024"/>
    <n v="463178"/>
    <n v="40"/>
    <n v="61"/>
    <n v="10.5"/>
  </r>
  <r>
    <x v="5"/>
    <x v="5"/>
    <d v="2023-08-17T00:00:00"/>
    <s v="NA"/>
    <n v="0"/>
    <n v="57"/>
    <s v="41-60"/>
    <x v="0"/>
    <x v="5"/>
    <x v="0"/>
    <x v="1"/>
    <n v="1"/>
    <n v="1"/>
    <n v="2.5"/>
    <x v="4"/>
    <n v="3"/>
    <n v="6"/>
    <n v="573632"/>
    <n v="116190"/>
    <n v="457442"/>
    <n v="39"/>
    <n v="54"/>
    <n v="14.8"/>
  </r>
  <r>
    <x v="5"/>
    <x v="5"/>
    <d v="2024-12-23T00:00:00"/>
    <s v="NA"/>
    <n v="0"/>
    <n v="23"/>
    <s v="21-40"/>
    <x v="0"/>
    <x v="7"/>
    <x v="5"/>
    <x v="4"/>
    <n v="1"/>
    <n v="1"/>
    <n v="6.6"/>
    <x v="5"/>
    <n v="6"/>
    <n v="5"/>
    <n v="529474"/>
    <n v="43744"/>
    <n v="485730"/>
    <n v="35"/>
    <n v="65"/>
    <n v="7.4"/>
  </r>
  <r>
    <x v="5"/>
    <x v="5"/>
    <d v="2023-10-24T00:00:00"/>
    <s v="NA"/>
    <n v="0"/>
    <n v="57"/>
    <s v="41-60"/>
    <x v="1"/>
    <x v="8"/>
    <x v="6"/>
    <x v="1"/>
    <n v="1"/>
    <n v="1"/>
    <n v="5.9"/>
    <x v="18"/>
    <n v="6"/>
    <n v="4"/>
    <n v="552318"/>
    <n v="77090"/>
    <n v="475228"/>
    <n v="37"/>
    <n v="55"/>
    <n v="10.199999999999999"/>
  </r>
  <r>
    <x v="5"/>
    <x v="5"/>
    <d v="2024-10-22T00:00:00"/>
    <s v="NA"/>
    <n v="0"/>
    <n v="57"/>
    <s v="41-60"/>
    <x v="1"/>
    <x v="9"/>
    <x v="7"/>
    <x v="4"/>
    <n v="1"/>
    <n v="1"/>
    <n v="6.2"/>
    <x v="8"/>
    <n v="4"/>
    <n v="5"/>
    <n v="552855"/>
    <n v="102607"/>
    <n v="450248"/>
    <n v="38"/>
    <n v="61"/>
    <n v="6.8"/>
  </r>
  <r>
    <x v="5"/>
    <x v="5"/>
    <d v="2022-10-24T00:00:00"/>
    <s v="NA"/>
    <n v="0"/>
    <n v="46"/>
    <s v="41-60"/>
    <x v="0"/>
    <x v="9"/>
    <x v="7"/>
    <x v="3"/>
    <n v="1"/>
    <n v="1"/>
    <n v="1.2"/>
    <x v="15"/>
    <n v="4"/>
    <n v="4"/>
    <n v="596823"/>
    <n v="113197"/>
    <n v="483626"/>
    <n v="37"/>
    <n v="64"/>
    <n v="8.6999999999999993"/>
  </r>
  <r>
    <x v="5"/>
    <x v="5"/>
    <d v="2023-01-27T00:00:00"/>
    <s v="NA"/>
    <n v="0"/>
    <n v="40"/>
    <s v="21-40"/>
    <x v="0"/>
    <x v="2"/>
    <x v="1"/>
    <x v="0"/>
    <n v="1"/>
    <n v="1"/>
    <n v="5.6"/>
    <x v="10"/>
    <n v="5"/>
    <n v="5"/>
    <n v="522445"/>
    <n v="121578"/>
    <n v="400867"/>
    <n v="36"/>
    <n v="54"/>
    <n v="10"/>
  </r>
  <r>
    <x v="5"/>
    <x v="5"/>
    <d v="2024-08-15T00:00:00"/>
    <s v="NA"/>
    <n v="0"/>
    <n v="27"/>
    <s v="21-40"/>
    <x v="1"/>
    <x v="10"/>
    <x v="8"/>
    <x v="2"/>
    <n v="1"/>
    <n v="1"/>
    <n v="2.2000000000000002"/>
    <x v="8"/>
    <n v="4"/>
    <n v="4"/>
    <n v="522967"/>
    <n v="114136"/>
    <n v="408831"/>
    <n v="37"/>
    <n v="54"/>
    <n v="7.2"/>
  </r>
  <r>
    <x v="5"/>
    <x v="5"/>
    <d v="2024-06-20T00:00:00"/>
    <s v="NA"/>
    <n v="0"/>
    <n v="72"/>
    <s v="61-80"/>
    <x v="1"/>
    <x v="11"/>
    <x v="8"/>
    <x v="3"/>
    <n v="1"/>
    <n v="1"/>
    <n v="1.8"/>
    <x v="5"/>
    <n v="3"/>
    <n v="5"/>
    <n v="509872"/>
    <n v="80749"/>
    <n v="429123"/>
    <n v="35"/>
    <n v="54"/>
    <n v="6.7"/>
  </r>
  <r>
    <x v="5"/>
    <x v="5"/>
    <d v="2024-02-28T00:00:00"/>
    <s v="NA"/>
    <n v="0"/>
    <n v="40"/>
    <s v="21-40"/>
    <x v="1"/>
    <x v="1"/>
    <x v="1"/>
    <x v="3"/>
    <n v="1"/>
    <n v="1"/>
    <n v="5.7"/>
    <x v="26"/>
    <n v="6"/>
    <n v="5"/>
    <n v="575417"/>
    <n v="182256"/>
    <n v="393161"/>
    <n v="39"/>
    <n v="59"/>
    <n v="13.5"/>
  </r>
  <r>
    <x v="5"/>
    <x v="5"/>
    <d v="2022-02-15T00:00:00"/>
    <s v="NA"/>
    <n v="0"/>
    <n v="47"/>
    <s v="41-60"/>
    <x v="0"/>
    <x v="12"/>
    <x v="9"/>
    <x v="2"/>
    <n v="1"/>
    <n v="1"/>
    <n v="1.3"/>
    <x v="28"/>
    <n v="7"/>
    <n v="5"/>
    <n v="502476"/>
    <n v="82721"/>
    <n v="419755"/>
    <n v="40"/>
    <n v="55"/>
    <n v="36"/>
  </r>
  <r>
    <x v="5"/>
    <x v="5"/>
    <d v="2022-08-10T00:00:00"/>
    <s v="NA"/>
    <n v="0"/>
    <n v="25"/>
    <s v="21-40"/>
    <x v="0"/>
    <x v="5"/>
    <x v="0"/>
    <x v="1"/>
    <n v="1"/>
    <n v="1"/>
    <n v="1.9"/>
    <x v="12"/>
    <n v="7"/>
    <n v="3"/>
    <n v="565233"/>
    <n v="182989"/>
    <n v="382244"/>
    <n v="39"/>
    <n v="65"/>
    <n v="13.4"/>
  </r>
  <r>
    <x v="5"/>
    <x v="5"/>
    <d v="2024-07-20T00:00:00"/>
    <s v="NA"/>
    <n v="0"/>
    <n v="34"/>
    <s v="21-40"/>
    <x v="1"/>
    <x v="1"/>
    <x v="1"/>
    <x v="0"/>
    <n v="1"/>
    <n v="1"/>
    <n v="4.4000000000000004"/>
    <x v="26"/>
    <n v="3"/>
    <n v="4"/>
    <n v="555386"/>
    <n v="80857"/>
    <n v="474529"/>
    <n v="40"/>
    <n v="63"/>
    <n v="36.6"/>
  </r>
  <r>
    <x v="5"/>
    <x v="5"/>
    <d v="2023-12-09T00:00:00"/>
    <s v="NA"/>
    <n v="0"/>
    <n v="77"/>
    <s v="61-80"/>
    <x v="1"/>
    <x v="10"/>
    <x v="8"/>
    <x v="2"/>
    <n v="1"/>
    <n v="1"/>
    <n v="6.4"/>
    <x v="18"/>
    <n v="6"/>
    <n v="5"/>
    <n v="541678"/>
    <n v="106165"/>
    <n v="435513"/>
    <n v="35"/>
    <n v="55"/>
    <n v="5.6"/>
  </r>
  <r>
    <x v="5"/>
    <x v="5"/>
    <d v="2022-11-28T00:00:00"/>
    <s v="NA"/>
    <n v="0"/>
    <n v="26"/>
    <s v="21-40"/>
    <x v="1"/>
    <x v="2"/>
    <x v="1"/>
    <x v="4"/>
    <n v="1"/>
    <n v="1"/>
    <n v="2.9"/>
    <x v="2"/>
    <n v="6"/>
    <n v="7"/>
    <n v="514059"/>
    <n v="30369"/>
    <n v="483690"/>
    <n v="39"/>
    <n v="58"/>
    <n v="7.9"/>
  </r>
  <r>
    <x v="5"/>
    <x v="5"/>
    <d v="2024-10-07T00:00:00"/>
    <s v="NA"/>
    <n v="0"/>
    <n v="39"/>
    <s v="21-40"/>
    <x v="0"/>
    <x v="0"/>
    <x v="0"/>
    <x v="0"/>
    <n v="1"/>
    <n v="1"/>
    <n v="6.5"/>
    <x v="17"/>
    <n v="7"/>
    <n v="7"/>
    <n v="529739"/>
    <n v="137679"/>
    <n v="392060"/>
    <n v="38"/>
    <n v="66"/>
    <n v="8.6999999999999993"/>
  </r>
  <r>
    <x v="5"/>
    <x v="5"/>
    <d v="2024-04-20T00:00:00"/>
    <s v="NA"/>
    <n v="0"/>
    <n v="26"/>
    <s v="21-40"/>
    <x v="0"/>
    <x v="2"/>
    <x v="1"/>
    <x v="4"/>
    <n v="1"/>
    <n v="1"/>
    <n v="4.7"/>
    <x v="5"/>
    <n v="5"/>
    <n v="4"/>
    <n v="581401"/>
    <n v="175726"/>
    <n v="405675"/>
    <n v="40"/>
    <n v="54"/>
    <n v="12.1"/>
  </r>
  <r>
    <x v="5"/>
    <x v="5"/>
    <d v="2023-04-03T00:00:00"/>
    <s v="NA"/>
    <n v="0"/>
    <n v="47"/>
    <s v="41-60"/>
    <x v="1"/>
    <x v="2"/>
    <x v="1"/>
    <x v="0"/>
    <n v="1"/>
    <n v="1"/>
    <n v="4.3"/>
    <x v="21"/>
    <n v="3"/>
    <n v="5"/>
    <n v="523584"/>
    <n v="116588"/>
    <n v="406996"/>
    <n v="35"/>
    <n v="62"/>
    <n v="10.3"/>
  </r>
  <r>
    <x v="5"/>
    <x v="5"/>
    <d v="2021-09-29T00:00:00"/>
    <s v="NA"/>
    <n v="0"/>
    <n v="44"/>
    <s v="41-60"/>
    <x v="1"/>
    <x v="6"/>
    <x v="4"/>
    <x v="4"/>
    <n v="1"/>
    <n v="1"/>
    <n v="3.5"/>
    <x v="9"/>
    <n v="5"/>
    <n v="6"/>
    <n v="515739"/>
    <n v="110737"/>
    <n v="405002"/>
    <n v="36"/>
    <n v="66"/>
    <n v="14.8"/>
  </r>
  <r>
    <x v="5"/>
    <x v="5"/>
    <d v="2024-04-28T00:00:00"/>
    <s v="NA"/>
    <n v="0"/>
    <n v="43"/>
    <s v="41-60"/>
    <x v="0"/>
    <x v="2"/>
    <x v="1"/>
    <x v="2"/>
    <n v="1"/>
    <n v="1"/>
    <n v="4.4000000000000004"/>
    <x v="3"/>
    <n v="7"/>
    <n v="4"/>
    <n v="595923"/>
    <n v="148676"/>
    <n v="447247"/>
    <n v="39"/>
    <n v="64"/>
    <n v="9"/>
  </r>
  <r>
    <x v="5"/>
    <x v="5"/>
    <d v="2021-04-30T00:00:00"/>
    <s v="NA"/>
    <n v="0"/>
    <n v="22"/>
    <s v="21-40"/>
    <x v="1"/>
    <x v="3"/>
    <x v="2"/>
    <x v="3"/>
    <n v="1"/>
    <n v="1"/>
    <n v="6.8"/>
    <x v="27"/>
    <n v="6"/>
    <n v="5"/>
    <n v="516434"/>
    <n v="133301"/>
    <n v="383133"/>
    <n v="40"/>
    <n v="60"/>
    <n v="14.7"/>
  </r>
  <r>
    <x v="5"/>
    <x v="5"/>
    <d v="2023-08-07T00:00:00"/>
    <s v="NA"/>
    <n v="0"/>
    <n v="63"/>
    <s v="61-80"/>
    <x v="1"/>
    <x v="1"/>
    <x v="1"/>
    <x v="4"/>
    <n v="1"/>
    <n v="1"/>
    <n v="1.8"/>
    <x v="19"/>
    <n v="4"/>
    <n v="5"/>
    <n v="595912"/>
    <n v="175965"/>
    <n v="419947"/>
    <n v="37"/>
    <n v="60"/>
    <n v="8"/>
  </r>
  <r>
    <x v="5"/>
    <x v="5"/>
    <d v="2024-01-07T00:00:00"/>
    <s v="NA"/>
    <n v="0"/>
    <n v="32"/>
    <s v="21-40"/>
    <x v="0"/>
    <x v="7"/>
    <x v="5"/>
    <x v="1"/>
    <n v="1"/>
    <n v="1"/>
    <n v="2.8"/>
    <x v="3"/>
    <n v="5"/>
    <n v="6"/>
    <n v="505108"/>
    <n v="68625"/>
    <n v="436483"/>
    <n v="39"/>
    <n v="64"/>
    <n v="12.6"/>
  </r>
  <r>
    <x v="5"/>
    <x v="5"/>
    <d v="2022-02-08T00:00:00"/>
    <s v="NA"/>
    <n v="0"/>
    <n v="69"/>
    <s v="61-80"/>
    <x v="0"/>
    <x v="9"/>
    <x v="7"/>
    <x v="3"/>
    <n v="1"/>
    <n v="1"/>
    <n v="4.8"/>
    <x v="22"/>
    <n v="7"/>
    <n v="3"/>
    <n v="544074"/>
    <n v="144784"/>
    <n v="399290"/>
    <n v="35"/>
    <n v="58"/>
    <n v="9.3000000000000007"/>
  </r>
  <r>
    <x v="5"/>
    <x v="5"/>
    <d v="2024-05-26T00:00:00"/>
    <s v="NA"/>
    <n v="0"/>
    <n v="40"/>
    <s v="21-40"/>
    <x v="1"/>
    <x v="10"/>
    <x v="8"/>
    <x v="3"/>
    <n v="1"/>
    <n v="1"/>
    <n v="6.8"/>
    <x v="5"/>
    <n v="4"/>
    <n v="7"/>
    <n v="504186"/>
    <n v="14804"/>
    <n v="489382"/>
    <n v="36"/>
    <n v="62"/>
    <n v="9.1999999999999993"/>
  </r>
  <r>
    <x v="5"/>
    <x v="5"/>
    <d v="2022-03-07T00:00:00"/>
    <s v="NA"/>
    <n v="0"/>
    <n v="35"/>
    <s v="21-40"/>
    <x v="1"/>
    <x v="4"/>
    <x v="3"/>
    <x v="4"/>
    <n v="1"/>
    <n v="1"/>
    <n v="2.6"/>
    <x v="5"/>
    <n v="3"/>
    <n v="5"/>
    <n v="557589"/>
    <n v="109167"/>
    <n v="448422"/>
    <n v="38"/>
    <n v="57"/>
    <n v="13.6"/>
  </r>
  <r>
    <x v="5"/>
    <x v="5"/>
    <d v="2023-02-08T00:00:00"/>
    <s v="NA"/>
    <n v="0"/>
    <n v="67"/>
    <s v="61-80"/>
    <x v="0"/>
    <x v="12"/>
    <x v="9"/>
    <x v="1"/>
    <n v="1"/>
    <n v="1"/>
    <n v="5.6"/>
    <x v="9"/>
    <n v="7"/>
    <n v="7"/>
    <n v="563244"/>
    <n v="164442"/>
    <n v="398802"/>
    <n v="40"/>
    <n v="54"/>
    <n v="9"/>
  </r>
  <r>
    <x v="5"/>
    <x v="5"/>
    <d v="2021-12-31T00:00:00"/>
    <s v="NA"/>
    <n v="0"/>
    <n v="39"/>
    <s v="21-40"/>
    <x v="0"/>
    <x v="2"/>
    <x v="1"/>
    <x v="3"/>
    <n v="1"/>
    <n v="1"/>
    <n v="1.2"/>
    <x v="14"/>
    <n v="7"/>
    <n v="5"/>
    <n v="545677"/>
    <n v="141215"/>
    <n v="404462"/>
    <n v="35"/>
    <n v="61"/>
    <n v="5.8"/>
  </r>
  <r>
    <x v="5"/>
    <x v="5"/>
    <d v="2022-08-09T00:00:00"/>
    <s v="NA"/>
    <n v="0"/>
    <n v="33"/>
    <s v="21-40"/>
    <x v="1"/>
    <x v="3"/>
    <x v="2"/>
    <x v="2"/>
    <n v="1"/>
    <n v="1"/>
    <n v="4.0999999999999996"/>
    <x v="13"/>
    <n v="3"/>
    <n v="7"/>
    <n v="509761"/>
    <n v="59916"/>
    <n v="449845"/>
    <n v="35"/>
    <n v="55"/>
    <n v="9.1"/>
  </r>
  <r>
    <x v="5"/>
    <x v="5"/>
    <d v="2024-04-18T00:00:00"/>
    <s v="NA"/>
    <n v="0"/>
    <n v="64"/>
    <s v="61-80"/>
    <x v="1"/>
    <x v="2"/>
    <x v="1"/>
    <x v="1"/>
    <n v="1"/>
    <n v="1"/>
    <n v="3.7"/>
    <x v="8"/>
    <n v="3"/>
    <n v="5"/>
    <n v="594315"/>
    <n v="157267"/>
    <n v="437048"/>
    <n v="39"/>
    <n v="57"/>
    <n v="36.6"/>
  </r>
  <r>
    <x v="9"/>
    <x v="9"/>
    <d v="2022-02-08T00:00:00"/>
    <s v="NA"/>
    <n v="0"/>
    <n v="49"/>
    <s v="41-60"/>
    <x v="1"/>
    <x v="9"/>
    <x v="7"/>
    <x v="3"/>
    <n v="1"/>
    <n v="1"/>
    <n v="5.5"/>
    <x v="0"/>
    <n v="6"/>
    <n v="6"/>
    <n v="992844"/>
    <n v="121998"/>
    <n v="870846"/>
    <n v="37"/>
    <n v="56"/>
    <n v="36.799999999999997"/>
  </r>
  <r>
    <x v="5"/>
    <x v="5"/>
    <d v="2024-10-18T00:00:00"/>
    <s v="NA"/>
    <n v="0"/>
    <n v="77"/>
    <s v="61-80"/>
    <x v="1"/>
    <x v="2"/>
    <x v="1"/>
    <x v="3"/>
    <n v="1"/>
    <n v="1"/>
    <n v="5.5"/>
    <x v="20"/>
    <n v="6"/>
    <n v="5"/>
    <n v="566194"/>
    <n v="148416"/>
    <n v="417778"/>
    <n v="35"/>
    <n v="60"/>
    <n v="5.2"/>
  </r>
  <r>
    <x v="5"/>
    <x v="5"/>
    <d v="2024-01-09T00:00:00"/>
    <s v="NA"/>
    <n v="0"/>
    <n v="52"/>
    <s v="41-60"/>
    <x v="1"/>
    <x v="6"/>
    <x v="4"/>
    <x v="4"/>
    <n v="1"/>
    <n v="1"/>
    <n v="1.9"/>
    <x v="17"/>
    <n v="3"/>
    <n v="4"/>
    <n v="559287"/>
    <n v="154106"/>
    <n v="405181"/>
    <n v="38"/>
    <n v="66"/>
    <n v="12.6"/>
  </r>
  <r>
    <x v="5"/>
    <x v="5"/>
    <d v="2021-07-17T00:00:00"/>
    <s v="NA"/>
    <n v="0"/>
    <n v="87"/>
    <s v="81+"/>
    <x v="0"/>
    <x v="5"/>
    <x v="0"/>
    <x v="0"/>
    <n v="1"/>
    <n v="1"/>
    <n v="1.2"/>
    <x v="16"/>
    <n v="7"/>
    <n v="6"/>
    <n v="562262"/>
    <n v="137390"/>
    <n v="424872"/>
    <n v="37"/>
    <n v="65"/>
    <n v="5.2"/>
  </r>
  <r>
    <x v="5"/>
    <x v="5"/>
    <d v="2022-06-25T00:00:00"/>
    <s v="NA"/>
    <n v="0"/>
    <n v="39"/>
    <s v="21-40"/>
    <x v="0"/>
    <x v="12"/>
    <x v="9"/>
    <x v="4"/>
    <n v="1"/>
    <n v="1"/>
    <n v="5.3"/>
    <x v="9"/>
    <n v="7"/>
    <n v="3"/>
    <n v="573034"/>
    <n v="188754"/>
    <n v="384280"/>
    <n v="39"/>
    <n v="66"/>
    <n v="5.4"/>
  </r>
  <r>
    <x v="5"/>
    <x v="5"/>
    <d v="2024-01-31T00:00:00"/>
    <s v="NA"/>
    <n v="0"/>
    <n v="87"/>
    <s v="81+"/>
    <x v="0"/>
    <x v="7"/>
    <x v="5"/>
    <x v="1"/>
    <n v="1"/>
    <n v="1"/>
    <n v="2.2000000000000002"/>
    <x v="4"/>
    <n v="4"/>
    <n v="6"/>
    <n v="592456"/>
    <n v="168826"/>
    <n v="423630"/>
    <n v="39"/>
    <n v="62"/>
    <n v="14.8"/>
  </r>
  <r>
    <x v="5"/>
    <x v="5"/>
    <d v="2022-04-20T00:00:00"/>
    <s v="NA"/>
    <n v="0"/>
    <n v="27"/>
    <s v="21-40"/>
    <x v="1"/>
    <x v="2"/>
    <x v="1"/>
    <x v="2"/>
    <n v="1"/>
    <n v="1"/>
    <n v="6"/>
    <x v="22"/>
    <n v="6"/>
    <n v="5"/>
    <n v="550169"/>
    <n v="156391"/>
    <n v="393778"/>
    <n v="38"/>
    <n v="57"/>
    <n v="10.9"/>
  </r>
  <r>
    <x v="5"/>
    <x v="5"/>
    <d v="2024-12-05T00:00:00"/>
    <s v="NA"/>
    <n v="0"/>
    <n v="40"/>
    <s v="21-40"/>
    <x v="0"/>
    <x v="12"/>
    <x v="9"/>
    <x v="4"/>
    <n v="1"/>
    <n v="1"/>
    <n v="6.1"/>
    <x v="29"/>
    <n v="3"/>
    <n v="4"/>
    <n v="591357"/>
    <n v="202093"/>
    <n v="389264"/>
    <n v="40"/>
    <n v="61"/>
    <n v="13.9"/>
  </r>
  <r>
    <x v="5"/>
    <x v="5"/>
    <d v="2022-12-11T00:00:00"/>
    <s v="NA"/>
    <n v="0"/>
    <n v="85"/>
    <s v="81+"/>
    <x v="1"/>
    <x v="3"/>
    <x v="2"/>
    <x v="0"/>
    <n v="1"/>
    <n v="1"/>
    <n v="1.9"/>
    <x v="13"/>
    <n v="5"/>
    <n v="7"/>
    <n v="559994"/>
    <n v="165503"/>
    <n v="394491"/>
    <n v="36"/>
    <n v="59"/>
    <n v="13.7"/>
  </r>
  <r>
    <x v="5"/>
    <x v="5"/>
    <d v="2023-05-20T00:00:00"/>
    <s v="NA"/>
    <n v="0"/>
    <n v="28"/>
    <s v="21-40"/>
    <x v="1"/>
    <x v="12"/>
    <x v="9"/>
    <x v="1"/>
    <n v="1"/>
    <n v="1"/>
    <n v="1.6"/>
    <x v="8"/>
    <n v="5"/>
    <n v="5"/>
    <n v="584952"/>
    <n v="203172"/>
    <n v="381780"/>
    <n v="37"/>
    <n v="54"/>
    <n v="10.7"/>
  </r>
  <r>
    <x v="5"/>
    <x v="5"/>
    <d v="2024-01-27T00:00:00"/>
    <s v="NA"/>
    <n v="0"/>
    <n v="90"/>
    <s v="81+"/>
    <x v="0"/>
    <x v="7"/>
    <x v="5"/>
    <x v="4"/>
    <n v="1"/>
    <n v="1"/>
    <n v="6.5"/>
    <x v="21"/>
    <n v="4"/>
    <n v="7"/>
    <n v="515946"/>
    <n v="95538"/>
    <n v="420408"/>
    <n v="36"/>
    <n v="63"/>
    <n v="36.4"/>
  </r>
  <r>
    <x v="5"/>
    <x v="5"/>
    <d v="2022-11-03T00:00:00"/>
    <s v="NA"/>
    <n v="0"/>
    <n v="48"/>
    <s v="41-60"/>
    <x v="1"/>
    <x v="8"/>
    <x v="6"/>
    <x v="4"/>
    <n v="1"/>
    <n v="1"/>
    <n v="4.2"/>
    <x v="2"/>
    <n v="7"/>
    <n v="5"/>
    <n v="566188"/>
    <n v="129456"/>
    <n v="436732"/>
    <n v="35"/>
    <n v="61"/>
    <n v="5.9"/>
  </r>
  <r>
    <x v="5"/>
    <x v="5"/>
    <d v="2022-10-02T00:00:00"/>
    <s v="NA"/>
    <n v="0"/>
    <n v="39"/>
    <s v="21-40"/>
    <x v="0"/>
    <x v="5"/>
    <x v="0"/>
    <x v="0"/>
    <n v="1"/>
    <n v="1"/>
    <n v="4.0999999999999996"/>
    <x v="27"/>
    <n v="7"/>
    <n v="3"/>
    <n v="570068"/>
    <n v="86469"/>
    <n v="483599"/>
    <n v="35"/>
    <n v="62"/>
    <n v="10.3"/>
  </r>
  <r>
    <x v="5"/>
    <x v="5"/>
    <d v="2024-02-26T00:00:00"/>
    <s v="NA"/>
    <n v="0"/>
    <n v="38"/>
    <s v="21-40"/>
    <x v="1"/>
    <x v="7"/>
    <x v="5"/>
    <x v="1"/>
    <n v="1"/>
    <n v="1"/>
    <n v="6"/>
    <x v="19"/>
    <n v="7"/>
    <n v="4"/>
    <n v="553513"/>
    <n v="155042"/>
    <n v="398471"/>
    <n v="40"/>
    <n v="64"/>
    <n v="8.6"/>
  </r>
  <r>
    <x v="5"/>
    <x v="5"/>
    <d v="2023-09-23T00:00:00"/>
    <s v="NA"/>
    <n v="0"/>
    <n v="68"/>
    <s v="61-80"/>
    <x v="0"/>
    <x v="0"/>
    <x v="0"/>
    <x v="1"/>
    <n v="1"/>
    <n v="1"/>
    <n v="6.2"/>
    <x v="20"/>
    <n v="4"/>
    <n v="7"/>
    <n v="564784"/>
    <n v="115022"/>
    <n v="449762"/>
    <n v="35"/>
    <n v="63"/>
    <n v="8.6"/>
  </r>
  <r>
    <x v="5"/>
    <x v="5"/>
    <d v="2023-06-27T00:00:00"/>
    <s v="NA"/>
    <n v="0"/>
    <n v="35"/>
    <s v="21-40"/>
    <x v="1"/>
    <x v="10"/>
    <x v="8"/>
    <x v="4"/>
    <n v="1"/>
    <n v="1"/>
    <n v="5.8"/>
    <x v="12"/>
    <n v="4"/>
    <n v="5"/>
    <n v="599681"/>
    <n v="160296"/>
    <n v="439385"/>
    <n v="40"/>
    <n v="63"/>
    <n v="5.6"/>
  </r>
  <r>
    <x v="5"/>
    <x v="5"/>
    <d v="2023-12-08T00:00:00"/>
    <s v="NA"/>
    <n v="0"/>
    <n v="40"/>
    <s v="21-40"/>
    <x v="1"/>
    <x v="4"/>
    <x v="3"/>
    <x v="0"/>
    <n v="1"/>
    <n v="1"/>
    <n v="6.2"/>
    <x v="0"/>
    <n v="4"/>
    <n v="3"/>
    <n v="520700"/>
    <n v="72291"/>
    <n v="448409"/>
    <n v="35"/>
    <n v="55"/>
    <n v="12.4"/>
  </r>
  <r>
    <x v="5"/>
    <x v="5"/>
    <d v="2023-04-18T00:00:00"/>
    <s v="NA"/>
    <n v="0"/>
    <n v="73"/>
    <s v="61-80"/>
    <x v="0"/>
    <x v="5"/>
    <x v="0"/>
    <x v="3"/>
    <n v="1"/>
    <n v="1"/>
    <n v="3.5"/>
    <x v="23"/>
    <n v="7"/>
    <n v="6"/>
    <n v="578991"/>
    <n v="101514"/>
    <n v="477477"/>
    <n v="35"/>
    <n v="61"/>
    <n v="14.7"/>
  </r>
  <r>
    <x v="5"/>
    <x v="5"/>
    <d v="2023-04-21T00:00:00"/>
    <s v="NA"/>
    <n v="0"/>
    <n v="40"/>
    <s v="21-40"/>
    <x v="0"/>
    <x v="2"/>
    <x v="1"/>
    <x v="3"/>
    <n v="1"/>
    <n v="1"/>
    <n v="1.6"/>
    <x v="5"/>
    <n v="7"/>
    <n v="6"/>
    <n v="589153"/>
    <n v="204597"/>
    <n v="384556"/>
    <n v="39"/>
    <n v="61"/>
    <n v="36"/>
  </r>
  <r>
    <x v="5"/>
    <x v="5"/>
    <d v="2023-04-23T00:00:00"/>
    <s v="NA"/>
    <n v="0"/>
    <n v="49"/>
    <s v="41-60"/>
    <x v="1"/>
    <x v="12"/>
    <x v="9"/>
    <x v="2"/>
    <n v="1"/>
    <n v="1"/>
    <n v="3.2"/>
    <x v="23"/>
    <n v="3"/>
    <n v="4"/>
    <n v="551395"/>
    <n v="115618"/>
    <n v="435777"/>
    <n v="35"/>
    <n v="65"/>
    <n v="10.1"/>
  </r>
  <r>
    <x v="5"/>
    <x v="5"/>
    <d v="2021-04-11T00:00:00"/>
    <s v="NA"/>
    <n v="0"/>
    <n v="43"/>
    <s v="41-60"/>
    <x v="0"/>
    <x v="12"/>
    <x v="9"/>
    <x v="4"/>
    <n v="1"/>
    <n v="1"/>
    <n v="3.8"/>
    <x v="23"/>
    <n v="3"/>
    <n v="3"/>
    <n v="542735"/>
    <n v="107792"/>
    <n v="434943"/>
    <n v="40"/>
    <n v="57"/>
    <n v="7.6"/>
  </r>
  <r>
    <x v="5"/>
    <x v="5"/>
    <d v="2024-02-21T00:00:00"/>
    <s v="NA"/>
    <n v="0"/>
    <n v="28"/>
    <s v="21-40"/>
    <x v="0"/>
    <x v="5"/>
    <x v="0"/>
    <x v="3"/>
    <n v="1"/>
    <n v="1"/>
    <n v="6.3"/>
    <x v="21"/>
    <n v="6"/>
    <n v="7"/>
    <n v="567226"/>
    <n v="138612"/>
    <n v="428614"/>
    <n v="36"/>
    <n v="57"/>
    <n v="7"/>
  </r>
  <r>
    <x v="5"/>
    <x v="5"/>
    <d v="2022-06-10T00:00:00"/>
    <s v="NA"/>
    <n v="0"/>
    <n v="54"/>
    <s v="41-60"/>
    <x v="0"/>
    <x v="0"/>
    <x v="0"/>
    <x v="2"/>
    <n v="1"/>
    <n v="1"/>
    <n v="6.5"/>
    <x v="24"/>
    <n v="7"/>
    <n v="3"/>
    <n v="557946"/>
    <n v="80244"/>
    <n v="477702"/>
    <n v="38"/>
    <n v="63"/>
    <n v="9.6"/>
  </r>
  <r>
    <x v="5"/>
    <x v="5"/>
    <d v="2021-08-10T00:00:00"/>
    <s v="NA"/>
    <n v="0"/>
    <n v="66"/>
    <s v="61-80"/>
    <x v="1"/>
    <x v="12"/>
    <x v="9"/>
    <x v="3"/>
    <n v="1"/>
    <n v="1"/>
    <n v="2.4"/>
    <x v="9"/>
    <n v="7"/>
    <n v="6"/>
    <n v="585371"/>
    <n v="198975"/>
    <n v="386396"/>
    <n v="39"/>
    <n v="65"/>
    <n v="14.4"/>
  </r>
  <r>
    <x v="5"/>
    <x v="5"/>
    <d v="2023-06-21T00:00:00"/>
    <s v="NA"/>
    <n v="0"/>
    <n v="82"/>
    <s v="81+"/>
    <x v="1"/>
    <x v="4"/>
    <x v="3"/>
    <x v="2"/>
    <n v="1"/>
    <n v="1"/>
    <n v="3.7"/>
    <x v="4"/>
    <n v="3"/>
    <n v="4"/>
    <n v="599088"/>
    <n v="135870"/>
    <n v="463218"/>
    <n v="36"/>
    <n v="57"/>
    <n v="10.3"/>
  </r>
  <r>
    <x v="5"/>
    <x v="5"/>
    <d v="2023-08-05T00:00:00"/>
    <s v="NA"/>
    <n v="0"/>
    <n v="80"/>
    <s v="61-80"/>
    <x v="0"/>
    <x v="0"/>
    <x v="0"/>
    <x v="3"/>
    <n v="1"/>
    <n v="1"/>
    <n v="6.7"/>
    <x v="29"/>
    <n v="5"/>
    <n v="7"/>
    <n v="560865"/>
    <n v="108548"/>
    <n v="452317"/>
    <n v="38"/>
    <n v="61"/>
    <n v="10.3"/>
  </r>
  <r>
    <x v="5"/>
    <x v="5"/>
    <d v="2023-04-10T00:00:00"/>
    <s v="NA"/>
    <n v="0"/>
    <n v="29"/>
    <s v="21-40"/>
    <x v="0"/>
    <x v="4"/>
    <x v="3"/>
    <x v="4"/>
    <n v="1"/>
    <n v="1"/>
    <n v="1.5"/>
    <x v="21"/>
    <n v="6"/>
    <n v="3"/>
    <n v="508406"/>
    <n v="126356"/>
    <n v="382050"/>
    <n v="39"/>
    <n v="63"/>
    <n v="9.1"/>
  </r>
  <r>
    <x v="5"/>
    <x v="5"/>
    <d v="2023-04-22T00:00:00"/>
    <s v="NA"/>
    <n v="0"/>
    <n v="23"/>
    <s v="21-40"/>
    <x v="0"/>
    <x v="1"/>
    <x v="1"/>
    <x v="4"/>
    <n v="1"/>
    <n v="1"/>
    <n v="7"/>
    <x v="8"/>
    <n v="3"/>
    <n v="5"/>
    <n v="519160"/>
    <n v="124276"/>
    <n v="394884"/>
    <n v="36"/>
    <n v="65"/>
    <n v="10.7"/>
  </r>
  <r>
    <x v="5"/>
    <x v="5"/>
    <d v="2024-01-11T00:00:00"/>
    <s v="NA"/>
    <n v="0"/>
    <n v="28"/>
    <s v="21-40"/>
    <x v="0"/>
    <x v="13"/>
    <x v="10"/>
    <x v="3"/>
    <n v="1"/>
    <n v="1"/>
    <n v="5.0999999999999996"/>
    <x v="16"/>
    <n v="4"/>
    <n v="6"/>
    <n v="570424"/>
    <n v="119562"/>
    <n v="450862"/>
    <n v="40"/>
    <n v="57"/>
    <n v="9"/>
  </r>
  <r>
    <x v="5"/>
    <x v="5"/>
    <d v="2024-03-21T00:00:00"/>
    <s v="NA"/>
    <n v="0"/>
    <n v="59"/>
    <s v="41-60"/>
    <x v="1"/>
    <x v="7"/>
    <x v="5"/>
    <x v="4"/>
    <n v="1"/>
    <n v="1"/>
    <n v="2.4"/>
    <x v="27"/>
    <n v="5"/>
    <n v="4"/>
    <n v="578919"/>
    <n v="100646"/>
    <n v="478273"/>
    <n v="37"/>
    <n v="55"/>
    <n v="9.9"/>
  </r>
  <r>
    <x v="5"/>
    <x v="5"/>
    <d v="2021-06-17T00:00:00"/>
    <s v="NA"/>
    <n v="0"/>
    <n v="84"/>
    <s v="81+"/>
    <x v="0"/>
    <x v="9"/>
    <x v="7"/>
    <x v="2"/>
    <n v="1"/>
    <n v="1"/>
    <n v="5.7"/>
    <x v="5"/>
    <n v="4"/>
    <n v="4"/>
    <n v="572354"/>
    <n v="127259"/>
    <n v="445095"/>
    <n v="35"/>
    <n v="56"/>
    <n v="36.200000000000003"/>
  </r>
  <r>
    <x v="5"/>
    <x v="5"/>
    <d v="2022-06-12T00:00:00"/>
    <s v="NA"/>
    <n v="0"/>
    <n v="71"/>
    <s v="61-80"/>
    <x v="0"/>
    <x v="1"/>
    <x v="1"/>
    <x v="3"/>
    <n v="1"/>
    <n v="1"/>
    <n v="1.3"/>
    <x v="12"/>
    <n v="4"/>
    <n v="6"/>
    <n v="534577"/>
    <n v="79212"/>
    <n v="455365"/>
    <n v="38"/>
    <n v="58"/>
    <n v="8"/>
  </r>
  <r>
    <x v="5"/>
    <x v="5"/>
    <d v="2024-01-25T00:00:00"/>
    <s v="NA"/>
    <n v="0"/>
    <n v="43"/>
    <s v="41-60"/>
    <x v="1"/>
    <x v="6"/>
    <x v="4"/>
    <x v="2"/>
    <n v="1"/>
    <n v="1"/>
    <n v="4.5999999999999996"/>
    <x v="17"/>
    <n v="7"/>
    <n v="3"/>
    <n v="573759"/>
    <n v="175464"/>
    <n v="398295"/>
    <n v="35"/>
    <n v="64"/>
    <n v="13.7"/>
  </r>
  <r>
    <x v="5"/>
    <x v="5"/>
    <d v="2023-11-18T00:00:00"/>
    <s v="NA"/>
    <n v="0"/>
    <n v="65"/>
    <s v="61-80"/>
    <x v="0"/>
    <x v="2"/>
    <x v="1"/>
    <x v="1"/>
    <n v="1"/>
    <n v="1"/>
    <n v="3.8"/>
    <x v="30"/>
    <n v="3"/>
    <n v="4"/>
    <n v="545801"/>
    <n v="102864"/>
    <n v="442937"/>
    <n v="38"/>
    <n v="63"/>
    <n v="8.5"/>
  </r>
  <r>
    <x v="5"/>
    <x v="5"/>
    <d v="2023-12-08T00:00:00"/>
    <s v="NA"/>
    <n v="0"/>
    <n v="30"/>
    <s v="21-40"/>
    <x v="1"/>
    <x v="9"/>
    <x v="7"/>
    <x v="4"/>
    <n v="1"/>
    <n v="1"/>
    <n v="5.7"/>
    <x v="11"/>
    <n v="4"/>
    <n v="7"/>
    <n v="562349"/>
    <n v="167657"/>
    <n v="394692"/>
    <n v="38"/>
    <n v="54"/>
    <n v="6.9"/>
  </r>
  <r>
    <x v="5"/>
    <x v="5"/>
    <d v="2023-03-24T00:00:00"/>
    <s v="NA"/>
    <n v="0"/>
    <n v="47"/>
    <s v="41-60"/>
    <x v="1"/>
    <x v="4"/>
    <x v="3"/>
    <x v="1"/>
    <n v="1"/>
    <n v="1"/>
    <n v="1.3"/>
    <x v="26"/>
    <n v="3"/>
    <n v="6"/>
    <n v="518681"/>
    <n v="67071"/>
    <n v="451610"/>
    <n v="40"/>
    <n v="56"/>
    <n v="36.799999999999997"/>
  </r>
  <r>
    <x v="5"/>
    <x v="5"/>
    <d v="2024-07-10T00:00:00"/>
    <s v="NA"/>
    <n v="0"/>
    <n v="54"/>
    <s v="41-60"/>
    <x v="0"/>
    <x v="9"/>
    <x v="7"/>
    <x v="3"/>
    <n v="1"/>
    <n v="1"/>
    <n v="5"/>
    <x v="15"/>
    <n v="3"/>
    <n v="4"/>
    <n v="585047"/>
    <n v="136940"/>
    <n v="448107"/>
    <n v="39"/>
    <n v="63"/>
    <n v="10"/>
  </r>
  <r>
    <x v="5"/>
    <x v="5"/>
    <d v="2023-01-25T00:00:00"/>
    <s v="NA"/>
    <n v="0"/>
    <n v="76"/>
    <s v="61-80"/>
    <x v="0"/>
    <x v="13"/>
    <x v="10"/>
    <x v="0"/>
    <n v="1"/>
    <n v="1"/>
    <n v="3.1"/>
    <x v="0"/>
    <n v="6"/>
    <n v="7"/>
    <n v="542082"/>
    <n v="139013"/>
    <n v="403069"/>
    <n v="37"/>
    <n v="61"/>
    <n v="9.9"/>
  </r>
  <r>
    <x v="5"/>
    <x v="5"/>
    <d v="2021-11-17T00:00:00"/>
    <s v="NA"/>
    <n v="0"/>
    <n v="76"/>
    <s v="61-80"/>
    <x v="1"/>
    <x v="3"/>
    <x v="2"/>
    <x v="0"/>
    <n v="1"/>
    <n v="1"/>
    <n v="2.2000000000000002"/>
    <x v="10"/>
    <n v="3"/>
    <n v="6"/>
    <n v="501954"/>
    <n v="46110"/>
    <n v="455844"/>
    <n v="39"/>
    <n v="54"/>
    <n v="13.8"/>
  </r>
  <r>
    <x v="5"/>
    <x v="5"/>
    <d v="2024-05-25T00:00:00"/>
    <s v="NA"/>
    <n v="0"/>
    <n v="46"/>
    <s v="41-60"/>
    <x v="0"/>
    <x v="7"/>
    <x v="5"/>
    <x v="1"/>
    <n v="1"/>
    <n v="1"/>
    <n v="2.2000000000000002"/>
    <x v="8"/>
    <n v="6"/>
    <n v="3"/>
    <n v="558350"/>
    <n v="120784"/>
    <n v="437566"/>
    <n v="38"/>
    <n v="54"/>
    <n v="9.8000000000000007"/>
  </r>
  <r>
    <x v="5"/>
    <x v="5"/>
    <d v="2024-10-13T00:00:00"/>
    <s v="NA"/>
    <n v="0"/>
    <n v="43"/>
    <s v="41-60"/>
    <x v="1"/>
    <x v="3"/>
    <x v="2"/>
    <x v="2"/>
    <n v="1"/>
    <n v="1"/>
    <n v="3"/>
    <x v="2"/>
    <n v="3"/>
    <n v="6"/>
    <n v="591449"/>
    <n v="182873"/>
    <n v="408576"/>
    <n v="38"/>
    <n v="57"/>
    <n v="7.2"/>
  </r>
  <r>
    <x v="5"/>
    <x v="5"/>
    <d v="2021-11-05T00:00:00"/>
    <s v="NA"/>
    <n v="0"/>
    <n v="58"/>
    <s v="41-60"/>
    <x v="1"/>
    <x v="8"/>
    <x v="6"/>
    <x v="2"/>
    <n v="1"/>
    <n v="1"/>
    <n v="5.3"/>
    <x v="5"/>
    <n v="6"/>
    <n v="6"/>
    <n v="558651"/>
    <n v="105370"/>
    <n v="453281"/>
    <n v="36"/>
    <n v="59"/>
    <n v="9.1"/>
  </r>
  <r>
    <x v="5"/>
    <x v="5"/>
    <d v="2021-07-29T00:00:00"/>
    <s v="NA"/>
    <n v="0"/>
    <n v="88"/>
    <s v="81+"/>
    <x v="1"/>
    <x v="11"/>
    <x v="8"/>
    <x v="2"/>
    <n v="1"/>
    <n v="1"/>
    <n v="5.2"/>
    <x v="6"/>
    <n v="4"/>
    <n v="6"/>
    <n v="508806"/>
    <n v="108042"/>
    <n v="400764"/>
    <n v="38"/>
    <n v="56"/>
    <n v="13.4"/>
  </r>
  <r>
    <x v="3"/>
    <x v="3"/>
    <d v="2021-07-20T00:00:00"/>
    <s v="NA"/>
    <n v="0"/>
    <n v="41"/>
    <s v="41-60"/>
    <x v="0"/>
    <x v="2"/>
    <x v="1"/>
    <x v="3"/>
    <n v="1"/>
    <n v="1"/>
    <n v="3"/>
    <x v="1"/>
    <n v="6"/>
    <n v="7"/>
    <n v="962689"/>
    <n v="427344"/>
    <n v="535345"/>
    <n v="64"/>
    <n v="60"/>
    <n v="10"/>
  </r>
  <r>
    <x v="3"/>
    <x v="3"/>
    <d v="2022-08-24T00:00:00"/>
    <s v="NA"/>
    <n v="0"/>
    <n v="46"/>
    <s v="41-60"/>
    <x v="1"/>
    <x v="2"/>
    <x v="1"/>
    <x v="4"/>
    <n v="1"/>
    <n v="1"/>
    <n v="6.8"/>
    <x v="26"/>
    <n v="5"/>
    <n v="7"/>
    <n v="990641"/>
    <n v="471444"/>
    <n v="519197"/>
    <n v="58"/>
    <n v="63"/>
    <n v="7.4"/>
  </r>
  <r>
    <x v="3"/>
    <x v="3"/>
    <d v="2024-11-02T00:00:00"/>
    <s v="NA"/>
    <n v="0"/>
    <n v="86"/>
    <s v="81+"/>
    <x v="1"/>
    <x v="11"/>
    <x v="8"/>
    <x v="3"/>
    <n v="1"/>
    <n v="1"/>
    <n v="3.9"/>
    <x v="21"/>
    <n v="3"/>
    <n v="7"/>
    <n v="886893"/>
    <n v="247224"/>
    <n v="639669"/>
    <n v="68"/>
    <n v="66"/>
    <n v="12.3"/>
  </r>
  <r>
    <x v="3"/>
    <x v="3"/>
    <d v="2024-06-23T00:00:00"/>
    <s v="NA"/>
    <n v="0"/>
    <n v="29"/>
    <s v="21-40"/>
    <x v="0"/>
    <x v="12"/>
    <x v="9"/>
    <x v="3"/>
    <n v="1"/>
    <n v="1"/>
    <n v="6.6"/>
    <x v="29"/>
    <n v="6"/>
    <n v="5"/>
    <n v="915448"/>
    <n v="386148"/>
    <n v="529300"/>
    <n v="52"/>
    <n v="59"/>
    <n v="36.9"/>
  </r>
  <r>
    <x v="3"/>
    <x v="3"/>
    <d v="2021-06-17T00:00:00"/>
    <s v="NA"/>
    <n v="0"/>
    <n v="80"/>
    <s v="61-80"/>
    <x v="0"/>
    <x v="0"/>
    <x v="0"/>
    <x v="1"/>
    <n v="1"/>
    <n v="1"/>
    <n v="1.8"/>
    <x v="30"/>
    <n v="4"/>
    <n v="6"/>
    <n v="971224"/>
    <n v="404649"/>
    <n v="566575"/>
    <n v="54"/>
    <n v="56"/>
    <n v="6.6"/>
  </r>
  <r>
    <x v="3"/>
    <x v="3"/>
    <d v="2023-03-13T00:00:00"/>
    <s v="NA"/>
    <n v="0"/>
    <n v="27"/>
    <s v="21-40"/>
    <x v="1"/>
    <x v="9"/>
    <x v="7"/>
    <x v="4"/>
    <n v="1"/>
    <n v="1"/>
    <n v="2.7"/>
    <x v="4"/>
    <n v="7"/>
    <n v="4"/>
    <n v="927425"/>
    <n v="382703"/>
    <n v="544722"/>
    <n v="66"/>
    <n v="54"/>
    <n v="14.6"/>
  </r>
  <r>
    <x v="3"/>
    <x v="3"/>
    <d v="2024-09-19T00:00:00"/>
    <s v="NA"/>
    <n v="0"/>
    <n v="54"/>
    <s v="41-60"/>
    <x v="1"/>
    <x v="3"/>
    <x v="2"/>
    <x v="2"/>
    <n v="1"/>
    <n v="1"/>
    <n v="6"/>
    <x v="8"/>
    <n v="4"/>
    <n v="4"/>
    <n v="882188"/>
    <n v="223702"/>
    <n v="658486"/>
    <n v="70"/>
    <n v="62"/>
    <n v="14.8"/>
  </r>
  <r>
    <x v="3"/>
    <x v="3"/>
    <d v="2024-10-17T00:00:00"/>
    <s v="NA"/>
    <n v="0"/>
    <n v="56"/>
    <s v="41-60"/>
    <x v="0"/>
    <x v="9"/>
    <x v="7"/>
    <x v="0"/>
    <n v="1"/>
    <n v="1"/>
    <n v="6.8"/>
    <x v="30"/>
    <n v="3"/>
    <n v="3"/>
    <n v="903985"/>
    <n v="312489"/>
    <n v="591496"/>
    <n v="58"/>
    <n v="55"/>
    <n v="5.7"/>
  </r>
  <r>
    <x v="3"/>
    <x v="3"/>
    <d v="2023-11-21T00:00:00"/>
    <s v="NA"/>
    <n v="0"/>
    <n v="33"/>
    <s v="21-40"/>
    <x v="0"/>
    <x v="2"/>
    <x v="1"/>
    <x v="2"/>
    <n v="1"/>
    <n v="1"/>
    <n v="3.8"/>
    <x v="10"/>
    <n v="3"/>
    <n v="7"/>
    <n v="979920"/>
    <n v="318900"/>
    <n v="661020"/>
    <n v="67"/>
    <n v="66"/>
    <n v="7.5"/>
  </r>
  <r>
    <x v="3"/>
    <x v="3"/>
    <d v="2023-07-08T00:00:00"/>
    <s v="NA"/>
    <n v="0"/>
    <n v="68"/>
    <s v="61-80"/>
    <x v="1"/>
    <x v="11"/>
    <x v="8"/>
    <x v="0"/>
    <n v="1"/>
    <n v="1"/>
    <n v="5.4"/>
    <x v="30"/>
    <n v="7"/>
    <n v="3"/>
    <n v="841947"/>
    <n v="294420"/>
    <n v="547527"/>
    <n v="67"/>
    <n v="65"/>
    <n v="8.1"/>
  </r>
  <r>
    <x v="3"/>
    <x v="3"/>
    <d v="2024-09-07T00:00:00"/>
    <s v="NA"/>
    <n v="0"/>
    <n v="59"/>
    <s v="41-60"/>
    <x v="1"/>
    <x v="7"/>
    <x v="5"/>
    <x v="4"/>
    <n v="1"/>
    <n v="1"/>
    <n v="2.4"/>
    <x v="21"/>
    <n v="7"/>
    <n v="3"/>
    <n v="951241"/>
    <n v="415089"/>
    <n v="536152"/>
    <n v="57"/>
    <n v="56"/>
    <n v="6.1"/>
  </r>
  <r>
    <x v="3"/>
    <x v="3"/>
    <d v="2024-11-16T00:00:00"/>
    <s v="NA"/>
    <n v="0"/>
    <n v="54"/>
    <s v="41-60"/>
    <x v="1"/>
    <x v="10"/>
    <x v="8"/>
    <x v="3"/>
    <n v="1"/>
    <n v="1"/>
    <n v="2.4"/>
    <x v="6"/>
    <n v="3"/>
    <n v="7"/>
    <n v="986765"/>
    <n v="343333"/>
    <n v="643432"/>
    <n v="60"/>
    <n v="58"/>
    <n v="14.4"/>
  </r>
  <r>
    <x v="3"/>
    <x v="3"/>
    <d v="2021-08-04T00:00:00"/>
    <s v="NA"/>
    <n v="0"/>
    <n v="85"/>
    <s v="81+"/>
    <x v="0"/>
    <x v="9"/>
    <x v="7"/>
    <x v="3"/>
    <n v="1"/>
    <n v="1"/>
    <n v="1.6"/>
    <x v="1"/>
    <n v="4"/>
    <n v="3"/>
    <n v="970678"/>
    <n v="423124"/>
    <n v="547554"/>
    <n v="50"/>
    <n v="54"/>
    <n v="36.6"/>
  </r>
  <r>
    <x v="3"/>
    <x v="3"/>
    <d v="2023-05-11T00:00:00"/>
    <s v="NA"/>
    <n v="0"/>
    <n v="44"/>
    <s v="41-60"/>
    <x v="1"/>
    <x v="2"/>
    <x v="1"/>
    <x v="4"/>
    <n v="1"/>
    <n v="1"/>
    <n v="3.4"/>
    <x v="15"/>
    <n v="7"/>
    <n v="3"/>
    <n v="903694"/>
    <n v="357840"/>
    <n v="545854"/>
    <n v="61"/>
    <n v="55"/>
    <n v="12.3"/>
  </r>
  <r>
    <x v="3"/>
    <x v="3"/>
    <d v="2021-01-16T00:00:00"/>
    <s v="NA"/>
    <n v="0"/>
    <n v="47"/>
    <s v="41-60"/>
    <x v="0"/>
    <x v="12"/>
    <x v="9"/>
    <x v="0"/>
    <n v="1"/>
    <n v="1"/>
    <n v="4.4000000000000004"/>
    <x v="8"/>
    <n v="6"/>
    <n v="3"/>
    <n v="855822"/>
    <n v="276874"/>
    <n v="578948"/>
    <n v="52"/>
    <n v="59"/>
    <n v="36.6"/>
  </r>
  <r>
    <x v="3"/>
    <x v="3"/>
    <d v="2022-04-11T00:00:00"/>
    <s v="NA"/>
    <n v="0"/>
    <n v="90"/>
    <s v="81+"/>
    <x v="0"/>
    <x v="0"/>
    <x v="0"/>
    <x v="3"/>
    <n v="1"/>
    <n v="1"/>
    <n v="3.7"/>
    <x v="26"/>
    <n v="6"/>
    <n v="4"/>
    <n v="951254"/>
    <n v="281291"/>
    <n v="669963"/>
    <n v="59"/>
    <n v="66"/>
    <n v="8.4"/>
  </r>
  <r>
    <x v="3"/>
    <x v="3"/>
    <d v="2023-12-10T00:00:00"/>
    <s v="NA"/>
    <n v="0"/>
    <n v="23"/>
    <s v="21-40"/>
    <x v="1"/>
    <x v="4"/>
    <x v="3"/>
    <x v="4"/>
    <n v="1"/>
    <n v="1"/>
    <n v="3.1"/>
    <x v="27"/>
    <n v="7"/>
    <n v="7"/>
    <n v="822963"/>
    <n v="305449"/>
    <n v="517514"/>
    <n v="58"/>
    <n v="65"/>
    <n v="14.6"/>
  </r>
  <r>
    <x v="3"/>
    <x v="3"/>
    <d v="2024-02-21T00:00:00"/>
    <s v="NA"/>
    <n v="0"/>
    <n v="71"/>
    <s v="61-80"/>
    <x v="1"/>
    <x v="2"/>
    <x v="1"/>
    <x v="2"/>
    <n v="1"/>
    <n v="1"/>
    <n v="2.1"/>
    <x v="20"/>
    <n v="6"/>
    <n v="7"/>
    <n v="888583"/>
    <n v="317342"/>
    <n v="571241"/>
    <n v="61"/>
    <n v="54"/>
    <n v="8.1999999999999993"/>
  </r>
  <r>
    <x v="3"/>
    <x v="3"/>
    <d v="2021-01-19T00:00:00"/>
    <s v="NA"/>
    <n v="0"/>
    <n v="46"/>
    <s v="41-60"/>
    <x v="1"/>
    <x v="11"/>
    <x v="8"/>
    <x v="4"/>
    <n v="1"/>
    <n v="1"/>
    <n v="1.5"/>
    <x v="29"/>
    <n v="5"/>
    <n v="6"/>
    <n v="945264"/>
    <n v="347329"/>
    <n v="597935"/>
    <n v="57"/>
    <n v="65"/>
    <n v="7.3"/>
  </r>
  <r>
    <x v="3"/>
    <x v="3"/>
    <d v="2024-04-01T00:00:00"/>
    <s v="NA"/>
    <n v="0"/>
    <n v="72"/>
    <s v="61-80"/>
    <x v="1"/>
    <x v="3"/>
    <x v="2"/>
    <x v="0"/>
    <n v="1"/>
    <n v="1"/>
    <n v="5.5"/>
    <x v="11"/>
    <n v="5"/>
    <n v="5"/>
    <n v="865703"/>
    <n v="299647"/>
    <n v="566056"/>
    <n v="67"/>
    <n v="64"/>
    <n v="13.8"/>
  </r>
  <r>
    <x v="3"/>
    <x v="3"/>
    <d v="2024-06-26T00:00:00"/>
    <s v="NA"/>
    <n v="0"/>
    <n v="74"/>
    <s v="61-80"/>
    <x v="0"/>
    <x v="5"/>
    <x v="0"/>
    <x v="1"/>
    <n v="1"/>
    <n v="1"/>
    <n v="1.2"/>
    <x v="29"/>
    <n v="7"/>
    <n v="6"/>
    <n v="989878"/>
    <n v="291850"/>
    <n v="698028"/>
    <n v="59"/>
    <n v="64"/>
    <n v="6.7"/>
  </r>
  <r>
    <x v="3"/>
    <x v="3"/>
    <d v="2021-02-17T00:00:00"/>
    <s v="NA"/>
    <n v="0"/>
    <n v="37"/>
    <s v="21-40"/>
    <x v="1"/>
    <x v="7"/>
    <x v="5"/>
    <x v="3"/>
    <n v="1"/>
    <n v="1"/>
    <n v="4.2"/>
    <x v="27"/>
    <n v="4"/>
    <n v="7"/>
    <n v="832056"/>
    <n v="245207"/>
    <n v="586849"/>
    <n v="56"/>
    <n v="66"/>
    <n v="9"/>
  </r>
  <r>
    <x v="3"/>
    <x v="3"/>
    <d v="2022-04-09T00:00:00"/>
    <s v="NA"/>
    <n v="0"/>
    <n v="29"/>
    <s v="21-40"/>
    <x v="1"/>
    <x v="12"/>
    <x v="9"/>
    <x v="0"/>
    <n v="1"/>
    <n v="1"/>
    <n v="4.5"/>
    <x v="4"/>
    <n v="6"/>
    <n v="7"/>
    <n v="927677"/>
    <n v="393068"/>
    <n v="534609"/>
    <n v="55"/>
    <n v="58"/>
    <n v="36.1"/>
  </r>
  <r>
    <x v="3"/>
    <x v="3"/>
    <d v="2023-03-11T00:00:00"/>
    <s v="NA"/>
    <n v="0"/>
    <n v="68"/>
    <s v="61-80"/>
    <x v="0"/>
    <x v="5"/>
    <x v="0"/>
    <x v="0"/>
    <n v="1"/>
    <n v="1"/>
    <n v="3.6"/>
    <x v="19"/>
    <n v="5"/>
    <n v="3"/>
    <n v="833400"/>
    <n v="163659"/>
    <n v="669741"/>
    <n v="70"/>
    <n v="55"/>
    <n v="5.0999999999999996"/>
  </r>
  <r>
    <x v="3"/>
    <x v="3"/>
    <d v="2024-05-24T00:00:00"/>
    <s v="NA"/>
    <n v="0"/>
    <n v="78"/>
    <s v="61-80"/>
    <x v="0"/>
    <x v="12"/>
    <x v="9"/>
    <x v="2"/>
    <n v="1"/>
    <n v="1"/>
    <n v="2.7"/>
    <x v="9"/>
    <n v="4"/>
    <n v="3"/>
    <n v="935227"/>
    <n v="361421"/>
    <n v="573806"/>
    <n v="58"/>
    <n v="66"/>
    <n v="36.6"/>
  </r>
  <r>
    <x v="3"/>
    <x v="3"/>
    <d v="2021-01-25T00:00:00"/>
    <s v="NA"/>
    <n v="0"/>
    <n v="77"/>
    <s v="61-80"/>
    <x v="0"/>
    <x v="12"/>
    <x v="9"/>
    <x v="2"/>
    <n v="1"/>
    <n v="1"/>
    <n v="4.4000000000000004"/>
    <x v="17"/>
    <n v="7"/>
    <n v="6"/>
    <n v="949970"/>
    <n v="357428"/>
    <n v="592542"/>
    <n v="58"/>
    <n v="56"/>
    <n v="13.2"/>
  </r>
  <r>
    <x v="3"/>
    <x v="3"/>
    <d v="2022-12-28T00:00:00"/>
    <s v="NA"/>
    <n v="0"/>
    <n v="66"/>
    <s v="61-80"/>
    <x v="1"/>
    <x v="6"/>
    <x v="4"/>
    <x v="1"/>
    <n v="1"/>
    <n v="1"/>
    <n v="4.5999999999999996"/>
    <x v="20"/>
    <n v="4"/>
    <n v="7"/>
    <n v="916723"/>
    <n v="268030"/>
    <n v="648693"/>
    <n v="50"/>
    <n v="55"/>
    <n v="8"/>
  </r>
  <r>
    <x v="3"/>
    <x v="3"/>
    <d v="2024-09-11T00:00:00"/>
    <s v="NA"/>
    <n v="0"/>
    <n v="47"/>
    <s v="41-60"/>
    <x v="0"/>
    <x v="7"/>
    <x v="5"/>
    <x v="1"/>
    <n v="1"/>
    <n v="1"/>
    <n v="2.2000000000000002"/>
    <x v="30"/>
    <n v="5"/>
    <n v="6"/>
    <n v="826817"/>
    <n v="241658"/>
    <n v="585159"/>
    <n v="50"/>
    <n v="62"/>
    <n v="5.0999999999999996"/>
  </r>
  <r>
    <x v="3"/>
    <x v="3"/>
    <d v="2023-09-18T00:00:00"/>
    <s v="NA"/>
    <n v="0"/>
    <n v="68"/>
    <s v="61-80"/>
    <x v="0"/>
    <x v="4"/>
    <x v="3"/>
    <x v="0"/>
    <n v="1"/>
    <n v="1"/>
    <n v="2.4"/>
    <x v="7"/>
    <n v="5"/>
    <n v="7"/>
    <n v="842870"/>
    <n v="214715"/>
    <n v="628155"/>
    <n v="68"/>
    <n v="58"/>
    <n v="9.4"/>
  </r>
  <r>
    <x v="3"/>
    <x v="3"/>
    <d v="2023-04-19T00:00:00"/>
    <s v="NA"/>
    <n v="0"/>
    <n v="85"/>
    <s v="81+"/>
    <x v="1"/>
    <x v="8"/>
    <x v="6"/>
    <x v="4"/>
    <n v="1"/>
    <n v="1"/>
    <n v="3.9"/>
    <x v="30"/>
    <n v="7"/>
    <n v="3"/>
    <n v="803836"/>
    <n v="156186"/>
    <n v="647650"/>
    <n v="64"/>
    <n v="59"/>
    <n v="7.8"/>
  </r>
  <r>
    <x v="3"/>
    <x v="3"/>
    <d v="2021-01-24T00:00:00"/>
    <s v="NA"/>
    <n v="0"/>
    <n v="28"/>
    <s v="21-40"/>
    <x v="0"/>
    <x v="9"/>
    <x v="7"/>
    <x v="2"/>
    <n v="1"/>
    <n v="1"/>
    <n v="3.7"/>
    <x v="8"/>
    <n v="3"/>
    <n v="4"/>
    <n v="950823"/>
    <n v="417279"/>
    <n v="533544"/>
    <n v="70"/>
    <n v="66"/>
    <n v="9.1"/>
  </r>
  <r>
    <x v="3"/>
    <x v="3"/>
    <d v="2021-01-31T00:00:00"/>
    <s v="NA"/>
    <n v="0"/>
    <n v="53"/>
    <s v="41-60"/>
    <x v="0"/>
    <x v="9"/>
    <x v="7"/>
    <x v="2"/>
    <n v="1"/>
    <n v="1"/>
    <n v="4.3"/>
    <x v="27"/>
    <n v="5"/>
    <n v="7"/>
    <n v="925187"/>
    <n v="307755"/>
    <n v="617432"/>
    <n v="63"/>
    <n v="63"/>
    <n v="10.199999999999999"/>
  </r>
  <r>
    <x v="3"/>
    <x v="3"/>
    <d v="2023-01-15T00:00:00"/>
    <s v="NA"/>
    <n v="0"/>
    <n v="52"/>
    <s v="41-60"/>
    <x v="1"/>
    <x v="4"/>
    <x v="3"/>
    <x v="3"/>
    <n v="1"/>
    <n v="1"/>
    <n v="2.2000000000000002"/>
    <x v="30"/>
    <n v="6"/>
    <n v="6"/>
    <n v="957105"/>
    <n v="400661"/>
    <n v="556444"/>
    <n v="63"/>
    <n v="59"/>
    <n v="9.4"/>
  </r>
  <r>
    <x v="3"/>
    <x v="3"/>
    <d v="2021-09-23T00:00:00"/>
    <s v="NA"/>
    <n v="0"/>
    <n v="56"/>
    <s v="41-60"/>
    <x v="0"/>
    <x v="6"/>
    <x v="4"/>
    <x v="3"/>
    <n v="1"/>
    <n v="1"/>
    <n v="2.8"/>
    <x v="5"/>
    <n v="6"/>
    <n v="6"/>
    <n v="888205"/>
    <n v="306502"/>
    <n v="581703"/>
    <n v="50"/>
    <n v="58"/>
    <n v="6.1"/>
  </r>
  <r>
    <x v="5"/>
    <x v="5"/>
    <d v="2022-05-03T00:00:00"/>
    <s v="NA"/>
    <n v="0"/>
    <n v="33"/>
    <s v="21-40"/>
    <x v="1"/>
    <x v="4"/>
    <x v="3"/>
    <x v="0"/>
    <n v="1"/>
    <n v="1"/>
    <n v="1.2"/>
    <x v="18"/>
    <n v="4"/>
    <n v="3"/>
    <n v="571419"/>
    <n v="179887"/>
    <n v="391532"/>
    <n v="36"/>
    <n v="65"/>
    <n v="5.8"/>
  </r>
  <r>
    <x v="5"/>
    <x v="5"/>
    <d v="2021-07-12T00:00:00"/>
    <s v="NA"/>
    <n v="0"/>
    <n v="52"/>
    <s v="41-60"/>
    <x v="1"/>
    <x v="11"/>
    <x v="8"/>
    <x v="1"/>
    <n v="1"/>
    <n v="1"/>
    <n v="6.7"/>
    <x v="7"/>
    <n v="3"/>
    <n v="4"/>
    <n v="505645"/>
    <n v="105774"/>
    <n v="399871"/>
    <n v="40"/>
    <n v="54"/>
    <n v="13.2"/>
  </r>
  <r>
    <x v="5"/>
    <x v="5"/>
    <d v="2021-11-10T00:00:00"/>
    <s v="NA"/>
    <n v="0"/>
    <n v="26"/>
    <s v="21-40"/>
    <x v="0"/>
    <x v="9"/>
    <x v="7"/>
    <x v="3"/>
    <n v="1"/>
    <n v="1"/>
    <n v="2.1"/>
    <x v="23"/>
    <n v="3"/>
    <n v="4"/>
    <n v="517064"/>
    <n v="57816"/>
    <n v="459248"/>
    <n v="39"/>
    <n v="65"/>
    <n v="10.1"/>
  </r>
  <r>
    <x v="3"/>
    <x v="3"/>
    <d v="2022-12-18T00:00:00"/>
    <s v="NA"/>
    <n v="0"/>
    <n v="38"/>
    <s v="21-40"/>
    <x v="1"/>
    <x v="9"/>
    <x v="7"/>
    <x v="2"/>
    <n v="1"/>
    <n v="1"/>
    <n v="3.5"/>
    <x v="7"/>
    <n v="6"/>
    <n v="3"/>
    <n v="986038"/>
    <n v="431137"/>
    <n v="554901"/>
    <n v="64"/>
    <n v="54"/>
    <n v="8.4"/>
  </r>
  <r>
    <x v="5"/>
    <x v="5"/>
    <d v="2023-03-17T00:00:00"/>
    <s v="NA"/>
    <n v="0"/>
    <n v="31"/>
    <s v="21-40"/>
    <x v="1"/>
    <x v="6"/>
    <x v="4"/>
    <x v="0"/>
    <n v="1"/>
    <n v="1"/>
    <n v="2.5"/>
    <x v="10"/>
    <n v="5"/>
    <n v="3"/>
    <n v="502461"/>
    <n v="97973"/>
    <n v="404488"/>
    <n v="36"/>
    <n v="54"/>
    <n v="8.5"/>
  </r>
  <r>
    <x v="3"/>
    <x v="3"/>
    <d v="2022-01-17T00:00:00"/>
    <s v="NA"/>
    <n v="0"/>
    <n v="52"/>
    <s v="41-60"/>
    <x v="0"/>
    <x v="1"/>
    <x v="1"/>
    <x v="2"/>
    <n v="1"/>
    <n v="1"/>
    <n v="5.2"/>
    <x v="13"/>
    <n v="5"/>
    <n v="6"/>
    <n v="829724"/>
    <n v="208778"/>
    <n v="620946"/>
    <n v="52"/>
    <n v="56"/>
    <n v="7.1"/>
  </r>
  <r>
    <x v="3"/>
    <x v="3"/>
    <d v="2024-09-12T00:00:00"/>
    <s v="NA"/>
    <n v="0"/>
    <n v="54"/>
    <s v="41-60"/>
    <x v="0"/>
    <x v="2"/>
    <x v="1"/>
    <x v="0"/>
    <n v="1"/>
    <n v="1"/>
    <n v="4.0999999999999996"/>
    <x v="26"/>
    <n v="3"/>
    <n v="4"/>
    <n v="883777"/>
    <n v="330539"/>
    <n v="553238"/>
    <n v="50"/>
    <n v="64"/>
    <n v="8.6999999999999993"/>
  </r>
  <r>
    <x v="5"/>
    <x v="5"/>
    <d v="2021-04-13T00:00:00"/>
    <s v="NA"/>
    <n v="0"/>
    <n v="81"/>
    <s v="81+"/>
    <x v="1"/>
    <x v="2"/>
    <x v="1"/>
    <x v="4"/>
    <n v="1"/>
    <n v="1"/>
    <n v="1.3"/>
    <x v="20"/>
    <n v="4"/>
    <n v="6"/>
    <n v="536422"/>
    <n v="55128"/>
    <n v="481294"/>
    <n v="35"/>
    <n v="60"/>
    <n v="5.4"/>
  </r>
  <r>
    <x v="3"/>
    <x v="3"/>
    <d v="2023-05-17T00:00:00"/>
    <s v="NA"/>
    <n v="0"/>
    <n v="37"/>
    <s v="21-40"/>
    <x v="0"/>
    <x v="2"/>
    <x v="1"/>
    <x v="4"/>
    <n v="1"/>
    <n v="1"/>
    <n v="4.8"/>
    <x v="11"/>
    <n v="3"/>
    <n v="4"/>
    <n v="889202"/>
    <n v="356428"/>
    <n v="532774"/>
    <n v="68"/>
    <n v="66"/>
    <n v="5.4"/>
  </r>
  <r>
    <x v="5"/>
    <x v="5"/>
    <d v="2023-02-13T00:00:00"/>
    <s v="NA"/>
    <n v="0"/>
    <n v="39"/>
    <s v="21-40"/>
    <x v="0"/>
    <x v="9"/>
    <x v="7"/>
    <x v="1"/>
    <n v="1"/>
    <n v="1"/>
    <n v="5.6"/>
    <x v="20"/>
    <n v="5"/>
    <n v="7"/>
    <n v="524357"/>
    <n v="94309"/>
    <n v="430048"/>
    <n v="36"/>
    <n v="64"/>
    <n v="9.3000000000000007"/>
  </r>
  <r>
    <x v="3"/>
    <x v="3"/>
    <d v="2022-10-22T00:00:00"/>
    <s v="NA"/>
    <n v="0"/>
    <n v="46"/>
    <s v="41-60"/>
    <x v="0"/>
    <x v="14"/>
    <x v="11"/>
    <x v="2"/>
    <n v="1"/>
    <n v="1"/>
    <n v="4.0999999999999996"/>
    <x v="10"/>
    <n v="3"/>
    <n v="6"/>
    <n v="939263"/>
    <n v="437643"/>
    <n v="501620"/>
    <n v="66"/>
    <n v="54"/>
    <n v="36.799999999999997"/>
  </r>
  <r>
    <x v="3"/>
    <x v="3"/>
    <d v="2022-07-17T00:00:00"/>
    <s v="NA"/>
    <n v="0"/>
    <n v="33"/>
    <s v="21-40"/>
    <x v="1"/>
    <x v="3"/>
    <x v="2"/>
    <x v="3"/>
    <n v="1"/>
    <n v="1"/>
    <n v="4.0999999999999996"/>
    <x v="17"/>
    <n v="6"/>
    <n v="5"/>
    <n v="953263"/>
    <n v="422281"/>
    <n v="530982"/>
    <n v="55"/>
    <n v="66"/>
    <n v="14.4"/>
  </r>
  <r>
    <x v="3"/>
    <x v="3"/>
    <d v="2023-11-20T00:00:00"/>
    <s v="NA"/>
    <n v="0"/>
    <n v="44"/>
    <s v="41-60"/>
    <x v="1"/>
    <x v="8"/>
    <x v="6"/>
    <x v="4"/>
    <n v="1"/>
    <n v="1"/>
    <n v="4.0999999999999996"/>
    <x v="12"/>
    <n v="3"/>
    <n v="7"/>
    <n v="858523"/>
    <n v="342276"/>
    <n v="516247"/>
    <n v="61"/>
    <n v="63"/>
    <n v="10.3"/>
  </r>
  <r>
    <x v="3"/>
    <x v="3"/>
    <d v="2024-09-12T00:00:00"/>
    <s v="NA"/>
    <n v="0"/>
    <n v="34"/>
    <s v="21-40"/>
    <x v="0"/>
    <x v="13"/>
    <x v="10"/>
    <x v="2"/>
    <n v="1"/>
    <n v="1"/>
    <n v="1.9"/>
    <x v="5"/>
    <n v="6"/>
    <n v="6"/>
    <n v="924260"/>
    <n v="409589"/>
    <n v="514671"/>
    <n v="66"/>
    <n v="55"/>
    <n v="6.6"/>
  </r>
  <r>
    <x v="5"/>
    <x v="5"/>
    <d v="2024-06-08T00:00:00"/>
    <s v="NA"/>
    <n v="0"/>
    <n v="87"/>
    <s v="81+"/>
    <x v="1"/>
    <x v="6"/>
    <x v="4"/>
    <x v="1"/>
    <n v="1"/>
    <n v="1"/>
    <n v="5.9"/>
    <x v="29"/>
    <n v="4"/>
    <n v="5"/>
    <n v="563367"/>
    <n v="129489"/>
    <n v="433878"/>
    <n v="35"/>
    <n v="66"/>
    <n v="8"/>
  </r>
  <r>
    <x v="3"/>
    <x v="3"/>
    <d v="2024-09-17T00:00:00"/>
    <s v="NA"/>
    <n v="0"/>
    <n v="52"/>
    <s v="41-60"/>
    <x v="0"/>
    <x v="2"/>
    <x v="1"/>
    <x v="0"/>
    <n v="1"/>
    <n v="1"/>
    <n v="6.7"/>
    <x v="21"/>
    <n v="4"/>
    <n v="5"/>
    <n v="805621"/>
    <n v="123581"/>
    <n v="682040"/>
    <n v="51"/>
    <n v="55"/>
    <n v="5.3"/>
  </r>
  <r>
    <x v="5"/>
    <x v="5"/>
    <d v="2023-01-10T00:00:00"/>
    <s v="NA"/>
    <n v="0"/>
    <n v="88"/>
    <s v="81+"/>
    <x v="1"/>
    <x v="3"/>
    <x v="2"/>
    <x v="4"/>
    <n v="1"/>
    <n v="1"/>
    <n v="5.2"/>
    <x v="2"/>
    <n v="6"/>
    <n v="5"/>
    <n v="520498"/>
    <n v="105833"/>
    <n v="414665"/>
    <n v="38"/>
    <n v="65"/>
    <n v="10.199999999999999"/>
  </r>
  <r>
    <x v="5"/>
    <x v="5"/>
    <d v="2021-02-25T00:00:00"/>
    <s v="NA"/>
    <n v="0"/>
    <n v="48"/>
    <s v="41-60"/>
    <x v="0"/>
    <x v="1"/>
    <x v="1"/>
    <x v="2"/>
    <n v="1"/>
    <n v="1"/>
    <n v="1.7"/>
    <x v="18"/>
    <n v="4"/>
    <n v="5"/>
    <n v="558240"/>
    <n v="118347"/>
    <n v="439893"/>
    <n v="40"/>
    <n v="65"/>
    <n v="6.7"/>
  </r>
  <r>
    <x v="5"/>
    <x v="5"/>
    <d v="2023-07-30T00:00:00"/>
    <s v="NA"/>
    <n v="0"/>
    <n v="21"/>
    <s v="21-40"/>
    <x v="1"/>
    <x v="3"/>
    <x v="2"/>
    <x v="4"/>
    <n v="1"/>
    <n v="1"/>
    <n v="3.9"/>
    <x v="19"/>
    <n v="3"/>
    <n v="4"/>
    <n v="598363"/>
    <n v="179334"/>
    <n v="419029"/>
    <n v="38"/>
    <n v="65"/>
    <n v="8.8000000000000007"/>
  </r>
  <r>
    <x v="3"/>
    <x v="3"/>
    <d v="2022-07-05T00:00:00"/>
    <s v="NA"/>
    <n v="0"/>
    <n v="65"/>
    <s v="61-80"/>
    <x v="0"/>
    <x v="6"/>
    <x v="4"/>
    <x v="3"/>
    <n v="1"/>
    <n v="1"/>
    <n v="5.3"/>
    <x v="12"/>
    <n v="4"/>
    <n v="4"/>
    <n v="825532"/>
    <n v="269792"/>
    <n v="555740"/>
    <n v="69"/>
    <n v="60"/>
    <n v="14.5"/>
  </r>
  <r>
    <x v="5"/>
    <x v="5"/>
    <d v="2021-12-28T00:00:00"/>
    <s v="NA"/>
    <n v="0"/>
    <n v="67"/>
    <s v="61-80"/>
    <x v="0"/>
    <x v="9"/>
    <x v="7"/>
    <x v="0"/>
    <n v="1"/>
    <n v="1"/>
    <n v="3.6"/>
    <x v="16"/>
    <n v="6"/>
    <n v="7"/>
    <n v="518075"/>
    <n v="117160"/>
    <n v="400915"/>
    <n v="38"/>
    <n v="65"/>
    <n v="7.5"/>
  </r>
  <r>
    <x v="5"/>
    <x v="5"/>
    <d v="2024-12-21T00:00:00"/>
    <s v="NA"/>
    <n v="0"/>
    <n v="34"/>
    <s v="21-40"/>
    <x v="1"/>
    <x v="8"/>
    <x v="6"/>
    <x v="2"/>
    <n v="1"/>
    <n v="1"/>
    <n v="4.4000000000000004"/>
    <x v="27"/>
    <n v="5"/>
    <n v="7"/>
    <n v="569907"/>
    <n v="126461"/>
    <n v="443446"/>
    <n v="38"/>
    <n v="66"/>
    <n v="8.1999999999999993"/>
  </r>
  <r>
    <x v="3"/>
    <x v="3"/>
    <d v="2022-05-22T00:00:00"/>
    <s v="NA"/>
    <n v="0"/>
    <n v="41"/>
    <s v="41-60"/>
    <x v="1"/>
    <x v="1"/>
    <x v="1"/>
    <x v="1"/>
    <n v="1"/>
    <n v="1"/>
    <n v="4.4000000000000004"/>
    <x v="16"/>
    <n v="6"/>
    <n v="3"/>
    <n v="866206"/>
    <n v="231100"/>
    <n v="635106"/>
    <n v="58"/>
    <n v="63"/>
    <n v="14"/>
  </r>
  <r>
    <x v="3"/>
    <x v="3"/>
    <d v="2023-12-25T00:00:00"/>
    <s v="NA"/>
    <n v="0"/>
    <n v="74"/>
    <s v="61-80"/>
    <x v="0"/>
    <x v="12"/>
    <x v="9"/>
    <x v="3"/>
    <n v="1"/>
    <n v="1"/>
    <n v="4.5999999999999996"/>
    <x v="15"/>
    <n v="5"/>
    <n v="6"/>
    <n v="926710"/>
    <n v="296843"/>
    <n v="629867"/>
    <n v="61"/>
    <n v="66"/>
    <n v="7.1"/>
  </r>
  <r>
    <x v="3"/>
    <x v="3"/>
    <d v="2024-11-02T00:00:00"/>
    <s v="NA"/>
    <n v="0"/>
    <n v="86"/>
    <s v="81+"/>
    <x v="1"/>
    <x v="10"/>
    <x v="8"/>
    <x v="3"/>
    <n v="1"/>
    <n v="1"/>
    <n v="6.6"/>
    <x v="29"/>
    <n v="3"/>
    <n v="5"/>
    <n v="865990"/>
    <n v="349480"/>
    <n v="516510"/>
    <n v="58"/>
    <n v="56"/>
    <n v="5.9"/>
  </r>
  <r>
    <x v="3"/>
    <x v="3"/>
    <d v="2023-09-09T00:00:00"/>
    <s v="NA"/>
    <n v="0"/>
    <n v="81"/>
    <s v="81+"/>
    <x v="1"/>
    <x v="1"/>
    <x v="1"/>
    <x v="0"/>
    <n v="1"/>
    <n v="1"/>
    <n v="4.9000000000000004"/>
    <x v="6"/>
    <n v="4"/>
    <n v="5"/>
    <n v="838139"/>
    <n v="284059"/>
    <n v="554080"/>
    <n v="65"/>
    <n v="59"/>
    <n v="36.299999999999997"/>
  </r>
  <r>
    <x v="3"/>
    <x v="3"/>
    <d v="2023-03-06T00:00:00"/>
    <s v="NA"/>
    <n v="0"/>
    <n v="47"/>
    <s v="41-60"/>
    <x v="1"/>
    <x v="2"/>
    <x v="1"/>
    <x v="2"/>
    <n v="1"/>
    <n v="1"/>
    <n v="1.9"/>
    <x v="16"/>
    <n v="4"/>
    <n v="5"/>
    <n v="807423"/>
    <n v="142794"/>
    <n v="664629"/>
    <n v="57"/>
    <n v="54"/>
    <n v="12.3"/>
  </r>
  <r>
    <x v="3"/>
    <x v="3"/>
    <d v="2022-04-30T00:00:00"/>
    <s v="NA"/>
    <n v="0"/>
    <n v="72"/>
    <s v="61-80"/>
    <x v="0"/>
    <x v="12"/>
    <x v="9"/>
    <x v="3"/>
    <n v="1"/>
    <n v="1"/>
    <n v="3.5"/>
    <x v="27"/>
    <n v="3"/>
    <n v="6"/>
    <n v="993609"/>
    <n v="337690"/>
    <n v="655919"/>
    <n v="55"/>
    <n v="54"/>
    <n v="14.1"/>
  </r>
  <r>
    <x v="3"/>
    <x v="3"/>
    <d v="2024-11-25T00:00:00"/>
    <s v="NA"/>
    <n v="0"/>
    <n v="90"/>
    <s v="81+"/>
    <x v="1"/>
    <x v="3"/>
    <x v="2"/>
    <x v="1"/>
    <n v="1"/>
    <n v="1"/>
    <n v="3.8"/>
    <x v="25"/>
    <n v="5"/>
    <n v="3"/>
    <n v="852732"/>
    <n v="243344"/>
    <n v="609388"/>
    <n v="62"/>
    <n v="66"/>
    <n v="14"/>
  </r>
  <r>
    <x v="3"/>
    <x v="3"/>
    <d v="2024-03-20T00:00:00"/>
    <s v="NA"/>
    <n v="0"/>
    <n v="62"/>
    <s v="61-80"/>
    <x v="1"/>
    <x v="12"/>
    <x v="9"/>
    <x v="1"/>
    <n v="1"/>
    <n v="1"/>
    <n v="5.6"/>
    <x v="24"/>
    <n v="7"/>
    <n v="3"/>
    <n v="928649"/>
    <n v="320770"/>
    <n v="607879"/>
    <n v="54"/>
    <n v="62"/>
    <n v="9.5"/>
  </r>
  <r>
    <x v="3"/>
    <x v="3"/>
    <d v="2022-01-21T00:00:00"/>
    <s v="NA"/>
    <n v="0"/>
    <n v="34"/>
    <s v="21-40"/>
    <x v="1"/>
    <x v="11"/>
    <x v="8"/>
    <x v="0"/>
    <n v="1"/>
    <n v="1"/>
    <n v="6.1"/>
    <x v="12"/>
    <n v="5"/>
    <n v="5"/>
    <n v="938485"/>
    <n v="348778"/>
    <n v="589707"/>
    <n v="61"/>
    <n v="63"/>
    <n v="10.6"/>
  </r>
  <r>
    <x v="3"/>
    <x v="3"/>
    <d v="2022-05-25T00:00:00"/>
    <s v="NA"/>
    <n v="0"/>
    <n v="29"/>
    <s v="21-40"/>
    <x v="0"/>
    <x v="0"/>
    <x v="0"/>
    <x v="2"/>
    <n v="1"/>
    <n v="1"/>
    <n v="4.9000000000000004"/>
    <x v="22"/>
    <n v="4"/>
    <n v="5"/>
    <n v="839310"/>
    <n v="322084"/>
    <n v="517226"/>
    <n v="66"/>
    <n v="61"/>
    <n v="6.7"/>
  </r>
  <r>
    <x v="3"/>
    <x v="3"/>
    <d v="2021-10-12T00:00:00"/>
    <s v="NA"/>
    <n v="0"/>
    <n v="35"/>
    <s v="21-40"/>
    <x v="0"/>
    <x v="6"/>
    <x v="4"/>
    <x v="4"/>
    <n v="1"/>
    <n v="1"/>
    <n v="4"/>
    <x v="2"/>
    <n v="7"/>
    <n v="4"/>
    <n v="865793"/>
    <n v="362994"/>
    <n v="502799"/>
    <n v="54"/>
    <n v="56"/>
    <n v="10.8"/>
  </r>
  <r>
    <x v="3"/>
    <x v="3"/>
    <d v="2024-03-13T00:00:00"/>
    <s v="NA"/>
    <n v="0"/>
    <n v="83"/>
    <s v="81+"/>
    <x v="1"/>
    <x v="3"/>
    <x v="2"/>
    <x v="4"/>
    <n v="1"/>
    <n v="1"/>
    <n v="5"/>
    <x v="3"/>
    <n v="5"/>
    <n v="3"/>
    <n v="937472"/>
    <n v="352188"/>
    <n v="585284"/>
    <n v="51"/>
    <n v="56"/>
    <n v="8.5"/>
  </r>
  <r>
    <x v="3"/>
    <x v="3"/>
    <d v="2024-05-22T00:00:00"/>
    <s v="NA"/>
    <n v="0"/>
    <n v="26"/>
    <s v="21-40"/>
    <x v="0"/>
    <x v="7"/>
    <x v="5"/>
    <x v="3"/>
    <n v="1"/>
    <n v="1"/>
    <n v="5"/>
    <x v="28"/>
    <n v="6"/>
    <n v="7"/>
    <n v="903863"/>
    <n v="386157"/>
    <n v="517706"/>
    <n v="53"/>
    <n v="59"/>
    <n v="5.5"/>
  </r>
  <r>
    <x v="3"/>
    <x v="3"/>
    <d v="2022-09-29T00:00:00"/>
    <s v="NA"/>
    <n v="0"/>
    <n v="36"/>
    <s v="21-40"/>
    <x v="0"/>
    <x v="12"/>
    <x v="9"/>
    <x v="2"/>
    <n v="1"/>
    <n v="1"/>
    <n v="2.2999999999999998"/>
    <x v="4"/>
    <n v="4"/>
    <n v="4"/>
    <n v="862769"/>
    <n v="339625"/>
    <n v="523144"/>
    <n v="54"/>
    <n v="66"/>
    <n v="13.5"/>
  </r>
  <r>
    <x v="3"/>
    <x v="3"/>
    <d v="2021-07-02T00:00:00"/>
    <s v="NA"/>
    <n v="0"/>
    <n v="86"/>
    <s v="81+"/>
    <x v="1"/>
    <x v="10"/>
    <x v="8"/>
    <x v="4"/>
    <n v="1"/>
    <n v="1"/>
    <n v="2.4"/>
    <x v="9"/>
    <n v="5"/>
    <n v="7"/>
    <n v="922180"/>
    <n v="266499"/>
    <n v="655681"/>
    <n v="63"/>
    <n v="60"/>
    <n v="12.7"/>
  </r>
  <r>
    <x v="3"/>
    <x v="3"/>
    <d v="2023-03-14T00:00:00"/>
    <s v="NA"/>
    <n v="0"/>
    <n v="76"/>
    <s v="61-80"/>
    <x v="1"/>
    <x v="7"/>
    <x v="5"/>
    <x v="0"/>
    <n v="1"/>
    <n v="1"/>
    <n v="5.5"/>
    <x v="23"/>
    <n v="3"/>
    <n v="6"/>
    <n v="917353"/>
    <n v="389002"/>
    <n v="528351"/>
    <n v="60"/>
    <n v="65"/>
    <n v="7.6"/>
  </r>
  <r>
    <x v="3"/>
    <x v="3"/>
    <d v="2024-10-13T00:00:00"/>
    <s v="NA"/>
    <n v="0"/>
    <n v="40"/>
    <s v="21-40"/>
    <x v="0"/>
    <x v="0"/>
    <x v="0"/>
    <x v="2"/>
    <n v="1"/>
    <n v="1"/>
    <n v="2.7"/>
    <x v="1"/>
    <n v="4"/>
    <n v="4"/>
    <n v="933412"/>
    <n v="387175"/>
    <n v="546237"/>
    <n v="50"/>
    <n v="62"/>
    <n v="5.7"/>
  </r>
  <r>
    <x v="3"/>
    <x v="3"/>
    <d v="2021-12-02T00:00:00"/>
    <s v="NA"/>
    <n v="0"/>
    <n v="50"/>
    <s v="41-60"/>
    <x v="0"/>
    <x v="5"/>
    <x v="0"/>
    <x v="0"/>
    <n v="1"/>
    <n v="1"/>
    <n v="5.7"/>
    <x v="29"/>
    <n v="7"/>
    <n v="6"/>
    <n v="831054"/>
    <n v="257440"/>
    <n v="573614"/>
    <n v="55"/>
    <n v="57"/>
    <n v="12.9"/>
  </r>
  <r>
    <x v="3"/>
    <x v="3"/>
    <d v="2024-10-13T00:00:00"/>
    <s v="NA"/>
    <n v="0"/>
    <n v="82"/>
    <s v="81+"/>
    <x v="0"/>
    <x v="13"/>
    <x v="10"/>
    <x v="3"/>
    <n v="1"/>
    <n v="1"/>
    <n v="4.4000000000000004"/>
    <x v="16"/>
    <n v="3"/>
    <n v="7"/>
    <n v="908404"/>
    <n v="246216"/>
    <n v="662188"/>
    <n v="55"/>
    <n v="58"/>
    <n v="14.8"/>
  </r>
  <r>
    <x v="3"/>
    <x v="3"/>
    <d v="2021-08-29T00:00:00"/>
    <s v="NA"/>
    <n v="0"/>
    <n v="47"/>
    <s v="41-60"/>
    <x v="1"/>
    <x v="6"/>
    <x v="4"/>
    <x v="1"/>
    <n v="1"/>
    <n v="1"/>
    <n v="4.8"/>
    <x v="3"/>
    <n v="6"/>
    <n v="4"/>
    <n v="836640"/>
    <n v="148611"/>
    <n v="688029"/>
    <n v="62"/>
    <n v="58"/>
    <n v="13.5"/>
  </r>
  <r>
    <x v="3"/>
    <x v="3"/>
    <d v="2023-04-14T00:00:00"/>
    <s v="NA"/>
    <n v="0"/>
    <n v="44"/>
    <s v="41-60"/>
    <x v="1"/>
    <x v="3"/>
    <x v="2"/>
    <x v="0"/>
    <n v="1"/>
    <n v="1"/>
    <n v="3"/>
    <x v="26"/>
    <n v="7"/>
    <n v="3"/>
    <n v="886964"/>
    <n v="262535"/>
    <n v="624429"/>
    <n v="60"/>
    <n v="59"/>
    <n v="36.700000000000003"/>
  </r>
  <r>
    <x v="3"/>
    <x v="3"/>
    <d v="2023-06-13T00:00:00"/>
    <s v="NA"/>
    <n v="0"/>
    <n v="80"/>
    <s v="61-80"/>
    <x v="1"/>
    <x v="7"/>
    <x v="5"/>
    <x v="2"/>
    <n v="1"/>
    <n v="1"/>
    <n v="2.2000000000000002"/>
    <x v="29"/>
    <n v="5"/>
    <n v="3"/>
    <n v="899396"/>
    <n v="343742"/>
    <n v="555654"/>
    <n v="69"/>
    <n v="57"/>
    <n v="7.4"/>
  </r>
  <r>
    <x v="3"/>
    <x v="3"/>
    <d v="2024-11-03T00:00:00"/>
    <s v="NA"/>
    <n v="0"/>
    <n v="42"/>
    <s v="41-60"/>
    <x v="1"/>
    <x v="9"/>
    <x v="7"/>
    <x v="3"/>
    <n v="1"/>
    <n v="1"/>
    <n v="6.8"/>
    <x v="9"/>
    <n v="5"/>
    <n v="7"/>
    <n v="823133"/>
    <n v="236773"/>
    <n v="586360"/>
    <n v="63"/>
    <n v="60"/>
    <n v="14.2"/>
  </r>
  <r>
    <x v="3"/>
    <x v="3"/>
    <d v="2023-02-18T00:00:00"/>
    <s v="NA"/>
    <n v="0"/>
    <n v="29"/>
    <s v="21-40"/>
    <x v="0"/>
    <x v="6"/>
    <x v="4"/>
    <x v="2"/>
    <n v="1"/>
    <n v="1"/>
    <n v="1.6"/>
    <x v="6"/>
    <n v="4"/>
    <n v="6"/>
    <n v="983792"/>
    <n v="358999"/>
    <n v="624793"/>
    <n v="69"/>
    <n v="55"/>
    <n v="8.3000000000000007"/>
  </r>
  <r>
    <x v="3"/>
    <x v="3"/>
    <d v="2024-01-26T00:00:00"/>
    <s v="NA"/>
    <n v="0"/>
    <n v="60"/>
    <s v="41-60"/>
    <x v="1"/>
    <x v="12"/>
    <x v="9"/>
    <x v="3"/>
    <n v="1"/>
    <n v="1"/>
    <n v="1.4"/>
    <x v="15"/>
    <n v="3"/>
    <n v="6"/>
    <n v="823182"/>
    <n v="204390"/>
    <n v="618792"/>
    <n v="54"/>
    <n v="65"/>
    <n v="8.9"/>
  </r>
  <r>
    <x v="3"/>
    <x v="3"/>
    <d v="2024-11-25T00:00:00"/>
    <s v="NA"/>
    <n v="0"/>
    <n v="44"/>
    <s v="41-60"/>
    <x v="0"/>
    <x v="7"/>
    <x v="5"/>
    <x v="0"/>
    <n v="1"/>
    <n v="1"/>
    <n v="2.7"/>
    <x v="1"/>
    <n v="5"/>
    <n v="6"/>
    <n v="868804"/>
    <n v="190176"/>
    <n v="678628"/>
    <n v="52"/>
    <n v="61"/>
    <n v="5.6"/>
  </r>
  <r>
    <x v="3"/>
    <x v="3"/>
    <d v="2023-07-15T00:00:00"/>
    <s v="NA"/>
    <n v="0"/>
    <n v="51"/>
    <s v="41-60"/>
    <x v="0"/>
    <x v="0"/>
    <x v="0"/>
    <x v="2"/>
    <n v="1"/>
    <n v="1"/>
    <n v="6.7"/>
    <x v="8"/>
    <n v="3"/>
    <n v="7"/>
    <n v="871270"/>
    <n v="307161"/>
    <n v="564109"/>
    <n v="68"/>
    <n v="59"/>
    <n v="36.9"/>
  </r>
  <r>
    <x v="3"/>
    <x v="3"/>
    <d v="2022-11-03T00:00:00"/>
    <s v="NA"/>
    <n v="0"/>
    <n v="43"/>
    <s v="41-60"/>
    <x v="0"/>
    <x v="9"/>
    <x v="7"/>
    <x v="3"/>
    <n v="1"/>
    <n v="1"/>
    <n v="4.8"/>
    <x v="8"/>
    <n v="5"/>
    <n v="4"/>
    <n v="925365"/>
    <n v="337905"/>
    <n v="587460"/>
    <n v="56"/>
    <n v="56"/>
    <n v="8.6"/>
  </r>
  <r>
    <x v="3"/>
    <x v="3"/>
    <d v="2024-04-03T00:00:00"/>
    <s v="NA"/>
    <n v="0"/>
    <n v="78"/>
    <s v="61-80"/>
    <x v="1"/>
    <x v="3"/>
    <x v="2"/>
    <x v="2"/>
    <n v="1"/>
    <n v="1"/>
    <n v="2.6"/>
    <x v="0"/>
    <n v="4"/>
    <n v="6"/>
    <n v="971284"/>
    <n v="322201"/>
    <n v="649083"/>
    <n v="64"/>
    <n v="63"/>
    <n v="10.1"/>
  </r>
  <r>
    <x v="3"/>
    <x v="3"/>
    <d v="2021-03-24T00:00:00"/>
    <s v="NA"/>
    <n v="0"/>
    <n v="56"/>
    <s v="41-60"/>
    <x v="1"/>
    <x v="1"/>
    <x v="1"/>
    <x v="4"/>
    <n v="1"/>
    <n v="1"/>
    <n v="2.7"/>
    <x v="25"/>
    <n v="4"/>
    <n v="6"/>
    <n v="907169"/>
    <n v="282230"/>
    <n v="624939"/>
    <n v="52"/>
    <n v="59"/>
    <n v="10.199999999999999"/>
  </r>
  <r>
    <x v="3"/>
    <x v="3"/>
    <d v="2023-09-05T00:00:00"/>
    <s v="NA"/>
    <n v="0"/>
    <n v="35"/>
    <s v="21-40"/>
    <x v="0"/>
    <x v="0"/>
    <x v="0"/>
    <x v="0"/>
    <n v="1"/>
    <n v="1"/>
    <n v="1.2"/>
    <x v="22"/>
    <n v="7"/>
    <n v="3"/>
    <n v="837405"/>
    <n v="300980"/>
    <n v="536425"/>
    <n v="53"/>
    <n v="58"/>
    <n v="36.6"/>
  </r>
  <r>
    <x v="3"/>
    <x v="3"/>
    <d v="2023-09-15T00:00:00"/>
    <s v="NA"/>
    <n v="0"/>
    <n v="39"/>
    <s v="21-40"/>
    <x v="0"/>
    <x v="0"/>
    <x v="0"/>
    <x v="2"/>
    <n v="1"/>
    <n v="1"/>
    <n v="6.1"/>
    <x v="0"/>
    <n v="3"/>
    <n v="7"/>
    <n v="878966"/>
    <n v="366364"/>
    <n v="512602"/>
    <n v="69"/>
    <n v="65"/>
    <n v="5.2"/>
  </r>
  <r>
    <x v="3"/>
    <x v="3"/>
    <d v="2021-02-10T00:00:00"/>
    <s v="NA"/>
    <n v="0"/>
    <n v="58"/>
    <s v="41-60"/>
    <x v="0"/>
    <x v="0"/>
    <x v="0"/>
    <x v="2"/>
    <n v="1"/>
    <n v="1"/>
    <n v="6.7"/>
    <x v="11"/>
    <n v="7"/>
    <n v="7"/>
    <n v="914850"/>
    <n v="250971"/>
    <n v="663879"/>
    <n v="60"/>
    <n v="65"/>
    <n v="12.5"/>
  </r>
  <r>
    <x v="3"/>
    <x v="3"/>
    <d v="2022-07-13T00:00:00"/>
    <s v="NA"/>
    <n v="0"/>
    <n v="62"/>
    <s v="61-80"/>
    <x v="0"/>
    <x v="14"/>
    <x v="11"/>
    <x v="1"/>
    <n v="1"/>
    <n v="1"/>
    <n v="5.5"/>
    <x v="12"/>
    <n v="3"/>
    <n v="4"/>
    <n v="838812"/>
    <n v="152562"/>
    <n v="686250"/>
    <n v="68"/>
    <n v="55"/>
    <n v="7.3"/>
  </r>
  <r>
    <x v="3"/>
    <x v="3"/>
    <d v="2021-03-02T00:00:00"/>
    <s v="NA"/>
    <n v="0"/>
    <n v="23"/>
    <s v="21-40"/>
    <x v="1"/>
    <x v="3"/>
    <x v="2"/>
    <x v="3"/>
    <n v="1"/>
    <n v="1"/>
    <n v="4.9000000000000004"/>
    <x v="26"/>
    <n v="3"/>
    <n v="7"/>
    <n v="891351"/>
    <n v="310029"/>
    <n v="581322"/>
    <n v="61"/>
    <n v="59"/>
    <n v="10.6"/>
  </r>
  <r>
    <x v="3"/>
    <x v="3"/>
    <d v="2024-02-26T00:00:00"/>
    <s v="NA"/>
    <n v="0"/>
    <n v="29"/>
    <s v="21-40"/>
    <x v="0"/>
    <x v="5"/>
    <x v="0"/>
    <x v="0"/>
    <n v="1"/>
    <n v="1"/>
    <n v="6.6"/>
    <x v="16"/>
    <n v="6"/>
    <n v="7"/>
    <n v="912004"/>
    <n v="367010"/>
    <n v="544994"/>
    <n v="50"/>
    <n v="62"/>
    <n v="14.7"/>
  </r>
  <r>
    <x v="3"/>
    <x v="3"/>
    <d v="2024-06-21T00:00:00"/>
    <s v="NA"/>
    <n v="0"/>
    <n v="66"/>
    <s v="61-80"/>
    <x v="1"/>
    <x v="6"/>
    <x v="4"/>
    <x v="0"/>
    <n v="1"/>
    <n v="1"/>
    <n v="5.2"/>
    <x v="13"/>
    <n v="3"/>
    <n v="6"/>
    <n v="939947"/>
    <n v="245978"/>
    <n v="693969"/>
    <n v="67"/>
    <n v="63"/>
    <n v="12.2"/>
  </r>
  <r>
    <x v="3"/>
    <x v="3"/>
    <d v="2024-12-18T00:00:00"/>
    <s v="NA"/>
    <n v="0"/>
    <n v="49"/>
    <s v="41-60"/>
    <x v="1"/>
    <x v="13"/>
    <x v="10"/>
    <x v="1"/>
    <n v="1"/>
    <n v="1"/>
    <n v="4.3"/>
    <x v="30"/>
    <n v="7"/>
    <n v="6"/>
    <n v="950436"/>
    <n v="421575"/>
    <n v="528861"/>
    <n v="61"/>
    <n v="66"/>
    <n v="10"/>
  </r>
  <r>
    <x v="3"/>
    <x v="3"/>
    <d v="2023-10-13T00:00:00"/>
    <s v="NA"/>
    <n v="0"/>
    <n v="36"/>
    <s v="21-40"/>
    <x v="1"/>
    <x v="2"/>
    <x v="1"/>
    <x v="4"/>
    <n v="1"/>
    <n v="1"/>
    <n v="2.9"/>
    <x v="22"/>
    <n v="7"/>
    <n v="4"/>
    <n v="976536"/>
    <n v="321801"/>
    <n v="654735"/>
    <n v="54"/>
    <n v="65"/>
    <n v="13.7"/>
  </r>
  <r>
    <x v="3"/>
    <x v="3"/>
    <d v="2021-02-02T00:00:00"/>
    <s v="NA"/>
    <n v="0"/>
    <n v="67"/>
    <s v="61-80"/>
    <x v="1"/>
    <x v="3"/>
    <x v="2"/>
    <x v="3"/>
    <n v="1"/>
    <n v="1"/>
    <n v="5.8"/>
    <x v="25"/>
    <n v="4"/>
    <n v="6"/>
    <n v="901240"/>
    <n v="233790"/>
    <n v="667450"/>
    <n v="52"/>
    <n v="64"/>
    <n v="6.3"/>
  </r>
  <r>
    <x v="3"/>
    <x v="3"/>
    <d v="2021-06-24T00:00:00"/>
    <s v="NA"/>
    <n v="0"/>
    <n v="50"/>
    <s v="41-60"/>
    <x v="0"/>
    <x v="12"/>
    <x v="9"/>
    <x v="1"/>
    <n v="1"/>
    <n v="1"/>
    <n v="5.9"/>
    <x v="6"/>
    <n v="5"/>
    <n v="5"/>
    <n v="872786"/>
    <n v="281983"/>
    <n v="590803"/>
    <n v="61"/>
    <n v="59"/>
    <n v="10.5"/>
  </r>
  <r>
    <x v="3"/>
    <x v="3"/>
    <d v="2022-08-01T00:00:00"/>
    <s v="NA"/>
    <n v="0"/>
    <n v="89"/>
    <s v="81+"/>
    <x v="0"/>
    <x v="5"/>
    <x v="0"/>
    <x v="0"/>
    <n v="1"/>
    <n v="1"/>
    <n v="2.6"/>
    <x v="25"/>
    <n v="3"/>
    <n v="4"/>
    <n v="973388"/>
    <n v="301055"/>
    <n v="672333"/>
    <n v="51"/>
    <n v="60"/>
    <n v="9.6"/>
  </r>
  <r>
    <x v="3"/>
    <x v="3"/>
    <d v="2022-01-13T00:00:00"/>
    <s v="NA"/>
    <n v="0"/>
    <n v="45"/>
    <s v="41-60"/>
    <x v="1"/>
    <x v="2"/>
    <x v="1"/>
    <x v="4"/>
    <n v="1"/>
    <n v="1"/>
    <n v="5.6"/>
    <x v="1"/>
    <n v="5"/>
    <n v="6"/>
    <n v="829158"/>
    <n v="192635"/>
    <n v="636523"/>
    <n v="64"/>
    <n v="54"/>
    <n v="9.1"/>
  </r>
  <r>
    <x v="3"/>
    <x v="3"/>
    <d v="2024-01-22T00:00:00"/>
    <s v="NA"/>
    <n v="0"/>
    <n v="54"/>
    <s v="41-60"/>
    <x v="1"/>
    <x v="6"/>
    <x v="4"/>
    <x v="4"/>
    <n v="1"/>
    <n v="1"/>
    <n v="6.6"/>
    <x v="0"/>
    <n v="3"/>
    <n v="4"/>
    <n v="945561"/>
    <n v="289519"/>
    <n v="656042"/>
    <n v="65"/>
    <n v="61"/>
    <n v="13.5"/>
  </r>
  <r>
    <x v="3"/>
    <x v="3"/>
    <d v="2021-10-21T00:00:00"/>
    <s v="NA"/>
    <n v="0"/>
    <n v="60"/>
    <s v="41-60"/>
    <x v="0"/>
    <x v="12"/>
    <x v="9"/>
    <x v="4"/>
    <n v="1"/>
    <n v="1"/>
    <n v="6.1"/>
    <x v="12"/>
    <n v="6"/>
    <n v="4"/>
    <n v="964866"/>
    <n v="329879"/>
    <n v="634987"/>
    <n v="53"/>
    <n v="63"/>
    <n v="8.4"/>
  </r>
  <r>
    <x v="3"/>
    <x v="3"/>
    <d v="2021-09-24T00:00:00"/>
    <s v="NA"/>
    <n v="0"/>
    <n v="65"/>
    <s v="61-80"/>
    <x v="0"/>
    <x v="9"/>
    <x v="7"/>
    <x v="0"/>
    <n v="1"/>
    <n v="1"/>
    <n v="2.7"/>
    <x v="23"/>
    <n v="6"/>
    <n v="3"/>
    <n v="980165"/>
    <n v="457307"/>
    <n v="522858"/>
    <n v="67"/>
    <n v="61"/>
    <n v="7.1"/>
  </r>
  <r>
    <x v="3"/>
    <x v="3"/>
    <d v="2021-07-02T00:00:00"/>
    <s v="NA"/>
    <n v="0"/>
    <n v="83"/>
    <s v="81+"/>
    <x v="1"/>
    <x v="11"/>
    <x v="8"/>
    <x v="2"/>
    <n v="1"/>
    <n v="1"/>
    <n v="3.1"/>
    <x v="24"/>
    <n v="5"/>
    <n v="7"/>
    <n v="932231"/>
    <n v="263196"/>
    <n v="669035"/>
    <n v="70"/>
    <n v="61"/>
    <n v="5.4"/>
  </r>
  <r>
    <x v="3"/>
    <x v="3"/>
    <d v="2021-04-27T00:00:00"/>
    <s v="NA"/>
    <n v="0"/>
    <n v="65"/>
    <s v="61-80"/>
    <x v="1"/>
    <x v="7"/>
    <x v="5"/>
    <x v="1"/>
    <n v="1"/>
    <n v="1"/>
    <n v="6.1"/>
    <x v="2"/>
    <n v="4"/>
    <n v="3"/>
    <n v="813395"/>
    <n v="230354"/>
    <n v="583041"/>
    <n v="62"/>
    <n v="58"/>
    <n v="5.9"/>
  </r>
  <r>
    <x v="3"/>
    <x v="3"/>
    <d v="2021-04-21T00:00:00"/>
    <s v="NA"/>
    <n v="0"/>
    <n v="82"/>
    <s v="81+"/>
    <x v="1"/>
    <x v="10"/>
    <x v="8"/>
    <x v="3"/>
    <n v="1"/>
    <n v="1"/>
    <n v="1.5"/>
    <x v="7"/>
    <n v="6"/>
    <n v="6"/>
    <n v="903632"/>
    <n v="275324"/>
    <n v="628308"/>
    <n v="62"/>
    <n v="57"/>
    <n v="12.5"/>
  </r>
  <r>
    <x v="3"/>
    <x v="3"/>
    <d v="2022-03-13T00:00:00"/>
    <s v="NA"/>
    <n v="0"/>
    <n v="69"/>
    <s v="61-80"/>
    <x v="1"/>
    <x v="11"/>
    <x v="8"/>
    <x v="2"/>
    <n v="1"/>
    <n v="1"/>
    <n v="3.5"/>
    <x v="24"/>
    <n v="5"/>
    <n v="6"/>
    <n v="941065"/>
    <n v="421455"/>
    <n v="519610"/>
    <n v="58"/>
    <n v="64"/>
    <n v="12.9"/>
  </r>
  <r>
    <x v="3"/>
    <x v="3"/>
    <d v="2023-11-01T00:00:00"/>
    <s v="NA"/>
    <n v="0"/>
    <n v="25"/>
    <s v="21-40"/>
    <x v="1"/>
    <x v="3"/>
    <x v="2"/>
    <x v="2"/>
    <n v="1"/>
    <n v="1"/>
    <n v="4.4000000000000004"/>
    <x v="11"/>
    <n v="3"/>
    <n v="3"/>
    <n v="837533"/>
    <n v="260041"/>
    <n v="577492"/>
    <n v="62"/>
    <n v="59"/>
    <n v="5.6"/>
  </r>
  <r>
    <x v="3"/>
    <x v="3"/>
    <d v="2022-09-20T00:00:00"/>
    <s v="NA"/>
    <n v="0"/>
    <n v="85"/>
    <s v="81+"/>
    <x v="0"/>
    <x v="7"/>
    <x v="5"/>
    <x v="4"/>
    <n v="1"/>
    <n v="1"/>
    <n v="6"/>
    <x v="13"/>
    <n v="6"/>
    <n v="5"/>
    <n v="920163"/>
    <n v="230449"/>
    <n v="689714"/>
    <n v="60"/>
    <n v="55"/>
    <n v="12.1"/>
  </r>
  <r>
    <x v="3"/>
    <x v="3"/>
    <d v="2021-05-11T00:00:00"/>
    <s v="NA"/>
    <n v="0"/>
    <n v="86"/>
    <s v="81+"/>
    <x v="0"/>
    <x v="12"/>
    <x v="9"/>
    <x v="1"/>
    <n v="1"/>
    <n v="1"/>
    <n v="3.9"/>
    <x v="0"/>
    <n v="3"/>
    <n v="4"/>
    <n v="894552"/>
    <n v="358554"/>
    <n v="535998"/>
    <n v="61"/>
    <n v="63"/>
    <n v="10.1"/>
  </r>
  <r>
    <x v="3"/>
    <x v="3"/>
    <d v="2024-01-07T00:00:00"/>
    <s v="NA"/>
    <n v="0"/>
    <n v="64"/>
    <s v="61-80"/>
    <x v="0"/>
    <x v="1"/>
    <x v="1"/>
    <x v="2"/>
    <n v="1"/>
    <n v="1"/>
    <n v="5.7"/>
    <x v="1"/>
    <n v="4"/>
    <n v="4"/>
    <n v="977080"/>
    <n v="451538"/>
    <n v="525542"/>
    <n v="57"/>
    <n v="62"/>
    <n v="8.5"/>
  </r>
  <r>
    <x v="3"/>
    <x v="3"/>
    <d v="2024-10-27T00:00:00"/>
    <s v="NA"/>
    <n v="0"/>
    <n v="84"/>
    <s v="81+"/>
    <x v="1"/>
    <x v="1"/>
    <x v="1"/>
    <x v="4"/>
    <n v="1"/>
    <n v="1"/>
    <n v="6.1"/>
    <x v="5"/>
    <n v="5"/>
    <n v="4"/>
    <n v="850808"/>
    <n v="316613"/>
    <n v="534195"/>
    <n v="61"/>
    <n v="64"/>
    <n v="9.1999999999999993"/>
  </r>
  <r>
    <x v="3"/>
    <x v="3"/>
    <d v="2024-10-13T00:00:00"/>
    <s v="NA"/>
    <n v="0"/>
    <n v="43"/>
    <s v="41-60"/>
    <x v="0"/>
    <x v="7"/>
    <x v="5"/>
    <x v="4"/>
    <n v="1"/>
    <n v="1"/>
    <n v="5.3"/>
    <x v="8"/>
    <n v="6"/>
    <n v="6"/>
    <n v="902059"/>
    <n v="256517"/>
    <n v="645542"/>
    <n v="69"/>
    <n v="65"/>
    <n v="6.3"/>
  </r>
  <r>
    <x v="5"/>
    <x v="5"/>
    <d v="2021-04-10T00:00:00"/>
    <s v="NA"/>
    <n v="0"/>
    <n v="83"/>
    <s v="81+"/>
    <x v="0"/>
    <x v="0"/>
    <x v="0"/>
    <x v="1"/>
    <n v="1"/>
    <n v="1"/>
    <n v="2.1"/>
    <x v="26"/>
    <n v="3"/>
    <n v="5"/>
    <n v="525108"/>
    <n v="64740"/>
    <n v="460368"/>
    <n v="35"/>
    <n v="60"/>
    <n v="6.3"/>
  </r>
  <r>
    <x v="3"/>
    <x v="3"/>
    <d v="2024-07-08T00:00:00"/>
    <s v="NA"/>
    <n v="0"/>
    <n v="33"/>
    <s v="21-40"/>
    <x v="0"/>
    <x v="12"/>
    <x v="9"/>
    <x v="4"/>
    <n v="1"/>
    <n v="1"/>
    <n v="3.7"/>
    <x v="15"/>
    <n v="4"/>
    <n v="4"/>
    <n v="870956"/>
    <n v="283374"/>
    <n v="587582"/>
    <n v="51"/>
    <n v="64"/>
    <n v="5.3"/>
  </r>
  <r>
    <x v="5"/>
    <x v="5"/>
    <d v="2022-02-25T00:00:00"/>
    <s v="NA"/>
    <n v="0"/>
    <n v="86"/>
    <s v="81+"/>
    <x v="1"/>
    <x v="1"/>
    <x v="1"/>
    <x v="2"/>
    <n v="1"/>
    <n v="1"/>
    <n v="6.7"/>
    <x v="26"/>
    <n v="3"/>
    <n v="5"/>
    <n v="517897"/>
    <n v="62318"/>
    <n v="455579"/>
    <n v="36"/>
    <n v="58"/>
    <n v="7.9"/>
  </r>
  <r>
    <x v="3"/>
    <x v="3"/>
    <d v="2022-05-25T00:00:00"/>
    <s v="NA"/>
    <n v="0"/>
    <n v="45"/>
    <s v="41-60"/>
    <x v="1"/>
    <x v="12"/>
    <x v="9"/>
    <x v="4"/>
    <n v="1"/>
    <n v="1"/>
    <n v="2.1"/>
    <x v="7"/>
    <n v="4"/>
    <n v="3"/>
    <n v="994502"/>
    <n v="349550"/>
    <n v="644952"/>
    <n v="70"/>
    <n v="56"/>
    <n v="14"/>
  </r>
  <r>
    <x v="3"/>
    <x v="3"/>
    <d v="2021-05-24T00:00:00"/>
    <s v="NA"/>
    <n v="0"/>
    <n v="49"/>
    <s v="41-60"/>
    <x v="1"/>
    <x v="2"/>
    <x v="1"/>
    <x v="2"/>
    <n v="1"/>
    <n v="1"/>
    <n v="3.2"/>
    <x v="9"/>
    <n v="7"/>
    <n v="5"/>
    <n v="940663"/>
    <n v="438426"/>
    <n v="502237"/>
    <n v="55"/>
    <n v="63"/>
    <n v="12.7"/>
  </r>
  <r>
    <x v="5"/>
    <x v="5"/>
    <d v="2023-06-25T00:00:00"/>
    <s v="NA"/>
    <n v="0"/>
    <n v="78"/>
    <s v="61-80"/>
    <x v="1"/>
    <x v="3"/>
    <x v="2"/>
    <x v="0"/>
    <n v="1"/>
    <n v="1"/>
    <n v="2.8"/>
    <x v="10"/>
    <n v="7"/>
    <n v="3"/>
    <n v="542284"/>
    <n v="106012"/>
    <n v="436272"/>
    <n v="36"/>
    <n v="54"/>
    <n v="12.2"/>
  </r>
  <r>
    <x v="5"/>
    <x v="5"/>
    <d v="2021-02-19T00:00:00"/>
    <s v="NA"/>
    <n v="0"/>
    <n v="25"/>
    <s v="21-40"/>
    <x v="0"/>
    <x v="12"/>
    <x v="9"/>
    <x v="0"/>
    <n v="1"/>
    <n v="1"/>
    <n v="5.4"/>
    <x v="12"/>
    <n v="7"/>
    <n v="7"/>
    <n v="569563"/>
    <n v="164037"/>
    <n v="405526"/>
    <n v="39"/>
    <n v="57"/>
    <n v="12.1"/>
  </r>
  <r>
    <x v="3"/>
    <x v="3"/>
    <d v="2022-06-10T00:00:00"/>
    <s v="NA"/>
    <n v="0"/>
    <n v="45"/>
    <s v="41-60"/>
    <x v="1"/>
    <x v="12"/>
    <x v="9"/>
    <x v="1"/>
    <n v="1"/>
    <n v="1"/>
    <n v="4.0999999999999996"/>
    <x v="28"/>
    <n v="7"/>
    <n v="4"/>
    <n v="923501"/>
    <n v="416769"/>
    <n v="506732"/>
    <n v="65"/>
    <n v="65"/>
    <n v="12.2"/>
  </r>
  <r>
    <x v="3"/>
    <x v="3"/>
    <d v="2021-05-20T00:00:00"/>
    <s v="NA"/>
    <n v="0"/>
    <n v="25"/>
    <s v="21-40"/>
    <x v="0"/>
    <x v="5"/>
    <x v="0"/>
    <x v="3"/>
    <n v="1"/>
    <n v="1"/>
    <n v="5.4"/>
    <x v="5"/>
    <n v="6"/>
    <n v="7"/>
    <n v="866824"/>
    <n v="193171"/>
    <n v="673653"/>
    <n v="66"/>
    <n v="61"/>
    <n v="10.1"/>
  </r>
  <r>
    <x v="3"/>
    <x v="3"/>
    <d v="2023-08-27T00:00:00"/>
    <s v="NA"/>
    <n v="0"/>
    <n v="39"/>
    <s v="21-40"/>
    <x v="1"/>
    <x v="1"/>
    <x v="1"/>
    <x v="1"/>
    <n v="1"/>
    <n v="1"/>
    <n v="6"/>
    <x v="28"/>
    <n v="6"/>
    <n v="7"/>
    <n v="965659"/>
    <n v="350204"/>
    <n v="615455"/>
    <n v="61"/>
    <n v="55"/>
    <n v="9.3000000000000007"/>
  </r>
  <r>
    <x v="5"/>
    <x v="5"/>
    <d v="2023-09-18T00:00:00"/>
    <s v="NA"/>
    <n v="0"/>
    <n v="42"/>
    <s v="41-60"/>
    <x v="0"/>
    <x v="9"/>
    <x v="7"/>
    <x v="0"/>
    <n v="1"/>
    <n v="1"/>
    <n v="4.0999999999999996"/>
    <x v="9"/>
    <n v="6"/>
    <n v="4"/>
    <n v="579927"/>
    <n v="174188"/>
    <n v="405739"/>
    <n v="37"/>
    <n v="65"/>
    <n v="13.3"/>
  </r>
  <r>
    <x v="3"/>
    <x v="3"/>
    <d v="2024-07-22T00:00:00"/>
    <s v="NA"/>
    <n v="0"/>
    <n v="57"/>
    <s v="41-60"/>
    <x v="1"/>
    <x v="1"/>
    <x v="1"/>
    <x v="2"/>
    <n v="1"/>
    <n v="1"/>
    <n v="7"/>
    <x v="26"/>
    <n v="7"/>
    <n v="4"/>
    <n v="980568"/>
    <n v="362699"/>
    <n v="617869"/>
    <n v="66"/>
    <n v="65"/>
    <n v="7.5"/>
  </r>
  <r>
    <x v="3"/>
    <x v="3"/>
    <d v="2024-03-05T00:00:00"/>
    <s v="NA"/>
    <n v="0"/>
    <n v="30"/>
    <s v="21-40"/>
    <x v="0"/>
    <x v="0"/>
    <x v="0"/>
    <x v="3"/>
    <n v="1"/>
    <n v="1"/>
    <n v="6.3"/>
    <x v="11"/>
    <n v="7"/>
    <n v="4"/>
    <n v="918892"/>
    <n v="272367"/>
    <n v="646525"/>
    <n v="53"/>
    <n v="62"/>
    <n v="14.8"/>
  </r>
  <r>
    <x v="3"/>
    <x v="3"/>
    <d v="2022-10-26T00:00:00"/>
    <s v="NA"/>
    <n v="0"/>
    <n v="31"/>
    <s v="21-40"/>
    <x v="1"/>
    <x v="1"/>
    <x v="1"/>
    <x v="2"/>
    <n v="1"/>
    <n v="1"/>
    <n v="3.1"/>
    <x v="5"/>
    <n v="5"/>
    <n v="3"/>
    <n v="868471"/>
    <n v="245232"/>
    <n v="623239"/>
    <n v="61"/>
    <n v="58"/>
    <n v="5.6"/>
  </r>
  <r>
    <x v="3"/>
    <x v="3"/>
    <d v="2021-11-18T00:00:00"/>
    <s v="NA"/>
    <n v="0"/>
    <n v="30"/>
    <s v="21-40"/>
    <x v="0"/>
    <x v="6"/>
    <x v="4"/>
    <x v="2"/>
    <n v="1"/>
    <n v="1"/>
    <n v="2.1"/>
    <x v="6"/>
    <n v="4"/>
    <n v="6"/>
    <n v="880761"/>
    <n v="337023"/>
    <n v="543738"/>
    <n v="52"/>
    <n v="65"/>
    <n v="7.4"/>
  </r>
  <r>
    <x v="3"/>
    <x v="3"/>
    <d v="2024-01-25T00:00:00"/>
    <s v="NA"/>
    <n v="0"/>
    <n v="36"/>
    <s v="21-40"/>
    <x v="1"/>
    <x v="3"/>
    <x v="2"/>
    <x v="2"/>
    <n v="1"/>
    <n v="1"/>
    <n v="4.5999999999999996"/>
    <x v="10"/>
    <n v="7"/>
    <n v="6"/>
    <n v="860365"/>
    <n v="252107"/>
    <n v="608258"/>
    <n v="52"/>
    <n v="55"/>
    <n v="36.4"/>
  </r>
  <r>
    <x v="3"/>
    <x v="3"/>
    <d v="2023-11-06T00:00:00"/>
    <s v="NA"/>
    <n v="0"/>
    <n v="82"/>
    <s v="81+"/>
    <x v="1"/>
    <x v="12"/>
    <x v="9"/>
    <x v="4"/>
    <n v="1"/>
    <n v="1"/>
    <n v="6.9"/>
    <x v="17"/>
    <n v="4"/>
    <n v="7"/>
    <n v="847069"/>
    <n v="217553"/>
    <n v="629516"/>
    <n v="59"/>
    <n v="54"/>
    <n v="5.3"/>
  </r>
  <r>
    <x v="3"/>
    <x v="3"/>
    <d v="2022-03-04T00:00:00"/>
    <s v="NA"/>
    <n v="0"/>
    <n v="37"/>
    <s v="21-40"/>
    <x v="1"/>
    <x v="12"/>
    <x v="9"/>
    <x v="1"/>
    <n v="1"/>
    <n v="1"/>
    <n v="1.2"/>
    <x v="14"/>
    <n v="3"/>
    <n v="4"/>
    <n v="938851"/>
    <n v="432113"/>
    <n v="506738"/>
    <n v="50"/>
    <n v="54"/>
    <n v="6.2"/>
  </r>
  <r>
    <x v="3"/>
    <x v="3"/>
    <d v="2024-02-03T00:00:00"/>
    <s v="NA"/>
    <n v="0"/>
    <n v="81"/>
    <s v="81+"/>
    <x v="1"/>
    <x v="3"/>
    <x v="2"/>
    <x v="3"/>
    <n v="1"/>
    <n v="1"/>
    <n v="6.3"/>
    <x v="28"/>
    <n v="5"/>
    <n v="7"/>
    <n v="997945"/>
    <n v="474795"/>
    <n v="523150"/>
    <n v="55"/>
    <n v="62"/>
    <n v="13.9"/>
  </r>
  <r>
    <x v="5"/>
    <x v="5"/>
    <d v="2021-08-20T00:00:00"/>
    <s v="NA"/>
    <n v="0"/>
    <n v="52"/>
    <s v="41-60"/>
    <x v="0"/>
    <x v="7"/>
    <x v="5"/>
    <x v="3"/>
    <n v="1"/>
    <n v="1"/>
    <n v="6.4"/>
    <x v="3"/>
    <n v="5"/>
    <n v="6"/>
    <n v="527998"/>
    <n v="68233"/>
    <n v="459765"/>
    <n v="36"/>
    <n v="62"/>
    <n v="12.1"/>
  </r>
  <r>
    <x v="5"/>
    <x v="5"/>
    <d v="2024-12-31T00:00:00"/>
    <s v="NA"/>
    <n v="0"/>
    <n v="73"/>
    <s v="61-80"/>
    <x v="1"/>
    <x v="6"/>
    <x v="4"/>
    <x v="4"/>
    <n v="1"/>
    <n v="1"/>
    <n v="6.1"/>
    <x v="25"/>
    <n v="3"/>
    <n v="5"/>
    <n v="519242"/>
    <n v="124006"/>
    <n v="395236"/>
    <n v="39"/>
    <n v="65"/>
    <n v="5.5"/>
  </r>
  <r>
    <x v="5"/>
    <x v="5"/>
    <d v="2022-06-03T00:00:00"/>
    <s v="NA"/>
    <n v="0"/>
    <n v="45"/>
    <s v="41-60"/>
    <x v="0"/>
    <x v="6"/>
    <x v="4"/>
    <x v="3"/>
    <n v="1"/>
    <n v="1"/>
    <n v="3.7"/>
    <x v="8"/>
    <n v="5"/>
    <n v="7"/>
    <n v="599470"/>
    <n v="132866"/>
    <n v="466604"/>
    <n v="38"/>
    <n v="63"/>
    <n v="9.3000000000000007"/>
  </r>
  <r>
    <x v="3"/>
    <x v="3"/>
    <d v="2022-07-05T00:00:00"/>
    <s v="NA"/>
    <n v="0"/>
    <n v="36"/>
    <s v="21-40"/>
    <x v="0"/>
    <x v="12"/>
    <x v="9"/>
    <x v="3"/>
    <n v="1"/>
    <n v="1"/>
    <n v="2.4"/>
    <x v="11"/>
    <n v="6"/>
    <n v="5"/>
    <n v="922737"/>
    <n v="322490"/>
    <n v="600247"/>
    <n v="54"/>
    <n v="57"/>
    <n v="13.6"/>
  </r>
  <r>
    <x v="3"/>
    <x v="3"/>
    <d v="2021-10-04T00:00:00"/>
    <s v="NA"/>
    <n v="0"/>
    <n v="37"/>
    <s v="21-40"/>
    <x v="0"/>
    <x v="5"/>
    <x v="0"/>
    <x v="3"/>
    <n v="1"/>
    <n v="1"/>
    <n v="3.3"/>
    <x v="2"/>
    <n v="4"/>
    <n v="3"/>
    <n v="852244"/>
    <n v="324293"/>
    <n v="527951"/>
    <n v="54"/>
    <n v="58"/>
    <n v="8.9"/>
  </r>
  <r>
    <x v="5"/>
    <x v="5"/>
    <d v="2023-04-10T00:00:00"/>
    <s v="NA"/>
    <n v="0"/>
    <n v="69"/>
    <s v="61-80"/>
    <x v="0"/>
    <x v="0"/>
    <x v="0"/>
    <x v="4"/>
    <n v="1"/>
    <n v="1"/>
    <n v="5.5"/>
    <x v="24"/>
    <n v="7"/>
    <n v="6"/>
    <n v="534536"/>
    <n v="55310"/>
    <n v="479226"/>
    <n v="39"/>
    <n v="57"/>
    <n v="12.6"/>
  </r>
  <r>
    <x v="3"/>
    <x v="3"/>
    <d v="2023-08-09T00:00:00"/>
    <s v="NA"/>
    <n v="0"/>
    <n v="74"/>
    <s v="61-80"/>
    <x v="1"/>
    <x v="3"/>
    <x v="2"/>
    <x v="0"/>
    <n v="1"/>
    <n v="1"/>
    <n v="4.7"/>
    <x v="17"/>
    <n v="5"/>
    <n v="6"/>
    <n v="866510"/>
    <n v="321037"/>
    <n v="545473"/>
    <n v="58"/>
    <n v="60"/>
    <n v="6.6"/>
  </r>
  <r>
    <x v="3"/>
    <x v="3"/>
    <d v="2024-01-09T00:00:00"/>
    <s v="NA"/>
    <n v="0"/>
    <n v="26"/>
    <s v="21-40"/>
    <x v="0"/>
    <x v="10"/>
    <x v="8"/>
    <x v="3"/>
    <n v="1"/>
    <n v="1"/>
    <n v="5.6"/>
    <x v="12"/>
    <n v="6"/>
    <n v="4"/>
    <n v="936951"/>
    <n v="358911"/>
    <n v="578040"/>
    <n v="64"/>
    <n v="57"/>
    <n v="6.4"/>
  </r>
  <r>
    <x v="3"/>
    <x v="3"/>
    <d v="2021-09-22T00:00:00"/>
    <s v="NA"/>
    <n v="0"/>
    <n v="50"/>
    <s v="41-60"/>
    <x v="0"/>
    <x v="9"/>
    <x v="7"/>
    <x v="1"/>
    <n v="1"/>
    <n v="1"/>
    <n v="3.4"/>
    <x v="30"/>
    <n v="5"/>
    <n v="4"/>
    <n v="899961"/>
    <n v="343210"/>
    <n v="556751"/>
    <n v="65"/>
    <n v="58"/>
    <n v="13.8"/>
  </r>
  <r>
    <x v="3"/>
    <x v="3"/>
    <d v="2022-09-19T00:00:00"/>
    <s v="NA"/>
    <n v="0"/>
    <n v="28"/>
    <s v="21-40"/>
    <x v="1"/>
    <x v="12"/>
    <x v="9"/>
    <x v="4"/>
    <n v="1"/>
    <n v="1"/>
    <n v="4.4000000000000004"/>
    <x v="8"/>
    <n v="5"/>
    <n v="7"/>
    <n v="993163"/>
    <n v="334530"/>
    <n v="658633"/>
    <n v="55"/>
    <n v="62"/>
    <n v="13.1"/>
  </r>
  <r>
    <x v="3"/>
    <x v="3"/>
    <d v="2022-09-17T00:00:00"/>
    <s v="NA"/>
    <n v="0"/>
    <n v="67"/>
    <s v="61-80"/>
    <x v="1"/>
    <x v="7"/>
    <x v="5"/>
    <x v="3"/>
    <n v="1"/>
    <n v="1"/>
    <n v="4.9000000000000004"/>
    <x v="19"/>
    <n v="6"/>
    <n v="5"/>
    <n v="881632"/>
    <n v="284575"/>
    <n v="597057"/>
    <n v="65"/>
    <n v="55"/>
    <n v="7.4"/>
  </r>
  <r>
    <x v="3"/>
    <x v="3"/>
    <d v="2023-05-09T00:00:00"/>
    <s v="NA"/>
    <n v="0"/>
    <n v="25"/>
    <s v="21-40"/>
    <x v="0"/>
    <x v="7"/>
    <x v="5"/>
    <x v="2"/>
    <n v="1"/>
    <n v="1"/>
    <n v="3"/>
    <x v="0"/>
    <n v="6"/>
    <n v="3"/>
    <n v="979812"/>
    <n v="465638"/>
    <n v="514174"/>
    <n v="66"/>
    <n v="61"/>
    <n v="10"/>
  </r>
  <r>
    <x v="3"/>
    <x v="3"/>
    <d v="2022-10-15T00:00:00"/>
    <s v="NA"/>
    <n v="0"/>
    <n v="43"/>
    <s v="41-60"/>
    <x v="0"/>
    <x v="2"/>
    <x v="1"/>
    <x v="1"/>
    <n v="1"/>
    <n v="1"/>
    <n v="3.3"/>
    <x v="1"/>
    <n v="4"/>
    <n v="4"/>
    <n v="810327"/>
    <n v="133557"/>
    <n v="676770"/>
    <n v="50"/>
    <n v="61"/>
    <n v="5.9"/>
  </r>
  <r>
    <x v="3"/>
    <x v="3"/>
    <d v="2022-02-23T00:00:00"/>
    <s v="NA"/>
    <n v="0"/>
    <n v="67"/>
    <s v="61-80"/>
    <x v="0"/>
    <x v="12"/>
    <x v="9"/>
    <x v="3"/>
    <n v="1"/>
    <n v="1"/>
    <n v="5.6"/>
    <x v="20"/>
    <n v="3"/>
    <n v="4"/>
    <n v="889437"/>
    <n v="372344"/>
    <n v="517093"/>
    <n v="51"/>
    <n v="57"/>
    <n v="5.8"/>
  </r>
  <r>
    <x v="5"/>
    <x v="5"/>
    <d v="2021-02-28T00:00:00"/>
    <s v="NA"/>
    <n v="0"/>
    <n v="55"/>
    <s v="41-60"/>
    <x v="0"/>
    <x v="5"/>
    <x v="0"/>
    <x v="2"/>
    <n v="1"/>
    <n v="1"/>
    <n v="3.2"/>
    <x v="4"/>
    <n v="6"/>
    <n v="5"/>
    <n v="538263"/>
    <n v="91777"/>
    <n v="446486"/>
    <n v="36"/>
    <n v="62"/>
    <n v="10.5"/>
  </r>
  <r>
    <x v="3"/>
    <x v="3"/>
    <d v="2023-06-08T00:00:00"/>
    <s v="NA"/>
    <n v="0"/>
    <n v="44"/>
    <s v="41-60"/>
    <x v="1"/>
    <x v="4"/>
    <x v="3"/>
    <x v="0"/>
    <n v="1"/>
    <n v="1"/>
    <n v="3.4"/>
    <x v="21"/>
    <n v="5"/>
    <n v="3"/>
    <n v="942061"/>
    <n v="429443"/>
    <n v="512618"/>
    <n v="69"/>
    <n v="63"/>
    <n v="9.1999999999999993"/>
  </r>
  <r>
    <x v="5"/>
    <x v="5"/>
    <d v="2024-11-13T00:00:00"/>
    <s v="NA"/>
    <n v="0"/>
    <n v="49"/>
    <s v="41-60"/>
    <x v="1"/>
    <x v="3"/>
    <x v="2"/>
    <x v="1"/>
    <n v="1"/>
    <n v="1"/>
    <n v="6.5"/>
    <x v="23"/>
    <n v="4"/>
    <n v="7"/>
    <n v="583129"/>
    <n v="197671"/>
    <n v="385458"/>
    <n v="40"/>
    <n v="57"/>
    <n v="10.9"/>
  </r>
  <r>
    <x v="5"/>
    <x v="5"/>
    <d v="2023-05-23T00:00:00"/>
    <s v="NA"/>
    <n v="0"/>
    <n v="78"/>
    <s v="61-80"/>
    <x v="0"/>
    <x v="1"/>
    <x v="1"/>
    <x v="4"/>
    <n v="1"/>
    <n v="1"/>
    <n v="1.7"/>
    <x v="25"/>
    <n v="7"/>
    <n v="6"/>
    <n v="585768"/>
    <n v="117962"/>
    <n v="467806"/>
    <n v="36"/>
    <n v="65"/>
    <n v="6.1"/>
  </r>
  <r>
    <x v="5"/>
    <x v="5"/>
    <d v="2021-12-24T00:00:00"/>
    <s v="NA"/>
    <n v="0"/>
    <n v="87"/>
    <s v="81+"/>
    <x v="1"/>
    <x v="6"/>
    <x v="4"/>
    <x v="3"/>
    <n v="1"/>
    <n v="1"/>
    <n v="6.6"/>
    <x v="29"/>
    <n v="4"/>
    <n v="5"/>
    <n v="566036"/>
    <n v="107271"/>
    <n v="458765"/>
    <n v="36"/>
    <n v="59"/>
    <n v="36.4"/>
  </r>
  <r>
    <x v="3"/>
    <x v="3"/>
    <d v="2022-03-01T00:00:00"/>
    <s v="NA"/>
    <n v="0"/>
    <n v="46"/>
    <s v="41-60"/>
    <x v="0"/>
    <x v="2"/>
    <x v="1"/>
    <x v="3"/>
    <n v="1"/>
    <n v="1"/>
    <n v="3.4"/>
    <x v="23"/>
    <n v="5"/>
    <n v="3"/>
    <n v="999447"/>
    <n v="378890"/>
    <n v="620557"/>
    <n v="70"/>
    <n v="60"/>
    <n v="7.7"/>
  </r>
  <r>
    <x v="3"/>
    <x v="3"/>
    <d v="2024-09-03T00:00:00"/>
    <s v="NA"/>
    <n v="0"/>
    <n v="31"/>
    <s v="21-40"/>
    <x v="0"/>
    <x v="2"/>
    <x v="1"/>
    <x v="3"/>
    <n v="1"/>
    <n v="1"/>
    <n v="3.3"/>
    <x v="26"/>
    <n v="4"/>
    <n v="6"/>
    <n v="891366"/>
    <n v="309080"/>
    <n v="582286"/>
    <n v="57"/>
    <n v="57"/>
    <n v="14.7"/>
  </r>
  <r>
    <x v="3"/>
    <x v="3"/>
    <d v="2021-07-26T00:00:00"/>
    <s v="NA"/>
    <n v="0"/>
    <n v="55"/>
    <s v="41-60"/>
    <x v="1"/>
    <x v="4"/>
    <x v="3"/>
    <x v="3"/>
    <n v="1"/>
    <n v="1"/>
    <n v="4.5999999999999996"/>
    <x v="17"/>
    <n v="4"/>
    <n v="6"/>
    <n v="823158"/>
    <n v="176968"/>
    <n v="646190"/>
    <n v="59"/>
    <n v="64"/>
    <n v="13.5"/>
  </r>
  <r>
    <x v="5"/>
    <x v="5"/>
    <d v="2021-04-08T00:00:00"/>
    <s v="NA"/>
    <n v="0"/>
    <n v="27"/>
    <s v="21-40"/>
    <x v="0"/>
    <x v="2"/>
    <x v="1"/>
    <x v="3"/>
    <n v="1"/>
    <n v="1"/>
    <n v="2.6"/>
    <x v="23"/>
    <n v="7"/>
    <n v="7"/>
    <n v="528795"/>
    <n v="49658"/>
    <n v="479137"/>
    <n v="40"/>
    <n v="54"/>
    <n v="7.2"/>
  </r>
  <r>
    <x v="5"/>
    <x v="5"/>
    <d v="2022-06-10T00:00:00"/>
    <s v="NA"/>
    <n v="0"/>
    <n v="56"/>
    <s v="41-60"/>
    <x v="1"/>
    <x v="10"/>
    <x v="8"/>
    <x v="3"/>
    <n v="1"/>
    <n v="1"/>
    <n v="3.1"/>
    <x v="10"/>
    <n v="5"/>
    <n v="4"/>
    <n v="532946"/>
    <n v="59258"/>
    <n v="473688"/>
    <n v="35"/>
    <n v="54"/>
    <n v="13.8"/>
  </r>
  <r>
    <x v="3"/>
    <x v="3"/>
    <d v="2021-09-17T00:00:00"/>
    <s v="NA"/>
    <n v="0"/>
    <n v="24"/>
    <s v="21-40"/>
    <x v="1"/>
    <x v="12"/>
    <x v="9"/>
    <x v="4"/>
    <n v="1"/>
    <n v="1"/>
    <n v="4.4000000000000004"/>
    <x v="24"/>
    <n v="3"/>
    <n v="5"/>
    <n v="997892"/>
    <n v="357183"/>
    <n v="640709"/>
    <n v="60"/>
    <n v="60"/>
    <n v="36.200000000000003"/>
  </r>
  <r>
    <x v="3"/>
    <x v="3"/>
    <d v="2021-12-26T00:00:00"/>
    <s v="NA"/>
    <n v="0"/>
    <n v="28"/>
    <s v="21-40"/>
    <x v="1"/>
    <x v="2"/>
    <x v="1"/>
    <x v="0"/>
    <n v="1"/>
    <n v="1"/>
    <n v="1.4"/>
    <x v="30"/>
    <n v="5"/>
    <n v="7"/>
    <n v="996740"/>
    <n v="348867"/>
    <n v="647873"/>
    <n v="60"/>
    <n v="62"/>
    <n v="7.6"/>
  </r>
  <r>
    <x v="5"/>
    <x v="5"/>
    <d v="2024-03-28T00:00:00"/>
    <s v="NA"/>
    <n v="0"/>
    <n v="63"/>
    <s v="61-80"/>
    <x v="1"/>
    <x v="12"/>
    <x v="9"/>
    <x v="2"/>
    <n v="1"/>
    <n v="1"/>
    <n v="3.1"/>
    <x v="14"/>
    <n v="6"/>
    <n v="4"/>
    <n v="547919"/>
    <n v="164497"/>
    <n v="383422"/>
    <n v="38"/>
    <n v="58"/>
    <n v="6.4"/>
  </r>
  <r>
    <x v="3"/>
    <x v="3"/>
    <d v="2022-05-18T00:00:00"/>
    <s v="NA"/>
    <n v="0"/>
    <n v="71"/>
    <s v="61-80"/>
    <x v="1"/>
    <x v="6"/>
    <x v="4"/>
    <x v="1"/>
    <n v="1"/>
    <n v="1"/>
    <n v="1.9"/>
    <x v="27"/>
    <n v="3"/>
    <n v="4"/>
    <n v="808339"/>
    <n v="169200"/>
    <n v="639139"/>
    <n v="55"/>
    <n v="61"/>
    <n v="12.8"/>
  </r>
  <r>
    <x v="3"/>
    <x v="3"/>
    <d v="2024-10-23T00:00:00"/>
    <s v="NA"/>
    <n v="0"/>
    <n v="44"/>
    <s v="41-60"/>
    <x v="1"/>
    <x v="12"/>
    <x v="9"/>
    <x v="4"/>
    <n v="1"/>
    <n v="1"/>
    <n v="2.2999999999999998"/>
    <x v="10"/>
    <n v="7"/>
    <n v="5"/>
    <n v="838953"/>
    <n v="301891"/>
    <n v="537062"/>
    <n v="60"/>
    <n v="56"/>
    <n v="12.4"/>
  </r>
  <r>
    <x v="5"/>
    <x v="5"/>
    <d v="2021-03-07T00:00:00"/>
    <s v="NA"/>
    <n v="0"/>
    <n v="60"/>
    <s v="41-60"/>
    <x v="0"/>
    <x v="0"/>
    <x v="0"/>
    <x v="2"/>
    <n v="1"/>
    <n v="1"/>
    <n v="2.1"/>
    <x v="12"/>
    <n v="3"/>
    <n v="7"/>
    <n v="501563"/>
    <n v="106683"/>
    <n v="394880"/>
    <n v="38"/>
    <n v="65"/>
    <n v="6.5"/>
  </r>
  <r>
    <x v="3"/>
    <x v="3"/>
    <d v="2023-08-05T00:00:00"/>
    <s v="NA"/>
    <n v="0"/>
    <n v="47"/>
    <s v="41-60"/>
    <x v="0"/>
    <x v="12"/>
    <x v="9"/>
    <x v="4"/>
    <n v="1"/>
    <n v="1"/>
    <n v="6.7"/>
    <x v="5"/>
    <n v="3"/>
    <n v="6"/>
    <n v="904027"/>
    <n v="311481"/>
    <n v="592546"/>
    <n v="50"/>
    <n v="64"/>
    <n v="6.9"/>
  </r>
  <r>
    <x v="3"/>
    <x v="3"/>
    <d v="2023-10-02T00:00:00"/>
    <s v="NA"/>
    <n v="0"/>
    <n v="46"/>
    <s v="41-60"/>
    <x v="1"/>
    <x v="4"/>
    <x v="3"/>
    <x v="1"/>
    <n v="1"/>
    <n v="1"/>
    <n v="4.3"/>
    <x v="11"/>
    <n v="4"/>
    <n v="5"/>
    <n v="876607"/>
    <n v="274638"/>
    <n v="601969"/>
    <n v="55"/>
    <n v="66"/>
    <n v="8.8000000000000007"/>
  </r>
  <r>
    <x v="3"/>
    <x v="3"/>
    <d v="2023-04-18T00:00:00"/>
    <s v="NA"/>
    <n v="0"/>
    <n v="56"/>
    <s v="41-60"/>
    <x v="0"/>
    <x v="9"/>
    <x v="7"/>
    <x v="0"/>
    <n v="1"/>
    <n v="1"/>
    <n v="2.6"/>
    <x v="19"/>
    <n v="3"/>
    <n v="7"/>
    <n v="882104"/>
    <n v="292110"/>
    <n v="589994"/>
    <n v="65"/>
    <n v="58"/>
    <n v="9.3000000000000007"/>
  </r>
  <r>
    <x v="3"/>
    <x v="3"/>
    <d v="2022-02-27T00:00:00"/>
    <s v="NA"/>
    <n v="0"/>
    <n v="67"/>
    <s v="61-80"/>
    <x v="0"/>
    <x v="6"/>
    <x v="4"/>
    <x v="3"/>
    <n v="1"/>
    <n v="1"/>
    <n v="2.7"/>
    <x v="20"/>
    <n v="7"/>
    <n v="6"/>
    <n v="818241"/>
    <n v="271039"/>
    <n v="547202"/>
    <n v="54"/>
    <n v="58"/>
    <n v="7.3"/>
  </r>
  <r>
    <x v="3"/>
    <x v="3"/>
    <d v="2024-11-30T00:00:00"/>
    <s v="NA"/>
    <n v="0"/>
    <n v="28"/>
    <s v="21-40"/>
    <x v="1"/>
    <x v="13"/>
    <x v="10"/>
    <x v="3"/>
    <n v="1"/>
    <n v="1"/>
    <n v="1.6"/>
    <x v="29"/>
    <n v="7"/>
    <n v="3"/>
    <n v="903722"/>
    <n v="402830"/>
    <n v="500892"/>
    <n v="57"/>
    <n v="56"/>
    <n v="14.9"/>
  </r>
  <r>
    <x v="3"/>
    <x v="3"/>
    <d v="2022-10-17T00:00:00"/>
    <s v="NA"/>
    <n v="0"/>
    <n v="79"/>
    <s v="61-80"/>
    <x v="1"/>
    <x v="9"/>
    <x v="7"/>
    <x v="4"/>
    <n v="1"/>
    <n v="1"/>
    <n v="7"/>
    <x v="25"/>
    <n v="3"/>
    <n v="5"/>
    <n v="971443"/>
    <n v="462051"/>
    <n v="509392"/>
    <n v="65"/>
    <n v="60"/>
    <n v="13.1"/>
  </r>
  <r>
    <x v="3"/>
    <x v="3"/>
    <d v="2024-02-21T00:00:00"/>
    <s v="NA"/>
    <n v="0"/>
    <n v="38"/>
    <s v="21-40"/>
    <x v="1"/>
    <x v="7"/>
    <x v="5"/>
    <x v="4"/>
    <n v="1"/>
    <n v="1"/>
    <n v="6.7"/>
    <x v="10"/>
    <n v="3"/>
    <n v="5"/>
    <n v="984386"/>
    <n v="483849"/>
    <n v="500537"/>
    <n v="53"/>
    <n v="60"/>
    <n v="12.2"/>
  </r>
  <r>
    <x v="3"/>
    <x v="3"/>
    <d v="2023-08-01T00:00:00"/>
    <s v="NA"/>
    <n v="0"/>
    <n v="35"/>
    <s v="21-40"/>
    <x v="0"/>
    <x v="10"/>
    <x v="8"/>
    <x v="1"/>
    <n v="1"/>
    <n v="1"/>
    <n v="6.7"/>
    <x v="10"/>
    <n v="7"/>
    <n v="6"/>
    <n v="908139"/>
    <n v="242499"/>
    <n v="665640"/>
    <n v="67"/>
    <n v="65"/>
    <n v="13.4"/>
  </r>
  <r>
    <x v="5"/>
    <x v="5"/>
    <d v="2022-09-22T00:00:00"/>
    <s v="NA"/>
    <n v="0"/>
    <n v="43"/>
    <s v="41-60"/>
    <x v="1"/>
    <x v="2"/>
    <x v="1"/>
    <x v="4"/>
    <n v="1"/>
    <n v="1"/>
    <n v="3.3"/>
    <x v="30"/>
    <n v="7"/>
    <n v="4"/>
    <n v="554792"/>
    <n v="171856"/>
    <n v="382936"/>
    <n v="35"/>
    <n v="63"/>
    <n v="12.7"/>
  </r>
  <r>
    <x v="3"/>
    <x v="3"/>
    <d v="2022-06-24T00:00:00"/>
    <s v="NA"/>
    <n v="0"/>
    <n v="30"/>
    <s v="21-40"/>
    <x v="0"/>
    <x v="7"/>
    <x v="5"/>
    <x v="1"/>
    <n v="1"/>
    <n v="1"/>
    <n v="1.6"/>
    <x v="18"/>
    <n v="6"/>
    <n v="6"/>
    <n v="852850"/>
    <n v="235638"/>
    <n v="617212"/>
    <n v="54"/>
    <n v="58"/>
    <n v="8.6"/>
  </r>
  <r>
    <x v="5"/>
    <x v="5"/>
    <d v="2023-01-30T00:00:00"/>
    <s v="NA"/>
    <n v="0"/>
    <n v="70"/>
    <s v="61-80"/>
    <x v="0"/>
    <x v="2"/>
    <x v="1"/>
    <x v="1"/>
    <n v="1"/>
    <n v="1"/>
    <n v="4.3"/>
    <x v="18"/>
    <n v="4"/>
    <n v="3"/>
    <n v="561798"/>
    <n v="153917"/>
    <n v="407881"/>
    <n v="38"/>
    <n v="59"/>
    <n v="13.9"/>
  </r>
  <r>
    <x v="5"/>
    <x v="5"/>
    <d v="2022-06-09T00:00:00"/>
    <s v="NA"/>
    <n v="0"/>
    <n v="61"/>
    <s v="61-80"/>
    <x v="1"/>
    <x v="11"/>
    <x v="8"/>
    <x v="2"/>
    <n v="1"/>
    <n v="1"/>
    <n v="4.5"/>
    <x v="25"/>
    <n v="5"/>
    <n v="6"/>
    <n v="542363"/>
    <n v="106092"/>
    <n v="436271"/>
    <n v="40"/>
    <n v="66"/>
    <n v="7.7"/>
  </r>
  <r>
    <x v="5"/>
    <x v="5"/>
    <d v="2023-10-28T00:00:00"/>
    <s v="NA"/>
    <n v="0"/>
    <n v="62"/>
    <s v="61-80"/>
    <x v="0"/>
    <x v="12"/>
    <x v="9"/>
    <x v="3"/>
    <n v="1"/>
    <n v="1"/>
    <n v="6.8"/>
    <x v="21"/>
    <n v="5"/>
    <n v="3"/>
    <n v="559261"/>
    <n v="149247"/>
    <n v="410014"/>
    <n v="37"/>
    <n v="66"/>
    <n v="6.9"/>
  </r>
  <r>
    <x v="3"/>
    <x v="3"/>
    <d v="2024-09-26T00:00:00"/>
    <s v="NA"/>
    <n v="0"/>
    <n v="48"/>
    <s v="41-60"/>
    <x v="0"/>
    <x v="7"/>
    <x v="5"/>
    <x v="4"/>
    <n v="1"/>
    <n v="1"/>
    <n v="2.1"/>
    <x v="2"/>
    <n v="6"/>
    <n v="3"/>
    <n v="803298"/>
    <n v="187088"/>
    <n v="616210"/>
    <n v="55"/>
    <n v="57"/>
    <n v="12.1"/>
  </r>
  <r>
    <x v="3"/>
    <x v="3"/>
    <d v="2021-03-24T00:00:00"/>
    <s v="NA"/>
    <n v="0"/>
    <n v="70"/>
    <s v="61-80"/>
    <x v="1"/>
    <x v="3"/>
    <x v="2"/>
    <x v="2"/>
    <n v="1"/>
    <n v="1"/>
    <n v="6"/>
    <x v="28"/>
    <n v="3"/>
    <n v="4"/>
    <n v="885988"/>
    <n v="271276"/>
    <n v="614712"/>
    <n v="52"/>
    <n v="62"/>
    <n v="14.6"/>
  </r>
  <r>
    <x v="3"/>
    <x v="3"/>
    <d v="2023-04-16T00:00:00"/>
    <s v="NA"/>
    <n v="0"/>
    <n v="39"/>
    <s v="21-40"/>
    <x v="1"/>
    <x v="12"/>
    <x v="9"/>
    <x v="0"/>
    <n v="1"/>
    <n v="1"/>
    <n v="2"/>
    <x v="24"/>
    <n v="7"/>
    <n v="4"/>
    <n v="964392"/>
    <n v="322129"/>
    <n v="642263"/>
    <n v="57"/>
    <n v="60"/>
    <n v="7.8"/>
  </r>
  <r>
    <x v="3"/>
    <x v="3"/>
    <d v="2021-05-11T00:00:00"/>
    <s v="NA"/>
    <n v="0"/>
    <n v="66"/>
    <s v="61-80"/>
    <x v="1"/>
    <x v="10"/>
    <x v="8"/>
    <x v="0"/>
    <n v="1"/>
    <n v="1"/>
    <n v="3.8"/>
    <x v="2"/>
    <n v="6"/>
    <n v="4"/>
    <n v="992338"/>
    <n v="458890"/>
    <n v="533448"/>
    <n v="51"/>
    <n v="64"/>
    <n v="12.2"/>
  </r>
  <r>
    <x v="3"/>
    <x v="3"/>
    <d v="2023-05-02T00:00:00"/>
    <s v="NA"/>
    <n v="0"/>
    <n v="46"/>
    <s v="41-60"/>
    <x v="1"/>
    <x v="10"/>
    <x v="8"/>
    <x v="1"/>
    <n v="1"/>
    <n v="1"/>
    <n v="3.9"/>
    <x v="19"/>
    <n v="7"/>
    <n v="5"/>
    <n v="871062"/>
    <n v="234856"/>
    <n v="636206"/>
    <n v="52"/>
    <n v="60"/>
    <n v="7.9"/>
  </r>
  <r>
    <x v="3"/>
    <x v="3"/>
    <d v="2023-09-10T00:00:00"/>
    <s v="NA"/>
    <n v="0"/>
    <n v="27"/>
    <s v="21-40"/>
    <x v="1"/>
    <x v="4"/>
    <x v="3"/>
    <x v="1"/>
    <n v="1"/>
    <n v="1"/>
    <n v="4.0999999999999996"/>
    <x v="16"/>
    <n v="6"/>
    <n v="7"/>
    <n v="917923"/>
    <n v="345625"/>
    <n v="572298"/>
    <n v="54"/>
    <n v="62"/>
    <n v="6.3"/>
  </r>
  <r>
    <x v="3"/>
    <x v="3"/>
    <d v="2024-10-10T00:00:00"/>
    <s v="NA"/>
    <n v="0"/>
    <n v="70"/>
    <s v="61-80"/>
    <x v="0"/>
    <x v="0"/>
    <x v="0"/>
    <x v="3"/>
    <n v="1"/>
    <n v="1"/>
    <n v="5.6"/>
    <x v="14"/>
    <n v="5"/>
    <n v="7"/>
    <n v="843002"/>
    <n v="232206"/>
    <n v="610796"/>
    <n v="63"/>
    <n v="61"/>
    <n v="5.8"/>
  </r>
  <r>
    <x v="3"/>
    <x v="3"/>
    <d v="2024-08-06T00:00:00"/>
    <s v="NA"/>
    <n v="0"/>
    <n v="24"/>
    <s v="21-40"/>
    <x v="0"/>
    <x v="0"/>
    <x v="0"/>
    <x v="2"/>
    <n v="1"/>
    <n v="1"/>
    <n v="2.2000000000000002"/>
    <x v="29"/>
    <n v="4"/>
    <n v="5"/>
    <n v="932864"/>
    <n v="314322"/>
    <n v="618542"/>
    <n v="70"/>
    <n v="60"/>
    <n v="6.1"/>
  </r>
  <r>
    <x v="3"/>
    <x v="3"/>
    <d v="2024-01-06T00:00:00"/>
    <s v="NA"/>
    <n v="0"/>
    <n v="77"/>
    <s v="61-80"/>
    <x v="0"/>
    <x v="9"/>
    <x v="7"/>
    <x v="2"/>
    <n v="1"/>
    <n v="1"/>
    <n v="1.8"/>
    <x v="15"/>
    <n v="5"/>
    <n v="3"/>
    <n v="931340"/>
    <n v="382194"/>
    <n v="549146"/>
    <n v="64"/>
    <n v="56"/>
    <n v="13.6"/>
  </r>
  <r>
    <x v="5"/>
    <x v="5"/>
    <d v="2021-12-17T00:00:00"/>
    <s v="NA"/>
    <n v="0"/>
    <n v="89"/>
    <s v="81+"/>
    <x v="0"/>
    <x v="12"/>
    <x v="9"/>
    <x v="2"/>
    <n v="1"/>
    <n v="1"/>
    <n v="3.3"/>
    <x v="5"/>
    <n v="3"/>
    <n v="7"/>
    <n v="580380"/>
    <n v="140444"/>
    <n v="439936"/>
    <n v="38"/>
    <n v="57"/>
    <n v="12"/>
  </r>
  <r>
    <x v="3"/>
    <x v="3"/>
    <d v="2024-04-04T00:00:00"/>
    <s v="NA"/>
    <n v="0"/>
    <n v="34"/>
    <s v="21-40"/>
    <x v="1"/>
    <x v="8"/>
    <x v="6"/>
    <x v="1"/>
    <n v="1"/>
    <n v="1"/>
    <n v="6.9"/>
    <x v="19"/>
    <n v="7"/>
    <n v="7"/>
    <n v="896338"/>
    <n v="196705"/>
    <n v="699633"/>
    <n v="67"/>
    <n v="55"/>
    <n v="5.7"/>
  </r>
  <r>
    <x v="3"/>
    <x v="3"/>
    <d v="2021-09-29T00:00:00"/>
    <s v="NA"/>
    <n v="0"/>
    <n v="59"/>
    <s v="41-60"/>
    <x v="0"/>
    <x v="1"/>
    <x v="1"/>
    <x v="2"/>
    <n v="1"/>
    <n v="1"/>
    <n v="6.8"/>
    <x v="21"/>
    <n v="7"/>
    <n v="6"/>
    <n v="887256"/>
    <n v="367469"/>
    <n v="519787"/>
    <n v="62"/>
    <n v="65"/>
    <n v="7.9"/>
  </r>
  <r>
    <x v="3"/>
    <x v="3"/>
    <d v="2021-12-06T00:00:00"/>
    <s v="NA"/>
    <n v="0"/>
    <n v="68"/>
    <s v="61-80"/>
    <x v="1"/>
    <x v="4"/>
    <x v="3"/>
    <x v="4"/>
    <n v="1"/>
    <n v="1"/>
    <n v="3.7"/>
    <x v="19"/>
    <n v="4"/>
    <n v="4"/>
    <n v="917292"/>
    <n v="330287"/>
    <n v="587005"/>
    <n v="53"/>
    <n v="55"/>
    <n v="6.2"/>
  </r>
  <r>
    <x v="3"/>
    <x v="3"/>
    <d v="2023-07-24T00:00:00"/>
    <s v="NA"/>
    <n v="0"/>
    <n v="43"/>
    <s v="41-60"/>
    <x v="1"/>
    <x v="10"/>
    <x v="8"/>
    <x v="1"/>
    <n v="1"/>
    <n v="1"/>
    <n v="6.8"/>
    <x v="23"/>
    <n v="3"/>
    <n v="6"/>
    <n v="925869"/>
    <n v="255405"/>
    <n v="670464"/>
    <n v="59"/>
    <n v="59"/>
    <n v="9.9"/>
  </r>
  <r>
    <x v="3"/>
    <x v="3"/>
    <d v="2021-03-02T00:00:00"/>
    <s v="NA"/>
    <n v="0"/>
    <n v="66"/>
    <s v="61-80"/>
    <x v="1"/>
    <x v="6"/>
    <x v="4"/>
    <x v="4"/>
    <n v="1"/>
    <n v="1"/>
    <n v="2"/>
    <x v="15"/>
    <n v="7"/>
    <n v="7"/>
    <n v="849643"/>
    <n v="184086"/>
    <n v="665557"/>
    <n v="50"/>
    <n v="64"/>
    <n v="7.9"/>
  </r>
  <r>
    <x v="3"/>
    <x v="3"/>
    <d v="2022-11-06T00:00:00"/>
    <s v="NA"/>
    <n v="0"/>
    <n v="85"/>
    <s v="81+"/>
    <x v="0"/>
    <x v="14"/>
    <x v="11"/>
    <x v="4"/>
    <n v="1"/>
    <n v="1"/>
    <n v="1.5"/>
    <x v="2"/>
    <n v="4"/>
    <n v="4"/>
    <n v="902450"/>
    <n v="367961"/>
    <n v="534489"/>
    <n v="57"/>
    <n v="59"/>
    <n v="7.8"/>
  </r>
  <r>
    <x v="3"/>
    <x v="3"/>
    <d v="2023-10-20T00:00:00"/>
    <s v="NA"/>
    <n v="0"/>
    <n v="35"/>
    <s v="21-40"/>
    <x v="1"/>
    <x v="3"/>
    <x v="2"/>
    <x v="0"/>
    <n v="1"/>
    <n v="1"/>
    <n v="5"/>
    <x v="19"/>
    <n v="6"/>
    <n v="3"/>
    <n v="813945"/>
    <n v="121358"/>
    <n v="692587"/>
    <n v="56"/>
    <n v="62"/>
    <n v="7.1"/>
  </r>
  <r>
    <x v="3"/>
    <x v="3"/>
    <d v="2022-02-17T00:00:00"/>
    <s v="NA"/>
    <n v="0"/>
    <n v="79"/>
    <s v="61-80"/>
    <x v="0"/>
    <x v="12"/>
    <x v="9"/>
    <x v="1"/>
    <n v="1"/>
    <n v="1"/>
    <n v="6.1"/>
    <x v="8"/>
    <n v="5"/>
    <n v="6"/>
    <n v="909222"/>
    <n v="374839"/>
    <n v="534383"/>
    <n v="67"/>
    <n v="63"/>
    <n v="10.199999999999999"/>
  </r>
  <r>
    <x v="3"/>
    <x v="3"/>
    <d v="2022-01-10T00:00:00"/>
    <s v="NA"/>
    <n v="0"/>
    <n v="89"/>
    <s v="81+"/>
    <x v="1"/>
    <x v="3"/>
    <x v="2"/>
    <x v="1"/>
    <n v="1"/>
    <n v="1"/>
    <n v="4.5"/>
    <x v="3"/>
    <n v="4"/>
    <n v="6"/>
    <n v="937435"/>
    <n v="431220"/>
    <n v="506215"/>
    <n v="68"/>
    <n v="57"/>
    <n v="14.7"/>
  </r>
  <r>
    <x v="3"/>
    <x v="3"/>
    <d v="2024-11-14T00:00:00"/>
    <s v="NA"/>
    <n v="0"/>
    <n v="42"/>
    <s v="41-60"/>
    <x v="1"/>
    <x v="7"/>
    <x v="5"/>
    <x v="1"/>
    <n v="1"/>
    <n v="1"/>
    <n v="4.8"/>
    <x v="30"/>
    <n v="3"/>
    <n v="5"/>
    <n v="817279"/>
    <n v="120780"/>
    <n v="696499"/>
    <n v="66"/>
    <n v="57"/>
    <n v="5.0999999999999996"/>
  </r>
  <r>
    <x v="3"/>
    <x v="3"/>
    <d v="2024-06-09T00:00:00"/>
    <s v="NA"/>
    <n v="0"/>
    <n v="65"/>
    <s v="61-80"/>
    <x v="0"/>
    <x v="6"/>
    <x v="4"/>
    <x v="1"/>
    <n v="1"/>
    <n v="1"/>
    <n v="3.7"/>
    <x v="20"/>
    <n v="7"/>
    <n v="4"/>
    <n v="846731"/>
    <n v="339931"/>
    <n v="506800"/>
    <n v="54"/>
    <n v="61"/>
    <n v="13.3"/>
  </r>
  <r>
    <x v="3"/>
    <x v="3"/>
    <d v="2024-02-01T00:00:00"/>
    <s v="NA"/>
    <n v="0"/>
    <n v="28"/>
    <s v="21-40"/>
    <x v="0"/>
    <x v="0"/>
    <x v="0"/>
    <x v="1"/>
    <n v="1"/>
    <n v="1"/>
    <n v="1.6"/>
    <x v="4"/>
    <n v="6"/>
    <n v="3"/>
    <n v="887466"/>
    <n v="350369"/>
    <n v="537097"/>
    <n v="52"/>
    <n v="66"/>
    <n v="6.8"/>
  </r>
  <r>
    <x v="3"/>
    <x v="3"/>
    <d v="2023-03-13T00:00:00"/>
    <s v="NA"/>
    <n v="0"/>
    <n v="80"/>
    <s v="61-80"/>
    <x v="0"/>
    <x v="12"/>
    <x v="9"/>
    <x v="2"/>
    <n v="1"/>
    <n v="1"/>
    <n v="2.1"/>
    <x v="12"/>
    <n v="3"/>
    <n v="6"/>
    <n v="950649"/>
    <n v="270142"/>
    <n v="680507"/>
    <n v="56"/>
    <n v="63"/>
    <n v="36.5"/>
  </r>
  <r>
    <x v="3"/>
    <x v="3"/>
    <d v="2021-06-24T00:00:00"/>
    <s v="NA"/>
    <n v="0"/>
    <n v="74"/>
    <s v="61-80"/>
    <x v="1"/>
    <x v="12"/>
    <x v="9"/>
    <x v="2"/>
    <n v="1"/>
    <n v="1"/>
    <n v="3.6"/>
    <x v="30"/>
    <n v="6"/>
    <n v="6"/>
    <n v="805234"/>
    <n v="129662"/>
    <n v="675572"/>
    <n v="61"/>
    <n v="58"/>
    <n v="13.5"/>
  </r>
  <r>
    <x v="3"/>
    <x v="3"/>
    <d v="2024-07-21T00:00:00"/>
    <s v="NA"/>
    <n v="0"/>
    <n v="40"/>
    <s v="21-40"/>
    <x v="1"/>
    <x v="8"/>
    <x v="6"/>
    <x v="4"/>
    <n v="1"/>
    <n v="1"/>
    <n v="2"/>
    <x v="4"/>
    <n v="3"/>
    <n v="3"/>
    <n v="922472"/>
    <n v="364754"/>
    <n v="557718"/>
    <n v="57"/>
    <n v="55"/>
    <n v="12.1"/>
  </r>
  <r>
    <x v="3"/>
    <x v="3"/>
    <d v="2023-07-31T00:00:00"/>
    <s v="NA"/>
    <n v="0"/>
    <n v="46"/>
    <s v="41-60"/>
    <x v="0"/>
    <x v="2"/>
    <x v="1"/>
    <x v="0"/>
    <n v="1"/>
    <n v="1"/>
    <n v="1.3"/>
    <x v="4"/>
    <n v="7"/>
    <n v="4"/>
    <n v="909749"/>
    <n v="230236"/>
    <n v="679513"/>
    <n v="54"/>
    <n v="62"/>
    <n v="9.1"/>
  </r>
  <r>
    <x v="3"/>
    <x v="3"/>
    <d v="2024-07-06T00:00:00"/>
    <s v="NA"/>
    <n v="0"/>
    <n v="51"/>
    <s v="41-60"/>
    <x v="1"/>
    <x v="7"/>
    <x v="5"/>
    <x v="1"/>
    <n v="1"/>
    <n v="1"/>
    <n v="2.5"/>
    <x v="15"/>
    <n v="3"/>
    <n v="6"/>
    <n v="975307"/>
    <n v="298444"/>
    <n v="676863"/>
    <n v="68"/>
    <n v="54"/>
    <n v="10.1"/>
  </r>
  <r>
    <x v="3"/>
    <x v="3"/>
    <d v="2023-02-13T00:00:00"/>
    <s v="NA"/>
    <n v="0"/>
    <n v="27"/>
    <s v="21-40"/>
    <x v="0"/>
    <x v="14"/>
    <x v="11"/>
    <x v="4"/>
    <n v="1"/>
    <n v="1"/>
    <n v="4.5999999999999996"/>
    <x v="0"/>
    <n v="6"/>
    <n v="5"/>
    <n v="871301"/>
    <n v="272348"/>
    <n v="598953"/>
    <n v="58"/>
    <n v="65"/>
    <n v="36.1"/>
  </r>
  <r>
    <x v="3"/>
    <x v="3"/>
    <d v="2023-02-01T00:00:00"/>
    <s v="NA"/>
    <n v="0"/>
    <n v="38"/>
    <s v="21-40"/>
    <x v="1"/>
    <x v="3"/>
    <x v="2"/>
    <x v="1"/>
    <n v="1"/>
    <n v="1"/>
    <n v="2.1"/>
    <x v="9"/>
    <n v="7"/>
    <n v="4"/>
    <n v="865380"/>
    <n v="241572"/>
    <n v="623808"/>
    <n v="61"/>
    <n v="58"/>
    <n v="14.7"/>
  </r>
  <r>
    <x v="3"/>
    <x v="3"/>
    <d v="2021-09-23T00:00:00"/>
    <s v="NA"/>
    <n v="0"/>
    <n v="66"/>
    <s v="61-80"/>
    <x v="0"/>
    <x v="2"/>
    <x v="1"/>
    <x v="4"/>
    <n v="1"/>
    <n v="1"/>
    <n v="4.5"/>
    <x v="8"/>
    <n v="7"/>
    <n v="7"/>
    <n v="893780"/>
    <n v="281085"/>
    <n v="612695"/>
    <n v="66"/>
    <n v="54"/>
    <n v="6.1"/>
  </r>
  <r>
    <x v="3"/>
    <x v="3"/>
    <d v="2022-02-06T00:00:00"/>
    <s v="NA"/>
    <n v="0"/>
    <n v="29"/>
    <s v="21-40"/>
    <x v="1"/>
    <x v="4"/>
    <x v="3"/>
    <x v="3"/>
    <n v="1"/>
    <n v="1"/>
    <n v="4.2"/>
    <x v="7"/>
    <n v="6"/>
    <n v="7"/>
    <n v="993160"/>
    <n v="444866"/>
    <n v="548294"/>
    <n v="50"/>
    <n v="59"/>
    <n v="14.8"/>
  </r>
  <r>
    <x v="3"/>
    <x v="3"/>
    <d v="2023-08-25T00:00:00"/>
    <s v="NA"/>
    <n v="0"/>
    <n v="37"/>
    <s v="21-40"/>
    <x v="0"/>
    <x v="5"/>
    <x v="0"/>
    <x v="3"/>
    <n v="1"/>
    <n v="1"/>
    <n v="6.5"/>
    <x v="14"/>
    <n v="5"/>
    <n v="3"/>
    <n v="890950"/>
    <n v="286988"/>
    <n v="603962"/>
    <n v="70"/>
    <n v="56"/>
    <n v="13.5"/>
  </r>
  <r>
    <x v="3"/>
    <x v="3"/>
    <d v="2024-07-01T00:00:00"/>
    <s v="NA"/>
    <n v="0"/>
    <n v="28"/>
    <s v="21-40"/>
    <x v="0"/>
    <x v="12"/>
    <x v="9"/>
    <x v="3"/>
    <n v="1"/>
    <n v="1"/>
    <n v="4"/>
    <x v="4"/>
    <n v="6"/>
    <n v="4"/>
    <n v="868690"/>
    <n v="368507"/>
    <n v="500183"/>
    <n v="56"/>
    <n v="61"/>
    <n v="36.4"/>
  </r>
  <r>
    <x v="3"/>
    <x v="3"/>
    <d v="2022-09-27T00:00:00"/>
    <s v="NA"/>
    <n v="0"/>
    <n v="30"/>
    <s v="21-40"/>
    <x v="1"/>
    <x v="8"/>
    <x v="6"/>
    <x v="1"/>
    <n v="1"/>
    <n v="1"/>
    <n v="4.5"/>
    <x v="17"/>
    <n v="3"/>
    <n v="3"/>
    <n v="945191"/>
    <n v="440894"/>
    <n v="504297"/>
    <n v="67"/>
    <n v="64"/>
    <n v="14.4"/>
  </r>
  <r>
    <x v="3"/>
    <x v="3"/>
    <d v="2022-02-07T00:00:00"/>
    <s v="NA"/>
    <n v="0"/>
    <n v="76"/>
    <s v="61-80"/>
    <x v="0"/>
    <x v="0"/>
    <x v="0"/>
    <x v="3"/>
    <n v="1"/>
    <n v="1"/>
    <n v="3"/>
    <x v="23"/>
    <n v="3"/>
    <n v="5"/>
    <n v="974525"/>
    <n v="386505"/>
    <n v="588020"/>
    <n v="60"/>
    <n v="63"/>
    <n v="7.9"/>
  </r>
  <r>
    <x v="3"/>
    <x v="3"/>
    <d v="2023-10-28T00:00:00"/>
    <s v="NA"/>
    <n v="0"/>
    <n v="83"/>
    <s v="81+"/>
    <x v="1"/>
    <x v="10"/>
    <x v="8"/>
    <x v="1"/>
    <n v="1"/>
    <n v="1"/>
    <n v="6.5"/>
    <x v="3"/>
    <n v="3"/>
    <n v="7"/>
    <n v="906572"/>
    <n v="335337"/>
    <n v="571235"/>
    <n v="54"/>
    <n v="57"/>
    <n v="8.4"/>
  </r>
  <r>
    <x v="3"/>
    <x v="3"/>
    <d v="2023-07-13T00:00:00"/>
    <s v="NA"/>
    <n v="0"/>
    <n v="30"/>
    <s v="21-40"/>
    <x v="0"/>
    <x v="6"/>
    <x v="4"/>
    <x v="2"/>
    <n v="1"/>
    <n v="1"/>
    <n v="4.9000000000000004"/>
    <x v="7"/>
    <n v="7"/>
    <n v="4"/>
    <n v="882175"/>
    <n v="198584"/>
    <n v="683591"/>
    <n v="53"/>
    <n v="60"/>
    <n v="10.1"/>
  </r>
  <r>
    <x v="3"/>
    <x v="3"/>
    <d v="2023-01-07T00:00:00"/>
    <s v="NA"/>
    <n v="0"/>
    <n v="21"/>
    <s v="21-40"/>
    <x v="0"/>
    <x v="0"/>
    <x v="0"/>
    <x v="0"/>
    <n v="1"/>
    <n v="1"/>
    <n v="3.1"/>
    <x v="23"/>
    <n v="4"/>
    <n v="3"/>
    <n v="812788"/>
    <n v="211328"/>
    <n v="601460"/>
    <n v="54"/>
    <n v="62"/>
    <n v="10.1"/>
  </r>
  <r>
    <x v="3"/>
    <x v="3"/>
    <d v="2022-04-21T00:00:00"/>
    <s v="NA"/>
    <n v="0"/>
    <n v="81"/>
    <s v="81+"/>
    <x v="1"/>
    <x v="4"/>
    <x v="3"/>
    <x v="2"/>
    <n v="1"/>
    <n v="1"/>
    <n v="6.1"/>
    <x v="28"/>
    <n v="5"/>
    <n v="6"/>
    <n v="851719"/>
    <n v="311419"/>
    <n v="540300"/>
    <n v="68"/>
    <n v="54"/>
    <n v="8.1999999999999993"/>
  </r>
  <r>
    <x v="3"/>
    <x v="3"/>
    <d v="2024-01-24T00:00:00"/>
    <s v="NA"/>
    <n v="0"/>
    <n v="87"/>
    <s v="81+"/>
    <x v="0"/>
    <x v="12"/>
    <x v="9"/>
    <x v="3"/>
    <n v="1"/>
    <n v="1"/>
    <n v="1.2"/>
    <x v="21"/>
    <n v="5"/>
    <n v="4"/>
    <n v="857850"/>
    <n v="187424"/>
    <n v="670426"/>
    <n v="65"/>
    <n v="65"/>
    <n v="12.6"/>
  </r>
  <r>
    <x v="3"/>
    <x v="3"/>
    <d v="2024-12-16T00:00:00"/>
    <s v="NA"/>
    <n v="0"/>
    <n v="29"/>
    <s v="21-40"/>
    <x v="1"/>
    <x v="11"/>
    <x v="8"/>
    <x v="4"/>
    <n v="1"/>
    <n v="1"/>
    <n v="4.3"/>
    <x v="8"/>
    <n v="7"/>
    <n v="4"/>
    <n v="950463"/>
    <n v="376663"/>
    <n v="573800"/>
    <n v="53"/>
    <n v="66"/>
    <n v="13.1"/>
  </r>
  <r>
    <x v="3"/>
    <x v="3"/>
    <d v="2024-01-04T00:00:00"/>
    <s v="NA"/>
    <n v="0"/>
    <n v="83"/>
    <s v="81+"/>
    <x v="1"/>
    <x v="3"/>
    <x v="2"/>
    <x v="4"/>
    <n v="1"/>
    <n v="1"/>
    <n v="3.9"/>
    <x v="5"/>
    <n v="4"/>
    <n v="3"/>
    <n v="983770"/>
    <n v="437685"/>
    <n v="546085"/>
    <n v="53"/>
    <n v="55"/>
    <n v="12.1"/>
  </r>
  <r>
    <x v="3"/>
    <x v="3"/>
    <d v="2024-10-27T00:00:00"/>
    <s v="NA"/>
    <n v="0"/>
    <n v="82"/>
    <s v="81+"/>
    <x v="1"/>
    <x v="13"/>
    <x v="10"/>
    <x v="2"/>
    <n v="1"/>
    <n v="1"/>
    <n v="3.6"/>
    <x v="18"/>
    <n v="3"/>
    <n v="3"/>
    <n v="925451"/>
    <n v="331117"/>
    <n v="594334"/>
    <n v="66"/>
    <n v="61"/>
    <n v="36.5"/>
  </r>
  <r>
    <x v="3"/>
    <x v="3"/>
    <d v="2023-01-27T00:00:00"/>
    <s v="NA"/>
    <n v="0"/>
    <n v="43"/>
    <s v="41-60"/>
    <x v="1"/>
    <x v="4"/>
    <x v="3"/>
    <x v="4"/>
    <n v="1"/>
    <n v="1"/>
    <n v="3.4"/>
    <x v="10"/>
    <n v="6"/>
    <n v="6"/>
    <n v="890536"/>
    <n v="335038"/>
    <n v="555498"/>
    <n v="57"/>
    <n v="56"/>
    <n v="7.3"/>
  </r>
  <r>
    <x v="3"/>
    <x v="3"/>
    <d v="2023-09-30T00:00:00"/>
    <s v="NA"/>
    <n v="0"/>
    <n v="28"/>
    <s v="21-40"/>
    <x v="0"/>
    <x v="0"/>
    <x v="0"/>
    <x v="4"/>
    <n v="1"/>
    <n v="1"/>
    <n v="4.5999999999999996"/>
    <x v="18"/>
    <n v="3"/>
    <n v="6"/>
    <n v="822074"/>
    <n v="175491"/>
    <n v="646583"/>
    <n v="64"/>
    <n v="62"/>
    <n v="12.1"/>
  </r>
  <r>
    <x v="3"/>
    <x v="3"/>
    <d v="2021-01-01T00:00:00"/>
    <s v="NA"/>
    <n v="0"/>
    <n v="65"/>
    <s v="61-80"/>
    <x v="1"/>
    <x v="12"/>
    <x v="9"/>
    <x v="0"/>
    <n v="1"/>
    <n v="1"/>
    <n v="2.2999999999999998"/>
    <x v="12"/>
    <n v="4"/>
    <n v="4"/>
    <n v="884343"/>
    <n v="279540"/>
    <n v="604803"/>
    <n v="64"/>
    <n v="58"/>
    <n v="6.6"/>
  </r>
  <r>
    <x v="3"/>
    <x v="3"/>
    <d v="2022-01-30T00:00:00"/>
    <s v="NA"/>
    <n v="0"/>
    <n v="66"/>
    <s v="61-80"/>
    <x v="1"/>
    <x v="10"/>
    <x v="8"/>
    <x v="4"/>
    <n v="1"/>
    <n v="1"/>
    <n v="5.5"/>
    <x v="3"/>
    <n v="3"/>
    <n v="3"/>
    <n v="915434"/>
    <n v="266835"/>
    <n v="648599"/>
    <n v="67"/>
    <n v="56"/>
    <n v="5.3"/>
  </r>
  <r>
    <x v="3"/>
    <x v="3"/>
    <d v="2024-07-31T00:00:00"/>
    <s v="NA"/>
    <n v="0"/>
    <n v="46"/>
    <s v="41-60"/>
    <x v="1"/>
    <x v="2"/>
    <x v="1"/>
    <x v="4"/>
    <n v="1"/>
    <n v="1"/>
    <n v="3.3"/>
    <x v="20"/>
    <n v="6"/>
    <n v="3"/>
    <n v="860369"/>
    <n v="343485"/>
    <n v="516884"/>
    <n v="66"/>
    <n v="54"/>
    <n v="36.799999999999997"/>
  </r>
  <r>
    <x v="5"/>
    <x v="5"/>
    <d v="2021-12-03T00:00:00"/>
    <s v="NA"/>
    <n v="0"/>
    <n v="43"/>
    <s v="41-60"/>
    <x v="0"/>
    <x v="5"/>
    <x v="0"/>
    <x v="2"/>
    <n v="1"/>
    <n v="1"/>
    <n v="4.4000000000000004"/>
    <x v="6"/>
    <n v="3"/>
    <n v="7"/>
    <n v="523665"/>
    <n v="40346"/>
    <n v="483319"/>
    <n v="39"/>
    <n v="64"/>
    <n v="10.1"/>
  </r>
  <r>
    <x v="5"/>
    <x v="5"/>
    <d v="2021-04-06T00:00:00"/>
    <s v="NA"/>
    <n v="0"/>
    <n v="38"/>
    <s v="21-40"/>
    <x v="1"/>
    <x v="2"/>
    <x v="1"/>
    <x v="3"/>
    <n v="1"/>
    <n v="1"/>
    <n v="4.0999999999999996"/>
    <x v="18"/>
    <n v="3"/>
    <n v="6"/>
    <n v="597829"/>
    <n v="192808"/>
    <n v="405021"/>
    <n v="36"/>
    <n v="59"/>
    <n v="7.7"/>
  </r>
  <r>
    <x v="3"/>
    <x v="3"/>
    <d v="2024-06-10T00:00:00"/>
    <s v="NA"/>
    <n v="0"/>
    <n v="23"/>
    <s v="21-40"/>
    <x v="0"/>
    <x v="9"/>
    <x v="7"/>
    <x v="3"/>
    <n v="1"/>
    <n v="1"/>
    <n v="5.0999999999999996"/>
    <x v="11"/>
    <n v="3"/>
    <n v="3"/>
    <n v="914743"/>
    <n v="341350"/>
    <n v="573393"/>
    <n v="58"/>
    <n v="62"/>
    <n v="36.700000000000003"/>
  </r>
  <r>
    <x v="3"/>
    <x v="3"/>
    <d v="2024-02-12T00:00:00"/>
    <s v="NA"/>
    <n v="0"/>
    <n v="30"/>
    <s v="21-40"/>
    <x v="1"/>
    <x v="3"/>
    <x v="2"/>
    <x v="4"/>
    <n v="1"/>
    <n v="1"/>
    <n v="6.6"/>
    <x v="17"/>
    <n v="5"/>
    <n v="5"/>
    <n v="808000"/>
    <n v="127644"/>
    <n v="680356"/>
    <n v="53"/>
    <n v="63"/>
    <n v="5.5"/>
  </r>
  <r>
    <x v="3"/>
    <x v="3"/>
    <d v="2024-07-06T00:00:00"/>
    <s v="NA"/>
    <n v="0"/>
    <n v="44"/>
    <s v="41-60"/>
    <x v="0"/>
    <x v="6"/>
    <x v="4"/>
    <x v="1"/>
    <n v="1"/>
    <n v="1"/>
    <n v="5.3"/>
    <x v="13"/>
    <n v="3"/>
    <n v="7"/>
    <n v="804947"/>
    <n v="251282"/>
    <n v="553665"/>
    <n v="68"/>
    <n v="62"/>
    <n v="13"/>
  </r>
  <r>
    <x v="3"/>
    <x v="3"/>
    <d v="2021-11-02T00:00:00"/>
    <s v="NA"/>
    <n v="0"/>
    <n v="70"/>
    <s v="61-80"/>
    <x v="1"/>
    <x v="13"/>
    <x v="10"/>
    <x v="0"/>
    <n v="1"/>
    <n v="1"/>
    <n v="1"/>
    <x v="4"/>
    <n v="3"/>
    <n v="6"/>
    <n v="909207"/>
    <n v="321671"/>
    <n v="587536"/>
    <n v="62"/>
    <n v="55"/>
    <n v="13"/>
  </r>
  <r>
    <x v="3"/>
    <x v="3"/>
    <d v="2021-03-31T00:00:00"/>
    <s v="NA"/>
    <n v="0"/>
    <n v="59"/>
    <s v="41-60"/>
    <x v="1"/>
    <x v="10"/>
    <x v="8"/>
    <x v="2"/>
    <n v="1"/>
    <n v="1"/>
    <n v="7"/>
    <x v="6"/>
    <n v="5"/>
    <n v="3"/>
    <n v="885619"/>
    <n v="327810"/>
    <n v="557809"/>
    <n v="50"/>
    <n v="62"/>
    <n v="13.7"/>
  </r>
  <r>
    <x v="3"/>
    <x v="3"/>
    <d v="2022-07-08T00:00:00"/>
    <s v="NA"/>
    <n v="0"/>
    <n v="35"/>
    <s v="21-40"/>
    <x v="1"/>
    <x v="3"/>
    <x v="2"/>
    <x v="1"/>
    <n v="1"/>
    <n v="1"/>
    <n v="2.2999999999999998"/>
    <x v="7"/>
    <n v="3"/>
    <n v="7"/>
    <n v="815559"/>
    <n v="214740"/>
    <n v="600819"/>
    <n v="57"/>
    <n v="56"/>
    <n v="7.5"/>
  </r>
  <r>
    <x v="3"/>
    <x v="3"/>
    <d v="2023-08-09T00:00:00"/>
    <s v="NA"/>
    <n v="0"/>
    <n v="24"/>
    <s v="21-40"/>
    <x v="0"/>
    <x v="9"/>
    <x v="7"/>
    <x v="2"/>
    <n v="1"/>
    <n v="1"/>
    <n v="2"/>
    <x v="2"/>
    <n v="5"/>
    <n v="3"/>
    <n v="959229"/>
    <n v="444834"/>
    <n v="514395"/>
    <n v="55"/>
    <n v="58"/>
    <n v="7.6"/>
  </r>
  <r>
    <x v="3"/>
    <x v="3"/>
    <d v="2022-04-04T00:00:00"/>
    <s v="NA"/>
    <n v="0"/>
    <n v="53"/>
    <s v="41-60"/>
    <x v="0"/>
    <x v="5"/>
    <x v="0"/>
    <x v="4"/>
    <n v="1"/>
    <n v="1"/>
    <n v="3"/>
    <x v="29"/>
    <n v="6"/>
    <n v="5"/>
    <n v="809548"/>
    <n v="207782"/>
    <n v="601766"/>
    <n v="53"/>
    <n v="58"/>
    <n v="10.199999999999999"/>
  </r>
  <r>
    <x v="3"/>
    <x v="3"/>
    <d v="2023-11-11T00:00:00"/>
    <s v="NA"/>
    <n v="0"/>
    <n v="28"/>
    <s v="21-40"/>
    <x v="1"/>
    <x v="6"/>
    <x v="4"/>
    <x v="3"/>
    <n v="1"/>
    <n v="1"/>
    <n v="5"/>
    <x v="24"/>
    <n v="5"/>
    <n v="6"/>
    <n v="945051"/>
    <n v="355341"/>
    <n v="589710"/>
    <n v="68"/>
    <n v="55"/>
    <n v="8.1999999999999993"/>
  </r>
  <r>
    <x v="3"/>
    <x v="3"/>
    <d v="2021-10-14T00:00:00"/>
    <s v="NA"/>
    <n v="0"/>
    <n v="88"/>
    <s v="81+"/>
    <x v="0"/>
    <x v="9"/>
    <x v="7"/>
    <x v="3"/>
    <n v="1"/>
    <n v="1"/>
    <n v="1.2"/>
    <x v="10"/>
    <n v="3"/>
    <n v="4"/>
    <n v="890492"/>
    <n v="334702"/>
    <n v="555790"/>
    <n v="59"/>
    <n v="63"/>
    <n v="10.1"/>
  </r>
  <r>
    <x v="3"/>
    <x v="3"/>
    <d v="2024-11-02T00:00:00"/>
    <s v="NA"/>
    <n v="0"/>
    <n v="82"/>
    <s v="81+"/>
    <x v="0"/>
    <x v="6"/>
    <x v="4"/>
    <x v="1"/>
    <n v="1"/>
    <n v="1"/>
    <n v="1"/>
    <x v="21"/>
    <n v="4"/>
    <n v="4"/>
    <n v="826899"/>
    <n v="177611"/>
    <n v="649288"/>
    <n v="59"/>
    <n v="54"/>
    <n v="12.9"/>
  </r>
  <r>
    <x v="3"/>
    <x v="3"/>
    <d v="2022-02-21T00:00:00"/>
    <s v="NA"/>
    <n v="0"/>
    <n v="34"/>
    <s v="21-40"/>
    <x v="1"/>
    <x v="10"/>
    <x v="8"/>
    <x v="3"/>
    <n v="1"/>
    <n v="1"/>
    <n v="5.2"/>
    <x v="3"/>
    <n v="4"/>
    <n v="6"/>
    <n v="892600"/>
    <n v="383785"/>
    <n v="508815"/>
    <n v="57"/>
    <n v="58"/>
    <n v="36.799999999999997"/>
  </r>
  <r>
    <x v="3"/>
    <x v="3"/>
    <d v="2022-06-06T00:00:00"/>
    <s v="NA"/>
    <n v="0"/>
    <n v="90"/>
    <s v="81+"/>
    <x v="1"/>
    <x v="12"/>
    <x v="9"/>
    <x v="3"/>
    <n v="1"/>
    <n v="1"/>
    <n v="3.4"/>
    <x v="0"/>
    <n v="3"/>
    <n v="6"/>
    <n v="939077"/>
    <n v="421181"/>
    <n v="517896"/>
    <n v="68"/>
    <n v="54"/>
    <n v="7"/>
  </r>
  <r>
    <x v="3"/>
    <x v="3"/>
    <d v="2023-09-12T00:00:00"/>
    <s v="NA"/>
    <n v="0"/>
    <n v="82"/>
    <s v="81+"/>
    <x v="0"/>
    <x v="12"/>
    <x v="9"/>
    <x v="3"/>
    <n v="1"/>
    <n v="1"/>
    <n v="5.0999999999999996"/>
    <x v="16"/>
    <n v="5"/>
    <n v="4"/>
    <n v="804271"/>
    <n v="232578"/>
    <n v="571693"/>
    <n v="66"/>
    <n v="64"/>
    <n v="9.5"/>
  </r>
  <r>
    <x v="3"/>
    <x v="3"/>
    <d v="2023-10-09T00:00:00"/>
    <s v="NA"/>
    <n v="0"/>
    <n v="90"/>
    <s v="81+"/>
    <x v="0"/>
    <x v="5"/>
    <x v="0"/>
    <x v="1"/>
    <n v="1"/>
    <n v="1"/>
    <n v="2.2999999999999998"/>
    <x v="14"/>
    <n v="4"/>
    <n v="6"/>
    <n v="807736"/>
    <n v="169817"/>
    <n v="637919"/>
    <n v="57"/>
    <n v="57"/>
    <n v="8.8000000000000007"/>
  </r>
  <r>
    <x v="3"/>
    <x v="3"/>
    <d v="2024-12-08T00:00:00"/>
    <s v="NA"/>
    <n v="0"/>
    <n v="48"/>
    <s v="41-60"/>
    <x v="1"/>
    <x v="11"/>
    <x v="8"/>
    <x v="3"/>
    <n v="1"/>
    <n v="1"/>
    <n v="5.9"/>
    <x v="30"/>
    <n v="3"/>
    <n v="5"/>
    <n v="803451"/>
    <n v="136331"/>
    <n v="667120"/>
    <n v="55"/>
    <n v="58"/>
    <n v="36.4"/>
  </r>
  <r>
    <x v="3"/>
    <x v="3"/>
    <d v="2022-02-02T00:00:00"/>
    <s v="NA"/>
    <n v="0"/>
    <n v="77"/>
    <s v="61-80"/>
    <x v="0"/>
    <x v="9"/>
    <x v="7"/>
    <x v="1"/>
    <n v="1"/>
    <n v="1"/>
    <n v="5.4"/>
    <x v="23"/>
    <n v="7"/>
    <n v="3"/>
    <n v="883019"/>
    <n v="257922"/>
    <n v="625097"/>
    <n v="58"/>
    <n v="59"/>
    <n v="8.3000000000000007"/>
  </r>
  <r>
    <x v="3"/>
    <x v="3"/>
    <d v="2021-05-27T00:00:00"/>
    <s v="NA"/>
    <n v="0"/>
    <n v="32"/>
    <s v="21-40"/>
    <x v="1"/>
    <x v="3"/>
    <x v="2"/>
    <x v="1"/>
    <n v="1"/>
    <n v="1"/>
    <n v="1.4"/>
    <x v="8"/>
    <n v="7"/>
    <n v="3"/>
    <n v="921919"/>
    <n v="275399"/>
    <n v="646520"/>
    <n v="64"/>
    <n v="54"/>
    <n v="6.1"/>
  </r>
  <r>
    <x v="3"/>
    <x v="3"/>
    <d v="2023-10-11T00:00:00"/>
    <s v="NA"/>
    <n v="0"/>
    <n v="49"/>
    <s v="41-60"/>
    <x v="1"/>
    <x v="3"/>
    <x v="2"/>
    <x v="4"/>
    <n v="1"/>
    <n v="1"/>
    <n v="2.5"/>
    <x v="3"/>
    <n v="5"/>
    <n v="7"/>
    <n v="963162"/>
    <n v="410020"/>
    <n v="553142"/>
    <n v="62"/>
    <n v="65"/>
    <n v="8.9"/>
  </r>
  <r>
    <x v="3"/>
    <x v="3"/>
    <d v="2023-06-02T00:00:00"/>
    <s v="NA"/>
    <n v="0"/>
    <n v="60"/>
    <s v="41-60"/>
    <x v="1"/>
    <x v="2"/>
    <x v="1"/>
    <x v="2"/>
    <n v="1"/>
    <n v="1"/>
    <n v="4.5999999999999996"/>
    <x v="30"/>
    <n v="6"/>
    <n v="6"/>
    <n v="831752"/>
    <n v="290129"/>
    <n v="541623"/>
    <n v="68"/>
    <n v="66"/>
    <n v="8.6"/>
  </r>
  <r>
    <x v="3"/>
    <x v="3"/>
    <d v="2022-04-18T00:00:00"/>
    <s v="NA"/>
    <n v="0"/>
    <n v="62"/>
    <s v="61-80"/>
    <x v="0"/>
    <x v="7"/>
    <x v="5"/>
    <x v="3"/>
    <n v="1"/>
    <n v="1"/>
    <n v="1"/>
    <x v="7"/>
    <n v="6"/>
    <n v="6"/>
    <n v="936634"/>
    <n v="392588"/>
    <n v="544046"/>
    <n v="60"/>
    <n v="66"/>
    <n v="7"/>
  </r>
  <r>
    <x v="3"/>
    <x v="3"/>
    <d v="2022-08-19T00:00:00"/>
    <s v="NA"/>
    <n v="0"/>
    <n v="57"/>
    <s v="41-60"/>
    <x v="1"/>
    <x v="12"/>
    <x v="9"/>
    <x v="2"/>
    <n v="1"/>
    <n v="1"/>
    <n v="4"/>
    <x v="8"/>
    <n v="7"/>
    <n v="4"/>
    <n v="815169"/>
    <n v="279432"/>
    <n v="535737"/>
    <n v="69"/>
    <n v="65"/>
    <n v="7.2"/>
  </r>
  <r>
    <x v="3"/>
    <x v="3"/>
    <d v="2024-03-23T00:00:00"/>
    <s v="NA"/>
    <n v="0"/>
    <n v="36"/>
    <s v="21-40"/>
    <x v="0"/>
    <x v="12"/>
    <x v="9"/>
    <x v="4"/>
    <n v="1"/>
    <n v="1"/>
    <n v="3.3"/>
    <x v="20"/>
    <n v="7"/>
    <n v="4"/>
    <n v="978855"/>
    <n v="404897"/>
    <n v="573958"/>
    <n v="60"/>
    <n v="64"/>
    <n v="14.2"/>
  </r>
  <r>
    <x v="3"/>
    <x v="3"/>
    <d v="2022-04-26T00:00:00"/>
    <s v="NA"/>
    <n v="0"/>
    <n v="86"/>
    <s v="81+"/>
    <x v="1"/>
    <x v="2"/>
    <x v="1"/>
    <x v="0"/>
    <n v="1"/>
    <n v="1"/>
    <n v="1.8"/>
    <x v="4"/>
    <n v="6"/>
    <n v="5"/>
    <n v="887356"/>
    <n v="349733"/>
    <n v="537623"/>
    <n v="67"/>
    <n v="66"/>
    <n v="9.6"/>
  </r>
  <r>
    <x v="3"/>
    <x v="3"/>
    <d v="2023-10-26T00:00:00"/>
    <s v="NA"/>
    <n v="0"/>
    <n v="46"/>
    <s v="41-60"/>
    <x v="1"/>
    <x v="6"/>
    <x v="4"/>
    <x v="4"/>
    <n v="1"/>
    <n v="1"/>
    <n v="2.7"/>
    <x v="22"/>
    <n v="4"/>
    <n v="5"/>
    <n v="922238"/>
    <n v="284340"/>
    <n v="637898"/>
    <n v="51"/>
    <n v="60"/>
    <n v="36.299999999999997"/>
  </r>
  <r>
    <x v="3"/>
    <x v="3"/>
    <d v="2023-01-11T00:00:00"/>
    <s v="NA"/>
    <n v="0"/>
    <n v="63"/>
    <s v="61-80"/>
    <x v="1"/>
    <x v="10"/>
    <x v="8"/>
    <x v="0"/>
    <n v="1"/>
    <n v="1"/>
    <n v="4.8"/>
    <x v="16"/>
    <n v="6"/>
    <n v="5"/>
    <n v="972461"/>
    <n v="437994"/>
    <n v="534467"/>
    <n v="52"/>
    <n v="56"/>
    <n v="12.6"/>
  </r>
  <r>
    <x v="3"/>
    <x v="3"/>
    <d v="2021-08-02T00:00:00"/>
    <s v="NA"/>
    <n v="0"/>
    <n v="45"/>
    <s v="41-60"/>
    <x v="0"/>
    <x v="12"/>
    <x v="9"/>
    <x v="3"/>
    <n v="1"/>
    <n v="1"/>
    <n v="6.8"/>
    <x v="17"/>
    <n v="3"/>
    <n v="3"/>
    <n v="879972"/>
    <n v="266234"/>
    <n v="613738"/>
    <n v="53"/>
    <n v="54"/>
    <n v="13.7"/>
  </r>
  <r>
    <x v="3"/>
    <x v="3"/>
    <d v="2023-04-26T00:00:00"/>
    <s v="NA"/>
    <n v="0"/>
    <n v="79"/>
    <s v="61-80"/>
    <x v="1"/>
    <x v="6"/>
    <x v="4"/>
    <x v="1"/>
    <n v="1"/>
    <n v="1"/>
    <n v="6"/>
    <x v="16"/>
    <n v="6"/>
    <n v="4"/>
    <n v="932972"/>
    <n v="302374"/>
    <n v="630598"/>
    <n v="67"/>
    <n v="56"/>
    <n v="36"/>
  </r>
  <r>
    <x v="5"/>
    <x v="5"/>
    <d v="2023-12-10T00:00:00"/>
    <s v="NA"/>
    <n v="0"/>
    <n v="39"/>
    <s v="21-40"/>
    <x v="1"/>
    <x v="11"/>
    <x v="8"/>
    <x v="3"/>
    <n v="1"/>
    <n v="1"/>
    <n v="4.5"/>
    <x v="8"/>
    <n v="4"/>
    <n v="5"/>
    <n v="515250"/>
    <n v="124328"/>
    <n v="390922"/>
    <n v="37"/>
    <n v="63"/>
    <n v="8.1"/>
  </r>
  <r>
    <x v="5"/>
    <x v="5"/>
    <d v="2023-11-10T00:00:00"/>
    <s v="NA"/>
    <n v="0"/>
    <n v="54"/>
    <s v="41-60"/>
    <x v="0"/>
    <x v="13"/>
    <x v="10"/>
    <x v="0"/>
    <n v="1"/>
    <n v="1"/>
    <n v="4.4000000000000004"/>
    <x v="27"/>
    <n v="6"/>
    <n v="7"/>
    <n v="587485"/>
    <n v="186024"/>
    <n v="401461"/>
    <n v="39"/>
    <n v="57"/>
    <n v="13.2"/>
  </r>
  <r>
    <x v="5"/>
    <x v="5"/>
    <d v="2022-03-01T00:00:00"/>
    <s v="NA"/>
    <n v="0"/>
    <n v="86"/>
    <s v="81+"/>
    <x v="0"/>
    <x v="0"/>
    <x v="0"/>
    <x v="3"/>
    <n v="1"/>
    <n v="1"/>
    <n v="2.9"/>
    <x v="2"/>
    <n v="6"/>
    <n v="6"/>
    <n v="570191"/>
    <n v="137619"/>
    <n v="432572"/>
    <n v="39"/>
    <n v="56"/>
    <n v="8.6"/>
  </r>
  <r>
    <x v="5"/>
    <x v="5"/>
    <d v="2023-07-22T00:00:00"/>
    <s v="NA"/>
    <n v="0"/>
    <n v="27"/>
    <s v="21-40"/>
    <x v="1"/>
    <x v="1"/>
    <x v="1"/>
    <x v="1"/>
    <n v="1"/>
    <n v="1"/>
    <n v="4.7"/>
    <x v="16"/>
    <n v="6"/>
    <n v="6"/>
    <n v="513367"/>
    <n v="86374"/>
    <n v="426993"/>
    <n v="37"/>
    <n v="58"/>
    <n v="6.8"/>
  </r>
  <r>
    <x v="3"/>
    <x v="3"/>
    <d v="2024-11-22T00:00:00"/>
    <s v="NA"/>
    <n v="0"/>
    <n v="33"/>
    <s v="21-40"/>
    <x v="0"/>
    <x v="9"/>
    <x v="7"/>
    <x v="1"/>
    <n v="1"/>
    <n v="1"/>
    <n v="3.2"/>
    <x v="18"/>
    <n v="7"/>
    <n v="3"/>
    <n v="915530"/>
    <n v="336908"/>
    <n v="578622"/>
    <n v="63"/>
    <n v="59"/>
    <n v="7.9"/>
  </r>
  <r>
    <x v="3"/>
    <x v="3"/>
    <d v="2021-04-10T00:00:00"/>
    <s v="NA"/>
    <n v="0"/>
    <n v="41"/>
    <s v="41-60"/>
    <x v="1"/>
    <x v="3"/>
    <x v="2"/>
    <x v="2"/>
    <n v="1"/>
    <n v="1"/>
    <n v="1.7"/>
    <x v="23"/>
    <n v="3"/>
    <n v="7"/>
    <n v="814545"/>
    <n v="192346"/>
    <n v="622199"/>
    <n v="63"/>
    <n v="60"/>
    <n v="12.1"/>
  </r>
  <r>
    <x v="3"/>
    <x v="3"/>
    <d v="2022-11-18T00:00:00"/>
    <s v="NA"/>
    <n v="0"/>
    <n v="43"/>
    <s v="41-60"/>
    <x v="0"/>
    <x v="0"/>
    <x v="0"/>
    <x v="1"/>
    <n v="1"/>
    <n v="1"/>
    <n v="6"/>
    <x v="13"/>
    <n v="6"/>
    <n v="7"/>
    <n v="884801"/>
    <n v="369285"/>
    <n v="515516"/>
    <n v="66"/>
    <n v="57"/>
    <n v="13.6"/>
  </r>
  <r>
    <x v="3"/>
    <x v="3"/>
    <d v="2024-12-29T00:00:00"/>
    <s v="NA"/>
    <n v="0"/>
    <n v="27"/>
    <s v="21-40"/>
    <x v="0"/>
    <x v="6"/>
    <x v="4"/>
    <x v="2"/>
    <n v="1"/>
    <n v="1"/>
    <n v="5"/>
    <x v="18"/>
    <n v="7"/>
    <n v="5"/>
    <n v="965165"/>
    <n v="296696"/>
    <n v="668469"/>
    <n v="69"/>
    <n v="57"/>
    <n v="14.9"/>
  </r>
  <r>
    <x v="3"/>
    <x v="3"/>
    <d v="2024-04-24T00:00:00"/>
    <s v="NA"/>
    <n v="0"/>
    <n v="46"/>
    <s v="41-60"/>
    <x v="1"/>
    <x v="11"/>
    <x v="8"/>
    <x v="4"/>
    <n v="1"/>
    <n v="1"/>
    <n v="6.6"/>
    <x v="28"/>
    <n v="6"/>
    <n v="7"/>
    <n v="820139"/>
    <n v="245507"/>
    <n v="574632"/>
    <n v="67"/>
    <n v="54"/>
    <n v="36.799999999999997"/>
  </r>
  <r>
    <x v="3"/>
    <x v="3"/>
    <d v="2021-05-27T00:00:00"/>
    <s v="NA"/>
    <n v="0"/>
    <n v="31"/>
    <s v="21-40"/>
    <x v="1"/>
    <x v="13"/>
    <x v="10"/>
    <x v="2"/>
    <n v="1"/>
    <n v="1"/>
    <n v="2.8"/>
    <x v="20"/>
    <n v="3"/>
    <n v="6"/>
    <n v="959210"/>
    <n v="431374"/>
    <n v="527836"/>
    <n v="55"/>
    <n v="64"/>
    <n v="7"/>
  </r>
  <r>
    <x v="3"/>
    <x v="3"/>
    <d v="2024-11-07T00:00:00"/>
    <s v="NA"/>
    <n v="0"/>
    <n v="31"/>
    <s v="21-40"/>
    <x v="1"/>
    <x v="3"/>
    <x v="2"/>
    <x v="0"/>
    <n v="1"/>
    <n v="1"/>
    <n v="5.8"/>
    <x v="30"/>
    <n v="6"/>
    <n v="5"/>
    <n v="917883"/>
    <n v="335751"/>
    <n v="582132"/>
    <n v="70"/>
    <n v="66"/>
    <n v="5.8"/>
  </r>
  <r>
    <x v="3"/>
    <x v="3"/>
    <d v="2023-06-07T00:00:00"/>
    <s v="NA"/>
    <n v="0"/>
    <n v="22"/>
    <s v="21-40"/>
    <x v="0"/>
    <x v="9"/>
    <x v="7"/>
    <x v="0"/>
    <n v="1"/>
    <n v="1"/>
    <n v="6.3"/>
    <x v="30"/>
    <n v="7"/>
    <n v="5"/>
    <n v="947575"/>
    <n v="248557"/>
    <n v="699018"/>
    <n v="50"/>
    <n v="66"/>
    <n v="8.6999999999999993"/>
  </r>
  <r>
    <x v="3"/>
    <x v="3"/>
    <d v="2022-11-25T00:00:00"/>
    <s v="NA"/>
    <n v="0"/>
    <n v="37"/>
    <s v="21-40"/>
    <x v="1"/>
    <x v="2"/>
    <x v="1"/>
    <x v="1"/>
    <n v="1"/>
    <n v="1"/>
    <n v="3.9"/>
    <x v="6"/>
    <n v="4"/>
    <n v="7"/>
    <n v="833106"/>
    <n v="160541"/>
    <n v="672565"/>
    <n v="57"/>
    <n v="64"/>
    <n v="36.700000000000003"/>
  </r>
  <r>
    <x v="3"/>
    <x v="3"/>
    <d v="2023-06-18T00:00:00"/>
    <s v="NA"/>
    <n v="0"/>
    <n v="54"/>
    <s v="41-60"/>
    <x v="1"/>
    <x v="4"/>
    <x v="3"/>
    <x v="1"/>
    <n v="1"/>
    <n v="1"/>
    <n v="1"/>
    <x v="9"/>
    <n v="4"/>
    <n v="6"/>
    <n v="964882"/>
    <n v="358246"/>
    <n v="606636"/>
    <n v="51"/>
    <n v="56"/>
    <n v="8.1"/>
  </r>
  <r>
    <x v="3"/>
    <x v="3"/>
    <d v="2021-08-10T00:00:00"/>
    <s v="NA"/>
    <n v="0"/>
    <n v="35"/>
    <s v="21-40"/>
    <x v="1"/>
    <x v="12"/>
    <x v="9"/>
    <x v="4"/>
    <n v="1"/>
    <n v="1"/>
    <n v="2.9"/>
    <x v="7"/>
    <n v="3"/>
    <n v="5"/>
    <n v="981943"/>
    <n v="445747"/>
    <n v="536196"/>
    <n v="66"/>
    <n v="64"/>
    <n v="9.3000000000000007"/>
  </r>
  <r>
    <x v="3"/>
    <x v="3"/>
    <d v="2023-05-21T00:00:00"/>
    <s v="NA"/>
    <n v="0"/>
    <n v="78"/>
    <s v="61-80"/>
    <x v="0"/>
    <x v="5"/>
    <x v="0"/>
    <x v="2"/>
    <n v="1"/>
    <n v="1"/>
    <n v="1.4"/>
    <x v="11"/>
    <n v="7"/>
    <n v="7"/>
    <n v="947149"/>
    <n v="355218"/>
    <n v="591931"/>
    <n v="65"/>
    <n v="58"/>
    <n v="7.4"/>
  </r>
  <r>
    <x v="3"/>
    <x v="3"/>
    <d v="2023-06-26T00:00:00"/>
    <s v="NA"/>
    <n v="0"/>
    <n v="82"/>
    <s v="81+"/>
    <x v="1"/>
    <x v="2"/>
    <x v="1"/>
    <x v="0"/>
    <n v="1"/>
    <n v="1"/>
    <n v="1.2"/>
    <x v="9"/>
    <n v="4"/>
    <n v="5"/>
    <n v="888270"/>
    <n v="374641"/>
    <n v="513629"/>
    <n v="54"/>
    <n v="56"/>
    <n v="13"/>
  </r>
  <r>
    <x v="11"/>
    <x v="11"/>
    <d v="2024-04-07T00:00:00"/>
    <s v="NA"/>
    <n v="0"/>
    <n v="83"/>
    <s v="81+"/>
    <x v="1"/>
    <x v="12"/>
    <x v="9"/>
    <x v="3"/>
    <n v="1"/>
    <n v="1"/>
    <n v="4.5"/>
    <x v="16"/>
    <n v="3"/>
    <n v="7"/>
    <n v="634805"/>
    <n v="186220"/>
    <n v="448585"/>
    <n v="22"/>
    <n v="57"/>
    <n v="9.6999999999999993"/>
  </r>
  <r>
    <x v="11"/>
    <x v="11"/>
    <d v="2022-11-06T00:00:00"/>
    <s v="NA"/>
    <n v="0"/>
    <n v="29"/>
    <s v="21-40"/>
    <x v="0"/>
    <x v="10"/>
    <x v="8"/>
    <x v="0"/>
    <n v="1"/>
    <n v="1"/>
    <n v="4.4000000000000004"/>
    <x v="7"/>
    <n v="6"/>
    <n v="4"/>
    <n v="612961"/>
    <n v="119823"/>
    <n v="493138"/>
    <n v="25"/>
    <n v="66"/>
    <n v="9.1999999999999993"/>
  </r>
  <r>
    <x v="11"/>
    <x v="11"/>
    <d v="2024-01-12T00:00:00"/>
    <s v="NA"/>
    <n v="0"/>
    <n v="56"/>
    <s v="41-60"/>
    <x v="0"/>
    <x v="13"/>
    <x v="10"/>
    <x v="4"/>
    <n v="1"/>
    <n v="1"/>
    <n v="6.6"/>
    <x v="19"/>
    <n v="4"/>
    <n v="3"/>
    <n v="736982"/>
    <n v="282520"/>
    <n v="454462"/>
    <n v="27"/>
    <n v="63"/>
    <n v="7.7"/>
  </r>
  <r>
    <x v="11"/>
    <x v="11"/>
    <d v="2022-11-05T00:00:00"/>
    <s v="NA"/>
    <n v="0"/>
    <n v="58"/>
    <s v="41-60"/>
    <x v="1"/>
    <x v="10"/>
    <x v="8"/>
    <x v="3"/>
    <n v="1"/>
    <n v="1"/>
    <n v="5.7"/>
    <x v="21"/>
    <n v="5"/>
    <n v="5"/>
    <n v="723200"/>
    <n v="191143"/>
    <n v="532057"/>
    <n v="33"/>
    <n v="56"/>
    <n v="7.6"/>
  </r>
  <r>
    <x v="3"/>
    <x v="3"/>
    <d v="2023-12-08T00:00:00"/>
    <s v="NA"/>
    <n v="0"/>
    <n v="27"/>
    <s v="21-40"/>
    <x v="0"/>
    <x v="13"/>
    <x v="10"/>
    <x v="4"/>
    <n v="1"/>
    <n v="1"/>
    <n v="4.7"/>
    <x v="15"/>
    <n v="5"/>
    <n v="4"/>
    <n v="951410"/>
    <n v="323597"/>
    <n v="627813"/>
    <n v="70"/>
    <n v="64"/>
    <n v="14"/>
  </r>
  <r>
    <x v="3"/>
    <x v="3"/>
    <d v="2023-05-23T00:00:00"/>
    <s v="NA"/>
    <n v="0"/>
    <n v="27"/>
    <s v="21-40"/>
    <x v="0"/>
    <x v="7"/>
    <x v="5"/>
    <x v="4"/>
    <n v="1"/>
    <n v="1"/>
    <n v="4.0999999999999996"/>
    <x v="9"/>
    <n v="4"/>
    <n v="5"/>
    <n v="922365"/>
    <n v="300017"/>
    <n v="622348"/>
    <n v="51"/>
    <n v="61"/>
    <n v="6.5"/>
  </r>
  <r>
    <x v="11"/>
    <x v="11"/>
    <d v="2023-02-20T00:00:00"/>
    <s v="NA"/>
    <n v="0"/>
    <n v="25"/>
    <s v="21-40"/>
    <x v="1"/>
    <x v="6"/>
    <x v="4"/>
    <x v="1"/>
    <n v="1"/>
    <n v="1"/>
    <n v="5"/>
    <x v="23"/>
    <n v="3"/>
    <n v="6"/>
    <n v="745895"/>
    <n v="190717"/>
    <n v="555178"/>
    <n v="24"/>
    <n v="55"/>
    <n v="8.3000000000000007"/>
  </r>
  <r>
    <x v="11"/>
    <x v="11"/>
    <d v="2022-11-29T00:00:00"/>
    <s v="NA"/>
    <n v="0"/>
    <n v="43"/>
    <s v="41-60"/>
    <x v="1"/>
    <x v="3"/>
    <x v="2"/>
    <x v="3"/>
    <n v="1"/>
    <n v="1"/>
    <n v="6.2"/>
    <x v="13"/>
    <n v="5"/>
    <n v="3"/>
    <n v="773624"/>
    <n v="274073"/>
    <n v="499551"/>
    <n v="28"/>
    <n v="62"/>
    <n v="7"/>
  </r>
  <r>
    <x v="3"/>
    <x v="3"/>
    <d v="2024-07-27T00:00:00"/>
    <s v="NA"/>
    <n v="0"/>
    <n v="34"/>
    <s v="21-40"/>
    <x v="1"/>
    <x v="6"/>
    <x v="4"/>
    <x v="0"/>
    <n v="1"/>
    <n v="1"/>
    <n v="6.2"/>
    <x v="21"/>
    <n v="5"/>
    <n v="5"/>
    <n v="961032"/>
    <n v="266708"/>
    <n v="694324"/>
    <n v="62"/>
    <n v="65"/>
    <n v="12.7"/>
  </r>
  <r>
    <x v="11"/>
    <x v="11"/>
    <d v="2021-07-22T00:00:00"/>
    <s v="NA"/>
    <n v="0"/>
    <n v="83"/>
    <s v="81+"/>
    <x v="1"/>
    <x v="2"/>
    <x v="1"/>
    <x v="4"/>
    <n v="1"/>
    <n v="1"/>
    <n v="1.6"/>
    <x v="11"/>
    <n v="3"/>
    <n v="5"/>
    <n v="759886"/>
    <n v="190654"/>
    <n v="569232"/>
    <n v="26"/>
    <n v="61"/>
    <n v="12"/>
  </r>
  <r>
    <x v="11"/>
    <x v="11"/>
    <d v="2022-07-08T00:00:00"/>
    <s v="NA"/>
    <n v="0"/>
    <n v="49"/>
    <s v="41-60"/>
    <x v="1"/>
    <x v="8"/>
    <x v="6"/>
    <x v="3"/>
    <n v="1"/>
    <n v="1"/>
    <n v="3.9"/>
    <x v="4"/>
    <n v="3"/>
    <n v="5"/>
    <n v="757537"/>
    <n v="316192"/>
    <n v="441345"/>
    <n v="34"/>
    <n v="61"/>
    <n v="9.8000000000000007"/>
  </r>
  <r>
    <x v="11"/>
    <x v="11"/>
    <d v="2023-12-12T00:00:00"/>
    <s v="NA"/>
    <n v="0"/>
    <n v="69"/>
    <s v="61-80"/>
    <x v="1"/>
    <x v="3"/>
    <x v="2"/>
    <x v="4"/>
    <n v="1"/>
    <n v="1"/>
    <n v="4.0999999999999996"/>
    <x v="16"/>
    <n v="6"/>
    <n v="5"/>
    <n v="697542"/>
    <n v="139216"/>
    <n v="558326"/>
    <n v="28"/>
    <n v="63"/>
    <n v="7.7"/>
  </r>
  <r>
    <x v="11"/>
    <x v="11"/>
    <d v="2022-07-14T00:00:00"/>
    <s v="NA"/>
    <n v="0"/>
    <n v="44"/>
    <s v="41-60"/>
    <x v="1"/>
    <x v="9"/>
    <x v="7"/>
    <x v="4"/>
    <n v="1"/>
    <n v="1"/>
    <n v="2.2000000000000002"/>
    <x v="1"/>
    <n v="4"/>
    <n v="6"/>
    <n v="657820"/>
    <n v="161221"/>
    <n v="496599"/>
    <n v="21"/>
    <n v="62"/>
    <n v="36.799999999999997"/>
  </r>
  <r>
    <x v="11"/>
    <x v="11"/>
    <d v="2021-06-19T00:00:00"/>
    <s v="NA"/>
    <n v="0"/>
    <n v="40"/>
    <s v="21-40"/>
    <x v="1"/>
    <x v="12"/>
    <x v="9"/>
    <x v="1"/>
    <n v="1"/>
    <n v="1"/>
    <n v="4.0999999999999996"/>
    <x v="10"/>
    <n v="4"/>
    <n v="7"/>
    <n v="631633"/>
    <n v="179224"/>
    <n v="452409"/>
    <n v="35"/>
    <n v="57"/>
    <n v="15"/>
  </r>
  <r>
    <x v="11"/>
    <x v="11"/>
    <d v="2022-12-23T00:00:00"/>
    <s v="NA"/>
    <n v="0"/>
    <n v="26"/>
    <s v="21-40"/>
    <x v="0"/>
    <x v="7"/>
    <x v="5"/>
    <x v="3"/>
    <n v="1"/>
    <n v="1"/>
    <n v="5.6"/>
    <x v="9"/>
    <n v="6"/>
    <n v="4"/>
    <n v="736715"/>
    <n v="292994"/>
    <n v="443721"/>
    <n v="30"/>
    <n v="61"/>
    <n v="5.9"/>
  </r>
  <r>
    <x v="3"/>
    <x v="3"/>
    <d v="2021-01-12T00:00:00"/>
    <s v="NA"/>
    <n v="0"/>
    <n v="52"/>
    <s v="41-60"/>
    <x v="1"/>
    <x v="12"/>
    <x v="9"/>
    <x v="4"/>
    <n v="1"/>
    <n v="1"/>
    <n v="3"/>
    <x v="11"/>
    <n v="7"/>
    <n v="6"/>
    <n v="815786"/>
    <n v="120344"/>
    <n v="695442"/>
    <n v="70"/>
    <n v="54"/>
    <n v="12.7"/>
  </r>
  <r>
    <x v="11"/>
    <x v="11"/>
    <d v="2023-05-28T00:00:00"/>
    <s v="NA"/>
    <n v="0"/>
    <n v="28"/>
    <s v="21-40"/>
    <x v="1"/>
    <x v="6"/>
    <x v="4"/>
    <x v="4"/>
    <n v="1"/>
    <n v="1"/>
    <n v="1.8"/>
    <x v="11"/>
    <n v="5"/>
    <n v="6"/>
    <n v="642747"/>
    <n v="165194"/>
    <n v="477553"/>
    <n v="22"/>
    <n v="64"/>
    <n v="10.5"/>
  </r>
  <r>
    <x v="11"/>
    <x v="11"/>
    <d v="2022-08-08T00:00:00"/>
    <s v="NA"/>
    <n v="0"/>
    <n v="26"/>
    <s v="21-40"/>
    <x v="0"/>
    <x v="7"/>
    <x v="5"/>
    <x v="3"/>
    <n v="1"/>
    <n v="1"/>
    <n v="2.9"/>
    <x v="11"/>
    <n v="7"/>
    <n v="7"/>
    <n v="770946"/>
    <n v="302799"/>
    <n v="468147"/>
    <n v="24"/>
    <n v="55"/>
    <n v="7.9"/>
  </r>
  <r>
    <x v="11"/>
    <x v="11"/>
    <d v="2021-02-21T00:00:00"/>
    <s v="NA"/>
    <n v="0"/>
    <n v="88"/>
    <s v="81+"/>
    <x v="0"/>
    <x v="2"/>
    <x v="1"/>
    <x v="2"/>
    <n v="1"/>
    <n v="1"/>
    <n v="1.3"/>
    <x v="20"/>
    <n v="7"/>
    <n v="5"/>
    <n v="733363"/>
    <n v="242963"/>
    <n v="490400"/>
    <n v="30"/>
    <n v="66"/>
    <n v="14.9"/>
  </r>
  <r>
    <x v="11"/>
    <x v="11"/>
    <d v="2021-04-07T00:00:00"/>
    <s v="NA"/>
    <n v="0"/>
    <n v="77"/>
    <s v="61-80"/>
    <x v="1"/>
    <x v="2"/>
    <x v="1"/>
    <x v="4"/>
    <n v="1"/>
    <n v="1"/>
    <n v="5.3"/>
    <x v="3"/>
    <n v="7"/>
    <n v="6"/>
    <n v="789059"/>
    <n v="375828"/>
    <n v="413231"/>
    <n v="22"/>
    <n v="60"/>
    <n v="9"/>
  </r>
  <r>
    <x v="3"/>
    <x v="3"/>
    <d v="2023-10-30T00:00:00"/>
    <s v="NA"/>
    <n v="0"/>
    <n v="89"/>
    <s v="81+"/>
    <x v="0"/>
    <x v="1"/>
    <x v="1"/>
    <x v="2"/>
    <n v="1"/>
    <n v="1"/>
    <n v="3.8"/>
    <x v="12"/>
    <n v="5"/>
    <n v="4"/>
    <n v="845058"/>
    <n v="301523"/>
    <n v="543535"/>
    <n v="52"/>
    <n v="55"/>
    <n v="14.9"/>
  </r>
  <r>
    <x v="3"/>
    <x v="3"/>
    <d v="2021-03-12T00:00:00"/>
    <s v="NA"/>
    <n v="0"/>
    <n v="35"/>
    <s v="21-40"/>
    <x v="1"/>
    <x v="9"/>
    <x v="7"/>
    <x v="2"/>
    <n v="1"/>
    <n v="1"/>
    <n v="1.6"/>
    <x v="29"/>
    <n v="4"/>
    <n v="5"/>
    <n v="939224"/>
    <n v="251763"/>
    <n v="687461"/>
    <n v="66"/>
    <n v="65"/>
    <n v="10.8"/>
  </r>
  <r>
    <x v="3"/>
    <x v="3"/>
    <d v="2022-04-17T00:00:00"/>
    <s v="NA"/>
    <n v="0"/>
    <n v="51"/>
    <s v="41-60"/>
    <x v="0"/>
    <x v="0"/>
    <x v="0"/>
    <x v="3"/>
    <n v="1"/>
    <n v="1"/>
    <n v="4.5999999999999996"/>
    <x v="11"/>
    <n v="4"/>
    <n v="5"/>
    <n v="944444"/>
    <n v="260823"/>
    <n v="683621"/>
    <n v="50"/>
    <n v="57"/>
    <n v="7.7"/>
  </r>
  <r>
    <x v="3"/>
    <x v="3"/>
    <d v="2022-09-16T00:00:00"/>
    <s v="NA"/>
    <n v="0"/>
    <n v="69"/>
    <s v="61-80"/>
    <x v="0"/>
    <x v="0"/>
    <x v="0"/>
    <x v="1"/>
    <n v="1"/>
    <n v="1"/>
    <n v="1.2"/>
    <x v="4"/>
    <n v="3"/>
    <n v="3"/>
    <n v="989542"/>
    <n v="475476"/>
    <n v="514066"/>
    <n v="51"/>
    <n v="60"/>
    <n v="5.4"/>
  </r>
  <r>
    <x v="3"/>
    <x v="3"/>
    <d v="2022-10-13T00:00:00"/>
    <s v="NA"/>
    <n v="0"/>
    <n v="34"/>
    <s v="21-40"/>
    <x v="0"/>
    <x v="2"/>
    <x v="1"/>
    <x v="3"/>
    <n v="1"/>
    <n v="1"/>
    <n v="3.2"/>
    <x v="23"/>
    <n v="3"/>
    <n v="4"/>
    <n v="840949"/>
    <n v="338105"/>
    <n v="502844"/>
    <n v="57"/>
    <n v="54"/>
    <n v="9.5"/>
  </r>
  <r>
    <x v="3"/>
    <x v="3"/>
    <d v="2022-05-01T00:00:00"/>
    <s v="NA"/>
    <n v="0"/>
    <n v="54"/>
    <s v="41-60"/>
    <x v="1"/>
    <x v="8"/>
    <x v="6"/>
    <x v="4"/>
    <n v="1"/>
    <n v="1"/>
    <n v="6.7"/>
    <x v="28"/>
    <n v="5"/>
    <n v="4"/>
    <n v="815064"/>
    <n v="172349"/>
    <n v="642715"/>
    <n v="57"/>
    <n v="55"/>
    <n v="8.3000000000000007"/>
  </r>
  <r>
    <x v="3"/>
    <x v="3"/>
    <d v="2023-10-18T00:00:00"/>
    <s v="NA"/>
    <n v="0"/>
    <n v="50"/>
    <s v="41-60"/>
    <x v="1"/>
    <x v="3"/>
    <x v="2"/>
    <x v="3"/>
    <n v="1"/>
    <n v="1"/>
    <n v="1.4"/>
    <x v="0"/>
    <n v="7"/>
    <n v="5"/>
    <n v="960108"/>
    <n v="347813"/>
    <n v="612295"/>
    <n v="66"/>
    <n v="65"/>
    <n v="9.3000000000000007"/>
  </r>
  <r>
    <x v="3"/>
    <x v="3"/>
    <d v="2023-12-21T00:00:00"/>
    <s v="NA"/>
    <n v="0"/>
    <n v="48"/>
    <s v="41-60"/>
    <x v="1"/>
    <x v="11"/>
    <x v="8"/>
    <x v="4"/>
    <n v="1"/>
    <n v="1"/>
    <n v="4.9000000000000004"/>
    <x v="20"/>
    <n v="5"/>
    <n v="7"/>
    <n v="806413"/>
    <n v="204861"/>
    <n v="601552"/>
    <n v="58"/>
    <n v="57"/>
    <n v="7.9"/>
  </r>
  <r>
    <x v="3"/>
    <x v="3"/>
    <d v="2024-12-17T00:00:00"/>
    <s v="NA"/>
    <n v="0"/>
    <n v="87"/>
    <s v="81+"/>
    <x v="0"/>
    <x v="1"/>
    <x v="1"/>
    <x v="1"/>
    <n v="1"/>
    <n v="1"/>
    <n v="4.3"/>
    <x v="26"/>
    <n v="7"/>
    <n v="6"/>
    <n v="954471"/>
    <n v="283374"/>
    <n v="671097"/>
    <n v="54"/>
    <n v="61"/>
    <n v="7.1"/>
  </r>
  <r>
    <x v="3"/>
    <x v="3"/>
    <d v="2022-02-12T00:00:00"/>
    <s v="NA"/>
    <n v="0"/>
    <n v="58"/>
    <s v="41-60"/>
    <x v="1"/>
    <x v="3"/>
    <x v="2"/>
    <x v="1"/>
    <n v="1"/>
    <n v="1"/>
    <n v="3.3"/>
    <x v="2"/>
    <n v="7"/>
    <n v="7"/>
    <n v="809669"/>
    <n v="177832"/>
    <n v="631837"/>
    <n v="57"/>
    <n v="63"/>
    <n v="13.2"/>
  </r>
  <r>
    <x v="3"/>
    <x v="3"/>
    <d v="2022-07-30T00:00:00"/>
    <s v="NA"/>
    <n v="0"/>
    <n v="81"/>
    <s v="81+"/>
    <x v="0"/>
    <x v="0"/>
    <x v="0"/>
    <x v="1"/>
    <n v="1"/>
    <n v="1"/>
    <n v="5.0999999999999996"/>
    <x v="23"/>
    <n v="3"/>
    <n v="7"/>
    <n v="893297"/>
    <n v="209456"/>
    <n v="683841"/>
    <n v="67"/>
    <n v="64"/>
    <n v="14.4"/>
  </r>
  <r>
    <x v="3"/>
    <x v="3"/>
    <d v="2023-10-20T00:00:00"/>
    <s v="NA"/>
    <n v="0"/>
    <n v="39"/>
    <s v="21-40"/>
    <x v="1"/>
    <x v="3"/>
    <x v="2"/>
    <x v="0"/>
    <n v="1"/>
    <n v="1"/>
    <n v="6.3"/>
    <x v="15"/>
    <n v="7"/>
    <n v="4"/>
    <n v="849606"/>
    <n v="198030"/>
    <n v="651576"/>
    <n v="68"/>
    <n v="61"/>
    <n v="7.8"/>
  </r>
  <r>
    <x v="3"/>
    <x v="3"/>
    <d v="2021-03-23T00:00:00"/>
    <s v="NA"/>
    <n v="0"/>
    <n v="54"/>
    <s v="41-60"/>
    <x v="0"/>
    <x v="5"/>
    <x v="0"/>
    <x v="2"/>
    <n v="1"/>
    <n v="1"/>
    <n v="3.9"/>
    <x v="15"/>
    <n v="3"/>
    <n v="7"/>
    <n v="922807"/>
    <n v="299611"/>
    <n v="623196"/>
    <n v="51"/>
    <n v="61"/>
    <n v="12.4"/>
  </r>
  <r>
    <x v="3"/>
    <x v="3"/>
    <d v="2023-01-17T00:00:00"/>
    <s v="NA"/>
    <n v="0"/>
    <n v="29"/>
    <s v="21-40"/>
    <x v="0"/>
    <x v="6"/>
    <x v="4"/>
    <x v="0"/>
    <n v="1"/>
    <n v="1"/>
    <n v="2.2999999999999998"/>
    <x v="20"/>
    <n v="3"/>
    <n v="5"/>
    <n v="894469"/>
    <n v="365089"/>
    <n v="529380"/>
    <n v="70"/>
    <n v="61"/>
    <n v="10.1"/>
  </r>
  <r>
    <x v="3"/>
    <x v="3"/>
    <d v="2024-09-03T00:00:00"/>
    <s v="NA"/>
    <n v="0"/>
    <n v="73"/>
    <s v="61-80"/>
    <x v="1"/>
    <x v="10"/>
    <x v="8"/>
    <x v="2"/>
    <n v="1"/>
    <n v="1"/>
    <n v="5.0999999999999996"/>
    <x v="13"/>
    <n v="5"/>
    <n v="5"/>
    <n v="935792"/>
    <n v="316189"/>
    <n v="619603"/>
    <n v="64"/>
    <n v="59"/>
    <n v="8.1"/>
  </r>
  <r>
    <x v="3"/>
    <x v="3"/>
    <d v="2022-01-15T00:00:00"/>
    <s v="NA"/>
    <n v="0"/>
    <n v="39"/>
    <s v="21-40"/>
    <x v="1"/>
    <x v="3"/>
    <x v="2"/>
    <x v="2"/>
    <n v="1"/>
    <n v="1"/>
    <n v="6.8"/>
    <x v="5"/>
    <n v="6"/>
    <n v="7"/>
    <n v="940274"/>
    <n v="395886"/>
    <n v="544388"/>
    <n v="68"/>
    <n v="64"/>
    <n v="12.9"/>
  </r>
  <r>
    <x v="3"/>
    <x v="3"/>
    <d v="2024-10-31T00:00:00"/>
    <s v="NA"/>
    <n v="0"/>
    <n v="70"/>
    <s v="61-80"/>
    <x v="1"/>
    <x v="10"/>
    <x v="8"/>
    <x v="2"/>
    <n v="1"/>
    <n v="1"/>
    <n v="5.7"/>
    <x v="28"/>
    <n v="6"/>
    <n v="7"/>
    <n v="834818"/>
    <n v="291039"/>
    <n v="543779"/>
    <n v="64"/>
    <n v="55"/>
    <n v="5.7"/>
  </r>
  <r>
    <x v="3"/>
    <x v="3"/>
    <d v="2024-06-23T00:00:00"/>
    <s v="NA"/>
    <n v="0"/>
    <n v="80"/>
    <s v="61-80"/>
    <x v="1"/>
    <x v="10"/>
    <x v="8"/>
    <x v="2"/>
    <n v="1"/>
    <n v="1"/>
    <n v="6.1"/>
    <x v="7"/>
    <n v="4"/>
    <n v="6"/>
    <n v="955833"/>
    <n v="381659"/>
    <n v="574174"/>
    <n v="53"/>
    <n v="58"/>
    <n v="8.6"/>
  </r>
  <r>
    <x v="3"/>
    <x v="3"/>
    <d v="2024-04-20T00:00:00"/>
    <s v="NA"/>
    <n v="0"/>
    <n v="21"/>
    <s v="21-40"/>
    <x v="1"/>
    <x v="12"/>
    <x v="9"/>
    <x v="4"/>
    <n v="1"/>
    <n v="1"/>
    <n v="2.6"/>
    <x v="11"/>
    <n v="7"/>
    <n v="7"/>
    <n v="980151"/>
    <n v="433574"/>
    <n v="546577"/>
    <n v="67"/>
    <n v="57"/>
    <n v="14.7"/>
  </r>
  <r>
    <x v="3"/>
    <x v="3"/>
    <d v="2023-09-06T00:00:00"/>
    <s v="NA"/>
    <n v="0"/>
    <n v="79"/>
    <s v="61-80"/>
    <x v="0"/>
    <x v="0"/>
    <x v="0"/>
    <x v="2"/>
    <n v="1"/>
    <n v="1"/>
    <n v="4.2"/>
    <x v="2"/>
    <n v="7"/>
    <n v="5"/>
    <n v="884355"/>
    <n v="256160"/>
    <n v="628195"/>
    <n v="50"/>
    <n v="61"/>
    <n v="8.8000000000000007"/>
  </r>
  <r>
    <x v="3"/>
    <x v="3"/>
    <d v="2023-01-24T00:00:00"/>
    <s v="NA"/>
    <n v="0"/>
    <n v="61"/>
    <s v="61-80"/>
    <x v="0"/>
    <x v="4"/>
    <x v="3"/>
    <x v="0"/>
    <n v="1"/>
    <n v="1"/>
    <n v="3.2"/>
    <x v="4"/>
    <n v="6"/>
    <n v="7"/>
    <n v="982998"/>
    <n v="384773"/>
    <n v="598225"/>
    <n v="68"/>
    <n v="56"/>
    <n v="5.0999999999999996"/>
  </r>
  <r>
    <x v="3"/>
    <x v="3"/>
    <d v="2024-02-15T00:00:00"/>
    <s v="NA"/>
    <n v="0"/>
    <n v="32"/>
    <s v="21-40"/>
    <x v="1"/>
    <x v="3"/>
    <x v="2"/>
    <x v="3"/>
    <n v="1"/>
    <n v="1"/>
    <n v="4.5999999999999996"/>
    <x v="8"/>
    <n v="3"/>
    <n v="6"/>
    <n v="920750"/>
    <n v="407449"/>
    <n v="513301"/>
    <n v="59"/>
    <n v="55"/>
    <n v="10.9"/>
  </r>
  <r>
    <x v="3"/>
    <x v="3"/>
    <d v="2021-02-13T00:00:00"/>
    <s v="NA"/>
    <n v="0"/>
    <n v="77"/>
    <s v="61-80"/>
    <x v="0"/>
    <x v="7"/>
    <x v="5"/>
    <x v="2"/>
    <n v="1"/>
    <n v="1"/>
    <n v="5.5"/>
    <x v="6"/>
    <n v="4"/>
    <n v="5"/>
    <n v="888061"/>
    <n v="260855"/>
    <n v="627206"/>
    <n v="51"/>
    <n v="58"/>
    <n v="6.4"/>
  </r>
  <r>
    <x v="3"/>
    <x v="3"/>
    <d v="2021-12-27T00:00:00"/>
    <s v="NA"/>
    <n v="0"/>
    <n v="44"/>
    <s v="41-60"/>
    <x v="0"/>
    <x v="1"/>
    <x v="1"/>
    <x v="2"/>
    <n v="1"/>
    <n v="1"/>
    <n v="1.1000000000000001"/>
    <x v="20"/>
    <n v="5"/>
    <n v="7"/>
    <n v="871923"/>
    <n v="302606"/>
    <n v="569317"/>
    <n v="52"/>
    <n v="54"/>
    <n v="36.1"/>
  </r>
  <r>
    <x v="3"/>
    <x v="3"/>
    <d v="2024-04-30T00:00:00"/>
    <s v="NA"/>
    <n v="0"/>
    <n v="35"/>
    <s v="21-40"/>
    <x v="1"/>
    <x v="12"/>
    <x v="9"/>
    <x v="1"/>
    <n v="1"/>
    <n v="1"/>
    <n v="4.8"/>
    <x v="1"/>
    <n v="7"/>
    <n v="5"/>
    <n v="853361"/>
    <n v="352343"/>
    <n v="501018"/>
    <n v="60"/>
    <n v="56"/>
    <n v="13.5"/>
  </r>
  <r>
    <x v="3"/>
    <x v="3"/>
    <d v="2021-07-15T00:00:00"/>
    <s v="NA"/>
    <n v="0"/>
    <n v="89"/>
    <s v="81+"/>
    <x v="1"/>
    <x v="13"/>
    <x v="10"/>
    <x v="0"/>
    <n v="1"/>
    <n v="1"/>
    <n v="5"/>
    <x v="10"/>
    <n v="5"/>
    <n v="4"/>
    <n v="931379"/>
    <n v="287420"/>
    <n v="643959"/>
    <n v="50"/>
    <n v="64"/>
    <n v="5.7"/>
  </r>
  <r>
    <x v="3"/>
    <x v="3"/>
    <d v="2023-02-03T00:00:00"/>
    <s v="NA"/>
    <n v="0"/>
    <n v="28"/>
    <s v="21-40"/>
    <x v="0"/>
    <x v="13"/>
    <x v="10"/>
    <x v="0"/>
    <n v="1"/>
    <n v="1"/>
    <n v="2.5"/>
    <x v="17"/>
    <n v="4"/>
    <n v="4"/>
    <n v="830161"/>
    <n v="289794"/>
    <n v="540367"/>
    <n v="60"/>
    <n v="57"/>
    <n v="13.4"/>
  </r>
  <r>
    <x v="3"/>
    <x v="3"/>
    <d v="2021-10-24T00:00:00"/>
    <s v="NA"/>
    <n v="0"/>
    <n v="46"/>
    <s v="41-60"/>
    <x v="0"/>
    <x v="0"/>
    <x v="0"/>
    <x v="4"/>
    <n v="1"/>
    <n v="1"/>
    <n v="1"/>
    <x v="17"/>
    <n v="6"/>
    <n v="7"/>
    <n v="958487"/>
    <n v="301611"/>
    <n v="656876"/>
    <n v="70"/>
    <n v="56"/>
    <n v="10.7"/>
  </r>
  <r>
    <x v="3"/>
    <x v="3"/>
    <d v="2024-09-10T00:00:00"/>
    <s v="NA"/>
    <n v="0"/>
    <n v="23"/>
    <s v="21-40"/>
    <x v="0"/>
    <x v="9"/>
    <x v="7"/>
    <x v="2"/>
    <n v="1"/>
    <n v="1"/>
    <n v="2"/>
    <x v="4"/>
    <n v="7"/>
    <n v="6"/>
    <n v="916150"/>
    <n v="355827"/>
    <n v="560323"/>
    <n v="61"/>
    <n v="59"/>
    <n v="36.700000000000003"/>
  </r>
  <r>
    <x v="3"/>
    <x v="3"/>
    <d v="2024-01-12T00:00:00"/>
    <s v="NA"/>
    <n v="0"/>
    <n v="49"/>
    <s v="41-60"/>
    <x v="1"/>
    <x v="3"/>
    <x v="2"/>
    <x v="1"/>
    <n v="1"/>
    <n v="1"/>
    <n v="3.5"/>
    <x v="14"/>
    <n v="3"/>
    <n v="4"/>
    <n v="838877"/>
    <n v="216380"/>
    <n v="622497"/>
    <n v="51"/>
    <n v="57"/>
    <n v="12.8"/>
  </r>
  <r>
    <x v="3"/>
    <x v="3"/>
    <d v="2021-01-10T00:00:00"/>
    <s v="NA"/>
    <n v="0"/>
    <n v="43"/>
    <s v="41-60"/>
    <x v="1"/>
    <x v="3"/>
    <x v="2"/>
    <x v="4"/>
    <n v="1"/>
    <n v="1"/>
    <n v="2.4"/>
    <x v="4"/>
    <n v="6"/>
    <n v="3"/>
    <n v="946406"/>
    <n v="267861"/>
    <n v="678545"/>
    <n v="51"/>
    <n v="62"/>
    <n v="13.4"/>
  </r>
  <r>
    <x v="3"/>
    <x v="3"/>
    <d v="2021-05-10T00:00:00"/>
    <s v="NA"/>
    <n v="0"/>
    <n v="49"/>
    <s v="41-60"/>
    <x v="1"/>
    <x v="13"/>
    <x v="10"/>
    <x v="1"/>
    <n v="1"/>
    <n v="1"/>
    <n v="4.9000000000000004"/>
    <x v="20"/>
    <n v="3"/>
    <n v="4"/>
    <n v="896521"/>
    <n v="309856"/>
    <n v="586665"/>
    <n v="67"/>
    <n v="54"/>
    <n v="6.5"/>
  </r>
  <r>
    <x v="3"/>
    <x v="3"/>
    <d v="2021-08-20T00:00:00"/>
    <s v="NA"/>
    <n v="0"/>
    <n v="49"/>
    <s v="41-60"/>
    <x v="1"/>
    <x v="1"/>
    <x v="1"/>
    <x v="2"/>
    <n v="1"/>
    <n v="1"/>
    <n v="3.4"/>
    <x v="17"/>
    <n v="5"/>
    <n v="5"/>
    <n v="987343"/>
    <n v="377056"/>
    <n v="610287"/>
    <n v="68"/>
    <n v="55"/>
    <n v="14.5"/>
  </r>
  <r>
    <x v="3"/>
    <x v="3"/>
    <d v="2022-12-20T00:00:00"/>
    <s v="NA"/>
    <n v="0"/>
    <n v="33"/>
    <s v="21-40"/>
    <x v="0"/>
    <x v="12"/>
    <x v="9"/>
    <x v="0"/>
    <n v="1"/>
    <n v="1"/>
    <n v="1.4"/>
    <x v="21"/>
    <n v="3"/>
    <n v="4"/>
    <n v="853344"/>
    <n v="176203"/>
    <n v="677141"/>
    <n v="68"/>
    <n v="55"/>
    <n v="10.5"/>
  </r>
  <r>
    <x v="3"/>
    <x v="3"/>
    <d v="2021-01-07T00:00:00"/>
    <s v="NA"/>
    <n v="0"/>
    <n v="33"/>
    <s v="21-40"/>
    <x v="0"/>
    <x v="0"/>
    <x v="0"/>
    <x v="4"/>
    <n v="1"/>
    <n v="1"/>
    <n v="2.7"/>
    <x v="28"/>
    <n v="4"/>
    <n v="7"/>
    <n v="955843"/>
    <n v="291061"/>
    <n v="664782"/>
    <n v="61"/>
    <n v="56"/>
    <n v="12.7"/>
  </r>
  <r>
    <x v="3"/>
    <x v="3"/>
    <d v="2022-04-04T00:00:00"/>
    <s v="NA"/>
    <n v="0"/>
    <n v="69"/>
    <s v="61-80"/>
    <x v="0"/>
    <x v="6"/>
    <x v="4"/>
    <x v="4"/>
    <n v="1"/>
    <n v="1"/>
    <n v="6.9"/>
    <x v="13"/>
    <n v="7"/>
    <n v="7"/>
    <n v="841666"/>
    <n v="245145"/>
    <n v="596521"/>
    <n v="61"/>
    <n v="57"/>
    <n v="6.7"/>
  </r>
  <r>
    <x v="3"/>
    <x v="3"/>
    <d v="2022-08-20T00:00:00"/>
    <s v="NA"/>
    <n v="0"/>
    <n v="69"/>
    <s v="61-80"/>
    <x v="0"/>
    <x v="6"/>
    <x v="4"/>
    <x v="3"/>
    <n v="1"/>
    <n v="1"/>
    <n v="5.4"/>
    <x v="11"/>
    <n v="7"/>
    <n v="7"/>
    <n v="887317"/>
    <n v="249346"/>
    <n v="637971"/>
    <n v="53"/>
    <n v="55"/>
    <n v="8.6999999999999993"/>
  </r>
  <r>
    <x v="3"/>
    <x v="3"/>
    <d v="2021-10-15T00:00:00"/>
    <s v="NA"/>
    <n v="0"/>
    <n v="38"/>
    <s v="21-40"/>
    <x v="0"/>
    <x v="12"/>
    <x v="9"/>
    <x v="4"/>
    <n v="1"/>
    <n v="1"/>
    <n v="3.9"/>
    <x v="4"/>
    <n v="3"/>
    <n v="7"/>
    <n v="967518"/>
    <n v="320734"/>
    <n v="646784"/>
    <n v="67"/>
    <n v="58"/>
    <n v="5.5"/>
  </r>
  <r>
    <x v="3"/>
    <x v="3"/>
    <d v="2024-05-06T00:00:00"/>
    <s v="NA"/>
    <n v="0"/>
    <n v="57"/>
    <s v="41-60"/>
    <x v="0"/>
    <x v="12"/>
    <x v="9"/>
    <x v="1"/>
    <n v="1"/>
    <n v="1"/>
    <n v="3"/>
    <x v="15"/>
    <n v="3"/>
    <n v="4"/>
    <n v="858451"/>
    <n v="295243"/>
    <n v="563208"/>
    <n v="68"/>
    <n v="60"/>
    <n v="13.7"/>
  </r>
  <r>
    <x v="3"/>
    <x v="3"/>
    <d v="2022-11-07T00:00:00"/>
    <s v="NA"/>
    <n v="0"/>
    <n v="28"/>
    <s v="21-40"/>
    <x v="1"/>
    <x v="1"/>
    <x v="1"/>
    <x v="1"/>
    <n v="1"/>
    <n v="1"/>
    <n v="1.1000000000000001"/>
    <x v="27"/>
    <n v="4"/>
    <n v="5"/>
    <n v="848669"/>
    <n v="156771"/>
    <n v="691898"/>
    <n v="64"/>
    <n v="56"/>
    <n v="14.5"/>
  </r>
  <r>
    <x v="3"/>
    <x v="3"/>
    <d v="2022-01-03T00:00:00"/>
    <s v="NA"/>
    <n v="0"/>
    <n v="86"/>
    <s v="81+"/>
    <x v="0"/>
    <x v="9"/>
    <x v="7"/>
    <x v="4"/>
    <n v="1"/>
    <n v="1"/>
    <n v="5.6"/>
    <x v="1"/>
    <n v="3"/>
    <n v="5"/>
    <n v="915773"/>
    <n v="267360"/>
    <n v="648413"/>
    <n v="52"/>
    <n v="55"/>
    <n v="6.2"/>
  </r>
  <r>
    <x v="3"/>
    <x v="3"/>
    <d v="2023-09-30T00:00:00"/>
    <s v="NA"/>
    <n v="0"/>
    <n v="37"/>
    <s v="21-40"/>
    <x v="1"/>
    <x v="2"/>
    <x v="1"/>
    <x v="3"/>
    <n v="1"/>
    <n v="1"/>
    <n v="5.9"/>
    <x v="6"/>
    <n v="7"/>
    <n v="7"/>
    <n v="894728"/>
    <n v="287246"/>
    <n v="607482"/>
    <n v="59"/>
    <n v="56"/>
    <n v="14.9"/>
  </r>
  <r>
    <x v="3"/>
    <x v="3"/>
    <d v="2022-07-01T00:00:00"/>
    <s v="NA"/>
    <n v="0"/>
    <n v="33"/>
    <s v="21-40"/>
    <x v="1"/>
    <x v="12"/>
    <x v="9"/>
    <x v="4"/>
    <n v="1"/>
    <n v="1"/>
    <n v="1.5"/>
    <x v="30"/>
    <n v="4"/>
    <n v="4"/>
    <n v="828135"/>
    <n v="252806"/>
    <n v="575329"/>
    <n v="54"/>
    <n v="60"/>
    <n v="36.700000000000003"/>
  </r>
  <r>
    <x v="3"/>
    <x v="3"/>
    <d v="2022-12-09T00:00:00"/>
    <s v="NA"/>
    <n v="0"/>
    <n v="27"/>
    <s v="21-40"/>
    <x v="0"/>
    <x v="2"/>
    <x v="1"/>
    <x v="2"/>
    <n v="1"/>
    <n v="1"/>
    <n v="1.3"/>
    <x v="9"/>
    <n v="6"/>
    <n v="5"/>
    <n v="935978"/>
    <n v="285918"/>
    <n v="650060"/>
    <n v="51"/>
    <n v="63"/>
    <n v="9.3000000000000007"/>
  </r>
  <r>
    <x v="11"/>
    <x v="11"/>
    <d v="2023-09-16T00:00:00"/>
    <s v="NA"/>
    <n v="0"/>
    <n v="40"/>
    <s v="21-40"/>
    <x v="1"/>
    <x v="3"/>
    <x v="2"/>
    <x v="2"/>
    <n v="1"/>
    <n v="1"/>
    <n v="1.9"/>
    <x v="12"/>
    <n v="7"/>
    <n v="7"/>
    <n v="624070"/>
    <n v="94935"/>
    <n v="529135"/>
    <n v="35"/>
    <n v="63"/>
    <n v="7.9"/>
  </r>
  <r>
    <x v="11"/>
    <x v="11"/>
    <d v="2021-08-05T00:00:00"/>
    <s v="NA"/>
    <n v="0"/>
    <n v="33"/>
    <s v="21-40"/>
    <x v="1"/>
    <x v="1"/>
    <x v="1"/>
    <x v="0"/>
    <n v="1"/>
    <n v="1"/>
    <n v="2.1"/>
    <x v="11"/>
    <n v="3"/>
    <n v="6"/>
    <n v="684748"/>
    <n v="110435"/>
    <n v="574313"/>
    <n v="35"/>
    <n v="54"/>
    <n v="9.9"/>
  </r>
  <r>
    <x v="11"/>
    <x v="11"/>
    <d v="2022-09-24T00:00:00"/>
    <s v="NA"/>
    <n v="0"/>
    <n v="61"/>
    <s v="61-80"/>
    <x v="0"/>
    <x v="9"/>
    <x v="7"/>
    <x v="2"/>
    <n v="1"/>
    <n v="1"/>
    <n v="1.6"/>
    <x v="26"/>
    <n v="4"/>
    <n v="3"/>
    <n v="616278"/>
    <n v="209773"/>
    <n v="406505"/>
    <n v="24"/>
    <n v="54"/>
    <n v="36.9"/>
  </r>
  <r>
    <x v="11"/>
    <x v="11"/>
    <d v="2023-07-03T00:00:00"/>
    <s v="NA"/>
    <n v="0"/>
    <n v="86"/>
    <s v="81+"/>
    <x v="1"/>
    <x v="2"/>
    <x v="1"/>
    <x v="2"/>
    <n v="1"/>
    <n v="1"/>
    <n v="3.8"/>
    <x v="27"/>
    <n v="3"/>
    <n v="5"/>
    <n v="696383"/>
    <n v="171293"/>
    <n v="525090"/>
    <n v="24"/>
    <n v="58"/>
    <n v="13.2"/>
  </r>
  <r>
    <x v="11"/>
    <x v="11"/>
    <d v="2022-02-20T00:00:00"/>
    <s v="NA"/>
    <n v="0"/>
    <n v="42"/>
    <s v="41-60"/>
    <x v="0"/>
    <x v="7"/>
    <x v="5"/>
    <x v="4"/>
    <n v="1"/>
    <n v="1"/>
    <n v="6.1"/>
    <x v="26"/>
    <n v="6"/>
    <n v="5"/>
    <n v="696465"/>
    <n v="176888"/>
    <n v="519577"/>
    <n v="25"/>
    <n v="55"/>
    <n v="6.9"/>
  </r>
  <r>
    <x v="11"/>
    <x v="11"/>
    <d v="2022-12-20T00:00:00"/>
    <s v="NA"/>
    <n v="0"/>
    <n v="89"/>
    <s v="81+"/>
    <x v="0"/>
    <x v="7"/>
    <x v="5"/>
    <x v="2"/>
    <n v="1"/>
    <n v="1"/>
    <n v="4.2"/>
    <x v="4"/>
    <n v="7"/>
    <n v="4"/>
    <n v="707198"/>
    <n v="212705"/>
    <n v="494493"/>
    <n v="32"/>
    <n v="61"/>
    <n v="7.7"/>
  </r>
  <r>
    <x v="11"/>
    <x v="11"/>
    <d v="2023-05-30T00:00:00"/>
    <s v="NA"/>
    <n v="0"/>
    <n v="32"/>
    <s v="21-40"/>
    <x v="0"/>
    <x v="0"/>
    <x v="0"/>
    <x v="2"/>
    <n v="1"/>
    <n v="1"/>
    <n v="4.9000000000000004"/>
    <x v="12"/>
    <n v="7"/>
    <n v="5"/>
    <n v="697019"/>
    <n v="162389"/>
    <n v="534630"/>
    <n v="27"/>
    <n v="64"/>
    <n v="9.3000000000000007"/>
  </r>
  <r>
    <x v="11"/>
    <x v="11"/>
    <d v="2022-04-17T00:00:00"/>
    <s v="NA"/>
    <n v="0"/>
    <n v="33"/>
    <s v="21-40"/>
    <x v="0"/>
    <x v="5"/>
    <x v="0"/>
    <x v="2"/>
    <n v="1"/>
    <n v="1"/>
    <n v="5.9"/>
    <x v="7"/>
    <n v="3"/>
    <n v="3"/>
    <n v="693693"/>
    <n v="240087"/>
    <n v="453606"/>
    <n v="31"/>
    <n v="65"/>
    <n v="7.4"/>
  </r>
  <r>
    <x v="11"/>
    <x v="11"/>
    <d v="2022-02-23T00:00:00"/>
    <s v="NA"/>
    <n v="0"/>
    <n v="46"/>
    <s v="41-60"/>
    <x v="0"/>
    <x v="6"/>
    <x v="4"/>
    <x v="2"/>
    <n v="1"/>
    <n v="1"/>
    <n v="6"/>
    <x v="23"/>
    <n v="4"/>
    <n v="4"/>
    <n v="700703"/>
    <n v="121459"/>
    <n v="579244"/>
    <n v="26"/>
    <n v="56"/>
    <n v="5.3"/>
  </r>
  <r>
    <x v="11"/>
    <x v="11"/>
    <d v="2023-10-03T00:00:00"/>
    <s v="NA"/>
    <n v="0"/>
    <n v="33"/>
    <s v="21-40"/>
    <x v="0"/>
    <x v="13"/>
    <x v="10"/>
    <x v="2"/>
    <n v="1"/>
    <n v="1"/>
    <n v="1.3"/>
    <x v="7"/>
    <n v="7"/>
    <n v="3"/>
    <n v="669787"/>
    <n v="187479"/>
    <n v="482308"/>
    <n v="31"/>
    <n v="65"/>
    <n v="13.7"/>
  </r>
  <r>
    <x v="11"/>
    <x v="11"/>
    <d v="2021-04-18T00:00:00"/>
    <s v="NA"/>
    <n v="0"/>
    <n v="43"/>
    <s v="41-60"/>
    <x v="0"/>
    <x v="14"/>
    <x v="11"/>
    <x v="2"/>
    <n v="1"/>
    <n v="1"/>
    <n v="4.2"/>
    <x v="7"/>
    <n v="7"/>
    <n v="5"/>
    <n v="753461"/>
    <n v="313385"/>
    <n v="440076"/>
    <n v="23"/>
    <n v="58"/>
    <n v="10.8"/>
  </r>
  <r>
    <x v="11"/>
    <x v="11"/>
    <d v="2023-01-23T00:00:00"/>
    <s v="NA"/>
    <n v="0"/>
    <n v="52"/>
    <s v="41-60"/>
    <x v="1"/>
    <x v="12"/>
    <x v="9"/>
    <x v="0"/>
    <n v="1"/>
    <n v="1"/>
    <n v="5.7"/>
    <x v="7"/>
    <n v="7"/>
    <n v="5"/>
    <n v="645486"/>
    <n v="66615"/>
    <n v="578871"/>
    <n v="30"/>
    <n v="66"/>
    <n v="9.8000000000000007"/>
  </r>
  <r>
    <x v="11"/>
    <x v="11"/>
    <d v="2023-03-25T00:00:00"/>
    <s v="NA"/>
    <n v="0"/>
    <n v="66"/>
    <s v="61-80"/>
    <x v="0"/>
    <x v="7"/>
    <x v="5"/>
    <x v="4"/>
    <n v="1"/>
    <n v="1"/>
    <n v="2.2999999999999998"/>
    <x v="12"/>
    <n v="4"/>
    <n v="6"/>
    <n v="714561"/>
    <n v="273167"/>
    <n v="441394"/>
    <n v="30"/>
    <n v="59"/>
    <n v="6.8"/>
  </r>
  <r>
    <x v="11"/>
    <x v="11"/>
    <d v="2022-10-26T00:00:00"/>
    <s v="NA"/>
    <n v="0"/>
    <n v="41"/>
    <s v="41-60"/>
    <x v="0"/>
    <x v="4"/>
    <x v="3"/>
    <x v="4"/>
    <n v="1"/>
    <n v="1"/>
    <n v="2.9"/>
    <x v="12"/>
    <n v="6"/>
    <n v="3"/>
    <n v="723670"/>
    <n v="154704"/>
    <n v="568966"/>
    <n v="21"/>
    <n v="62"/>
    <n v="7.9"/>
  </r>
  <r>
    <x v="11"/>
    <x v="11"/>
    <d v="2023-09-30T00:00:00"/>
    <s v="NA"/>
    <n v="0"/>
    <n v="79"/>
    <s v="61-80"/>
    <x v="0"/>
    <x v="12"/>
    <x v="9"/>
    <x v="2"/>
    <n v="1"/>
    <n v="1"/>
    <n v="2.7"/>
    <x v="11"/>
    <n v="3"/>
    <n v="5"/>
    <n v="790956"/>
    <n v="354649"/>
    <n v="436307"/>
    <n v="32"/>
    <n v="55"/>
    <n v="12.6"/>
  </r>
  <r>
    <x v="11"/>
    <x v="11"/>
    <d v="2022-02-23T00:00:00"/>
    <s v="NA"/>
    <n v="0"/>
    <n v="46"/>
    <s v="41-60"/>
    <x v="0"/>
    <x v="0"/>
    <x v="0"/>
    <x v="1"/>
    <n v="1"/>
    <n v="1"/>
    <n v="3.6"/>
    <x v="14"/>
    <n v="5"/>
    <n v="6"/>
    <n v="693566"/>
    <n v="251481"/>
    <n v="442085"/>
    <n v="35"/>
    <n v="64"/>
    <n v="12.1"/>
  </r>
  <r>
    <x v="11"/>
    <x v="11"/>
    <d v="2022-11-24T00:00:00"/>
    <s v="NA"/>
    <n v="0"/>
    <n v="49"/>
    <s v="41-60"/>
    <x v="1"/>
    <x v="10"/>
    <x v="8"/>
    <x v="3"/>
    <n v="1"/>
    <n v="1"/>
    <n v="5.6"/>
    <x v="11"/>
    <n v="7"/>
    <n v="5"/>
    <n v="640980"/>
    <n v="152548"/>
    <n v="488432"/>
    <n v="27"/>
    <n v="63"/>
    <n v="7"/>
  </r>
  <r>
    <x v="11"/>
    <x v="11"/>
    <d v="2022-02-22T00:00:00"/>
    <s v="NA"/>
    <n v="0"/>
    <n v="31"/>
    <s v="21-40"/>
    <x v="0"/>
    <x v="9"/>
    <x v="7"/>
    <x v="2"/>
    <n v="1"/>
    <n v="1"/>
    <n v="3.7"/>
    <x v="15"/>
    <n v="7"/>
    <n v="5"/>
    <n v="663776"/>
    <n v="207364"/>
    <n v="456412"/>
    <n v="26"/>
    <n v="59"/>
    <n v="14"/>
  </r>
  <r>
    <x v="11"/>
    <x v="11"/>
    <d v="2023-02-05T00:00:00"/>
    <s v="NA"/>
    <n v="0"/>
    <n v="22"/>
    <s v="21-40"/>
    <x v="0"/>
    <x v="7"/>
    <x v="5"/>
    <x v="4"/>
    <n v="1"/>
    <n v="1"/>
    <n v="3.2"/>
    <x v="9"/>
    <n v="4"/>
    <n v="7"/>
    <n v="655957"/>
    <n v="86938"/>
    <n v="569019"/>
    <n v="24"/>
    <n v="66"/>
    <n v="5.2"/>
  </r>
  <r>
    <x v="11"/>
    <x v="11"/>
    <d v="2023-12-15T00:00:00"/>
    <s v="NA"/>
    <n v="0"/>
    <n v="22"/>
    <s v="21-40"/>
    <x v="0"/>
    <x v="12"/>
    <x v="9"/>
    <x v="2"/>
    <n v="1"/>
    <n v="1"/>
    <n v="2.6"/>
    <x v="19"/>
    <n v="4"/>
    <n v="3"/>
    <n v="634350"/>
    <n v="176642"/>
    <n v="457708"/>
    <n v="28"/>
    <n v="66"/>
    <n v="12.6"/>
  </r>
  <r>
    <x v="11"/>
    <x v="11"/>
    <d v="2021-07-29T00:00:00"/>
    <s v="NA"/>
    <n v="0"/>
    <n v="75"/>
    <s v="61-80"/>
    <x v="0"/>
    <x v="2"/>
    <x v="1"/>
    <x v="4"/>
    <n v="1"/>
    <n v="1"/>
    <n v="6.7"/>
    <x v="24"/>
    <n v="4"/>
    <n v="4"/>
    <n v="642710"/>
    <n v="228158"/>
    <n v="414552"/>
    <n v="31"/>
    <n v="63"/>
    <n v="8.3000000000000007"/>
  </r>
  <r>
    <x v="11"/>
    <x v="11"/>
    <d v="2021-06-19T00:00:00"/>
    <s v="NA"/>
    <n v="0"/>
    <n v="37"/>
    <s v="21-40"/>
    <x v="1"/>
    <x v="4"/>
    <x v="3"/>
    <x v="3"/>
    <n v="1"/>
    <n v="1"/>
    <n v="6.6"/>
    <x v="17"/>
    <n v="5"/>
    <n v="6"/>
    <n v="738552"/>
    <n v="165592"/>
    <n v="572960"/>
    <n v="23"/>
    <n v="65"/>
    <n v="36.6"/>
  </r>
  <r>
    <x v="11"/>
    <x v="11"/>
    <d v="2021-06-08T00:00:00"/>
    <s v="NA"/>
    <n v="0"/>
    <n v="33"/>
    <s v="21-40"/>
    <x v="1"/>
    <x v="11"/>
    <x v="8"/>
    <x v="4"/>
    <n v="1"/>
    <n v="1"/>
    <n v="4.5"/>
    <x v="29"/>
    <n v="3"/>
    <n v="7"/>
    <n v="780443"/>
    <n v="295270"/>
    <n v="485173"/>
    <n v="20"/>
    <n v="66"/>
    <n v="7.9"/>
  </r>
  <r>
    <x v="11"/>
    <x v="11"/>
    <d v="2023-03-01T00:00:00"/>
    <s v="NA"/>
    <n v="0"/>
    <n v="45"/>
    <s v="41-60"/>
    <x v="0"/>
    <x v="5"/>
    <x v="0"/>
    <x v="3"/>
    <n v="1"/>
    <n v="1"/>
    <n v="1.5"/>
    <x v="15"/>
    <n v="4"/>
    <n v="7"/>
    <n v="655453"/>
    <n v="96330"/>
    <n v="559123"/>
    <n v="21"/>
    <n v="63"/>
    <n v="9.9"/>
  </r>
  <r>
    <x v="11"/>
    <x v="11"/>
    <d v="2024-11-20T00:00:00"/>
    <s v="NA"/>
    <n v="0"/>
    <n v="66"/>
    <s v="61-80"/>
    <x v="0"/>
    <x v="0"/>
    <x v="0"/>
    <x v="2"/>
    <n v="1"/>
    <n v="1"/>
    <n v="4.5"/>
    <x v="3"/>
    <n v="3"/>
    <n v="7"/>
    <n v="608788"/>
    <n v="46220"/>
    <n v="562568"/>
    <n v="21"/>
    <n v="57"/>
    <n v="14.4"/>
  </r>
  <r>
    <x v="11"/>
    <x v="11"/>
    <d v="2023-04-13T00:00:00"/>
    <s v="NA"/>
    <n v="0"/>
    <n v="22"/>
    <s v="21-40"/>
    <x v="1"/>
    <x v="6"/>
    <x v="4"/>
    <x v="2"/>
    <n v="1"/>
    <n v="1"/>
    <n v="3.2"/>
    <x v="11"/>
    <n v="6"/>
    <n v="3"/>
    <n v="682164"/>
    <n v="179060"/>
    <n v="503104"/>
    <n v="34"/>
    <n v="57"/>
    <n v="9.4"/>
  </r>
  <r>
    <x v="11"/>
    <x v="11"/>
    <d v="2021-09-25T00:00:00"/>
    <s v="NA"/>
    <n v="0"/>
    <n v="73"/>
    <s v="61-80"/>
    <x v="1"/>
    <x v="3"/>
    <x v="2"/>
    <x v="0"/>
    <n v="1"/>
    <n v="1"/>
    <n v="1.9"/>
    <x v="3"/>
    <n v="4"/>
    <n v="5"/>
    <n v="672585"/>
    <n v="213185"/>
    <n v="459400"/>
    <n v="24"/>
    <n v="62"/>
    <n v="6.9"/>
  </r>
  <r>
    <x v="11"/>
    <x v="11"/>
    <d v="2024-01-02T00:00:00"/>
    <s v="NA"/>
    <n v="0"/>
    <n v="29"/>
    <s v="21-40"/>
    <x v="1"/>
    <x v="10"/>
    <x v="8"/>
    <x v="1"/>
    <n v="1"/>
    <n v="1"/>
    <n v="5.5"/>
    <x v="30"/>
    <n v="7"/>
    <n v="6"/>
    <n v="737647"/>
    <n v="270926"/>
    <n v="466721"/>
    <n v="21"/>
    <n v="64"/>
    <n v="7.9"/>
  </r>
  <r>
    <x v="11"/>
    <x v="11"/>
    <d v="2024-09-23T00:00:00"/>
    <s v="NA"/>
    <n v="0"/>
    <n v="21"/>
    <s v="21-40"/>
    <x v="0"/>
    <x v="12"/>
    <x v="9"/>
    <x v="0"/>
    <n v="1"/>
    <n v="1"/>
    <n v="6.3"/>
    <x v="8"/>
    <n v="6"/>
    <n v="4"/>
    <n v="788759"/>
    <n v="338858"/>
    <n v="449901"/>
    <n v="35"/>
    <n v="55"/>
    <n v="12.8"/>
  </r>
  <r>
    <x v="11"/>
    <x v="11"/>
    <d v="2023-12-07T00:00:00"/>
    <s v="NA"/>
    <n v="0"/>
    <n v="31"/>
    <s v="21-40"/>
    <x v="0"/>
    <x v="5"/>
    <x v="0"/>
    <x v="3"/>
    <n v="1"/>
    <n v="1"/>
    <n v="2"/>
    <x v="19"/>
    <n v="7"/>
    <n v="6"/>
    <n v="662989"/>
    <n v="240310"/>
    <n v="422679"/>
    <n v="20"/>
    <n v="64"/>
    <n v="9.1999999999999993"/>
  </r>
  <r>
    <x v="11"/>
    <x v="11"/>
    <d v="2023-12-12T00:00:00"/>
    <s v="NA"/>
    <n v="0"/>
    <n v="80"/>
    <s v="61-80"/>
    <x v="0"/>
    <x v="10"/>
    <x v="8"/>
    <x v="1"/>
    <n v="1"/>
    <n v="1"/>
    <n v="5.2"/>
    <x v="27"/>
    <n v="5"/>
    <n v="3"/>
    <n v="783836"/>
    <n v="352357"/>
    <n v="431479"/>
    <n v="23"/>
    <n v="65"/>
    <n v="13.9"/>
  </r>
  <r>
    <x v="11"/>
    <x v="11"/>
    <d v="2022-05-12T00:00:00"/>
    <s v="NA"/>
    <n v="0"/>
    <n v="37"/>
    <s v="21-40"/>
    <x v="0"/>
    <x v="0"/>
    <x v="0"/>
    <x v="0"/>
    <n v="1"/>
    <n v="1"/>
    <n v="3.8"/>
    <x v="12"/>
    <n v="7"/>
    <n v="4"/>
    <n v="628886"/>
    <n v="196269"/>
    <n v="432617"/>
    <n v="34"/>
    <n v="60"/>
    <n v="5.9"/>
  </r>
  <r>
    <x v="11"/>
    <x v="11"/>
    <d v="2024-05-27T00:00:00"/>
    <s v="NA"/>
    <n v="0"/>
    <n v="23"/>
    <s v="21-40"/>
    <x v="0"/>
    <x v="14"/>
    <x v="11"/>
    <x v="4"/>
    <n v="1"/>
    <n v="1"/>
    <n v="4.2"/>
    <x v="25"/>
    <n v="7"/>
    <n v="5"/>
    <n v="620995"/>
    <n v="96793"/>
    <n v="524202"/>
    <n v="28"/>
    <n v="62"/>
    <n v="12.8"/>
  </r>
  <r>
    <x v="11"/>
    <x v="11"/>
    <d v="2022-06-21T00:00:00"/>
    <s v="NA"/>
    <n v="0"/>
    <n v="43"/>
    <s v="41-60"/>
    <x v="0"/>
    <x v="7"/>
    <x v="5"/>
    <x v="4"/>
    <n v="1"/>
    <n v="1"/>
    <n v="5.3"/>
    <x v="21"/>
    <n v="5"/>
    <n v="6"/>
    <n v="667344"/>
    <n v="201612"/>
    <n v="465732"/>
    <n v="24"/>
    <n v="63"/>
    <n v="14.8"/>
  </r>
  <r>
    <x v="11"/>
    <x v="11"/>
    <d v="2023-01-15T00:00:00"/>
    <s v="NA"/>
    <n v="0"/>
    <n v="21"/>
    <s v="21-40"/>
    <x v="1"/>
    <x v="10"/>
    <x v="8"/>
    <x v="4"/>
    <n v="1"/>
    <n v="1"/>
    <n v="2.4"/>
    <x v="9"/>
    <n v="6"/>
    <n v="5"/>
    <n v="632159"/>
    <n v="195298"/>
    <n v="436861"/>
    <n v="24"/>
    <n v="64"/>
    <n v="6.8"/>
  </r>
  <r>
    <x v="11"/>
    <x v="11"/>
    <d v="2021-01-25T00:00:00"/>
    <s v="NA"/>
    <n v="0"/>
    <n v="69"/>
    <s v="61-80"/>
    <x v="0"/>
    <x v="0"/>
    <x v="0"/>
    <x v="3"/>
    <n v="1"/>
    <n v="1"/>
    <n v="1.4"/>
    <x v="14"/>
    <n v="6"/>
    <n v="3"/>
    <n v="707768"/>
    <n v="285549"/>
    <n v="422219"/>
    <n v="35"/>
    <n v="62"/>
    <n v="7.5"/>
  </r>
  <r>
    <x v="11"/>
    <x v="11"/>
    <d v="2022-05-25T00:00:00"/>
    <s v="NA"/>
    <n v="0"/>
    <n v="66"/>
    <s v="61-80"/>
    <x v="1"/>
    <x v="10"/>
    <x v="8"/>
    <x v="1"/>
    <n v="1"/>
    <n v="1"/>
    <n v="2.7"/>
    <x v="10"/>
    <n v="7"/>
    <n v="5"/>
    <n v="787900"/>
    <n v="302446"/>
    <n v="485454"/>
    <n v="33"/>
    <n v="64"/>
    <n v="10.9"/>
  </r>
  <r>
    <x v="11"/>
    <x v="11"/>
    <d v="2023-10-14T00:00:00"/>
    <s v="NA"/>
    <n v="0"/>
    <n v="52"/>
    <s v="41-60"/>
    <x v="0"/>
    <x v="2"/>
    <x v="1"/>
    <x v="2"/>
    <n v="1"/>
    <n v="1"/>
    <n v="4.7"/>
    <x v="10"/>
    <n v="4"/>
    <n v="5"/>
    <n v="792980"/>
    <n v="219216"/>
    <n v="573764"/>
    <n v="26"/>
    <n v="55"/>
    <n v="7.4"/>
  </r>
  <r>
    <x v="11"/>
    <x v="11"/>
    <d v="2022-07-25T00:00:00"/>
    <s v="NA"/>
    <n v="0"/>
    <n v="41"/>
    <s v="41-60"/>
    <x v="1"/>
    <x v="6"/>
    <x v="4"/>
    <x v="4"/>
    <n v="1"/>
    <n v="1"/>
    <n v="5.9"/>
    <x v="20"/>
    <n v="3"/>
    <n v="7"/>
    <n v="629622"/>
    <n v="93109"/>
    <n v="536513"/>
    <n v="31"/>
    <n v="64"/>
    <n v="9.8000000000000007"/>
  </r>
  <r>
    <x v="11"/>
    <x v="11"/>
    <d v="2022-10-29T00:00:00"/>
    <s v="NA"/>
    <n v="0"/>
    <n v="85"/>
    <s v="81+"/>
    <x v="1"/>
    <x v="9"/>
    <x v="7"/>
    <x v="4"/>
    <n v="1"/>
    <n v="1"/>
    <n v="5.7"/>
    <x v="4"/>
    <n v="6"/>
    <n v="6"/>
    <n v="757037"/>
    <n v="248751"/>
    <n v="508286"/>
    <n v="29"/>
    <n v="58"/>
    <n v="9.3000000000000007"/>
  </r>
  <r>
    <x v="11"/>
    <x v="11"/>
    <d v="2024-12-28T00:00:00"/>
    <s v="NA"/>
    <n v="0"/>
    <n v="44"/>
    <s v="41-60"/>
    <x v="1"/>
    <x v="3"/>
    <x v="2"/>
    <x v="0"/>
    <n v="1"/>
    <n v="1"/>
    <n v="6.6"/>
    <x v="29"/>
    <n v="4"/>
    <n v="4"/>
    <n v="761456"/>
    <n v="332050"/>
    <n v="429406"/>
    <n v="25"/>
    <n v="60"/>
    <n v="10.3"/>
  </r>
  <r>
    <x v="11"/>
    <x v="11"/>
    <d v="2023-09-11T00:00:00"/>
    <s v="NA"/>
    <n v="0"/>
    <n v="62"/>
    <s v="61-80"/>
    <x v="1"/>
    <x v="12"/>
    <x v="9"/>
    <x v="3"/>
    <n v="1"/>
    <n v="1"/>
    <n v="5"/>
    <x v="12"/>
    <n v="4"/>
    <n v="7"/>
    <n v="703643"/>
    <n v="281720"/>
    <n v="421923"/>
    <n v="30"/>
    <n v="59"/>
    <n v="10.8"/>
  </r>
  <r>
    <x v="11"/>
    <x v="11"/>
    <d v="2024-06-05T00:00:00"/>
    <s v="NA"/>
    <n v="0"/>
    <n v="74"/>
    <s v="61-80"/>
    <x v="0"/>
    <x v="2"/>
    <x v="1"/>
    <x v="1"/>
    <n v="1"/>
    <n v="1"/>
    <n v="3.6"/>
    <x v="18"/>
    <n v="6"/>
    <n v="5"/>
    <n v="665957"/>
    <n v="164487"/>
    <n v="501470"/>
    <n v="32"/>
    <n v="55"/>
    <n v="7.9"/>
  </r>
  <r>
    <x v="11"/>
    <x v="11"/>
    <d v="2024-11-11T00:00:00"/>
    <s v="NA"/>
    <n v="0"/>
    <n v="33"/>
    <s v="21-40"/>
    <x v="0"/>
    <x v="12"/>
    <x v="9"/>
    <x v="2"/>
    <n v="1"/>
    <n v="1"/>
    <n v="6.1"/>
    <x v="21"/>
    <n v="5"/>
    <n v="5"/>
    <n v="798997"/>
    <n v="249675"/>
    <n v="549322"/>
    <n v="23"/>
    <n v="63"/>
    <n v="8.6"/>
  </r>
  <r>
    <x v="11"/>
    <x v="11"/>
    <d v="2021-05-26T00:00:00"/>
    <s v="NA"/>
    <n v="0"/>
    <n v="32"/>
    <s v="21-40"/>
    <x v="1"/>
    <x v="3"/>
    <x v="2"/>
    <x v="2"/>
    <n v="1"/>
    <n v="1"/>
    <n v="5"/>
    <x v="9"/>
    <n v="4"/>
    <n v="5"/>
    <n v="650663"/>
    <n v="174926"/>
    <n v="475737"/>
    <n v="24"/>
    <n v="66"/>
    <n v="10.6"/>
  </r>
  <r>
    <x v="11"/>
    <x v="11"/>
    <d v="2021-06-29T00:00:00"/>
    <s v="NA"/>
    <n v="0"/>
    <n v="44"/>
    <s v="41-60"/>
    <x v="1"/>
    <x v="7"/>
    <x v="5"/>
    <x v="0"/>
    <n v="1"/>
    <n v="1"/>
    <n v="1.3"/>
    <x v="16"/>
    <n v="3"/>
    <n v="5"/>
    <n v="728534"/>
    <n v="174876"/>
    <n v="553658"/>
    <n v="29"/>
    <n v="63"/>
    <n v="13.4"/>
  </r>
  <r>
    <x v="11"/>
    <x v="11"/>
    <d v="2024-12-10T00:00:00"/>
    <s v="NA"/>
    <n v="0"/>
    <n v="31"/>
    <s v="21-40"/>
    <x v="1"/>
    <x v="12"/>
    <x v="9"/>
    <x v="1"/>
    <n v="1"/>
    <n v="1"/>
    <n v="5.8"/>
    <x v="2"/>
    <n v="7"/>
    <n v="3"/>
    <n v="679387"/>
    <n v="132129"/>
    <n v="547258"/>
    <n v="34"/>
    <n v="59"/>
    <n v="14.5"/>
  </r>
  <r>
    <x v="11"/>
    <x v="11"/>
    <d v="2024-01-09T00:00:00"/>
    <s v="NA"/>
    <n v="0"/>
    <n v="27"/>
    <s v="21-40"/>
    <x v="1"/>
    <x v="3"/>
    <x v="2"/>
    <x v="4"/>
    <n v="1"/>
    <n v="1"/>
    <n v="4.7"/>
    <x v="5"/>
    <n v="6"/>
    <n v="5"/>
    <n v="672674"/>
    <n v="168510"/>
    <n v="504164"/>
    <n v="20"/>
    <n v="57"/>
    <n v="13.6"/>
  </r>
  <r>
    <x v="11"/>
    <x v="11"/>
    <d v="2023-11-17T00:00:00"/>
    <s v="NA"/>
    <n v="0"/>
    <n v="71"/>
    <s v="61-80"/>
    <x v="1"/>
    <x v="10"/>
    <x v="8"/>
    <x v="1"/>
    <n v="1"/>
    <n v="1"/>
    <n v="3.4"/>
    <x v="25"/>
    <n v="4"/>
    <n v="3"/>
    <n v="774857"/>
    <n v="243771"/>
    <n v="531086"/>
    <n v="28"/>
    <n v="61"/>
    <n v="14.2"/>
  </r>
  <r>
    <x v="11"/>
    <x v="11"/>
    <d v="2024-03-19T00:00:00"/>
    <s v="NA"/>
    <n v="0"/>
    <n v="30"/>
    <s v="21-40"/>
    <x v="0"/>
    <x v="14"/>
    <x v="11"/>
    <x v="3"/>
    <n v="1"/>
    <n v="1"/>
    <n v="5.5"/>
    <x v="16"/>
    <n v="6"/>
    <n v="7"/>
    <n v="709826"/>
    <n v="195723"/>
    <n v="514103"/>
    <n v="32"/>
    <n v="57"/>
    <n v="12.2"/>
  </r>
  <r>
    <x v="11"/>
    <x v="11"/>
    <d v="2023-06-17T00:00:00"/>
    <s v="NA"/>
    <n v="0"/>
    <n v="86"/>
    <s v="81+"/>
    <x v="1"/>
    <x v="4"/>
    <x v="3"/>
    <x v="4"/>
    <n v="1"/>
    <n v="1"/>
    <n v="4"/>
    <x v="30"/>
    <n v="3"/>
    <n v="6"/>
    <n v="676496"/>
    <n v="229319"/>
    <n v="447177"/>
    <n v="27"/>
    <n v="56"/>
    <n v="14.1"/>
  </r>
  <r>
    <x v="11"/>
    <x v="11"/>
    <d v="2023-12-29T00:00:00"/>
    <s v="NA"/>
    <n v="0"/>
    <n v="71"/>
    <s v="61-80"/>
    <x v="0"/>
    <x v="13"/>
    <x v="10"/>
    <x v="3"/>
    <n v="1"/>
    <n v="1"/>
    <n v="1.2"/>
    <x v="0"/>
    <n v="3"/>
    <n v="7"/>
    <n v="788864"/>
    <n v="385811"/>
    <n v="403053"/>
    <n v="29"/>
    <n v="66"/>
    <n v="9.5"/>
  </r>
  <r>
    <x v="11"/>
    <x v="11"/>
    <d v="2024-01-21T00:00:00"/>
    <s v="NA"/>
    <n v="0"/>
    <n v="88"/>
    <s v="81+"/>
    <x v="1"/>
    <x v="3"/>
    <x v="2"/>
    <x v="4"/>
    <n v="1"/>
    <n v="1"/>
    <n v="3.7"/>
    <x v="23"/>
    <n v="4"/>
    <n v="7"/>
    <n v="657051"/>
    <n v="240266"/>
    <n v="416785"/>
    <n v="24"/>
    <n v="63"/>
    <n v="9.1"/>
  </r>
  <r>
    <x v="11"/>
    <x v="11"/>
    <d v="2023-09-22T00:00:00"/>
    <s v="NA"/>
    <n v="0"/>
    <n v="57"/>
    <s v="41-60"/>
    <x v="1"/>
    <x v="4"/>
    <x v="3"/>
    <x v="0"/>
    <n v="1"/>
    <n v="1"/>
    <n v="5.8"/>
    <x v="14"/>
    <n v="4"/>
    <n v="7"/>
    <n v="702598"/>
    <n v="163014"/>
    <n v="539584"/>
    <n v="34"/>
    <n v="55"/>
    <n v="8.9"/>
  </r>
  <r>
    <x v="11"/>
    <x v="11"/>
    <d v="2023-03-06T00:00:00"/>
    <s v="NA"/>
    <n v="0"/>
    <n v="46"/>
    <s v="41-60"/>
    <x v="0"/>
    <x v="14"/>
    <x v="11"/>
    <x v="4"/>
    <n v="1"/>
    <n v="1"/>
    <n v="4.2"/>
    <x v="18"/>
    <n v="5"/>
    <n v="4"/>
    <n v="738295"/>
    <n v="178586"/>
    <n v="559709"/>
    <n v="24"/>
    <n v="62"/>
    <n v="5.4"/>
  </r>
  <r>
    <x v="11"/>
    <x v="11"/>
    <d v="2022-10-30T00:00:00"/>
    <s v="NA"/>
    <n v="0"/>
    <n v="43"/>
    <s v="41-60"/>
    <x v="0"/>
    <x v="2"/>
    <x v="1"/>
    <x v="0"/>
    <n v="1"/>
    <n v="1"/>
    <n v="1.1000000000000001"/>
    <x v="28"/>
    <n v="7"/>
    <n v="6"/>
    <n v="676381"/>
    <n v="210788"/>
    <n v="465593"/>
    <n v="27"/>
    <n v="54"/>
    <n v="8"/>
  </r>
  <r>
    <x v="11"/>
    <x v="11"/>
    <d v="2022-03-20T00:00:00"/>
    <s v="NA"/>
    <n v="0"/>
    <n v="43"/>
    <s v="41-60"/>
    <x v="0"/>
    <x v="2"/>
    <x v="1"/>
    <x v="2"/>
    <n v="1"/>
    <n v="1"/>
    <n v="2.1"/>
    <x v="19"/>
    <n v="3"/>
    <n v="4"/>
    <n v="682460"/>
    <n v="257205"/>
    <n v="425255"/>
    <n v="26"/>
    <n v="56"/>
    <n v="9.5"/>
  </r>
  <r>
    <x v="11"/>
    <x v="11"/>
    <d v="2024-08-07T00:00:00"/>
    <s v="NA"/>
    <n v="0"/>
    <n v="45"/>
    <s v="41-60"/>
    <x v="1"/>
    <x v="3"/>
    <x v="2"/>
    <x v="3"/>
    <n v="1"/>
    <n v="1"/>
    <n v="3.2"/>
    <x v="3"/>
    <n v="5"/>
    <n v="5"/>
    <n v="693319"/>
    <n v="257354"/>
    <n v="435965"/>
    <n v="23"/>
    <n v="58"/>
    <n v="7.8"/>
  </r>
  <r>
    <x v="11"/>
    <x v="11"/>
    <d v="2022-06-28T00:00:00"/>
    <s v="NA"/>
    <n v="0"/>
    <n v="39"/>
    <s v="21-40"/>
    <x v="1"/>
    <x v="3"/>
    <x v="2"/>
    <x v="4"/>
    <n v="1"/>
    <n v="1"/>
    <n v="1.2"/>
    <x v="16"/>
    <n v="7"/>
    <n v="4"/>
    <n v="633264"/>
    <n v="55643"/>
    <n v="577621"/>
    <n v="25"/>
    <n v="58"/>
    <n v="13.5"/>
  </r>
  <r>
    <x v="11"/>
    <x v="11"/>
    <d v="2024-06-30T00:00:00"/>
    <s v="NA"/>
    <n v="0"/>
    <n v="49"/>
    <s v="41-60"/>
    <x v="1"/>
    <x v="3"/>
    <x v="2"/>
    <x v="3"/>
    <n v="1"/>
    <n v="1"/>
    <n v="6.9"/>
    <x v="30"/>
    <n v="6"/>
    <n v="7"/>
    <n v="692712"/>
    <n v="280082"/>
    <n v="412630"/>
    <n v="30"/>
    <n v="64"/>
    <n v="13.8"/>
  </r>
  <r>
    <x v="11"/>
    <x v="11"/>
    <d v="2022-08-20T00:00:00"/>
    <s v="NA"/>
    <n v="0"/>
    <n v="37"/>
    <s v="21-40"/>
    <x v="0"/>
    <x v="5"/>
    <x v="0"/>
    <x v="4"/>
    <n v="1"/>
    <n v="1"/>
    <n v="2.2000000000000002"/>
    <x v="12"/>
    <n v="6"/>
    <n v="7"/>
    <n v="719869"/>
    <n v="259828"/>
    <n v="460041"/>
    <n v="22"/>
    <n v="58"/>
    <n v="36.9"/>
  </r>
  <r>
    <x v="11"/>
    <x v="11"/>
    <d v="2021-12-01T00:00:00"/>
    <s v="NA"/>
    <n v="0"/>
    <n v="44"/>
    <s v="41-60"/>
    <x v="0"/>
    <x v="12"/>
    <x v="9"/>
    <x v="3"/>
    <n v="1"/>
    <n v="1"/>
    <n v="6.7"/>
    <x v="4"/>
    <n v="6"/>
    <n v="3"/>
    <n v="786280"/>
    <n v="240004"/>
    <n v="546276"/>
    <n v="30"/>
    <n v="55"/>
    <n v="9"/>
  </r>
  <r>
    <x v="11"/>
    <x v="11"/>
    <d v="2022-05-16T00:00:00"/>
    <s v="NA"/>
    <n v="0"/>
    <n v="36"/>
    <s v="21-40"/>
    <x v="0"/>
    <x v="6"/>
    <x v="4"/>
    <x v="2"/>
    <n v="1"/>
    <n v="1"/>
    <n v="3.1"/>
    <x v="2"/>
    <n v="7"/>
    <n v="6"/>
    <n v="655499"/>
    <n v="235575"/>
    <n v="419924"/>
    <n v="32"/>
    <n v="54"/>
    <n v="10.1"/>
  </r>
  <r>
    <x v="11"/>
    <x v="11"/>
    <d v="2022-02-06T00:00:00"/>
    <s v="NA"/>
    <n v="0"/>
    <n v="32"/>
    <s v="21-40"/>
    <x v="0"/>
    <x v="13"/>
    <x v="10"/>
    <x v="1"/>
    <n v="1"/>
    <n v="1"/>
    <n v="1.5"/>
    <x v="16"/>
    <n v="5"/>
    <n v="6"/>
    <n v="792680"/>
    <n v="295304"/>
    <n v="497376"/>
    <n v="28"/>
    <n v="55"/>
    <n v="5.7"/>
  </r>
  <r>
    <x v="11"/>
    <x v="11"/>
    <d v="2024-06-25T00:00:00"/>
    <s v="NA"/>
    <n v="0"/>
    <n v="37"/>
    <s v="21-40"/>
    <x v="1"/>
    <x v="10"/>
    <x v="8"/>
    <x v="1"/>
    <n v="1"/>
    <n v="1"/>
    <n v="5.4"/>
    <x v="15"/>
    <n v="5"/>
    <n v="3"/>
    <n v="682753"/>
    <n v="253924"/>
    <n v="428829"/>
    <n v="32"/>
    <n v="66"/>
    <n v="10.8"/>
  </r>
  <r>
    <x v="11"/>
    <x v="11"/>
    <d v="2022-08-09T00:00:00"/>
    <s v="NA"/>
    <n v="0"/>
    <n v="41"/>
    <s v="41-60"/>
    <x v="0"/>
    <x v="13"/>
    <x v="10"/>
    <x v="3"/>
    <n v="1"/>
    <n v="1"/>
    <n v="4.0999999999999996"/>
    <x v="27"/>
    <n v="6"/>
    <n v="4"/>
    <n v="720091"/>
    <n v="171278"/>
    <n v="548813"/>
    <n v="23"/>
    <n v="57"/>
    <n v="6"/>
  </r>
  <r>
    <x v="11"/>
    <x v="11"/>
    <d v="2021-11-21T00:00:00"/>
    <s v="NA"/>
    <n v="0"/>
    <n v="42"/>
    <s v="41-60"/>
    <x v="0"/>
    <x v="2"/>
    <x v="1"/>
    <x v="2"/>
    <n v="1"/>
    <n v="1"/>
    <n v="5.5"/>
    <x v="8"/>
    <n v="5"/>
    <n v="5"/>
    <n v="707224"/>
    <n v="232122"/>
    <n v="475102"/>
    <n v="30"/>
    <n v="58"/>
    <n v="14.8"/>
  </r>
  <r>
    <x v="11"/>
    <x v="11"/>
    <d v="2023-04-16T00:00:00"/>
    <s v="NA"/>
    <n v="0"/>
    <n v="43"/>
    <s v="41-60"/>
    <x v="1"/>
    <x v="12"/>
    <x v="9"/>
    <x v="1"/>
    <n v="1"/>
    <n v="1"/>
    <n v="3.8"/>
    <x v="0"/>
    <n v="4"/>
    <n v="7"/>
    <n v="698774"/>
    <n v="292957"/>
    <n v="405817"/>
    <n v="22"/>
    <n v="57"/>
    <n v="13.5"/>
  </r>
  <r>
    <x v="11"/>
    <x v="11"/>
    <d v="2023-11-19T00:00:00"/>
    <s v="NA"/>
    <n v="0"/>
    <n v="40"/>
    <s v="21-40"/>
    <x v="1"/>
    <x v="3"/>
    <x v="2"/>
    <x v="3"/>
    <n v="1"/>
    <n v="1"/>
    <n v="2.1"/>
    <x v="10"/>
    <n v="4"/>
    <n v="7"/>
    <n v="659971"/>
    <n v="210703"/>
    <n v="449268"/>
    <n v="26"/>
    <n v="66"/>
    <n v="5.9"/>
  </r>
  <r>
    <x v="11"/>
    <x v="11"/>
    <d v="2022-04-06T00:00:00"/>
    <s v="NA"/>
    <n v="0"/>
    <n v="25"/>
    <s v="21-40"/>
    <x v="1"/>
    <x v="3"/>
    <x v="2"/>
    <x v="0"/>
    <n v="1"/>
    <n v="1"/>
    <n v="4.2"/>
    <x v="26"/>
    <n v="6"/>
    <n v="5"/>
    <n v="738000"/>
    <n v="177370"/>
    <n v="560630"/>
    <n v="23"/>
    <n v="57"/>
    <n v="12.7"/>
  </r>
  <r>
    <x v="11"/>
    <x v="11"/>
    <d v="2022-05-21T00:00:00"/>
    <s v="NA"/>
    <n v="0"/>
    <n v="88"/>
    <s v="81+"/>
    <x v="1"/>
    <x v="3"/>
    <x v="2"/>
    <x v="3"/>
    <n v="1"/>
    <n v="1"/>
    <n v="3.5"/>
    <x v="8"/>
    <n v="7"/>
    <n v="7"/>
    <n v="722053"/>
    <n v="280781"/>
    <n v="441272"/>
    <n v="23"/>
    <n v="63"/>
    <n v="12.9"/>
  </r>
  <r>
    <x v="11"/>
    <x v="11"/>
    <d v="2021-01-23T00:00:00"/>
    <s v="NA"/>
    <n v="0"/>
    <n v="25"/>
    <s v="21-40"/>
    <x v="0"/>
    <x v="5"/>
    <x v="0"/>
    <x v="2"/>
    <n v="1"/>
    <n v="1"/>
    <n v="3.2"/>
    <x v="4"/>
    <n v="4"/>
    <n v="6"/>
    <n v="651378"/>
    <n v="183731"/>
    <n v="467647"/>
    <n v="34"/>
    <n v="56"/>
    <n v="10.1"/>
  </r>
  <r>
    <x v="11"/>
    <x v="11"/>
    <d v="2023-05-31T00:00:00"/>
    <s v="NA"/>
    <n v="0"/>
    <n v="89"/>
    <s v="81+"/>
    <x v="0"/>
    <x v="9"/>
    <x v="7"/>
    <x v="1"/>
    <n v="1"/>
    <n v="1"/>
    <n v="1.5"/>
    <x v="20"/>
    <n v="7"/>
    <n v="5"/>
    <n v="713654"/>
    <n v="186567"/>
    <n v="527087"/>
    <n v="25"/>
    <n v="56"/>
    <n v="36.4"/>
  </r>
  <r>
    <x v="11"/>
    <x v="11"/>
    <d v="2021-01-22T00:00:00"/>
    <s v="NA"/>
    <n v="0"/>
    <n v="28"/>
    <s v="21-40"/>
    <x v="0"/>
    <x v="10"/>
    <x v="8"/>
    <x v="1"/>
    <n v="1"/>
    <n v="1"/>
    <n v="4.5999999999999996"/>
    <x v="18"/>
    <n v="7"/>
    <n v="7"/>
    <n v="683962"/>
    <n v="123303"/>
    <n v="560659"/>
    <n v="32"/>
    <n v="63"/>
    <n v="12.8"/>
  </r>
  <r>
    <x v="11"/>
    <x v="11"/>
    <d v="2023-03-30T00:00:00"/>
    <s v="NA"/>
    <n v="0"/>
    <n v="25"/>
    <s v="21-40"/>
    <x v="0"/>
    <x v="12"/>
    <x v="9"/>
    <x v="0"/>
    <n v="1"/>
    <n v="1"/>
    <n v="2.6"/>
    <x v="13"/>
    <n v="7"/>
    <n v="6"/>
    <n v="706155"/>
    <n v="299711"/>
    <n v="406444"/>
    <n v="24"/>
    <n v="61"/>
    <n v="36.1"/>
  </r>
  <r>
    <x v="11"/>
    <x v="11"/>
    <d v="2023-01-17T00:00:00"/>
    <s v="NA"/>
    <n v="0"/>
    <n v="89"/>
    <s v="81+"/>
    <x v="0"/>
    <x v="0"/>
    <x v="0"/>
    <x v="0"/>
    <n v="1"/>
    <n v="1"/>
    <n v="2.5"/>
    <x v="4"/>
    <n v="5"/>
    <n v="7"/>
    <n v="702834"/>
    <n v="162611"/>
    <n v="540223"/>
    <n v="21"/>
    <n v="63"/>
    <n v="9.1999999999999993"/>
  </r>
  <r>
    <x v="11"/>
    <x v="11"/>
    <d v="2024-07-08T00:00:00"/>
    <s v="NA"/>
    <n v="0"/>
    <n v="89"/>
    <s v="81+"/>
    <x v="1"/>
    <x v="8"/>
    <x v="6"/>
    <x v="4"/>
    <n v="1"/>
    <n v="1"/>
    <n v="2.8"/>
    <x v="11"/>
    <n v="7"/>
    <n v="7"/>
    <n v="672239"/>
    <n v="261901"/>
    <n v="410338"/>
    <n v="20"/>
    <n v="60"/>
    <n v="14.1"/>
  </r>
  <r>
    <x v="11"/>
    <x v="11"/>
    <d v="2021-04-18T00:00:00"/>
    <s v="NA"/>
    <n v="0"/>
    <n v="64"/>
    <s v="61-80"/>
    <x v="0"/>
    <x v="10"/>
    <x v="8"/>
    <x v="1"/>
    <n v="1"/>
    <n v="1"/>
    <n v="2.7"/>
    <x v="1"/>
    <n v="3"/>
    <n v="4"/>
    <n v="664806"/>
    <n v="236219"/>
    <n v="428587"/>
    <n v="33"/>
    <n v="65"/>
    <n v="5.3"/>
  </r>
  <r>
    <x v="11"/>
    <x v="11"/>
    <d v="2022-11-28T00:00:00"/>
    <s v="NA"/>
    <n v="0"/>
    <n v="40"/>
    <s v="21-40"/>
    <x v="0"/>
    <x v="2"/>
    <x v="1"/>
    <x v="4"/>
    <n v="1"/>
    <n v="1"/>
    <n v="5.8"/>
    <x v="19"/>
    <n v="3"/>
    <n v="4"/>
    <n v="772280"/>
    <n v="297512"/>
    <n v="474768"/>
    <n v="23"/>
    <n v="66"/>
    <n v="6.1"/>
  </r>
  <r>
    <x v="11"/>
    <x v="11"/>
    <d v="2023-10-08T00:00:00"/>
    <s v="NA"/>
    <n v="0"/>
    <n v="39"/>
    <s v="21-40"/>
    <x v="1"/>
    <x v="10"/>
    <x v="8"/>
    <x v="1"/>
    <n v="1"/>
    <n v="1"/>
    <n v="5.7"/>
    <x v="12"/>
    <n v="5"/>
    <n v="6"/>
    <n v="621510"/>
    <n v="54948"/>
    <n v="566562"/>
    <n v="24"/>
    <n v="54"/>
    <n v="14.1"/>
  </r>
  <r>
    <x v="11"/>
    <x v="11"/>
    <d v="2022-09-15T00:00:00"/>
    <s v="NA"/>
    <n v="0"/>
    <n v="84"/>
    <s v="81+"/>
    <x v="0"/>
    <x v="12"/>
    <x v="9"/>
    <x v="3"/>
    <n v="1"/>
    <n v="1"/>
    <n v="5.0999999999999996"/>
    <x v="7"/>
    <n v="6"/>
    <n v="4"/>
    <n v="615788"/>
    <n v="210663"/>
    <n v="405125"/>
    <n v="30"/>
    <n v="57"/>
    <n v="5.0999999999999996"/>
  </r>
  <r>
    <x v="11"/>
    <x v="11"/>
    <d v="2023-12-06T00:00:00"/>
    <s v="NA"/>
    <n v="0"/>
    <n v="30"/>
    <s v="21-40"/>
    <x v="1"/>
    <x v="8"/>
    <x v="6"/>
    <x v="0"/>
    <n v="1"/>
    <n v="1"/>
    <n v="5.2"/>
    <x v="2"/>
    <n v="7"/>
    <n v="7"/>
    <n v="642238"/>
    <n v="240153"/>
    <n v="402085"/>
    <n v="28"/>
    <n v="60"/>
    <n v="7.1"/>
  </r>
  <r>
    <x v="11"/>
    <x v="11"/>
    <d v="2024-07-21T00:00:00"/>
    <s v="NA"/>
    <n v="0"/>
    <n v="62"/>
    <s v="61-80"/>
    <x v="0"/>
    <x v="0"/>
    <x v="0"/>
    <x v="0"/>
    <n v="1"/>
    <n v="1"/>
    <n v="3"/>
    <x v="20"/>
    <n v="6"/>
    <n v="4"/>
    <n v="730439"/>
    <n v="222851"/>
    <n v="507588"/>
    <n v="34"/>
    <n v="61"/>
    <n v="36"/>
  </r>
  <r>
    <x v="11"/>
    <x v="11"/>
    <d v="2022-06-11T00:00:00"/>
    <s v="NA"/>
    <n v="0"/>
    <n v="84"/>
    <s v="81+"/>
    <x v="1"/>
    <x v="3"/>
    <x v="2"/>
    <x v="4"/>
    <n v="1"/>
    <n v="1"/>
    <n v="3.3"/>
    <x v="15"/>
    <n v="3"/>
    <n v="5"/>
    <n v="665102"/>
    <n v="201496"/>
    <n v="463606"/>
    <n v="33"/>
    <n v="64"/>
    <n v="13.3"/>
  </r>
  <r>
    <x v="11"/>
    <x v="11"/>
    <d v="2024-08-11T00:00:00"/>
    <s v="NA"/>
    <n v="0"/>
    <n v="27"/>
    <s v="21-40"/>
    <x v="1"/>
    <x v="13"/>
    <x v="10"/>
    <x v="1"/>
    <n v="1"/>
    <n v="1"/>
    <n v="2.1"/>
    <x v="6"/>
    <n v="5"/>
    <n v="3"/>
    <n v="703662"/>
    <n v="254021"/>
    <n v="449641"/>
    <n v="25"/>
    <n v="55"/>
    <n v="36.5"/>
  </r>
  <r>
    <x v="11"/>
    <x v="11"/>
    <d v="2023-12-30T00:00:00"/>
    <s v="NA"/>
    <n v="0"/>
    <n v="71"/>
    <s v="61-80"/>
    <x v="1"/>
    <x v="12"/>
    <x v="9"/>
    <x v="1"/>
    <n v="1"/>
    <n v="1"/>
    <n v="3.7"/>
    <x v="25"/>
    <n v="6"/>
    <n v="4"/>
    <n v="777571"/>
    <n v="310208"/>
    <n v="467363"/>
    <n v="28"/>
    <n v="61"/>
    <n v="6.2"/>
  </r>
  <r>
    <x v="11"/>
    <x v="11"/>
    <d v="2024-08-21T00:00:00"/>
    <s v="NA"/>
    <n v="0"/>
    <n v="40"/>
    <s v="21-40"/>
    <x v="0"/>
    <x v="12"/>
    <x v="9"/>
    <x v="1"/>
    <n v="1"/>
    <n v="1"/>
    <n v="3.4"/>
    <x v="5"/>
    <n v="3"/>
    <n v="7"/>
    <n v="694958"/>
    <n v="143127"/>
    <n v="551831"/>
    <n v="30"/>
    <n v="61"/>
    <n v="5.4"/>
  </r>
  <r>
    <x v="11"/>
    <x v="11"/>
    <d v="2023-10-29T00:00:00"/>
    <s v="NA"/>
    <n v="0"/>
    <n v="35"/>
    <s v="21-40"/>
    <x v="1"/>
    <x v="8"/>
    <x v="6"/>
    <x v="2"/>
    <n v="1"/>
    <n v="1"/>
    <n v="4"/>
    <x v="18"/>
    <n v="7"/>
    <n v="3"/>
    <n v="630555"/>
    <n v="124733"/>
    <n v="505822"/>
    <n v="27"/>
    <n v="56"/>
    <n v="36.4"/>
  </r>
  <r>
    <x v="11"/>
    <x v="11"/>
    <d v="2024-01-30T00:00:00"/>
    <s v="NA"/>
    <n v="0"/>
    <n v="81"/>
    <s v="81+"/>
    <x v="1"/>
    <x v="12"/>
    <x v="9"/>
    <x v="2"/>
    <n v="1"/>
    <n v="1"/>
    <n v="5.4"/>
    <x v="12"/>
    <n v="4"/>
    <n v="7"/>
    <n v="751471"/>
    <n v="329333"/>
    <n v="422138"/>
    <n v="31"/>
    <n v="65"/>
    <n v="36.1"/>
  </r>
  <r>
    <x v="11"/>
    <x v="11"/>
    <d v="2022-12-10T00:00:00"/>
    <s v="NA"/>
    <n v="0"/>
    <n v="38"/>
    <s v="21-40"/>
    <x v="0"/>
    <x v="2"/>
    <x v="1"/>
    <x v="1"/>
    <n v="1"/>
    <n v="1"/>
    <n v="2.4"/>
    <x v="3"/>
    <n v="7"/>
    <n v="6"/>
    <n v="736318"/>
    <n v="184537"/>
    <n v="551781"/>
    <n v="25"/>
    <n v="54"/>
    <n v="14.6"/>
  </r>
  <r>
    <x v="11"/>
    <x v="11"/>
    <d v="2023-09-19T00:00:00"/>
    <s v="NA"/>
    <n v="0"/>
    <n v="77"/>
    <s v="61-80"/>
    <x v="0"/>
    <x v="12"/>
    <x v="9"/>
    <x v="3"/>
    <n v="1"/>
    <n v="1"/>
    <n v="5.9"/>
    <x v="9"/>
    <n v="3"/>
    <n v="7"/>
    <n v="704505"/>
    <n v="188769"/>
    <n v="515736"/>
    <n v="20"/>
    <n v="66"/>
    <n v="36.200000000000003"/>
  </r>
  <r>
    <x v="11"/>
    <x v="11"/>
    <d v="2024-07-01T00:00:00"/>
    <s v="NA"/>
    <n v="0"/>
    <n v="47"/>
    <s v="41-60"/>
    <x v="1"/>
    <x v="3"/>
    <x v="2"/>
    <x v="0"/>
    <n v="1"/>
    <n v="1"/>
    <n v="4.3"/>
    <x v="8"/>
    <n v="5"/>
    <n v="3"/>
    <n v="683069"/>
    <n v="210900"/>
    <n v="472169"/>
    <n v="27"/>
    <n v="62"/>
    <n v="7.3"/>
  </r>
  <r>
    <x v="11"/>
    <x v="11"/>
    <d v="2024-03-20T00:00:00"/>
    <s v="NA"/>
    <n v="0"/>
    <n v="28"/>
    <s v="21-40"/>
    <x v="0"/>
    <x v="13"/>
    <x v="10"/>
    <x v="4"/>
    <n v="1"/>
    <n v="1"/>
    <n v="4.7"/>
    <x v="26"/>
    <n v="4"/>
    <n v="6"/>
    <n v="716155"/>
    <n v="294849"/>
    <n v="421306"/>
    <n v="20"/>
    <n v="61"/>
    <n v="8.4"/>
  </r>
  <r>
    <x v="11"/>
    <x v="11"/>
    <d v="2024-10-23T00:00:00"/>
    <s v="NA"/>
    <n v="0"/>
    <n v="88"/>
    <s v="81+"/>
    <x v="0"/>
    <x v="6"/>
    <x v="4"/>
    <x v="4"/>
    <n v="1"/>
    <n v="1"/>
    <n v="5.5"/>
    <x v="8"/>
    <n v="7"/>
    <n v="5"/>
    <n v="683484"/>
    <n v="229528"/>
    <n v="453956"/>
    <n v="20"/>
    <n v="55"/>
    <n v="5.8"/>
  </r>
  <r>
    <x v="11"/>
    <x v="11"/>
    <d v="2024-06-12T00:00:00"/>
    <s v="NA"/>
    <n v="0"/>
    <n v="47"/>
    <s v="41-60"/>
    <x v="0"/>
    <x v="0"/>
    <x v="0"/>
    <x v="0"/>
    <n v="1"/>
    <n v="1"/>
    <n v="6.5"/>
    <x v="4"/>
    <n v="3"/>
    <n v="6"/>
    <n v="762382"/>
    <n v="271097"/>
    <n v="491285"/>
    <n v="31"/>
    <n v="62"/>
    <n v="6.5"/>
  </r>
  <r>
    <x v="11"/>
    <x v="11"/>
    <d v="2024-12-13T00:00:00"/>
    <s v="NA"/>
    <n v="0"/>
    <n v="25"/>
    <s v="21-40"/>
    <x v="1"/>
    <x v="12"/>
    <x v="9"/>
    <x v="1"/>
    <n v="1"/>
    <n v="1"/>
    <n v="5.5"/>
    <x v="1"/>
    <n v="5"/>
    <n v="3"/>
    <n v="677570"/>
    <n v="239799"/>
    <n v="437771"/>
    <n v="22"/>
    <n v="65"/>
    <n v="7.8"/>
  </r>
  <r>
    <x v="11"/>
    <x v="11"/>
    <d v="2022-08-19T00:00:00"/>
    <s v="NA"/>
    <n v="0"/>
    <n v="88"/>
    <s v="81+"/>
    <x v="1"/>
    <x v="1"/>
    <x v="1"/>
    <x v="0"/>
    <n v="1"/>
    <n v="1"/>
    <n v="5.4"/>
    <x v="1"/>
    <n v="5"/>
    <n v="4"/>
    <n v="754909"/>
    <n v="310907"/>
    <n v="444002"/>
    <n v="28"/>
    <n v="65"/>
    <n v="14.3"/>
  </r>
  <r>
    <x v="11"/>
    <x v="11"/>
    <d v="2021-12-18T00:00:00"/>
    <s v="NA"/>
    <n v="0"/>
    <n v="40"/>
    <s v="21-40"/>
    <x v="1"/>
    <x v="12"/>
    <x v="9"/>
    <x v="2"/>
    <n v="1"/>
    <n v="1"/>
    <n v="6.9"/>
    <x v="12"/>
    <n v="6"/>
    <n v="4"/>
    <n v="756308"/>
    <n v="237650"/>
    <n v="518658"/>
    <n v="35"/>
    <n v="63"/>
    <n v="7.5"/>
  </r>
  <r>
    <x v="11"/>
    <x v="11"/>
    <d v="2023-03-05T00:00:00"/>
    <s v="NA"/>
    <n v="0"/>
    <n v="33"/>
    <s v="21-40"/>
    <x v="1"/>
    <x v="3"/>
    <x v="2"/>
    <x v="0"/>
    <n v="1"/>
    <n v="1"/>
    <n v="2.2999999999999998"/>
    <x v="8"/>
    <n v="3"/>
    <n v="3"/>
    <n v="727921"/>
    <n v="269795"/>
    <n v="458126"/>
    <n v="34"/>
    <n v="63"/>
    <n v="8.8000000000000007"/>
  </r>
  <r>
    <x v="11"/>
    <x v="11"/>
    <d v="2021-01-24T00:00:00"/>
    <s v="NA"/>
    <n v="0"/>
    <n v="82"/>
    <s v="81+"/>
    <x v="1"/>
    <x v="2"/>
    <x v="1"/>
    <x v="2"/>
    <n v="1"/>
    <n v="1"/>
    <n v="2.1"/>
    <x v="25"/>
    <n v="3"/>
    <n v="7"/>
    <n v="703204"/>
    <n v="246510"/>
    <n v="456694"/>
    <n v="30"/>
    <n v="56"/>
    <n v="9.8000000000000007"/>
  </r>
  <r>
    <x v="11"/>
    <x v="11"/>
    <d v="2022-12-14T00:00:00"/>
    <s v="NA"/>
    <n v="0"/>
    <n v="27"/>
    <s v="21-40"/>
    <x v="1"/>
    <x v="8"/>
    <x v="6"/>
    <x v="4"/>
    <n v="1"/>
    <n v="1"/>
    <n v="6.8"/>
    <x v="10"/>
    <n v="6"/>
    <n v="4"/>
    <n v="751038"/>
    <n v="232116"/>
    <n v="518922"/>
    <n v="20"/>
    <n v="58"/>
    <n v="5.4"/>
  </r>
  <r>
    <x v="11"/>
    <x v="11"/>
    <d v="2022-03-14T00:00:00"/>
    <s v="NA"/>
    <n v="0"/>
    <n v="35"/>
    <s v="21-40"/>
    <x v="1"/>
    <x v="6"/>
    <x v="4"/>
    <x v="2"/>
    <n v="1"/>
    <n v="1"/>
    <n v="2.1"/>
    <x v="3"/>
    <n v="4"/>
    <n v="6"/>
    <n v="680327"/>
    <n v="134747"/>
    <n v="545580"/>
    <n v="30"/>
    <n v="57"/>
    <n v="6"/>
  </r>
  <r>
    <x v="11"/>
    <x v="11"/>
    <d v="2023-02-21T00:00:00"/>
    <s v="NA"/>
    <n v="0"/>
    <n v="44"/>
    <s v="41-60"/>
    <x v="1"/>
    <x v="9"/>
    <x v="7"/>
    <x v="1"/>
    <n v="1"/>
    <n v="1"/>
    <n v="1.3"/>
    <x v="7"/>
    <n v="3"/>
    <n v="5"/>
    <n v="782824"/>
    <n v="209594"/>
    <n v="573230"/>
    <n v="32"/>
    <n v="66"/>
    <n v="12.8"/>
  </r>
  <r>
    <x v="11"/>
    <x v="11"/>
    <d v="2024-12-10T00:00:00"/>
    <s v="NA"/>
    <n v="0"/>
    <n v="42"/>
    <s v="41-60"/>
    <x v="1"/>
    <x v="13"/>
    <x v="10"/>
    <x v="4"/>
    <n v="1"/>
    <n v="1"/>
    <n v="2.7"/>
    <x v="24"/>
    <n v="5"/>
    <n v="5"/>
    <n v="772976"/>
    <n v="358004"/>
    <n v="414972"/>
    <n v="35"/>
    <n v="66"/>
    <n v="12.8"/>
  </r>
  <r>
    <x v="11"/>
    <x v="11"/>
    <d v="2023-04-05T00:00:00"/>
    <s v="NA"/>
    <n v="0"/>
    <n v="73"/>
    <s v="61-80"/>
    <x v="0"/>
    <x v="1"/>
    <x v="1"/>
    <x v="4"/>
    <n v="1"/>
    <n v="1"/>
    <n v="3"/>
    <x v="5"/>
    <n v="4"/>
    <n v="6"/>
    <n v="786544"/>
    <n v="362886"/>
    <n v="423658"/>
    <n v="34"/>
    <n v="66"/>
    <n v="36.200000000000003"/>
  </r>
  <r>
    <x v="11"/>
    <x v="11"/>
    <d v="2022-06-16T00:00:00"/>
    <s v="NA"/>
    <n v="0"/>
    <n v="80"/>
    <s v="61-80"/>
    <x v="0"/>
    <x v="7"/>
    <x v="5"/>
    <x v="4"/>
    <n v="1"/>
    <n v="1"/>
    <n v="4.9000000000000004"/>
    <x v="29"/>
    <n v="5"/>
    <n v="3"/>
    <n v="793852"/>
    <n v="219880"/>
    <n v="573972"/>
    <n v="27"/>
    <n v="58"/>
    <n v="7.6"/>
  </r>
  <r>
    <x v="11"/>
    <x v="11"/>
    <d v="2022-05-11T00:00:00"/>
    <s v="NA"/>
    <n v="0"/>
    <n v="53"/>
    <s v="41-60"/>
    <x v="1"/>
    <x v="6"/>
    <x v="4"/>
    <x v="4"/>
    <n v="1"/>
    <n v="1"/>
    <n v="1.4"/>
    <x v="2"/>
    <n v="5"/>
    <n v="7"/>
    <n v="721464"/>
    <n v="154876"/>
    <n v="566588"/>
    <n v="30"/>
    <n v="59"/>
    <n v="36.1"/>
  </r>
  <r>
    <x v="11"/>
    <x v="11"/>
    <d v="2023-01-27T00:00:00"/>
    <s v="NA"/>
    <n v="0"/>
    <n v="84"/>
    <s v="81+"/>
    <x v="1"/>
    <x v="3"/>
    <x v="2"/>
    <x v="4"/>
    <n v="1"/>
    <n v="1"/>
    <n v="3"/>
    <x v="8"/>
    <n v="3"/>
    <n v="3"/>
    <n v="627869"/>
    <n v="58904"/>
    <n v="568965"/>
    <n v="27"/>
    <n v="57"/>
    <n v="5.6"/>
  </r>
  <r>
    <x v="11"/>
    <x v="11"/>
    <d v="2024-01-28T00:00:00"/>
    <s v="NA"/>
    <n v="0"/>
    <n v="21"/>
    <s v="21-40"/>
    <x v="0"/>
    <x v="0"/>
    <x v="0"/>
    <x v="3"/>
    <n v="1"/>
    <n v="1"/>
    <n v="3.2"/>
    <x v="28"/>
    <n v="3"/>
    <n v="6"/>
    <n v="758625"/>
    <n v="209747"/>
    <n v="548878"/>
    <n v="35"/>
    <n v="54"/>
    <n v="8.4"/>
  </r>
  <r>
    <x v="11"/>
    <x v="11"/>
    <d v="2022-05-22T00:00:00"/>
    <s v="NA"/>
    <n v="0"/>
    <n v="89"/>
    <s v="81+"/>
    <x v="1"/>
    <x v="11"/>
    <x v="8"/>
    <x v="2"/>
    <n v="1"/>
    <n v="1"/>
    <n v="3"/>
    <x v="23"/>
    <n v="4"/>
    <n v="5"/>
    <n v="658051"/>
    <n v="125699"/>
    <n v="532352"/>
    <n v="24"/>
    <n v="63"/>
    <n v="36.5"/>
  </r>
  <r>
    <x v="11"/>
    <x v="11"/>
    <d v="2024-02-20T00:00:00"/>
    <s v="NA"/>
    <n v="0"/>
    <n v="36"/>
    <s v="21-40"/>
    <x v="0"/>
    <x v="7"/>
    <x v="5"/>
    <x v="2"/>
    <n v="1"/>
    <n v="1"/>
    <n v="6.6"/>
    <x v="9"/>
    <n v="7"/>
    <n v="5"/>
    <n v="661439"/>
    <n v="142253"/>
    <n v="519186"/>
    <n v="23"/>
    <n v="63"/>
    <n v="5"/>
  </r>
  <r>
    <x v="11"/>
    <x v="11"/>
    <d v="2022-02-21T00:00:00"/>
    <s v="NA"/>
    <n v="0"/>
    <n v="24"/>
    <s v="21-40"/>
    <x v="0"/>
    <x v="7"/>
    <x v="5"/>
    <x v="1"/>
    <n v="1"/>
    <n v="1"/>
    <n v="6.9"/>
    <x v="4"/>
    <n v="3"/>
    <n v="3"/>
    <n v="614891"/>
    <n v="153600"/>
    <n v="461291"/>
    <n v="35"/>
    <n v="57"/>
    <n v="36.4"/>
  </r>
  <r>
    <x v="11"/>
    <x v="11"/>
    <d v="2024-01-29T00:00:00"/>
    <s v="NA"/>
    <n v="0"/>
    <n v="25"/>
    <s v="21-40"/>
    <x v="0"/>
    <x v="1"/>
    <x v="1"/>
    <x v="4"/>
    <n v="1"/>
    <n v="1"/>
    <n v="5.7"/>
    <x v="17"/>
    <n v="4"/>
    <n v="4"/>
    <n v="727252"/>
    <n v="291711"/>
    <n v="435541"/>
    <n v="23"/>
    <n v="66"/>
    <n v="9.6"/>
  </r>
  <r>
    <x v="11"/>
    <x v="11"/>
    <d v="2024-07-13T00:00:00"/>
    <s v="NA"/>
    <n v="0"/>
    <n v="31"/>
    <s v="21-40"/>
    <x v="1"/>
    <x v="3"/>
    <x v="2"/>
    <x v="0"/>
    <n v="1"/>
    <n v="1"/>
    <n v="5.9"/>
    <x v="16"/>
    <n v="4"/>
    <n v="7"/>
    <n v="691934"/>
    <n v="258516"/>
    <n v="433418"/>
    <n v="35"/>
    <n v="66"/>
    <n v="12.3"/>
  </r>
  <r>
    <x v="11"/>
    <x v="11"/>
    <d v="2021-03-28T00:00:00"/>
    <s v="NA"/>
    <n v="0"/>
    <n v="37"/>
    <s v="21-40"/>
    <x v="1"/>
    <x v="3"/>
    <x v="2"/>
    <x v="1"/>
    <n v="1"/>
    <n v="1"/>
    <n v="3.4"/>
    <x v="7"/>
    <n v="4"/>
    <n v="6"/>
    <n v="610935"/>
    <n v="174456"/>
    <n v="436479"/>
    <n v="28"/>
    <n v="58"/>
    <n v="9.5"/>
  </r>
  <r>
    <x v="11"/>
    <x v="11"/>
    <d v="2021-07-11T00:00:00"/>
    <s v="NA"/>
    <n v="0"/>
    <n v="48"/>
    <s v="41-60"/>
    <x v="0"/>
    <x v="2"/>
    <x v="1"/>
    <x v="3"/>
    <n v="1"/>
    <n v="1"/>
    <n v="2.9"/>
    <x v="17"/>
    <n v="7"/>
    <n v="4"/>
    <n v="733754"/>
    <n v="216129"/>
    <n v="517625"/>
    <n v="21"/>
    <n v="54"/>
    <n v="36.5"/>
  </r>
  <r>
    <x v="11"/>
    <x v="11"/>
    <d v="2023-02-16T00:00:00"/>
    <s v="NA"/>
    <n v="0"/>
    <n v="77"/>
    <s v="61-80"/>
    <x v="0"/>
    <x v="12"/>
    <x v="9"/>
    <x v="2"/>
    <n v="1"/>
    <n v="1"/>
    <n v="5.9"/>
    <x v="6"/>
    <n v="7"/>
    <n v="5"/>
    <n v="659059"/>
    <n v="198530"/>
    <n v="460529"/>
    <n v="30"/>
    <n v="60"/>
    <n v="8.9"/>
  </r>
  <r>
    <x v="11"/>
    <x v="11"/>
    <d v="2021-04-23T00:00:00"/>
    <s v="NA"/>
    <n v="0"/>
    <n v="21"/>
    <s v="21-40"/>
    <x v="1"/>
    <x v="3"/>
    <x v="2"/>
    <x v="0"/>
    <n v="1"/>
    <n v="1"/>
    <n v="1.9"/>
    <x v="27"/>
    <n v="5"/>
    <n v="5"/>
    <n v="683404"/>
    <n v="250994"/>
    <n v="432410"/>
    <n v="23"/>
    <n v="64"/>
    <n v="10.8"/>
  </r>
  <r>
    <x v="11"/>
    <x v="11"/>
    <d v="2024-12-31T00:00:00"/>
    <s v="NA"/>
    <n v="0"/>
    <n v="37"/>
    <s v="21-40"/>
    <x v="0"/>
    <x v="12"/>
    <x v="9"/>
    <x v="4"/>
    <n v="1"/>
    <n v="1"/>
    <n v="5.7"/>
    <x v="23"/>
    <n v="4"/>
    <n v="7"/>
    <n v="725089"/>
    <n v="235620"/>
    <n v="489469"/>
    <n v="33"/>
    <n v="63"/>
    <n v="12"/>
  </r>
  <r>
    <x v="11"/>
    <x v="11"/>
    <d v="2021-01-27T00:00:00"/>
    <s v="NA"/>
    <n v="0"/>
    <n v="46"/>
    <s v="41-60"/>
    <x v="1"/>
    <x v="3"/>
    <x v="2"/>
    <x v="0"/>
    <n v="1"/>
    <n v="1"/>
    <n v="4.2"/>
    <x v="5"/>
    <n v="7"/>
    <n v="5"/>
    <n v="600276"/>
    <n v="116695"/>
    <n v="483581"/>
    <n v="35"/>
    <n v="56"/>
    <n v="7.5"/>
  </r>
  <r>
    <x v="11"/>
    <x v="11"/>
    <d v="2024-09-08T00:00:00"/>
    <s v="NA"/>
    <n v="0"/>
    <n v="23"/>
    <s v="21-40"/>
    <x v="0"/>
    <x v="4"/>
    <x v="3"/>
    <x v="0"/>
    <n v="1"/>
    <n v="1"/>
    <n v="4.3"/>
    <x v="18"/>
    <n v="4"/>
    <n v="5"/>
    <n v="635955"/>
    <n v="164413"/>
    <n v="471542"/>
    <n v="34"/>
    <n v="63"/>
    <n v="9.5"/>
  </r>
  <r>
    <x v="11"/>
    <x v="11"/>
    <d v="2023-04-28T00:00:00"/>
    <s v="NA"/>
    <n v="0"/>
    <n v="62"/>
    <s v="61-80"/>
    <x v="0"/>
    <x v="0"/>
    <x v="0"/>
    <x v="1"/>
    <n v="1"/>
    <n v="1"/>
    <n v="2.6"/>
    <x v="17"/>
    <n v="6"/>
    <n v="3"/>
    <n v="742525"/>
    <n v="184447"/>
    <n v="558078"/>
    <n v="35"/>
    <n v="55"/>
    <n v="14.5"/>
  </r>
  <r>
    <x v="11"/>
    <x v="11"/>
    <d v="2024-01-14T00:00:00"/>
    <s v="NA"/>
    <n v="0"/>
    <n v="23"/>
    <s v="21-40"/>
    <x v="0"/>
    <x v="5"/>
    <x v="0"/>
    <x v="1"/>
    <n v="1"/>
    <n v="1"/>
    <n v="2.9"/>
    <x v="4"/>
    <n v="7"/>
    <n v="5"/>
    <n v="788347"/>
    <n v="221167"/>
    <n v="567180"/>
    <n v="21"/>
    <n v="56"/>
    <n v="13.4"/>
  </r>
  <r>
    <x v="11"/>
    <x v="11"/>
    <d v="2024-11-30T00:00:00"/>
    <s v="NA"/>
    <n v="0"/>
    <n v="47"/>
    <s v="41-60"/>
    <x v="0"/>
    <x v="7"/>
    <x v="5"/>
    <x v="2"/>
    <n v="1"/>
    <n v="1"/>
    <n v="2.7"/>
    <x v="26"/>
    <n v="7"/>
    <n v="4"/>
    <n v="609648"/>
    <n v="132217"/>
    <n v="477431"/>
    <n v="24"/>
    <n v="66"/>
    <n v="8"/>
  </r>
  <r>
    <x v="11"/>
    <x v="11"/>
    <d v="2024-07-13T00:00:00"/>
    <s v="NA"/>
    <n v="0"/>
    <n v="31"/>
    <s v="21-40"/>
    <x v="1"/>
    <x v="9"/>
    <x v="7"/>
    <x v="4"/>
    <n v="1"/>
    <n v="1"/>
    <n v="4.8"/>
    <x v="9"/>
    <n v="7"/>
    <n v="3"/>
    <n v="664899"/>
    <n v="202458"/>
    <n v="462441"/>
    <n v="25"/>
    <n v="63"/>
    <n v="7.4"/>
  </r>
  <r>
    <x v="11"/>
    <x v="11"/>
    <d v="2024-10-12T00:00:00"/>
    <s v="NA"/>
    <n v="0"/>
    <n v="43"/>
    <s v="41-60"/>
    <x v="1"/>
    <x v="12"/>
    <x v="9"/>
    <x v="1"/>
    <n v="1"/>
    <n v="1"/>
    <n v="6.2"/>
    <x v="13"/>
    <n v="5"/>
    <n v="7"/>
    <n v="760958"/>
    <n v="290895"/>
    <n v="470063"/>
    <n v="22"/>
    <n v="54"/>
    <n v="12.9"/>
  </r>
  <r>
    <x v="11"/>
    <x v="11"/>
    <d v="2021-11-16T00:00:00"/>
    <s v="NA"/>
    <n v="0"/>
    <n v="28"/>
    <s v="21-40"/>
    <x v="1"/>
    <x v="10"/>
    <x v="8"/>
    <x v="4"/>
    <n v="1"/>
    <n v="1"/>
    <n v="4"/>
    <x v="3"/>
    <n v="5"/>
    <n v="6"/>
    <n v="688860"/>
    <n v="277910"/>
    <n v="410950"/>
    <n v="35"/>
    <n v="60"/>
    <n v="7"/>
  </r>
  <r>
    <x v="11"/>
    <x v="11"/>
    <d v="2024-08-01T00:00:00"/>
    <s v="NA"/>
    <n v="0"/>
    <n v="46"/>
    <s v="41-60"/>
    <x v="0"/>
    <x v="14"/>
    <x v="11"/>
    <x v="1"/>
    <n v="1"/>
    <n v="1"/>
    <n v="4"/>
    <x v="10"/>
    <n v="4"/>
    <n v="4"/>
    <n v="757713"/>
    <n v="321839"/>
    <n v="435874"/>
    <n v="24"/>
    <n v="61"/>
    <n v="13.5"/>
  </r>
  <r>
    <x v="11"/>
    <x v="11"/>
    <d v="2024-07-22T00:00:00"/>
    <s v="NA"/>
    <n v="0"/>
    <n v="66"/>
    <s v="61-80"/>
    <x v="0"/>
    <x v="5"/>
    <x v="0"/>
    <x v="0"/>
    <n v="1"/>
    <n v="1"/>
    <n v="3.2"/>
    <x v="12"/>
    <n v="6"/>
    <n v="4"/>
    <n v="785350"/>
    <n v="344655"/>
    <n v="440695"/>
    <n v="35"/>
    <n v="64"/>
    <n v="13.2"/>
  </r>
  <r>
    <x v="11"/>
    <x v="11"/>
    <d v="2024-01-11T00:00:00"/>
    <s v="NA"/>
    <n v="0"/>
    <n v="90"/>
    <s v="81+"/>
    <x v="0"/>
    <x v="2"/>
    <x v="1"/>
    <x v="1"/>
    <n v="1"/>
    <n v="1"/>
    <n v="6.3"/>
    <x v="30"/>
    <n v="7"/>
    <n v="6"/>
    <n v="686961"/>
    <n v="140971"/>
    <n v="545990"/>
    <n v="22"/>
    <n v="62"/>
    <n v="9.8000000000000007"/>
  </r>
  <r>
    <x v="11"/>
    <x v="11"/>
    <d v="2024-03-13T00:00:00"/>
    <s v="NA"/>
    <n v="0"/>
    <n v="43"/>
    <s v="41-60"/>
    <x v="1"/>
    <x v="11"/>
    <x v="8"/>
    <x v="3"/>
    <n v="1"/>
    <n v="1"/>
    <n v="5"/>
    <x v="1"/>
    <n v="6"/>
    <n v="4"/>
    <n v="722012"/>
    <n v="166682"/>
    <n v="555330"/>
    <n v="31"/>
    <n v="64"/>
    <n v="5.4"/>
  </r>
  <r>
    <x v="11"/>
    <x v="11"/>
    <d v="2024-04-10T00:00:00"/>
    <s v="NA"/>
    <n v="0"/>
    <n v="73"/>
    <s v="61-80"/>
    <x v="1"/>
    <x v="9"/>
    <x v="7"/>
    <x v="2"/>
    <n v="1"/>
    <n v="1"/>
    <n v="3.5"/>
    <x v="10"/>
    <n v="7"/>
    <n v="3"/>
    <n v="654313"/>
    <n v="209450"/>
    <n v="444863"/>
    <n v="21"/>
    <n v="66"/>
    <n v="13.7"/>
  </r>
  <r>
    <x v="11"/>
    <x v="11"/>
    <d v="2022-06-21T00:00:00"/>
    <s v="NA"/>
    <n v="0"/>
    <n v="55"/>
    <s v="41-60"/>
    <x v="0"/>
    <x v="5"/>
    <x v="0"/>
    <x v="3"/>
    <n v="1"/>
    <n v="1"/>
    <n v="6.9"/>
    <x v="25"/>
    <n v="4"/>
    <n v="3"/>
    <n v="769759"/>
    <n v="299244"/>
    <n v="470515"/>
    <n v="29"/>
    <n v="54"/>
    <n v="10"/>
  </r>
  <r>
    <x v="11"/>
    <x v="11"/>
    <d v="2024-06-04T00:00:00"/>
    <s v="NA"/>
    <n v="0"/>
    <n v="80"/>
    <s v="61-80"/>
    <x v="1"/>
    <x v="3"/>
    <x v="2"/>
    <x v="2"/>
    <n v="1"/>
    <n v="1"/>
    <n v="3.8"/>
    <x v="12"/>
    <n v="4"/>
    <n v="7"/>
    <n v="703202"/>
    <n v="196428"/>
    <n v="506774"/>
    <n v="22"/>
    <n v="55"/>
    <n v="10.7"/>
  </r>
  <r>
    <x v="11"/>
    <x v="11"/>
    <d v="2023-08-08T00:00:00"/>
    <s v="NA"/>
    <n v="0"/>
    <n v="61"/>
    <s v="61-80"/>
    <x v="0"/>
    <x v="12"/>
    <x v="9"/>
    <x v="2"/>
    <n v="1"/>
    <n v="1"/>
    <n v="6.9"/>
    <x v="29"/>
    <n v="5"/>
    <n v="4"/>
    <n v="741744"/>
    <n v="199083"/>
    <n v="542661"/>
    <n v="22"/>
    <n v="54"/>
    <n v="13.4"/>
  </r>
  <r>
    <x v="11"/>
    <x v="11"/>
    <d v="2023-12-16T00:00:00"/>
    <s v="NA"/>
    <n v="0"/>
    <n v="28"/>
    <s v="21-40"/>
    <x v="0"/>
    <x v="14"/>
    <x v="11"/>
    <x v="0"/>
    <n v="1"/>
    <n v="1"/>
    <n v="6.9"/>
    <x v="5"/>
    <n v="3"/>
    <n v="7"/>
    <n v="774474"/>
    <n v="271622"/>
    <n v="502852"/>
    <n v="27"/>
    <n v="61"/>
    <n v="9.1"/>
  </r>
  <r>
    <x v="11"/>
    <x v="11"/>
    <d v="2022-12-14T00:00:00"/>
    <s v="NA"/>
    <n v="0"/>
    <n v="39"/>
    <s v="21-40"/>
    <x v="0"/>
    <x v="4"/>
    <x v="3"/>
    <x v="2"/>
    <n v="1"/>
    <n v="1"/>
    <n v="5.8"/>
    <x v="24"/>
    <n v="6"/>
    <n v="7"/>
    <n v="738829"/>
    <n v="204283"/>
    <n v="534546"/>
    <n v="28"/>
    <n v="61"/>
    <n v="12.3"/>
  </r>
  <r>
    <x v="11"/>
    <x v="11"/>
    <d v="2024-06-17T00:00:00"/>
    <s v="NA"/>
    <n v="0"/>
    <n v="26"/>
    <s v="21-40"/>
    <x v="1"/>
    <x v="10"/>
    <x v="8"/>
    <x v="1"/>
    <n v="1"/>
    <n v="1"/>
    <n v="6.9"/>
    <x v="19"/>
    <n v="6"/>
    <n v="6"/>
    <n v="763702"/>
    <n v="229400"/>
    <n v="534302"/>
    <n v="32"/>
    <n v="57"/>
    <n v="14"/>
  </r>
  <r>
    <x v="11"/>
    <x v="11"/>
    <d v="2024-12-30T00:00:00"/>
    <s v="NA"/>
    <n v="0"/>
    <n v="43"/>
    <s v="41-60"/>
    <x v="1"/>
    <x v="1"/>
    <x v="1"/>
    <x v="3"/>
    <n v="1"/>
    <n v="1"/>
    <n v="5.9"/>
    <x v="6"/>
    <n v="6"/>
    <n v="5"/>
    <n v="671056"/>
    <n v="243104"/>
    <n v="427952"/>
    <n v="21"/>
    <n v="60"/>
    <n v="9.9"/>
  </r>
  <r>
    <x v="11"/>
    <x v="11"/>
    <d v="2021-11-18T00:00:00"/>
    <s v="NA"/>
    <n v="0"/>
    <n v="67"/>
    <s v="61-80"/>
    <x v="0"/>
    <x v="2"/>
    <x v="1"/>
    <x v="1"/>
    <n v="1"/>
    <n v="1"/>
    <n v="1.1000000000000001"/>
    <x v="3"/>
    <n v="4"/>
    <n v="7"/>
    <n v="781952"/>
    <n v="214878"/>
    <n v="567074"/>
    <n v="28"/>
    <n v="57"/>
    <n v="12.7"/>
  </r>
  <r>
    <x v="11"/>
    <x v="11"/>
    <d v="2022-10-27T00:00:00"/>
    <s v="NA"/>
    <n v="0"/>
    <n v="81"/>
    <s v="81+"/>
    <x v="0"/>
    <x v="12"/>
    <x v="9"/>
    <x v="0"/>
    <n v="1"/>
    <n v="1"/>
    <n v="4.8"/>
    <x v="29"/>
    <n v="6"/>
    <n v="6"/>
    <n v="787877"/>
    <n v="363652"/>
    <n v="424225"/>
    <n v="30"/>
    <n v="56"/>
    <n v="12.2"/>
  </r>
  <r>
    <x v="11"/>
    <x v="11"/>
    <d v="2021-05-07T00:00:00"/>
    <s v="NA"/>
    <n v="0"/>
    <n v="65"/>
    <s v="61-80"/>
    <x v="1"/>
    <x v="10"/>
    <x v="8"/>
    <x v="0"/>
    <n v="1"/>
    <n v="1"/>
    <n v="1.7"/>
    <x v="20"/>
    <n v="3"/>
    <n v="3"/>
    <n v="783545"/>
    <n v="345759"/>
    <n v="437786"/>
    <n v="32"/>
    <n v="59"/>
    <n v="12.3"/>
  </r>
  <r>
    <x v="11"/>
    <x v="11"/>
    <d v="2022-10-15T00:00:00"/>
    <s v="NA"/>
    <n v="0"/>
    <n v="31"/>
    <s v="21-40"/>
    <x v="0"/>
    <x v="12"/>
    <x v="9"/>
    <x v="3"/>
    <n v="1"/>
    <n v="1"/>
    <n v="2"/>
    <x v="19"/>
    <n v="4"/>
    <n v="4"/>
    <n v="660967"/>
    <n v="244549"/>
    <n v="416418"/>
    <n v="34"/>
    <n v="63"/>
    <n v="6"/>
  </r>
  <r>
    <x v="11"/>
    <x v="11"/>
    <d v="2023-07-24T00:00:00"/>
    <s v="NA"/>
    <n v="0"/>
    <n v="49"/>
    <s v="41-60"/>
    <x v="1"/>
    <x v="13"/>
    <x v="10"/>
    <x v="3"/>
    <n v="1"/>
    <n v="1"/>
    <n v="4.0999999999999996"/>
    <x v="24"/>
    <n v="4"/>
    <n v="3"/>
    <n v="617964"/>
    <n v="81446"/>
    <n v="536518"/>
    <n v="22"/>
    <n v="64"/>
    <n v="12.3"/>
  </r>
  <r>
    <x v="11"/>
    <x v="11"/>
    <d v="2024-04-17T00:00:00"/>
    <s v="NA"/>
    <n v="0"/>
    <n v="56"/>
    <s v="41-60"/>
    <x v="0"/>
    <x v="10"/>
    <x v="8"/>
    <x v="3"/>
    <n v="1"/>
    <n v="1"/>
    <n v="6.9"/>
    <x v="20"/>
    <n v="3"/>
    <n v="4"/>
    <n v="772025"/>
    <n v="241216"/>
    <n v="530809"/>
    <n v="20"/>
    <n v="54"/>
    <n v="13.5"/>
  </r>
  <r>
    <x v="11"/>
    <x v="11"/>
    <d v="2022-11-16T00:00:00"/>
    <s v="NA"/>
    <n v="0"/>
    <n v="36"/>
    <s v="21-40"/>
    <x v="1"/>
    <x v="3"/>
    <x v="2"/>
    <x v="3"/>
    <n v="1"/>
    <n v="1"/>
    <n v="2.4"/>
    <x v="5"/>
    <n v="6"/>
    <n v="7"/>
    <n v="661074"/>
    <n v="88452"/>
    <n v="572622"/>
    <n v="20"/>
    <n v="66"/>
    <n v="10.7"/>
  </r>
  <r>
    <x v="11"/>
    <x v="11"/>
    <d v="2022-03-31T00:00:00"/>
    <s v="NA"/>
    <n v="0"/>
    <n v="74"/>
    <s v="61-80"/>
    <x v="0"/>
    <x v="9"/>
    <x v="7"/>
    <x v="0"/>
    <n v="1"/>
    <n v="1"/>
    <n v="2"/>
    <x v="6"/>
    <n v="7"/>
    <n v="6"/>
    <n v="692077"/>
    <n v="224314"/>
    <n v="467763"/>
    <n v="27"/>
    <n v="63"/>
    <n v="5.4"/>
  </r>
  <r>
    <x v="11"/>
    <x v="11"/>
    <d v="2023-07-27T00:00:00"/>
    <s v="NA"/>
    <n v="0"/>
    <n v="81"/>
    <s v="81+"/>
    <x v="1"/>
    <x v="4"/>
    <x v="3"/>
    <x v="1"/>
    <n v="1"/>
    <n v="1"/>
    <n v="3.9"/>
    <x v="4"/>
    <n v="3"/>
    <n v="4"/>
    <n v="756200"/>
    <n v="186912"/>
    <n v="569288"/>
    <n v="35"/>
    <n v="63"/>
    <n v="36.1"/>
  </r>
  <r>
    <x v="11"/>
    <x v="11"/>
    <d v="2024-08-10T00:00:00"/>
    <s v="NA"/>
    <n v="0"/>
    <n v="37"/>
    <s v="21-40"/>
    <x v="1"/>
    <x v="12"/>
    <x v="9"/>
    <x v="3"/>
    <n v="1"/>
    <n v="1"/>
    <n v="5"/>
    <x v="2"/>
    <n v="7"/>
    <n v="6"/>
    <n v="762585"/>
    <n v="299663"/>
    <n v="462922"/>
    <n v="25"/>
    <n v="66"/>
    <n v="5.9"/>
  </r>
  <r>
    <x v="3"/>
    <x v="3"/>
    <d v="2024-04-03T00:00:00"/>
    <s v="NA"/>
    <n v="0"/>
    <n v="80"/>
    <s v="61-80"/>
    <x v="1"/>
    <x v="1"/>
    <x v="1"/>
    <x v="0"/>
    <n v="1"/>
    <n v="1"/>
    <n v="1.3"/>
    <x v="21"/>
    <n v="3"/>
    <n v="6"/>
    <n v="882641"/>
    <n v="207984"/>
    <n v="674657"/>
    <n v="68"/>
    <n v="62"/>
    <n v="8.6"/>
  </r>
  <r>
    <x v="11"/>
    <x v="11"/>
    <d v="2024-12-30T00:00:00"/>
    <s v="NA"/>
    <n v="0"/>
    <n v="86"/>
    <s v="81+"/>
    <x v="1"/>
    <x v="3"/>
    <x v="2"/>
    <x v="4"/>
    <n v="1"/>
    <n v="1"/>
    <n v="2.5"/>
    <x v="4"/>
    <n v="6"/>
    <n v="3"/>
    <n v="793701"/>
    <n v="343975"/>
    <n v="449726"/>
    <n v="22"/>
    <n v="65"/>
    <n v="8.3000000000000007"/>
  </r>
  <r>
    <x v="3"/>
    <x v="3"/>
    <d v="2024-02-17T00:00:00"/>
    <s v="NA"/>
    <n v="0"/>
    <n v="28"/>
    <s v="21-40"/>
    <x v="1"/>
    <x v="3"/>
    <x v="2"/>
    <x v="0"/>
    <n v="1"/>
    <n v="1"/>
    <n v="6.8"/>
    <x v="9"/>
    <n v="3"/>
    <n v="4"/>
    <n v="865468"/>
    <n v="166756"/>
    <n v="698712"/>
    <n v="62"/>
    <n v="59"/>
    <n v="6.6"/>
  </r>
  <r>
    <x v="3"/>
    <x v="3"/>
    <d v="2021-04-03T00:00:00"/>
    <s v="NA"/>
    <n v="0"/>
    <n v="43"/>
    <s v="41-60"/>
    <x v="0"/>
    <x v="2"/>
    <x v="1"/>
    <x v="2"/>
    <n v="1"/>
    <n v="1"/>
    <n v="2.5"/>
    <x v="3"/>
    <n v="7"/>
    <n v="5"/>
    <n v="908468"/>
    <n v="343275"/>
    <n v="565193"/>
    <n v="69"/>
    <n v="58"/>
    <n v="7.5"/>
  </r>
  <r>
    <x v="11"/>
    <x v="11"/>
    <d v="2023-01-01T00:00:00"/>
    <s v="NA"/>
    <n v="0"/>
    <n v="33"/>
    <s v="21-40"/>
    <x v="1"/>
    <x v="7"/>
    <x v="5"/>
    <x v="0"/>
    <n v="1"/>
    <n v="1"/>
    <n v="6.7"/>
    <x v="16"/>
    <n v="6"/>
    <n v="5"/>
    <n v="748308"/>
    <n v="220289"/>
    <n v="528019"/>
    <n v="23"/>
    <n v="64"/>
    <n v="13.5"/>
  </r>
  <r>
    <x v="11"/>
    <x v="11"/>
    <d v="2022-03-17T00:00:00"/>
    <s v="NA"/>
    <n v="0"/>
    <n v="31"/>
    <s v="21-40"/>
    <x v="1"/>
    <x v="2"/>
    <x v="1"/>
    <x v="3"/>
    <n v="1"/>
    <n v="1"/>
    <n v="6.2"/>
    <x v="0"/>
    <n v="3"/>
    <n v="5"/>
    <n v="735353"/>
    <n v="322092"/>
    <n v="413261"/>
    <n v="31"/>
    <n v="65"/>
    <n v="7.6"/>
  </r>
  <r>
    <x v="11"/>
    <x v="11"/>
    <d v="2022-07-24T00:00:00"/>
    <s v="NA"/>
    <n v="0"/>
    <n v="44"/>
    <s v="41-60"/>
    <x v="0"/>
    <x v="10"/>
    <x v="8"/>
    <x v="3"/>
    <n v="1"/>
    <n v="1"/>
    <n v="1.1000000000000001"/>
    <x v="30"/>
    <n v="7"/>
    <n v="4"/>
    <n v="676767"/>
    <n v="119974"/>
    <n v="556793"/>
    <n v="20"/>
    <n v="60"/>
    <n v="6.8"/>
  </r>
  <r>
    <x v="11"/>
    <x v="11"/>
    <d v="2024-05-02T00:00:00"/>
    <s v="NA"/>
    <n v="0"/>
    <n v="26"/>
    <s v="21-40"/>
    <x v="1"/>
    <x v="7"/>
    <x v="5"/>
    <x v="3"/>
    <n v="1"/>
    <n v="1"/>
    <n v="1.4"/>
    <x v="7"/>
    <n v="6"/>
    <n v="4"/>
    <n v="773928"/>
    <n v="371467"/>
    <n v="402461"/>
    <n v="31"/>
    <n v="59"/>
    <n v="36.200000000000003"/>
  </r>
  <r>
    <x v="11"/>
    <x v="11"/>
    <d v="2022-05-24T00:00:00"/>
    <s v="NA"/>
    <n v="0"/>
    <n v="89"/>
    <s v="81+"/>
    <x v="1"/>
    <x v="9"/>
    <x v="7"/>
    <x v="0"/>
    <n v="1"/>
    <n v="1"/>
    <n v="5.8"/>
    <x v="23"/>
    <n v="7"/>
    <n v="4"/>
    <n v="719945"/>
    <n v="291435"/>
    <n v="428510"/>
    <n v="23"/>
    <n v="61"/>
    <n v="7.1"/>
  </r>
  <r>
    <x v="11"/>
    <x v="11"/>
    <d v="2023-08-20T00:00:00"/>
    <s v="NA"/>
    <n v="0"/>
    <n v="72"/>
    <s v="61-80"/>
    <x v="1"/>
    <x v="10"/>
    <x v="8"/>
    <x v="3"/>
    <n v="1"/>
    <n v="1"/>
    <n v="6"/>
    <x v="11"/>
    <n v="3"/>
    <n v="6"/>
    <n v="621889"/>
    <n v="56740"/>
    <n v="565149"/>
    <n v="20"/>
    <n v="57"/>
    <n v="9.4"/>
  </r>
  <r>
    <x v="11"/>
    <x v="11"/>
    <d v="2023-12-28T00:00:00"/>
    <s v="NA"/>
    <n v="0"/>
    <n v="43"/>
    <s v="41-60"/>
    <x v="1"/>
    <x v="4"/>
    <x v="3"/>
    <x v="3"/>
    <n v="1"/>
    <n v="1"/>
    <n v="6"/>
    <x v="10"/>
    <n v="7"/>
    <n v="5"/>
    <n v="686654"/>
    <n v="175666"/>
    <n v="510988"/>
    <n v="31"/>
    <n v="65"/>
    <n v="9"/>
  </r>
  <r>
    <x v="11"/>
    <x v="11"/>
    <d v="2022-06-24T00:00:00"/>
    <s v="NA"/>
    <n v="0"/>
    <n v="63"/>
    <s v="61-80"/>
    <x v="1"/>
    <x v="12"/>
    <x v="9"/>
    <x v="3"/>
    <n v="1"/>
    <n v="1"/>
    <n v="3.3"/>
    <x v="12"/>
    <n v="6"/>
    <n v="7"/>
    <n v="789202"/>
    <n v="323669"/>
    <n v="465533"/>
    <n v="32"/>
    <n v="66"/>
    <n v="8.6999999999999993"/>
  </r>
  <r>
    <x v="11"/>
    <x v="11"/>
    <d v="2021-07-21T00:00:00"/>
    <s v="NA"/>
    <n v="0"/>
    <n v="49"/>
    <s v="41-60"/>
    <x v="1"/>
    <x v="9"/>
    <x v="7"/>
    <x v="3"/>
    <n v="1"/>
    <n v="1"/>
    <n v="2"/>
    <x v="9"/>
    <n v="5"/>
    <n v="4"/>
    <n v="784919"/>
    <n v="313444"/>
    <n v="471475"/>
    <n v="35"/>
    <n v="66"/>
    <n v="6.4"/>
  </r>
  <r>
    <x v="11"/>
    <x v="11"/>
    <d v="2024-09-11T00:00:00"/>
    <s v="NA"/>
    <n v="0"/>
    <n v="73"/>
    <s v="61-80"/>
    <x v="1"/>
    <x v="12"/>
    <x v="9"/>
    <x v="4"/>
    <n v="1"/>
    <n v="1"/>
    <n v="4.9000000000000004"/>
    <x v="9"/>
    <n v="4"/>
    <n v="7"/>
    <n v="701965"/>
    <n v="204521"/>
    <n v="497444"/>
    <n v="28"/>
    <n v="56"/>
    <n v="12.5"/>
  </r>
  <r>
    <x v="11"/>
    <x v="11"/>
    <d v="2023-06-30T00:00:00"/>
    <s v="NA"/>
    <n v="0"/>
    <n v="53"/>
    <s v="41-60"/>
    <x v="1"/>
    <x v="6"/>
    <x v="4"/>
    <x v="3"/>
    <n v="1"/>
    <n v="1"/>
    <n v="3.1"/>
    <x v="27"/>
    <n v="3"/>
    <n v="7"/>
    <n v="624257"/>
    <n v="155159"/>
    <n v="469098"/>
    <n v="31"/>
    <n v="63"/>
    <n v="12.9"/>
  </r>
  <r>
    <x v="11"/>
    <x v="11"/>
    <d v="2024-11-29T00:00:00"/>
    <s v="NA"/>
    <n v="0"/>
    <n v="46"/>
    <s v="41-60"/>
    <x v="0"/>
    <x v="9"/>
    <x v="7"/>
    <x v="1"/>
    <n v="1"/>
    <n v="1"/>
    <n v="2.7"/>
    <x v="4"/>
    <n v="6"/>
    <n v="3"/>
    <n v="725645"/>
    <n v="153379"/>
    <n v="572266"/>
    <n v="35"/>
    <n v="62"/>
    <n v="5.9"/>
  </r>
  <r>
    <x v="11"/>
    <x v="11"/>
    <d v="2023-06-06T00:00:00"/>
    <s v="NA"/>
    <n v="0"/>
    <n v="31"/>
    <s v="21-40"/>
    <x v="1"/>
    <x v="6"/>
    <x v="4"/>
    <x v="4"/>
    <n v="1"/>
    <n v="1"/>
    <n v="5.2"/>
    <x v="13"/>
    <n v="7"/>
    <n v="6"/>
    <n v="768396"/>
    <n v="272378"/>
    <n v="496018"/>
    <n v="27"/>
    <n v="57"/>
    <n v="10.1"/>
  </r>
  <r>
    <x v="11"/>
    <x v="11"/>
    <d v="2021-08-22T00:00:00"/>
    <s v="NA"/>
    <n v="0"/>
    <n v="39"/>
    <s v="21-40"/>
    <x v="1"/>
    <x v="12"/>
    <x v="9"/>
    <x v="2"/>
    <n v="1"/>
    <n v="1"/>
    <n v="5.8"/>
    <x v="20"/>
    <n v="6"/>
    <n v="4"/>
    <n v="768912"/>
    <n v="287118"/>
    <n v="481794"/>
    <n v="30"/>
    <n v="66"/>
    <n v="12.2"/>
  </r>
  <r>
    <x v="11"/>
    <x v="11"/>
    <d v="2024-12-03T00:00:00"/>
    <s v="NA"/>
    <n v="0"/>
    <n v="28"/>
    <s v="21-40"/>
    <x v="0"/>
    <x v="2"/>
    <x v="1"/>
    <x v="0"/>
    <n v="1"/>
    <n v="1"/>
    <n v="2.9"/>
    <x v="2"/>
    <n v="3"/>
    <n v="3"/>
    <n v="673134"/>
    <n v="211257"/>
    <n v="461877"/>
    <n v="23"/>
    <n v="56"/>
    <n v="9.9"/>
  </r>
  <r>
    <x v="11"/>
    <x v="11"/>
    <d v="2023-07-23T00:00:00"/>
    <s v="NA"/>
    <n v="0"/>
    <n v="40"/>
    <s v="21-40"/>
    <x v="0"/>
    <x v="7"/>
    <x v="5"/>
    <x v="4"/>
    <n v="1"/>
    <n v="1"/>
    <n v="4.5"/>
    <x v="18"/>
    <n v="6"/>
    <n v="5"/>
    <n v="728773"/>
    <n v="254053"/>
    <n v="474720"/>
    <n v="21"/>
    <n v="56"/>
    <n v="13.5"/>
  </r>
  <r>
    <x v="11"/>
    <x v="11"/>
    <d v="2021-04-27T00:00:00"/>
    <s v="NA"/>
    <n v="0"/>
    <n v="31"/>
    <s v="21-40"/>
    <x v="0"/>
    <x v="10"/>
    <x v="8"/>
    <x v="2"/>
    <n v="1"/>
    <n v="1"/>
    <n v="1.1000000000000001"/>
    <x v="7"/>
    <n v="3"/>
    <n v="7"/>
    <n v="666871"/>
    <n v="128588"/>
    <n v="538283"/>
    <n v="33"/>
    <n v="66"/>
    <n v="5.3"/>
  </r>
  <r>
    <x v="3"/>
    <x v="3"/>
    <d v="2021-10-07T00:00:00"/>
    <s v="NA"/>
    <n v="0"/>
    <n v="30"/>
    <s v="21-40"/>
    <x v="0"/>
    <x v="13"/>
    <x v="10"/>
    <x v="0"/>
    <n v="1"/>
    <n v="1"/>
    <n v="2.7"/>
    <x v="1"/>
    <n v="7"/>
    <n v="3"/>
    <n v="928060"/>
    <n v="297154"/>
    <n v="630906"/>
    <n v="60"/>
    <n v="60"/>
    <n v="10.7"/>
  </r>
  <r>
    <x v="11"/>
    <x v="11"/>
    <d v="2022-07-05T00:00:00"/>
    <s v="NA"/>
    <n v="0"/>
    <n v="30"/>
    <s v="21-40"/>
    <x v="1"/>
    <x v="2"/>
    <x v="1"/>
    <x v="4"/>
    <n v="1"/>
    <n v="1"/>
    <n v="3.9"/>
    <x v="18"/>
    <n v="5"/>
    <n v="7"/>
    <n v="693322"/>
    <n v="255677"/>
    <n v="437645"/>
    <n v="32"/>
    <n v="62"/>
    <n v="5.0999999999999996"/>
  </r>
  <r>
    <x v="11"/>
    <x v="11"/>
    <d v="2022-05-22T00:00:00"/>
    <s v="NA"/>
    <n v="0"/>
    <n v="31"/>
    <s v="21-40"/>
    <x v="1"/>
    <x v="2"/>
    <x v="1"/>
    <x v="3"/>
    <n v="1"/>
    <n v="1"/>
    <n v="2.1"/>
    <x v="22"/>
    <n v="7"/>
    <n v="6"/>
    <n v="707059"/>
    <n v="299575"/>
    <n v="407484"/>
    <n v="23"/>
    <n v="61"/>
    <n v="36.700000000000003"/>
  </r>
  <r>
    <x v="11"/>
    <x v="11"/>
    <d v="2023-07-02T00:00:00"/>
    <s v="NA"/>
    <n v="0"/>
    <n v="37"/>
    <s v="21-40"/>
    <x v="1"/>
    <x v="4"/>
    <x v="3"/>
    <x v="1"/>
    <n v="1"/>
    <n v="1"/>
    <n v="1.5"/>
    <x v="2"/>
    <n v="4"/>
    <n v="7"/>
    <n v="620471"/>
    <n v="211004"/>
    <n v="409467"/>
    <n v="33"/>
    <n v="58"/>
    <n v="36"/>
  </r>
  <r>
    <x v="11"/>
    <x v="11"/>
    <d v="2024-09-09T00:00:00"/>
    <s v="NA"/>
    <n v="0"/>
    <n v="27"/>
    <s v="21-40"/>
    <x v="1"/>
    <x v="2"/>
    <x v="1"/>
    <x v="0"/>
    <n v="1"/>
    <n v="1"/>
    <n v="5.3"/>
    <x v="15"/>
    <n v="3"/>
    <n v="6"/>
    <n v="610362"/>
    <n v="152918"/>
    <n v="457444"/>
    <n v="35"/>
    <n v="66"/>
    <n v="13.5"/>
  </r>
  <r>
    <x v="11"/>
    <x v="11"/>
    <d v="2021-06-06T00:00:00"/>
    <s v="NA"/>
    <n v="0"/>
    <n v="48"/>
    <s v="41-60"/>
    <x v="0"/>
    <x v="7"/>
    <x v="5"/>
    <x v="4"/>
    <n v="1"/>
    <n v="1"/>
    <n v="1.2"/>
    <x v="18"/>
    <n v="7"/>
    <n v="6"/>
    <n v="673313"/>
    <n v="102444"/>
    <n v="570869"/>
    <n v="21"/>
    <n v="64"/>
    <n v="14.9"/>
  </r>
  <r>
    <x v="11"/>
    <x v="11"/>
    <d v="2021-07-21T00:00:00"/>
    <s v="NA"/>
    <n v="0"/>
    <n v="57"/>
    <s v="41-60"/>
    <x v="1"/>
    <x v="2"/>
    <x v="1"/>
    <x v="3"/>
    <n v="1"/>
    <n v="1"/>
    <n v="3.1"/>
    <x v="10"/>
    <n v="7"/>
    <n v="6"/>
    <n v="661044"/>
    <n v="106003"/>
    <n v="555041"/>
    <n v="25"/>
    <n v="66"/>
    <n v="12.2"/>
  </r>
  <r>
    <x v="11"/>
    <x v="11"/>
    <d v="2024-03-13T00:00:00"/>
    <s v="NA"/>
    <n v="0"/>
    <n v="54"/>
    <s v="41-60"/>
    <x v="0"/>
    <x v="5"/>
    <x v="0"/>
    <x v="3"/>
    <n v="1"/>
    <n v="1"/>
    <n v="1.7"/>
    <x v="8"/>
    <n v="5"/>
    <n v="3"/>
    <n v="681015"/>
    <n v="138181"/>
    <n v="542834"/>
    <n v="25"/>
    <n v="62"/>
    <n v="12.4"/>
  </r>
  <r>
    <x v="11"/>
    <x v="11"/>
    <d v="2024-06-25T00:00:00"/>
    <s v="NA"/>
    <n v="0"/>
    <n v="43"/>
    <s v="41-60"/>
    <x v="0"/>
    <x v="14"/>
    <x v="11"/>
    <x v="1"/>
    <n v="1"/>
    <n v="1"/>
    <n v="6.1"/>
    <x v="5"/>
    <n v="3"/>
    <n v="5"/>
    <n v="709584"/>
    <n v="171300"/>
    <n v="538284"/>
    <n v="28"/>
    <n v="63"/>
    <n v="9.6"/>
  </r>
  <r>
    <x v="11"/>
    <x v="11"/>
    <d v="2021-08-03T00:00:00"/>
    <s v="NA"/>
    <n v="0"/>
    <n v="64"/>
    <s v="61-80"/>
    <x v="0"/>
    <x v="7"/>
    <x v="5"/>
    <x v="4"/>
    <n v="1"/>
    <n v="1"/>
    <n v="2.4"/>
    <x v="16"/>
    <n v="7"/>
    <n v="4"/>
    <n v="796005"/>
    <n v="240852"/>
    <n v="555153"/>
    <n v="30"/>
    <n v="60"/>
    <n v="8.9"/>
  </r>
  <r>
    <x v="11"/>
    <x v="11"/>
    <d v="2023-04-07T00:00:00"/>
    <s v="NA"/>
    <n v="0"/>
    <n v="43"/>
    <s v="41-60"/>
    <x v="0"/>
    <x v="12"/>
    <x v="9"/>
    <x v="2"/>
    <n v="1"/>
    <n v="1"/>
    <n v="5.6"/>
    <x v="13"/>
    <n v="3"/>
    <n v="4"/>
    <n v="633440"/>
    <n v="186455"/>
    <n v="446985"/>
    <n v="29"/>
    <n v="59"/>
    <n v="6.3"/>
  </r>
  <r>
    <x v="11"/>
    <x v="11"/>
    <d v="2021-09-08T00:00:00"/>
    <s v="NA"/>
    <n v="0"/>
    <n v="63"/>
    <s v="61-80"/>
    <x v="1"/>
    <x v="12"/>
    <x v="9"/>
    <x v="1"/>
    <n v="1"/>
    <n v="1"/>
    <n v="2.4"/>
    <x v="20"/>
    <n v="7"/>
    <n v="3"/>
    <n v="665764"/>
    <n v="122389"/>
    <n v="543375"/>
    <n v="20"/>
    <n v="60"/>
    <n v="10.5"/>
  </r>
  <r>
    <x v="11"/>
    <x v="11"/>
    <d v="2022-05-21T00:00:00"/>
    <s v="NA"/>
    <n v="0"/>
    <n v="38"/>
    <s v="21-40"/>
    <x v="0"/>
    <x v="0"/>
    <x v="0"/>
    <x v="1"/>
    <n v="1"/>
    <n v="1"/>
    <n v="4.5"/>
    <x v="29"/>
    <n v="5"/>
    <n v="4"/>
    <n v="662667"/>
    <n v="204094"/>
    <n v="458573"/>
    <n v="26"/>
    <n v="66"/>
    <n v="36.799999999999997"/>
  </r>
  <r>
    <x v="11"/>
    <x v="11"/>
    <d v="2023-11-07T00:00:00"/>
    <s v="NA"/>
    <n v="0"/>
    <n v="74"/>
    <s v="61-80"/>
    <x v="1"/>
    <x v="3"/>
    <x v="2"/>
    <x v="4"/>
    <n v="1"/>
    <n v="1"/>
    <n v="1.6"/>
    <x v="12"/>
    <n v="7"/>
    <n v="3"/>
    <n v="657955"/>
    <n v="224646"/>
    <n v="433309"/>
    <n v="32"/>
    <n v="54"/>
    <n v="14.4"/>
  </r>
  <r>
    <x v="11"/>
    <x v="11"/>
    <d v="2023-07-15T00:00:00"/>
    <s v="NA"/>
    <n v="0"/>
    <n v="62"/>
    <s v="61-80"/>
    <x v="1"/>
    <x v="10"/>
    <x v="8"/>
    <x v="0"/>
    <n v="1"/>
    <n v="1"/>
    <n v="1.6"/>
    <x v="23"/>
    <n v="4"/>
    <n v="5"/>
    <n v="635303"/>
    <n v="212367"/>
    <n v="422936"/>
    <n v="24"/>
    <n v="59"/>
    <n v="36.6"/>
  </r>
  <r>
    <x v="11"/>
    <x v="11"/>
    <d v="2024-11-07T00:00:00"/>
    <s v="NA"/>
    <n v="0"/>
    <n v="27"/>
    <s v="21-40"/>
    <x v="1"/>
    <x v="4"/>
    <x v="3"/>
    <x v="4"/>
    <n v="1"/>
    <n v="1"/>
    <n v="4.2"/>
    <x v="16"/>
    <n v="5"/>
    <n v="5"/>
    <n v="773964"/>
    <n v="311346"/>
    <n v="462618"/>
    <n v="35"/>
    <n v="64"/>
    <n v="14.1"/>
  </r>
  <r>
    <x v="11"/>
    <x v="11"/>
    <d v="2023-05-24T00:00:00"/>
    <s v="NA"/>
    <n v="0"/>
    <n v="54"/>
    <s v="41-60"/>
    <x v="0"/>
    <x v="14"/>
    <x v="11"/>
    <x v="1"/>
    <n v="1"/>
    <n v="1"/>
    <n v="1.2"/>
    <x v="18"/>
    <n v="6"/>
    <n v="4"/>
    <n v="621007"/>
    <n v="92267"/>
    <n v="528740"/>
    <n v="29"/>
    <n v="60"/>
    <n v="9.6"/>
  </r>
  <r>
    <x v="11"/>
    <x v="11"/>
    <d v="2021-11-22T00:00:00"/>
    <s v="NA"/>
    <n v="0"/>
    <n v="63"/>
    <s v="61-80"/>
    <x v="1"/>
    <x v="10"/>
    <x v="8"/>
    <x v="1"/>
    <n v="1"/>
    <n v="1"/>
    <n v="1.8"/>
    <x v="0"/>
    <n v="6"/>
    <n v="3"/>
    <n v="619598"/>
    <n v="211682"/>
    <n v="407916"/>
    <n v="29"/>
    <n v="65"/>
    <n v="14.7"/>
  </r>
  <r>
    <x v="11"/>
    <x v="11"/>
    <d v="2021-10-23T00:00:00"/>
    <s v="NA"/>
    <n v="0"/>
    <n v="71"/>
    <s v="61-80"/>
    <x v="1"/>
    <x v="12"/>
    <x v="9"/>
    <x v="2"/>
    <n v="1"/>
    <n v="1"/>
    <n v="3.6"/>
    <x v="23"/>
    <n v="7"/>
    <n v="7"/>
    <n v="619487"/>
    <n v="44993"/>
    <n v="574494"/>
    <n v="24"/>
    <n v="60"/>
    <n v="9.6"/>
  </r>
  <r>
    <x v="11"/>
    <x v="11"/>
    <d v="2023-09-22T00:00:00"/>
    <s v="NA"/>
    <n v="0"/>
    <n v="42"/>
    <s v="41-60"/>
    <x v="1"/>
    <x v="11"/>
    <x v="8"/>
    <x v="0"/>
    <n v="1"/>
    <n v="1"/>
    <n v="6.2"/>
    <x v="6"/>
    <n v="4"/>
    <n v="5"/>
    <n v="743826"/>
    <n v="201490"/>
    <n v="542336"/>
    <n v="30"/>
    <n v="61"/>
    <n v="7.6"/>
  </r>
  <r>
    <x v="11"/>
    <x v="11"/>
    <d v="2022-01-15T00:00:00"/>
    <s v="NA"/>
    <n v="0"/>
    <n v="37"/>
    <s v="21-40"/>
    <x v="1"/>
    <x v="3"/>
    <x v="2"/>
    <x v="2"/>
    <n v="1"/>
    <n v="1"/>
    <n v="2.2000000000000002"/>
    <x v="16"/>
    <n v="7"/>
    <n v="3"/>
    <n v="627054"/>
    <n v="68602"/>
    <n v="558452"/>
    <n v="28"/>
    <n v="66"/>
    <n v="6.7"/>
  </r>
  <r>
    <x v="11"/>
    <x v="11"/>
    <d v="2022-10-11T00:00:00"/>
    <s v="NA"/>
    <n v="0"/>
    <n v="38"/>
    <s v="21-40"/>
    <x v="0"/>
    <x v="1"/>
    <x v="1"/>
    <x v="4"/>
    <n v="1"/>
    <n v="1"/>
    <n v="5.4"/>
    <x v="14"/>
    <n v="6"/>
    <n v="7"/>
    <n v="729581"/>
    <n v="245247"/>
    <n v="484334"/>
    <n v="27"/>
    <n v="56"/>
    <n v="9.1"/>
  </r>
  <r>
    <x v="11"/>
    <x v="11"/>
    <d v="2024-02-07T00:00:00"/>
    <s v="NA"/>
    <n v="0"/>
    <n v="31"/>
    <s v="21-40"/>
    <x v="0"/>
    <x v="12"/>
    <x v="9"/>
    <x v="4"/>
    <n v="1"/>
    <n v="1"/>
    <n v="3.7"/>
    <x v="0"/>
    <n v="7"/>
    <n v="6"/>
    <n v="643593"/>
    <n v="84108"/>
    <n v="559485"/>
    <n v="24"/>
    <n v="66"/>
    <n v="5.4"/>
  </r>
  <r>
    <x v="11"/>
    <x v="11"/>
    <d v="2024-12-12T00:00:00"/>
    <s v="NA"/>
    <n v="0"/>
    <n v="38"/>
    <s v="21-40"/>
    <x v="0"/>
    <x v="6"/>
    <x v="4"/>
    <x v="3"/>
    <n v="1"/>
    <n v="1"/>
    <n v="3"/>
    <x v="3"/>
    <n v="5"/>
    <n v="3"/>
    <n v="768128"/>
    <n v="278416"/>
    <n v="489712"/>
    <n v="27"/>
    <n v="58"/>
    <n v="5.4"/>
  </r>
  <r>
    <x v="11"/>
    <x v="11"/>
    <d v="2022-02-19T00:00:00"/>
    <s v="NA"/>
    <n v="0"/>
    <n v="46"/>
    <s v="41-60"/>
    <x v="1"/>
    <x v="2"/>
    <x v="1"/>
    <x v="4"/>
    <n v="1"/>
    <n v="1"/>
    <n v="3.9"/>
    <x v="11"/>
    <n v="7"/>
    <n v="3"/>
    <n v="603273"/>
    <n v="119059"/>
    <n v="484214"/>
    <n v="34"/>
    <n v="60"/>
    <n v="12.9"/>
  </r>
  <r>
    <x v="11"/>
    <x v="11"/>
    <d v="2023-09-25T00:00:00"/>
    <s v="NA"/>
    <n v="0"/>
    <n v="70"/>
    <s v="61-80"/>
    <x v="1"/>
    <x v="10"/>
    <x v="8"/>
    <x v="4"/>
    <n v="1"/>
    <n v="1"/>
    <n v="1.2"/>
    <x v="26"/>
    <n v="7"/>
    <n v="4"/>
    <n v="752261"/>
    <n v="209471"/>
    <n v="542790"/>
    <n v="23"/>
    <n v="65"/>
    <n v="13.5"/>
  </r>
  <r>
    <x v="11"/>
    <x v="11"/>
    <d v="2024-09-28T00:00:00"/>
    <s v="NA"/>
    <n v="0"/>
    <n v="26"/>
    <s v="21-40"/>
    <x v="0"/>
    <x v="9"/>
    <x v="7"/>
    <x v="1"/>
    <n v="1"/>
    <n v="1"/>
    <n v="2"/>
    <x v="11"/>
    <n v="3"/>
    <n v="4"/>
    <n v="641008"/>
    <n v="192505"/>
    <n v="448503"/>
    <n v="29"/>
    <n v="63"/>
    <n v="9.8000000000000007"/>
  </r>
  <r>
    <x v="3"/>
    <x v="3"/>
    <d v="2022-09-24T00:00:00"/>
    <s v="NA"/>
    <n v="0"/>
    <n v="34"/>
    <s v="21-40"/>
    <x v="0"/>
    <x v="7"/>
    <x v="5"/>
    <x v="2"/>
    <n v="1"/>
    <n v="1"/>
    <n v="1.2"/>
    <x v="24"/>
    <n v="6"/>
    <n v="3"/>
    <n v="840842"/>
    <n v="321373"/>
    <n v="519469"/>
    <n v="52"/>
    <n v="61"/>
    <n v="7.9"/>
  </r>
  <r>
    <x v="11"/>
    <x v="11"/>
    <d v="2022-08-21T00:00:00"/>
    <s v="NA"/>
    <n v="0"/>
    <n v="34"/>
    <s v="21-40"/>
    <x v="1"/>
    <x v="3"/>
    <x v="2"/>
    <x v="2"/>
    <n v="1"/>
    <n v="1"/>
    <n v="6.6"/>
    <x v="25"/>
    <n v="6"/>
    <n v="7"/>
    <n v="794386"/>
    <n v="379556"/>
    <n v="414830"/>
    <n v="26"/>
    <n v="66"/>
    <n v="6.4"/>
  </r>
  <r>
    <x v="3"/>
    <x v="3"/>
    <d v="2021-02-27T00:00:00"/>
    <s v="NA"/>
    <n v="0"/>
    <n v="89"/>
    <s v="81+"/>
    <x v="1"/>
    <x v="4"/>
    <x v="3"/>
    <x v="3"/>
    <n v="1"/>
    <n v="1"/>
    <n v="6.4"/>
    <x v="9"/>
    <n v="6"/>
    <n v="5"/>
    <n v="923398"/>
    <n v="390423"/>
    <n v="532975"/>
    <n v="55"/>
    <n v="64"/>
    <n v="8.1999999999999993"/>
  </r>
  <r>
    <x v="11"/>
    <x v="11"/>
    <d v="2024-08-17T00:00:00"/>
    <s v="NA"/>
    <n v="0"/>
    <n v="82"/>
    <s v="81+"/>
    <x v="0"/>
    <x v="2"/>
    <x v="1"/>
    <x v="0"/>
    <n v="1"/>
    <n v="1"/>
    <n v="4.5"/>
    <x v="26"/>
    <n v="3"/>
    <n v="5"/>
    <n v="741816"/>
    <n v="171515"/>
    <n v="570301"/>
    <n v="33"/>
    <n v="55"/>
    <n v="14.6"/>
  </r>
  <r>
    <x v="11"/>
    <x v="11"/>
    <d v="2023-03-26T00:00:00"/>
    <s v="NA"/>
    <n v="0"/>
    <n v="25"/>
    <s v="21-40"/>
    <x v="0"/>
    <x v="6"/>
    <x v="4"/>
    <x v="2"/>
    <n v="1"/>
    <n v="1"/>
    <n v="2.2999999999999998"/>
    <x v="25"/>
    <n v="7"/>
    <n v="3"/>
    <n v="673851"/>
    <n v="151530"/>
    <n v="522321"/>
    <n v="35"/>
    <n v="60"/>
    <n v="8.6"/>
  </r>
  <r>
    <x v="11"/>
    <x v="11"/>
    <d v="2021-08-21T00:00:00"/>
    <s v="NA"/>
    <n v="0"/>
    <n v="24"/>
    <s v="21-40"/>
    <x v="1"/>
    <x v="4"/>
    <x v="3"/>
    <x v="3"/>
    <n v="1"/>
    <n v="1"/>
    <n v="2.1"/>
    <x v="25"/>
    <n v="7"/>
    <n v="3"/>
    <n v="635080"/>
    <n v="132820"/>
    <n v="502260"/>
    <n v="20"/>
    <n v="59"/>
    <n v="6.8"/>
  </r>
  <r>
    <x v="11"/>
    <x v="11"/>
    <d v="2024-05-27T00:00:00"/>
    <s v="NA"/>
    <n v="0"/>
    <n v="43"/>
    <s v="41-60"/>
    <x v="1"/>
    <x v="9"/>
    <x v="7"/>
    <x v="0"/>
    <n v="1"/>
    <n v="1"/>
    <n v="1.1000000000000001"/>
    <x v="23"/>
    <n v="4"/>
    <n v="5"/>
    <n v="646509"/>
    <n v="71596"/>
    <n v="574913"/>
    <n v="33"/>
    <n v="59"/>
    <n v="7.4"/>
  </r>
  <r>
    <x v="11"/>
    <x v="11"/>
    <d v="2021-05-11T00:00:00"/>
    <s v="NA"/>
    <n v="0"/>
    <n v="39"/>
    <s v="21-40"/>
    <x v="0"/>
    <x v="5"/>
    <x v="0"/>
    <x v="1"/>
    <n v="1"/>
    <n v="1"/>
    <n v="6.1"/>
    <x v="22"/>
    <n v="4"/>
    <n v="3"/>
    <n v="737101"/>
    <n v="189311"/>
    <n v="547790"/>
    <n v="26"/>
    <n v="65"/>
    <n v="5.7"/>
  </r>
  <r>
    <x v="3"/>
    <x v="3"/>
    <d v="2022-08-03T00:00:00"/>
    <s v="NA"/>
    <n v="0"/>
    <n v="36"/>
    <s v="21-40"/>
    <x v="0"/>
    <x v="9"/>
    <x v="7"/>
    <x v="1"/>
    <n v="1"/>
    <n v="1"/>
    <n v="2.9"/>
    <x v="6"/>
    <n v="3"/>
    <n v="6"/>
    <n v="808881"/>
    <n v="149038"/>
    <n v="659843"/>
    <n v="66"/>
    <n v="54"/>
    <n v="36.1"/>
  </r>
  <r>
    <x v="11"/>
    <x v="11"/>
    <d v="2024-06-30T00:00:00"/>
    <s v="NA"/>
    <n v="0"/>
    <n v="34"/>
    <s v="21-40"/>
    <x v="1"/>
    <x v="3"/>
    <x v="2"/>
    <x v="3"/>
    <n v="1"/>
    <n v="1"/>
    <n v="6.5"/>
    <x v="3"/>
    <n v="6"/>
    <n v="6"/>
    <n v="652025"/>
    <n v="175245"/>
    <n v="476780"/>
    <n v="30"/>
    <n v="59"/>
    <n v="9.1999999999999993"/>
  </r>
  <r>
    <x v="3"/>
    <x v="3"/>
    <d v="2023-09-15T00:00:00"/>
    <s v="NA"/>
    <n v="0"/>
    <n v="50"/>
    <s v="41-60"/>
    <x v="1"/>
    <x v="2"/>
    <x v="1"/>
    <x v="0"/>
    <n v="1"/>
    <n v="1"/>
    <n v="3.1"/>
    <x v="25"/>
    <n v="7"/>
    <n v="4"/>
    <n v="871388"/>
    <n v="249934"/>
    <n v="621454"/>
    <n v="55"/>
    <n v="61"/>
    <n v="8.6999999999999993"/>
  </r>
  <r>
    <x v="11"/>
    <x v="11"/>
    <d v="2024-12-26T00:00:00"/>
    <s v="NA"/>
    <n v="0"/>
    <n v="43"/>
    <s v="41-60"/>
    <x v="1"/>
    <x v="1"/>
    <x v="1"/>
    <x v="4"/>
    <n v="1"/>
    <n v="1"/>
    <n v="1.4"/>
    <x v="1"/>
    <n v="6"/>
    <n v="5"/>
    <n v="739068"/>
    <n v="183783"/>
    <n v="555285"/>
    <n v="30"/>
    <n v="58"/>
    <n v="9.1"/>
  </r>
  <r>
    <x v="3"/>
    <x v="3"/>
    <d v="2023-09-23T00:00:00"/>
    <s v="NA"/>
    <n v="0"/>
    <n v="30"/>
    <s v="21-40"/>
    <x v="1"/>
    <x v="3"/>
    <x v="2"/>
    <x v="2"/>
    <n v="1"/>
    <n v="1"/>
    <n v="3.9"/>
    <x v="0"/>
    <n v="4"/>
    <n v="4"/>
    <n v="881912"/>
    <n v="210981"/>
    <n v="670931"/>
    <n v="67"/>
    <n v="61"/>
    <n v="6.8"/>
  </r>
  <r>
    <x v="11"/>
    <x v="11"/>
    <d v="2023-12-26T00:00:00"/>
    <s v="NA"/>
    <n v="0"/>
    <n v="25"/>
    <s v="21-40"/>
    <x v="0"/>
    <x v="5"/>
    <x v="0"/>
    <x v="4"/>
    <n v="1"/>
    <n v="1"/>
    <n v="6.5"/>
    <x v="12"/>
    <n v="7"/>
    <n v="3"/>
    <n v="730460"/>
    <n v="232532"/>
    <n v="497928"/>
    <n v="29"/>
    <n v="58"/>
    <n v="13.3"/>
  </r>
  <r>
    <x v="11"/>
    <x v="11"/>
    <d v="2022-06-16T00:00:00"/>
    <s v="NA"/>
    <n v="0"/>
    <n v="33"/>
    <s v="21-40"/>
    <x v="1"/>
    <x v="3"/>
    <x v="2"/>
    <x v="2"/>
    <n v="1"/>
    <n v="1"/>
    <n v="3.1"/>
    <x v="1"/>
    <n v="3"/>
    <n v="4"/>
    <n v="717080"/>
    <n v="212636"/>
    <n v="504444"/>
    <n v="20"/>
    <n v="63"/>
    <n v="8.5"/>
  </r>
  <r>
    <x v="11"/>
    <x v="11"/>
    <d v="2023-08-11T00:00:00"/>
    <s v="NA"/>
    <n v="0"/>
    <n v="75"/>
    <s v="61-80"/>
    <x v="1"/>
    <x v="7"/>
    <x v="5"/>
    <x v="0"/>
    <n v="1"/>
    <n v="1"/>
    <n v="4.3"/>
    <x v="2"/>
    <n v="5"/>
    <n v="6"/>
    <n v="630489"/>
    <n v="190150"/>
    <n v="440339"/>
    <n v="23"/>
    <n v="56"/>
    <n v="12"/>
  </r>
  <r>
    <x v="11"/>
    <x v="11"/>
    <d v="2022-08-23T00:00:00"/>
    <s v="NA"/>
    <n v="0"/>
    <n v="39"/>
    <s v="21-40"/>
    <x v="0"/>
    <x v="5"/>
    <x v="0"/>
    <x v="0"/>
    <n v="1"/>
    <n v="1"/>
    <n v="2.7"/>
    <x v="22"/>
    <n v="7"/>
    <n v="3"/>
    <n v="699370"/>
    <n v="206445"/>
    <n v="492925"/>
    <n v="26"/>
    <n v="54"/>
    <n v="8.8000000000000007"/>
  </r>
  <r>
    <x v="3"/>
    <x v="3"/>
    <d v="2024-08-17T00:00:00"/>
    <s v="NA"/>
    <n v="0"/>
    <n v="60"/>
    <s v="41-60"/>
    <x v="0"/>
    <x v="9"/>
    <x v="7"/>
    <x v="1"/>
    <n v="1"/>
    <n v="1"/>
    <n v="4.4000000000000004"/>
    <x v="17"/>
    <n v="5"/>
    <n v="5"/>
    <n v="968512"/>
    <n v="387214"/>
    <n v="581298"/>
    <n v="66"/>
    <n v="55"/>
    <n v="10.9"/>
  </r>
  <r>
    <x v="11"/>
    <x v="11"/>
    <d v="2021-07-05T00:00:00"/>
    <s v="NA"/>
    <n v="0"/>
    <n v="55"/>
    <s v="41-60"/>
    <x v="0"/>
    <x v="2"/>
    <x v="1"/>
    <x v="1"/>
    <n v="1"/>
    <n v="1"/>
    <n v="4.7"/>
    <x v="24"/>
    <n v="5"/>
    <n v="3"/>
    <n v="770781"/>
    <n v="270018"/>
    <n v="500763"/>
    <n v="30"/>
    <n v="66"/>
    <n v="10.4"/>
  </r>
  <r>
    <x v="3"/>
    <x v="3"/>
    <d v="2021-06-02T00:00:00"/>
    <s v="NA"/>
    <n v="0"/>
    <n v="27"/>
    <s v="21-40"/>
    <x v="0"/>
    <x v="1"/>
    <x v="1"/>
    <x v="4"/>
    <n v="1"/>
    <n v="1"/>
    <n v="3.6"/>
    <x v="5"/>
    <n v="6"/>
    <n v="4"/>
    <n v="861764"/>
    <n v="213232"/>
    <n v="648532"/>
    <n v="52"/>
    <n v="56"/>
    <n v="7.2"/>
  </r>
  <r>
    <x v="11"/>
    <x v="11"/>
    <d v="2023-07-01T00:00:00"/>
    <s v="NA"/>
    <n v="0"/>
    <n v="59"/>
    <s v="41-60"/>
    <x v="0"/>
    <x v="12"/>
    <x v="9"/>
    <x v="2"/>
    <n v="1"/>
    <n v="1"/>
    <n v="3.8"/>
    <x v="10"/>
    <n v="3"/>
    <n v="6"/>
    <n v="729037"/>
    <n v="222058"/>
    <n v="506979"/>
    <n v="33"/>
    <n v="56"/>
    <n v="9"/>
  </r>
  <r>
    <x v="11"/>
    <x v="11"/>
    <d v="2023-02-15T00:00:00"/>
    <s v="NA"/>
    <n v="0"/>
    <n v="43"/>
    <s v="41-60"/>
    <x v="0"/>
    <x v="9"/>
    <x v="7"/>
    <x v="1"/>
    <n v="1"/>
    <n v="1"/>
    <n v="1.2"/>
    <x v="5"/>
    <n v="3"/>
    <n v="4"/>
    <n v="756688"/>
    <n v="178942"/>
    <n v="577746"/>
    <n v="33"/>
    <n v="65"/>
    <n v="12.9"/>
  </r>
  <r>
    <x v="11"/>
    <x v="11"/>
    <d v="2022-05-27T00:00:00"/>
    <s v="NA"/>
    <n v="0"/>
    <n v="81"/>
    <s v="81+"/>
    <x v="1"/>
    <x v="2"/>
    <x v="1"/>
    <x v="1"/>
    <n v="1"/>
    <n v="1"/>
    <n v="3.9"/>
    <x v="13"/>
    <n v="7"/>
    <n v="7"/>
    <n v="725214"/>
    <n v="255437"/>
    <n v="469777"/>
    <n v="20"/>
    <n v="61"/>
    <n v="36.799999999999997"/>
  </r>
  <r>
    <x v="11"/>
    <x v="11"/>
    <d v="2021-08-12T00:00:00"/>
    <s v="NA"/>
    <n v="0"/>
    <n v="79"/>
    <s v="61-80"/>
    <x v="0"/>
    <x v="4"/>
    <x v="3"/>
    <x v="1"/>
    <n v="1"/>
    <n v="1"/>
    <n v="6.4"/>
    <x v="17"/>
    <n v="3"/>
    <n v="3"/>
    <n v="699779"/>
    <n v="129162"/>
    <n v="570617"/>
    <n v="27"/>
    <n v="64"/>
    <n v="5.2"/>
  </r>
  <r>
    <x v="11"/>
    <x v="11"/>
    <d v="2021-05-16T00:00:00"/>
    <s v="NA"/>
    <n v="0"/>
    <n v="57"/>
    <s v="41-60"/>
    <x v="0"/>
    <x v="12"/>
    <x v="9"/>
    <x v="0"/>
    <n v="1"/>
    <n v="1"/>
    <n v="4.2"/>
    <x v="15"/>
    <n v="3"/>
    <n v="5"/>
    <n v="747267"/>
    <n v="311895"/>
    <n v="435372"/>
    <n v="26"/>
    <n v="62"/>
    <n v="8.9"/>
  </r>
  <r>
    <x v="11"/>
    <x v="11"/>
    <d v="2024-03-28T00:00:00"/>
    <s v="NA"/>
    <n v="0"/>
    <n v="51"/>
    <s v="41-60"/>
    <x v="1"/>
    <x v="3"/>
    <x v="2"/>
    <x v="2"/>
    <n v="1"/>
    <n v="1"/>
    <n v="3.7"/>
    <x v="20"/>
    <n v="7"/>
    <n v="3"/>
    <n v="727384"/>
    <n v="157396"/>
    <n v="569988"/>
    <n v="23"/>
    <n v="61"/>
    <n v="36.799999999999997"/>
  </r>
  <r>
    <x v="11"/>
    <x v="11"/>
    <d v="2022-08-24T00:00:00"/>
    <s v="NA"/>
    <n v="0"/>
    <n v="68"/>
    <s v="61-80"/>
    <x v="1"/>
    <x v="12"/>
    <x v="9"/>
    <x v="2"/>
    <n v="1"/>
    <n v="1"/>
    <n v="4.5"/>
    <x v="19"/>
    <n v="3"/>
    <n v="7"/>
    <n v="712547"/>
    <n v="223493"/>
    <n v="489054"/>
    <n v="29"/>
    <n v="63"/>
    <n v="6.6"/>
  </r>
  <r>
    <x v="11"/>
    <x v="11"/>
    <d v="2021-12-12T00:00:00"/>
    <s v="NA"/>
    <n v="0"/>
    <n v="35"/>
    <s v="21-40"/>
    <x v="1"/>
    <x v="2"/>
    <x v="1"/>
    <x v="1"/>
    <n v="1"/>
    <n v="1"/>
    <n v="5"/>
    <x v="14"/>
    <n v="3"/>
    <n v="4"/>
    <n v="759054"/>
    <n v="313742"/>
    <n v="445312"/>
    <n v="28"/>
    <n v="59"/>
    <n v="14.6"/>
  </r>
  <r>
    <x v="11"/>
    <x v="11"/>
    <d v="2021-11-26T00:00:00"/>
    <s v="NA"/>
    <n v="0"/>
    <n v="45"/>
    <s v="41-60"/>
    <x v="0"/>
    <x v="13"/>
    <x v="10"/>
    <x v="3"/>
    <n v="1"/>
    <n v="1"/>
    <n v="1.9"/>
    <x v="6"/>
    <n v="5"/>
    <n v="4"/>
    <n v="758271"/>
    <n v="268584"/>
    <n v="489687"/>
    <n v="22"/>
    <n v="65"/>
    <n v="9.6"/>
  </r>
  <r>
    <x v="3"/>
    <x v="3"/>
    <d v="2022-04-03T00:00:00"/>
    <s v="NA"/>
    <n v="0"/>
    <n v="46"/>
    <s v="41-60"/>
    <x v="0"/>
    <x v="0"/>
    <x v="0"/>
    <x v="1"/>
    <n v="1"/>
    <n v="1"/>
    <n v="4.9000000000000004"/>
    <x v="17"/>
    <n v="7"/>
    <n v="4"/>
    <n v="946746"/>
    <n v="416539"/>
    <n v="530207"/>
    <n v="56"/>
    <n v="61"/>
    <n v="14.9"/>
  </r>
  <r>
    <x v="11"/>
    <x v="11"/>
    <d v="2021-04-14T00:00:00"/>
    <s v="NA"/>
    <n v="0"/>
    <n v="36"/>
    <s v="21-40"/>
    <x v="1"/>
    <x v="11"/>
    <x v="8"/>
    <x v="3"/>
    <n v="1"/>
    <n v="1"/>
    <n v="2.5"/>
    <x v="22"/>
    <n v="3"/>
    <n v="3"/>
    <n v="720082"/>
    <n v="310337"/>
    <n v="409745"/>
    <n v="34"/>
    <n v="61"/>
    <n v="8"/>
  </r>
  <r>
    <x v="11"/>
    <x v="11"/>
    <d v="2021-08-17T00:00:00"/>
    <s v="NA"/>
    <n v="0"/>
    <n v="75"/>
    <s v="61-80"/>
    <x v="0"/>
    <x v="9"/>
    <x v="7"/>
    <x v="0"/>
    <n v="1"/>
    <n v="1"/>
    <n v="1.1000000000000001"/>
    <x v="30"/>
    <n v="4"/>
    <n v="6"/>
    <n v="673679"/>
    <n v="227784"/>
    <n v="445895"/>
    <n v="34"/>
    <n v="56"/>
    <n v="8.4"/>
  </r>
  <r>
    <x v="11"/>
    <x v="11"/>
    <d v="2023-03-18T00:00:00"/>
    <s v="NA"/>
    <n v="0"/>
    <n v="69"/>
    <s v="61-80"/>
    <x v="1"/>
    <x v="10"/>
    <x v="8"/>
    <x v="2"/>
    <n v="1"/>
    <n v="1"/>
    <n v="5.0999999999999996"/>
    <x v="16"/>
    <n v="6"/>
    <n v="6"/>
    <n v="675198"/>
    <n v="210428"/>
    <n v="464770"/>
    <n v="22"/>
    <n v="65"/>
    <n v="8.4"/>
  </r>
  <r>
    <x v="3"/>
    <x v="3"/>
    <d v="2021-03-12T00:00:00"/>
    <s v="NA"/>
    <n v="0"/>
    <n v="54"/>
    <s v="41-60"/>
    <x v="0"/>
    <x v="1"/>
    <x v="1"/>
    <x v="3"/>
    <n v="1"/>
    <n v="1"/>
    <n v="5.7"/>
    <x v="15"/>
    <n v="7"/>
    <n v="5"/>
    <n v="981465"/>
    <n v="443591"/>
    <n v="537874"/>
    <n v="52"/>
    <n v="66"/>
    <n v="9.1"/>
  </r>
  <r>
    <x v="11"/>
    <x v="11"/>
    <d v="2023-10-09T00:00:00"/>
    <s v="NA"/>
    <n v="0"/>
    <n v="24"/>
    <s v="21-40"/>
    <x v="1"/>
    <x v="3"/>
    <x v="2"/>
    <x v="0"/>
    <n v="1"/>
    <n v="1"/>
    <n v="1.3"/>
    <x v="12"/>
    <n v="4"/>
    <n v="5"/>
    <n v="696256"/>
    <n v="165158"/>
    <n v="531098"/>
    <n v="27"/>
    <n v="54"/>
    <n v="13.8"/>
  </r>
  <r>
    <x v="3"/>
    <x v="3"/>
    <d v="2023-11-19T00:00:00"/>
    <s v="NA"/>
    <n v="0"/>
    <n v="63"/>
    <s v="61-80"/>
    <x v="0"/>
    <x v="9"/>
    <x v="7"/>
    <x v="3"/>
    <n v="1"/>
    <n v="1"/>
    <n v="3.9"/>
    <x v="29"/>
    <n v="3"/>
    <n v="3"/>
    <n v="922887"/>
    <n v="410375"/>
    <n v="512512"/>
    <n v="54"/>
    <n v="58"/>
    <n v="13.9"/>
  </r>
  <r>
    <x v="11"/>
    <x v="11"/>
    <d v="2023-10-03T00:00:00"/>
    <s v="NA"/>
    <n v="0"/>
    <n v="37"/>
    <s v="21-40"/>
    <x v="1"/>
    <x v="3"/>
    <x v="2"/>
    <x v="4"/>
    <n v="1"/>
    <n v="1"/>
    <n v="1.5"/>
    <x v="9"/>
    <n v="4"/>
    <n v="4"/>
    <n v="782364"/>
    <n v="205261"/>
    <n v="577103"/>
    <n v="25"/>
    <n v="64"/>
    <n v="12.8"/>
  </r>
  <r>
    <x v="11"/>
    <x v="11"/>
    <d v="2022-03-14T00:00:00"/>
    <s v="NA"/>
    <n v="0"/>
    <n v="84"/>
    <s v="81+"/>
    <x v="1"/>
    <x v="3"/>
    <x v="2"/>
    <x v="3"/>
    <n v="1"/>
    <n v="1"/>
    <n v="5.8"/>
    <x v="20"/>
    <n v="6"/>
    <n v="3"/>
    <n v="689457"/>
    <n v="238034"/>
    <n v="451423"/>
    <n v="23"/>
    <n v="59"/>
    <n v="12.9"/>
  </r>
  <r>
    <x v="11"/>
    <x v="11"/>
    <d v="2023-07-15T00:00:00"/>
    <s v="NA"/>
    <n v="0"/>
    <n v="43"/>
    <s v="41-60"/>
    <x v="1"/>
    <x v="2"/>
    <x v="1"/>
    <x v="3"/>
    <n v="1"/>
    <n v="1"/>
    <n v="2.9"/>
    <x v="17"/>
    <n v="3"/>
    <n v="5"/>
    <n v="774899"/>
    <n v="334630"/>
    <n v="440269"/>
    <n v="21"/>
    <n v="56"/>
    <n v="14"/>
  </r>
  <r>
    <x v="11"/>
    <x v="11"/>
    <d v="2023-04-04T00:00:00"/>
    <s v="NA"/>
    <n v="0"/>
    <n v="37"/>
    <s v="21-40"/>
    <x v="1"/>
    <x v="13"/>
    <x v="10"/>
    <x v="1"/>
    <n v="1"/>
    <n v="1"/>
    <n v="2.7"/>
    <x v="16"/>
    <n v="3"/>
    <n v="3"/>
    <n v="607455"/>
    <n v="63611"/>
    <n v="543844"/>
    <n v="30"/>
    <n v="58"/>
    <n v="13.3"/>
  </r>
  <r>
    <x v="3"/>
    <x v="3"/>
    <d v="2024-01-24T00:00:00"/>
    <s v="NA"/>
    <n v="0"/>
    <n v="90"/>
    <s v="81+"/>
    <x v="1"/>
    <x v="9"/>
    <x v="7"/>
    <x v="4"/>
    <n v="1"/>
    <n v="1"/>
    <n v="1.5"/>
    <x v="2"/>
    <n v="7"/>
    <n v="6"/>
    <n v="901663"/>
    <n v="245463"/>
    <n v="656200"/>
    <n v="55"/>
    <n v="60"/>
    <n v="12.2"/>
  </r>
  <r>
    <x v="3"/>
    <x v="3"/>
    <d v="2023-07-18T00:00:00"/>
    <s v="NA"/>
    <n v="0"/>
    <n v="70"/>
    <s v="61-80"/>
    <x v="0"/>
    <x v="2"/>
    <x v="1"/>
    <x v="3"/>
    <n v="1"/>
    <n v="1"/>
    <n v="6.4"/>
    <x v="30"/>
    <n v="6"/>
    <n v="3"/>
    <n v="838190"/>
    <n v="245924"/>
    <n v="592266"/>
    <n v="50"/>
    <n v="55"/>
    <n v="7.1"/>
  </r>
  <r>
    <x v="11"/>
    <x v="11"/>
    <d v="2024-04-01T00:00:00"/>
    <s v="NA"/>
    <n v="0"/>
    <n v="73"/>
    <s v="61-80"/>
    <x v="0"/>
    <x v="12"/>
    <x v="9"/>
    <x v="1"/>
    <n v="1"/>
    <n v="1"/>
    <n v="6.4"/>
    <x v="24"/>
    <n v="3"/>
    <n v="4"/>
    <n v="745559"/>
    <n v="198547"/>
    <n v="547012"/>
    <n v="24"/>
    <n v="55"/>
    <n v="10"/>
  </r>
  <r>
    <x v="3"/>
    <x v="3"/>
    <d v="2022-10-18T00:00:00"/>
    <s v="NA"/>
    <n v="0"/>
    <n v="69"/>
    <s v="61-80"/>
    <x v="1"/>
    <x v="2"/>
    <x v="1"/>
    <x v="4"/>
    <n v="1"/>
    <n v="1"/>
    <n v="1.7"/>
    <x v="3"/>
    <n v="7"/>
    <n v="3"/>
    <n v="900792"/>
    <n v="257383"/>
    <n v="643409"/>
    <n v="56"/>
    <n v="62"/>
    <n v="10.6"/>
  </r>
  <r>
    <x v="3"/>
    <x v="3"/>
    <d v="2022-06-15T00:00:00"/>
    <s v="NA"/>
    <n v="0"/>
    <n v="75"/>
    <s v="61-80"/>
    <x v="1"/>
    <x v="6"/>
    <x v="4"/>
    <x v="1"/>
    <n v="1"/>
    <n v="1"/>
    <n v="4.3"/>
    <x v="24"/>
    <n v="7"/>
    <n v="5"/>
    <n v="884632"/>
    <n v="201725"/>
    <n v="682907"/>
    <n v="61"/>
    <n v="65"/>
    <n v="14.2"/>
  </r>
  <r>
    <x v="11"/>
    <x v="11"/>
    <d v="2023-06-09T00:00:00"/>
    <s v="NA"/>
    <n v="0"/>
    <n v="35"/>
    <s v="21-40"/>
    <x v="0"/>
    <x v="1"/>
    <x v="1"/>
    <x v="4"/>
    <n v="1"/>
    <n v="1"/>
    <n v="2.2999999999999998"/>
    <x v="26"/>
    <n v="7"/>
    <n v="5"/>
    <n v="760157"/>
    <n v="334839"/>
    <n v="425318"/>
    <n v="22"/>
    <n v="62"/>
    <n v="10.1"/>
  </r>
  <r>
    <x v="11"/>
    <x v="11"/>
    <d v="2023-06-01T00:00:00"/>
    <s v="NA"/>
    <n v="0"/>
    <n v="27"/>
    <s v="21-40"/>
    <x v="0"/>
    <x v="9"/>
    <x v="7"/>
    <x v="0"/>
    <n v="1"/>
    <n v="1"/>
    <n v="7"/>
    <x v="14"/>
    <n v="5"/>
    <n v="3"/>
    <n v="772052"/>
    <n v="313810"/>
    <n v="458242"/>
    <n v="33"/>
    <n v="57"/>
    <n v="36.799999999999997"/>
  </r>
  <r>
    <x v="11"/>
    <x v="11"/>
    <d v="2021-07-25T00:00:00"/>
    <s v="NA"/>
    <n v="0"/>
    <n v="39"/>
    <s v="21-40"/>
    <x v="0"/>
    <x v="5"/>
    <x v="0"/>
    <x v="2"/>
    <n v="1"/>
    <n v="1"/>
    <n v="4.8"/>
    <x v="8"/>
    <n v="3"/>
    <n v="6"/>
    <n v="749979"/>
    <n v="319715"/>
    <n v="430264"/>
    <n v="23"/>
    <n v="58"/>
    <n v="5.6"/>
  </r>
  <r>
    <x v="11"/>
    <x v="11"/>
    <d v="2024-05-02T00:00:00"/>
    <s v="NA"/>
    <n v="0"/>
    <n v="31"/>
    <s v="21-40"/>
    <x v="1"/>
    <x v="8"/>
    <x v="6"/>
    <x v="2"/>
    <n v="1"/>
    <n v="1"/>
    <n v="1.7"/>
    <x v="17"/>
    <n v="5"/>
    <n v="5"/>
    <n v="686888"/>
    <n v="172688"/>
    <n v="514200"/>
    <n v="30"/>
    <n v="61"/>
    <n v="12.7"/>
  </r>
  <r>
    <x v="11"/>
    <x v="11"/>
    <d v="2021-03-18T00:00:00"/>
    <s v="NA"/>
    <n v="0"/>
    <n v="44"/>
    <s v="41-60"/>
    <x v="0"/>
    <x v="1"/>
    <x v="1"/>
    <x v="0"/>
    <n v="1"/>
    <n v="1"/>
    <n v="5.4"/>
    <x v="27"/>
    <n v="3"/>
    <n v="4"/>
    <n v="736702"/>
    <n v="262038"/>
    <n v="474664"/>
    <n v="33"/>
    <n v="64"/>
    <n v="10.4"/>
  </r>
  <r>
    <x v="11"/>
    <x v="11"/>
    <d v="2022-08-27T00:00:00"/>
    <s v="NA"/>
    <n v="0"/>
    <n v="29"/>
    <s v="21-40"/>
    <x v="0"/>
    <x v="4"/>
    <x v="3"/>
    <x v="1"/>
    <n v="1"/>
    <n v="1"/>
    <n v="4.9000000000000004"/>
    <x v="7"/>
    <n v="6"/>
    <n v="5"/>
    <n v="638010"/>
    <n v="141966"/>
    <n v="496044"/>
    <n v="29"/>
    <n v="64"/>
    <n v="9.1999999999999993"/>
  </r>
  <r>
    <x v="12"/>
    <x v="12"/>
    <d v="2023-02-26T00:00:00"/>
    <s v="NA"/>
    <n v="0"/>
    <n v="31"/>
    <s v="21-40"/>
    <x v="1"/>
    <x v="12"/>
    <x v="9"/>
    <x v="4"/>
    <n v="1"/>
    <n v="1"/>
    <n v="5.6"/>
    <x v="19"/>
    <n v="3"/>
    <n v="5"/>
    <n v="855537"/>
    <n v="207785"/>
    <n v="647752"/>
    <n v="64"/>
    <n v="57"/>
    <n v="6.4"/>
  </r>
  <r>
    <x v="12"/>
    <x v="12"/>
    <d v="2022-08-18T00:00:00"/>
    <s v="NA"/>
    <n v="0"/>
    <n v="64"/>
    <s v="61-80"/>
    <x v="1"/>
    <x v="7"/>
    <x v="5"/>
    <x v="4"/>
    <n v="1"/>
    <n v="1"/>
    <n v="6"/>
    <x v="3"/>
    <n v="5"/>
    <n v="7"/>
    <n v="847210"/>
    <n v="311506"/>
    <n v="535704"/>
    <n v="61"/>
    <n v="65"/>
    <n v="6.4"/>
  </r>
  <r>
    <x v="11"/>
    <x v="11"/>
    <d v="2022-05-29T00:00:00"/>
    <s v="NA"/>
    <n v="0"/>
    <n v="72"/>
    <s v="61-80"/>
    <x v="0"/>
    <x v="1"/>
    <x v="1"/>
    <x v="1"/>
    <n v="1"/>
    <n v="1"/>
    <n v="3.9"/>
    <x v="18"/>
    <n v="7"/>
    <n v="7"/>
    <n v="794617"/>
    <n v="225329"/>
    <n v="569288"/>
    <n v="26"/>
    <n v="61"/>
    <n v="14.2"/>
  </r>
  <r>
    <x v="11"/>
    <x v="11"/>
    <d v="2023-12-31T00:00:00"/>
    <s v="NA"/>
    <n v="0"/>
    <n v="35"/>
    <s v="21-40"/>
    <x v="0"/>
    <x v="14"/>
    <x v="11"/>
    <x v="0"/>
    <n v="1"/>
    <n v="1"/>
    <n v="1.8"/>
    <x v="26"/>
    <n v="7"/>
    <n v="5"/>
    <n v="603886"/>
    <n v="166520"/>
    <n v="437366"/>
    <n v="33"/>
    <n v="62"/>
    <n v="5.4"/>
  </r>
  <r>
    <x v="12"/>
    <x v="12"/>
    <d v="2021-05-12T00:00:00"/>
    <s v="NA"/>
    <n v="0"/>
    <n v="46"/>
    <s v="41-60"/>
    <x v="0"/>
    <x v="0"/>
    <x v="0"/>
    <x v="4"/>
    <n v="1"/>
    <n v="1"/>
    <n v="2.8"/>
    <x v="14"/>
    <n v="4"/>
    <n v="7"/>
    <n v="836984"/>
    <n v="205744"/>
    <n v="631240"/>
    <n v="55"/>
    <n v="66"/>
    <n v="9.3000000000000007"/>
  </r>
  <r>
    <x v="12"/>
    <x v="12"/>
    <d v="2022-04-24T00:00:00"/>
    <s v="NA"/>
    <n v="0"/>
    <n v="46"/>
    <s v="41-60"/>
    <x v="1"/>
    <x v="4"/>
    <x v="3"/>
    <x v="4"/>
    <n v="1"/>
    <n v="1"/>
    <n v="4.4000000000000004"/>
    <x v="19"/>
    <n v="4"/>
    <n v="6"/>
    <n v="855552"/>
    <n v="318140"/>
    <n v="537412"/>
    <n v="60"/>
    <n v="66"/>
    <n v="9.8000000000000007"/>
  </r>
  <r>
    <x v="12"/>
    <x v="12"/>
    <d v="2023-11-09T00:00:00"/>
    <s v="NA"/>
    <n v="0"/>
    <n v="27"/>
    <s v="21-40"/>
    <x v="0"/>
    <x v="12"/>
    <x v="9"/>
    <x v="0"/>
    <n v="1"/>
    <n v="1"/>
    <n v="1.6"/>
    <x v="7"/>
    <n v="4"/>
    <n v="3"/>
    <n v="976462"/>
    <n v="367795"/>
    <n v="608667"/>
    <n v="56"/>
    <n v="62"/>
    <n v="6.3"/>
  </r>
  <r>
    <x v="11"/>
    <x v="11"/>
    <d v="2023-12-07T00:00:00"/>
    <s v="NA"/>
    <n v="0"/>
    <n v="47"/>
    <s v="41-60"/>
    <x v="0"/>
    <x v="0"/>
    <x v="0"/>
    <x v="0"/>
    <n v="1"/>
    <n v="1"/>
    <n v="6.2"/>
    <x v="8"/>
    <n v="5"/>
    <n v="3"/>
    <n v="624549"/>
    <n v="111106"/>
    <n v="513443"/>
    <n v="23"/>
    <n v="60"/>
    <n v="13.3"/>
  </r>
  <r>
    <x v="12"/>
    <x v="12"/>
    <d v="2023-03-06T00:00:00"/>
    <s v="NA"/>
    <n v="0"/>
    <n v="43"/>
    <s v="41-60"/>
    <x v="1"/>
    <x v="3"/>
    <x v="2"/>
    <x v="4"/>
    <n v="1"/>
    <n v="1"/>
    <n v="2.9"/>
    <x v="17"/>
    <n v="4"/>
    <n v="5"/>
    <n v="942130"/>
    <n v="264525"/>
    <n v="677605"/>
    <n v="50"/>
    <n v="58"/>
    <n v="6.7"/>
  </r>
  <r>
    <x v="11"/>
    <x v="11"/>
    <d v="2022-01-13T00:00:00"/>
    <s v="NA"/>
    <n v="0"/>
    <n v="86"/>
    <s v="81+"/>
    <x v="1"/>
    <x v="8"/>
    <x v="6"/>
    <x v="4"/>
    <n v="1"/>
    <n v="1"/>
    <n v="6"/>
    <x v="27"/>
    <n v="7"/>
    <n v="6"/>
    <n v="637563"/>
    <n v="135024"/>
    <n v="502539"/>
    <n v="27"/>
    <n v="60"/>
    <n v="14.9"/>
  </r>
  <r>
    <x v="11"/>
    <x v="11"/>
    <d v="2021-02-18T00:00:00"/>
    <s v="NA"/>
    <n v="0"/>
    <n v="36"/>
    <s v="21-40"/>
    <x v="1"/>
    <x v="13"/>
    <x v="10"/>
    <x v="4"/>
    <n v="1"/>
    <n v="1"/>
    <n v="6.8"/>
    <x v="19"/>
    <n v="7"/>
    <n v="6"/>
    <n v="748723"/>
    <n v="276145"/>
    <n v="472578"/>
    <n v="32"/>
    <n v="58"/>
    <n v="12"/>
  </r>
  <r>
    <x v="12"/>
    <x v="12"/>
    <d v="2024-09-26T00:00:00"/>
    <s v="NA"/>
    <n v="0"/>
    <n v="60"/>
    <s v="41-60"/>
    <x v="1"/>
    <x v="3"/>
    <x v="2"/>
    <x v="0"/>
    <n v="1"/>
    <n v="1"/>
    <n v="4.8"/>
    <x v="15"/>
    <n v="5"/>
    <n v="4"/>
    <n v="920051"/>
    <n v="412359"/>
    <n v="507692"/>
    <n v="70"/>
    <n v="64"/>
    <n v="10"/>
  </r>
  <r>
    <x v="11"/>
    <x v="11"/>
    <d v="2024-04-23T00:00:00"/>
    <s v="NA"/>
    <n v="0"/>
    <n v="23"/>
    <s v="21-40"/>
    <x v="0"/>
    <x v="12"/>
    <x v="9"/>
    <x v="3"/>
    <n v="1"/>
    <n v="1"/>
    <n v="5.9"/>
    <x v="11"/>
    <n v="7"/>
    <n v="4"/>
    <n v="671628"/>
    <n v="222697"/>
    <n v="448931"/>
    <n v="35"/>
    <n v="65"/>
    <n v="5.6"/>
  </r>
  <r>
    <x v="11"/>
    <x v="11"/>
    <d v="2022-09-02T00:00:00"/>
    <s v="NA"/>
    <n v="0"/>
    <n v="57"/>
    <s v="41-60"/>
    <x v="1"/>
    <x v="11"/>
    <x v="8"/>
    <x v="0"/>
    <n v="1"/>
    <n v="1"/>
    <n v="1.9"/>
    <x v="2"/>
    <n v="3"/>
    <n v="7"/>
    <n v="601665"/>
    <n v="191768"/>
    <n v="409897"/>
    <n v="21"/>
    <n v="55"/>
    <n v="5.7"/>
  </r>
  <r>
    <x v="11"/>
    <x v="11"/>
    <d v="2021-01-22T00:00:00"/>
    <s v="NA"/>
    <n v="0"/>
    <n v="66"/>
    <s v="61-80"/>
    <x v="1"/>
    <x v="10"/>
    <x v="8"/>
    <x v="4"/>
    <n v="1"/>
    <n v="1"/>
    <n v="4.8"/>
    <x v="0"/>
    <n v="6"/>
    <n v="3"/>
    <n v="706102"/>
    <n v="222860"/>
    <n v="483242"/>
    <n v="30"/>
    <n v="59"/>
    <n v="5.4"/>
  </r>
  <r>
    <x v="11"/>
    <x v="11"/>
    <d v="2023-06-19T00:00:00"/>
    <s v="NA"/>
    <n v="0"/>
    <n v="62"/>
    <s v="61-80"/>
    <x v="0"/>
    <x v="12"/>
    <x v="9"/>
    <x v="4"/>
    <n v="1"/>
    <n v="1"/>
    <n v="4.4000000000000004"/>
    <x v="16"/>
    <n v="7"/>
    <n v="6"/>
    <n v="696148"/>
    <n v="204107"/>
    <n v="492041"/>
    <n v="28"/>
    <n v="62"/>
    <n v="8.3000000000000007"/>
  </r>
  <r>
    <x v="11"/>
    <x v="11"/>
    <d v="2024-01-04T00:00:00"/>
    <s v="NA"/>
    <n v="0"/>
    <n v="57"/>
    <s v="41-60"/>
    <x v="0"/>
    <x v="0"/>
    <x v="0"/>
    <x v="0"/>
    <n v="1"/>
    <n v="1"/>
    <n v="5.4"/>
    <x v="19"/>
    <n v="5"/>
    <n v="6"/>
    <n v="618127"/>
    <n v="116539"/>
    <n v="501588"/>
    <n v="20"/>
    <n v="60"/>
    <n v="7.7"/>
  </r>
  <r>
    <x v="11"/>
    <x v="11"/>
    <d v="2022-09-04T00:00:00"/>
    <s v="NA"/>
    <n v="0"/>
    <n v="63"/>
    <s v="61-80"/>
    <x v="1"/>
    <x v="11"/>
    <x v="8"/>
    <x v="0"/>
    <n v="1"/>
    <n v="1"/>
    <n v="6.3"/>
    <x v="6"/>
    <n v="3"/>
    <n v="6"/>
    <n v="734818"/>
    <n v="266346"/>
    <n v="468472"/>
    <n v="23"/>
    <n v="54"/>
    <n v="14"/>
  </r>
  <r>
    <x v="11"/>
    <x v="11"/>
    <d v="2024-05-01T00:00:00"/>
    <s v="NA"/>
    <n v="0"/>
    <n v="31"/>
    <s v="21-40"/>
    <x v="0"/>
    <x v="0"/>
    <x v="0"/>
    <x v="2"/>
    <n v="1"/>
    <n v="1"/>
    <n v="3.1"/>
    <x v="27"/>
    <n v="3"/>
    <n v="7"/>
    <n v="636148"/>
    <n v="216375"/>
    <n v="419773"/>
    <n v="31"/>
    <n v="59"/>
    <n v="36"/>
  </r>
  <r>
    <x v="11"/>
    <x v="11"/>
    <d v="2024-03-09T00:00:00"/>
    <s v="NA"/>
    <n v="0"/>
    <n v="38"/>
    <s v="21-40"/>
    <x v="1"/>
    <x v="12"/>
    <x v="9"/>
    <x v="4"/>
    <n v="1"/>
    <n v="1"/>
    <n v="1.4"/>
    <x v="25"/>
    <n v="6"/>
    <n v="4"/>
    <n v="754378"/>
    <n v="251753"/>
    <n v="502625"/>
    <n v="23"/>
    <n v="66"/>
    <n v="9.6"/>
  </r>
  <r>
    <x v="11"/>
    <x v="11"/>
    <d v="2022-07-29T00:00:00"/>
    <s v="NA"/>
    <n v="0"/>
    <n v="37"/>
    <s v="21-40"/>
    <x v="0"/>
    <x v="5"/>
    <x v="0"/>
    <x v="1"/>
    <n v="1"/>
    <n v="1"/>
    <n v="1.9"/>
    <x v="2"/>
    <n v="4"/>
    <n v="4"/>
    <n v="740814"/>
    <n v="189075"/>
    <n v="551739"/>
    <n v="34"/>
    <n v="57"/>
    <n v="6.7"/>
  </r>
  <r>
    <x v="11"/>
    <x v="11"/>
    <d v="2022-08-09T00:00:00"/>
    <s v="NA"/>
    <n v="0"/>
    <n v="90"/>
    <s v="81+"/>
    <x v="1"/>
    <x v="12"/>
    <x v="9"/>
    <x v="0"/>
    <n v="1"/>
    <n v="1"/>
    <n v="3.9"/>
    <x v="6"/>
    <n v="5"/>
    <n v="7"/>
    <n v="663857"/>
    <n v="249681"/>
    <n v="414176"/>
    <n v="31"/>
    <n v="66"/>
    <n v="13.5"/>
  </r>
  <r>
    <x v="11"/>
    <x v="11"/>
    <d v="2023-10-28T00:00:00"/>
    <s v="NA"/>
    <n v="0"/>
    <n v="27"/>
    <s v="21-40"/>
    <x v="0"/>
    <x v="0"/>
    <x v="0"/>
    <x v="3"/>
    <n v="1"/>
    <n v="1"/>
    <n v="6.5"/>
    <x v="17"/>
    <n v="3"/>
    <n v="4"/>
    <n v="625844"/>
    <n v="157262"/>
    <n v="468582"/>
    <n v="27"/>
    <n v="63"/>
    <n v="14.5"/>
  </r>
  <r>
    <x v="11"/>
    <x v="11"/>
    <d v="2023-12-20T00:00:00"/>
    <s v="NA"/>
    <n v="0"/>
    <n v="25"/>
    <s v="21-40"/>
    <x v="1"/>
    <x v="7"/>
    <x v="5"/>
    <x v="2"/>
    <n v="1"/>
    <n v="1"/>
    <n v="2.9"/>
    <x v="19"/>
    <n v="4"/>
    <n v="5"/>
    <n v="723785"/>
    <n v="274705"/>
    <n v="449080"/>
    <n v="34"/>
    <n v="55"/>
    <n v="13.1"/>
  </r>
  <r>
    <x v="11"/>
    <x v="11"/>
    <d v="2023-12-08T00:00:00"/>
    <s v="NA"/>
    <n v="0"/>
    <n v="49"/>
    <s v="41-60"/>
    <x v="1"/>
    <x v="3"/>
    <x v="2"/>
    <x v="3"/>
    <n v="1"/>
    <n v="1"/>
    <n v="3.3"/>
    <x v="4"/>
    <n v="4"/>
    <n v="7"/>
    <n v="614978"/>
    <n v="207404"/>
    <n v="407574"/>
    <n v="26"/>
    <n v="57"/>
    <n v="5.6"/>
  </r>
  <r>
    <x v="11"/>
    <x v="11"/>
    <d v="2021-05-14T00:00:00"/>
    <s v="NA"/>
    <n v="0"/>
    <n v="27"/>
    <s v="21-40"/>
    <x v="1"/>
    <x v="4"/>
    <x v="3"/>
    <x v="1"/>
    <n v="1"/>
    <n v="1"/>
    <n v="2.6"/>
    <x v="20"/>
    <n v="4"/>
    <n v="3"/>
    <n v="760210"/>
    <n v="352188"/>
    <n v="408022"/>
    <n v="27"/>
    <n v="55"/>
    <n v="13.4"/>
  </r>
  <r>
    <x v="11"/>
    <x v="11"/>
    <d v="2022-12-19T00:00:00"/>
    <s v="NA"/>
    <n v="0"/>
    <n v="22"/>
    <s v="21-40"/>
    <x v="0"/>
    <x v="0"/>
    <x v="0"/>
    <x v="3"/>
    <n v="1"/>
    <n v="1"/>
    <n v="1.9"/>
    <x v="1"/>
    <n v="7"/>
    <n v="5"/>
    <n v="775754"/>
    <n v="242953"/>
    <n v="532801"/>
    <n v="25"/>
    <n v="55"/>
    <n v="8"/>
  </r>
  <r>
    <x v="11"/>
    <x v="11"/>
    <d v="2023-12-25T00:00:00"/>
    <s v="NA"/>
    <n v="0"/>
    <n v="88"/>
    <s v="81+"/>
    <x v="1"/>
    <x v="12"/>
    <x v="9"/>
    <x v="3"/>
    <n v="1"/>
    <n v="1"/>
    <n v="5"/>
    <x v="13"/>
    <n v="5"/>
    <n v="3"/>
    <n v="789308"/>
    <n v="365025"/>
    <n v="424283"/>
    <n v="25"/>
    <n v="59"/>
    <n v="8.9"/>
  </r>
  <r>
    <x v="11"/>
    <x v="11"/>
    <d v="2023-02-22T00:00:00"/>
    <s v="NA"/>
    <n v="0"/>
    <n v="22"/>
    <s v="21-40"/>
    <x v="1"/>
    <x v="12"/>
    <x v="9"/>
    <x v="4"/>
    <n v="1"/>
    <n v="1"/>
    <n v="6"/>
    <x v="28"/>
    <n v="7"/>
    <n v="6"/>
    <n v="715795"/>
    <n v="251991"/>
    <n v="463804"/>
    <n v="33"/>
    <n v="63"/>
    <n v="9.8000000000000007"/>
  </r>
  <r>
    <x v="11"/>
    <x v="11"/>
    <d v="2023-04-29T00:00:00"/>
    <s v="NA"/>
    <n v="0"/>
    <n v="89"/>
    <s v="81+"/>
    <x v="1"/>
    <x v="7"/>
    <x v="5"/>
    <x v="1"/>
    <n v="1"/>
    <n v="1"/>
    <n v="2.4"/>
    <x v="20"/>
    <n v="5"/>
    <n v="4"/>
    <n v="709123"/>
    <n v="133365"/>
    <n v="575758"/>
    <n v="33"/>
    <n v="57"/>
    <n v="8.6999999999999993"/>
  </r>
  <r>
    <x v="11"/>
    <x v="11"/>
    <d v="2021-02-07T00:00:00"/>
    <s v="NA"/>
    <n v="0"/>
    <n v="49"/>
    <s v="41-60"/>
    <x v="1"/>
    <x v="6"/>
    <x v="4"/>
    <x v="4"/>
    <n v="1"/>
    <n v="1"/>
    <n v="3.3"/>
    <x v="6"/>
    <n v="5"/>
    <n v="3"/>
    <n v="664336"/>
    <n v="166533"/>
    <n v="497803"/>
    <n v="22"/>
    <n v="59"/>
    <n v="36.299999999999997"/>
  </r>
  <r>
    <x v="11"/>
    <x v="11"/>
    <d v="2023-03-21T00:00:00"/>
    <s v="NA"/>
    <n v="0"/>
    <n v="52"/>
    <s v="41-60"/>
    <x v="1"/>
    <x v="7"/>
    <x v="5"/>
    <x v="2"/>
    <n v="1"/>
    <n v="1"/>
    <n v="1.4"/>
    <x v="17"/>
    <n v="5"/>
    <n v="7"/>
    <n v="764094"/>
    <n v="204715"/>
    <n v="559379"/>
    <n v="32"/>
    <n v="55"/>
    <n v="13.2"/>
  </r>
  <r>
    <x v="11"/>
    <x v="11"/>
    <d v="2022-10-26T00:00:00"/>
    <s v="NA"/>
    <n v="0"/>
    <n v="90"/>
    <s v="81+"/>
    <x v="0"/>
    <x v="12"/>
    <x v="9"/>
    <x v="4"/>
    <n v="1"/>
    <n v="1"/>
    <n v="1.9"/>
    <x v="13"/>
    <n v="6"/>
    <n v="6"/>
    <n v="709879"/>
    <n v="201745"/>
    <n v="508134"/>
    <n v="24"/>
    <n v="56"/>
    <n v="36.799999999999997"/>
  </r>
  <r>
    <x v="11"/>
    <x v="11"/>
    <d v="2024-03-24T00:00:00"/>
    <s v="NA"/>
    <n v="0"/>
    <n v="23"/>
    <s v="21-40"/>
    <x v="1"/>
    <x v="1"/>
    <x v="1"/>
    <x v="2"/>
    <n v="1"/>
    <n v="1"/>
    <n v="1.5"/>
    <x v="7"/>
    <n v="4"/>
    <n v="3"/>
    <n v="768525"/>
    <n v="220135"/>
    <n v="548390"/>
    <n v="27"/>
    <n v="64"/>
    <n v="14.5"/>
  </r>
  <r>
    <x v="11"/>
    <x v="11"/>
    <d v="2023-11-04T00:00:00"/>
    <s v="NA"/>
    <n v="0"/>
    <n v="66"/>
    <s v="61-80"/>
    <x v="1"/>
    <x v="11"/>
    <x v="8"/>
    <x v="3"/>
    <n v="1"/>
    <n v="1"/>
    <n v="2.1"/>
    <x v="3"/>
    <n v="7"/>
    <n v="5"/>
    <n v="663637"/>
    <n v="90853"/>
    <n v="572784"/>
    <n v="21"/>
    <n v="66"/>
    <n v="8.5"/>
  </r>
  <r>
    <x v="11"/>
    <x v="11"/>
    <d v="2022-08-03T00:00:00"/>
    <s v="NA"/>
    <n v="0"/>
    <n v="61"/>
    <s v="61-80"/>
    <x v="1"/>
    <x v="6"/>
    <x v="4"/>
    <x v="3"/>
    <n v="1"/>
    <n v="1"/>
    <n v="6.9"/>
    <x v="17"/>
    <n v="5"/>
    <n v="6"/>
    <n v="731918"/>
    <n v="268265"/>
    <n v="463653"/>
    <n v="27"/>
    <n v="63"/>
    <n v="6.3"/>
  </r>
  <r>
    <x v="11"/>
    <x v="11"/>
    <d v="2023-11-17T00:00:00"/>
    <s v="NA"/>
    <n v="0"/>
    <n v="60"/>
    <s v="41-60"/>
    <x v="1"/>
    <x v="10"/>
    <x v="8"/>
    <x v="4"/>
    <n v="1"/>
    <n v="1"/>
    <n v="2.4"/>
    <x v="19"/>
    <n v="6"/>
    <n v="3"/>
    <n v="640486"/>
    <n v="164333"/>
    <n v="476153"/>
    <n v="31"/>
    <n v="55"/>
    <n v="6.8"/>
  </r>
  <r>
    <x v="11"/>
    <x v="11"/>
    <d v="2024-12-30T00:00:00"/>
    <s v="NA"/>
    <n v="0"/>
    <n v="43"/>
    <s v="41-60"/>
    <x v="0"/>
    <x v="7"/>
    <x v="5"/>
    <x v="2"/>
    <n v="1"/>
    <n v="1"/>
    <n v="6.2"/>
    <x v="11"/>
    <n v="7"/>
    <n v="6"/>
    <n v="747633"/>
    <n v="315367"/>
    <n v="432266"/>
    <n v="27"/>
    <n v="63"/>
    <n v="12.1"/>
  </r>
  <r>
    <x v="11"/>
    <x v="11"/>
    <d v="2024-09-16T00:00:00"/>
    <s v="NA"/>
    <n v="0"/>
    <n v="39"/>
    <s v="21-40"/>
    <x v="0"/>
    <x v="7"/>
    <x v="5"/>
    <x v="1"/>
    <n v="1"/>
    <n v="1"/>
    <n v="6.8"/>
    <x v="28"/>
    <n v="7"/>
    <n v="4"/>
    <n v="666445"/>
    <n v="149115"/>
    <n v="517330"/>
    <n v="20"/>
    <n v="54"/>
    <n v="8.6999999999999993"/>
  </r>
  <r>
    <x v="11"/>
    <x v="11"/>
    <d v="2021-11-12T00:00:00"/>
    <s v="NA"/>
    <n v="0"/>
    <n v="45"/>
    <s v="41-60"/>
    <x v="1"/>
    <x v="13"/>
    <x v="10"/>
    <x v="1"/>
    <n v="1"/>
    <n v="1"/>
    <n v="5.2"/>
    <x v="5"/>
    <n v="7"/>
    <n v="3"/>
    <n v="691332"/>
    <n v="259435"/>
    <n v="431897"/>
    <n v="20"/>
    <n v="59"/>
    <n v="5.3"/>
  </r>
  <r>
    <x v="11"/>
    <x v="11"/>
    <d v="2022-08-22T00:00:00"/>
    <s v="NA"/>
    <n v="0"/>
    <n v="40"/>
    <s v="21-40"/>
    <x v="0"/>
    <x v="12"/>
    <x v="9"/>
    <x v="3"/>
    <n v="1"/>
    <n v="1"/>
    <n v="3.1"/>
    <x v="22"/>
    <n v="6"/>
    <n v="7"/>
    <n v="706457"/>
    <n v="220621"/>
    <n v="485836"/>
    <n v="31"/>
    <n v="64"/>
    <n v="36.700000000000003"/>
  </r>
  <r>
    <x v="11"/>
    <x v="11"/>
    <d v="2024-06-04T00:00:00"/>
    <s v="NA"/>
    <n v="0"/>
    <n v="27"/>
    <s v="21-40"/>
    <x v="1"/>
    <x v="10"/>
    <x v="8"/>
    <x v="0"/>
    <n v="1"/>
    <n v="1"/>
    <n v="6.6"/>
    <x v="28"/>
    <n v="5"/>
    <n v="4"/>
    <n v="742803"/>
    <n v="180095"/>
    <n v="562708"/>
    <n v="21"/>
    <n v="64"/>
    <n v="6"/>
  </r>
  <r>
    <x v="11"/>
    <x v="11"/>
    <d v="2024-11-26T00:00:00"/>
    <s v="NA"/>
    <n v="0"/>
    <n v="80"/>
    <s v="61-80"/>
    <x v="1"/>
    <x v="8"/>
    <x v="6"/>
    <x v="2"/>
    <n v="1"/>
    <n v="1"/>
    <n v="4.5999999999999996"/>
    <x v="16"/>
    <n v="5"/>
    <n v="3"/>
    <n v="623589"/>
    <n v="113308"/>
    <n v="510281"/>
    <n v="32"/>
    <n v="66"/>
    <n v="8.3000000000000007"/>
  </r>
  <r>
    <x v="12"/>
    <x v="12"/>
    <d v="2024-12-31T00:00:00"/>
    <s v="NA"/>
    <n v="0"/>
    <n v="42"/>
    <s v="41-60"/>
    <x v="1"/>
    <x v="4"/>
    <x v="3"/>
    <x v="2"/>
    <n v="1"/>
    <n v="1"/>
    <n v="6.4"/>
    <x v="30"/>
    <n v="5"/>
    <n v="3"/>
    <n v="827294"/>
    <n v="220913"/>
    <n v="606381"/>
    <n v="69"/>
    <n v="57"/>
    <n v="12.5"/>
  </r>
  <r>
    <x v="12"/>
    <x v="12"/>
    <d v="2023-12-21T00:00:00"/>
    <s v="NA"/>
    <n v="0"/>
    <n v="84"/>
    <s v="81+"/>
    <x v="0"/>
    <x v="2"/>
    <x v="1"/>
    <x v="2"/>
    <n v="1"/>
    <n v="1"/>
    <n v="5.9"/>
    <x v="30"/>
    <n v="7"/>
    <n v="7"/>
    <n v="813540"/>
    <n v="277221"/>
    <n v="536319"/>
    <n v="54"/>
    <n v="55"/>
    <n v="10.199999999999999"/>
  </r>
  <r>
    <x v="12"/>
    <x v="12"/>
    <d v="2022-06-10T00:00:00"/>
    <s v="NA"/>
    <n v="0"/>
    <n v="38"/>
    <s v="21-40"/>
    <x v="1"/>
    <x v="6"/>
    <x v="4"/>
    <x v="0"/>
    <n v="1"/>
    <n v="1"/>
    <n v="2.1"/>
    <x v="0"/>
    <n v="5"/>
    <n v="5"/>
    <n v="965422"/>
    <n v="393104"/>
    <n v="572318"/>
    <n v="72"/>
    <n v="64"/>
    <n v="36.700000000000003"/>
  </r>
  <r>
    <x v="12"/>
    <x v="12"/>
    <d v="2023-03-01T00:00:00"/>
    <s v="NA"/>
    <n v="0"/>
    <n v="57"/>
    <s v="41-60"/>
    <x v="0"/>
    <x v="6"/>
    <x v="4"/>
    <x v="1"/>
    <n v="1"/>
    <n v="1"/>
    <n v="6.4"/>
    <x v="24"/>
    <n v="7"/>
    <n v="5"/>
    <n v="860501"/>
    <n v="299299"/>
    <n v="561202"/>
    <n v="76"/>
    <n v="58"/>
    <n v="9.1"/>
  </r>
  <r>
    <x v="12"/>
    <x v="12"/>
    <d v="2024-04-13T00:00:00"/>
    <s v="NA"/>
    <n v="0"/>
    <n v="75"/>
    <s v="61-80"/>
    <x v="1"/>
    <x v="4"/>
    <x v="3"/>
    <x v="1"/>
    <n v="1"/>
    <n v="1"/>
    <n v="6.1"/>
    <x v="8"/>
    <n v="3"/>
    <n v="5"/>
    <n v="915498"/>
    <n v="343949"/>
    <n v="571549"/>
    <n v="73"/>
    <n v="62"/>
    <n v="6.8"/>
  </r>
  <r>
    <x v="12"/>
    <x v="12"/>
    <d v="2024-07-17T00:00:00"/>
    <s v="NA"/>
    <n v="0"/>
    <n v="80"/>
    <s v="61-80"/>
    <x v="1"/>
    <x v="3"/>
    <x v="2"/>
    <x v="1"/>
    <n v="1"/>
    <n v="1"/>
    <n v="6"/>
    <x v="9"/>
    <n v="5"/>
    <n v="5"/>
    <n v="803557"/>
    <n v="280791"/>
    <n v="522766"/>
    <n v="61"/>
    <n v="59"/>
    <n v="15"/>
  </r>
  <r>
    <x v="12"/>
    <x v="12"/>
    <d v="2021-08-30T00:00:00"/>
    <s v="NA"/>
    <n v="0"/>
    <n v="44"/>
    <s v="41-60"/>
    <x v="0"/>
    <x v="5"/>
    <x v="0"/>
    <x v="2"/>
    <n v="1"/>
    <n v="1"/>
    <n v="2.1"/>
    <x v="11"/>
    <n v="7"/>
    <n v="7"/>
    <n v="984274"/>
    <n v="389558"/>
    <n v="594716"/>
    <n v="62"/>
    <n v="63"/>
    <n v="10.1"/>
  </r>
  <r>
    <x v="12"/>
    <x v="12"/>
    <d v="2022-11-10T00:00:00"/>
    <s v="NA"/>
    <n v="0"/>
    <n v="39"/>
    <s v="21-40"/>
    <x v="1"/>
    <x v="13"/>
    <x v="10"/>
    <x v="1"/>
    <n v="1"/>
    <n v="1"/>
    <n v="4.9000000000000004"/>
    <x v="8"/>
    <n v="5"/>
    <n v="6"/>
    <n v="832360"/>
    <n v="243552"/>
    <n v="588808"/>
    <n v="80"/>
    <n v="60"/>
    <n v="13.1"/>
  </r>
  <r>
    <x v="12"/>
    <x v="12"/>
    <d v="2021-05-17T00:00:00"/>
    <s v="NA"/>
    <n v="0"/>
    <n v="46"/>
    <s v="41-60"/>
    <x v="0"/>
    <x v="7"/>
    <x v="5"/>
    <x v="3"/>
    <n v="1"/>
    <n v="1"/>
    <n v="2.6"/>
    <x v="12"/>
    <n v="3"/>
    <n v="3"/>
    <n v="851720"/>
    <n v="177789"/>
    <n v="673931"/>
    <n v="79"/>
    <n v="55"/>
    <n v="10.3"/>
  </r>
  <r>
    <x v="12"/>
    <x v="12"/>
    <d v="2021-01-26T00:00:00"/>
    <s v="NA"/>
    <n v="0"/>
    <n v="38"/>
    <s v="21-40"/>
    <x v="0"/>
    <x v="2"/>
    <x v="1"/>
    <x v="1"/>
    <n v="1"/>
    <n v="1"/>
    <n v="1.3"/>
    <x v="0"/>
    <n v="4"/>
    <n v="4"/>
    <n v="919505"/>
    <n v="346234"/>
    <n v="573271"/>
    <n v="64"/>
    <n v="57"/>
    <n v="7.4"/>
  </r>
  <r>
    <x v="12"/>
    <x v="12"/>
    <d v="2021-07-10T00:00:00"/>
    <s v="NA"/>
    <n v="0"/>
    <n v="52"/>
    <s v="41-60"/>
    <x v="0"/>
    <x v="2"/>
    <x v="1"/>
    <x v="4"/>
    <n v="1"/>
    <n v="1"/>
    <n v="1"/>
    <x v="1"/>
    <n v="3"/>
    <n v="5"/>
    <n v="895325"/>
    <n v="250118"/>
    <n v="645207"/>
    <n v="69"/>
    <n v="63"/>
    <n v="36.799999999999997"/>
  </r>
  <r>
    <x v="12"/>
    <x v="12"/>
    <d v="2023-03-05T00:00:00"/>
    <s v="NA"/>
    <n v="0"/>
    <n v="30"/>
    <s v="21-40"/>
    <x v="0"/>
    <x v="5"/>
    <x v="0"/>
    <x v="3"/>
    <n v="1"/>
    <n v="1"/>
    <n v="4.4000000000000004"/>
    <x v="30"/>
    <n v="4"/>
    <n v="4"/>
    <n v="887257"/>
    <n v="385059"/>
    <n v="502198"/>
    <n v="56"/>
    <n v="66"/>
    <n v="6.7"/>
  </r>
  <r>
    <x v="12"/>
    <x v="12"/>
    <d v="2022-04-08T00:00:00"/>
    <s v="NA"/>
    <n v="0"/>
    <n v="57"/>
    <s v="41-60"/>
    <x v="0"/>
    <x v="9"/>
    <x v="7"/>
    <x v="0"/>
    <n v="1"/>
    <n v="1"/>
    <n v="6.1"/>
    <x v="14"/>
    <n v="4"/>
    <n v="7"/>
    <n v="865059"/>
    <n v="274027"/>
    <n v="591032"/>
    <n v="72"/>
    <n v="62"/>
    <n v="8.6999999999999993"/>
  </r>
  <r>
    <x v="12"/>
    <x v="12"/>
    <d v="2024-08-10T00:00:00"/>
    <s v="NA"/>
    <n v="0"/>
    <n v="83"/>
    <s v="81+"/>
    <x v="1"/>
    <x v="2"/>
    <x v="1"/>
    <x v="2"/>
    <n v="1"/>
    <n v="1"/>
    <n v="6.1"/>
    <x v="0"/>
    <n v="6"/>
    <n v="5"/>
    <n v="807383"/>
    <n v="172103"/>
    <n v="635280"/>
    <n v="57"/>
    <n v="55"/>
    <n v="9.6999999999999993"/>
  </r>
  <r>
    <x v="12"/>
    <x v="12"/>
    <d v="2021-03-14T00:00:00"/>
    <s v="NA"/>
    <n v="0"/>
    <n v="50"/>
    <s v="41-60"/>
    <x v="0"/>
    <x v="1"/>
    <x v="1"/>
    <x v="0"/>
    <n v="1"/>
    <n v="1"/>
    <n v="3"/>
    <x v="25"/>
    <n v="4"/>
    <n v="4"/>
    <n v="817755"/>
    <n v="151375"/>
    <n v="666380"/>
    <n v="67"/>
    <n v="64"/>
    <n v="8.1"/>
  </r>
  <r>
    <x v="12"/>
    <x v="12"/>
    <d v="2023-05-31T00:00:00"/>
    <s v="NA"/>
    <n v="0"/>
    <n v="80"/>
    <s v="61-80"/>
    <x v="0"/>
    <x v="6"/>
    <x v="4"/>
    <x v="1"/>
    <n v="1"/>
    <n v="1"/>
    <n v="3.4"/>
    <x v="1"/>
    <n v="5"/>
    <n v="4"/>
    <n v="921072"/>
    <n v="268764"/>
    <n v="652308"/>
    <n v="79"/>
    <n v="64"/>
    <n v="36.9"/>
  </r>
  <r>
    <x v="12"/>
    <x v="12"/>
    <d v="2021-04-25T00:00:00"/>
    <s v="NA"/>
    <n v="0"/>
    <n v="40"/>
    <s v="21-40"/>
    <x v="1"/>
    <x v="3"/>
    <x v="2"/>
    <x v="2"/>
    <n v="1"/>
    <n v="1"/>
    <n v="3"/>
    <x v="24"/>
    <n v="3"/>
    <n v="6"/>
    <n v="827895"/>
    <n v="198213"/>
    <n v="629682"/>
    <n v="76"/>
    <n v="64"/>
    <n v="12.7"/>
  </r>
  <r>
    <x v="12"/>
    <x v="12"/>
    <d v="2024-08-27T00:00:00"/>
    <s v="NA"/>
    <n v="0"/>
    <n v="46"/>
    <s v="41-60"/>
    <x v="0"/>
    <x v="0"/>
    <x v="0"/>
    <x v="0"/>
    <n v="1"/>
    <n v="1"/>
    <n v="6"/>
    <x v="11"/>
    <n v="7"/>
    <n v="6"/>
    <n v="840580"/>
    <n v="288894"/>
    <n v="551686"/>
    <n v="80"/>
    <n v="55"/>
    <n v="9.6"/>
  </r>
  <r>
    <x v="12"/>
    <x v="12"/>
    <d v="2024-02-22T00:00:00"/>
    <s v="NA"/>
    <n v="0"/>
    <n v="36"/>
    <s v="21-40"/>
    <x v="1"/>
    <x v="1"/>
    <x v="1"/>
    <x v="3"/>
    <n v="1"/>
    <n v="1"/>
    <n v="6.5"/>
    <x v="12"/>
    <n v="6"/>
    <n v="5"/>
    <n v="868097"/>
    <n v="279918"/>
    <n v="588179"/>
    <n v="79"/>
    <n v="58"/>
    <n v="9.4"/>
  </r>
  <r>
    <x v="12"/>
    <x v="12"/>
    <d v="2023-03-10T00:00:00"/>
    <s v="NA"/>
    <n v="0"/>
    <n v="55"/>
    <s v="41-60"/>
    <x v="1"/>
    <x v="8"/>
    <x v="6"/>
    <x v="3"/>
    <n v="1"/>
    <n v="1"/>
    <n v="6"/>
    <x v="11"/>
    <n v="6"/>
    <n v="4"/>
    <n v="832310"/>
    <n v="137244"/>
    <n v="695066"/>
    <n v="66"/>
    <n v="58"/>
    <n v="6.2"/>
  </r>
  <r>
    <x v="12"/>
    <x v="12"/>
    <d v="2023-03-11T00:00:00"/>
    <s v="NA"/>
    <n v="0"/>
    <n v="49"/>
    <s v="41-60"/>
    <x v="1"/>
    <x v="2"/>
    <x v="1"/>
    <x v="0"/>
    <n v="1"/>
    <n v="1"/>
    <n v="2.4"/>
    <x v="27"/>
    <n v="4"/>
    <n v="4"/>
    <n v="957402"/>
    <n v="440376"/>
    <n v="517026"/>
    <n v="75"/>
    <n v="55"/>
    <n v="6.4"/>
  </r>
  <r>
    <x v="12"/>
    <x v="12"/>
    <d v="2021-12-26T00:00:00"/>
    <s v="NA"/>
    <n v="0"/>
    <n v="29"/>
    <s v="21-40"/>
    <x v="0"/>
    <x v="9"/>
    <x v="7"/>
    <x v="1"/>
    <n v="1"/>
    <n v="1"/>
    <n v="5"/>
    <x v="17"/>
    <n v="4"/>
    <n v="7"/>
    <n v="826706"/>
    <n v="278604"/>
    <n v="548102"/>
    <n v="62"/>
    <n v="62"/>
    <n v="10.8"/>
  </r>
  <r>
    <x v="12"/>
    <x v="12"/>
    <d v="2021-12-04T00:00:00"/>
    <s v="NA"/>
    <n v="0"/>
    <n v="81"/>
    <s v="81+"/>
    <x v="0"/>
    <x v="12"/>
    <x v="9"/>
    <x v="1"/>
    <n v="1"/>
    <n v="1"/>
    <n v="5.4"/>
    <x v="11"/>
    <n v="6"/>
    <n v="7"/>
    <n v="877630"/>
    <n v="313222"/>
    <n v="564408"/>
    <n v="73"/>
    <n v="56"/>
    <n v="9.8000000000000007"/>
  </r>
  <r>
    <x v="12"/>
    <x v="12"/>
    <d v="2023-12-06T00:00:00"/>
    <s v="NA"/>
    <n v="0"/>
    <n v="54"/>
    <s v="41-60"/>
    <x v="0"/>
    <x v="2"/>
    <x v="1"/>
    <x v="1"/>
    <n v="1"/>
    <n v="1"/>
    <n v="1.3"/>
    <x v="21"/>
    <n v="4"/>
    <n v="6"/>
    <n v="868165"/>
    <n v="311097"/>
    <n v="557068"/>
    <n v="52"/>
    <n v="64"/>
    <n v="12.3"/>
  </r>
  <r>
    <x v="12"/>
    <x v="12"/>
    <d v="2024-09-18T00:00:00"/>
    <s v="NA"/>
    <n v="0"/>
    <n v="43"/>
    <s v="41-60"/>
    <x v="1"/>
    <x v="4"/>
    <x v="3"/>
    <x v="4"/>
    <n v="1"/>
    <n v="1"/>
    <n v="4.5"/>
    <x v="30"/>
    <n v="5"/>
    <n v="6"/>
    <n v="892141"/>
    <n v="347777"/>
    <n v="544364"/>
    <n v="72"/>
    <n v="63"/>
    <n v="36.4"/>
  </r>
  <r>
    <x v="12"/>
    <x v="12"/>
    <d v="2024-09-12T00:00:00"/>
    <s v="NA"/>
    <n v="0"/>
    <n v="32"/>
    <s v="21-40"/>
    <x v="0"/>
    <x v="5"/>
    <x v="0"/>
    <x v="1"/>
    <n v="1"/>
    <n v="1"/>
    <n v="2.9"/>
    <x v="27"/>
    <n v="7"/>
    <n v="3"/>
    <n v="926485"/>
    <n v="341356"/>
    <n v="585129"/>
    <n v="75"/>
    <n v="54"/>
    <n v="36.299999999999997"/>
  </r>
  <r>
    <x v="12"/>
    <x v="12"/>
    <d v="2023-11-17T00:00:00"/>
    <s v="NA"/>
    <n v="0"/>
    <n v="90"/>
    <s v="81+"/>
    <x v="1"/>
    <x v="2"/>
    <x v="1"/>
    <x v="4"/>
    <n v="1"/>
    <n v="1"/>
    <n v="2"/>
    <x v="2"/>
    <n v="7"/>
    <n v="4"/>
    <n v="862238"/>
    <n v="245815"/>
    <n v="616423"/>
    <n v="64"/>
    <n v="59"/>
    <n v="13.2"/>
  </r>
  <r>
    <x v="12"/>
    <x v="12"/>
    <d v="2021-01-23T00:00:00"/>
    <s v="NA"/>
    <n v="0"/>
    <n v="75"/>
    <s v="61-80"/>
    <x v="0"/>
    <x v="12"/>
    <x v="9"/>
    <x v="2"/>
    <n v="1"/>
    <n v="1"/>
    <n v="3.6"/>
    <x v="2"/>
    <n v="3"/>
    <n v="5"/>
    <n v="994897"/>
    <n v="300736"/>
    <n v="694161"/>
    <n v="51"/>
    <n v="54"/>
    <n v="6.9"/>
  </r>
  <r>
    <x v="12"/>
    <x v="12"/>
    <d v="2021-01-18T00:00:00"/>
    <s v="NA"/>
    <n v="0"/>
    <n v="49"/>
    <s v="41-60"/>
    <x v="0"/>
    <x v="5"/>
    <x v="0"/>
    <x v="1"/>
    <n v="1"/>
    <n v="1"/>
    <n v="2.9"/>
    <x v="26"/>
    <n v="3"/>
    <n v="6"/>
    <n v="978386"/>
    <n v="328528"/>
    <n v="649858"/>
    <n v="61"/>
    <n v="65"/>
    <n v="6.2"/>
  </r>
  <r>
    <x v="12"/>
    <x v="12"/>
    <d v="2023-12-15T00:00:00"/>
    <s v="NA"/>
    <n v="0"/>
    <n v="80"/>
    <s v="61-80"/>
    <x v="0"/>
    <x v="14"/>
    <x v="11"/>
    <x v="0"/>
    <n v="1"/>
    <n v="1"/>
    <n v="2.4"/>
    <x v="28"/>
    <n v="7"/>
    <n v="7"/>
    <n v="969054"/>
    <n v="465250"/>
    <n v="503804"/>
    <n v="58"/>
    <n v="66"/>
    <n v="10.1"/>
  </r>
  <r>
    <x v="12"/>
    <x v="12"/>
    <d v="2022-05-18T00:00:00"/>
    <s v="NA"/>
    <n v="0"/>
    <n v="36"/>
    <s v="21-40"/>
    <x v="0"/>
    <x v="9"/>
    <x v="7"/>
    <x v="4"/>
    <n v="1"/>
    <n v="1"/>
    <n v="4.4000000000000004"/>
    <x v="21"/>
    <n v="5"/>
    <n v="5"/>
    <n v="932041"/>
    <n v="317405"/>
    <n v="614636"/>
    <n v="51"/>
    <n v="61"/>
    <n v="7.8"/>
  </r>
  <r>
    <x v="12"/>
    <x v="12"/>
    <d v="2024-08-19T00:00:00"/>
    <s v="NA"/>
    <n v="0"/>
    <n v="26"/>
    <s v="21-40"/>
    <x v="0"/>
    <x v="0"/>
    <x v="0"/>
    <x v="0"/>
    <n v="1"/>
    <n v="1"/>
    <n v="1.5"/>
    <x v="9"/>
    <n v="5"/>
    <n v="7"/>
    <n v="860454"/>
    <n v="198037"/>
    <n v="662417"/>
    <n v="77"/>
    <n v="54"/>
    <n v="6.3"/>
  </r>
  <r>
    <x v="12"/>
    <x v="12"/>
    <d v="2022-01-25T00:00:00"/>
    <s v="NA"/>
    <n v="0"/>
    <n v="38"/>
    <s v="21-40"/>
    <x v="0"/>
    <x v="5"/>
    <x v="0"/>
    <x v="3"/>
    <n v="1"/>
    <n v="1"/>
    <n v="5.9"/>
    <x v="8"/>
    <n v="4"/>
    <n v="7"/>
    <n v="873215"/>
    <n v="301081"/>
    <n v="572134"/>
    <n v="58"/>
    <n v="55"/>
    <n v="36"/>
  </r>
  <r>
    <x v="12"/>
    <x v="12"/>
    <d v="2022-06-07T00:00:00"/>
    <s v="NA"/>
    <n v="0"/>
    <n v="34"/>
    <s v="21-40"/>
    <x v="0"/>
    <x v="12"/>
    <x v="9"/>
    <x v="3"/>
    <n v="1"/>
    <n v="1"/>
    <n v="6.5"/>
    <x v="18"/>
    <n v="3"/>
    <n v="5"/>
    <n v="988184"/>
    <n v="481539"/>
    <n v="506645"/>
    <n v="60"/>
    <n v="66"/>
    <n v="14.3"/>
  </r>
  <r>
    <x v="12"/>
    <x v="12"/>
    <d v="2024-08-29T00:00:00"/>
    <s v="NA"/>
    <n v="0"/>
    <n v="64"/>
    <s v="61-80"/>
    <x v="0"/>
    <x v="12"/>
    <x v="9"/>
    <x v="0"/>
    <n v="1"/>
    <n v="1"/>
    <n v="2.2999999999999998"/>
    <x v="24"/>
    <n v="5"/>
    <n v="7"/>
    <n v="914154"/>
    <n v="237219"/>
    <n v="676935"/>
    <n v="61"/>
    <n v="64"/>
    <n v="8.1"/>
  </r>
  <r>
    <x v="12"/>
    <x v="12"/>
    <d v="2021-12-18T00:00:00"/>
    <s v="NA"/>
    <n v="0"/>
    <n v="38"/>
    <s v="21-40"/>
    <x v="1"/>
    <x v="12"/>
    <x v="9"/>
    <x v="3"/>
    <n v="1"/>
    <n v="1"/>
    <n v="2.9"/>
    <x v="11"/>
    <n v="5"/>
    <n v="6"/>
    <n v="963815"/>
    <n v="306786"/>
    <n v="657029"/>
    <n v="57"/>
    <n v="62"/>
    <n v="12.4"/>
  </r>
  <r>
    <x v="12"/>
    <x v="12"/>
    <d v="2021-10-27T00:00:00"/>
    <s v="NA"/>
    <n v="0"/>
    <n v="41"/>
    <s v="41-60"/>
    <x v="0"/>
    <x v="4"/>
    <x v="3"/>
    <x v="4"/>
    <n v="1"/>
    <n v="1"/>
    <n v="2.8"/>
    <x v="25"/>
    <n v="6"/>
    <n v="6"/>
    <n v="882397"/>
    <n v="227231"/>
    <n v="655166"/>
    <n v="55"/>
    <n v="60"/>
    <n v="9.4"/>
  </r>
  <r>
    <x v="12"/>
    <x v="12"/>
    <d v="2023-07-01T00:00:00"/>
    <s v="NA"/>
    <n v="0"/>
    <n v="64"/>
    <s v="61-80"/>
    <x v="0"/>
    <x v="13"/>
    <x v="10"/>
    <x v="1"/>
    <n v="1"/>
    <n v="1"/>
    <n v="4.3"/>
    <x v="29"/>
    <n v="3"/>
    <n v="7"/>
    <n v="920952"/>
    <n v="410015"/>
    <n v="510937"/>
    <n v="51"/>
    <n v="54"/>
    <n v="6.2"/>
  </r>
  <r>
    <x v="12"/>
    <x v="12"/>
    <d v="2022-02-16T00:00:00"/>
    <s v="NA"/>
    <n v="0"/>
    <n v="23"/>
    <s v="21-40"/>
    <x v="0"/>
    <x v="9"/>
    <x v="7"/>
    <x v="4"/>
    <n v="1"/>
    <n v="1"/>
    <n v="6.1"/>
    <x v="1"/>
    <n v="6"/>
    <n v="5"/>
    <n v="835490"/>
    <n v="304551"/>
    <n v="530939"/>
    <n v="75"/>
    <n v="66"/>
    <n v="7"/>
  </r>
  <r>
    <x v="12"/>
    <x v="12"/>
    <d v="2024-04-09T00:00:00"/>
    <s v="NA"/>
    <n v="0"/>
    <n v="34"/>
    <s v="21-40"/>
    <x v="1"/>
    <x v="1"/>
    <x v="1"/>
    <x v="1"/>
    <n v="1"/>
    <n v="1"/>
    <n v="1.3"/>
    <x v="24"/>
    <n v="5"/>
    <n v="7"/>
    <n v="805719"/>
    <n v="259752"/>
    <n v="545967"/>
    <n v="61"/>
    <n v="66"/>
    <n v="6.9"/>
  </r>
  <r>
    <x v="12"/>
    <x v="12"/>
    <d v="2022-12-04T00:00:00"/>
    <s v="NA"/>
    <n v="0"/>
    <n v="64"/>
    <s v="61-80"/>
    <x v="1"/>
    <x v="4"/>
    <x v="3"/>
    <x v="0"/>
    <n v="1"/>
    <n v="1"/>
    <n v="5"/>
    <x v="17"/>
    <n v="5"/>
    <n v="3"/>
    <n v="872073"/>
    <n v="340306"/>
    <n v="531767"/>
    <n v="72"/>
    <n v="56"/>
    <n v="7.8"/>
  </r>
  <r>
    <x v="12"/>
    <x v="12"/>
    <d v="2023-10-11T00:00:00"/>
    <s v="NA"/>
    <n v="0"/>
    <n v="27"/>
    <s v="21-40"/>
    <x v="1"/>
    <x v="1"/>
    <x v="1"/>
    <x v="3"/>
    <n v="1"/>
    <n v="1"/>
    <n v="1.3"/>
    <x v="26"/>
    <n v="4"/>
    <n v="6"/>
    <n v="807589"/>
    <n v="190568"/>
    <n v="617021"/>
    <n v="54"/>
    <n v="56"/>
    <n v="14.2"/>
  </r>
  <r>
    <x v="12"/>
    <x v="12"/>
    <d v="2023-06-25T00:00:00"/>
    <s v="NA"/>
    <n v="0"/>
    <n v="33"/>
    <s v="21-40"/>
    <x v="0"/>
    <x v="7"/>
    <x v="5"/>
    <x v="4"/>
    <n v="1"/>
    <n v="1"/>
    <n v="1.2"/>
    <x v="8"/>
    <n v="3"/>
    <n v="7"/>
    <n v="871268"/>
    <n v="313047"/>
    <n v="558221"/>
    <n v="65"/>
    <n v="59"/>
    <n v="14"/>
  </r>
  <r>
    <x v="12"/>
    <x v="12"/>
    <d v="2021-03-23T00:00:00"/>
    <s v="NA"/>
    <n v="0"/>
    <n v="37"/>
    <s v="21-40"/>
    <x v="1"/>
    <x v="7"/>
    <x v="5"/>
    <x v="3"/>
    <n v="1"/>
    <n v="1"/>
    <n v="4.0999999999999996"/>
    <x v="25"/>
    <n v="4"/>
    <n v="5"/>
    <n v="846412"/>
    <n v="302598"/>
    <n v="543814"/>
    <n v="78"/>
    <n v="60"/>
    <n v="8.8000000000000007"/>
  </r>
  <r>
    <x v="12"/>
    <x v="12"/>
    <d v="2023-03-02T00:00:00"/>
    <s v="NA"/>
    <n v="0"/>
    <n v="43"/>
    <s v="41-60"/>
    <x v="0"/>
    <x v="5"/>
    <x v="0"/>
    <x v="1"/>
    <n v="1"/>
    <n v="1"/>
    <n v="4.4000000000000004"/>
    <x v="17"/>
    <n v="4"/>
    <n v="6"/>
    <n v="823998"/>
    <n v="173580"/>
    <n v="650418"/>
    <n v="79"/>
    <n v="61"/>
    <n v="9"/>
  </r>
  <r>
    <x v="12"/>
    <x v="12"/>
    <d v="2023-09-02T00:00:00"/>
    <s v="NA"/>
    <n v="0"/>
    <n v="76"/>
    <s v="61-80"/>
    <x v="0"/>
    <x v="14"/>
    <x v="11"/>
    <x v="4"/>
    <n v="1"/>
    <n v="1"/>
    <n v="5.9"/>
    <x v="18"/>
    <n v="5"/>
    <n v="4"/>
    <n v="830362"/>
    <n v="242004"/>
    <n v="588358"/>
    <n v="57"/>
    <n v="60"/>
    <n v="10.9"/>
  </r>
  <r>
    <x v="12"/>
    <x v="12"/>
    <d v="2024-02-11T00:00:00"/>
    <s v="NA"/>
    <n v="0"/>
    <n v="57"/>
    <s v="41-60"/>
    <x v="1"/>
    <x v="1"/>
    <x v="1"/>
    <x v="1"/>
    <n v="1"/>
    <n v="1"/>
    <n v="6.4"/>
    <x v="1"/>
    <n v="6"/>
    <n v="3"/>
    <n v="810915"/>
    <n v="197405"/>
    <n v="613510"/>
    <n v="59"/>
    <n v="62"/>
    <n v="13.2"/>
  </r>
  <r>
    <x v="12"/>
    <x v="12"/>
    <d v="2022-02-05T00:00:00"/>
    <s v="NA"/>
    <n v="0"/>
    <n v="47"/>
    <s v="41-60"/>
    <x v="1"/>
    <x v="12"/>
    <x v="9"/>
    <x v="1"/>
    <n v="1"/>
    <n v="1"/>
    <n v="5.9"/>
    <x v="19"/>
    <n v="4"/>
    <n v="6"/>
    <n v="803868"/>
    <n v="267358"/>
    <n v="536510"/>
    <n v="61"/>
    <n v="57"/>
    <n v="8.6"/>
  </r>
  <r>
    <x v="12"/>
    <x v="12"/>
    <d v="2023-10-13T00:00:00"/>
    <s v="NA"/>
    <n v="0"/>
    <n v="90"/>
    <s v="81+"/>
    <x v="1"/>
    <x v="12"/>
    <x v="9"/>
    <x v="4"/>
    <n v="1"/>
    <n v="1"/>
    <n v="2.2000000000000002"/>
    <x v="8"/>
    <n v="6"/>
    <n v="5"/>
    <n v="981835"/>
    <n v="304925"/>
    <n v="676910"/>
    <n v="66"/>
    <n v="55"/>
    <n v="8.6999999999999993"/>
  </r>
  <r>
    <x v="12"/>
    <x v="12"/>
    <d v="2023-02-13T00:00:00"/>
    <s v="NA"/>
    <n v="0"/>
    <n v="48"/>
    <s v="41-60"/>
    <x v="0"/>
    <x v="4"/>
    <x v="3"/>
    <x v="4"/>
    <n v="1"/>
    <n v="1"/>
    <n v="5.6"/>
    <x v="29"/>
    <n v="7"/>
    <n v="3"/>
    <n v="823595"/>
    <n v="126048"/>
    <n v="697547"/>
    <n v="72"/>
    <n v="55"/>
    <n v="36.200000000000003"/>
  </r>
  <r>
    <x v="12"/>
    <x v="12"/>
    <d v="2023-10-11T00:00:00"/>
    <s v="NA"/>
    <n v="0"/>
    <n v="85"/>
    <s v="81+"/>
    <x v="0"/>
    <x v="5"/>
    <x v="0"/>
    <x v="4"/>
    <n v="1"/>
    <n v="1"/>
    <n v="4.9000000000000004"/>
    <x v="19"/>
    <n v="4"/>
    <n v="4"/>
    <n v="995304"/>
    <n v="488772"/>
    <n v="506532"/>
    <n v="60"/>
    <n v="55"/>
    <n v="6.2"/>
  </r>
  <r>
    <x v="12"/>
    <x v="12"/>
    <d v="2021-07-17T00:00:00"/>
    <s v="NA"/>
    <n v="0"/>
    <n v="78"/>
    <s v="61-80"/>
    <x v="0"/>
    <x v="0"/>
    <x v="0"/>
    <x v="0"/>
    <n v="1"/>
    <n v="1"/>
    <n v="5.9"/>
    <x v="0"/>
    <n v="5"/>
    <n v="5"/>
    <n v="802662"/>
    <n v="203186"/>
    <n v="599476"/>
    <n v="68"/>
    <n v="56"/>
    <n v="10.199999999999999"/>
  </r>
  <r>
    <x v="12"/>
    <x v="12"/>
    <d v="2021-03-05T00:00:00"/>
    <s v="NA"/>
    <n v="0"/>
    <n v="36"/>
    <s v="21-40"/>
    <x v="0"/>
    <x v="5"/>
    <x v="0"/>
    <x v="2"/>
    <n v="1"/>
    <n v="1"/>
    <n v="1.5"/>
    <x v="6"/>
    <n v="7"/>
    <n v="7"/>
    <n v="851810"/>
    <n v="333344"/>
    <n v="518466"/>
    <n v="55"/>
    <n v="57"/>
    <n v="7.2"/>
  </r>
  <r>
    <x v="12"/>
    <x v="12"/>
    <d v="2023-03-31T00:00:00"/>
    <s v="NA"/>
    <n v="0"/>
    <n v="22"/>
    <s v="21-40"/>
    <x v="1"/>
    <x v="12"/>
    <x v="9"/>
    <x v="2"/>
    <n v="1"/>
    <n v="1"/>
    <n v="1.6"/>
    <x v="20"/>
    <n v="4"/>
    <n v="3"/>
    <n v="946209"/>
    <n v="255999"/>
    <n v="690210"/>
    <n v="53"/>
    <n v="63"/>
    <n v="5.6"/>
  </r>
  <r>
    <x v="12"/>
    <x v="12"/>
    <d v="2023-09-19T00:00:00"/>
    <s v="NA"/>
    <n v="0"/>
    <n v="72"/>
    <s v="61-80"/>
    <x v="0"/>
    <x v="12"/>
    <x v="9"/>
    <x v="3"/>
    <n v="1"/>
    <n v="1"/>
    <n v="6.7"/>
    <x v="28"/>
    <n v="3"/>
    <n v="3"/>
    <n v="879782"/>
    <n v="327799"/>
    <n v="551983"/>
    <n v="54"/>
    <n v="56"/>
    <n v="36.6"/>
  </r>
  <r>
    <x v="12"/>
    <x v="12"/>
    <d v="2024-06-07T00:00:00"/>
    <s v="NA"/>
    <n v="0"/>
    <n v="49"/>
    <s v="41-60"/>
    <x v="1"/>
    <x v="3"/>
    <x v="2"/>
    <x v="4"/>
    <n v="1"/>
    <n v="1"/>
    <n v="5.9"/>
    <x v="21"/>
    <n v="4"/>
    <n v="5"/>
    <n v="876756"/>
    <n v="192150"/>
    <n v="684606"/>
    <n v="54"/>
    <n v="63"/>
    <n v="7.2"/>
  </r>
  <r>
    <x v="12"/>
    <x v="12"/>
    <d v="2021-09-08T00:00:00"/>
    <s v="NA"/>
    <n v="0"/>
    <n v="22"/>
    <s v="21-40"/>
    <x v="0"/>
    <x v="1"/>
    <x v="1"/>
    <x v="4"/>
    <n v="1"/>
    <n v="1"/>
    <n v="2"/>
    <x v="19"/>
    <n v="7"/>
    <n v="4"/>
    <n v="946639"/>
    <n v="324976"/>
    <n v="621663"/>
    <n v="71"/>
    <n v="62"/>
    <n v="14.5"/>
  </r>
  <r>
    <x v="12"/>
    <x v="12"/>
    <d v="2022-12-18T00:00:00"/>
    <s v="NA"/>
    <n v="0"/>
    <n v="29"/>
    <s v="21-40"/>
    <x v="1"/>
    <x v="4"/>
    <x v="3"/>
    <x v="4"/>
    <n v="1"/>
    <n v="1"/>
    <n v="1.4"/>
    <x v="29"/>
    <n v="4"/>
    <n v="6"/>
    <n v="817920"/>
    <n v="264287"/>
    <n v="553633"/>
    <n v="52"/>
    <n v="55"/>
    <n v="7.1"/>
  </r>
  <r>
    <x v="12"/>
    <x v="12"/>
    <d v="2021-06-22T00:00:00"/>
    <s v="NA"/>
    <n v="0"/>
    <n v="41"/>
    <s v="41-60"/>
    <x v="1"/>
    <x v="11"/>
    <x v="8"/>
    <x v="3"/>
    <n v="1"/>
    <n v="1"/>
    <n v="5.7"/>
    <x v="18"/>
    <n v="3"/>
    <n v="7"/>
    <n v="872464"/>
    <n v="184337"/>
    <n v="688127"/>
    <n v="55"/>
    <n v="60"/>
    <n v="6.5"/>
  </r>
  <r>
    <x v="12"/>
    <x v="12"/>
    <d v="2023-03-05T00:00:00"/>
    <s v="NA"/>
    <n v="0"/>
    <n v="60"/>
    <s v="41-60"/>
    <x v="0"/>
    <x v="2"/>
    <x v="1"/>
    <x v="4"/>
    <n v="1"/>
    <n v="1"/>
    <n v="4.9000000000000004"/>
    <x v="23"/>
    <n v="6"/>
    <n v="6"/>
    <n v="915523"/>
    <n v="319758"/>
    <n v="595765"/>
    <n v="50"/>
    <n v="63"/>
    <n v="14.8"/>
  </r>
  <r>
    <x v="12"/>
    <x v="12"/>
    <d v="2021-02-23T00:00:00"/>
    <s v="NA"/>
    <n v="0"/>
    <n v="37"/>
    <s v="21-40"/>
    <x v="0"/>
    <x v="2"/>
    <x v="1"/>
    <x v="0"/>
    <n v="1"/>
    <n v="1"/>
    <n v="1.2"/>
    <x v="30"/>
    <n v="7"/>
    <n v="4"/>
    <n v="990197"/>
    <n v="301929"/>
    <n v="688268"/>
    <n v="75"/>
    <n v="58"/>
    <n v="36.799999999999997"/>
  </r>
  <r>
    <x v="12"/>
    <x v="12"/>
    <d v="2022-07-17T00:00:00"/>
    <s v="NA"/>
    <n v="0"/>
    <n v="86"/>
    <s v="81+"/>
    <x v="0"/>
    <x v="12"/>
    <x v="9"/>
    <x v="1"/>
    <n v="1"/>
    <n v="1"/>
    <n v="6.2"/>
    <x v="4"/>
    <n v="6"/>
    <n v="5"/>
    <n v="884313"/>
    <n v="253271"/>
    <n v="631042"/>
    <n v="58"/>
    <n v="56"/>
    <n v="10.7"/>
  </r>
  <r>
    <x v="12"/>
    <x v="12"/>
    <d v="2022-09-13T00:00:00"/>
    <s v="NA"/>
    <n v="0"/>
    <n v="75"/>
    <s v="61-80"/>
    <x v="0"/>
    <x v="4"/>
    <x v="3"/>
    <x v="1"/>
    <n v="1"/>
    <n v="1"/>
    <n v="2.5"/>
    <x v="18"/>
    <n v="6"/>
    <n v="4"/>
    <n v="865417"/>
    <n v="247086"/>
    <n v="618331"/>
    <n v="59"/>
    <n v="59"/>
    <n v="14.1"/>
  </r>
  <r>
    <x v="12"/>
    <x v="12"/>
    <d v="2022-12-10T00:00:00"/>
    <s v="NA"/>
    <n v="0"/>
    <n v="37"/>
    <s v="21-40"/>
    <x v="1"/>
    <x v="8"/>
    <x v="6"/>
    <x v="3"/>
    <n v="1"/>
    <n v="1"/>
    <n v="5.7"/>
    <x v="8"/>
    <n v="4"/>
    <n v="4"/>
    <n v="854534"/>
    <n v="287920"/>
    <n v="566614"/>
    <n v="53"/>
    <n v="59"/>
    <n v="36"/>
  </r>
  <r>
    <x v="12"/>
    <x v="12"/>
    <d v="2024-07-30T00:00:00"/>
    <s v="NA"/>
    <n v="0"/>
    <n v="46"/>
    <s v="41-60"/>
    <x v="0"/>
    <x v="2"/>
    <x v="1"/>
    <x v="3"/>
    <n v="1"/>
    <n v="1"/>
    <n v="2.6"/>
    <x v="23"/>
    <n v="4"/>
    <n v="4"/>
    <n v="910975"/>
    <n v="386318"/>
    <n v="524657"/>
    <n v="51"/>
    <n v="60"/>
    <n v="7.4"/>
  </r>
  <r>
    <x v="12"/>
    <x v="12"/>
    <d v="2021-10-31T00:00:00"/>
    <s v="NA"/>
    <n v="0"/>
    <n v="42"/>
    <s v="41-60"/>
    <x v="1"/>
    <x v="4"/>
    <x v="3"/>
    <x v="0"/>
    <n v="1"/>
    <n v="1"/>
    <n v="6.9"/>
    <x v="1"/>
    <n v="7"/>
    <n v="3"/>
    <n v="963947"/>
    <n v="427970"/>
    <n v="535977"/>
    <n v="61"/>
    <n v="58"/>
    <n v="6.3"/>
  </r>
  <r>
    <x v="12"/>
    <x v="12"/>
    <d v="2021-02-21T00:00:00"/>
    <s v="NA"/>
    <n v="0"/>
    <n v="36"/>
    <s v="21-40"/>
    <x v="0"/>
    <x v="2"/>
    <x v="1"/>
    <x v="0"/>
    <n v="1"/>
    <n v="1"/>
    <n v="1.9"/>
    <x v="23"/>
    <n v="3"/>
    <n v="7"/>
    <n v="839842"/>
    <n v="200291"/>
    <n v="639551"/>
    <n v="78"/>
    <n v="56"/>
    <n v="9"/>
  </r>
  <r>
    <x v="12"/>
    <x v="12"/>
    <d v="2023-05-04T00:00:00"/>
    <s v="NA"/>
    <n v="0"/>
    <n v="46"/>
    <s v="41-60"/>
    <x v="0"/>
    <x v="7"/>
    <x v="5"/>
    <x v="4"/>
    <n v="1"/>
    <n v="1"/>
    <n v="3.1"/>
    <x v="2"/>
    <n v="4"/>
    <n v="4"/>
    <n v="841755"/>
    <n v="279840"/>
    <n v="561915"/>
    <n v="73"/>
    <n v="66"/>
    <n v="10.7"/>
  </r>
  <r>
    <x v="12"/>
    <x v="12"/>
    <d v="2022-12-28T00:00:00"/>
    <s v="NA"/>
    <n v="0"/>
    <n v="55"/>
    <s v="41-60"/>
    <x v="0"/>
    <x v="0"/>
    <x v="0"/>
    <x v="4"/>
    <n v="1"/>
    <n v="1"/>
    <n v="5"/>
    <x v="29"/>
    <n v="3"/>
    <n v="6"/>
    <n v="838534"/>
    <n v="143200"/>
    <n v="695334"/>
    <n v="61"/>
    <n v="65"/>
    <n v="10.9"/>
  </r>
  <r>
    <x v="12"/>
    <x v="12"/>
    <d v="2022-07-21T00:00:00"/>
    <s v="NA"/>
    <n v="0"/>
    <n v="25"/>
    <s v="21-40"/>
    <x v="0"/>
    <x v="9"/>
    <x v="7"/>
    <x v="0"/>
    <n v="1"/>
    <n v="1"/>
    <n v="4.9000000000000004"/>
    <x v="8"/>
    <n v="6"/>
    <n v="3"/>
    <n v="877464"/>
    <n v="300149"/>
    <n v="577315"/>
    <n v="77"/>
    <n v="59"/>
    <n v="6.3"/>
  </r>
  <r>
    <x v="12"/>
    <x v="12"/>
    <d v="2021-04-26T00:00:00"/>
    <s v="NA"/>
    <n v="0"/>
    <n v="52"/>
    <s v="41-60"/>
    <x v="1"/>
    <x v="3"/>
    <x v="2"/>
    <x v="3"/>
    <n v="1"/>
    <n v="1"/>
    <n v="6.5"/>
    <x v="8"/>
    <n v="3"/>
    <n v="5"/>
    <n v="955521"/>
    <n v="295703"/>
    <n v="659818"/>
    <n v="76"/>
    <n v="56"/>
    <n v="9.4"/>
  </r>
  <r>
    <x v="12"/>
    <x v="12"/>
    <d v="2022-12-20T00:00:00"/>
    <s v="NA"/>
    <n v="0"/>
    <n v="30"/>
    <s v="21-40"/>
    <x v="0"/>
    <x v="4"/>
    <x v="3"/>
    <x v="2"/>
    <n v="1"/>
    <n v="1"/>
    <n v="3.3"/>
    <x v="12"/>
    <n v="4"/>
    <n v="7"/>
    <n v="859792"/>
    <n v="239735"/>
    <n v="620057"/>
    <n v="70"/>
    <n v="55"/>
    <n v="12.9"/>
  </r>
  <r>
    <x v="12"/>
    <x v="12"/>
    <d v="2021-08-23T00:00:00"/>
    <s v="NA"/>
    <n v="0"/>
    <n v="74"/>
    <s v="61-80"/>
    <x v="0"/>
    <x v="7"/>
    <x v="5"/>
    <x v="0"/>
    <n v="1"/>
    <n v="1"/>
    <n v="6.1"/>
    <x v="6"/>
    <n v="4"/>
    <n v="7"/>
    <n v="872750"/>
    <n v="355009"/>
    <n v="517741"/>
    <n v="68"/>
    <n v="64"/>
    <n v="9.5"/>
  </r>
  <r>
    <x v="12"/>
    <x v="12"/>
    <d v="2021-10-27T00:00:00"/>
    <s v="NA"/>
    <n v="0"/>
    <n v="42"/>
    <s v="41-60"/>
    <x v="0"/>
    <x v="5"/>
    <x v="0"/>
    <x v="4"/>
    <n v="1"/>
    <n v="1"/>
    <n v="5"/>
    <x v="21"/>
    <n v="4"/>
    <n v="4"/>
    <n v="947533"/>
    <n v="300165"/>
    <n v="647368"/>
    <n v="55"/>
    <n v="66"/>
    <n v="14.7"/>
  </r>
  <r>
    <x v="12"/>
    <x v="12"/>
    <d v="2023-08-23T00:00:00"/>
    <s v="NA"/>
    <n v="0"/>
    <n v="78"/>
    <s v="61-80"/>
    <x v="1"/>
    <x v="6"/>
    <x v="4"/>
    <x v="0"/>
    <n v="1"/>
    <n v="1"/>
    <n v="5.2"/>
    <x v="23"/>
    <n v="5"/>
    <n v="3"/>
    <n v="862577"/>
    <n v="279270"/>
    <n v="583307"/>
    <n v="73"/>
    <n v="56"/>
    <n v="9.1999999999999993"/>
  </r>
  <r>
    <x v="12"/>
    <x v="12"/>
    <d v="2023-08-11T00:00:00"/>
    <s v="NA"/>
    <n v="0"/>
    <n v="88"/>
    <s v="81+"/>
    <x v="1"/>
    <x v="3"/>
    <x v="2"/>
    <x v="1"/>
    <n v="1"/>
    <n v="1"/>
    <n v="2.7"/>
    <x v="26"/>
    <n v="3"/>
    <n v="3"/>
    <n v="891208"/>
    <n v="352296"/>
    <n v="538912"/>
    <n v="68"/>
    <n v="54"/>
    <n v="10.9"/>
  </r>
  <r>
    <x v="12"/>
    <x v="12"/>
    <d v="2023-01-03T00:00:00"/>
    <s v="NA"/>
    <n v="0"/>
    <n v="28"/>
    <s v="21-40"/>
    <x v="0"/>
    <x v="0"/>
    <x v="0"/>
    <x v="3"/>
    <n v="1"/>
    <n v="1"/>
    <n v="3.3"/>
    <x v="11"/>
    <n v="4"/>
    <n v="4"/>
    <n v="817616"/>
    <n v="187746"/>
    <n v="629870"/>
    <n v="51"/>
    <n v="66"/>
    <n v="9.1999999999999993"/>
  </r>
  <r>
    <x v="12"/>
    <x v="12"/>
    <d v="2024-05-19T00:00:00"/>
    <s v="NA"/>
    <n v="0"/>
    <n v="25"/>
    <s v="21-40"/>
    <x v="0"/>
    <x v="5"/>
    <x v="0"/>
    <x v="1"/>
    <n v="1"/>
    <n v="1"/>
    <n v="5.3"/>
    <x v="17"/>
    <n v="4"/>
    <n v="7"/>
    <n v="961741"/>
    <n v="330967"/>
    <n v="630774"/>
    <n v="51"/>
    <n v="63"/>
    <n v="13.7"/>
  </r>
  <r>
    <x v="12"/>
    <x v="12"/>
    <d v="2022-05-26T00:00:00"/>
    <s v="NA"/>
    <n v="0"/>
    <n v="22"/>
    <s v="21-40"/>
    <x v="0"/>
    <x v="5"/>
    <x v="0"/>
    <x v="4"/>
    <n v="1"/>
    <n v="1"/>
    <n v="7"/>
    <x v="19"/>
    <n v="6"/>
    <n v="7"/>
    <n v="900363"/>
    <n v="331380"/>
    <n v="568983"/>
    <n v="65"/>
    <n v="63"/>
    <n v="5.0999999999999996"/>
  </r>
  <r>
    <x v="12"/>
    <x v="12"/>
    <d v="2024-09-22T00:00:00"/>
    <s v="NA"/>
    <n v="0"/>
    <n v="24"/>
    <s v="21-40"/>
    <x v="0"/>
    <x v="14"/>
    <x v="11"/>
    <x v="1"/>
    <n v="1"/>
    <n v="1"/>
    <n v="1.5"/>
    <x v="0"/>
    <n v="6"/>
    <n v="4"/>
    <n v="879122"/>
    <n v="236983"/>
    <n v="642139"/>
    <n v="77"/>
    <n v="60"/>
    <n v="14.4"/>
  </r>
  <r>
    <x v="12"/>
    <x v="12"/>
    <d v="2022-07-08T00:00:00"/>
    <s v="NA"/>
    <n v="0"/>
    <n v="84"/>
    <s v="81+"/>
    <x v="1"/>
    <x v="12"/>
    <x v="9"/>
    <x v="2"/>
    <n v="1"/>
    <n v="1"/>
    <n v="6.1"/>
    <x v="29"/>
    <n v="6"/>
    <n v="6"/>
    <n v="899217"/>
    <n v="219060"/>
    <n v="680157"/>
    <n v="65"/>
    <n v="59"/>
    <n v="14.2"/>
  </r>
  <r>
    <x v="12"/>
    <x v="12"/>
    <d v="2023-09-09T00:00:00"/>
    <s v="NA"/>
    <n v="0"/>
    <n v="68"/>
    <s v="61-80"/>
    <x v="0"/>
    <x v="7"/>
    <x v="5"/>
    <x v="1"/>
    <n v="1"/>
    <n v="1"/>
    <n v="5.0999999999999996"/>
    <x v="12"/>
    <n v="4"/>
    <n v="6"/>
    <n v="989718"/>
    <n v="453701"/>
    <n v="536017"/>
    <n v="65"/>
    <n v="65"/>
    <n v="15"/>
  </r>
  <r>
    <x v="12"/>
    <x v="12"/>
    <d v="2023-11-30T00:00:00"/>
    <s v="NA"/>
    <n v="0"/>
    <n v="30"/>
    <s v="21-40"/>
    <x v="0"/>
    <x v="2"/>
    <x v="1"/>
    <x v="1"/>
    <n v="1"/>
    <n v="1"/>
    <n v="4.0999999999999996"/>
    <x v="29"/>
    <n v="6"/>
    <n v="7"/>
    <n v="936362"/>
    <n v="423296"/>
    <n v="513066"/>
    <n v="53"/>
    <n v="63"/>
    <n v="7.7"/>
  </r>
  <r>
    <x v="12"/>
    <x v="12"/>
    <d v="2022-12-04T00:00:00"/>
    <s v="NA"/>
    <n v="0"/>
    <n v="27"/>
    <s v="21-40"/>
    <x v="0"/>
    <x v="13"/>
    <x v="10"/>
    <x v="0"/>
    <n v="1"/>
    <n v="1"/>
    <n v="2.5"/>
    <x v="27"/>
    <n v="5"/>
    <n v="7"/>
    <n v="806612"/>
    <n v="198442"/>
    <n v="608170"/>
    <n v="56"/>
    <n v="55"/>
    <n v="36.700000000000003"/>
  </r>
  <r>
    <x v="12"/>
    <x v="12"/>
    <d v="2022-01-02T00:00:00"/>
    <s v="NA"/>
    <n v="0"/>
    <n v="82"/>
    <s v="81+"/>
    <x v="1"/>
    <x v="4"/>
    <x v="3"/>
    <x v="3"/>
    <n v="1"/>
    <n v="1"/>
    <n v="1.6"/>
    <x v="4"/>
    <n v="3"/>
    <n v="3"/>
    <n v="951263"/>
    <n v="322938"/>
    <n v="628325"/>
    <n v="79"/>
    <n v="65"/>
    <n v="8.6"/>
  </r>
  <r>
    <x v="12"/>
    <x v="12"/>
    <d v="2022-09-16T00:00:00"/>
    <s v="NA"/>
    <n v="0"/>
    <n v="71"/>
    <s v="61-80"/>
    <x v="1"/>
    <x v="6"/>
    <x v="4"/>
    <x v="1"/>
    <n v="1"/>
    <n v="1"/>
    <n v="4.8"/>
    <x v="20"/>
    <n v="4"/>
    <n v="5"/>
    <n v="881874"/>
    <n v="241014"/>
    <n v="640860"/>
    <n v="77"/>
    <n v="65"/>
    <n v="36.6"/>
  </r>
  <r>
    <x v="12"/>
    <x v="12"/>
    <d v="2023-10-21T00:00:00"/>
    <s v="NA"/>
    <n v="0"/>
    <n v="38"/>
    <s v="21-40"/>
    <x v="0"/>
    <x v="0"/>
    <x v="0"/>
    <x v="3"/>
    <n v="1"/>
    <n v="1"/>
    <n v="5.7"/>
    <x v="5"/>
    <n v="3"/>
    <n v="4"/>
    <n v="837894"/>
    <n v="191686"/>
    <n v="646208"/>
    <n v="55"/>
    <n v="57"/>
    <n v="12.1"/>
  </r>
  <r>
    <x v="12"/>
    <x v="12"/>
    <d v="2024-04-07T00:00:00"/>
    <s v="NA"/>
    <n v="0"/>
    <n v="49"/>
    <s v="41-60"/>
    <x v="0"/>
    <x v="12"/>
    <x v="9"/>
    <x v="0"/>
    <n v="1"/>
    <n v="1"/>
    <n v="6.6"/>
    <x v="18"/>
    <n v="7"/>
    <n v="3"/>
    <n v="899256"/>
    <n v="249821"/>
    <n v="649435"/>
    <n v="70"/>
    <n v="62"/>
    <n v="10"/>
  </r>
  <r>
    <x v="12"/>
    <x v="12"/>
    <d v="2022-03-22T00:00:00"/>
    <s v="NA"/>
    <n v="0"/>
    <n v="44"/>
    <s v="41-60"/>
    <x v="0"/>
    <x v="5"/>
    <x v="0"/>
    <x v="0"/>
    <n v="1"/>
    <n v="1"/>
    <n v="6.5"/>
    <x v="25"/>
    <n v="3"/>
    <n v="7"/>
    <n v="802067"/>
    <n v="217128"/>
    <n v="584939"/>
    <n v="79"/>
    <n v="59"/>
    <n v="36.700000000000003"/>
  </r>
  <r>
    <x v="12"/>
    <x v="12"/>
    <d v="2024-03-02T00:00:00"/>
    <s v="NA"/>
    <n v="0"/>
    <n v="59"/>
    <s v="41-60"/>
    <x v="0"/>
    <x v="9"/>
    <x v="7"/>
    <x v="3"/>
    <n v="1"/>
    <n v="1"/>
    <n v="1.4"/>
    <x v="7"/>
    <n v="5"/>
    <n v="5"/>
    <n v="816949"/>
    <n v="207166"/>
    <n v="609783"/>
    <n v="53"/>
    <n v="57"/>
    <n v="14.3"/>
  </r>
  <r>
    <x v="12"/>
    <x v="12"/>
    <d v="2024-01-21T00:00:00"/>
    <s v="NA"/>
    <n v="0"/>
    <n v="35"/>
    <s v="21-40"/>
    <x v="0"/>
    <x v="2"/>
    <x v="1"/>
    <x v="1"/>
    <n v="1"/>
    <n v="1"/>
    <n v="3.1"/>
    <x v="19"/>
    <n v="7"/>
    <n v="5"/>
    <n v="996839"/>
    <n v="401799"/>
    <n v="595040"/>
    <n v="62"/>
    <n v="65"/>
    <n v="10.199999999999999"/>
  </r>
  <r>
    <x v="12"/>
    <x v="12"/>
    <d v="2024-06-16T00:00:00"/>
    <s v="NA"/>
    <n v="0"/>
    <n v="59"/>
    <s v="41-60"/>
    <x v="1"/>
    <x v="12"/>
    <x v="9"/>
    <x v="0"/>
    <n v="1"/>
    <n v="1"/>
    <n v="2.2000000000000002"/>
    <x v="3"/>
    <n v="4"/>
    <n v="7"/>
    <n v="968389"/>
    <n v="403477"/>
    <n v="564912"/>
    <n v="65"/>
    <n v="59"/>
    <n v="6.7"/>
  </r>
  <r>
    <x v="12"/>
    <x v="12"/>
    <d v="2022-04-18T00:00:00"/>
    <s v="NA"/>
    <n v="0"/>
    <n v="21"/>
    <s v="21-40"/>
    <x v="1"/>
    <x v="2"/>
    <x v="1"/>
    <x v="3"/>
    <n v="1"/>
    <n v="1"/>
    <n v="1.7"/>
    <x v="9"/>
    <n v="7"/>
    <n v="4"/>
    <n v="961246"/>
    <n v="446465"/>
    <n v="514781"/>
    <n v="71"/>
    <n v="59"/>
    <n v="9.6"/>
  </r>
  <r>
    <x v="12"/>
    <x v="12"/>
    <d v="2024-04-29T00:00:00"/>
    <s v="NA"/>
    <n v="0"/>
    <n v="66"/>
    <s v="61-80"/>
    <x v="1"/>
    <x v="13"/>
    <x v="10"/>
    <x v="3"/>
    <n v="1"/>
    <n v="1"/>
    <n v="2.6"/>
    <x v="28"/>
    <n v="6"/>
    <n v="6"/>
    <n v="958126"/>
    <n v="305322"/>
    <n v="652804"/>
    <n v="75"/>
    <n v="57"/>
    <n v="5.3"/>
  </r>
  <r>
    <x v="12"/>
    <x v="12"/>
    <d v="2022-08-16T00:00:00"/>
    <s v="NA"/>
    <n v="0"/>
    <n v="87"/>
    <s v="81+"/>
    <x v="1"/>
    <x v="6"/>
    <x v="4"/>
    <x v="3"/>
    <n v="1"/>
    <n v="1"/>
    <n v="2.2000000000000002"/>
    <x v="5"/>
    <n v="7"/>
    <n v="6"/>
    <n v="843770"/>
    <n v="308492"/>
    <n v="535278"/>
    <n v="74"/>
    <n v="61"/>
    <n v="12.7"/>
  </r>
  <r>
    <x v="12"/>
    <x v="12"/>
    <d v="2021-10-04T00:00:00"/>
    <s v="NA"/>
    <n v="0"/>
    <n v="73"/>
    <s v="61-80"/>
    <x v="1"/>
    <x v="1"/>
    <x v="1"/>
    <x v="4"/>
    <n v="1"/>
    <n v="1"/>
    <n v="2.2000000000000002"/>
    <x v="12"/>
    <n v="7"/>
    <n v="4"/>
    <n v="848441"/>
    <n v="341738"/>
    <n v="506703"/>
    <n v="66"/>
    <n v="59"/>
    <n v="13.4"/>
  </r>
  <r>
    <x v="12"/>
    <x v="12"/>
    <d v="2024-09-23T00:00:00"/>
    <s v="NA"/>
    <n v="0"/>
    <n v="59"/>
    <s v="41-60"/>
    <x v="0"/>
    <x v="2"/>
    <x v="1"/>
    <x v="2"/>
    <n v="1"/>
    <n v="1"/>
    <n v="4.9000000000000004"/>
    <x v="18"/>
    <n v="6"/>
    <n v="7"/>
    <n v="990532"/>
    <n v="292050"/>
    <n v="698482"/>
    <n v="66"/>
    <n v="64"/>
    <n v="13.2"/>
  </r>
  <r>
    <x v="12"/>
    <x v="12"/>
    <d v="2022-11-30T00:00:00"/>
    <s v="NA"/>
    <n v="0"/>
    <n v="56"/>
    <s v="41-60"/>
    <x v="1"/>
    <x v="12"/>
    <x v="9"/>
    <x v="0"/>
    <n v="1"/>
    <n v="1"/>
    <n v="1.8"/>
    <x v="29"/>
    <n v="5"/>
    <n v="5"/>
    <n v="967164"/>
    <n v="307772"/>
    <n v="659392"/>
    <n v="51"/>
    <n v="64"/>
    <n v="5.7"/>
  </r>
  <r>
    <x v="12"/>
    <x v="12"/>
    <d v="2023-06-19T00:00:00"/>
    <s v="NA"/>
    <n v="0"/>
    <n v="69"/>
    <s v="61-80"/>
    <x v="1"/>
    <x v="4"/>
    <x v="3"/>
    <x v="1"/>
    <n v="1"/>
    <n v="1"/>
    <n v="2.9"/>
    <x v="28"/>
    <n v="5"/>
    <n v="5"/>
    <n v="903834"/>
    <n v="208784"/>
    <n v="695050"/>
    <n v="75"/>
    <n v="58"/>
    <n v="6.3"/>
  </r>
  <r>
    <x v="12"/>
    <x v="12"/>
    <d v="2023-10-04T00:00:00"/>
    <s v="NA"/>
    <n v="0"/>
    <n v="40"/>
    <s v="21-40"/>
    <x v="1"/>
    <x v="11"/>
    <x v="8"/>
    <x v="2"/>
    <n v="1"/>
    <n v="1"/>
    <n v="4.2"/>
    <x v="0"/>
    <n v="3"/>
    <n v="4"/>
    <n v="956350"/>
    <n v="361599"/>
    <n v="594751"/>
    <n v="62"/>
    <n v="63"/>
    <n v="13.7"/>
  </r>
  <r>
    <x v="12"/>
    <x v="12"/>
    <d v="2022-10-11T00:00:00"/>
    <s v="NA"/>
    <n v="0"/>
    <n v="67"/>
    <s v="61-80"/>
    <x v="1"/>
    <x v="3"/>
    <x v="2"/>
    <x v="3"/>
    <n v="1"/>
    <n v="1"/>
    <n v="1.2"/>
    <x v="23"/>
    <n v="6"/>
    <n v="5"/>
    <n v="953261"/>
    <n v="327477"/>
    <n v="625784"/>
    <n v="59"/>
    <n v="54"/>
    <n v="6.5"/>
  </r>
  <r>
    <x v="12"/>
    <x v="12"/>
    <d v="2023-12-14T00:00:00"/>
    <s v="NA"/>
    <n v="0"/>
    <n v="58"/>
    <s v="41-60"/>
    <x v="1"/>
    <x v="2"/>
    <x v="1"/>
    <x v="3"/>
    <n v="1"/>
    <n v="1"/>
    <n v="2.7"/>
    <x v="10"/>
    <n v="4"/>
    <n v="3"/>
    <n v="822950"/>
    <n v="228195"/>
    <n v="594755"/>
    <n v="72"/>
    <n v="62"/>
    <n v="13.4"/>
  </r>
  <r>
    <x v="12"/>
    <x v="12"/>
    <d v="2024-06-25T00:00:00"/>
    <s v="NA"/>
    <n v="0"/>
    <n v="86"/>
    <s v="81+"/>
    <x v="0"/>
    <x v="0"/>
    <x v="0"/>
    <x v="4"/>
    <n v="1"/>
    <n v="1"/>
    <n v="1.8"/>
    <x v="12"/>
    <n v="3"/>
    <n v="4"/>
    <n v="862503"/>
    <n v="226778"/>
    <n v="635725"/>
    <n v="59"/>
    <n v="54"/>
    <n v="5.7"/>
  </r>
  <r>
    <x v="12"/>
    <x v="12"/>
    <d v="2024-08-26T00:00:00"/>
    <s v="NA"/>
    <n v="0"/>
    <n v="71"/>
    <s v="61-80"/>
    <x v="0"/>
    <x v="2"/>
    <x v="1"/>
    <x v="4"/>
    <n v="1"/>
    <n v="1"/>
    <n v="5.4"/>
    <x v="20"/>
    <n v="7"/>
    <n v="3"/>
    <n v="876983"/>
    <n v="275651"/>
    <n v="601332"/>
    <n v="80"/>
    <n v="66"/>
    <n v="12.1"/>
  </r>
  <r>
    <x v="12"/>
    <x v="12"/>
    <d v="2021-02-03T00:00:00"/>
    <s v="NA"/>
    <n v="0"/>
    <n v="44"/>
    <s v="41-60"/>
    <x v="0"/>
    <x v="9"/>
    <x v="7"/>
    <x v="4"/>
    <n v="1"/>
    <n v="1"/>
    <n v="6.9"/>
    <x v="5"/>
    <n v="6"/>
    <n v="7"/>
    <n v="887162"/>
    <n v="339754"/>
    <n v="547408"/>
    <n v="55"/>
    <n v="66"/>
    <n v="5.5"/>
  </r>
  <r>
    <x v="12"/>
    <x v="12"/>
    <d v="2023-09-01T00:00:00"/>
    <s v="NA"/>
    <n v="0"/>
    <n v="23"/>
    <s v="21-40"/>
    <x v="1"/>
    <x v="6"/>
    <x v="4"/>
    <x v="0"/>
    <n v="1"/>
    <n v="1"/>
    <n v="3.7"/>
    <x v="16"/>
    <n v="5"/>
    <n v="3"/>
    <n v="828691"/>
    <n v="229975"/>
    <n v="598716"/>
    <n v="63"/>
    <n v="64"/>
    <n v="6.2"/>
  </r>
  <r>
    <x v="12"/>
    <x v="12"/>
    <d v="2021-05-18T00:00:00"/>
    <s v="NA"/>
    <n v="0"/>
    <n v="41"/>
    <s v="41-60"/>
    <x v="1"/>
    <x v="3"/>
    <x v="2"/>
    <x v="2"/>
    <n v="1"/>
    <n v="1"/>
    <n v="6.3"/>
    <x v="10"/>
    <n v="6"/>
    <n v="6"/>
    <n v="973802"/>
    <n v="436171"/>
    <n v="537631"/>
    <n v="79"/>
    <n v="63"/>
    <n v="7.6"/>
  </r>
  <r>
    <x v="12"/>
    <x v="12"/>
    <d v="2022-01-01T00:00:00"/>
    <s v="NA"/>
    <n v="0"/>
    <n v="71"/>
    <s v="61-80"/>
    <x v="0"/>
    <x v="10"/>
    <x v="8"/>
    <x v="2"/>
    <n v="1"/>
    <n v="1"/>
    <n v="3.5"/>
    <x v="27"/>
    <n v="4"/>
    <n v="4"/>
    <n v="829756"/>
    <n v="202470"/>
    <n v="627286"/>
    <n v="80"/>
    <n v="54"/>
    <n v="9.4"/>
  </r>
  <r>
    <x v="12"/>
    <x v="12"/>
    <d v="2023-02-08T00:00:00"/>
    <s v="NA"/>
    <n v="0"/>
    <n v="61"/>
    <s v="61-80"/>
    <x v="0"/>
    <x v="2"/>
    <x v="1"/>
    <x v="2"/>
    <n v="1"/>
    <n v="1"/>
    <n v="1.6"/>
    <x v="10"/>
    <n v="3"/>
    <n v="5"/>
    <n v="966605"/>
    <n v="308505"/>
    <n v="658100"/>
    <n v="51"/>
    <n v="57"/>
    <n v="7.1"/>
  </r>
  <r>
    <x v="12"/>
    <x v="12"/>
    <d v="2022-11-23T00:00:00"/>
    <s v="NA"/>
    <n v="0"/>
    <n v="80"/>
    <s v="61-80"/>
    <x v="1"/>
    <x v="9"/>
    <x v="7"/>
    <x v="4"/>
    <n v="1"/>
    <n v="1"/>
    <n v="2.1"/>
    <x v="26"/>
    <n v="4"/>
    <n v="3"/>
    <n v="973687"/>
    <n v="400257"/>
    <n v="573430"/>
    <n v="57"/>
    <n v="54"/>
    <n v="13.9"/>
  </r>
  <r>
    <x v="12"/>
    <x v="12"/>
    <d v="2024-06-11T00:00:00"/>
    <s v="NA"/>
    <n v="0"/>
    <n v="90"/>
    <s v="81+"/>
    <x v="1"/>
    <x v="6"/>
    <x v="4"/>
    <x v="0"/>
    <n v="1"/>
    <n v="1"/>
    <n v="1.2"/>
    <x v="0"/>
    <n v="6"/>
    <n v="5"/>
    <n v="973875"/>
    <n v="423644"/>
    <n v="550231"/>
    <n v="72"/>
    <n v="54"/>
    <n v="36.799999999999997"/>
  </r>
  <r>
    <x v="12"/>
    <x v="12"/>
    <d v="2024-07-01T00:00:00"/>
    <s v="NA"/>
    <n v="0"/>
    <n v="36"/>
    <s v="21-40"/>
    <x v="1"/>
    <x v="12"/>
    <x v="9"/>
    <x v="4"/>
    <n v="1"/>
    <n v="1"/>
    <n v="3.1"/>
    <x v="16"/>
    <n v="5"/>
    <n v="5"/>
    <n v="935075"/>
    <n v="292400"/>
    <n v="642675"/>
    <n v="51"/>
    <n v="59"/>
    <n v="10.199999999999999"/>
  </r>
  <r>
    <x v="12"/>
    <x v="12"/>
    <d v="2021-05-04T00:00:00"/>
    <s v="NA"/>
    <n v="0"/>
    <n v="36"/>
    <s v="21-40"/>
    <x v="0"/>
    <x v="7"/>
    <x v="5"/>
    <x v="4"/>
    <n v="1"/>
    <n v="1"/>
    <n v="2.8"/>
    <x v="18"/>
    <n v="4"/>
    <n v="3"/>
    <n v="964223"/>
    <n v="369330"/>
    <n v="594893"/>
    <n v="68"/>
    <n v="57"/>
    <n v="5.7"/>
  </r>
  <r>
    <x v="12"/>
    <x v="12"/>
    <d v="2022-12-21T00:00:00"/>
    <s v="NA"/>
    <n v="0"/>
    <n v="54"/>
    <s v="41-60"/>
    <x v="1"/>
    <x v="1"/>
    <x v="1"/>
    <x v="2"/>
    <n v="1"/>
    <n v="1"/>
    <n v="6.7"/>
    <x v="27"/>
    <n v="5"/>
    <n v="4"/>
    <n v="861914"/>
    <n v="208985"/>
    <n v="652929"/>
    <n v="54"/>
    <n v="66"/>
    <n v="10.6"/>
  </r>
  <r>
    <x v="12"/>
    <x v="12"/>
    <d v="2022-09-05T00:00:00"/>
    <s v="NA"/>
    <n v="0"/>
    <n v="28"/>
    <s v="21-40"/>
    <x v="0"/>
    <x v="2"/>
    <x v="1"/>
    <x v="3"/>
    <n v="1"/>
    <n v="1"/>
    <n v="3.1"/>
    <x v="30"/>
    <n v="5"/>
    <n v="5"/>
    <n v="952367"/>
    <n v="447525"/>
    <n v="504842"/>
    <n v="65"/>
    <n v="60"/>
    <n v="6"/>
  </r>
  <r>
    <x v="12"/>
    <x v="12"/>
    <d v="2023-01-31T00:00:00"/>
    <s v="NA"/>
    <n v="0"/>
    <n v="25"/>
    <s v="21-40"/>
    <x v="1"/>
    <x v="3"/>
    <x v="2"/>
    <x v="3"/>
    <n v="1"/>
    <n v="1"/>
    <n v="3.2"/>
    <x v="24"/>
    <n v="3"/>
    <n v="6"/>
    <n v="940070"/>
    <n v="382472"/>
    <n v="557598"/>
    <n v="50"/>
    <n v="57"/>
    <n v="13.5"/>
  </r>
  <r>
    <x v="12"/>
    <x v="12"/>
    <d v="2023-04-24T00:00:00"/>
    <s v="NA"/>
    <n v="0"/>
    <n v="23"/>
    <s v="21-40"/>
    <x v="1"/>
    <x v="12"/>
    <x v="9"/>
    <x v="2"/>
    <n v="1"/>
    <n v="1"/>
    <n v="5.7"/>
    <x v="3"/>
    <n v="6"/>
    <n v="3"/>
    <n v="906137"/>
    <n v="270573"/>
    <n v="635564"/>
    <n v="50"/>
    <n v="60"/>
    <n v="6.6"/>
  </r>
  <r>
    <x v="12"/>
    <x v="12"/>
    <d v="2021-10-25T00:00:00"/>
    <s v="NA"/>
    <n v="0"/>
    <n v="29"/>
    <s v="21-40"/>
    <x v="0"/>
    <x v="7"/>
    <x v="5"/>
    <x v="0"/>
    <n v="1"/>
    <n v="1"/>
    <n v="4.8"/>
    <x v="9"/>
    <n v="4"/>
    <n v="6"/>
    <n v="993728"/>
    <n v="417845"/>
    <n v="575883"/>
    <n v="52"/>
    <n v="56"/>
    <n v="9.8000000000000007"/>
  </r>
  <r>
    <x v="12"/>
    <x v="12"/>
    <d v="2022-10-20T00:00:00"/>
    <s v="NA"/>
    <n v="0"/>
    <n v="41"/>
    <s v="41-60"/>
    <x v="0"/>
    <x v="14"/>
    <x v="11"/>
    <x v="0"/>
    <n v="1"/>
    <n v="1"/>
    <n v="6.5"/>
    <x v="22"/>
    <n v="5"/>
    <n v="5"/>
    <n v="872302"/>
    <n v="325822"/>
    <n v="546480"/>
    <n v="67"/>
    <n v="58"/>
    <n v="5.9"/>
  </r>
  <r>
    <x v="12"/>
    <x v="12"/>
    <d v="2023-02-17T00:00:00"/>
    <s v="NA"/>
    <n v="0"/>
    <n v="58"/>
    <s v="41-60"/>
    <x v="0"/>
    <x v="12"/>
    <x v="9"/>
    <x v="1"/>
    <n v="1"/>
    <n v="1"/>
    <n v="2.6"/>
    <x v="3"/>
    <n v="3"/>
    <n v="4"/>
    <n v="982120"/>
    <n v="445698"/>
    <n v="536422"/>
    <n v="74"/>
    <n v="65"/>
    <n v="13.4"/>
  </r>
  <r>
    <x v="12"/>
    <x v="12"/>
    <d v="2022-04-30T00:00:00"/>
    <s v="NA"/>
    <n v="0"/>
    <n v="50"/>
    <s v="41-60"/>
    <x v="0"/>
    <x v="14"/>
    <x v="11"/>
    <x v="2"/>
    <n v="1"/>
    <n v="1"/>
    <n v="2.7"/>
    <x v="14"/>
    <n v="6"/>
    <n v="6"/>
    <n v="910820"/>
    <n v="288587"/>
    <n v="622233"/>
    <n v="50"/>
    <n v="65"/>
    <n v="9"/>
  </r>
  <r>
    <x v="12"/>
    <x v="12"/>
    <d v="2022-04-01T00:00:00"/>
    <s v="NA"/>
    <n v="0"/>
    <n v="59"/>
    <s v="41-60"/>
    <x v="0"/>
    <x v="5"/>
    <x v="0"/>
    <x v="3"/>
    <n v="1"/>
    <n v="1"/>
    <n v="6.5"/>
    <x v="13"/>
    <n v="7"/>
    <n v="5"/>
    <n v="885626"/>
    <n v="370125"/>
    <n v="515501"/>
    <n v="50"/>
    <n v="62"/>
    <n v="10.3"/>
  </r>
  <r>
    <x v="12"/>
    <x v="12"/>
    <d v="2024-08-22T00:00:00"/>
    <s v="NA"/>
    <n v="0"/>
    <n v="24"/>
    <s v="21-40"/>
    <x v="0"/>
    <x v="12"/>
    <x v="9"/>
    <x v="1"/>
    <n v="1"/>
    <n v="1"/>
    <n v="1.7"/>
    <x v="20"/>
    <n v="5"/>
    <n v="5"/>
    <n v="895362"/>
    <n v="316837"/>
    <n v="578525"/>
    <n v="80"/>
    <n v="60"/>
    <n v="9.4"/>
  </r>
  <r>
    <x v="12"/>
    <x v="12"/>
    <d v="2022-10-19T00:00:00"/>
    <s v="NA"/>
    <n v="0"/>
    <n v="45"/>
    <s v="41-60"/>
    <x v="1"/>
    <x v="4"/>
    <x v="3"/>
    <x v="2"/>
    <n v="1"/>
    <n v="1"/>
    <n v="4.0999999999999996"/>
    <x v="30"/>
    <n v="5"/>
    <n v="6"/>
    <n v="987339"/>
    <n v="393979"/>
    <n v="593360"/>
    <n v="77"/>
    <n v="55"/>
    <n v="12.7"/>
  </r>
  <r>
    <x v="12"/>
    <x v="12"/>
    <d v="2021-11-17T00:00:00"/>
    <s v="NA"/>
    <n v="0"/>
    <n v="24"/>
    <s v="21-40"/>
    <x v="0"/>
    <x v="12"/>
    <x v="9"/>
    <x v="1"/>
    <n v="1"/>
    <n v="1"/>
    <n v="2.9"/>
    <x v="20"/>
    <n v="4"/>
    <n v="6"/>
    <n v="964820"/>
    <n v="370356"/>
    <n v="594464"/>
    <n v="63"/>
    <n v="62"/>
    <n v="6.3"/>
  </r>
  <r>
    <x v="12"/>
    <x v="12"/>
    <d v="2021-02-14T00:00:00"/>
    <s v="NA"/>
    <n v="0"/>
    <n v="65"/>
    <s v="61-80"/>
    <x v="1"/>
    <x v="12"/>
    <x v="9"/>
    <x v="0"/>
    <n v="1"/>
    <n v="1"/>
    <n v="5.9"/>
    <x v="20"/>
    <n v="6"/>
    <n v="4"/>
    <n v="863671"/>
    <n v="223735"/>
    <n v="639936"/>
    <n v="74"/>
    <n v="62"/>
    <n v="14.7"/>
  </r>
  <r>
    <x v="12"/>
    <x v="12"/>
    <d v="2024-04-26T00:00:00"/>
    <s v="NA"/>
    <n v="0"/>
    <n v="67"/>
    <s v="61-80"/>
    <x v="0"/>
    <x v="1"/>
    <x v="1"/>
    <x v="0"/>
    <n v="1"/>
    <n v="1"/>
    <n v="5.0999999999999996"/>
    <x v="26"/>
    <n v="6"/>
    <n v="4"/>
    <n v="967608"/>
    <n v="371888"/>
    <n v="595720"/>
    <n v="75"/>
    <n v="66"/>
    <n v="10.3"/>
  </r>
  <r>
    <x v="12"/>
    <x v="12"/>
    <d v="2022-06-06T00:00:00"/>
    <s v="NA"/>
    <n v="0"/>
    <n v="31"/>
    <s v="21-40"/>
    <x v="0"/>
    <x v="7"/>
    <x v="5"/>
    <x v="2"/>
    <n v="1"/>
    <n v="1"/>
    <n v="5.2"/>
    <x v="10"/>
    <n v="5"/>
    <n v="6"/>
    <n v="948709"/>
    <n v="327147"/>
    <n v="621562"/>
    <n v="80"/>
    <n v="57"/>
    <n v="9.9"/>
  </r>
  <r>
    <x v="12"/>
    <x v="12"/>
    <d v="2022-04-13T00:00:00"/>
    <s v="NA"/>
    <n v="0"/>
    <n v="43"/>
    <s v="41-60"/>
    <x v="1"/>
    <x v="3"/>
    <x v="2"/>
    <x v="2"/>
    <n v="1"/>
    <n v="1"/>
    <n v="1.7"/>
    <x v="28"/>
    <n v="5"/>
    <n v="7"/>
    <n v="868521"/>
    <n v="254003"/>
    <n v="614518"/>
    <n v="57"/>
    <n v="54"/>
    <n v="8.1999999999999993"/>
  </r>
  <r>
    <x v="12"/>
    <x v="12"/>
    <d v="2024-12-25T00:00:00"/>
    <s v="NA"/>
    <n v="0"/>
    <n v="54"/>
    <s v="41-60"/>
    <x v="0"/>
    <x v="6"/>
    <x v="4"/>
    <x v="2"/>
    <n v="1"/>
    <n v="1"/>
    <n v="6.2"/>
    <x v="5"/>
    <n v="3"/>
    <n v="6"/>
    <n v="855337"/>
    <n v="161114"/>
    <n v="694223"/>
    <n v="69"/>
    <n v="63"/>
    <n v="7.9"/>
  </r>
  <r>
    <x v="12"/>
    <x v="12"/>
    <d v="2024-05-19T00:00:00"/>
    <s v="NA"/>
    <n v="0"/>
    <n v="61"/>
    <s v="61-80"/>
    <x v="1"/>
    <x v="4"/>
    <x v="3"/>
    <x v="3"/>
    <n v="1"/>
    <n v="1"/>
    <n v="1.5"/>
    <x v="17"/>
    <n v="4"/>
    <n v="3"/>
    <n v="928074"/>
    <n v="371054"/>
    <n v="557020"/>
    <n v="60"/>
    <n v="58"/>
    <n v="14.5"/>
  </r>
  <r>
    <x v="12"/>
    <x v="12"/>
    <d v="2023-03-03T00:00:00"/>
    <s v="NA"/>
    <n v="0"/>
    <n v="52"/>
    <s v="41-60"/>
    <x v="0"/>
    <x v="1"/>
    <x v="1"/>
    <x v="1"/>
    <n v="1"/>
    <n v="1"/>
    <n v="4.9000000000000004"/>
    <x v="7"/>
    <n v="3"/>
    <n v="7"/>
    <n v="882091"/>
    <n v="254218"/>
    <n v="627873"/>
    <n v="63"/>
    <n v="63"/>
    <n v="12"/>
  </r>
  <r>
    <x v="12"/>
    <x v="12"/>
    <d v="2023-01-26T00:00:00"/>
    <s v="NA"/>
    <n v="0"/>
    <n v="54"/>
    <s v="41-60"/>
    <x v="0"/>
    <x v="7"/>
    <x v="5"/>
    <x v="0"/>
    <n v="1"/>
    <n v="1"/>
    <n v="1.9"/>
    <x v="9"/>
    <n v="6"/>
    <n v="7"/>
    <n v="813041"/>
    <n v="268354"/>
    <n v="544687"/>
    <n v="62"/>
    <n v="59"/>
    <n v="10.199999999999999"/>
  </r>
  <r>
    <x v="12"/>
    <x v="12"/>
    <d v="2022-10-12T00:00:00"/>
    <s v="NA"/>
    <n v="0"/>
    <n v="43"/>
    <s v="41-60"/>
    <x v="1"/>
    <x v="4"/>
    <x v="3"/>
    <x v="2"/>
    <n v="1"/>
    <n v="1"/>
    <n v="3.1"/>
    <x v="10"/>
    <n v="5"/>
    <n v="6"/>
    <n v="908727"/>
    <n v="275601"/>
    <n v="633126"/>
    <n v="58"/>
    <n v="64"/>
    <n v="10.1"/>
  </r>
  <r>
    <x v="12"/>
    <x v="12"/>
    <d v="2023-10-13T00:00:00"/>
    <s v="NA"/>
    <n v="0"/>
    <n v="47"/>
    <s v="41-60"/>
    <x v="0"/>
    <x v="4"/>
    <x v="3"/>
    <x v="4"/>
    <n v="1"/>
    <n v="1"/>
    <n v="6.4"/>
    <x v="22"/>
    <n v="4"/>
    <n v="5"/>
    <n v="871955"/>
    <n v="185296"/>
    <n v="686659"/>
    <n v="63"/>
    <n v="64"/>
    <n v="5.7"/>
  </r>
  <r>
    <x v="11"/>
    <x v="11"/>
    <d v="2023-06-08T00:00:00"/>
    <s v="NA"/>
    <n v="0"/>
    <n v="68"/>
    <s v="61-80"/>
    <x v="1"/>
    <x v="10"/>
    <x v="8"/>
    <x v="1"/>
    <n v="1"/>
    <n v="1"/>
    <n v="6.6"/>
    <x v="18"/>
    <n v="3"/>
    <n v="6"/>
    <n v="695006"/>
    <n v="263439"/>
    <n v="431567"/>
    <n v="28"/>
    <n v="55"/>
    <n v="12.4"/>
  </r>
  <r>
    <x v="11"/>
    <x v="11"/>
    <d v="2021-12-14T00:00:00"/>
    <s v="NA"/>
    <n v="0"/>
    <n v="25"/>
    <s v="21-40"/>
    <x v="0"/>
    <x v="0"/>
    <x v="0"/>
    <x v="1"/>
    <n v="1"/>
    <n v="1"/>
    <n v="2.6"/>
    <x v="15"/>
    <n v="3"/>
    <n v="7"/>
    <n v="617531"/>
    <n v="146467"/>
    <n v="471064"/>
    <n v="34"/>
    <n v="61"/>
    <n v="14.9"/>
  </r>
  <r>
    <x v="12"/>
    <x v="12"/>
    <d v="2022-07-18T00:00:00"/>
    <s v="NA"/>
    <n v="0"/>
    <n v="60"/>
    <s v="41-60"/>
    <x v="1"/>
    <x v="13"/>
    <x v="10"/>
    <x v="4"/>
    <n v="1"/>
    <n v="1"/>
    <n v="3.5"/>
    <x v="29"/>
    <n v="3"/>
    <n v="3"/>
    <n v="807786"/>
    <n v="165900"/>
    <n v="641886"/>
    <n v="67"/>
    <n v="59"/>
    <n v="36"/>
  </r>
  <r>
    <x v="12"/>
    <x v="12"/>
    <d v="2022-10-14T00:00:00"/>
    <s v="NA"/>
    <n v="0"/>
    <n v="72"/>
    <s v="61-80"/>
    <x v="1"/>
    <x v="10"/>
    <x v="8"/>
    <x v="1"/>
    <n v="1"/>
    <n v="1"/>
    <n v="6.8"/>
    <x v="10"/>
    <n v="7"/>
    <n v="5"/>
    <n v="967722"/>
    <n v="384043"/>
    <n v="583679"/>
    <n v="65"/>
    <n v="55"/>
    <n v="36.200000000000003"/>
  </r>
  <r>
    <x v="11"/>
    <x v="11"/>
    <d v="2021-06-04T00:00:00"/>
    <s v="NA"/>
    <n v="0"/>
    <n v="35"/>
    <s v="21-40"/>
    <x v="0"/>
    <x v="7"/>
    <x v="5"/>
    <x v="3"/>
    <n v="1"/>
    <n v="1"/>
    <n v="6.4"/>
    <x v="9"/>
    <n v="7"/>
    <n v="5"/>
    <n v="691251"/>
    <n v="152673"/>
    <n v="538578"/>
    <n v="30"/>
    <n v="58"/>
    <n v="5.8"/>
  </r>
  <r>
    <x v="11"/>
    <x v="11"/>
    <d v="2023-12-16T00:00:00"/>
    <s v="NA"/>
    <n v="0"/>
    <n v="30"/>
    <s v="21-40"/>
    <x v="1"/>
    <x v="3"/>
    <x v="2"/>
    <x v="0"/>
    <n v="1"/>
    <n v="1"/>
    <n v="6.6"/>
    <x v="14"/>
    <n v="5"/>
    <n v="4"/>
    <n v="742831"/>
    <n v="306000"/>
    <n v="436831"/>
    <n v="31"/>
    <n v="59"/>
    <n v="13.9"/>
  </r>
  <r>
    <x v="12"/>
    <x v="12"/>
    <d v="2024-07-16T00:00:00"/>
    <s v="NA"/>
    <n v="0"/>
    <n v="85"/>
    <s v="81+"/>
    <x v="1"/>
    <x v="12"/>
    <x v="9"/>
    <x v="2"/>
    <n v="1"/>
    <n v="1"/>
    <n v="1.1000000000000001"/>
    <x v="19"/>
    <n v="6"/>
    <n v="7"/>
    <n v="959926"/>
    <n v="262873"/>
    <n v="697053"/>
    <n v="71"/>
    <n v="61"/>
    <n v="6.5"/>
  </r>
  <r>
    <x v="11"/>
    <x v="11"/>
    <d v="2021-05-18T00:00:00"/>
    <s v="NA"/>
    <n v="0"/>
    <n v="76"/>
    <s v="61-80"/>
    <x v="1"/>
    <x v="3"/>
    <x v="2"/>
    <x v="3"/>
    <n v="1"/>
    <n v="1"/>
    <n v="2.1"/>
    <x v="2"/>
    <n v="6"/>
    <n v="6"/>
    <n v="689403"/>
    <n v="185833"/>
    <n v="503570"/>
    <n v="30"/>
    <n v="64"/>
    <n v="10.6"/>
  </r>
  <r>
    <x v="12"/>
    <x v="12"/>
    <d v="2024-07-23T00:00:00"/>
    <s v="NA"/>
    <n v="0"/>
    <n v="29"/>
    <s v="21-40"/>
    <x v="1"/>
    <x v="3"/>
    <x v="2"/>
    <x v="2"/>
    <n v="1"/>
    <n v="1"/>
    <n v="4.9000000000000004"/>
    <x v="3"/>
    <n v="6"/>
    <n v="6"/>
    <n v="829380"/>
    <n v="144670"/>
    <n v="684710"/>
    <n v="72"/>
    <n v="62"/>
    <n v="6.6"/>
  </r>
  <r>
    <x v="11"/>
    <x v="11"/>
    <d v="2021-02-23T00:00:00"/>
    <s v="NA"/>
    <n v="0"/>
    <n v="73"/>
    <s v="61-80"/>
    <x v="0"/>
    <x v="0"/>
    <x v="0"/>
    <x v="0"/>
    <n v="1"/>
    <n v="1"/>
    <n v="6.8"/>
    <x v="24"/>
    <n v="5"/>
    <n v="4"/>
    <n v="787443"/>
    <n v="350694"/>
    <n v="436749"/>
    <n v="32"/>
    <n v="56"/>
    <n v="7.7"/>
  </r>
  <r>
    <x v="11"/>
    <x v="11"/>
    <d v="2021-04-02T00:00:00"/>
    <s v="NA"/>
    <n v="0"/>
    <n v="78"/>
    <s v="61-80"/>
    <x v="0"/>
    <x v="0"/>
    <x v="0"/>
    <x v="4"/>
    <n v="1"/>
    <n v="1"/>
    <n v="1.5"/>
    <x v="19"/>
    <n v="3"/>
    <n v="3"/>
    <n v="741358"/>
    <n v="304170"/>
    <n v="437188"/>
    <n v="28"/>
    <n v="56"/>
    <n v="14.3"/>
  </r>
  <r>
    <x v="12"/>
    <x v="12"/>
    <d v="2021-04-09T00:00:00"/>
    <s v="NA"/>
    <n v="0"/>
    <n v="68"/>
    <s v="61-80"/>
    <x v="0"/>
    <x v="1"/>
    <x v="1"/>
    <x v="3"/>
    <n v="1"/>
    <n v="1"/>
    <n v="5.9"/>
    <x v="14"/>
    <n v="7"/>
    <n v="5"/>
    <n v="890954"/>
    <n v="369051"/>
    <n v="521903"/>
    <n v="60"/>
    <n v="59"/>
    <n v="12.6"/>
  </r>
  <r>
    <x v="12"/>
    <x v="12"/>
    <d v="2023-05-07T00:00:00"/>
    <s v="NA"/>
    <n v="0"/>
    <n v="62"/>
    <s v="61-80"/>
    <x v="0"/>
    <x v="7"/>
    <x v="5"/>
    <x v="1"/>
    <n v="1"/>
    <n v="1"/>
    <n v="3.4"/>
    <x v="7"/>
    <n v="3"/>
    <n v="6"/>
    <n v="972844"/>
    <n v="356029"/>
    <n v="616815"/>
    <n v="63"/>
    <n v="56"/>
    <n v="10.9"/>
  </r>
  <r>
    <x v="11"/>
    <x v="11"/>
    <d v="2023-07-05T00:00:00"/>
    <s v="NA"/>
    <n v="0"/>
    <n v="80"/>
    <s v="61-80"/>
    <x v="0"/>
    <x v="0"/>
    <x v="0"/>
    <x v="1"/>
    <n v="1"/>
    <n v="1"/>
    <n v="5.8"/>
    <x v="3"/>
    <n v="7"/>
    <n v="5"/>
    <n v="739103"/>
    <n v="215125"/>
    <n v="523978"/>
    <n v="30"/>
    <n v="61"/>
    <n v="15"/>
  </r>
  <r>
    <x v="11"/>
    <x v="11"/>
    <d v="2021-05-26T00:00:00"/>
    <s v="NA"/>
    <n v="0"/>
    <n v="50"/>
    <s v="41-60"/>
    <x v="0"/>
    <x v="9"/>
    <x v="7"/>
    <x v="0"/>
    <n v="1"/>
    <n v="1"/>
    <n v="1.5"/>
    <x v="21"/>
    <n v="6"/>
    <n v="6"/>
    <n v="697420"/>
    <n v="249545"/>
    <n v="447875"/>
    <n v="31"/>
    <n v="55"/>
    <n v="7.2"/>
  </r>
  <r>
    <x v="12"/>
    <x v="12"/>
    <d v="2022-04-04T00:00:00"/>
    <s v="NA"/>
    <n v="0"/>
    <n v="28"/>
    <s v="21-40"/>
    <x v="0"/>
    <x v="2"/>
    <x v="1"/>
    <x v="0"/>
    <n v="1"/>
    <n v="1"/>
    <n v="3.2"/>
    <x v="4"/>
    <n v="6"/>
    <n v="5"/>
    <n v="933164"/>
    <n v="352327"/>
    <n v="580837"/>
    <n v="78"/>
    <n v="60"/>
    <n v="13.2"/>
  </r>
  <r>
    <x v="11"/>
    <x v="11"/>
    <d v="2021-04-18T00:00:00"/>
    <s v="NA"/>
    <n v="0"/>
    <n v="64"/>
    <s v="61-80"/>
    <x v="1"/>
    <x v="3"/>
    <x v="2"/>
    <x v="4"/>
    <n v="1"/>
    <n v="1"/>
    <n v="6.3"/>
    <x v="17"/>
    <n v="5"/>
    <n v="7"/>
    <n v="717120"/>
    <n v="256037"/>
    <n v="461083"/>
    <n v="32"/>
    <n v="61"/>
    <n v="9.9"/>
  </r>
  <r>
    <x v="12"/>
    <x v="12"/>
    <d v="2023-12-28T00:00:00"/>
    <s v="NA"/>
    <n v="0"/>
    <n v="33"/>
    <s v="21-40"/>
    <x v="1"/>
    <x v="3"/>
    <x v="2"/>
    <x v="1"/>
    <n v="1"/>
    <n v="1"/>
    <n v="6.4"/>
    <x v="7"/>
    <n v="4"/>
    <n v="4"/>
    <n v="843226"/>
    <n v="206381"/>
    <n v="636845"/>
    <n v="71"/>
    <n v="62"/>
    <n v="13.2"/>
  </r>
  <r>
    <x v="11"/>
    <x v="11"/>
    <d v="2024-07-28T00:00:00"/>
    <s v="NA"/>
    <n v="0"/>
    <n v="28"/>
    <s v="21-40"/>
    <x v="1"/>
    <x v="3"/>
    <x v="2"/>
    <x v="4"/>
    <n v="1"/>
    <n v="1"/>
    <n v="4.2"/>
    <x v="1"/>
    <n v="6"/>
    <n v="7"/>
    <n v="645635"/>
    <n v="176663"/>
    <n v="468972"/>
    <n v="30"/>
    <n v="65"/>
    <n v="9.4"/>
  </r>
  <r>
    <x v="11"/>
    <x v="11"/>
    <d v="2021-04-20T00:00:00"/>
    <s v="NA"/>
    <n v="0"/>
    <n v="90"/>
    <s v="81+"/>
    <x v="1"/>
    <x v="11"/>
    <x v="8"/>
    <x v="2"/>
    <n v="1"/>
    <n v="1"/>
    <n v="5.9"/>
    <x v="1"/>
    <n v="6"/>
    <n v="3"/>
    <n v="730385"/>
    <n v="298462"/>
    <n v="431923"/>
    <n v="20"/>
    <n v="61"/>
    <n v="6.8"/>
  </r>
  <r>
    <x v="12"/>
    <x v="12"/>
    <d v="2023-02-18T00:00:00"/>
    <s v="NA"/>
    <n v="0"/>
    <n v="57"/>
    <s v="41-60"/>
    <x v="0"/>
    <x v="9"/>
    <x v="7"/>
    <x v="0"/>
    <n v="1"/>
    <n v="1"/>
    <n v="6.3"/>
    <x v="4"/>
    <n v="4"/>
    <n v="5"/>
    <n v="892100"/>
    <n v="207580"/>
    <n v="684520"/>
    <n v="56"/>
    <n v="56"/>
    <n v="14.5"/>
  </r>
  <r>
    <x v="12"/>
    <x v="12"/>
    <d v="2024-08-02T00:00:00"/>
    <s v="NA"/>
    <n v="0"/>
    <n v="82"/>
    <s v="81+"/>
    <x v="1"/>
    <x v="4"/>
    <x v="3"/>
    <x v="4"/>
    <n v="1"/>
    <n v="1"/>
    <n v="4.3"/>
    <x v="14"/>
    <n v="4"/>
    <n v="3"/>
    <n v="938343"/>
    <n v="303795"/>
    <n v="634548"/>
    <n v="76"/>
    <n v="56"/>
    <n v="12.7"/>
  </r>
  <r>
    <x v="12"/>
    <x v="12"/>
    <d v="2023-12-20T00:00:00"/>
    <s v="NA"/>
    <n v="0"/>
    <n v="69"/>
    <s v="61-80"/>
    <x v="1"/>
    <x v="10"/>
    <x v="8"/>
    <x v="0"/>
    <n v="1"/>
    <n v="1"/>
    <n v="1.8"/>
    <x v="29"/>
    <n v="6"/>
    <n v="6"/>
    <n v="920873"/>
    <n v="324250"/>
    <n v="596623"/>
    <n v="55"/>
    <n v="64"/>
    <n v="9"/>
  </r>
  <r>
    <x v="12"/>
    <x v="12"/>
    <d v="2021-04-13T00:00:00"/>
    <s v="NA"/>
    <n v="0"/>
    <n v="56"/>
    <s v="41-60"/>
    <x v="0"/>
    <x v="12"/>
    <x v="9"/>
    <x v="3"/>
    <n v="1"/>
    <n v="1"/>
    <n v="1.8"/>
    <x v="7"/>
    <n v="5"/>
    <n v="6"/>
    <n v="883650"/>
    <n v="275856"/>
    <n v="607794"/>
    <n v="69"/>
    <n v="65"/>
    <n v="6.9"/>
  </r>
  <r>
    <x v="11"/>
    <x v="11"/>
    <d v="2023-12-17T00:00:00"/>
    <s v="NA"/>
    <n v="0"/>
    <n v="74"/>
    <s v="61-80"/>
    <x v="1"/>
    <x v="12"/>
    <x v="9"/>
    <x v="1"/>
    <n v="1"/>
    <n v="1"/>
    <n v="1.8"/>
    <x v="1"/>
    <n v="7"/>
    <n v="3"/>
    <n v="708436"/>
    <n v="134695"/>
    <n v="573741"/>
    <n v="21"/>
    <n v="64"/>
    <n v="5.9"/>
  </r>
  <r>
    <x v="12"/>
    <x v="12"/>
    <d v="2023-04-26T00:00:00"/>
    <s v="NA"/>
    <n v="0"/>
    <n v="44"/>
    <s v="41-60"/>
    <x v="1"/>
    <x v="4"/>
    <x v="3"/>
    <x v="4"/>
    <n v="1"/>
    <n v="1"/>
    <n v="5.2"/>
    <x v="30"/>
    <n v="6"/>
    <n v="3"/>
    <n v="820733"/>
    <n v="161073"/>
    <n v="659660"/>
    <n v="56"/>
    <n v="64"/>
    <n v="13.5"/>
  </r>
  <r>
    <x v="11"/>
    <x v="11"/>
    <d v="2024-10-21T00:00:00"/>
    <s v="NA"/>
    <n v="0"/>
    <n v="33"/>
    <s v="21-40"/>
    <x v="1"/>
    <x v="4"/>
    <x v="3"/>
    <x v="3"/>
    <n v="1"/>
    <n v="1"/>
    <n v="6.6"/>
    <x v="6"/>
    <n v="5"/>
    <n v="5"/>
    <n v="724007"/>
    <n v="292371"/>
    <n v="431636"/>
    <n v="24"/>
    <n v="54"/>
    <n v="13.7"/>
  </r>
  <r>
    <x v="11"/>
    <x v="11"/>
    <d v="2022-10-01T00:00:00"/>
    <s v="NA"/>
    <n v="0"/>
    <n v="32"/>
    <s v="21-40"/>
    <x v="0"/>
    <x v="1"/>
    <x v="1"/>
    <x v="0"/>
    <n v="1"/>
    <n v="1"/>
    <n v="4"/>
    <x v="27"/>
    <n v="5"/>
    <n v="5"/>
    <n v="625475"/>
    <n v="85442"/>
    <n v="540033"/>
    <n v="22"/>
    <n v="56"/>
    <n v="8.1"/>
  </r>
  <r>
    <x v="12"/>
    <x v="12"/>
    <d v="2024-03-13T00:00:00"/>
    <s v="NA"/>
    <n v="0"/>
    <n v="33"/>
    <s v="21-40"/>
    <x v="1"/>
    <x v="11"/>
    <x v="8"/>
    <x v="4"/>
    <n v="1"/>
    <n v="1"/>
    <n v="1.1000000000000001"/>
    <x v="2"/>
    <n v="3"/>
    <n v="7"/>
    <n v="895049"/>
    <n v="237821"/>
    <n v="657228"/>
    <n v="73"/>
    <n v="62"/>
    <n v="9.3000000000000007"/>
  </r>
  <r>
    <x v="11"/>
    <x v="11"/>
    <d v="2023-06-16T00:00:00"/>
    <s v="NA"/>
    <n v="0"/>
    <n v="29"/>
    <s v="21-40"/>
    <x v="1"/>
    <x v="2"/>
    <x v="1"/>
    <x v="3"/>
    <n v="1"/>
    <n v="1"/>
    <n v="2.4"/>
    <x v="12"/>
    <n v="6"/>
    <n v="3"/>
    <n v="659468"/>
    <n v="176904"/>
    <n v="482564"/>
    <n v="20"/>
    <n v="63"/>
    <n v="10.199999999999999"/>
  </r>
  <r>
    <x v="12"/>
    <x v="12"/>
    <d v="2023-05-10T00:00:00"/>
    <s v="NA"/>
    <n v="0"/>
    <n v="63"/>
    <s v="61-80"/>
    <x v="1"/>
    <x v="2"/>
    <x v="1"/>
    <x v="2"/>
    <n v="1"/>
    <n v="1"/>
    <n v="2"/>
    <x v="14"/>
    <n v="5"/>
    <n v="4"/>
    <n v="801926"/>
    <n v="114516"/>
    <n v="687410"/>
    <n v="67"/>
    <n v="66"/>
    <n v="10.199999999999999"/>
  </r>
  <r>
    <x v="12"/>
    <x v="12"/>
    <d v="2024-04-22T00:00:00"/>
    <s v="NA"/>
    <n v="0"/>
    <n v="39"/>
    <s v="21-40"/>
    <x v="1"/>
    <x v="4"/>
    <x v="3"/>
    <x v="3"/>
    <n v="1"/>
    <n v="1"/>
    <n v="5.8"/>
    <x v="14"/>
    <n v="7"/>
    <n v="6"/>
    <n v="877727"/>
    <n v="222107"/>
    <n v="655620"/>
    <n v="64"/>
    <n v="57"/>
    <n v="5.6"/>
  </r>
  <r>
    <x v="12"/>
    <x v="12"/>
    <d v="2022-02-08T00:00:00"/>
    <s v="NA"/>
    <n v="0"/>
    <n v="84"/>
    <s v="81+"/>
    <x v="1"/>
    <x v="6"/>
    <x v="4"/>
    <x v="2"/>
    <n v="1"/>
    <n v="1"/>
    <n v="4.0999999999999996"/>
    <x v="16"/>
    <n v="5"/>
    <n v="7"/>
    <n v="814083"/>
    <n v="304481"/>
    <n v="509602"/>
    <n v="62"/>
    <n v="63"/>
    <n v="14.5"/>
  </r>
  <r>
    <x v="11"/>
    <x v="11"/>
    <d v="2024-12-23T00:00:00"/>
    <s v="NA"/>
    <n v="0"/>
    <n v="26"/>
    <s v="21-40"/>
    <x v="1"/>
    <x v="3"/>
    <x v="2"/>
    <x v="2"/>
    <n v="1"/>
    <n v="1"/>
    <n v="5"/>
    <x v="19"/>
    <n v="6"/>
    <n v="7"/>
    <n v="635856"/>
    <n v="88633"/>
    <n v="547223"/>
    <n v="33"/>
    <n v="62"/>
    <n v="5.0999999999999996"/>
  </r>
  <r>
    <x v="12"/>
    <x v="12"/>
    <d v="2024-04-04T00:00:00"/>
    <s v="NA"/>
    <n v="0"/>
    <n v="52"/>
    <s v="41-60"/>
    <x v="1"/>
    <x v="11"/>
    <x v="8"/>
    <x v="4"/>
    <n v="1"/>
    <n v="1"/>
    <n v="3.7"/>
    <x v="3"/>
    <n v="7"/>
    <n v="6"/>
    <n v="879221"/>
    <n v="209898"/>
    <n v="669323"/>
    <n v="68"/>
    <n v="60"/>
    <n v="14.2"/>
  </r>
  <r>
    <x v="12"/>
    <x v="12"/>
    <d v="2023-04-03T00:00:00"/>
    <s v="NA"/>
    <n v="0"/>
    <n v="51"/>
    <s v="41-60"/>
    <x v="1"/>
    <x v="1"/>
    <x v="1"/>
    <x v="4"/>
    <n v="1"/>
    <n v="1"/>
    <n v="1.2"/>
    <x v="8"/>
    <n v="3"/>
    <n v="3"/>
    <n v="986514"/>
    <n v="374019"/>
    <n v="612495"/>
    <n v="62"/>
    <n v="64"/>
    <n v="36.700000000000003"/>
  </r>
  <r>
    <x v="12"/>
    <x v="12"/>
    <d v="2022-11-22T00:00:00"/>
    <s v="NA"/>
    <n v="0"/>
    <n v="69"/>
    <s v="61-80"/>
    <x v="1"/>
    <x v="13"/>
    <x v="10"/>
    <x v="3"/>
    <n v="1"/>
    <n v="1"/>
    <n v="4.2"/>
    <x v="30"/>
    <n v="5"/>
    <n v="3"/>
    <n v="994283"/>
    <n v="335159"/>
    <n v="659124"/>
    <n v="77"/>
    <n v="56"/>
    <n v="12.9"/>
  </r>
  <r>
    <x v="12"/>
    <x v="12"/>
    <d v="2022-07-02T00:00:00"/>
    <s v="NA"/>
    <n v="0"/>
    <n v="88"/>
    <s v="81+"/>
    <x v="0"/>
    <x v="13"/>
    <x v="10"/>
    <x v="2"/>
    <n v="1"/>
    <n v="1"/>
    <n v="5.5"/>
    <x v="9"/>
    <n v="3"/>
    <n v="6"/>
    <n v="800654"/>
    <n v="166145"/>
    <n v="634509"/>
    <n v="70"/>
    <n v="62"/>
    <n v="9.5"/>
  </r>
  <r>
    <x v="12"/>
    <x v="12"/>
    <d v="2022-08-25T00:00:00"/>
    <s v="NA"/>
    <n v="0"/>
    <n v="83"/>
    <s v="81+"/>
    <x v="1"/>
    <x v="13"/>
    <x v="10"/>
    <x v="4"/>
    <n v="1"/>
    <n v="1"/>
    <n v="3.7"/>
    <x v="12"/>
    <n v="7"/>
    <n v="3"/>
    <n v="944245"/>
    <n v="390717"/>
    <n v="553528"/>
    <n v="79"/>
    <n v="56"/>
    <n v="5.6"/>
  </r>
  <r>
    <x v="12"/>
    <x v="12"/>
    <d v="2022-07-09T00:00:00"/>
    <s v="NA"/>
    <n v="0"/>
    <n v="54"/>
    <s v="41-60"/>
    <x v="0"/>
    <x v="7"/>
    <x v="5"/>
    <x v="2"/>
    <n v="1"/>
    <n v="1"/>
    <n v="4.5"/>
    <x v="4"/>
    <n v="7"/>
    <n v="6"/>
    <n v="849023"/>
    <n v="251648"/>
    <n v="597375"/>
    <n v="66"/>
    <n v="63"/>
    <n v="36.799999999999997"/>
  </r>
  <r>
    <x v="12"/>
    <x v="12"/>
    <d v="2023-04-13T00:00:00"/>
    <s v="NA"/>
    <n v="0"/>
    <n v="26"/>
    <s v="21-40"/>
    <x v="1"/>
    <x v="1"/>
    <x v="1"/>
    <x v="0"/>
    <n v="1"/>
    <n v="1"/>
    <n v="3.1"/>
    <x v="9"/>
    <n v="3"/>
    <n v="4"/>
    <n v="808924"/>
    <n v="261826"/>
    <n v="547098"/>
    <n v="73"/>
    <n v="60"/>
    <n v="6"/>
  </r>
  <r>
    <x v="11"/>
    <x v="11"/>
    <d v="2022-07-02T00:00:00"/>
    <s v="NA"/>
    <n v="0"/>
    <n v="29"/>
    <s v="21-40"/>
    <x v="0"/>
    <x v="10"/>
    <x v="8"/>
    <x v="3"/>
    <n v="1"/>
    <n v="1"/>
    <n v="1.9"/>
    <x v="4"/>
    <n v="6"/>
    <n v="7"/>
    <n v="625606"/>
    <n v="164966"/>
    <n v="460640"/>
    <n v="24"/>
    <n v="64"/>
    <n v="12.4"/>
  </r>
  <r>
    <x v="12"/>
    <x v="12"/>
    <d v="2022-02-22T00:00:00"/>
    <s v="NA"/>
    <n v="0"/>
    <n v="46"/>
    <s v="41-60"/>
    <x v="0"/>
    <x v="7"/>
    <x v="5"/>
    <x v="4"/>
    <n v="1"/>
    <n v="1"/>
    <n v="7"/>
    <x v="21"/>
    <n v="5"/>
    <n v="6"/>
    <n v="827214"/>
    <n v="172466"/>
    <n v="654748"/>
    <n v="61"/>
    <n v="62"/>
    <n v="6.9"/>
  </r>
  <r>
    <x v="12"/>
    <x v="12"/>
    <d v="2021-04-24T00:00:00"/>
    <s v="NA"/>
    <n v="0"/>
    <n v="68"/>
    <s v="61-80"/>
    <x v="0"/>
    <x v="0"/>
    <x v="0"/>
    <x v="3"/>
    <n v="1"/>
    <n v="1"/>
    <n v="5.2"/>
    <x v="18"/>
    <n v="5"/>
    <n v="5"/>
    <n v="860500"/>
    <n v="260231"/>
    <n v="600269"/>
    <n v="63"/>
    <n v="62"/>
    <n v="10.8"/>
  </r>
  <r>
    <x v="12"/>
    <x v="12"/>
    <d v="2022-12-22T00:00:00"/>
    <s v="NA"/>
    <n v="0"/>
    <n v="82"/>
    <s v="81+"/>
    <x v="1"/>
    <x v="12"/>
    <x v="9"/>
    <x v="0"/>
    <n v="1"/>
    <n v="1"/>
    <n v="4.4000000000000004"/>
    <x v="20"/>
    <n v="4"/>
    <n v="6"/>
    <n v="856527"/>
    <n v="242698"/>
    <n v="613829"/>
    <n v="54"/>
    <n v="64"/>
    <n v="8.9"/>
  </r>
  <r>
    <x v="12"/>
    <x v="12"/>
    <d v="2023-07-15T00:00:00"/>
    <s v="NA"/>
    <n v="0"/>
    <n v="69"/>
    <s v="61-80"/>
    <x v="0"/>
    <x v="12"/>
    <x v="9"/>
    <x v="1"/>
    <n v="1"/>
    <n v="1"/>
    <n v="3.5"/>
    <x v="25"/>
    <n v="4"/>
    <n v="7"/>
    <n v="915080"/>
    <n v="231462"/>
    <n v="683618"/>
    <n v="71"/>
    <n v="65"/>
    <n v="5.3"/>
  </r>
  <r>
    <x v="12"/>
    <x v="12"/>
    <d v="2024-04-02T00:00:00"/>
    <s v="NA"/>
    <n v="0"/>
    <n v="90"/>
    <s v="81+"/>
    <x v="1"/>
    <x v="2"/>
    <x v="1"/>
    <x v="3"/>
    <n v="1"/>
    <n v="1"/>
    <n v="4.2"/>
    <x v="2"/>
    <n v="5"/>
    <n v="4"/>
    <n v="873770"/>
    <n v="191765"/>
    <n v="682005"/>
    <n v="69"/>
    <n v="65"/>
    <n v="7.7"/>
  </r>
  <r>
    <x v="12"/>
    <x v="12"/>
    <d v="2023-11-04T00:00:00"/>
    <s v="NA"/>
    <n v="0"/>
    <n v="33"/>
    <s v="21-40"/>
    <x v="1"/>
    <x v="12"/>
    <x v="9"/>
    <x v="0"/>
    <n v="1"/>
    <n v="1"/>
    <n v="3.5"/>
    <x v="5"/>
    <n v="3"/>
    <n v="7"/>
    <n v="807144"/>
    <n v="269109"/>
    <n v="538035"/>
    <n v="68"/>
    <n v="63"/>
    <n v="13.2"/>
  </r>
  <r>
    <x v="12"/>
    <x v="12"/>
    <d v="2022-10-17T00:00:00"/>
    <s v="NA"/>
    <n v="0"/>
    <n v="47"/>
    <s v="41-60"/>
    <x v="1"/>
    <x v="3"/>
    <x v="2"/>
    <x v="2"/>
    <n v="1"/>
    <n v="1"/>
    <n v="2.4"/>
    <x v="1"/>
    <n v="7"/>
    <n v="4"/>
    <n v="904272"/>
    <n v="280768"/>
    <n v="623504"/>
    <n v="62"/>
    <n v="55"/>
    <n v="10.199999999999999"/>
  </r>
  <r>
    <x v="12"/>
    <x v="12"/>
    <d v="2023-09-18T00:00:00"/>
    <s v="NA"/>
    <n v="0"/>
    <n v="51"/>
    <s v="41-60"/>
    <x v="1"/>
    <x v="4"/>
    <x v="3"/>
    <x v="2"/>
    <n v="1"/>
    <n v="1"/>
    <n v="4.8"/>
    <x v="8"/>
    <n v="6"/>
    <n v="6"/>
    <n v="810902"/>
    <n v="123104"/>
    <n v="687798"/>
    <n v="70"/>
    <n v="62"/>
    <n v="36"/>
  </r>
  <r>
    <x v="12"/>
    <x v="12"/>
    <d v="2024-10-27T00:00:00"/>
    <s v="NA"/>
    <n v="0"/>
    <n v="54"/>
    <s v="41-60"/>
    <x v="1"/>
    <x v="13"/>
    <x v="10"/>
    <x v="4"/>
    <n v="1"/>
    <n v="1"/>
    <n v="4.5"/>
    <x v="6"/>
    <n v="5"/>
    <n v="6"/>
    <n v="973487"/>
    <n v="422955"/>
    <n v="550532"/>
    <n v="62"/>
    <n v="58"/>
    <n v="13.8"/>
  </r>
  <r>
    <x v="12"/>
    <x v="12"/>
    <d v="2022-03-11T00:00:00"/>
    <s v="NA"/>
    <n v="0"/>
    <n v="28"/>
    <s v="21-40"/>
    <x v="0"/>
    <x v="5"/>
    <x v="0"/>
    <x v="2"/>
    <n v="1"/>
    <n v="1"/>
    <n v="3.3"/>
    <x v="25"/>
    <n v="3"/>
    <n v="5"/>
    <n v="863865"/>
    <n v="240179"/>
    <n v="623686"/>
    <n v="59"/>
    <n v="66"/>
    <n v="12.9"/>
  </r>
  <r>
    <x v="12"/>
    <x v="12"/>
    <d v="2023-12-24T00:00:00"/>
    <s v="NA"/>
    <n v="0"/>
    <n v="48"/>
    <s v="41-60"/>
    <x v="1"/>
    <x v="3"/>
    <x v="2"/>
    <x v="3"/>
    <n v="1"/>
    <n v="1"/>
    <n v="3.3"/>
    <x v="27"/>
    <n v="6"/>
    <n v="3"/>
    <n v="989495"/>
    <n v="470348"/>
    <n v="519147"/>
    <n v="63"/>
    <n v="57"/>
    <n v="9.1"/>
  </r>
  <r>
    <x v="12"/>
    <x v="12"/>
    <d v="2024-06-08T00:00:00"/>
    <s v="NA"/>
    <n v="0"/>
    <n v="67"/>
    <s v="61-80"/>
    <x v="0"/>
    <x v="0"/>
    <x v="0"/>
    <x v="1"/>
    <n v="1"/>
    <n v="1"/>
    <n v="6.7"/>
    <x v="1"/>
    <n v="5"/>
    <n v="4"/>
    <n v="820505"/>
    <n v="134096"/>
    <n v="686409"/>
    <n v="80"/>
    <n v="55"/>
    <n v="13.2"/>
  </r>
  <r>
    <x v="12"/>
    <x v="12"/>
    <d v="2023-02-01T00:00:00"/>
    <s v="NA"/>
    <n v="0"/>
    <n v="46"/>
    <s v="41-60"/>
    <x v="0"/>
    <x v="6"/>
    <x v="4"/>
    <x v="3"/>
    <n v="1"/>
    <n v="1"/>
    <n v="3.4"/>
    <x v="21"/>
    <n v="3"/>
    <n v="6"/>
    <n v="968165"/>
    <n v="401872"/>
    <n v="566293"/>
    <n v="78"/>
    <n v="58"/>
    <n v="14.3"/>
  </r>
  <r>
    <x v="12"/>
    <x v="12"/>
    <d v="2024-05-19T00:00:00"/>
    <s v="NA"/>
    <n v="0"/>
    <n v="88"/>
    <s v="81+"/>
    <x v="1"/>
    <x v="12"/>
    <x v="9"/>
    <x v="3"/>
    <n v="1"/>
    <n v="1"/>
    <n v="6.3"/>
    <x v="5"/>
    <n v="3"/>
    <n v="3"/>
    <n v="818775"/>
    <n v="203950"/>
    <n v="614825"/>
    <n v="55"/>
    <n v="63"/>
    <n v="8.1999999999999993"/>
  </r>
  <r>
    <x v="12"/>
    <x v="12"/>
    <d v="2021-10-18T00:00:00"/>
    <s v="NA"/>
    <n v="0"/>
    <n v="46"/>
    <s v="41-60"/>
    <x v="0"/>
    <x v="2"/>
    <x v="1"/>
    <x v="1"/>
    <n v="1"/>
    <n v="1"/>
    <n v="4.3"/>
    <x v="4"/>
    <n v="6"/>
    <n v="5"/>
    <n v="915770"/>
    <n v="354865"/>
    <n v="560905"/>
    <n v="56"/>
    <n v="63"/>
    <n v="14.6"/>
  </r>
  <r>
    <x v="12"/>
    <x v="12"/>
    <d v="2024-07-12T00:00:00"/>
    <s v="NA"/>
    <n v="0"/>
    <n v="39"/>
    <s v="21-40"/>
    <x v="0"/>
    <x v="0"/>
    <x v="0"/>
    <x v="4"/>
    <n v="1"/>
    <n v="1"/>
    <n v="1.2"/>
    <x v="1"/>
    <n v="7"/>
    <n v="7"/>
    <n v="875192"/>
    <n v="367956"/>
    <n v="507236"/>
    <n v="54"/>
    <n v="60"/>
    <n v="9.8000000000000007"/>
  </r>
  <r>
    <x v="12"/>
    <x v="12"/>
    <d v="2024-04-25T00:00:00"/>
    <s v="NA"/>
    <n v="0"/>
    <n v="43"/>
    <s v="41-60"/>
    <x v="0"/>
    <x v="6"/>
    <x v="4"/>
    <x v="1"/>
    <n v="1"/>
    <n v="1"/>
    <n v="5.0999999999999996"/>
    <x v="28"/>
    <n v="6"/>
    <n v="7"/>
    <n v="909199"/>
    <n v="291778"/>
    <n v="617421"/>
    <n v="53"/>
    <n v="57"/>
    <n v="14.8"/>
  </r>
  <r>
    <x v="12"/>
    <x v="12"/>
    <d v="2023-03-28T00:00:00"/>
    <s v="NA"/>
    <n v="0"/>
    <n v="26"/>
    <s v="21-40"/>
    <x v="1"/>
    <x v="10"/>
    <x v="8"/>
    <x v="0"/>
    <n v="1"/>
    <n v="1"/>
    <n v="3.2"/>
    <x v="23"/>
    <n v="6"/>
    <n v="5"/>
    <n v="917023"/>
    <n v="407157"/>
    <n v="509866"/>
    <n v="67"/>
    <n v="65"/>
    <n v="5.5"/>
  </r>
  <r>
    <x v="12"/>
    <x v="12"/>
    <d v="2023-09-20T00:00:00"/>
    <s v="NA"/>
    <n v="0"/>
    <n v="37"/>
    <s v="21-40"/>
    <x v="0"/>
    <x v="5"/>
    <x v="0"/>
    <x v="2"/>
    <n v="1"/>
    <n v="1"/>
    <n v="3.3"/>
    <x v="29"/>
    <n v="3"/>
    <n v="4"/>
    <n v="851429"/>
    <n v="250032"/>
    <n v="601397"/>
    <n v="73"/>
    <n v="65"/>
    <n v="14"/>
  </r>
  <r>
    <x v="12"/>
    <x v="12"/>
    <d v="2023-11-13T00:00:00"/>
    <s v="NA"/>
    <n v="0"/>
    <n v="39"/>
    <s v="21-40"/>
    <x v="1"/>
    <x v="2"/>
    <x v="1"/>
    <x v="1"/>
    <n v="1"/>
    <n v="1"/>
    <n v="5.3"/>
    <x v="3"/>
    <n v="3"/>
    <n v="5"/>
    <n v="869685"/>
    <n v="321503"/>
    <n v="548182"/>
    <n v="53"/>
    <n v="66"/>
    <n v="7.7"/>
  </r>
  <r>
    <x v="12"/>
    <x v="12"/>
    <d v="2024-11-22T00:00:00"/>
    <s v="NA"/>
    <n v="0"/>
    <n v="67"/>
    <s v="61-80"/>
    <x v="0"/>
    <x v="6"/>
    <x v="4"/>
    <x v="0"/>
    <n v="1"/>
    <n v="1"/>
    <n v="1.5"/>
    <x v="23"/>
    <n v="7"/>
    <n v="6"/>
    <n v="800498"/>
    <n v="255788"/>
    <n v="544710"/>
    <n v="79"/>
    <n v="56"/>
    <n v="36.700000000000003"/>
  </r>
  <r>
    <x v="12"/>
    <x v="12"/>
    <d v="2023-12-10T00:00:00"/>
    <s v="NA"/>
    <n v="0"/>
    <n v="24"/>
    <s v="21-40"/>
    <x v="1"/>
    <x v="12"/>
    <x v="9"/>
    <x v="0"/>
    <n v="1"/>
    <n v="1"/>
    <n v="5.5"/>
    <x v="26"/>
    <n v="7"/>
    <n v="3"/>
    <n v="858801"/>
    <n v="235318"/>
    <n v="623483"/>
    <n v="77"/>
    <n v="59"/>
    <n v="8.1999999999999993"/>
  </r>
  <r>
    <x v="12"/>
    <x v="12"/>
    <d v="2021-04-19T00:00:00"/>
    <s v="NA"/>
    <n v="0"/>
    <n v="87"/>
    <s v="81+"/>
    <x v="1"/>
    <x v="12"/>
    <x v="9"/>
    <x v="0"/>
    <n v="1"/>
    <n v="1"/>
    <n v="6.3"/>
    <x v="16"/>
    <n v="3"/>
    <n v="7"/>
    <n v="901324"/>
    <n v="371658"/>
    <n v="529666"/>
    <n v="52"/>
    <n v="59"/>
    <n v="36"/>
  </r>
  <r>
    <x v="12"/>
    <x v="12"/>
    <d v="2022-02-05T00:00:00"/>
    <s v="NA"/>
    <n v="0"/>
    <n v="23"/>
    <s v="21-40"/>
    <x v="0"/>
    <x v="12"/>
    <x v="9"/>
    <x v="1"/>
    <n v="1"/>
    <n v="1"/>
    <n v="1.6"/>
    <x v="16"/>
    <n v="3"/>
    <n v="4"/>
    <n v="995933"/>
    <n v="376646"/>
    <n v="619287"/>
    <n v="57"/>
    <n v="60"/>
    <n v="14.2"/>
  </r>
  <r>
    <x v="12"/>
    <x v="12"/>
    <d v="2021-05-12T00:00:00"/>
    <s v="NA"/>
    <n v="0"/>
    <n v="38"/>
    <s v="21-40"/>
    <x v="1"/>
    <x v="1"/>
    <x v="1"/>
    <x v="4"/>
    <n v="1"/>
    <n v="1"/>
    <n v="3.2"/>
    <x v="6"/>
    <n v="5"/>
    <n v="6"/>
    <n v="864854"/>
    <n v="307047"/>
    <n v="557807"/>
    <n v="57"/>
    <n v="56"/>
    <n v="10.6"/>
  </r>
  <r>
    <x v="12"/>
    <x v="12"/>
    <d v="2023-06-18T00:00:00"/>
    <s v="NA"/>
    <n v="0"/>
    <n v="48"/>
    <s v="41-60"/>
    <x v="0"/>
    <x v="0"/>
    <x v="0"/>
    <x v="3"/>
    <n v="1"/>
    <n v="1"/>
    <n v="4.7"/>
    <x v="30"/>
    <n v="5"/>
    <n v="5"/>
    <n v="845040"/>
    <n v="329736"/>
    <n v="515304"/>
    <n v="78"/>
    <n v="54"/>
    <n v="14.6"/>
  </r>
  <r>
    <x v="12"/>
    <x v="12"/>
    <d v="2022-11-07T00:00:00"/>
    <s v="NA"/>
    <n v="0"/>
    <n v="44"/>
    <s v="41-60"/>
    <x v="1"/>
    <x v="7"/>
    <x v="5"/>
    <x v="1"/>
    <n v="1"/>
    <n v="1"/>
    <n v="3.1"/>
    <x v="16"/>
    <n v="4"/>
    <n v="3"/>
    <n v="976396"/>
    <n v="408607"/>
    <n v="567789"/>
    <n v="69"/>
    <n v="66"/>
    <n v="36.6"/>
  </r>
  <r>
    <x v="12"/>
    <x v="12"/>
    <d v="2021-11-11T00:00:00"/>
    <s v="NA"/>
    <n v="0"/>
    <n v="69"/>
    <s v="61-80"/>
    <x v="0"/>
    <x v="10"/>
    <x v="8"/>
    <x v="0"/>
    <n v="1"/>
    <n v="1"/>
    <n v="2.9"/>
    <x v="15"/>
    <n v="7"/>
    <n v="3"/>
    <n v="836291"/>
    <n v="317157"/>
    <n v="519134"/>
    <n v="62"/>
    <n v="60"/>
    <n v="9.6"/>
  </r>
  <r>
    <x v="12"/>
    <x v="12"/>
    <d v="2024-09-27T00:00:00"/>
    <s v="NA"/>
    <n v="0"/>
    <n v="51"/>
    <s v="41-60"/>
    <x v="0"/>
    <x v="14"/>
    <x v="11"/>
    <x v="4"/>
    <n v="1"/>
    <n v="1"/>
    <n v="2.9"/>
    <x v="24"/>
    <n v="3"/>
    <n v="4"/>
    <n v="843643"/>
    <n v="248449"/>
    <n v="595194"/>
    <n v="80"/>
    <n v="56"/>
    <n v="7.1"/>
  </r>
  <r>
    <x v="12"/>
    <x v="12"/>
    <d v="2021-04-25T00:00:00"/>
    <s v="NA"/>
    <n v="0"/>
    <n v="51"/>
    <s v="41-60"/>
    <x v="1"/>
    <x v="7"/>
    <x v="5"/>
    <x v="4"/>
    <n v="1"/>
    <n v="1"/>
    <n v="2.7"/>
    <x v="21"/>
    <n v="6"/>
    <n v="4"/>
    <n v="828564"/>
    <n v="324963"/>
    <n v="503601"/>
    <n v="77"/>
    <n v="58"/>
    <n v="6.2"/>
  </r>
  <r>
    <x v="12"/>
    <x v="12"/>
    <d v="2024-02-01T00:00:00"/>
    <s v="NA"/>
    <n v="0"/>
    <n v="39"/>
    <s v="21-40"/>
    <x v="0"/>
    <x v="6"/>
    <x v="4"/>
    <x v="4"/>
    <n v="1"/>
    <n v="1"/>
    <n v="5.6"/>
    <x v="6"/>
    <n v="7"/>
    <n v="4"/>
    <n v="998344"/>
    <n v="431188"/>
    <n v="567156"/>
    <n v="80"/>
    <n v="64"/>
    <n v="13.2"/>
  </r>
  <r>
    <x v="12"/>
    <x v="12"/>
    <d v="2021-09-23T00:00:00"/>
    <s v="NA"/>
    <n v="0"/>
    <n v="37"/>
    <s v="21-40"/>
    <x v="1"/>
    <x v="2"/>
    <x v="1"/>
    <x v="3"/>
    <n v="1"/>
    <n v="1"/>
    <n v="2"/>
    <x v="19"/>
    <n v="6"/>
    <n v="6"/>
    <n v="842898"/>
    <n v="171385"/>
    <n v="671513"/>
    <n v="60"/>
    <n v="54"/>
    <n v="9.8000000000000007"/>
  </r>
  <r>
    <x v="12"/>
    <x v="12"/>
    <d v="2024-09-03T00:00:00"/>
    <s v="NA"/>
    <n v="0"/>
    <n v="49"/>
    <s v="41-60"/>
    <x v="1"/>
    <x v="4"/>
    <x v="3"/>
    <x v="0"/>
    <n v="1"/>
    <n v="1"/>
    <n v="5.6"/>
    <x v="0"/>
    <n v="7"/>
    <n v="6"/>
    <n v="955952"/>
    <n v="342377"/>
    <n v="613575"/>
    <n v="71"/>
    <n v="55"/>
    <n v="6"/>
  </r>
  <r>
    <x v="12"/>
    <x v="12"/>
    <d v="2023-09-23T00:00:00"/>
    <s v="NA"/>
    <n v="0"/>
    <n v="84"/>
    <s v="81+"/>
    <x v="0"/>
    <x v="12"/>
    <x v="9"/>
    <x v="2"/>
    <n v="1"/>
    <n v="1"/>
    <n v="6.1"/>
    <x v="0"/>
    <n v="6"/>
    <n v="4"/>
    <n v="919130"/>
    <n v="331552"/>
    <n v="587578"/>
    <n v="76"/>
    <n v="54"/>
    <n v="6"/>
  </r>
  <r>
    <x v="12"/>
    <x v="12"/>
    <d v="2023-09-15T00:00:00"/>
    <s v="NA"/>
    <n v="0"/>
    <n v="40"/>
    <s v="21-40"/>
    <x v="0"/>
    <x v="7"/>
    <x v="5"/>
    <x v="3"/>
    <n v="1"/>
    <n v="1"/>
    <n v="6.1"/>
    <x v="30"/>
    <n v="4"/>
    <n v="3"/>
    <n v="885577"/>
    <n v="301984"/>
    <n v="583593"/>
    <n v="58"/>
    <n v="60"/>
    <n v="5.2"/>
  </r>
  <r>
    <x v="12"/>
    <x v="12"/>
    <d v="2023-01-07T00:00:00"/>
    <s v="NA"/>
    <n v="0"/>
    <n v="57"/>
    <s v="41-60"/>
    <x v="1"/>
    <x v="7"/>
    <x v="5"/>
    <x v="4"/>
    <n v="1"/>
    <n v="1"/>
    <n v="1.6"/>
    <x v="17"/>
    <n v="7"/>
    <n v="6"/>
    <n v="946566"/>
    <n v="327806"/>
    <n v="618760"/>
    <n v="64"/>
    <n v="64"/>
    <n v="7.2"/>
  </r>
  <r>
    <x v="12"/>
    <x v="12"/>
    <d v="2022-06-18T00:00:00"/>
    <s v="NA"/>
    <n v="0"/>
    <n v="82"/>
    <s v="81+"/>
    <x v="0"/>
    <x v="7"/>
    <x v="5"/>
    <x v="1"/>
    <n v="1"/>
    <n v="1"/>
    <n v="6.8"/>
    <x v="7"/>
    <n v="3"/>
    <n v="6"/>
    <n v="913070"/>
    <n v="261229"/>
    <n v="651841"/>
    <n v="74"/>
    <n v="66"/>
    <n v="13.5"/>
  </r>
  <r>
    <x v="12"/>
    <x v="12"/>
    <d v="2023-01-03T00:00:00"/>
    <s v="NA"/>
    <n v="0"/>
    <n v="50"/>
    <s v="41-60"/>
    <x v="1"/>
    <x v="3"/>
    <x v="2"/>
    <x v="4"/>
    <n v="1"/>
    <n v="1"/>
    <n v="1.4"/>
    <x v="16"/>
    <n v="4"/>
    <n v="4"/>
    <n v="929910"/>
    <n v="400342"/>
    <n v="529568"/>
    <n v="74"/>
    <n v="66"/>
    <n v="14.1"/>
  </r>
  <r>
    <x v="12"/>
    <x v="12"/>
    <d v="2023-06-27T00:00:00"/>
    <s v="NA"/>
    <n v="0"/>
    <n v="81"/>
    <s v="81+"/>
    <x v="0"/>
    <x v="14"/>
    <x v="11"/>
    <x v="1"/>
    <n v="1"/>
    <n v="1"/>
    <n v="1"/>
    <x v="4"/>
    <n v="7"/>
    <n v="6"/>
    <n v="975029"/>
    <n v="285631"/>
    <n v="689398"/>
    <n v="61"/>
    <n v="59"/>
    <n v="13.7"/>
  </r>
  <r>
    <x v="12"/>
    <x v="12"/>
    <d v="2024-10-10T00:00:00"/>
    <s v="NA"/>
    <n v="0"/>
    <n v="46"/>
    <s v="41-60"/>
    <x v="1"/>
    <x v="10"/>
    <x v="8"/>
    <x v="2"/>
    <n v="1"/>
    <n v="1"/>
    <n v="6.7"/>
    <x v="2"/>
    <n v="3"/>
    <n v="7"/>
    <n v="852426"/>
    <n v="197961"/>
    <n v="654465"/>
    <n v="61"/>
    <n v="66"/>
    <n v="6.4"/>
  </r>
  <r>
    <x v="12"/>
    <x v="12"/>
    <d v="2023-04-07T00:00:00"/>
    <s v="NA"/>
    <n v="0"/>
    <n v="69"/>
    <s v="61-80"/>
    <x v="1"/>
    <x v="2"/>
    <x v="1"/>
    <x v="4"/>
    <n v="1"/>
    <n v="1"/>
    <n v="1.2"/>
    <x v="2"/>
    <n v="7"/>
    <n v="6"/>
    <n v="850725"/>
    <n v="164674"/>
    <n v="686051"/>
    <n v="53"/>
    <n v="65"/>
    <n v="6.9"/>
  </r>
  <r>
    <x v="12"/>
    <x v="12"/>
    <d v="2021-12-02T00:00:00"/>
    <s v="NA"/>
    <n v="0"/>
    <n v="64"/>
    <s v="61-80"/>
    <x v="0"/>
    <x v="2"/>
    <x v="1"/>
    <x v="1"/>
    <n v="1"/>
    <n v="1"/>
    <n v="4.2"/>
    <x v="1"/>
    <n v="6"/>
    <n v="3"/>
    <n v="955845"/>
    <n v="403632"/>
    <n v="552213"/>
    <n v="78"/>
    <n v="66"/>
    <n v="8.8000000000000007"/>
  </r>
  <r>
    <x v="12"/>
    <x v="12"/>
    <d v="2021-03-18T00:00:00"/>
    <s v="NA"/>
    <n v="0"/>
    <n v="89"/>
    <s v="81+"/>
    <x v="1"/>
    <x v="11"/>
    <x v="8"/>
    <x v="1"/>
    <n v="1"/>
    <n v="1"/>
    <n v="1.4"/>
    <x v="30"/>
    <n v="7"/>
    <n v="6"/>
    <n v="818073"/>
    <n v="199973"/>
    <n v="618100"/>
    <n v="51"/>
    <n v="57"/>
    <n v="14.3"/>
  </r>
  <r>
    <x v="12"/>
    <x v="12"/>
    <d v="2021-10-18T00:00:00"/>
    <s v="NA"/>
    <n v="0"/>
    <n v="79"/>
    <s v="61-80"/>
    <x v="0"/>
    <x v="5"/>
    <x v="0"/>
    <x v="4"/>
    <n v="1"/>
    <n v="1"/>
    <n v="5.6"/>
    <x v="0"/>
    <n v="7"/>
    <n v="4"/>
    <n v="880358"/>
    <n v="274881"/>
    <n v="605477"/>
    <n v="78"/>
    <n v="65"/>
    <n v="8.6"/>
  </r>
  <r>
    <x v="12"/>
    <x v="12"/>
    <d v="2022-03-21T00:00:00"/>
    <s v="NA"/>
    <n v="0"/>
    <n v="49"/>
    <s v="41-60"/>
    <x v="0"/>
    <x v="7"/>
    <x v="5"/>
    <x v="4"/>
    <n v="1"/>
    <n v="1"/>
    <n v="3.1"/>
    <x v="27"/>
    <n v="7"/>
    <n v="4"/>
    <n v="949126"/>
    <n v="330449"/>
    <n v="618677"/>
    <n v="57"/>
    <n v="61"/>
    <n v="36.4"/>
  </r>
  <r>
    <x v="12"/>
    <x v="12"/>
    <d v="2024-12-02T00:00:00"/>
    <s v="NA"/>
    <n v="0"/>
    <n v="70"/>
    <s v="61-80"/>
    <x v="1"/>
    <x v="2"/>
    <x v="1"/>
    <x v="3"/>
    <n v="1"/>
    <n v="1"/>
    <n v="6.8"/>
    <x v="15"/>
    <n v="3"/>
    <n v="7"/>
    <n v="975881"/>
    <n v="473225"/>
    <n v="502656"/>
    <n v="68"/>
    <n v="58"/>
    <n v="5.3"/>
  </r>
  <r>
    <x v="12"/>
    <x v="12"/>
    <d v="2021-02-26T00:00:00"/>
    <s v="NA"/>
    <n v="0"/>
    <n v="46"/>
    <s v="41-60"/>
    <x v="1"/>
    <x v="4"/>
    <x v="3"/>
    <x v="2"/>
    <n v="1"/>
    <n v="1"/>
    <n v="4.4000000000000004"/>
    <x v="25"/>
    <n v="5"/>
    <n v="6"/>
    <n v="913603"/>
    <n v="218098"/>
    <n v="695505"/>
    <n v="76"/>
    <n v="57"/>
    <n v="9.4"/>
  </r>
  <r>
    <x v="12"/>
    <x v="12"/>
    <d v="2021-01-09T00:00:00"/>
    <s v="NA"/>
    <n v="0"/>
    <n v="24"/>
    <s v="21-40"/>
    <x v="1"/>
    <x v="13"/>
    <x v="10"/>
    <x v="2"/>
    <n v="1"/>
    <n v="1"/>
    <n v="1.1000000000000001"/>
    <x v="24"/>
    <n v="6"/>
    <n v="3"/>
    <n v="915749"/>
    <n v="340888"/>
    <n v="574861"/>
    <n v="72"/>
    <n v="56"/>
    <n v="6.2"/>
  </r>
  <r>
    <x v="12"/>
    <x v="12"/>
    <d v="2021-08-24T00:00:00"/>
    <s v="NA"/>
    <n v="0"/>
    <n v="41"/>
    <s v="41-60"/>
    <x v="1"/>
    <x v="3"/>
    <x v="2"/>
    <x v="1"/>
    <n v="1"/>
    <n v="1"/>
    <n v="3.4"/>
    <x v="30"/>
    <n v="7"/>
    <n v="4"/>
    <n v="917440"/>
    <n v="266601"/>
    <n v="650839"/>
    <n v="55"/>
    <n v="64"/>
    <n v="13.6"/>
  </r>
  <r>
    <x v="12"/>
    <x v="12"/>
    <d v="2024-06-08T00:00:00"/>
    <s v="NA"/>
    <n v="0"/>
    <n v="65"/>
    <s v="61-80"/>
    <x v="1"/>
    <x v="7"/>
    <x v="5"/>
    <x v="3"/>
    <n v="1"/>
    <n v="1"/>
    <n v="2.9"/>
    <x v="18"/>
    <n v="3"/>
    <n v="4"/>
    <n v="888883"/>
    <n v="272713"/>
    <n v="616170"/>
    <n v="70"/>
    <n v="57"/>
    <n v="14"/>
  </r>
  <r>
    <x v="12"/>
    <x v="12"/>
    <d v="2022-03-24T00:00:00"/>
    <s v="NA"/>
    <n v="0"/>
    <n v="23"/>
    <s v="21-40"/>
    <x v="0"/>
    <x v="4"/>
    <x v="3"/>
    <x v="0"/>
    <n v="1"/>
    <n v="1"/>
    <n v="1.2"/>
    <x v="1"/>
    <n v="3"/>
    <n v="6"/>
    <n v="959075"/>
    <n v="332026"/>
    <n v="627049"/>
    <n v="50"/>
    <n v="57"/>
    <n v="5.7"/>
  </r>
  <r>
    <x v="12"/>
    <x v="12"/>
    <d v="2022-09-16T00:00:00"/>
    <s v="NA"/>
    <n v="0"/>
    <n v="34"/>
    <s v="21-40"/>
    <x v="0"/>
    <x v="0"/>
    <x v="0"/>
    <x v="4"/>
    <n v="1"/>
    <n v="1"/>
    <n v="3.7"/>
    <x v="19"/>
    <n v="4"/>
    <n v="7"/>
    <n v="902830"/>
    <n v="211606"/>
    <n v="691224"/>
    <n v="72"/>
    <n v="63"/>
    <n v="7.4"/>
  </r>
  <r>
    <x v="12"/>
    <x v="12"/>
    <d v="2023-06-14T00:00:00"/>
    <s v="NA"/>
    <n v="0"/>
    <n v="56"/>
    <s v="41-60"/>
    <x v="0"/>
    <x v="4"/>
    <x v="3"/>
    <x v="3"/>
    <n v="1"/>
    <n v="1"/>
    <n v="6.5"/>
    <x v="25"/>
    <n v="7"/>
    <n v="7"/>
    <n v="816804"/>
    <n v="178822"/>
    <n v="637982"/>
    <n v="54"/>
    <n v="61"/>
    <n v="8.5"/>
  </r>
  <r>
    <x v="12"/>
    <x v="12"/>
    <d v="2024-07-01T00:00:00"/>
    <s v="NA"/>
    <n v="0"/>
    <n v="46"/>
    <s v="41-60"/>
    <x v="0"/>
    <x v="6"/>
    <x v="4"/>
    <x v="1"/>
    <n v="1"/>
    <n v="1"/>
    <n v="3.9"/>
    <x v="17"/>
    <n v="5"/>
    <n v="3"/>
    <n v="908690"/>
    <n v="220371"/>
    <n v="688319"/>
    <n v="58"/>
    <n v="64"/>
    <n v="10.1"/>
  </r>
  <r>
    <x v="12"/>
    <x v="12"/>
    <d v="2022-12-01T00:00:00"/>
    <s v="NA"/>
    <n v="0"/>
    <n v="36"/>
    <s v="21-40"/>
    <x v="0"/>
    <x v="5"/>
    <x v="0"/>
    <x v="0"/>
    <n v="1"/>
    <n v="1"/>
    <n v="4.4000000000000004"/>
    <x v="20"/>
    <n v="3"/>
    <n v="6"/>
    <n v="846643"/>
    <n v="277954"/>
    <n v="568689"/>
    <n v="55"/>
    <n v="54"/>
    <n v="9.8000000000000007"/>
  </r>
  <r>
    <x v="12"/>
    <x v="12"/>
    <d v="2021-03-09T00:00:00"/>
    <s v="NA"/>
    <n v="0"/>
    <n v="25"/>
    <s v="21-40"/>
    <x v="1"/>
    <x v="10"/>
    <x v="8"/>
    <x v="1"/>
    <n v="1"/>
    <n v="1"/>
    <n v="5"/>
    <x v="8"/>
    <n v="6"/>
    <n v="5"/>
    <n v="884791"/>
    <n v="343522"/>
    <n v="541269"/>
    <n v="63"/>
    <n v="62"/>
    <n v="10.8"/>
  </r>
  <r>
    <x v="12"/>
    <x v="12"/>
    <d v="2023-03-07T00:00:00"/>
    <s v="NA"/>
    <n v="0"/>
    <n v="28"/>
    <s v="21-40"/>
    <x v="1"/>
    <x v="2"/>
    <x v="1"/>
    <x v="4"/>
    <n v="1"/>
    <n v="1"/>
    <n v="1.3"/>
    <x v="11"/>
    <n v="6"/>
    <n v="7"/>
    <n v="813248"/>
    <n v="175115"/>
    <n v="638133"/>
    <n v="68"/>
    <n v="63"/>
    <n v="7.2"/>
  </r>
  <r>
    <x v="12"/>
    <x v="12"/>
    <d v="2024-04-11T00:00:00"/>
    <s v="NA"/>
    <n v="0"/>
    <n v="34"/>
    <s v="21-40"/>
    <x v="0"/>
    <x v="10"/>
    <x v="8"/>
    <x v="2"/>
    <n v="1"/>
    <n v="1"/>
    <n v="5.4"/>
    <x v="5"/>
    <n v="6"/>
    <n v="5"/>
    <n v="835283"/>
    <n v="233359"/>
    <n v="601924"/>
    <n v="77"/>
    <n v="55"/>
    <n v="14.2"/>
  </r>
  <r>
    <x v="12"/>
    <x v="12"/>
    <d v="2021-04-08T00:00:00"/>
    <s v="NA"/>
    <n v="0"/>
    <n v="27"/>
    <s v="21-40"/>
    <x v="0"/>
    <x v="5"/>
    <x v="0"/>
    <x v="4"/>
    <n v="1"/>
    <n v="1"/>
    <n v="3.2"/>
    <x v="9"/>
    <n v="5"/>
    <n v="5"/>
    <n v="947052"/>
    <n v="382332"/>
    <n v="564720"/>
    <n v="73"/>
    <n v="62"/>
    <n v="7.4"/>
  </r>
  <r>
    <x v="12"/>
    <x v="12"/>
    <d v="2023-09-30T00:00:00"/>
    <s v="NA"/>
    <n v="0"/>
    <n v="85"/>
    <s v="81+"/>
    <x v="0"/>
    <x v="13"/>
    <x v="10"/>
    <x v="0"/>
    <n v="1"/>
    <n v="1"/>
    <n v="5.8"/>
    <x v="23"/>
    <n v="7"/>
    <n v="3"/>
    <n v="801005"/>
    <n v="168636"/>
    <n v="632369"/>
    <n v="72"/>
    <n v="54"/>
    <n v="9.1"/>
  </r>
  <r>
    <x v="12"/>
    <x v="12"/>
    <d v="2023-06-24T00:00:00"/>
    <s v="NA"/>
    <n v="0"/>
    <n v="27"/>
    <s v="21-40"/>
    <x v="0"/>
    <x v="7"/>
    <x v="5"/>
    <x v="3"/>
    <n v="1"/>
    <n v="1"/>
    <n v="2.7"/>
    <x v="27"/>
    <n v="7"/>
    <n v="7"/>
    <n v="893093"/>
    <n v="338603"/>
    <n v="554490"/>
    <n v="56"/>
    <n v="54"/>
    <n v="12.9"/>
  </r>
  <r>
    <x v="12"/>
    <x v="12"/>
    <d v="2024-09-17T00:00:00"/>
    <s v="NA"/>
    <n v="0"/>
    <n v="27"/>
    <s v="21-40"/>
    <x v="0"/>
    <x v="2"/>
    <x v="1"/>
    <x v="3"/>
    <n v="1"/>
    <n v="1"/>
    <n v="5.0999999999999996"/>
    <x v="28"/>
    <n v="5"/>
    <n v="3"/>
    <n v="810212"/>
    <n v="283195"/>
    <n v="527017"/>
    <n v="58"/>
    <n v="65"/>
    <n v="9"/>
  </r>
  <r>
    <x v="12"/>
    <x v="12"/>
    <d v="2023-12-05T00:00:00"/>
    <s v="NA"/>
    <n v="0"/>
    <n v="46"/>
    <s v="41-60"/>
    <x v="1"/>
    <x v="10"/>
    <x v="8"/>
    <x v="3"/>
    <n v="1"/>
    <n v="1"/>
    <n v="2"/>
    <x v="20"/>
    <n v="4"/>
    <n v="4"/>
    <n v="994190"/>
    <n v="413329"/>
    <n v="580861"/>
    <n v="50"/>
    <n v="60"/>
    <n v="13.7"/>
  </r>
  <r>
    <x v="12"/>
    <x v="12"/>
    <d v="2021-10-14T00:00:00"/>
    <s v="NA"/>
    <n v="0"/>
    <n v="57"/>
    <s v="41-60"/>
    <x v="1"/>
    <x v="12"/>
    <x v="9"/>
    <x v="2"/>
    <n v="1"/>
    <n v="1"/>
    <n v="3.7"/>
    <x v="8"/>
    <n v="3"/>
    <n v="5"/>
    <n v="896583"/>
    <n v="245142"/>
    <n v="651441"/>
    <n v="70"/>
    <n v="63"/>
    <n v="12.5"/>
  </r>
  <r>
    <x v="12"/>
    <x v="12"/>
    <d v="2023-12-15T00:00:00"/>
    <s v="NA"/>
    <n v="0"/>
    <n v="46"/>
    <s v="41-60"/>
    <x v="1"/>
    <x v="12"/>
    <x v="9"/>
    <x v="0"/>
    <n v="1"/>
    <n v="1"/>
    <n v="1.7"/>
    <x v="28"/>
    <n v="3"/>
    <n v="7"/>
    <n v="944656"/>
    <n v="436392"/>
    <n v="508264"/>
    <n v="53"/>
    <n v="66"/>
    <n v="13.4"/>
  </r>
  <r>
    <x v="12"/>
    <x v="12"/>
    <d v="2023-03-29T00:00:00"/>
    <s v="NA"/>
    <n v="0"/>
    <n v="45"/>
    <s v="41-60"/>
    <x v="0"/>
    <x v="9"/>
    <x v="7"/>
    <x v="0"/>
    <n v="1"/>
    <n v="1"/>
    <n v="5.7"/>
    <x v="4"/>
    <n v="5"/>
    <n v="6"/>
    <n v="936609"/>
    <n v="338555"/>
    <n v="598054"/>
    <n v="70"/>
    <n v="58"/>
    <n v="12.7"/>
  </r>
  <r>
    <x v="12"/>
    <x v="12"/>
    <d v="2024-10-16T00:00:00"/>
    <s v="NA"/>
    <n v="0"/>
    <n v="37"/>
    <s v="21-40"/>
    <x v="0"/>
    <x v="5"/>
    <x v="0"/>
    <x v="2"/>
    <n v="1"/>
    <n v="1"/>
    <n v="4.7"/>
    <x v="21"/>
    <n v="3"/>
    <n v="3"/>
    <n v="974104"/>
    <n v="406013"/>
    <n v="568091"/>
    <n v="62"/>
    <n v="55"/>
    <n v="14.7"/>
  </r>
  <r>
    <x v="12"/>
    <x v="12"/>
    <d v="2024-04-04T00:00:00"/>
    <s v="NA"/>
    <n v="0"/>
    <n v="22"/>
    <s v="21-40"/>
    <x v="1"/>
    <x v="8"/>
    <x v="6"/>
    <x v="4"/>
    <n v="1"/>
    <n v="1"/>
    <n v="1.8"/>
    <x v="24"/>
    <n v="4"/>
    <n v="7"/>
    <n v="867302"/>
    <n v="211990"/>
    <n v="655312"/>
    <n v="74"/>
    <n v="62"/>
    <n v="36.9"/>
  </r>
  <r>
    <x v="12"/>
    <x v="12"/>
    <d v="2024-04-01T00:00:00"/>
    <s v="NA"/>
    <n v="0"/>
    <n v="51"/>
    <s v="41-60"/>
    <x v="1"/>
    <x v="3"/>
    <x v="2"/>
    <x v="0"/>
    <n v="1"/>
    <n v="1"/>
    <n v="4.0999999999999996"/>
    <x v="1"/>
    <n v="4"/>
    <n v="4"/>
    <n v="898709"/>
    <n v="258410"/>
    <n v="640299"/>
    <n v="64"/>
    <n v="58"/>
    <n v="9.1999999999999993"/>
  </r>
  <r>
    <x v="12"/>
    <x v="12"/>
    <d v="2024-06-01T00:00:00"/>
    <s v="NA"/>
    <n v="0"/>
    <n v="29"/>
    <s v="21-40"/>
    <x v="1"/>
    <x v="4"/>
    <x v="3"/>
    <x v="3"/>
    <n v="1"/>
    <n v="1"/>
    <n v="4.7"/>
    <x v="29"/>
    <n v="3"/>
    <n v="6"/>
    <n v="933343"/>
    <n v="339802"/>
    <n v="593541"/>
    <n v="62"/>
    <n v="60"/>
    <n v="10.3"/>
  </r>
  <r>
    <x v="12"/>
    <x v="12"/>
    <d v="2023-02-15T00:00:00"/>
    <s v="NA"/>
    <n v="0"/>
    <n v="70"/>
    <s v="61-80"/>
    <x v="1"/>
    <x v="3"/>
    <x v="2"/>
    <x v="2"/>
    <n v="1"/>
    <n v="1"/>
    <n v="3.9"/>
    <x v="14"/>
    <n v="4"/>
    <n v="7"/>
    <n v="869486"/>
    <n v="251596"/>
    <n v="617890"/>
    <n v="55"/>
    <n v="54"/>
    <n v="13.1"/>
  </r>
  <r>
    <x v="12"/>
    <x v="12"/>
    <d v="2021-09-18T00:00:00"/>
    <s v="NA"/>
    <n v="0"/>
    <n v="63"/>
    <s v="61-80"/>
    <x v="0"/>
    <x v="9"/>
    <x v="7"/>
    <x v="3"/>
    <n v="1"/>
    <n v="1"/>
    <n v="5.2"/>
    <x v="11"/>
    <n v="5"/>
    <n v="7"/>
    <n v="997501"/>
    <n v="372180"/>
    <n v="625321"/>
    <n v="69"/>
    <n v="63"/>
    <n v="36.5"/>
  </r>
  <r>
    <x v="12"/>
    <x v="12"/>
    <d v="2021-03-02T00:00:00"/>
    <s v="NA"/>
    <n v="0"/>
    <n v="29"/>
    <s v="21-40"/>
    <x v="0"/>
    <x v="12"/>
    <x v="9"/>
    <x v="1"/>
    <n v="1"/>
    <n v="1"/>
    <n v="3.5"/>
    <x v="24"/>
    <n v="4"/>
    <n v="7"/>
    <n v="817417"/>
    <n v="222778"/>
    <n v="594639"/>
    <n v="58"/>
    <n v="58"/>
    <n v="12.9"/>
  </r>
  <r>
    <x v="12"/>
    <x v="12"/>
    <d v="2022-06-25T00:00:00"/>
    <s v="NA"/>
    <n v="0"/>
    <n v="25"/>
    <s v="21-40"/>
    <x v="0"/>
    <x v="1"/>
    <x v="1"/>
    <x v="2"/>
    <n v="1"/>
    <n v="1"/>
    <n v="3.6"/>
    <x v="17"/>
    <n v="6"/>
    <n v="7"/>
    <n v="912492"/>
    <n v="402162"/>
    <n v="510330"/>
    <n v="59"/>
    <n v="65"/>
    <n v="8.1"/>
  </r>
  <r>
    <x v="12"/>
    <x v="12"/>
    <d v="2024-06-12T00:00:00"/>
    <s v="NA"/>
    <n v="0"/>
    <n v="47"/>
    <s v="41-60"/>
    <x v="1"/>
    <x v="3"/>
    <x v="2"/>
    <x v="0"/>
    <n v="1"/>
    <n v="1"/>
    <n v="3.7"/>
    <x v="10"/>
    <n v="7"/>
    <n v="6"/>
    <n v="933327"/>
    <n v="342501"/>
    <n v="590826"/>
    <n v="78"/>
    <n v="66"/>
    <n v="7.6"/>
  </r>
  <r>
    <x v="12"/>
    <x v="12"/>
    <d v="2024-12-01T00:00:00"/>
    <s v="NA"/>
    <n v="0"/>
    <n v="49"/>
    <s v="41-60"/>
    <x v="0"/>
    <x v="4"/>
    <x v="3"/>
    <x v="4"/>
    <n v="1"/>
    <n v="1"/>
    <n v="3.6"/>
    <x v="23"/>
    <n v="7"/>
    <n v="5"/>
    <n v="805840"/>
    <n v="269607"/>
    <n v="536233"/>
    <n v="68"/>
    <n v="62"/>
    <n v="6.6"/>
  </r>
  <r>
    <x v="12"/>
    <x v="12"/>
    <d v="2022-10-06T00:00:00"/>
    <s v="NA"/>
    <n v="0"/>
    <n v="28"/>
    <s v="21-40"/>
    <x v="0"/>
    <x v="0"/>
    <x v="0"/>
    <x v="1"/>
    <n v="1"/>
    <n v="1"/>
    <n v="4.5"/>
    <x v="5"/>
    <n v="4"/>
    <n v="6"/>
    <n v="886168"/>
    <n v="323545"/>
    <n v="562623"/>
    <n v="50"/>
    <n v="61"/>
    <n v="9.1999999999999993"/>
  </r>
  <r>
    <x v="12"/>
    <x v="12"/>
    <d v="2023-03-07T00:00:00"/>
    <s v="NA"/>
    <n v="0"/>
    <n v="49"/>
    <s v="41-60"/>
    <x v="1"/>
    <x v="12"/>
    <x v="9"/>
    <x v="2"/>
    <n v="1"/>
    <n v="1"/>
    <n v="6.9"/>
    <x v="9"/>
    <n v="3"/>
    <n v="7"/>
    <n v="890818"/>
    <n v="366630"/>
    <n v="524188"/>
    <n v="75"/>
    <n v="59"/>
    <n v="6.5"/>
  </r>
  <r>
    <x v="12"/>
    <x v="12"/>
    <d v="2022-08-16T00:00:00"/>
    <s v="NA"/>
    <n v="0"/>
    <n v="90"/>
    <s v="81+"/>
    <x v="0"/>
    <x v="12"/>
    <x v="9"/>
    <x v="4"/>
    <n v="1"/>
    <n v="1"/>
    <n v="5.8"/>
    <x v="15"/>
    <n v="4"/>
    <n v="5"/>
    <n v="967515"/>
    <n v="463193"/>
    <n v="504322"/>
    <n v="51"/>
    <n v="54"/>
    <n v="5.3"/>
  </r>
  <r>
    <x v="12"/>
    <x v="12"/>
    <d v="2024-12-15T00:00:00"/>
    <s v="NA"/>
    <n v="0"/>
    <n v="78"/>
    <s v="61-80"/>
    <x v="1"/>
    <x v="4"/>
    <x v="3"/>
    <x v="4"/>
    <n v="1"/>
    <n v="1"/>
    <n v="5.8"/>
    <x v="23"/>
    <n v="4"/>
    <n v="6"/>
    <n v="817919"/>
    <n v="189586"/>
    <n v="628333"/>
    <n v="54"/>
    <n v="55"/>
    <n v="36.9"/>
  </r>
  <r>
    <x v="12"/>
    <x v="12"/>
    <d v="2022-01-05T00:00:00"/>
    <s v="NA"/>
    <n v="0"/>
    <n v="51"/>
    <s v="41-60"/>
    <x v="1"/>
    <x v="9"/>
    <x v="7"/>
    <x v="1"/>
    <n v="1"/>
    <n v="1"/>
    <n v="3.2"/>
    <x v="18"/>
    <n v="6"/>
    <n v="5"/>
    <n v="917896"/>
    <n v="335062"/>
    <n v="582834"/>
    <n v="60"/>
    <n v="61"/>
    <n v="12.8"/>
  </r>
  <r>
    <x v="12"/>
    <x v="12"/>
    <d v="2023-06-12T00:00:00"/>
    <s v="NA"/>
    <n v="0"/>
    <n v="71"/>
    <s v="61-80"/>
    <x v="1"/>
    <x v="7"/>
    <x v="5"/>
    <x v="1"/>
    <n v="1"/>
    <n v="1"/>
    <n v="2.7"/>
    <x v="11"/>
    <n v="7"/>
    <n v="3"/>
    <n v="817025"/>
    <n v="174368"/>
    <n v="642657"/>
    <n v="60"/>
    <n v="55"/>
    <n v="7.6"/>
  </r>
  <r>
    <x v="12"/>
    <x v="12"/>
    <d v="2023-02-20T00:00:00"/>
    <s v="NA"/>
    <n v="0"/>
    <n v="70"/>
    <s v="61-80"/>
    <x v="0"/>
    <x v="0"/>
    <x v="0"/>
    <x v="4"/>
    <n v="1"/>
    <n v="1"/>
    <n v="4.8"/>
    <x v="18"/>
    <n v="6"/>
    <n v="5"/>
    <n v="851361"/>
    <n v="233464"/>
    <n v="617897"/>
    <n v="60"/>
    <n v="65"/>
    <n v="14"/>
  </r>
  <r>
    <x v="12"/>
    <x v="12"/>
    <d v="2022-12-10T00:00:00"/>
    <s v="NA"/>
    <n v="0"/>
    <n v="61"/>
    <s v="61-80"/>
    <x v="1"/>
    <x v="3"/>
    <x v="2"/>
    <x v="0"/>
    <n v="1"/>
    <n v="1"/>
    <n v="6.1"/>
    <x v="24"/>
    <n v="5"/>
    <n v="5"/>
    <n v="881536"/>
    <n v="379368"/>
    <n v="502168"/>
    <n v="73"/>
    <n v="60"/>
    <n v="12.2"/>
  </r>
  <r>
    <x v="12"/>
    <x v="12"/>
    <d v="2024-06-19T00:00:00"/>
    <s v="NA"/>
    <n v="0"/>
    <n v="85"/>
    <s v="81+"/>
    <x v="1"/>
    <x v="9"/>
    <x v="7"/>
    <x v="3"/>
    <n v="1"/>
    <n v="1"/>
    <n v="6.2"/>
    <x v="15"/>
    <n v="3"/>
    <n v="5"/>
    <n v="948823"/>
    <n v="370866"/>
    <n v="577957"/>
    <n v="66"/>
    <n v="65"/>
    <n v="6.5"/>
  </r>
  <r>
    <x v="12"/>
    <x v="12"/>
    <d v="2023-10-03T00:00:00"/>
    <s v="NA"/>
    <n v="0"/>
    <n v="87"/>
    <s v="81+"/>
    <x v="0"/>
    <x v="14"/>
    <x v="11"/>
    <x v="2"/>
    <n v="1"/>
    <n v="1"/>
    <n v="1.8"/>
    <x v="15"/>
    <n v="3"/>
    <n v="4"/>
    <n v="884748"/>
    <n v="219625"/>
    <n v="665123"/>
    <n v="69"/>
    <n v="63"/>
    <n v="36.6"/>
  </r>
  <r>
    <x v="12"/>
    <x v="12"/>
    <d v="2022-04-06T00:00:00"/>
    <s v="NA"/>
    <n v="0"/>
    <n v="38"/>
    <s v="21-40"/>
    <x v="1"/>
    <x v="7"/>
    <x v="5"/>
    <x v="2"/>
    <n v="1"/>
    <n v="1"/>
    <n v="1.4"/>
    <x v="9"/>
    <n v="6"/>
    <n v="7"/>
    <n v="932566"/>
    <n v="378290"/>
    <n v="554276"/>
    <n v="74"/>
    <n v="57"/>
    <n v="12.1"/>
  </r>
  <r>
    <x v="12"/>
    <x v="12"/>
    <d v="2021-10-08T00:00:00"/>
    <s v="NA"/>
    <n v="0"/>
    <n v="40"/>
    <s v="21-40"/>
    <x v="0"/>
    <x v="13"/>
    <x v="10"/>
    <x v="0"/>
    <n v="1"/>
    <n v="1"/>
    <n v="6.6"/>
    <x v="25"/>
    <n v="6"/>
    <n v="6"/>
    <n v="846084"/>
    <n v="294174"/>
    <n v="551910"/>
    <n v="69"/>
    <n v="58"/>
    <n v="10.6"/>
  </r>
  <r>
    <x v="12"/>
    <x v="12"/>
    <d v="2023-05-28T00:00:00"/>
    <s v="NA"/>
    <n v="0"/>
    <n v="31"/>
    <s v="21-40"/>
    <x v="0"/>
    <x v="0"/>
    <x v="0"/>
    <x v="4"/>
    <n v="1"/>
    <n v="1"/>
    <n v="1"/>
    <x v="10"/>
    <n v="5"/>
    <n v="3"/>
    <n v="940559"/>
    <n v="394907"/>
    <n v="545652"/>
    <n v="70"/>
    <n v="63"/>
    <n v="13.9"/>
  </r>
  <r>
    <x v="12"/>
    <x v="12"/>
    <d v="2021-12-11T00:00:00"/>
    <s v="NA"/>
    <n v="0"/>
    <n v="31"/>
    <s v="21-40"/>
    <x v="1"/>
    <x v="4"/>
    <x v="3"/>
    <x v="1"/>
    <n v="1"/>
    <n v="1"/>
    <n v="4.8"/>
    <x v="25"/>
    <n v="4"/>
    <n v="7"/>
    <n v="883376"/>
    <n v="360676"/>
    <n v="522700"/>
    <n v="70"/>
    <n v="63"/>
    <n v="6.9"/>
  </r>
  <r>
    <x v="12"/>
    <x v="12"/>
    <d v="2024-07-30T00:00:00"/>
    <s v="NA"/>
    <n v="0"/>
    <n v="73"/>
    <s v="61-80"/>
    <x v="0"/>
    <x v="7"/>
    <x v="5"/>
    <x v="3"/>
    <n v="1"/>
    <n v="1"/>
    <n v="1.1000000000000001"/>
    <x v="6"/>
    <n v="4"/>
    <n v="7"/>
    <n v="908167"/>
    <n v="285419"/>
    <n v="622748"/>
    <n v="72"/>
    <n v="56"/>
    <n v="12"/>
  </r>
  <r>
    <x v="12"/>
    <x v="12"/>
    <d v="2022-07-11T00:00:00"/>
    <s v="NA"/>
    <n v="0"/>
    <n v="37"/>
    <s v="21-40"/>
    <x v="1"/>
    <x v="6"/>
    <x v="4"/>
    <x v="2"/>
    <n v="1"/>
    <n v="1"/>
    <n v="6.7"/>
    <x v="25"/>
    <n v="5"/>
    <n v="3"/>
    <n v="921642"/>
    <n v="360936"/>
    <n v="560706"/>
    <n v="64"/>
    <n v="65"/>
    <n v="13.4"/>
  </r>
  <r>
    <x v="12"/>
    <x v="12"/>
    <d v="2024-12-10T00:00:00"/>
    <s v="NA"/>
    <n v="0"/>
    <n v="50"/>
    <s v="41-60"/>
    <x v="1"/>
    <x v="3"/>
    <x v="2"/>
    <x v="0"/>
    <n v="1"/>
    <n v="1"/>
    <n v="6.4"/>
    <x v="10"/>
    <n v="6"/>
    <n v="6"/>
    <n v="983493"/>
    <n v="382437"/>
    <n v="601056"/>
    <n v="54"/>
    <n v="63"/>
    <n v="36.4"/>
  </r>
  <r>
    <x v="12"/>
    <x v="12"/>
    <d v="2023-10-22T00:00:00"/>
    <s v="NA"/>
    <n v="0"/>
    <n v="83"/>
    <s v="81+"/>
    <x v="1"/>
    <x v="1"/>
    <x v="1"/>
    <x v="0"/>
    <n v="1"/>
    <n v="1"/>
    <n v="6.2"/>
    <x v="3"/>
    <n v="4"/>
    <n v="6"/>
    <n v="975812"/>
    <n v="345770"/>
    <n v="630042"/>
    <n v="65"/>
    <n v="58"/>
    <n v="9.6"/>
  </r>
  <r>
    <x v="12"/>
    <x v="12"/>
    <d v="2024-08-01T00:00:00"/>
    <s v="NA"/>
    <n v="0"/>
    <n v="28"/>
    <s v="21-40"/>
    <x v="1"/>
    <x v="4"/>
    <x v="3"/>
    <x v="0"/>
    <n v="1"/>
    <n v="1"/>
    <n v="2.4"/>
    <x v="23"/>
    <n v="6"/>
    <n v="7"/>
    <n v="982137"/>
    <n v="418350"/>
    <n v="563787"/>
    <n v="50"/>
    <n v="57"/>
    <n v="7"/>
  </r>
  <r>
    <x v="12"/>
    <x v="12"/>
    <d v="2024-07-19T00:00:00"/>
    <s v="NA"/>
    <n v="0"/>
    <n v="55"/>
    <s v="41-60"/>
    <x v="1"/>
    <x v="13"/>
    <x v="10"/>
    <x v="2"/>
    <n v="1"/>
    <n v="1"/>
    <n v="6.7"/>
    <x v="16"/>
    <n v="5"/>
    <n v="4"/>
    <n v="818530"/>
    <n v="148255"/>
    <n v="670275"/>
    <n v="75"/>
    <n v="55"/>
    <n v="12.5"/>
  </r>
  <r>
    <x v="12"/>
    <x v="12"/>
    <d v="2024-06-21T00:00:00"/>
    <s v="NA"/>
    <n v="0"/>
    <n v="36"/>
    <s v="21-40"/>
    <x v="0"/>
    <x v="0"/>
    <x v="0"/>
    <x v="4"/>
    <n v="1"/>
    <n v="1"/>
    <n v="2.2000000000000002"/>
    <x v="23"/>
    <n v="7"/>
    <n v="6"/>
    <n v="842334"/>
    <n v="154869"/>
    <n v="687465"/>
    <n v="60"/>
    <n v="57"/>
    <n v="10"/>
  </r>
  <r>
    <x v="12"/>
    <x v="12"/>
    <d v="2024-01-26T00:00:00"/>
    <s v="NA"/>
    <n v="0"/>
    <n v="51"/>
    <s v="41-60"/>
    <x v="1"/>
    <x v="8"/>
    <x v="6"/>
    <x v="0"/>
    <n v="1"/>
    <n v="1"/>
    <n v="3"/>
    <x v="8"/>
    <n v="7"/>
    <n v="5"/>
    <n v="997050"/>
    <n v="447022"/>
    <n v="550028"/>
    <n v="78"/>
    <n v="64"/>
    <n v="10.9"/>
  </r>
  <r>
    <x v="12"/>
    <x v="12"/>
    <d v="2024-08-21T00:00:00"/>
    <s v="NA"/>
    <n v="0"/>
    <n v="75"/>
    <s v="61-80"/>
    <x v="0"/>
    <x v="6"/>
    <x v="4"/>
    <x v="3"/>
    <n v="1"/>
    <n v="1"/>
    <n v="2"/>
    <x v="29"/>
    <n v="5"/>
    <n v="7"/>
    <n v="944241"/>
    <n v="362262"/>
    <n v="581979"/>
    <n v="65"/>
    <n v="59"/>
    <n v="36.1"/>
  </r>
  <r>
    <x v="12"/>
    <x v="12"/>
    <d v="2023-09-09T00:00:00"/>
    <s v="NA"/>
    <n v="0"/>
    <n v="37"/>
    <s v="21-40"/>
    <x v="1"/>
    <x v="12"/>
    <x v="9"/>
    <x v="4"/>
    <n v="1"/>
    <n v="1"/>
    <n v="1.6"/>
    <x v="18"/>
    <n v="5"/>
    <n v="5"/>
    <n v="920891"/>
    <n v="293801"/>
    <n v="627090"/>
    <n v="60"/>
    <n v="64"/>
    <n v="10.9"/>
  </r>
  <r>
    <x v="12"/>
    <x v="12"/>
    <d v="2024-08-30T00:00:00"/>
    <s v="NA"/>
    <n v="0"/>
    <n v="32"/>
    <s v="21-40"/>
    <x v="1"/>
    <x v="10"/>
    <x v="8"/>
    <x v="0"/>
    <n v="1"/>
    <n v="1"/>
    <n v="1.6"/>
    <x v="8"/>
    <n v="7"/>
    <n v="7"/>
    <n v="824769"/>
    <n v="258395"/>
    <n v="566374"/>
    <n v="56"/>
    <n v="58"/>
    <n v="36.799999999999997"/>
  </r>
  <r>
    <x v="12"/>
    <x v="12"/>
    <d v="2021-08-04T00:00:00"/>
    <s v="NA"/>
    <n v="0"/>
    <n v="64"/>
    <s v="61-80"/>
    <x v="1"/>
    <x v="4"/>
    <x v="3"/>
    <x v="3"/>
    <n v="1"/>
    <n v="1"/>
    <n v="1.6"/>
    <x v="10"/>
    <n v="5"/>
    <n v="7"/>
    <n v="841821"/>
    <n v="186342"/>
    <n v="655479"/>
    <n v="56"/>
    <n v="60"/>
    <n v="13.5"/>
  </r>
  <r>
    <x v="12"/>
    <x v="12"/>
    <d v="2024-01-12T00:00:00"/>
    <s v="NA"/>
    <n v="0"/>
    <n v="38"/>
    <s v="21-40"/>
    <x v="0"/>
    <x v="13"/>
    <x v="10"/>
    <x v="2"/>
    <n v="1"/>
    <n v="1"/>
    <n v="4.2"/>
    <x v="16"/>
    <n v="5"/>
    <n v="3"/>
    <n v="801917"/>
    <n v="198940"/>
    <n v="602977"/>
    <n v="71"/>
    <n v="66"/>
    <n v="10"/>
  </r>
  <r>
    <x v="12"/>
    <x v="12"/>
    <d v="2022-03-27T00:00:00"/>
    <s v="NA"/>
    <n v="0"/>
    <n v="30"/>
    <s v="21-40"/>
    <x v="1"/>
    <x v="7"/>
    <x v="5"/>
    <x v="2"/>
    <n v="1"/>
    <n v="1"/>
    <n v="6.9"/>
    <x v="11"/>
    <n v="4"/>
    <n v="4"/>
    <n v="842697"/>
    <n v="269426"/>
    <n v="573271"/>
    <n v="74"/>
    <n v="66"/>
    <n v="14.7"/>
  </r>
  <r>
    <x v="12"/>
    <x v="12"/>
    <d v="2023-02-05T00:00:00"/>
    <s v="NA"/>
    <n v="0"/>
    <n v="73"/>
    <s v="61-80"/>
    <x v="1"/>
    <x v="8"/>
    <x v="6"/>
    <x v="0"/>
    <n v="1"/>
    <n v="1"/>
    <n v="4.4000000000000004"/>
    <x v="3"/>
    <n v="5"/>
    <n v="5"/>
    <n v="838939"/>
    <n v="141511"/>
    <n v="697428"/>
    <n v="79"/>
    <n v="65"/>
    <n v="12.3"/>
  </r>
  <r>
    <x v="12"/>
    <x v="12"/>
    <d v="2022-04-06T00:00:00"/>
    <s v="NA"/>
    <n v="0"/>
    <n v="53"/>
    <s v="41-60"/>
    <x v="1"/>
    <x v="3"/>
    <x v="2"/>
    <x v="2"/>
    <n v="1"/>
    <n v="1"/>
    <n v="1.3"/>
    <x v="16"/>
    <n v="4"/>
    <n v="5"/>
    <n v="833696"/>
    <n v="322826"/>
    <n v="510870"/>
    <n v="76"/>
    <n v="59"/>
    <n v="12.3"/>
  </r>
  <r>
    <x v="12"/>
    <x v="12"/>
    <d v="2024-04-02T00:00:00"/>
    <s v="NA"/>
    <n v="0"/>
    <n v="37"/>
    <s v="21-40"/>
    <x v="1"/>
    <x v="1"/>
    <x v="1"/>
    <x v="0"/>
    <n v="1"/>
    <n v="1"/>
    <n v="5.2"/>
    <x v="6"/>
    <n v="4"/>
    <n v="4"/>
    <n v="884850"/>
    <n v="204645"/>
    <n v="680205"/>
    <n v="80"/>
    <n v="62"/>
    <n v="7.8"/>
  </r>
  <r>
    <x v="12"/>
    <x v="12"/>
    <d v="2021-12-29T00:00:00"/>
    <s v="NA"/>
    <n v="0"/>
    <n v="59"/>
    <s v="41-60"/>
    <x v="1"/>
    <x v="8"/>
    <x v="6"/>
    <x v="4"/>
    <n v="1"/>
    <n v="1"/>
    <n v="6.6"/>
    <x v="25"/>
    <n v="4"/>
    <n v="4"/>
    <n v="809772"/>
    <n v="116422"/>
    <n v="693350"/>
    <n v="52"/>
    <n v="54"/>
    <n v="5.3"/>
  </r>
  <r>
    <x v="12"/>
    <x v="12"/>
    <d v="2024-11-20T00:00:00"/>
    <s v="NA"/>
    <n v="0"/>
    <n v="64"/>
    <s v="61-80"/>
    <x v="1"/>
    <x v="11"/>
    <x v="8"/>
    <x v="4"/>
    <n v="1"/>
    <n v="1"/>
    <n v="6"/>
    <x v="17"/>
    <n v="4"/>
    <n v="6"/>
    <n v="861365"/>
    <n v="356960"/>
    <n v="504405"/>
    <n v="66"/>
    <n v="57"/>
    <n v="36.799999999999997"/>
  </r>
  <r>
    <x v="12"/>
    <x v="12"/>
    <d v="2021-07-23T00:00:00"/>
    <s v="NA"/>
    <n v="0"/>
    <n v="87"/>
    <s v="81+"/>
    <x v="1"/>
    <x v="3"/>
    <x v="2"/>
    <x v="0"/>
    <n v="1"/>
    <n v="1"/>
    <n v="3.8"/>
    <x v="20"/>
    <n v="5"/>
    <n v="5"/>
    <n v="940148"/>
    <n v="397396"/>
    <n v="542752"/>
    <n v="55"/>
    <n v="59"/>
    <n v="8"/>
  </r>
  <r>
    <x v="12"/>
    <x v="12"/>
    <d v="2022-05-22T00:00:00"/>
    <s v="NA"/>
    <n v="0"/>
    <n v="58"/>
    <s v="41-60"/>
    <x v="0"/>
    <x v="2"/>
    <x v="1"/>
    <x v="4"/>
    <n v="1"/>
    <n v="1"/>
    <n v="2.7"/>
    <x v="25"/>
    <n v="4"/>
    <n v="4"/>
    <n v="970213"/>
    <n v="352346"/>
    <n v="617867"/>
    <n v="56"/>
    <n v="59"/>
    <n v="14.5"/>
  </r>
  <r>
    <x v="12"/>
    <x v="12"/>
    <d v="2022-05-10T00:00:00"/>
    <s v="NA"/>
    <n v="0"/>
    <n v="44"/>
    <s v="41-60"/>
    <x v="1"/>
    <x v="3"/>
    <x v="2"/>
    <x v="3"/>
    <n v="1"/>
    <n v="1"/>
    <n v="4.2"/>
    <x v="26"/>
    <n v="4"/>
    <n v="6"/>
    <n v="946524"/>
    <n v="271203"/>
    <n v="675321"/>
    <n v="69"/>
    <n v="57"/>
    <n v="8.6999999999999993"/>
  </r>
  <r>
    <x v="1"/>
    <x v="1"/>
    <d v="2022-03-20T00:00:00"/>
    <s v="NA"/>
    <n v="0"/>
    <n v="53"/>
    <s v="41-60"/>
    <x v="1"/>
    <x v="3"/>
    <x v="2"/>
    <x v="4"/>
    <n v="1"/>
    <n v="1"/>
    <n v="1.6"/>
    <x v="12"/>
    <n v="6"/>
    <n v="4"/>
    <n v="759703"/>
    <n v="394696"/>
    <n v="365007"/>
    <n v="50"/>
    <n v="55"/>
    <n v="8.1"/>
  </r>
  <r>
    <x v="12"/>
    <x v="12"/>
    <d v="2022-12-31T00:00:00"/>
    <s v="NA"/>
    <n v="0"/>
    <n v="27"/>
    <s v="21-40"/>
    <x v="0"/>
    <x v="4"/>
    <x v="3"/>
    <x v="4"/>
    <n v="1"/>
    <n v="1"/>
    <n v="5.6"/>
    <x v="27"/>
    <n v="7"/>
    <n v="3"/>
    <n v="918366"/>
    <n v="267481"/>
    <n v="650885"/>
    <n v="64"/>
    <n v="66"/>
    <n v="5.0999999999999996"/>
  </r>
  <r>
    <x v="1"/>
    <x v="1"/>
    <d v="2024-08-27T00:00:00"/>
    <s v="NA"/>
    <n v="0"/>
    <n v="30"/>
    <s v="21-40"/>
    <x v="1"/>
    <x v="3"/>
    <x v="2"/>
    <x v="4"/>
    <n v="1"/>
    <n v="1"/>
    <n v="1"/>
    <x v="8"/>
    <n v="4"/>
    <n v="5"/>
    <n v="730355"/>
    <n v="335761"/>
    <n v="394594"/>
    <n v="39"/>
    <n v="62"/>
    <n v="7.8"/>
  </r>
  <r>
    <x v="1"/>
    <x v="1"/>
    <d v="2023-06-05T00:00:00"/>
    <s v="NA"/>
    <n v="0"/>
    <n v="29"/>
    <s v="21-40"/>
    <x v="0"/>
    <x v="7"/>
    <x v="5"/>
    <x v="0"/>
    <n v="1"/>
    <n v="1"/>
    <n v="5.8"/>
    <x v="1"/>
    <n v="5"/>
    <n v="4"/>
    <n v="460297"/>
    <n v="106569"/>
    <n v="353728"/>
    <n v="43"/>
    <n v="54"/>
    <n v="12.3"/>
  </r>
  <r>
    <x v="1"/>
    <x v="1"/>
    <d v="2023-08-11T00:00:00"/>
    <s v="NA"/>
    <n v="0"/>
    <n v="49"/>
    <s v="41-60"/>
    <x v="0"/>
    <x v="12"/>
    <x v="9"/>
    <x v="3"/>
    <n v="1"/>
    <n v="1"/>
    <n v="3.3"/>
    <x v="23"/>
    <n v="6"/>
    <n v="5"/>
    <n v="573963"/>
    <n v="210636"/>
    <n v="363327"/>
    <n v="36"/>
    <n v="59"/>
    <n v="12.1"/>
  </r>
  <r>
    <x v="12"/>
    <x v="12"/>
    <d v="2024-07-27T00:00:00"/>
    <s v="NA"/>
    <n v="0"/>
    <n v="73"/>
    <s v="61-80"/>
    <x v="1"/>
    <x v="13"/>
    <x v="10"/>
    <x v="4"/>
    <n v="1"/>
    <n v="1"/>
    <n v="4"/>
    <x v="21"/>
    <n v="4"/>
    <n v="3"/>
    <n v="810732"/>
    <n v="210148"/>
    <n v="600584"/>
    <n v="77"/>
    <n v="54"/>
    <n v="8.8000000000000007"/>
  </r>
  <r>
    <x v="1"/>
    <x v="1"/>
    <d v="2021-12-14T00:00:00"/>
    <s v="NA"/>
    <n v="0"/>
    <n v="43"/>
    <s v="41-60"/>
    <x v="0"/>
    <x v="12"/>
    <x v="9"/>
    <x v="1"/>
    <n v="1"/>
    <n v="1"/>
    <n v="1.9"/>
    <x v="17"/>
    <n v="4"/>
    <n v="5"/>
    <n v="708504"/>
    <n v="336958"/>
    <n v="371546"/>
    <n v="48"/>
    <n v="60"/>
    <n v="5.7"/>
  </r>
  <r>
    <x v="1"/>
    <x v="1"/>
    <d v="2021-06-11T00:00:00"/>
    <s v="NA"/>
    <n v="0"/>
    <n v="78"/>
    <s v="61-80"/>
    <x v="1"/>
    <x v="2"/>
    <x v="1"/>
    <x v="2"/>
    <n v="1"/>
    <n v="1"/>
    <n v="4.3"/>
    <x v="17"/>
    <n v="4"/>
    <n v="4"/>
    <n v="556975"/>
    <n v="185358"/>
    <n v="371617"/>
    <n v="36"/>
    <n v="65"/>
    <n v="9.4"/>
  </r>
  <r>
    <x v="1"/>
    <x v="1"/>
    <d v="2021-05-19T00:00:00"/>
    <s v="NA"/>
    <n v="0"/>
    <n v="67"/>
    <s v="61-80"/>
    <x v="1"/>
    <x v="12"/>
    <x v="9"/>
    <x v="4"/>
    <n v="1"/>
    <n v="1"/>
    <n v="2.7"/>
    <x v="14"/>
    <n v="5"/>
    <n v="4"/>
    <n v="708960"/>
    <n v="318640"/>
    <n v="390320"/>
    <n v="50"/>
    <n v="61"/>
    <n v="36.799999999999997"/>
  </r>
  <r>
    <x v="1"/>
    <x v="1"/>
    <d v="2023-10-23T00:00:00"/>
    <s v="NA"/>
    <n v="0"/>
    <n v="83"/>
    <s v="81+"/>
    <x v="0"/>
    <x v="12"/>
    <x v="9"/>
    <x v="0"/>
    <n v="1"/>
    <n v="1"/>
    <n v="1.1000000000000001"/>
    <x v="5"/>
    <n v="4"/>
    <n v="7"/>
    <n v="743040"/>
    <n v="351275"/>
    <n v="391765"/>
    <n v="43"/>
    <n v="65"/>
    <n v="13.5"/>
  </r>
  <r>
    <x v="1"/>
    <x v="1"/>
    <d v="2021-01-17T00:00:00"/>
    <s v="NA"/>
    <n v="0"/>
    <n v="51"/>
    <s v="41-60"/>
    <x v="1"/>
    <x v="3"/>
    <x v="2"/>
    <x v="1"/>
    <n v="1"/>
    <n v="1"/>
    <n v="5.4"/>
    <x v="0"/>
    <n v="5"/>
    <n v="4"/>
    <n v="590810"/>
    <n v="182986"/>
    <n v="407824"/>
    <n v="39"/>
    <n v="61"/>
    <n v="9.5"/>
  </r>
  <r>
    <x v="1"/>
    <x v="1"/>
    <d v="2022-02-27T00:00:00"/>
    <s v="NA"/>
    <n v="0"/>
    <n v="50"/>
    <s v="41-60"/>
    <x v="0"/>
    <x v="12"/>
    <x v="9"/>
    <x v="2"/>
    <n v="1"/>
    <n v="1"/>
    <n v="5.2"/>
    <x v="11"/>
    <n v="3"/>
    <n v="4"/>
    <n v="648828"/>
    <n v="243890"/>
    <n v="404938"/>
    <n v="48"/>
    <n v="54"/>
    <n v="7.4"/>
  </r>
  <r>
    <x v="1"/>
    <x v="1"/>
    <d v="2022-04-13T00:00:00"/>
    <s v="NA"/>
    <n v="0"/>
    <n v="86"/>
    <s v="81+"/>
    <x v="0"/>
    <x v="2"/>
    <x v="1"/>
    <x v="2"/>
    <n v="1"/>
    <n v="1"/>
    <n v="1.7"/>
    <x v="2"/>
    <n v="3"/>
    <n v="5"/>
    <n v="514402"/>
    <n v="108735"/>
    <n v="405667"/>
    <n v="43"/>
    <n v="66"/>
    <n v="7.1"/>
  </r>
  <r>
    <x v="1"/>
    <x v="1"/>
    <d v="2021-11-05T00:00:00"/>
    <s v="NA"/>
    <n v="0"/>
    <n v="33"/>
    <s v="21-40"/>
    <x v="0"/>
    <x v="12"/>
    <x v="9"/>
    <x v="2"/>
    <n v="1"/>
    <n v="1"/>
    <n v="6.8"/>
    <x v="2"/>
    <n v="3"/>
    <n v="6"/>
    <n v="521506"/>
    <n v="139374"/>
    <n v="382132"/>
    <n v="42"/>
    <n v="55"/>
    <n v="14.6"/>
  </r>
  <r>
    <x v="1"/>
    <x v="1"/>
    <d v="2023-09-14T00:00:00"/>
    <s v="NA"/>
    <n v="0"/>
    <n v="31"/>
    <s v="21-40"/>
    <x v="1"/>
    <x v="12"/>
    <x v="9"/>
    <x v="4"/>
    <n v="1"/>
    <n v="1"/>
    <n v="5.2"/>
    <x v="0"/>
    <n v="4"/>
    <n v="7"/>
    <n v="634258"/>
    <n v="251263"/>
    <n v="382995"/>
    <n v="35"/>
    <n v="65"/>
    <n v="14"/>
  </r>
  <r>
    <x v="1"/>
    <x v="1"/>
    <d v="2021-09-03T00:00:00"/>
    <s v="NA"/>
    <n v="0"/>
    <n v="60"/>
    <s v="41-60"/>
    <x v="0"/>
    <x v="9"/>
    <x v="7"/>
    <x v="4"/>
    <n v="1"/>
    <n v="1"/>
    <n v="4.7"/>
    <x v="26"/>
    <n v="6"/>
    <n v="6"/>
    <n v="556305"/>
    <n v="190593"/>
    <n v="365712"/>
    <n v="43"/>
    <n v="58"/>
    <n v="8.1"/>
  </r>
  <r>
    <x v="1"/>
    <x v="1"/>
    <d v="2024-02-22T00:00:00"/>
    <s v="NA"/>
    <n v="0"/>
    <n v="86"/>
    <s v="81+"/>
    <x v="0"/>
    <x v="9"/>
    <x v="7"/>
    <x v="1"/>
    <n v="1"/>
    <n v="1"/>
    <n v="3"/>
    <x v="25"/>
    <n v="5"/>
    <n v="7"/>
    <n v="773065"/>
    <n v="385848"/>
    <n v="387217"/>
    <n v="46"/>
    <n v="56"/>
    <n v="7.9"/>
  </r>
  <r>
    <x v="1"/>
    <x v="1"/>
    <d v="2024-01-06T00:00:00"/>
    <s v="NA"/>
    <n v="0"/>
    <n v="39"/>
    <s v="21-40"/>
    <x v="1"/>
    <x v="2"/>
    <x v="1"/>
    <x v="0"/>
    <n v="1"/>
    <n v="1"/>
    <n v="6.9"/>
    <x v="24"/>
    <n v="5"/>
    <n v="6"/>
    <n v="699075"/>
    <n v="331740"/>
    <n v="367335"/>
    <n v="41"/>
    <n v="59"/>
    <n v="7.1"/>
  </r>
  <r>
    <x v="1"/>
    <x v="1"/>
    <d v="2021-05-30T00:00:00"/>
    <s v="NA"/>
    <n v="0"/>
    <n v="90"/>
    <s v="81+"/>
    <x v="1"/>
    <x v="6"/>
    <x v="4"/>
    <x v="1"/>
    <n v="1"/>
    <n v="1"/>
    <n v="2.2000000000000002"/>
    <x v="20"/>
    <n v="3"/>
    <n v="7"/>
    <n v="571201"/>
    <n v="183621"/>
    <n v="387580"/>
    <n v="35"/>
    <n v="60"/>
    <n v="6.6"/>
  </r>
  <r>
    <x v="1"/>
    <x v="1"/>
    <d v="2021-08-07T00:00:00"/>
    <s v="NA"/>
    <n v="0"/>
    <n v="75"/>
    <s v="61-80"/>
    <x v="0"/>
    <x v="6"/>
    <x v="4"/>
    <x v="1"/>
    <n v="1"/>
    <n v="1"/>
    <n v="1.3"/>
    <x v="30"/>
    <n v="6"/>
    <n v="7"/>
    <n v="602024"/>
    <n v="228737"/>
    <n v="373287"/>
    <n v="46"/>
    <n v="57"/>
    <n v="36.200000000000003"/>
  </r>
  <r>
    <x v="1"/>
    <x v="1"/>
    <d v="2024-12-17T00:00:00"/>
    <s v="NA"/>
    <n v="0"/>
    <n v="88"/>
    <s v="81+"/>
    <x v="1"/>
    <x v="6"/>
    <x v="4"/>
    <x v="3"/>
    <n v="1"/>
    <n v="1"/>
    <n v="5.9"/>
    <x v="24"/>
    <n v="5"/>
    <n v="5"/>
    <n v="651268"/>
    <n v="245534"/>
    <n v="405734"/>
    <n v="46"/>
    <n v="57"/>
    <n v="12.8"/>
  </r>
  <r>
    <x v="1"/>
    <x v="1"/>
    <d v="2024-04-10T00:00:00"/>
    <s v="NA"/>
    <n v="0"/>
    <n v="28"/>
    <s v="21-40"/>
    <x v="1"/>
    <x v="1"/>
    <x v="1"/>
    <x v="2"/>
    <n v="1"/>
    <n v="1"/>
    <n v="5.0999999999999996"/>
    <x v="3"/>
    <n v="7"/>
    <n v="7"/>
    <n v="466164"/>
    <n v="109056"/>
    <n v="357108"/>
    <n v="50"/>
    <n v="58"/>
    <n v="13.9"/>
  </r>
  <r>
    <x v="1"/>
    <x v="1"/>
    <d v="2024-11-07T00:00:00"/>
    <s v="NA"/>
    <n v="0"/>
    <n v="47"/>
    <s v="41-60"/>
    <x v="0"/>
    <x v="12"/>
    <x v="9"/>
    <x v="1"/>
    <n v="1"/>
    <n v="1"/>
    <n v="3.5"/>
    <x v="19"/>
    <n v="5"/>
    <n v="5"/>
    <n v="602431"/>
    <n v="219406"/>
    <n v="383025"/>
    <n v="44"/>
    <n v="64"/>
    <n v="13"/>
  </r>
  <r>
    <x v="1"/>
    <x v="1"/>
    <d v="2021-04-24T00:00:00"/>
    <s v="NA"/>
    <n v="0"/>
    <n v="35"/>
    <s v="21-40"/>
    <x v="0"/>
    <x v="9"/>
    <x v="7"/>
    <x v="0"/>
    <n v="1"/>
    <n v="1"/>
    <n v="6.9"/>
    <x v="10"/>
    <n v="4"/>
    <n v="4"/>
    <n v="543671"/>
    <n v="183062"/>
    <n v="360609"/>
    <n v="34"/>
    <n v="60"/>
    <n v="10.8"/>
  </r>
  <r>
    <x v="1"/>
    <x v="1"/>
    <d v="2023-01-05T00:00:00"/>
    <s v="NA"/>
    <n v="0"/>
    <n v="29"/>
    <s v="21-40"/>
    <x v="1"/>
    <x v="3"/>
    <x v="2"/>
    <x v="3"/>
    <n v="1"/>
    <n v="1"/>
    <n v="7"/>
    <x v="3"/>
    <n v="3"/>
    <n v="4"/>
    <n v="618183"/>
    <n v="221573"/>
    <n v="396610"/>
    <n v="45"/>
    <n v="61"/>
    <n v="13.9"/>
  </r>
  <r>
    <x v="1"/>
    <x v="1"/>
    <d v="2023-05-08T00:00:00"/>
    <s v="NA"/>
    <n v="0"/>
    <n v="43"/>
    <s v="41-60"/>
    <x v="0"/>
    <x v="0"/>
    <x v="0"/>
    <x v="1"/>
    <n v="1"/>
    <n v="1"/>
    <n v="3"/>
    <x v="15"/>
    <n v="7"/>
    <n v="7"/>
    <n v="514781"/>
    <n v="134654"/>
    <n v="380127"/>
    <n v="30"/>
    <n v="59"/>
    <n v="9.9"/>
  </r>
  <r>
    <x v="1"/>
    <x v="1"/>
    <d v="2024-06-21T00:00:00"/>
    <s v="NA"/>
    <n v="0"/>
    <n v="82"/>
    <s v="81+"/>
    <x v="0"/>
    <x v="1"/>
    <x v="1"/>
    <x v="4"/>
    <n v="1"/>
    <n v="1"/>
    <n v="6"/>
    <x v="15"/>
    <n v="6"/>
    <n v="5"/>
    <n v="531447"/>
    <n v="153087"/>
    <n v="378360"/>
    <n v="47"/>
    <n v="59"/>
    <n v="6"/>
  </r>
  <r>
    <x v="1"/>
    <x v="1"/>
    <d v="2021-11-14T00:00:00"/>
    <s v="NA"/>
    <n v="0"/>
    <n v="63"/>
    <s v="61-80"/>
    <x v="0"/>
    <x v="1"/>
    <x v="1"/>
    <x v="3"/>
    <n v="1"/>
    <n v="1"/>
    <n v="3"/>
    <x v="11"/>
    <n v="3"/>
    <n v="5"/>
    <n v="652341"/>
    <n v="280418"/>
    <n v="371923"/>
    <n v="42"/>
    <n v="66"/>
    <n v="15"/>
  </r>
  <r>
    <x v="1"/>
    <x v="1"/>
    <d v="2023-08-11T00:00:00"/>
    <s v="NA"/>
    <n v="0"/>
    <n v="59"/>
    <s v="41-60"/>
    <x v="0"/>
    <x v="1"/>
    <x v="1"/>
    <x v="3"/>
    <n v="1"/>
    <n v="1"/>
    <n v="2.7"/>
    <x v="16"/>
    <n v="6"/>
    <n v="4"/>
    <n v="797369"/>
    <n v="433320"/>
    <n v="364049"/>
    <n v="43"/>
    <n v="62"/>
    <n v="9.6999999999999993"/>
  </r>
  <r>
    <x v="1"/>
    <x v="1"/>
    <d v="2023-02-04T00:00:00"/>
    <s v="NA"/>
    <n v="0"/>
    <n v="24"/>
    <s v="21-40"/>
    <x v="1"/>
    <x v="1"/>
    <x v="1"/>
    <x v="0"/>
    <n v="1"/>
    <n v="1"/>
    <n v="6.4"/>
    <x v="5"/>
    <n v="6"/>
    <n v="6"/>
    <n v="446600"/>
    <n v="45640"/>
    <n v="400960"/>
    <n v="45"/>
    <n v="66"/>
    <n v="5.9"/>
  </r>
  <r>
    <x v="1"/>
    <x v="1"/>
    <d v="2023-05-20T00:00:00"/>
    <s v="NA"/>
    <n v="0"/>
    <n v="90"/>
    <s v="81+"/>
    <x v="0"/>
    <x v="6"/>
    <x v="4"/>
    <x v="2"/>
    <n v="1"/>
    <n v="1"/>
    <n v="1.2"/>
    <x v="25"/>
    <n v="6"/>
    <n v="3"/>
    <n v="733333"/>
    <n v="344306"/>
    <n v="389027"/>
    <n v="44"/>
    <n v="62"/>
    <n v="5.3"/>
  </r>
  <r>
    <x v="1"/>
    <x v="1"/>
    <d v="2024-05-13T00:00:00"/>
    <s v="NA"/>
    <n v="0"/>
    <n v="48"/>
    <s v="41-60"/>
    <x v="0"/>
    <x v="10"/>
    <x v="8"/>
    <x v="1"/>
    <n v="1"/>
    <n v="1"/>
    <n v="1.9"/>
    <x v="1"/>
    <n v="5"/>
    <n v="4"/>
    <n v="414061"/>
    <n v="60666"/>
    <n v="353395"/>
    <n v="32"/>
    <n v="58"/>
    <n v="5.3"/>
  </r>
  <r>
    <x v="1"/>
    <x v="1"/>
    <d v="2023-11-18T00:00:00"/>
    <s v="NA"/>
    <n v="0"/>
    <n v="80"/>
    <s v="61-80"/>
    <x v="1"/>
    <x v="4"/>
    <x v="3"/>
    <x v="1"/>
    <n v="1"/>
    <n v="1"/>
    <n v="5.8"/>
    <x v="10"/>
    <n v="7"/>
    <n v="7"/>
    <n v="603820"/>
    <n v="220871"/>
    <n v="382949"/>
    <n v="43"/>
    <n v="54"/>
    <n v="8.4"/>
  </r>
  <r>
    <x v="1"/>
    <x v="1"/>
    <d v="2021-02-10T00:00:00"/>
    <s v="NA"/>
    <n v="0"/>
    <n v="37"/>
    <s v="21-40"/>
    <x v="0"/>
    <x v="13"/>
    <x v="10"/>
    <x v="4"/>
    <n v="1"/>
    <n v="1"/>
    <n v="6.8"/>
    <x v="15"/>
    <n v="7"/>
    <n v="5"/>
    <n v="409797"/>
    <n v="31930"/>
    <n v="377867"/>
    <n v="34"/>
    <n v="57"/>
    <n v="8.9"/>
  </r>
  <r>
    <x v="1"/>
    <x v="1"/>
    <d v="2024-12-28T00:00:00"/>
    <s v="NA"/>
    <n v="0"/>
    <n v="37"/>
    <s v="21-40"/>
    <x v="0"/>
    <x v="12"/>
    <x v="9"/>
    <x v="4"/>
    <n v="1"/>
    <n v="1"/>
    <n v="2.7"/>
    <x v="14"/>
    <n v="3"/>
    <n v="7"/>
    <n v="432371"/>
    <n v="56751"/>
    <n v="375620"/>
    <n v="49"/>
    <n v="57"/>
    <n v="8"/>
  </r>
  <r>
    <x v="1"/>
    <x v="1"/>
    <d v="2022-04-21T00:00:00"/>
    <s v="NA"/>
    <n v="0"/>
    <n v="56"/>
    <s v="41-60"/>
    <x v="1"/>
    <x v="4"/>
    <x v="3"/>
    <x v="1"/>
    <n v="1"/>
    <n v="1"/>
    <n v="2.7"/>
    <x v="8"/>
    <n v="4"/>
    <n v="3"/>
    <n v="629163"/>
    <n v="275159"/>
    <n v="354004"/>
    <n v="37"/>
    <n v="60"/>
    <n v="9.3000000000000007"/>
  </r>
  <r>
    <x v="1"/>
    <x v="1"/>
    <d v="2021-06-24T00:00:00"/>
    <s v="NA"/>
    <n v="0"/>
    <n v="78"/>
    <s v="61-80"/>
    <x v="0"/>
    <x v="7"/>
    <x v="5"/>
    <x v="4"/>
    <n v="1"/>
    <n v="1"/>
    <n v="2.8"/>
    <x v="26"/>
    <n v="3"/>
    <n v="3"/>
    <n v="637141"/>
    <n v="274057"/>
    <n v="363084"/>
    <n v="43"/>
    <n v="56"/>
    <n v="14.2"/>
  </r>
  <r>
    <x v="1"/>
    <x v="1"/>
    <d v="2023-02-12T00:00:00"/>
    <s v="NA"/>
    <n v="0"/>
    <n v="39"/>
    <s v="21-40"/>
    <x v="1"/>
    <x v="8"/>
    <x v="6"/>
    <x v="0"/>
    <n v="1"/>
    <n v="1"/>
    <n v="3.7"/>
    <x v="9"/>
    <n v="5"/>
    <n v="5"/>
    <n v="781551"/>
    <n v="406429"/>
    <n v="375122"/>
    <n v="48"/>
    <n v="66"/>
    <n v="14.2"/>
  </r>
  <r>
    <x v="1"/>
    <x v="1"/>
    <d v="2021-06-30T00:00:00"/>
    <s v="NA"/>
    <n v="0"/>
    <n v="29"/>
    <s v="21-40"/>
    <x v="1"/>
    <x v="3"/>
    <x v="2"/>
    <x v="0"/>
    <n v="1"/>
    <n v="1"/>
    <n v="5.2"/>
    <x v="14"/>
    <n v="7"/>
    <n v="6"/>
    <n v="477923"/>
    <n v="99115"/>
    <n v="378808"/>
    <n v="40"/>
    <n v="59"/>
    <n v="5.4"/>
  </r>
  <r>
    <x v="1"/>
    <x v="1"/>
    <d v="2023-06-20T00:00:00"/>
    <s v="NA"/>
    <n v="0"/>
    <n v="64"/>
    <s v="61-80"/>
    <x v="1"/>
    <x v="2"/>
    <x v="1"/>
    <x v="1"/>
    <n v="1"/>
    <n v="1"/>
    <n v="4.5"/>
    <x v="21"/>
    <n v="6"/>
    <n v="4"/>
    <n v="436759"/>
    <n v="43349"/>
    <n v="393410"/>
    <n v="36"/>
    <n v="55"/>
    <n v="36.200000000000003"/>
  </r>
  <r>
    <x v="1"/>
    <x v="1"/>
    <d v="2022-08-11T00:00:00"/>
    <s v="NA"/>
    <n v="0"/>
    <n v="76"/>
    <s v="61-80"/>
    <x v="0"/>
    <x v="2"/>
    <x v="1"/>
    <x v="4"/>
    <n v="1"/>
    <n v="1"/>
    <n v="2.9"/>
    <x v="0"/>
    <n v="6"/>
    <n v="6"/>
    <n v="697396"/>
    <n v="309549"/>
    <n v="387847"/>
    <n v="30"/>
    <n v="58"/>
    <n v="6.7"/>
  </r>
  <r>
    <x v="1"/>
    <x v="1"/>
    <d v="2022-10-01T00:00:00"/>
    <s v="NA"/>
    <n v="0"/>
    <n v="80"/>
    <s v="61-80"/>
    <x v="0"/>
    <x v="0"/>
    <x v="0"/>
    <x v="1"/>
    <n v="1"/>
    <n v="1"/>
    <n v="4.3"/>
    <x v="16"/>
    <n v="7"/>
    <n v="7"/>
    <n v="534679"/>
    <n v="157633"/>
    <n v="377046"/>
    <n v="39"/>
    <n v="66"/>
    <n v="6.2"/>
  </r>
  <r>
    <x v="1"/>
    <x v="1"/>
    <d v="2021-08-30T00:00:00"/>
    <s v="NA"/>
    <n v="0"/>
    <n v="35"/>
    <s v="21-40"/>
    <x v="0"/>
    <x v="2"/>
    <x v="1"/>
    <x v="0"/>
    <n v="1"/>
    <n v="1"/>
    <n v="3"/>
    <x v="8"/>
    <n v="4"/>
    <n v="5"/>
    <n v="483634"/>
    <n v="115065"/>
    <n v="368569"/>
    <n v="35"/>
    <n v="61"/>
    <n v="13.8"/>
  </r>
  <r>
    <x v="1"/>
    <x v="1"/>
    <d v="2023-04-27T00:00:00"/>
    <s v="NA"/>
    <n v="0"/>
    <n v="28"/>
    <s v="21-40"/>
    <x v="0"/>
    <x v="5"/>
    <x v="0"/>
    <x v="3"/>
    <n v="1"/>
    <n v="1"/>
    <n v="1.4"/>
    <x v="8"/>
    <n v="6"/>
    <n v="4"/>
    <n v="536940"/>
    <n v="183411"/>
    <n v="353529"/>
    <n v="40"/>
    <n v="56"/>
    <n v="12"/>
  </r>
  <r>
    <x v="1"/>
    <x v="1"/>
    <d v="2021-12-15T00:00:00"/>
    <s v="NA"/>
    <n v="0"/>
    <n v="66"/>
    <s v="61-80"/>
    <x v="0"/>
    <x v="7"/>
    <x v="5"/>
    <x v="0"/>
    <n v="1"/>
    <n v="1"/>
    <n v="6.8"/>
    <x v="12"/>
    <n v="4"/>
    <n v="7"/>
    <n v="626684"/>
    <n v="255908"/>
    <n v="370776"/>
    <n v="33"/>
    <n v="60"/>
    <n v="7.5"/>
  </r>
  <r>
    <x v="1"/>
    <x v="1"/>
    <d v="2022-02-03T00:00:00"/>
    <s v="NA"/>
    <n v="0"/>
    <n v="44"/>
    <s v="41-60"/>
    <x v="0"/>
    <x v="9"/>
    <x v="7"/>
    <x v="4"/>
    <n v="1"/>
    <n v="1"/>
    <n v="6.8"/>
    <x v="24"/>
    <n v="5"/>
    <n v="7"/>
    <n v="565994"/>
    <n v="163948"/>
    <n v="402046"/>
    <n v="33"/>
    <n v="65"/>
    <n v="12.3"/>
  </r>
  <r>
    <x v="1"/>
    <x v="1"/>
    <d v="2022-09-09T00:00:00"/>
    <s v="NA"/>
    <n v="0"/>
    <n v="32"/>
    <s v="21-40"/>
    <x v="0"/>
    <x v="12"/>
    <x v="9"/>
    <x v="0"/>
    <n v="1"/>
    <n v="1"/>
    <n v="3.9"/>
    <x v="5"/>
    <n v="5"/>
    <n v="3"/>
    <n v="691778"/>
    <n v="327699"/>
    <n v="364079"/>
    <n v="47"/>
    <n v="57"/>
    <n v="10.7"/>
  </r>
  <r>
    <x v="1"/>
    <x v="1"/>
    <d v="2022-08-21T00:00:00"/>
    <s v="NA"/>
    <n v="0"/>
    <n v="49"/>
    <s v="41-60"/>
    <x v="0"/>
    <x v="13"/>
    <x v="10"/>
    <x v="1"/>
    <n v="1"/>
    <n v="1"/>
    <n v="4.7"/>
    <x v="30"/>
    <n v="3"/>
    <n v="4"/>
    <n v="658845"/>
    <n v="290247"/>
    <n v="368598"/>
    <n v="37"/>
    <n v="64"/>
    <n v="7.3"/>
  </r>
  <r>
    <x v="1"/>
    <x v="1"/>
    <d v="2022-03-20T00:00:00"/>
    <s v="NA"/>
    <n v="0"/>
    <n v="76"/>
    <s v="61-80"/>
    <x v="1"/>
    <x v="6"/>
    <x v="4"/>
    <x v="4"/>
    <n v="1"/>
    <n v="1"/>
    <n v="2.2000000000000002"/>
    <x v="18"/>
    <n v="3"/>
    <n v="6"/>
    <n v="533813"/>
    <n v="128556"/>
    <n v="405257"/>
    <n v="46"/>
    <n v="64"/>
    <n v="36.5"/>
  </r>
  <r>
    <x v="1"/>
    <x v="1"/>
    <d v="2024-06-30T00:00:00"/>
    <s v="NA"/>
    <n v="0"/>
    <n v="21"/>
    <s v="21-40"/>
    <x v="0"/>
    <x v="5"/>
    <x v="0"/>
    <x v="0"/>
    <n v="1"/>
    <n v="1"/>
    <n v="3.6"/>
    <x v="23"/>
    <n v="6"/>
    <n v="7"/>
    <n v="728730"/>
    <n v="338335"/>
    <n v="390395"/>
    <n v="33"/>
    <n v="56"/>
    <n v="9.4"/>
  </r>
  <r>
    <x v="1"/>
    <x v="1"/>
    <d v="2023-12-16T00:00:00"/>
    <s v="NA"/>
    <n v="0"/>
    <n v="90"/>
    <s v="81+"/>
    <x v="1"/>
    <x v="3"/>
    <x v="2"/>
    <x v="1"/>
    <n v="1"/>
    <n v="1"/>
    <n v="5.6"/>
    <x v="15"/>
    <n v="7"/>
    <n v="3"/>
    <n v="591924"/>
    <n v="225937"/>
    <n v="365987"/>
    <n v="40"/>
    <n v="60"/>
    <n v="8.8000000000000007"/>
  </r>
  <r>
    <x v="1"/>
    <x v="1"/>
    <d v="2021-07-25T00:00:00"/>
    <s v="NA"/>
    <n v="0"/>
    <n v="64"/>
    <s v="61-80"/>
    <x v="1"/>
    <x v="8"/>
    <x v="6"/>
    <x v="4"/>
    <n v="1"/>
    <n v="1"/>
    <n v="2.4"/>
    <x v="23"/>
    <n v="4"/>
    <n v="6"/>
    <n v="758724"/>
    <n v="378563"/>
    <n v="380161"/>
    <n v="47"/>
    <n v="62"/>
    <n v="36.200000000000003"/>
  </r>
  <r>
    <x v="1"/>
    <x v="1"/>
    <d v="2021-03-21T00:00:00"/>
    <s v="NA"/>
    <n v="0"/>
    <n v="27"/>
    <s v="21-40"/>
    <x v="0"/>
    <x v="4"/>
    <x v="3"/>
    <x v="0"/>
    <n v="1"/>
    <n v="1"/>
    <n v="2.9"/>
    <x v="13"/>
    <n v="3"/>
    <n v="6"/>
    <n v="729768"/>
    <n v="374632"/>
    <n v="355136"/>
    <n v="40"/>
    <n v="65"/>
    <n v="13.4"/>
  </r>
  <r>
    <x v="1"/>
    <x v="1"/>
    <d v="2023-08-14T00:00:00"/>
    <s v="NA"/>
    <n v="0"/>
    <n v="71"/>
    <s v="61-80"/>
    <x v="1"/>
    <x v="3"/>
    <x v="2"/>
    <x v="3"/>
    <n v="1"/>
    <n v="1"/>
    <n v="5.3"/>
    <x v="23"/>
    <n v="6"/>
    <n v="7"/>
    <n v="755323"/>
    <n v="366896"/>
    <n v="388427"/>
    <n v="46"/>
    <n v="59"/>
    <n v="9.1"/>
  </r>
  <r>
    <x v="1"/>
    <x v="1"/>
    <d v="2021-05-04T00:00:00"/>
    <s v="NA"/>
    <n v="0"/>
    <n v="74"/>
    <s v="61-80"/>
    <x v="1"/>
    <x v="10"/>
    <x v="8"/>
    <x v="1"/>
    <n v="1"/>
    <n v="1"/>
    <n v="6.1"/>
    <x v="3"/>
    <n v="6"/>
    <n v="6"/>
    <n v="703447"/>
    <n v="334081"/>
    <n v="369366"/>
    <n v="32"/>
    <n v="57"/>
    <n v="6.1"/>
  </r>
  <r>
    <x v="1"/>
    <x v="1"/>
    <d v="2024-08-03T00:00:00"/>
    <s v="NA"/>
    <n v="0"/>
    <n v="39"/>
    <s v="21-40"/>
    <x v="1"/>
    <x v="11"/>
    <x v="8"/>
    <x v="2"/>
    <n v="1"/>
    <n v="1"/>
    <n v="6.4"/>
    <x v="21"/>
    <n v="6"/>
    <n v="4"/>
    <n v="443793"/>
    <n v="79221"/>
    <n v="364572"/>
    <n v="34"/>
    <n v="58"/>
    <n v="6.3"/>
  </r>
  <r>
    <x v="1"/>
    <x v="1"/>
    <d v="2024-04-30T00:00:00"/>
    <s v="NA"/>
    <n v="0"/>
    <n v="31"/>
    <s v="21-40"/>
    <x v="1"/>
    <x v="3"/>
    <x v="2"/>
    <x v="0"/>
    <n v="1"/>
    <n v="1"/>
    <n v="3"/>
    <x v="28"/>
    <n v="6"/>
    <n v="3"/>
    <n v="472052"/>
    <n v="64915"/>
    <n v="407137"/>
    <n v="39"/>
    <n v="55"/>
    <n v="7.7"/>
  </r>
  <r>
    <x v="1"/>
    <x v="1"/>
    <d v="2024-07-07T00:00:00"/>
    <s v="NA"/>
    <n v="0"/>
    <n v="29"/>
    <s v="21-40"/>
    <x v="0"/>
    <x v="9"/>
    <x v="7"/>
    <x v="1"/>
    <n v="1"/>
    <n v="1"/>
    <n v="5.5"/>
    <x v="3"/>
    <n v="4"/>
    <n v="4"/>
    <n v="448591"/>
    <n v="79355"/>
    <n v="369236"/>
    <n v="49"/>
    <n v="57"/>
    <n v="5.9"/>
  </r>
  <r>
    <x v="1"/>
    <x v="1"/>
    <d v="2021-07-29T00:00:00"/>
    <s v="NA"/>
    <n v="0"/>
    <n v="37"/>
    <s v="21-40"/>
    <x v="0"/>
    <x v="10"/>
    <x v="8"/>
    <x v="4"/>
    <n v="1"/>
    <n v="1"/>
    <n v="1.4"/>
    <x v="11"/>
    <n v="3"/>
    <n v="3"/>
    <n v="776957"/>
    <n v="402437"/>
    <n v="374520"/>
    <n v="47"/>
    <n v="56"/>
    <n v="7.3"/>
  </r>
  <r>
    <x v="1"/>
    <x v="1"/>
    <d v="2022-08-04T00:00:00"/>
    <s v="NA"/>
    <n v="0"/>
    <n v="43"/>
    <s v="41-60"/>
    <x v="1"/>
    <x v="3"/>
    <x v="2"/>
    <x v="1"/>
    <n v="1"/>
    <n v="1"/>
    <n v="2.8"/>
    <x v="17"/>
    <n v="7"/>
    <n v="7"/>
    <n v="649252"/>
    <n v="272629"/>
    <n v="376623"/>
    <n v="38"/>
    <n v="63"/>
    <n v="36.700000000000003"/>
  </r>
  <r>
    <x v="1"/>
    <x v="1"/>
    <d v="2021-04-26T00:00:00"/>
    <s v="NA"/>
    <n v="0"/>
    <n v="67"/>
    <s v="61-80"/>
    <x v="0"/>
    <x v="5"/>
    <x v="0"/>
    <x v="4"/>
    <n v="1"/>
    <n v="1"/>
    <n v="4.5"/>
    <x v="12"/>
    <n v="6"/>
    <n v="7"/>
    <n v="730253"/>
    <n v="347754"/>
    <n v="382499"/>
    <n v="37"/>
    <n v="59"/>
    <n v="6.2"/>
  </r>
  <r>
    <x v="1"/>
    <x v="1"/>
    <d v="2023-08-31T00:00:00"/>
    <s v="NA"/>
    <n v="0"/>
    <n v="42"/>
    <s v="41-60"/>
    <x v="1"/>
    <x v="6"/>
    <x v="4"/>
    <x v="4"/>
    <n v="1"/>
    <n v="1"/>
    <n v="2.2000000000000002"/>
    <x v="10"/>
    <n v="3"/>
    <n v="6"/>
    <n v="468065"/>
    <n v="113095"/>
    <n v="354970"/>
    <n v="47"/>
    <n v="55"/>
    <n v="8.3000000000000007"/>
  </r>
  <r>
    <x v="1"/>
    <x v="1"/>
    <d v="2021-10-10T00:00:00"/>
    <s v="NA"/>
    <n v="0"/>
    <n v="49"/>
    <s v="41-60"/>
    <x v="0"/>
    <x v="14"/>
    <x v="11"/>
    <x v="0"/>
    <n v="1"/>
    <n v="1"/>
    <n v="2.6"/>
    <x v="20"/>
    <n v="3"/>
    <n v="4"/>
    <n v="718434"/>
    <n v="360726"/>
    <n v="357708"/>
    <n v="31"/>
    <n v="66"/>
    <n v="14.7"/>
  </r>
  <r>
    <x v="1"/>
    <x v="1"/>
    <d v="2023-12-05T00:00:00"/>
    <s v="NA"/>
    <n v="0"/>
    <n v="71"/>
    <s v="61-80"/>
    <x v="1"/>
    <x v="12"/>
    <x v="9"/>
    <x v="0"/>
    <n v="1"/>
    <n v="1"/>
    <n v="3.2"/>
    <x v="19"/>
    <n v="6"/>
    <n v="3"/>
    <n v="679226"/>
    <n v="320079"/>
    <n v="359147"/>
    <n v="46"/>
    <n v="66"/>
    <n v="7.6"/>
  </r>
  <r>
    <x v="1"/>
    <x v="1"/>
    <d v="2021-07-11T00:00:00"/>
    <s v="NA"/>
    <n v="0"/>
    <n v="33"/>
    <s v="21-40"/>
    <x v="0"/>
    <x v="7"/>
    <x v="5"/>
    <x v="1"/>
    <n v="1"/>
    <n v="1"/>
    <n v="2.8"/>
    <x v="15"/>
    <n v="6"/>
    <n v="7"/>
    <n v="760801"/>
    <n v="381843"/>
    <n v="378958"/>
    <n v="44"/>
    <n v="59"/>
    <n v="10"/>
  </r>
  <r>
    <x v="1"/>
    <x v="1"/>
    <d v="2023-03-13T00:00:00"/>
    <s v="NA"/>
    <n v="0"/>
    <n v="28"/>
    <s v="21-40"/>
    <x v="1"/>
    <x v="12"/>
    <x v="9"/>
    <x v="3"/>
    <n v="1"/>
    <n v="1"/>
    <n v="4.5999999999999996"/>
    <x v="0"/>
    <n v="6"/>
    <n v="4"/>
    <n v="716524"/>
    <n v="316983"/>
    <n v="399541"/>
    <n v="38"/>
    <n v="65"/>
    <n v="14.7"/>
  </r>
  <r>
    <x v="1"/>
    <x v="1"/>
    <d v="2022-02-25T00:00:00"/>
    <s v="NA"/>
    <n v="0"/>
    <n v="77"/>
    <s v="61-80"/>
    <x v="1"/>
    <x v="4"/>
    <x v="3"/>
    <x v="0"/>
    <n v="1"/>
    <n v="1"/>
    <n v="2"/>
    <x v="12"/>
    <n v="7"/>
    <n v="6"/>
    <n v="654791"/>
    <n v="253728"/>
    <n v="401063"/>
    <n v="36"/>
    <n v="63"/>
    <n v="6.8"/>
  </r>
  <r>
    <x v="1"/>
    <x v="1"/>
    <d v="2022-05-14T00:00:00"/>
    <s v="NA"/>
    <n v="0"/>
    <n v="37"/>
    <s v="21-40"/>
    <x v="1"/>
    <x v="6"/>
    <x v="4"/>
    <x v="2"/>
    <n v="1"/>
    <n v="1"/>
    <n v="4.8"/>
    <x v="25"/>
    <n v="7"/>
    <n v="5"/>
    <n v="619453"/>
    <n v="237727"/>
    <n v="381726"/>
    <n v="48"/>
    <n v="64"/>
    <n v="12.8"/>
  </r>
  <r>
    <x v="1"/>
    <x v="1"/>
    <d v="2022-08-20T00:00:00"/>
    <s v="NA"/>
    <n v="0"/>
    <n v="82"/>
    <s v="81+"/>
    <x v="1"/>
    <x v="4"/>
    <x v="3"/>
    <x v="3"/>
    <n v="1"/>
    <n v="1"/>
    <n v="2.1"/>
    <x v="30"/>
    <n v="3"/>
    <n v="7"/>
    <n v="460003"/>
    <n v="59286"/>
    <n v="400717"/>
    <n v="50"/>
    <n v="56"/>
    <n v="12.4"/>
  </r>
  <r>
    <x v="1"/>
    <x v="1"/>
    <d v="2023-01-08T00:00:00"/>
    <s v="NA"/>
    <n v="0"/>
    <n v="69"/>
    <s v="61-80"/>
    <x v="0"/>
    <x v="10"/>
    <x v="8"/>
    <x v="4"/>
    <n v="1"/>
    <n v="1"/>
    <n v="4.5"/>
    <x v="12"/>
    <n v="5"/>
    <n v="7"/>
    <n v="464579"/>
    <n v="75171"/>
    <n v="389408"/>
    <n v="46"/>
    <n v="66"/>
    <n v="7.1"/>
  </r>
  <r>
    <x v="1"/>
    <x v="1"/>
    <d v="2022-07-17T00:00:00"/>
    <s v="NA"/>
    <n v="0"/>
    <n v="63"/>
    <s v="61-80"/>
    <x v="0"/>
    <x v="0"/>
    <x v="0"/>
    <x v="2"/>
    <n v="1"/>
    <n v="1"/>
    <n v="2.6"/>
    <x v="1"/>
    <n v="5"/>
    <n v="5"/>
    <n v="419796"/>
    <n v="31848"/>
    <n v="387948"/>
    <n v="45"/>
    <n v="61"/>
    <n v="9.8000000000000007"/>
  </r>
  <r>
    <x v="1"/>
    <x v="1"/>
    <d v="2024-03-29T00:00:00"/>
    <s v="NA"/>
    <n v="0"/>
    <n v="65"/>
    <s v="61-80"/>
    <x v="1"/>
    <x v="6"/>
    <x v="4"/>
    <x v="1"/>
    <n v="1"/>
    <n v="1"/>
    <n v="4.7"/>
    <x v="3"/>
    <n v="3"/>
    <n v="3"/>
    <n v="464957"/>
    <n v="86274"/>
    <n v="378683"/>
    <n v="31"/>
    <n v="59"/>
    <n v="8.4"/>
  </r>
  <r>
    <x v="1"/>
    <x v="1"/>
    <d v="2022-09-16T00:00:00"/>
    <s v="NA"/>
    <n v="0"/>
    <n v="25"/>
    <s v="21-40"/>
    <x v="0"/>
    <x v="0"/>
    <x v="0"/>
    <x v="1"/>
    <n v="1"/>
    <n v="1"/>
    <n v="2.2000000000000002"/>
    <x v="11"/>
    <n v="7"/>
    <n v="3"/>
    <n v="780396"/>
    <n v="380036"/>
    <n v="400360"/>
    <n v="48"/>
    <n v="66"/>
    <n v="15"/>
  </r>
  <r>
    <x v="1"/>
    <x v="1"/>
    <d v="2021-03-18T00:00:00"/>
    <s v="NA"/>
    <n v="0"/>
    <n v="30"/>
    <s v="21-40"/>
    <x v="0"/>
    <x v="12"/>
    <x v="9"/>
    <x v="0"/>
    <n v="1"/>
    <n v="1"/>
    <n v="1.9"/>
    <x v="26"/>
    <n v="4"/>
    <n v="7"/>
    <n v="676875"/>
    <n v="307478"/>
    <n v="369397"/>
    <n v="47"/>
    <n v="54"/>
    <n v="8.6"/>
  </r>
  <r>
    <x v="1"/>
    <x v="1"/>
    <d v="2022-09-07T00:00:00"/>
    <s v="NA"/>
    <n v="0"/>
    <n v="47"/>
    <s v="41-60"/>
    <x v="1"/>
    <x v="2"/>
    <x v="1"/>
    <x v="0"/>
    <n v="1"/>
    <n v="1"/>
    <n v="5.9"/>
    <x v="19"/>
    <n v="4"/>
    <n v="6"/>
    <n v="649778"/>
    <n v="280361"/>
    <n v="369417"/>
    <n v="50"/>
    <n v="63"/>
    <n v="36.200000000000003"/>
  </r>
  <r>
    <x v="1"/>
    <x v="1"/>
    <d v="2021-07-02T00:00:00"/>
    <s v="NA"/>
    <n v="0"/>
    <n v="82"/>
    <s v="81+"/>
    <x v="1"/>
    <x v="3"/>
    <x v="2"/>
    <x v="2"/>
    <n v="1"/>
    <n v="1"/>
    <n v="5.2"/>
    <x v="1"/>
    <n v="6"/>
    <n v="6"/>
    <n v="741421"/>
    <n v="385385"/>
    <n v="356036"/>
    <n v="40"/>
    <n v="59"/>
    <n v="8.6999999999999993"/>
  </r>
  <r>
    <x v="1"/>
    <x v="1"/>
    <d v="2022-01-18T00:00:00"/>
    <s v="NA"/>
    <n v="0"/>
    <n v="68"/>
    <s v="61-80"/>
    <x v="0"/>
    <x v="5"/>
    <x v="0"/>
    <x v="1"/>
    <n v="1"/>
    <n v="1"/>
    <n v="4.3"/>
    <x v="9"/>
    <n v="5"/>
    <n v="3"/>
    <n v="539489"/>
    <n v="175551"/>
    <n v="363938"/>
    <n v="48"/>
    <n v="65"/>
    <n v="8.4"/>
  </r>
  <r>
    <x v="1"/>
    <x v="1"/>
    <d v="2021-06-15T00:00:00"/>
    <s v="NA"/>
    <n v="0"/>
    <n v="72"/>
    <s v="61-80"/>
    <x v="0"/>
    <x v="13"/>
    <x v="10"/>
    <x v="2"/>
    <n v="1"/>
    <n v="1"/>
    <n v="2.4"/>
    <x v="8"/>
    <n v="4"/>
    <n v="5"/>
    <n v="698647"/>
    <n v="324693"/>
    <n v="373954"/>
    <n v="32"/>
    <n v="66"/>
    <n v="5.9"/>
  </r>
  <r>
    <x v="1"/>
    <x v="1"/>
    <d v="2022-02-03T00:00:00"/>
    <s v="NA"/>
    <n v="0"/>
    <n v="35"/>
    <s v="21-40"/>
    <x v="0"/>
    <x v="14"/>
    <x v="11"/>
    <x v="1"/>
    <n v="1"/>
    <n v="1"/>
    <n v="2.7"/>
    <x v="0"/>
    <n v="7"/>
    <n v="6"/>
    <n v="663256"/>
    <n v="255163"/>
    <n v="408093"/>
    <n v="35"/>
    <n v="66"/>
    <n v="13.3"/>
  </r>
  <r>
    <x v="1"/>
    <x v="1"/>
    <d v="2023-05-25T00:00:00"/>
    <s v="NA"/>
    <n v="0"/>
    <n v="43"/>
    <s v="41-60"/>
    <x v="0"/>
    <x v="0"/>
    <x v="0"/>
    <x v="3"/>
    <n v="1"/>
    <n v="1"/>
    <n v="1.2"/>
    <x v="0"/>
    <n v="6"/>
    <n v="6"/>
    <n v="727702"/>
    <n v="341209"/>
    <n v="386493"/>
    <n v="30"/>
    <n v="61"/>
    <n v="8.1999999999999993"/>
  </r>
  <r>
    <x v="1"/>
    <x v="1"/>
    <d v="2024-06-07T00:00:00"/>
    <s v="NA"/>
    <n v="0"/>
    <n v="69"/>
    <s v="61-80"/>
    <x v="0"/>
    <x v="12"/>
    <x v="9"/>
    <x v="4"/>
    <n v="1"/>
    <n v="1"/>
    <n v="1.2"/>
    <x v="15"/>
    <n v="4"/>
    <n v="6"/>
    <n v="459920"/>
    <n v="65683"/>
    <n v="394237"/>
    <n v="35"/>
    <n v="63"/>
    <n v="8.3000000000000007"/>
  </r>
  <r>
    <x v="1"/>
    <x v="1"/>
    <d v="2023-09-06T00:00:00"/>
    <s v="NA"/>
    <n v="0"/>
    <n v="22"/>
    <s v="21-40"/>
    <x v="1"/>
    <x v="4"/>
    <x v="3"/>
    <x v="0"/>
    <n v="1"/>
    <n v="1"/>
    <n v="6.1"/>
    <x v="1"/>
    <n v="5"/>
    <n v="6"/>
    <n v="479407"/>
    <n v="79824"/>
    <n v="399583"/>
    <n v="46"/>
    <n v="64"/>
    <n v="7.8"/>
  </r>
  <r>
    <x v="1"/>
    <x v="1"/>
    <d v="2024-09-10T00:00:00"/>
    <s v="NA"/>
    <n v="0"/>
    <n v="40"/>
    <s v="21-40"/>
    <x v="0"/>
    <x v="0"/>
    <x v="0"/>
    <x v="3"/>
    <n v="1"/>
    <n v="1"/>
    <n v="2"/>
    <x v="3"/>
    <n v="6"/>
    <n v="4"/>
    <n v="784644"/>
    <n v="429081"/>
    <n v="355563"/>
    <n v="45"/>
    <n v="54"/>
    <n v="5.0999999999999996"/>
  </r>
  <r>
    <x v="1"/>
    <x v="1"/>
    <d v="2021-08-19T00:00:00"/>
    <s v="NA"/>
    <n v="0"/>
    <n v="37"/>
    <s v="21-40"/>
    <x v="1"/>
    <x v="6"/>
    <x v="4"/>
    <x v="2"/>
    <n v="1"/>
    <n v="1"/>
    <n v="2"/>
    <x v="12"/>
    <n v="7"/>
    <n v="7"/>
    <n v="539045"/>
    <n v="178579"/>
    <n v="360466"/>
    <n v="31"/>
    <n v="54"/>
    <n v="6.4"/>
  </r>
  <r>
    <x v="1"/>
    <x v="1"/>
    <d v="2022-05-02T00:00:00"/>
    <s v="NA"/>
    <n v="0"/>
    <n v="66"/>
    <s v="61-80"/>
    <x v="1"/>
    <x v="6"/>
    <x v="4"/>
    <x v="3"/>
    <n v="1"/>
    <n v="1"/>
    <n v="5.0999999999999996"/>
    <x v="11"/>
    <n v="5"/>
    <n v="5"/>
    <n v="617072"/>
    <n v="236727"/>
    <n v="380345"/>
    <n v="37"/>
    <n v="63"/>
    <n v="12.4"/>
  </r>
  <r>
    <x v="1"/>
    <x v="1"/>
    <d v="2022-03-04T00:00:00"/>
    <s v="NA"/>
    <n v="0"/>
    <n v="90"/>
    <s v="81+"/>
    <x v="0"/>
    <x v="4"/>
    <x v="3"/>
    <x v="4"/>
    <n v="1"/>
    <n v="1"/>
    <n v="4.0999999999999996"/>
    <x v="20"/>
    <n v="3"/>
    <n v="4"/>
    <n v="797033"/>
    <n v="428369"/>
    <n v="368664"/>
    <n v="31"/>
    <n v="60"/>
    <n v="5.9"/>
  </r>
  <r>
    <x v="1"/>
    <x v="1"/>
    <d v="2024-05-31T00:00:00"/>
    <s v="NA"/>
    <n v="0"/>
    <n v="28"/>
    <s v="21-40"/>
    <x v="1"/>
    <x v="3"/>
    <x v="2"/>
    <x v="2"/>
    <n v="1"/>
    <n v="1"/>
    <n v="2.2999999999999998"/>
    <x v="15"/>
    <n v="3"/>
    <n v="6"/>
    <n v="501944"/>
    <n v="144778"/>
    <n v="357166"/>
    <n v="45"/>
    <n v="60"/>
    <n v="6.8"/>
  </r>
  <r>
    <x v="1"/>
    <x v="1"/>
    <d v="2021-10-20T00:00:00"/>
    <s v="NA"/>
    <n v="0"/>
    <n v="72"/>
    <s v="61-80"/>
    <x v="0"/>
    <x v="4"/>
    <x v="3"/>
    <x v="4"/>
    <n v="1"/>
    <n v="1"/>
    <n v="3.9"/>
    <x v="3"/>
    <n v="4"/>
    <n v="7"/>
    <n v="451895"/>
    <n v="48225"/>
    <n v="403670"/>
    <n v="48"/>
    <n v="61"/>
    <n v="5.0999999999999996"/>
  </r>
  <r>
    <x v="1"/>
    <x v="1"/>
    <d v="2024-12-24T00:00:00"/>
    <s v="NA"/>
    <n v="0"/>
    <n v="34"/>
    <s v="21-40"/>
    <x v="1"/>
    <x v="6"/>
    <x v="4"/>
    <x v="4"/>
    <n v="1"/>
    <n v="1"/>
    <n v="2.8"/>
    <x v="24"/>
    <n v="5"/>
    <n v="6"/>
    <n v="549506"/>
    <n v="159452"/>
    <n v="390054"/>
    <n v="41"/>
    <n v="59"/>
    <n v="12.7"/>
  </r>
  <r>
    <x v="1"/>
    <x v="1"/>
    <d v="2021-01-22T00:00:00"/>
    <s v="NA"/>
    <n v="0"/>
    <n v="50"/>
    <s v="41-60"/>
    <x v="0"/>
    <x v="5"/>
    <x v="0"/>
    <x v="0"/>
    <n v="1"/>
    <n v="1"/>
    <n v="2.1"/>
    <x v="10"/>
    <n v="6"/>
    <n v="3"/>
    <n v="787938"/>
    <n v="395872"/>
    <n v="392066"/>
    <n v="37"/>
    <n v="56"/>
    <n v="5.9"/>
  </r>
  <r>
    <x v="1"/>
    <x v="1"/>
    <d v="2022-02-18T00:00:00"/>
    <s v="NA"/>
    <n v="0"/>
    <n v="86"/>
    <s v="81+"/>
    <x v="0"/>
    <x v="2"/>
    <x v="1"/>
    <x v="3"/>
    <n v="1"/>
    <n v="1"/>
    <n v="1.8"/>
    <x v="6"/>
    <n v="6"/>
    <n v="3"/>
    <n v="708068"/>
    <n v="302470"/>
    <n v="405598"/>
    <n v="40"/>
    <n v="56"/>
    <n v="14.1"/>
  </r>
  <r>
    <x v="1"/>
    <x v="1"/>
    <d v="2022-11-14T00:00:00"/>
    <s v="NA"/>
    <n v="0"/>
    <n v="25"/>
    <s v="21-40"/>
    <x v="1"/>
    <x v="10"/>
    <x v="8"/>
    <x v="0"/>
    <n v="1"/>
    <n v="1"/>
    <n v="3.9"/>
    <x v="25"/>
    <n v="4"/>
    <n v="5"/>
    <n v="630686"/>
    <n v="243617"/>
    <n v="387069"/>
    <n v="49"/>
    <n v="66"/>
    <n v="12.9"/>
  </r>
  <r>
    <x v="1"/>
    <x v="1"/>
    <d v="2021-01-06T00:00:00"/>
    <s v="NA"/>
    <n v="0"/>
    <n v="39"/>
    <s v="21-40"/>
    <x v="0"/>
    <x v="4"/>
    <x v="3"/>
    <x v="2"/>
    <n v="1"/>
    <n v="1"/>
    <n v="4.4000000000000004"/>
    <x v="10"/>
    <n v="3"/>
    <n v="7"/>
    <n v="645956"/>
    <n v="279707"/>
    <n v="366249"/>
    <n v="48"/>
    <n v="62"/>
    <n v="14.2"/>
  </r>
  <r>
    <x v="1"/>
    <x v="1"/>
    <d v="2024-10-06T00:00:00"/>
    <s v="NA"/>
    <n v="0"/>
    <n v="37"/>
    <s v="21-40"/>
    <x v="1"/>
    <x v="9"/>
    <x v="7"/>
    <x v="2"/>
    <n v="1"/>
    <n v="1"/>
    <n v="5.9"/>
    <x v="27"/>
    <n v="5"/>
    <n v="4"/>
    <n v="424274"/>
    <n v="49276"/>
    <n v="374998"/>
    <n v="40"/>
    <n v="56"/>
    <n v="36"/>
  </r>
  <r>
    <x v="1"/>
    <x v="1"/>
    <d v="2024-12-04T00:00:00"/>
    <s v="NA"/>
    <n v="0"/>
    <n v="50"/>
    <s v="41-60"/>
    <x v="0"/>
    <x v="2"/>
    <x v="1"/>
    <x v="1"/>
    <n v="1"/>
    <n v="1"/>
    <n v="6.7"/>
    <x v="17"/>
    <n v="7"/>
    <n v="6"/>
    <n v="776217"/>
    <n v="366832"/>
    <n v="409385"/>
    <n v="45"/>
    <n v="59"/>
    <n v="12.8"/>
  </r>
  <r>
    <x v="1"/>
    <x v="1"/>
    <d v="2023-08-23T00:00:00"/>
    <s v="NA"/>
    <n v="0"/>
    <n v="33"/>
    <s v="21-40"/>
    <x v="1"/>
    <x v="4"/>
    <x v="3"/>
    <x v="3"/>
    <n v="1"/>
    <n v="1"/>
    <n v="1.1000000000000001"/>
    <x v="1"/>
    <n v="5"/>
    <n v="4"/>
    <n v="412072"/>
    <n v="38642"/>
    <n v="373430"/>
    <n v="43"/>
    <n v="60"/>
    <n v="7.5"/>
  </r>
  <r>
    <x v="1"/>
    <x v="1"/>
    <d v="2023-08-19T00:00:00"/>
    <s v="NA"/>
    <n v="0"/>
    <n v="40"/>
    <s v="21-40"/>
    <x v="0"/>
    <x v="2"/>
    <x v="1"/>
    <x v="0"/>
    <n v="1"/>
    <n v="1"/>
    <n v="5.0999999999999996"/>
    <x v="20"/>
    <n v="3"/>
    <n v="3"/>
    <n v="710387"/>
    <n v="326028"/>
    <n v="384359"/>
    <n v="49"/>
    <n v="56"/>
    <n v="36.799999999999997"/>
  </r>
  <r>
    <x v="1"/>
    <x v="1"/>
    <d v="2023-04-20T00:00:00"/>
    <s v="NA"/>
    <n v="0"/>
    <n v="67"/>
    <s v="61-80"/>
    <x v="1"/>
    <x v="11"/>
    <x v="8"/>
    <x v="0"/>
    <n v="1"/>
    <n v="1"/>
    <n v="1.4"/>
    <x v="5"/>
    <n v="6"/>
    <n v="3"/>
    <n v="529799"/>
    <n v="162342"/>
    <n v="367457"/>
    <n v="40"/>
    <n v="60"/>
    <n v="6"/>
  </r>
  <r>
    <x v="1"/>
    <x v="1"/>
    <d v="2022-01-30T00:00:00"/>
    <s v="NA"/>
    <n v="0"/>
    <n v="33"/>
    <s v="21-40"/>
    <x v="1"/>
    <x v="2"/>
    <x v="1"/>
    <x v="0"/>
    <n v="1"/>
    <n v="1"/>
    <n v="6.4"/>
    <x v="16"/>
    <n v="3"/>
    <n v="3"/>
    <n v="455283"/>
    <n v="62756"/>
    <n v="392527"/>
    <n v="31"/>
    <n v="63"/>
    <n v="7.7"/>
  </r>
  <r>
    <x v="1"/>
    <x v="1"/>
    <d v="2022-10-09T00:00:00"/>
    <s v="NA"/>
    <n v="0"/>
    <n v="34"/>
    <s v="21-40"/>
    <x v="1"/>
    <x v="6"/>
    <x v="4"/>
    <x v="0"/>
    <n v="1"/>
    <n v="1"/>
    <n v="2.1"/>
    <x v="16"/>
    <n v="3"/>
    <n v="6"/>
    <n v="643191"/>
    <n v="238317"/>
    <n v="404874"/>
    <n v="34"/>
    <n v="60"/>
    <n v="8.3000000000000007"/>
  </r>
  <r>
    <x v="1"/>
    <x v="1"/>
    <d v="2021-03-29T00:00:00"/>
    <s v="NA"/>
    <n v="0"/>
    <n v="53"/>
    <s v="41-60"/>
    <x v="1"/>
    <x v="12"/>
    <x v="9"/>
    <x v="4"/>
    <n v="1"/>
    <n v="1"/>
    <n v="4.5999999999999996"/>
    <x v="16"/>
    <n v="4"/>
    <n v="4"/>
    <n v="450367"/>
    <n v="99527"/>
    <n v="350840"/>
    <n v="32"/>
    <n v="55"/>
    <n v="14.9"/>
  </r>
  <r>
    <x v="1"/>
    <x v="1"/>
    <d v="2024-11-28T00:00:00"/>
    <s v="NA"/>
    <n v="0"/>
    <n v="46"/>
    <s v="41-60"/>
    <x v="1"/>
    <x v="12"/>
    <x v="9"/>
    <x v="3"/>
    <n v="1"/>
    <n v="1"/>
    <n v="4.9000000000000004"/>
    <x v="6"/>
    <n v="7"/>
    <n v="5"/>
    <n v="683162"/>
    <n v="282683"/>
    <n v="400479"/>
    <n v="39"/>
    <n v="54"/>
    <n v="12.6"/>
  </r>
  <r>
    <x v="1"/>
    <x v="1"/>
    <d v="2023-03-16T00:00:00"/>
    <s v="NA"/>
    <n v="0"/>
    <n v="38"/>
    <s v="21-40"/>
    <x v="0"/>
    <x v="5"/>
    <x v="0"/>
    <x v="4"/>
    <n v="1"/>
    <n v="1"/>
    <n v="6.3"/>
    <x v="9"/>
    <n v="5"/>
    <n v="7"/>
    <n v="731636"/>
    <n v="346777"/>
    <n v="384859"/>
    <n v="40"/>
    <n v="62"/>
    <n v="36.799999999999997"/>
  </r>
  <r>
    <x v="1"/>
    <x v="1"/>
    <d v="2023-06-16T00:00:00"/>
    <s v="NA"/>
    <n v="0"/>
    <n v="27"/>
    <s v="21-40"/>
    <x v="0"/>
    <x v="7"/>
    <x v="5"/>
    <x v="2"/>
    <n v="1"/>
    <n v="1"/>
    <n v="2.5"/>
    <x v="25"/>
    <n v="7"/>
    <n v="3"/>
    <n v="626750"/>
    <n v="265371"/>
    <n v="361379"/>
    <n v="49"/>
    <n v="64"/>
    <n v="5.6"/>
  </r>
  <r>
    <x v="1"/>
    <x v="1"/>
    <d v="2022-03-07T00:00:00"/>
    <s v="NA"/>
    <n v="0"/>
    <n v="29"/>
    <s v="21-40"/>
    <x v="0"/>
    <x v="13"/>
    <x v="10"/>
    <x v="0"/>
    <n v="1"/>
    <n v="1"/>
    <n v="2.6"/>
    <x v="27"/>
    <n v="6"/>
    <n v="5"/>
    <n v="664231"/>
    <n v="254749"/>
    <n v="409482"/>
    <n v="50"/>
    <n v="57"/>
    <n v="13.1"/>
  </r>
  <r>
    <x v="1"/>
    <x v="1"/>
    <d v="2023-08-15T00:00:00"/>
    <s v="NA"/>
    <n v="0"/>
    <n v="29"/>
    <s v="21-40"/>
    <x v="0"/>
    <x v="5"/>
    <x v="0"/>
    <x v="2"/>
    <n v="1"/>
    <n v="1"/>
    <n v="2.2999999999999998"/>
    <x v="10"/>
    <n v="6"/>
    <n v="3"/>
    <n v="439813"/>
    <n v="74490"/>
    <n v="365323"/>
    <n v="36"/>
    <n v="54"/>
    <n v="6.4"/>
  </r>
  <r>
    <x v="1"/>
    <x v="1"/>
    <d v="2022-06-09T00:00:00"/>
    <s v="NA"/>
    <n v="0"/>
    <n v="25"/>
    <s v="21-40"/>
    <x v="1"/>
    <x v="10"/>
    <x v="8"/>
    <x v="4"/>
    <n v="1"/>
    <n v="1"/>
    <n v="4.5999999999999996"/>
    <x v="12"/>
    <n v="5"/>
    <n v="6"/>
    <n v="603814"/>
    <n v="235425"/>
    <n v="368389"/>
    <n v="44"/>
    <n v="58"/>
    <n v="9.4"/>
  </r>
  <r>
    <x v="1"/>
    <x v="1"/>
    <d v="2024-12-03T00:00:00"/>
    <s v="NA"/>
    <n v="0"/>
    <n v="25"/>
    <s v="21-40"/>
    <x v="0"/>
    <x v="0"/>
    <x v="0"/>
    <x v="2"/>
    <n v="1"/>
    <n v="1"/>
    <n v="2.5"/>
    <x v="0"/>
    <n v="7"/>
    <n v="4"/>
    <n v="641777"/>
    <n v="272973"/>
    <n v="368804"/>
    <n v="47"/>
    <n v="56"/>
    <n v="10.5"/>
  </r>
  <r>
    <x v="1"/>
    <x v="1"/>
    <d v="2022-10-15T00:00:00"/>
    <s v="NA"/>
    <n v="0"/>
    <n v="59"/>
    <s v="41-60"/>
    <x v="0"/>
    <x v="10"/>
    <x v="8"/>
    <x v="2"/>
    <n v="1"/>
    <n v="1"/>
    <n v="1.3"/>
    <x v="2"/>
    <n v="5"/>
    <n v="7"/>
    <n v="756134"/>
    <n v="405537"/>
    <n v="350597"/>
    <n v="41"/>
    <n v="54"/>
    <n v="15"/>
  </r>
  <r>
    <x v="1"/>
    <x v="1"/>
    <d v="2024-02-03T00:00:00"/>
    <s v="NA"/>
    <n v="0"/>
    <n v="60"/>
    <s v="41-60"/>
    <x v="0"/>
    <x v="2"/>
    <x v="1"/>
    <x v="1"/>
    <n v="1"/>
    <n v="1"/>
    <n v="5.4"/>
    <x v="10"/>
    <n v="7"/>
    <n v="6"/>
    <n v="488548"/>
    <n v="78985"/>
    <n v="409563"/>
    <n v="39"/>
    <n v="64"/>
    <n v="36.4"/>
  </r>
  <r>
    <x v="1"/>
    <x v="1"/>
    <d v="2022-06-07T00:00:00"/>
    <s v="NA"/>
    <n v="0"/>
    <n v="61"/>
    <s v="61-80"/>
    <x v="0"/>
    <x v="5"/>
    <x v="0"/>
    <x v="1"/>
    <n v="1"/>
    <n v="1"/>
    <n v="4.0999999999999996"/>
    <x v="10"/>
    <n v="5"/>
    <n v="7"/>
    <n v="452771"/>
    <n v="96181"/>
    <n v="356590"/>
    <n v="32"/>
    <n v="66"/>
    <n v="14.9"/>
  </r>
  <r>
    <x v="1"/>
    <x v="1"/>
    <d v="2021-01-10T00:00:00"/>
    <s v="NA"/>
    <n v="0"/>
    <n v="27"/>
    <s v="21-40"/>
    <x v="1"/>
    <x v="11"/>
    <x v="8"/>
    <x v="1"/>
    <n v="1"/>
    <n v="1"/>
    <n v="6.9"/>
    <x v="25"/>
    <n v="3"/>
    <n v="6"/>
    <n v="630056"/>
    <n v="263149"/>
    <n v="366907"/>
    <n v="31"/>
    <n v="58"/>
    <n v="14"/>
  </r>
  <r>
    <x v="1"/>
    <x v="1"/>
    <d v="2023-01-19T00:00:00"/>
    <s v="NA"/>
    <n v="0"/>
    <n v="48"/>
    <s v="41-60"/>
    <x v="0"/>
    <x v="9"/>
    <x v="7"/>
    <x v="4"/>
    <n v="1"/>
    <n v="1"/>
    <n v="3"/>
    <x v="0"/>
    <n v="5"/>
    <n v="4"/>
    <n v="750470"/>
    <n v="377191"/>
    <n v="373279"/>
    <n v="36"/>
    <n v="55"/>
    <n v="8.3000000000000007"/>
  </r>
  <r>
    <x v="1"/>
    <x v="1"/>
    <d v="2024-09-08T00:00:00"/>
    <s v="NA"/>
    <n v="0"/>
    <n v="41"/>
    <s v="41-60"/>
    <x v="1"/>
    <x v="10"/>
    <x v="8"/>
    <x v="3"/>
    <n v="1"/>
    <n v="1"/>
    <n v="3.1"/>
    <x v="18"/>
    <n v="4"/>
    <n v="5"/>
    <n v="662638"/>
    <n v="262675"/>
    <n v="399963"/>
    <n v="33"/>
    <n v="60"/>
    <n v="7.2"/>
  </r>
  <r>
    <x v="1"/>
    <x v="1"/>
    <d v="2022-02-12T00:00:00"/>
    <s v="NA"/>
    <n v="0"/>
    <n v="28"/>
    <s v="21-40"/>
    <x v="1"/>
    <x v="6"/>
    <x v="4"/>
    <x v="2"/>
    <n v="1"/>
    <n v="1"/>
    <n v="6.4"/>
    <x v="14"/>
    <n v="3"/>
    <n v="4"/>
    <n v="786263"/>
    <n v="410355"/>
    <n v="375908"/>
    <n v="31"/>
    <n v="65"/>
    <n v="12.4"/>
  </r>
  <r>
    <x v="1"/>
    <x v="1"/>
    <d v="2024-05-22T00:00:00"/>
    <s v="NA"/>
    <n v="0"/>
    <n v="40"/>
    <s v="21-40"/>
    <x v="0"/>
    <x v="0"/>
    <x v="0"/>
    <x v="3"/>
    <n v="1"/>
    <n v="1"/>
    <n v="3.2"/>
    <x v="8"/>
    <n v="7"/>
    <n v="7"/>
    <n v="734787"/>
    <n v="325926"/>
    <n v="408861"/>
    <n v="34"/>
    <n v="57"/>
    <n v="14.9"/>
  </r>
  <r>
    <x v="1"/>
    <x v="1"/>
    <d v="2023-07-25T00:00:00"/>
    <s v="NA"/>
    <n v="0"/>
    <n v="52"/>
    <s v="41-60"/>
    <x v="0"/>
    <x v="5"/>
    <x v="0"/>
    <x v="3"/>
    <n v="1"/>
    <n v="1"/>
    <n v="1.8"/>
    <x v="1"/>
    <n v="4"/>
    <n v="7"/>
    <n v="620397"/>
    <n v="267382"/>
    <n v="353015"/>
    <n v="30"/>
    <n v="63"/>
    <n v="7.9"/>
  </r>
  <r>
    <x v="1"/>
    <x v="1"/>
    <d v="2022-05-12T00:00:00"/>
    <s v="NA"/>
    <n v="0"/>
    <n v="78"/>
    <s v="61-80"/>
    <x v="0"/>
    <x v="9"/>
    <x v="7"/>
    <x v="1"/>
    <n v="1"/>
    <n v="1"/>
    <n v="3.5"/>
    <x v="10"/>
    <n v="6"/>
    <n v="3"/>
    <n v="602634"/>
    <n v="230632"/>
    <n v="372002"/>
    <n v="38"/>
    <n v="56"/>
    <n v="8.3000000000000007"/>
  </r>
  <r>
    <x v="1"/>
    <x v="1"/>
    <d v="2021-07-28T00:00:00"/>
    <s v="NA"/>
    <n v="0"/>
    <n v="37"/>
    <s v="21-40"/>
    <x v="0"/>
    <x v="12"/>
    <x v="9"/>
    <x v="3"/>
    <n v="1"/>
    <n v="1"/>
    <n v="3.7"/>
    <x v="15"/>
    <n v="7"/>
    <n v="7"/>
    <n v="402893"/>
    <n v="25572"/>
    <n v="377321"/>
    <n v="41"/>
    <n v="60"/>
    <n v="10.8"/>
  </r>
  <r>
    <x v="1"/>
    <x v="1"/>
    <d v="2024-02-27T00:00:00"/>
    <s v="NA"/>
    <n v="0"/>
    <n v="77"/>
    <s v="61-80"/>
    <x v="1"/>
    <x v="10"/>
    <x v="8"/>
    <x v="2"/>
    <n v="1"/>
    <n v="1"/>
    <n v="2.9"/>
    <x v="30"/>
    <n v="5"/>
    <n v="4"/>
    <n v="737271"/>
    <n v="329482"/>
    <n v="407789"/>
    <n v="49"/>
    <n v="58"/>
    <n v="8.8000000000000007"/>
  </r>
  <r>
    <x v="1"/>
    <x v="1"/>
    <d v="2022-03-31T00:00:00"/>
    <s v="NA"/>
    <n v="0"/>
    <n v="86"/>
    <s v="81+"/>
    <x v="0"/>
    <x v="9"/>
    <x v="7"/>
    <x v="2"/>
    <n v="1"/>
    <n v="1"/>
    <n v="2.6"/>
    <x v="1"/>
    <n v="6"/>
    <n v="5"/>
    <n v="785934"/>
    <n v="421811"/>
    <n v="364123"/>
    <n v="44"/>
    <n v="62"/>
    <n v="12.9"/>
  </r>
  <r>
    <x v="1"/>
    <x v="1"/>
    <d v="2024-02-19T00:00:00"/>
    <s v="NA"/>
    <n v="0"/>
    <n v="70"/>
    <s v="61-80"/>
    <x v="0"/>
    <x v="6"/>
    <x v="4"/>
    <x v="4"/>
    <n v="1"/>
    <n v="1"/>
    <n v="2"/>
    <x v="20"/>
    <n v="5"/>
    <n v="7"/>
    <n v="745172"/>
    <n v="337737"/>
    <n v="407435"/>
    <n v="45"/>
    <n v="65"/>
    <n v="5.5"/>
  </r>
  <r>
    <x v="1"/>
    <x v="1"/>
    <d v="2022-04-02T00:00:00"/>
    <s v="NA"/>
    <n v="0"/>
    <n v="62"/>
    <s v="61-80"/>
    <x v="0"/>
    <x v="9"/>
    <x v="7"/>
    <x v="3"/>
    <n v="1"/>
    <n v="1"/>
    <n v="4.7"/>
    <x v="20"/>
    <n v="6"/>
    <n v="6"/>
    <n v="551876"/>
    <n v="176187"/>
    <n v="375689"/>
    <n v="46"/>
    <n v="55"/>
    <n v="8"/>
  </r>
  <r>
    <x v="1"/>
    <x v="1"/>
    <d v="2021-01-02T00:00:00"/>
    <s v="NA"/>
    <n v="0"/>
    <n v="27"/>
    <s v="21-40"/>
    <x v="1"/>
    <x v="6"/>
    <x v="4"/>
    <x v="0"/>
    <n v="1"/>
    <n v="1"/>
    <n v="1.6"/>
    <x v="6"/>
    <n v="6"/>
    <n v="5"/>
    <n v="462737"/>
    <n v="94280"/>
    <n v="368457"/>
    <n v="50"/>
    <n v="62"/>
    <n v="7.8"/>
  </r>
  <r>
    <x v="1"/>
    <x v="1"/>
    <d v="2024-10-12T00:00:00"/>
    <s v="NA"/>
    <n v="0"/>
    <n v="35"/>
    <s v="21-40"/>
    <x v="1"/>
    <x v="12"/>
    <x v="9"/>
    <x v="4"/>
    <n v="1"/>
    <n v="1"/>
    <n v="1.6"/>
    <x v="4"/>
    <n v="7"/>
    <n v="4"/>
    <n v="705658"/>
    <n v="352330"/>
    <n v="353328"/>
    <n v="31"/>
    <n v="60"/>
    <n v="12.3"/>
  </r>
  <r>
    <x v="1"/>
    <x v="1"/>
    <d v="2022-05-13T00:00:00"/>
    <s v="NA"/>
    <n v="0"/>
    <n v="65"/>
    <s v="61-80"/>
    <x v="1"/>
    <x v="3"/>
    <x v="2"/>
    <x v="1"/>
    <n v="1"/>
    <n v="1"/>
    <n v="6.2"/>
    <x v="12"/>
    <n v="5"/>
    <n v="4"/>
    <n v="561803"/>
    <n v="188280"/>
    <n v="373523"/>
    <n v="33"/>
    <n v="62"/>
    <n v="8.4"/>
  </r>
  <r>
    <x v="1"/>
    <x v="1"/>
    <d v="2024-06-30T00:00:00"/>
    <s v="NA"/>
    <n v="0"/>
    <n v="66"/>
    <s v="61-80"/>
    <x v="0"/>
    <x v="12"/>
    <x v="9"/>
    <x v="4"/>
    <n v="1"/>
    <n v="1"/>
    <n v="5.2"/>
    <x v="26"/>
    <n v="5"/>
    <n v="5"/>
    <n v="644954"/>
    <n v="272248"/>
    <n v="372706"/>
    <n v="37"/>
    <n v="66"/>
    <n v="36.9"/>
  </r>
  <r>
    <x v="1"/>
    <x v="1"/>
    <d v="2024-08-22T00:00:00"/>
    <s v="NA"/>
    <n v="0"/>
    <n v="27"/>
    <s v="21-40"/>
    <x v="1"/>
    <x v="9"/>
    <x v="7"/>
    <x v="2"/>
    <n v="1"/>
    <n v="1"/>
    <n v="4.4000000000000004"/>
    <x v="29"/>
    <n v="7"/>
    <n v="7"/>
    <n v="500648"/>
    <n v="116997"/>
    <n v="383651"/>
    <n v="41"/>
    <n v="54"/>
    <n v="8.9"/>
  </r>
  <r>
    <x v="1"/>
    <x v="1"/>
    <d v="2023-09-18T00:00:00"/>
    <s v="NA"/>
    <n v="0"/>
    <n v="65"/>
    <s v="61-80"/>
    <x v="1"/>
    <x v="11"/>
    <x v="8"/>
    <x v="0"/>
    <n v="1"/>
    <n v="1"/>
    <n v="6"/>
    <x v="19"/>
    <n v="5"/>
    <n v="7"/>
    <n v="638285"/>
    <n v="259628"/>
    <n v="378657"/>
    <n v="38"/>
    <n v="62"/>
    <n v="5.8"/>
  </r>
  <r>
    <x v="1"/>
    <x v="1"/>
    <d v="2024-02-08T00:00:00"/>
    <s v="NA"/>
    <n v="0"/>
    <n v="68"/>
    <s v="61-80"/>
    <x v="0"/>
    <x v="7"/>
    <x v="5"/>
    <x v="4"/>
    <n v="1"/>
    <n v="1"/>
    <n v="6.6"/>
    <x v="9"/>
    <n v="4"/>
    <n v="4"/>
    <n v="764029"/>
    <n v="369926"/>
    <n v="394103"/>
    <n v="41"/>
    <n v="66"/>
    <n v="36.299999999999997"/>
  </r>
  <r>
    <x v="1"/>
    <x v="1"/>
    <d v="2022-10-27T00:00:00"/>
    <s v="NA"/>
    <n v="0"/>
    <n v="72"/>
    <s v="61-80"/>
    <x v="1"/>
    <x v="13"/>
    <x v="10"/>
    <x v="0"/>
    <n v="1"/>
    <n v="1"/>
    <n v="2"/>
    <x v="16"/>
    <n v="3"/>
    <n v="6"/>
    <n v="692289"/>
    <n v="325684"/>
    <n v="366605"/>
    <n v="35"/>
    <n v="55"/>
    <n v="14.2"/>
  </r>
  <r>
    <x v="1"/>
    <x v="1"/>
    <d v="2021-11-27T00:00:00"/>
    <s v="NA"/>
    <n v="0"/>
    <n v="76"/>
    <s v="61-80"/>
    <x v="0"/>
    <x v="9"/>
    <x v="7"/>
    <x v="1"/>
    <n v="1"/>
    <n v="1"/>
    <n v="4.3"/>
    <x v="19"/>
    <n v="3"/>
    <n v="6"/>
    <n v="621526"/>
    <n v="247885"/>
    <n v="373641"/>
    <n v="45"/>
    <n v="54"/>
    <n v="36.1"/>
  </r>
  <r>
    <x v="1"/>
    <x v="1"/>
    <d v="2023-01-29T00:00:00"/>
    <s v="NA"/>
    <n v="0"/>
    <n v="29"/>
    <s v="21-40"/>
    <x v="1"/>
    <x v="2"/>
    <x v="1"/>
    <x v="2"/>
    <n v="1"/>
    <n v="1"/>
    <n v="5.4"/>
    <x v="18"/>
    <n v="5"/>
    <n v="4"/>
    <n v="642303"/>
    <n v="261333"/>
    <n v="380970"/>
    <n v="44"/>
    <n v="66"/>
    <n v="36.1"/>
  </r>
  <r>
    <x v="1"/>
    <x v="1"/>
    <d v="2024-11-30T00:00:00"/>
    <s v="NA"/>
    <n v="0"/>
    <n v="26"/>
    <s v="21-40"/>
    <x v="0"/>
    <x v="12"/>
    <x v="9"/>
    <x v="3"/>
    <n v="1"/>
    <n v="1"/>
    <n v="6.4"/>
    <x v="9"/>
    <n v="6"/>
    <n v="5"/>
    <n v="750827"/>
    <n v="347371"/>
    <n v="403456"/>
    <n v="31"/>
    <n v="57"/>
    <n v="36.299999999999997"/>
  </r>
  <r>
    <x v="1"/>
    <x v="1"/>
    <d v="2023-02-03T00:00:00"/>
    <s v="NA"/>
    <n v="0"/>
    <n v="28"/>
    <s v="21-40"/>
    <x v="1"/>
    <x v="4"/>
    <x v="3"/>
    <x v="4"/>
    <n v="1"/>
    <n v="1"/>
    <n v="1.5"/>
    <x v="29"/>
    <n v="4"/>
    <n v="6"/>
    <n v="619965"/>
    <n v="265740"/>
    <n v="354225"/>
    <n v="31"/>
    <n v="57"/>
    <n v="14.9"/>
  </r>
  <r>
    <x v="1"/>
    <x v="1"/>
    <d v="2022-01-01T00:00:00"/>
    <s v="NA"/>
    <n v="0"/>
    <n v="76"/>
    <s v="61-80"/>
    <x v="0"/>
    <x v="1"/>
    <x v="1"/>
    <x v="3"/>
    <n v="1"/>
    <n v="1"/>
    <n v="3.5"/>
    <x v="19"/>
    <n v="4"/>
    <n v="4"/>
    <n v="542940"/>
    <n v="135970"/>
    <n v="406970"/>
    <n v="31"/>
    <n v="58"/>
    <n v="36.700000000000003"/>
  </r>
  <r>
    <x v="1"/>
    <x v="1"/>
    <d v="2023-01-03T00:00:00"/>
    <s v="NA"/>
    <n v="0"/>
    <n v="44"/>
    <s v="41-60"/>
    <x v="0"/>
    <x v="7"/>
    <x v="5"/>
    <x v="1"/>
    <n v="1"/>
    <n v="1"/>
    <n v="2.2000000000000002"/>
    <x v="16"/>
    <n v="7"/>
    <n v="3"/>
    <n v="687022"/>
    <n v="294015"/>
    <n v="393007"/>
    <n v="48"/>
    <n v="60"/>
    <n v="9.1"/>
  </r>
  <r>
    <x v="1"/>
    <x v="1"/>
    <d v="2021-03-26T00:00:00"/>
    <s v="NA"/>
    <n v="0"/>
    <n v="47"/>
    <s v="41-60"/>
    <x v="0"/>
    <x v="7"/>
    <x v="5"/>
    <x v="1"/>
    <n v="1"/>
    <n v="1"/>
    <n v="6.9"/>
    <x v="28"/>
    <n v="4"/>
    <n v="5"/>
    <n v="747412"/>
    <n v="357121"/>
    <n v="390291"/>
    <n v="44"/>
    <n v="57"/>
    <n v="8.1"/>
  </r>
  <r>
    <x v="1"/>
    <x v="1"/>
    <d v="2021-11-21T00:00:00"/>
    <s v="NA"/>
    <n v="0"/>
    <n v="23"/>
    <s v="21-40"/>
    <x v="0"/>
    <x v="12"/>
    <x v="9"/>
    <x v="4"/>
    <n v="1"/>
    <n v="1"/>
    <n v="4.5999999999999996"/>
    <x v="27"/>
    <n v="5"/>
    <n v="6"/>
    <n v="781810"/>
    <n v="430413"/>
    <n v="351397"/>
    <n v="31"/>
    <n v="58"/>
    <n v="36.700000000000003"/>
  </r>
  <r>
    <x v="1"/>
    <x v="1"/>
    <d v="2024-09-19T00:00:00"/>
    <s v="NA"/>
    <n v="0"/>
    <n v="87"/>
    <s v="81+"/>
    <x v="1"/>
    <x v="4"/>
    <x v="3"/>
    <x v="1"/>
    <n v="1"/>
    <n v="1"/>
    <n v="4.5999999999999996"/>
    <x v="16"/>
    <n v="3"/>
    <n v="4"/>
    <n v="640338"/>
    <n v="242311"/>
    <n v="398027"/>
    <n v="40"/>
    <n v="55"/>
    <n v="8"/>
  </r>
  <r>
    <x v="1"/>
    <x v="1"/>
    <d v="2022-04-07T00:00:00"/>
    <s v="NA"/>
    <n v="0"/>
    <n v="37"/>
    <s v="21-40"/>
    <x v="1"/>
    <x v="10"/>
    <x v="8"/>
    <x v="2"/>
    <n v="1"/>
    <n v="1"/>
    <n v="5.5"/>
    <x v="7"/>
    <n v="6"/>
    <n v="6"/>
    <n v="485982"/>
    <n v="76022"/>
    <n v="409960"/>
    <n v="41"/>
    <n v="62"/>
    <n v="13.3"/>
  </r>
  <r>
    <x v="1"/>
    <x v="1"/>
    <d v="2023-09-16T00:00:00"/>
    <s v="NA"/>
    <n v="0"/>
    <n v="40"/>
    <s v="21-40"/>
    <x v="1"/>
    <x v="6"/>
    <x v="4"/>
    <x v="3"/>
    <n v="1"/>
    <n v="1"/>
    <n v="3.8"/>
    <x v="25"/>
    <n v="6"/>
    <n v="7"/>
    <n v="561647"/>
    <n v="156067"/>
    <n v="405580"/>
    <n v="41"/>
    <n v="66"/>
    <n v="7.4"/>
  </r>
  <r>
    <x v="1"/>
    <x v="1"/>
    <d v="2023-07-09T00:00:00"/>
    <s v="NA"/>
    <n v="0"/>
    <n v="59"/>
    <s v="41-60"/>
    <x v="0"/>
    <x v="13"/>
    <x v="10"/>
    <x v="1"/>
    <n v="1"/>
    <n v="1"/>
    <n v="3.9"/>
    <x v="6"/>
    <n v="7"/>
    <n v="6"/>
    <n v="737536"/>
    <n v="347844"/>
    <n v="389692"/>
    <n v="42"/>
    <n v="59"/>
    <n v="10"/>
  </r>
  <r>
    <x v="1"/>
    <x v="1"/>
    <d v="2024-01-23T00:00:00"/>
    <s v="NA"/>
    <n v="0"/>
    <n v="59"/>
    <s v="41-60"/>
    <x v="0"/>
    <x v="12"/>
    <x v="9"/>
    <x v="3"/>
    <n v="1"/>
    <n v="1"/>
    <n v="2.5"/>
    <x v="28"/>
    <n v="4"/>
    <n v="6"/>
    <n v="531388"/>
    <n v="157958"/>
    <n v="373430"/>
    <n v="35"/>
    <n v="64"/>
    <n v="9"/>
  </r>
  <r>
    <x v="1"/>
    <x v="1"/>
    <d v="2023-09-06T00:00:00"/>
    <s v="NA"/>
    <n v="0"/>
    <n v="28"/>
    <s v="21-40"/>
    <x v="0"/>
    <x v="10"/>
    <x v="8"/>
    <x v="3"/>
    <n v="1"/>
    <n v="1"/>
    <n v="5.0999999999999996"/>
    <x v="26"/>
    <n v="6"/>
    <n v="6"/>
    <n v="617552"/>
    <n v="266182"/>
    <n v="351370"/>
    <n v="37"/>
    <n v="58"/>
    <n v="13.9"/>
  </r>
  <r>
    <x v="1"/>
    <x v="1"/>
    <d v="2021-07-08T00:00:00"/>
    <s v="NA"/>
    <n v="0"/>
    <n v="46"/>
    <s v="41-60"/>
    <x v="1"/>
    <x v="2"/>
    <x v="1"/>
    <x v="4"/>
    <n v="1"/>
    <n v="1"/>
    <n v="5.7"/>
    <x v="26"/>
    <n v="6"/>
    <n v="5"/>
    <n v="471394"/>
    <n v="117877"/>
    <n v="353517"/>
    <n v="49"/>
    <n v="57"/>
    <n v="10.8"/>
  </r>
  <r>
    <x v="1"/>
    <x v="1"/>
    <d v="2021-11-22T00:00:00"/>
    <s v="NA"/>
    <n v="0"/>
    <n v="85"/>
    <s v="81+"/>
    <x v="1"/>
    <x v="10"/>
    <x v="8"/>
    <x v="0"/>
    <n v="1"/>
    <n v="1"/>
    <n v="5.3"/>
    <x v="8"/>
    <n v="5"/>
    <n v="5"/>
    <n v="746042"/>
    <n v="336576"/>
    <n v="409466"/>
    <n v="41"/>
    <n v="56"/>
    <n v="12.2"/>
  </r>
  <r>
    <x v="1"/>
    <x v="1"/>
    <d v="2023-10-01T00:00:00"/>
    <s v="NA"/>
    <n v="0"/>
    <n v="64"/>
    <s v="61-80"/>
    <x v="1"/>
    <x v="8"/>
    <x v="6"/>
    <x v="0"/>
    <n v="1"/>
    <n v="1"/>
    <n v="5.9"/>
    <x v="10"/>
    <n v="3"/>
    <n v="6"/>
    <n v="689580"/>
    <n v="306063"/>
    <n v="383517"/>
    <n v="36"/>
    <n v="60"/>
    <n v="5.4"/>
  </r>
  <r>
    <x v="1"/>
    <x v="1"/>
    <d v="2021-10-27T00:00:00"/>
    <s v="NA"/>
    <n v="0"/>
    <n v="39"/>
    <s v="21-40"/>
    <x v="0"/>
    <x v="12"/>
    <x v="9"/>
    <x v="2"/>
    <n v="1"/>
    <n v="1"/>
    <n v="4.7"/>
    <x v="11"/>
    <n v="5"/>
    <n v="5"/>
    <n v="574176"/>
    <n v="207882"/>
    <n v="366294"/>
    <n v="39"/>
    <n v="60"/>
    <n v="10.199999999999999"/>
  </r>
  <r>
    <x v="1"/>
    <x v="1"/>
    <d v="2022-01-24T00:00:00"/>
    <s v="NA"/>
    <n v="0"/>
    <n v="41"/>
    <s v="41-60"/>
    <x v="1"/>
    <x v="2"/>
    <x v="1"/>
    <x v="2"/>
    <n v="1"/>
    <n v="1"/>
    <n v="1"/>
    <x v="19"/>
    <n v="7"/>
    <n v="7"/>
    <n v="645138"/>
    <n v="247988"/>
    <n v="397150"/>
    <n v="31"/>
    <n v="56"/>
    <n v="12.2"/>
  </r>
  <r>
    <x v="1"/>
    <x v="1"/>
    <d v="2023-07-26T00:00:00"/>
    <s v="NA"/>
    <n v="0"/>
    <n v="69"/>
    <s v="61-80"/>
    <x v="1"/>
    <x v="3"/>
    <x v="2"/>
    <x v="4"/>
    <n v="1"/>
    <n v="1"/>
    <n v="5.6"/>
    <x v="26"/>
    <n v="7"/>
    <n v="7"/>
    <n v="614506"/>
    <n v="241288"/>
    <n v="373218"/>
    <n v="43"/>
    <n v="64"/>
    <n v="9.5"/>
  </r>
  <r>
    <x v="1"/>
    <x v="1"/>
    <d v="2024-01-06T00:00:00"/>
    <s v="NA"/>
    <n v="0"/>
    <n v="24"/>
    <s v="21-40"/>
    <x v="1"/>
    <x v="6"/>
    <x v="4"/>
    <x v="0"/>
    <n v="1"/>
    <n v="1"/>
    <n v="2.4"/>
    <x v="8"/>
    <n v="5"/>
    <n v="5"/>
    <n v="480044"/>
    <n v="113007"/>
    <n v="367037"/>
    <n v="49"/>
    <n v="65"/>
    <n v="13.7"/>
  </r>
  <r>
    <x v="1"/>
    <x v="1"/>
    <d v="2023-12-16T00:00:00"/>
    <s v="NA"/>
    <n v="0"/>
    <n v="25"/>
    <s v="21-40"/>
    <x v="0"/>
    <x v="12"/>
    <x v="9"/>
    <x v="4"/>
    <n v="1"/>
    <n v="1"/>
    <n v="4.2"/>
    <x v="23"/>
    <n v="4"/>
    <n v="7"/>
    <n v="682381"/>
    <n v="323773"/>
    <n v="358608"/>
    <n v="32"/>
    <n v="56"/>
    <n v="13.8"/>
  </r>
  <r>
    <x v="1"/>
    <x v="1"/>
    <d v="2021-04-10T00:00:00"/>
    <s v="NA"/>
    <n v="0"/>
    <n v="56"/>
    <s v="41-60"/>
    <x v="0"/>
    <x v="14"/>
    <x v="11"/>
    <x v="4"/>
    <n v="1"/>
    <n v="1"/>
    <n v="5.5"/>
    <x v="8"/>
    <n v="5"/>
    <n v="7"/>
    <n v="496580"/>
    <n v="114357"/>
    <n v="382223"/>
    <n v="34"/>
    <n v="59"/>
    <n v="12.2"/>
  </r>
  <r>
    <x v="1"/>
    <x v="1"/>
    <d v="2023-05-14T00:00:00"/>
    <s v="NA"/>
    <n v="0"/>
    <n v="40"/>
    <s v="21-40"/>
    <x v="0"/>
    <x v="12"/>
    <x v="9"/>
    <x v="3"/>
    <n v="1"/>
    <n v="1"/>
    <n v="6.7"/>
    <x v="10"/>
    <n v="5"/>
    <n v="6"/>
    <n v="569928"/>
    <n v="180614"/>
    <n v="389314"/>
    <n v="44"/>
    <n v="56"/>
    <n v="13.4"/>
  </r>
  <r>
    <x v="1"/>
    <x v="1"/>
    <d v="2021-02-14T00:00:00"/>
    <s v="NA"/>
    <n v="0"/>
    <n v="58"/>
    <s v="41-60"/>
    <x v="1"/>
    <x v="10"/>
    <x v="8"/>
    <x v="2"/>
    <n v="1"/>
    <n v="1"/>
    <n v="5.8"/>
    <x v="15"/>
    <n v="4"/>
    <n v="6"/>
    <n v="437164"/>
    <n v="54725"/>
    <n v="382439"/>
    <n v="44"/>
    <n v="66"/>
    <n v="9.6"/>
  </r>
  <r>
    <x v="1"/>
    <x v="1"/>
    <d v="2021-05-28T00:00:00"/>
    <s v="NA"/>
    <n v="0"/>
    <n v="22"/>
    <s v="21-40"/>
    <x v="1"/>
    <x v="2"/>
    <x v="1"/>
    <x v="0"/>
    <n v="1"/>
    <n v="1"/>
    <n v="4.9000000000000004"/>
    <x v="0"/>
    <n v="6"/>
    <n v="4"/>
    <n v="495404"/>
    <n v="118164"/>
    <n v="377240"/>
    <n v="47"/>
    <n v="56"/>
    <n v="8.5"/>
  </r>
  <r>
    <x v="1"/>
    <x v="1"/>
    <d v="2023-04-25T00:00:00"/>
    <s v="NA"/>
    <n v="0"/>
    <n v="34"/>
    <s v="21-40"/>
    <x v="1"/>
    <x v="12"/>
    <x v="9"/>
    <x v="3"/>
    <n v="1"/>
    <n v="1"/>
    <n v="3.2"/>
    <x v="6"/>
    <n v="6"/>
    <n v="5"/>
    <n v="400724"/>
    <n v="-7595"/>
    <n v="408319"/>
    <n v="47"/>
    <n v="56"/>
    <n v="5.3"/>
  </r>
  <r>
    <x v="1"/>
    <x v="1"/>
    <d v="2023-12-25T00:00:00"/>
    <s v="NA"/>
    <n v="0"/>
    <n v="72"/>
    <s v="61-80"/>
    <x v="1"/>
    <x v="9"/>
    <x v="7"/>
    <x v="0"/>
    <n v="1"/>
    <n v="1"/>
    <n v="2.6"/>
    <x v="17"/>
    <n v="7"/>
    <n v="6"/>
    <n v="616892"/>
    <n v="241868"/>
    <n v="375024"/>
    <n v="33"/>
    <n v="64"/>
    <n v="5.0999999999999996"/>
  </r>
  <r>
    <x v="1"/>
    <x v="1"/>
    <d v="2022-01-02T00:00:00"/>
    <s v="NA"/>
    <n v="0"/>
    <n v="70"/>
    <s v="61-80"/>
    <x v="1"/>
    <x v="3"/>
    <x v="2"/>
    <x v="0"/>
    <n v="1"/>
    <n v="1"/>
    <n v="6.9"/>
    <x v="24"/>
    <n v="5"/>
    <n v="6"/>
    <n v="510319"/>
    <n v="144132"/>
    <n v="366187"/>
    <n v="47"/>
    <n v="66"/>
    <n v="10.1"/>
  </r>
  <r>
    <x v="1"/>
    <x v="1"/>
    <d v="2023-12-28T00:00:00"/>
    <s v="NA"/>
    <n v="0"/>
    <n v="49"/>
    <s v="41-60"/>
    <x v="0"/>
    <x v="7"/>
    <x v="5"/>
    <x v="1"/>
    <n v="1"/>
    <n v="1"/>
    <n v="6"/>
    <x v="2"/>
    <n v="7"/>
    <n v="3"/>
    <n v="446318"/>
    <n v="69828"/>
    <n v="376490"/>
    <n v="40"/>
    <n v="54"/>
    <n v="8.6999999999999993"/>
  </r>
  <r>
    <x v="1"/>
    <x v="1"/>
    <d v="2021-09-06T00:00:00"/>
    <s v="NA"/>
    <n v="0"/>
    <n v="23"/>
    <s v="21-40"/>
    <x v="0"/>
    <x v="2"/>
    <x v="1"/>
    <x v="4"/>
    <n v="1"/>
    <n v="1"/>
    <n v="6.9"/>
    <x v="3"/>
    <n v="7"/>
    <n v="5"/>
    <n v="606197"/>
    <n v="223798"/>
    <n v="382399"/>
    <n v="44"/>
    <n v="59"/>
    <n v="8.8000000000000007"/>
  </r>
  <r>
    <x v="1"/>
    <x v="1"/>
    <d v="2022-03-03T00:00:00"/>
    <s v="NA"/>
    <n v="0"/>
    <n v="37"/>
    <s v="21-40"/>
    <x v="1"/>
    <x v="2"/>
    <x v="1"/>
    <x v="2"/>
    <n v="1"/>
    <n v="1"/>
    <n v="2"/>
    <x v="21"/>
    <n v="4"/>
    <n v="5"/>
    <n v="597848"/>
    <n v="242078"/>
    <n v="355770"/>
    <n v="39"/>
    <n v="57"/>
    <n v="8.6999999999999993"/>
  </r>
  <r>
    <x v="1"/>
    <x v="1"/>
    <d v="2024-10-09T00:00:00"/>
    <s v="NA"/>
    <n v="0"/>
    <n v="39"/>
    <s v="21-40"/>
    <x v="1"/>
    <x v="4"/>
    <x v="3"/>
    <x v="0"/>
    <n v="1"/>
    <n v="1"/>
    <n v="6.8"/>
    <x v="1"/>
    <n v="5"/>
    <n v="4"/>
    <n v="655953"/>
    <n v="275017"/>
    <n v="380936"/>
    <n v="37"/>
    <n v="65"/>
    <n v="6.9"/>
  </r>
  <r>
    <x v="1"/>
    <x v="1"/>
    <d v="2024-11-09T00:00:00"/>
    <s v="NA"/>
    <n v="0"/>
    <n v="70"/>
    <s v="61-80"/>
    <x v="0"/>
    <x v="1"/>
    <x v="1"/>
    <x v="1"/>
    <n v="1"/>
    <n v="1"/>
    <n v="4"/>
    <x v="4"/>
    <n v="5"/>
    <n v="6"/>
    <n v="679033"/>
    <n v="315165"/>
    <n v="363868"/>
    <n v="49"/>
    <n v="60"/>
    <n v="36.200000000000003"/>
  </r>
  <r>
    <x v="1"/>
    <x v="1"/>
    <d v="2022-08-05T00:00:00"/>
    <s v="NA"/>
    <n v="0"/>
    <n v="49"/>
    <s v="41-60"/>
    <x v="0"/>
    <x v="0"/>
    <x v="0"/>
    <x v="3"/>
    <n v="1"/>
    <n v="1"/>
    <n v="4.5999999999999996"/>
    <x v="30"/>
    <n v="6"/>
    <n v="4"/>
    <n v="538444"/>
    <n v="160518"/>
    <n v="377926"/>
    <n v="44"/>
    <n v="58"/>
    <n v="10.6"/>
  </r>
  <r>
    <x v="1"/>
    <x v="1"/>
    <d v="2024-05-22T00:00:00"/>
    <s v="NA"/>
    <n v="0"/>
    <n v="29"/>
    <s v="21-40"/>
    <x v="1"/>
    <x v="3"/>
    <x v="2"/>
    <x v="4"/>
    <n v="1"/>
    <n v="1"/>
    <n v="4"/>
    <x v="1"/>
    <n v="3"/>
    <n v="6"/>
    <n v="779198"/>
    <n v="407664"/>
    <n v="371534"/>
    <n v="40"/>
    <n v="60"/>
    <n v="5.4"/>
  </r>
  <r>
    <x v="1"/>
    <x v="1"/>
    <d v="2023-03-14T00:00:00"/>
    <s v="NA"/>
    <n v="0"/>
    <n v="82"/>
    <s v="81+"/>
    <x v="1"/>
    <x v="8"/>
    <x v="6"/>
    <x v="4"/>
    <n v="1"/>
    <n v="1"/>
    <n v="2.9"/>
    <x v="19"/>
    <n v="7"/>
    <n v="4"/>
    <n v="650397"/>
    <n v="263943"/>
    <n v="386454"/>
    <n v="32"/>
    <n v="57"/>
    <n v="5.8"/>
  </r>
  <r>
    <x v="1"/>
    <x v="1"/>
    <d v="2021-09-14T00:00:00"/>
    <s v="NA"/>
    <n v="0"/>
    <n v="49"/>
    <s v="41-60"/>
    <x v="1"/>
    <x v="6"/>
    <x v="4"/>
    <x v="3"/>
    <n v="1"/>
    <n v="1"/>
    <n v="2.6"/>
    <x v="25"/>
    <n v="5"/>
    <n v="4"/>
    <n v="480747"/>
    <n v="107774"/>
    <n v="372973"/>
    <n v="40"/>
    <n v="64"/>
    <n v="7.6"/>
  </r>
  <r>
    <x v="1"/>
    <x v="1"/>
    <d v="2022-03-30T00:00:00"/>
    <s v="NA"/>
    <n v="0"/>
    <n v="30"/>
    <s v="21-40"/>
    <x v="0"/>
    <x v="10"/>
    <x v="8"/>
    <x v="0"/>
    <n v="1"/>
    <n v="1"/>
    <n v="6.1"/>
    <x v="7"/>
    <n v="3"/>
    <n v="3"/>
    <n v="764982"/>
    <n v="356725"/>
    <n v="408257"/>
    <n v="45"/>
    <n v="59"/>
    <n v="9.5"/>
  </r>
  <r>
    <x v="1"/>
    <x v="1"/>
    <d v="2024-01-09T00:00:00"/>
    <s v="NA"/>
    <n v="0"/>
    <n v="37"/>
    <s v="21-40"/>
    <x v="1"/>
    <x v="3"/>
    <x v="2"/>
    <x v="4"/>
    <n v="1"/>
    <n v="1"/>
    <n v="1.3"/>
    <x v="30"/>
    <n v="5"/>
    <n v="5"/>
    <n v="630254"/>
    <n v="225120"/>
    <n v="405134"/>
    <n v="31"/>
    <n v="61"/>
    <n v="8"/>
  </r>
  <r>
    <x v="1"/>
    <x v="1"/>
    <d v="2023-10-12T00:00:00"/>
    <s v="NA"/>
    <n v="0"/>
    <n v="50"/>
    <s v="41-60"/>
    <x v="0"/>
    <x v="12"/>
    <x v="9"/>
    <x v="0"/>
    <n v="1"/>
    <n v="1"/>
    <n v="2.7"/>
    <x v="4"/>
    <n v="7"/>
    <n v="4"/>
    <n v="402091"/>
    <n v="27898"/>
    <n v="374193"/>
    <n v="36"/>
    <n v="60"/>
    <n v="36.9"/>
  </r>
  <r>
    <x v="1"/>
    <x v="1"/>
    <d v="2024-05-17T00:00:00"/>
    <s v="NA"/>
    <n v="0"/>
    <n v="43"/>
    <s v="41-60"/>
    <x v="0"/>
    <x v="0"/>
    <x v="0"/>
    <x v="0"/>
    <n v="1"/>
    <n v="1"/>
    <n v="3.3"/>
    <x v="8"/>
    <n v="7"/>
    <n v="5"/>
    <n v="765303"/>
    <n v="372410"/>
    <n v="392893"/>
    <n v="48"/>
    <n v="56"/>
    <n v="5.6"/>
  </r>
  <r>
    <x v="1"/>
    <x v="1"/>
    <d v="2021-01-18T00:00:00"/>
    <s v="NA"/>
    <n v="0"/>
    <n v="42"/>
    <s v="41-60"/>
    <x v="1"/>
    <x v="7"/>
    <x v="5"/>
    <x v="1"/>
    <n v="1"/>
    <n v="1"/>
    <n v="5.5"/>
    <x v="5"/>
    <n v="4"/>
    <n v="6"/>
    <n v="516569"/>
    <n v="145917"/>
    <n v="370652"/>
    <n v="46"/>
    <n v="55"/>
    <n v="6"/>
  </r>
  <r>
    <x v="1"/>
    <x v="1"/>
    <d v="2023-01-01T00:00:00"/>
    <s v="NA"/>
    <n v="0"/>
    <n v="49"/>
    <s v="41-60"/>
    <x v="0"/>
    <x v="0"/>
    <x v="0"/>
    <x v="4"/>
    <n v="1"/>
    <n v="1"/>
    <n v="3.9"/>
    <x v="10"/>
    <n v="3"/>
    <n v="3"/>
    <n v="522849"/>
    <n v="160160"/>
    <n v="362689"/>
    <n v="50"/>
    <n v="63"/>
    <n v="36.700000000000003"/>
  </r>
  <r>
    <x v="1"/>
    <x v="1"/>
    <d v="2022-06-12T00:00:00"/>
    <s v="NA"/>
    <n v="0"/>
    <n v="32"/>
    <s v="21-40"/>
    <x v="1"/>
    <x v="6"/>
    <x v="4"/>
    <x v="4"/>
    <n v="1"/>
    <n v="1"/>
    <n v="5.7"/>
    <x v="9"/>
    <n v="5"/>
    <n v="3"/>
    <n v="473324"/>
    <n v="119376"/>
    <n v="353948"/>
    <n v="50"/>
    <n v="63"/>
    <n v="7.3"/>
  </r>
  <r>
    <x v="1"/>
    <x v="1"/>
    <d v="2021-11-06T00:00:00"/>
    <s v="NA"/>
    <n v="0"/>
    <n v="58"/>
    <s v="41-60"/>
    <x v="0"/>
    <x v="0"/>
    <x v="0"/>
    <x v="1"/>
    <n v="1"/>
    <n v="1"/>
    <n v="5.8"/>
    <x v="22"/>
    <n v="5"/>
    <n v="4"/>
    <n v="609201"/>
    <n v="207815"/>
    <n v="401386"/>
    <n v="46"/>
    <n v="59"/>
    <n v="5.9"/>
  </r>
  <r>
    <x v="1"/>
    <x v="1"/>
    <d v="2023-03-14T00:00:00"/>
    <s v="NA"/>
    <n v="0"/>
    <n v="27"/>
    <s v="21-40"/>
    <x v="0"/>
    <x v="12"/>
    <x v="9"/>
    <x v="1"/>
    <n v="1"/>
    <n v="1"/>
    <n v="3.9"/>
    <x v="10"/>
    <n v="7"/>
    <n v="7"/>
    <n v="436972"/>
    <n v="53831"/>
    <n v="383141"/>
    <n v="40"/>
    <n v="61"/>
    <n v="5.9"/>
  </r>
  <r>
    <x v="1"/>
    <x v="1"/>
    <d v="2021-08-18T00:00:00"/>
    <s v="NA"/>
    <n v="0"/>
    <n v="41"/>
    <s v="41-60"/>
    <x v="1"/>
    <x v="10"/>
    <x v="8"/>
    <x v="1"/>
    <n v="1"/>
    <n v="1"/>
    <n v="6.3"/>
    <x v="13"/>
    <n v="3"/>
    <n v="7"/>
    <n v="436822"/>
    <n v="60901"/>
    <n v="375921"/>
    <n v="33"/>
    <n v="63"/>
    <n v="12.1"/>
  </r>
  <r>
    <x v="1"/>
    <x v="1"/>
    <d v="2023-12-30T00:00:00"/>
    <s v="NA"/>
    <n v="0"/>
    <n v="60"/>
    <s v="41-60"/>
    <x v="1"/>
    <x v="4"/>
    <x v="3"/>
    <x v="1"/>
    <n v="1"/>
    <n v="1"/>
    <n v="1.3"/>
    <x v="23"/>
    <n v="4"/>
    <n v="6"/>
    <n v="404776"/>
    <n v="36673"/>
    <n v="368103"/>
    <n v="37"/>
    <n v="64"/>
    <n v="9"/>
  </r>
  <r>
    <x v="1"/>
    <x v="1"/>
    <d v="2021-08-22T00:00:00"/>
    <s v="NA"/>
    <n v="0"/>
    <n v="60"/>
    <s v="41-60"/>
    <x v="1"/>
    <x v="1"/>
    <x v="1"/>
    <x v="2"/>
    <n v="1"/>
    <n v="1"/>
    <n v="1.2"/>
    <x v="9"/>
    <n v="6"/>
    <n v="3"/>
    <n v="453007"/>
    <n v="52978"/>
    <n v="400029"/>
    <n v="34"/>
    <n v="59"/>
    <n v="8.1"/>
  </r>
  <r>
    <x v="1"/>
    <x v="1"/>
    <d v="2024-05-03T00:00:00"/>
    <s v="NA"/>
    <n v="0"/>
    <n v="45"/>
    <s v="41-60"/>
    <x v="0"/>
    <x v="4"/>
    <x v="3"/>
    <x v="0"/>
    <n v="1"/>
    <n v="1"/>
    <n v="3.9"/>
    <x v="25"/>
    <n v="7"/>
    <n v="3"/>
    <n v="780878"/>
    <n v="394183"/>
    <n v="386695"/>
    <n v="30"/>
    <n v="61"/>
    <n v="8.1"/>
  </r>
  <r>
    <x v="1"/>
    <x v="1"/>
    <d v="2024-02-14T00:00:00"/>
    <s v="NA"/>
    <n v="0"/>
    <n v="44"/>
    <s v="41-60"/>
    <x v="0"/>
    <x v="9"/>
    <x v="7"/>
    <x v="1"/>
    <n v="1"/>
    <n v="1"/>
    <n v="2.9"/>
    <x v="14"/>
    <n v="6"/>
    <n v="4"/>
    <n v="572982"/>
    <n v="179091"/>
    <n v="393891"/>
    <n v="43"/>
    <n v="66"/>
    <n v="5.5"/>
  </r>
  <r>
    <x v="1"/>
    <x v="1"/>
    <d v="2024-12-15T00:00:00"/>
    <s v="NA"/>
    <n v="0"/>
    <n v="23"/>
    <s v="21-40"/>
    <x v="0"/>
    <x v="9"/>
    <x v="7"/>
    <x v="3"/>
    <n v="1"/>
    <n v="1"/>
    <n v="4.4000000000000004"/>
    <x v="3"/>
    <n v="6"/>
    <n v="4"/>
    <n v="699024"/>
    <n v="298330"/>
    <n v="400694"/>
    <n v="32"/>
    <n v="55"/>
    <n v="13.8"/>
  </r>
  <r>
    <x v="1"/>
    <x v="1"/>
    <d v="2024-06-24T00:00:00"/>
    <s v="NA"/>
    <n v="0"/>
    <n v="29"/>
    <s v="21-40"/>
    <x v="1"/>
    <x v="11"/>
    <x v="8"/>
    <x v="3"/>
    <n v="1"/>
    <n v="1"/>
    <n v="6.9"/>
    <x v="11"/>
    <n v="4"/>
    <n v="7"/>
    <n v="760545"/>
    <n v="403068"/>
    <n v="357477"/>
    <n v="40"/>
    <n v="56"/>
    <n v="36.200000000000003"/>
  </r>
  <r>
    <x v="1"/>
    <x v="1"/>
    <d v="2023-01-27T00:00:00"/>
    <s v="NA"/>
    <n v="0"/>
    <n v="42"/>
    <s v="41-60"/>
    <x v="0"/>
    <x v="9"/>
    <x v="7"/>
    <x v="1"/>
    <n v="1"/>
    <n v="1"/>
    <n v="6.9"/>
    <x v="7"/>
    <n v="6"/>
    <n v="3"/>
    <n v="415734"/>
    <n v="64969"/>
    <n v="350765"/>
    <n v="39"/>
    <n v="66"/>
    <n v="12.9"/>
  </r>
  <r>
    <x v="12"/>
    <x v="12"/>
    <d v="2024-03-24T00:00:00"/>
    <s v="NA"/>
    <n v="0"/>
    <n v="53"/>
    <s v="41-60"/>
    <x v="0"/>
    <x v="5"/>
    <x v="0"/>
    <x v="3"/>
    <n v="1"/>
    <n v="1"/>
    <n v="2.8"/>
    <x v="28"/>
    <n v="5"/>
    <n v="3"/>
    <n v="870636"/>
    <n v="319700"/>
    <n v="550936"/>
    <n v="63"/>
    <n v="61"/>
    <n v="8.5"/>
  </r>
  <r>
    <x v="12"/>
    <x v="12"/>
    <d v="2021-02-27T00:00:00"/>
    <s v="NA"/>
    <n v="0"/>
    <n v="25"/>
    <s v="21-40"/>
    <x v="0"/>
    <x v="5"/>
    <x v="0"/>
    <x v="3"/>
    <n v="1"/>
    <n v="1"/>
    <n v="2.1"/>
    <x v="5"/>
    <n v="3"/>
    <n v="6"/>
    <n v="897723"/>
    <n v="311149"/>
    <n v="586574"/>
    <n v="64"/>
    <n v="54"/>
    <n v="13.3"/>
  </r>
  <r>
    <x v="1"/>
    <x v="1"/>
    <d v="2021-09-09T00:00:00"/>
    <s v="NA"/>
    <n v="0"/>
    <n v="27"/>
    <s v="21-40"/>
    <x v="0"/>
    <x v="12"/>
    <x v="9"/>
    <x v="0"/>
    <n v="1"/>
    <n v="1"/>
    <n v="2.1"/>
    <x v="1"/>
    <n v="6"/>
    <n v="6"/>
    <n v="422526"/>
    <n v="38541"/>
    <n v="383985"/>
    <n v="43"/>
    <n v="58"/>
    <n v="14.4"/>
  </r>
  <r>
    <x v="1"/>
    <x v="1"/>
    <d v="2023-08-31T00:00:00"/>
    <s v="NA"/>
    <n v="0"/>
    <n v="53"/>
    <s v="41-60"/>
    <x v="1"/>
    <x v="3"/>
    <x v="2"/>
    <x v="2"/>
    <n v="1"/>
    <n v="1"/>
    <n v="4.2"/>
    <x v="20"/>
    <n v="5"/>
    <n v="7"/>
    <n v="699817"/>
    <n v="337678"/>
    <n v="362139"/>
    <n v="39"/>
    <n v="55"/>
    <n v="7.9"/>
  </r>
  <r>
    <x v="12"/>
    <x v="12"/>
    <d v="2023-04-23T00:00:00"/>
    <s v="NA"/>
    <n v="0"/>
    <n v="62"/>
    <s v="61-80"/>
    <x v="1"/>
    <x v="3"/>
    <x v="2"/>
    <x v="2"/>
    <n v="1"/>
    <n v="1"/>
    <n v="1"/>
    <x v="19"/>
    <n v="5"/>
    <n v="5"/>
    <n v="903225"/>
    <n v="299615"/>
    <n v="603610"/>
    <n v="57"/>
    <n v="64"/>
    <n v="6.1"/>
  </r>
  <r>
    <x v="12"/>
    <x v="12"/>
    <d v="2024-05-03T00:00:00"/>
    <s v="NA"/>
    <n v="0"/>
    <n v="49"/>
    <s v="41-60"/>
    <x v="0"/>
    <x v="9"/>
    <x v="7"/>
    <x v="4"/>
    <n v="1"/>
    <n v="1"/>
    <n v="3.1"/>
    <x v="7"/>
    <n v="6"/>
    <n v="7"/>
    <n v="866737"/>
    <n v="183437"/>
    <n v="683300"/>
    <n v="77"/>
    <n v="59"/>
    <n v="10.9"/>
  </r>
  <r>
    <x v="12"/>
    <x v="12"/>
    <d v="2021-06-04T00:00:00"/>
    <s v="NA"/>
    <n v="0"/>
    <n v="29"/>
    <s v="21-40"/>
    <x v="0"/>
    <x v="10"/>
    <x v="8"/>
    <x v="4"/>
    <n v="1"/>
    <n v="1"/>
    <n v="5.4"/>
    <x v="14"/>
    <n v="4"/>
    <n v="5"/>
    <n v="841649"/>
    <n v="284343"/>
    <n v="557306"/>
    <n v="70"/>
    <n v="66"/>
    <n v="36.9"/>
  </r>
  <r>
    <x v="1"/>
    <x v="1"/>
    <d v="2024-01-08T00:00:00"/>
    <s v="NA"/>
    <n v="0"/>
    <n v="64"/>
    <s v="61-80"/>
    <x v="0"/>
    <x v="2"/>
    <x v="1"/>
    <x v="1"/>
    <n v="1"/>
    <n v="1"/>
    <n v="2.2000000000000002"/>
    <x v="29"/>
    <n v="5"/>
    <n v="5"/>
    <n v="496281"/>
    <n v="114295"/>
    <n v="381986"/>
    <n v="40"/>
    <n v="65"/>
    <n v="15"/>
  </r>
  <r>
    <x v="1"/>
    <x v="1"/>
    <d v="2023-02-13T00:00:00"/>
    <s v="NA"/>
    <n v="0"/>
    <n v="68"/>
    <s v="61-80"/>
    <x v="0"/>
    <x v="7"/>
    <x v="5"/>
    <x v="0"/>
    <n v="1"/>
    <n v="1"/>
    <n v="5.3"/>
    <x v="18"/>
    <n v="5"/>
    <n v="7"/>
    <n v="587423"/>
    <n v="216469"/>
    <n v="370954"/>
    <n v="34"/>
    <n v="58"/>
    <n v="36.799999999999997"/>
  </r>
  <r>
    <x v="12"/>
    <x v="12"/>
    <d v="2024-03-28T00:00:00"/>
    <s v="NA"/>
    <n v="0"/>
    <n v="82"/>
    <s v="81+"/>
    <x v="0"/>
    <x v="0"/>
    <x v="0"/>
    <x v="4"/>
    <n v="1"/>
    <n v="1"/>
    <n v="5"/>
    <x v="22"/>
    <n v="7"/>
    <n v="7"/>
    <n v="978524"/>
    <n v="471374"/>
    <n v="507150"/>
    <n v="80"/>
    <n v="54"/>
    <n v="14.7"/>
  </r>
  <r>
    <x v="12"/>
    <x v="12"/>
    <d v="2023-09-10T00:00:00"/>
    <s v="NA"/>
    <n v="0"/>
    <n v="52"/>
    <s v="41-60"/>
    <x v="1"/>
    <x v="9"/>
    <x v="7"/>
    <x v="1"/>
    <n v="1"/>
    <n v="1"/>
    <n v="5.3"/>
    <x v="20"/>
    <n v="5"/>
    <n v="4"/>
    <n v="866775"/>
    <n v="292099"/>
    <n v="574676"/>
    <n v="79"/>
    <n v="60"/>
    <n v="10.1"/>
  </r>
  <r>
    <x v="12"/>
    <x v="12"/>
    <d v="2021-12-16T00:00:00"/>
    <s v="NA"/>
    <n v="0"/>
    <n v="65"/>
    <s v="61-80"/>
    <x v="1"/>
    <x v="3"/>
    <x v="2"/>
    <x v="4"/>
    <n v="1"/>
    <n v="1"/>
    <n v="1.9"/>
    <x v="21"/>
    <n v="5"/>
    <n v="4"/>
    <n v="912635"/>
    <n v="233109"/>
    <n v="679526"/>
    <n v="60"/>
    <n v="58"/>
    <n v="36.6"/>
  </r>
  <r>
    <x v="1"/>
    <x v="1"/>
    <d v="2022-03-12T00:00:00"/>
    <s v="NA"/>
    <n v="0"/>
    <n v="31"/>
    <s v="21-40"/>
    <x v="1"/>
    <x v="3"/>
    <x v="2"/>
    <x v="3"/>
    <n v="1"/>
    <n v="1"/>
    <n v="5.4"/>
    <x v="4"/>
    <n v="5"/>
    <n v="6"/>
    <n v="648134"/>
    <n v="265268"/>
    <n v="382866"/>
    <n v="32"/>
    <n v="64"/>
    <n v="10.3"/>
  </r>
  <r>
    <x v="1"/>
    <x v="1"/>
    <d v="2023-03-03T00:00:00"/>
    <s v="NA"/>
    <n v="0"/>
    <n v="23"/>
    <s v="21-40"/>
    <x v="1"/>
    <x v="11"/>
    <x v="8"/>
    <x v="1"/>
    <n v="1"/>
    <n v="1"/>
    <n v="5.5"/>
    <x v="22"/>
    <n v="5"/>
    <n v="5"/>
    <n v="645602"/>
    <n v="292415"/>
    <n v="353187"/>
    <n v="39"/>
    <n v="62"/>
    <n v="7.5"/>
  </r>
  <r>
    <x v="12"/>
    <x v="12"/>
    <d v="2024-02-21T00:00:00"/>
    <s v="NA"/>
    <n v="0"/>
    <n v="27"/>
    <s v="21-40"/>
    <x v="0"/>
    <x v="12"/>
    <x v="9"/>
    <x v="4"/>
    <n v="1"/>
    <n v="1"/>
    <n v="2.1"/>
    <x v="16"/>
    <n v="4"/>
    <n v="6"/>
    <n v="962526"/>
    <n v="418946"/>
    <n v="543580"/>
    <n v="52"/>
    <n v="58"/>
    <n v="36.9"/>
  </r>
  <r>
    <x v="1"/>
    <x v="1"/>
    <d v="2021-08-15T00:00:00"/>
    <s v="NA"/>
    <n v="0"/>
    <n v="89"/>
    <s v="81+"/>
    <x v="1"/>
    <x v="9"/>
    <x v="7"/>
    <x v="0"/>
    <n v="1"/>
    <n v="1"/>
    <n v="3.3"/>
    <x v="21"/>
    <n v="3"/>
    <n v="5"/>
    <n v="462274"/>
    <n v="86357"/>
    <n v="375917"/>
    <n v="33"/>
    <n v="64"/>
    <n v="36.700000000000003"/>
  </r>
  <r>
    <x v="1"/>
    <x v="1"/>
    <d v="2023-12-03T00:00:00"/>
    <s v="NA"/>
    <n v="0"/>
    <n v="45"/>
    <s v="41-60"/>
    <x v="0"/>
    <x v="7"/>
    <x v="5"/>
    <x v="4"/>
    <n v="1"/>
    <n v="1"/>
    <n v="1.9"/>
    <x v="9"/>
    <n v="7"/>
    <n v="4"/>
    <n v="525036"/>
    <n v="150154"/>
    <n v="374882"/>
    <n v="50"/>
    <n v="66"/>
    <n v="36.200000000000003"/>
  </r>
  <r>
    <x v="1"/>
    <x v="1"/>
    <d v="2024-11-10T00:00:00"/>
    <s v="NA"/>
    <n v="0"/>
    <n v="62"/>
    <s v="61-80"/>
    <x v="1"/>
    <x v="10"/>
    <x v="8"/>
    <x v="2"/>
    <n v="1"/>
    <n v="1"/>
    <n v="2.7"/>
    <x v="29"/>
    <n v="5"/>
    <n v="3"/>
    <n v="764520"/>
    <n v="409293"/>
    <n v="355227"/>
    <n v="40"/>
    <n v="63"/>
    <n v="8.4"/>
  </r>
  <r>
    <x v="12"/>
    <x v="12"/>
    <d v="2024-07-11T00:00:00"/>
    <s v="NA"/>
    <n v="0"/>
    <n v="30"/>
    <s v="21-40"/>
    <x v="0"/>
    <x v="7"/>
    <x v="5"/>
    <x v="0"/>
    <n v="1"/>
    <n v="1"/>
    <n v="6.4"/>
    <x v="25"/>
    <n v="4"/>
    <n v="4"/>
    <n v="831342"/>
    <n v="180478"/>
    <n v="650864"/>
    <n v="57"/>
    <n v="61"/>
    <n v="10.7"/>
  </r>
  <r>
    <x v="1"/>
    <x v="1"/>
    <d v="2021-04-08T00:00:00"/>
    <s v="NA"/>
    <n v="0"/>
    <n v="54"/>
    <s v="41-60"/>
    <x v="1"/>
    <x v="3"/>
    <x v="2"/>
    <x v="3"/>
    <n v="1"/>
    <n v="1"/>
    <n v="5.8"/>
    <x v="7"/>
    <n v="4"/>
    <n v="3"/>
    <n v="436265"/>
    <n v="56745"/>
    <n v="379520"/>
    <n v="32"/>
    <n v="64"/>
    <n v="10"/>
  </r>
  <r>
    <x v="1"/>
    <x v="1"/>
    <d v="2023-04-02T00:00:00"/>
    <s v="NA"/>
    <n v="0"/>
    <n v="25"/>
    <s v="21-40"/>
    <x v="1"/>
    <x v="8"/>
    <x v="6"/>
    <x v="2"/>
    <n v="1"/>
    <n v="1"/>
    <n v="4.3"/>
    <x v="9"/>
    <n v="6"/>
    <n v="4"/>
    <n v="438459"/>
    <n v="71626"/>
    <n v="366833"/>
    <n v="32"/>
    <n v="59"/>
    <n v="6.6"/>
  </r>
  <r>
    <x v="1"/>
    <x v="1"/>
    <d v="2024-10-12T00:00:00"/>
    <s v="NA"/>
    <n v="0"/>
    <n v="49"/>
    <s v="41-60"/>
    <x v="1"/>
    <x v="12"/>
    <x v="9"/>
    <x v="0"/>
    <n v="1"/>
    <n v="1"/>
    <n v="1.8"/>
    <x v="4"/>
    <n v="4"/>
    <n v="3"/>
    <n v="780936"/>
    <n v="425453"/>
    <n v="355483"/>
    <n v="30"/>
    <n v="64"/>
    <n v="13.5"/>
  </r>
  <r>
    <x v="1"/>
    <x v="1"/>
    <d v="2024-05-03T00:00:00"/>
    <s v="NA"/>
    <n v="0"/>
    <n v="36"/>
    <s v="21-40"/>
    <x v="1"/>
    <x v="12"/>
    <x v="9"/>
    <x v="2"/>
    <n v="1"/>
    <n v="1"/>
    <n v="1.9"/>
    <x v="28"/>
    <n v="3"/>
    <n v="3"/>
    <n v="557098"/>
    <n v="182448"/>
    <n v="374650"/>
    <n v="39"/>
    <n v="61"/>
    <n v="14"/>
  </r>
  <r>
    <x v="12"/>
    <x v="12"/>
    <d v="2021-08-10T00:00:00"/>
    <s v="NA"/>
    <n v="0"/>
    <n v="61"/>
    <s v="61-80"/>
    <x v="0"/>
    <x v="13"/>
    <x v="10"/>
    <x v="0"/>
    <n v="1"/>
    <n v="1"/>
    <n v="1.9"/>
    <x v="6"/>
    <n v="3"/>
    <n v="7"/>
    <n v="971048"/>
    <n v="353371"/>
    <n v="617677"/>
    <n v="63"/>
    <n v="61"/>
    <n v="5.2"/>
  </r>
  <r>
    <x v="12"/>
    <x v="12"/>
    <d v="2022-04-21T00:00:00"/>
    <s v="NA"/>
    <n v="0"/>
    <n v="39"/>
    <s v="21-40"/>
    <x v="0"/>
    <x v="2"/>
    <x v="1"/>
    <x v="4"/>
    <n v="1"/>
    <n v="1"/>
    <n v="2.2999999999999998"/>
    <x v="28"/>
    <n v="4"/>
    <n v="4"/>
    <n v="965884"/>
    <n v="415406"/>
    <n v="550478"/>
    <n v="59"/>
    <n v="64"/>
    <n v="8.6999999999999993"/>
  </r>
  <r>
    <x v="1"/>
    <x v="1"/>
    <d v="2023-04-30T00:00:00"/>
    <s v="NA"/>
    <n v="0"/>
    <n v="37"/>
    <s v="21-40"/>
    <x v="1"/>
    <x v="6"/>
    <x v="4"/>
    <x v="0"/>
    <n v="1"/>
    <n v="1"/>
    <n v="6.1"/>
    <x v="16"/>
    <n v="4"/>
    <n v="5"/>
    <n v="449699"/>
    <n v="79524"/>
    <n v="370175"/>
    <n v="41"/>
    <n v="65"/>
    <n v="7.7"/>
  </r>
  <r>
    <x v="1"/>
    <x v="1"/>
    <d v="2024-05-11T00:00:00"/>
    <s v="NA"/>
    <n v="0"/>
    <n v="43"/>
    <s v="41-60"/>
    <x v="1"/>
    <x v="4"/>
    <x v="3"/>
    <x v="1"/>
    <n v="1"/>
    <n v="1"/>
    <n v="3.6"/>
    <x v="13"/>
    <n v="4"/>
    <n v="6"/>
    <n v="616393"/>
    <n v="259086"/>
    <n v="357307"/>
    <n v="35"/>
    <n v="63"/>
    <n v="14"/>
  </r>
  <r>
    <x v="12"/>
    <x v="12"/>
    <d v="2023-05-30T00:00:00"/>
    <s v="NA"/>
    <n v="0"/>
    <n v="36"/>
    <s v="21-40"/>
    <x v="1"/>
    <x v="6"/>
    <x v="4"/>
    <x v="4"/>
    <n v="1"/>
    <n v="1"/>
    <n v="5.5"/>
    <x v="28"/>
    <n v="5"/>
    <n v="6"/>
    <n v="898603"/>
    <n v="342966"/>
    <n v="555637"/>
    <n v="55"/>
    <n v="63"/>
    <n v="5.4"/>
  </r>
  <r>
    <x v="1"/>
    <x v="1"/>
    <d v="2022-02-26T00:00:00"/>
    <s v="NA"/>
    <n v="0"/>
    <n v="75"/>
    <s v="61-80"/>
    <x v="1"/>
    <x v="13"/>
    <x v="10"/>
    <x v="0"/>
    <n v="1"/>
    <n v="1"/>
    <n v="1.4"/>
    <x v="21"/>
    <n v="5"/>
    <n v="5"/>
    <n v="723504"/>
    <n v="316682"/>
    <n v="406822"/>
    <n v="33"/>
    <n v="57"/>
    <n v="8.8000000000000007"/>
  </r>
  <r>
    <x v="1"/>
    <x v="1"/>
    <d v="2023-06-28T00:00:00"/>
    <s v="NA"/>
    <n v="0"/>
    <n v="46"/>
    <s v="41-60"/>
    <x v="0"/>
    <x v="0"/>
    <x v="0"/>
    <x v="0"/>
    <n v="1"/>
    <n v="1"/>
    <n v="2"/>
    <x v="22"/>
    <n v="7"/>
    <n v="4"/>
    <n v="674381"/>
    <n v="320085"/>
    <n v="354296"/>
    <n v="38"/>
    <n v="64"/>
    <n v="14.9"/>
  </r>
  <r>
    <x v="1"/>
    <x v="1"/>
    <d v="2022-10-14T00:00:00"/>
    <s v="NA"/>
    <n v="0"/>
    <n v="44"/>
    <s v="41-60"/>
    <x v="0"/>
    <x v="1"/>
    <x v="1"/>
    <x v="3"/>
    <n v="1"/>
    <n v="1"/>
    <n v="2.2000000000000002"/>
    <x v="27"/>
    <n v="4"/>
    <n v="3"/>
    <n v="778642"/>
    <n v="426467"/>
    <n v="352175"/>
    <n v="38"/>
    <n v="58"/>
    <n v="5.2"/>
  </r>
  <r>
    <x v="1"/>
    <x v="1"/>
    <d v="2022-02-06T00:00:00"/>
    <s v="NA"/>
    <n v="0"/>
    <n v="33"/>
    <s v="21-40"/>
    <x v="0"/>
    <x v="2"/>
    <x v="1"/>
    <x v="2"/>
    <n v="1"/>
    <n v="1"/>
    <n v="2.1"/>
    <x v="29"/>
    <n v="3"/>
    <n v="4"/>
    <n v="695279"/>
    <n v="288772"/>
    <n v="406507"/>
    <n v="44"/>
    <n v="63"/>
    <n v="10.6"/>
  </r>
  <r>
    <x v="12"/>
    <x v="12"/>
    <d v="2024-06-27T00:00:00"/>
    <s v="NA"/>
    <n v="0"/>
    <n v="32"/>
    <s v="21-40"/>
    <x v="1"/>
    <x v="8"/>
    <x v="6"/>
    <x v="3"/>
    <n v="1"/>
    <n v="1"/>
    <n v="2.8"/>
    <x v="20"/>
    <n v="6"/>
    <n v="5"/>
    <n v="835476"/>
    <n v="214483"/>
    <n v="620993"/>
    <n v="76"/>
    <n v="57"/>
    <n v="6.2"/>
  </r>
  <r>
    <x v="1"/>
    <x v="1"/>
    <d v="2022-05-09T00:00:00"/>
    <s v="NA"/>
    <n v="0"/>
    <n v="22"/>
    <s v="21-40"/>
    <x v="1"/>
    <x v="13"/>
    <x v="10"/>
    <x v="1"/>
    <n v="1"/>
    <n v="1"/>
    <n v="3.5"/>
    <x v="12"/>
    <n v="4"/>
    <n v="3"/>
    <n v="790226"/>
    <n v="421859"/>
    <n v="368367"/>
    <n v="49"/>
    <n v="65"/>
    <n v="12.7"/>
  </r>
  <r>
    <x v="1"/>
    <x v="1"/>
    <d v="2022-10-03T00:00:00"/>
    <s v="NA"/>
    <n v="0"/>
    <n v="37"/>
    <s v="21-40"/>
    <x v="1"/>
    <x v="2"/>
    <x v="1"/>
    <x v="2"/>
    <n v="1"/>
    <n v="1"/>
    <n v="1.4"/>
    <x v="0"/>
    <n v="4"/>
    <n v="4"/>
    <n v="470336"/>
    <n v="95582"/>
    <n v="374754"/>
    <n v="34"/>
    <n v="62"/>
    <n v="12"/>
  </r>
  <r>
    <x v="1"/>
    <x v="1"/>
    <d v="2024-12-11T00:00:00"/>
    <s v="NA"/>
    <n v="0"/>
    <n v="50"/>
    <s v="41-60"/>
    <x v="1"/>
    <x v="8"/>
    <x v="6"/>
    <x v="4"/>
    <n v="1"/>
    <n v="1"/>
    <n v="5.9"/>
    <x v="10"/>
    <n v="4"/>
    <n v="4"/>
    <n v="615521"/>
    <n v="208983"/>
    <n v="406538"/>
    <n v="35"/>
    <n v="57"/>
    <n v="6.6"/>
  </r>
  <r>
    <x v="1"/>
    <x v="1"/>
    <d v="2021-11-27T00:00:00"/>
    <s v="NA"/>
    <n v="0"/>
    <n v="90"/>
    <s v="81+"/>
    <x v="1"/>
    <x v="6"/>
    <x v="4"/>
    <x v="1"/>
    <n v="1"/>
    <n v="1"/>
    <n v="1.2"/>
    <x v="4"/>
    <n v="4"/>
    <n v="3"/>
    <n v="479400"/>
    <n v="87524"/>
    <n v="391876"/>
    <n v="30"/>
    <n v="55"/>
    <n v="5.6"/>
  </r>
  <r>
    <x v="1"/>
    <x v="1"/>
    <d v="2024-01-20T00:00:00"/>
    <s v="NA"/>
    <n v="0"/>
    <n v="39"/>
    <s v="21-40"/>
    <x v="0"/>
    <x v="14"/>
    <x v="11"/>
    <x v="2"/>
    <n v="1"/>
    <n v="1"/>
    <n v="2.6"/>
    <x v="17"/>
    <n v="3"/>
    <n v="4"/>
    <n v="490061"/>
    <n v="112724"/>
    <n v="377337"/>
    <n v="44"/>
    <n v="57"/>
    <n v="12.4"/>
  </r>
  <r>
    <x v="1"/>
    <x v="1"/>
    <d v="2021-12-30T00:00:00"/>
    <s v="NA"/>
    <n v="0"/>
    <n v="48"/>
    <s v="41-60"/>
    <x v="0"/>
    <x v="14"/>
    <x v="11"/>
    <x v="1"/>
    <n v="1"/>
    <n v="1"/>
    <n v="5"/>
    <x v="29"/>
    <n v="3"/>
    <n v="5"/>
    <n v="639449"/>
    <n v="256449"/>
    <n v="383000"/>
    <n v="44"/>
    <n v="63"/>
    <n v="36.200000000000003"/>
  </r>
  <r>
    <x v="1"/>
    <x v="1"/>
    <d v="2024-10-11T00:00:00"/>
    <s v="NA"/>
    <n v="0"/>
    <n v="75"/>
    <s v="61-80"/>
    <x v="0"/>
    <x v="5"/>
    <x v="0"/>
    <x v="0"/>
    <n v="1"/>
    <n v="1"/>
    <n v="6.3"/>
    <x v="27"/>
    <n v="4"/>
    <n v="5"/>
    <n v="584126"/>
    <n v="218530"/>
    <n v="365596"/>
    <n v="34"/>
    <n v="61"/>
    <n v="9.5"/>
  </r>
  <r>
    <x v="1"/>
    <x v="1"/>
    <d v="2024-04-09T00:00:00"/>
    <s v="NA"/>
    <n v="0"/>
    <n v="60"/>
    <s v="41-60"/>
    <x v="1"/>
    <x v="12"/>
    <x v="9"/>
    <x v="0"/>
    <n v="1"/>
    <n v="1"/>
    <n v="6.5"/>
    <x v="12"/>
    <n v="4"/>
    <n v="3"/>
    <n v="751713"/>
    <n v="394164"/>
    <n v="357549"/>
    <n v="33"/>
    <n v="56"/>
    <n v="5.3"/>
  </r>
  <r>
    <x v="1"/>
    <x v="1"/>
    <d v="2021-08-20T00:00:00"/>
    <s v="NA"/>
    <n v="0"/>
    <n v="77"/>
    <s v="61-80"/>
    <x v="1"/>
    <x v="9"/>
    <x v="7"/>
    <x v="4"/>
    <n v="1"/>
    <n v="1"/>
    <n v="5.9"/>
    <x v="3"/>
    <n v="4"/>
    <n v="3"/>
    <n v="660472"/>
    <n v="302887"/>
    <n v="357585"/>
    <n v="49"/>
    <n v="64"/>
    <n v="12.4"/>
  </r>
  <r>
    <x v="1"/>
    <x v="1"/>
    <d v="2024-11-23T00:00:00"/>
    <s v="NA"/>
    <n v="0"/>
    <n v="88"/>
    <s v="81+"/>
    <x v="0"/>
    <x v="5"/>
    <x v="0"/>
    <x v="4"/>
    <n v="1"/>
    <n v="1"/>
    <n v="6.5"/>
    <x v="15"/>
    <n v="3"/>
    <n v="3"/>
    <n v="762765"/>
    <n v="388810"/>
    <n v="373955"/>
    <n v="41"/>
    <n v="56"/>
    <n v="36.799999999999997"/>
  </r>
  <r>
    <x v="12"/>
    <x v="12"/>
    <d v="2021-06-11T00:00:00"/>
    <s v="NA"/>
    <n v="0"/>
    <n v="27"/>
    <s v="21-40"/>
    <x v="1"/>
    <x v="4"/>
    <x v="3"/>
    <x v="4"/>
    <n v="1"/>
    <n v="1"/>
    <n v="4.0999999999999996"/>
    <x v="6"/>
    <n v="3"/>
    <n v="6"/>
    <n v="801056"/>
    <n v="122417"/>
    <n v="678639"/>
    <n v="77"/>
    <n v="60"/>
    <n v="7.4"/>
  </r>
  <r>
    <x v="12"/>
    <x v="12"/>
    <d v="2024-07-25T00:00:00"/>
    <s v="NA"/>
    <n v="0"/>
    <n v="42"/>
    <s v="41-60"/>
    <x v="1"/>
    <x v="13"/>
    <x v="10"/>
    <x v="0"/>
    <n v="1"/>
    <n v="1"/>
    <n v="6.3"/>
    <x v="18"/>
    <n v="5"/>
    <n v="7"/>
    <n v="901985"/>
    <n v="238772"/>
    <n v="663213"/>
    <n v="55"/>
    <n v="64"/>
    <n v="9.9"/>
  </r>
  <r>
    <x v="1"/>
    <x v="1"/>
    <d v="2023-08-03T00:00:00"/>
    <s v="NA"/>
    <n v="0"/>
    <n v="27"/>
    <s v="21-40"/>
    <x v="1"/>
    <x v="8"/>
    <x v="6"/>
    <x v="4"/>
    <n v="1"/>
    <n v="1"/>
    <n v="5.4"/>
    <x v="12"/>
    <n v="6"/>
    <n v="4"/>
    <n v="659429"/>
    <n v="298758"/>
    <n v="360671"/>
    <n v="46"/>
    <n v="61"/>
    <n v="7.1"/>
  </r>
  <r>
    <x v="1"/>
    <x v="1"/>
    <d v="2021-03-12T00:00:00"/>
    <s v="NA"/>
    <n v="0"/>
    <n v="76"/>
    <s v="61-80"/>
    <x v="0"/>
    <x v="4"/>
    <x v="3"/>
    <x v="3"/>
    <n v="1"/>
    <n v="1"/>
    <n v="5.2"/>
    <x v="2"/>
    <n v="4"/>
    <n v="6"/>
    <n v="748428"/>
    <n v="386678"/>
    <n v="361750"/>
    <n v="40"/>
    <n v="61"/>
    <n v="36.200000000000003"/>
  </r>
  <r>
    <x v="1"/>
    <x v="1"/>
    <d v="2023-10-13T00:00:00"/>
    <s v="NA"/>
    <n v="0"/>
    <n v="39"/>
    <s v="21-40"/>
    <x v="0"/>
    <x v="14"/>
    <x v="11"/>
    <x v="3"/>
    <n v="1"/>
    <n v="1"/>
    <n v="4.0999999999999996"/>
    <x v="4"/>
    <n v="5"/>
    <n v="5"/>
    <n v="751882"/>
    <n v="399850"/>
    <n v="352032"/>
    <n v="31"/>
    <n v="64"/>
    <n v="6.4"/>
  </r>
  <r>
    <x v="1"/>
    <x v="1"/>
    <d v="2021-06-17T00:00:00"/>
    <s v="NA"/>
    <n v="0"/>
    <n v="73"/>
    <s v="61-80"/>
    <x v="0"/>
    <x v="10"/>
    <x v="8"/>
    <x v="4"/>
    <n v="1"/>
    <n v="1"/>
    <n v="3.6"/>
    <x v="24"/>
    <n v="7"/>
    <n v="3"/>
    <n v="439494"/>
    <n v="36615"/>
    <n v="402879"/>
    <n v="50"/>
    <n v="59"/>
    <n v="10.7"/>
  </r>
  <r>
    <x v="1"/>
    <x v="1"/>
    <d v="2021-02-14T00:00:00"/>
    <s v="NA"/>
    <n v="0"/>
    <n v="26"/>
    <s v="21-40"/>
    <x v="0"/>
    <x v="0"/>
    <x v="0"/>
    <x v="4"/>
    <n v="1"/>
    <n v="1"/>
    <n v="4.4000000000000004"/>
    <x v="11"/>
    <n v="4"/>
    <n v="7"/>
    <n v="563673"/>
    <n v="190816"/>
    <n v="372857"/>
    <n v="34"/>
    <n v="60"/>
    <n v="6.2"/>
  </r>
  <r>
    <x v="1"/>
    <x v="1"/>
    <d v="2022-11-25T00:00:00"/>
    <s v="NA"/>
    <n v="0"/>
    <n v="49"/>
    <s v="41-60"/>
    <x v="1"/>
    <x v="11"/>
    <x v="8"/>
    <x v="4"/>
    <n v="1"/>
    <n v="1"/>
    <n v="5.7"/>
    <x v="26"/>
    <n v="4"/>
    <n v="5"/>
    <n v="703553"/>
    <n v="327254"/>
    <n v="376299"/>
    <n v="32"/>
    <n v="59"/>
    <n v="14.8"/>
  </r>
  <r>
    <x v="1"/>
    <x v="1"/>
    <d v="2022-04-02T00:00:00"/>
    <s v="NA"/>
    <n v="0"/>
    <n v="39"/>
    <s v="21-40"/>
    <x v="0"/>
    <x v="0"/>
    <x v="0"/>
    <x v="3"/>
    <n v="1"/>
    <n v="1"/>
    <n v="3.2"/>
    <x v="10"/>
    <n v="6"/>
    <n v="3"/>
    <n v="673977"/>
    <n v="310253"/>
    <n v="363724"/>
    <n v="41"/>
    <n v="64"/>
    <n v="9.9"/>
  </r>
  <r>
    <x v="1"/>
    <x v="1"/>
    <d v="2021-09-08T00:00:00"/>
    <s v="NA"/>
    <n v="0"/>
    <n v="75"/>
    <s v="61-80"/>
    <x v="1"/>
    <x v="4"/>
    <x v="3"/>
    <x v="1"/>
    <n v="1"/>
    <n v="1"/>
    <n v="4.0999999999999996"/>
    <x v="27"/>
    <n v="5"/>
    <n v="6"/>
    <n v="764535"/>
    <n v="411779"/>
    <n v="352756"/>
    <n v="31"/>
    <n v="59"/>
    <n v="9.5"/>
  </r>
  <r>
    <x v="1"/>
    <x v="1"/>
    <d v="2024-11-06T00:00:00"/>
    <s v="NA"/>
    <n v="0"/>
    <n v="40"/>
    <s v="21-40"/>
    <x v="0"/>
    <x v="4"/>
    <x v="3"/>
    <x v="1"/>
    <n v="1"/>
    <n v="1"/>
    <n v="3.5"/>
    <x v="30"/>
    <n v="5"/>
    <n v="5"/>
    <n v="781874"/>
    <n v="422122"/>
    <n v="359752"/>
    <n v="38"/>
    <n v="58"/>
    <n v="7.8"/>
  </r>
  <r>
    <x v="12"/>
    <x v="12"/>
    <d v="2022-09-23T00:00:00"/>
    <s v="NA"/>
    <n v="0"/>
    <n v="27"/>
    <s v="21-40"/>
    <x v="0"/>
    <x v="6"/>
    <x v="4"/>
    <x v="4"/>
    <n v="1"/>
    <n v="1"/>
    <n v="4.5"/>
    <x v="0"/>
    <n v="4"/>
    <n v="3"/>
    <n v="818369"/>
    <n v="240799"/>
    <n v="577570"/>
    <n v="71"/>
    <n v="58"/>
    <n v="6.2"/>
  </r>
  <r>
    <x v="1"/>
    <x v="1"/>
    <d v="2022-12-21T00:00:00"/>
    <s v="NA"/>
    <n v="0"/>
    <n v="76"/>
    <s v="61-80"/>
    <x v="0"/>
    <x v="4"/>
    <x v="3"/>
    <x v="2"/>
    <n v="1"/>
    <n v="1"/>
    <n v="2"/>
    <x v="7"/>
    <n v="6"/>
    <n v="5"/>
    <n v="422176"/>
    <n v="59567"/>
    <n v="362609"/>
    <n v="35"/>
    <n v="61"/>
    <n v="36"/>
  </r>
  <r>
    <x v="1"/>
    <x v="1"/>
    <d v="2021-10-16T00:00:00"/>
    <s v="NA"/>
    <n v="0"/>
    <n v="79"/>
    <s v="61-80"/>
    <x v="1"/>
    <x v="11"/>
    <x v="8"/>
    <x v="2"/>
    <n v="1"/>
    <n v="1"/>
    <n v="3.2"/>
    <x v="19"/>
    <n v="3"/>
    <n v="7"/>
    <n v="674574"/>
    <n v="298610"/>
    <n v="375964"/>
    <n v="42"/>
    <n v="65"/>
    <n v="6.1"/>
  </r>
  <r>
    <x v="1"/>
    <x v="1"/>
    <d v="2023-05-19T00:00:00"/>
    <s v="NA"/>
    <n v="0"/>
    <n v="75"/>
    <s v="61-80"/>
    <x v="1"/>
    <x v="3"/>
    <x v="2"/>
    <x v="1"/>
    <n v="1"/>
    <n v="1"/>
    <n v="1.2"/>
    <x v="28"/>
    <n v="7"/>
    <n v="5"/>
    <n v="671586"/>
    <n v="268074"/>
    <n v="403512"/>
    <n v="39"/>
    <n v="65"/>
    <n v="13.5"/>
  </r>
  <r>
    <x v="12"/>
    <x v="12"/>
    <d v="2022-01-17T00:00:00"/>
    <s v="NA"/>
    <n v="0"/>
    <n v="39"/>
    <s v="21-40"/>
    <x v="1"/>
    <x v="12"/>
    <x v="9"/>
    <x v="3"/>
    <n v="1"/>
    <n v="1"/>
    <n v="3.6"/>
    <x v="22"/>
    <n v="7"/>
    <n v="7"/>
    <n v="991249"/>
    <n v="385067"/>
    <n v="606182"/>
    <n v="66"/>
    <n v="57"/>
    <n v="5.9"/>
  </r>
  <r>
    <x v="1"/>
    <x v="1"/>
    <d v="2021-10-07T00:00:00"/>
    <s v="NA"/>
    <n v="0"/>
    <n v="24"/>
    <s v="21-40"/>
    <x v="1"/>
    <x v="2"/>
    <x v="1"/>
    <x v="4"/>
    <n v="1"/>
    <n v="1"/>
    <n v="3.2"/>
    <x v="26"/>
    <n v="7"/>
    <n v="4"/>
    <n v="610643"/>
    <n v="210185"/>
    <n v="400458"/>
    <n v="33"/>
    <n v="61"/>
    <n v="8.4"/>
  </r>
  <r>
    <x v="1"/>
    <x v="1"/>
    <d v="2021-08-23T00:00:00"/>
    <s v="NA"/>
    <n v="0"/>
    <n v="42"/>
    <s v="41-60"/>
    <x v="1"/>
    <x v="6"/>
    <x v="4"/>
    <x v="1"/>
    <n v="1"/>
    <n v="1"/>
    <n v="7"/>
    <x v="16"/>
    <n v="7"/>
    <n v="4"/>
    <n v="794636"/>
    <n v="436440"/>
    <n v="358196"/>
    <n v="50"/>
    <n v="55"/>
    <n v="9.1"/>
  </r>
  <r>
    <x v="1"/>
    <x v="1"/>
    <d v="2023-02-15T00:00:00"/>
    <s v="NA"/>
    <n v="0"/>
    <n v="54"/>
    <s v="41-60"/>
    <x v="1"/>
    <x v="4"/>
    <x v="3"/>
    <x v="4"/>
    <n v="1"/>
    <n v="1"/>
    <n v="6"/>
    <x v="14"/>
    <n v="3"/>
    <n v="4"/>
    <n v="406085"/>
    <n v="51584"/>
    <n v="354501"/>
    <n v="33"/>
    <n v="63"/>
    <n v="9.4"/>
  </r>
  <r>
    <x v="1"/>
    <x v="1"/>
    <d v="2021-03-10T00:00:00"/>
    <s v="NA"/>
    <n v="0"/>
    <n v="87"/>
    <s v="81+"/>
    <x v="1"/>
    <x v="1"/>
    <x v="1"/>
    <x v="4"/>
    <n v="1"/>
    <n v="1"/>
    <n v="3.1"/>
    <x v="26"/>
    <n v="5"/>
    <n v="5"/>
    <n v="686374"/>
    <n v="308884"/>
    <n v="377490"/>
    <n v="37"/>
    <n v="63"/>
    <n v="5.2"/>
  </r>
  <r>
    <x v="1"/>
    <x v="1"/>
    <d v="2022-11-04T00:00:00"/>
    <s v="NA"/>
    <n v="0"/>
    <n v="34"/>
    <s v="21-40"/>
    <x v="1"/>
    <x v="2"/>
    <x v="1"/>
    <x v="2"/>
    <n v="1"/>
    <n v="1"/>
    <n v="4.2"/>
    <x v="1"/>
    <n v="3"/>
    <n v="6"/>
    <n v="599461"/>
    <n v="206821"/>
    <n v="392640"/>
    <n v="44"/>
    <n v="62"/>
    <n v="9.1999999999999993"/>
  </r>
  <r>
    <x v="1"/>
    <x v="1"/>
    <d v="2024-10-13T00:00:00"/>
    <s v="NA"/>
    <n v="0"/>
    <n v="37"/>
    <s v="21-40"/>
    <x v="1"/>
    <x v="2"/>
    <x v="1"/>
    <x v="0"/>
    <n v="1"/>
    <n v="1"/>
    <n v="2.1"/>
    <x v="28"/>
    <n v="3"/>
    <n v="4"/>
    <n v="599635"/>
    <n v="205317"/>
    <n v="394318"/>
    <n v="40"/>
    <n v="61"/>
    <n v="9.5"/>
  </r>
  <r>
    <x v="1"/>
    <x v="1"/>
    <d v="2024-04-14T00:00:00"/>
    <s v="NA"/>
    <n v="0"/>
    <n v="40"/>
    <s v="21-40"/>
    <x v="0"/>
    <x v="7"/>
    <x v="5"/>
    <x v="2"/>
    <n v="1"/>
    <n v="1"/>
    <n v="1.4"/>
    <x v="21"/>
    <n v="7"/>
    <n v="5"/>
    <n v="512645"/>
    <n v="160258"/>
    <n v="352387"/>
    <n v="48"/>
    <n v="63"/>
    <n v="10.1"/>
  </r>
  <r>
    <x v="1"/>
    <x v="1"/>
    <d v="2024-12-02T00:00:00"/>
    <s v="NA"/>
    <n v="0"/>
    <n v="39"/>
    <s v="21-40"/>
    <x v="0"/>
    <x v="7"/>
    <x v="5"/>
    <x v="2"/>
    <n v="1"/>
    <n v="1"/>
    <n v="2.2999999999999998"/>
    <x v="4"/>
    <n v="5"/>
    <n v="7"/>
    <n v="466426"/>
    <n v="99767"/>
    <n v="366659"/>
    <n v="40"/>
    <n v="66"/>
    <n v="12.7"/>
  </r>
  <r>
    <x v="1"/>
    <x v="1"/>
    <d v="2022-12-02T00:00:00"/>
    <s v="NA"/>
    <n v="0"/>
    <n v="69"/>
    <s v="61-80"/>
    <x v="1"/>
    <x v="13"/>
    <x v="10"/>
    <x v="4"/>
    <n v="1"/>
    <n v="1"/>
    <n v="1.6"/>
    <x v="12"/>
    <n v="7"/>
    <n v="3"/>
    <n v="513425"/>
    <n v="133937"/>
    <n v="379488"/>
    <n v="41"/>
    <n v="54"/>
    <n v="8.8000000000000007"/>
  </r>
  <r>
    <x v="1"/>
    <x v="1"/>
    <d v="2021-02-21T00:00:00"/>
    <s v="NA"/>
    <n v="0"/>
    <n v="47"/>
    <s v="41-60"/>
    <x v="1"/>
    <x v="6"/>
    <x v="4"/>
    <x v="2"/>
    <n v="1"/>
    <n v="1"/>
    <n v="2.1"/>
    <x v="0"/>
    <n v="4"/>
    <n v="3"/>
    <n v="734420"/>
    <n v="365065"/>
    <n v="369355"/>
    <n v="42"/>
    <n v="61"/>
    <n v="5.6"/>
  </r>
  <r>
    <x v="1"/>
    <x v="1"/>
    <d v="2021-10-05T00:00:00"/>
    <s v="NA"/>
    <n v="0"/>
    <n v="24"/>
    <s v="21-40"/>
    <x v="0"/>
    <x v="12"/>
    <x v="9"/>
    <x v="3"/>
    <n v="1"/>
    <n v="1"/>
    <n v="3"/>
    <x v="27"/>
    <n v="6"/>
    <n v="7"/>
    <n v="415332"/>
    <n v="31967"/>
    <n v="383365"/>
    <n v="40"/>
    <n v="57"/>
    <n v="6.3"/>
  </r>
  <r>
    <x v="1"/>
    <x v="1"/>
    <d v="2022-12-17T00:00:00"/>
    <s v="NA"/>
    <n v="0"/>
    <n v="45"/>
    <s v="41-60"/>
    <x v="0"/>
    <x v="12"/>
    <x v="9"/>
    <x v="4"/>
    <n v="1"/>
    <n v="1"/>
    <n v="2.5"/>
    <x v="1"/>
    <n v="5"/>
    <n v="5"/>
    <n v="799947"/>
    <n v="432994"/>
    <n v="366953"/>
    <n v="50"/>
    <n v="65"/>
    <n v="7.7"/>
  </r>
  <r>
    <x v="1"/>
    <x v="1"/>
    <d v="2021-10-29T00:00:00"/>
    <s v="NA"/>
    <n v="0"/>
    <n v="58"/>
    <s v="41-60"/>
    <x v="0"/>
    <x v="7"/>
    <x v="5"/>
    <x v="3"/>
    <n v="1"/>
    <n v="1"/>
    <n v="3.2"/>
    <x v="14"/>
    <n v="4"/>
    <n v="6"/>
    <n v="549143"/>
    <n v="161725"/>
    <n v="387418"/>
    <n v="43"/>
    <n v="61"/>
    <n v="12.8"/>
  </r>
  <r>
    <x v="1"/>
    <x v="1"/>
    <d v="2023-11-05T00:00:00"/>
    <s v="NA"/>
    <n v="0"/>
    <n v="40"/>
    <s v="21-40"/>
    <x v="0"/>
    <x v="10"/>
    <x v="8"/>
    <x v="4"/>
    <n v="1"/>
    <n v="1"/>
    <n v="4.9000000000000004"/>
    <x v="24"/>
    <n v="6"/>
    <n v="4"/>
    <n v="704083"/>
    <n v="320785"/>
    <n v="383298"/>
    <n v="34"/>
    <n v="56"/>
    <n v="9.1999999999999993"/>
  </r>
  <r>
    <x v="1"/>
    <x v="1"/>
    <d v="2023-12-23T00:00:00"/>
    <s v="NA"/>
    <n v="0"/>
    <n v="66"/>
    <s v="61-80"/>
    <x v="0"/>
    <x v="5"/>
    <x v="0"/>
    <x v="4"/>
    <n v="1"/>
    <n v="1"/>
    <n v="5.2"/>
    <x v="8"/>
    <n v="5"/>
    <n v="4"/>
    <n v="681328"/>
    <n v="296551"/>
    <n v="384777"/>
    <n v="30"/>
    <n v="62"/>
    <n v="9.3000000000000007"/>
  </r>
  <r>
    <x v="1"/>
    <x v="1"/>
    <d v="2024-03-30T00:00:00"/>
    <s v="NA"/>
    <n v="0"/>
    <n v="35"/>
    <s v="21-40"/>
    <x v="0"/>
    <x v="9"/>
    <x v="7"/>
    <x v="4"/>
    <n v="1"/>
    <n v="1"/>
    <n v="2.4"/>
    <x v="27"/>
    <n v="6"/>
    <n v="5"/>
    <n v="429362"/>
    <n v="40090"/>
    <n v="389272"/>
    <n v="30"/>
    <n v="63"/>
    <n v="9.3000000000000007"/>
  </r>
  <r>
    <x v="1"/>
    <x v="1"/>
    <d v="2021-10-14T00:00:00"/>
    <s v="NA"/>
    <n v="0"/>
    <n v="90"/>
    <s v="81+"/>
    <x v="0"/>
    <x v="5"/>
    <x v="0"/>
    <x v="2"/>
    <n v="1"/>
    <n v="1"/>
    <n v="1.6"/>
    <x v="12"/>
    <n v="7"/>
    <n v="6"/>
    <n v="683523"/>
    <n v="294723"/>
    <n v="388800"/>
    <n v="37"/>
    <n v="63"/>
    <n v="9.1999999999999993"/>
  </r>
  <r>
    <x v="1"/>
    <x v="1"/>
    <d v="2023-03-10T00:00:00"/>
    <s v="NA"/>
    <n v="0"/>
    <n v="29"/>
    <s v="21-40"/>
    <x v="0"/>
    <x v="1"/>
    <x v="1"/>
    <x v="4"/>
    <n v="1"/>
    <n v="1"/>
    <n v="5.2"/>
    <x v="28"/>
    <n v="4"/>
    <n v="6"/>
    <n v="532656"/>
    <n v="131761"/>
    <n v="400895"/>
    <n v="45"/>
    <n v="62"/>
    <n v="13.3"/>
  </r>
  <r>
    <x v="1"/>
    <x v="1"/>
    <d v="2024-03-17T00:00:00"/>
    <s v="NA"/>
    <n v="0"/>
    <n v="81"/>
    <s v="81+"/>
    <x v="0"/>
    <x v="4"/>
    <x v="3"/>
    <x v="0"/>
    <n v="1"/>
    <n v="1"/>
    <n v="1.5"/>
    <x v="24"/>
    <n v="5"/>
    <n v="3"/>
    <n v="678451"/>
    <n v="310231"/>
    <n v="368220"/>
    <n v="46"/>
    <n v="54"/>
    <n v="13.4"/>
  </r>
  <r>
    <x v="1"/>
    <x v="1"/>
    <d v="2024-11-24T00:00:00"/>
    <s v="NA"/>
    <n v="0"/>
    <n v="43"/>
    <s v="41-60"/>
    <x v="1"/>
    <x v="13"/>
    <x v="10"/>
    <x v="0"/>
    <n v="1"/>
    <n v="1"/>
    <n v="1.5"/>
    <x v="16"/>
    <n v="7"/>
    <n v="5"/>
    <n v="602641"/>
    <n v="249809"/>
    <n v="352832"/>
    <n v="50"/>
    <n v="61"/>
    <n v="8.1"/>
  </r>
  <r>
    <x v="1"/>
    <x v="1"/>
    <d v="2022-07-29T00:00:00"/>
    <s v="NA"/>
    <n v="0"/>
    <n v="47"/>
    <s v="41-60"/>
    <x v="1"/>
    <x v="13"/>
    <x v="10"/>
    <x v="3"/>
    <n v="1"/>
    <n v="1"/>
    <n v="2.2999999999999998"/>
    <x v="23"/>
    <n v="3"/>
    <n v="5"/>
    <n v="461616"/>
    <n v="75410"/>
    <n v="386206"/>
    <n v="36"/>
    <n v="55"/>
    <n v="14.8"/>
  </r>
  <r>
    <x v="1"/>
    <x v="1"/>
    <d v="2021-05-25T00:00:00"/>
    <s v="NA"/>
    <n v="0"/>
    <n v="71"/>
    <s v="61-80"/>
    <x v="1"/>
    <x v="2"/>
    <x v="1"/>
    <x v="2"/>
    <n v="1"/>
    <n v="1"/>
    <n v="6.4"/>
    <x v="19"/>
    <n v="7"/>
    <n v="6"/>
    <n v="778432"/>
    <n v="413288"/>
    <n v="365144"/>
    <n v="37"/>
    <n v="58"/>
    <n v="8.8000000000000007"/>
  </r>
  <r>
    <x v="1"/>
    <x v="1"/>
    <d v="2023-09-04T00:00:00"/>
    <s v="NA"/>
    <n v="0"/>
    <n v="51"/>
    <s v="41-60"/>
    <x v="1"/>
    <x v="7"/>
    <x v="5"/>
    <x v="4"/>
    <n v="1"/>
    <n v="1"/>
    <n v="2.5"/>
    <x v="0"/>
    <n v="4"/>
    <n v="3"/>
    <n v="759177"/>
    <n v="364826"/>
    <n v="394351"/>
    <n v="36"/>
    <n v="57"/>
    <n v="14.9"/>
  </r>
  <r>
    <x v="1"/>
    <x v="1"/>
    <d v="2023-01-06T00:00:00"/>
    <s v="NA"/>
    <n v="0"/>
    <n v="35"/>
    <s v="21-40"/>
    <x v="1"/>
    <x v="3"/>
    <x v="2"/>
    <x v="2"/>
    <n v="1"/>
    <n v="1"/>
    <n v="2.4"/>
    <x v="1"/>
    <n v="5"/>
    <n v="7"/>
    <n v="730731"/>
    <n v="351151"/>
    <n v="379580"/>
    <n v="33"/>
    <n v="55"/>
    <n v="7.1"/>
  </r>
  <r>
    <x v="1"/>
    <x v="1"/>
    <d v="2023-04-23T00:00:00"/>
    <s v="NA"/>
    <n v="0"/>
    <n v="82"/>
    <s v="81+"/>
    <x v="0"/>
    <x v="9"/>
    <x v="7"/>
    <x v="3"/>
    <n v="1"/>
    <n v="1"/>
    <n v="5.3"/>
    <x v="18"/>
    <n v="4"/>
    <n v="6"/>
    <n v="619149"/>
    <n v="251826"/>
    <n v="367323"/>
    <n v="35"/>
    <n v="55"/>
    <n v="8"/>
  </r>
  <r>
    <x v="1"/>
    <x v="1"/>
    <d v="2024-10-25T00:00:00"/>
    <s v="NA"/>
    <n v="0"/>
    <n v="66"/>
    <s v="61-80"/>
    <x v="0"/>
    <x v="9"/>
    <x v="7"/>
    <x v="0"/>
    <n v="1"/>
    <n v="1"/>
    <n v="5.4"/>
    <x v="30"/>
    <n v="3"/>
    <n v="7"/>
    <n v="680741"/>
    <n v="304763"/>
    <n v="375978"/>
    <n v="44"/>
    <n v="56"/>
    <n v="14.3"/>
  </r>
  <r>
    <x v="1"/>
    <x v="1"/>
    <d v="2024-11-25T00:00:00"/>
    <s v="NA"/>
    <n v="0"/>
    <n v="80"/>
    <s v="61-80"/>
    <x v="1"/>
    <x v="3"/>
    <x v="2"/>
    <x v="2"/>
    <n v="1"/>
    <n v="1"/>
    <n v="2.6"/>
    <x v="1"/>
    <n v="3"/>
    <n v="3"/>
    <n v="677056"/>
    <n v="275723"/>
    <n v="401333"/>
    <n v="41"/>
    <n v="60"/>
    <n v="12.5"/>
  </r>
  <r>
    <x v="1"/>
    <x v="1"/>
    <d v="2023-06-29T00:00:00"/>
    <s v="NA"/>
    <n v="0"/>
    <n v="39"/>
    <s v="21-40"/>
    <x v="0"/>
    <x v="13"/>
    <x v="10"/>
    <x v="4"/>
    <n v="1"/>
    <n v="1"/>
    <n v="6.4"/>
    <x v="1"/>
    <n v="7"/>
    <n v="6"/>
    <n v="589775"/>
    <n v="203418"/>
    <n v="386357"/>
    <n v="37"/>
    <n v="57"/>
    <n v="6.4"/>
  </r>
  <r>
    <x v="1"/>
    <x v="1"/>
    <d v="2023-01-21T00:00:00"/>
    <s v="NA"/>
    <n v="0"/>
    <n v="44"/>
    <s v="41-60"/>
    <x v="1"/>
    <x v="3"/>
    <x v="2"/>
    <x v="2"/>
    <n v="1"/>
    <n v="1"/>
    <n v="1.5"/>
    <x v="15"/>
    <n v="7"/>
    <n v="6"/>
    <n v="577566"/>
    <n v="187262"/>
    <n v="390304"/>
    <n v="47"/>
    <n v="61"/>
    <n v="12.8"/>
  </r>
  <r>
    <x v="1"/>
    <x v="1"/>
    <d v="2022-02-17T00:00:00"/>
    <s v="NA"/>
    <n v="0"/>
    <n v="23"/>
    <s v="21-40"/>
    <x v="0"/>
    <x v="10"/>
    <x v="8"/>
    <x v="0"/>
    <n v="1"/>
    <n v="1"/>
    <n v="4.5999999999999996"/>
    <x v="27"/>
    <n v="7"/>
    <n v="4"/>
    <n v="473512"/>
    <n v="113479"/>
    <n v="360033"/>
    <n v="42"/>
    <n v="57"/>
    <n v="36.6"/>
  </r>
  <r>
    <x v="1"/>
    <x v="1"/>
    <d v="2023-08-09T00:00:00"/>
    <s v="NA"/>
    <n v="0"/>
    <n v="28"/>
    <s v="21-40"/>
    <x v="0"/>
    <x v="13"/>
    <x v="10"/>
    <x v="0"/>
    <n v="1"/>
    <n v="1"/>
    <n v="5.8"/>
    <x v="18"/>
    <n v="6"/>
    <n v="3"/>
    <n v="730783"/>
    <n v="353185"/>
    <n v="377598"/>
    <n v="47"/>
    <n v="58"/>
    <n v="13.8"/>
  </r>
  <r>
    <x v="1"/>
    <x v="1"/>
    <d v="2023-03-30T00:00:00"/>
    <s v="NA"/>
    <n v="0"/>
    <n v="28"/>
    <s v="21-40"/>
    <x v="0"/>
    <x v="1"/>
    <x v="1"/>
    <x v="1"/>
    <n v="1"/>
    <n v="1"/>
    <n v="4.8"/>
    <x v="24"/>
    <n v="7"/>
    <n v="7"/>
    <n v="591486"/>
    <n v="193323"/>
    <n v="398163"/>
    <n v="39"/>
    <n v="63"/>
    <n v="14.7"/>
  </r>
  <r>
    <x v="1"/>
    <x v="1"/>
    <d v="2023-05-31T00:00:00"/>
    <s v="NA"/>
    <n v="0"/>
    <n v="47"/>
    <s v="41-60"/>
    <x v="0"/>
    <x v="10"/>
    <x v="8"/>
    <x v="1"/>
    <n v="1"/>
    <n v="1"/>
    <n v="5.9"/>
    <x v="26"/>
    <n v="4"/>
    <n v="3"/>
    <n v="788371"/>
    <n v="427570"/>
    <n v="360801"/>
    <n v="43"/>
    <n v="66"/>
    <n v="36.1"/>
  </r>
  <r>
    <x v="1"/>
    <x v="1"/>
    <d v="2023-05-12T00:00:00"/>
    <s v="NA"/>
    <n v="0"/>
    <n v="67"/>
    <s v="61-80"/>
    <x v="1"/>
    <x v="4"/>
    <x v="3"/>
    <x v="1"/>
    <n v="1"/>
    <n v="1"/>
    <n v="3.6"/>
    <x v="28"/>
    <n v="7"/>
    <n v="6"/>
    <n v="552253"/>
    <n v="164594"/>
    <n v="387659"/>
    <n v="34"/>
    <n v="56"/>
    <n v="8.6999999999999993"/>
  </r>
  <r>
    <x v="1"/>
    <x v="1"/>
    <d v="2023-05-25T00:00:00"/>
    <s v="NA"/>
    <n v="0"/>
    <n v="36"/>
    <s v="21-40"/>
    <x v="0"/>
    <x v="12"/>
    <x v="9"/>
    <x v="2"/>
    <n v="1"/>
    <n v="1"/>
    <n v="3.7"/>
    <x v="11"/>
    <n v="5"/>
    <n v="4"/>
    <n v="625640"/>
    <n v="233801"/>
    <n v="391839"/>
    <n v="46"/>
    <n v="59"/>
    <n v="14.5"/>
  </r>
  <r>
    <x v="1"/>
    <x v="1"/>
    <d v="2023-01-26T00:00:00"/>
    <s v="NA"/>
    <n v="0"/>
    <n v="57"/>
    <s v="41-60"/>
    <x v="1"/>
    <x v="2"/>
    <x v="1"/>
    <x v="0"/>
    <n v="1"/>
    <n v="1"/>
    <n v="6.3"/>
    <x v="5"/>
    <n v="4"/>
    <n v="4"/>
    <n v="777873"/>
    <n v="392823"/>
    <n v="385050"/>
    <n v="31"/>
    <n v="61"/>
    <n v="7.7"/>
  </r>
  <r>
    <x v="1"/>
    <x v="1"/>
    <d v="2023-09-07T00:00:00"/>
    <s v="NA"/>
    <n v="0"/>
    <n v="59"/>
    <s v="41-60"/>
    <x v="0"/>
    <x v="9"/>
    <x v="7"/>
    <x v="3"/>
    <n v="1"/>
    <n v="1"/>
    <n v="4.0999999999999996"/>
    <x v="25"/>
    <n v="7"/>
    <n v="3"/>
    <n v="492943"/>
    <n v="124351"/>
    <n v="368592"/>
    <n v="47"/>
    <n v="56"/>
    <n v="6.6"/>
  </r>
  <r>
    <x v="1"/>
    <x v="1"/>
    <d v="2022-03-10T00:00:00"/>
    <s v="NA"/>
    <n v="0"/>
    <n v="85"/>
    <s v="81+"/>
    <x v="1"/>
    <x v="12"/>
    <x v="9"/>
    <x v="1"/>
    <n v="1"/>
    <n v="1"/>
    <n v="5.9"/>
    <x v="19"/>
    <n v="6"/>
    <n v="6"/>
    <n v="779469"/>
    <n v="414628"/>
    <n v="364841"/>
    <n v="39"/>
    <n v="63"/>
    <n v="7.5"/>
  </r>
  <r>
    <x v="1"/>
    <x v="1"/>
    <d v="2023-10-29T00:00:00"/>
    <s v="NA"/>
    <n v="0"/>
    <n v="62"/>
    <s v="61-80"/>
    <x v="0"/>
    <x v="13"/>
    <x v="10"/>
    <x v="4"/>
    <n v="1"/>
    <n v="1"/>
    <n v="5.7"/>
    <x v="18"/>
    <n v="7"/>
    <n v="3"/>
    <n v="474984"/>
    <n v="110493"/>
    <n v="364491"/>
    <n v="49"/>
    <n v="59"/>
    <n v="10"/>
  </r>
  <r>
    <x v="1"/>
    <x v="1"/>
    <d v="2022-09-05T00:00:00"/>
    <s v="NA"/>
    <n v="0"/>
    <n v="78"/>
    <s v="61-80"/>
    <x v="1"/>
    <x v="2"/>
    <x v="1"/>
    <x v="0"/>
    <n v="1"/>
    <n v="1"/>
    <n v="1.1000000000000001"/>
    <x v="25"/>
    <n v="4"/>
    <n v="3"/>
    <n v="537848"/>
    <n v="167390"/>
    <n v="370458"/>
    <n v="30"/>
    <n v="56"/>
    <n v="14.4"/>
  </r>
  <r>
    <x v="1"/>
    <x v="1"/>
    <d v="2021-10-15T00:00:00"/>
    <s v="NA"/>
    <n v="0"/>
    <n v="56"/>
    <s v="41-60"/>
    <x v="0"/>
    <x v="12"/>
    <x v="9"/>
    <x v="1"/>
    <n v="1"/>
    <n v="1"/>
    <n v="2.5"/>
    <x v="3"/>
    <n v="6"/>
    <n v="4"/>
    <n v="480682"/>
    <n v="122200"/>
    <n v="358482"/>
    <n v="50"/>
    <n v="56"/>
    <n v="13.2"/>
  </r>
  <r>
    <x v="1"/>
    <x v="1"/>
    <d v="2023-07-19T00:00:00"/>
    <s v="NA"/>
    <n v="0"/>
    <n v="26"/>
    <s v="21-40"/>
    <x v="0"/>
    <x v="12"/>
    <x v="9"/>
    <x v="2"/>
    <n v="1"/>
    <n v="1"/>
    <n v="2.4"/>
    <x v="17"/>
    <n v="3"/>
    <n v="3"/>
    <n v="736478"/>
    <n v="327887"/>
    <n v="408591"/>
    <n v="42"/>
    <n v="61"/>
    <n v="12.6"/>
  </r>
  <r>
    <x v="1"/>
    <x v="1"/>
    <d v="2022-04-08T00:00:00"/>
    <s v="NA"/>
    <n v="0"/>
    <n v="85"/>
    <s v="81+"/>
    <x v="0"/>
    <x v="5"/>
    <x v="0"/>
    <x v="3"/>
    <n v="1"/>
    <n v="1"/>
    <n v="6.1"/>
    <x v="1"/>
    <n v="6"/>
    <n v="6"/>
    <n v="704789"/>
    <n v="315197"/>
    <n v="389592"/>
    <n v="40"/>
    <n v="58"/>
    <n v="9.1999999999999993"/>
  </r>
  <r>
    <x v="1"/>
    <x v="1"/>
    <d v="2023-05-31T00:00:00"/>
    <s v="NA"/>
    <n v="0"/>
    <n v="88"/>
    <s v="81+"/>
    <x v="0"/>
    <x v="5"/>
    <x v="0"/>
    <x v="0"/>
    <n v="1"/>
    <n v="1"/>
    <n v="6.6"/>
    <x v="12"/>
    <n v="7"/>
    <n v="7"/>
    <n v="656387"/>
    <n v="276713"/>
    <n v="379674"/>
    <n v="34"/>
    <n v="62"/>
    <n v="6"/>
  </r>
  <r>
    <x v="1"/>
    <x v="1"/>
    <d v="2022-08-23T00:00:00"/>
    <s v="NA"/>
    <n v="0"/>
    <n v="52"/>
    <s v="41-60"/>
    <x v="0"/>
    <x v="0"/>
    <x v="0"/>
    <x v="4"/>
    <n v="1"/>
    <n v="1"/>
    <n v="5.4"/>
    <x v="12"/>
    <n v="6"/>
    <n v="5"/>
    <n v="633321"/>
    <n v="261301"/>
    <n v="372020"/>
    <n v="41"/>
    <n v="57"/>
    <n v="7.4"/>
  </r>
  <r>
    <x v="1"/>
    <x v="1"/>
    <d v="2024-12-24T00:00:00"/>
    <s v="NA"/>
    <n v="0"/>
    <n v="44"/>
    <s v="41-60"/>
    <x v="1"/>
    <x v="9"/>
    <x v="7"/>
    <x v="0"/>
    <n v="1"/>
    <n v="1"/>
    <n v="5.5"/>
    <x v="19"/>
    <n v="6"/>
    <n v="3"/>
    <n v="695915"/>
    <n v="310929"/>
    <n v="384986"/>
    <n v="44"/>
    <n v="56"/>
    <n v="7.5"/>
  </r>
  <r>
    <x v="1"/>
    <x v="1"/>
    <d v="2021-04-13T00:00:00"/>
    <s v="NA"/>
    <n v="0"/>
    <n v="40"/>
    <s v="21-40"/>
    <x v="1"/>
    <x v="6"/>
    <x v="4"/>
    <x v="4"/>
    <n v="1"/>
    <n v="1"/>
    <n v="5.4"/>
    <x v="10"/>
    <n v="4"/>
    <n v="7"/>
    <n v="780613"/>
    <n v="383700"/>
    <n v="396913"/>
    <n v="49"/>
    <n v="56"/>
    <n v="5.0999999999999996"/>
  </r>
  <r>
    <x v="1"/>
    <x v="1"/>
    <d v="2022-05-11T00:00:00"/>
    <s v="NA"/>
    <n v="0"/>
    <n v="61"/>
    <s v="61-80"/>
    <x v="0"/>
    <x v="4"/>
    <x v="3"/>
    <x v="2"/>
    <n v="1"/>
    <n v="1"/>
    <n v="5.6"/>
    <x v="27"/>
    <n v="6"/>
    <n v="4"/>
    <n v="588472"/>
    <n v="212258"/>
    <n v="376214"/>
    <n v="43"/>
    <n v="55"/>
    <n v="12"/>
  </r>
  <r>
    <x v="1"/>
    <x v="1"/>
    <d v="2023-07-31T00:00:00"/>
    <s v="NA"/>
    <n v="0"/>
    <n v="37"/>
    <s v="21-40"/>
    <x v="1"/>
    <x v="1"/>
    <x v="1"/>
    <x v="2"/>
    <n v="1"/>
    <n v="1"/>
    <n v="3.4"/>
    <x v="14"/>
    <n v="6"/>
    <n v="4"/>
    <n v="633707"/>
    <n v="229888"/>
    <n v="403819"/>
    <n v="37"/>
    <n v="59"/>
    <n v="12.7"/>
  </r>
  <r>
    <x v="1"/>
    <x v="1"/>
    <d v="2022-05-12T00:00:00"/>
    <s v="NA"/>
    <n v="0"/>
    <n v="43"/>
    <s v="41-60"/>
    <x v="0"/>
    <x v="9"/>
    <x v="7"/>
    <x v="4"/>
    <n v="1"/>
    <n v="1"/>
    <n v="3.4"/>
    <x v="15"/>
    <n v="7"/>
    <n v="4"/>
    <n v="555733"/>
    <n v="167394"/>
    <n v="388339"/>
    <n v="47"/>
    <n v="56"/>
    <n v="12"/>
  </r>
  <r>
    <x v="1"/>
    <x v="1"/>
    <d v="2021-06-21T00:00:00"/>
    <s v="NA"/>
    <n v="0"/>
    <n v="43"/>
    <s v="41-60"/>
    <x v="1"/>
    <x v="3"/>
    <x v="2"/>
    <x v="0"/>
    <n v="1"/>
    <n v="1"/>
    <n v="1.5"/>
    <x v="5"/>
    <n v="7"/>
    <n v="6"/>
    <n v="608946"/>
    <n v="211849"/>
    <n v="397097"/>
    <n v="44"/>
    <n v="59"/>
    <n v="5.3"/>
  </r>
  <r>
    <x v="1"/>
    <x v="1"/>
    <d v="2023-08-04T00:00:00"/>
    <s v="NA"/>
    <n v="0"/>
    <n v="41"/>
    <s v="41-60"/>
    <x v="0"/>
    <x v="10"/>
    <x v="8"/>
    <x v="4"/>
    <n v="1"/>
    <n v="1"/>
    <n v="5.3"/>
    <x v="26"/>
    <n v="4"/>
    <n v="7"/>
    <n v="446929"/>
    <n v="61727"/>
    <n v="385202"/>
    <n v="31"/>
    <n v="58"/>
    <n v="12.9"/>
  </r>
  <r>
    <x v="1"/>
    <x v="1"/>
    <d v="2021-03-17T00:00:00"/>
    <s v="NA"/>
    <n v="0"/>
    <n v="33"/>
    <s v="21-40"/>
    <x v="0"/>
    <x v="13"/>
    <x v="10"/>
    <x v="1"/>
    <n v="1"/>
    <n v="1"/>
    <n v="1.7"/>
    <x v="7"/>
    <n v="4"/>
    <n v="5"/>
    <n v="468465"/>
    <n v="90435"/>
    <n v="378030"/>
    <n v="50"/>
    <n v="54"/>
    <n v="14.5"/>
  </r>
  <r>
    <x v="1"/>
    <x v="1"/>
    <d v="2023-12-01T00:00:00"/>
    <s v="NA"/>
    <n v="0"/>
    <n v="34"/>
    <s v="21-40"/>
    <x v="1"/>
    <x v="8"/>
    <x v="6"/>
    <x v="1"/>
    <n v="1"/>
    <n v="1"/>
    <n v="1.2"/>
    <x v="2"/>
    <n v="3"/>
    <n v="5"/>
    <n v="666199"/>
    <n v="284511"/>
    <n v="381688"/>
    <n v="42"/>
    <n v="66"/>
    <n v="10.6"/>
  </r>
  <r>
    <x v="1"/>
    <x v="1"/>
    <d v="2023-10-02T00:00:00"/>
    <s v="NA"/>
    <n v="0"/>
    <n v="75"/>
    <s v="61-80"/>
    <x v="0"/>
    <x v="13"/>
    <x v="10"/>
    <x v="2"/>
    <n v="1"/>
    <n v="1"/>
    <n v="6.2"/>
    <x v="20"/>
    <n v="5"/>
    <n v="6"/>
    <n v="422230"/>
    <n v="48465"/>
    <n v="373765"/>
    <n v="38"/>
    <n v="65"/>
    <n v="5.6"/>
  </r>
  <r>
    <x v="1"/>
    <x v="1"/>
    <d v="2024-11-27T00:00:00"/>
    <s v="NA"/>
    <n v="0"/>
    <n v="44"/>
    <s v="41-60"/>
    <x v="0"/>
    <x v="2"/>
    <x v="1"/>
    <x v="2"/>
    <n v="1"/>
    <n v="1"/>
    <n v="4.4000000000000004"/>
    <x v="8"/>
    <n v="7"/>
    <n v="4"/>
    <n v="620273"/>
    <n v="213481"/>
    <n v="406792"/>
    <n v="35"/>
    <n v="54"/>
    <n v="36.299999999999997"/>
  </r>
  <r>
    <x v="1"/>
    <x v="1"/>
    <d v="2021-08-28T00:00:00"/>
    <s v="NA"/>
    <n v="0"/>
    <n v="86"/>
    <s v="81+"/>
    <x v="1"/>
    <x v="10"/>
    <x v="8"/>
    <x v="3"/>
    <n v="1"/>
    <n v="1"/>
    <n v="2.2999999999999998"/>
    <x v="14"/>
    <n v="4"/>
    <n v="3"/>
    <n v="752432"/>
    <n v="360060"/>
    <n v="392372"/>
    <n v="44"/>
    <n v="55"/>
    <n v="10.7"/>
  </r>
  <r>
    <x v="1"/>
    <x v="1"/>
    <d v="2023-08-08T00:00:00"/>
    <s v="NA"/>
    <n v="0"/>
    <n v="85"/>
    <s v="81+"/>
    <x v="0"/>
    <x v="13"/>
    <x v="10"/>
    <x v="0"/>
    <n v="1"/>
    <n v="1"/>
    <n v="6.6"/>
    <x v="2"/>
    <n v="5"/>
    <n v="6"/>
    <n v="476868"/>
    <n v="67411"/>
    <n v="409457"/>
    <n v="35"/>
    <n v="62"/>
    <n v="13.3"/>
  </r>
  <r>
    <x v="1"/>
    <x v="1"/>
    <d v="2022-11-13T00:00:00"/>
    <s v="NA"/>
    <n v="0"/>
    <n v="47"/>
    <s v="41-60"/>
    <x v="1"/>
    <x v="3"/>
    <x v="2"/>
    <x v="2"/>
    <n v="1"/>
    <n v="1"/>
    <n v="6.3"/>
    <x v="28"/>
    <n v="4"/>
    <n v="7"/>
    <n v="590952"/>
    <n v="239986"/>
    <n v="350966"/>
    <n v="31"/>
    <n v="58"/>
    <n v="6.4"/>
  </r>
  <r>
    <x v="1"/>
    <x v="1"/>
    <d v="2021-10-03T00:00:00"/>
    <s v="NA"/>
    <n v="0"/>
    <n v="38"/>
    <s v="21-40"/>
    <x v="1"/>
    <x v="3"/>
    <x v="2"/>
    <x v="0"/>
    <n v="1"/>
    <n v="1"/>
    <n v="4.8"/>
    <x v="7"/>
    <n v="3"/>
    <n v="6"/>
    <n v="704574"/>
    <n v="311812"/>
    <n v="392762"/>
    <n v="45"/>
    <n v="59"/>
    <n v="10.9"/>
  </r>
  <r>
    <x v="1"/>
    <x v="1"/>
    <d v="2024-11-12T00:00:00"/>
    <s v="NA"/>
    <n v="0"/>
    <n v="71"/>
    <s v="61-80"/>
    <x v="1"/>
    <x v="10"/>
    <x v="8"/>
    <x v="3"/>
    <n v="1"/>
    <n v="1"/>
    <n v="4.8"/>
    <x v="17"/>
    <n v="5"/>
    <n v="5"/>
    <n v="781019"/>
    <n v="423772"/>
    <n v="357247"/>
    <n v="50"/>
    <n v="61"/>
    <n v="36.5"/>
  </r>
  <r>
    <x v="1"/>
    <x v="1"/>
    <d v="2023-11-19T00:00:00"/>
    <s v="NA"/>
    <n v="0"/>
    <n v="70"/>
    <s v="61-80"/>
    <x v="1"/>
    <x v="11"/>
    <x v="8"/>
    <x v="3"/>
    <n v="1"/>
    <n v="1"/>
    <n v="3"/>
    <x v="20"/>
    <n v="6"/>
    <n v="6"/>
    <n v="503662"/>
    <n v="137648"/>
    <n v="366014"/>
    <n v="31"/>
    <n v="56"/>
    <n v="7.6"/>
  </r>
  <r>
    <x v="1"/>
    <x v="1"/>
    <d v="2023-09-10T00:00:00"/>
    <s v="NA"/>
    <n v="0"/>
    <n v="44"/>
    <s v="41-60"/>
    <x v="1"/>
    <x v="4"/>
    <x v="3"/>
    <x v="2"/>
    <n v="1"/>
    <n v="1"/>
    <n v="6.1"/>
    <x v="25"/>
    <n v="6"/>
    <n v="4"/>
    <n v="772801"/>
    <n v="402594"/>
    <n v="370207"/>
    <n v="42"/>
    <n v="57"/>
    <n v="9"/>
  </r>
  <r>
    <x v="1"/>
    <x v="1"/>
    <d v="2024-02-03T00:00:00"/>
    <s v="NA"/>
    <n v="0"/>
    <n v="38"/>
    <s v="21-40"/>
    <x v="1"/>
    <x v="2"/>
    <x v="1"/>
    <x v="0"/>
    <n v="1"/>
    <n v="1"/>
    <n v="2.5"/>
    <x v="12"/>
    <n v="6"/>
    <n v="5"/>
    <n v="570963"/>
    <n v="189749"/>
    <n v="381214"/>
    <n v="48"/>
    <n v="58"/>
    <n v="9.9"/>
  </r>
  <r>
    <x v="1"/>
    <x v="1"/>
    <d v="2021-07-10T00:00:00"/>
    <s v="NA"/>
    <n v="0"/>
    <n v="26"/>
    <s v="21-40"/>
    <x v="1"/>
    <x v="4"/>
    <x v="3"/>
    <x v="4"/>
    <n v="1"/>
    <n v="1"/>
    <n v="4.0999999999999996"/>
    <x v="6"/>
    <n v="4"/>
    <n v="5"/>
    <n v="608174"/>
    <n v="233705"/>
    <n v="374469"/>
    <n v="44"/>
    <n v="58"/>
    <n v="5.3"/>
  </r>
  <r>
    <x v="1"/>
    <x v="1"/>
    <d v="2024-03-16T00:00:00"/>
    <s v="NA"/>
    <n v="0"/>
    <n v="64"/>
    <s v="61-80"/>
    <x v="1"/>
    <x v="3"/>
    <x v="2"/>
    <x v="4"/>
    <n v="1"/>
    <n v="1"/>
    <n v="6.5"/>
    <x v="16"/>
    <n v="3"/>
    <n v="6"/>
    <n v="471084"/>
    <n v="107123"/>
    <n v="363961"/>
    <n v="47"/>
    <n v="64"/>
    <n v="14.3"/>
  </r>
  <r>
    <x v="1"/>
    <x v="1"/>
    <d v="2021-03-15T00:00:00"/>
    <s v="NA"/>
    <n v="0"/>
    <n v="72"/>
    <s v="61-80"/>
    <x v="1"/>
    <x v="1"/>
    <x v="1"/>
    <x v="3"/>
    <n v="1"/>
    <n v="1"/>
    <n v="6.5"/>
    <x v="30"/>
    <n v="6"/>
    <n v="3"/>
    <n v="492565"/>
    <n v="83508"/>
    <n v="409057"/>
    <n v="33"/>
    <n v="55"/>
    <n v="14.9"/>
  </r>
  <r>
    <x v="1"/>
    <x v="1"/>
    <d v="2021-10-24T00:00:00"/>
    <s v="NA"/>
    <n v="0"/>
    <n v="33"/>
    <s v="21-40"/>
    <x v="1"/>
    <x v="3"/>
    <x v="2"/>
    <x v="1"/>
    <n v="1"/>
    <n v="1"/>
    <n v="5.8"/>
    <x v="7"/>
    <n v="6"/>
    <n v="3"/>
    <n v="469286"/>
    <n v="113230"/>
    <n v="356056"/>
    <n v="36"/>
    <n v="54"/>
    <n v="14.9"/>
  </r>
  <r>
    <x v="1"/>
    <x v="1"/>
    <d v="2023-08-17T00:00:00"/>
    <s v="NA"/>
    <n v="0"/>
    <n v="21"/>
    <s v="21-40"/>
    <x v="0"/>
    <x v="0"/>
    <x v="0"/>
    <x v="0"/>
    <n v="1"/>
    <n v="1"/>
    <n v="5.9"/>
    <x v="4"/>
    <n v="6"/>
    <n v="5"/>
    <n v="682482"/>
    <n v="278994"/>
    <n v="403488"/>
    <n v="35"/>
    <n v="64"/>
    <n v="36.1"/>
  </r>
  <r>
    <x v="1"/>
    <x v="1"/>
    <d v="2021-05-31T00:00:00"/>
    <s v="NA"/>
    <n v="0"/>
    <n v="24"/>
    <s v="21-40"/>
    <x v="1"/>
    <x v="2"/>
    <x v="1"/>
    <x v="0"/>
    <n v="1"/>
    <n v="1"/>
    <n v="4.7"/>
    <x v="7"/>
    <n v="5"/>
    <n v="5"/>
    <n v="628986"/>
    <n v="219349"/>
    <n v="409637"/>
    <n v="43"/>
    <n v="60"/>
    <n v="9.6"/>
  </r>
  <r>
    <x v="1"/>
    <x v="1"/>
    <d v="2023-09-10T00:00:00"/>
    <s v="NA"/>
    <n v="0"/>
    <n v="27"/>
    <s v="21-40"/>
    <x v="0"/>
    <x v="12"/>
    <x v="9"/>
    <x v="3"/>
    <n v="1"/>
    <n v="1"/>
    <n v="4.4000000000000004"/>
    <x v="8"/>
    <n v="3"/>
    <n v="6"/>
    <n v="499759"/>
    <n v="144678"/>
    <n v="355081"/>
    <n v="43"/>
    <n v="54"/>
    <n v="6.7"/>
  </r>
  <r>
    <x v="7"/>
    <x v="7"/>
    <d v="2021-02-13T00:00:00"/>
    <s v="NA"/>
    <n v="0"/>
    <n v="66"/>
    <s v="61-80"/>
    <x v="1"/>
    <x v="4"/>
    <x v="3"/>
    <x v="2"/>
    <n v="1"/>
    <n v="1"/>
    <n v="6"/>
    <x v="4"/>
    <n v="6"/>
    <n v="7"/>
    <n v="880887"/>
    <n v="187758"/>
    <n v="693129"/>
    <n v="47"/>
    <n v="66"/>
    <n v="9.3000000000000007"/>
  </r>
  <r>
    <x v="7"/>
    <x v="7"/>
    <d v="2021-11-16T00:00:00"/>
    <s v="NA"/>
    <n v="0"/>
    <n v="23"/>
    <s v="21-40"/>
    <x v="0"/>
    <x v="1"/>
    <x v="1"/>
    <x v="0"/>
    <n v="1"/>
    <n v="1"/>
    <n v="4.4000000000000004"/>
    <x v="28"/>
    <n v="7"/>
    <n v="3"/>
    <n v="889187"/>
    <n v="192987"/>
    <n v="696200"/>
    <n v="48"/>
    <n v="66"/>
    <n v="13.6"/>
  </r>
  <r>
    <x v="7"/>
    <x v="7"/>
    <d v="2023-01-20T00:00:00"/>
    <s v="NA"/>
    <n v="0"/>
    <n v="83"/>
    <s v="81+"/>
    <x v="1"/>
    <x v="11"/>
    <x v="8"/>
    <x v="4"/>
    <n v="1"/>
    <n v="1"/>
    <n v="6.2"/>
    <x v="16"/>
    <n v="3"/>
    <n v="3"/>
    <n v="825769"/>
    <n v="139710"/>
    <n v="686059"/>
    <n v="47"/>
    <n v="60"/>
    <n v="36.4"/>
  </r>
  <r>
    <x v="1"/>
    <x v="1"/>
    <d v="2021-10-12T00:00:00"/>
    <s v="NA"/>
    <n v="0"/>
    <n v="43"/>
    <s v="41-60"/>
    <x v="0"/>
    <x v="5"/>
    <x v="0"/>
    <x v="3"/>
    <n v="1"/>
    <n v="1"/>
    <n v="1.9"/>
    <x v="15"/>
    <n v="4"/>
    <n v="4"/>
    <n v="591580"/>
    <n v="222953"/>
    <n v="368627"/>
    <n v="35"/>
    <n v="54"/>
    <n v="9.3000000000000007"/>
  </r>
  <r>
    <x v="1"/>
    <x v="1"/>
    <d v="2024-04-19T00:00:00"/>
    <s v="NA"/>
    <n v="0"/>
    <n v="21"/>
    <s v="21-40"/>
    <x v="0"/>
    <x v="13"/>
    <x v="10"/>
    <x v="4"/>
    <n v="1"/>
    <n v="1"/>
    <n v="2.9"/>
    <x v="16"/>
    <n v="4"/>
    <n v="6"/>
    <n v="745910"/>
    <n v="390965"/>
    <n v="354945"/>
    <n v="42"/>
    <n v="61"/>
    <n v="6.9"/>
  </r>
  <r>
    <x v="7"/>
    <x v="7"/>
    <d v="2021-08-26T00:00:00"/>
    <s v="NA"/>
    <n v="0"/>
    <n v="48"/>
    <s v="41-60"/>
    <x v="1"/>
    <x v="12"/>
    <x v="9"/>
    <x v="3"/>
    <n v="1"/>
    <n v="1"/>
    <n v="4.4000000000000004"/>
    <x v="24"/>
    <n v="3"/>
    <n v="4"/>
    <n v="705801"/>
    <n v="180964"/>
    <n v="524837"/>
    <n v="31"/>
    <n v="64"/>
    <n v="6"/>
  </r>
  <r>
    <x v="7"/>
    <x v="7"/>
    <d v="2022-12-09T00:00:00"/>
    <s v="NA"/>
    <n v="0"/>
    <n v="89"/>
    <s v="81+"/>
    <x v="0"/>
    <x v="14"/>
    <x v="11"/>
    <x v="2"/>
    <n v="1"/>
    <n v="1"/>
    <n v="2.6"/>
    <x v="3"/>
    <n v="7"/>
    <n v="6"/>
    <n v="893242"/>
    <n v="360740"/>
    <n v="532502"/>
    <n v="43"/>
    <n v="66"/>
    <n v="7.9"/>
  </r>
  <r>
    <x v="1"/>
    <x v="1"/>
    <d v="2022-09-02T00:00:00"/>
    <s v="NA"/>
    <n v="0"/>
    <n v="32"/>
    <s v="21-40"/>
    <x v="1"/>
    <x v="1"/>
    <x v="1"/>
    <x v="1"/>
    <n v="1"/>
    <n v="1"/>
    <n v="6.7"/>
    <x v="7"/>
    <n v="3"/>
    <n v="6"/>
    <n v="681805"/>
    <n v="276815"/>
    <n v="404990"/>
    <n v="30"/>
    <n v="55"/>
    <n v="6.4"/>
  </r>
  <r>
    <x v="7"/>
    <x v="7"/>
    <d v="2021-01-14T00:00:00"/>
    <s v="NA"/>
    <n v="0"/>
    <n v="49"/>
    <s v="41-60"/>
    <x v="0"/>
    <x v="7"/>
    <x v="5"/>
    <x v="1"/>
    <n v="1"/>
    <n v="1"/>
    <n v="3.9"/>
    <x v="15"/>
    <n v="5"/>
    <n v="7"/>
    <n v="863979"/>
    <n v="273495"/>
    <n v="590484"/>
    <n v="42"/>
    <n v="62"/>
    <n v="6.4"/>
  </r>
  <r>
    <x v="7"/>
    <x v="7"/>
    <d v="2022-01-09T00:00:00"/>
    <s v="NA"/>
    <n v="0"/>
    <n v="37"/>
    <s v="21-40"/>
    <x v="1"/>
    <x v="1"/>
    <x v="1"/>
    <x v="2"/>
    <n v="1"/>
    <n v="1"/>
    <n v="1.2"/>
    <x v="24"/>
    <n v="7"/>
    <n v="6"/>
    <n v="757557"/>
    <n v="208835"/>
    <n v="548722"/>
    <n v="39"/>
    <n v="55"/>
    <n v="5.2"/>
  </r>
  <r>
    <x v="7"/>
    <x v="7"/>
    <d v="2024-01-23T00:00:00"/>
    <s v="NA"/>
    <n v="0"/>
    <n v="25"/>
    <s v="21-40"/>
    <x v="0"/>
    <x v="12"/>
    <x v="9"/>
    <x v="1"/>
    <n v="1"/>
    <n v="1"/>
    <n v="2.5"/>
    <x v="13"/>
    <n v="5"/>
    <n v="6"/>
    <n v="833799"/>
    <n v="299978"/>
    <n v="533821"/>
    <n v="39"/>
    <n v="58"/>
    <n v="13.1"/>
  </r>
  <r>
    <x v="7"/>
    <x v="7"/>
    <d v="2024-09-26T00:00:00"/>
    <s v="NA"/>
    <n v="0"/>
    <n v="63"/>
    <s v="61-80"/>
    <x v="1"/>
    <x v="11"/>
    <x v="8"/>
    <x v="2"/>
    <n v="1"/>
    <n v="1"/>
    <n v="3.7"/>
    <x v="14"/>
    <n v="7"/>
    <n v="4"/>
    <n v="740062"/>
    <n v="201723"/>
    <n v="538339"/>
    <n v="37"/>
    <n v="60"/>
    <n v="12.7"/>
  </r>
  <r>
    <x v="7"/>
    <x v="7"/>
    <d v="2022-02-26T00:00:00"/>
    <s v="NA"/>
    <n v="0"/>
    <n v="38"/>
    <s v="21-40"/>
    <x v="1"/>
    <x v="3"/>
    <x v="2"/>
    <x v="3"/>
    <n v="1"/>
    <n v="1"/>
    <n v="6.2"/>
    <x v="24"/>
    <n v="3"/>
    <n v="5"/>
    <n v="840643"/>
    <n v="208025"/>
    <n v="632618"/>
    <n v="46"/>
    <n v="57"/>
    <n v="7"/>
  </r>
  <r>
    <x v="7"/>
    <x v="7"/>
    <d v="2024-04-24T00:00:00"/>
    <s v="NA"/>
    <n v="0"/>
    <n v="32"/>
    <s v="21-40"/>
    <x v="0"/>
    <x v="14"/>
    <x v="11"/>
    <x v="1"/>
    <n v="1"/>
    <n v="1"/>
    <n v="2.2999999999999998"/>
    <x v="2"/>
    <n v="6"/>
    <n v="4"/>
    <n v="772532"/>
    <n v="88971"/>
    <n v="683561"/>
    <n v="37"/>
    <n v="54"/>
    <n v="5.3"/>
  </r>
  <r>
    <x v="7"/>
    <x v="7"/>
    <d v="2024-10-13T00:00:00"/>
    <s v="NA"/>
    <n v="0"/>
    <n v="64"/>
    <s v="61-80"/>
    <x v="0"/>
    <x v="1"/>
    <x v="1"/>
    <x v="0"/>
    <n v="1"/>
    <n v="1"/>
    <n v="4.0999999999999996"/>
    <x v="17"/>
    <n v="7"/>
    <n v="6"/>
    <n v="817270"/>
    <n v="292619"/>
    <n v="524651"/>
    <n v="45"/>
    <n v="61"/>
    <n v="13.2"/>
  </r>
  <r>
    <x v="7"/>
    <x v="7"/>
    <d v="2023-04-03T00:00:00"/>
    <s v="NA"/>
    <n v="0"/>
    <n v="60"/>
    <s v="41-60"/>
    <x v="0"/>
    <x v="9"/>
    <x v="7"/>
    <x v="1"/>
    <n v="1"/>
    <n v="1"/>
    <n v="2.9"/>
    <x v="6"/>
    <n v="7"/>
    <n v="4"/>
    <n v="775814"/>
    <n v="258811"/>
    <n v="517003"/>
    <n v="48"/>
    <n v="57"/>
    <n v="8.9"/>
  </r>
  <r>
    <x v="7"/>
    <x v="7"/>
    <d v="2021-06-19T00:00:00"/>
    <s v="NA"/>
    <n v="0"/>
    <n v="46"/>
    <s v="41-60"/>
    <x v="0"/>
    <x v="12"/>
    <x v="9"/>
    <x v="0"/>
    <n v="1"/>
    <n v="1"/>
    <n v="6.7"/>
    <x v="2"/>
    <n v="5"/>
    <n v="6"/>
    <n v="860472"/>
    <n v="278724"/>
    <n v="581748"/>
    <n v="33"/>
    <n v="61"/>
    <n v="7.4"/>
  </r>
  <r>
    <x v="7"/>
    <x v="7"/>
    <d v="2021-08-06T00:00:00"/>
    <s v="NA"/>
    <n v="0"/>
    <n v="35"/>
    <s v="21-40"/>
    <x v="1"/>
    <x v="3"/>
    <x v="2"/>
    <x v="3"/>
    <n v="1"/>
    <n v="1"/>
    <n v="3.6"/>
    <x v="27"/>
    <n v="5"/>
    <n v="4"/>
    <n v="802381"/>
    <n v="228711"/>
    <n v="573670"/>
    <n v="30"/>
    <n v="55"/>
    <n v="12.9"/>
  </r>
  <r>
    <x v="7"/>
    <x v="7"/>
    <d v="2024-05-14T00:00:00"/>
    <s v="NA"/>
    <n v="0"/>
    <n v="60"/>
    <s v="41-60"/>
    <x v="1"/>
    <x v="11"/>
    <x v="8"/>
    <x v="4"/>
    <n v="1"/>
    <n v="1"/>
    <n v="6.2"/>
    <x v="0"/>
    <n v="6"/>
    <n v="6"/>
    <n v="884322"/>
    <n v="249440"/>
    <n v="634882"/>
    <n v="48"/>
    <n v="57"/>
    <n v="9.8000000000000007"/>
  </r>
  <r>
    <x v="7"/>
    <x v="7"/>
    <d v="2021-12-29T00:00:00"/>
    <s v="NA"/>
    <n v="0"/>
    <n v="44"/>
    <s v="41-60"/>
    <x v="0"/>
    <x v="9"/>
    <x v="7"/>
    <x v="1"/>
    <n v="1"/>
    <n v="1"/>
    <n v="1.1000000000000001"/>
    <x v="4"/>
    <n v="5"/>
    <n v="6"/>
    <n v="780792"/>
    <n v="111209"/>
    <n v="669583"/>
    <n v="40"/>
    <n v="57"/>
    <n v="7.6"/>
  </r>
  <r>
    <x v="7"/>
    <x v="7"/>
    <d v="2022-10-15T00:00:00"/>
    <s v="NA"/>
    <n v="0"/>
    <n v="47"/>
    <s v="41-60"/>
    <x v="0"/>
    <x v="6"/>
    <x v="4"/>
    <x v="0"/>
    <n v="1"/>
    <n v="1"/>
    <n v="3.6"/>
    <x v="13"/>
    <n v="4"/>
    <n v="7"/>
    <n v="820502"/>
    <n v="156928"/>
    <n v="663574"/>
    <n v="34"/>
    <n v="65"/>
    <n v="12.6"/>
  </r>
  <r>
    <x v="7"/>
    <x v="7"/>
    <d v="2021-09-30T00:00:00"/>
    <s v="NA"/>
    <n v="0"/>
    <n v="58"/>
    <s v="41-60"/>
    <x v="1"/>
    <x v="6"/>
    <x v="4"/>
    <x v="4"/>
    <n v="1"/>
    <n v="1"/>
    <n v="7"/>
    <x v="20"/>
    <n v="5"/>
    <n v="4"/>
    <n v="867614"/>
    <n v="360451"/>
    <n v="507163"/>
    <n v="46"/>
    <n v="60"/>
    <n v="36.4"/>
  </r>
  <r>
    <x v="7"/>
    <x v="7"/>
    <d v="2022-09-28T00:00:00"/>
    <s v="NA"/>
    <n v="0"/>
    <n v="70"/>
    <s v="61-80"/>
    <x v="1"/>
    <x v="12"/>
    <x v="9"/>
    <x v="4"/>
    <n v="1"/>
    <n v="1"/>
    <n v="4"/>
    <x v="11"/>
    <n v="7"/>
    <n v="6"/>
    <n v="770632"/>
    <n v="247564"/>
    <n v="523068"/>
    <n v="46"/>
    <n v="64"/>
    <n v="36.200000000000003"/>
  </r>
  <r>
    <x v="7"/>
    <x v="7"/>
    <d v="2023-01-13T00:00:00"/>
    <s v="NA"/>
    <n v="0"/>
    <n v="57"/>
    <s v="41-60"/>
    <x v="1"/>
    <x v="4"/>
    <x v="3"/>
    <x v="2"/>
    <n v="1"/>
    <n v="1"/>
    <n v="6.2"/>
    <x v="7"/>
    <n v="3"/>
    <n v="3"/>
    <n v="875274"/>
    <n v="295494"/>
    <n v="579780"/>
    <n v="35"/>
    <n v="54"/>
    <n v="13.6"/>
  </r>
  <r>
    <x v="7"/>
    <x v="7"/>
    <d v="2021-06-04T00:00:00"/>
    <s v="NA"/>
    <n v="0"/>
    <n v="21"/>
    <s v="21-40"/>
    <x v="1"/>
    <x v="2"/>
    <x v="1"/>
    <x v="3"/>
    <n v="1"/>
    <n v="1"/>
    <n v="6.7"/>
    <x v="15"/>
    <n v="5"/>
    <n v="7"/>
    <n v="816289"/>
    <n v="199198"/>
    <n v="617091"/>
    <n v="33"/>
    <n v="64"/>
    <n v="6.7"/>
  </r>
  <r>
    <x v="7"/>
    <x v="7"/>
    <d v="2021-11-24T00:00:00"/>
    <s v="NA"/>
    <n v="0"/>
    <n v="90"/>
    <s v="81+"/>
    <x v="1"/>
    <x v="3"/>
    <x v="2"/>
    <x v="3"/>
    <n v="1"/>
    <n v="1"/>
    <n v="3"/>
    <x v="24"/>
    <n v="7"/>
    <n v="3"/>
    <n v="766294"/>
    <n v="86957"/>
    <n v="679337"/>
    <n v="44"/>
    <n v="58"/>
    <n v="9.6999999999999993"/>
  </r>
  <r>
    <x v="7"/>
    <x v="7"/>
    <d v="2022-04-23T00:00:00"/>
    <s v="NA"/>
    <n v="0"/>
    <n v="79"/>
    <s v="61-80"/>
    <x v="1"/>
    <x v="6"/>
    <x v="4"/>
    <x v="3"/>
    <n v="1"/>
    <n v="1"/>
    <n v="2"/>
    <x v="16"/>
    <n v="7"/>
    <n v="6"/>
    <n v="714908"/>
    <n v="108143"/>
    <n v="606765"/>
    <n v="50"/>
    <n v="57"/>
    <n v="14.5"/>
  </r>
  <r>
    <x v="7"/>
    <x v="7"/>
    <d v="2024-01-11T00:00:00"/>
    <s v="NA"/>
    <n v="0"/>
    <n v="43"/>
    <s v="41-60"/>
    <x v="0"/>
    <x v="9"/>
    <x v="7"/>
    <x v="3"/>
    <n v="1"/>
    <n v="1"/>
    <n v="2.1"/>
    <x v="2"/>
    <n v="6"/>
    <n v="5"/>
    <n v="823585"/>
    <n v="230516"/>
    <n v="593069"/>
    <n v="32"/>
    <n v="55"/>
    <n v="9.3000000000000007"/>
  </r>
  <r>
    <x v="7"/>
    <x v="7"/>
    <d v="2023-02-02T00:00:00"/>
    <s v="NA"/>
    <n v="0"/>
    <n v="23"/>
    <s v="21-40"/>
    <x v="1"/>
    <x v="6"/>
    <x v="4"/>
    <x v="0"/>
    <n v="1"/>
    <n v="1"/>
    <n v="3.3"/>
    <x v="4"/>
    <n v="5"/>
    <n v="3"/>
    <n v="704287"/>
    <n v="183505"/>
    <n v="520782"/>
    <n v="44"/>
    <n v="58"/>
    <n v="9"/>
  </r>
  <r>
    <x v="7"/>
    <x v="7"/>
    <d v="2023-05-25T00:00:00"/>
    <s v="NA"/>
    <n v="0"/>
    <n v="72"/>
    <s v="61-80"/>
    <x v="1"/>
    <x v="3"/>
    <x v="2"/>
    <x v="2"/>
    <n v="1"/>
    <n v="1"/>
    <n v="7"/>
    <x v="15"/>
    <n v="4"/>
    <n v="5"/>
    <n v="726956"/>
    <n v="64594"/>
    <n v="662362"/>
    <n v="44"/>
    <n v="62"/>
    <n v="14.9"/>
  </r>
  <r>
    <x v="7"/>
    <x v="7"/>
    <d v="2024-06-16T00:00:00"/>
    <s v="NA"/>
    <n v="0"/>
    <n v="80"/>
    <s v="61-80"/>
    <x v="1"/>
    <x v="6"/>
    <x v="4"/>
    <x v="3"/>
    <n v="1"/>
    <n v="1"/>
    <n v="2.2000000000000002"/>
    <x v="22"/>
    <n v="3"/>
    <n v="6"/>
    <n v="701832"/>
    <n v="85529"/>
    <n v="616303"/>
    <n v="38"/>
    <n v="55"/>
    <n v="10.7"/>
  </r>
  <r>
    <x v="7"/>
    <x v="7"/>
    <d v="2021-10-27T00:00:00"/>
    <s v="NA"/>
    <n v="0"/>
    <n v="56"/>
    <s v="41-60"/>
    <x v="0"/>
    <x v="12"/>
    <x v="9"/>
    <x v="3"/>
    <n v="1"/>
    <n v="1"/>
    <n v="1.5"/>
    <x v="10"/>
    <n v="5"/>
    <n v="3"/>
    <n v="705321"/>
    <n v="147878"/>
    <n v="557443"/>
    <n v="34"/>
    <n v="59"/>
    <n v="6.8"/>
  </r>
  <r>
    <x v="7"/>
    <x v="7"/>
    <d v="2021-07-23T00:00:00"/>
    <s v="NA"/>
    <n v="0"/>
    <n v="32"/>
    <s v="21-40"/>
    <x v="0"/>
    <x v="10"/>
    <x v="8"/>
    <x v="0"/>
    <n v="1"/>
    <n v="1"/>
    <n v="5.7"/>
    <x v="4"/>
    <n v="5"/>
    <n v="4"/>
    <n v="780803"/>
    <n v="110437"/>
    <n v="670366"/>
    <n v="47"/>
    <n v="63"/>
    <n v="6"/>
  </r>
  <r>
    <x v="7"/>
    <x v="7"/>
    <d v="2023-05-13T00:00:00"/>
    <s v="NA"/>
    <n v="0"/>
    <n v="43"/>
    <s v="41-60"/>
    <x v="0"/>
    <x v="12"/>
    <x v="9"/>
    <x v="1"/>
    <n v="1"/>
    <n v="1"/>
    <n v="5.0999999999999996"/>
    <x v="9"/>
    <n v="4"/>
    <n v="7"/>
    <n v="814520"/>
    <n v="175321"/>
    <n v="639199"/>
    <n v="34"/>
    <n v="63"/>
    <n v="14.8"/>
  </r>
  <r>
    <x v="7"/>
    <x v="7"/>
    <d v="2023-01-18T00:00:00"/>
    <s v="NA"/>
    <n v="0"/>
    <n v="40"/>
    <s v="21-40"/>
    <x v="0"/>
    <x v="9"/>
    <x v="7"/>
    <x v="2"/>
    <n v="1"/>
    <n v="1"/>
    <n v="5.5"/>
    <x v="28"/>
    <n v="4"/>
    <n v="7"/>
    <n v="840012"/>
    <n v="287871"/>
    <n v="552141"/>
    <n v="32"/>
    <n v="57"/>
    <n v="5.0999999999999996"/>
  </r>
  <r>
    <x v="7"/>
    <x v="7"/>
    <d v="2021-06-12T00:00:00"/>
    <s v="NA"/>
    <n v="0"/>
    <n v="49"/>
    <s v="41-60"/>
    <x v="0"/>
    <x v="12"/>
    <x v="9"/>
    <x v="1"/>
    <n v="1"/>
    <n v="1"/>
    <n v="4.9000000000000004"/>
    <x v="9"/>
    <n v="7"/>
    <n v="3"/>
    <n v="837331"/>
    <n v="218742"/>
    <n v="618589"/>
    <n v="47"/>
    <n v="65"/>
    <n v="5.4"/>
  </r>
  <r>
    <x v="7"/>
    <x v="7"/>
    <d v="2021-03-09T00:00:00"/>
    <s v="NA"/>
    <n v="0"/>
    <n v="36"/>
    <s v="21-40"/>
    <x v="0"/>
    <x v="4"/>
    <x v="3"/>
    <x v="3"/>
    <n v="1"/>
    <n v="1"/>
    <n v="4.2"/>
    <x v="29"/>
    <n v="4"/>
    <n v="4"/>
    <n v="802530"/>
    <n v="242761"/>
    <n v="559769"/>
    <n v="43"/>
    <n v="57"/>
    <n v="36.5"/>
  </r>
  <r>
    <x v="7"/>
    <x v="7"/>
    <d v="2021-03-07T00:00:00"/>
    <s v="NA"/>
    <n v="0"/>
    <n v="59"/>
    <s v="41-60"/>
    <x v="1"/>
    <x v="3"/>
    <x v="2"/>
    <x v="4"/>
    <n v="1"/>
    <n v="1"/>
    <n v="6.5"/>
    <x v="26"/>
    <n v="3"/>
    <n v="4"/>
    <n v="760500"/>
    <n v="231368"/>
    <n v="529132"/>
    <n v="49"/>
    <n v="66"/>
    <n v="12.6"/>
  </r>
  <r>
    <x v="7"/>
    <x v="7"/>
    <d v="2022-02-26T00:00:00"/>
    <s v="NA"/>
    <n v="0"/>
    <n v="90"/>
    <s v="81+"/>
    <x v="0"/>
    <x v="0"/>
    <x v="0"/>
    <x v="1"/>
    <n v="1"/>
    <n v="1"/>
    <n v="4.7"/>
    <x v="0"/>
    <n v="3"/>
    <n v="6"/>
    <n v="779407"/>
    <n v="143213"/>
    <n v="636194"/>
    <n v="39"/>
    <n v="58"/>
    <n v="7.9"/>
  </r>
  <r>
    <x v="7"/>
    <x v="7"/>
    <d v="2022-06-17T00:00:00"/>
    <s v="NA"/>
    <n v="0"/>
    <n v="40"/>
    <s v="21-40"/>
    <x v="1"/>
    <x v="7"/>
    <x v="5"/>
    <x v="2"/>
    <n v="1"/>
    <n v="1"/>
    <n v="2.8"/>
    <x v="24"/>
    <n v="4"/>
    <n v="3"/>
    <n v="828345"/>
    <n v="205447"/>
    <n v="622898"/>
    <n v="40"/>
    <n v="59"/>
    <n v="15"/>
  </r>
  <r>
    <x v="7"/>
    <x v="7"/>
    <d v="2022-07-03T00:00:00"/>
    <s v="NA"/>
    <n v="0"/>
    <n v="33"/>
    <s v="21-40"/>
    <x v="0"/>
    <x v="9"/>
    <x v="7"/>
    <x v="1"/>
    <n v="1"/>
    <n v="1"/>
    <n v="5.9"/>
    <x v="9"/>
    <n v="7"/>
    <n v="6"/>
    <n v="797719"/>
    <n v="124058"/>
    <n v="673661"/>
    <n v="40"/>
    <n v="56"/>
    <n v="8.1"/>
  </r>
  <r>
    <x v="7"/>
    <x v="7"/>
    <d v="2022-08-23T00:00:00"/>
    <s v="NA"/>
    <n v="0"/>
    <n v="51"/>
    <s v="41-60"/>
    <x v="1"/>
    <x v="13"/>
    <x v="10"/>
    <x v="0"/>
    <n v="1"/>
    <n v="1"/>
    <n v="6.4"/>
    <x v="24"/>
    <n v="5"/>
    <n v="3"/>
    <n v="779769"/>
    <n v="150114"/>
    <n v="629655"/>
    <n v="40"/>
    <n v="64"/>
    <n v="6.4"/>
  </r>
  <r>
    <x v="7"/>
    <x v="7"/>
    <d v="2021-09-20T00:00:00"/>
    <s v="NA"/>
    <n v="0"/>
    <n v="37"/>
    <s v="21-40"/>
    <x v="1"/>
    <x v="10"/>
    <x v="8"/>
    <x v="1"/>
    <n v="1"/>
    <n v="1"/>
    <n v="1.5"/>
    <x v="28"/>
    <n v="4"/>
    <n v="5"/>
    <n v="852607"/>
    <n v="193709"/>
    <n v="658898"/>
    <n v="32"/>
    <n v="62"/>
    <n v="13.2"/>
  </r>
  <r>
    <x v="7"/>
    <x v="7"/>
    <d v="2021-11-06T00:00:00"/>
    <s v="NA"/>
    <n v="0"/>
    <n v="25"/>
    <s v="21-40"/>
    <x v="1"/>
    <x v="11"/>
    <x v="8"/>
    <x v="4"/>
    <n v="1"/>
    <n v="1"/>
    <n v="4"/>
    <x v="0"/>
    <n v="4"/>
    <n v="5"/>
    <n v="818917"/>
    <n v="286858"/>
    <n v="532059"/>
    <n v="36"/>
    <n v="63"/>
    <n v="9"/>
  </r>
  <r>
    <x v="7"/>
    <x v="7"/>
    <d v="2022-03-04T00:00:00"/>
    <s v="NA"/>
    <n v="0"/>
    <n v="33"/>
    <s v="21-40"/>
    <x v="1"/>
    <x v="4"/>
    <x v="3"/>
    <x v="2"/>
    <n v="1"/>
    <n v="1"/>
    <n v="3"/>
    <x v="11"/>
    <n v="6"/>
    <n v="3"/>
    <n v="830200"/>
    <n v="321163"/>
    <n v="509037"/>
    <n v="31"/>
    <n v="64"/>
    <n v="36.1"/>
  </r>
  <r>
    <x v="7"/>
    <x v="7"/>
    <d v="2021-05-08T00:00:00"/>
    <s v="NA"/>
    <n v="0"/>
    <n v="30"/>
    <s v="21-40"/>
    <x v="1"/>
    <x v="6"/>
    <x v="4"/>
    <x v="0"/>
    <n v="1"/>
    <n v="1"/>
    <n v="1.7"/>
    <x v="14"/>
    <n v="3"/>
    <n v="6"/>
    <n v="708764"/>
    <n v="54625"/>
    <n v="654139"/>
    <n v="35"/>
    <n v="65"/>
    <n v="5.8"/>
  </r>
  <r>
    <x v="7"/>
    <x v="7"/>
    <d v="2022-03-30T00:00:00"/>
    <s v="NA"/>
    <n v="0"/>
    <n v="51"/>
    <s v="41-60"/>
    <x v="1"/>
    <x v="11"/>
    <x v="8"/>
    <x v="4"/>
    <n v="1"/>
    <n v="1"/>
    <n v="1.2"/>
    <x v="27"/>
    <n v="3"/>
    <n v="5"/>
    <n v="749422"/>
    <n v="178125"/>
    <n v="571297"/>
    <n v="35"/>
    <n v="54"/>
    <n v="12.9"/>
  </r>
  <r>
    <x v="7"/>
    <x v="7"/>
    <d v="2022-10-06T00:00:00"/>
    <s v="NA"/>
    <n v="0"/>
    <n v="45"/>
    <s v="41-60"/>
    <x v="1"/>
    <x v="4"/>
    <x v="3"/>
    <x v="2"/>
    <n v="1"/>
    <n v="1"/>
    <n v="3"/>
    <x v="19"/>
    <n v="4"/>
    <n v="3"/>
    <n v="737971"/>
    <n v="87986"/>
    <n v="649985"/>
    <n v="33"/>
    <n v="63"/>
    <n v="9.6"/>
  </r>
  <r>
    <x v="7"/>
    <x v="7"/>
    <d v="2024-04-26T00:00:00"/>
    <s v="NA"/>
    <n v="0"/>
    <n v="27"/>
    <s v="21-40"/>
    <x v="1"/>
    <x v="8"/>
    <x v="6"/>
    <x v="0"/>
    <n v="1"/>
    <n v="1"/>
    <n v="4.4000000000000004"/>
    <x v="19"/>
    <n v="3"/>
    <n v="5"/>
    <n v="734258"/>
    <n v="196806"/>
    <n v="537452"/>
    <n v="45"/>
    <n v="60"/>
    <n v="36.5"/>
  </r>
  <r>
    <x v="7"/>
    <x v="7"/>
    <d v="2023-12-30T00:00:00"/>
    <s v="NA"/>
    <n v="0"/>
    <n v="42"/>
    <s v="41-60"/>
    <x v="1"/>
    <x v="2"/>
    <x v="1"/>
    <x v="2"/>
    <n v="1"/>
    <n v="1"/>
    <n v="5"/>
    <x v="15"/>
    <n v="5"/>
    <n v="7"/>
    <n v="887932"/>
    <n v="215945"/>
    <n v="671987"/>
    <n v="35"/>
    <n v="59"/>
    <n v="8.6999999999999993"/>
  </r>
  <r>
    <x v="7"/>
    <x v="7"/>
    <d v="2022-05-11T00:00:00"/>
    <s v="NA"/>
    <n v="0"/>
    <n v="22"/>
    <s v="21-40"/>
    <x v="1"/>
    <x v="12"/>
    <x v="9"/>
    <x v="4"/>
    <n v="1"/>
    <n v="1"/>
    <n v="2.1"/>
    <x v="1"/>
    <n v="7"/>
    <n v="4"/>
    <n v="817752"/>
    <n v="220602"/>
    <n v="597150"/>
    <n v="34"/>
    <n v="57"/>
    <n v="5.3"/>
  </r>
  <r>
    <x v="7"/>
    <x v="7"/>
    <d v="2023-06-13T00:00:00"/>
    <s v="NA"/>
    <n v="0"/>
    <n v="87"/>
    <s v="81+"/>
    <x v="1"/>
    <x v="7"/>
    <x v="5"/>
    <x v="3"/>
    <n v="1"/>
    <n v="1"/>
    <n v="1.6"/>
    <x v="2"/>
    <n v="7"/>
    <n v="7"/>
    <n v="720254"/>
    <n v="126694"/>
    <n v="593560"/>
    <n v="41"/>
    <n v="56"/>
    <n v="10"/>
  </r>
  <r>
    <x v="7"/>
    <x v="7"/>
    <d v="2022-12-18T00:00:00"/>
    <s v="NA"/>
    <n v="0"/>
    <n v="34"/>
    <s v="21-40"/>
    <x v="1"/>
    <x v="3"/>
    <x v="2"/>
    <x v="0"/>
    <n v="1"/>
    <n v="1"/>
    <n v="2.6"/>
    <x v="26"/>
    <n v="5"/>
    <n v="3"/>
    <n v="818367"/>
    <n v="122517"/>
    <n v="695850"/>
    <n v="33"/>
    <n v="63"/>
    <n v="7.8"/>
  </r>
  <r>
    <x v="7"/>
    <x v="7"/>
    <d v="2021-12-05T00:00:00"/>
    <s v="NA"/>
    <n v="0"/>
    <n v="74"/>
    <s v="61-80"/>
    <x v="1"/>
    <x v="3"/>
    <x v="2"/>
    <x v="4"/>
    <n v="1"/>
    <n v="1"/>
    <n v="4.9000000000000004"/>
    <x v="9"/>
    <n v="5"/>
    <n v="4"/>
    <n v="708773"/>
    <n v="93892"/>
    <n v="614881"/>
    <n v="43"/>
    <n v="57"/>
    <n v="13.3"/>
  </r>
  <r>
    <x v="7"/>
    <x v="7"/>
    <d v="2021-09-24T00:00:00"/>
    <s v="NA"/>
    <n v="0"/>
    <n v="43"/>
    <s v="41-60"/>
    <x v="0"/>
    <x v="2"/>
    <x v="1"/>
    <x v="3"/>
    <n v="1"/>
    <n v="1"/>
    <n v="1.3"/>
    <x v="1"/>
    <n v="7"/>
    <n v="5"/>
    <n v="783953"/>
    <n v="218813"/>
    <n v="565140"/>
    <n v="50"/>
    <n v="57"/>
    <n v="5.6"/>
  </r>
  <r>
    <x v="7"/>
    <x v="7"/>
    <d v="2024-02-24T00:00:00"/>
    <s v="NA"/>
    <n v="0"/>
    <n v="25"/>
    <s v="21-40"/>
    <x v="1"/>
    <x v="13"/>
    <x v="10"/>
    <x v="1"/>
    <n v="1"/>
    <n v="1"/>
    <n v="2.6"/>
    <x v="12"/>
    <n v="7"/>
    <n v="6"/>
    <n v="748872"/>
    <n v="134282"/>
    <n v="614590"/>
    <n v="33"/>
    <n v="60"/>
    <n v="14.2"/>
  </r>
  <r>
    <x v="7"/>
    <x v="7"/>
    <d v="2022-05-11T00:00:00"/>
    <s v="NA"/>
    <n v="0"/>
    <n v="60"/>
    <s v="41-60"/>
    <x v="1"/>
    <x v="9"/>
    <x v="7"/>
    <x v="4"/>
    <n v="1"/>
    <n v="1"/>
    <n v="3"/>
    <x v="12"/>
    <n v="3"/>
    <n v="3"/>
    <n v="898667"/>
    <n v="261766"/>
    <n v="636901"/>
    <n v="39"/>
    <n v="59"/>
    <n v="9.3000000000000007"/>
  </r>
  <r>
    <x v="7"/>
    <x v="7"/>
    <d v="2024-09-22T00:00:00"/>
    <s v="NA"/>
    <n v="0"/>
    <n v="61"/>
    <s v="61-80"/>
    <x v="1"/>
    <x v="7"/>
    <x v="5"/>
    <x v="2"/>
    <n v="1"/>
    <n v="1"/>
    <n v="3.9"/>
    <x v="26"/>
    <n v="4"/>
    <n v="4"/>
    <n v="857438"/>
    <n v="198878"/>
    <n v="658560"/>
    <n v="32"/>
    <n v="55"/>
    <n v="7"/>
  </r>
  <r>
    <x v="7"/>
    <x v="7"/>
    <d v="2024-04-02T00:00:00"/>
    <s v="NA"/>
    <n v="0"/>
    <n v="83"/>
    <s v="81+"/>
    <x v="1"/>
    <x v="4"/>
    <x v="3"/>
    <x v="4"/>
    <n v="1"/>
    <n v="1"/>
    <n v="4.5"/>
    <x v="24"/>
    <n v="4"/>
    <n v="7"/>
    <n v="793987"/>
    <n v="120310"/>
    <n v="673677"/>
    <n v="46"/>
    <n v="62"/>
    <n v="13.6"/>
  </r>
  <r>
    <x v="7"/>
    <x v="7"/>
    <d v="2021-04-10T00:00:00"/>
    <s v="NA"/>
    <n v="0"/>
    <n v="77"/>
    <s v="61-80"/>
    <x v="0"/>
    <x v="7"/>
    <x v="5"/>
    <x v="3"/>
    <n v="1"/>
    <n v="1"/>
    <n v="5.8"/>
    <x v="20"/>
    <n v="7"/>
    <n v="3"/>
    <n v="702413"/>
    <n v="124013"/>
    <n v="578400"/>
    <n v="47"/>
    <n v="66"/>
    <n v="12.2"/>
  </r>
  <r>
    <x v="7"/>
    <x v="7"/>
    <d v="2023-01-10T00:00:00"/>
    <s v="NA"/>
    <n v="0"/>
    <n v="37"/>
    <s v="21-40"/>
    <x v="1"/>
    <x v="13"/>
    <x v="10"/>
    <x v="0"/>
    <n v="1"/>
    <n v="1"/>
    <n v="4.0999999999999996"/>
    <x v="27"/>
    <n v="3"/>
    <n v="7"/>
    <n v="852134"/>
    <n v="237508"/>
    <n v="614626"/>
    <n v="32"/>
    <n v="54"/>
    <n v="6.2"/>
  </r>
  <r>
    <x v="7"/>
    <x v="7"/>
    <d v="2022-02-23T00:00:00"/>
    <s v="NA"/>
    <n v="0"/>
    <n v="36"/>
    <s v="21-40"/>
    <x v="0"/>
    <x v="12"/>
    <x v="9"/>
    <x v="4"/>
    <n v="1"/>
    <n v="1"/>
    <n v="3.3"/>
    <x v="5"/>
    <n v="4"/>
    <n v="6"/>
    <n v="818981"/>
    <n v="171799"/>
    <n v="647182"/>
    <n v="40"/>
    <n v="54"/>
    <n v="12.9"/>
  </r>
  <r>
    <x v="7"/>
    <x v="7"/>
    <d v="2022-12-10T00:00:00"/>
    <s v="NA"/>
    <n v="0"/>
    <n v="45"/>
    <s v="41-60"/>
    <x v="1"/>
    <x v="2"/>
    <x v="1"/>
    <x v="1"/>
    <n v="1"/>
    <n v="1"/>
    <n v="6.5"/>
    <x v="28"/>
    <n v="3"/>
    <n v="3"/>
    <n v="810367"/>
    <n v="204342"/>
    <n v="606025"/>
    <n v="37"/>
    <n v="55"/>
    <n v="13"/>
  </r>
  <r>
    <x v="7"/>
    <x v="7"/>
    <d v="2023-10-10T00:00:00"/>
    <s v="NA"/>
    <n v="0"/>
    <n v="53"/>
    <s v="41-60"/>
    <x v="1"/>
    <x v="4"/>
    <x v="3"/>
    <x v="2"/>
    <n v="1"/>
    <n v="1"/>
    <n v="5.2"/>
    <x v="14"/>
    <n v="4"/>
    <n v="4"/>
    <n v="744809"/>
    <n v="188831"/>
    <n v="555978"/>
    <n v="31"/>
    <n v="63"/>
    <n v="14.6"/>
  </r>
  <r>
    <x v="7"/>
    <x v="7"/>
    <d v="2022-02-09T00:00:00"/>
    <s v="NA"/>
    <n v="0"/>
    <n v="23"/>
    <s v="21-40"/>
    <x v="1"/>
    <x v="12"/>
    <x v="9"/>
    <x v="4"/>
    <n v="1"/>
    <n v="1"/>
    <n v="2.1"/>
    <x v="21"/>
    <n v="5"/>
    <n v="5"/>
    <n v="888428"/>
    <n v="355159"/>
    <n v="533269"/>
    <n v="34"/>
    <n v="56"/>
    <n v="5.4"/>
  </r>
  <r>
    <x v="7"/>
    <x v="7"/>
    <d v="2022-02-13T00:00:00"/>
    <s v="NA"/>
    <n v="0"/>
    <n v="62"/>
    <s v="61-80"/>
    <x v="0"/>
    <x v="12"/>
    <x v="9"/>
    <x v="3"/>
    <n v="1"/>
    <n v="1"/>
    <n v="3.3"/>
    <x v="18"/>
    <n v="7"/>
    <n v="5"/>
    <n v="833877"/>
    <n v="194905"/>
    <n v="638972"/>
    <n v="42"/>
    <n v="62"/>
    <n v="10"/>
  </r>
  <r>
    <x v="7"/>
    <x v="7"/>
    <d v="2024-11-27T00:00:00"/>
    <s v="NA"/>
    <n v="0"/>
    <n v="42"/>
    <s v="41-60"/>
    <x v="1"/>
    <x v="6"/>
    <x v="4"/>
    <x v="2"/>
    <n v="1"/>
    <n v="1"/>
    <n v="5.2"/>
    <x v="28"/>
    <n v="4"/>
    <n v="5"/>
    <n v="735931"/>
    <n v="119648"/>
    <n v="616283"/>
    <n v="30"/>
    <n v="59"/>
    <n v="6.8"/>
  </r>
  <r>
    <x v="7"/>
    <x v="7"/>
    <d v="2023-12-22T00:00:00"/>
    <s v="NA"/>
    <n v="0"/>
    <n v="50"/>
    <s v="41-60"/>
    <x v="0"/>
    <x v="7"/>
    <x v="5"/>
    <x v="2"/>
    <n v="1"/>
    <n v="1"/>
    <n v="4"/>
    <x v="1"/>
    <n v="7"/>
    <n v="3"/>
    <n v="791784"/>
    <n v="228026"/>
    <n v="563758"/>
    <n v="43"/>
    <n v="60"/>
    <n v="8.8000000000000007"/>
  </r>
  <r>
    <x v="7"/>
    <x v="7"/>
    <d v="2021-08-16T00:00:00"/>
    <s v="NA"/>
    <n v="0"/>
    <n v="23"/>
    <s v="21-40"/>
    <x v="0"/>
    <x v="5"/>
    <x v="0"/>
    <x v="1"/>
    <n v="1"/>
    <n v="1"/>
    <n v="6.6"/>
    <x v="3"/>
    <n v="4"/>
    <n v="7"/>
    <n v="733796"/>
    <n v="170181"/>
    <n v="563615"/>
    <n v="43"/>
    <n v="62"/>
    <n v="8.5"/>
  </r>
  <r>
    <x v="7"/>
    <x v="7"/>
    <d v="2022-03-31T00:00:00"/>
    <s v="NA"/>
    <n v="0"/>
    <n v="34"/>
    <s v="21-40"/>
    <x v="1"/>
    <x v="3"/>
    <x v="2"/>
    <x v="3"/>
    <n v="1"/>
    <n v="1"/>
    <n v="6"/>
    <x v="8"/>
    <n v="7"/>
    <n v="3"/>
    <n v="726741"/>
    <n v="196465"/>
    <n v="530276"/>
    <n v="48"/>
    <n v="54"/>
    <n v="8.1999999999999993"/>
  </r>
  <r>
    <x v="7"/>
    <x v="7"/>
    <d v="2023-01-12T00:00:00"/>
    <s v="NA"/>
    <n v="0"/>
    <n v="31"/>
    <s v="21-40"/>
    <x v="1"/>
    <x v="6"/>
    <x v="4"/>
    <x v="1"/>
    <n v="1"/>
    <n v="1"/>
    <n v="1.3"/>
    <x v="14"/>
    <n v="6"/>
    <n v="3"/>
    <n v="707988"/>
    <n v="41967"/>
    <n v="666021"/>
    <n v="35"/>
    <n v="56"/>
    <n v="14.4"/>
  </r>
  <r>
    <x v="7"/>
    <x v="7"/>
    <d v="2021-09-18T00:00:00"/>
    <s v="NA"/>
    <n v="0"/>
    <n v="87"/>
    <s v="81+"/>
    <x v="0"/>
    <x v="12"/>
    <x v="9"/>
    <x v="4"/>
    <n v="1"/>
    <n v="1"/>
    <n v="4.0999999999999996"/>
    <x v="26"/>
    <n v="7"/>
    <n v="4"/>
    <n v="794748"/>
    <n v="212524"/>
    <n v="582224"/>
    <n v="47"/>
    <n v="58"/>
    <n v="36.799999999999997"/>
  </r>
  <r>
    <x v="7"/>
    <x v="7"/>
    <d v="2024-10-27T00:00:00"/>
    <s v="NA"/>
    <n v="0"/>
    <n v="21"/>
    <s v="21-40"/>
    <x v="1"/>
    <x v="2"/>
    <x v="1"/>
    <x v="1"/>
    <n v="1"/>
    <n v="1"/>
    <n v="6.4"/>
    <x v="0"/>
    <n v="6"/>
    <n v="7"/>
    <n v="796509"/>
    <n v="203065"/>
    <n v="593444"/>
    <n v="42"/>
    <n v="61"/>
    <n v="8.5"/>
  </r>
  <r>
    <x v="7"/>
    <x v="7"/>
    <d v="2022-10-13T00:00:00"/>
    <s v="NA"/>
    <n v="0"/>
    <n v="60"/>
    <s v="41-60"/>
    <x v="1"/>
    <x v="7"/>
    <x v="5"/>
    <x v="0"/>
    <n v="1"/>
    <n v="1"/>
    <n v="6.3"/>
    <x v="24"/>
    <n v="7"/>
    <n v="7"/>
    <n v="793836"/>
    <n v="217969"/>
    <n v="575867"/>
    <n v="38"/>
    <n v="61"/>
    <n v="5.7"/>
  </r>
  <r>
    <x v="7"/>
    <x v="7"/>
    <d v="2021-08-02T00:00:00"/>
    <s v="NA"/>
    <n v="0"/>
    <n v="40"/>
    <s v="21-40"/>
    <x v="1"/>
    <x v="6"/>
    <x v="4"/>
    <x v="2"/>
    <n v="1"/>
    <n v="1"/>
    <n v="2.6"/>
    <x v="8"/>
    <n v="4"/>
    <n v="5"/>
    <n v="846879"/>
    <n v="183216"/>
    <n v="663663"/>
    <n v="41"/>
    <n v="62"/>
    <n v="13.2"/>
  </r>
  <r>
    <x v="7"/>
    <x v="7"/>
    <d v="2024-10-31T00:00:00"/>
    <s v="NA"/>
    <n v="0"/>
    <n v="33"/>
    <s v="21-40"/>
    <x v="0"/>
    <x v="9"/>
    <x v="7"/>
    <x v="0"/>
    <n v="1"/>
    <n v="1"/>
    <n v="5.4"/>
    <x v="26"/>
    <n v="7"/>
    <n v="5"/>
    <n v="741876"/>
    <n v="49444"/>
    <n v="692432"/>
    <n v="35"/>
    <n v="62"/>
    <n v="5.0999999999999996"/>
  </r>
  <r>
    <x v="7"/>
    <x v="7"/>
    <d v="2024-10-17T00:00:00"/>
    <s v="NA"/>
    <n v="0"/>
    <n v="90"/>
    <s v="81+"/>
    <x v="1"/>
    <x v="12"/>
    <x v="9"/>
    <x v="3"/>
    <n v="1"/>
    <n v="1"/>
    <n v="1.9"/>
    <x v="4"/>
    <n v="4"/>
    <n v="5"/>
    <n v="821817"/>
    <n v="131262"/>
    <n v="690555"/>
    <n v="30"/>
    <n v="66"/>
    <n v="5.7"/>
  </r>
  <r>
    <x v="7"/>
    <x v="7"/>
    <d v="2023-04-20T00:00:00"/>
    <s v="NA"/>
    <n v="0"/>
    <n v="23"/>
    <s v="21-40"/>
    <x v="1"/>
    <x v="13"/>
    <x v="10"/>
    <x v="3"/>
    <n v="1"/>
    <n v="1"/>
    <n v="4.4000000000000004"/>
    <x v="4"/>
    <n v="5"/>
    <n v="5"/>
    <n v="727092"/>
    <n v="190576"/>
    <n v="536516"/>
    <n v="37"/>
    <n v="62"/>
    <n v="12.8"/>
  </r>
  <r>
    <x v="7"/>
    <x v="7"/>
    <d v="2022-12-30T00:00:00"/>
    <s v="NA"/>
    <n v="0"/>
    <n v="50"/>
    <s v="41-60"/>
    <x v="0"/>
    <x v="4"/>
    <x v="3"/>
    <x v="4"/>
    <n v="1"/>
    <n v="1"/>
    <n v="2.1"/>
    <x v="6"/>
    <n v="3"/>
    <n v="4"/>
    <n v="703457"/>
    <n v="54371"/>
    <n v="649086"/>
    <n v="42"/>
    <n v="66"/>
    <n v="6.5"/>
  </r>
  <r>
    <x v="7"/>
    <x v="7"/>
    <d v="2021-07-09T00:00:00"/>
    <s v="NA"/>
    <n v="0"/>
    <n v="40"/>
    <s v="21-40"/>
    <x v="0"/>
    <x v="0"/>
    <x v="0"/>
    <x v="0"/>
    <n v="1"/>
    <n v="1"/>
    <n v="2.9"/>
    <x v="19"/>
    <n v="5"/>
    <n v="6"/>
    <n v="717187"/>
    <n v="73872"/>
    <n v="643315"/>
    <n v="33"/>
    <n v="55"/>
    <n v="36"/>
  </r>
  <r>
    <x v="7"/>
    <x v="7"/>
    <d v="2022-05-20T00:00:00"/>
    <s v="NA"/>
    <n v="0"/>
    <n v="84"/>
    <s v="81+"/>
    <x v="1"/>
    <x v="4"/>
    <x v="3"/>
    <x v="3"/>
    <n v="1"/>
    <n v="1"/>
    <n v="6.2"/>
    <x v="30"/>
    <n v="7"/>
    <n v="3"/>
    <n v="774366"/>
    <n v="113808"/>
    <n v="660558"/>
    <n v="30"/>
    <n v="66"/>
    <n v="10.1"/>
  </r>
  <r>
    <x v="7"/>
    <x v="7"/>
    <d v="2021-02-02T00:00:00"/>
    <s v="NA"/>
    <n v="0"/>
    <n v="35"/>
    <s v="21-40"/>
    <x v="0"/>
    <x v="9"/>
    <x v="7"/>
    <x v="0"/>
    <n v="1"/>
    <n v="1"/>
    <n v="3.8"/>
    <x v="11"/>
    <n v="3"/>
    <n v="7"/>
    <n v="756683"/>
    <n v="116385"/>
    <n v="640298"/>
    <n v="41"/>
    <n v="55"/>
    <n v="10.4"/>
  </r>
  <r>
    <x v="7"/>
    <x v="7"/>
    <d v="2024-04-06T00:00:00"/>
    <s v="NA"/>
    <n v="0"/>
    <n v="26"/>
    <s v="21-40"/>
    <x v="0"/>
    <x v="9"/>
    <x v="7"/>
    <x v="3"/>
    <n v="1"/>
    <n v="1"/>
    <n v="4.7"/>
    <x v="6"/>
    <n v="6"/>
    <n v="4"/>
    <n v="750661"/>
    <n v="83380"/>
    <n v="667281"/>
    <n v="45"/>
    <n v="56"/>
    <n v="14.8"/>
  </r>
  <r>
    <x v="7"/>
    <x v="7"/>
    <d v="2023-06-09T00:00:00"/>
    <s v="NA"/>
    <n v="0"/>
    <n v="40"/>
    <s v="21-40"/>
    <x v="0"/>
    <x v="14"/>
    <x v="11"/>
    <x v="2"/>
    <n v="1"/>
    <n v="1"/>
    <n v="5.2"/>
    <x v="21"/>
    <n v="7"/>
    <n v="4"/>
    <n v="895546"/>
    <n v="266426"/>
    <n v="629120"/>
    <n v="48"/>
    <n v="65"/>
    <n v="10.4"/>
  </r>
  <r>
    <x v="7"/>
    <x v="7"/>
    <d v="2024-02-14T00:00:00"/>
    <s v="NA"/>
    <n v="0"/>
    <n v="31"/>
    <s v="21-40"/>
    <x v="1"/>
    <x v="3"/>
    <x v="2"/>
    <x v="1"/>
    <n v="1"/>
    <n v="1"/>
    <n v="1.9"/>
    <x v="11"/>
    <n v="6"/>
    <n v="3"/>
    <n v="848185"/>
    <n v="167550"/>
    <n v="680635"/>
    <n v="46"/>
    <n v="59"/>
    <n v="13.6"/>
  </r>
  <r>
    <x v="7"/>
    <x v="7"/>
    <d v="2022-03-16T00:00:00"/>
    <s v="NA"/>
    <n v="0"/>
    <n v="61"/>
    <s v="61-80"/>
    <x v="1"/>
    <x v="9"/>
    <x v="7"/>
    <x v="2"/>
    <n v="1"/>
    <n v="1"/>
    <n v="3.2"/>
    <x v="8"/>
    <n v="3"/>
    <n v="7"/>
    <n v="722744"/>
    <n v="135959"/>
    <n v="586785"/>
    <n v="50"/>
    <n v="61"/>
    <n v="10.9"/>
  </r>
  <r>
    <x v="7"/>
    <x v="7"/>
    <d v="2022-11-14T00:00:00"/>
    <s v="NA"/>
    <n v="0"/>
    <n v="36"/>
    <s v="21-40"/>
    <x v="1"/>
    <x v="3"/>
    <x v="2"/>
    <x v="0"/>
    <n v="1"/>
    <n v="1"/>
    <n v="5.6"/>
    <x v="3"/>
    <n v="3"/>
    <n v="4"/>
    <n v="792067"/>
    <n v="292016"/>
    <n v="500051"/>
    <n v="37"/>
    <n v="57"/>
    <n v="7.4"/>
  </r>
  <r>
    <x v="7"/>
    <x v="7"/>
    <d v="2024-05-28T00:00:00"/>
    <s v="NA"/>
    <n v="0"/>
    <n v="48"/>
    <s v="41-60"/>
    <x v="0"/>
    <x v="6"/>
    <x v="4"/>
    <x v="4"/>
    <n v="1"/>
    <n v="1"/>
    <n v="1.2"/>
    <x v="10"/>
    <n v="4"/>
    <n v="7"/>
    <n v="724653"/>
    <n v="188827"/>
    <n v="535826"/>
    <n v="30"/>
    <n v="65"/>
    <n v="12.5"/>
  </r>
  <r>
    <x v="7"/>
    <x v="7"/>
    <d v="2022-01-01T00:00:00"/>
    <s v="NA"/>
    <n v="0"/>
    <n v="75"/>
    <s v="61-80"/>
    <x v="0"/>
    <x v="13"/>
    <x v="10"/>
    <x v="4"/>
    <n v="1"/>
    <n v="1"/>
    <n v="2.5"/>
    <x v="12"/>
    <n v="5"/>
    <n v="4"/>
    <n v="847238"/>
    <n v="156879"/>
    <n v="690359"/>
    <n v="47"/>
    <n v="54"/>
    <n v="10.3"/>
  </r>
  <r>
    <x v="7"/>
    <x v="7"/>
    <d v="2021-10-27T00:00:00"/>
    <s v="NA"/>
    <n v="0"/>
    <n v="28"/>
    <s v="21-40"/>
    <x v="0"/>
    <x v="7"/>
    <x v="5"/>
    <x v="0"/>
    <n v="1"/>
    <n v="1"/>
    <n v="1.8"/>
    <x v="26"/>
    <n v="7"/>
    <n v="7"/>
    <n v="706026"/>
    <n v="190530"/>
    <n v="515496"/>
    <n v="45"/>
    <n v="57"/>
    <n v="8.8000000000000007"/>
  </r>
  <r>
    <x v="7"/>
    <x v="7"/>
    <d v="2023-10-06T00:00:00"/>
    <s v="NA"/>
    <n v="0"/>
    <n v="71"/>
    <s v="61-80"/>
    <x v="0"/>
    <x v="0"/>
    <x v="0"/>
    <x v="4"/>
    <n v="1"/>
    <n v="1"/>
    <n v="3.9"/>
    <x v="21"/>
    <n v="4"/>
    <n v="5"/>
    <n v="792307"/>
    <n v="138271"/>
    <n v="654036"/>
    <n v="32"/>
    <n v="66"/>
    <n v="6"/>
  </r>
  <r>
    <x v="7"/>
    <x v="7"/>
    <d v="2021-08-18T00:00:00"/>
    <s v="NA"/>
    <n v="0"/>
    <n v="59"/>
    <s v="41-60"/>
    <x v="1"/>
    <x v="3"/>
    <x v="2"/>
    <x v="3"/>
    <n v="1"/>
    <n v="1"/>
    <n v="6.1"/>
    <x v="17"/>
    <n v="6"/>
    <n v="7"/>
    <n v="800283"/>
    <n v="104551"/>
    <n v="695732"/>
    <n v="34"/>
    <n v="65"/>
    <n v="8.4"/>
  </r>
  <r>
    <x v="7"/>
    <x v="7"/>
    <d v="2021-12-20T00:00:00"/>
    <s v="NA"/>
    <n v="0"/>
    <n v="44"/>
    <s v="41-60"/>
    <x v="1"/>
    <x v="6"/>
    <x v="4"/>
    <x v="3"/>
    <n v="1"/>
    <n v="1"/>
    <n v="3"/>
    <x v="7"/>
    <n v="6"/>
    <n v="7"/>
    <n v="733270"/>
    <n v="203765"/>
    <n v="529505"/>
    <n v="44"/>
    <n v="54"/>
    <n v="12"/>
  </r>
  <r>
    <x v="7"/>
    <x v="7"/>
    <d v="2022-04-02T00:00:00"/>
    <s v="NA"/>
    <n v="0"/>
    <n v="52"/>
    <s v="41-60"/>
    <x v="0"/>
    <x v="5"/>
    <x v="0"/>
    <x v="0"/>
    <n v="1"/>
    <n v="1"/>
    <n v="6.9"/>
    <x v="8"/>
    <n v="6"/>
    <n v="5"/>
    <n v="802058"/>
    <n v="142333"/>
    <n v="659725"/>
    <n v="42"/>
    <n v="66"/>
    <n v="36.1"/>
  </r>
  <r>
    <x v="7"/>
    <x v="7"/>
    <d v="2023-04-13T00:00:00"/>
    <s v="NA"/>
    <n v="0"/>
    <n v="90"/>
    <s v="81+"/>
    <x v="0"/>
    <x v="0"/>
    <x v="0"/>
    <x v="2"/>
    <n v="1"/>
    <n v="1"/>
    <n v="3"/>
    <x v="16"/>
    <n v="7"/>
    <n v="6"/>
    <n v="828904"/>
    <n v="260018"/>
    <n v="568886"/>
    <n v="46"/>
    <n v="63"/>
    <n v="10.8"/>
  </r>
  <r>
    <x v="7"/>
    <x v="7"/>
    <d v="2024-10-15T00:00:00"/>
    <s v="NA"/>
    <n v="0"/>
    <n v="25"/>
    <s v="21-40"/>
    <x v="0"/>
    <x v="7"/>
    <x v="5"/>
    <x v="4"/>
    <n v="1"/>
    <n v="1"/>
    <n v="2.2999999999999998"/>
    <x v="2"/>
    <n v="7"/>
    <n v="6"/>
    <n v="796399"/>
    <n v="160152"/>
    <n v="636247"/>
    <n v="50"/>
    <n v="64"/>
    <n v="10.7"/>
  </r>
  <r>
    <x v="7"/>
    <x v="7"/>
    <d v="2024-09-09T00:00:00"/>
    <s v="NA"/>
    <n v="0"/>
    <n v="87"/>
    <s v="81+"/>
    <x v="0"/>
    <x v="12"/>
    <x v="9"/>
    <x v="3"/>
    <n v="1"/>
    <n v="1"/>
    <n v="1.2"/>
    <x v="28"/>
    <n v="3"/>
    <n v="4"/>
    <n v="769848"/>
    <n v="174559"/>
    <n v="595289"/>
    <n v="33"/>
    <n v="61"/>
    <n v="8.1"/>
  </r>
  <r>
    <x v="7"/>
    <x v="7"/>
    <d v="2024-12-04T00:00:00"/>
    <s v="NA"/>
    <n v="0"/>
    <n v="81"/>
    <s v="81+"/>
    <x v="0"/>
    <x v="12"/>
    <x v="9"/>
    <x v="0"/>
    <n v="1"/>
    <n v="1"/>
    <n v="5.5"/>
    <x v="1"/>
    <n v="4"/>
    <n v="6"/>
    <n v="722866"/>
    <n v="75894"/>
    <n v="646972"/>
    <n v="44"/>
    <n v="55"/>
    <n v="9.6999999999999993"/>
  </r>
  <r>
    <x v="7"/>
    <x v="7"/>
    <d v="2022-12-25T00:00:00"/>
    <s v="NA"/>
    <n v="0"/>
    <n v="28"/>
    <s v="21-40"/>
    <x v="1"/>
    <x v="3"/>
    <x v="2"/>
    <x v="0"/>
    <n v="1"/>
    <n v="1"/>
    <n v="4"/>
    <x v="30"/>
    <n v="3"/>
    <n v="3"/>
    <n v="835489"/>
    <n v="173933"/>
    <n v="661556"/>
    <n v="42"/>
    <n v="58"/>
    <n v="9.4"/>
  </r>
  <r>
    <x v="7"/>
    <x v="7"/>
    <d v="2023-02-08T00:00:00"/>
    <s v="NA"/>
    <n v="0"/>
    <n v="66"/>
    <s v="61-80"/>
    <x v="1"/>
    <x v="3"/>
    <x v="2"/>
    <x v="3"/>
    <n v="1"/>
    <n v="1"/>
    <n v="4.4000000000000004"/>
    <x v="23"/>
    <n v="4"/>
    <n v="6"/>
    <n v="840725"/>
    <n v="203584"/>
    <n v="637141"/>
    <n v="31"/>
    <n v="56"/>
    <n v="36.5"/>
  </r>
  <r>
    <x v="7"/>
    <x v="7"/>
    <d v="2023-02-21T00:00:00"/>
    <s v="NA"/>
    <n v="0"/>
    <n v="54"/>
    <s v="41-60"/>
    <x v="0"/>
    <x v="9"/>
    <x v="7"/>
    <x v="4"/>
    <n v="1"/>
    <n v="1"/>
    <n v="6.6"/>
    <x v="6"/>
    <n v="3"/>
    <n v="3"/>
    <n v="869074"/>
    <n v="278274"/>
    <n v="590800"/>
    <n v="49"/>
    <n v="59"/>
    <n v="9.1"/>
  </r>
  <r>
    <x v="7"/>
    <x v="7"/>
    <d v="2023-01-01T00:00:00"/>
    <s v="NA"/>
    <n v="0"/>
    <n v="39"/>
    <s v="21-40"/>
    <x v="1"/>
    <x v="3"/>
    <x v="2"/>
    <x v="1"/>
    <n v="1"/>
    <n v="1"/>
    <n v="4.4000000000000004"/>
    <x v="6"/>
    <n v="5"/>
    <n v="7"/>
    <n v="790721"/>
    <n v="159728"/>
    <n v="630993"/>
    <n v="48"/>
    <n v="65"/>
    <n v="12.2"/>
  </r>
  <r>
    <x v="7"/>
    <x v="7"/>
    <d v="2023-06-25T00:00:00"/>
    <s v="NA"/>
    <n v="0"/>
    <n v="63"/>
    <s v="61-80"/>
    <x v="1"/>
    <x v="12"/>
    <x v="9"/>
    <x v="3"/>
    <n v="1"/>
    <n v="1"/>
    <n v="5.0999999999999996"/>
    <x v="6"/>
    <n v="7"/>
    <n v="5"/>
    <n v="880764"/>
    <n v="370801"/>
    <n v="509963"/>
    <n v="30"/>
    <n v="61"/>
    <n v="13.9"/>
  </r>
  <r>
    <x v="7"/>
    <x v="7"/>
    <d v="2023-04-28T00:00:00"/>
    <s v="NA"/>
    <n v="0"/>
    <n v="46"/>
    <s v="41-60"/>
    <x v="0"/>
    <x v="1"/>
    <x v="1"/>
    <x v="4"/>
    <n v="1"/>
    <n v="1"/>
    <n v="4.2"/>
    <x v="30"/>
    <n v="5"/>
    <n v="4"/>
    <n v="899131"/>
    <n v="271442"/>
    <n v="627689"/>
    <n v="33"/>
    <n v="62"/>
    <n v="6.7"/>
  </r>
  <r>
    <x v="7"/>
    <x v="7"/>
    <d v="2022-08-14T00:00:00"/>
    <s v="NA"/>
    <n v="0"/>
    <n v="53"/>
    <s v="41-60"/>
    <x v="0"/>
    <x v="7"/>
    <x v="5"/>
    <x v="1"/>
    <n v="1"/>
    <n v="1"/>
    <n v="2.1"/>
    <x v="21"/>
    <n v="6"/>
    <n v="4"/>
    <n v="879493"/>
    <n v="316451"/>
    <n v="563042"/>
    <n v="34"/>
    <n v="65"/>
    <n v="13.7"/>
  </r>
  <r>
    <x v="7"/>
    <x v="7"/>
    <d v="2023-10-08T00:00:00"/>
    <s v="NA"/>
    <n v="0"/>
    <n v="55"/>
    <s v="41-60"/>
    <x v="1"/>
    <x v="7"/>
    <x v="5"/>
    <x v="4"/>
    <n v="1"/>
    <n v="1"/>
    <n v="5.4"/>
    <x v="12"/>
    <n v="6"/>
    <n v="5"/>
    <n v="743977"/>
    <n v="157261"/>
    <n v="586716"/>
    <n v="39"/>
    <n v="57"/>
    <n v="12.6"/>
  </r>
  <r>
    <x v="7"/>
    <x v="7"/>
    <d v="2022-10-05T00:00:00"/>
    <s v="NA"/>
    <n v="0"/>
    <n v="33"/>
    <s v="21-40"/>
    <x v="0"/>
    <x v="2"/>
    <x v="1"/>
    <x v="1"/>
    <n v="1"/>
    <n v="1"/>
    <n v="3.4"/>
    <x v="15"/>
    <n v="6"/>
    <n v="3"/>
    <n v="840418"/>
    <n v="305511"/>
    <n v="534907"/>
    <n v="48"/>
    <n v="66"/>
    <n v="36.700000000000003"/>
  </r>
  <r>
    <x v="7"/>
    <x v="7"/>
    <d v="2023-06-07T00:00:00"/>
    <s v="NA"/>
    <n v="0"/>
    <n v="58"/>
    <s v="41-60"/>
    <x v="0"/>
    <x v="2"/>
    <x v="1"/>
    <x v="3"/>
    <n v="1"/>
    <n v="1"/>
    <n v="5.3"/>
    <x v="10"/>
    <n v="3"/>
    <n v="7"/>
    <n v="801236"/>
    <n v="280651"/>
    <n v="520585"/>
    <n v="49"/>
    <n v="59"/>
    <n v="9.1"/>
  </r>
  <r>
    <x v="7"/>
    <x v="7"/>
    <d v="2023-05-29T00:00:00"/>
    <s v="NA"/>
    <n v="0"/>
    <n v="31"/>
    <s v="21-40"/>
    <x v="1"/>
    <x v="12"/>
    <x v="9"/>
    <x v="0"/>
    <n v="1"/>
    <n v="1"/>
    <n v="3.7"/>
    <x v="23"/>
    <n v="6"/>
    <n v="7"/>
    <n v="736319"/>
    <n v="161341"/>
    <n v="574978"/>
    <n v="39"/>
    <n v="64"/>
    <n v="12.2"/>
  </r>
  <r>
    <x v="7"/>
    <x v="7"/>
    <d v="2024-08-29T00:00:00"/>
    <s v="NA"/>
    <n v="0"/>
    <n v="31"/>
    <s v="21-40"/>
    <x v="1"/>
    <x v="12"/>
    <x v="9"/>
    <x v="1"/>
    <n v="1"/>
    <n v="1"/>
    <n v="4.5"/>
    <x v="11"/>
    <n v="4"/>
    <n v="3"/>
    <n v="828105"/>
    <n v="319975"/>
    <n v="508130"/>
    <n v="49"/>
    <n v="65"/>
    <n v="8"/>
  </r>
  <r>
    <x v="7"/>
    <x v="7"/>
    <d v="2024-01-19T00:00:00"/>
    <s v="NA"/>
    <n v="0"/>
    <n v="73"/>
    <s v="61-80"/>
    <x v="0"/>
    <x v="12"/>
    <x v="9"/>
    <x v="1"/>
    <n v="1"/>
    <n v="1"/>
    <n v="1.6"/>
    <x v="19"/>
    <n v="5"/>
    <n v="6"/>
    <n v="790601"/>
    <n v="103650"/>
    <n v="686951"/>
    <n v="39"/>
    <n v="66"/>
    <n v="14.2"/>
  </r>
  <r>
    <x v="7"/>
    <x v="7"/>
    <d v="2024-12-25T00:00:00"/>
    <s v="NA"/>
    <n v="0"/>
    <n v="83"/>
    <s v="81+"/>
    <x v="0"/>
    <x v="14"/>
    <x v="11"/>
    <x v="0"/>
    <n v="1"/>
    <n v="1"/>
    <n v="4.4000000000000004"/>
    <x v="11"/>
    <n v="6"/>
    <n v="3"/>
    <n v="848747"/>
    <n v="286472"/>
    <n v="562275"/>
    <n v="33"/>
    <n v="65"/>
    <n v="13.9"/>
  </r>
  <r>
    <x v="7"/>
    <x v="7"/>
    <d v="2021-11-02T00:00:00"/>
    <s v="NA"/>
    <n v="0"/>
    <n v="62"/>
    <s v="61-80"/>
    <x v="1"/>
    <x v="3"/>
    <x v="2"/>
    <x v="2"/>
    <n v="1"/>
    <n v="1"/>
    <n v="3.6"/>
    <x v="16"/>
    <n v="4"/>
    <n v="3"/>
    <n v="871704"/>
    <n v="348105"/>
    <n v="523599"/>
    <n v="36"/>
    <n v="58"/>
    <n v="36.1"/>
  </r>
  <r>
    <x v="7"/>
    <x v="7"/>
    <d v="2022-08-09T00:00:00"/>
    <s v="NA"/>
    <n v="0"/>
    <n v="56"/>
    <s v="41-60"/>
    <x v="1"/>
    <x v="1"/>
    <x v="1"/>
    <x v="0"/>
    <n v="1"/>
    <n v="1"/>
    <n v="3.6"/>
    <x v="7"/>
    <n v="4"/>
    <n v="4"/>
    <n v="721482"/>
    <n v="101760"/>
    <n v="619722"/>
    <n v="39"/>
    <n v="59"/>
    <n v="6.3"/>
  </r>
  <r>
    <x v="7"/>
    <x v="7"/>
    <d v="2023-09-22T00:00:00"/>
    <s v="NA"/>
    <n v="0"/>
    <n v="69"/>
    <s v="61-80"/>
    <x v="1"/>
    <x v="3"/>
    <x v="2"/>
    <x v="0"/>
    <n v="1"/>
    <n v="1"/>
    <n v="6.6"/>
    <x v="28"/>
    <n v="6"/>
    <n v="7"/>
    <n v="732492"/>
    <n v="127423"/>
    <n v="605069"/>
    <n v="41"/>
    <n v="55"/>
    <n v="8.1"/>
  </r>
  <r>
    <x v="7"/>
    <x v="7"/>
    <d v="2023-09-12T00:00:00"/>
    <s v="NA"/>
    <n v="0"/>
    <n v="32"/>
    <s v="21-40"/>
    <x v="0"/>
    <x v="6"/>
    <x v="4"/>
    <x v="0"/>
    <n v="1"/>
    <n v="1"/>
    <n v="6.6"/>
    <x v="26"/>
    <n v="7"/>
    <n v="3"/>
    <n v="750805"/>
    <n v="232287"/>
    <n v="518518"/>
    <n v="47"/>
    <n v="60"/>
    <n v="6.9"/>
  </r>
  <r>
    <x v="7"/>
    <x v="7"/>
    <d v="2022-01-10T00:00:00"/>
    <s v="NA"/>
    <n v="0"/>
    <n v="47"/>
    <s v="41-60"/>
    <x v="1"/>
    <x v="4"/>
    <x v="3"/>
    <x v="1"/>
    <n v="1"/>
    <n v="1"/>
    <n v="3.4"/>
    <x v="22"/>
    <n v="6"/>
    <n v="6"/>
    <n v="721865"/>
    <n v="220205"/>
    <n v="501660"/>
    <n v="49"/>
    <n v="55"/>
    <n v="36.799999999999997"/>
  </r>
  <r>
    <x v="7"/>
    <x v="7"/>
    <d v="2022-04-30T00:00:00"/>
    <s v="NA"/>
    <n v="0"/>
    <n v="75"/>
    <s v="61-80"/>
    <x v="0"/>
    <x v="4"/>
    <x v="3"/>
    <x v="3"/>
    <n v="1"/>
    <n v="1"/>
    <n v="3.8"/>
    <x v="29"/>
    <n v="4"/>
    <n v="4"/>
    <n v="732965"/>
    <n v="189707"/>
    <n v="543258"/>
    <n v="43"/>
    <n v="59"/>
    <n v="7.2"/>
  </r>
  <r>
    <x v="7"/>
    <x v="7"/>
    <d v="2021-09-27T00:00:00"/>
    <s v="NA"/>
    <n v="0"/>
    <n v="22"/>
    <s v="21-40"/>
    <x v="1"/>
    <x v="1"/>
    <x v="1"/>
    <x v="0"/>
    <n v="1"/>
    <n v="1"/>
    <n v="5.9"/>
    <x v="27"/>
    <n v="7"/>
    <n v="7"/>
    <n v="810405"/>
    <n v="215276"/>
    <n v="595129"/>
    <n v="34"/>
    <n v="58"/>
    <n v="7.1"/>
  </r>
  <r>
    <x v="7"/>
    <x v="7"/>
    <d v="2023-01-10T00:00:00"/>
    <s v="NA"/>
    <n v="0"/>
    <n v="43"/>
    <s v="41-60"/>
    <x v="1"/>
    <x v="12"/>
    <x v="9"/>
    <x v="1"/>
    <n v="1"/>
    <n v="1"/>
    <n v="2"/>
    <x v="23"/>
    <n v="5"/>
    <n v="5"/>
    <n v="736884"/>
    <n v="177034"/>
    <n v="559850"/>
    <n v="31"/>
    <n v="65"/>
    <n v="10.199999999999999"/>
  </r>
  <r>
    <x v="7"/>
    <x v="7"/>
    <d v="2024-12-15T00:00:00"/>
    <s v="NA"/>
    <n v="0"/>
    <n v="82"/>
    <s v="81+"/>
    <x v="1"/>
    <x v="11"/>
    <x v="8"/>
    <x v="1"/>
    <n v="1"/>
    <n v="1"/>
    <n v="2.7"/>
    <x v="28"/>
    <n v="5"/>
    <n v="6"/>
    <n v="778514"/>
    <n v="119375"/>
    <n v="659139"/>
    <n v="46"/>
    <n v="61"/>
    <n v="6"/>
  </r>
  <r>
    <x v="7"/>
    <x v="7"/>
    <d v="2023-12-27T00:00:00"/>
    <s v="NA"/>
    <n v="0"/>
    <n v="41"/>
    <s v="41-60"/>
    <x v="1"/>
    <x v="13"/>
    <x v="10"/>
    <x v="0"/>
    <n v="1"/>
    <n v="1"/>
    <n v="3.9"/>
    <x v="22"/>
    <n v="3"/>
    <n v="5"/>
    <n v="706129"/>
    <n v="188879"/>
    <n v="517250"/>
    <n v="34"/>
    <n v="65"/>
    <n v="6.7"/>
  </r>
  <r>
    <x v="7"/>
    <x v="7"/>
    <d v="2024-06-30T00:00:00"/>
    <s v="NA"/>
    <n v="0"/>
    <n v="21"/>
    <s v="21-40"/>
    <x v="0"/>
    <x v="1"/>
    <x v="1"/>
    <x v="2"/>
    <n v="1"/>
    <n v="1"/>
    <n v="4.5999999999999996"/>
    <x v="18"/>
    <n v="7"/>
    <n v="5"/>
    <n v="703097"/>
    <n v="9414"/>
    <n v="693683"/>
    <n v="47"/>
    <n v="62"/>
    <n v="5.0999999999999996"/>
  </r>
  <r>
    <x v="7"/>
    <x v="7"/>
    <d v="2024-12-22T00:00:00"/>
    <s v="NA"/>
    <n v="0"/>
    <n v="81"/>
    <s v="81+"/>
    <x v="0"/>
    <x v="9"/>
    <x v="7"/>
    <x v="4"/>
    <n v="1"/>
    <n v="1"/>
    <n v="1.7"/>
    <x v="13"/>
    <n v="3"/>
    <n v="6"/>
    <n v="743670"/>
    <n v="163147"/>
    <n v="580523"/>
    <n v="46"/>
    <n v="63"/>
    <n v="7.4"/>
  </r>
  <r>
    <x v="7"/>
    <x v="7"/>
    <d v="2022-01-25T00:00:00"/>
    <s v="NA"/>
    <n v="0"/>
    <n v="69"/>
    <s v="61-80"/>
    <x v="0"/>
    <x v="0"/>
    <x v="0"/>
    <x v="2"/>
    <n v="1"/>
    <n v="1"/>
    <n v="4"/>
    <x v="19"/>
    <n v="4"/>
    <n v="7"/>
    <n v="813559"/>
    <n v="261563"/>
    <n v="551996"/>
    <n v="41"/>
    <n v="56"/>
    <n v="12.2"/>
  </r>
  <r>
    <x v="7"/>
    <x v="7"/>
    <d v="2023-03-11T00:00:00"/>
    <s v="NA"/>
    <n v="0"/>
    <n v="69"/>
    <s v="61-80"/>
    <x v="1"/>
    <x v="12"/>
    <x v="9"/>
    <x v="3"/>
    <n v="1"/>
    <n v="1"/>
    <n v="4.5999999999999996"/>
    <x v="8"/>
    <n v="3"/>
    <n v="7"/>
    <n v="767931"/>
    <n v="267339"/>
    <n v="500592"/>
    <n v="33"/>
    <n v="60"/>
    <n v="5.3"/>
  </r>
  <r>
    <x v="7"/>
    <x v="7"/>
    <d v="2022-01-04T00:00:00"/>
    <s v="NA"/>
    <n v="0"/>
    <n v="44"/>
    <s v="41-60"/>
    <x v="1"/>
    <x v="10"/>
    <x v="8"/>
    <x v="4"/>
    <n v="1"/>
    <n v="1"/>
    <n v="6.7"/>
    <x v="20"/>
    <n v="4"/>
    <n v="5"/>
    <n v="858820"/>
    <n v="221931"/>
    <n v="636889"/>
    <n v="39"/>
    <n v="65"/>
    <n v="13.2"/>
  </r>
  <r>
    <x v="7"/>
    <x v="7"/>
    <d v="2023-08-10T00:00:00"/>
    <s v="NA"/>
    <n v="0"/>
    <n v="68"/>
    <s v="61-80"/>
    <x v="1"/>
    <x v="8"/>
    <x v="6"/>
    <x v="0"/>
    <n v="1"/>
    <n v="1"/>
    <n v="3.8"/>
    <x v="4"/>
    <n v="5"/>
    <n v="7"/>
    <n v="889682"/>
    <n v="308048"/>
    <n v="581634"/>
    <n v="45"/>
    <n v="66"/>
    <n v="14.4"/>
  </r>
  <r>
    <x v="7"/>
    <x v="7"/>
    <d v="2022-05-11T00:00:00"/>
    <s v="NA"/>
    <n v="0"/>
    <n v="37"/>
    <s v="21-40"/>
    <x v="0"/>
    <x v="5"/>
    <x v="0"/>
    <x v="3"/>
    <n v="1"/>
    <n v="1"/>
    <n v="2.6"/>
    <x v="29"/>
    <n v="5"/>
    <n v="3"/>
    <n v="734259"/>
    <n v="197841"/>
    <n v="536418"/>
    <n v="49"/>
    <n v="65"/>
    <n v="10.3"/>
  </r>
  <r>
    <x v="7"/>
    <x v="7"/>
    <d v="2022-05-03T00:00:00"/>
    <s v="NA"/>
    <n v="0"/>
    <n v="71"/>
    <s v="61-80"/>
    <x v="0"/>
    <x v="9"/>
    <x v="7"/>
    <x v="2"/>
    <n v="1"/>
    <n v="1"/>
    <n v="3.2"/>
    <x v="20"/>
    <n v="3"/>
    <n v="6"/>
    <n v="740919"/>
    <n v="103550"/>
    <n v="637369"/>
    <n v="42"/>
    <n v="55"/>
    <n v="9.5"/>
  </r>
  <r>
    <x v="7"/>
    <x v="7"/>
    <d v="2024-06-11T00:00:00"/>
    <s v="NA"/>
    <n v="0"/>
    <n v="40"/>
    <s v="21-40"/>
    <x v="1"/>
    <x v="10"/>
    <x v="8"/>
    <x v="0"/>
    <n v="1"/>
    <n v="1"/>
    <n v="5"/>
    <x v="26"/>
    <n v="6"/>
    <n v="6"/>
    <n v="828100"/>
    <n v="221869"/>
    <n v="606231"/>
    <n v="46"/>
    <n v="66"/>
    <n v="36.1"/>
  </r>
  <r>
    <x v="7"/>
    <x v="7"/>
    <d v="2024-04-27T00:00:00"/>
    <s v="NA"/>
    <n v="0"/>
    <n v="54"/>
    <s v="41-60"/>
    <x v="0"/>
    <x v="14"/>
    <x v="11"/>
    <x v="3"/>
    <n v="1"/>
    <n v="1"/>
    <n v="6.4"/>
    <x v="9"/>
    <n v="6"/>
    <n v="6"/>
    <n v="887015"/>
    <n v="210192"/>
    <n v="676823"/>
    <n v="45"/>
    <n v="56"/>
    <n v="13.4"/>
  </r>
  <r>
    <x v="7"/>
    <x v="7"/>
    <d v="2023-10-22T00:00:00"/>
    <s v="NA"/>
    <n v="0"/>
    <n v="64"/>
    <s v="61-80"/>
    <x v="0"/>
    <x v="13"/>
    <x v="10"/>
    <x v="3"/>
    <n v="1"/>
    <n v="1"/>
    <n v="3.9"/>
    <x v="21"/>
    <n v="3"/>
    <n v="7"/>
    <n v="893204"/>
    <n v="354050"/>
    <n v="539154"/>
    <n v="50"/>
    <n v="62"/>
    <n v="10"/>
  </r>
  <r>
    <x v="7"/>
    <x v="7"/>
    <d v="2021-05-10T00:00:00"/>
    <s v="NA"/>
    <n v="0"/>
    <n v="48"/>
    <s v="41-60"/>
    <x v="1"/>
    <x v="3"/>
    <x v="2"/>
    <x v="2"/>
    <n v="1"/>
    <n v="1"/>
    <n v="2.6"/>
    <x v="8"/>
    <n v="5"/>
    <n v="7"/>
    <n v="796664"/>
    <n v="144893"/>
    <n v="651771"/>
    <n v="50"/>
    <n v="54"/>
    <n v="14.4"/>
  </r>
  <r>
    <x v="7"/>
    <x v="7"/>
    <d v="2024-08-06T00:00:00"/>
    <s v="NA"/>
    <n v="0"/>
    <n v="39"/>
    <s v="21-40"/>
    <x v="1"/>
    <x v="3"/>
    <x v="2"/>
    <x v="4"/>
    <n v="1"/>
    <n v="1"/>
    <n v="6"/>
    <x v="18"/>
    <n v="3"/>
    <n v="6"/>
    <n v="736465"/>
    <n v="126434"/>
    <n v="610031"/>
    <n v="38"/>
    <n v="61"/>
    <n v="10.5"/>
  </r>
  <r>
    <x v="7"/>
    <x v="7"/>
    <d v="2024-02-10T00:00:00"/>
    <s v="NA"/>
    <n v="0"/>
    <n v="44"/>
    <s v="41-60"/>
    <x v="1"/>
    <x v="3"/>
    <x v="2"/>
    <x v="0"/>
    <n v="1"/>
    <n v="1"/>
    <n v="1.9"/>
    <x v="22"/>
    <n v="3"/>
    <n v="6"/>
    <n v="717577"/>
    <n v="157696"/>
    <n v="559881"/>
    <n v="36"/>
    <n v="57"/>
    <n v="9.6"/>
  </r>
  <r>
    <x v="7"/>
    <x v="7"/>
    <d v="2024-01-06T00:00:00"/>
    <s v="NA"/>
    <n v="0"/>
    <n v="33"/>
    <s v="21-40"/>
    <x v="1"/>
    <x v="2"/>
    <x v="1"/>
    <x v="1"/>
    <n v="1"/>
    <n v="1"/>
    <n v="4"/>
    <x v="2"/>
    <n v="4"/>
    <n v="7"/>
    <n v="859381"/>
    <n v="289846"/>
    <n v="569535"/>
    <n v="45"/>
    <n v="59"/>
    <n v="13.6"/>
  </r>
  <r>
    <x v="7"/>
    <x v="7"/>
    <d v="2024-10-12T00:00:00"/>
    <s v="NA"/>
    <n v="0"/>
    <n v="52"/>
    <s v="41-60"/>
    <x v="0"/>
    <x v="2"/>
    <x v="1"/>
    <x v="3"/>
    <n v="1"/>
    <n v="1"/>
    <n v="4.3"/>
    <x v="11"/>
    <n v="3"/>
    <n v="5"/>
    <n v="715942"/>
    <n v="111371"/>
    <n v="604571"/>
    <n v="40"/>
    <n v="55"/>
    <n v="12.9"/>
  </r>
  <r>
    <x v="7"/>
    <x v="7"/>
    <d v="2021-04-15T00:00:00"/>
    <s v="NA"/>
    <n v="0"/>
    <n v="76"/>
    <s v="61-80"/>
    <x v="1"/>
    <x v="3"/>
    <x v="2"/>
    <x v="4"/>
    <n v="1"/>
    <n v="1"/>
    <n v="3"/>
    <x v="7"/>
    <n v="4"/>
    <n v="3"/>
    <n v="701797"/>
    <n v="13962"/>
    <n v="687835"/>
    <n v="42"/>
    <n v="62"/>
    <n v="7.4"/>
  </r>
  <r>
    <x v="7"/>
    <x v="7"/>
    <d v="2021-07-04T00:00:00"/>
    <s v="NA"/>
    <n v="0"/>
    <n v="89"/>
    <s v="81+"/>
    <x v="1"/>
    <x v="2"/>
    <x v="1"/>
    <x v="3"/>
    <n v="1"/>
    <n v="1"/>
    <n v="1.6"/>
    <x v="12"/>
    <n v="6"/>
    <n v="3"/>
    <n v="819383"/>
    <n v="309705"/>
    <n v="509678"/>
    <n v="30"/>
    <n v="57"/>
    <n v="9.1999999999999993"/>
  </r>
  <r>
    <x v="7"/>
    <x v="7"/>
    <d v="2023-09-02T00:00:00"/>
    <s v="NA"/>
    <n v="0"/>
    <n v="89"/>
    <s v="81+"/>
    <x v="1"/>
    <x v="8"/>
    <x v="6"/>
    <x v="1"/>
    <n v="1"/>
    <n v="1"/>
    <n v="3.8"/>
    <x v="16"/>
    <n v="3"/>
    <n v="3"/>
    <n v="829483"/>
    <n v="292084"/>
    <n v="537399"/>
    <n v="41"/>
    <n v="54"/>
    <n v="13"/>
  </r>
  <r>
    <x v="7"/>
    <x v="7"/>
    <d v="2022-03-01T00:00:00"/>
    <s v="NA"/>
    <n v="0"/>
    <n v="39"/>
    <s v="21-40"/>
    <x v="1"/>
    <x v="3"/>
    <x v="2"/>
    <x v="4"/>
    <n v="1"/>
    <n v="1"/>
    <n v="1.1000000000000001"/>
    <x v="6"/>
    <n v="7"/>
    <n v="3"/>
    <n v="836384"/>
    <n v="212607"/>
    <n v="623777"/>
    <n v="49"/>
    <n v="61"/>
    <n v="36.9"/>
  </r>
  <r>
    <x v="7"/>
    <x v="7"/>
    <d v="2024-08-02T00:00:00"/>
    <s v="NA"/>
    <n v="0"/>
    <n v="88"/>
    <s v="81+"/>
    <x v="0"/>
    <x v="6"/>
    <x v="4"/>
    <x v="4"/>
    <n v="1"/>
    <n v="1"/>
    <n v="4.4000000000000004"/>
    <x v="3"/>
    <n v="6"/>
    <n v="3"/>
    <n v="769304"/>
    <n v="149717"/>
    <n v="619587"/>
    <n v="49"/>
    <n v="64"/>
    <n v="7.7"/>
  </r>
  <r>
    <x v="7"/>
    <x v="7"/>
    <d v="2021-06-04T00:00:00"/>
    <s v="NA"/>
    <n v="0"/>
    <n v="24"/>
    <s v="21-40"/>
    <x v="0"/>
    <x v="9"/>
    <x v="7"/>
    <x v="4"/>
    <n v="1"/>
    <n v="1"/>
    <n v="2.6"/>
    <x v="15"/>
    <n v="5"/>
    <n v="4"/>
    <n v="893281"/>
    <n v="274673"/>
    <n v="618608"/>
    <n v="31"/>
    <n v="63"/>
    <n v="5.4"/>
  </r>
  <r>
    <x v="7"/>
    <x v="7"/>
    <d v="2022-04-24T00:00:00"/>
    <s v="NA"/>
    <n v="0"/>
    <n v="47"/>
    <s v="41-60"/>
    <x v="1"/>
    <x v="3"/>
    <x v="2"/>
    <x v="0"/>
    <n v="1"/>
    <n v="1"/>
    <n v="3.7"/>
    <x v="9"/>
    <n v="7"/>
    <n v="4"/>
    <n v="819873"/>
    <n v="305972"/>
    <n v="513901"/>
    <n v="47"/>
    <n v="66"/>
    <n v="36.1"/>
  </r>
  <r>
    <x v="7"/>
    <x v="7"/>
    <d v="2023-08-22T00:00:00"/>
    <s v="NA"/>
    <n v="0"/>
    <n v="49"/>
    <s v="41-60"/>
    <x v="1"/>
    <x v="12"/>
    <x v="9"/>
    <x v="3"/>
    <n v="1"/>
    <n v="1"/>
    <n v="3.7"/>
    <x v="29"/>
    <n v="3"/>
    <n v="4"/>
    <n v="782906"/>
    <n v="249992"/>
    <n v="532914"/>
    <n v="32"/>
    <n v="62"/>
    <n v="9.9"/>
  </r>
  <r>
    <x v="7"/>
    <x v="7"/>
    <d v="2023-07-30T00:00:00"/>
    <s v="NA"/>
    <n v="0"/>
    <n v="42"/>
    <s v="41-60"/>
    <x v="0"/>
    <x v="13"/>
    <x v="10"/>
    <x v="4"/>
    <n v="1"/>
    <n v="1"/>
    <n v="1.1000000000000001"/>
    <x v="24"/>
    <n v="7"/>
    <n v="6"/>
    <n v="781871"/>
    <n v="225472"/>
    <n v="556399"/>
    <n v="31"/>
    <n v="64"/>
    <n v="10.9"/>
  </r>
  <r>
    <x v="7"/>
    <x v="7"/>
    <d v="2021-04-10T00:00:00"/>
    <s v="NA"/>
    <n v="0"/>
    <n v="43"/>
    <s v="41-60"/>
    <x v="1"/>
    <x v="11"/>
    <x v="8"/>
    <x v="2"/>
    <n v="1"/>
    <n v="1"/>
    <n v="3.9"/>
    <x v="3"/>
    <n v="7"/>
    <n v="7"/>
    <n v="864961"/>
    <n v="191158"/>
    <n v="673803"/>
    <n v="30"/>
    <n v="60"/>
    <n v="36.299999999999997"/>
  </r>
  <r>
    <x v="7"/>
    <x v="7"/>
    <d v="2022-10-29T00:00:00"/>
    <s v="NA"/>
    <n v="0"/>
    <n v="54"/>
    <s v="41-60"/>
    <x v="0"/>
    <x v="5"/>
    <x v="0"/>
    <x v="2"/>
    <n v="1"/>
    <n v="1"/>
    <n v="2.5"/>
    <x v="27"/>
    <n v="5"/>
    <n v="7"/>
    <n v="860467"/>
    <n v="182777"/>
    <n v="677690"/>
    <n v="34"/>
    <n v="63"/>
    <n v="12.6"/>
  </r>
  <r>
    <x v="7"/>
    <x v="7"/>
    <d v="2023-06-01T00:00:00"/>
    <s v="NA"/>
    <n v="0"/>
    <n v="86"/>
    <s v="81+"/>
    <x v="1"/>
    <x v="7"/>
    <x v="5"/>
    <x v="2"/>
    <n v="1"/>
    <n v="1"/>
    <n v="3.2"/>
    <x v="15"/>
    <n v="3"/>
    <n v="6"/>
    <n v="859067"/>
    <n v="304814"/>
    <n v="554253"/>
    <n v="47"/>
    <n v="59"/>
    <n v="13.7"/>
  </r>
  <r>
    <x v="7"/>
    <x v="7"/>
    <d v="2022-10-15T00:00:00"/>
    <s v="NA"/>
    <n v="0"/>
    <n v="47"/>
    <s v="41-60"/>
    <x v="0"/>
    <x v="14"/>
    <x v="11"/>
    <x v="3"/>
    <n v="1"/>
    <n v="1"/>
    <n v="4.7"/>
    <x v="27"/>
    <n v="5"/>
    <n v="5"/>
    <n v="803516"/>
    <n v="243266"/>
    <n v="560250"/>
    <n v="38"/>
    <n v="54"/>
    <n v="36.700000000000003"/>
  </r>
  <r>
    <x v="7"/>
    <x v="7"/>
    <d v="2022-12-19T00:00:00"/>
    <s v="NA"/>
    <n v="0"/>
    <n v="80"/>
    <s v="61-80"/>
    <x v="0"/>
    <x v="10"/>
    <x v="8"/>
    <x v="2"/>
    <n v="1"/>
    <n v="1"/>
    <n v="3.3"/>
    <x v="22"/>
    <n v="7"/>
    <n v="3"/>
    <n v="778174"/>
    <n v="116637"/>
    <n v="661537"/>
    <n v="36"/>
    <n v="56"/>
    <n v="12"/>
  </r>
  <r>
    <x v="7"/>
    <x v="7"/>
    <d v="2022-06-01T00:00:00"/>
    <s v="NA"/>
    <n v="0"/>
    <n v="65"/>
    <s v="61-80"/>
    <x v="1"/>
    <x v="9"/>
    <x v="7"/>
    <x v="0"/>
    <n v="1"/>
    <n v="1"/>
    <n v="2.2999999999999998"/>
    <x v="16"/>
    <n v="4"/>
    <n v="5"/>
    <n v="869009"/>
    <n v="190977"/>
    <n v="678032"/>
    <n v="31"/>
    <n v="60"/>
    <n v="6.4"/>
  </r>
  <r>
    <x v="7"/>
    <x v="7"/>
    <d v="2024-01-17T00:00:00"/>
    <s v="NA"/>
    <n v="0"/>
    <n v="66"/>
    <s v="61-80"/>
    <x v="1"/>
    <x v="1"/>
    <x v="1"/>
    <x v="4"/>
    <n v="1"/>
    <n v="1"/>
    <n v="6.8"/>
    <x v="10"/>
    <n v="5"/>
    <n v="7"/>
    <n v="742798"/>
    <n v="222799"/>
    <n v="519999"/>
    <n v="48"/>
    <n v="66"/>
    <n v="5.3"/>
  </r>
  <r>
    <x v="7"/>
    <x v="7"/>
    <d v="2022-09-03T00:00:00"/>
    <s v="NA"/>
    <n v="0"/>
    <n v="81"/>
    <s v="81+"/>
    <x v="1"/>
    <x v="12"/>
    <x v="9"/>
    <x v="1"/>
    <n v="1"/>
    <n v="1"/>
    <n v="1"/>
    <x v="10"/>
    <n v="4"/>
    <n v="4"/>
    <n v="863292"/>
    <n v="226540"/>
    <n v="636752"/>
    <n v="50"/>
    <n v="62"/>
    <n v="10.7"/>
  </r>
  <r>
    <x v="7"/>
    <x v="7"/>
    <d v="2021-07-24T00:00:00"/>
    <s v="NA"/>
    <n v="0"/>
    <n v="81"/>
    <s v="81+"/>
    <x v="1"/>
    <x v="9"/>
    <x v="7"/>
    <x v="2"/>
    <n v="1"/>
    <n v="1"/>
    <n v="3.2"/>
    <x v="11"/>
    <n v="6"/>
    <n v="6"/>
    <n v="713079"/>
    <n v="188930"/>
    <n v="524149"/>
    <n v="43"/>
    <n v="55"/>
    <n v="36.4"/>
  </r>
  <r>
    <x v="7"/>
    <x v="7"/>
    <d v="2021-07-17T00:00:00"/>
    <s v="NA"/>
    <n v="0"/>
    <n v="45"/>
    <s v="41-60"/>
    <x v="0"/>
    <x v="12"/>
    <x v="9"/>
    <x v="3"/>
    <n v="1"/>
    <n v="1"/>
    <n v="4.5"/>
    <x v="29"/>
    <n v="7"/>
    <n v="3"/>
    <n v="707738"/>
    <n v="129360"/>
    <n v="578378"/>
    <n v="48"/>
    <n v="54"/>
    <n v="10.6"/>
  </r>
  <r>
    <x v="7"/>
    <x v="7"/>
    <d v="2023-05-25T00:00:00"/>
    <s v="NA"/>
    <n v="0"/>
    <n v="84"/>
    <s v="81+"/>
    <x v="0"/>
    <x v="0"/>
    <x v="0"/>
    <x v="3"/>
    <n v="1"/>
    <n v="1"/>
    <n v="6"/>
    <x v="5"/>
    <n v="4"/>
    <n v="4"/>
    <n v="705957"/>
    <n v="159575"/>
    <n v="546382"/>
    <n v="44"/>
    <n v="59"/>
    <n v="6.7"/>
  </r>
  <r>
    <x v="7"/>
    <x v="7"/>
    <d v="2024-11-26T00:00:00"/>
    <s v="NA"/>
    <n v="0"/>
    <n v="46"/>
    <s v="41-60"/>
    <x v="0"/>
    <x v="14"/>
    <x v="11"/>
    <x v="0"/>
    <n v="1"/>
    <n v="1"/>
    <n v="2.9"/>
    <x v="27"/>
    <n v="6"/>
    <n v="7"/>
    <n v="804245"/>
    <n v="285813"/>
    <n v="518432"/>
    <n v="38"/>
    <n v="55"/>
    <n v="13"/>
  </r>
  <r>
    <x v="7"/>
    <x v="7"/>
    <d v="2024-07-24T00:00:00"/>
    <s v="NA"/>
    <n v="0"/>
    <n v="62"/>
    <s v="61-80"/>
    <x v="1"/>
    <x v="13"/>
    <x v="10"/>
    <x v="3"/>
    <n v="1"/>
    <n v="1"/>
    <n v="3.6"/>
    <x v="3"/>
    <n v="7"/>
    <n v="7"/>
    <n v="875771"/>
    <n v="372747"/>
    <n v="503024"/>
    <n v="49"/>
    <n v="62"/>
    <n v="6.8"/>
  </r>
  <r>
    <x v="7"/>
    <x v="7"/>
    <d v="2023-04-04T00:00:00"/>
    <s v="NA"/>
    <n v="0"/>
    <n v="39"/>
    <s v="21-40"/>
    <x v="0"/>
    <x v="5"/>
    <x v="0"/>
    <x v="1"/>
    <n v="1"/>
    <n v="1"/>
    <n v="4"/>
    <x v="16"/>
    <n v="7"/>
    <n v="6"/>
    <n v="777913"/>
    <n v="181899"/>
    <n v="596014"/>
    <n v="37"/>
    <n v="60"/>
    <n v="12.6"/>
  </r>
  <r>
    <x v="7"/>
    <x v="7"/>
    <d v="2021-09-04T00:00:00"/>
    <s v="NA"/>
    <n v="0"/>
    <n v="50"/>
    <s v="41-60"/>
    <x v="1"/>
    <x v="13"/>
    <x v="10"/>
    <x v="2"/>
    <n v="1"/>
    <n v="1"/>
    <n v="5.2"/>
    <x v="8"/>
    <n v="5"/>
    <n v="4"/>
    <n v="710121"/>
    <n v="162395"/>
    <n v="547726"/>
    <n v="48"/>
    <n v="62"/>
    <n v="13.1"/>
  </r>
  <r>
    <x v="7"/>
    <x v="7"/>
    <d v="2023-05-04T00:00:00"/>
    <s v="NA"/>
    <n v="0"/>
    <n v="28"/>
    <s v="21-40"/>
    <x v="0"/>
    <x v="4"/>
    <x v="3"/>
    <x v="4"/>
    <n v="1"/>
    <n v="1"/>
    <n v="2.9"/>
    <x v="9"/>
    <n v="4"/>
    <n v="6"/>
    <n v="842238"/>
    <n v="338876"/>
    <n v="503362"/>
    <n v="39"/>
    <n v="65"/>
    <n v="8.1999999999999993"/>
  </r>
  <r>
    <x v="7"/>
    <x v="7"/>
    <d v="2023-11-26T00:00:00"/>
    <s v="NA"/>
    <n v="0"/>
    <n v="41"/>
    <s v="41-60"/>
    <x v="0"/>
    <x v="5"/>
    <x v="0"/>
    <x v="0"/>
    <n v="1"/>
    <n v="1"/>
    <n v="5"/>
    <x v="7"/>
    <n v="5"/>
    <n v="3"/>
    <n v="783686"/>
    <n v="260605"/>
    <n v="523081"/>
    <n v="39"/>
    <n v="64"/>
    <n v="13.1"/>
  </r>
  <r>
    <x v="7"/>
    <x v="7"/>
    <d v="2024-01-15T00:00:00"/>
    <s v="NA"/>
    <n v="0"/>
    <n v="43"/>
    <s v="41-60"/>
    <x v="1"/>
    <x v="6"/>
    <x v="4"/>
    <x v="0"/>
    <n v="1"/>
    <n v="1"/>
    <n v="1"/>
    <x v="4"/>
    <n v="7"/>
    <n v="3"/>
    <n v="854147"/>
    <n v="216789"/>
    <n v="637358"/>
    <n v="47"/>
    <n v="54"/>
    <n v="8"/>
  </r>
  <r>
    <x v="7"/>
    <x v="7"/>
    <d v="2024-02-06T00:00:00"/>
    <s v="NA"/>
    <n v="0"/>
    <n v="33"/>
    <s v="21-40"/>
    <x v="0"/>
    <x v="13"/>
    <x v="10"/>
    <x v="2"/>
    <n v="1"/>
    <n v="1"/>
    <n v="2.4"/>
    <x v="19"/>
    <n v="4"/>
    <n v="6"/>
    <n v="720812"/>
    <n v="69543"/>
    <n v="651269"/>
    <n v="50"/>
    <n v="60"/>
    <n v="36.200000000000003"/>
  </r>
  <r>
    <x v="7"/>
    <x v="7"/>
    <d v="2022-11-01T00:00:00"/>
    <s v="NA"/>
    <n v="0"/>
    <n v="45"/>
    <s v="41-60"/>
    <x v="1"/>
    <x v="4"/>
    <x v="3"/>
    <x v="2"/>
    <n v="1"/>
    <n v="1"/>
    <n v="2.8"/>
    <x v="19"/>
    <n v="5"/>
    <n v="4"/>
    <n v="842874"/>
    <n v="242466"/>
    <n v="600408"/>
    <n v="33"/>
    <n v="63"/>
    <n v="7.2"/>
  </r>
  <r>
    <x v="7"/>
    <x v="7"/>
    <d v="2022-06-29T00:00:00"/>
    <s v="NA"/>
    <n v="0"/>
    <n v="68"/>
    <s v="61-80"/>
    <x v="1"/>
    <x v="13"/>
    <x v="10"/>
    <x v="0"/>
    <n v="1"/>
    <n v="1"/>
    <n v="4"/>
    <x v="21"/>
    <n v="5"/>
    <n v="6"/>
    <n v="732709"/>
    <n v="64958"/>
    <n v="667751"/>
    <n v="32"/>
    <n v="59"/>
    <n v="8.6999999999999993"/>
  </r>
  <r>
    <x v="7"/>
    <x v="7"/>
    <d v="2021-07-16T00:00:00"/>
    <s v="NA"/>
    <n v="0"/>
    <n v="23"/>
    <s v="21-40"/>
    <x v="0"/>
    <x v="2"/>
    <x v="1"/>
    <x v="3"/>
    <n v="1"/>
    <n v="1"/>
    <n v="1.3"/>
    <x v="3"/>
    <n v="4"/>
    <n v="6"/>
    <n v="887863"/>
    <n v="209673"/>
    <n v="678190"/>
    <n v="31"/>
    <n v="55"/>
    <n v="8.6999999999999993"/>
  </r>
  <r>
    <x v="7"/>
    <x v="7"/>
    <d v="2023-01-06T00:00:00"/>
    <s v="NA"/>
    <n v="0"/>
    <n v="37"/>
    <s v="21-40"/>
    <x v="1"/>
    <x v="12"/>
    <x v="9"/>
    <x v="2"/>
    <n v="1"/>
    <n v="1"/>
    <n v="5.6"/>
    <x v="28"/>
    <n v="6"/>
    <n v="6"/>
    <n v="735613"/>
    <n v="140916"/>
    <n v="594697"/>
    <n v="40"/>
    <n v="66"/>
    <n v="8.6999999999999993"/>
  </r>
  <r>
    <x v="7"/>
    <x v="7"/>
    <d v="2022-04-11T00:00:00"/>
    <s v="NA"/>
    <n v="0"/>
    <n v="28"/>
    <s v="21-40"/>
    <x v="0"/>
    <x v="7"/>
    <x v="5"/>
    <x v="1"/>
    <n v="1"/>
    <n v="1"/>
    <n v="1.6"/>
    <x v="3"/>
    <n v="5"/>
    <n v="6"/>
    <n v="786734"/>
    <n v="121366"/>
    <n v="665368"/>
    <n v="41"/>
    <n v="63"/>
    <n v="15"/>
  </r>
  <r>
    <x v="7"/>
    <x v="7"/>
    <d v="2022-11-13T00:00:00"/>
    <s v="NA"/>
    <n v="0"/>
    <n v="28"/>
    <s v="21-40"/>
    <x v="1"/>
    <x v="13"/>
    <x v="10"/>
    <x v="1"/>
    <n v="1"/>
    <n v="1"/>
    <n v="1"/>
    <x v="2"/>
    <n v="7"/>
    <n v="5"/>
    <n v="862651"/>
    <n v="336575"/>
    <n v="526076"/>
    <n v="43"/>
    <n v="65"/>
    <n v="8.5"/>
  </r>
  <r>
    <x v="7"/>
    <x v="7"/>
    <d v="2022-04-08T00:00:00"/>
    <s v="NA"/>
    <n v="0"/>
    <n v="25"/>
    <s v="21-40"/>
    <x v="0"/>
    <x v="9"/>
    <x v="7"/>
    <x v="3"/>
    <n v="1"/>
    <n v="1"/>
    <n v="1"/>
    <x v="16"/>
    <n v="5"/>
    <n v="3"/>
    <n v="700476"/>
    <n v="86772"/>
    <n v="613704"/>
    <n v="40"/>
    <n v="66"/>
    <n v="12.2"/>
  </r>
  <r>
    <x v="7"/>
    <x v="7"/>
    <d v="2022-09-23T00:00:00"/>
    <s v="NA"/>
    <n v="0"/>
    <n v="31"/>
    <s v="21-40"/>
    <x v="0"/>
    <x v="1"/>
    <x v="1"/>
    <x v="0"/>
    <n v="1"/>
    <n v="1"/>
    <n v="3.5"/>
    <x v="9"/>
    <n v="6"/>
    <n v="3"/>
    <n v="800238"/>
    <n v="209267"/>
    <n v="590971"/>
    <n v="46"/>
    <n v="54"/>
    <n v="7.5"/>
  </r>
  <r>
    <x v="7"/>
    <x v="7"/>
    <d v="2021-01-28T00:00:00"/>
    <s v="NA"/>
    <n v="0"/>
    <n v="69"/>
    <s v="61-80"/>
    <x v="1"/>
    <x v="10"/>
    <x v="8"/>
    <x v="0"/>
    <n v="1"/>
    <n v="1"/>
    <n v="2.8"/>
    <x v="11"/>
    <n v="3"/>
    <n v="7"/>
    <n v="871637"/>
    <n v="277476"/>
    <n v="594161"/>
    <n v="42"/>
    <n v="61"/>
    <n v="9.1"/>
  </r>
  <r>
    <x v="7"/>
    <x v="7"/>
    <d v="2022-02-03T00:00:00"/>
    <s v="NA"/>
    <n v="0"/>
    <n v="49"/>
    <s v="41-60"/>
    <x v="0"/>
    <x v="5"/>
    <x v="0"/>
    <x v="4"/>
    <n v="1"/>
    <n v="1"/>
    <n v="1.3"/>
    <x v="30"/>
    <n v="6"/>
    <n v="7"/>
    <n v="827300"/>
    <n v="255859"/>
    <n v="571441"/>
    <n v="36"/>
    <n v="64"/>
    <n v="10.199999999999999"/>
  </r>
  <r>
    <x v="7"/>
    <x v="7"/>
    <d v="2022-01-26T00:00:00"/>
    <s v="NA"/>
    <n v="0"/>
    <n v="31"/>
    <s v="21-40"/>
    <x v="1"/>
    <x v="3"/>
    <x v="2"/>
    <x v="2"/>
    <n v="1"/>
    <n v="1"/>
    <n v="6.9"/>
    <x v="2"/>
    <n v="7"/>
    <n v="7"/>
    <n v="847474"/>
    <n v="190204"/>
    <n v="657270"/>
    <n v="50"/>
    <n v="62"/>
    <n v="5.7"/>
  </r>
  <r>
    <x v="7"/>
    <x v="7"/>
    <d v="2023-05-03T00:00:00"/>
    <s v="NA"/>
    <n v="0"/>
    <n v="28"/>
    <s v="21-40"/>
    <x v="1"/>
    <x v="12"/>
    <x v="9"/>
    <x v="1"/>
    <n v="1"/>
    <n v="1"/>
    <n v="6.9"/>
    <x v="11"/>
    <n v="3"/>
    <n v="7"/>
    <n v="869874"/>
    <n v="305802"/>
    <n v="564072"/>
    <n v="33"/>
    <n v="61"/>
    <n v="6.2"/>
  </r>
  <r>
    <x v="7"/>
    <x v="7"/>
    <d v="2024-05-30T00:00:00"/>
    <s v="NA"/>
    <n v="0"/>
    <n v="39"/>
    <s v="21-40"/>
    <x v="1"/>
    <x v="12"/>
    <x v="9"/>
    <x v="3"/>
    <n v="1"/>
    <n v="1"/>
    <n v="4.3"/>
    <x v="19"/>
    <n v="3"/>
    <n v="7"/>
    <n v="787243"/>
    <n v="178183"/>
    <n v="609060"/>
    <n v="39"/>
    <n v="57"/>
    <n v="12.3"/>
  </r>
  <r>
    <x v="7"/>
    <x v="7"/>
    <d v="2021-11-24T00:00:00"/>
    <s v="NA"/>
    <n v="0"/>
    <n v="29"/>
    <s v="21-40"/>
    <x v="0"/>
    <x v="7"/>
    <x v="5"/>
    <x v="2"/>
    <n v="1"/>
    <n v="1"/>
    <n v="4.9000000000000004"/>
    <x v="2"/>
    <n v="5"/>
    <n v="5"/>
    <n v="719928"/>
    <n v="48694"/>
    <n v="671234"/>
    <n v="32"/>
    <n v="61"/>
    <n v="14.4"/>
  </r>
  <r>
    <x v="7"/>
    <x v="7"/>
    <d v="2022-12-25T00:00:00"/>
    <s v="NA"/>
    <n v="0"/>
    <n v="89"/>
    <s v="81+"/>
    <x v="1"/>
    <x v="7"/>
    <x v="5"/>
    <x v="3"/>
    <n v="1"/>
    <n v="1"/>
    <n v="3"/>
    <x v="16"/>
    <n v="7"/>
    <n v="4"/>
    <n v="754402"/>
    <n v="205175"/>
    <n v="549227"/>
    <n v="31"/>
    <n v="55"/>
    <n v="6.2"/>
  </r>
  <r>
    <x v="7"/>
    <x v="7"/>
    <d v="2022-09-14T00:00:00"/>
    <s v="NA"/>
    <n v="0"/>
    <n v="33"/>
    <s v="21-40"/>
    <x v="1"/>
    <x v="11"/>
    <x v="8"/>
    <x v="1"/>
    <n v="1"/>
    <n v="1"/>
    <n v="2.5"/>
    <x v="21"/>
    <n v="7"/>
    <n v="6"/>
    <n v="816573"/>
    <n v="237712"/>
    <n v="578861"/>
    <n v="36"/>
    <n v="61"/>
    <n v="12.4"/>
  </r>
  <r>
    <x v="7"/>
    <x v="7"/>
    <d v="2024-05-10T00:00:00"/>
    <s v="NA"/>
    <n v="0"/>
    <n v="80"/>
    <s v="61-80"/>
    <x v="1"/>
    <x v="12"/>
    <x v="9"/>
    <x v="1"/>
    <n v="1"/>
    <n v="1"/>
    <n v="6.9"/>
    <x v="2"/>
    <n v="3"/>
    <n v="5"/>
    <n v="717283"/>
    <n v="121066"/>
    <n v="596217"/>
    <n v="33"/>
    <n v="61"/>
    <n v="36"/>
  </r>
  <r>
    <x v="7"/>
    <x v="7"/>
    <d v="2022-08-18T00:00:00"/>
    <s v="NA"/>
    <n v="0"/>
    <n v="56"/>
    <s v="41-60"/>
    <x v="1"/>
    <x v="2"/>
    <x v="1"/>
    <x v="3"/>
    <n v="1"/>
    <n v="1"/>
    <n v="4.5999999999999996"/>
    <x v="7"/>
    <n v="4"/>
    <n v="4"/>
    <n v="880639"/>
    <n v="260063"/>
    <n v="620576"/>
    <n v="40"/>
    <n v="64"/>
    <n v="8.6"/>
  </r>
  <r>
    <x v="7"/>
    <x v="7"/>
    <d v="2024-01-01T00:00:00"/>
    <s v="NA"/>
    <n v="0"/>
    <n v="43"/>
    <s v="41-60"/>
    <x v="0"/>
    <x v="5"/>
    <x v="0"/>
    <x v="2"/>
    <n v="1"/>
    <n v="1"/>
    <n v="3.3"/>
    <x v="16"/>
    <n v="3"/>
    <n v="5"/>
    <n v="771823"/>
    <n v="209098"/>
    <n v="562725"/>
    <n v="49"/>
    <n v="59"/>
    <n v="5.8"/>
  </r>
  <r>
    <x v="7"/>
    <x v="7"/>
    <d v="2021-08-12T00:00:00"/>
    <s v="NA"/>
    <n v="0"/>
    <n v="71"/>
    <s v="61-80"/>
    <x v="1"/>
    <x v="3"/>
    <x v="2"/>
    <x v="2"/>
    <n v="1"/>
    <n v="1"/>
    <n v="1.2"/>
    <x v="30"/>
    <n v="5"/>
    <n v="5"/>
    <n v="831085"/>
    <n v="264484"/>
    <n v="566601"/>
    <n v="43"/>
    <n v="65"/>
    <n v="5.2"/>
  </r>
  <r>
    <x v="7"/>
    <x v="7"/>
    <d v="2021-11-06T00:00:00"/>
    <s v="NA"/>
    <n v="0"/>
    <n v="49"/>
    <s v="41-60"/>
    <x v="0"/>
    <x v="12"/>
    <x v="9"/>
    <x v="4"/>
    <n v="1"/>
    <n v="1"/>
    <n v="3.9"/>
    <x v="9"/>
    <n v="4"/>
    <n v="7"/>
    <n v="833159"/>
    <n v="189697"/>
    <n v="643462"/>
    <n v="34"/>
    <n v="63"/>
    <n v="9"/>
  </r>
  <r>
    <x v="7"/>
    <x v="7"/>
    <d v="2021-05-16T00:00:00"/>
    <s v="NA"/>
    <n v="0"/>
    <n v="89"/>
    <s v="81+"/>
    <x v="0"/>
    <x v="7"/>
    <x v="5"/>
    <x v="2"/>
    <n v="1"/>
    <n v="1"/>
    <n v="4"/>
    <x v="7"/>
    <n v="6"/>
    <n v="3"/>
    <n v="843987"/>
    <n v="180509"/>
    <n v="663478"/>
    <n v="43"/>
    <n v="66"/>
    <n v="7.4"/>
  </r>
  <r>
    <x v="7"/>
    <x v="7"/>
    <d v="2021-12-24T00:00:00"/>
    <s v="NA"/>
    <n v="0"/>
    <n v="34"/>
    <s v="21-40"/>
    <x v="0"/>
    <x v="12"/>
    <x v="9"/>
    <x v="4"/>
    <n v="1"/>
    <n v="1"/>
    <n v="1.7"/>
    <x v="9"/>
    <n v="4"/>
    <n v="7"/>
    <n v="773171"/>
    <n v="222441"/>
    <n v="550730"/>
    <n v="40"/>
    <n v="62"/>
    <n v="6.9"/>
  </r>
  <r>
    <x v="7"/>
    <x v="7"/>
    <d v="2022-10-16T00:00:00"/>
    <s v="NA"/>
    <n v="0"/>
    <n v="27"/>
    <s v="21-40"/>
    <x v="0"/>
    <x v="7"/>
    <x v="5"/>
    <x v="3"/>
    <n v="1"/>
    <n v="1"/>
    <n v="1.8"/>
    <x v="2"/>
    <n v="7"/>
    <n v="6"/>
    <n v="897304"/>
    <n v="290811"/>
    <n v="606493"/>
    <n v="47"/>
    <n v="58"/>
    <n v="36.299999999999997"/>
  </r>
  <r>
    <x v="7"/>
    <x v="7"/>
    <d v="2022-04-28T00:00:00"/>
    <s v="NA"/>
    <n v="0"/>
    <n v="49"/>
    <s v="41-60"/>
    <x v="0"/>
    <x v="7"/>
    <x v="5"/>
    <x v="4"/>
    <n v="1"/>
    <n v="1"/>
    <n v="2.5"/>
    <x v="14"/>
    <n v="4"/>
    <n v="3"/>
    <n v="736917"/>
    <n v="106696"/>
    <n v="630221"/>
    <n v="37"/>
    <n v="66"/>
    <n v="36.799999999999997"/>
  </r>
  <r>
    <x v="7"/>
    <x v="7"/>
    <d v="2024-04-11T00:00:00"/>
    <s v="NA"/>
    <n v="0"/>
    <n v="77"/>
    <s v="61-80"/>
    <x v="1"/>
    <x v="10"/>
    <x v="8"/>
    <x v="0"/>
    <n v="1"/>
    <n v="1"/>
    <n v="6.1"/>
    <x v="0"/>
    <n v="6"/>
    <n v="4"/>
    <n v="835821"/>
    <n v="172808"/>
    <n v="663013"/>
    <n v="50"/>
    <n v="60"/>
    <n v="5.9"/>
  </r>
  <r>
    <x v="7"/>
    <x v="7"/>
    <d v="2021-01-18T00:00:00"/>
    <s v="NA"/>
    <n v="0"/>
    <n v="45"/>
    <s v="41-60"/>
    <x v="0"/>
    <x v="9"/>
    <x v="7"/>
    <x v="1"/>
    <n v="1"/>
    <n v="1"/>
    <n v="6.6"/>
    <x v="0"/>
    <n v="6"/>
    <n v="4"/>
    <n v="766734"/>
    <n v="73603"/>
    <n v="693131"/>
    <n v="48"/>
    <n v="60"/>
    <n v="10.9"/>
  </r>
  <r>
    <x v="7"/>
    <x v="7"/>
    <d v="2022-05-29T00:00:00"/>
    <s v="NA"/>
    <n v="0"/>
    <n v="49"/>
    <s v="41-60"/>
    <x v="0"/>
    <x v="4"/>
    <x v="3"/>
    <x v="1"/>
    <n v="1"/>
    <n v="1"/>
    <n v="1.7"/>
    <x v="20"/>
    <n v="5"/>
    <n v="7"/>
    <n v="861448"/>
    <n v="221429"/>
    <n v="640019"/>
    <n v="30"/>
    <n v="66"/>
    <n v="12.1"/>
  </r>
  <r>
    <x v="7"/>
    <x v="7"/>
    <d v="2022-03-28T00:00:00"/>
    <s v="NA"/>
    <n v="0"/>
    <n v="71"/>
    <s v="61-80"/>
    <x v="0"/>
    <x v="7"/>
    <x v="5"/>
    <x v="2"/>
    <n v="1"/>
    <n v="1"/>
    <n v="5.7"/>
    <x v="29"/>
    <n v="5"/>
    <n v="7"/>
    <n v="878894"/>
    <n v="299334"/>
    <n v="579560"/>
    <n v="32"/>
    <n v="63"/>
    <n v="7.6"/>
  </r>
  <r>
    <x v="7"/>
    <x v="7"/>
    <d v="2021-07-24T00:00:00"/>
    <s v="NA"/>
    <n v="0"/>
    <n v="39"/>
    <s v="21-40"/>
    <x v="0"/>
    <x v="5"/>
    <x v="0"/>
    <x v="4"/>
    <n v="1"/>
    <n v="1"/>
    <n v="2.5"/>
    <x v="10"/>
    <n v="6"/>
    <n v="5"/>
    <n v="872571"/>
    <n v="227774"/>
    <n v="644797"/>
    <n v="40"/>
    <n v="59"/>
    <n v="6.2"/>
  </r>
  <r>
    <x v="7"/>
    <x v="7"/>
    <d v="2023-06-17T00:00:00"/>
    <s v="NA"/>
    <n v="0"/>
    <n v="72"/>
    <s v="61-80"/>
    <x v="0"/>
    <x v="7"/>
    <x v="5"/>
    <x v="3"/>
    <n v="1"/>
    <n v="1"/>
    <n v="1.2"/>
    <x v="11"/>
    <n v="4"/>
    <n v="4"/>
    <n v="724404"/>
    <n v="123668"/>
    <n v="600736"/>
    <n v="43"/>
    <n v="61"/>
    <n v="14.4"/>
  </r>
  <r>
    <x v="7"/>
    <x v="7"/>
    <d v="2024-11-06T00:00:00"/>
    <s v="NA"/>
    <n v="0"/>
    <n v="28"/>
    <s v="21-40"/>
    <x v="0"/>
    <x v="1"/>
    <x v="1"/>
    <x v="1"/>
    <n v="1"/>
    <n v="1"/>
    <n v="4.5"/>
    <x v="21"/>
    <n v="7"/>
    <n v="5"/>
    <n v="770941"/>
    <n v="101637"/>
    <n v="669304"/>
    <n v="32"/>
    <n v="66"/>
    <n v="36.1"/>
  </r>
  <r>
    <x v="7"/>
    <x v="7"/>
    <d v="2022-06-02T00:00:00"/>
    <s v="NA"/>
    <n v="0"/>
    <n v="72"/>
    <s v="61-80"/>
    <x v="0"/>
    <x v="2"/>
    <x v="1"/>
    <x v="3"/>
    <n v="1"/>
    <n v="1"/>
    <n v="4.9000000000000004"/>
    <x v="6"/>
    <n v="6"/>
    <n v="3"/>
    <n v="870960"/>
    <n v="289675"/>
    <n v="581285"/>
    <n v="48"/>
    <n v="59"/>
    <n v="10.6"/>
  </r>
  <r>
    <x v="7"/>
    <x v="7"/>
    <d v="2023-06-15T00:00:00"/>
    <s v="NA"/>
    <n v="0"/>
    <n v="47"/>
    <s v="41-60"/>
    <x v="0"/>
    <x v="9"/>
    <x v="7"/>
    <x v="3"/>
    <n v="1"/>
    <n v="1"/>
    <n v="4.7"/>
    <x v="7"/>
    <n v="7"/>
    <n v="6"/>
    <n v="724138"/>
    <n v="91434"/>
    <n v="632704"/>
    <n v="36"/>
    <n v="58"/>
    <n v="36.4"/>
  </r>
  <r>
    <x v="7"/>
    <x v="7"/>
    <d v="2021-12-29T00:00:00"/>
    <s v="NA"/>
    <n v="0"/>
    <n v="33"/>
    <s v="21-40"/>
    <x v="0"/>
    <x v="10"/>
    <x v="8"/>
    <x v="0"/>
    <n v="1"/>
    <n v="1"/>
    <n v="6.9"/>
    <x v="21"/>
    <n v="5"/>
    <n v="4"/>
    <n v="812675"/>
    <n v="187783"/>
    <n v="624892"/>
    <n v="50"/>
    <n v="58"/>
    <n v="9.1999999999999993"/>
  </r>
  <r>
    <x v="7"/>
    <x v="7"/>
    <d v="2021-12-13T00:00:00"/>
    <s v="NA"/>
    <n v="0"/>
    <n v="41"/>
    <s v="41-60"/>
    <x v="0"/>
    <x v="0"/>
    <x v="0"/>
    <x v="0"/>
    <n v="1"/>
    <n v="1"/>
    <n v="3.8"/>
    <x v="12"/>
    <n v="5"/>
    <n v="4"/>
    <n v="822359"/>
    <n v="226250"/>
    <n v="596109"/>
    <n v="42"/>
    <n v="54"/>
    <n v="5.0999999999999996"/>
  </r>
  <r>
    <x v="7"/>
    <x v="7"/>
    <d v="2024-11-08T00:00:00"/>
    <s v="NA"/>
    <n v="0"/>
    <n v="23"/>
    <s v="21-40"/>
    <x v="1"/>
    <x v="4"/>
    <x v="3"/>
    <x v="2"/>
    <n v="1"/>
    <n v="1"/>
    <n v="3.6"/>
    <x v="1"/>
    <n v="3"/>
    <n v="3"/>
    <n v="883823"/>
    <n v="326753"/>
    <n v="557070"/>
    <n v="45"/>
    <n v="54"/>
    <n v="10"/>
  </r>
  <r>
    <x v="7"/>
    <x v="7"/>
    <d v="2021-03-19T00:00:00"/>
    <s v="NA"/>
    <n v="0"/>
    <n v="21"/>
    <s v="21-40"/>
    <x v="0"/>
    <x v="7"/>
    <x v="5"/>
    <x v="0"/>
    <n v="1"/>
    <n v="1"/>
    <n v="3.5"/>
    <x v="18"/>
    <n v="6"/>
    <n v="3"/>
    <n v="790968"/>
    <n v="216061"/>
    <n v="574907"/>
    <n v="33"/>
    <n v="57"/>
    <n v="8.1999999999999993"/>
  </r>
  <r>
    <x v="7"/>
    <x v="7"/>
    <d v="2022-02-01T00:00:00"/>
    <s v="NA"/>
    <n v="0"/>
    <n v="23"/>
    <s v="21-40"/>
    <x v="1"/>
    <x v="3"/>
    <x v="2"/>
    <x v="0"/>
    <n v="1"/>
    <n v="1"/>
    <n v="4.9000000000000004"/>
    <x v="20"/>
    <n v="6"/>
    <n v="3"/>
    <n v="770570"/>
    <n v="168269"/>
    <n v="602301"/>
    <n v="34"/>
    <n v="55"/>
    <n v="13.8"/>
  </r>
  <r>
    <x v="7"/>
    <x v="7"/>
    <d v="2023-08-04T00:00:00"/>
    <s v="NA"/>
    <n v="0"/>
    <n v="86"/>
    <s v="81+"/>
    <x v="1"/>
    <x v="12"/>
    <x v="9"/>
    <x v="2"/>
    <n v="1"/>
    <n v="1"/>
    <n v="6.1"/>
    <x v="13"/>
    <n v="4"/>
    <n v="5"/>
    <n v="856912"/>
    <n v="227565"/>
    <n v="629347"/>
    <n v="30"/>
    <n v="55"/>
    <n v="13.6"/>
  </r>
  <r>
    <x v="7"/>
    <x v="7"/>
    <d v="2023-12-28T00:00:00"/>
    <s v="NA"/>
    <n v="0"/>
    <n v="30"/>
    <s v="21-40"/>
    <x v="0"/>
    <x v="0"/>
    <x v="0"/>
    <x v="3"/>
    <n v="1"/>
    <n v="1"/>
    <n v="5.9"/>
    <x v="21"/>
    <n v="3"/>
    <n v="7"/>
    <n v="736801"/>
    <n v="173581"/>
    <n v="563220"/>
    <n v="49"/>
    <n v="55"/>
    <n v="5.4"/>
  </r>
  <r>
    <x v="7"/>
    <x v="7"/>
    <d v="2021-05-05T00:00:00"/>
    <s v="NA"/>
    <n v="0"/>
    <n v="88"/>
    <s v="81+"/>
    <x v="0"/>
    <x v="5"/>
    <x v="0"/>
    <x v="4"/>
    <n v="1"/>
    <n v="1"/>
    <n v="6.7"/>
    <x v="27"/>
    <n v="7"/>
    <n v="5"/>
    <n v="833064"/>
    <n v="146211"/>
    <n v="686853"/>
    <n v="37"/>
    <n v="60"/>
    <n v="5.7"/>
  </r>
  <r>
    <x v="7"/>
    <x v="7"/>
    <d v="2022-03-24T00:00:00"/>
    <s v="NA"/>
    <n v="0"/>
    <n v="69"/>
    <s v="61-80"/>
    <x v="0"/>
    <x v="7"/>
    <x v="5"/>
    <x v="4"/>
    <n v="1"/>
    <n v="1"/>
    <n v="3.6"/>
    <x v="19"/>
    <n v="7"/>
    <n v="4"/>
    <n v="729542"/>
    <n v="60686"/>
    <n v="668856"/>
    <n v="44"/>
    <n v="61"/>
    <n v="13"/>
  </r>
  <r>
    <x v="7"/>
    <x v="7"/>
    <d v="2023-01-23T00:00:00"/>
    <s v="NA"/>
    <n v="0"/>
    <n v="25"/>
    <s v="21-40"/>
    <x v="0"/>
    <x v="5"/>
    <x v="0"/>
    <x v="0"/>
    <n v="1"/>
    <n v="1"/>
    <n v="3.7"/>
    <x v="0"/>
    <n v="3"/>
    <n v="3"/>
    <n v="843709"/>
    <n v="244940"/>
    <n v="598769"/>
    <n v="43"/>
    <n v="65"/>
    <n v="7.2"/>
  </r>
  <r>
    <x v="1"/>
    <x v="1"/>
    <d v="2024-06-08T00:00:00"/>
    <s v="NA"/>
    <n v="0"/>
    <n v="65"/>
    <s v="61-80"/>
    <x v="1"/>
    <x v="12"/>
    <x v="9"/>
    <x v="4"/>
    <n v="1"/>
    <n v="1"/>
    <n v="4.5"/>
    <x v="5"/>
    <n v="6"/>
    <n v="6"/>
    <n v="457412"/>
    <n v="71956"/>
    <n v="385456"/>
    <n v="48"/>
    <n v="61"/>
    <n v="14.1"/>
  </r>
  <r>
    <x v="7"/>
    <x v="7"/>
    <d v="2021-01-09T00:00:00"/>
    <s v="NA"/>
    <n v="0"/>
    <n v="37"/>
    <s v="21-40"/>
    <x v="1"/>
    <x v="12"/>
    <x v="9"/>
    <x v="4"/>
    <n v="1"/>
    <n v="1"/>
    <n v="5.7"/>
    <x v="15"/>
    <n v="3"/>
    <n v="5"/>
    <n v="882149"/>
    <n v="261769"/>
    <n v="620380"/>
    <n v="46"/>
    <n v="64"/>
    <n v="12.5"/>
  </r>
  <r>
    <x v="1"/>
    <x v="1"/>
    <d v="2024-02-07T00:00:00"/>
    <s v="NA"/>
    <n v="0"/>
    <n v="64"/>
    <s v="61-80"/>
    <x v="0"/>
    <x v="9"/>
    <x v="7"/>
    <x v="4"/>
    <n v="1"/>
    <n v="1"/>
    <n v="5.7"/>
    <x v="19"/>
    <n v="7"/>
    <n v="5"/>
    <n v="422473"/>
    <n v="14041"/>
    <n v="408432"/>
    <n v="45"/>
    <n v="64"/>
    <n v="6.5"/>
  </r>
  <r>
    <x v="7"/>
    <x v="7"/>
    <d v="2022-09-05T00:00:00"/>
    <s v="NA"/>
    <n v="0"/>
    <n v="68"/>
    <s v="61-80"/>
    <x v="0"/>
    <x v="10"/>
    <x v="8"/>
    <x v="0"/>
    <n v="1"/>
    <n v="1"/>
    <n v="1.2"/>
    <x v="3"/>
    <n v="6"/>
    <n v="4"/>
    <n v="808802"/>
    <n v="175736"/>
    <n v="633066"/>
    <n v="48"/>
    <n v="61"/>
    <n v="8.1999999999999993"/>
  </r>
  <r>
    <x v="7"/>
    <x v="7"/>
    <d v="2024-03-20T00:00:00"/>
    <s v="NA"/>
    <n v="0"/>
    <n v="70"/>
    <s v="61-80"/>
    <x v="0"/>
    <x v="14"/>
    <x v="11"/>
    <x v="2"/>
    <n v="1"/>
    <n v="1"/>
    <n v="3"/>
    <x v="8"/>
    <n v="4"/>
    <n v="5"/>
    <n v="836489"/>
    <n v="216962"/>
    <n v="619527"/>
    <n v="30"/>
    <n v="62"/>
    <n v="10.9"/>
  </r>
  <r>
    <x v="1"/>
    <x v="1"/>
    <d v="2023-07-20T00:00:00"/>
    <s v="NA"/>
    <n v="0"/>
    <n v="72"/>
    <s v="61-80"/>
    <x v="1"/>
    <x v="4"/>
    <x v="3"/>
    <x v="0"/>
    <n v="1"/>
    <n v="1"/>
    <n v="2.9"/>
    <x v="11"/>
    <n v="6"/>
    <n v="4"/>
    <n v="437942"/>
    <n v="45820"/>
    <n v="392122"/>
    <n v="43"/>
    <n v="64"/>
    <n v="7.1"/>
  </r>
  <r>
    <x v="7"/>
    <x v="7"/>
    <d v="2023-04-03T00:00:00"/>
    <s v="NA"/>
    <n v="0"/>
    <n v="88"/>
    <s v="81+"/>
    <x v="1"/>
    <x v="1"/>
    <x v="1"/>
    <x v="2"/>
    <n v="1"/>
    <n v="1"/>
    <n v="6.9"/>
    <x v="27"/>
    <n v="4"/>
    <n v="3"/>
    <n v="746286"/>
    <n v="213373"/>
    <n v="532913"/>
    <n v="50"/>
    <n v="65"/>
    <n v="12.7"/>
  </r>
  <r>
    <x v="7"/>
    <x v="7"/>
    <d v="2022-07-06T00:00:00"/>
    <s v="NA"/>
    <n v="0"/>
    <n v="72"/>
    <s v="61-80"/>
    <x v="0"/>
    <x v="9"/>
    <x v="7"/>
    <x v="3"/>
    <n v="1"/>
    <n v="1"/>
    <n v="5"/>
    <x v="12"/>
    <n v="6"/>
    <n v="3"/>
    <n v="893687"/>
    <n v="263368"/>
    <n v="630319"/>
    <n v="45"/>
    <n v="57"/>
    <n v="36.4"/>
  </r>
  <r>
    <x v="1"/>
    <x v="1"/>
    <d v="2023-01-30T00:00:00"/>
    <s v="NA"/>
    <n v="0"/>
    <n v="46"/>
    <s v="41-60"/>
    <x v="1"/>
    <x v="2"/>
    <x v="1"/>
    <x v="4"/>
    <n v="1"/>
    <n v="1"/>
    <n v="1.3"/>
    <x v="16"/>
    <n v="5"/>
    <n v="6"/>
    <n v="597233"/>
    <n v="220028"/>
    <n v="377205"/>
    <n v="43"/>
    <n v="56"/>
    <n v="14.1"/>
  </r>
  <r>
    <x v="1"/>
    <x v="1"/>
    <d v="2023-04-20T00:00:00"/>
    <s v="NA"/>
    <n v="0"/>
    <n v="33"/>
    <s v="21-40"/>
    <x v="1"/>
    <x v="2"/>
    <x v="1"/>
    <x v="0"/>
    <n v="1"/>
    <n v="1"/>
    <n v="4.7"/>
    <x v="2"/>
    <n v="6"/>
    <n v="5"/>
    <n v="498766"/>
    <n v="131097"/>
    <n v="367669"/>
    <n v="36"/>
    <n v="65"/>
    <n v="8.1"/>
  </r>
  <r>
    <x v="1"/>
    <x v="1"/>
    <d v="2022-07-28T00:00:00"/>
    <s v="NA"/>
    <n v="0"/>
    <n v="39"/>
    <s v="21-40"/>
    <x v="0"/>
    <x v="12"/>
    <x v="9"/>
    <x v="2"/>
    <n v="1"/>
    <n v="1"/>
    <n v="4.7"/>
    <x v="11"/>
    <n v="3"/>
    <n v="4"/>
    <n v="799345"/>
    <n v="433839"/>
    <n v="365506"/>
    <n v="47"/>
    <n v="59"/>
    <n v="14.7"/>
  </r>
  <r>
    <x v="1"/>
    <x v="1"/>
    <d v="2024-08-22T00:00:00"/>
    <s v="NA"/>
    <n v="0"/>
    <n v="40"/>
    <s v="21-40"/>
    <x v="1"/>
    <x v="10"/>
    <x v="8"/>
    <x v="1"/>
    <n v="1"/>
    <n v="1"/>
    <n v="3.9"/>
    <x v="23"/>
    <n v="3"/>
    <n v="3"/>
    <n v="485714"/>
    <n v="120381"/>
    <n v="365333"/>
    <n v="38"/>
    <n v="59"/>
    <n v="14.5"/>
  </r>
  <r>
    <x v="7"/>
    <x v="7"/>
    <d v="2024-03-09T00:00:00"/>
    <s v="NA"/>
    <n v="0"/>
    <n v="38"/>
    <s v="21-40"/>
    <x v="1"/>
    <x v="12"/>
    <x v="9"/>
    <x v="0"/>
    <n v="1"/>
    <n v="1"/>
    <n v="2.8"/>
    <x v="10"/>
    <n v="3"/>
    <n v="3"/>
    <n v="856151"/>
    <n v="183089"/>
    <n v="673062"/>
    <n v="38"/>
    <n v="64"/>
    <n v="5.7"/>
  </r>
  <r>
    <x v="1"/>
    <x v="1"/>
    <d v="2022-07-29T00:00:00"/>
    <s v="NA"/>
    <n v="0"/>
    <n v="56"/>
    <s v="41-60"/>
    <x v="1"/>
    <x v="11"/>
    <x v="8"/>
    <x v="1"/>
    <n v="1"/>
    <n v="1"/>
    <n v="5.8"/>
    <x v="1"/>
    <n v="5"/>
    <n v="6"/>
    <n v="520402"/>
    <n v="134058"/>
    <n v="386344"/>
    <n v="44"/>
    <n v="54"/>
    <n v="36.299999999999997"/>
  </r>
  <r>
    <x v="1"/>
    <x v="1"/>
    <d v="2023-06-10T00:00:00"/>
    <s v="NA"/>
    <n v="0"/>
    <n v="85"/>
    <s v="81+"/>
    <x v="0"/>
    <x v="2"/>
    <x v="1"/>
    <x v="3"/>
    <n v="1"/>
    <n v="1"/>
    <n v="2.9"/>
    <x v="12"/>
    <n v="3"/>
    <n v="7"/>
    <n v="757538"/>
    <n v="395155"/>
    <n v="362383"/>
    <n v="36"/>
    <n v="54"/>
    <n v="7.9"/>
  </r>
  <r>
    <x v="7"/>
    <x v="7"/>
    <d v="2022-08-04T00:00:00"/>
    <s v="NA"/>
    <n v="0"/>
    <n v="39"/>
    <s v="21-40"/>
    <x v="1"/>
    <x v="12"/>
    <x v="9"/>
    <x v="2"/>
    <n v="1"/>
    <n v="1"/>
    <n v="6.9"/>
    <x v="1"/>
    <n v="4"/>
    <n v="3"/>
    <n v="833287"/>
    <n v="235930"/>
    <n v="597357"/>
    <n v="40"/>
    <n v="56"/>
    <n v="12.5"/>
  </r>
  <r>
    <x v="7"/>
    <x v="7"/>
    <d v="2024-10-08T00:00:00"/>
    <s v="NA"/>
    <n v="0"/>
    <n v="45"/>
    <s v="41-60"/>
    <x v="0"/>
    <x v="13"/>
    <x v="10"/>
    <x v="2"/>
    <n v="1"/>
    <n v="1"/>
    <n v="5.5"/>
    <x v="3"/>
    <n v="4"/>
    <n v="4"/>
    <n v="791730"/>
    <n v="202314"/>
    <n v="589416"/>
    <n v="35"/>
    <n v="57"/>
    <n v="9"/>
  </r>
  <r>
    <x v="7"/>
    <x v="7"/>
    <d v="2022-08-30T00:00:00"/>
    <s v="NA"/>
    <n v="0"/>
    <n v="34"/>
    <s v="21-40"/>
    <x v="0"/>
    <x v="13"/>
    <x v="10"/>
    <x v="0"/>
    <n v="1"/>
    <n v="1"/>
    <n v="6"/>
    <x v="3"/>
    <n v="5"/>
    <n v="6"/>
    <n v="762551"/>
    <n v="70165"/>
    <n v="692386"/>
    <n v="44"/>
    <n v="60"/>
    <n v="10.9"/>
  </r>
  <r>
    <x v="7"/>
    <x v="7"/>
    <d v="2023-12-30T00:00:00"/>
    <s v="NA"/>
    <n v="0"/>
    <n v="39"/>
    <s v="21-40"/>
    <x v="0"/>
    <x v="5"/>
    <x v="0"/>
    <x v="2"/>
    <n v="1"/>
    <n v="1"/>
    <n v="1.5"/>
    <x v="25"/>
    <n v="6"/>
    <n v="6"/>
    <n v="890860"/>
    <n v="390707"/>
    <n v="500153"/>
    <n v="37"/>
    <n v="65"/>
    <n v="10"/>
  </r>
  <r>
    <x v="7"/>
    <x v="7"/>
    <d v="2023-07-19T00:00:00"/>
    <s v="NA"/>
    <n v="0"/>
    <n v="40"/>
    <s v="21-40"/>
    <x v="1"/>
    <x v="3"/>
    <x v="2"/>
    <x v="0"/>
    <n v="1"/>
    <n v="1"/>
    <n v="6.8"/>
    <x v="23"/>
    <n v="7"/>
    <n v="4"/>
    <n v="778559"/>
    <n v="140633"/>
    <n v="637926"/>
    <n v="47"/>
    <n v="56"/>
    <n v="10.6"/>
  </r>
  <r>
    <x v="1"/>
    <x v="1"/>
    <d v="2021-06-12T00:00:00"/>
    <s v="NA"/>
    <n v="0"/>
    <n v="43"/>
    <s v="41-60"/>
    <x v="1"/>
    <x v="6"/>
    <x v="4"/>
    <x v="2"/>
    <n v="1"/>
    <n v="1"/>
    <n v="3.3"/>
    <x v="6"/>
    <n v="4"/>
    <n v="6"/>
    <n v="797529"/>
    <n v="436039"/>
    <n v="361490"/>
    <n v="34"/>
    <n v="61"/>
    <n v="6"/>
  </r>
  <r>
    <x v="7"/>
    <x v="7"/>
    <d v="2024-08-20T00:00:00"/>
    <s v="NA"/>
    <n v="0"/>
    <n v="25"/>
    <s v="21-40"/>
    <x v="0"/>
    <x v="12"/>
    <x v="9"/>
    <x v="4"/>
    <n v="1"/>
    <n v="1"/>
    <n v="2.2999999999999998"/>
    <x v="7"/>
    <n v="5"/>
    <n v="7"/>
    <n v="776538"/>
    <n v="269069"/>
    <n v="507469"/>
    <n v="44"/>
    <n v="65"/>
    <n v="10.5"/>
  </r>
  <r>
    <x v="7"/>
    <x v="7"/>
    <d v="2024-10-07T00:00:00"/>
    <s v="NA"/>
    <n v="0"/>
    <n v="82"/>
    <s v="81+"/>
    <x v="1"/>
    <x v="2"/>
    <x v="1"/>
    <x v="3"/>
    <n v="1"/>
    <n v="1"/>
    <n v="1"/>
    <x v="25"/>
    <n v="4"/>
    <n v="3"/>
    <n v="868045"/>
    <n v="311647"/>
    <n v="556398"/>
    <n v="50"/>
    <n v="60"/>
    <n v="12.7"/>
  </r>
  <r>
    <x v="7"/>
    <x v="7"/>
    <d v="2024-01-13T00:00:00"/>
    <s v="NA"/>
    <n v="0"/>
    <n v="83"/>
    <s v="81+"/>
    <x v="0"/>
    <x v="0"/>
    <x v="0"/>
    <x v="3"/>
    <n v="1"/>
    <n v="1"/>
    <n v="4.7"/>
    <x v="3"/>
    <n v="6"/>
    <n v="5"/>
    <n v="806395"/>
    <n v="262805"/>
    <n v="543590"/>
    <n v="50"/>
    <n v="60"/>
    <n v="9.6999999999999993"/>
  </r>
  <r>
    <x v="7"/>
    <x v="7"/>
    <d v="2023-12-09T00:00:00"/>
    <s v="NA"/>
    <n v="0"/>
    <n v="69"/>
    <s v="61-80"/>
    <x v="1"/>
    <x v="2"/>
    <x v="1"/>
    <x v="2"/>
    <n v="1"/>
    <n v="1"/>
    <n v="1.7"/>
    <x v="26"/>
    <n v="4"/>
    <n v="6"/>
    <n v="704167"/>
    <n v="74313"/>
    <n v="629854"/>
    <n v="43"/>
    <n v="62"/>
    <n v="8.1999999999999993"/>
  </r>
  <r>
    <x v="7"/>
    <x v="7"/>
    <d v="2023-04-07T00:00:00"/>
    <s v="NA"/>
    <n v="0"/>
    <n v="35"/>
    <s v="21-40"/>
    <x v="1"/>
    <x v="9"/>
    <x v="7"/>
    <x v="0"/>
    <n v="1"/>
    <n v="1"/>
    <n v="5.9"/>
    <x v="21"/>
    <n v="4"/>
    <n v="5"/>
    <n v="849759"/>
    <n v="319356"/>
    <n v="530403"/>
    <n v="31"/>
    <n v="61"/>
    <n v="12.5"/>
  </r>
  <r>
    <x v="1"/>
    <x v="1"/>
    <d v="2021-08-17T00:00:00"/>
    <s v="NA"/>
    <n v="0"/>
    <n v="81"/>
    <s v="81+"/>
    <x v="1"/>
    <x v="13"/>
    <x v="10"/>
    <x v="4"/>
    <n v="1"/>
    <n v="1"/>
    <n v="5.2"/>
    <x v="15"/>
    <n v="3"/>
    <n v="6"/>
    <n v="490893"/>
    <n v="114391"/>
    <n v="376502"/>
    <n v="50"/>
    <n v="60"/>
    <n v="7.7"/>
  </r>
  <r>
    <x v="7"/>
    <x v="7"/>
    <d v="2023-06-27T00:00:00"/>
    <s v="NA"/>
    <n v="0"/>
    <n v="64"/>
    <s v="61-80"/>
    <x v="1"/>
    <x v="6"/>
    <x v="4"/>
    <x v="3"/>
    <n v="1"/>
    <n v="1"/>
    <n v="2.5"/>
    <x v="19"/>
    <n v="6"/>
    <n v="5"/>
    <n v="704086"/>
    <n v="9341"/>
    <n v="694745"/>
    <n v="37"/>
    <n v="58"/>
    <n v="9.3000000000000007"/>
  </r>
  <r>
    <x v="7"/>
    <x v="7"/>
    <d v="2021-07-14T00:00:00"/>
    <s v="NA"/>
    <n v="0"/>
    <n v="57"/>
    <s v="41-60"/>
    <x v="1"/>
    <x v="2"/>
    <x v="1"/>
    <x v="1"/>
    <n v="1"/>
    <n v="1"/>
    <n v="5.3"/>
    <x v="8"/>
    <n v="5"/>
    <n v="3"/>
    <n v="731360"/>
    <n v="167648"/>
    <n v="563712"/>
    <n v="39"/>
    <n v="65"/>
    <n v="5.6"/>
  </r>
  <r>
    <x v="7"/>
    <x v="7"/>
    <d v="2022-08-03T00:00:00"/>
    <s v="NA"/>
    <n v="0"/>
    <n v="58"/>
    <s v="41-60"/>
    <x v="0"/>
    <x v="9"/>
    <x v="7"/>
    <x v="4"/>
    <n v="1"/>
    <n v="1"/>
    <n v="5.5"/>
    <x v="14"/>
    <n v="5"/>
    <n v="6"/>
    <n v="714502"/>
    <n v="17936"/>
    <n v="696566"/>
    <n v="50"/>
    <n v="56"/>
    <n v="10.7"/>
  </r>
  <r>
    <x v="7"/>
    <x v="7"/>
    <d v="2021-06-19T00:00:00"/>
    <s v="NA"/>
    <n v="0"/>
    <n v="78"/>
    <s v="61-80"/>
    <x v="1"/>
    <x v="8"/>
    <x v="6"/>
    <x v="3"/>
    <n v="1"/>
    <n v="1"/>
    <n v="4.8"/>
    <x v="6"/>
    <n v="5"/>
    <n v="3"/>
    <n v="749072"/>
    <n v="150317"/>
    <n v="598755"/>
    <n v="50"/>
    <n v="63"/>
    <n v="36.700000000000003"/>
  </r>
  <r>
    <x v="7"/>
    <x v="7"/>
    <d v="2024-04-20T00:00:00"/>
    <s v="NA"/>
    <n v="0"/>
    <n v="44"/>
    <s v="41-60"/>
    <x v="1"/>
    <x v="12"/>
    <x v="9"/>
    <x v="2"/>
    <n v="1"/>
    <n v="1"/>
    <n v="4.8"/>
    <x v="18"/>
    <n v="5"/>
    <n v="6"/>
    <n v="798613"/>
    <n v="281575"/>
    <n v="517038"/>
    <n v="30"/>
    <n v="56"/>
    <n v="36.299999999999997"/>
  </r>
  <r>
    <x v="7"/>
    <x v="7"/>
    <d v="2021-06-30T00:00:00"/>
    <s v="NA"/>
    <n v="0"/>
    <n v="23"/>
    <s v="21-40"/>
    <x v="1"/>
    <x v="7"/>
    <x v="5"/>
    <x v="1"/>
    <n v="1"/>
    <n v="1"/>
    <n v="2"/>
    <x v="5"/>
    <n v="6"/>
    <n v="6"/>
    <n v="805361"/>
    <n v="157135"/>
    <n v="648226"/>
    <n v="48"/>
    <n v="64"/>
    <n v="14"/>
  </r>
  <r>
    <x v="7"/>
    <x v="7"/>
    <d v="2022-09-11T00:00:00"/>
    <s v="NA"/>
    <n v="0"/>
    <n v="61"/>
    <s v="61-80"/>
    <x v="0"/>
    <x v="7"/>
    <x v="5"/>
    <x v="0"/>
    <n v="1"/>
    <n v="1"/>
    <n v="6.8"/>
    <x v="11"/>
    <n v="7"/>
    <n v="5"/>
    <n v="795327"/>
    <n v="258879"/>
    <n v="536448"/>
    <n v="46"/>
    <n v="65"/>
    <n v="36"/>
  </r>
  <r>
    <x v="7"/>
    <x v="7"/>
    <d v="2023-06-30T00:00:00"/>
    <s v="NA"/>
    <n v="0"/>
    <n v="23"/>
    <s v="21-40"/>
    <x v="1"/>
    <x v="9"/>
    <x v="7"/>
    <x v="1"/>
    <n v="1"/>
    <n v="1"/>
    <n v="5.3"/>
    <x v="15"/>
    <n v="4"/>
    <n v="3"/>
    <n v="740598"/>
    <n v="83598"/>
    <n v="657000"/>
    <n v="38"/>
    <n v="55"/>
    <n v="7.3"/>
  </r>
  <r>
    <x v="7"/>
    <x v="7"/>
    <d v="2023-10-30T00:00:00"/>
    <s v="NA"/>
    <n v="0"/>
    <n v="23"/>
    <s v="21-40"/>
    <x v="1"/>
    <x v="3"/>
    <x v="2"/>
    <x v="1"/>
    <n v="1"/>
    <n v="1"/>
    <n v="4"/>
    <x v="20"/>
    <n v="6"/>
    <n v="7"/>
    <n v="849031"/>
    <n v="256879"/>
    <n v="592152"/>
    <n v="33"/>
    <n v="57"/>
    <n v="13.3"/>
  </r>
  <r>
    <x v="7"/>
    <x v="7"/>
    <d v="2021-07-16T00:00:00"/>
    <s v="NA"/>
    <n v="0"/>
    <n v="75"/>
    <s v="61-80"/>
    <x v="0"/>
    <x v="6"/>
    <x v="4"/>
    <x v="4"/>
    <n v="1"/>
    <n v="1"/>
    <n v="6.8"/>
    <x v="16"/>
    <n v="6"/>
    <n v="4"/>
    <n v="832695"/>
    <n v="300259"/>
    <n v="532436"/>
    <n v="35"/>
    <n v="61"/>
    <n v="10"/>
  </r>
  <r>
    <x v="7"/>
    <x v="7"/>
    <d v="2023-03-10T00:00:00"/>
    <s v="NA"/>
    <n v="0"/>
    <n v="78"/>
    <s v="61-80"/>
    <x v="0"/>
    <x v="1"/>
    <x v="1"/>
    <x v="0"/>
    <n v="1"/>
    <n v="1"/>
    <n v="1.2"/>
    <x v="6"/>
    <n v="5"/>
    <n v="3"/>
    <n v="742406"/>
    <n v="220526"/>
    <n v="521880"/>
    <n v="40"/>
    <n v="65"/>
    <n v="5.8"/>
  </r>
  <r>
    <x v="7"/>
    <x v="7"/>
    <d v="2024-08-07T00:00:00"/>
    <s v="NA"/>
    <n v="0"/>
    <n v="42"/>
    <s v="41-60"/>
    <x v="1"/>
    <x v="2"/>
    <x v="1"/>
    <x v="2"/>
    <n v="1"/>
    <n v="1"/>
    <n v="3"/>
    <x v="2"/>
    <n v="7"/>
    <n v="3"/>
    <n v="856457"/>
    <n v="291036"/>
    <n v="565421"/>
    <n v="44"/>
    <n v="66"/>
    <n v="36"/>
  </r>
  <r>
    <x v="7"/>
    <x v="7"/>
    <d v="2024-06-07T00:00:00"/>
    <s v="NA"/>
    <n v="0"/>
    <n v="46"/>
    <s v="41-60"/>
    <x v="0"/>
    <x v="10"/>
    <x v="8"/>
    <x v="1"/>
    <n v="1"/>
    <n v="1"/>
    <n v="2.7"/>
    <x v="5"/>
    <n v="5"/>
    <n v="3"/>
    <n v="781469"/>
    <n v="194096"/>
    <n v="587373"/>
    <n v="35"/>
    <n v="58"/>
    <n v="8.6999999999999993"/>
  </r>
  <r>
    <x v="7"/>
    <x v="7"/>
    <d v="2022-11-04T00:00:00"/>
    <s v="NA"/>
    <n v="0"/>
    <n v="39"/>
    <s v="21-40"/>
    <x v="1"/>
    <x v="3"/>
    <x v="2"/>
    <x v="1"/>
    <n v="1"/>
    <n v="1"/>
    <n v="4.0999999999999996"/>
    <x v="7"/>
    <n v="6"/>
    <n v="4"/>
    <n v="761807"/>
    <n v="143793"/>
    <n v="618014"/>
    <n v="30"/>
    <n v="58"/>
    <n v="36.700000000000003"/>
  </r>
  <r>
    <x v="7"/>
    <x v="7"/>
    <d v="2023-09-06T00:00:00"/>
    <s v="NA"/>
    <n v="0"/>
    <n v="75"/>
    <s v="61-80"/>
    <x v="0"/>
    <x v="13"/>
    <x v="10"/>
    <x v="4"/>
    <n v="1"/>
    <n v="1"/>
    <n v="3"/>
    <x v="30"/>
    <n v="5"/>
    <n v="3"/>
    <n v="823601"/>
    <n v="238229"/>
    <n v="585372"/>
    <n v="32"/>
    <n v="56"/>
    <n v="7.4"/>
  </r>
  <r>
    <x v="7"/>
    <x v="7"/>
    <d v="2022-10-07T00:00:00"/>
    <s v="NA"/>
    <n v="0"/>
    <n v="33"/>
    <s v="21-40"/>
    <x v="0"/>
    <x v="5"/>
    <x v="0"/>
    <x v="1"/>
    <n v="1"/>
    <n v="1"/>
    <n v="3.3"/>
    <x v="10"/>
    <n v="7"/>
    <n v="5"/>
    <n v="723847"/>
    <n v="171007"/>
    <n v="552840"/>
    <n v="45"/>
    <n v="66"/>
    <n v="14.2"/>
  </r>
  <r>
    <x v="7"/>
    <x v="7"/>
    <d v="2022-09-02T00:00:00"/>
    <s v="NA"/>
    <n v="0"/>
    <n v="53"/>
    <s v="41-60"/>
    <x v="1"/>
    <x v="10"/>
    <x v="8"/>
    <x v="0"/>
    <n v="1"/>
    <n v="1"/>
    <n v="3.6"/>
    <x v="6"/>
    <n v="6"/>
    <n v="7"/>
    <n v="782218"/>
    <n v="234449"/>
    <n v="547769"/>
    <n v="48"/>
    <n v="66"/>
    <n v="10.8"/>
  </r>
  <r>
    <x v="7"/>
    <x v="7"/>
    <d v="2023-03-20T00:00:00"/>
    <s v="NA"/>
    <n v="0"/>
    <n v="77"/>
    <s v="61-80"/>
    <x v="0"/>
    <x v="0"/>
    <x v="0"/>
    <x v="1"/>
    <n v="1"/>
    <n v="1"/>
    <n v="4.5"/>
    <x v="23"/>
    <n v="4"/>
    <n v="3"/>
    <n v="802943"/>
    <n v="122476"/>
    <n v="680467"/>
    <n v="47"/>
    <n v="57"/>
    <n v="5.9"/>
  </r>
  <r>
    <x v="7"/>
    <x v="7"/>
    <d v="2024-08-31T00:00:00"/>
    <s v="NA"/>
    <n v="0"/>
    <n v="25"/>
    <s v="21-40"/>
    <x v="0"/>
    <x v="9"/>
    <x v="7"/>
    <x v="0"/>
    <n v="1"/>
    <n v="1"/>
    <n v="1.1000000000000001"/>
    <x v="28"/>
    <n v="6"/>
    <n v="7"/>
    <n v="799694"/>
    <n v="287556"/>
    <n v="512138"/>
    <n v="40"/>
    <n v="57"/>
    <n v="36.200000000000003"/>
  </r>
  <r>
    <x v="7"/>
    <x v="7"/>
    <d v="2022-11-16T00:00:00"/>
    <s v="NA"/>
    <n v="0"/>
    <n v="31"/>
    <s v="21-40"/>
    <x v="1"/>
    <x v="9"/>
    <x v="7"/>
    <x v="0"/>
    <n v="1"/>
    <n v="1"/>
    <n v="5.4"/>
    <x v="1"/>
    <n v="3"/>
    <n v="3"/>
    <n v="872220"/>
    <n v="209650"/>
    <n v="662570"/>
    <n v="42"/>
    <n v="63"/>
    <n v="8.1999999999999993"/>
  </r>
  <r>
    <x v="7"/>
    <x v="7"/>
    <d v="2021-11-13T00:00:00"/>
    <s v="NA"/>
    <n v="0"/>
    <n v="43"/>
    <s v="41-60"/>
    <x v="1"/>
    <x v="3"/>
    <x v="2"/>
    <x v="4"/>
    <n v="1"/>
    <n v="1"/>
    <n v="3.5"/>
    <x v="11"/>
    <n v="3"/>
    <n v="5"/>
    <n v="800440"/>
    <n v="288018"/>
    <n v="512422"/>
    <n v="49"/>
    <n v="65"/>
    <n v="8.9"/>
  </r>
  <r>
    <x v="7"/>
    <x v="7"/>
    <d v="2021-11-13T00:00:00"/>
    <s v="NA"/>
    <n v="0"/>
    <n v="72"/>
    <s v="61-80"/>
    <x v="1"/>
    <x v="10"/>
    <x v="8"/>
    <x v="4"/>
    <n v="1"/>
    <n v="1"/>
    <n v="2.1"/>
    <x v="27"/>
    <n v="4"/>
    <n v="4"/>
    <n v="704529"/>
    <n v="184091"/>
    <n v="520438"/>
    <n v="36"/>
    <n v="60"/>
    <n v="5.9"/>
  </r>
  <r>
    <x v="7"/>
    <x v="7"/>
    <d v="2023-03-24T00:00:00"/>
    <s v="NA"/>
    <n v="0"/>
    <n v="23"/>
    <s v="21-40"/>
    <x v="1"/>
    <x v="4"/>
    <x v="3"/>
    <x v="4"/>
    <n v="1"/>
    <n v="1"/>
    <n v="6.8"/>
    <x v="8"/>
    <n v="7"/>
    <n v="5"/>
    <n v="820623"/>
    <n v="127309"/>
    <n v="693314"/>
    <n v="36"/>
    <n v="64"/>
    <n v="6.3"/>
  </r>
  <r>
    <x v="7"/>
    <x v="7"/>
    <d v="2023-04-10T00:00:00"/>
    <s v="NA"/>
    <n v="0"/>
    <n v="45"/>
    <s v="41-60"/>
    <x v="0"/>
    <x v="9"/>
    <x v="7"/>
    <x v="2"/>
    <n v="1"/>
    <n v="1"/>
    <n v="1.9"/>
    <x v="13"/>
    <n v="5"/>
    <n v="4"/>
    <n v="890749"/>
    <n v="339444"/>
    <n v="551305"/>
    <n v="49"/>
    <n v="62"/>
    <n v="13.9"/>
  </r>
  <r>
    <x v="7"/>
    <x v="7"/>
    <d v="2023-12-08T00:00:00"/>
    <s v="NA"/>
    <n v="0"/>
    <n v="25"/>
    <s v="21-40"/>
    <x v="0"/>
    <x v="4"/>
    <x v="3"/>
    <x v="1"/>
    <n v="1"/>
    <n v="1"/>
    <n v="2.5"/>
    <x v="12"/>
    <n v="5"/>
    <n v="4"/>
    <n v="809932"/>
    <n v="175275"/>
    <n v="634657"/>
    <n v="37"/>
    <n v="57"/>
    <n v="8.5"/>
  </r>
  <r>
    <x v="7"/>
    <x v="7"/>
    <d v="2022-04-17T00:00:00"/>
    <s v="NA"/>
    <n v="0"/>
    <n v="59"/>
    <s v="41-60"/>
    <x v="1"/>
    <x v="13"/>
    <x v="10"/>
    <x v="4"/>
    <n v="1"/>
    <n v="1"/>
    <n v="4"/>
    <x v="3"/>
    <n v="7"/>
    <n v="6"/>
    <n v="880201"/>
    <n v="220835"/>
    <n v="659366"/>
    <n v="37"/>
    <n v="65"/>
    <n v="10.5"/>
  </r>
  <r>
    <x v="7"/>
    <x v="7"/>
    <d v="2021-04-18T00:00:00"/>
    <s v="NA"/>
    <n v="0"/>
    <n v="47"/>
    <s v="41-60"/>
    <x v="0"/>
    <x v="13"/>
    <x v="10"/>
    <x v="4"/>
    <n v="1"/>
    <n v="1"/>
    <n v="1.2"/>
    <x v="21"/>
    <n v="6"/>
    <n v="7"/>
    <n v="845764"/>
    <n v="223988"/>
    <n v="621776"/>
    <n v="35"/>
    <n v="58"/>
    <n v="36.9"/>
  </r>
  <r>
    <x v="7"/>
    <x v="7"/>
    <d v="2024-01-02T00:00:00"/>
    <s v="NA"/>
    <n v="0"/>
    <n v="47"/>
    <s v="41-60"/>
    <x v="0"/>
    <x v="1"/>
    <x v="1"/>
    <x v="3"/>
    <n v="1"/>
    <n v="1"/>
    <n v="3.1"/>
    <x v="14"/>
    <n v="6"/>
    <n v="6"/>
    <n v="847830"/>
    <n v="220462"/>
    <n v="627368"/>
    <n v="49"/>
    <n v="55"/>
    <n v="6.4"/>
  </r>
  <r>
    <x v="7"/>
    <x v="7"/>
    <d v="2022-11-14T00:00:00"/>
    <s v="NA"/>
    <n v="0"/>
    <n v="31"/>
    <s v="21-40"/>
    <x v="1"/>
    <x v="13"/>
    <x v="10"/>
    <x v="1"/>
    <n v="1"/>
    <n v="1"/>
    <n v="6.6"/>
    <x v="11"/>
    <n v="4"/>
    <n v="4"/>
    <n v="725518"/>
    <n v="202921"/>
    <n v="522597"/>
    <n v="32"/>
    <n v="54"/>
    <n v="9.1"/>
  </r>
  <r>
    <x v="7"/>
    <x v="7"/>
    <d v="2024-04-13T00:00:00"/>
    <s v="NA"/>
    <n v="0"/>
    <n v="31"/>
    <s v="21-40"/>
    <x v="1"/>
    <x v="7"/>
    <x v="5"/>
    <x v="2"/>
    <n v="1"/>
    <n v="1"/>
    <n v="1.6"/>
    <x v="4"/>
    <n v="7"/>
    <n v="7"/>
    <n v="778743"/>
    <n v="270374"/>
    <n v="508369"/>
    <n v="47"/>
    <n v="63"/>
    <n v="14.9"/>
  </r>
  <r>
    <x v="7"/>
    <x v="7"/>
    <d v="2023-02-17T00:00:00"/>
    <s v="NA"/>
    <n v="0"/>
    <n v="38"/>
    <s v="21-40"/>
    <x v="0"/>
    <x v="1"/>
    <x v="1"/>
    <x v="0"/>
    <n v="1"/>
    <n v="1"/>
    <n v="5.4"/>
    <x v="28"/>
    <n v="6"/>
    <n v="3"/>
    <n v="796527"/>
    <n v="101093"/>
    <n v="695434"/>
    <n v="49"/>
    <n v="60"/>
    <n v="13.2"/>
  </r>
  <r>
    <x v="7"/>
    <x v="7"/>
    <d v="2024-08-07T00:00:00"/>
    <s v="NA"/>
    <n v="0"/>
    <n v="44"/>
    <s v="41-60"/>
    <x v="1"/>
    <x v="6"/>
    <x v="4"/>
    <x v="0"/>
    <n v="1"/>
    <n v="1"/>
    <n v="1.6"/>
    <x v="27"/>
    <n v="3"/>
    <n v="4"/>
    <n v="737894"/>
    <n v="117847"/>
    <n v="620047"/>
    <n v="37"/>
    <n v="56"/>
    <n v="7.6"/>
  </r>
  <r>
    <x v="7"/>
    <x v="7"/>
    <d v="2021-12-10T00:00:00"/>
    <s v="NA"/>
    <n v="0"/>
    <n v="50"/>
    <s v="41-60"/>
    <x v="0"/>
    <x v="12"/>
    <x v="9"/>
    <x v="4"/>
    <n v="1"/>
    <n v="1"/>
    <n v="4.8"/>
    <x v="19"/>
    <n v="5"/>
    <n v="3"/>
    <n v="742837"/>
    <n v="174686"/>
    <n v="568151"/>
    <n v="43"/>
    <n v="55"/>
    <n v="9.1"/>
  </r>
  <r>
    <x v="7"/>
    <x v="7"/>
    <d v="2024-04-02T00:00:00"/>
    <s v="NA"/>
    <n v="0"/>
    <n v="80"/>
    <s v="61-80"/>
    <x v="0"/>
    <x v="14"/>
    <x v="11"/>
    <x v="4"/>
    <n v="1"/>
    <n v="1"/>
    <n v="2.7"/>
    <x v="10"/>
    <n v="4"/>
    <n v="7"/>
    <n v="720664"/>
    <n v="206194"/>
    <n v="514470"/>
    <n v="30"/>
    <n v="66"/>
    <n v="14.7"/>
  </r>
  <r>
    <x v="7"/>
    <x v="7"/>
    <d v="2023-02-16T00:00:00"/>
    <s v="NA"/>
    <n v="0"/>
    <n v="68"/>
    <s v="61-80"/>
    <x v="1"/>
    <x v="8"/>
    <x v="6"/>
    <x v="3"/>
    <n v="1"/>
    <n v="1"/>
    <n v="5.2"/>
    <x v="2"/>
    <n v="7"/>
    <n v="5"/>
    <n v="704320"/>
    <n v="86938"/>
    <n v="617382"/>
    <n v="30"/>
    <n v="59"/>
    <n v="8.3000000000000007"/>
  </r>
  <r>
    <x v="7"/>
    <x v="7"/>
    <d v="2023-09-27T00:00:00"/>
    <s v="NA"/>
    <n v="0"/>
    <n v="27"/>
    <s v="21-40"/>
    <x v="0"/>
    <x v="7"/>
    <x v="5"/>
    <x v="4"/>
    <n v="1"/>
    <n v="1"/>
    <n v="5.6"/>
    <x v="7"/>
    <n v="6"/>
    <n v="4"/>
    <n v="716636"/>
    <n v="180062"/>
    <n v="536574"/>
    <n v="33"/>
    <n v="56"/>
    <n v="6.7"/>
  </r>
  <r>
    <x v="7"/>
    <x v="7"/>
    <d v="2023-02-21T00:00:00"/>
    <s v="NA"/>
    <n v="0"/>
    <n v="30"/>
    <s v="21-40"/>
    <x v="1"/>
    <x v="3"/>
    <x v="2"/>
    <x v="4"/>
    <n v="1"/>
    <n v="1"/>
    <n v="3"/>
    <x v="10"/>
    <n v="3"/>
    <n v="5"/>
    <n v="733762"/>
    <n v="198808"/>
    <n v="534954"/>
    <n v="35"/>
    <n v="56"/>
    <n v="9.3000000000000007"/>
  </r>
  <r>
    <x v="7"/>
    <x v="7"/>
    <d v="2022-08-30T00:00:00"/>
    <s v="NA"/>
    <n v="0"/>
    <n v="21"/>
    <s v="21-40"/>
    <x v="1"/>
    <x v="4"/>
    <x v="3"/>
    <x v="3"/>
    <n v="1"/>
    <n v="1"/>
    <n v="6.7"/>
    <x v="13"/>
    <n v="6"/>
    <n v="7"/>
    <n v="888680"/>
    <n v="312247"/>
    <n v="576433"/>
    <n v="36"/>
    <n v="65"/>
    <n v="36.799999999999997"/>
  </r>
  <r>
    <x v="7"/>
    <x v="7"/>
    <d v="2024-09-28T00:00:00"/>
    <s v="NA"/>
    <n v="0"/>
    <n v="90"/>
    <s v="81+"/>
    <x v="1"/>
    <x v="11"/>
    <x v="8"/>
    <x v="4"/>
    <n v="1"/>
    <n v="1"/>
    <n v="2"/>
    <x v="13"/>
    <n v="5"/>
    <n v="5"/>
    <n v="792314"/>
    <n v="108386"/>
    <n v="683928"/>
    <n v="45"/>
    <n v="65"/>
    <n v="36.4"/>
  </r>
  <r>
    <x v="7"/>
    <x v="7"/>
    <d v="2022-01-03T00:00:00"/>
    <s v="NA"/>
    <n v="0"/>
    <n v="45"/>
    <s v="41-60"/>
    <x v="0"/>
    <x v="14"/>
    <x v="11"/>
    <x v="0"/>
    <n v="1"/>
    <n v="1"/>
    <n v="1"/>
    <x v="16"/>
    <n v="7"/>
    <n v="7"/>
    <n v="706451"/>
    <n v="169896"/>
    <n v="536555"/>
    <n v="40"/>
    <n v="55"/>
    <n v="9.1999999999999993"/>
  </r>
  <r>
    <x v="7"/>
    <x v="7"/>
    <d v="2024-04-27T00:00:00"/>
    <s v="NA"/>
    <n v="0"/>
    <n v="35"/>
    <s v="21-40"/>
    <x v="0"/>
    <x v="5"/>
    <x v="0"/>
    <x v="3"/>
    <n v="1"/>
    <n v="1"/>
    <n v="1.6"/>
    <x v="10"/>
    <n v="3"/>
    <n v="3"/>
    <n v="814075"/>
    <n v="129493"/>
    <n v="684582"/>
    <n v="44"/>
    <n v="54"/>
    <n v="9.9"/>
  </r>
  <r>
    <x v="7"/>
    <x v="7"/>
    <d v="2023-12-18T00:00:00"/>
    <s v="NA"/>
    <n v="0"/>
    <n v="62"/>
    <s v="61-80"/>
    <x v="0"/>
    <x v="13"/>
    <x v="10"/>
    <x v="0"/>
    <n v="1"/>
    <n v="1"/>
    <n v="6"/>
    <x v="19"/>
    <n v="6"/>
    <n v="7"/>
    <n v="773360"/>
    <n v="241161"/>
    <n v="532199"/>
    <n v="42"/>
    <n v="61"/>
    <n v="8.6999999999999993"/>
  </r>
  <r>
    <x v="7"/>
    <x v="7"/>
    <d v="2023-09-08T00:00:00"/>
    <s v="NA"/>
    <n v="0"/>
    <n v="39"/>
    <s v="21-40"/>
    <x v="0"/>
    <x v="13"/>
    <x v="10"/>
    <x v="4"/>
    <n v="1"/>
    <n v="1"/>
    <n v="1.8"/>
    <x v="0"/>
    <n v="4"/>
    <n v="4"/>
    <n v="743487"/>
    <n v="83965"/>
    <n v="659522"/>
    <n v="35"/>
    <n v="66"/>
    <n v="5"/>
  </r>
  <r>
    <x v="7"/>
    <x v="7"/>
    <d v="2023-02-17T00:00:00"/>
    <s v="NA"/>
    <n v="0"/>
    <n v="84"/>
    <s v="81+"/>
    <x v="0"/>
    <x v="13"/>
    <x v="10"/>
    <x v="4"/>
    <n v="1"/>
    <n v="1"/>
    <n v="5"/>
    <x v="21"/>
    <n v="6"/>
    <n v="4"/>
    <n v="858391"/>
    <n v="259855"/>
    <n v="598536"/>
    <n v="40"/>
    <n v="56"/>
    <n v="36.799999999999997"/>
  </r>
  <r>
    <x v="7"/>
    <x v="7"/>
    <d v="2023-12-07T00:00:00"/>
    <s v="NA"/>
    <n v="0"/>
    <n v="46"/>
    <s v="41-60"/>
    <x v="0"/>
    <x v="6"/>
    <x v="4"/>
    <x v="0"/>
    <n v="1"/>
    <n v="1"/>
    <n v="4.2"/>
    <x v="3"/>
    <n v="6"/>
    <n v="4"/>
    <n v="733987"/>
    <n v="225279"/>
    <n v="508708"/>
    <n v="39"/>
    <n v="58"/>
    <n v="5.4"/>
  </r>
  <r>
    <x v="7"/>
    <x v="7"/>
    <d v="2022-04-18T00:00:00"/>
    <s v="NA"/>
    <n v="0"/>
    <n v="30"/>
    <s v="21-40"/>
    <x v="1"/>
    <x v="8"/>
    <x v="6"/>
    <x v="3"/>
    <n v="1"/>
    <n v="1"/>
    <n v="2.7"/>
    <x v="23"/>
    <n v="3"/>
    <n v="6"/>
    <n v="771214"/>
    <n v="257928"/>
    <n v="513286"/>
    <n v="36"/>
    <n v="65"/>
    <n v="12.5"/>
  </r>
  <r>
    <x v="7"/>
    <x v="7"/>
    <d v="2021-06-29T00:00:00"/>
    <s v="NA"/>
    <n v="0"/>
    <n v="52"/>
    <s v="41-60"/>
    <x v="0"/>
    <x v="6"/>
    <x v="4"/>
    <x v="2"/>
    <n v="1"/>
    <n v="1"/>
    <n v="5.5"/>
    <x v="12"/>
    <n v="4"/>
    <n v="4"/>
    <n v="720823"/>
    <n v="71182"/>
    <n v="649641"/>
    <n v="41"/>
    <n v="61"/>
    <n v="14.2"/>
  </r>
  <r>
    <x v="7"/>
    <x v="7"/>
    <d v="2022-03-06T00:00:00"/>
    <s v="NA"/>
    <n v="0"/>
    <n v="71"/>
    <s v="61-80"/>
    <x v="1"/>
    <x v="12"/>
    <x v="9"/>
    <x v="4"/>
    <n v="1"/>
    <n v="1"/>
    <n v="2.2000000000000002"/>
    <x v="15"/>
    <n v="7"/>
    <n v="6"/>
    <n v="715687"/>
    <n v="19765"/>
    <n v="695922"/>
    <n v="50"/>
    <n v="60"/>
    <n v="14.3"/>
  </r>
  <r>
    <x v="7"/>
    <x v="7"/>
    <d v="2021-09-19T00:00:00"/>
    <s v="NA"/>
    <n v="0"/>
    <n v="46"/>
    <s v="41-60"/>
    <x v="0"/>
    <x v="0"/>
    <x v="0"/>
    <x v="3"/>
    <n v="1"/>
    <n v="1"/>
    <n v="5.5"/>
    <x v="14"/>
    <n v="7"/>
    <n v="4"/>
    <n v="851222"/>
    <n v="316143"/>
    <n v="535079"/>
    <n v="32"/>
    <n v="58"/>
    <n v="8.1"/>
  </r>
  <r>
    <x v="7"/>
    <x v="7"/>
    <d v="2021-03-18T00:00:00"/>
    <s v="NA"/>
    <n v="0"/>
    <n v="39"/>
    <s v="21-40"/>
    <x v="1"/>
    <x v="3"/>
    <x v="2"/>
    <x v="1"/>
    <n v="1"/>
    <n v="1"/>
    <n v="1.1000000000000001"/>
    <x v="7"/>
    <n v="7"/>
    <n v="7"/>
    <n v="821742"/>
    <n v="146329"/>
    <n v="675413"/>
    <n v="43"/>
    <n v="54"/>
    <n v="6.3"/>
  </r>
  <r>
    <x v="7"/>
    <x v="7"/>
    <d v="2022-01-25T00:00:00"/>
    <s v="NA"/>
    <n v="0"/>
    <n v="31"/>
    <s v="21-40"/>
    <x v="0"/>
    <x v="9"/>
    <x v="7"/>
    <x v="3"/>
    <n v="1"/>
    <n v="1"/>
    <n v="2.8"/>
    <x v="10"/>
    <n v="6"/>
    <n v="4"/>
    <n v="861489"/>
    <n v="256679"/>
    <n v="604810"/>
    <n v="42"/>
    <n v="61"/>
    <n v="6.7"/>
  </r>
  <r>
    <x v="7"/>
    <x v="7"/>
    <d v="2024-07-18T00:00:00"/>
    <s v="NA"/>
    <n v="0"/>
    <n v="43"/>
    <s v="41-60"/>
    <x v="0"/>
    <x v="12"/>
    <x v="9"/>
    <x v="3"/>
    <n v="1"/>
    <n v="1"/>
    <n v="4.8"/>
    <x v="20"/>
    <n v="3"/>
    <n v="5"/>
    <n v="860095"/>
    <n v="234053"/>
    <n v="626042"/>
    <n v="33"/>
    <n v="65"/>
    <n v="14.3"/>
  </r>
  <r>
    <x v="6"/>
    <x v="6"/>
    <d v="2022-12-31T00:00:00"/>
    <s v="NA"/>
    <n v="0"/>
    <n v="36"/>
    <s v="21-40"/>
    <x v="0"/>
    <x v="0"/>
    <x v="0"/>
    <x v="3"/>
    <n v="1"/>
    <n v="1"/>
    <n v="6.9"/>
    <x v="10"/>
    <n v="3"/>
    <n v="5"/>
    <n v="724192"/>
    <n v="223871"/>
    <n v="500321"/>
    <n v="42"/>
    <n v="59"/>
    <n v="6.8"/>
  </r>
  <r>
    <x v="6"/>
    <x v="6"/>
    <d v="2022-08-07T00:00:00"/>
    <s v="NA"/>
    <n v="0"/>
    <n v="43"/>
    <s v="41-60"/>
    <x v="0"/>
    <x v="0"/>
    <x v="0"/>
    <x v="1"/>
    <n v="1"/>
    <n v="1"/>
    <n v="2.6"/>
    <x v="25"/>
    <n v="3"/>
    <n v="5"/>
    <n v="728853"/>
    <n v="85181"/>
    <n v="643672"/>
    <n v="56"/>
    <n v="65"/>
    <n v="10"/>
  </r>
  <r>
    <x v="6"/>
    <x v="6"/>
    <d v="2021-11-26T00:00:00"/>
    <s v="NA"/>
    <n v="0"/>
    <n v="67"/>
    <s v="61-80"/>
    <x v="1"/>
    <x v="8"/>
    <x v="6"/>
    <x v="2"/>
    <n v="1"/>
    <n v="1"/>
    <n v="3.7"/>
    <x v="11"/>
    <n v="3"/>
    <n v="5"/>
    <n v="797327"/>
    <n v="180373"/>
    <n v="616954"/>
    <n v="43"/>
    <n v="61"/>
    <n v="12.1"/>
  </r>
  <r>
    <x v="6"/>
    <x v="6"/>
    <d v="2021-04-05T00:00:00"/>
    <s v="NA"/>
    <n v="0"/>
    <n v="29"/>
    <s v="21-40"/>
    <x v="1"/>
    <x v="10"/>
    <x v="8"/>
    <x v="4"/>
    <n v="1"/>
    <n v="1"/>
    <n v="3.7"/>
    <x v="25"/>
    <n v="4"/>
    <n v="3"/>
    <n v="791605"/>
    <n v="190233"/>
    <n v="601372"/>
    <n v="47"/>
    <n v="55"/>
    <n v="12.6"/>
  </r>
  <r>
    <x v="6"/>
    <x v="6"/>
    <d v="2023-05-10T00:00:00"/>
    <s v="NA"/>
    <n v="0"/>
    <n v="81"/>
    <s v="81+"/>
    <x v="1"/>
    <x v="10"/>
    <x v="8"/>
    <x v="4"/>
    <n v="1"/>
    <n v="1"/>
    <n v="5"/>
    <x v="5"/>
    <n v="6"/>
    <n v="7"/>
    <n v="750796"/>
    <n v="115031"/>
    <n v="635765"/>
    <n v="31"/>
    <n v="60"/>
    <n v="12.6"/>
  </r>
  <r>
    <x v="6"/>
    <x v="6"/>
    <d v="2024-01-12T00:00:00"/>
    <s v="NA"/>
    <n v="0"/>
    <n v="28"/>
    <s v="21-40"/>
    <x v="1"/>
    <x v="12"/>
    <x v="9"/>
    <x v="3"/>
    <n v="1"/>
    <n v="1"/>
    <n v="6.7"/>
    <x v="9"/>
    <n v="5"/>
    <n v="7"/>
    <n v="778030"/>
    <n v="143908"/>
    <n v="634122"/>
    <n v="47"/>
    <n v="59"/>
    <n v="10.9"/>
  </r>
  <r>
    <x v="6"/>
    <x v="6"/>
    <d v="2022-07-06T00:00:00"/>
    <s v="NA"/>
    <n v="0"/>
    <n v="31"/>
    <s v="21-40"/>
    <x v="0"/>
    <x v="12"/>
    <x v="9"/>
    <x v="1"/>
    <n v="1"/>
    <n v="1"/>
    <n v="2.9"/>
    <x v="0"/>
    <n v="6"/>
    <n v="6"/>
    <n v="798420"/>
    <n v="113180"/>
    <n v="685240"/>
    <n v="55"/>
    <n v="56"/>
    <n v="7.3"/>
  </r>
  <r>
    <x v="6"/>
    <x v="6"/>
    <d v="2023-10-23T00:00:00"/>
    <s v="NA"/>
    <n v="0"/>
    <n v="68"/>
    <s v="61-80"/>
    <x v="0"/>
    <x v="9"/>
    <x v="7"/>
    <x v="2"/>
    <n v="1"/>
    <n v="1"/>
    <n v="4.0999999999999996"/>
    <x v="8"/>
    <n v="6"/>
    <n v="6"/>
    <n v="715768"/>
    <n v="169362"/>
    <n v="546406"/>
    <n v="38"/>
    <n v="57"/>
    <n v="9.8000000000000007"/>
  </r>
  <r>
    <x v="6"/>
    <x v="6"/>
    <d v="2021-10-14T00:00:00"/>
    <s v="NA"/>
    <n v="0"/>
    <n v="43"/>
    <s v="41-60"/>
    <x v="0"/>
    <x v="6"/>
    <x v="4"/>
    <x v="3"/>
    <n v="1"/>
    <n v="1"/>
    <n v="3.5"/>
    <x v="19"/>
    <n v="7"/>
    <n v="6"/>
    <n v="723399"/>
    <n v="136730"/>
    <n v="586669"/>
    <n v="51"/>
    <n v="65"/>
    <n v="5.9"/>
  </r>
  <r>
    <x v="6"/>
    <x v="6"/>
    <d v="2024-12-08T00:00:00"/>
    <s v="NA"/>
    <n v="0"/>
    <n v="39"/>
    <s v="21-40"/>
    <x v="0"/>
    <x v="10"/>
    <x v="8"/>
    <x v="2"/>
    <n v="1"/>
    <n v="1"/>
    <n v="4.0999999999999996"/>
    <x v="3"/>
    <n v="6"/>
    <n v="4"/>
    <n v="738428"/>
    <n v="232240"/>
    <n v="506188"/>
    <n v="34"/>
    <n v="60"/>
    <n v="36.6"/>
  </r>
  <r>
    <x v="6"/>
    <x v="6"/>
    <d v="2021-08-31T00:00:00"/>
    <s v="NA"/>
    <n v="0"/>
    <n v="39"/>
    <s v="21-40"/>
    <x v="0"/>
    <x v="7"/>
    <x v="5"/>
    <x v="2"/>
    <n v="1"/>
    <n v="1"/>
    <n v="1.9"/>
    <x v="26"/>
    <n v="4"/>
    <n v="6"/>
    <n v="740386"/>
    <n v="117884"/>
    <n v="622502"/>
    <n v="54"/>
    <n v="54"/>
    <n v="6.3"/>
  </r>
  <r>
    <x v="6"/>
    <x v="6"/>
    <d v="2023-04-20T00:00:00"/>
    <s v="NA"/>
    <n v="0"/>
    <n v="60"/>
    <s v="41-60"/>
    <x v="0"/>
    <x v="10"/>
    <x v="8"/>
    <x v="2"/>
    <n v="1"/>
    <n v="1"/>
    <n v="2.9"/>
    <x v="24"/>
    <n v="6"/>
    <n v="6"/>
    <n v="760440"/>
    <n v="148177"/>
    <n v="612263"/>
    <n v="42"/>
    <n v="63"/>
    <n v="10.8"/>
  </r>
  <r>
    <x v="6"/>
    <x v="6"/>
    <d v="2022-06-16T00:00:00"/>
    <s v="NA"/>
    <n v="0"/>
    <n v="37"/>
    <s v="21-40"/>
    <x v="1"/>
    <x v="4"/>
    <x v="3"/>
    <x v="4"/>
    <n v="1"/>
    <n v="1"/>
    <n v="3.4"/>
    <x v="15"/>
    <n v="6"/>
    <n v="4"/>
    <n v="750386"/>
    <n v="71770"/>
    <n v="678616"/>
    <n v="37"/>
    <n v="63"/>
    <n v="7.6"/>
  </r>
  <r>
    <x v="6"/>
    <x v="6"/>
    <d v="2022-06-10T00:00:00"/>
    <s v="NA"/>
    <n v="0"/>
    <n v="27"/>
    <s v="21-40"/>
    <x v="1"/>
    <x v="3"/>
    <x v="2"/>
    <x v="0"/>
    <n v="1"/>
    <n v="1"/>
    <n v="3.4"/>
    <x v="12"/>
    <n v="5"/>
    <n v="7"/>
    <n v="768731"/>
    <n v="132802"/>
    <n v="635929"/>
    <n v="54"/>
    <n v="55"/>
    <n v="9.6"/>
  </r>
  <r>
    <x v="6"/>
    <x v="6"/>
    <d v="2024-03-02T00:00:00"/>
    <s v="NA"/>
    <n v="0"/>
    <n v="29"/>
    <s v="21-40"/>
    <x v="1"/>
    <x v="10"/>
    <x v="8"/>
    <x v="1"/>
    <n v="1"/>
    <n v="1"/>
    <n v="5.6"/>
    <x v="29"/>
    <n v="3"/>
    <n v="5"/>
    <n v="708871"/>
    <n v="173933"/>
    <n v="534938"/>
    <n v="59"/>
    <n v="59"/>
    <n v="36.4"/>
  </r>
  <r>
    <x v="6"/>
    <x v="6"/>
    <d v="2022-01-06T00:00:00"/>
    <s v="NA"/>
    <n v="0"/>
    <n v="43"/>
    <s v="41-60"/>
    <x v="1"/>
    <x v="8"/>
    <x v="6"/>
    <x v="3"/>
    <n v="1"/>
    <n v="1"/>
    <n v="2.7"/>
    <x v="3"/>
    <n v="5"/>
    <n v="3"/>
    <n v="785236"/>
    <n v="284656"/>
    <n v="500580"/>
    <n v="52"/>
    <n v="59"/>
    <n v="12.6"/>
  </r>
  <r>
    <x v="6"/>
    <x v="6"/>
    <d v="2023-09-23T00:00:00"/>
    <s v="NA"/>
    <n v="0"/>
    <n v="71"/>
    <s v="61-80"/>
    <x v="0"/>
    <x v="12"/>
    <x v="9"/>
    <x v="3"/>
    <n v="1"/>
    <n v="1"/>
    <n v="5.7"/>
    <x v="17"/>
    <n v="3"/>
    <n v="4"/>
    <n v="743086"/>
    <n v="106486"/>
    <n v="636600"/>
    <n v="37"/>
    <n v="54"/>
    <n v="12"/>
  </r>
  <r>
    <x v="6"/>
    <x v="6"/>
    <d v="2023-07-04T00:00:00"/>
    <s v="NA"/>
    <n v="0"/>
    <n v="33"/>
    <s v="21-40"/>
    <x v="1"/>
    <x v="1"/>
    <x v="1"/>
    <x v="2"/>
    <n v="1"/>
    <n v="1"/>
    <n v="3.6"/>
    <x v="30"/>
    <n v="5"/>
    <n v="5"/>
    <n v="760955"/>
    <n v="79914"/>
    <n v="681041"/>
    <n v="33"/>
    <n v="59"/>
    <n v="10"/>
  </r>
  <r>
    <x v="6"/>
    <x v="6"/>
    <d v="2023-02-12T00:00:00"/>
    <s v="NA"/>
    <n v="0"/>
    <n v="88"/>
    <s v="81+"/>
    <x v="1"/>
    <x v="10"/>
    <x v="8"/>
    <x v="3"/>
    <n v="1"/>
    <n v="1"/>
    <n v="3.4"/>
    <x v="19"/>
    <n v="3"/>
    <n v="7"/>
    <n v="760415"/>
    <n v="183755"/>
    <n v="576660"/>
    <n v="54"/>
    <n v="56"/>
    <n v="9.6999999999999993"/>
  </r>
  <r>
    <x v="6"/>
    <x v="6"/>
    <d v="2024-10-06T00:00:00"/>
    <s v="NA"/>
    <n v="0"/>
    <n v="51"/>
    <s v="41-60"/>
    <x v="1"/>
    <x v="3"/>
    <x v="2"/>
    <x v="1"/>
    <n v="1"/>
    <n v="1"/>
    <n v="6.5"/>
    <x v="0"/>
    <n v="6"/>
    <n v="7"/>
    <n v="710341"/>
    <n v="111596"/>
    <n v="598745"/>
    <n v="35"/>
    <n v="54"/>
    <n v="14.5"/>
  </r>
  <r>
    <x v="6"/>
    <x v="6"/>
    <d v="2024-11-22T00:00:00"/>
    <s v="NA"/>
    <n v="0"/>
    <n v="40"/>
    <s v="21-40"/>
    <x v="1"/>
    <x v="3"/>
    <x v="2"/>
    <x v="2"/>
    <n v="1"/>
    <n v="1"/>
    <n v="2.6"/>
    <x v="19"/>
    <n v="6"/>
    <n v="7"/>
    <n v="745814"/>
    <n v="50880"/>
    <n v="694934"/>
    <n v="40"/>
    <n v="56"/>
    <n v="8.6999999999999993"/>
  </r>
  <r>
    <x v="6"/>
    <x v="6"/>
    <d v="2022-01-30T00:00:00"/>
    <s v="NA"/>
    <n v="0"/>
    <n v="45"/>
    <s v="41-60"/>
    <x v="1"/>
    <x v="9"/>
    <x v="7"/>
    <x v="2"/>
    <n v="1"/>
    <n v="1"/>
    <n v="3.4"/>
    <x v="18"/>
    <n v="7"/>
    <n v="3"/>
    <n v="703370"/>
    <n v="182404"/>
    <n v="520966"/>
    <n v="40"/>
    <n v="59"/>
    <n v="12.9"/>
  </r>
  <r>
    <x v="6"/>
    <x v="6"/>
    <d v="2024-05-31T00:00:00"/>
    <s v="NA"/>
    <n v="0"/>
    <n v="29"/>
    <s v="21-40"/>
    <x v="1"/>
    <x v="10"/>
    <x v="8"/>
    <x v="0"/>
    <n v="1"/>
    <n v="1"/>
    <n v="5.5"/>
    <x v="10"/>
    <n v="3"/>
    <n v="5"/>
    <n v="784852"/>
    <n v="111846"/>
    <n v="673006"/>
    <n v="33"/>
    <n v="57"/>
    <n v="7.1"/>
  </r>
  <r>
    <x v="6"/>
    <x v="6"/>
    <d v="2021-02-01T00:00:00"/>
    <s v="NA"/>
    <n v="0"/>
    <n v="64"/>
    <s v="61-80"/>
    <x v="0"/>
    <x v="7"/>
    <x v="5"/>
    <x v="1"/>
    <n v="1"/>
    <n v="1"/>
    <n v="6.2"/>
    <x v="21"/>
    <n v="3"/>
    <n v="3"/>
    <n v="734285"/>
    <n v="74364"/>
    <n v="659921"/>
    <n v="41"/>
    <n v="60"/>
    <n v="7.1"/>
  </r>
  <r>
    <x v="6"/>
    <x v="6"/>
    <d v="2021-04-01T00:00:00"/>
    <s v="NA"/>
    <n v="0"/>
    <n v="69"/>
    <s v="61-80"/>
    <x v="1"/>
    <x v="9"/>
    <x v="7"/>
    <x v="4"/>
    <n v="1"/>
    <n v="1"/>
    <n v="5.9"/>
    <x v="12"/>
    <n v="5"/>
    <n v="7"/>
    <n v="762017"/>
    <n v="149742"/>
    <n v="612275"/>
    <n v="60"/>
    <n v="54"/>
    <n v="7.1"/>
  </r>
  <r>
    <x v="6"/>
    <x v="6"/>
    <d v="2024-08-25T00:00:00"/>
    <s v="NA"/>
    <n v="0"/>
    <n v="87"/>
    <s v="81+"/>
    <x v="1"/>
    <x v="9"/>
    <x v="7"/>
    <x v="1"/>
    <n v="1"/>
    <n v="1"/>
    <n v="5.6"/>
    <x v="5"/>
    <n v="4"/>
    <n v="3"/>
    <n v="741570"/>
    <n v="112208"/>
    <n v="629362"/>
    <n v="48"/>
    <n v="65"/>
    <n v="8.8000000000000007"/>
  </r>
  <r>
    <x v="6"/>
    <x v="6"/>
    <d v="2024-09-09T00:00:00"/>
    <s v="NA"/>
    <n v="0"/>
    <n v="66"/>
    <s v="61-80"/>
    <x v="1"/>
    <x v="8"/>
    <x v="6"/>
    <x v="1"/>
    <n v="1"/>
    <n v="1"/>
    <n v="5.6"/>
    <x v="17"/>
    <n v="4"/>
    <n v="5"/>
    <n v="730238"/>
    <n v="208207"/>
    <n v="522031"/>
    <n v="55"/>
    <n v="66"/>
    <n v="6.5"/>
  </r>
  <r>
    <x v="6"/>
    <x v="6"/>
    <d v="2022-01-19T00:00:00"/>
    <s v="NA"/>
    <n v="0"/>
    <n v="29"/>
    <s v="21-40"/>
    <x v="0"/>
    <x v="12"/>
    <x v="9"/>
    <x v="3"/>
    <n v="1"/>
    <n v="1"/>
    <n v="4.5999999999999996"/>
    <x v="1"/>
    <n v="6"/>
    <n v="5"/>
    <n v="799057"/>
    <n v="216270"/>
    <n v="582787"/>
    <n v="54"/>
    <n v="54"/>
    <n v="6.3"/>
  </r>
  <r>
    <x v="6"/>
    <x v="6"/>
    <d v="2021-02-18T00:00:00"/>
    <s v="NA"/>
    <n v="0"/>
    <n v="39"/>
    <s v="21-40"/>
    <x v="0"/>
    <x v="9"/>
    <x v="7"/>
    <x v="2"/>
    <n v="1"/>
    <n v="1"/>
    <n v="3.6"/>
    <x v="4"/>
    <n v="7"/>
    <n v="5"/>
    <n v="793770"/>
    <n v="153734"/>
    <n v="640036"/>
    <n v="44"/>
    <n v="62"/>
    <n v="5.6"/>
  </r>
  <r>
    <x v="6"/>
    <x v="6"/>
    <d v="2024-07-16T00:00:00"/>
    <s v="NA"/>
    <n v="0"/>
    <n v="75"/>
    <s v="61-80"/>
    <x v="0"/>
    <x v="10"/>
    <x v="8"/>
    <x v="0"/>
    <n v="1"/>
    <n v="1"/>
    <n v="3.5"/>
    <x v="15"/>
    <n v="3"/>
    <n v="4"/>
    <n v="713941"/>
    <n v="94572"/>
    <n v="619369"/>
    <n v="53"/>
    <n v="66"/>
    <n v="14.4"/>
  </r>
  <r>
    <x v="6"/>
    <x v="6"/>
    <d v="2022-07-16T00:00:00"/>
    <s v="NA"/>
    <n v="0"/>
    <n v="40"/>
    <s v="21-40"/>
    <x v="1"/>
    <x v="7"/>
    <x v="5"/>
    <x v="0"/>
    <n v="1"/>
    <n v="1"/>
    <n v="6.4"/>
    <x v="0"/>
    <n v="5"/>
    <n v="7"/>
    <n v="732513"/>
    <n v="161255"/>
    <n v="571258"/>
    <n v="30"/>
    <n v="62"/>
    <n v="7.4"/>
  </r>
  <r>
    <x v="6"/>
    <x v="6"/>
    <d v="2024-06-27T00:00:00"/>
    <s v="NA"/>
    <n v="0"/>
    <n v="27"/>
    <s v="21-40"/>
    <x v="1"/>
    <x v="10"/>
    <x v="8"/>
    <x v="2"/>
    <n v="1"/>
    <n v="1"/>
    <n v="6.3"/>
    <x v="1"/>
    <n v="6"/>
    <n v="4"/>
    <n v="759239"/>
    <n v="108327"/>
    <n v="650912"/>
    <n v="55"/>
    <n v="60"/>
    <n v="13.5"/>
  </r>
  <r>
    <x v="6"/>
    <x v="6"/>
    <d v="2023-08-02T00:00:00"/>
    <s v="NA"/>
    <n v="0"/>
    <n v="47"/>
    <s v="41-60"/>
    <x v="0"/>
    <x v="2"/>
    <x v="1"/>
    <x v="1"/>
    <n v="1"/>
    <n v="1"/>
    <n v="3"/>
    <x v="10"/>
    <n v="3"/>
    <n v="7"/>
    <n v="738575"/>
    <n v="195862"/>
    <n v="542713"/>
    <n v="46"/>
    <n v="60"/>
    <n v="36.4"/>
  </r>
  <r>
    <x v="6"/>
    <x v="6"/>
    <d v="2023-01-15T00:00:00"/>
    <s v="NA"/>
    <n v="0"/>
    <n v="60"/>
    <s v="41-60"/>
    <x v="1"/>
    <x v="10"/>
    <x v="8"/>
    <x v="1"/>
    <n v="1"/>
    <n v="1"/>
    <n v="3.5"/>
    <x v="12"/>
    <n v="3"/>
    <n v="6"/>
    <n v="737825"/>
    <n v="98818"/>
    <n v="639007"/>
    <n v="40"/>
    <n v="59"/>
    <n v="10.1"/>
  </r>
  <r>
    <x v="6"/>
    <x v="6"/>
    <d v="2021-05-12T00:00:00"/>
    <s v="NA"/>
    <n v="0"/>
    <n v="83"/>
    <s v="81+"/>
    <x v="1"/>
    <x v="13"/>
    <x v="10"/>
    <x v="0"/>
    <n v="1"/>
    <n v="1"/>
    <n v="1.2"/>
    <x v="29"/>
    <n v="5"/>
    <n v="3"/>
    <n v="702377"/>
    <n v="135534"/>
    <n v="566843"/>
    <n v="38"/>
    <n v="65"/>
    <n v="8.1999999999999993"/>
  </r>
  <r>
    <x v="6"/>
    <x v="6"/>
    <d v="2022-01-10T00:00:00"/>
    <s v="NA"/>
    <n v="0"/>
    <n v="34"/>
    <s v="21-40"/>
    <x v="1"/>
    <x v="2"/>
    <x v="1"/>
    <x v="4"/>
    <n v="1"/>
    <n v="1"/>
    <n v="5.8"/>
    <x v="1"/>
    <n v="6"/>
    <n v="6"/>
    <n v="719939"/>
    <n v="67301"/>
    <n v="652638"/>
    <n v="41"/>
    <n v="65"/>
    <n v="10.199999999999999"/>
  </r>
  <r>
    <x v="6"/>
    <x v="6"/>
    <d v="2023-12-01T00:00:00"/>
    <s v="NA"/>
    <n v="0"/>
    <n v="71"/>
    <s v="61-80"/>
    <x v="0"/>
    <x v="5"/>
    <x v="0"/>
    <x v="1"/>
    <n v="1"/>
    <n v="1"/>
    <n v="5"/>
    <x v="1"/>
    <n v="5"/>
    <n v="3"/>
    <n v="701785"/>
    <n v="92489"/>
    <n v="609296"/>
    <n v="33"/>
    <n v="61"/>
    <n v="13.7"/>
  </r>
  <r>
    <x v="6"/>
    <x v="6"/>
    <d v="2021-07-12T00:00:00"/>
    <s v="NA"/>
    <n v="0"/>
    <n v="22"/>
    <s v="21-40"/>
    <x v="0"/>
    <x v="0"/>
    <x v="0"/>
    <x v="4"/>
    <n v="1"/>
    <n v="1"/>
    <n v="3.5"/>
    <x v="22"/>
    <n v="3"/>
    <n v="6"/>
    <n v="716653"/>
    <n v="110588"/>
    <n v="606065"/>
    <n v="34"/>
    <n v="65"/>
    <n v="14.5"/>
  </r>
  <r>
    <x v="6"/>
    <x v="6"/>
    <d v="2021-09-13T00:00:00"/>
    <s v="NA"/>
    <n v="0"/>
    <n v="43"/>
    <s v="41-60"/>
    <x v="0"/>
    <x v="4"/>
    <x v="3"/>
    <x v="3"/>
    <n v="1"/>
    <n v="1"/>
    <n v="6.2"/>
    <x v="27"/>
    <n v="5"/>
    <n v="7"/>
    <n v="783207"/>
    <n v="136638"/>
    <n v="646569"/>
    <n v="40"/>
    <n v="65"/>
    <n v="36.9"/>
  </r>
  <r>
    <x v="6"/>
    <x v="6"/>
    <d v="2021-10-14T00:00:00"/>
    <s v="NA"/>
    <n v="0"/>
    <n v="27"/>
    <s v="21-40"/>
    <x v="0"/>
    <x v="6"/>
    <x v="4"/>
    <x v="0"/>
    <n v="1"/>
    <n v="1"/>
    <n v="4.0999999999999996"/>
    <x v="6"/>
    <n v="3"/>
    <n v="5"/>
    <n v="798705"/>
    <n v="264635"/>
    <n v="534070"/>
    <n v="34"/>
    <n v="60"/>
    <n v="12.5"/>
  </r>
  <r>
    <x v="6"/>
    <x v="6"/>
    <d v="2021-09-10T00:00:00"/>
    <s v="NA"/>
    <n v="0"/>
    <n v="28"/>
    <s v="21-40"/>
    <x v="1"/>
    <x v="8"/>
    <x v="6"/>
    <x v="0"/>
    <n v="1"/>
    <n v="1"/>
    <n v="6.4"/>
    <x v="14"/>
    <n v="7"/>
    <n v="5"/>
    <n v="726642"/>
    <n v="37116"/>
    <n v="689526"/>
    <n v="58"/>
    <n v="56"/>
    <n v="36.4"/>
  </r>
  <r>
    <x v="6"/>
    <x v="6"/>
    <d v="2023-11-02T00:00:00"/>
    <s v="NA"/>
    <n v="0"/>
    <n v="44"/>
    <s v="41-60"/>
    <x v="0"/>
    <x v="7"/>
    <x v="5"/>
    <x v="4"/>
    <n v="1"/>
    <n v="1"/>
    <n v="4"/>
    <x v="27"/>
    <n v="6"/>
    <n v="7"/>
    <n v="726774"/>
    <n v="88040"/>
    <n v="638734"/>
    <n v="60"/>
    <n v="62"/>
    <n v="8.6"/>
  </r>
  <r>
    <x v="6"/>
    <x v="6"/>
    <d v="2023-02-20T00:00:00"/>
    <s v="NA"/>
    <n v="0"/>
    <n v="27"/>
    <s v="21-40"/>
    <x v="1"/>
    <x v="2"/>
    <x v="1"/>
    <x v="1"/>
    <n v="1"/>
    <n v="1"/>
    <n v="5.8"/>
    <x v="21"/>
    <n v="7"/>
    <n v="5"/>
    <n v="700619"/>
    <n v="171615"/>
    <n v="529004"/>
    <n v="38"/>
    <n v="60"/>
    <n v="9.4"/>
  </r>
  <r>
    <x v="6"/>
    <x v="6"/>
    <d v="2021-07-06T00:00:00"/>
    <s v="NA"/>
    <n v="0"/>
    <n v="74"/>
    <s v="61-80"/>
    <x v="0"/>
    <x v="9"/>
    <x v="7"/>
    <x v="3"/>
    <n v="1"/>
    <n v="1"/>
    <n v="4.5999999999999996"/>
    <x v="14"/>
    <n v="3"/>
    <n v="5"/>
    <n v="788125"/>
    <n v="89417"/>
    <n v="698708"/>
    <n v="30"/>
    <n v="60"/>
    <n v="13.8"/>
  </r>
  <r>
    <x v="6"/>
    <x v="6"/>
    <d v="2021-07-18T00:00:00"/>
    <s v="NA"/>
    <n v="0"/>
    <n v="36"/>
    <s v="21-40"/>
    <x v="0"/>
    <x v="4"/>
    <x v="3"/>
    <x v="3"/>
    <n v="1"/>
    <n v="1"/>
    <n v="2.6"/>
    <x v="26"/>
    <n v="5"/>
    <n v="3"/>
    <n v="755019"/>
    <n v="166548"/>
    <n v="588471"/>
    <n v="51"/>
    <n v="66"/>
    <n v="36.700000000000003"/>
  </r>
  <r>
    <x v="6"/>
    <x v="6"/>
    <d v="2021-11-10T00:00:00"/>
    <s v="NA"/>
    <n v="0"/>
    <n v="35"/>
    <s v="21-40"/>
    <x v="1"/>
    <x v="8"/>
    <x v="6"/>
    <x v="2"/>
    <n v="1"/>
    <n v="1"/>
    <n v="4"/>
    <x v="3"/>
    <n v="5"/>
    <n v="5"/>
    <n v="713684"/>
    <n v="136764"/>
    <n v="576920"/>
    <n v="35"/>
    <n v="59"/>
    <n v="7.9"/>
  </r>
  <r>
    <x v="6"/>
    <x v="6"/>
    <d v="2021-11-17T00:00:00"/>
    <s v="NA"/>
    <n v="0"/>
    <n v="39"/>
    <s v="21-40"/>
    <x v="0"/>
    <x v="7"/>
    <x v="5"/>
    <x v="2"/>
    <n v="1"/>
    <n v="1"/>
    <n v="2.2000000000000002"/>
    <x v="14"/>
    <n v="7"/>
    <n v="6"/>
    <n v="750474"/>
    <n v="174412"/>
    <n v="576062"/>
    <n v="48"/>
    <n v="65"/>
    <n v="14.7"/>
  </r>
  <r>
    <x v="6"/>
    <x v="6"/>
    <d v="2021-04-10T00:00:00"/>
    <s v="NA"/>
    <n v="0"/>
    <n v="25"/>
    <s v="21-40"/>
    <x v="1"/>
    <x v="3"/>
    <x v="2"/>
    <x v="2"/>
    <n v="1"/>
    <n v="1"/>
    <n v="6.6"/>
    <x v="15"/>
    <n v="3"/>
    <n v="5"/>
    <n v="781013"/>
    <n v="153118"/>
    <n v="627895"/>
    <n v="50"/>
    <n v="66"/>
    <n v="13.1"/>
  </r>
  <r>
    <x v="6"/>
    <x v="6"/>
    <d v="2023-12-11T00:00:00"/>
    <s v="NA"/>
    <n v="0"/>
    <n v="35"/>
    <s v="21-40"/>
    <x v="0"/>
    <x v="9"/>
    <x v="7"/>
    <x v="1"/>
    <n v="1"/>
    <n v="1"/>
    <n v="6.3"/>
    <x v="1"/>
    <n v="3"/>
    <n v="3"/>
    <n v="725383"/>
    <n v="163385"/>
    <n v="561998"/>
    <n v="38"/>
    <n v="61"/>
    <n v="9.4"/>
  </r>
  <r>
    <x v="6"/>
    <x v="6"/>
    <d v="2022-07-14T00:00:00"/>
    <s v="NA"/>
    <n v="0"/>
    <n v="69"/>
    <s v="61-80"/>
    <x v="0"/>
    <x v="1"/>
    <x v="1"/>
    <x v="2"/>
    <n v="1"/>
    <n v="1"/>
    <n v="3.7"/>
    <x v="27"/>
    <n v="6"/>
    <n v="7"/>
    <n v="756899"/>
    <n v="83462"/>
    <n v="673437"/>
    <n v="56"/>
    <n v="54"/>
    <n v="5.6"/>
  </r>
  <r>
    <x v="6"/>
    <x v="6"/>
    <d v="2021-12-05T00:00:00"/>
    <s v="NA"/>
    <n v="0"/>
    <n v="55"/>
    <s v="41-60"/>
    <x v="0"/>
    <x v="12"/>
    <x v="9"/>
    <x v="3"/>
    <n v="1"/>
    <n v="1"/>
    <n v="4.3"/>
    <x v="26"/>
    <n v="5"/>
    <n v="3"/>
    <n v="799326"/>
    <n v="275046"/>
    <n v="524280"/>
    <n v="53"/>
    <n v="60"/>
    <n v="10.7"/>
  </r>
  <r>
    <x v="6"/>
    <x v="6"/>
    <d v="2022-05-06T00:00:00"/>
    <s v="NA"/>
    <n v="0"/>
    <n v="25"/>
    <s v="21-40"/>
    <x v="0"/>
    <x v="1"/>
    <x v="1"/>
    <x v="1"/>
    <n v="1"/>
    <n v="1"/>
    <n v="2.6"/>
    <x v="29"/>
    <n v="7"/>
    <n v="5"/>
    <n v="753497"/>
    <n v="240505"/>
    <n v="512992"/>
    <n v="40"/>
    <n v="61"/>
    <n v="36.700000000000003"/>
  </r>
  <r>
    <x v="6"/>
    <x v="6"/>
    <d v="2023-06-04T00:00:00"/>
    <s v="NA"/>
    <n v="0"/>
    <n v="81"/>
    <s v="81+"/>
    <x v="1"/>
    <x v="6"/>
    <x v="4"/>
    <x v="0"/>
    <n v="1"/>
    <n v="1"/>
    <n v="3"/>
    <x v="26"/>
    <n v="4"/>
    <n v="6"/>
    <n v="774854"/>
    <n v="193645"/>
    <n v="581209"/>
    <n v="48"/>
    <n v="57"/>
    <n v="5.4"/>
  </r>
  <r>
    <x v="6"/>
    <x v="6"/>
    <d v="2024-09-01T00:00:00"/>
    <s v="NA"/>
    <n v="0"/>
    <n v="60"/>
    <s v="41-60"/>
    <x v="0"/>
    <x v="13"/>
    <x v="10"/>
    <x v="0"/>
    <n v="1"/>
    <n v="1"/>
    <n v="5.6"/>
    <x v="3"/>
    <n v="3"/>
    <n v="7"/>
    <n v="719986"/>
    <n v="39827"/>
    <n v="680159"/>
    <n v="35"/>
    <n v="56"/>
    <n v="9.6999999999999993"/>
  </r>
  <r>
    <x v="6"/>
    <x v="6"/>
    <d v="2022-09-20T00:00:00"/>
    <s v="NA"/>
    <n v="0"/>
    <n v="88"/>
    <s v="81+"/>
    <x v="0"/>
    <x v="7"/>
    <x v="5"/>
    <x v="3"/>
    <n v="1"/>
    <n v="1"/>
    <n v="1.7"/>
    <x v="15"/>
    <n v="5"/>
    <n v="3"/>
    <n v="742530"/>
    <n v="198594"/>
    <n v="543936"/>
    <n v="38"/>
    <n v="55"/>
    <n v="9.3000000000000007"/>
  </r>
  <r>
    <x v="6"/>
    <x v="6"/>
    <d v="2024-11-02T00:00:00"/>
    <s v="NA"/>
    <n v="0"/>
    <n v="36"/>
    <s v="21-40"/>
    <x v="1"/>
    <x v="3"/>
    <x v="2"/>
    <x v="4"/>
    <n v="1"/>
    <n v="1"/>
    <n v="6.1"/>
    <x v="20"/>
    <n v="3"/>
    <n v="5"/>
    <n v="769004"/>
    <n v="80257"/>
    <n v="688747"/>
    <n v="38"/>
    <n v="60"/>
    <n v="14.5"/>
  </r>
  <r>
    <x v="6"/>
    <x v="6"/>
    <d v="2021-09-26T00:00:00"/>
    <s v="NA"/>
    <n v="0"/>
    <n v="22"/>
    <s v="21-40"/>
    <x v="0"/>
    <x v="4"/>
    <x v="3"/>
    <x v="2"/>
    <n v="1"/>
    <n v="1"/>
    <n v="4.4000000000000004"/>
    <x v="16"/>
    <n v="5"/>
    <n v="3"/>
    <n v="724817"/>
    <n v="167936"/>
    <n v="556881"/>
    <n v="47"/>
    <n v="57"/>
    <n v="8.8000000000000007"/>
  </r>
  <r>
    <x v="6"/>
    <x v="6"/>
    <d v="2023-12-28T00:00:00"/>
    <s v="NA"/>
    <n v="0"/>
    <n v="37"/>
    <s v="21-40"/>
    <x v="1"/>
    <x v="3"/>
    <x v="2"/>
    <x v="4"/>
    <n v="1"/>
    <n v="1"/>
    <n v="2.2000000000000002"/>
    <x v="30"/>
    <n v="3"/>
    <n v="7"/>
    <n v="781748"/>
    <n v="207229"/>
    <n v="574519"/>
    <n v="59"/>
    <n v="64"/>
    <n v="10.4"/>
  </r>
  <r>
    <x v="6"/>
    <x v="6"/>
    <d v="2023-02-17T00:00:00"/>
    <s v="NA"/>
    <n v="0"/>
    <n v="51"/>
    <s v="41-60"/>
    <x v="1"/>
    <x v="10"/>
    <x v="8"/>
    <x v="4"/>
    <n v="1"/>
    <n v="1"/>
    <n v="3.2"/>
    <x v="8"/>
    <n v="7"/>
    <n v="5"/>
    <n v="765505"/>
    <n v="95959"/>
    <n v="669546"/>
    <n v="58"/>
    <n v="65"/>
    <n v="5.2"/>
  </r>
  <r>
    <x v="6"/>
    <x v="6"/>
    <d v="2024-02-17T00:00:00"/>
    <s v="NA"/>
    <n v="0"/>
    <n v="86"/>
    <s v="81+"/>
    <x v="0"/>
    <x v="0"/>
    <x v="0"/>
    <x v="2"/>
    <n v="1"/>
    <n v="1"/>
    <n v="7"/>
    <x v="20"/>
    <n v="7"/>
    <n v="4"/>
    <n v="748281"/>
    <n v="88790"/>
    <n v="659491"/>
    <n v="33"/>
    <n v="54"/>
    <n v="36.9"/>
  </r>
  <r>
    <x v="6"/>
    <x v="6"/>
    <d v="2022-10-01T00:00:00"/>
    <s v="NA"/>
    <n v="0"/>
    <n v="26"/>
    <s v="21-40"/>
    <x v="1"/>
    <x v="2"/>
    <x v="1"/>
    <x v="1"/>
    <n v="1"/>
    <n v="1"/>
    <n v="1.7"/>
    <x v="21"/>
    <n v="4"/>
    <n v="5"/>
    <n v="707901"/>
    <n v="137049"/>
    <n v="570852"/>
    <n v="58"/>
    <n v="61"/>
    <n v="9.8000000000000007"/>
  </r>
  <r>
    <x v="6"/>
    <x v="6"/>
    <d v="2021-11-15T00:00:00"/>
    <s v="NA"/>
    <n v="0"/>
    <n v="44"/>
    <s v="41-60"/>
    <x v="1"/>
    <x v="8"/>
    <x v="6"/>
    <x v="4"/>
    <n v="1"/>
    <n v="1"/>
    <n v="6.9"/>
    <x v="21"/>
    <n v="5"/>
    <n v="6"/>
    <n v="744223"/>
    <n v="120856"/>
    <n v="623367"/>
    <n v="54"/>
    <n v="56"/>
    <n v="36.299999999999997"/>
  </r>
  <r>
    <x v="6"/>
    <x v="6"/>
    <d v="2024-04-24T00:00:00"/>
    <s v="NA"/>
    <n v="0"/>
    <n v="63"/>
    <s v="61-80"/>
    <x v="1"/>
    <x v="9"/>
    <x v="7"/>
    <x v="3"/>
    <n v="1"/>
    <n v="1"/>
    <n v="1.4"/>
    <x v="3"/>
    <n v="3"/>
    <n v="5"/>
    <n v="743038"/>
    <n v="60059"/>
    <n v="682979"/>
    <n v="60"/>
    <n v="55"/>
    <n v="14.4"/>
  </r>
  <r>
    <x v="6"/>
    <x v="6"/>
    <d v="2022-07-27T00:00:00"/>
    <s v="NA"/>
    <n v="0"/>
    <n v="56"/>
    <s v="41-60"/>
    <x v="0"/>
    <x v="0"/>
    <x v="0"/>
    <x v="0"/>
    <n v="1"/>
    <n v="1"/>
    <n v="6.5"/>
    <x v="6"/>
    <n v="4"/>
    <n v="4"/>
    <n v="779083"/>
    <n v="273043"/>
    <n v="506040"/>
    <n v="58"/>
    <n v="59"/>
    <n v="13.5"/>
  </r>
  <r>
    <x v="6"/>
    <x v="6"/>
    <d v="2021-01-29T00:00:00"/>
    <s v="NA"/>
    <n v="0"/>
    <n v="66"/>
    <s v="61-80"/>
    <x v="0"/>
    <x v="2"/>
    <x v="1"/>
    <x v="0"/>
    <n v="1"/>
    <n v="1"/>
    <n v="5.0999999999999996"/>
    <x v="17"/>
    <n v="5"/>
    <n v="4"/>
    <n v="703650"/>
    <n v="91430"/>
    <n v="612220"/>
    <n v="56"/>
    <n v="66"/>
    <n v="8.9"/>
  </r>
  <r>
    <x v="6"/>
    <x v="6"/>
    <d v="2023-06-27T00:00:00"/>
    <s v="NA"/>
    <n v="0"/>
    <n v="46"/>
    <s v="41-60"/>
    <x v="1"/>
    <x v="2"/>
    <x v="1"/>
    <x v="3"/>
    <n v="1"/>
    <n v="1"/>
    <n v="2.8"/>
    <x v="16"/>
    <n v="6"/>
    <n v="3"/>
    <n v="736297"/>
    <n v="101210"/>
    <n v="635087"/>
    <n v="53"/>
    <n v="63"/>
    <n v="7.2"/>
  </r>
  <r>
    <x v="6"/>
    <x v="6"/>
    <d v="2022-05-18T00:00:00"/>
    <s v="NA"/>
    <n v="0"/>
    <n v="31"/>
    <s v="21-40"/>
    <x v="0"/>
    <x v="9"/>
    <x v="7"/>
    <x v="4"/>
    <n v="1"/>
    <n v="1"/>
    <n v="6.2"/>
    <x v="14"/>
    <n v="6"/>
    <n v="7"/>
    <n v="717909"/>
    <n v="91344"/>
    <n v="626565"/>
    <n v="36"/>
    <n v="65"/>
    <n v="10.5"/>
  </r>
  <r>
    <x v="6"/>
    <x v="6"/>
    <d v="2023-09-08T00:00:00"/>
    <s v="NA"/>
    <n v="0"/>
    <n v="73"/>
    <s v="61-80"/>
    <x v="0"/>
    <x v="2"/>
    <x v="1"/>
    <x v="2"/>
    <n v="1"/>
    <n v="1"/>
    <n v="1.7"/>
    <x v="15"/>
    <n v="6"/>
    <n v="3"/>
    <n v="757170"/>
    <n v="224357"/>
    <n v="532813"/>
    <n v="34"/>
    <n v="65"/>
    <n v="7.9"/>
  </r>
  <r>
    <x v="6"/>
    <x v="6"/>
    <d v="2022-01-05T00:00:00"/>
    <s v="NA"/>
    <n v="0"/>
    <n v="51"/>
    <s v="41-60"/>
    <x v="1"/>
    <x v="12"/>
    <x v="9"/>
    <x v="1"/>
    <n v="1"/>
    <n v="1"/>
    <n v="4.3"/>
    <x v="30"/>
    <n v="4"/>
    <n v="4"/>
    <n v="703608"/>
    <n v="171415"/>
    <n v="532193"/>
    <n v="55"/>
    <n v="65"/>
    <n v="9.8000000000000007"/>
  </r>
  <r>
    <x v="6"/>
    <x v="6"/>
    <d v="2023-03-24T00:00:00"/>
    <s v="NA"/>
    <n v="0"/>
    <n v="72"/>
    <s v="61-80"/>
    <x v="0"/>
    <x v="13"/>
    <x v="10"/>
    <x v="2"/>
    <n v="1"/>
    <n v="1"/>
    <n v="2.1"/>
    <x v="25"/>
    <n v="4"/>
    <n v="6"/>
    <n v="752664"/>
    <n v="109928"/>
    <n v="642736"/>
    <n v="55"/>
    <n v="59"/>
    <n v="36.799999999999997"/>
  </r>
  <r>
    <x v="6"/>
    <x v="6"/>
    <d v="2021-05-14T00:00:00"/>
    <s v="NA"/>
    <n v="0"/>
    <n v="25"/>
    <s v="21-40"/>
    <x v="1"/>
    <x v="4"/>
    <x v="3"/>
    <x v="0"/>
    <n v="1"/>
    <n v="1"/>
    <n v="3.4"/>
    <x v="28"/>
    <n v="4"/>
    <n v="7"/>
    <n v="726748"/>
    <n v="169246"/>
    <n v="557502"/>
    <n v="46"/>
    <n v="56"/>
    <n v="9.1999999999999993"/>
  </r>
  <r>
    <x v="6"/>
    <x v="6"/>
    <d v="2021-03-13T00:00:00"/>
    <s v="NA"/>
    <n v="0"/>
    <n v="86"/>
    <s v="81+"/>
    <x v="1"/>
    <x v="3"/>
    <x v="2"/>
    <x v="1"/>
    <n v="1"/>
    <n v="1"/>
    <n v="4.7"/>
    <x v="21"/>
    <n v="3"/>
    <n v="6"/>
    <n v="758788"/>
    <n v="151989"/>
    <n v="606799"/>
    <n v="38"/>
    <n v="64"/>
    <n v="10.3"/>
  </r>
  <r>
    <x v="6"/>
    <x v="6"/>
    <d v="2022-05-07T00:00:00"/>
    <s v="NA"/>
    <n v="0"/>
    <n v="24"/>
    <s v="21-40"/>
    <x v="0"/>
    <x v="9"/>
    <x v="7"/>
    <x v="1"/>
    <n v="1"/>
    <n v="1"/>
    <n v="4.5999999999999996"/>
    <x v="26"/>
    <n v="4"/>
    <n v="5"/>
    <n v="742224"/>
    <n v="114683"/>
    <n v="627541"/>
    <n v="47"/>
    <n v="55"/>
    <n v="12"/>
  </r>
  <r>
    <x v="6"/>
    <x v="6"/>
    <d v="2022-01-02T00:00:00"/>
    <s v="NA"/>
    <n v="0"/>
    <n v="40"/>
    <s v="21-40"/>
    <x v="1"/>
    <x v="3"/>
    <x v="2"/>
    <x v="4"/>
    <n v="1"/>
    <n v="1"/>
    <n v="2.7"/>
    <x v="26"/>
    <n v="4"/>
    <n v="7"/>
    <n v="752882"/>
    <n v="156156"/>
    <n v="596726"/>
    <n v="42"/>
    <n v="59"/>
    <n v="5.9"/>
  </r>
  <r>
    <x v="6"/>
    <x v="6"/>
    <d v="2022-07-31T00:00:00"/>
    <s v="NA"/>
    <n v="0"/>
    <n v="34"/>
    <s v="21-40"/>
    <x v="1"/>
    <x v="12"/>
    <x v="9"/>
    <x v="4"/>
    <n v="1"/>
    <n v="1"/>
    <n v="1.8"/>
    <x v="5"/>
    <n v="3"/>
    <n v="7"/>
    <n v="735753"/>
    <n v="205392"/>
    <n v="530361"/>
    <n v="56"/>
    <n v="62"/>
    <n v="9.5"/>
  </r>
  <r>
    <x v="6"/>
    <x v="6"/>
    <d v="2024-03-20T00:00:00"/>
    <s v="NA"/>
    <n v="0"/>
    <n v="35"/>
    <s v="21-40"/>
    <x v="0"/>
    <x v="0"/>
    <x v="0"/>
    <x v="1"/>
    <n v="1"/>
    <n v="1"/>
    <n v="4.3"/>
    <x v="6"/>
    <n v="4"/>
    <n v="5"/>
    <n v="707271"/>
    <n v="175989"/>
    <n v="531282"/>
    <n v="41"/>
    <n v="63"/>
    <n v="9.9"/>
  </r>
  <r>
    <x v="6"/>
    <x v="6"/>
    <d v="2022-03-28T00:00:00"/>
    <s v="NA"/>
    <n v="0"/>
    <n v="37"/>
    <s v="21-40"/>
    <x v="1"/>
    <x v="10"/>
    <x v="8"/>
    <x v="1"/>
    <n v="1"/>
    <n v="1"/>
    <n v="4.7"/>
    <x v="11"/>
    <n v="3"/>
    <n v="7"/>
    <n v="757969"/>
    <n v="165680"/>
    <n v="592289"/>
    <n v="44"/>
    <n v="61"/>
    <n v="9.4"/>
  </r>
  <r>
    <x v="6"/>
    <x v="6"/>
    <d v="2021-04-01T00:00:00"/>
    <s v="NA"/>
    <n v="0"/>
    <n v="26"/>
    <s v="21-40"/>
    <x v="0"/>
    <x v="6"/>
    <x v="4"/>
    <x v="0"/>
    <n v="1"/>
    <n v="1"/>
    <n v="3"/>
    <x v="25"/>
    <n v="5"/>
    <n v="3"/>
    <n v="722448"/>
    <n v="151857"/>
    <n v="570591"/>
    <n v="37"/>
    <n v="62"/>
    <n v="5.7"/>
  </r>
  <r>
    <x v="6"/>
    <x v="6"/>
    <d v="2021-06-23T00:00:00"/>
    <s v="NA"/>
    <n v="0"/>
    <n v="87"/>
    <s v="81+"/>
    <x v="1"/>
    <x v="10"/>
    <x v="8"/>
    <x v="2"/>
    <n v="1"/>
    <n v="1"/>
    <n v="1.7"/>
    <x v="1"/>
    <n v="4"/>
    <n v="4"/>
    <n v="720790"/>
    <n v="176190"/>
    <n v="544600"/>
    <n v="49"/>
    <n v="60"/>
    <n v="14.6"/>
  </r>
  <r>
    <x v="6"/>
    <x v="6"/>
    <d v="2023-02-20T00:00:00"/>
    <s v="NA"/>
    <n v="0"/>
    <n v="59"/>
    <s v="41-60"/>
    <x v="0"/>
    <x v="2"/>
    <x v="1"/>
    <x v="0"/>
    <n v="1"/>
    <n v="1"/>
    <n v="3.2"/>
    <x v="17"/>
    <n v="5"/>
    <n v="7"/>
    <n v="733848"/>
    <n v="122963"/>
    <n v="610885"/>
    <n v="32"/>
    <n v="62"/>
    <n v="8.6999999999999993"/>
  </r>
  <r>
    <x v="6"/>
    <x v="6"/>
    <d v="2024-12-16T00:00:00"/>
    <s v="NA"/>
    <n v="0"/>
    <n v="47"/>
    <s v="41-60"/>
    <x v="0"/>
    <x v="7"/>
    <x v="5"/>
    <x v="4"/>
    <n v="1"/>
    <n v="1"/>
    <n v="6.7"/>
    <x v="1"/>
    <n v="6"/>
    <n v="4"/>
    <n v="771314"/>
    <n v="94888"/>
    <n v="676426"/>
    <n v="38"/>
    <n v="55"/>
    <n v="9.4"/>
  </r>
  <r>
    <x v="6"/>
    <x v="6"/>
    <d v="2021-04-27T00:00:00"/>
    <s v="NA"/>
    <n v="0"/>
    <n v="39"/>
    <s v="21-40"/>
    <x v="0"/>
    <x v="12"/>
    <x v="9"/>
    <x v="4"/>
    <n v="1"/>
    <n v="1"/>
    <n v="4.5"/>
    <x v="18"/>
    <n v="5"/>
    <n v="7"/>
    <n v="719384"/>
    <n v="29997"/>
    <n v="689387"/>
    <n v="50"/>
    <n v="62"/>
    <n v="7.8"/>
  </r>
  <r>
    <x v="6"/>
    <x v="6"/>
    <d v="2023-04-10T00:00:00"/>
    <s v="NA"/>
    <n v="0"/>
    <n v="83"/>
    <s v="81+"/>
    <x v="0"/>
    <x v="6"/>
    <x v="4"/>
    <x v="0"/>
    <n v="1"/>
    <n v="1"/>
    <n v="2.2000000000000002"/>
    <x v="19"/>
    <n v="3"/>
    <n v="7"/>
    <n v="794854"/>
    <n v="152711"/>
    <n v="642143"/>
    <n v="48"/>
    <n v="65"/>
    <n v="7.8"/>
  </r>
  <r>
    <x v="6"/>
    <x v="6"/>
    <d v="2022-12-20T00:00:00"/>
    <s v="NA"/>
    <n v="0"/>
    <n v="39"/>
    <s v="21-40"/>
    <x v="0"/>
    <x v="2"/>
    <x v="1"/>
    <x v="3"/>
    <n v="1"/>
    <n v="1"/>
    <n v="5.6"/>
    <x v="18"/>
    <n v="4"/>
    <n v="3"/>
    <n v="704790"/>
    <n v="176907"/>
    <n v="527883"/>
    <n v="60"/>
    <n v="64"/>
    <n v="9.6"/>
  </r>
  <r>
    <x v="6"/>
    <x v="6"/>
    <d v="2023-10-18T00:00:00"/>
    <s v="NA"/>
    <n v="0"/>
    <n v="83"/>
    <s v="81+"/>
    <x v="1"/>
    <x v="3"/>
    <x v="2"/>
    <x v="2"/>
    <n v="1"/>
    <n v="1"/>
    <n v="2"/>
    <x v="9"/>
    <n v="7"/>
    <n v="4"/>
    <n v="726862"/>
    <n v="57964"/>
    <n v="668898"/>
    <n v="58"/>
    <n v="62"/>
    <n v="6.2"/>
  </r>
  <r>
    <x v="6"/>
    <x v="6"/>
    <d v="2023-12-06T00:00:00"/>
    <s v="NA"/>
    <n v="0"/>
    <n v="65"/>
    <s v="61-80"/>
    <x v="1"/>
    <x v="3"/>
    <x v="2"/>
    <x v="2"/>
    <n v="1"/>
    <n v="1"/>
    <n v="1.7"/>
    <x v="29"/>
    <n v="3"/>
    <n v="7"/>
    <n v="773059"/>
    <n v="209584"/>
    <n v="563475"/>
    <n v="49"/>
    <n v="55"/>
    <n v="7.1"/>
  </r>
  <r>
    <x v="6"/>
    <x v="6"/>
    <d v="2022-03-26T00:00:00"/>
    <s v="NA"/>
    <n v="0"/>
    <n v="64"/>
    <s v="61-80"/>
    <x v="0"/>
    <x v="7"/>
    <x v="5"/>
    <x v="2"/>
    <n v="1"/>
    <n v="1"/>
    <n v="4.2"/>
    <x v="18"/>
    <n v="3"/>
    <n v="5"/>
    <n v="721676"/>
    <n v="134922"/>
    <n v="586754"/>
    <n v="47"/>
    <n v="54"/>
    <n v="8.5"/>
  </r>
  <r>
    <x v="6"/>
    <x v="6"/>
    <d v="2024-12-11T00:00:00"/>
    <s v="NA"/>
    <n v="0"/>
    <n v="37"/>
    <s v="21-40"/>
    <x v="1"/>
    <x v="4"/>
    <x v="3"/>
    <x v="0"/>
    <n v="1"/>
    <n v="1"/>
    <n v="5.2"/>
    <x v="16"/>
    <n v="4"/>
    <n v="7"/>
    <n v="758042"/>
    <n v="157435"/>
    <n v="600607"/>
    <n v="31"/>
    <n v="60"/>
    <n v="14.9"/>
  </r>
  <r>
    <x v="6"/>
    <x v="6"/>
    <d v="2023-01-23T00:00:00"/>
    <s v="NA"/>
    <n v="0"/>
    <n v="29"/>
    <s v="21-40"/>
    <x v="1"/>
    <x v="4"/>
    <x v="3"/>
    <x v="2"/>
    <n v="1"/>
    <n v="1"/>
    <n v="3.3"/>
    <x v="4"/>
    <n v="5"/>
    <n v="4"/>
    <n v="709574"/>
    <n v="13181"/>
    <n v="696393"/>
    <n v="50"/>
    <n v="54"/>
    <n v="36.799999999999997"/>
  </r>
  <r>
    <x v="6"/>
    <x v="6"/>
    <d v="2021-12-12T00:00:00"/>
    <s v="NA"/>
    <n v="0"/>
    <n v="43"/>
    <s v="41-60"/>
    <x v="1"/>
    <x v="8"/>
    <x v="6"/>
    <x v="3"/>
    <n v="1"/>
    <n v="1"/>
    <n v="3.6"/>
    <x v="8"/>
    <n v="3"/>
    <n v="3"/>
    <n v="729348"/>
    <n v="49891"/>
    <n v="679457"/>
    <n v="31"/>
    <n v="57"/>
    <n v="10"/>
  </r>
  <r>
    <x v="6"/>
    <x v="6"/>
    <d v="2024-01-29T00:00:00"/>
    <s v="NA"/>
    <n v="0"/>
    <n v="43"/>
    <s v="41-60"/>
    <x v="0"/>
    <x v="1"/>
    <x v="1"/>
    <x v="1"/>
    <n v="1"/>
    <n v="1"/>
    <n v="1.7"/>
    <x v="0"/>
    <n v="3"/>
    <n v="4"/>
    <n v="715220"/>
    <n v="182884"/>
    <n v="532336"/>
    <n v="53"/>
    <n v="64"/>
    <n v="5"/>
  </r>
  <r>
    <x v="6"/>
    <x v="6"/>
    <d v="2024-01-14T00:00:00"/>
    <s v="NA"/>
    <n v="0"/>
    <n v="76"/>
    <s v="61-80"/>
    <x v="1"/>
    <x v="13"/>
    <x v="10"/>
    <x v="2"/>
    <n v="1"/>
    <n v="1"/>
    <n v="4"/>
    <x v="17"/>
    <n v="3"/>
    <n v="6"/>
    <n v="741303"/>
    <n v="224328"/>
    <n v="516975"/>
    <n v="45"/>
    <n v="58"/>
    <n v="12"/>
  </r>
  <r>
    <x v="6"/>
    <x v="6"/>
    <d v="2021-07-13T00:00:00"/>
    <s v="NA"/>
    <n v="0"/>
    <n v="58"/>
    <s v="41-60"/>
    <x v="1"/>
    <x v="10"/>
    <x v="8"/>
    <x v="1"/>
    <n v="1"/>
    <n v="1"/>
    <n v="1.7"/>
    <x v="28"/>
    <n v="4"/>
    <n v="5"/>
    <n v="716130"/>
    <n v="133987"/>
    <n v="582143"/>
    <n v="43"/>
    <n v="65"/>
    <n v="36.799999999999997"/>
  </r>
  <r>
    <x v="6"/>
    <x v="6"/>
    <d v="2024-02-22T00:00:00"/>
    <s v="NA"/>
    <n v="0"/>
    <n v="87"/>
    <s v="81+"/>
    <x v="0"/>
    <x v="10"/>
    <x v="8"/>
    <x v="3"/>
    <n v="1"/>
    <n v="1"/>
    <n v="1.5"/>
    <x v="21"/>
    <n v="4"/>
    <n v="7"/>
    <n v="766166"/>
    <n v="252929"/>
    <n v="513237"/>
    <n v="49"/>
    <n v="61"/>
    <n v="8.1999999999999993"/>
  </r>
  <r>
    <x v="6"/>
    <x v="6"/>
    <d v="2023-06-03T00:00:00"/>
    <s v="NA"/>
    <n v="0"/>
    <n v="32"/>
    <s v="21-40"/>
    <x v="1"/>
    <x v="6"/>
    <x v="4"/>
    <x v="4"/>
    <n v="1"/>
    <n v="1"/>
    <n v="4.5999999999999996"/>
    <x v="9"/>
    <n v="7"/>
    <n v="5"/>
    <n v="758806"/>
    <n v="181781"/>
    <n v="577025"/>
    <n v="37"/>
    <n v="63"/>
    <n v="9.1"/>
  </r>
  <r>
    <x v="6"/>
    <x v="6"/>
    <d v="2021-12-08T00:00:00"/>
    <s v="NA"/>
    <n v="0"/>
    <n v="66"/>
    <s v="61-80"/>
    <x v="0"/>
    <x v="12"/>
    <x v="9"/>
    <x v="0"/>
    <n v="1"/>
    <n v="1"/>
    <n v="1.4"/>
    <x v="21"/>
    <n v="7"/>
    <n v="7"/>
    <n v="785621"/>
    <n v="179156"/>
    <n v="606465"/>
    <n v="54"/>
    <n v="59"/>
    <n v="9.8000000000000007"/>
  </r>
  <r>
    <x v="6"/>
    <x v="6"/>
    <d v="2023-11-18T00:00:00"/>
    <s v="NA"/>
    <n v="0"/>
    <n v="33"/>
    <s v="21-40"/>
    <x v="0"/>
    <x v="9"/>
    <x v="7"/>
    <x v="1"/>
    <n v="1"/>
    <n v="1"/>
    <n v="3.3"/>
    <x v="15"/>
    <n v="7"/>
    <n v="4"/>
    <n v="766791"/>
    <n v="97559"/>
    <n v="669232"/>
    <n v="60"/>
    <n v="59"/>
    <n v="7.2"/>
  </r>
  <r>
    <x v="6"/>
    <x v="6"/>
    <d v="2023-10-05T00:00:00"/>
    <s v="NA"/>
    <n v="0"/>
    <n v="56"/>
    <s v="41-60"/>
    <x v="0"/>
    <x v="12"/>
    <x v="9"/>
    <x v="4"/>
    <n v="1"/>
    <n v="1"/>
    <n v="5.5"/>
    <x v="13"/>
    <n v="5"/>
    <n v="5"/>
    <n v="774717"/>
    <n v="127932"/>
    <n v="646785"/>
    <n v="32"/>
    <n v="64"/>
    <n v="7"/>
  </r>
  <r>
    <x v="6"/>
    <x v="6"/>
    <d v="2022-01-27T00:00:00"/>
    <s v="NA"/>
    <n v="0"/>
    <n v="84"/>
    <s v="81+"/>
    <x v="1"/>
    <x v="1"/>
    <x v="1"/>
    <x v="0"/>
    <n v="1"/>
    <n v="1"/>
    <n v="3.1"/>
    <x v="26"/>
    <n v="5"/>
    <n v="4"/>
    <n v="735959"/>
    <n v="228246"/>
    <n v="507713"/>
    <n v="53"/>
    <n v="58"/>
    <n v="36.799999999999997"/>
  </r>
  <r>
    <x v="6"/>
    <x v="6"/>
    <d v="2022-10-23T00:00:00"/>
    <s v="NA"/>
    <n v="0"/>
    <n v="34"/>
    <s v="21-40"/>
    <x v="0"/>
    <x v="0"/>
    <x v="0"/>
    <x v="0"/>
    <n v="1"/>
    <n v="1"/>
    <n v="5.0999999999999996"/>
    <x v="8"/>
    <n v="6"/>
    <n v="4"/>
    <n v="797135"/>
    <n v="194727"/>
    <n v="602408"/>
    <n v="39"/>
    <n v="61"/>
    <n v="13.5"/>
  </r>
  <r>
    <x v="6"/>
    <x v="6"/>
    <d v="2024-04-23T00:00:00"/>
    <s v="NA"/>
    <n v="0"/>
    <n v="50"/>
    <s v="41-60"/>
    <x v="0"/>
    <x v="7"/>
    <x v="5"/>
    <x v="3"/>
    <n v="1"/>
    <n v="1"/>
    <n v="1.7"/>
    <x v="30"/>
    <n v="7"/>
    <n v="4"/>
    <n v="795656"/>
    <n v="287362"/>
    <n v="508294"/>
    <n v="43"/>
    <n v="56"/>
    <n v="14"/>
  </r>
  <r>
    <x v="6"/>
    <x v="6"/>
    <d v="2022-06-17T00:00:00"/>
    <s v="NA"/>
    <n v="0"/>
    <n v="52"/>
    <s v="41-60"/>
    <x v="1"/>
    <x v="12"/>
    <x v="9"/>
    <x v="2"/>
    <n v="1"/>
    <n v="1"/>
    <n v="1.6"/>
    <x v="26"/>
    <n v="3"/>
    <n v="7"/>
    <n v="753140"/>
    <n v="214440"/>
    <n v="538700"/>
    <n v="36"/>
    <n v="58"/>
    <n v="8.6999999999999993"/>
  </r>
  <r>
    <x v="6"/>
    <x v="6"/>
    <d v="2021-10-26T00:00:00"/>
    <s v="NA"/>
    <n v="0"/>
    <n v="76"/>
    <s v="61-80"/>
    <x v="0"/>
    <x v="7"/>
    <x v="5"/>
    <x v="4"/>
    <n v="1"/>
    <n v="1"/>
    <n v="6.5"/>
    <x v="16"/>
    <n v="6"/>
    <n v="6"/>
    <n v="723781"/>
    <n v="31622"/>
    <n v="692159"/>
    <n v="39"/>
    <n v="64"/>
    <n v="13.6"/>
  </r>
  <r>
    <x v="6"/>
    <x v="6"/>
    <d v="2024-07-31T00:00:00"/>
    <s v="NA"/>
    <n v="0"/>
    <n v="70"/>
    <s v="61-80"/>
    <x v="1"/>
    <x v="3"/>
    <x v="2"/>
    <x v="1"/>
    <n v="1"/>
    <n v="1"/>
    <n v="6.3"/>
    <x v="10"/>
    <n v="6"/>
    <n v="7"/>
    <n v="773049"/>
    <n v="86112"/>
    <n v="686937"/>
    <n v="56"/>
    <n v="63"/>
    <n v="9"/>
  </r>
  <r>
    <x v="6"/>
    <x v="6"/>
    <d v="2022-02-26T00:00:00"/>
    <s v="NA"/>
    <n v="0"/>
    <n v="48"/>
    <s v="41-60"/>
    <x v="1"/>
    <x v="11"/>
    <x v="8"/>
    <x v="3"/>
    <n v="1"/>
    <n v="1"/>
    <n v="6.9"/>
    <x v="25"/>
    <n v="7"/>
    <n v="5"/>
    <n v="798279"/>
    <n v="217688"/>
    <n v="580591"/>
    <n v="43"/>
    <n v="65"/>
    <n v="13.1"/>
  </r>
  <r>
    <x v="6"/>
    <x v="6"/>
    <d v="2021-05-12T00:00:00"/>
    <s v="NA"/>
    <n v="0"/>
    <n v="88"/>
    <s v="81+"/>
    <x v="0"/>
    <x v="5"/>
    <x v="0"/>
    <x v="2"/>
    <n v="1"/>
    <n v="1"/>
    <n v="3.1"/>
    <x v="10"/>
    <n v="5"/>
    <n v="4"/>
    <n v="797985"/>
    <n v="153549"/>
    <n v="644436"/>
    <n v="39"/>
    <n v="62"/>
    <n v="36.5"/>
  </r>
  <r>
    <x v="6"/>
    <x v="6"/>
    <d v="2023-09-14T00:00:00"/>
    <s v="NA"/>
    <n v="0"/>
    <n v="25"/>
    <s v="21-40"/>
    <x v="1"/>
    <x v="9"/>
    <x v="7"/>
    <x v="3"/>
    <n v="1"/>
    <n v="1"/>
    <n v="5.6"/>
    <x v="2"/>
    <n v="5"/>
    <n v="7"/>
    <n v="701451"/>
    <n v="58588"/>
    <n v="642863"/>
    <n v="33"/>
    <n v="63"/>
    <n v="5.4"/>
  </r>
  <r>
    <x v="6"/>
    <x v="6"/>
    <d v="2022-11-25T00:00:00"/>
    <s v="NA"/>
    <n v="0"/>
    <n v="87"/>
    <s v="81+"/>
    <x v="0"/>
    <x v="1"/>
    <x v="1"/>
    <x v="2"/>
    <n v="1"/>
    <n v="1"/>
    <n v="2.7"/>
    <x v="20"/>
    <n v="7"/>
    <n v="4"/>
    <n v="741621"/>
    <n v="127975"/>
    <n v="613646"/>
    <n v="37"/>
    <n v="56"/>
    <n v="12.8"/>
  </r>
  <r>
    <x v="6"/>
    <x v="6"/>
    <d v="2024-03-15T00:00:00"/>
    <s v="NA"/>
    <n v="0"/>
    <n v="28"/>
    <s v="21-40"/>
    <x v="0"/>
    <x v="9"/>
    <x v="7"/>
    <x v="0"/>
    <n v="1"/>
    <n v="1"/>
    <n v="2.7"/>
    <x v="15"/>
    <n v="4"/>
    <n v="5"/>
    <n v="799338"/>
    <n v="231770"/>
    <n v="567568"/>
    <n v="47"/>
    <n v="62"/>
    <n v="12.8"/>
  </r>
  <r>
    <x v="6"/>
    <x v="6"/>
    <d v="2023-07-14T00:00:00"/>
    <s v="NA"/>
    <n v="0"/>
    <n v="54"/>
    <s v="41-60"/>
    <x v="1"/>
    <x v="9"/>
    <x v="7"/>
    <x v="4"/>
    <n v="1"/>
    <n v="1"/>
    <n v="5.3"/>
    <x v="1"/>
    <n v="4"/>
    <n v="4"/>
    <n v="707902"/>
    <n v="168497"/>
    <n v="539405"/>
    <n v="56"/>
    <n v="59"/>
    <n v="6.3"/>
  </r>
  <r>
    <x v="6"/>
    <x v="6"/>
    <d v="2022-03-22T00:00:00"/>
    <s v="NA"/>
    <n v="0"/>
    <n v="50"/>
    <s v="41-60"/>
    <x v="1"/>
    <x v="6"/>
    <x v="4"/>
    <x v="1"/>
    <n v="1"/>
    <n v="1"/>
    <n v="5.7"/>
    <x v="8"/>
    <n v="4"/>
    <n v="6"/>
    <n v="754149"/>
    <n v="241262"/>
    <n v="512887"/>
    <n v="38"/>
    <n v="61"/>
    <n v="5.0999999999999996"/>
  </r>
  <r>
    <x v="6"/>
    <x v="6"/>
    <d v="2022-12-30T00:00:00"/>
    <s v="NA"/>
    <n v="0"/>
    <n v="67"/>
    <s v="61-80"/>
    <x v="1"/>
    <x v="12"/>
    <x v="9"/>
    <x v="4"/>
    <n v="1"/>
    <n v="1"/>
    <n v="1.8"/>
    <x v="10"/>
    <n v="3"/>
    <n v="5"/>
    <n v="748896"/>
    <n v="81551"/>
    <n v="667345"/>
    <n v="35"/>
    <n v="56"/>
    <n v="7.6"/>
  </r>
  <r>
    <x v="6"/>
    <x v="6"/>
    <d v="2022-01-08T00:00:00"/>
    <s v="NA"/>
    <n v="0"/>
    <n v="76"/>
    <s v="61-80"/>
    <x v="0"/>
    <x v="5"/>
    <x v="0"/>
    <x v="4"/>
    <n v="1"/>
    <n v="1"/>
    <n v="5.3"/>
    <x v="23"/>
    <n v="3"/>
    <n v="4"/>
    <n v="788162"/>
    <n v="89780"/>
    <n v="698382"/>
    <n v="30"/>
    <n v="63"/>
    <n v="14.1"/>
  </r>
  <r>
    <x v="6"/>
    <x v="6"/>
    <d v="2022-09-22T00:00:00"/>
    <s v="NA"/>
    <n v="0"/>
    <n v="39"/>
    <s v="21-40"/>
    <x v="1"/>
    <x v="8"/>
    <x v="6"/>
    <x v="2"/>
    <n v="1"/>
    <n v="1"/>
    <n v="5.0999999999999996"/>
    <x v="10"/>
    <n v="7"/>
    <n v="4"/>
    <n v="749256"/>
    <n v="229296"/>
    <n v="519960"/>
    <n v="51"/>
    <n v="60"/>
    <n v="5.6"/>
  </r>
  <r>
    <x v="6"/>
    <x v="6"/>
    <d v="2021-01-28T00:00:00"/>
    <s v="NA"/>
    <n v="0"/>
    <n v="71"/>
    <s v="61-80"/>
    <x v="0"/>
    <x v="12"/>
    <x v="9"/>
    <x v="0"/>
    <n v="1"/>
    <n v="1"/>
    <n v="5.5"/>
    <x v="26"/>
    <n v="3"/>
    <n v="4"/>
    <n v="720356"/>
    <n v="183589"/>
    <n v="536767"/>
    <n v="46"/>
    <n v="55"/>
    <n v="5"/>
  </r>
  <r>
    <x v="6"/>
    <x v="6"/>
    <d v="2021-07-29T00:00:00"/>
    <s v="NA"/>
    <n v="0"/>
    <n v="62"/>
    <s v="61-80"/>
    <x v="1"/>
    <x v="3"/>
    <x v="2"/>
    <x v="0"/>
    <n v="1"/>
    <n v="1"/>
    <n v="2.4"/>
    <x v="19"/>
    <n v="6"/>
    <n v="7"/>
    <n v="703620"/>
    <n v="22601"/>
    <n v="681019"/>
    <n v="42"/>
    <n v="60"/>
    <n v="13.5"/>
  </r>
  <r>
    <x v="6"/>
    <x v="6"/>
    <d v="2024-01-03T00:00:00"/>
    <s v="NA"/>
    <n v="0"/>
    <n v="50"/>
    <s v="41-60"/>
    <x v="1"/>
    <x v="10"/>
    <x v="8"/>
    <x v="1"/>
    <n v="1"/>
    <n v="1"/>
    <n v="5.4"/>
    <x v="15"/>
    <n v="4"/>
    <n v="3"/>
    <n v="727895"/>
    <n v="89919"/>
    <n v="637976"/>
    <n v="54"/>
    <n v="61"/>
    <n v="36"/>
  </r>
  <r>
    <x v="6"/>
    <x v="6"/>
    <d v="2022-12-29T00:00:00"/>
    <s v="NA"/>
    <n v="0"/>
    <n v="24"/>
    <s v="21-40"/>
    <x v="0"/>
    <x v="10"/>
    <x v="8"/>
    <x v="1"/>
    <n v="1"/>
    <n v="1"/>
    <n v="1.4"/>
    <x v="28"/>
    <n v="6"/>
    <n v="7"/>
    <n v="765684"/>
    <n v="211797"/>
    <n v="553887"/>
    <n v="30"/>
    <n v="65"/>
    <n v="14.9"/>
  </r>
  <r>
    <x v="6"/>
    <x v="6"/>
    <d v="2023-04-05T00:00:00"/>
    <s v="NA"/>
    <n v="0"/>
    <n v="67"/>
    <s v="61-80"/>
    <x v="1"/>
    <x v="3"/>
    <x v="2"/>
    <x v="2"/>
    <n v="1"/>
    <n v="1"/>
    <n v="1.2"/>
    <x v="11"/>
    <n v="7"/>
    <n v="4"/>
    <n v="719136"/>
    <n v="206942"/>
    <n v="512194"/>
    <n v="34"/>
    <n v="54"/>
    <n v="14.1"/>
  </r>
  <r>
    <x v="6"/>
    <x v="6"/>
    <d v="2023-03-18T00:00:00"/>
    <s v="NA"/>
    <n v="0"/>
    <n v="25"/>
    <s v="21-40"/>
    <x v="1"/>
    <x v="3"/>
    <x v="2"/>
    <x v="4"/>
    <n v="1"/>
    <n v="1"/>
    <n v="1.4"/>
    <x v="16"/>
    <n v="6"/>
    <n v="5"/>
    <n v="789580"/>
    <n v="111712"/>
    <n v="677868"/>
    <n v="56"/>
    <n v="65"/>
    <n v="8"/>
  </r>
  <r>
    <x v="6"/>
    <x v="6"/>
    <d v="2022-06-17T00:00:00"/>
    <s v="NA"/>
    <n v="0"/>
    <n v="86"/>
    <s v="81+"/>
    <x v="1"/>
    <x v="2"/>
    <x v="1"/>
    <x v="2"/>
    <n v="1"/>
    <n v="1"/>
    <n v="4.5999999999999996"/>
    <x v="29"/>
    <n v="7"/>
    <n v="4"/>
    <n v="794419"/>
    <n v="281837"/>
    <n v="512582"/>
    <n v="59"/>
    <n v="65"/>
    <n v="9.9"/>
  </r>
  <r>
    <x v="6"/>
    <x v="6"/>
    <d v="2022-10-12T00:00:00"/>
    <s v="NA"/>
    <n v="0"/>
    <n v="29"/>
    <s v="21-40"/>
    <x v="1"/>
    <x v="4"/>
    <x v="3"/>
    <x v="2"/>
    <n v="1"/>
    <n v="1"/>
    <n v="4.8"/>
    <x v="16"/>
    <n v="5"/>
    <n v="5"/>
    <n v="739369"/>
    <n v="98014"/>
    <n v="641355"/>
    <n v="43"/>
    <n v="60"/>
    <n v="10.4"/>
  </r>
  <r>
    <x v="6"/>
    <x v="6"/>
    <d v="2024-02-07T00:00:00"/>
    <s v="NA"/>
    <n v="0"/>
    <n v="22"/>
    <s v="21-40"/>
    <x v="0"/>
    <x v="14"/>
    <x v="11"/>
    <x v="3"/>
    <n v="1"/>
    <n v="1"/>
    <n v="1"/>
    <x v="12"/>
    <n v="5"/>
    <n v="6"/>
    <n v="795094"/>
    <n v="131539"/>
    <n v="663555"/>
    <n v="32"/>
    <n v="59"/>
    <n v="9.8000000000000007"/>
  </r>
  <r>
    <x v="6"/>
    <x v="6"/>
    <d v="2022-08-19T00:00:00"/>
    <s v="NA"/>
    <n v="0"/>
    <n v="66"/>
    <s v="61-80"/>
    <x v="0"/>
    <x v="14"/>
    <x v="11"/>
    <x v="2"/>
    <n v="1"/>
    <n v="1"/>
    <n v="4.9000000000000004"/>
    <x v="20"/>
    <n v="5"/>
    <n v="4"/>
    <n v="786346"/>
    <n v="279896"/>
    <n v="506450"/>
    <n v="50"/>
    <n v="63"/>
    <n v="12.1"/>
  </r>
  <r>
    <x v="6"/>
    <x v="6"/>
    <d v="2021-11-16T00:00:00"/>
    <s v="NA"/>
    <n v="0"/>
    <n v="25"/>
    <s v="21-40"/>
    <x v="0"/>
    <x v="6"/>
    <x v="4"/>
    <x v="3"/>
    <n v="1"/>
    <n v="1"/>
    <n v="4.5"/>
    <x v="19"/>
    <n v="4"/>
    <n v="3"/>
    <n v="734401"/>
    <n v="181012"/>
    <n v="553389"/>
    <n v="33"/>
    <n v="56"/>
    <n v="6.8"/>
  </r>
  <r>
    <x v="6"/>
    <x v="6"/>
    <d v="2022-05-17T00:00:00"/>
    <s v="NA"/>
    <n v="0"/>
    <n v="54"/>
    <s v="41-60"/>
    <x v="1"/>
    <x v="1"/>
    <x v="1"/>
    <x v="2"/>
    <n v="1"/>
    <n v="1"/>
    <n v="2.7"/>
    <x v="18"/>
    <n v="3"/>
    <n v="4"/>
    <n v="755835"/>
    <n v="186002"/>
    <n v="569833"/>
    <n v="36"/>
    <n v="55"/>
    <n v="5.4"/>
  </r>
  <r>
    <x v="6"/>
    <x v="6"/>
    <d v="2024-11-09T00:00:00"/>
    <s v="NA"/>
    <n v="0"/>
    <n v="31"/>
    <s v="21-40"/>
    <x v="1"/>
    <x v="3"/>
    <x v="2"/>
    <x v="4"/>
    <n v="1"/>
    <n v="1"/>
    <n v="3.7"/>
    <x v="1"/>
    <n v="3"/>
    <n v="6"/>
    <n v="791274"/>
    <n v="261006"/>
    <n v="530268"/>
    <n v="31"/>
    <n v="58"/>
    <n v="10.7"/>
  </r>
  <r>
    <x v="6"/>
    <x v="6"/>
    <d v="2021-11-17T00:00:00"/>
    <s v="NA"/>
    <n v="0"/>
    <n v="21"/>
    <s v="21-40"/>
    <x v="1"/>
    <x v="13"/>
    <x v="10"/>
    <x v="0"/>
    <n v="1"/>
    <n v="1"/>
    <n v="2"/>
    <x v="26"/>
    <n v="5"/>
    <n v="7"/>
    <n v="789464"/>
    <n v="228912"/>
    <n v="560552"/>
    <n v="38"/>
    <n v="58"/>
    <n v="6"/>
  </r>
  <r>
    <x v="6"/>
    <x v="6"/>
    <d v="2022-04-08T00:00:00"/>
    <s v="NA"/>
    <n v="0"/>
    <n v="83"/>
    <s v="81+"/>
    <x v="1"/>
    <x v="8"/>
    <x v="6"/>
    <x v="1"/>
    <n v="1"/>
    <n v="1"/>
    <n v="2.5"/>
    <x v="4"/>
    <n v="5"/>
    <n v="7"/>
    <n v="757093"/>
    <n v="85873"/>
    <n v="671220"/>
    <n v="39"/>
    <n v="61"/>
    <n v="12.5"/>
  </r>
  <r>
    <x v="6"/>
    <x v="6"/>
    <d v="2022-08-28T00:00:00"/>
    <s v="NA"/>
    <n v="0"/>
    <n v="32"/>
    <s v="21-40"/>
    <x v="1"/>
    <x v="3"/>
    <x v="2"/>
    <x v="4"/>
    <n v="1"/>
    <n v="1"/>
    <n v="4.9000000000000004"/>
    <x v="2"/>
    <n v="4"/>
    <n v="5"/>
    <n v="717641"/>
    <n v="190283"/>
    <n v="527358"/>
    <n v="46"/>
    <n v="57"/>
    <n v="9.6"/>
  </r>
  <r>
    <x v="6"/>
    <x v="6"/>
    <d v="2022-04-25T00:00:00"/>
    <s v="NA"/>
    <n v="0"/>
    <n v="55"/>
    <s v="41-60"/>
    <x v="1"/>
    <x v="12"/>
    <x v="9"/>
    <x v="2"/>
    <n v="1"/>
    <n v="1"/>
    <n v="3.1"/>
    <x v="11"/>
    <n v="3"/>
    <n v="3"/>
    <n v="789570"/>
    <n v="208744"/>
    <n v="580826"/>
    <n v="51"/>
    <n v="55"/>
    <n v="6.7"/>
  </r>
  <r>
    <x v="6"/>
    <x v="6"/>
    <d v="2023-01-26T00:00:00"/>
    <s v="NA"/>
    <n v="0"/>
    <n v="23"/>
    <s v="21-40"/>
    <x v="0"/>
    <x v="6"/>
    <x v="4"/>
    <x v="2"/>
    <n v="1"/>
    <n v="1"/>
    <n v="2.7"/>
    <x v="26"/>
    <n v="4"/>
    <n v="5"/>
    <n v="709742"/>
    <n v="74808"/>
    <n v="634934"/>
    <n v="53"/>
    <n v="56"/>
    <n v="13.1"/>
  </r>
  <r>
    <x v="6"/>
    <x v="6"/>
    <d v="2022-09-11T00:00:00"/>
    <s v="NA"/>
    <n v="0"/>
    <n v="41"/>
    <s v="41-60"/>
    <x v="0"/>
    <x v="4"/>
    <x v="3"/>
    <x v="4"/>
    <n v="1"/>
    <n v="1"/>
    <n v="3.6"/>
    <x v="17"/>
    <n v="6"/>
    <n v="3"/>
    <n v="774699"/>
    <n v="250538"/>
    <n v="524161"/>
    <n v="45"/>
    <n v="57"/>
    <n v="13.7"/>
  </r>
  <r>
    <x v="6"/>
    <x v="6"/>
    <d v="2021-04-05T00:00:00"/>
    <s v="NA"/>
    <n v="0"/>
    <n v="65"/>
    <s v="61-80"/>
    <x v="1"/>
    <x v="2"/>
    <x v="1"/>
    <x v="0"/>
    <n v="1"/>
    <n v="1"/>
    <n v="2.5"/>
    <x v="28"/>
    <n v="7"/>
    <n v="4"/>
    <n v="715845"/>
    <n v="85563"/>
    <n v="630282"/>
    <n v="39"/>
    <n v="59"/>
    <n v="13"/>
  </r>
  <r>
    <x v="6"/>
    <x v="6"/>
    <d v="2021-06-30T00:00:00"/>
    <s v="NA"/>
    <n v="0"/>
    <n v="43"/>
    <s v="41-60"/>
    <x v="1"/>
    <x v="13"/>
    <x v="10"/>
    <x v="1"/>
    <n v="1"/>
    <n v="1"/>
    <n v="3.1"/>
    <x v="24"/>
    <n v="6"/>
    <n v="4"/>
    <n v="757299"/>
    <n v="89041"/>
    <n v="668258"/>
    <n v="38"/>
    <n v="55"/>
    <n v="10.7"/>
  </r>
  <r>
    <x v="6"/>
    <x v="6"/>
    <d v="2023-12-18T00:00:00"/>
    <s v="NA"/>
    <n v="0"/>
    <n v="87"/>
    <s v="81+"/>
    <x v="0"/>
    <x v="5"/>
    <x v="0"/>
    <x v="2"/>
    <n v="1"/>
    <n v="1"/>
    <n v="4.4000000000000004"/>
    <x v="1"/>
    <n v="5"/>
    <n v="4"/>
    <n v="790294"/>
    <n v="266025"/>
    <n v="524269"/>
    <n v="57"/>
    <n v="58"/>
    <n v="6.9"/>
  </r>
  <r>
    <x v="6"/>
    <x v="6"/>
    <d v="2023-12-21T00:00:00"/>
    <s v="NA"/>
    <n v="0"/>
    <n v="35"/>
    <s v="21-40"/>
    <x v="0"/>
    <x v="1"/>
    <x v="1"/>
    <x v="3"/>
    <n v="1"/>
    <n v="1"/>
    <n v="1.8"/>
    <x v="9"/>
    <n v="3"/>
    <n v="4"/>
    <n v="753310"/>
    <n v="60919"/>
    <n v="692391"/>
    <n v="42"/>
    <n v="66"/>
    <n v="5.7"/>
  </r>
  <r>
    <x v="6"/>
    <x v="6"/>
    <d v="2022-02-09T00:00:00"/>
    <s v="NA"/>
    <n v="0"/>
    <n v="63"/>
    <s v="61-80"/>
    <x v="0"/>
    <x v="0"/>
    <x v="0"/>
    <x v="1"/>
    <n v="1"/>
    <n v="1"/>
    <n v="3"/>
    <x v="26"/>
    <n v="6"/>
    <n v="4"/>
    <n v="761549"/>
    <n v="102955"/>
    <n v="658594"/>
    <n v="41"/>
    <n v="59"/>
    <n v="10.8"/>
  </r>
  <r>
    <x v="6"/>
    <x v="6"/>
    <d v="2024-06-09T00:00:00"/>
    <s v="NA"/>
    <n v="0"/>
    <n v="31"/>
    <s v="21-40"/>
    <x v="1"/>
    <x v="6"/>
    <x v="4"/>
    <x v="2"/>
    <n v="1"/>
    <n v="1"/>
    <n v="1.5"/>
    <x v="6"/>
    <n v="5"/>
    <n v="6"/>
    <n v="760696"/>
    <n v="64650"/>
    <n v="696046"/>
    <n v="40"/>
    <n v="64"/>
    <n v="14.6"/>
  </r>
  <r>
    <x v="6"/>
    <x v="6"/>
    <d v="2024-12-26T00:00:00"/>
    <s v="NA"/>
    <n v="0"/>
    <n v="47"/>
    <s v="41-60"/>
    <x v="0"/>
    <x v="12"/>
    <x v="9"/>
    <x v="1"/>
    <n v="1"/>
    <n v="1"/>
    <n v="1.1000000000000001"/>
    <x v="1"/>
    <n v="4"/>
    <n v="5"/>
    <n v="794830"/>
    <n v="292424"/>
    <n v="502406"/>
    <n v="60"/>
    <n v="57"/>
    <n v="8.6999999999999993"/>
  </r>
  <r>
    <x v="6"/>
    <x v="6"/>
    <d v="2021-03-15T00:00:00"/>
    <s v="NA"/>
    <n v="0"/>
    <n v="31"/>
    <s v="21-40"/>
    <x v="1"/>
    <x v="13"/>
    <x v="10"/>
    <x v="0"/>
    <n v="1"/>
    <n v="1"/>
    <n v="3.5"/>
    <x v="12"/>
    <n v="3"/>
    <n v="5"/>
    <n v="752038"/>
    <n v="59136"/>
    <n v="692902"/>
    <n v="37"/>
    <n v="62"/>
    <n v="13.9"/>
  </r>
  <r>
    <x v="6"/>
    <x v="6"/>
    <d v="2023-12-16T00:00:00"/>
    <s v="NA"/>
    <n v="0"/>
    <n v="31"/>
    <s v="21-40"/>
    <x v="0"/>
    <x v="9"/>
    <x v="7"/>
    <x v="4"/>
    <n v="1"/>
    <n v="1"/>
    <n v="1.8"/>
    <x v="12"/>
    <n v="5"/>
    <n v="4"/>
    <n v="712295"/>
    <n v="123070"/>
    <n v="589225"/>
    <n v="51"/>
    <n v="59"/>
    <n v="8.6"/>
  </r>
  <r>
    <x v="6"/>
    <x v="6"/>
    <d v="2022-04-08T00:00:00"/>
    <s v="NA"/>
    <n v="0"/>
    <n v="63"/>
    <s v="61-80"/>
    <x v="1"/>
    <x v="8"/>
    <x v="6"/>
    <x v="1"/>
    <n v="1"/>
    <n v="1"/>
    <n v="3.2"/>
    <x v="19"/>
    <n v="3"/>
    <n v="6"/>
    <n v="703784"/>
    <n v="41342"/>
    <n v="662442"/>
    <n v="36"/>
    <n v="64"/>
    <n v="5.2"/>
  </r>
  <r>
    <x v="6"/>
    <x v="6"/>
    <d v="2021-09-09T00:00:00"/>
    <s v="NA"/>
    <n v="0"/>
    <n v="29"/>
    <s v="21-40"/>
    <x v="0"/>
    <x v="12"/>
    <x v="9"/>
    <x v="4"/>
    <n v="1"/>
    <n v="1"/>
    <n v="2"/>
    <x v="26"/>
    <n v="3"/>
    <n v="5"/>
    <n v="752382"/>
    <n v="77544"/>
    <n v="674838"/>
    <n v="42"/>
    <n v="62"/>
    <n v="5.4"/>
  </r>
  <r>
    <x v="6"/>
    <x v="6"/>
    <d v="2022-05-19T00:00:00"/>
    <s v="NA"/>
    <n v="0"/>
    <n v="69"/>
    <s v="61-80"/>
    <x v="0"/>
    <x v="0"/>
    <x v="0"/>
    <x v="2"/>
    <n v="1"/>
    <n v="1"/>
    <n v="4.2"/>
    <x v="20"/>
    <n v="6"/>
    <n v="4"/>
    <n v="720387"/>
    <n v="106662"/>
    <n v="613725"/>
    <n v="36"/>
    <n v="63"/>
    <n v="5.9"/>
  </r>
  <r>
    <x v="6"/>
    <x v="6"/>
    <d v="2024-11-07T00:00:00"/>
    <s v="NA"/>
    <n v="0"/>
    <n v="53"/>
    <s v="41-60"/>
    <x v="1"/>
    <x v="4"/>
    <x v="3"/>
    <x v="0"/>
    <n v="1"/>
    <n v="1"/>
    <n v="6.7"/>
    <x v="19"/>
    <n v="4"/>
    <n v="3"/>
    <n v="703003"/>
    <n v="142380"/>
    <n v="560623"/>
    <n v="40"/>
    <n v="58"/>
    <n v="10.4"/>
  </r>
  <r>
    <x v="6"/>
    <x v="6"/>
    <d v="2021-11-19T00:00:00"/>
    <s v="NA"/>
    <n v="0"/>
    <n v="61"/>
    <s v="61-80"/>
    <x v="1"/>
    <x v="3"/>
    <x v="2"/>
    <x v="0"/>
    <n v="1"/>
    <n v="1"/>
    <n v="5.0999999999999996"/>
    <x v="19"/>
    <n v="3"/>
    <n v="7"/>
    <n v="742749"/>
    <n v="127813"/>
    <n v="614936"/>
    <n v="37"/>
    <n v="61"/>
    <n v="7.6"/>
  </r>
  <r>
    <x v="6"/>
    <x v="6"/>
    <d v="2023-09-23T00:00:00"/>
    <s v="NA"/>
    <n v="0"/>
    <n v="81"/>
    <s v="81+"/>
    <x v="0"/>
    <x v="12"/>
    <x v="9"/>
    <x v="3"/>
    <n v="1"/>
    <n v="1"/>
    <n v="1.4"/>
    <x v="26"/>
    <n v="6"/>
    <n v="3"/>
    <n v="799150"/>
    <n v="285568"/>
    <n v="513582"/>
    <n v="53"/>
    <n v="64"/>
    <n v="14.2"/>
  </r>
  <r>
    <x v="6"/>
    <x v="6"/>
    <d v="2021-01-11T00:00:00"/>
    <s v="NA"/>
    <n v="0"/>
    <n v="86"/>
    <s v="81+"/>
    <x v="0"/>
    <x v="10"/>
    <x v="8"/>
    <x v="0"/>
    <n v="1"/>
    <n v="1"/>
    <n v="6.6"/>
    <x v="2"/>
    <n v="5"/>
    <n v="6"/>
    <n v="713141"/>
    <n v="58790"/>
    <n v="654351"/>
    <n v="39"/>
    <n v="60"/>
    <n v="36"/>
  </r>
  <r>
    <x v="6"/>
    <x v="6"/>
    <d v="2021-04-23T00:00:00"/>
    <s v="NA"/>
    <n v="0"/>
    <n v="85"/>
    <s v="81+"/>
    <x v="0"/>
    <x v="4"/>
    <x v="3"/>
    <x v="4"/>
    <n v="1"/>
    <n v="1"/>
    <n v="5.8"/>
    <x v="18"/>
    <n v="4"/>
    <n v="7"/>
    <n v="719295"/>
    <n v="157624"/>
    <n v="561671"/>
    <n v="37"/>
    <n v="60"/>
    <n v="5.7"/>
  </r>
  <r>
    <x v="6"/>
    <x v="6"/>
    <d v="2023-04-28T00:00:00"/>
    <s v="NA"/>
    <n v="0"/>
    <n v="27"/>
    <s v="21-40"/>
    <x v="1"/>
    <x v="2"/>
    <x v="1"/>
    <x v="0"/>
    <n v="1"/>
    <n v="1"/>
    <n v="5.3"/>
    <x v="16"/>
    <n v="3"/>
    <n v="4"/>
    <n v="741393"/>
    <n v="117937"/>
    <n v="623456"/>
    <n v="45"/>
    <n v="54"/>
    <n v="8.1999999999999993"/>
  </r>
  <r>
    <x v="6"/>
    <x v="6"/>
    <d v="2022-09-27T00:00:00"/>
    <s v="NA"/>
    <n v="0"/>
    <n v="88"/>
    <s v="81+"/>
    <x v="1"/>
    <x v="2"/>
    <x v="1"/>
    <x v="2"/>
    <n v="1"/>
    <n v="1"/>
    <n v="4.8"/>
    <x v="16"/>
    <n v="4"/>
    <n v="6"/>
    <n v="757820"/>
    <n v="66530"/>
    <n v="691290"/>
    <n v="34"/>
    <n v="64"/>
    <n v="12.5"/>
  </r>
  <r>
    <x v="6"/>
    <x v="6"/>
    <d v="2024-04-02T00:00:00"/>
    <s v="NA"/>
    <n v="0"/>
    <n v="83"/>
    <s v="81+"/>
    <x v="0"/>
    <x v="4"/>
    <x v="3"/>
    <x v="3"/>
    <n v="1"/>
    <n v="1"/>
    <n v="5.7"/>
    <x v="29"/>
    <n v="4"/>
    <n v="7"/>
    <n v="738801"/>
    <n v="117448"/>
    <n v="621353"/>
    <n v="36"/>
    <n v="63"/>
    <n v="8.9"/>
  </r>
  <r>
    <x v="6"/>
    <x v="6"/>
    <d v="2022-04-08T00:00:00"/>
    <s v="NA"/>
    <n v="0"/>
    <n v="44"/>
    <s v="41-60"/>
    <x v="0"/>
    <x v="0"/>
    <x v="0"/>
    <x v="1"/>
    <n v="1"/>
    <n v="1"/>
    <n v="4.8"/>
    <x v="10"/>
    <n v="3"/>
    <n v="7"/>
    <n v="733303"/>
    <n v="159973"/>
    <n v="573330"/>
    <n v="51"/>
    <n v="56"/>
    <n v="12.1"/>
  </r>
  <r>
    <x v="6"/>
    <x v="6"/>
    <d v="2021-11-23T00:00:00"/>
    <s v="NA"/>
    <n v="0"/>
    <n v="51"/>
    <s v="41-60"/>
    <x v="1"/>
    <x v="3"/>
    <x v="2"/>
    <x v="1"/>
    <n v="1"/>
    <n v="1"/>
    <n v="5.8"/>
    <x v="28"/>
    <n v="4"/>
    <n v="3"/>
    <n v="785906"/>
    <n v="92624"/>
    <n v="693282"/>
    <n v="59"/>
    <n v="65"/>
    <n v="9.4"/>
  </r>
  <r>
    <x v="6"/>
    <x v="6"/>
    <d v="2022-11-06T00:00:00"/>
    <s v="NA"/>
    <n v="0"/>
    <n v="25"/>
    <s v="21-40"/>
    <x v="0"/>
    <x v="9"/>
    <x v="7"/>
    <x v="1"/>
    <n v="1"/>
    <n v="1"/>
    <n v="4.5"/>
    <x v="14"/>
    <n v="5"/>
    <n v="5"/>
    <n v="774529"/>
    <n v="152272"/>
    <n v="622257"/>
    <n v="56"/>
    <n v="54"/>
    <n v="5.6"/>
  </r>
  <r>
    <x v="6"/>
    <x v="6"/>
    <d v="2023-01-10T00:00:00"/>
    <s v="NA"/>
    <n v="0"/>
    <n v="46"/>
    <s v="41-60"/>
    <x v="1"/>
    <x v="3"/>
    <x v="2"/>
    <x v="0"/>
    <n v="1"/>
    <n v="1"/>
    <n v="6.1"/>
    <x v="14"/>
    <n v="7"/>
    <n v="4"/>
    <n v="742274"/>
    <n v="83788"/>
    <n v="658486"/>
    <n v="40"/>
    <n v="64"/>
    <n v="8.1"/>
  </r>
  <r>
    <x v="6"/>
    <x v="6"/>
    <d v="2023-07-24T00:00:00"/>
    <s v="NA"/>
    <n v="0"/>
    <n v="34"/>
    <s v="21-40"/>
    <x v="0"/>
    <x v="4"/>
    <x v="3"/>
    <x v="1"/>
    <n v="1"/>
    <n v="1"/>
    <n v="2.6"/>
    <x v="4"/>
    <n v="6"/>
    <n v="5"/>
    <n v="774794"/>
    <n v="192872"/>
    <n v="581922"/>
    <n v="32"/>
    <n v="65"/>
    <n v="14.3"/>
  </r>
  <r>
    <x v="6"/>
    <x v="6"/>
    <d v="2023-09-25T00:00:00"/>
    <s v="NA"/>
    <n v="0"/>
    <n v="36"/>
    <s v="21-40"/>
    <x v="0"/>
    <x v="12"/>
    <x v="9"/>
    <x v="1"/>
    <n v="1"/>
    <n v="1"/>
    <n v="5.8"/>
    <x v="1"/>
    <n v="6"/>
    <n v="6"/>
    <n v="747333"/>
    <n v="238617"/>
    <n v="508716"/>
    <n v="47"/>
    <n v="62"/>
    <n v="8.9"/>
  </r>
  <r>
    <x v="6"/>
    <x v="6"/>
    <d v="2024-04-19T00:00:00"/>
    <s v="NA"/>
    <n v="0"/>
    <n v="67"/>
    <s v="61-80"/>
    <x v="0"/>
    <x v="12"/>
    <x v="9"/>
    <x v="2"/>
    <n v="1"/>
    <n v="1"/>
    <n v="3.7"/>
    <x v="20"/>
    <n v="6"/>
    <n v="4"/>
    <n v="797871"/>
    <n v="238354"/>
    <n v="559517"/>
    <n v="49"/>
    <n v="61"/>
    <n v="14.2"/>
  </r>
  <r>
    <x v="6"/>
    <x v="6"/>
    <d v="2023-02-28T00:00:00"/>
    <s v="NA"/>
    <n v="0"/>
    <n v="28"/>
    <s v="21-40"/>
    <x v="0"/>
    <x v="5"/>
    <x v="0"/>
    <x v="2"/>
    <n v="1"/>
    <n v="1"/>
    <n v="3.8"/>
    <x v="0"/>
    <n v="5"/>
    <n v="4"/>
    <n v="737945"/>
    <n v="163579"/>
    <n v="574366"/>
    <n v="33"/>
    <n v="56"/>
    <n v="14.5"/>
  </r>
  <r>
    <x v="6"/>
    <x v="6"/>
    <d v="2021-08-25T00:00:00"/>
    <s v="NA"/>
    <n v="0"/>
    <n v="62"/>
    <s v="61-80"/>
    <x v="1"/>
    <x v="6"/>
    <x v="4"/>
    <x v="2"/>
    <n v="1"/>
    <n v="1"/>
    <n v="6.3"/>
    <x v="12"/>
    <n v="4"/>
    <n v="5"/>
    <n v="710185"/>
    <n v="27497"/>
    <n v="682688"/>
    <n v="38"/>
    <n v="61"/>
    <n v="13.2"/>
  </r>
  <r>
    <x v="6"/>
    <x v="6"/>
    <d v="2023-04-05T00:00:00"/>
    <s v="NA"/>
    <n v="0"/>
    <n v="43"/>
    <s v="41-60"/>
    <x v="0"/>
    <x v="13"/>
    <x v="10"/>
    <x v="2"/>
    <n v="1"/>
    <n v="1"/>
    <n v="2.5"/>
    <x v="21"/>
    <n v="6"/>
    <n v="6"/>
    <n v="757397"/>
    <n v="108311"/>
    <n v="649086"/>
    <n v="41"/>
    <n v="55"/>
    <n v="10.8"/>
  </r>
  <r>
    <x v="6"/>
    <x v="6"/>
    <d v="2021-01-20T00:00:00"/>
    <s v="NA"/>
    <n v="0"/>
    <n v="85"/>
    <s v="81+"/>
    <x v="0"/>
    <x v="0"/>
    <x v="0"/>
    <x v="4"/>
    <n v="1"/>
    <n v="1"/>
    <n v="2.9"/>
    <x v="20"/>
    <n v="3"/>
    <n v="3"/>
    <n v="717966"/>
    <n v="144808"/>
    <n v="573158"/>
    <n v="38"/>
    <n v="54"/>
    <n v="9.6999999999999993"/>
  </r>
  <r>
    <x v="6"/>
    <x v="6"/>
    <d v="2024-08-17T00:00:00"/>
    <s v="NA"/>
    <n v="0"/>
    <n v="37"/>
    <s v="21-40"/>
    <x v="1"/>
    <x v="4"/>
    <x v="3"/>
    <x v="1"/>
    <n v="1"/>
    <n v="1"/>
    <n v="4.9000000000000004"/>
    <x v="26"/>
    <n v="4"/>
    <n v="3"/>
    <n v="788625"/>
    <n v="156745"/>
    <n v="631880"/>
    <n v="32"/>
    <n v="55"/>
    <n v="7"/>
  </r>
  <r>
    <x v="6"/>
    <x v="6"/>
    <d v="2023-03-14T00:00:00"/>
    <s v="NA"/>
    <n v="0"/>
    <n v="28"/>
    <s v="21-40"/>
    <x v="1"/>
    <x v="7"/>
    <x v="5"/>
    <x v="1"/>
    <n v="1"/>
    <n v="1"/>
    <n v="1"/>
    <x v="0"/>
    <n v="3"/>
    <n v="4"/>
    <n v="799096"/>
    <n v="248023"/>
    <n v="551073"/>
    <n v="39"/>
    <n v="66"/>
    <n v="13.7"/>
  </r>
  <r>
    <x v="6"/>
    <x v="6"/>
    <d v="2022-11-20T00:00:00"/>
    <s v="NA"/>
    <n v="0"/>
    <n v="46"/>
    <s v="41-60"/>
    <x v="0"/>
    <x v="6"/>
    <x v="4"/>
    <x v="4"/>
    <n v="1"/>
    <n v="1"/>
    <n v="1.1000000000000001"/>
    <x v="16"/>
    <n v="7"/>
    <n v="3"/>
    <n v="766248"/>
    <n v="253340"/>
    <n v="512908"/>
    <n v="50"/>
    <n v="65"/>
    <n v="6.1"/>
  </r>
  <r>
    <x v="6"/>
    <x v="6"/>
    <d v="2024-06-09T00:00:00"/>
    <s v="NA"/>
    <n v="0"/>
    <n v="67"/>
    <s v="61-80"/>
    <x v="1"/>
    <x v="1"/>
    <x v="1"/>
    <x v="3"/>
    <n v="1"/>
    <n v="1"/>
    <n v="6.3"/>
    <x v="21"/>
    <n v="5"/>
    <n v="3"/>
    <n v="745025"/>
    <n v="110807"/>
    <n v="634218"/>
    <n v="51"/>
    <n v="55"/>
    <n v="13.8"/>
  </r>
  <r>
    <x v="6"/>
    <x v="6"/>
    <d v="2021-09-20T00:00:00"/>
    <s v="NA"/>
    <n v="0"/>
    <n v="34"/>
    <s v="21-40"/>
    <x v="0"/>
    <x v="9"/>
    <x v="7"/>
    <x v="2"/>
    <n v="1"/>
    <n v="1"/>
    <n v="5.0999999999999996"/>
    <x v="21"/>
    <n v="6"/>
    <n v="6"/>
    <n v="753367"/>
    <n v="243696"/>
    <n v="509671"/>
    <n v="53"/>
    <n v="58"/>
    <n v="36.6"/>
  </r>
  <r>
    <x v="6"/>
    <x v="6"/>
    <d v="2022-04-14T00:00:00"/>
    <s v="NA"/>
    <n v="0"/>
    <n v="79"/>
    <s v="61-80"/>
    <x v="0"/>
    <x v="14"/>
    <x v="11"/>
    <x v="4"/>
    <n v="1"/>
    <n v="1"/>
    <n v="4.5"/>
    <x v="25"/>
    <n v="7"/>
    <n v="3"/>
    <n v="776432"/>
    <n v="264177"/>
    <n v="512255"/>
    <n v="45"/>
    <n v="58"/>
    <n v="12.8"/>
  </r>
  <r>
    <x v="6"/>
    <x v="6"/>
    <d v="2024-04-05T00:00:00"/>
    <s v="NA"/>
    <n v="0"/>
    <n v="58"/>
    <s v="41-60"/>
    <x v="0"/>
    <x v="0"/>
    <x v="0"/>
    <x v="4"/>
    <n v="1"/>
    <n v="1"/>
    <n v="2.2000000000000002"/>
    <x v="9"/>
    <n v="3"/>
    <n v="4"/>
    <n v="797021"/>
    <n v="226478"/>
    <n v="570543"/>
    <n v="41"/>
    <n v="62"/>
    <n v="6.3"/>
  </r>
  <r>
    <x v="6"/>
    <x v="6"/>
    <d v="2022-09-01T00:00:00"/>
    <s v="NA"/>
    <n v="0"/>
    <n v="68"/>
    <s v="61-80"/>
    <x v="1"/>
    <x v="11"/>
    <x v="8"/>
    <x v="4"/>
    <n v="1"/>
    <n v="1"/>
    <n v="3"/>
    <x v="3"/>
    <n v="3"/>
    <n v="5"/>
    <n v="717868"/>
    <n v="89926"/>
    <n v="627942"/>
    <n v="57"/>
    <n v="62"/>
    <n v="5.4"/>
  </r>
  <r>
    <x v="6"/>
    <x v="6"/>
    <d v="2024-11-15T00:00:00"/>
    <s v="NA"/>
    <n v="0"/>
    <n v="39"/>
    <s v="21-40"/>
    <x v="0"/>
    <x v="7"/>
    <x v="5"/>
    <x v="4"/>
    <n v="1"/>
    <n v="1"/>
    <n v="1.6"/>
    <x v="0"/>
    <n v="5"/>
    <n v="6"/>
    <n v="799128"/>
    <n v="237800"/>
    <n v="561328"/>
    <n v="38"/>
    <n v="56"/>
    <n v="8"/>
  </r>
  <r>
    <x v="6"/>
    <x v="6"/>
    <d v="2024-05-13T00:00:00"/>
    <s v="NA"/>
    <n v="0"/>
    <n v="27"/>
    <s v="21-40"/>
    <x v="1"/>
    <x v="6"/>
    <x v="4"/>
    <x v="4"/>
    <n v="1"/>
    <n v="1"/>
    <n v="3.3"/>
    <x v="8"/>
    <n v="5"/>
    <n v="4"/>
    <n v="742735"/>
    <n v="103380"/>
    <n v="639355"/>
    <n v="37"/>
    <n v="54"/>
    <n v="7.4"/>
  </r>
  <r>
    <x v="6"/>
    <x v="6"/>
    <d v="2023-12-08T00:00:00"/>
    <s v="NA"/>
    <n v="0"/>
    <n v="69"/>
    <s v="61-80"/>
    <x v="1"/>
    <x v="6"/>
    <x v="4"/>
    <x v="2"/>
    <n v="1"/>
    <n v="1"/>
    <n v="1.1000000000000001"/>
    <x v="26"/>
    <n v="5"/>
    <n v="7"/>
    <n v="719274"/>
    <n v="20722"/>
    <n v="698552"/>
    <n v="46"/>
    <n v="59"/>
    <n v="13.5"/>
  </r>
  <r>
    <x v="6"/>
    <x v="6"/>
    <d v="2023-01-14T00:00:00"/>
    <s v="NA"/>
    <n v="0"/>
    <n v="74"/>
    <s v="61-80"/>
    <x v="1"/>
    <x v="3"/>
    <x v="2"/>
    <x v="2"/>
    <n v="1"/>
    <n v="1"/>
    <n v="4.0999999999999996"/>
    <x v="16"/>
    <n v="5"/>
    <n v="4"/>
    <n v="776094"/>
    <n v="141877"/>
    <n v="634217"/>
    <n v="51"/>
    <n v="62"/>
    <n v="7.3"/>
  </r>
  <r>
    <x v="6"/>
    <x v="6"/>
    <d v="2021-11-21T00:00:00"/>
    <s v="NA"/>
    <n v="0"/>
    <n v="28"/>
    <s v="21-40"/>
    <x v="1"/>
    <x v="13"/>
    <x v="10"/>
    <x v="0"/>
    <n v="1"/>
    <n v="1"/>
    <n v="5.2"/>
    <x v="4"/>
    <n v="3"/>
    <n v="6"/>
    <n v="720219"/>
    <n v="39830"/>
    <n v="680389"/>
    <n v="47"/>
    <n v="61"/>
    <n v="5.4"/>
  </r>
  <r>
    <x v="6"/>
    <x v="6"/>
    <d v="2022-10-06T00:00:00"/>
    <s v="NA"/>
    <n v="0"/>
    <n v="79"/>
    <s v="61-80"/>
    <x v="0"/>
    <x v="5"/>
    <x v="0"/>
    <x v="1"/>
    <n v="1"/>
    <n v="1"/>
    <n v="1.8"/>
    <x v="24"/>
    <n v="7"/>
    <n v="5"/>
    <n v="770070"/>
    <n v="88532"/>
    <n v="681538"/>
    <n v="41"/>
    <n v="57"/>
    <n v="6.9"/>
  </r>
  <r>
    <x v="6"/>
    <x v="6"/>
    <d v="2023-03-27T00:00:00"/>
    <s v="NA"/>
    <n v="0"/>
    <n v="37"/>
    <s v="21-40"/>
    <x v="0"/>
    <x v="0"/>
    <x v="0"/>
    <x v="1"/>
    <n v="1"/>
    <n v="1"/>
    <n v="1.5"/>
    <x v="9"/>
    <n v="7"/>
    <n v="4"/>
    <n v="713654"/>
    <n v="124396"/>
    <n v="589258"/>
    <n v="44"/>
    <n v="62"/>
    <n v="36"/>
  </r>
  <r>
    <x v="6"/>
    <x v="6"/>
    <d v="2024-03-09T00:00:00"/>
    <s v="NA"/>
    <n v="0"/>
    <n v="67"/>
    <s v="61-80"/>
    <x v="1"/>
    <x v="2"/>
    <x v="1"/>
    <x v="2"/>
    <n v="1"/>
    <n v="1"/>
    <n v="1.8"/>
    <x v="19"/>
    <n v="3"/>
    <n v="4"/>
    <n v="784846"/>
    <n v="227687"/>
    <n v="557159"/>
    <n v="47"/>
    <n v="58"/>
    <n v="12.4"/>
  </r>
  <r>
    <x v="6"/>
    <x v="6"/>
    <d v="2023-03-07T00:00:00"/>
    <s v="NA"/>
    <n v="0"/>
    <n v="38"/>
    <s v="21-40"/>
    <x v="1"/>
    <x v="2"/>
    <x v="1"/>
    <x v="3"/>
    <n v="1"/>
    <n v="1"/>
    <n v="3.4"/>
    <x v="23"/>
    <n v="3"/>
    <n v="5"/>
    <n v="743757"/>
    <n v="141480"/>
    <n v="602277"/>
    <n v="39"/>
    <n v="59"/>
    <n v="8.6999999999999993"/>
  </r>
  <r>
    <x v="6"/>
    <x v="6"/>
    <d v="2022-07-26T00:00:00"/>
    <s v="NA"/>
    <n v="0"/>
    <n v="41"/>
    <s v="41-60"/>
    <x v="1"/>
    <x v="1"/>
    <x v="1"/>
    <x v="1"/>
    <n v="1"/>
    <n v="1"/>
    <n v="2.2000000000000002"/>
    <x v="17"/>
    <n v="3"/>
    <n v="4"/>
    <n v="722258"/>
    <n v="215691"/>
    <n v="506567"/>
    <n v="35"/>
    <n v="58"/>
    <n v="13.3"/>
  </r>
  <r>
    <x v="6"/>
    <x v="6"/>
    <d v="2023-02-13T00:00:00"/>
    <s v="NA"/>
    <n v="0"/>
    <n v="63"/>
    <s v="61-80"/>
    <x v="1"/>
    <x v="4"/>
    <x v="3"/>
    <x v="1"/>
    <n v="1"/>
    <n v="1"/>
    <n v="2.9"/>
    <x v="6"/>
    <n v="6"/>
    <n v="6"/>
    <n v="793934"/>
    <n v="159747"/>
    <n v="634187"/>
    <n v="51"/>
    <n v="65"/>
    <n v="9.1999999999999993"/>
  </r>
  <r>
    <x v="6"/>
    <x v="6"/>
    <d v="2021-12-25T00:00:00"/>
    <s v="NA"/>
    <n v="0"/>
    <n v="82"/>
    <s v="81+"/>
    <x v="0"/>
    <x v="10"/>
    <x v="8"/>
    <x v="2"/>
    <n v="1"/>
    <n v="1"/>
    <n v="4.9000000000000004"/>
    <x v="20"/>
    <n v="7"/>
    <n v="3"/>
    <n v="717075"/>
    <n v="76633"/>
    <n v="640442"/>
    <n v="59"/>
    <n v="62"/>
    <n v="36.6"/>
  </r>
  <r>
    <x v="6"/>
    <x v="6"/>
    <d v="2024-01-01T00:00:00"/>
    <s v="NA"/>
    <n v="0"/>
    <n v="29"/>
    <s v="21-40"/>
    <x v="0"/>
    <x v="12"/>
    <x v="9"/>
    <x v="1"/>
    <n v="1"/>
    <n v="1"/>
    <n v="3.2"/>
    <x v="8"/>
    <n v="6"/>
    <n v="7"/>
    <n v="794063"/>
    <n v="198786"/>
    <n v="595277"/>
    <n v="47"/>
    <n v="62"/>
    <n v="7.1"/>
  </r>
  <r>
    <x v="6"/>
    <x v="6"/>
    <d v="2023-07-27T00:00:00"/>
    <s v="NA"/>
    <n v="0"/>
    <n v="62"/>
    <s v="61-80"/>
    <x v="1"/>
    <x v="12"/>
    <x v="9"/>
    <x v="3"/>
    <n v="1"/>
    <n v="1"/>
    <n v="2.7"/>
    <x v="24"/>
    <n v="4"/>
    <n v="5"/>
    <n v="745842"/>
    <n v="198250"/>
    <n v="547592"/>
    <n v="44"/>
    <n v="58"/>
    <n v="7.7"/>
  </r>
  <r>
    <x v="6"/>
    <x v="6"/>
    <d v="2021-03-26T00:00:00"/>
    <s v="NA"/>
    <n v="0"/>
    <n v="46"/>
    <s v="41-60"/>
    <x v="0"/>
    <x v="12"/>
    <x v="9"/>
    <x v="0"/>
    <n v="1"/>
    <n v="1"/>
    <n v="1.4"/>
    <x v="16"/>
    <n v="6"/>
    <n v="7"/>
    <n v="761441"/>
    <n v="144712"/>
    <n v="616729"/>
    <n v="57"/>
    <n v="62"/>
    <n v="6.9"/>
  </r>
  <r>
    <x v="6"/>
    <x v="6"/>
    <d v="2023-06-16T00:00:00"/>
    <s v="NA"/>
    <n v="0"/>
    <n v="35"/>
    <s v="21-40"/>
    <x v="1"/>
    <x v="3"/>
    <x v="2"/>
    <x v="0"/>
    <n v="1"/>
    <n v="1"/>
    <n v="5.7"/>
    <x v="12"/>
    <n v="3"/>
    <n v="6"/>
    <n v="791229"/>
    <n v="153023"/>
    <n v="638206"/>
    <n v="49"/>
    <n v="63"/>
    <n v="5.9"/>
  </r>
  <r>
    <x v="6"/>
    <x v="6"/>
    <d v="2021-09-18T00:00:00"/>
    <s v="NA"/>
    <n v="0"/>
    <n v="44"/>
    <s v="41-60"/>
    <x v="0"/>
    <x v="0"/>
    <x v="0"/>
    <x v="2"/>
    <n v="1"/>
    <n v="1"/>
    <n v="5.4"/>
    <x v="28"/>
    <n v="4"/>
    <n v="6"/>
    <n v="785933"/>
    <n v="204626"/>
    <n v="581307"/>
    <n v="31"/>
    <n v="55"/>
    <n v="6.4"/>
  </r>
  <r>
    <x v="6"/>
    <x v="6"/>
    <d v="2021-04-09T00:00:00"/>
    <s v="NA"/>
    <n v="0"/>
    <n v="88"/>
    <s v="81+"/>
    <x v="0"/>
    <x v="10"/>
    <x v="8"/>
    <x v="3"/>
    <n v="1"/>
    <n v="1"/>
    <n v="6.2"/>
    <x v="24"/>
    <n v="3"/>
    <n v="7"/>
    <n v="700987"/>
    <n v="112394"/>
    <n v="588593"/>
    <n v="39"/>
    <n v="63"/>
    <n v="9.3000000000000007"/>
  </r>
  <r>
    <x v="6"/>
    <x v="6"/>
    <d v="2023-11-25T00:00:00"/>
    <s v="NA"/>
    <n v="0"/>
    <n v="59"/>
    <s v="41-60"/>
    <x v="1"/>
    <x v="2"/>
    <x v="1"/>
    <x v="3"/>
    <n v="1"/>
    <n v="1"/>
    <n v="4.3"/>
    <x v="17"/>
    <n v="7"/>
    <n v="6"/>
    <n v="703166"/>
    <n v="23209"/>
    <n v="679957"/>
    <n v="48"/>
    <n v="56"/>
    <n v="14.4"/>
  </r>
  <r>
    <x v="6"/>
    <x v="6"/>
    <d v="2022-10-21T00:00:00"/>
    <s v="NA"/>
    <n v="0"/>
    <n v="37"/>
    <s v="21-40"/>
    <x v="1"/>
    <x v="13"/>
    <x v="10"/>
    <x v="4"/>
    <n v="1"/>
    <n v="1"/>
    <n v="3.9"/>
    <x v="9"/>
    <n v="3"/>
    <n v="3"/>
    <n v="781041"/>
    <n v="120877"/>
    <n v="660164"/>
    <n v="47"/>
    <n v="64"/>
    <n v="6.2"/>
  </r>
  <r>
    <x v="6"/>
    <x v="6"/>
    <d v="2023-01-14T00:00:00"/>
    <s v="NA"/>
    <n v="0"/>
    <n v="40"/>
    <s v="21-40"/>
    <x v="0"/>
    <x v="12"/>
    <x v="9"/>
    <x v="4"/>
    <n v="1"/>
    <n v="1"/>
    <n v="3.9"/>
    <x v="14"/>
    <n v="3"/>
    <n v="7"/>
    <n v="779509"/>
    <n v="216214"/>
    <n v="563295"/>
    <n v="60"/>
    <n v="64"/>
    <n v="6.3"/>
  </r>
  <r>
    <x v="6"/>
    <x v="6"/>
    <d v="2022-10-04T00:00:00"/>
    <s v="NA"/>
    <n v="0"/>
    <n v="60"/>
    <s v="41-60"/>
    <x v="1"/>
    <x v="3"/>
    <x v="2"/>
    <x v="4"/>
    <n v="1"/>
    <n v="1"/>
    <n v="5.9"/>
    <x v="13"/>
    <n v="3"/>
    <n v="7"/>
    <n v="743388"/>
    <n v="94117"/>
    <n v="649271"/>
    <n v="53"/>
    <n v="59"/>
    <n v="13.7"/>
  </r>
  <r>
    <x v="6"/>
    <x v="6"/>
    <d v="2023-07-28T00:00:00"/>
    <s v="NA"/>
    <n v="0"/>
    <n v="65"/>
    <s v="61-80"/>
    <x v="0"/>
    <x v="0"/>
    <x v="0"/>
    <x v="3"/>
    <n v="1"/>
    <n v="1"/>
    <n v="1.3"/>
    <x v="19"/>
    <n v="6"/>
    <n v="7"/>
    <n v="726230"/>
    <n v="219213"/>
    <n v="507017"/>
    <n v="60"/>
    <n v="56"/>
    <n v="10.4"/>
  </r>
  <r>
    <x v="6"/>
    <x v="6"/>
    <d v="2022-03-04T00:00:00"/>
    <s v="NA"/>
    <n v="0"/>
    <n v="79"/>
    <s v="61-80"/>
    <x v="1"/>
    <x v="11"/>
    <x v="8"/>
    <x v="0"/>
    <n v="1"/>
    <n v="1"/>
    <n v="2"/>
    <x v="30"/>
    <n v="6"/>
    <n v="4"/>
    <n v="753814"/>
    <n v="249422"/>
    <n v="504392"/>
    <n v="56"/>
    <n v="58"/>
    <n v="10.4"/>
  </r>
  <r>
    <x v="6"/>
    <x v="6"/>
    <d v="2024-01-12T00:00:00"/>
    <s v="NA"/>
    <n v="0"/>
    <n v="72"/>
    <s v="61-80"/>
    <x v="0"/>
    <x v="6"/>
    <x v="4"/>
    <x v="2"/>
    <n v="1"/>
    <n v="1"/>
    <n v="2.1"/>
    <x v="8"/>
    <n v="7"/>
    <n v="6"/>
    <n v="780418"/>
    <n v="199935"/>
    <n v="580483"/>
    <n v="52"/>
    <n v="54"/>
    <n v="13.1"/>
  </r>
  <r>
    <x v="6"/>
    <x v="6"/>
    <d v="2024-12-20T00:00:00"/>
    <s v="NA"/>
    <n v="0"/>
    <n v="25"/>
    <s v="21-40"/>
    <x v="1"/>
    <x v="3"/>
    <x v="2"/>
    <x v="4"/>
    <n v="1"/>
    <n v="1"/>
    <n v="5.0999999999999996"/>
    <x v="10"/>
    <n v="3"/>
    <n v="5"/>
    <n v="723451"/>
    <n v="134408"/>
    <n v="589043"/>
    <n v="37"/>
    <n v="56"/>
    <n v="14.4"/>
  </r>
  <r>
    <x v="6"/>
    <x v="6"/>
    <d v="2021-07-26T00:00:00"/>
    <s v="NA"/>
    <n v="0"/>
    <n v="76"/>
    <s v="61-80"/>
    <x v="1"/>
    <x v="7"/>
    <x v="5"/>
    <x v="2"/>
    <n v="1"/>
    <n v="1"/>
    <n v="5.4"/>
    <x v="8"/>
    <n v="6"/>
    <n v="3"/>
    <n v="737685"/>
    <n v="130658"/>
    <n v="607027"/>
    <n v="54"/>
    <n v="63"/>
    <n v="8.6999999999999993"/>
  </r>
  <r>
    <x v="6"/>
    <x v="6"/>
    <d v="2024-03-15T00:00:00"/>
    <s v="NA"/>
    <n v="0"/>
    <n v="28"/>
    <s v="21-40"/>
    <x v="1"/>
    <x v="1"/>
    <x v="1"/>
    <x v="3"/>
    <n v="1"/>
    <n v="1"/>
    <n v="1.4"/>
    <x v="14"/>
    <n v="7"/>
    <n v="7"/>
    <n v="762751"/>
    <n v="114956"/>
    <n v="647795"/>
    <n v="30"/>
    <n v="59"/>
    <n v="36.200000000000003"/>
  </r>
  <r>
    <x v="6"/>
    <x v="6"/>
    <d v="2023-02-04T00:00:00"/>
    <s v="NA"/>
    <n v="0"/>
    <n v="71"/>
    <s v="61-80"/>
    <x v="1"/>
    <x v="4"/>
    <x v="3"/>
    <x v="1"/>
    <n v="1"/>
    <n v="1"/>
    <n v="6"/>
    <x v="7"/>
    <n v="5"/>
    <n v="5"/>
    <n v="729568"/>
    <n v="192423"/>
    <n v="537145"/>
    <n v="46"/>
    <n v="61"/>
    <n v="10.4"/>
  </r>
  <r>
    <x v="6"/>
    <x v="6"/>
    <d v="2024-06-14T00:00:00"/>
    <s v="NA"/>
    <n v="0"/>
    <n v="62"/>
    <s v="61-80"/>
    <x v="1"/>
    <x v="9"/>
    <x v="7"/>
    <x v="0"/>
    <n v="1"/>
    <n v="1"/>
    <n v="5.8"/>
    <x v="26"/>
    <n v="3"/>
    <n v="3"/>
    <n v="738843"/>
    <n v="238830"/>
    <n v="500013"/>
    <n v="45"/>
    <n v="62"/>
    <n v="13.5"/>
  </r>
  <r>
    <x v="6"/>
    <x v="6"/>
    <d v="2023-02-17T00:00:00"/>
    <s v="NA"/>
    <n v="0"/>
    <n v="85"/>
    <s v="81+"/>
    <x v="0"/>
    <x v="13"/>
    <x v="10"/>
    <x v="1"/>
    <n v="1"/>
    <n v="1"/>
    <n v="6"/>
    <x v="19"/>
    <n v="6"/>
    <n v="7"/>
    <n v="770534"/>
    <n v="73853"/>
    <n v="696681"/>
    <n v="55"/>
    <n v="60"/>
    <n v="6.4"/>
  </r>
  <r>
    <x v="6"/>
    <x v="6"/>
    <d v="2023-03-08T00:00:00"/>
    <s v="NA"/>
    <n v="0"/>
    <n v="89"/>
    <s v="81+"/>
    <x v="1"/>
    <x v="4"/>
    <x v="3"/>
    <x v="4"/>
    <n v="1"/>
    <n v="1"/>
    <n v="4.2"/>
    <x v="30"/>
    <n v="6"/>
    <n v="7"/>
    <n v="772706"/>
    <n v="270890"/>
    <n v="501816"/>
    <n v="47"/>
    <n v="54"/>
    <n v="6.6"/>
  </r>
  <r>
    <x v="6"/>
    <x v="6"/>
    <d v="2021-06-27T00:00:00"/>
    <s v="NA"/>
    <n v="0"/>
    <n v="64"/>
    <s v="61-80"/>
    <x v="1"/>
    <x v="6"/>
    <x v="4"/>
    <x v="0"/>
    <n v="1"/>
    <n v="1"/>
    <n v="2.9"/>
    <x v="0"/>
    <n v="6"/>
    <n v="4"/>
    <n v="731674"/>
    <n v="116847"/>
    <n v="614827"/>
    <n v="36"/>
    <n v="59"/>
    <n v="8.4"/>
  </r>
  <r>
    <x v="6"/>
    <x v="6"/>
    <d v="2021-01-20T00:00:00"/>
    <s v="NA"/>
    <n v="0"/>
    <n v="35"/>
    <s v="21-40"/>
    <x v="1"/>
    <x v="6"/>
    <x v="4"/>
    <x v="0"/>
    <n v="1"/>
    <n v="1"/>
    <n v="4.5999999999999996"/>
    <x v="10"/>
    <n v="3"/>
    <n v="4"/>
    <n v="777667"/>
    <n v="188793"/>
    <n v="588874"/>
    <n v="41"/>
    <n v="56"/>
    <n v="36"/>
  </r>
  <r>
    <x v="6"/>
    <x v="6"/>
    <d v="2023-11-09T00:00:00"/>
    <s v="NA"/>
    <n v="0"/>
    <n v="54"/>
    <s v="41-60"/>
    <x v="1"/>
    <x v="2"/>
    <x v="1"/>
    <x v="1"/>
    <n v="1"/>
    <n v="1"/>
    <n v="6"/>
    <x v="4"/>
    <n v="5"/>
    <n v="6"/>
    <n v="725023"/>
    <n v="33105"/>
    <n v="691918"/>
    <n v="43"/>
    <n v="62"/>
    <n v="8.9"/>
  </r>
  <r>
    <x v="6"/>
    <x v="6"/>
    <d v="2023-08-02T00:00:00"/>
    <s v="NA"/>
    <n v="0"/>
    <n v="75"/>
    <s v="61-80"/>
    <x v="0"/>
    <x v="1"/>
    <x v="1"/>
    <x v="1"/>
    <n v="1"/>
    <n v="1"/>
    <n v="1.3"/>
    <x v="18"/>
    <n v="4"/>
    <n v="7"/>
    <n v="790142"/>
    <n v="281894"/>
    <n v="508248"/>
    <n v="35"/>
    <n v="54"/>
    <n v="36.200000000000003"/>
  </r>
  <r>
    <x v="6"/>
    <x v="6"/>
    <d v="2022-12-18T00:00:00"/>
    <s v="NA"/>
    <n v="0"/>
    <n v="45"/>
    <s v="41-60"/>
    <x v="1"/>
    <x v="2"/>
    <x v="1"/>
    <x v="2"/>
    <n v="1"/>
    <n v="1"/>
    <n v="1.4"/>
    <x v="30"/>
    <n v="5"/>
    <n v="4"/>
    <n v="731736"/>
    <n v="35158"/>
    <n v="696578"/>
    <n v="32"/>
    <n v="54"/>
    <n v="36.299999999999997"/>
  </r>
  <r>
    <x v="6"/>
    <x v="6"/>
    <d v="2021-12-24T00:00:00"/>
    <s v="NA"/>
    <n v="0"/>
    <n v="56"/>
    <s v="41-60"/>
    <x v="1"/>
    <x v="3"/>
    <x v="2"/>
    <x v="4"/>
    <n v="1"/>
    <n v="1"/>
    <n v="5.8"/>
    <x v="30"/>
    <n v="5"/>
    <n v="6"/>
    <n v="773578"/>
    <n v="254521"/>
    <n v="519057"/>
    <n v="52"/>
    <n v="55"/>
    <n v="9.6"/>
  </r>
  <r>
    <x v="6"/>
    <x v="6"/>
    <d v="2024-06-05T00:00:00"/>
    <s v="NA"/>
    <n v="0"/>
    <n v="46"/>
    <s v="41-60"/>
    <x v="1"/>
    <x v="2"/>
    <x v="1"/>
    <x v="0"/>
    <n v="1"/>
    <n v="1"/>
    <n v="5"/>
    <x v="28"/>
    <n v="4"/>
    <n v="7"/>
    <n v="769186"/>
    <n v="225013"/>
    <n v="544173"/>
    <n v="36"/>
    <n v="56"/>
    <n v="8.1"/>
  </r>
  <r>
    <x v="6"/>
    <x v="6"/>
    <d v="2024-06-06T00:00:00"/>
    <s v="NA"/>
    <n v="0"/>
    <n v="72"/>
    <s v="61-80"/>
    <x v="1"/>
    <x v="2"/>
    <x v="1"/>
    <x v="2"/>
    <n v="1"/>
    <n v="1"/>
    <n v="1.6"/>
    <x v="19"/>
    <n v="5"/>
    <n v="5"/>
    <n v="730739"/>
    <n v="41254"/>
    <n v="689485"/>
    <n v="31"/>
    <n v="54"/>
    <n v="13"/>
  </r>
  <r>
    <x v="6"/>
    <x v="6"/>
    <d v="2024-10-22T00:00:00"/>
    <s v="NA"/>
    <n v="0"/>
    <n v="40"/>
    <s v="21-40"/>
    <x v="0"/>
    <x v="9"/>
    <x v="7"/>
    <x v="1"/>
    <n v="1"/>
    <n v="1"/>
    <n v="4.2"/>
    <x v="19"/>
    <n v="6"/>
    <n v="5"/>
    <n v="746403"/>
    <n v="139706"/>
    <n v="606697"/>
    <n v="59"/>
    <n v="59"/>
    <n v="12.8"/>
  </r>
  <r>
    <x v="6"/>
    <x v="6"/>
    <d v="2022-11-15T00:00:00"/>
    <s v="NA"/>
    <n v="0"/>
    <n v="40"/>
    <s v="21-40"/>
    <x v="0"/>
    <x v="14"/>
    <x v="11"/>
    <x v="2"/>
    <n v="1"/>
    <n v="1"/>
    <n v="1.8"/>
    <x v="16"/>
    <n v="3"/>
    <n v="3"/>
    <n v="734388"/>
    <n v="122058"/>
    <n v="612330"/>
    <n v="41"/>
    <n v="65"/>
    <n v="12.8"/>
  </r>
  <r>
    <x v="6"/>
    <x v="6"/>
    <d v="2021-06-09T00:00:00"/>
    <s v="NA"/>
    <n v="0"/>
    <n v="25"/>
    <s v="21-40"/>
    <x v="0"/>
    <x v="12"/>
    <x v="9"/>
    <x v="3"/>
    <n v="1"/>
    <n v="1"/>
    <n v="7"/>
    <x v="1"/>
    <n v="3"/>
    <n v="5"/>
    <n v="734823"/>
    <n v="67239"/>
    <n v="667584"/>
    <n v="40"/>
    <n v="57"/>
    <n v="8.1"/>
  </r>
  <r>
    <x v="6"/>
    <x v="6"/>
    <d v="2022-10-30T00:00:00"/>
    <s v="NA"/>
    <n v="0"/>
    <n v="61"/>
    <s v="61-80"/>
    <x v="0"/>
    <x v="5"/>
    <x v="0"/>
    <x v="2"/>
    <n v="1"/>
    <n v="1"/>
    <n v="5.9"/>
    <x v="30"/>
    <n v="3"/>
    <n v="4"/>
    <n v="736531"/>
    <n v="181887"/>
    <n v="554644"/>
    <n v="38"/>
    <n v="63"/>
    <n v="7"/>
  </r>
  <r>
    <x v="6"/>
    <x v="6"/>
    <d v="2024-11-23T00:00:00"/>
    <s v="NA"/>
    <n v="0"/>
    <n v="25"/>
    <s v="21-40"/>
    <x v="1"/>
    <x v="8"/>
    <x v="6"/>
    <x v="0"/>
    <n v="1"/>
    <n v="1"/>
    <n v="1.3"/>
    <x v="23"/>
    <n v="5"/>
    <n v="6"/>
    <n v="780553"/>
    <n v="239240"/>
    <n v="541313"/>
    <n v="40"/>
    <n v="55"/>
    <n v="10.3"/>
  </r>
  <r>
    <x v="6"/>
    <x v="6"/>
    <d v="2024-09-21T00:00:00"/>
    <s v="NA"/>
    <n v="0"/>
    <n v="29"/>
    <s v="21-40"/>
    <x v="1"/>
    <x v="10"/>
    <x v="8"/>
    <x v="0"/>
    <n v="1"/>
    <n v="1"/>
    <n v="2.1"/>
    <x v="29"/>
    <n v="5"/>
    <n v="4"/>
    <n v="716327"/>
    <n v="33641"/>
    <n v="682686"/>
    <n v="37"/>
    <n v="56"/>
    <n v="9.3000000000000007"/>
  </r>
  <r>
    <x v="6"/>
    <x v="6"/>
    <d v="2024-08-13T00:00:00"/>
    <s v="NA"/>
    <n v="0"/>
    <n v="38"/>
    <s v="21-40"/>
    <x v="1"/>
    <x v="8"/>
    <x v="6"/>
    <x v="0"/>
    <n v="1"/>
    <n v="1"/>
    <n v="4.3"/>
    <x v="22"/>
    <n v="5"/>
    <n v="4"/>
    <n v="769173"/>
    <n v="188535"/>
    <n v="580638"/>
    <n v="33"/>
    <n v="66"/>
    <n v="36.4"/>
  </r>
  <r>
    <x v="6"/>
    <x v="6"/>
    <d v="2022-06-16T00:00:00"/>
    <s v="NA"/>
    <n v="0"/>
    <n v="29"/>
    <s v="21-40"/>
    <x v="0"/>
    <x v="13"/>
    <x v="10"/>
    <x v="0"/>
    <n v="1"/>
    <n v="1"/>
    <n v="5.2"/>
    <x v="13"/>
    <n v="5"/>
    <n v="5"/>
    <n v="751743"/>
    <n v="181636"/>
    <n v="570107"/>
    <n v="44"/>
    <n v="59"/>
    <n v="8.1999999999999993"/>
  </r>
  <r>
    <x v="6"/>
    <x v="6"/>
    <d v="2024-07-25T00:00:00"/>
    <s v="NA"/>
    <n v="0"/>
    <n v="37"/>
    <s v="21-40"/>
    <x v="1"/>
    <x v="9"/>
    <x v="7"/>
    <x v="1"/>
    <n v="1"/>
    <n v="1"/>
    <n v="2.2000000000000002"/>
    <x v="1"/>
    <n v="4"/>
    <n v="5"/>
    <n v="730626"/>
    <n v="92606"/>
    <n v="638020"/>
    <n v="55"/>
    <n v="55"/>
    <n v="8.4"/>
  </r>
  <r>
    <x v="6"/>
    <x v="6"/>
    <d v="2022-06-19T00:00:00"/>
    <s v="NA"/>
    <n v="0"/>
    <n v="25"/>
    <s v="21-40"/>
    <x v="1"/>
    <x v="9"/>
    <x v="7"/>
    <x v="3"/>
    <n v="1"/>
    <n v="1"/>
    <n v="6.1"/>
    <x v="12"/>
    <n v="3"/>
    <n v="7"/>
    <n v="789188"/>
    <n v="200485"/>
    <n v="588703"/>
    <n v="30"/>
    <n v="57"/>
    <n v="9"/>
  </r>
  <r>
    <x v="6"/>
    <x v="6"/>
    <d v="2021-05-22T00:00:00"/>
    <s v="NA"/>
    <n v="0"/>
    <n v="62"/>
    <s v="61-80"/>
    <x v="0"/>
    <x v="4"/>
    <x v="3"/>
    <x v="1"/>
    <n v="1"/>
    <n v="1"/>
    <n v="6.5"/>
    <x v="17"/>
    <n v="5"/>
    <n v="5"/>
    <n v="731871"/>
    <n v="151812"/>
    <n v="580059"/>
    <n v="48"/>
    <n v="60"/>
    <n v="13"/>
  </r>
  <r>
    <x v="6"/>
    <x v="6"/>
    <d v="2024-07-22T00:00:00"/>
    <s v="NA"/>
    <n v="0"/>
    <n v="54"/>
    <s v="41-60"/>
    <x v="0"/>
    <x v="6"/>
    <x v="4"/>
    <x v="4"/>
    <n v="1"/>
    <n v="1"/>
    <n v="4"/>
    <x v="8"/>
    <n v="6"/>
    <n v="6"/>
    <n v="715670"/>
    <n v="134572"/>
    <n v="581098"/>
    <n v="59"/>
    <n v="62"/>
    <n v="6.3"/>
  </r>
  <r>
    <x v="6"/>
    <x v="6"/>
    <d v="2023-09-02T00:00:00"/>
    <s v="NA"/>
    <n v="0"/>
    <n v="49"/>
    <s v="41-60"/>
    <x v="0"/>
    <x v="14"/>
    <x v="11"/>
    <x v="2"/>
    <n v="1"/>
    <n v="1"/>
    <n v="6.2"/>
    <x v="14"/>
    <n v="6"/>
    <n v="7"/>
    <n v="756717"/>
    <n v="184524"/>
    <n v="572193"/>
    <n v="57"/>
    <n v="55"/>
    <n v="7.5"/>
  </r>
  <r>
    <x v="6"/>
    <x v="6"/>
    <d v="2024-02-27T00:00:00"/>
    <s v="NA"/>
    <n v="0"/>
    <n v="85"/>
    <s v="81+"/>
    <x v="1"/>
    <x v="10"/>
    <x v="8"/>
    <x v="3"/>
    <n v="1"/>
    <n v="1"/>
    <n v="5"/>
    <x v="14"/>
    <n v="7"/>
    <n v="3"/>
    <n v="780310"/>
    <n v="156334"/>
    <n v="623976"/>
    <n v="56"/>
    <n v="64"/>
    <n v="6.7"/>
  </r>
  <r>
    <x v="6"/>
    <x v="6"/>
    <d v="2023-08-01T00:00:00"/>
    <s v="NA"/>
    <n v="0"/>
    <n v="78"/>
    <s v="61-80"/>
    <x v="1"/>
    <x v="3"/>
    <x v="2"/>
    <x v="3"/>
    <n v="1"/>
    <n v="1"/>
    <n v="6.1"/>
    <x v="7"/>
    <n v="7"/>
    <n v="6"/>
    <n v="770914"/>
    <n v="112119"/>
    <n v="658795"/>
    <n v="45"/>
    <n v="61"/>
    <n v="5.6"/>
  </r>
  <r>
    <x v="6"/>
    <x v="6"/>
    <d v="2024-02-24T00:00:00"/>
    <s v="NA"/>
    <n v="0"/>
    <n v="70"/>
    <s v="61-80"/>
    <x v="0"/>
    <x v="0"/>
    <x v="0"/>
    <x v="4"/>
    <n v="1"/>
    <n v="1"/>
    <n v="4.7"/>
    <x v="21"/>
    <n v="3"/>
    <n v="6"/>
    <n v="720610"/>
    <n v="26286"/>
    <n v="694324"/>
    <n v="30"/>
    <n v="55"/>
    <n v="14.6"/>
  </r>
  <r>
    <x v="6"/>
    <x v="6"/>
    <d v="2023-03-08T00:00:00"/>
    <s v="NA"/>
    <n v="0"/>
    <n v="49"/>
    <s v="41-60"/>
    <x v="0"/>
    <x v="2"/>
    <x v="1"/>
    <x v="0"/>
    <n v="1"/>
    <n v="1"/>
    <n v="1.8"/>
    <x v="4"/>
    <n v="3"/>
    <n v="6"/>
    <n v="734654"/>
    <n v="122362"/>
    <n v="612292"/>
    <n v="59"/>
    <n v="63"/>
    <n v="5.2"/>
  </r>
  <r>
    <x v="6"/>
    <x v="6"/>
    <d v="2021-12-16T00:00:00"/>
    <s v="NA"/>
    <n v="0"/>
    <n v="33"/>
    <s v="21-40"/>
    <x v="0"/>
    <x v="13"/>
    <x v="10"/>
    <x v="1"/>
    <n v="1"/>
    <n v="1"/>
    <n v="1.4"/>
    <x v="30"/>
    <n v="5"/>
    <n v="4"/>
    <n v="744976"/>
    <n v="226707"/>
    <n v="518269"/>
    <n v="50"/>
    <n v="62"/>
    <n v="12.9"/>
  </r>
  <r>
    <x v="6"/>
    <x v="6"/>
    <d v="2021-07-20T00:00:00"/>
    <s v="NA"/>
    <n v="0"/>
    <n v="27"/>
    <s v="21-40"/>
    <x v="1"/>
    <x v="12"/>
    <x v="9"/>
    <x v="4"/>
    <n v="1"/>
    <n v="1"/>
    <n v="5.2"/>
    <x v="20"/>
    <n v="7"/>
    <n v="5"/>
    <n v="741720"/>
    <n v="140947"/>
    <n v="600773"/>
    <n v="55"/>
    <n v="56"/>
    <n v="9.9"/>
  </r>
  <r>
    <x v="6"/>
    <x v="6"/>
    <d v="2021-11-20T00:00:00"/>
    <s v="NA"/>
    <n v="0"/>
    <n v="43"/>
    <s v="41-60"/>
    <x v="1"/>
    <x v="3"/>
    <x v="2"/>
    <x v="1"/>
    <n v="1"/>
    <n v="1"/>
    <n v="4"/>
    <x v="3"/>
    <n v="3"/>
    <n v="7"/>
    <n v="734870"/>
    <n v="157480"/>
    <n v="577390"/>
    <n v="37"/>
    <n v="60"/>
    <n v="9.6"/>
  </r>
  <r>
    <x v="6"/>
    <x v="6"/>
    <d v="2024-04-04T00:00:00"/>
    <s v="NA"/>
    <n v="0"/>
    <n v="75"/>
    <s v="61-80"/>
    <x v="1"/>
    <x v="6"/>
    <x v="4"/>
    <x v="2"/>
    <n v="1"/>
    <n v="1"/>
    <n v="6.9"/>
    <x v="14"/>
    <n v="5"/>
    <n v="7"/>
    <n v="737073"/>
    <n v="65659"/>
    <n v="671414"/>
    <n v="60"/>
    <n v="65"/>
    <n v="5.8"/>
  </r>
  <r>
    <x v="6"/>
    <x v="6"/>
    <d v="2021-02-04T00:00:00"/>
    <s v="NA"/>
    <n v="0"/>
    <n v="73"/>
    <s v="61-80"/>
    <x v="1"/>
    <x v="7"/>
    <x v="5"/>
    <x v="0"/>
    <n v="1"/>
    <n v="1"/>
    <n v="5"/>
    <x v="5"/>
    <n v="6"/>
    <n v="5"/>
    <n v="777838"/>
    <n v="228075"/>
    <n v="549763"/>
    <n v="39"/>
    <n v="65"/>
    <n v="14.6"/>
  </r>
  <r>
    <x v="6"/>
    <x v="6"/>
    <d v="2023-12-20T00:00:00"/>
    <s v="NA"/>
    <n v="0"/>
    <n v="58"/>
    <s v="41-60"/>
    <x v="1"/>
    <x v="4"/>
    <x v="3"/>
    <x v="4"/>
    <n v="1"/>
    <n v="1"/>
    <n v="1.2"/>
    <x v="28"/>
    <n v="5"/>
    <n v="7"/>
    <n v="734542"/>
    <n v="86702"/>
    <n v="647840"/>
    <n v="38"/>
    <n v="64"/>
    <n v="13.4"/>
  </r>
  <r>
    <x v="6"/>
    <x v="6"/>
    <d v="2024-12-08T00:00:00"/>
    <s v="NA"/>
    <n v="0"/>
    <n v="57"/>
    <s v="41-60"/>
    <x v="1"/>
    <x v="10"/>
    <x v="8"/>
    <x v="2"/>
    <n v="1"/>
    <n v="1"/>
    <n v="1.6"/>
    <x v="4"/>
    <n v="7"/>
    <n v="4"/>
    <n v="766842"/>
    <n v="148459"/>
    <n v="618383"/>
    <n v="60"/>
    <n v="57"/>
    <n v="36.200000000000003"/>
  </r>
  <r>
    <x v="6"/>
    <x v="6"/>
    <d v="2022-02-17T00:00:00"/>
    <s v="NA"/>
    <n v="0"/>
    <n v="29"/>
    <s v="21-40"/>
    <x v="1"/>
    <x v="12"/>
    <x v="9"/>
    <x v="3"/>
    <n v="1"/>
    <n v="1"/>
    <n v="3.1"/>
    <x v="4"/>
    <n v="3"/>
    <n v="3"/>
    <n v="743540"/>
    <n v="157942"/>
    <n v="585598"/>
    <n v="46"/>
    <n v="56"/>
    <n v="7.7"/>
  </r>
  <r>
    <x v="6"/>
    <x v="6"/>
    <d v="2023-03-06T00:00:00"/>
    <s v="NA"/>
    <n v="0"/>
    <n v="50"/>
    <s v="41-60"/>
    <x v="0"/>
    <x v="2"/>
    <x v="1"/>
    <x v="3"/>
    <n v="1"/>
    <n v="1"/>
    <n v="6.7"/>
    <x v="25"/>
    <n v="4"/>
    <n v="7"/>
    <n v="758828"/>
    <n v="226240"/>
    <n v="532588"/>
    <n v="33"/>
    <n v="57"/>
    <n v="9.1999999999999993"/>
  </r>
  <r>
    <x v="6"/>
    <x v="6"/>
    <d v="2023-05-06T00:00:00"/>
    <s v="NA"/>
    <n v="0"/>
    <n v="43"/>
    <s v="41-60"/>
    <x v="0"/>
    <x v="13"/>
    <x v="10"/>
    <x v="2"/>
    <n v="1"/>
    <n v="1"/>
    <n v="2.8"/>
    <x v="5"/>
    <n v="6"/>
    <n v="3"/>
    <n v="765757"/>
    <n v="225423"/>
    <n v="540334"/>
    <n v="41"/>
    <n v="62"/>
    <n v="8.6999999999999993"/>
  </r>
  <r>
    <x v="6"/>
    <x v="6"/>
    <d v="2021-12-13T00:00:00"/>
    <s v="NA"/>
    <n v="0"/>
    <n v="62"/>
    <s v="61-80"/>
    <x v="0"/>
    <x v="0"/>
    <x v="0"/>
    <x v="4"/>
    <n v="1"/>
    <n v="1"/>
    <n v="3.2"/>
    <x v="0"/>
    <n v="6"/>
    <n v="7"/>
    <n v="799403"/>
    <n v="100178"/>
    <n v="699225"/>
    <n v="35"/>
    <n v="65"/>
    <n v="13.7"/>
  </r>
  <r>
    <x v="6"/>
    <x v="6"/>
    <d v="2023-06-14T00:00:00"/>
    <s v="NA"/>
    <n v="0"/>
    <n v="47"/>
    <s v="41-60"/>
    <x v="0"/>
    <x v="14"/>
    <x v="11"/>
    <x v="4"/>
    <n v="1"/>
    <n v="1"/>
    <n v="1.4"/>
    <x v="1"/>
    <n v="7"/>
    <n v="3"/>
    <n v="771673"/>
    <n v="144463"/>
    <n v="627210"/>
    <n v="57"/>
    <n v="56"/>
    <n v="5.6"/>
  </r>
  <r>
    <x v="6"/>
    <x v="6"/>
    <d v="2023-11-27T00:00:00"/>
    <s v="NA"/>
    <n v="0"/>
    <n v="32"/>
    <s v="21-40"/>
    <x v="0"/>
    <x v="7"/>
    <x v="5"/>
    <x v="4"/>
    <n v="1"/>
    <n v="1"/>
    <n v="6.9"/>
    <x v="4"/>
    <n v="3"/>
    <n v="4"/>
    <n v="732735"/>
    <n v="215979"/>
    <n v="516756"/>
    <n v="55"/>
    <n v="60"/>
    <n v="9.3000000000000007"/>
  </r>
  <r>
    <x v="6"/>
    <x v="6"/>
    <d v="2024-02-16T00:00:00"/>
    <s v="NA"/>
    <n v="0"/>
    <n v="86"/>
    <s v="81+"/>
    <x v="0"/>
    <x v="12"/>
    <x v="9"/>
    <x v="4"/>
    <n v="1"/>
    <n v="1"/>
    <n v="3"/>
    <x v="26"/>
    <n v="4"/>
    <n v="7"/>
    <n v="740684"/>
    <n v="112748"/>
    <n v="627936"/>
    <n v="31"/>
    <n v="62"/>
    <n v="36.299999999999997"/>
  </r>
  <r>
    <x v="6"/>
    <x v="6"/>
    <d v="2022-11-20T00:00:00"/>
    <s v="NA"/>
    <n v="0"/>
    <n v="60"/>
    <s v="41-60"/>
    <x v="0"/>
    <x v="4"/>
    <x v="3"/>
    <x v="2"/>
    <n v="1"/>
    <n v="1"/>
    <n v="1.6"/>
    <x v="27"/>
    <n v="7"/>
    <n v="3"/>
    <n v="743158"/>
    <n v="81917"/>
    <n v="661241"/>
    <n v="49"/>
    <n v="60"/>
    <n v="8.1999999999999993"/>
  </r>
  <r>
    <x v="6"/>
    <x v="6"/>
    <d v="2023-07-13T00:00:00"/>
    <s v="NA"/>
    <n v="0"/>
    <n v="32"/>
    <s v="21-40"/>
    <x v="1"/>
    <x v="4"/>
    <x v="3"/>
    <x v="0"/>
    <n v="1"/>
    <n v="1"/>
    <n v="2.2000000000000002"/>
    <x v="7"/>
    <n v="5"/>
    <n v="4"/>
    <n v="747907"/>
    <n v="57655"/>
    <n v="690252"/>
    <n v="33"/>
    <n v="58"/>
    <n v="14.1"/>
  </r>
  <r>
    <x v="6"/>
    <x v="6"/>
    <d v="2021-08-20T00:00:00"/>
    <s v="NA"/>
    <n v="0"/>
    <n v="52"/>
    <s v="41-60"/>
    <x v="1"/>
    <x v="13"/>
    <x v="10"/>
    <x v="0"/>
    <n v="1"/>
    <n v="1"/>
    <n v="3.6"/>
    <x v="21"/>
    <n v="5"/>
    <n v="5"/>
    <n v="738959"/>
    <n v="215036"/>
    <n v="523923"/>
    <n v="33"/>
    <n v="64"/>
    <n v="15"/>
  </r>
  <r>
    <x v="6"/>
    <x v="6"/>
    <d v="2023-03-15T00:00:00"/>
    <s v="NA"/>
    <n v="0"/>
    <n v="46"/>
    <s v="41-60"/>
    <x v="1"/>
    <x v="6"/>
    <x v="4"/>
    <x v="1"/>
    <n v="1"/>
    <n v="1"/>
    <n v="2.2999999999999998"/>
    <x v="17"/>
    <n v="7"/>
    <n v="4"/>
    <n v="743226"/>
    <n v="120618"/>
    <n v="622608"/>
    <n v="53"/>
    <n v="62"/>
    <n v="9.6"/>
  </r>
  <r>
    <x v="6"/>
    <x v="6"/>
    <d v="2023-03-25T00:00:00"/>
    <s v="NA"/>
    <n v="0"/>
    <n v="34"/>
    <s v="21-40"/>
    <x v="0"/>
    <x v="5"/>
    <x v="0"/>
    <x v="0"/>
    <n v="1"/>
    <n v="1"/>
    <n v="4.2"/>
    <x v="10"/>
    <n v="5"/>
    <n v="4"/>
    <n v="744474"/>
    <n v="224448"/>
    <n v="520026"/>
    <n v="35"/>
    <n v="59"/>
    <n v="10.1"/>
  </r>
  <r>
    <x v="6"/>
    <x v="6"/>
    <d v="2021-05-22T00:00:00"/>
    <s v="NA"/>
    <n v="0"/>
    <n v="43"/>
    <s v="41-60"/>
    <x v="1"/>
    <x v="12"/>
    <x v="9"/>
    <x v="1"/>
    <n v="1"/>
    <n v="1"/>
    <n v="1.3"/>
    <x v="3"/>
    <n v="7"/>
    <n v="5"/>
    <n v="707958"/>
    <n v="138788"/>
    <n v="569170"/>
    <n v="49"/>
    <n v="59"/>
    <n v="14.1"/>
  </r>
  <r>
    <x v="6"/>
    <x v="6"/>
    <d v="2024-12-24T00:00:00"/>
    <s v="NA"/>
    <n v="0"/>
    <n v="24"/>
    <s v="21-40"/>
    <x v="1"/>
    <x v="11"/>
    <x v="8"/>
    <x v="2"/>
    <n v="1"/>
    <n v="1"/>
    <n v="5.0999999999999996"/>
    <x v="2"/>
    <n v="6"/>
    <n v="5"/>
    <n v="795436"/>
    <n v="140741"/>
    <n v="654695"/>
    <n v="33"/>
    <n v="54"/>
    <n v="8.3000000000000007"/>
  </r>
  <r>
    <x v="6"/>
    <x v="6"/>
    <d v="2022-08-10T00:00:00"/>
    <s v="NA"/>
    <n v="0"/>
    <n v="25"/>
    <s v="21-40"/>
    <x v="0"/>
    <x v="0"/>
    <x v="0"/>
    <x v="3"/>
    <n v="1"/>
    <n v="1"/>
    <n v="2.4"/>
    <x v="28"/>
    <n v="7"/>
    <n v="3"/>
    <n v="781938"/>
    <n v="158269"/>
    <n v="623669"/>
    <n v="30"/>
    <n v="54"/>
    <n v="5.2"/>
  </r>
  <r>
    <x v="6"/>
    <x v="6"/>
    <d v="2023-11-27T00:00:00"/>
    <s v="NA"/>
    <n v="0"/>
    <n v="67"/>
    <s v="61-80"/>
    <x v="0"/>
    <x v="0"/>
    <x v="0"/>
    <x v="1"/>
    <n v="1"/>
    <n v="1"/>
    <n v="2"/>
    <x v="15"/>
    <n v="5"/>
    <n v="4"/>
    <n v="757883"/>
    <n v="78003"/>
    <n v="679880"/>
    <n v="34"/>
    <n v="58"/>
    <n v="5.7"/>
  </r>
  <r>
    <x v="6"/>
    <x v="6"/>
    <d v="2021-11-13T00:00:00"/>
    <s v="NA"/>
    <n v="0"/>
    <n v="35"/>
    <s v="21-40"/>
    <x v="1"/>
    <x v="13"/>
    <x v="10"/>
    <x v="4"/>
    <n v="1"/>
    <n v="1"/>
    <n v="4.7"/>
    <x v="6"/>
    <n v="7"/>
    <n v="7"/>
    <n v="724458"/>
    <n v="121946"/>
    <n v="602512"/>
    <n v="30"/>
    <n v="63"/>
    <n v="8.6999999999999993"/>
  </r>
  <r>
    <x v="6"/>
    <x v="6"/>
    <d v="2021-07-31T00:00:00"/>
    <s v="NA"/>
    <n v="0"/>
    <n v="75"/>
    <s v="61-80"/>
    <x v="1"/>
    <x v="3"/>
    <x v="2"/>
    <x v="3"/>
    <n v="1"/>
    <n v="1"/>
    <n v="4.9000000000000004"/>
    <x v="11"/>
    <n v="3"/>
    <n v="3"/>
    <n v="781871"/>
    <n v="85733"/>
    <n v="696138"/>
    <n v="54"/>
    <n v="63"/>
    <n v="5.2"/>
  </r>
  <r>
    <x v="6"/>
    <x v="6"/>
    <d v="2022-07-09T00:00:00"/>
    <s v="NA"/>
    <n v="0"/>
    <n v="62"/>
    <s v="61-80"/>
    <x v="1"/>
    <x v="2"/>
    <x v="1"/>
    <x v="0"/>
    <n v="1"/>
    <n v="1"/>
    <n v="1"/>
    <x v="8"/>
    <n v="5"/>
    <n v="3"/>
    <n v="738796"/>
    <n v="157594"/>
    <n v="581202"/>
    <n v="54"/>
    <n v="55"/>
    <n v="8.8000000000000007"/>
  </r>
  <r>
    <x v="6"/>
    <x v="6"/>
    <d v="2024-06-30T00:00:00"/>
    <s v="NA"/>
    <n v="0"/>
    <n v="85"/>
    <s v="81+"/>
    <x v="1"/>
    <x v="6"/>
    <x v="4"/>
    <x v="0"/>
    <n v="1"/>
    <n v="1"/>
    <n v="2.9"/>
    <x v="15"/>
    <n v="6"/>
    <n v="4"/>
    <n v="779038"/>
    <n v="245652"/>
    <n v="533386"/>
    <n v="38"/>
    <n v="63"/>
    <n v="10.199999999999999"/>
  </r>
  <r>
    <x v="6"/>
    <x v="6"/>
    <d v="2023-03-07T00:00:00"/>
    <s v="NA"/>
    <n v="0"/>
    <n v="81"/>
    <s v="81+"/>
    <x v="1"/>
    <x v="3"/>
    <x v="2"/>
    <x v="2"/>
    <n v="1"/>
    <n v="1"/>
    <n v="2.6"/>
    <x v="4"/>
    <n v="5"/>
    <n v="7"/>
    <n v="795343"/>
    <n v="279149"/>
    <n v="516194"/>
    <n v="37"/>
    <n v="65"/>
    <n v="9.1"/>
  </r>
  <r>
    <x v="6"/>
    <x v="6"/>
    <d v="2023-05-03T00:00:00"/>
    <s v="NA"/>
    <n v="0"/>
    <n v="23"/>
    <s v="21-40"/>
    <x v="1"/>
    <x v="6"/>
    <x v="4"/>
    <x v="3"/>
    <n v="1"/>
    <n v="1"/>
    <n v="5.6"/>
    <x v="16"/>
    <n v="7"/>
    <n v="5"/>
    <n v="771330"/>
    <n v="175444"/>
    <n v="595886"/>
    <n v="55"/>
    <n v="61"/>
    <n v="12.5"/>
  </r>
  <r>
    <x v="6"/>
    <x v="6"/>
    <d v="2022-07-30T00:00:00"/>
    <s v="NA"/>
    <n v="0"/>
    <n v="58"/>
    <s v="41-60"/>
    <x v="1"/>
    <x v="12"/>
    <x v="9"/>
    <x v="0"/>
    <n v="1"/>
    <n v="1"/>
    <n v="1.7"/>
    <x v="18"/>
    <n v="6"/>
    <n v="6"/>
    <n v="721290"/>
    <n v="204113"/>
    <n v="517177"/>
    <n v="46"/>
    <n v="58"/>
    <n v="14.6"/>
  </r>
  <r>
    <x v="6"/>
    <x v="6"/>
    <d v="2022-07-24T00:00:00"/>
    <s v="NA"/>
    <n v="0"/>
    <n v="39"/>
    <s v="21-40"/>
    <x v="1"/>
    <x v="1"/>
    <x v="1"/>
    <x v="2"/>
    <n v="1"/>
    <n v="1"/>
    <n v="4.3"/>
    <x v="9"/>
    <n v="6"/>
    <n v="7"/>
    <n v="771823"/>
    <n v="117725"/>
    <n v="654098"/>
    <n v="41"/>
    <n v="61"/>
    <n v="13.3"/>
  </r>
  <r>
    <x v="6"/>
    <x v="6"/>
    <d v="2023-07-22T00:00:00"/>
    <s v="NA"/>
    <n v="0"/>
    <n v="43"/>
    <s v="41-60"/>
    <x v="0"/>
    <x v="12"/>
    <x v="9"/>
    <x v="2"/>
    <n v="1"/>
    <n v="1"/>
    <n v="2.4"/>
    <x v="0"/>
    <n v="7"/>
    <n v="3"/>
    <n v="796552"/>
    <n v="218145"/>
    <n v="578407"/>
    <n v="60"/>
    <n v="59"/>
    <n v="7.6"/>
  </r>
  <r>
    <x v="6"/>
    <x v="6"/>
    <d v="2021-05-25T00:00:00"/>
    <s v="NA"/>
    <n v="0"/>
    <n v="89"/>
    <s v="81+"/>
    <x v="0"/>
    <x v="12"/>
    <x v="9"/>
    <x v="1"/>
    <n v="1"/>
    <n v="1"/>
    <n v="6.3"/>
    <x v="16"/>
    <n v="5"/>
    <n v="4"/>
    <n v="779053"/>
    <n v="124286"/>
    <n v="654767"/>
    <n v="57"/>
    <n v="65"/>
    <n v="13.2"/>
  </r>
  <r>
    <x v="6"/>
    <x v="6"/>
    <d v="2021-12-21T00:00:00"/>
    <s v="NA"/>
    <n v="0"/>
    <n v="81"/>
    <s v="81+"/>
    <x v="1"/>
    <x v="9"/>
    <x v="7"/>
    <x v="3"/>
    <n v="1"/>
    <n v="1"/>
    <n v="4.8"/>
    <x v="7"/>
    <n v="5"/>
    <n v="6"/>
    <n v="779334"/>
    <n v="123556"/>
    <n v="655778"/>
    <n v="42"/>
    <n v="63"/>
    <n v="14.4"/>
  </r>
  <r>
    <x v="6"/>
    <x v="6"/>
    <d v="2022-06-19T00:00:00"/>
    <s v="NA"/>
    <n v="0"/>
    <n v="64"/>
    <s v="61-80"/>
    <x v="1"/>
    <x v="2"/>
    <x v="1"/>
    <x v="4"/>
    <n v="1"/>
    <n v="1"/>
    <n v="1.6"/>
    <x v="12"/>
    <n v="4"/>
    <n v="4"/>
    <n v="714407"/>
    <n v="85299"/>
    <n v="629108"/>
    <n v="45"/>
    <n v="66"/>
    <n v="8.1999999999999993"/>
  </r>
  <r>
    <x v="6"/>
    <x v="6"/>
    <d v="2024-05-07T00:00:00"/>
    <s v="NA"/>
    <n v="0"/>
    <n v="33"/>
    <s v="21-40"/>
    <x v="1"/>
    <x v="3"/>
    <x v="2"/>
    <x v="3"/>
    <n v="1"/>
    <n v="1"/>
    <n v="5.2"/>
    <x v="12"/>
    <n v="5"/>
    <n v="5"/>
    <n v="791838"/>
    <n v="127515"/>
    <n v="664323"/>
    <n v="40"/>
    <n v="59"/>
    <n v="6.3"/>
  </r>
  <r>
    <x v="6"/>
    <x v="6"/>
    <d v="2023-06-23T00:00:00"/>
    <s v="NA"/>
    <n v="0"/>
    <n v="83"/>
    <s v="81+"/>
    <x v="1"/>
    <x v="3"/>
    <x v="2"/>
    <x v="1"/>
    <n v="1"/>
    <n v="1"/>
    <n v="2.5"/>
    <x v="27"/>
    <n v="5"/>
    <n v="3"/>
    <n v="787388"/>
    <n v="179664"/>
    <n v="607724"/>
    <n v="49"/>
    <n v="64"/>
    <n v="6"/>
  </r>
  <r>
    <x v="6"/>
    <x v="6"/>
    <d v="2023-05-22T00:00:00"/>
    <s v="NA"/>
    <n v="0"/>
    <n v="63"/>
    <s v="61-80"/>
    <x v="0"/>
    <x v="7"/>
    <x v="5"/>
    <x v="2"/>
    <n v="1"/>
    <n v="1"/>
    <n v="2.2000000000000002"/>
    <x v="1"/>
    <n v="3"/>
    <n v="7"/>
    <n v="743584"/>
    <n v="180164"/>
    <n v="563420"/>
    <n v="34"/>
    <n v="60"/>
    <n v="12.9"/>
  </r>
  <r>
    <x v="6"/>
    <x v="6"/>
    <d v="2022-06-28T00:00:00"/>
    <s v="NA"/>
    <n v="0"/>
    <n v="77"/>
    <s v="61-80"/>
    <x v="0"/>
    <x v="2"/>
    <x v="1"/>
    <x v="0"/>
    <n v="1"/>
    <n v="1"/>
    <n v="2.2999999999999998"/>
    <x v="27"/>
    <n v="7"/>
    <n v="7"/>
    <n v="787229"/>
    <n v="115528"/>
    <n v="671701"/>
    <n v="56"/>
    <n v="62"/>
    <n v="10.5"/>
  </r>
  <r>
    <x v="6"/>
    <x v="6"/>
    <d v="2023-05-30T00:00:00"/>
    <s v="NA"/>
    <n v="0"/>
    <n v="37"/>
    <s v="21-40"/>
    <x v="1"/>
    <x v="3"/>
    <x v="2"/>
    <x v="2"/>
    <n v="1"/>
    <n v="1"/>
    <n v="3.5"/>
    <x v="13"/>
    <n v="5"/>
    <n v="7"/>
    <n v="743491"/>
    <n v="189429"/>
    <n v="554062"/>
    <n v="44"/>
    <n v="57"/>
    <n v="10.7"/>
  </r>
  <r>
    <x v="6"/>
    <x v="6"/>
    <d v="2021-03-06T00:00:00"/>
    <s v="NA"/>
    <n v="0"/>
    <n v="25"/>
    <s v="21-40"/>
    <x v="0"/>
    <x v="12"/>
    <x v="9"/>
    <x v="4"/>
    <n v="1"/>
    <n v="1"/>
    <n v="5.0999999999999996"/>
    <x v="26"/>
    <n v="3"/>
    <n v="7"/>
    <n v="767910"/>
    <n v="225088"/>
    <n v="542822"/>
    <n v="43"/>
    <n v="59"/>
    <n v="7.1"/>
  </r>
  <r>
    <x v="6"/>
    <x v="6"/>
    <d v="2024-03-30T00:00:00"/>
    <s v="NA"/>
    <n v="0"/>
    <n v="77"/>
    <s v="61-80"/>
    <x v="1"/>
    <x v="9"/>
    <x v="7"/>
    <x v="0"/>
    <n v="1"/>
    <n v="1"/>
    <n v="5.6"/>
    <x v="16"/>
    <n v="6"/>
    <n v="7"/>
    <n v="784462"/>
    <n v="170356"/>
    <n v="614106"/>
    <n v="48"/>
    <n v="62"/>
    <n v="8.6"/>
  </r>
  <r>
    <x v="6"/>
    <x v="6"/>
    <d v="2023-09-22T00:00:00"/>
    <s v="NA"/>
    <n v="0"/>
    <n v="33"/>
    <s v="21-40"/>
    <x v="0"/>
    <x v="12"/>
    <x v="9"/>
    <x v="0"/>
    <n v="1"/>
    <n v="1"/>
    <n v="6.4"/>
    <x v="20"/>
    <n v="5"/>
    <n v="5"/>
    <n v="763071"/>
    <n v="83253"/>
    <n v="679818"/>
    <n v="49"/>
    <n v="56"/>
    <n v="12.3"/>
  </r>
  <r>
    <x v="6"/>
    <x v="6"/>
    <d v="2021-11-21T00:00:00"/>
    <s v="NA"/>
    <n v="0"/>
    <n v="28"/>
    <s v="21-40"/>
    <x v="0"/>
    <x v="0"/>
    <x v="0"/>
    <x v="0"/>
    <n v="1"/>
    <n v="1"/>
    <n v="1.1000000000000001"/>
    <x v="0"/>
    <n v="6"/>
    <n v="7"/>
    <n v="740709"/>
    <n v="231673"/>
    <n v="509036"/>
    <n v="36"/>
    <n v="56"/>
    <n v="10.6"/>
  </r>
  <r>
    <x v="6"/>
    <x v="6"/>
    <d v="2024-07-01T00:00:00"/>
    <s v="NA"/>
    <n v="0"/>
    <n v="77"/>
    <s v="61-80"/>
    <x v="1"/>
    <x v="7"/>
    <x v="5"/>
    <x v="1"/>
    <n v="1"/>
    <n v="1"/>
    <n v="3.1"/>
    <x v="1"/>
    <n v="5"/>
    <n v="5"/>
    <n v="757639"/>
    <n v="129866"/>
    <n v="627773"/>
    <n v="39"/>
    <n v="54"/>
    <n v="5.6"/>
  </r>
  <r>
    <x v="6"/>
    <x v="6"/>
    <d v="2021-12-26T00:00:00"/>
    <s v="NA"/>
    <n v="0"/>
    <n v="60"/>
    <s v="41-60"/>
    <x v="1"/>
    <x v="4"/>
    <x v="3"/>
    <x v="3"/>
    <n v="1"/>
    <n v="1"/>
    <n v="2.7"/>
    <x v="23"/>
    <n v="3"/>
    <n v="3"/>
    <n v="780198"/>
    <n v="241099"/>
    <n v="539099"/>
    <n v="43"/>
    <n v="64"/>
    <n v="8.6"/>
  </r>
  <r>
    <x v="6"/>
    <x v="6"/>
    <d v="2021-04-01T00:00:00"/>
    <s v="NA"/>
    <n v="0"/>
    <n v="74"/>
    <s v="61-80"/>
    <x v="0"/>
    <x v="7"/>
    <x v="5"/>
    <x v="2"/>
    <n v="1"/>
    <n v="1"/>
    <n v="6.6"/>
    <x v="5"/>
    <n v="5"/>
    <n v="6"/>
    <n v="746470"/>
    <n v="215729"/>
    <n v="530741"/>
    <n v="52"/>
    <n v="63"/>
    <n v="36.4"/>
  </r>
  <r>
    <x v="6"/>
    <x v="6"/>
    <d v="2021-09-26T00:00:00"/>
    <s v="NA"/>
    <n v="0"/>
    <n v="82"/>
    <s v="81+"/>
    <x v="1"/>
    <x v="3"/>
    <x v="2"/>
    <x v="0"/>
    <n v="1"/>
    <n v="1"/>
    <n v="4.5"/>
    <x v="9"/>
    <n v="4"/>
    <n v="6"/>
    <n v="700825"/>
    <n v="169350"/>
    <n v="531475"/>
    <n v="46"/>
    <n v="56"/>
    <n v="6.6"/>
  </r>
  <r>
    <x v="6"/>
    <x v="6"/>
    <d v="2024-07-26T00:00:00"/>
    <s v="NA"/>
    <n v="0"/>
    <n v="79"/>
    <s v="61-80"/>
    <x v="0"/>
    <x v="14"/>
    <x v="11"/>
    <x v="1"/>
    <n v="1"/>
    <n v="1"/>
    <n v="4.0999999999999996"/>
    <x v="24"/>
    <n v="4"/>
    <n v="6"/>
    <n v="716695"/>
    <n v="83258"/>
    <n v="633437"/>
    <n v="57"/>
    <n v="65"/>
    <n v="36.9"/>
  </r>
  <r>
    <x v="6"/>
    <x v="6"/>
    <d v="2021-09-09T00:00:00"/>
    <s v="NA"/>
    <n v="0"/>
    <n v="55"/>
    <s v="41-60"/>
    <x v="1"/>
    <x v="3"/>
    <x v="2"/>
    <x v="4"/>
    <n v="1"/>
    <n v="1"/>
    <n v="6.1"/>
    <x v="9"/>
    <n v="6"/>
    <n v="6"/>
    <n v="705357"/>
    <n v="57885"/>
    <n v="647472"/>
    <n v="48"/>
    <n v="63"/>
    <n v="36.6"/>
  </r>
  <r>
    <x v="6"/>
    <x v="6"/>
    <d v="2024-01-04T00:00:00"/>
    <s v="NA"/>
    <n v="0"/>
    <n v="55"/>
    <s v="41-60"/>
    <x v="0"/>
    <x v="1"/>
    <x v="1"/>
    <x v="2"/>
    <n v="1"/>
    <n v="1"/>
    <n v="4"/>
    <x v="3"/>
    <n v="7"/>
    <n v="6"/>
    <n v="770707"/>
    <n v="137675"/>
    <n v="633032"/>
    <n v="46"/>
    <n v="63"/>
    <n v="14"/>
  </r>
  <r>
    <x v="6"/>
    <x v="6"/>
    <d v="2021-05-22T00:00:00"/>
    <s v="NA"/>
    <n v="0"/>
    <n v="43"/>
    <s v="41-60"/>
    <x v="0"/>
    <x v="4"/>
    <x v="3"/>
    <x v="0"/>
    <n v="1"/>
    <n v="1"/>
    <n v="5.8"/>
    <x v="11"/>
    <n v="7"/>
    <n v="6"/>
    <n v="769021"/>
    <n v="134996"/>
    <n v="634025"/>
    <n v="43"/>
    <n v="66"/>
    <n v="36.700000000000003"/>
  </r>
  <r>
    <x v="6"/>
    <x v="6"/>
    <d v="2021-03-07T00:00:00"/>
    <s v="NA"/>
    <n v="0"/>
    <n v="83"/>
    <s v="81+"/>
    <x v="0"/>
    <x v="0"/>
    <x v="0"/>
    <x v="4"/>
    <n v="1"/>
    <n v="1"/>
    <n v="2.4"/>
    <x v="2"/>
    <n v="5"/>
    <n v="5"/>
    <n v="762443"/>
    <n v="88545"/>
    <n v="673898"/>
    <n v="41"/>
    <n v="66"/>
    <n v="13"/>
  </r>
  <r>
    <x v="6"/>
    <x v="6"/>
    <d v="2024-02-08T00:00:00"/>
    <s v="NA"/>
    <n v="0"/>
    <n v="58"/>
    <s v="41-60"/>
    <x v="1"/>
    <x v="6"/>
    <x v="4"/>
    <x v="2"/>
    <n v="1"/>
    <n v="1"/>
    <n v="4.5999999999999996"/>
    <x v="4"/>
    <n v="4"/>
    <n v="3"/>
    <n v="733278"/>
    <n v="196315"/>
    <n v="536963"/>
    <n v="42"/>
    <n v="56"/>
    <n v="36"/>
  </r>
  <r>
    <x v="6"/>
    <x v="6"/>
    <d v="2023-12-05T00:00:00"/>
    <s v="NA"/>
    <n v="0"/>
    <n v="81"/>
    <s v="81+"/>
    <x v="0"/>
    <x v="12"/>
    <x v="9"/>
    <x v="3"/>
    <n v="1"/>
    <n v="1"/>
    <n v="6.6"/>
    <x v="15"/>
    <n v="7"/>
    <n v="6"/>
    <n v="783212"/>
    <n v="245061"/>
    <n v="538151"/>
    <n v="54"/>
    <n v="64"/>
    <n v="14.5"/>
  </r>
  <r>
    <x v="6"/>
    <x v="6"/>
    <d v="2023-01-29T00:00:00"/>
    <s v="NA"/>
    <n v="0"/>
    <n v="50"/>
    <s v="41-60"/>
    <x v="1"/>
    <x v="3"/>
    <x v="2"/>
    <x v="0"/>
    <n v="1"/>
    <n v="1"/>
    <n v="3"/>
    <x v="1"/>
    <n v="6"/>
    <n v="5"/>
    <n v="744291"/>
    <n v="98293"/>
    <n v="645998"/>
    <n v="56"/>
    <n v="54"/>
    <n v="7.4"/>
  </r>
  <r>
    <x v="6"/>
    <x v="6"/>
    <d v="2022-09-30T00:00:00"/>
    <s v="NA"/>
    <n v="0"/>
    <n v="58"/>
    <s v="41-60"/>
    <x v="1"/>
    <x v="2"/>
    <x v="1"/>
    <x v="1"/>
    <n v="1"/>
    <n v="1"/>
    <n v="2.1"/>
    <x v="14"/>
    <n v="3"/>
    <n v="6"/>
    <n v="741645"/>
    <n v="120646"/>
    <n v="620999"/>
    <n v="51"/>
    <n v="65"/>
    <n v="12.7"/>
  </r>
  <r>
    <x v="6"/>
    <x v="6"/>
    <d v="2022-08-19T00:00:00"/>
    <s v="NA"/>
    <n v="0"/>
    <n v="49"/>
    <s v="41-60"/>
    <x v="0"/>
    <x v="5"/>
    <x v="0"/>
    <x v="3"/>
    <n v="1"/>
    <n v="1"/>
    <n v="2.2000000000000002"/>
    <x v="20"/>
    <n v="5"/>
    <n v="3"/>
    <n v="724985"/>
    <n v="211222"/>
    <n v="513763"/>
    <n v="36"/>
    <n v="60"/>
    <n v="12.4"/>
  </r>
  <r>
    <x v="6"/>
    <x v="6"/>
    <d v="2024-04-06T00:00:00"/>
    <s v="NA"/>
    <n v="0"/>
    <n v="55"/>
    <s v="41-60"/>
    <x v="0"/>
    <x v="9"/>
    <x v="7"/>
    <x v="3"/>
    <n v="1"/>
    <n v="1"/>
    <n v="3.6"/>
    <x v="8"/>
    <n v="5"/>
    <n v="3"/>
    <n v="745564"/>
    <n v="69200"/>
    <n v="676364"/>
    <n v="44"/>
    <n v="63"/>
    <n v="5.7"/>
  </r>
  <r>
    <x v="6"/>
    <x v="6"/>
    <d v="2022-06-23T00:00:00"/>
    <s v="NA"/>
    <n v="0"/>
    <n v="24"/>
    <s v="21-40"/>
    <x v="0"/>
    <x v="14"/>
    <x v="11"/>
    <x v="0"/>
    <n v="1"/>
    <n v="1"/>
    <n v="2.2999999999999998"/>
    <x v="6"/>
    <n v="7"/>
    <n v="4"/>
    <n v="765589"/>
    <n v="221622"/>
    <n v="543967"/>
    <n v="45"/>
    <n v="63"/>
    <n v="9.4"/>
  </r>
  <r>
    <x v="6"/>
    <x v="6"/>
    <d v="2023-08-31T00:00:00"/>
    <s v="NA"/>
    <n v="0"/>
    <n v="78"/>
    <s v="61-80"/>
    <x v="0"/>
    <x v="9"/>
    <x v="7"/>
    <x v="1"/>
    <n v="1"/>
    <n v="1"/>
    <n v="6.9"/>
    <x v="28"/>
    <n v="4"/>
    <n v="4"/>
    <n v="731091"/>
    <n v="118348"/>
    <n v="612743"/>
    <n v="33"/>
    <n v="64"/>
    <n v="12.2"/>
  </r>
  <r>
    <x v="6"/>
    <x v="6"/>
    <d v="2024-08-19T00:00:00"/>
    <s v="NA"/>
    <n v="0"/>
    <n v="27"/>
    <s v="21-40"/>
    <x v="0"/>
    <x v="7"/>
    <x v="5"/>
    <x v="3"/>
    <n v="1"/>
    <n v="1"/>
    <n v="2.6"/>
    <x v="10"/>
    <n v="6"/>
    <n v="4"/>
    <n v="743202"/>
    <n v="119728"/>
    <n v="623474"/>
    <n v="58"/>
    <n v="62"/>
    <n v="6"/>
  </r>
  <r>
    <x v="6"/>
    <x v="6"/>
    <d v="2024-03-21T00:00:00"/>
    <s v="NA"/>
    <n v="0"/>
    <n v="27"/>
    <s v="21-40"/>
    <x v="1"/>
    <x v="10"/>
    <x v="8"/>
    <x v="1"/>
    <n v="1"/>
    <n v="1"/>
    <n v="1.1000000000000001"/>
    <x v="8"/>
    <n v="3"/>
    <n v="7"/>
    <n v="729400"/>
    <n v="133304"/>
    <n v="596096"/>
    <n v="35"/>
    <n v="61"/>
    <n v="9"/>
  </r>
  <r>
    <x v="6"/>
    <x v="6"/>
    <d v="2021-03-01T00:00:00"/>
    <s v="NA"/>
    <n v="0"/>
    <n v="76"/>
    <s v="61-80"/>
    <x v="0"/>
    <x v="5"/>
    <x v="0"/>
    <x v="1"/>
    <n v="1"/>
    <n v="1"/>
    <n v="3.1"/>
    <x v="17"/>
    <n v="3"/>
    <n v="7"/>
    <n v="774594"/>
    <n v="80939"/>
    <n v="693655"/>
    <n v="33"/>
    <n v="54"/>
    <n v="8.5"/>
  </r>
  <r>
    <x v="6"/>
    <x v="6"/>
    <d v="2021-12-20T00:00:00"/>
    <s v="NA"/>
    <n v="0"/>
    <n v="85"/>
    <s v="81+"/>
    <x v="1"/>
    <x v="13"/>
    <x v="10"/>
    <x v="3"/>
    <n v="1"/>
    <n v="1"/>
    <n v="2.7"/>
    <x v="11"/>
    <n v="3"/>
    <n v="5"/>
    <n v="767418"/>
    <n v="214249"/>
    <n v="553169"/>
    <n v="35"/>
    <n v="56"/>
    <n v="10.1"/>
  </r>
  <r>
    <x v="6"/>
    <x v="6"/>
    <d v="2022-08-11T00:00:00"/>
    <s v="NA"/>
    <n v="0"/>
    <n v="39"/>
    <s v="21-40"/>
    <x v="0"/>
    <x v="12"/>
    <x v="9"/>
    <x v="4"/>
    <n v="1"/>
    <n v="1"/>
    <n v="1.6"/>
    <x v="24"/>
    <n v="6"/>
    <n v="7"/>
    <n v="726950"/>
    <n v="143322"/>
    <n v="583628"/>
    <n v="59"/>
    <n v="59"/>
    <n v="12.3"/>
  </r>
  <r>
    <x v="6"/>
    <x v="6"/>
    <d v="2024-10-18T00:00:00"/>
    <s v="NA"/>
    <n v="0"/>
    <n v="53"/>
    <s v="41-60"/>
    <x v="1"/>
    <x v="2"/>
    <x v="1"/>
    <x v="3"/>
    <n v="1"/>
    <n v="1"/>
    <n v="6.4"/>
    <x v="8"/>
    <n v="7"/>
    <n v="3"/>
    <n v="715024"/>
    <n v="23301"/>
    <n v="691723"/>
    <n v="41"/>
    <n v="57"/>
    <n v="5.6"/>
  </r>
  <r>
    <x v="6"/>
    <x v="6"/>
    <d v="2024-01-22T00:00:00"/>
    <s v="NA"/>
    <n v="0"/>
    <n v="26"/>
    <s v="21-40"/>
    <x v="1"/>
    <x v="2"/>
    <x v="1"/>
    <x v="4"/>
    <n v="1"/>
    <n v="1"/>
    <n v="1.9"/>
    <x v="20"/>
    <n v="5"/>
    <n v="6"/>
    <n v="728572"/>
    <n v="50263"/>
    <n v="678309"/>
    <n v="60"/>
    <n v="66"/>
    <n v="10.3"/>
  </r>
  <r>
    <x v="6"/>
    <x v="6"/>
    <d v="2023-01-27T00:00:00"/>
    <s v="NA"/>
    <n v="0"/>
    <n v="47"/>
    <s v="41-60"/>
    <x v="1"/>
    <x v="12"/>
    <x v="9"/>
    <x v="2"/>
    <n v="1"/>
    <n v="1"/>
    <n v="3.9"/>
    <x v="9"/>
    <n v="4"/>
    <n v="5"/>
    <n v="713652"/>
    <n v="185062"/>
    <n v="528590"/>
    <n v="46"/>
    <n v="58"/>
    <n v="12.8"/>
  </r>
  <r>
    <x v="6"/>
    <x v="6"/>
    <d v="2021-05-20T00:00:00"/>
    <s v="NA"/>
    <n v="0"/>
    <n v="25"/>
    <s v="21-40"/>
    <x v="1"/>
    <x v="6"/>
    <x v="4"/>
    <x v="4"/>
    <n v="1"/>
    <n v="1"/>
    <n v="2.5"/>
    <x v="29"/>
    <n v="7"/>
    <n v="5"/>
    <n v="783055"/>
    <n v="85705"/>
    <n v="697350"/>
    <n v="45"/>
    <n v="55"/>
    <n v="36.9"/>
  </r>
  <r>
    <x v="6"/>
    <x v="6"/>
    <d v="2023-01-31T00:00:00"/>
    <s v="NA"/>
    <n v="0"/>
    <n v="45"/>
    <s v="41-60"/>
    <x v="0"/>
    <x v="9"/>
    <x v="7"/>
    <x v="2"/>
    <n v="1"/>
    <n v="1"/>
    <n v="2.7"/>
    <x v="27"/>
    <n v="7"/>
    <n v="3"/>
    <n v="781756"/>
    <n v="221835"/>
    <n v="559921"/>
    <n v="53"/>
    <n v="55"/>
    <n v="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ED6179-90D9-433B-ABFF-E511EA00938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6">
  <location ref="B99:C115" firstHeaderRow="1" firstDataRow="1" firstDataCol="1"/>
  <pivotFields count="23">
    <pivotField showAll="0">
      <items count="16">
        <item x="2"/>
        <item x="4"/>
        <item x="10"/>
        <item x="13"/>
        <item x="0"/>
        <item x="14"/>
        <item x="8"/>
        <item x="9"/>
        <item x="5"/>
        <item x="3"/>
        <item x="11"/>
        <item x="12"/>
        <item x="1"/>
        <item x="7"/>
        <item x="6"/>
        <item t="default"/>
      </items>
    </pivotField>
    <pivotField showAll="0">
      <items count="16">
        <item x="14"/>
        <item x="2"/>
        <item x="10"/>
        <item x="12"/>
        <item x="4"/>
        <item x="1"/>
        <item x="0"/>
        <item x="5"/>
        <item x="9"/>
        <item x="8"/>
        <item x="6"/>
        <item x="3"/>
        <item x="13"/>
        <item x="7"/>
        <item x="11"/>
        <item t="default"/>
      </items>
    </pivotField>
    <pivotField numFmtId="14" showAll="0"/>
    <pivotField showAll="0"/>
    <pivotField showAll="0"/>
    <pivotField showAll="0"/>
    <pivotField showAll="0"/>
    <pivotField showAll="0">
      <items count="3">
        <item x="0"/>
        <item x="1"/>
        <item t="default"/>
      </items>
    </pivotField>
    <pivotField axis="axisRow" showAll="0" sortType="descending">
      <items count="16">
        <item x="13"/>
        <item x="14"/>
        <item x="12"/>
        <item x="10"/>
        <item x="7"/>
        <item x="3"/>
        <item x="5"/>
        <item x="4"/>
        <item x="6"/>
        <item x="1"/>
        <item x="9"/>
        <item x="0"/>
        <item x="2"/>
        <item x="11"/>
        <item x="8"/>
        <item t="default"/>
      </items>
      <autoSortScope>
        <pivotArea dataOnly="0" outline="0" fieldPosition="0">
          <references count="1">
            <reference field="4294967294" count="1" selected="0">
              <x v="0"/>
            </reference>
          </references>
        </pivotArea>
      </autoSortScope>
    </pivotField>
    <pivotField showAll="0">
      <items count="13">
        <item x="2"/>
        <item x="8"/>
        <item x="5"/>
        <item x="3"/>
        <item x="0"/>
        <item x="10"/>
        <item x="6"/>
        <item x="4"/>
        <item x="1"/>
        <item x="11"/>
        <item x="9"/>
        <item x="7"/>
        <item t="default"/>
      </items>
    </pivotField>
    <pivotField showAll="0">
      <items count="6">
        <item x="2"/>
        <item x="1"/>
        <item x="4"/>
        <item x="3"/>
        <item x="0"/>
        <item t="default"/>
      </items>
    </pivotField>
    <pivotField showAll="0"/>
    <pivotField showAll="0"/>
    <pivotField showAll="0"/>
    <pivotField showAll="0">
      <items count="32">
        <item x="13"/>
        <item x="9"/>
        <item x="23"/>
        <item x="14"/>
        <item x="5"/>
        <item x="15"/>
        <item x="4"/>
        <item x="21"/>
        <item x="16"/>
        <item x="7"/>
        <item x="30"/>
        <item x="10"/>
        <item x="29"/>
        <item x="12"/>
        <item x="20"/>
        <item x="1"/>
        <item x="0"/>
        <item x="18"/>
        <item x="19"/>
        <item x="27"/>
        <item x="25"/>
        <item x="8"/>
        <item x="26"/>
        <item x="11"/>
        <item x="17"/>
        <item x="2"/>
        <item x="24"/>
        <item x="28"/>
        <item x="6"/>
        <item x="3"/>
        <item x="22"/>
        <item t="default"/>
      </items>
    </pivotField>
    <pivotField showAll="0"/>
    <pivotField showAll="0"/>
    <pivotField dataField="1" showAll="0"/>
    <pivotField showAll="0"/>
    <pivotField showAll="0"/>
    <pivotField showAll="0"/>
    <pivotField showAll="0"/>
    <pivotField showAll="0"/>
  </pivotFields>
  <rowFields count="1">
    <field x="8"/>
  </rowFields>
  <rowItems count="16">
    <i>
      <x v="11"/>
    </i>
    <i>
      <x v="5"/>
    </i>
    <i>
      <x v="12"/>
    </i>
    <i>
      <x v="2"/>
    </i>
    <i>
      <x v="7"/>
    </i>
    <i>
      <x v="8"/>
    </i>
    <i>
      <x v="4"/>
    </i>
    <i>
      <x v="3"/>
    </i>
    <i>
      <x v="10"/>
    </i>
    <i>
      <x/>
    </i>
    <i>
      <x v="6"/>
    </i>
    <i>
      <x v="9"/>
    </i>
    <i>
      <x v="13"/>
    </i>
    <i>
      <x v="14"/>
    </i>
    <i>
      <x v="1"/>
    </i>
    <i t="grand">
      <x/>
    </i>
  </rowItems>
  <colItems count="1">
    <i/>
  </colItems>
  <dataFields count="1">
    <dataField name="Sum of Revenue" fld="17" baseField="0" baseItem="0"/>
  </dataFields>
  <formats count="2">
    <format dxfId="3">
      <pivotArea type="all" dataOnly="0" outline="0" fieldPosition="0"/>
    </format>
    <format dxfId="2">
      <pivotArea outline="0" collapsedLevelsAreSubtotals="1" fieldPosition="0"/>
    </format>
  </formats>
  <chartFormats count="48">
    <chartFormat chart="53" format="0" series="1">
      <pivotArea type="data" outline="0" fieldPosition="0">
        <references count="1">
          <reference field="4294967294" count="1" selected="0">
            <x v="0"/>
          </reference>
        </references>
      </pivotArea>
    </chartFormat>
    <chartFormat chart="53" format="1">
      <pivotArea type="data" outline="0" fieldPosition="0">
        <references count="2">
          <reference field="4294967294" count="1" selected="0">
            <x v="0"/>
          </reference>
          <reference field="8" count="1" selected="0">
            <x v="11"/>
          </reference>
        </references>
      </pivotArea>
    </chartFormat>
    <chartFormat chart="53" format="2">
      <pivotArea type="data" outline="0" fieldPosition="0">
        <references count="2">
          <reference field="4294967294" count="1" selected="0">
            <x v="0"/>
          </reference>
          <reference field="8" count="1" selected="0">
            <x v="5"/>
          </reference>
        </references>
      </pivotArea>
    </chartFormat>
    <chartFormat chart="53" format="3">
      <pivotArea type="data" outline="0" fieldPosition="0">
        <references count="2">
          <reference field="4294967294" count="1" selected="0">
            <x v="0"/>
          </reference>
          <reference field="8" count="1" selected="0">
            <x v="12"/>
          </reference>
        </references>
      </pivotArea>
    </chartFormat>
    <chartFormat chart="53" format="4">
      <pivotArea type="data" outline="0" fieldPosition="0">
        <references count="2">
          <reference field="4294967294" count="1" selected="0">
            <x v="0"/>
          </reference>
          <reference field="8" count="1" selected="0">
            <x v="2"/>
          </reference>
        </references>
      </pivotArea>
    </chartFormat>
    <chartFormat chart="53" format="5">
      <pivotArea type="data" outline="0" fieldPosition="0">
        <references count="2">
          <reference field="4294967294" count="1" selected="0">
            <x v="0"/>
          </reference>
          <reference field="8" count="1" selected="0">
            <x v="7"/>
          </reference>
        </references>
      </pivotArea>
    </chartFormat>
    <chartFormat chart="53" format="6">
      <pivotArea type="data" outline="0" fieldPosition="0">
        <references count="2">
          <reference field="4294967294" count="1" selected="0">
            <x v="0"/>
          </reference>
          <reference field="8" count="1" selected="0">
            <x v="8"/>
          </reference>
        </references>
      </pivotArea>
    </chartFormat>
    <chartFormat chart="53" format="7">
      <pivotArea type="data" outline="0" fieldPosition="0">
        <references count="2">
          <reference field="4294967294" count="1" selected="0">
            <x v="0"/>
          </reference>
          <reference field="8" count="1" selected="0">
            <x v="4"/>
          </reference>
        </references>
      </pivotArea>
    </chartFormat>
    <chartFormat chart="53" format="8">
      <pivotArea type="data" outline="0" fieldPosition="0">
        <references count="2">
          <reference field="4294967294" count="1" selected="0">
            <x v="0"/>
          </reference>
          <reference field="8" count="1" selected="0">
            <x v="3"/>
          </reference>
        </references>
      </pivotArea>
    </chartFormat>
    <chartFormat chart="53" format="9">
      <pivotArea type="data" outline="0" fieldPosition="0">
        <references count="2">
          <reference field="4294967294" count="1" selected="0">
            <x v="0"/>
          </reference>
          <reference field="8" count="1" selected="0">
            <x v="10"/>
          </reference>
        </references>
      </pivotArea>
    </chartFormat>
    <chartFormat chart="53" format="10">
      <pivotArea type="data" outline="0" fieldPosition="0">
        <references count="2">
          <reference field="4294967294" count="1" selected="0">
            <x v="0"/>
          </reference>
          <reference field="8" count="1" selected="0">
            <x v="0"/>
          </reference>
        </references>
      </pivotArea>
    </chartFormat>
    <chartFormat chart="53" format="11">
      <pivotArea type="data" outline="0" fieldPosition="0">
        <references count="2">
          <reference field="4294967294" count="1" selected="0">
            <x v="0"/>
          </reference>
          <reference field="8" count="1" selected="0">
            <x v="6"/>
          </reference>
        </references>
      </pivotArea>
    </chartFormat>
    <chartFormat chart="53" format="12">
      <pivotArea type="data" outline="0" fieldPosition="0">
        <references count="2">
          <reference field="4294967294" count="1" selected="0">
            <x v="0"/>
          </reference>
          <reference field="8" count="1" selected="0">
            <x v="9"/>
          </reference>
        </references>
      </pivotArea>
    </chartFormat>
    <chartFormat chart="53" format="13">
      <pivotArea type="data" outline="0" fieldPosition="0">
        <references count="2">
          <reference field="4294967294" count="1" selected="0">
            <x v="0"/>
          </reference>
          <reference field="8" count="1" selected="0">
            <x v="13"/>
          </reference>
        </references>
      </pivotArea>
    </chartFormat>
    <chartFormat chart="53" format="14">
      <pivotArea type="data" outline="0" fieldPosition="0">
        <references count="2">
          <reference field="4294967294" count="1" selected="0">
            <x v="0"/>
          </reference>
          <reference field="8" count="1" selected="0">
            <x v="14"/>
          </reference>
        </references>
      </pivotArea>
    </chartFormat>
    <chartFormat chart="53" format="15">
      <pivotArea type="data" outline="0" fieldPosition="0">
        <references count="2">
          <reference field="4294967294" count="1" selected="0">
            <x v="0"/>
          </reference>
          <reference field="8" count="1" selected="0">
            <x v="1"/>
          </reference>
        </references>
      </pivotArea>
    </chartFormat>
    <chartFormat chart="59" format="16" series="1">
      <pivotArea type="data" outline="0" fieldPosition="0">
        <references count="1">
          <reference field="4294967294" count="1" selected="0">
            <x v="0"/>
          </reference>
        </references>
      </pivotArea>
    </chartFormat>
    <chartFormat chart="59" format="17">
      <pivotArea type="data" outline="0" fieldPosition="0">
        <references count="2">
          <reference field="4294967294" count="1" selected="0">
            <x v="0"/>
          </reference>
          <reference field="8" count="1" selected="0">
            <x v="11"/>
          </reference>
        </references>
      </pivotArea>
    </chartFormat>
    <chartFormat chart="59" format="18">
      <pivotArea type="data" outline="0" fieldPosition="0">
        <references count="2">
          <reference field="4294967294" count="1" selected="0">
            <x v="0"/>
          </reference>
          <reference field="8" count="1" selected="0">
            <x v="5"/>
          </reference>
        </references>
      </pivotArea>
    </chartFormat>
    <chartFormat chart="59" format="19">
      <pivotArea type="data" outline="0" fieldPosition="0">
        <references count="2">
          <reference field="4294967294" count="1" selected="0">
            <x v="0"/>
          </reference>
          <reference field="8" count="1" selected="0">
            <x v="12"/>
          </reference>
        </references>
      </pivotArea>
    </chartFormat>
    <chartFormat chart="59" format="20">
      <pivotArea type="data" outline="0" fieldPosition="0">
        <references count="2">
          <reference field="4294967294" count="1" selected="0">
            <x v="0"/>
          </reference>
          <reference field="8" count="1" selected="0">
            <x v="2"/>
          </reference>
        </references>
      </pivotArea>
    </chartFormat>
    <chartFormat chart="59" format="21">
      <pivotArea type="data" outline="0" fieldPosition="0">
        <references count="2">
          <reference field="4294967294" count="1" selected="0">
            <x v="0"/>
          </reference>
          <reference field="8" count="1" selected="0">
            <x v="7"/>
          </reference>
        </references>
      </pivotArea>
    </chartFormat>
    <chartFormat chart="59" format="22">
      <pivotArea type="data" outline="0" fieldPosition="0">
        <references count="2">
          <reference field="4294967294" count="1" selected="0">
            <x v="0"/>
          </reference>
          <reference field="8" count="1" selected="0">
            <x v="8"/>
          </reference>
        </references>
      </pivotArea>
    </chartFormat>
    <chartFormat chart="59" format="23">
      <pivotArea type="data" outline="0" fieldPosition="0">
        <references count="2">
          <reference field="4294967294" count="1" selected="0">
            <x v="0"/>
          </reference>
          <reference field="8" count="1" selected="0">
            <x v="4"/>
          </reference>
        </references>
      </pivotArea>
    </chartFormat>
    <chartFormat chart="59" format="24">
      <pivotArea type="data" outline="0" fieldPosition="0">
        <references count="2">
          <reference field="4294967294" count="1" selected="0">
            <x v="0"/>
          </reference>
          <reference field="8" count="1" selected="0">
            <x v="3"/>
          </reference>
        </references>
      </pivotArea>
    </chartFormat>
    <chartFormat chart="59" format="25">
      <pivotArea type="data" outline="0" fieldPosition="0">
        <references count="2">
          <reference field="4294967294" count="1" selected="0">
            <x v="0"/>
          </reference>
          <reference field="8" count="1" selected="0">
            <x v="10"/>
          </reference>
        </references>
      </pivotArea>
    </chartFormat>
    <chartFormat chart="59" format="26">
      <pivotArea type="data" outline="0" fieldPosition="0">
        <references count="2">
          <reference field="4294967294" count="1" selected="0">
            <x v="0"/>
          </reference>
          <reference field="8" count="1" selected="0">
            <x v="0"/>
          </reference>
        </references>
      </pivotArea>
    </chartFormat>
    <chartFormat chart="59" format="27">
      <pivotArea type="data" outline="0" fieldPosition="0">
        <references count="2">
          <reference field="4294967294" count="1" selected="0">
            <x v="0"/>
          </reference>
          <reference field="8" count="1" selected="0">
            <x v="6"/>
          </reference>
        </references>
      </pivotArea>
    </chartFormat>
    <chartFormat chart="59" format="28">
      <pivotArea type="data" outline="0" fieldPosition="0">
        <references count="2">
          <reference field="4294967294" count="1" selected="0">
            <x v="0"/>
          </reference>
          <reference field="8" count="1" selected="0">
            <x v="9"/>
          </reference>
        </references>
      </pivotArea>
    </chartFormat>
    <chartFormat chart="59" format="29">
      <pivotArea type="data" outline="0" fieldPosition="0">
        <references count="2">
          <reference field="4294967294" count="1" selected="0">
            <x v="0"/>
          </reference>
          <reference field="8" count="1" selected="0">
            <x v="13"/>
          </reference>
        </references>
      </pivotArea>
    </chartFormat>
    <chartFormat chart="59" format="30">
      <pivotArea type="data" outline="0" fieldPosition="0">
        <references count="2">
          <reference field="4294967294" count="1" selected="0">
            <x v="0"/>
          </reference>
          <reference field="8" count="1" selected="0">
            <x v="14"/>
          </reference>
        </references>
      </pivotArea>
    </chartFormat>
    <chartFormat chart="59" format="31">
      <pivotArea type="data" outline="0" fieldPosition="0">
        <references count="2">
          <reference field="4294967294" count="1" selected="0">
            <x v="0"/>
          </reference>
          <reference field="8" count="1" selected="0">
            <x v="1"/>
          </reference>
        </references>
      </pivotArea>
    </chartFormat>
    <chartFormat chart="60" format="32" series="1">
      <pivotArea type="data" outline="0" fieldPosition="0">
        <references count="1">
          <reference field="4294967294" count="1" selected="0">
            <x v="0"/>
          </reference>
        </references>
      </pivotArea>
    </chartFormat>
    <chartFormat chart="60" format="33">
      <pivotArea type="data" outline="0" fieldPosition="0">
        <references count="2">
          <reference field="4294967294" count="1" selected="0">
            <x v="0"/>
          </reference>
          <reference field="8" count="1" selected="0">
            <x v="11"/>
          </reference>
        </references>
      </pivotArea>
    </chartFormat>
    <chartFormat chart="60" format="34">
      <pivotArea type="data" outline="0" fieldPosition="0">
        <references count="2">
          <reference field="4294967294" count="1" selected="0">
            <x v="0"/>
          </reference>
          <reference field="8" count="1" selected="0">
            <x v="5"/>
          </reference>
        </references>
      </pivotArea>
    </chartFormat>
    <chartFormat chart="60" format="35">
      <pivotArea type="data" outline="0" fieldPosition="0">
        <references count="2">
          <reference field="4294967294" count="1" selected="0">
            <x v="0"/>
          </reference>
          <reference field="8" count="1" selected="0">
            <x v="12"/>
          </reference>
        </references>
      </pivotArea>
    </chartFormat>
    <chartFormat chart="60" format="36">
      <pivotArea type="data" outline="0" fieldPosition="0">
        <references count="2">
          <reference field="4294967294" count="1" selected="0">
            <x v="0"/>
          </reference>
          <reference field="8" count="1" selected="0">
            <x v="2"/>
          </reference>
        </references>
      </pivotArea>
    </chartFormat>
    <chartFormat chart="60" format="37">
      <pivotArea type="data" outline="0" fieldPosition="0">
        <references count="2">
          <reference field="4294967294" count="1" selected="0">
            <x v="0"/>
          </reference>
          <reference field="8" count="1" selected="0">
            <x v="7"/>
          </reference>
        </references>
      </pivotArea>
    </chartFormat>
    <chartFormat chart="60" format="38">
      <pivotArea type="data" outline="0" fieldPosition="0">
        <references count="2">
          <reference field="4294967294" count="1" selected="0">
            <x v="0"/>
          </reference>
          <reference field="8" count="1" selected="0">
            <x v="8"/>
          </reference>
        </references>
      </pivotArea>
    </chartFormat>
    <chartFormat chart="60" format="39">
      <pivotArea type="data" outline="0" fieldPosition="0">
        <references count="2">
          <reference field="4294967294" count="1" selected="0">
            <x v="0"/>
          </reference>
          <reference field="8" count="1" selected="0">
            <x v="4"/>
          </reference>
        </references>
      </pivotArea>
    </chartFormat>
    <chartFormat chart="60" format="40">
      <pivotArea type="data" outline="0" fieldPosition="0">
        <references count="2">
          <reference field="4294967294" count="1" selected="0">
            <x v="0"/>
          </reference>
          <reference field="8" count="1" selected="0">
            <x v="3"/>
          </reference>
        </references>
      </pivotArea>
    </chartFormat>
    <chartFormat chart="60" format="41">
      <pivotArea type="data" outline="0" fieldPosition="0">
        <references count="2">
          <reference field="4294967294" count="1" selected="0">
            <x v="0"/>
          </reference>
          <reference field="8" count="1" selected="0">
            <x v="10"/>
          </reference>
        </references>
      </pivotArea>
    </chartFormat>
    <chartFormat chart="60" format="42">
      <pivotArea type="data" outline="0" fieldPosition="0">
        <references count="2">
          <reference field="4294967294" count="1" selected="0">
            <x v="0"/>
          </reference>
          <reference field="8" count="1" selected="0">
            <x v="0"/>
          </reference>
        </references>
      </pivotArea>
    </chartFormat>
    <chartFormat chart="60" format="43">
      <pivotArea type="data" outline="0" fieldPosition="0">
        <references count="2">
          <reference field="4294967294" count="1" selected="0">
            <x v="0"/>
          </reference>
          <reference field="8" count="1" selected="0">
            <x v="6"/>
          </reference>
        </references>
      </pivotArea>
    </chartFormat>
    <chartFormat chart="60" format="44">
      <pivotArea type="data" outline="0" fieldPosition="0">
        <references count="2">
          <reference field="4294967294" count="1" selected="0">
            <x v="0"/>
          </reference>
          <reference field="8" count="1" selected="0">
            <x v="9"/>
          </reference>
        </references>
      </pivotArea>
    </chartFormat>
    <chartFormat chart="60" format="45">
      <pivotArea type="data" outline="0" fieldPosition="0">
        <references count="2">
          <reference field="4294967294" count="1" selected="0">
            <x v="0"/>
          </reference>
          <reference field="8" count="1" selected="0">
            <x v="13"/>
          </reference>
        </references>
      </pivotArea>
    </chartFormat>
    <chartFormat chart="60" format="46">
      <pivotArea type="data" outline="0" fieldPosition="0">
        <references count="2">
          <reference field="4294967294" count="1" selected="0">
            <x v="0"/>
          </reference>
          <reference field="8" count="1" selected="0">
            <x v="14"/>
          </reference>
        </references>
      </pivotArea>
    </chartFormat>
    <chartFormat chart="60" format="47">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4B2C6C-2804-4147-9C00-D7C9E99245A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4">
  <location ref="B194:C207" firstHeaderRow="1" firstDataRow="1" firstDataCol="1"/>
  <pivotFields count="23">
    <pivotField showAll="0">
      <items count="16">
        <item x="2"/>
        <item x="4"/>
        <item x="10"/>
        <item x="13"/>
        <item x="0"/>
        <item x="14"/>
        <item x="8"/>
        <item x="9"/>
        <item x="5"/>
        <item x="3"/>
        <item x="11"/>
        <item x="12"/>
        <item x="1"/>
        <item x="7"/>
        <item x="6"/>
        <item t="default"/>
      </items>
    </pivotField>
    <pivotField showAll="0">
      <items count="16">
        <item x="14"/>
        <item x="2"/>
        <item x="10"/>
        <item x="12"/>
        <item x="4"/>
        <item x="1"/>
        <item x="0"/>
        <item x="5"/>
        <item x="9"/>
        <item x="8"/>
        <item x="6"/>
        <item x="3"/>
        <item x="13"/>
        <item x="7"/>
        <item x="11"/>
        <item t="default"/>
      </items>
    </pivotField>
    <pivotField numFmtId="14" showAll="0"/>
    <pivotField showAll="0"/>
    <pivotField showAll="0"/>
    <pivotField showAll="0"/>
    <pivotField showAll="0"/>
    <pivotField showAll="0">
      <items count="3">
        <item x="0"/>
        <item x="1"/>
        <item t="default"/>
      </items>
    </pivotField>
    <pivotField showAll="0">
      <items count="16">
        <item x="13"/>
        <item x="14"/>
        <item x="12"/>
        <item x="10"/>
        <item x="7"/>
        <item x="3"/>
        <item x="5"/>
        <item x="4"/>
        <item x="6"/>
        <item x="1"/>
        <item x="9"/>
        <item x="0"/>
        <item x="2"/>
        <item x="11"/>
        <item x="8"/>
        <item t="default"/>
      </items>
    </pivotField>
    <pivotField axis="axisRow" showAll="0" sortType="descending">
      <items count="13">
        <item x="7"/>
        <item x="9"/>
        <item x="11"/>
        <item x="1"/>
        <item x="4"/>
        <item x="6"/>
        <item x="10"/>
        <item x="0"/>
        <item x="3"/>
        <item x="5"/>
        <item x="8"/>
        <item x="2"/>
        <item t="default"/>
      </items>
      <autoSortScope>
        <pivotArea dataOnly="0" outline="0" fieldPosition="0">
          <references count="1">
            <reference field="4294967294" count="1" selected="0">
              <x v="0"/>
            </reference>
          </references>
        </pivotArea>
      </autoSortScope>
    </pivotField>
    <pivotField showAll="0">
      <items count="6">
        <item x="2"/>
        <item x="1"/>
        <item x="4"/>
        <item x="3"/>
        <item x="0"/>
        <item t="default"/>
      </items>
    </pivotField>
    <pivotField showAll="0"/>
    <pivotField showAll="0"/>
    <pivotField dataField="1" showAll="0"/>
    <pivotField showAll="0">
      <items count="32">
        <item x="13"/>
        <item x="9"/>
        <item x="23"/>
        <item x="14"/>
        <item x="5"/>
        <item x="15"/>
        <item x="4"/>
        <item x="21"/>
        <item x="16"/>
        <item x="7"/>
        <item x="30"/>
        <item x="10"/>
        <item x="29"/>
        <item x="12"/>
        <item x="20"/>
        <item x="1"/>
        <item x="0"/>
        <item x="18"/>
        <item x="19"/>
        <item x="27"/>
        <item x="25"/>
        <item x="8"/>
        <item x="26"/>
        <item x="11"/>
        <item x="17"/>
        <item x="2"/>
        <item x="24"/>
        <item x="28"/>
        <item x="6"/>
        <item x="3"/>
        <item x="22"/>
        <item t="default"/>
      </items>
    </pivotField>
    <pivotField showAll="0"/>
    <pivotField showAll="0"/>
    <pivotField showAll="0"/>
    <pivotField showAll="0"/>
    <pivotField showAll="0"/>
    <pivotField showAll="0"/>
    <pivotField showAll="0"/>
    <pivotField showAll="0"/>
  </pivotFields>
  <rowFields count="1">
    <field x="9"/>
  </rowFields>
  <rowItems count="13">
    <i>
      <x v="7"/>
    </i>
    <i>
      <x v="3"/>
    </i>
    <i>
      <x v="11"/>
    </i>
    <i>
      <x v="10"/>
    </i>
    <i>
      <x v="1"/>
    </i>
    <i>
      <x v="8"/>
    </i>
    <i>
      <x v="4"/>
    </i>
    <i>
      <x v="9"/>
    </i>
    <i>
      <x/>
    </i>
    <i>
      <x v="6"/>
    </i>
    <i>
      <x v="5"/>
    </i>
    <i>
      <x v="2"/>
    </i>
    <i t="grand">
      <x/>
    </i>
  </rowItems>
  <colItems count="1">
    <i/>
  </colItems>
  <dataFields count="1">
    <dataField name="Sum of Avg_Length_of_Stay" fld="13" baseField="0" baseItem="0"/>
  </dataFields>
  <formats count="2">
    <format dxfId="5">
      <pivotArea type="all" dataOnly="0" outline="0" fieldPosition="0"/>
    </format>
    <format dxfId="4">
      <pivotArea outline="0" collapsedLevelsAreSubtotals="1" fieldPosition="0"/>
    </format>
  </formats>
  <chartFormats count="3">
    <chartFormat chart="98" format="0" series="1">
      <pivotArea type="data" outline="0" fieldPosition="0">
        <references count="1">
          <reference field="4294967294" count="1" selected="0">
            <x v="0"/>
          </reference>
        </references>
      </pivotArea>
    </chartFormat>
    <chartFormat chart="101" format="1" series="1">
      <pivotArea type="data" outline="0" fieldPosition="0">
        <references count="1">
          <reference field="4294967294" count="1" selected="0">
            <x v="0"/>
          </reference>
        </references>
      </pivotArea>
    </chartFormat>
    <chartFormat chart="10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F124D3-DCFB-4672-9768-F9888BD47E7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8:C44" firstHeaderRow="1" firstDataRow="1" firstDataCol="1"/>
  <pivotFields count="23">
    <pivotField showAll="0">
      <items count="16">
        <item x="2"/>
        <item x="4"/>
        <item x="10"/>
        <item x="13"/>
        <item x="0"/>
        <item x="14"/>
        <item x="8"/>
        <item x="9"/>
        <item x="5"/>
        <item x="3"/>
        <item x="11"/>
        <item x="12"/>
        <item x="1"/>
        <item x="7"/>
        <item x="6"/>
        <item t="default"/>
      </items>
    </pivotField>
    <pivotField axis="axisRow" showAll="0" sortType="descending">
      <items count="16">
        <item x="14"/>
        <item x="2"/>
        <item x="10"/>
        <item x="12"/>
        <item x="4"/>
        <item x="1"/>
        <item x="0"/>
        <item x="5"/>
        <item x="9"/>
        <item x="8"/>
        <item x="6"/>
        <item x="3"/>
        <item x="13"/>
        <item x="7"/>
        <item x="11"/>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showAll="0"/>
    <pivotField showAll="0">
      <items count="3">
        <item x="0"/>
        <item x="1"/>
        <item t="default"/>
      </items>
    </pivotField>
    <pivotField showAll="0">
      <items count="16">
        <item x="13"/>
        <item x="14"/>
        <item x="12"/>
        <item x="10"/>
        <item x="7"/>
        <item x="3"/>
        <item x="5"/>
        <item x="4"/>
        <item x="6"/>
        <item x="1"/>
        <item x="9"/>
        <item x="0"/>
        <item x="2"/>
        <item x="11"/>
        <item x="8"/>
        <item t="default"/>
      </items>
    </pivotField>
    <pivotField showAll="0">
      <items count="13">
        <item x="2"/>
        <item x="8"/>
        <item x="5"/>
        <item x="3"/>
        <item x="0"/>
        <item x="10"/>
        <item x="6"/>
        <item x="4"/>
        <item x="1"/>
        <item x="11"/>
        <item x="9"/>
        <item x="7"/>
        <item t="default"/>
      </items>
    </pivotField>
    <pivotField showAll="0">
      <items count="6">
        <item x="2"/>
        <item x="1"/>
        <item x="4"/>
        <item x="3"/>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
  </rowFields>
  <rowItems count="16">
    <i>
      <x v="8"/>
    </i>
    <i>
      <x v="1"/>
    </i>
    <i>
      <x v="11"/>
    </i>
    <i>
      <x v="12"/>
    </i>
    <i>
      <x v="3"/>
    </i>
    <i>
      <x v="6"/>
    </i>
    <i>
      <x v="13"/>
    </i>
    <i>
      <x v="10"/>
    </i>
    <i>
      <x v="4"/>
    </i>
    <i>
      <x v="9"/>
    </i>
    <i>
      <x/>
    </i>
    <i>
      <x v="14"/>
    </i>
    <i>
      <x v="5"/>
    </i>
    <i>
      <x v="2"/>
    </i>
    <i>
      <x v="7"/>
    </i>
    <i t="grand">
      <x/>
    </i>
  </rowItems>
  <colItems count="1">
    <i/>
  </colItems>
  <dataFields count="1">
    <dataField name="Sum of Revenue" fld="17" baseField="0" baseItem="0"/>
  </dataFields>
  <formats count="2">
    <format dxfId="7">
      <pivotArea type="all" dataOnly="0" outline="0" fieldPosition="0"/>
    </format>
    <format dxfId="6">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71CBCC-83C8-43CB-A274-A0CEA95555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1">
  <location ref="B135:C141" firstHeaderRow="1" firstDataRow="1" firstDataCol="1"/>
  <pivotFields count="23">
    <pivotField showAll="0">
      <items count="16">
        <item x="2"/>
        <item x="4"/>
        <item x="10"/>
        <item x="13"/>
        <item x="0"/>
        <item x="14"/>
        <item x="8"/>
        <item x="9"/>
        <item x="5"/>
        <item x="3"/>
        <item x="11"/>
        <item x="12"/>
        <item x="1"/>
        <item x="7"/>
        <item x="6"/>
        <item t="default"/>
      </items>
    </pivotField>
    <pivotField showAll="0">
      <items count="16">
        <item x="14"/>
        <item x="2"/>
        <item x="10"/>
        <item x="12"/>
        <item x="4"/>
        <item x="1"/>
        <item x="0"/>
        <item x="5"/>
        <item x="9"/>
        <item x="8"/>
        <item x="6"/>
        <item x="3"/>
        <item x="13"/>
        <item x="7"/>
        <item x="11"/>
        <item t="default"/>
      </items>
    </pivotField>
    <pivotField numFmtId="14" showAll="0"/>
    <pivotField showAll="0"/>
    <pivotField showAll="0"/>
    <pivotField showAll="0"/>
    <pivotField showAll="0"/>
    <pivotField showAll="0">
      <items count="3">
        <item x="0"/>
        <item x="1"/>
        <item t="default"/>
      </items>
    </pivotField>
    <pivotField showAll="0">
      <items count="16">
        <item x="13"/>
        <item x="14"/>
        <item x="12"/>
        <item x="10"/>
        <item x="7"/>
        <item x="3"/>
        <item x="5"/>
        <item x="4"/>
        <item x="6"/>
        <item x="1"/>
        <item x="9"/>
        <item x="0"/>
        <item x="2"/>
        <item x="11"/>
        <item x="8"/>
        <item t="default"/>
      </items>
    </pivotField>
    <pivotField showAll="0">
      <items count="13">
        <item x="2"/>
        <item x="8"/>
        <item x="5"/>
        <item x="3"/>
        <item x="0"/>
        <item x="10"/>
        <item x="6"/>
        <item x="4"/>
        <item x="1"/>
        <item x="11"/>
        <item x="9"/>
        <item x="7"/>
        <item t="default"/>
      </items>
    </pivotField>
    <pivotField axis="axisRow" showAll="0" sortType="descending">
      <items count="6">
        <item x="2"/>
        <item x="1"/>
        <item x="4"/>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2">
        <item x="13"/>
        <item x="9"/>
        <item x="23"/>
        <item x="14"/>
        <item x="5"/>
        <item x="15"/>
        <item x="4"/>
        <item x="21"/>
        <item x="16"/>
        <item x="7"/>
        <item x="30"/>
        <item x="10"/>
        <item x="29"/>
        <item x="12"/>
        <item x="20"/>
        <item x="1"/>
        <item x="0"/>
        <item x="18"/>
        <item x="19"/>
        <item x="27"/>
        <item x="25"/>
        <item x="8"/>
        <item x="26"/>
        <item x="11"/>
        <item x="17"/>
        <item x="2"/>
        <item x="24"/>
        <item x="28"/>
        <item x="6"/>
        <item x="3"/>
        <item x="22"/>
        <item t="default"/>
      </items>
    </pivotField>
    <pivotField dataField="1" showAll="0"/>
    <pivotField showAll="0"/>
    <pivotField showAll="0"/>
    <pivotField showAll="0"/>
    <pivotField showAll="0"/>
    <pivotField showAll="0"/>
    <pivotField showAll="0"/>
    <pivotField showAll="0"/>
  </pivotFields>
  <rowFields count="1">
    <field x="10"/>
  </rowFields>
  <rowItems count="6">
    <i>
      <x v="1"/>
    </i>
    <i>
      <x v="2"/>
    </i>
    <i>
      <x v="3"/>
    </i>
    <i>
      <x v="4"/>
    </i>
    <i>
      <x/>
    </i>
    <i t="grand">
      <x/>
    </i>
  </rowItems>
  <colItems count="1">
    <i/>
  </colItems>
  <dataFields count="1">
    <dataField name="Sum of Emergency_Room_Visits" fld="15" baseField="0" baseItem="0"/>
  </dataFields>
  <formats count="2">
    <format dxfId="9">
      <pivotArea type="all" dataOnly="0" outline="0" fieldPosition="0"/>
    </format>
    <format dxfId="8">
      <pivotArea outline="0" collapsedLevelsAreSubtotals="1" fieldPosition="0"/>
    </format>
  </formats>
  <chartFormats count="3">
    <chartFormat chart="65" format="0" series="1">
      <pivotArea type="data" outline="0" fieldPosition="0">
        <references count="1">
          <reference field="4294967294" count="1" selected="0">
            <x v="0"/>
          </reference>
        </references>
      </pivotArea>
    </chartFormat>
    <chartFormat chart="68" format="1" series="1">
      <pivotArea type="data" outline="0" fieldPosition="0">
        <references count="1">
          <reference field="4294967294" count="1" selected="0">
            <x v="0"/>
          </reference>
        </references>
      </pivotArea>
    </chartFormat>
    <chartFormat chart="6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6EADC0-D439-4EEE-9C0D-1E4401B50D7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8">
  <location ref="B175:D188" firstHeaderRow="0" firstDataRow="1" firstDataCol="1"/>
  <pivotFields count="23">
    <pivotField showAll="0">
      <items count="16">
        <item x="2"/>
        <item x="4"/>
        <item x="10"/>
        <item x="13"/>
        <item x="0"/>
        <item x="14"/>
        <item x="8"/>
        <item x="9"/>
        <item x="5"/>
        <item x="3"/>
        <item x="11"/>
        <item x="12"/>
        <item x="1"/>
        <item x="7"/>
        <item x="6"/>
        <item t="default"/>
      </items>
    </pivotField>
    <pivotField showAll="0">
      <items count="16">
        <item x="14"/>
        <item x="2"/>
        <item x="10"/>
        <item x="12"/>
        <item x="4"/>
        <item x="1"/>
        <item x="0"/>
        <item x="5"/>
        <item x="9"/>
        <item x="8"/>
        <item x="6"/>
        <item x="3"/>
        <item x="13"/>
        <item x="7"/>
        <item x="11"/>
        <item t="default"/>
      </items>
    </pivotField>
    <pivotField numFmtId="14" showAll="0"/>
    <pivotField showAll="0"/>
    <pivotField showAll="0"/>
    <pivotField showAll="0"/>
    <pivotField showAll="0"/>
    <pivotField showAll="0">
      <items count="3">
        <item x="0"/>
        <item x="1"/>
        <item t="default"/>
      </items>
    </pivotField>
    <pivotField showAll="0">
      <items count="16">
        <item x="13"/>
        <item x="14"/>
        <item x="12"/>
        <item x="10"/>
        <item x="7"/>
        <item x="3"/>
        <item x="5"/>
        <item x="4"/>
        <item x="6"/>
        <item x="1"/>
        <item x="9"/>
        <item x="0"/>
        <item x="2"/>
        <item x="11"/>
        <item x="8"/>
        <item t="default"/>
      </items>
    </pivotField>
    <pivotField axis="axisRow" showAll="0">
      <items count="13">
        <item x="7"/>
        <item x="9"/>
        <item x="11"/>
        <item x="1"/>
        <item x="4"/>
        <item x="6"/>
        <item x="10"/>
        <item x="0"/>
        <item x="3"/>
        <item x="5"/>
        <item x="8"/>
        <item x="2"/>
        <item t="default"/>
      </items>
    </pivotField>
    <pivotField showAll="0">
      <items count="6">
        <item x="2"/>
        <item x="1"/>
        <item x="4"/>
        <item x="3"/>
        <item x="0"/>
        <item t="default"/>
      </items>
    </pivotField>
    <pivotField showAll="0"/>
    <pivotField showAll="0"/>
    <pivotField showAll="0"/>
    <pivotField showAll="0">
      <items count="32">
        <item x="13"/>
        <item x="9"/>
        <item x="23"/>
        <item x="14"/>
        <item x="5"/>
        <item x="15"/>
        <item x="4"/>
        <item x="21"/>
        <item x="16"/>
        <item x="7"/>
        <item x="30"/>
        <item x="10"/>
        <item x="29"/>
        <item x="12"/>
        <item x="20"/>
        <item x="1"/>
        <item x="0"/>
        <item x="18"/>
        <item x="19"/>
        <item x="27"/>
        <item x="25"/>
        <item x="8"/>
        <item x="26"/>
        <item x="11"/>
        <item x="17"/>
        <item x="2"/>
        <item x="24"/>
        <item x="28"/>
        <item x="6"/>
        <item x="3"/>
        <item x="22"/>
        <item t="default"/>
      </items>
    </pivotField>
    <pivotField showAll="0"/>
    <pivotField showAll="0"/>
    <pivotField showAll="0"/>
    <pivotField dataField="1" showAll="0"/>
    <pivotField dataField="1" showAll="0"/>
    <pivotField showAll="0"/>
    <pivotField showAll="0"/>
    <pivotField showAll="0"/>
  </pivotFields>
  <rowFields count="1">
    <field x="9"/>
  </rowFields>
  <rowItems count="13">
    <i>
      <x/>
    </i>
    <i>
      <x v="1"/>
    </i>
    <i>
      <x v="2"/>
    </i>
    <i>
      <x v="3"/>
    </i>
    <i>
      <x v="4"/>
    </i>
    <i>
      <x v="5"/>
    </i>
    <i>
      <x v="6"/>
    </i>
    <i>
      <x v="7"/>
    </i>
    <i>
      <x v="8"/>
    </i>
    <i>
      <x v="9"/>
    </i>
    <i>
      <x v="10"/>
    </i>
    <i>
      <x v="11"/>
    </i>
    <i t="grand">
      <x/>
    </i>
  </rowItems>
  <colFields count="1">
    <field x="-2"/>
  </colFields>
  <colItems count="2">
    <i>
      <x/>
    </i>
    <i i="1">
      <x v="1"/>
    </i>
  </colItems>
  <dataFields count="2">
    <dataField name="Sum of profit" fld="18" baseField="0" baseItem="0"/>
    <dataField name="Sum of Operating_Costs" fld="19" baseField="0" baseItem="0"/>
  </dataFields>
  <formats count="2">
    <format dxfId="11">
      <pivotArea type="all" dataOnly="0" outline="0" fieldPosition="0"/>
    </format>
    <format dxfId="10">
      <pivotArea outline="0" collapsedLevelsAreSubtotals="1" fieldPosition="0"/>
    </format>
  </formats>
  <chartFormats count="6">
    <chartFormat chart="92" format="1" series="1">
      <pivotArea type="data" outline="0" fieldPosition="0">
        <references count="1">
          <reference field="4294967294" count="1" selected="0">
            <x v="0"/>
          </reference>
        </references>
      </pivotArea>
    </chartFormat>
    <chartFormat chart="92" format="2" series="1">
      <pivotArea type="data" outline="0" fieldPosition="0">
        <references count="1">
          <reference field="4294967294" count="1" selected="0">
            <x v="1"/>
          </reference>
        </references>
      </pivotArea>
    </chartFormat>
    <chartFormat chart="95" format="4" series="1">
      <pivotArea type="data" outline="0" fieldPosition="0">
        <references count="1">
          <reference field="4294967294" count="1" selected="0">
            <x v="0"/>
          </reference>
        </references>
      </pivotArea>
    </chartFormat>
    <chartFormat chart="95" format="5" series="1">
      <pivotArea type="data" outline="0" fieldPosition="0">
        <references count="1">
          <reference field="4294967294" count="1" selected="0">
            <x v="1"/>
          </reference>
        </references>
      </pivotArea>
    </chartFormat>
    <chartFormat chart="96" format="7" series="1">
      <pivotArea type="data" outline="0" fieldPosition="0">
        <references count="1">
          <reference field="4294967294" count="1" selected="0">
            <x v="0"/>
          </reference>
        </references>
      </pivotArea>
    </chartFormat>
    <chartFormat chart="96"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1AC371-267D-4506-A1F5-85C959508EA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E8" firstHeaderRow="0" firstDataRow="1" firstDataCol="0"/>
  <pivotFields count="23">
    <pivotField showAll="0">
      <items count="16">
        <item x="2"/>
        <item x="4"/>
        <item x="10"/>
        <item x="13"/>
        <item x="0"/>
        <item x="14"/>
        <item x="8"/>
        <item x="9"/>
        <item x="5"/>
        <item x="3"/>
        <item x="11"/>
        <item x="12"/>
        <item x="1"/>
        <item x="7"/>
        <item x="6"/>
        <item t="default"/>
      </items>
    </pivotField>
    <pivotField showAll="0">
      <items count="16">
        <item x="14"/>
        <item x="2"/>
        <item x="10"/>
        <item x="12"/>
        <item x="4"/>
        <item x="1"/>
        <item x="0"/>
        <item x="5"/>
        <item x="9"/>
        <item x="8"/>
        <item x="6"/>
        <item x="3"/>
        <item x="13"/>
        <item x="7"/>
        <item x="11"/>
        <item t="default"/>
      </items>
    </pivotField>
    <pivotField numFmtId="14" showAll="0"/>
    <pivotField showAll="0"/>
    <pivotField showAll="0"/>
    <pivotField showAll="0"/>
    <pivotField showAll="0"/>
    <pivotField showAll="0">
      <items count="3">
        <item x="0"/>
        <item x="1"/>
        <item t="default"/>
      </items>
    </pivotField>
    <pivotField showAll="0">
      <items count="16">
        <item x="13"/>
        <item x="14"/>
        <item x="12"/>
        <item x="10"/>
        <item x="7"/>
        <item x="3"/>
        <item x="5"/>
        <item x="4"/>
        <item x="6"/>
        <item x="1"/>
        <item x="9"/>
        <item x="0"/>
        <item x="2"/>
        <item x="11"/>
        <item x="8"/>
        <item t="default"/>
      </items>
    </pivotField>
    <pivotField showAll="0">
      <items count="13">
        <item x="2"/>
        <item x="8"/>
        <item x="5"/>
        <item x="3"/>
        <item x="0"/>
        <item x="10"/>
        <item x="6"/>
        <item x="4"/>
        <item x="1"/>
        <item x="11"/>
        <item x="9"/>
        <item x="7"/>
        <item t="default"/>
      </items>
    </pivotField>
    <pivotField showAll="0">
      <items count="6">
        <item x="2"/>
        <item x="1"/>
        <item x="4"/>
        <item x="3"/>
        <item x="0"/>
        <item t="default"/>
      </items>
    </pivotField>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s>
  <rowItems count="1">
    <i/>
  </rowItems>
  <colFields count="1">
    <field x="-2"/>
  </colFields>
  <colItems count="4">
    <i>
      <x/>
    </i>
    <i i="1">
      <x v="1"/>
    </i>
    <i i="2">
      <x v="2"/>
    </i>
    <i i="3">
      <x v="3"/>
    </i>
  </colItems>
  <dataFields count="4">
    <dataField name="Sum of profit" fld="18" baseField="0" baseItem="0"/>
    <dataField name="Sum of Revenue" fld="17" baseField="0" baseItem="0"/>
    <dataField name="Sum of Operating_Costs" fld="19" baseField="0" baseItem="0"/>
    <dataField name="Average of profit2" fld="18" subtotal="average" baseField="0" baseItem="1"/>
  </dataFields>
  <formats count="3">
    <format dxfId="14">
      <pivotArea type="all" dataOnly="0" outline="0" fieldPosition="0"/>
    </format>
    <format dxfId="13">
      <pivotArea outline="0" collapsedLevelsAreSubtotals="1" fieldPosition="0"/>
    </format>
    <format dxfId="1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B05A20-AED6-469B-8F7D-AB64DCAE21E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B75:D91" firstHeaderRow="0" firstDataRow="1" firstDataCol="1"/>
  <pivotFields count="23">
    <pivotField showAll="0">
      <items count="16">
        <item x="2"/>
        <item x="4"/>
        <item x="10"/>
        <item x="13"/>
        <item x="0"/>
        <item x="14"/>
        <item x="8"/>
        <item x="9"/>
        <item x="5"/>
        <item x="3"/>
        <item x="11"/>
        <item x="12"/>
        <item x="1"/>
        <item x="7"/>
        <item x="6"/>
        <item t="default"/>
      </items>
    </pivotField>
    <pivotField axis="axisRow" showAll="0" sortType="descending">
      <items count="16">
        <item x="14"/>
        <item x="2"/>
        <item x="10"/>
        <item x="12"/>
        <item x="4"/>
        <item x="1"/>
        <item x="0"/>
        <item x="5"/>
        <item x="9"/>
        <item x="8"/>
        <item x="6"/>
        <item x="3"/>
        <item x="13"/>
        <item x="7"/>
        <item x="11"/>
        <item t="default"/>
      </items>
      <autoSortScope>
        <pivotArea dataOnly="0" outline="0" fieldPosition="0">
          <references count="1">
            <reference field="4294967294" count="1" selected="0">
              <x v="1"/>
            </reference>
          </references>
        </pivotArea>
      </autoSortScope>
    </pivotField>
    <pivotField numFmtId="14" showAll="0"/>
    <pivotField showAll="0"/>
    <pivotField showAll="0"/>
    <pivotField showAll="0"/>
    <pivotField showAll="0"/>
    <pivotField showAll="0">
      <items count="3">
        <item x="0"/>
        <item x="1"/>
        <item t="default"/>
      </items>
    </pivotField>
    <pivotField showAll="0">
      <items count="16">
        <item x="13"/>
        <item x="14"/>
        <item x="12"/>
        <item x="10"/>
        <item x="7"/>
        <item x="3"/>
        <item x="5"/>
        <item x="4"/>
        <item x="6"/>
        <item x="1"/>
        <item x="9"/>
        <item x="0"/>
        <item x="2"/>
        <item x="11"/>
        <item x="8"/>
        <item t="default"/>
      </items>
    </pivotField>
    <pivotField showAll="0">
      <items count="13">
        <item x="2"/>
        <item x="8"/>
        <item x="5"/>
        <item x="3"/>
        <item x="0"/>
        <item x="10"/>
        <item x="6"/>
        <item x="4"/>
        <item x="1"/>
        <item x="11"/>
        <item x="9"/>
        <item x="7"/>
        <item t="default"/>
      </items>
    </pivotField>
    <pivotField showAll="0">
      <items count="6">
        <item x="2"/>
        <item x="1"/>
        <item x="4"/>
        <item x="3"/>
        <item x="0"/>
        <item t="default"/>
      </items>
    </pivotField>
    <pivotField showAll="0"/>
    <pivotField showAll="0"/>
    <pivotField showAll="0"/>
    <pivotField showAll="0">
      <items count="32">
        <item x="13"/>
        <item x="9"/>
        <item x="23"/>
        <item x="14"/>
        <item x="5"/>
        <item x="15"/>
        <item x="4"/>
        <item x="21"/>
        <item x="16"/>
        <item x="7"/>
        <item x="30"/>
        <item x="10"/>
        <item x="29"/>
        <item x="12"/>
        <item x="20"/>
        <item x="1"/>
        <item x="0"/>
        <item x="18"/>
        <item x="19"/>
        <item x="27"/>
        <item x="25"/>
        <item x="8"/>
        <item x="26"/>
        <item x="11"/>
        <item x="17"/>
        <item x="2"/>
        <item x="24"/>
        <item x="28"/>
        <item x="6"/>
        <item x="3"/>
        <item x="22"/>
        <item t="default"/>
      </items>
    </pivotField>
    <pivotField showAll="0"/>
    <pivotField showAll="0"/>
    <pivotField dataField="1" showAll="0"/>
    <pivotField dataField="1" showAll="0"/>
    <pivotField showAll="0"/>
    <pivotField showAll="0"/>
    <pivotField showAll="0"/>
    <pivotField showAll="0"/>
  </pivotFields>
  <rowFields count="1">
    <field x="1"/>
  </rowFields>
  <rowItems count="16">
    <i>
      <x v="6"/>
    </i>
    <i>
      <x v="11"/>
    </i>
    <i>
      <x v="3"/>
    </i>
    <i>
      <x v="12"/>
    </i>
    <i>
      <x v="5"/>
    </i>
    <i>
      <x v="14"/>
    </i>
    <i>
      <x/>
    </i>
    <i>
      <x v="2"/>
    </i>
    <i>
      <x v="1"/>
    </i>
    <i>
      <x v="9"/>
    </i>
    <i>
      <x v="13"/>
    </i>
    <i>
      <x v="4"/>
    </i>
    <i>
      <x v="10"/>
    </i>
    <i>
      <x v="7"/>
    </i>
    <i>
      <x v="8"/>
    </i>
    <i t="grand">
      <x/>
    </i>
  </rowItems>
  <colFields count="1">
    <field x="-2"/>
  </colFields>
  <colItems count="2">
    <i>
      <x/>
    </i>
    <i i="1">
      <x v="1"/>
    </i>
  </colItems>
  <dataFields count="2">
    <dataField name="Sum of Revenue" fld="17" baseField="0" baseItem="0"/>
    <dataField name="Sum of profit" fld="18" baseField="0" baseItem="0"/>
  </dataFields>
  <formats count="2">
    <format dxfId="16">
      <pivotArea type="all" dataOnly="0" outline="0" fieldPosition="0"/>
    </format>
    <format dxfId="15">
      <pivotArea outline="0" collapsedLevelsAreSubtotals="1" fieldPosition="0"/>
    </format>
  </formats>
  <chartFormats count="4">
    <chartFormat chart="39" format="0"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1"/>
          </reference>
        </references>
      </pivotArea>
    </chartFormat>
    <chartFormat chart="43" format="4"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A62354-EE3D-4649-AF03-292D0B43036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5">
  <location ref="B151:H165" firstHeaderRow="1" firstDataRow="2" firstDataCol="1"/>
  <pivotFields count="23">
    <pivotField showAll="0">
      <items count="16">
        <item x="2"/>
        <item x="4"/>
        <item x="10"/>
        <item x="13"/>
        <item x="0"/>
        <item x="14"/>
        <item x="8"/>
        <item x="9"/>
        <item x="5"/>
        <item x="3"/>
        <item x="11"/>
        <item x="12"/>
        <item x="1"/>
        <item x="7"/>
        <item x="6"/>
        <item t="default"/>
      </items>
    </pivotField>
    <pivotField showAll="0">
      <items count="16">
        <item x="14"/>
        <item x="2"/>
        <item x="10"/>
        <item x="12"/>
        <item x="4"/>
        <item x="1"/>
        <item x="0"/>
        <item x="5"/>
        <item x="9"/>
        <item x="8"/>
        <item x="6"/>
        <item x="3"/>
        <item x="13"/>
        <item x="7"/>
        <item x="11"/>
        <item t="default"/>
      </items>
    </pivotField>
    <pivotField numFmtId="14" showAll="0"/>
    <pivotField showAll="0"/>
    <pivotField showAll="0"/>
    <pivotField showAll="0"/>
    <pivotField showAll="0"/>
    <pivotField showAll="0">
      <items count="3">
        <item x="0"/>
        <item x="1"/>
        <item t="default"/>
      </items>
    </pivotField>
    <pivotField showAll="0">
      <items count="16">
        <item x="13"/>
        <item x="14"/>
        <item x="12"/>
        <item x="10"/>
        <item x="7"/>
        <item x="3"/>
        <item x="5"/>
        <item x="4"/>
        <item x="6"/>
        <item x="1"/>
        <item x="9"/>
        <item x="0"/>
        <item x="2"/>
        <item x="11"/>
        <item x="8"/>
        <item t="default"/>
      </items>
    </pivotField>
    <pivotField axis="axisRow" showAll="0" sortType="descending">
      <items count="13">
        <item x="7"/>
        <item x="9"/>
        <item x="11"/>
        <item x="1"/>
        <item x="4"/>
        <item x="6"/>
        <item x="10"/>
        <item x="0"/>
        <item x="3"/>
        <item x="5"/>
        <item x="8"/>
        <item x="2"/>
        <item t="default"/>
      </items>
    </pivotField>
    <pivotField axis="axisCol" showAll="0">
      <items count="6">
        <item x="2"/>
        <item x="1"/>
        <item x="4"/>
        <item x="3"/>
        <item x="0"/>
        <item t="default"/>
      </items>
    </pivotField>
    <pivotField showAll="0"/>
    <pivotField showAll="0"/>
    <pivotField showAll="0"/>
    <pivotField showAll="0">
      <items count="32">
        <item x="13"/>
        <item x="9"/>
        <item x="23"/>
        <item x="14"/>
        <item x="5"/>
        <item x="15"/>
        <item x="4"/>
        <item x="21"/>
        <item x="16"/>
        <item x="7"/>
        <item x="30"/>
        <item x="10"/>
        <item x="29"/>
        <item x="12"/>
        <item x="20"/>
        <item x="1"/>
        <item x="0"/>
        <item x="18"/>
        <item x="19"/>
        <item x="27"/>
        <item x="25"/>
        <item x="8"/>
        <item x="26"/>
        <item x="11"/>
        <item x="17"/>
        <item x="2"/>
        <item x="24"/>
        <item x="28"/>
        <item x="6"/>
        <item x="3"/>
        <item x="22"/>
        <item t="default"/>
      </items>
    </pivotField>
    <pivotField showAll="0"/>
    <pivotField showAll="0"/>
    <pivotField showAll="0"/>
    <pivotField showAll="0"/>
    <pivotField showAll="0"/>
    <pivotField dataField="1" showAll="0"/>
    <pivotField showAll="0"/>
    <pivotField showAll="0"/>
  </pivotFields>
  <rowFields count="1">
    <field x="9"/>
  </rowFields>
  <rowItems count="13">
    <i>
      <x/>
    </i>
    <i>
      <x v="1"/>
    </i>
    <i>
      <x v="2"/>
    </i>
    <i>
      <x v="3"/>
    </i>
    <i>
      <x v="4"/>
    </i>
    <i>
      <x v="5"/>
    </i>
    <i>
      <x v="6"/>
    </i>
    <i>
      <x v="7"/>
    </i>
    <i>
      <x v="8"/>
    </i>
    <i>
      <x v="9"/>
    </i>
    <i>
      <x v="10"/>
    </i>
    <i>
      <x v="11"/>
    </i>
    <i t="grand">
      <x/>
    </i>
  </rowItems>
  <colFields count="1">
    <field x="10"/>
  </colFields>
  <colItems count="6">
    <i>
      <x/>
    </i>
    <i>
      <x v="1"/>
    </i>
    <i>
      <x v="2"/>
    </i>
    <i>
      <x v="3"/>
    </i>
    <i>
      <x v="4"/>
    </i>
    <i t="grand">
      <x/>
    </i>
  </colItems>
  <dataFields count="1">
    <dataField name="Sum of Number_of_Staff" fld="20" baseField="0" baseItem="0"/>
  </dataFields>
  <formats count="2">
    <format dxfId="18">
      <pivotArea type="all" dataOnly="0" outline="0" fieldPosition="0"/>
    </format>
    <format dxfId="17">
      <pivotArea outline="0" collapsedLevelsAreSubtotals="1" fieldPosition="0"/>
    </format>
  </formats>
  <chartFormats count="15">
    <chartFormat chart="79" format="0" series="1">
      <pivotArea type="data" outline="0" fieldPosition="0">
        <references count="2">
          <reference field="4294967294" count="1" selected="0">
            <x v="0"/>
          </reference>
          <reference field="10" count="1" selected="0">
            <x v="0"/>
          </reference>
        </references>
      </pivotArea>
    </chartFormat>
    <chartFormat chart="79" format="1" series="1">
      <pivotArea type="data" outline="0" fieldPosition="0">
        <references count="2">
          <reference field="4294967294" count="1" selected="0">
            <x v="0"/>
          </reference>
          <reference field="10" count="1" selected="0">
            <x v="1"/>
          </reference>
        </references>
      </pivotArea>
    </chartFormat>
    <chartFormat chart="79" format="2" series="1">
      <pivotArea type="data" outline="0" fieldPosition="0">
        <references count="2">
          <reference field="4294967294" count="1" selected="0">
            <x v="0"/>
          </reference>
          <reference field="10" count="1" selected="0">
            <x v="2"/>
          </reference>
        </references>
      </pivotArea>
    </chartFormat>
    <chartFormat chart="79" format="3" series="1">
      <pivotArea type="data" outline="0" fieldPosition="0">
        <references count="2">
          <reference field="4294967294" count="1" selected="0">
            <x v="0"/>
          </reference>
          <reference field="10" count="1" selected="0">
            <x v="3"/>
          </reference>
        </references>
      </pivotArea>
    </chartFormat>
    <chartFormat chart="79" format="4" series="1">
      <pivotArea type="data" outline="0" fieldPosition="0">
        <references count="2">
          <reference field="4294967294" count="1" selected="0">
            <x v="0"/>
          </reference>
          <reference field="10" count="1" selected="0">
            <x v="4"/>
          </reference>
        </references>
      </pivotArea>
    </chartFormat>
    <chartFormat chart="82" format="5" series="1">
      <pivotArea type="data" outline="0" fieldPosition="0">
        <references count="2">
          <reference field="4294967294" count="1" selected="0">
            <x v="0"/>
          </reference>
          <reference field="10" count="1" selected="0">
            <x v="0"/>
          </reference>
        </references>
      </pivotArea>
    </chartFormat>
    <chartFormat chart="82" format="6" series="1">
      <pivotArea type="data" outline="0" fieldPosition="0">
        <references count="2">
          <reference field="4294967294" count="1" selected="0">
            <x v="0"/>
          </reference>
          <reference field="10" count="1" selected="0">
            <x v="1"/>
          </reference>
        </references>
      </pivotArea>
    </chartFormat>
    <chartFormat chart="82" format="7" series="1">
      <pivotArea type="data" outline="0" fieldPosition="0">
        <references count="2">
          <reference field="4294967294" count="1" selected="0">
            <x v="0"/>
          </reference>
          <reference field="10" count="1" selected="0">
            <x v="2"/>
          </reference>
        </references>
      </pivotArea>
    </chartFormat>
    <chartFormat chart="82" format="8" series="1">
      <pivotArea type="data" outline="0" fieldPosition="0">
        <references count="2">
          <reference field="4294967294" count="1" selected="0">
            <x v="0"/>
          </reference>
          <reference field="10" count="1" selected="0">
            <x v="3"/>
          </reference>
        </references>
      </pivotArea>
    </chartFormat>
    <chartFormat chart="82" format="9" series="1">
      <pivotArea type="data" outline="0" fieldPosition="0">
        <references count="2">
          <reference field="4294967294" count="1" selected="0">
            <x v="0"/>
          </reference>
          <reference field="10" count="1" selected="0">
            <x v="4"/>
          </reference>
        </references>
      </pivotArea>
    </chartFormat>
    <chartFormat chart="83" format="10" series="1">
      <pivotArea type="data" outline="0" fieldPosition="0">
        <references count="2">
          <reference field="4294967294" count="1" selected="0">
            <x v="0"/>
          </reference>
          <reference field="10" count="1" selected="0">
            <x v="0"/>
          </reference>
        </references>
      </pivotArea>
    </chartFormat>
    <chartFormat chart="83" format="11" series="1">
      <pivotArea type="data" outline="0" fieldPosition="0">
        <references count="2">
          <reference field="4294967294" count="1" selected="0">
            <x v="0"/>
          </reference>
          <reference field="10" count="1" selected="0">
            <x v="1"/>
          </reference>
        </references>
      </pivotArea>
    </chartFormat>
    <chartFormat chart="83" format="12" series="1">
      <pivotArea type="data" outline="0" fieldPosition="0">
        <references count="2">
          <reference field="4294967294" count="1" selected="0">
            <x v="0"/>
          </reference>
          <reference field="10" count="1" selected="0">
            <x v="2"/>
          </reference>
        </references>
      </pivotArea>
    </chartFormat>
    <chartFormat chart="83" format="13" series="1">
      <pivotArea type="data" outline="0" fieldPosition="0">
        <references count="2">
          <reference field="4294967294" count="1" selected="0">
            <x v="0"/>
          </reference>
          <reference field="10" count="1" selected="0">
            <x v="3"/>
          </reference>
        </references>
      </pivotArea>
    </chartFormat>
    <chartFormat chart="83" format="14" series="1">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DFD92F-F495-403B-8210-95AB46B0914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B120:C123" firstHeaderRow="1" firstDataRow="1" firstDataCol="1"/>
  <pivotFields count="23">
    <pivotField showAll="0">
      <items count="16">
        <item x="2"/>
        <item x="4"/>
        <item x="10"/>
        <item x="13"/>
        <item x="0"/>
        <item x="14"/>
        <item x="8"/>
        <item x="9"/>
        <item x="5"/>
        <item x="3"/>
        <item x="11"/>
        <item x="12"/>
        <item x="1"/>
        <item x="7"/>
        <item x="6"/>
        <item t="default"/>
      </items>
    </pivotField>
    <pivotField showAll="0">
      <items count="16">
        <item x="14"/>
        <item x="2"/>
        <item x="10"/>
        <item x="12"/>
        <item x="4"/>
        <item x="1"/>
        <item x="0"/>
        <item x="5"/>
        <item x="9"/>
        <item x="8"/>
        <item x="6"/>
        <item x="3"/>
        <item x="13"/>
        <item x="7"/>
        <item x="11"/>
        <item t="default"/>
      </items>
    </pivotField>
    <pivotField numFmtId="14" showAll="0"/>
    <pivotField showAll="0"/>
    <pivotField showAll="0"/>
    <pivotField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items count="16">
        <item x="13"/>
        <item x="14"/>
        <item x="12"/>
        <item x="10"/>
        <item x="7"/>
        <item x="3"/>
        <item x="5"/>
        <item x="4"/>
        <item x="6"/>
        <item x="1"/>
        <item x="9"/>
        <item x="0"/>
        <item x="2"/>
        <item x="11"/>
        <item x="8"/>
        <item t="default"/>
      </items>
    </pivotField>
    <pivotField showAll="0">
      <items count="13">
        <item x="2"/>
        <item x="8"/>
        <item x="5"/>
        <item x="3"/>
        <item x="0"/>
        <item x="10"/>
        <item x="6"/>
        <item x="4"/>
        <item x="1"/>
        <item x="11"/>
        <item x="9"/>
        <item x="7"/>
        <item t="default"/>
      </items>
    </pivotField>
    <pivotField showAll="0">
      <items count="6">
        <item x="2"/>
        <item x="1"/>
        <item x="4"/>
        <item x="3"/>
        <item x="0"/>
        <item t="default"/>
      </items>
    </pivotField>
    <pivotField dataField="1" showAll="0"/>
    <pivotField showAll="0"/>
    <pivotField showAll="0"/>
    <pivotField showAll="0">
      <items count="32">
        <item x="13"/>
        <item x="9"/>
        <item x="23"/>
        <item x="14"/>
        <item x="5"/>
        <item x="15"/>
        <item x="4"/>
        <item x="21"/>
        <item x="16"/>
        <item x="7"/>
        <item x="30"/>
        <item x="10"/>
        <item x="29"/>
        <item x="12"/>
        <item x="20"/>
        <item x="1"/>
        <item x="0"/>
        <item x="18"/>
        <item x="19"/>
        <item x="27"/>
        <item x="25"/>
        <item x="8"/>
        <item x="26"/>
        <item x="11"/>
        <item x="17"/>
        <item x="2"/>
        <item x="24"/>
        <item x="28"/>
        <item x="6"/>
        <item x="3"/>
        <item x="22"/>
        <item t="default"/>
      </items>
    </pivotField>
    <pivotField showAll="0"/>
    <pivotField showAll="0"/>
    <pivotField showAll="0"/>
    <pivotField showAll="0"/>
    <pivotField showAll="0"/>
    <pivotField showAll="0"/>
    <pivotField showAll="0"/>
    <pivotField showAll="0"/>
  </pivotFields>
  <rowFields count="1">
    <field x="7"/>
  </rowFields>
  <rowItems count="3">
    <i>
      <x v="1"/>
    </i>
    <i>
      <x/>
    </i>
    <i t="grand">
      <x/>
    </i>
  </rowItems>
  <colItems count="1">
    <i/>
  </colItems>
  <dataFields count="1">
    <dataField name="Sum of Total_Admissions" fld="11" baseField="0" baseItem="0"/>
  </dataFields>
  <formats count="2">
    <format dxfId="20">
      <pivotArea type="all" dataOnly="0" outline="0" fieldPosition="0"/>
    </format>
    <format dxfId="19">
      <pivotArea outline="0" collapsedLevelsAreSubtotals="1" fieldPosition="0"/>
    </format>
  </formats>
  <chartFormats count="3">
    <chartFormat chart="58" format="0" series="1">
      <pivotArea type="data" outline="0" fieldPosition="0">
        <references count="1">
          <reference field="4294967294" count="1" selected="0">
            <x v="0"/>
          </reference>
        </references>
      </pivotArea>
    </chartFormat>
    <chartFormat chart="61" format="1" series="1">
      <pivotArea type="data" outline="0" fieldPosition="0">
        <references count="1">
          <reference field="4294967294" count="1" selected="0">
            <x v="0"/>
          </reference>
        </references>
      </pivotArea>
    </chartFormat>
    <chartFormat chart="6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E3F1527-4E76-4039-8E23-943A2D20CA3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51:C67" firstHeaderRow="1" firstDataRow="1" firstDataCol="1"/>
  <pivotFields count="23">
    <pivotField showAll="0">
      <items count="16">
        <item x="2"/>
        <item x="4"/>
        <item x="10"/>
        <item x="13"/>
        <item x="0"/>
        <item x="14"/>
        <item x="8"/>
        <item x="9"/>
        <item x="5"/>
        <item x="3"/>
        <item x="11"/>
        <item x="12"/>
        <item x="1"/>
        <item x="7"/>
        <item x="6"/>
        <item t="default"/>
      </items>
    </pivotField>
    <pivotField axis="axisRow" showAll="0" sortType="descending">
      <items count="16">
        <item x="14"/>
        <item x="2"/>
        <item x="10"/>
        <item x="12"/>
        <item x="4"/>
        <item x="1"/>
        <item x="0"/>
        <item x="5"/>
        <item x="9"/>
        <item x="8"/>
        <item x="6"/>
        <item x="3"/>
        <item x="13"/>
        <item x="7"/>
        <item x="11"/>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showAll="0"/>
    <pivotField showAll="0">
      <items count="3">
        <item x="0"/>
        <item x="1"/>
        <item t="default"/>
      </items>
    </pivotField>
    <pivotField showAll="0">
      <items count="16">
        <item x="13"/>
        <item x="14"/>
        <item x="12"/>
        <item x="10"/>
        <item x="7"/>
        <item x="3"/>
        <item x="5"/>
        <item x="4"/>
        <item x="6"/>
        <item x="1"/>
        <item x="9"/>
        <item x="0"/>
        <item x="2"/>
        <item x="11"/>
        <item x="8"/>
        <item t="default"/>
      </items>
    </pivotField>
    <pivotField showAll="0">
      <items count="13">
        <item x="2"/>
        <item x="8"/>
        <item x="5"/>
        <item x="3"/>
        <item x="0"/>
        <item x="10"/>
        <item x="6"/>
        <item x="4"/>
        <item x="1"/>
        <item x="11"/>
        <item x="9"/>
        <item x="7"/>
        <item t="default"/>
      </items>
    </pivotField>
    <pivotField showAll="0">
      <items count="6">
        <item x="2"/>
        <item x="1"/>
        <item x="4"/>
        <item x="3"/>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
  </rowFields>
  <rowItems count="16">
    <i>
      <x v="6"/>
    </i>
    <i>
      <x v="11"/>
    </i>
    <i>
      <x v="3"/>
    </i>
    <i>
      <x v="12"/>
    </i>
    <i>
      <x v="5"/>
    </i>
    <i>
      <x v="14"/>
    </i>
    <i>
      <x/>
    </i>
    <i>
      <x v="2"/>
    </i>
    <i>
      <x v="1"/>
    </i>
    <i>
      <x v="9"/>
    </i>
    <i>
      <x v="13"/>
    </i>
    <i>
      <x v="4"/>
    </i>
    <i>
      <x v="10"/>
    </i>
    <i>
      <x v="7"/>
    </i>
    <i>
      <x v="8"/>
    </i>
    <i t="grand">
      <x/>
    </i>
  </rowItems>
  <colItems count="1">
    <i/>
  </colItems>
  <dataFields count="1">
    <dataField name="Sum of profit" fld="18" baseField="0" baseItem="0"/>
  </dataFields>
  <formats count="2">
    <format dxfId="22">
      <pivotArea type="all" dataOnly="0" outline="0" fieldPosition="0"/>
    </format>
    <format dxfId="21">
      <pivotArea outline="0" collapsedLevelsAreSubtotals="1" fieldPosition="0"/>
    </format>
  </format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Name" xr10:uid="{806FFA96-10BF-4B3C-825B-DC5DD8A4C5CA}" sourceName="Hospital_Nam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967394115">
      <items count="15">
        <i x="14" s="1"/>
        <i x="2" s="1"/>
        <i x="10" s="1"/>
        <i x="12" s="1"/>
        <i x="4" s="1"/>
        <i x="1" s="1"/>
        <i x="0" s="1"/>
        <i x="5" s="1"/>
        <i x="9" s="1"/>
        <i x="8" s="1"/>
        <i x="6" s="1"/>
        <i x="3" s="1"/>
        <i x="13" s="1"/>
        <i x="7"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2DF84F0-9EF1-4049-A87C-CFD172A9CB28}" sourceName="Gender">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96739411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B846DDB-1E36-4442-8B49-8238B06FA7BA}" sourceName="Department">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967394115">
      <items count="12">
        <i x="2" s="1"/>
        <i x="8" s="1"/>
        <i x="5" s="1"/>
        <i x="3" s="1"/>
        <i x="0" s="1"/>
        <i x="10" s="1"/>
        <i x="6" s="1"/>
        <i x="4" s="1"/>
        <i x="1" s="1"/>
        <i x="11" s="1"/>
        <i x="9"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25773A7-DF5B-4B78-81AD-7159B9E82A3B}" sourceName="City">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967394115">
      <items count="5">
        <i x="2" s="1"/>
        <i x="1" s="1"/>
        <i x="4"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 xr10:uid="{7BC566D0-891C-4F91-B1D1-4204170C3562}" sourceName="diagnosis">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967394115">
      <items count="15">
        <i x="13" s="1"/>
        <i x="14" s="1"/>
        <i x="12" s="1"/>
        <i x="10" s="1"/>
        <i x="7" s="1"/>
        <i x="3" s="1"/>
        <i x="5" s="1"/>
        <i x="4" s="1"/>
        <i x="6" s="1"/>
        <i x="1" s="1"/>
        <i x="9" s="1"/>
        <i x="0" s="1"/>
        <i x="2" s="1"/>
        <i x="11"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spital_Name" xr10:uid="{95DEE315-1E51-4637-847F-3C4DFEE269FA}" cache="Slicer_Hospital_Name" caption="Hospital_Name" rowHeight="241300"/>
  <slicer name="Gender" xr10:uid="{7648E093-5D93-4649-895B-3D3C892A973A}" cache="Slicer_Gender" caption="Gender" rowHeight="241300"/>
  <slicer name="Department" xr10:uid="{1EA61095-DB9A-4E13-9728-949A9AE0346B}" cache="Slicer_Department" caption="Department" rowHeight="241300"/>
  <slicer name="City" xr10:uid="{6477EB5E-741B-41DE-8C18-19A5906AD191}" cache="Slicer_City" caption="City" rowHeight="241300"/>
  <slicer name="diagnosis" xr10:uid="{82DA7290-0245-44E7-95CB-A7AEC5DCCE26}" cache="Slicer_diagnosis" caption="diagnosi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spital_Name 1" xr10:uid="{72DFD0D8-3ECA-416C-A1CE-179ACDE2BAAD}" cache="Slicer_Hospital_Name" caption="Hospital_Name" style="SlicerStyleDark1" rowHeight="241300"/>
  <slicer name="Gender 1" xr10:uid="{B8EF1C5E-9F51-40B6-9447-415388BE0E7C}" cache="Slicer_Gender" caption="Gender" style="SlicerStyleDark1" rowHeight="241300"/>
  <slicer name="Department 1" xr10:uid="{DE2CF036-2096-4A0E-93E5-3926D1F3ED84}" cache="Slicer_Department" caption="Department" style="SlicerStyleDark1" rowHeight="241300"/>
  <slicer name="City 1" xr10:uid="{03132C01-AF0F-44D4-80A9-0FCC59236DBC}" cache="Slicer_City" caption="City" style="SlicerStyleDark1" rowHeight="241300"/>
  <slicer name="diagnosis 1" xr10:uid="{AAEF921D-853F-4282-B103-152CFB765341}" cache="Slicer_diagnosis" caption="diagnosis"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373F9F-3178-4FBE-930D-50306A84C00D}" name="Table1" displayName="Table1" ref="A1:W4996" totalsRowShown="0">
  <autoFilter ref="A1:W4996" xr:uid="{58373F9F-3178-4FBE-930D-50306A84C00D}"/>
  <tableColumns count="23">
    <tableColumn id="1" xr3:uid="{EF849842-92E7-4C45-9D67-72E198E28188}" name="Hospital_ID"/>
    <tableColumn id="2" xr3:uid="{0A09E6B2-4EBF-47DC-971D-8758A031FA1B}" name="Hospital_Name"/>
    <tableColumn id="3" xr3:uid="{6F21FD2B-F0EC-41F7-A2D1-45CBC92AE024}" name="admission_date" dataDxfId="1"/>
    <tableColumn id="4" xr3:uid="{11CE7E2A-C1CA-471E-94D5-D74DC02DBE78}" name="Readmission_Date"/>
    <tableColumn id="5" xr3:uid="{655C967D-F5CA-4741-93F2-459B528E711D}" name="Readmitted within 30 Days"/>
    <tableColumn id="7" xr3:uid="{5E1BE573-BF3F-44E6-AA70-489749C17C14}" name="Patient_Age"/>
    <tableColumn id="8" xr3:uid="{8B339660-3273-4962-ACD3-AD48C7E55EAF}" name="Age Distribution">
      <calculatedColumnFormula>IF(F2&lt;=20,"0-20",IF(F2&lt;=40,"21-40",IF(F2&lt;=60,"41-60",IF(F2&lt;=80,"61-80","81+"))))</calculatedColumnFormula>
    </tableColumn>
    <tableColumn id="9" xr3:uid="{EFDB8C95-7FB0-454E-93DD-77FFE9E4013D}" name="Gender"/>
    <tableColumn id="10" xr3:uid="{04E8E430-9272-4650-8A5D-51D3D917B09B}" name="diagnosis"/>
    <tableColumn id="11" xr3:uid="{B7B3CE23-88C9-4200-BFCD-5EA20BBE9A36}" name="Department"/>
    <tableColumn id="13" xr3:uid="{37B91D97-C404-495B-BDA6-D2C2AB987539}" name="City"/>
    <tableColumn id="14" xr3:uid="{4711D0C5-89B8-4D9E-B467-622E9229446D}" name="Total_Admissions"/>
    <tableColumn id="15" xr3:uid="{EFFE5053-CDFB-4D25-BB3B-8B56CF61DBE1}" name="Total_Discharges"/>
    <tableColumn id="16" xr3:uid="{2B223043-E135-4126-8884-E47856F1E50B}" name="Avg_Length_of_Stay"/>
    <tableColumn id="17" xr3:uid="{300DCFC4-EEF8-4EAE-8241-671632AEE65C}" name="Patient_Satisfaction_Score"/>
    <tableColumn id="18" xr3:uid="{BFCB1860-CF53-49BE-8A9B-72E6B1758D4B}" name="Emergency_Room_Visits"/>
    <tableColumn id="19" xr3:uid="{F92EF024-80E1-491C-8DCC-FB517D2EB50E}" name="Surgery_Count"/>
    <tableColumn id="20" xr3:uid="{A72EC148-C02B-40DF-9D34-7C3CD35281A0}" name="Revenue"/>
    <tableColumn id="6" xr3:uid="{3BDB5D5E-E69B-4010-B546-6A2EC6146AAC}" name="profit" dataDxfId="0">
      <calculatedColumnFormula>Table1[[#This Row],[Revenue]]-Table1[[#This Row],[Operating_Costs]]</calculatedColumnFormula>
    </tableColumn>
    <tableColumn id="21" xr3:uid="{5BC98A34-09D0-4762-9ED0-666FB44B64E3}" name="Operating_Costs"/>
    <tableColumn id="22" xr3:uid="{9D7E9160-E5F4-479E-9EF7-84B82C4760FC}" name="Number_of_Staff"/>
    <tableColumn id="23" xr3:uid="{CC79A115-20C2-4DA9-B3ED-65DD68E67B20}" name="hours worked by staff per week "/>
    <tableColumn id="24" xr3:uid="{6F6B11D6-8EC8-48CA-9394-68A99C4C5BDA}" name="Turnover_Rate_(%)"/>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E52DC-E73F-4E94-924D-2365A6679A47}">
  <dimension ref="A1:Y207"/>
  <sheetViews>
    <sheetView topLeftCell="A81" zoomScale="59" workbookViewId="0">
      <selection activeCell="P119" sqref="P119"/>
    </sheetView>
  </sheetViews>
  <sheetFormatPr defaultRowHeight="15" x14ac:dyDescent="0.25"/>
  <cols>
    <col min="1" max="1" width="12.5703125" bestFit="1" customWidth="1"/>
    <col min="2" max="2" width="20.42578125" bestFit="1" customWidth="1"/>
    <col min="3" max="3" width="38.140625" bestFit="1" customWidth="1"/>
    <col min="4" max="4" width="33.28515625" bestFit="1" customWidth="1"/>
    <col min="5" max="5" width="9.28515625" bestFit="1" customWidth="1"/>
    <col min="6" max="6" width="14.85546875" bestFit="1" customWidth="1"/>
    <col min="7" max="7" width="9.5703125" bestFit="1" customWidth="1"/>
    <col min="8" max="8" width="16.85546875" bestFit="1" customWidth="1"/>
  </cols>
  <sheetData>
    <row r="1" spans="1:25" x14ac:dyDescent="0.25">
      <c r="A1" s="3"/>
      <c r="B1" s="4"/>
      <c r="C1" s="22" t="s">
        <v>77</v>
      </c>
      <c r="D1" s="22"/>
      <c r="E1" s="4"/>
      <c r="F1" s="5"/>
      <c r="H1" s="3"/>
      <c r="I1" s="4"/>
      <c r="J1" s="4"/>
      <c r="K1" s="4"/>
      <c r="L1" s="4"/>
      <c r="M1" s="24" t="s">
        <v>78</v>
      </c>
      <c r="N1" s="24"/>
      <c r="O1" s="24"/>
      <c r="P1" s="4"/>
      <c r="Q1" s="4"/>
      <c r="R1" s="4"/>
      <c r="S1" s="4"/>
      <c r="T1" s="4"/>
      <c r="U1" s="4"/>
      <c r="V1" s="4"/>
      <c r="W1" s="4"/>
      <c r="X1" s="4"/>
      <c r="Y1" s="5"/>
    </row>
    <row r="2" spans="1:25" x14ac:dyDescent="0.25">
      <c r="A2" s="6"/>
      <c r="C2" s="23"/>
      <c r="D2" s="23"/>
      <c r="F2" s="7"/>
      <c r="H2" s="6"/>
      <c r="M2" s="25"/>
      <c r="N2" s="25"/>
      <c r="O2" s="25"/>
      <c r="Y2" s="7"/>
    </row>
    <row r="3" spans="1:25" x14ac:dyDescent="0.25">
      <c r="A3" s="6"/>
      <c r="F3" s="7"/>
      <c r="H3" s="6"/>
      <c r="Y3" s="7"/>
    </row>
    <row r="4" spans="1:25" x14ac:dyDescent="0.25">
      <c r="A4" s="6"/>
      <c r="F4" s="7"/>
      <c r="H4" s="6"/>
      <c r="Y4" s="7"/>
    </row>
    <row r="5" spans="1:25" x14ac:dyDescent="0.25">
      <c r="A5" s="6"/>
      <c r="F5" s="7"/>
      <c r="H5" s="6"/>
      <c r="Y5" s="7"/>
    </row>
    <row r="6" spans="1:25" x14ac:dyDescent="0.25">
      <c r="A6" s="6"/>
      <c r="F6" s="7"/>
      <c r="H6" s="6"/>
      <c r="Y6" s="7"/>
    </row>
    <row r="7" spans="1:25" x14ac:dyDescent="0.25">
      <c r="A7" s="6"/>
      <c r="B7" s="11" t="s">
        <v>73</v>
      </c>
      <c r="C7" s="12" t="s">
        <v>74</v>
      </c>
      <c r="D7" s="12" t="s">
        <v>75</v>
      </c>
      <c r="E7" s="13" t="s">
        <v>76</v>
      </c>
      <c r="F7" s="7"/>
      <c r="H7" s="6"/>
      <c r="Y7" s="7"/>
    </row>
    <row r="8" spans="1:25" x14ac:dyDescent="0.25">
      <c r="A8" s="6"/>
      <c r="B8" s="11">
        <v>1111381529</v>
      </c>
      <c r="C8" s="12">
        <v>3847820565</v>
      </c>
      <c r="D8" s="12">
        <v>2736439036</v>
      </c>
      <c r="E8" s="13">
        <v>222498.80460460461</v>
      </c>
      <c r="F8" s="7"/>
      <c r="H8" s="6"/>
      <c r="Y8" s="7"/>
    </row>
    <row r="9" spans="1:25" x14ac:dyDescent="0.25">
      <c r="A9" s="6"/>
      <c r="F9" s="7"/>
      <c r="H9" s="6"/>
      <c r="Y9" s="7"/>
    </row>
    <row r="10" spans="1:25" x14ac:dyDescent="0.25">
      <c r="A10" s="3"/>
      <c r="B10" s="4"/>
      <c r="C10" s="4"/>
      <c r="D10" s="4"/>
      <c r="E10" s="4"/>
      <c r="F10" s="5"/>
      <c r="H10" s="6"/>
      <c r="Y10" s="7"/>
    </row>
    <row r="11" spans="1:25" x14ac:dyDescent="0.25">
      <c r="A11" s="6"/>
      <c r="B11">
        <f>GETPIVOTDATA("Sum of profit",$B$7)</f>
        <v>1111381529</v>
      </c>
      <c r="C11">
        <f>GETPIVOTDATA("Sum of Revenue",$B$7)</f>
        <v>3847820565</v>
      </c>
      <c r="D11">
        <f>GETPIVOTDATA("Sum of Operating_Costs",$B$7)</f>
        <v>2736439036</v>
      </c>
      <c r="E11">
        <f>GETPIVOTDATA("Average of profit2",$B$7)</f>
        <v>222498.80460460461</v>
      </c>
      <c r="F11" s="7"/>
      <c r="H11" s="6"/>
      <c r="Y11" s="7"/>
    </row>
    <row r="12" spans="1:25" x14ac:dyDescent="0.25">
      <c r="A12" s="6"/>
      <c r="F12" s="7"/>
      <c r="H12" s="6"/>
      <c r="Y12" s="7"/>
    </row>
    <row r="13" spans="1:25" x14ac:dyDescent="0.25">
      <c r="A13" s="6"/>
      <c r="F13" s="7"/>
      <c r="H13" s="6"/>
      <c r="Y13" s="7"/>
    </row>
    <row r="14" spans="1:25" x14ac:dyDescent="0.25">
      <c r="A14" s="8"/>
      <c r="B14" s="9"/>
      <c r="C14" s="9"/>
      <c r="D14" s="9"/>
      <c r="E14" s="9"/>
      <c r="F14" s="10"/>
      <c r="H14" s="6"/>
      <c r="Y14" s="7"/>
    </row>
    <row r="15" spans="1:25" x14ac:dyDescent="0.25">
      <c r="A15" s="6"/>
      <c r="F15" s="7"/>
      <c r="H15" s="6"/>
      <c r="Y15" s="7"/>
    </row>
    <row r="16" spans="1:25" x14ac:dyDescent="0.25">
      <c r="A16" s="6"/>
      <c r="F16" s="7"/>
      <c r="H16" s="6"/>
      <c r="Y16" s="7"/>
    </row>
    <row r="17" spans="1:25" x14ac:dyDescent="0.25">
      <c r="A17" s="8"/>
      <c r="B17" s="9"/>
      <c r="C17" s="9"/>
      <c r="D17" s="9"/>
      <c r="E17" s="9"/>
      <c r="F17" s="10"/>
      <c r="H17" s="6"/>
      <c r="Y17" s="7"/>
    </row>
    <row r="18" spans="1:25" x14ac:dyDescent="0.25">
      <c r="H18" s="6"/>
      <c r="Y18" s="7"/>
    </row>
    <row r="19" spans="1:25" x14ac:dyDescent="0.25">
      <c r="B19" s="25" t="s">
        <v>95</v>
      </c>
      <c r="C19" s="25"/>
      <c r="H19" s="6"/>
      <c r="Y19" s="7"/>
    </row>
    <row r="20" spans="1:25" x14ac:dyDescent="0.25">
      <c r="B20" s="25"/>
      <c r="C20" s="25"/>
      <c r="H20" s="6"/>
      <c r="Y20" s="7"/>
    </row>
    <row r="21" spans="1:25" x14ac:dyDescent="0.25">
      <c r="H21" s="6"/>
      <c r="Y21" s="7"/>
    </row>
    <row r="22" spans="1:25" x14ac:dyDescent="0.25">
      <c r="H22" s="8"/>
      <c r="I22" s="9"/>
      <c r="J22" s="9"/>
      <c r="K22" s="9"/>
      <c r="L22" s="9"/>
      <c r="M22" s="9"/>
      <c r="N22" s="9"/>
      <c r="O22" s="9"/>
      <c r="P22" s="9"/>
      <c r="Q22" s="9"/>
      <c r="R22" s="9"/>
      <c r="S22" s="9"/>
      <c r="T22" s="9"/>
      <c r="U22" s="9"/>
      <c r="V22" s="9"/>
      <c r="W22" s="9"/>
      <c r="X22" s="9"/>
      <c r="Y22" s="10"/>
    </row>
    <row r="25" spans="1:25" x14ac:dyDescent="0.25">
      <c r="B25" t="s">
        <v>79</v>
      </c>
    </row>
    <row r="28" spans="1:25" x14ac:dyDescent="0.25">
      <c r="B28" s="14" t="s">
        <v>80</v>
      </c>
      <c r="C28" s="5" t="s">
        <v>74</v>
      </c>
    </row>
    <row r="29" spans="1:25" x14ac:dyDescent="0.25">
      <c r="B29" s="15" t="s">
        <v>52</v>
      </c>
      <c r="C29" s="19">
        <v>316300562</v>
      </c>
    </row>
    <row r="30" spans="1:25" x14ac:dyDescent="0.25">
      <c r="B30" s="15" t="s">
        <v>32</v>
      </c>
      <c r="C30" s="21">
        <v>316165565</v>
      </c>
    </row>
    <row r="31" spans="1:25" x14ac:dyDescent="0.25">
      <c r="B31" s="15" t="s">
        <v>34</v>
      </c>
      <c r="C31" s="21">
        <v>300344480</v>
      </c>
    </row>
    <row r="32" spans="1:25" x14ac:dyDescent="0.25">
      <c r="B32" s="15" t="s">
        <v>69</v>
      </c>
      <c r="C32" s="21">
        <v>298697522</v>
      </c>
    </row>
    <row r="33" spans="2:3" x14ac:dyDescent="0.25">
      <c r="B33" s="15" t="s">
        <v>66</v>
      </c>
      <c r="C33" s="21">
        <v>297908670</v>
      </c>
    </row>
    <row r="34" spans="2:3" x14ac:dyDescent="0.25">
      <c r="B34" s="15" t="s">
        <v>22</v>
      </c>
      <c r="C34" s="21">
        <v>265257466</v>
      </c>
    </row>
    <row r="35" spans="2:3" x14ac:dyDescent="0.25">
      <c r="B35" s="15" t="s">
        <v>48</v>
      </c>
      <c r="C35" s="21">
        <v>264898146</v>
      </c>
    </row>
    <row r="36" spans="2:3" x14ac:dyDescent="0.25">
      <c r="B36" s="15" t="s">
        <v>45</v>
      </c>
      <c r="C36" s="21">
        <v>249943509</v>
      </c>
    </row>
    <row r="37" spans="2:3" x14ac:dyDescent="0.25">
      <c r="B37" s="15" t="s">
        <v>39</v>
      </c>
      <c r="C37" s="21">
        <v>249581990</v>
      </c>
    </row>
    <row r="38" spans="2:3" x14ac:dyDescent="0.25">
      <c r="B38" s="15" t="s">
        <v>49</v>
      </c>
      <c r="C38" s="21">
        <v>248404755</v>
      </c>
    </row>
    <row r="39" spans="2:3" x14ac:dyDescent="0.25">
      <c r="B39" s="15" t="s">
        <v>70</v>
      </c>
      <c r="C39" s="21">
        <v>234979820</v>
      </c>
    </row>
    <row r="40" spans="2:3" x14ac:dyDescent="0.25">
      <c r="B40" s="15" t="s">
        <v>63</v>
      </c>
      <c r="C40" s="21">
        <v>234415980</v>
      </c>
    </row>
    <row r="41" spans="2:3" x14ac:dyDescent="0.25">
      <c r="B41" s="15" t="s">
        <v>30</v>
      </c>
      <c r="C41" s="21">
        <v>203482569</v>
      </c>
    </row>
    <row r="42" spans="2:3" x14ac:dyDescent="0.25">
      <c r="B42" s="15" t="s">
        <v>57</v>
      </c>
      <c r="C42" s="21">
        <v>184200473</v>
      </c>
    </row>
    <row r="43" spans="2:3" x14ac:dyDescent="0.25">
      <c r="B43" s="15" t="s">
        <v>44</v>
      </c>
      <c r="C43" s="21">
        <v>183239058</v>
      </c>
    </row>
    <row r="44" spans="2:3" x14ac:dyDescent="0.25">
      <c r="B44" s="16" t="s">
        <v>81</v>
      </c>
      <c r="C44" s="20">
        <v>3847820565</v>
      </c>
    </row>
    <row r="48" spans="2:3" x14ac:dyDescent="0.25">
      <c r="B48" t="s">
        <v>82</v>
      </c>
    </row>
    <row r="51" spans="2:3" x14ac:dyDescent="0.25">
      <c r="B51" s="14" t="s">
        <v>80</v>
      </c>
      <c r="C51" s="5" t="s">
        <v>73</v>
      </c>
    </row>
    <row r="52" spans="2:3" x14ac:dyDescent="0.25">
      <c r="B52" s="15" t="s">
        <v>22</v>
      </c>
      <c r="C52" s="19">
        <v>148141481</v>
      </c>
    </row>
    <row r="53" spans="2:3" x14ac:dyDescent="0.25">
      <c r="B53" s="15" t="s">
        <v>34</v>
      </c>
      <c r="C53" s="21">
        <v>101856276</v>
      </c>
    </row>
    <row r="54" spans="2:3" x14ac:dyDescent="0.25">
      <c r="B54" s="15" t="s">
        <v>66</v>
      </c>
      <c r="C54" s="21">
        <v>98576374</v>
      </c>
    </row>
    <row r="55" spans="2:3" x14ac:dyDescent="0.25">
      <c r="B55" s="15" t="s">
        <v>69</v>
      </c>
      <c r="C55" s="21">
        <v>98024953</v>
      </c>
    </row>
    <row r="56" spans="2:3" x14ac:dyDescent="0.25">
      <c r="B56" s="15" t="s">
        <v>30</v>
      </c>
      <c r="C56" s="21">
        <v>77388732</v>
      </c>
    </row>
    <row r="57" spans="2:3" x14ac:dyDescent="0.25">
      <c r="B57" s="15" t="s">
        <v>63</v>
      </c>
      <c r="C57" s="21">
        <v>72198147</v>
      </c>
    </row>
    <row r="58" spans="2:3" x14ac:dyDescent="0.25">
      <c r="B58" s="15" t="s">
        <v>70</v>
      </c>
      <c r="C58" s="21">
        <v>70196545</v>
      </c>
    </row>
    <row r="59" spans="2:3" x14ac:dyDescent="0.25">
      <c r="B59" s="15" t="s">
        <v>57</v>
      </c>
      <c r="C59" s="21">
        <v>68226437</v>
      </c>
    </row>
    <row r="60" spans="2:3" x14ac:dyDescent="0.25">
      <c r="B60" s="15" t="s">
        <v>32</v>
      </c>
      <c r="C60" s="21">
        <v>66933031</v>
      </c>
    </row>
    <row r="61" spans="2:3" x14ac:dyDescent="0.25">
      <c r="B61" s="15" t="s">
        <v>49</v>
      </c>
      <c r="C61" s="21">
        <v>65479690</v>
      </c>
    </row>
    <row r="62" spans="2:3" x14ac:dyDescent="0.25">
      <c r="B62" s="15" t="s">
        <v>48</v>
      </c>
      <c r="C62" s="21">
        <v>65438308</v>
      </c>
    </row>
    <row r="63" spans="2:3" x14ac:dyDescent="0.25">
      <c r="B63" s="15" t="s">
        <v>39</v>
      </c>
      <c r="C63" s="21">
        <v>57420364</v>
      </c>
    </row>
    <row r="64" spans="2:3" x14ac:dyDescent="0.25">
      <c r="B64" s="15" t="s">
        <v>45</v>
      </c>
      <c r="C64" s="21">
        <v>49687529</v>
      </c>
    </row>
    <row r="65" spans="2:4" x14ac:dyDescent="0.25">
      <c r="B65" s="15" t="s">
        <v>44</v>
      </c>
      <c r="C65" s="21">
        <v>38970635</v>
      </c>
    </row>
    <row r="66" spans="2:4" x14ac:dyDescent="0.25">
      <c r="B66" s="15" t="s">
        <v>52</v>
      </c>
      <c r="C66" s="21">
        <v>32843027</v>
      </c>
    </row>
    <row r="67" spans="2:4" x14ac:dyDescent="0.25">
      <c r="B67" s="16" t="s">
        <v>81</v>
      </c>
      <c r="C67" s="20">
        <v>1111381529</v>
      </c>
    </row>
    <row r="73" spans="2:4" x14ac:dyDescent="0.25">
      <c r="B73" t="s">
        <v>83</v>
      </c>
    </row>
    <row r="75" spans="2:4" x14ac:dyDescent="0.25">
      <c r="B75" s="14" t="s">
        <v>80</v>
      </c>
      <c r="C75" s="4" t="s">
        <v>74</v>
      </c>
      <c r="D75" s="5" t="s">
        <v>73</v>
      </c>
    </row>
    <row r="76" spans="2:4" x14ac:dyDescent="0.25">
      <c r="B76" s="15" t="s">
        <v>22</v>
      </c>
      <c r="C76" s="3">
        <v>265257466</v>
      </c>
      <c r="D76" s="5">
        <v>148141481</v>
      </c>
    </row>
    <row r="77" spans="2:4" x14ac:dyDescent="0.25">
      <c r="B77" s="15" t="s">
        <v>34</v>
      </c>
      <c r="C77" s="6">
        <v>300344480</v>
      </c>
      <c r="D77" s="7">
        <v>101856276</v>
      </c>
    </row>
    <row r="78" spans="2:4" x14ac:dyDescent="0.25">
      <c r="B78" s="15" t="s">
        <v>66</v>
      </c>
      <c r="C78" s="6">
        <v>297908670</v>
      </c>
      <c r="D78" s="7">
        <v>98576374</v>
      </c>
    </row>
    <row r="79" spans="2:4" x14ac:dyDescent="0.25">
      <c r="B79" s="15" t="s">
        <v>69</v>
      </c>
      <c r="C79" s="6">
        <v>298697522</v>
      </c>
      <c r="D79" s="7">
        <v>98024953</v>
      </c>
    </row>
    <row r="80" spans="2:4" x14ac:dyDescent="0.25">
      <c r="B80" s="15" t="s">
        <v>30</v>
      </c>
      <c r="C80" s="6">
        <v>203482569</v>
      </c>
      <c r="D80" s="7">
        <v>77388732</v>
      </c>
    </row>
    <row r="81" spans="2:4" x14ac:dyDescent="0.25">
      <c r="B81" s="15" t="s">
        <v>63</v>
      </c>
      <c r="C81" s="6">
        <v>234415980</v>
      </c>
      <c r="D81" s="7">
        <v>72198147</v>
      </c>
    </row>
    <row r="82" spans="2:4" x14ac:dyDescent="0.25">
      <c r="B82" s="15" t="s">
        <v>70</v>
      </c>
      <c r="C82" s="6">
        <v>234979820</v>
      </c>
      <c r="D82" s="7">
        <v>70196545</v>
      </c>
    </row>
    <row r="83" spans="2:4" x14ac:dyDescent="0.25">
      <c r="B83" s="15" t="s">
        <v>57</v>
      </c>
      <c r="C83" s="6">
        <v>184200473</v>
      </c>
      <c r="D83" s="7">
        <v>68226437</v>
      </c>
    </row>
    <row r="84" spans="2:4" x14ac:dyDescent="0.25">
      <c r="B84" s="15" t="s">
        <v>32</v>
      </c>
      <c r="C84" s="6">
        <v>316165565</v>
      </c>
      <c r="D84" s="7">
        <v>66933031</v>
      </c>
    </row>
    <row r="85" spans="2:4" x14ac:dyDescent="0.25">
      <c r="B85" s="15" t="s">
        <v>49</v>
      </c>
      <c r="C85" s="6">
        <v>248404755</v>
      </c>
      <c r="D85" s="7">
        <v>65479690</v>
      </c>
    </row>
    <row r="86" spans="2:4" x14ac:dyDescent="0.25">
      <c r="B86" s="15" t="s">
        <v>48</v>
      </c>
      <c r="C86" s="6">
        <v>264898146</v>
      </c>
      <c r="D86" s="7">
        <v>65438308</v>
      </c>
    </row>
    <row r="87" spans="2:4" x14ac:dyDescent="0.25">
      <c r="B87" s="15" t="s">
        <v>39</v>
      </c>
      <c r="C87" s="6">
        <v>249581990</v>
      </c>
      <c r="D87" s="7">
        <v>57420364</v>
      </c>
    </row>
    <row r="88" spans="2:4" x14ac:dyDescent="0.25">
      <c r="B88" s="15" t="s">
        <v>45</v>
      </c>
      <c r="C88" s="6">
        <v>249943509</v>
      </c>
      <c r="D88" s="7">
        <v>49687529</v>
      </c>
    </row>
    <row r="89" spans="2:4" x14ac:dyDescent="0.25">
      <c r="B89" s="15" t="s">
        <v>44</v>
      </c>
      <c r="C89" s="6">
        <v>183239058</v>
      </c>
      <c r="D89" s="7">
        <v>38970635</v>
      </c>
    </row>
    <row r="90" spans="2:4" x14ac:dyDescent="0.25">
      <c r="B90" s="15" t="s">
        <v>52</v>
      </c>
      <c r="C90" s="6">
        <v>316300562</v>
      </c>
      <c r="D90" s="7">
        <v>32843027</v>
      </c>
    </row>
    <row r="91" spans="2:4" x14ac:dyDescent="0.25">
      <c r="B91" s="16" t="s">
        <v>81</v>
      </c>
      <c r="C91" s="8">
        <v>3847820565</v>
      </c>
      <c r="D91" s="10">
        <v>1111381529</v>
      </c>
    </row>
    <row r="96" spans="2:4" x14ac:dyDescent="0.25">
      <c r="B96" t="s">
        <v>84</v>
      </c>
    </row>
    <row r="99" spans="2:3" x14ac:dyDescent="0.25">
      <c r="B99" s="14" t="s">
        <v>80</v>
      </c>
      <c r="C99" s="5" t="s">
        <v>74</v>
      </c>
    </row>
    <row r="100" spans="2:3" x14ac:dyDescent="0.25">
      <c r="B100" s="15" t="s">
        <v>24</v>
      </c>
      <c r="C100" s="19">
        <v>447429403</v>
      </c>
    </row>
    <row r="101" spans="2:3" x14ac:dyDescent="0.25">
      <c r="B101" s="15" t="s">
        <v>36</v>
      </c>
      <c r="C101" s="21">
        <v>406467720</v>
      </c>
    </row>
    <row r="102" spans="2:3" x14ac:dyDescent="0.25">
      <c r="B102" s="15" t="s">
        <v>31</v>
      </c>
      <c r="C102" s="21">
        <v>392332301</v>
      </c>
    </row>
    <row r="103" spans="2:3" x14ac:dyDescent="0.25">
      <c r="B103" s="15" t="s">
        <v>61</v>
      </c>
      <c r="C103" s="21">
        <v>376112789</v>
      </c>
    </row>
    <row r="104" spans="2:3" x14ac:dyDescent="0.25">
      <c r="B104" s="15" t="s">
        <v>40</v>
      </c>
      <c r="C104" s="21">
        <v>288884307</v>
      </c>
    </row>
    <row r="105" spans="2:3" x14ac:dyDescent="0.25">
      <c r="B105" s="15" t="s">
        <v>46</v>
      </c>
      <c r="C105" s="21">
        <v>287012095</v>
      </c>
    </row>
    <row r="106" spans="2:3" x14ac:dyDescent="0.25">
      <c r="B106" s="15" t="s">
        <v>50</v>
      </c>
      <c r="C106" s="21">
        <v>269861478</v>
      </c>
    </row>
    <row r="107" spans="2:3" x14ac:dyDescent="0.25">
      <c r="B107" s="15" t="s">
        <v>58</v>
      </c>
      <c r="C107" s="21">
        <v>269772104</v>
      </c>
    </row>
    <row r="108" spans="2:3" x14ac:dyDescent="0.25">
      <c r="B108" s="15" t="s">
        <v>55</v>
      </c>
      <c r="C108" s="21">
        <v>215420334</v>
      </c>
    </row>
    <row r="109" spans="2:3" x14ac:dyDescent="0.25">
      <c r="B109" s="15" t="s">
        <v>64</v>
      </c>
      <c r="C109" s="21">
        <v>201676788</v>
      </c>
    </row>
    <row r="110" spans="2:3" x14ac:dyDescent="0.25">
      <c r="B110" s="15" t="s">
        <v>43</v>
      </c>
      <c r="C110" s="21">
        <v>195313360</v>
      </c>
    </row>
    <row r="111" spans="2:3" x14ac:dyDescent="0.25">
      <c r="B111" s="15" t="s">
        <v>27</v>
      </c>
      <c r="C111" s="21">
        <v>194934916</v>
      </c>
    </row>
    <row r="112" spans="2:3" x14ac:dyDescent="0.25">
      <c r="B112" s="15" t="s">
        <v>60</v>
      </c>
      <c r="C112" s="21">
        <v>115605037</v>
      </c>
    </row>
    <row r="113" spans="2:3" x14ac:dyDescent="0.25">
      <c r="B113" s="15" t="s">
        <v>53</v>
      </c>
      <c r="C113" s="21">
        <v>95878371</v>
      </c>
    </row>
    <row r="114" spans="2:3" x14ac:dyDescent="0.25">
      <c r="B114" s="15" t="s">
        <v>67</v>
      </c>
      <c r="C114" s="21">
        <v>91119562</v>
      </c>
    </row>
    <row r="115" spans="2:3" x14ac:dyDescent="0.25">
      <c r="B115" s="16" t="s">
        <v>81</v>
      </c>
      <c r="C115" s="20">
        <v>3847820565</v>
      </c>
    </row>
    <row r="118" spans="2:3" x14ac:dyDescent="0.25">
      <c r="B118" t="s">
        <v>86</v>
      </c>
    </row>
    <row r="120" spans="2:3" x14ac:dyDescent="0.25">
      <c r="B120" s="14" t="s">
        <v>80</v>
      </c>
      <c r="C120" s="5" t="s">
        <v>85</v>
      </c>
    </row>
    <row r="121" spans="2:3" x14ac:dyDescent="0.25">
      <c r="B121" s="15" t="s">
        <v>35</v>
      </c>
      <c r="C121" s="19">
        <v>2832</v>
      </c>
    </row>
    <row r="122" spans="2:3" x14ac:dyDescent="0.25">
      <c r="B122" s="15" t="s">
        <v>23</v>
      </c>
      <c r="C122" s="21">
        <v>2663</v>
      </c>
    </row>
    <row r="123" spans="2:3" x14ac:dyDescent="0.25">
      <c r="B123" s="16" t="s">
        <v>81</v>
      </c>
      <c r="C123" s="20">
        <v>5495</v>
      </c>
    </row>
    <row r="133" spans="2:3" x14ac:dyDescent="0.25">
      <c r="B133" t="s">
        <v>87</v>
      </c>
    </row>
    <row r="135" spans="2:3" x14ac:dyDescent="0.25">
      <c r="B135" s="14" t="s">
        <v>80</v>
      </c>
      <c r="C135" s="5" t="s">
        <v>88</v>
      </c>
    </row>
    <row r="136" spans="2:3" x14ac:dyDescent="0.25">
      <c r="B136" s="15" t="s">
        <v>29</v>
      </c>
      <c r="C136" s="19">
        <v>5074</v>
      </c>
    </row>
    <row r="137" spans="2:3" x14ac:dyDescent="0.25">
      <c r="B137" s="15" t="s">
        <v>42</v>
      </c>
      <c r="C137" s="21">
        <v>5074</v>
      </c>
    </row>
    <row r="138" spans="2:3" x14ac:dyDescent="0.25">
      <c r="B138" s="15" t="s">
        <v>38</v>
      </c>
      <c r="C138" s="21">
        <v>4959</v>
      </c>
    </row>
    <row r="139" spans="2:3" x14ac:dyDescent="0.25">
      <c r="B139" s="15" t="s">
        <v>26</v>
      </c>
      <c r="C139" s="21">
        <v>4949</v>
      </c>
    </row>
    <row r="140" spans="2:3" x14ac:dyDescent="0.25">
      <c r="B140" s="15" t="s">
        <v>33</v>
      </c>
      <c r="C140" s="21">
        <v>4919</v>
      </c>
    </row>
    <row r="141" spans="2:3" x14ac:dyDescent="0.25">
      <c r="B141" s="16" t="s">
        <v>81</v>
      </c>
      <c r="C141" s="20">
        <v>24975</v>
      </c>
    </row>
    <row r="149" spans="2:8" x14ac:dyDescent="0.25">
      <c r="B149" t="s">
        <v>91</v>
      </c>
    </row>
    <row r="151" spans="2:8" x14ac:dyDescent="0.25">
      <c r="B151" s="14" t="s">
        <v>89</v>
      </c>
      <c r="C151" s="17" t="s">
        <v>90</v>
      </c>
      <c r="D151" s="4"/>
      <c r="E151" s="4"/>
      <c r="F151" s="4"/>
      <c r="G151" s="4"/>
      <c r="H151" s="5"/>
    </row>
    <row r="152" spans="2:8" x14ac:dyDescent="0.25">
      <c r="B152" s="18" t="s">
        <v>80</v>
      </c>
      <c r="C152" t="s">
        <v>33</v>
      </c>
      <c r="D152" t="s">
        <v>29</v>
      </c>
      <c r="E152" t="s">
        <v>42</v>
      </c>
      <c r="F152" t="s">
        <v>38</v>
      </c>
      <c r="G152" t="s">
        <v>26</v>
      </c>
      <c r="H152" s="7" t="s">
        <v>81</v>
      </c>
    </row>
    <row r="153" spans="2:8" x14ac:dyDescent="0.25">
      <c r="B153" s="15" t="s">
        <v>56</v>
      </c>
      <c r="C153" s="3">
        <v>2095</v>
      </c>
      <c r="D153" s="4">
        <v>2758</v>
      </c>
      <c r="E153" s="4">
        <v>2156</v>
      </c>
      <c r="F153" s="4">
        <v>2540</v>
      </c>
      <c r="G153" s="4">
        <v>2196</v>
      </c>
      <c r="H153" s="5">
        <v>11745</v>
      </c>
    </row>
    <row r="154" spans="2:8" x14ac:dyDescent="0.25">
      <c r="B154" s="15" t="s">
        <v>62</v>
      </c>
      <c r="C154" s="6">
        <v>3821</v>
      </c>
      <c r="D154">
        <v>3773</v>
      </c>
      <c r="E154">
        <v>4528</v>
      </c>
      <c r="F154">
        <v>4392</v>
      </c>
      <c r="G154">
        <v>3910</v>
      </c>
      <c r="H154" s="7">
        <v>20424</v>
      </c>
    </row>
    <row r="155" spans="2:8" x14ac:dyDescent="0.25">
      <c r="B155" s="15" t="s">
        <v>68</v>
      </c>
      <c r="C155" s="6">
        <v>1259</v>
      </c>
      <c r="D155">
        <v>1114</v>
      </c>
      <c r="E155">
        <v>750</v>
      </c>
      <c r="F155">
        <v>908</v>
      </c>
      <c r="G155">
        <v>721</v>
      </c>
      <c r="H155" s="7">
        <v>4752</v>
      </c>
    </row>
    <row r="156" spans="2:8" x14ac:dyDescent="0.25">
      <c r="B156" s="15" t="s">
        <v>28</v>
      </c>
      <c r="C156" s="6">
        <v>6487</v>
      </c>
      <c r="D156">
        <v>5333</v>
      </c>
      <c r="E156">
        <v>5714</v>
      </c>
      <c r="F156">
        <v>6053</v>
      </c>
      <c r="G156">
        <v>6326</v>
      </c>
      <c r="H156" s="7">
        <v>29913</v>
      </c>
    </row>
    <row r="157" spans="2:8" x14ac:dyDescent="0.25">
      <c r="B157" s="15" t="s">
        <v>47</v>
      </c>
      <c r="C157" s="6">
        <v>3074</v>
      </c>
      <c r="D157">
        <v>3059</v>
      </c>
      <c r="E157">
        <v>3344</v>
      </c>
      <c r="F157">
        <v>2509</v>
      </c>
      <c r="G157">
        <v>2818</v>
      </c>
      <c r="H157" s="7">
        <v>14804</v>
      </c>
    </row>
    <row r="158" spans="2:8" x14ac:dyDescent="0.25">
      <c r="B158" s="15" t="s">
        <v>54</v>
      </c>
      <c r="C158" s="6">
        <v>932</v>
      </c>
      <c r="D158">
        <v>921</v>
      </c>
      <c r="E158">
        <v>1039</v>
      </c>
      <c r="F158">
        <v>1327</v>
      </c>
      <c r="G158">
        <v>937</v>
      </c>
      <c r="H158" s="7">
        <v>5156</v>
      </c>
    </row>
    <row r="159" spans="2:8" x14ac:dyDescent="0.25">
      <c r="B159" s="15" t="s">
        <v>65</v>
      </c>
      <c r="C159" s="6">
        <v>2200</v>
      </c>
      <c r="D159">
        <v>2034</v>
      </c>
      <c r="E159">
        <v>2079</v>
      </c>
      <c r="F159">
        <v>1894</v>
      </c>
      <c r="G159">
        <v>2370</v>
      </c>
      <c r="H159" s="7">
        <v>10577</v>
      </c>
    </row>
    <row r="160" spans="2:8" x14ac:dyDescent="0.25">
      <c r="B160" s="15" t="s">
        <v>25</v>
      </c>
      <c r="C160" s="6">
        <v>6395</v>
      </c>
      <c r="D160">
        <v>6163</v>
      </c>
      <c r="E160">
        <v>6012</v>
      </c>
      <c r="F160">
        <v>6510</v>
      </c>
      <c r="G160">
        <v>6068</v>
      </c>
      <c r="H160" s="7">
        <v>31148</v>
      </c>
    </row>
    <row r="161" spans="2:8" x14ac:dyDescent="0.25">
      <c r="B161" s="15" t="s">
        <v>41</v>
      </c>
      <c r="C161" s="6">
        <v>2841</v>
      </c>
      <c r="D161">
        <v>2894</v>
      </c>
      <c r="E161">
        <v>3607</v>
      </c>
      <c r="F161">
        <v>2647</v>
      </c>
      <c r="G161">
        <v>2966</v>
      </c>
      <c r="H161" s="7">
        <v>14955</v>
      </c>
    </row>
    <row r="162" spans="2:8" x14ac:dyDescent="0.25">
      <c r="B162" s="15" t="s">
        <v>51</v>
      </c>
      <c r="C162" s="6">
        <v>2827</v>
      </c>
      <c r="D162">
        <v>3024</v>
      </c>
      <c r="E162">
        <v>3378</v>
      </c>
      <c r="F162">
        <v>2642</v>
      </c>
      <c r="G162">
        <v>1952</v>
      </c>
      <c r="H162" s="7">
        <v>13823</v>
      </c>
    </row>
    <row r="163" spans="2:8" x14ac:dyDescent="0.25">
      <c r="B163" s="15" t="s">
        <v>59</v>
      </c>
      <c r="C163" s="6">
        <v>3585</v>
      </c>
      <c r="D163">
        <v>4345</v>
      </c>
      <c r="E163">
        <v>4185</v>
      </c>
      <c r="F163">
        <v>3248</v>
      </c>
      <c r="G163">
        <v>3596</v>
      </c>
      <c r="H163" s="7">
        <v>18959</v>
      </c>
    </row>
    <row r="164" spans="2:8" x14ac:dyDescent="0.25">
      <c r="B164" s="15" t="s">
        <v>37</v>
      </c>
      <c r="C164" s="6">
        <v>4136</v>
      </c>
      <c r="D164">
        <v>3603</v>
      </c>
      <c r="E164">
        <v>4298</v>
      </c>
      <c r="F164">
        <v>3819</v>
      </c>
      <c r="G164">
        <v>4480</v>
      </c>
      <c r="H164" s="7">
        <v>20336</v>
      </c>
    </row>
    <row r="165" spans="2:8" x14ac:dyDescent="0.25">
      <c r="B165" s="16" t="s">
        <v>81</v>
      </c>
      <c r="C165" s="8">
        <v>39652</v>
      </c>
      <c r="D165" s="9">
        <v>39021</v>
      </c>
      <c r="E165" s="9">
        <v>41090</v>
      </c>
      <c r="F165" s="9">
        <v>38489</v>
      </c>
      <c r="G165" s="9">
        <v>38340</v>
      </c>
      <c r="H165" s="10">
        <v>196592</v>
      </c>
    </row>
    <row r="173" spans="2:8" x14ac:dyDescent="0.25">
      <c r="B173" t="s">
        <v>92</v>
      </c>
    </row>
    <row r="175" spans="2:8" x14ac:dyDescent="0.25">
      <c r="B175" s="14" t="s">
        <v>80</v>
      </c>
      <c r="C175" s="4" t="s">
        <v>73</v>
      </c>
      <c r="D175" s="5" t="s">
        <v>75</v>
      </c>
    </row>
    <row r="176" spans="2:8" x14ac:dyDescent="0.25">
      <c r="B176" s="15" t="s">
        <v>56</v>
      </c>
      <c r="C176" s="3">
        <v>59755341</v>
      </c>
      <c r="D176" s="5">
        <v>155664993</v>
      </c>
    </row>
    <row r="177" spans="2:4" x14ac:dyDescent="0.25">
      <c r="B177" s="15" t="s">
        <v>62</v>
      </c>
      <c r="C177" s="6">
        <v>107327549</v>
      </c>
      <c r="D177" s="7">
        <v>268785240</v>
      </c>
    </row>
    <row r="178" spans="2:4" x14ac:dyDescent="0.25">
      <c r="B178" s="15" t="s">
        <v>68</v>
      </c>
      <c r="C178" s="6">
        <v>27473807</v>
      </c>
      <c r="D178" s="7">
        <v>63645755</v>
      </c>
    </row>
    <row r="179" spans="2:4" x14ac:dyDescent="0.25">
      <c r="B179" s="15" t="s">
        <v>28</v>
      </c>
      <c r="C179" s="6">
        <v>166947570</v>
      </c>
      <c r="D179" s="7">
        <v>420319647</v>
      </c>
    </row>
    <row r="180" spans="2:4" x14ac:dyDescent="0.25">
      <c r="B180" s="15" t="s">
        <v>47</v>
      </c>
      <c r="C180" s="6">
        <v>81321076</v>
      </c>
      <c r="D180" s="7">
        <v>205691019</v>
      </c>
    </row>
    <row r="181" spans="2:4" x14ac:dyDescent="0.25">
      <c r="B181" s="15" t="s">
        <v>54</v>
      </c>
      <c r="C181" s="6">
        <v>27893799</v>
      </c>
      <c r="D181" s="7">
        <v>67984572</v>
      </c>
    </row>
    <row r="182" spans="2:4" x14ac:dyDescent="0.25">
      <c r="B182" s="15" t="s">
        <v>65</v>
      </c>
      <c r="C182" s="6">
        <v>58860111</v>
      </c>
      <c r="D182" s="7">
        <v>142816677</v>
      </c>
    </row>
    <row r="183" spans="2:4" x14ac:dyDescent="0.25">
      <c r="B183" s="15" t="s">
        <v>25</v>
      </c>
      <c r="C183" s="6">
        <v>190968953</v>
      </c>
      <c r="D183" s="7">
        <v>451773810</v>
      </c>
    </row>
    <row r="184" spans="2:4" x14ac:dyDescent="0.25">
      <c r="B184" s="15" t="s">
        <v>41</v>
      </c>
      <c r="C184" s="6">
        <v>83233658</v>
      </c>
      <c r="D184" s="7">
        <v>205650649</v>
      </c>
    </row>
    <row r="185" spans="2:4" x14ac:dyDescent="0.25">
      <c r="B185" s="15" t="s">
        <v>51</v>
      </c>
      <c r="C185" s="6">
        <v>78546121</v>
      </c>
      <c r="D185" s="7">
        <v>191315357</v>
      </c>
    </row>
    <row r="186" spans="2:4" x14ac:dyDescent="0.25">
      <c r="B186" s="15" t="s">
        <v>59</v>
      </c>
      <c r="C186" s="6">
        <v>110352740</v>
      </c>
      <c r="D186" s="7">
        <v>275024401</v>
      </c>
    </row>
    <row r="187" spans="2:4" x14ac:dyDescent="0.25">
      <c r="B187" s="15" t="s">
        <v>37</v>
      </c>
      <c r="C187" s="6">
        <v>118700804</v>
      </c>
      <c r="D187" s="7">
        <v>287766916</v>
      </c>
    </row>
    <row r="188" spans="2:4" x14ac:dyDescent="0.25">
      <c r="B188" s="16" t="s">
        <v>81</v>
      </c>
      <c r="C188" s="8">
        <v>1111381529</v>
      </c>
      <c r="D188" s="10">
        <v>2736439036</v>
      </c>
    </row>
    <row r="192" spans="2:4" x14ac:dyDescent="0.25">
      <c r="B192" t="s">
        <v>93</v>
      </c>
    </row>
    <row r="194" spans="2:3" x14ac:dyDescent="0.25">
      <c r="B194" s="14" t="s">
        <v>80</v>
      </c>
      <c r="C194" s="5" t="s">
        <v>94</v>
      </c>
    </row>
    <row r="195" spans="2:3" x14ac:dyDescent="0.25">
      <c r="B195" s="15" t="s">
        <v>25</v>
      </c>
      <c r="C195" s="19">
        <v>3299.1999999999957</v>
      </c>
    </row>
    <row r="196" spans="2:3" x14ac:dyDescent="0.25">
      <c r="B196" s="15" t="s">
        <v>28</v>
      </c>
      <c r="C196" s="21">
        <v>2993.3000000000006</v>
      </c>
    </row>
    <row r="197" spans="2:3" x14ac:dyDescent="0.25">
      <c r="B197" s="15" t="s">
        <v>37</v>
      </c>
      <c r="C197" s="21">
        <v>2166.5999999999995</v>
      </c>
    </row>
    <row r="198" spans="2:3" x14ac:dyDescent="0.25">
      <c r="B198" s="15" t="s">
        <v>59</v>
      </c>
      <c r="C198" s="21">
        <v>2063.2000000000016</v>
      </c>
    </row>
    <row r="199" spans="2:3" x14ac:dyDescent="0.25">
      <c r="B199" s="15" t="s">
        <v>62</v>
      </c>
      <c r="C199" s="21">
        <v>1918.9000000000003</v>
      </c>
    </row>
    <row r="200" spans="2:3" x14ac:dyDescent="0.25">
      <c r="B200" s="15" t="s">
        <v>41</v>
      </c>
      <c r="C200" s="21">
        <v>1514.5999999999992</v>
      </c>
    </row>
    <row r="201" spans="2:3" x14ac:dyDescent="0.25">
      <c r="B201" s="15" t="s">
        <v>47</v>
      </c>
      <c r="C201" s="21">
        <v>1442.6999999999994</v>
      </c>
    </row>
    <row r="202" spans="2:3" x14ac:dyDescent="0.25">
      <c r="B202" s="15" t="s">
        <v>51</v>
      </c>
      <c r="C202" s="21">
        <v>1363.8</v>
      </c>
    </row>
    <row r="203" spans="2:3" x14ac:dyDescent="0.25">
      <c r="B203" s="15" t="s">
        <v>56</v>
      </c>
      <c r="C203" s="21">
        <v>1130.3999999999996</v>
      </c>
    </row>
    <row r="204" spans="2:3" x14ac:dyDescent="0.25">
      <c r="B204" s="15" t="s">
        <v>65</v>
      </c>
      <c r="C204" s="21">
        <v>1013.9000000000007</v>
      </c>
    </row>
    <row r="205" spans="2:3" x14ac:dyDescent="0.25">
      <c r="B205" s="15" t="s">
        <v>54</v>
      </c>
      <c r="C205" s="21">
        <v>505.49999999999983</v>
      </c>
    </row>
    <row r="206" spans="2:3" x14ac:dyDescent="0.25">
      <c r="B206" s="15" t="s">
        <v>68</v>
      </c>
      <c r="C206" s="21">
        <v>424.29999999999995</v>
      </c>
    </row>
    <row r="207" spans="2:3" x14ac:dyDescent="0.25">
      <c r="B207" s="16" t="s">
        <v>81</v>
      </c>
      <c r="C207" s="20">
        <v>19836.399999999994</v>
      </c>
    </row>
  </sheetData>
  <mergeCells count="3">
    <mergeCell ref="C1:D2"/>
    <mergeCell ref="M1:O2"/>
    <mergeCell ref="B19:C20"/>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04DC0-3E76-4E52-A402-F3A4C8706B6A}">
  <dimension ref="A1"/>
  <sheetViews>
    <sheetView showGridLines="0" showRowColHeaders="0" tabSelected="1" zoomScale="84" workbookViewId="0">
      <selection activeCell="Q44" sqref="Q44"/>
      <extLst>
        <ext xmlns:xlsdti="http://schemas.microsoft.com/office/spreadsheetml/2023/showDataTypeIcons" uri="{77bfe23e-c014-4d31-8a63-9c772dbf06b6}">
          <xlsdti:showDataTypeIcons visible="0"/>
        </ext>
      </extLst>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35685-14F4-4462-86BD-E07A5D6FDBFE}">
  <dimension ref="A1:W4996"/>
  <sheetViews>
    <sheetView workbookViewId="0">
      <selection activeCell="E13" sqref="E13"/>
    </sheetView>
  </sheetViews>
  <sheetFormatPr defaultRowHeight="15" x14ac:dyDescent="0.25"/>
  <cols>
    <col min="1" max="1" width="13.42578125" bestFit="1" customWidth="1"/>
    <col min="2" max="2" width="17" bestFit="1" customWidth="1"/>
    <col min="3" max="3" width="17.42578125" bestFit="1" customWidth="1"/>
    <col min="4" max="4" width="20" bestFit="1" customWidth="1"/>
    <col min="5" max="5" width="27.28515625" bestFit="1" customWidth="1"/>
    <col min="6" max="6" width="14.140625" bestFit="1" customWidth="1"/>
    <col min="7" max="7" width="17.85546875" bestFit="1" customWidth="1"/>
    <col min="8" max="8" width="10" bestFit="1" customWidth="1"/>
    <col min="9" max="9" width="11.5703125" bestFit="1" customWidth="1"/>
    <col min="10" max="10" width="14" bestFit="1" customWidth="1"/>
    <col min="11" max="11" width="6.7109375" bestFit="1" customWidth="1"/>
    <col min="12" max="12" width="19" bestFit="1" customWidth="1"/>
    <col min="13" max="13" width="18.28515625" bestFit="1" customWidth="1"/>
    <col min="14" max="14" width="21.42578125" bestFit="1" customWidth="1"/>
    <col min="15" max="15" width="27.28515625" bestFit="1" customWidth="1"/>
    <col min="16" max="16" width="25.42578125" bestFit="1" customWidth="1"/>
    <col min="17" max="17" width="16.42578125" bestFit="1" customWidth="1"/>
    <col min="18" max="18" width="11.140625" bestFit="1" customWidth="1"/>
    <col min="19" max="19" width="20.85546875" customWidth="1"/>
    <col min="20" max="20" width="17.28515625" customWidth="1"/>
    <col min="21" max="21" width="18.7109375" bestFit="1" customWidth="1"/>
    <col min="22" max="22" width="32.28515625" bestFit="1" customWidth="1"/>
    <col min="23" max="23" width="20.570312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72</v>
      </c>
      <c r="T1" t="s">
        <v>18</v>
      </c>
      <c r="U1" t="s">
        <v>19</v>
      </c>
      <c r="V1" t="s">
        <v>20</v>
      </c>
      <c r="W1" t="s">
        <v>21</v>
      </c>
    </row>
    <row r="2" spans="1:23" x14ac:dyDescent="0.25">
      <c r="A2">
        <v>5</v>
      </c>
      <c r="B2" t="s">
        <v>22</v>
      </c>
      <c r="C2" s="1">
        <v>44199</v>
      </c>
      <c r="D2" s="1">
        <v>44205</v>
      </c>
      <c r="E2" s="2">
        <f>IF(D2-C2&lt;=30,1,0)</f>
        <v>1</v>
      </c>
      <c r="F2">
        <v>37</v>
      </c>
      <c r="G2" t="str">
        <f>IF(F2&lt;=20,"0-20",IF(F2&lt;=40,"21-40",IF(F2&lt;=60,"41-60",IF(F2&lt;=80,"61-80","81+"))))</f>
        <v>21-40</v>
      </c>
      <c r="H2" t="s">
        <v>23</v>
      </c>
      <c r="I2" t="s">
        <v>24</v>
      </c>
      <c r="J2" t="s">
        <v>25</v>
      </c>
      <c r="K2" t="s">
        <v>26</v>
      </c>
      <c r="L2">
        <v>2</v>
      </c>
      <c r="M2">
        <v>2</v>
      </c>
      <c r="N2">
        <v>3.4</v>
      </c>
      <c r="O2">
        <v>8.6</v>
      </c>
      <c r="P2">
        <v>4</v>
      </c>
      <c r="Q2">
        <v>3</v>
      </c>
      <c r="R2">
        <v>845538</v>
      </c>
      <c r="S2">
        <f>Table1[[#This Row],[Revenue]]-Table1[[#This Row],[Operating_Costs]]</f>
        <v>544779</v>
      </c>
      <c r="T2">
        <v>300759</v>
      </c>
      <c r="U2">
        <v>39</v>
      </c>
      <c r="V2">
        <v>65</v>
      </c>
      <c r="W2">
        <v>13.3</v>
      </c>
    </row>
    <row r="3" spans="1:23" x14ac:dyDescent="0.25">
      <c r="A3">
        <v>5</v>
      </c>
      <c r="B3" t="s">
        <v>22</v>
      </c>
      <c r="C3" s="1">
        <v>44205</v>
      </c>
      <c r="D3" s="1">
        <v>44213</v>
      </c>
      <c r="E3" s="2">
        <f t="shared" ref="E3:E66" si="0">IF(D3-C3&lt;=30,1,0)</f>
        <v>1</v>
      </c>
      <c r="F3">
        <v>82</v>
      </c>
      <c r="G3" t="str">
        <f t="shared" ref="G3:G66" si="1">IF(F3&lt;=20,"0-20",IF(F3&lt;=40,"21-40",IF(F3&lt;=60,"41-60",IF(F3&lt;=80,"61-80","81+"))))</f>
        <v>81+</v>
      </c>
      <c r="H3" t="s">
        <v>23</v>
      </c>
      <c r="I3" t="s">
        <v>27</v>
      </c>
      <c r="J3" t="s">
        <v>28</v>
      </c>
      <c r="K3" t="s">
        <v>29</v>
      </c>
      <c r="L3">
        <v>2</v>
      </c>
      <c r="M3">
        <v>2</v>
      </c>
      <c r="N3">
        <v>4.5</v>
      </c>
      <c r="O3">
        <v>8.5</v>
      </c>
      <c r="P3">
        <v>7</v>
      </c>
      <c r="Q3">
        <v>7</v>
      </c>
      <c r="R3">
        <v>678466</v>
      </c>
      <c r="S3">
        <f>Table1[[#This Row],[Revenue]]-Table1[[#This Row],[Operating_Costs]]</f>
        <v>414816</v>
      </c>
      <c r="T3">
        <v>263650</v>
      </c>
      <c r="U3">
        <v>20</v>
      </c>
      <c r="V3">
        <v>64</v>
      </c>
      <c r="W3">
        <v>5.6</v>
      </c>
    </row>
    <row r="4" spans="1:23" x14ac:dyDescent="0.25">
      <c r="A4">
        <v>13</v>
      </c>
      <c r="B4" t="s">
        <v>30</v>
      </c>
      <c r="C4" s="1">
        <v>44207</v>
      </c>
      <c r="D4" s="1">
        <v>44216</v>
      </c>
      <c r="E4" s="2">
        <f t="shared" si="0"/>
        <v>1</v>
      </c>
      <c r="F4">
        <v>60</v>
      </c>
      <c r="G4" t="str">
        <f t="shared" si="1"/>
        <v>41-60</v>
      </c>
      <c r="H4" t="s">
        <v>23</v>
      </c>
      <c r="I4" t="s">
        <v>31</v>
      </c>
      <c r="J4" t="s">
        <v>28</v>
      </c>
      <c r="K4" t="s">
        <v>29</v>
      </c>
      <c r="L4">
        <v>2</v>
      </c>
      <c r="M4">
        <v>2</v>
      </c>
      <c r="N4">
        <v>3.7</v>
      </c>
      <c r="O4">
        <v>9.5</v>
      </c>
      <c r="P4">
        <v>7</v>
      </c>
      <c r="Q4">
        <v>6</v>
      </c>
      <c r="R4">
        <v>599238</v>
      </c>
      <c r="S4">
        <f>Table1[[#This Row],[Revenue]]-Table1[[#This Row],[Operating_Costs]]</f>
        <v>248738</v>
      </c>
      <c r="T4">
        <v>350500</v>
      </c>
      <c r="U4">
        <v>32</v>
      </c>
      <c r="V4">
        <v>55</v>
      </c>
      <c r="W4">
        <v>9.9</v>
      </c>
    </row>
    <row r="5" spans="1:23" x14ac:dyDescent="0.25">
      <c r="A5">
        <v>1</v>
      </c>
      <c r="B5" t="s">
        <v>32</v>
      </c>
      <c r="C5" s="1">
        <v>44203</v>
      </c>
      <c r="D5" s="1">
        <v>44221</v>
      </c>
      <c r="E5" s="2">
        <f t="shared" si="0"/>
        <v>1</v>
      </c>
      <c r="F5">
        <v>43</v>
      </c>
      <c r="G5" t="str">
        <f t="shared" si="1"/>
        <v>41-60</v>
      </c>
      <c r="H5" t="s">
        <v>23</v>
      </c>
      <c r="I5" t="s">
        <v>31</v>
      </c>
      <c r="J5" t="s">
        <v>28</v>
      </c>
      <c r="K5" t="s">
        <v>33</v>
      </c>
      <c r="L5">
        <v>2</v>
      </c>
      <c r="M5">
        <v>2</v>
      </c>
      <c r="N5">
        <v>4.7</v>
      </c>
      <c r="O5">
        <v>9.9</v>
      </c>
      <c r="P5">
        <v>3</v>
      </c>
      <c r="Q5">
        <v>5</v>
      </c>
      <c r="R5">
        <v>965803</v>
      </c>
      <c r="S5">
        <f>Table1[[#This Row],[Revenue]]-Table1[[#This Row],[Operating_Costs]]</f>
        <v>240242</v>
      </c>
      <c r="T5">
        <v>725561</v>
      </c>
      <c r="U5">
        <v>36</v>
      </c>
      <c r="V5">
        <v>56</v>
      </c>
      <c r="W5">
        <v>12.2</v>
      </c>
    </row>
    <row r="6" spans="1:23" x14ac:dyDescent="0.25">
      <c r="A6">
        <v>10</v>
      </c>
      <c r="B6" t="s">
        <v>34</v>
      </c>
      <c r="C6" s="1">
        <v>44198</v>
      </c>
      <c r="D6" s="1">
        <v>44224</v>
      </c>
      <c r="E6" s="2">
        <f t="shared" si="0"/>
        <v>1</v>
      </c>
      <c r="F6">
        <v>76</v>
      </c>
      <c r="G6" t="str">
        <f t="shared" si="1"/>
        <v>61-80</v>
      </c>
      <c r="H6" t="s">
        <v>35</v>
      </c>
      <c r="I6" t="s">
        <v>36</v>
      </c>
      <c r="J6" t="s">
        <v>37</v>
      </c>
      <c r="K6" t="s">
        <v>38</v>
      </c>
      <c r="L6">
        <v>2</v>
      </c>
      <c r="M6">
        <v>2</v>
      </c>
      <c r="N6">
        <v>5.3</v>
      </c>
      <c r="O6">
        <v>7.6</v>
      </c>
      <c r="P6">
        <v>3</v>
      </c>
      <c r="Q6">
        <v>3</v>
      </c>
      <c r="R6">
        <v>899363</v>
      </c>
      <c r="S6">
        <f>Table1[[#This Row],[Revenue]]-Table1[[#This Row],[Operating_Costs]]</f>
        <v>221222</v>
      </c>
      <c r="T6">
        <v>678141</v>
      </c>
      <c r="U6">
        <v>52</v>
      </c>
      <c r="V6">
        <v>55</v>
      </c>
      <c r="W6">
        <v>7.3</v>
      </c>
    </row>
    <row r="7" spans="1:23" x14ac:dyDescent="0.25">
      <c r="A7">
        <v>2</v>
      </c>
      <c r="B7" t="s">
        <v>39</v>
      </c>
      <c r="C7" s="1">
        <v>44212</v>
      </c>
      <c r="D7" s="1">
        <v>44225</v>
      </c>
      <c r="E7" s="2">
        <f t="shared" si="0"/>
        <v>1</v>
      </c>
      <c r="F7">
        <v>27</v>
      </c>
      <c r="G7" t="str">
        <f t="shared" si="1"/>
        <v>21-40</v>
      </c>
      <c r="H7" t="s">
        <v>23</v>
      </c>
      <c r="I7" t="s">
        <v>40</v>
      </c>
      <c r="J7" t="s">
        <v>41</v>
      </c>
      <c r="K7" t="s">
        <v>42</v>
      </c>
      <c r="L7">
        <v>2</v>
      </c>
      <c r="M7">
        <v>2</v>
      </c>
      <c r="N7">
        <v>3.2</v>
      </c>
      <c r="O7">
        <v>7.4</v>
      </c>
      <c r="P7">
        <v>3</v>
      </c>
      <c r="Q7">
        <v>7</v>
      </c>
      <c r="R7">
        <v>837010</v>
      </c>
      <c r="S7">
        <f>Table1[[#This Row],[Revenue]]-Table1[[#This Row],[Operating_Costs]]</f>
        <v>268357</v>
      </c>
      <c r="T7">
        <v>568653</v>
      </c>
      <c r="U7">
        <v>38</v>
      </c>
      <c r="V7">
        <v>55</v>
      </c>
      <c r="W7">
        <v>5.6</v>
      </c>
    </row>
    <row r="8" spans="1:23" x14ac:dyDescent="0.25">
      <c r="A8">
        <v>5</v>
      </c>
      <c r="B8" t="s">
        <v>22</v>
      </c>
      <c r="C8" s="1">
        <v>44220</v>
      </c>
      <c r="D8" s="1">
        <v>44227</v>
      </c>
      <c r="E8" s="2">
        <f t="shared" si="0"/>
        <v>1</v>
      </c>
      <c r="F8">
        <v>29</v>
      </c>
      <c r="G8" t="str">
        <f t="shared" si="1"/>
        <v>21-40</v>
      </c>
      <c r="H8" t="s">
        <v>23</v>
      </c>
      <c r="I8" t="s">
        <v>43</v>
      </c>
      <c r="J8" t="s">
        <v>25</v>
      </c>
      <c r="K8" t="s">
        <v>29</v>
      </c>
      <c r="L8">
        <v>2</v>
      </c>
      <c r="M8">
        <v>2</v>
      </c>
      <c r="N8">
        <v>2</v>
      </c>
      <c r="O8">
        <v>9.8000000000000007</v>
      </c>
      <c r="P8">
        <v>5</v>
      </c>
      <c r="Q8">
        <v>6</v>
      </c>
      <c r="R8">
        <v>754851</v>
      </c>
      <c r="S8">
        <f>Table1[[#This Row],[Revenue]]-Table1[[#This Row],[Operating_Costs]]</f>
        <v>382982</v>
      </c>
      <c r="T8">
        <v>371869</v>
      </c>
      <c r="U8">
        <v>31</v>
      </c>
      <c r="V8">
        <v>64</v>
      </c>
      <c r="W8">
        <v>7.8</v>
      </c>
    </row>
    <row r="9" spans="1:23" x14ac:dyDescent="0.25">
      <c r="A9">
        <v>9</v>
      </c>
      <c r="B9" t="s">
        <v>44</v>
      </c>
      <c r="C9" s="1">
        <v>44209</v>
      </c>
      <c r="D9" s="1">
        <v>44227</v>
      </c>
      <c r="E9" s="2">
        <f t="shared" si="0"/>
        <v>1</v>
      </c>
      <c r="F9">
        <v>33</v>
      </c>
      <c r="G9" t="str">
        <f t="shared" si="1"/>
        <v>21-40</v>
      </c>
      <c r="H9" t="s">
        <v>23</v>
      </c>
      <c r="I9" t="s">
        <v>24</v>
      </c>
      <c r="J9" t="s">
        <v>25</v>
      </c>
      <c r="K9" t="s">
        <v>42</v>
      </c>
      <c r="L9">
        <v>2</v>
      </c>
      <c r="M9">
        <v>2</v>
      </c>
      <c r="N9">
        <v>6.2</v>
      </c>
      <c r="O9">
        <v>7.9</v>
      </c>
      <c r="P9">
        <v>5</v>
      </c>
      <c r="Q9">
        <v>7</v>
      </c>
      <c r="R9">
        <v>504270</v>
      </c>
      <c r="S9">
        <f>Table1[[#This Row],[Revenue]]-Table1[[#This Row],[Operating_Costs]]</f>
        <v>41748</v>
      </c>
      <c r="T9">
        <v>462522</v>
      </c>
      <c r="U9">
        <v>35</v>
      </c>
      <c r="V9">
        <v>61</v>
      </c>
      <c r="W9">
        <v>7</v>
      </c>
    </row>
    <row r="10" spans="1:23" x14ac:dyDescent="0.25">
      <c r="A10">
        <v>15</v>
      </c>
      <c r="B10" t="s">
        <v>45</v>
      </c>
      <c r="C10" s="1">
        <v>44207</v>
      </c>
      <c r="D10" s="1">
        <v>44228</v>
      </c>
      <c r="E10" s="2">
        <f t="shared" si="0"/>
        <v>1</v>
      </c>
      <c r="F10">
        <v>40</v>
      </c>
      <c r="G10" t="str">
        <f t="shared" si="1"/>
        <v>21-40</v>
      </c>
      <c r="H10" t="s">
        <v>23</v>
      </c>
      <c r="I10" t="s">
        <v>46</v>
      </c>
      <c r="J10" t="s">
        <v>47</v>
      </c>
      <c r="K10" t="s">
        <v>42</v>
      </c>
      <c r="L10">
        <v>2</v>
      </c>
      <c r="M10">
        <v>2</v>
      </c>
      <c r="N10">
        <v>5.6</v>
      </c>
      <c r="O10">
        <v>9.1</v>
      </c>
      <c r="P10">
        <v>4</v>
      </c>
      <c r="Q10">
        <v>5</v>
      </c>
      <c r="R10">
        <v>746815</v>
      </c>
      <c r="S10">
        <f>Table1[[#This Row],[Revenue]]-Table1[[#This Row],[Operating_Costs]]</f>
        <v>112714</v>
      </c>
      <c r="T10">
        <v>634101</v>
      </c>
      <c r="U10">
        <v>42</v>
      </c>
      <c r="V10">
        <v>54</v>
      </c>
      <c r="W10">
        <v>12</v>
      </c>
    </row>
    <row r="11" spans="1:23" x14ac:dyDescent="0.25">
      <c r="A11">
        <v>14</v>
      </c>
      <c r="B11" t="s">
        <v>48</v>
      </c>
      <c r="C11" s="1">
        <v>44205</v>
      </c>
      <c r="D11" s="1">
        <v>44231</v>
      </c>
      <c r="E11" s="2">
        <f t="shared" si="0"/>
        <v>1</v>
      </c>
      <c r="F11">
        <v>33</v>
      </c>
      <c r="G11" t="str">
        <f t="shared" si="1"/>
        <v>21-40</v>
      </c>
      <c r="H11" t="s">
        <v>23</v>
      </c>
      <c r="I11" t="s">
        <v>27</v>
      </c>
      <c r="J11" t="s">
        <v>28</v>
      </c>
      <c r="K11" t="s">
        <v>42</v>
      </c>
      <c r="L11">
        <v>2</v>
      </c>
      <c r="M11">
        <v>2</v>
      </c>
      <c r="N11">
        <v>5.9</v>
      </c>
      <c r="O11">
        <v>7.9</v>
      </c>
      <c r="P11">
        <v>5</v>
      </c>
      <c r="Q11">
        <v>7</v>
      </c>
      <c r="R11">
        <v>826357</v>
      </c>
      <c r="S11">
        <f>Table1[[#This Row],[Revenue]]-Table1[[#This Row],[Operating_Costs]]</f>
        <v>240876</v>
      </c>
      <c r="T11">
        <v>585481</v>
      </c>
      <c r="U11">
        <v>32</v>
      </c>
      <c r="V11">
        <v>61</v>
      </c>
      <c r="W11">
        <v>5.2</v>
      </c>
    </row>
    <row r="12" spans="1:23" x14ac:dyDescent="0.25">
      <c r="A12">
        <v>7</v>
      </c>
      <c r="B12" t="s">
        <v>49</v>
      </c>
      <c r="C12" s="1">
        <v>44210</v>
      </c>
      <c r="D12" s="1">
        <v>44232</v>
      </c>
      <c r="E12" s="2">
        <f t="shared" si="0"/>
        <v>1</v>
      </c>
      <c r="F12">
        <v>36</v>
      </c>
      <c r="G12" t="str">
        <f t="shared" si="1"/>
        <v>21-40</v>
      </c>
      <c r="H12" t="s">
        <v>23</v>
      </c>
      <c r="I12" t="s">
        <v>50</v>
      </c>
      <c r="J12" t="s">
        <v>51</v>
      </c>
      <c r="K12" t="s">
        <v>42</v>
      </c>
      <c r="L12">
        <v>2</v>
      </c>
      <c r="M12">
        <v>2</v>
      </c>
      <c r="N12">
        <v>3</v>
      </c>
      <c r="O12">
        <v>9.9</v>
      </c>
      <c r="P12">
        <v>5</v>
      </c>
      <c r="Q12">
        <v>5</v>
      </c>
      <c r="R12">
        <v>810782</v>
      </c>
      <c r="S12">
        <f>Table1[[#This Row],[Revenue]]-Table1[[#This Row],[Operating_Costs]]</f>
        <v>308913</v>
      </c>
      <c r="T12">
        <v>501869</v>
      </c>
      <c r="U12">
        <v>42</v>
      </c>
      <c r="V12">
        <v>65</v>
      </c>
      <c r="W12">
        <v>9.6</v>
      </c>
    </row>
    <row r="13" spans="1:23" x14ac:dyDescent="0.25">
      <c r="A13">
        <v>8</v>
      </c>
      <c r="B13" t="s">
        <v>52</v>
      </c>
      <c r="C13" s="1">
        <v>44212</v>
      </c>
      <c r="D13" s="1">
        <v>44235</v>
      </c>
      <c r="E13" s="2">
        <f t="shared" si="0"/>
        <v>1</v>
      </c>
      <c r="F13">
        <v>24</v>
      </c>
      <c r="G13" t="str">
        <f t="shared" si="1"/>
        <v>21-40</v>
      </c>
      <c r="H13" t="s">
        <v>35</v>
      </c>
      <c r="I13" t="s">
        <v>53</v>
      </c>
      <c r="J13" t="s">
        <v>54</v>
      </c>
      <c r="K13" t="s">
        <v>38</v>
      </c>
      <c r="L13">
        <v>2</v>
      </c>
      <c r="M13">
        <v>2</v>
      </c>
      <c r="N13">
        <v>4.3</v>
      </c>
      <c r="O13">
        <v>7.1</v>
      </c>
      <c r="P13">
        <v>3</v>
      </c>
      <c r="Q13">
        <v>7</v>
      </c>
      <c r="R13">
        <v>912646</v>
      </c>
      <c r="S13">
        <f>Table1[[#This Row],[Revenue]]-Table1[[#This Row],[Operating_Costs]]</f>
        <v>105779</v>
      </c>
      <c r="T13">
        <v>806867</v>
      </c>
      <c r="U13">
        <v>31</v>
      </c>
      <c r="V13">
        <v>58</v>
      </c>
      <c r="W13">
        <v>12.2</v>
      </c>
    </row>
    <row r="14" spans="1:23" x14ac:dyDescent="0.25">
      <c r="A14">
        <v>8</v>
      </c>
      <c r="B14" t="s">
        <v>52</v>
      </c>
      <c r="C14" s="1">
        <v>44210</v>
      </c>
      <c r="D14" s="1">
        <v>44237</v>
      </c>
      <c r="E14" s="2">
        <f t="shared" si="0"/>
        <v>1</v>
      </c>
      <c r="F14">
        <v>53</v>
      </c>
      <c r="G14" t="str">
        <f t="shared" si="1"/>
        <v>41-60</v>
      </c>
      <c r="H14" t="s">
        <v>23</v>
      </c>
      <c r="I14" t="s">
        <v>27</v>
      </c>
      <c r="J14" t="s">
        <v>28</v>
      </c>
      <c r="K14" t="s">
        <v>29</v>
      </c>
      <c r="L14">
        <v>2</v>
      </c>
      <c r="M14">
        <v>2</v>
      </c>
      <c r="N14">
        <v>6.9</v>
      </c>
      <c r="O14">
        <v>7.9</v>
      </c>
      <c r="P14">
        <v>7</v>
      </c>
      <c r="Q14">
        <v>4</v>
      </c>
      <c r="R14">
        <v>901052</v>
      </c>
      <c r="S14">
        <f>Table1[[#This Row],[Revenue]]-Table1[[#This Row],[Operating_Costs]]</f>
        <v>23298</v>
      </c>
      <c r="T14">
        <v>877754</v>
      </c>
      <c r="U14">
        <v>31</v>
      </c>
      <c r="V14">
        <v>66</v>
      </c>
      <c r="W14">
        <v>12.5</v>
      </c>
    </row>
    <row r="15" spans="1:23" x14ac:dyDescent="0.25">
      <c r="A15">
        <v>5</v>
      </c>
      <c r="B15" t="s">
        <v>22</v>
      </c>
      <c r="C15" s="1">
        <v>44222</v>
      </c>
      <c r="D15" s="1">
        <v>44240</v>
      </c>
      <c r="E15" s="2">
        <f t="shared" si="0"/>
        <v>1</v>
      </c>
      <c r="F15">
        <v>71</v>
      </c>
      <c r="G15" t="str">
        <f t="shared" si="1"/>
        <v>61-80</v>
      </c>
      <c r="H15" t="s">
        <v>35</v>
      </c>
      <c r="I15" t="s">
        <v>36</v>
      </c>
      <c r="J15" t="s">
        <v>37</v>
      </c>
      <c r="K15" t="s">
        <v>38</v>
      </c>
      <c r="L15">
        <v>2</v>
      </c>
      <c r="M15">
        <v>2</v>
      </c>
      <c r="N15">
        <v>5.9</v>
      </c>
      <c r="O15">
        <v>8.1</v>
      </c>
      <c r="P15">
        <v>5</v>
      </c>
      <c r="Q15">
        <v>6</v>
      </c>
      <c r="R15">
        <v>894681</v>
      </c>
      <c r="S15">
        <f>Table1[[#This Row],[Revenue]]-Table1[[#This Row],[Operating_Costs]]</f>
        <v>416149</v>
      </c>
      <c r="T15">
        <v>478532</v>
      </c>
      <c r="U15">
        <v>30</v>
      </c>
      <c r="V15">
        <v>55</v>
      </c>
      <c r="W15">
        <v>9.5</v>
      </c>
    </row>
    <row r="16" spans="1:23" x14ac:dyDescent="0.25">
      <c r="A16">
        <v>13</v>
      </c>
      <c r="B16" t="s">
        <v>30</v>
      </c>
      <c r="C16" s="1">
        <v>44247</v>
      </c>
      <c r="D16" s="1">
        <v>44251</v>
      </c>
      <c r="E16" s="2">
        <f t="shared" si="0"/>
        <v>1</v>
      </c>
      <c r="F16">
        <v>26</v>
      </c>
      <c r="G16" t="str">
        <f t="shared" si="1"/>
        <v>21-40</v>
      </c>
      <c r="H16" t="s">
        <v>35</v>
      </c>
      <c r="I16" t="s">
        <v>36</v>
      </c>
      <c r="J16" t="s">
        <v>37</v>
      </c>
      <c r="K16" t="s">
        <v>42</v>
      </c>
      <c r="L16">
        <v>2</v>
      </c>
      <c r="M16">
        <v>2</v>
      </c>
      <c r="N16">
        <v>3.2</v>
      </c>
      <c r="O16">
        <v>9.1</v>
      </c>
      <c r="P16">
        <v>6</v>
      </c>
      <c r="Q16">
        <v>5</v>
      </c>
      <c r="R16">
        <v>530225</v>
      </c>
      <c r="S16">
        <f>Table1[[#This Row],[Revenue]]-Table1[[#This Row],[Operating_Costs]]</f>
        <v>159431</v>
      </c>
      <c r="T16">
        <v>370794</v>
      </c>
      <c r="U16">
        <v>47</v>
      </c>
      <c r="V16">
        <v>54</v>
      </c>
      <c r="W16">
        <v>10.3</v>
      </c>
    </row>
    <row r="17" spans="1:23" x14ac:dyDescent="0.25">
      <c r="A17">
        <v>5</v>
      </c>
      <c r="B17" t="s">
        <v>22</v>
      </c>
      <c r="C17" s="1">
        <v>44241</v>
      </c>
      <c r="D17" s="1">
        <v>44254</v>
      </c>
      <c r="E17" s="2">
        <f t="shared" si="0"/>
        <v>1</v>
      </c>
      <c r="F17">
        <v>47</v>
      </c>
      <c r="G17" t="str">
        <f t="shared" si="1"/>
        <v>41-60</v>
      </c>
      <c r="H17" t="s">
        <v>35</v>
      </c>
      <c r="I17" t="s">
        <v>46</v>
      </c>
      <c r="J17" t="s">
        <v>47</v>
      </c>
      <c r="K17" t="s">
        <v>29</v>
      </c>
      <c r="L17">
        <v>2</v>
      </c>
      <c r="M17">
        <v>2</v>
      </c>
      <c r="N17">
        <v>1</v>
      </c>
      <c r="O17">
        <v>9.3000000000000007</v>
      </c>
      <c r="P17">
        <v>6</v>
      </c>
      <c r="Q17">
        <v>6</v>
      </c>
      <c r="R17">
        <v>701997</v>
      </c>
      <c r="S17">
        <f>Table1[[#This Row],[Revenue]]-Table1[[#This Row],[Operating_Costs]]</f>
        <v>259299</v>
      </c>
      <c r="T17">
        <v>442698</v>
      </c>
      <c r="U17">
        <v>26</v>
      </c>
      <c r="V17">
        <v>57</v>
      </c>
      <c r="W17">
        <v>14.4</v>
      </c>
    </row>
    <row r="18" spans="1:23" x14ac:dyDescent="0.25">
      <c r="A18">
        <v>10</v>
      </c>
      <c r="B18" t="s">
        <v>34</v>
      </c>
      <c r="C18" s="1">
        <v>44240</v>
      </c>
      <c r="D18" s="1">
        <v>44257</v>
      </c>
      <c r="E18" s="2">
        <f t="shared" si="0"/>
        <v>1</v>
      </c>
      <c r="F18">
        <v>40</v>
      </c>
      <c r="G18" t="str">
        <f t="shared" si="1"/>
        <v>21-40</v>
      </c>
      <c r="H18" t="s">
        <v>35</v>
      </c>
      <c r="I18" t="s">
        <v>46</v>
      </c>
      <c r="J18" t="s">
        <v>47</v>
      </c>
      <c r="K18" t="s">
        <v>33</v>
      </c>
      <c r="L18">
        <v>2</v>
      </c>
      <c r="M18">
        <v>2</v>
      </c>
      <c r="N18">
        <v>3.3</v>
      </c>
      <c r="O18">
        <v>8.3000000000000007</v>
      </c>
      <c r="P18">
        <v>6</v>
      </c>
      <c r="Q18">
        <v>6</v>
      </c>
      <c r="R18">
        <v>904050</v>
      </c>
      <c r="S18">
        <f>Table1[[#This Row],[Revenue]]-Table1[[#This Row],[Operating_Costs]]</f>
        <v>377194</v>
      </c>
      <c r="T18">
        <v>526856</v>
      </c>
      <c r="U18">
        <v>64</v>
      </c>
      <c r="V18">
        <v>56</v>
      </c>
      <c r="W18">
        <v>8.8000000000000007</v>
      </c>
    </row>
    <row r="19" spans="1:23" x14ac:dyDescent="0.25">
      <c r="A19">
        <v>5</v>
      </c>
      <c r="B19" t="s">
        <v>22</v>
      </c>
      <c r="C19" s="1">
        <v>44239</v>
      </c>
      <c r="D19" s="1">
        <v>44259</v>
      </c>
      <c r="E19" s="2">
        <f t="shared" si="0"/>
        <v>1</v>
      </c>
      <c r="F19">
        <v>89</v>
      </c>
      <c r="G19" t="str">
        <f t="shared" si="1"/>
        <v>81+</v>
      </c>
      <c r="H19" t="s">
        <v>35</v>
      </c>
      <c r="I19" t="s">
        <v>31</v>
      </c>
      <c r="J19" t="s">
        <v>28</v>
      </c>
      <c r="K19" t="s">
        <v>38</v>
      </c>
      <c r="L19">
        <v>2</v>
      </c>
      <c r="M19">
        <v>2</v>
      </c>
      <c r="N19">
        <v>5</v>
      </c>
      <c r="O19">
        <v>7</v>
      </c>
      <c r="P19">
        <v>7</v>
      </c>
      <c r="Q19">
        <v>3</v>
      </c>
      <c r="R19">
        <v>868937</v>
      </c>
      <c r="S19">
        <f>Table1[[#This Row],[Revenue]]-Table1[[#This Row],[Operating_Costs]]</f>
        <v>625838</v>
      </c>
      <c r="T19">
        <v>243099</v>
      </c>
      <c r="U19">
        <v>25</v>
      </c>
      <c r="V19">
        <v>61</v>
      </c>
      <c r="W19">
        <v>9.3000000000000007</v>
      </c>
    </row>
    <row r="20" spans="1:23" x14ac:dyDescent="0.25">
      <c r="A20">
        <v>15</v>
      </c>
      <c r="B20" t="s">
        <v>45</v>
      </c>
      <c r="C20" s="1">
        <v>44245</v>
      </c>
      <c r="D20" s="1">
        <v>44265</v>
      </c>
      <c r="E20" s="2">
        <f t="shared" si="0"/>
        <v>1</v>
      </c>
      <c r="F20">
        <v>62</v>
      </c>
      <c r="G20" t="str">
        <f t="shared" si="1"/>
        <v>61-80</v>
      </c>
      <c r="H20" t="s">
        <v>35</v>
      </c>
      <c r="I20" t="s">
        <v>40</v>
      </c>
      <c r="J20" t="s">
        <v>41</v>
      </c>
      <c r="K20" t="s">
        <v>29</v>
      </c>
      <c r="L20">
        <v>2</v>
      </c>
      <c r="M20">
        <v>2</v>
      </c>
      <c r="N20">
        <v>5</v>
      </c>
      <c r="O20">
        <v>9.5</v>
      </c>
      <c r="P20">
        <v>4</v>
      </c>
      <c r="Q20">
        <v>6</v>
      </c>
      <c r="R20">
        <v>708666</v>
      </c>
      <c r="S20">
        <f>Table1[[#This Row],[Revenue]]-Table1[[#This Row],[Operating_Costs]]</f>
        <v>55415</v>
      </c>
      <c r="T20">
        <v>653251</v>
      </c>
      <c r="U20">
        <v>56</v>
      </c>
      <c r="V20">
        <v>62</v>
      </c>
      <c r="W20">
        <v>14.8</v>
      </c>
    </row>
    <row r="21" spans="1:23" x14ac:dyDescent="0.25">
      <c r="A21">
        <v>14</v>
      </c>
      <c r="B21" t="s">
        <v>48</v>
      </c>
      <c r="C21" s="1">
        <v>44243</v>
      </c>
      <c r="D21" s="1">
        <v>44273</v>
      </c>
      <c r="E21" s="2">
        <f t="shared" si="0"/>
        <v>1</v>
      </c>
      <c r="F21">
        <v>40</v>
      </c>
      <c r="G21" t="str">
        <f t="shared" si="1"/>
        <v>21-40</v>
      </c>
      <c r="H21" t="s">
        <v>23</v>
      </c>
      <c r="I21" t="s">
        <v>55</v>
      </c>
      <c r="J21" t="s">
        <v>56</v>
      </c>
      <c r="K21" t="s">
        <v>29</v>
      </c>
      <c r="L21">
        <v>2</v>
      </c>
      <c r="M21">
        <v>2</v>
      </c>
      <c r="N21">
        <v>5.8</v>
      </c>
      <c r="O21">
        <v>7</v>
      </c>
      <c r="P21">
        <v>6</v>
      </c>
      <c r="Q21">
        <v>6</v>
      </c>
      <c r="R21">
        <v>769956</v>
      </c>
      <c r="S21">
        <f>Table1[[#This Row],[Revenue]]-Table1[[#This Row],[Operating_Costs]]</f>
        <v>268020</v>
      </c>
      <c r="T21">
        <v>501936</v>
      </c>
      <c r="U21">
        <v>40</v>
      </c>
      <c r="V21">
        <v>58</v>
      </c>
      <c r="W21">
        <v>10.1</v>
      </c>
    </row>
    <row r="22" spans="1:23" x14ac:dyDescent="0.25">
      <c r="A22">
        <v>3</v>
      </c>
      <c r="B22" t="s">
        <v>57</v>
      </c>
      <c r="C22" s="1">
        <v>44257</v>
      </c>
      <c r="D22" s="1">
        <v>44273</v>
      </c>
      <c r="E22" s="2">
        <f t="shared" si="0"/>
        <v>1</v>
      </c>
      <c r="F22">
        <v>79</v>
      </c>
      <c r="G22" t="str">
        <f t="shared" si="1"/>
        <v>61-80</v>
      </c>
      <c r="H22" t="s">
        <v>35</v>
      </c>
      <c r="I22" t="s">
        <v>58</v>
      </c>
      <c r="J22" t="s">
        <v>59</v>
      </c>
      <c r="K22" t="s">
        <v>33</v>
      </c>
      <c r="L22">
        <v>2</v>
      </c>
      <c r="M22">
        <v>2</v>
      </c>
      <c r="N22">
        <v>1.5</v>
      </c>
      <c r="O22">
        <v>7.3</v>
      </c>
      <c r="P22">
        <v>4</v>
      </c>
      <c r="Q22">
        <v>7</v>
      </c>
      <c r="R22">
        <v>550728</v>
      </c>
      <c r="S22">
        <f>Table1[[#This Row],[Revenue]]-Table1[[#This Row],[Operating_Costs]]</f>
        <v>150846</v>
      </c>
      <c r="T22">
        <v>399882</v>
      </c>
      <c r="U22">
        <v>24</v>
      </c>
      <c r="V22">
        <v>65</v>
      </c>
      <c r="W22">
        <v>10.199999999999999</v>
      </c>
    </row>
    <row r="23" spans="1:23" x14ac:dyDescent="0.25">
      <c r="A23">
        <v>15</v>
      </c>
      <c r="B23" t="s">
        <v>45</v>
      </c>
      <c r="C23" s="1">
        <v>44255</v>
      </c>
      <c r="D23" s="1">
        <v>44273</v>
      </c>
      <c r="E23" s="2">
        <f t="shared" si="0"/>
        <v>1</v>
      </c>
      <c r="F23">
        <v>65</v>
      </c>
      <c r="G23" t="str">
        <f t="shared" si="1"/>
        <v>61-80</v>
      </c>
      <c r="H23" t="s">
        <v>35</v>
      </c>
      <c r="I23" t="s">
        <v>46</v>
      </c>
      <c r="J23" t="s">
        <v>47</v>
      </c>
      <c r="K23" t="s">
        <v>29</v>
      </c>
      <c r="L23">
        <v>2</v>
      </c>
      <c r="M23">
        <v>2</v>
      </c>
      <c r="N23">
        <v>1.2</v>
      </c>
      <c r="O23">
        <v>7.3</v>
      </c>
      <c r="P23">
        <v>5</v>
      </c>
      <c r="Q23">
        <v>4</v>
      </c>
      <c r="R23">
        <v>785037</v>
      </c>
      <c r="S23">
        <f>Table1[[#This Row],[Revenue]]-Table1[[#This Row],[Operating_Costs]]</f>
        <v>189357</v>
      </c>
      <c r="T23">
        <v>595680</v>
      </c>
      <c r="U23">
        <v>56</v>
      </c>
      <c r="V23">
        <v>64</v>
      </c>
      <c r="W23">
        <v>36.799999999999997</v>
      </c>
    </row>
    <row r="24" spans="1:23" x14ac:dyDescent="0.25">
      <c r="A24">
        <v>5</v>
      </c>
      <c r="B24" t="s">
        <v>22</v>
      </c>
      <c r="C24" s="1">
        <v>44256</v>
      </c>
      <c r="D24" s="1">
        <v>44274</v>
      </c>
      <c r="E24" s="2">
        <f t="shared" si="0"/>
        <v>1</v>
      </c>
      <c r="F24">
        <v>41</v>
      </c>
      <c r="G24" t="str">
        <f t="shared" si="1"/>
        <v>41-60</v>
      </c>
      <c r="H24" t="s">
        <v>35</v>
      </c>
      <c r="I24" t="s">
        <v>60</v>
      </c>
      <c r="J24" t="s">
        <v>59</v>
      </c>
      <c r="K24" t="s">
        <v>26</v>
      </c>
      <c r="L24">
        <v>2</v>
      </c>
      <c r="M24">
        <v>2</v>
      </c>
      <c r="N24">
        <v>4.2</v>
      </c>
      <c r="O24">
        <v>7.5</v>
      </c>
      <c r="P24">
        <v>7</v>
      </c>
      <c r="Q24">
        <v>4</v>
      </c>
      <c r="R24">
        <v>917860</v>
      </c>
      <c r="S24">
        <f>Table1[[#This Row],[Revenue]]-Table1[[#This Row],[Operating_Costs]]</f>
        <v>513775</v>
      </c>
      <c r="T24">
        <v>404085</v>
      </c>
      <c r="U24">
        <v>22</v>
      </c>
      <c r="V24">
        <v>62</v>
      </c>
      <c r="W24">
        <v>6.6</v>
      </c>
    </row>
    <row r="25" spans="1:23" x14ac:dyDescent="0.25">
      <c r="A25">
        <v>5</v>
      </c>
      <c r="B25" t="s">
        <v>22</v>
      </c>
      <c r="C25" s="1">
        <v>44266</v>
      </c>
      <c r="D25" s="1">
        <v>44276</v>
      </c>
      <c r="E25" s="2">
        <f t="shared" si="0"/>
        <v>1</v>
      </c>
      <c r="F25">
        <v>82</v>
      </c>
      <c r="G25" t="str">
        <f t="shared" si="1"/>
        <v>81+</v>
      </c>
      <c r="H25" t="s">
        <v>35</v>
      </c>
      <c r="I25" t="s">
        <v>61</v>
      </c>
      <c r="J25" t="s">
        <v>62</v>
      </c>
      <c r="K25" t="s">
        <v>29</v>
      </c>
      <c r="L25">
        <v>2</v>
      </c>
      <c r="M25">
        <v>2</v>
      </c>
      <c r="N25">
        <v>1.1000000000000001</v>
      </c>
      <c r="O25">
        <v>8.1</v>
      </c>
      <c r="P25">
        <v>4</v>
      </c>
      <c r="Q25">
        <v>7</v>
      </c>
      <c r="R25">
        <v>695760</v>
      </c>
      <c r="S25">
        <f>Table1[[#This Row],[Revenue]]-Table1[[#This Row],[Operating_Costs]]</f>
        <v>224236</v>
      </c>
      <c r="T25">
        <v>471524</v>
      </c>
      <c r="U25">
        <v>23</v>
      </c>
      <c r="V25">
        <v>64</v>
      </c>
      <c r="W25">
        <v>12</v>
      </c>
    </row>
    <row r="26" spans="1:23" x14ac:dyDescent="0.25">
      <c r="A26">
        <v>11</v>
      </c>
      <c r="B26" t="s">
        <v>63</v>
      </c>
      <c r="C26" s="1">
        <v>44269</v>
      </c>
      <c r="D26" s="1">
        <v>44283</v>
      </c>
      <c r="E26" s="2">
        <f t="shared" si="0"/>
        <v>1</v>
      </c>
      <c r="F26">
        <v>29</v>
      </c>
      <c r="G26" t="str">
        <f t="shared" si="1"/>
        <v>21-40</v>
      </c>
      <c r="H26" t="s">
        <v>23</v>
      </c>
      <c r="I26" t="s">
        <v>55</v>
      </c>
      <c r="J26" t="s">
        <v>56</v>
      </c>
      <c r="K26" t="s">
        <v>26</v>
      </c>
      <c r="L26">
        <v>2</v>
      </c>
      <c r="M26">
        <v>2</v>
      </c>
      <c r="N26">
        <v>6.4</v>
      </c>
      <c r="O26">
        <v>7.9</v>
      </c>
      <c r="P26">
        <v>5</v>
      </c>
      <c r="Q26">
        <v>5</v>
      </c>
      <c r="R26">
        <v>700436</v>
      </c>
      <c r="S26">
        <f>Table1[[#This Row],[Revenue]]-Table1[[#This Row],[Operating_Costs]]</f>
        <v>208478</v>
      </c>
      <c r="T26">
        <v>491958</v>
      </c>
      <c r="U26">
        <v>25</v>
      </c>
      <c r="V26">
        <v>59</v>
      </c>
      <c r="W26">
        <v>12</v>
      </c>
    </row>
    <row r="27" spans="1:23" x14ac:dyDescent="0.25">
      <c r="A27">
        <v>5</v>
      </c>
      <c r="B27" t="s">
        <v>22</v>
      </c>
      <c r="C27" s="1">
        <v>44255</v>
      </c>
      <c r="D27" s="1">
        <v>44285</v>
      </c>
      <c r="E27" s="2">
        <f t="shared" si="0"/>
        <v>1</v>
      </c>
      <c r="F27">
        <v>68</v>
      </c>
      <c r="G27" t="str">
        <f t="shared" si="1"/>
        <v>61-80</v>
      </c>
      <c r="H27" t="s">
        <v>23</v>
      </c>
      <c r="I27" t="s">
        <v>27</v>
      </c>
      <c r="J27" t="s">
        <v>28</v>
      </c>
      <c r="K27" t="s">
        <v>26</v>
      </c>
      <c r="L27">
        <v>2</v>
      </c>
      <c r="M27">
        <v>2</v>
      </c>
      <c r="N27">
        <v>5.9</v>
      </c>
      <c r="O27">
        <v>7.8</v>
      </c>
      <c r="P27">
        <v>4</v>
      </c>
      <c r="Q27">
        <v>6</v>
      </c>
      <c r="R27">
        <v>963850</v>
      </c>
      <c r="S27">
        <f>Table1[[#This Row],[Revenue]]-Table1[[#This Row],[Operating_Costs]]</f>
        <v>588933</v>
      </c>
      <c r="T27">
        <v>374917</v>
      </c>
      <c r="U27">
        <v>37</v>
      </c>
      <c r="V27">
        <v>57</v>
      </c>
      <c r="W27">
        <v>6.5</v>
      </c>
    </row>
    <row r="28" spans="1:23" x14ac:dyDescent="0.25">
      <c r="A28">
        <v>13</v>
      </c>
      <c r="B28" t="s">
        <v>30</v>
      </c>
      <c r="C28" s="1">
        <v>44272</v>
      </c>
      <c r="D28" s="1">
        <v>44286</v>
      </c>
      <c r="E28" s="2">
        <f t="shared" si="0"/>
        <v>1</v>
      </c>
      <c r="F28">
        <v>47</v>
      </c>
      <c r="G28" t="str">
        <f t="shared" si="1"/>
        <v>41-60</v>
      </c>
      <c r="H28" t="s">
        <v>23</v>
      </c>
      <c r="I28" t="s">
        <v>64</v>
      </c>
      <c r="J28" t="s">
        <v>65</v>
      </c>
      <c r="K28" t="s">
        <v>29</v>
      </c>
      <c r="L28">
        <v>2</v>
      </c>
      <c r="M28">
        <v>2</v>
      </c>
      <c r="N28">
        <v>2.8</v>
      </c>
      <c r="O28">
        <v>9.4</v>
      </c>
      <c r="P28">
        <v>7</v>
      </c>
      <c r="Q28">
        <v>3</v>
      </c>
      <c r="R28">
        <v>587617</v>
      </c>
      <c r="S28">
        <f>Table1[[#This Row],[Revenue]]-Table1[[#This Row],[Operating_Costs]]</f>
        <v>187750</v>
      </c>
      <c r="T28">
        <v>399867</v>
      </c>
      <c r="U28">
        <v>31</v>
      </c>
      <c r="V28">
        <v>63</v>
      </c>
      <c r="W28">
        <v>12.2</v>
      </c>
    </row>
    <row r="29" spans="1:23" x14ac:dyDescent="0.25">
      <c r="A29">
        <v>1</v>
      </c>
      <c r="B29" t="s">
        <v>32</v>
      </c>
      <c r="C29" s="1">
        <v>44275</v>
      </c>
      <c r="D29" s="1">
        <v>44287</v>
      </c>
      <c r="E29" s="2">
        <f t="shared" si="0"/>
        <v>1</v>
      </c>
      <c r="F29">
        <v>69</v>
      </c>
      <c r="G29" t="str">
        <f t="shared" si="1"/>
        <v>61-80</v>
      </c>
      <c r="H29" t="s">
        <v>23</v>
      </c>
      <c r="I29" t="s">
        <v>24</v>
      </c>
      <c r="J29" t="s">
        <v>25</v>
      </c>
      <c r="K29" t="s">
        <v>29</v>
      </c>
      <c r="L29">
        <v>2</v>
      </c>
      <c r="M29">
        <v>2</v>
      </c>
      <c r="N29">
        <v>1.6</v>
      </c>
      <c r="O29">
        <v>8.6999999999999993</v>
      </c>
      <c r="P29">
        <v>4</v>
      </c>
      <c r="Q29">
        <v>7</v>
      </c>
      <c r="R29">
        <v>992629</v>
      </c>
      <c r="S29">
        <f>Table1[[#This Row],[Revenue]]-Table1[[#This Row],[Operating_Costs]]</f>
        <v>149920</v>
      </c>
      <c r="T29">
        <v>842709</v>
      </c>
      <c r="U29">
        <v>35</v>
      </c>
      <c r="V29">
        <v>63</v>
      </c>
      <c r="W29">
        <v>5.5</v>
      </c>
    </row>
    <row r="30" spans="1:23" x14ac:dyDescent="0.25">
      <c r="A30">
        <v>12</v>
      </c>
      <c r="B30" t="s">
        <v>66</v>
      </c>
      <c r="C30" s="1">
        <v>44283</v>
      </c>
      <c r="D30" s="1">
        <v>44290</v>
      </c>
      <c r="E30" s="2">
        <f t="shared" si="0"/>
        <v>1</v>
      </c>
      <c r="F30">
        <v>87</v>
      </c>
      <c r="G30" t="str">
        <f t="shared" si="1"/>
        <v>81+</v>
      </c>
      <c r="H30" t="s">
        <v>23</v>
      </c>
      <c r="I30" t="s">
        <v>31</v>
      </c>
      <c r="J30" t="s">
        <v>28</v>
      </c>
      <c r="K30" t="s">
        <v>42</v>
      </c>
      <c r="L30">
        <v>2</v>
      </c>
      <c r="M30">
        <v>2</v>
      </c>
      <c r="N30">
        <v>4.7</v>
      </c>
      <c r="O30">
        <v>7.6</v>
      </c>
      <c r="P30">
        <v>7</v>
      </c>
      <c r="Q30">
        <v>4</v>
      </c>
      <c r="R30">
        <v>891843</v>
      </c>
      <c r="S30">
        <f>Table1[[#This Row],[Revenue]]-Table1[[#This Row],[Operating_Costs]]</f>
        <v>194457</v>
      </c>
      <c r="T30">
        <v>697386</v>
      </c>
      <c r="U30">
        <v>50</v>
      </c>
      <c r="V30">
        <v>55</v>
      </c>
      <c r="W30">
        <v>10.1</v>
      </c>
    </row>
    <row r="31" spans="1:23" x14ac:dyDescent="0.25">
      <c r="A31">
        <v>15</v>
      </c>
      <c r="B31" t="s">
        <v>45</v>
      </c>
      <c r="C31" s="1">
        <v>44288</v>
      </c>
      <c r="D31" s="1">
        <v>44290</v>
      </c>
      <c r="E31" s="2">
        <f t="shared" si="0"/>
        <v>1</v>
      </c>
      <c r="F31">
        <v>47</v>
      </c>
      <c r="G31" t="str">
        <f t="shared" si="1"/>
        <v>41-60</v>
      </c>
      <c r="H31" t="s">
        <v>23</v>
      </c>
      <c r="I31" t="s">
        <v>55</v>
      </c>
      <c r="J31" t="s">
        <v>56</v>
      </c>
      <c r="K31" t="s">
        <v>29</v>
      </c>
      <c r="L31">
        <v>2</v>
      </c>
      <c r="M31">
        <v>2</v>
      </c>
      <c r="N31">
        <v>4.0999999999999996</v>
      </c>
      <c r="O31">
        <v>8.8000000000000007</v>
      </c>
      <c r="P31">
        <v>4</v>
      </c>
      <c r="Q31">
        <v>3</v>
      </c>
      <c r="R31">
        <v>746382</v>
      </c>
      <c r="S31">
        <f>Table1[[#This Row],[Revenue]]-Table1[[#This Row],[Operating_Costs]]</f>
        <v>199911</v>
      </c>
      <c r="T31">
        <v>546471</v>
      </c>
      <c r="U31">
        <v>40</v>
      </c>
      <c r="V31">
        <v>64</v>
      </c>
      <c r="W31">
        <v>7.4</v>
      </c>
    </row>
    <row r="32" spans="1:23" x14ac:dyDescent="0.25">
      <c r="A32">
        <v>14</v>
      </c>
      <c r="B32" t="s">
        <v>48</v>
      </c>
      <c r="C32" s="1">
        <v>44286</v>
      </c>
      <c r="D32" s="1">
        <v>44302</v>
      </c>
      <c r="E32" s="2">
        <f t="shared" si="0"/>
        <v>1</v>
      </c>
      <c r="F32">
        <v>38</v>
      </c>
      <c r="G32" t="str">
        <f t="shared" si="1"/>
        <v>21-40</v>
      </c>
      <c r="H32" t="s">
        <v>23</v>
      </c>
      <c r="I32" t="s">
        <v>67</v>
      </c>
      <c r="J32" t="s">
        <v>68</v>
      </c>
      <c r="K32" t="s">
        <v>42</v>
      </c>
      <c r="L32">
        <v>2</v>
      </c>
      <c r="M32">
        <v>2</v>
      </c>
      <c r="N32">
        <v>1.1000000000000001</v>
      </c>
      <c r="O32">
        <v>8.6999999999999993</v>
      </c>
      <c r="P32">
        <v>6</v>
      </c>
      <c r="Q32">
        <v>6</v>
      </c>
      <c r="R32">
        <v>771054</v>
      </c>
      <c r="S32">
        <f>Table1[[#This Row],[Revenue]]-Table1[[#This Row],[Operating_Costs]]</f>
        <v>217057</v>
      </c>
      <c r="T32">
        <v>553997</v>
      </c>
      <c r="U32">
        <v>41</v>
      </c>
      <c r="V32">
        <v>57</v>
      </c>
      <c r="W32">
        <v>9.1</v>
      </c>
    </row>
    <row r="33" spans="1:23" x14ac:dyDescent="0.25">
      <c r="A33">
        <v>11</v>
      </c>
      <c r="B33" t="s">
        <v>63</v>
      </c>
      <c r="C33" s="1">
        <v>44293</v>
      </c>
      <c r="D33" s="1">
        <v>44305</v>
      </c>
      <c r="E33" s="2">
        <f t="shared" si="0"/>
        <v>1</v>
      </c>
      <c r="F33">
        <v>67</v>
      </c>
      <c r="G33" t="str">
        <f t="shared" si="1"/>
        <v>61-80</v>
      </c>
      <c r="H33" t="s">
        <v>35</v>
      </c>
      <c r="I33" t="s">
        <v>50</v>
      </c>
      <c r="J33" t="s">
        <v>51</v>
      </c>
      <c r="K33" t="s">
        <v>38</v>
      </c>
      <c r="L33">
        <v>2</v>
      </c>
      <c r="M33">
        <v>2</v>
      </c>
      <c r="N33">
        <v>5.6</v>
      </c>
      <c r="O33">
        <v>8.4</v>
      </c>
      <c r="P33">
        <v>6</v>
      </c>
      <c r="Q33">
        <v>6</v>
      </c>
      <c r="R33">
        <v>761249</v>
      </c>
      <c r="S33">
        <f>Table1[[#This Row],[Revenue]]-Table1[[#This Row],[Operating_Costs]]</f>
        <v>319623</v>
      </c>
      <c r="T33">
        <v>441626</v>
      </c>
      <c r="U33">
        <v>31</v>
      </c>
      <c r="V33">
        <v>59</v>
      </c>
      <c r="W33">
        <v>7.3</v>
      </c>
    </row>
    <row r="34" spans="1:23" x14ac:dyDescent="0.25">
      <c r="A34">
        <v>4</v>
      </c>
      <c r="B34" t="s">
        <v>69</v>
      </c>
      <c r="C34" s="1">
        <v>44275</v>
      </c>
      <c r="D34" s="1">
        <v>44305</v>
      </c>
      <c r="E34" s="2">
        <f t="shared" si="0"/>
        <v>1</v>
      </c>
      <c r="F34">
        <v>37</v>
      </c>
      <c r="G34" t="str">
        <f t="shared" si="1"/>
        <v>21-40</v>
      </c>
      <c r="H34" t="s">
        <v>35</v>
      </c>
      <c r="I34" t="s">
        <v>46</v>
      </c>
      <c r="J34" t="s">
        <v>47</v>
      </c>
      <c r="K34" t="s">
        <v>26</v>
      </c>
      <c r="L34">
        <v>2</v>
      </c>
      <c r="M34">
        <v>2</v>
      </c>
      <c r="N34">
        <v>6.9</v>
      </c>
      <c r="O34">
        <v>7.4</v>
      </c>
      <c r="P34">
        <v>7</v>
      </c>
      <c r="Q34">
        <v>5</v>
      </c>
      <c r="R34">
        <v>947557</v>
      </c>
      <c r="S34">
        <f>Table1[[#This Row],[Revenue]]-Table1[[#This Row],[Operating_Costs]]</f>
        <v>273575</v>
      </c>
      <c r="T34">
        <v>673982</v>
      </c>
      <c r="U34">
        <v>50</v>
      </c>
      <c r="V34">
        <v>64</v>
      </c>
      <c r="W34">
        <v>8.6</v>
      </c>
    </row>
    <row r="35" spans="1:23" x14ac:dyDescent="0.25">
      <c r="A35">
        <v>8</v>
      </c>
      <c r="B35" t="s">
        <v>52</v>
      </c>
      <c r="C35" s="1">
        <v>44282</v>
      </c>
      <c r="D35" s="1">
        <v>44305</v>
      </c>
      <c r="E35" s="2">
        <f t="shared" si="0"/>
        <v>1</v>
      </c>
      <c r="F35">
        <v>73</v>
      </c>
      <c r="G35" t="str">
        <f t="shared" si="1"/>
        <v>61-80</v>
      </c>
      <c r="H35" t="s">
        <v>35</v>
      </c>
      <c r="I35" t="s">
        <v>64</v>
      </c>
      <c r="J35" t="s">
        <v>65</v>
      </c>
      <c r="K35" t="s">
        <v>38</v>
      </c>
      <c r="L35">
        <v>2</v>
      </c>
      <c r="M35">
        <v>2</v>
      </c>
      <c r="N35">
        <v>5.2</v>
      </c>
      <c r="O35">
        <v>7.7</v>
      </c>
      <c r="P35">
        <v>5</v>
      </c>
      <c r="Q35">
        <v>6</v>
      </c>
      <c r="R35">
        <v>994607</v>
      </c>
      <c r="S35">
        <f>Table1[[#This Row],[Revenue]]-Table1[[#This Row],[Operating_Costs]]</f>
        <v>166856</v>
      </c>
      <c r="T35">
        <v>827751</v>
      </c>
      <c r="U35">
        <v>38</v>
      </c>
      <c r="V35">
        <v>59</v>
      </c>
      <c r="W35">
        <v>6.3</v>
      </c>
    </row>
    <row r="36" spans="1:23" x14ac:dyDescent="0.25">
      <c r="A36">
        <v>7</v>
      </c>
      <c r="B36" t="s">
        <v>49</v>
      </c>
      <c r="C36" s="1">
        <v>44296</v>
      </c>
      <c r="D36" s="1">
        <v>44309</v>
      </c>
      <c r="E36" s="2">
        <f t="shared" si="0"/>
        <v>1</v>
      </c>
      <c r="F36">
        <v>80</v>
      </c>
      <c r="G36" t="str">
        <f t="shared" si="1"/>
        <v>61-80</v>
      </c>
      <c r="H36" t="s">
        <v>23</v>
      </c>
      <c r="I36" t="s">
        <v>50</v>
      </c>
      <c r="J36" t="s">
        <v>51</v>
      </c>
      <c r="K36" t="s">
        <v>26</v>
      </c>
      <c r="L36">
        <v>2</v>
      </c>
      <c r="M36">
        <v>2</v>
      </c>
      <c r="N36">
        <v>3.2</v>
      </c>
      <c r="O36">
        <v>7.3</v>
      </c>
      <c r="P36">
        <v>3</v>
      </c>
      <c r="Q36">
        <v>5</v>
      </c>
      <c r="R36">
        <v>677592</v>
      </c>
      <c r="S36">
        <f>Table1[[#This Row],[Revenue]]-Table1[[#This Row],[Operating_Costs]]</f>
        <v>102226</v>
      </c>
      <c r="T36">
        <v>575366</v>
      </c>
      <c r="U36">
        <v>42</v>
      </c>
      <c r="V36">
        <v>66</v>
      </c>
      <c r="W36">
        <v>8.1</v>
      </c>
    </row>
    <row r="37" spans="1:23" x14ac:dyDescent="0.25">
      <c r="A37">
        <v>13</v>
      </c>
      <c r="B37" t="s">
        <v>30</v>
      </c>
      <c r="C37" s="1">
        <v>44287</v>
      </c>
      <c r="D37" s="1">
        <v>44313</v>
      </c>
      <c r="E37" s="2">
        <f t="shared" si="0"/>
        <v>1</v>
      </c>
      <c r="F37">
        <v>23</v>
      </c>
      <c r="G37" t="str">
        <f t="shared" si="1"/>
        <v>21-40</v>
      </c>
      <c r="H37" t="s">
        <v>23</v>
      </c>
      <c r="I37" t="s">
        <v>50</v>
      </c>
      <c r="J37" t="s">
        <v>51</v>
      </c>
      <c r="K37" t="s">
        <v>29</v>
      </c>
      <c r="L37">
        <v>2</v>
      </c>
      <c r="M37">
        <v>2</v>
      </c>
      <c r="N37">
        <v>4.5</v>
      </c>
      <c r="O37">
        <v>7.9</v>
      </c>
      <c r="P37">
        <v>6</v>
      </c>
      <c r="Q37">
        <v>7</v>
      </c>
      <c r="R37">
        <v>529896</v>
      </c>
      <c r="S37">
        <f>Table1[[#This Row],[Revenue]]-Table1[[#This Row],[Operating_Costs]]</f>
        <v>137377</v>
      </c>
      <c r="T37">
        <v>392519</v>
      </c>
      <c r="U37">
        <v>50</v>
      </c>
      <c r="V37">
        <v>57</v>
      </c>
      <c r="W37">
        <v>8.6</v>
      </c>
    </row>
    <row r="38" spans="1:23" x14ac:dyDescent="0.25">
      <c r="A38">
        <v>9</v>
      </c>
      <c r="B38" t="s">
        <v>44</v>
      </c>
      <c r="C38" s="1">
        <v>44298</v>
      </c>
      <c r="D38" s="1">
        <v>44316</v>
      </c>
      <c r="E38" s="2">
        <f t="shared" si="0"/>
        <v>1</v>
      </c>
      <c r="F38">
        <v>53</v>
      </c>
      <c r="G38" t="str">
        <f t="shared" si="1"/>
        <v>41-60</v>
      </c>
      <c r="H38" t="s">
        <v>35</v>
      </c>
      <c r="I38" t="s">
        <v>40</v>
      </c>
      <c r="J38" t="s">
        <v>41</v>
      </c>
      <c r="K38" t="s">
        <v>26</v>
      </c>
      <c r="L38">
        <v>2</v>
      </c>
      <c r="M38">
        <v>2</v>
      </c>
      <c r="N38">
        <v>3.3</v>
      </c>
      <c r="O38">
        <v>7.1</v>
      </c>
      <c r="P38">
        <v>6</v>
      </c>
      <c r="Q38">
        <v>7</v>
      </c>
      <c r="R38">
        <v>518031</v>
      </c>
      <c r="S38">
        <f>Table1[[#This Row],[Revenue]]-Table1[[#This Row],[Operating_Costs]]</f>
        <v>130910</v>
      </c>
      <c r="T38">
        <v>387121</v>
      </c>
      <c r="U38">
        <v>40</v>
      </c>
      <c r="V38">
        <v>65</v>
      </c>
      <c r="W38">
        <v>13.7</v>
      </c>
    </row>
    <row r="39" spans="1:23" x14ac:dyDescent="0.25">
      <c r="A39">
        <v>13</v>
      </c>
      <c r="B39" t="s">
        <v>30</v>
      </c>
      <c r="C39" s="1">
        <v>44287</v>
      </c>
      <c r="D39" s="1">
        <v>44317</v>
      </c>
      <c r="E39" s="2">
        <f t="shared" si="0"/>
        <v>1</v>
      </c>
      <c r="F39">
        <v>46</v>
      </c>
      <c r="G39" t="str">
        <f t="shared" si="1"/>
        <v>41-60</v>
      </c>
      <c r="H39" t="s">
        <v>35</v>
      </c>
      <c r="I39" t="s">
        <v>53</v>
      </c>
      <c r="J39" t="s">
        <v>54</v>
      </c>
      <c r="K39" t="s">
        <v>42</v>
      </c>
      <c r="L39">
        <v>2</v>
      </c>
      <c r="M39">
        <v>2</v>
      </c>
      <c r="N39">
        <v>1.7</v>
      </c>
      <c r="O39">
        <v>8.3000000000000007</v>
      </c>
      <c r="P39">
        <v>7</v>
      </c>
      <c r="Q39">
        <v>7</v>
      </c>
      <c r="R39">
        <v>432266</v>
      </c>
      <c r="S39">
        <f>Table1[[#This Row],[Revenue]]-Table1[[#This Row],[Operating_Costs]]</f>
        <v>39230</v>
      </c>
      <c r="T39">
        <v>393036</v>
      </c>
      <c r="U39">
        <v>43</v>
      </c>
      <c r="V39">
        <v>58</v>
      </c>
      <c r="W39">
        <v>7</v>
      </c>
    </row>
    <row r="40" spans="1:23" x14ac:dyDescent="0.25">
      <c r="A40">
        <v>5</v>
      </c>
      <c r="B40" t="s">
        <v>22</v>
      </c>
      <c r="C40" s="1">
        <v>44291</v>
      </c>
      <c r="D40" s="1">
        <v>44318</v>
      </c>
      <c r="E40" s="2">
        <f t="shared" si="0"/>
        <v>1</v>
      </c>
      <c r="F40">
        <v>37</v>
      </c>
      <c r="G40" t="str">
        <f t="shared" si="1"/>
        <v>21-40</v>
      </c>
      <c r="H40" t="s">
        <v>23</v>
      </c>
      <c r="I40" t="s">
        <v>67</v>
      </c>
      <c r="J40" t="s">
        <v>68</v>
      </c>
      <c r="K40" t="s">
        <v>38</v>
      </c>
      <c r="L40">
        <v>2</v>
      </c>
      <c r="M40">
        <v>2</v>
      </c>
      <c r="N40">
        <v>2.1</v>
      </c>
      <c r="O40">
        <v>8.3000000000000007</v>
      </c>
      <c r="P40">
        <v>4</v>
      </c>
      <c r="Q40">
        <v>7</v>
      </c>
      <c r="R40">
        <v>752805</v>
      </c>
      <c r="S40">
        <f>Table1[[#This Row],[Revenue]]-Table1[[#This Row],[Operating_Costs]]</f>
        <v>287316</v>
      </c>
      <c r="T40">
        <v>465489</v>
      </c>
      <c r="U40">
        <v>31</v>
      </c>
      <c r="V40">
        <v>63</v>
      </c>
      <c r="W40">
        <v>12.6</v>
      </c>
    </row>
    <row r="41" spans="1:23" x14ac:dyDescent="0.25">
      <c r="A41">
        <v>2</v>
      </c>
      <c r="B41" t="s">
        <v>39</v>
      </c>
      <c r="C41" s="1">
        <v>44316</v>
      </c>
      <c r="D41" s="1">
        <v>44323</v>
      </c>
      <c r="E41" s="2">
        <f t="shared" si="0"/>
        <v>1</v>
      </c>
      <c r="F41">
        <v>85</v>
      </c>
      <c r="G41" t="str">
        <f t="shared" si="1"/>
        <v>81+</v>
      </c>
      <c r="H41" t="s">
        <v>23</v>
      </c>
      <c r="I41" t="s">
        <v>43</v>
      </c>
      <c r="J41" t="s">
        <v>25</v>
      </c>
      <c r="K41" t="s">
        <v>38</v>
      </c>
      <c r="L41">
        <v>2</v>
      </c>
      <c r="M41">
        <v>2</v>
      </c>
      <c r="N41">
        <v>3.1</v>
      </c>
      <c r="O41">
        <v>7.5</v>
      </c>
      <c r="P41">
        <v>4</v>
      </c>
      <c r="Q41">
        <v>6</v>
      </c>
      <c r="R41">
        <v>732543</v>
      </c>
      <c r="S41">
        <f>Table1[[#This Row],[Revenue]]-Table1[[#This Row],[Operating_Costs]]</f>
        <v>121643</v>
      </c>
      <c r="T41">
        <v>610900</v>
      </c>
      <c r="U41">
        <v>36</v>
      </c>
      <c r="V41">
        <v>54</v>
      </c>
      <c r="W41">
        <v>6.4</v>
      </c>
    </row>
    <row r="42" spans="1:23" x14ac:dyDescent="0.25">
      <c r="A42">
        <v>5</v>
      </c>
      <c r="B42" t="s">
        <v>22</v>
      </c>
      <c r="C42" s="1">
        <v>44307</v>
      </c>
      <c r="D42" s="1">
        <v>44324</v>
      </c>
      <c r="E42" s="2">
        <f t="shared" si="0"/>
        <v>1</v>
      </c>
      <c r="F42">
        <v>37</v>
      </c>
      <c r="G42" t="str">
        <f t="shared" si="1"/>
        <v>21-40</v>
      </c>
      <c r="H42" t="s">
        <v>35</v>
      </c>
      <c r="I42" t="s">
        <v>36</v>
      </c>
      <c r="J42" t="s">
        <v>37</v>
      </c>
      <c r="K42" t="s">
        <v>26</v>
      </c>
      <c r="L42">
        <v>2</v>
      </c>
      <c r="M42">
        <v>2</v>
      </c>
      <c r="N42">
        <v>6.4</v>
      </c>
      <c r="O42">
        <v>7.7</v>
      </c>
      <c r="P42">
        <v>5</v>
      </c>
      <c r="Q42">
        <v>4</v>
      </c>
      <c r="R42">
        <v>753332</v>
      </c>
      <c r="S42">
        <f>Table1[[#This Row],[Revenue]]-Table1[[#This Row],[Operating_Costs]]</f>
        <v>516324</v>
      </c>
      <c r="T42">
        <v>237008</v>
      </c>
      <c r="U42">
        <v>25</v>
      </c>
      <c r="V42">
        <v>58</v>
      </c>
      <c r="W42">
        <v>36.1</v>
      </c>
    </row>
    <row r="43" spans="1:23" x14ac:dyDescent="0.25">
      <c r="A43">
        <v>12</v>
      </c>
      <c r="B43" t="s">
        <v>66</v>
      </c>
      <c r="C43" s="1">
        <v>44317</v>
      </c>
      <c r="D43" s="1">
        <v>44332</v>
      </c>
      <c r="E43" s="2">
        <f t="shared" si="0"/>
        <v>1</v>
      </c>
      <c r="F43">
        <v>25</v>
      </c>
      <c r="G43" t="str">
        <f t="shared" si="1"/>
        <v>21-40</v>
      </c>
      <c r="H43" t="s">
        <v>23</v>
      </c>
      <c r="I43" t="s">
        <v>55</v>
      </c>
      <c r="J43" t="s">
        <v>56</v>
      </c>
      <c r="K43" t="s">
        <v>42</v>
      </c>
      <c r="L43">
        <v>2</v>
      </c>
      <c r="M43">
        <v>2</v>
      </c>
      <c r="N43">
        <v>5.9</v>
      </c>
      <c r="O43">
        <v>8.6999999999999993</v>
      </c>
      <c r="P43">
        <v>4</v>
      </c>
      <c r="Q43">
        <v>5</v>
      </c>
      <c r="R43">
        <v>944099</v>
      </c>
      <c r="S43">
        <f>Table1[[#This Row],[Revenue]]-Table1[[#This Row],[Operating_Costs]]</f>
        <v>413083</v>
      </c>
      <c r="T43">
        <v>531016</v>
      </c>
      <c r="U43">
        <v>58</v>
      </c>
      <c r="V43">
        <v>55</v>
      </c>
      <c r="W43">
        <v>36.200000000000003</v>
      </c>
    </row>
    <row r="44" spans="1:23" x14ac:dyDescent="0.25">
      <c r="A44">
        <v>11</v>
      </c>
      <c r="B44" t="s">
        <v>63</v>
      </c>
      <c r="C44" s="1">
        <v>44338</v>
      </c>
      <c r="D44" s="1">
        <v>44341</v>
      </c>
      <c r="E44" s="2">
        <f t="shared" si="0"/>
        <v>1</v>
      </c>
      <c r="F44">
        <v>61</v>
      </c>
      <c r="G44" t="str">
        <f t="shared" si="1"/>
        <v>61-80</v>
      </c>
      <c r="H44" t="s">
        <v>35</v>
      </c>
      <c r="I44" t="s">
        <v>60</v>
      </c>
      <c r="J44" t="s">
        <v>59</v>
      </c>
      <c r="K44" t="s">
        <v>42</v>
      </c>
      <c r="L44">
        <v>2</v>
      </c>
      <c r="M44">
        <v>2</v>
      </c>
      <c r="N44">
        <v>5.4</v>
      </c>
      <c r="O44">
        <v>9.1</v>
      </c>
      <c r="P44">
        <v>4</v>
      </c>
      <c r="Q44">
        <v>6</v>
      </c>
      <c r="R44">
        <v>681555</v>
      </c>
      <c r="S44">
        <f>Table1[[#This Row],[Revenue]]-Table1[[#This Row],[Operating_Costs]]</f>
        <v>239068</v>
      </c>
      <c r="T44">
        <v>442487</v>
      </c>
      <c r="U44">
        <v>32</v>
      </c>
      <c r="V44">
        <v>57</v>
      </c>
      <c r="W44">
        <v>10.1</v>
      </c>
    </row>
    <row r="45" spans="1:23" x14ac:dyDescent="0.25">
      <c r="A45">
        <v>11</v>
      </c>
      <c r="B45" t="s">
        <v>63</v>
      </c>
      <c r="C45" s="1">
        <v>44318</v>
      </c>
      <c r="D45" s="1">
        <v>44344</v>
      </c>
      <c r="E45" s="2">
        <f t="shared" si="0"/>
        <v>1</v>
      </c>
      <c r="F45">
        <v>48</v>
      </c>
      <c r="G45" t="str">
        <f t="shared" si="1"/>
        <v>41-60</v>
      </c>
      <c r="H45" t="s">
        <v>35</v>
      </c>
      <c r="I45" t="s">
        <v>40</v>
      </c>
      <c r="J45" t="s">
        <v>41</v>
      </c>
      <c r="K45" t="s">
        <v>26</v>
      </c>
      <c r="L45">
        <v>2</v>
      </c>
      <c r="M45">
        <v>2</v>
      </c>
      <c r="N45">
        <v>1.3</v>
      </c>
      <c r="O45">
        <v>7.3</v>
      </c>
      <c r="P45">
        <v>7</v>
      </c>
      <c r="Q45">
        <v>3</v>
      </c>
      <c r="R45">
        <v>723151</v>
      </c>
      <c r="S45">
        <f>Table1[[#This Row],[Revenue]]-Table1[[#This Row],[Operating_Costs]]</f>
        <v>307359</v>
      </c>
      <c r="T45">
        <v>415792</v>
      </c>
      <c r="U45">
        <v>30</v>
      </c>
      <c r="V45">
        <v>65</v>
      </c>
      <c r="W45">
        <v>13.1</v>
      </c>
    </row>
    <row r="46" spans="1:23" x14ac:dyDescent="0.25">
      <c r="A46">
        <v>1</v>
      </c>
      <c r="B46" t="s">
        <v>32</v>
      </c>
      <c r="C46" s="1">
        <v>44333</v>
      </c>
      <c r="D46" s="1">
        <v>44346</v>
      </c>
      <c r="E46" s="2">
        <f t="shared" si="0"/>
        <v>1</v>
      </c>
      <c r="F46">
        <v>67</v>
      </c>
      <c r="G46" t="str">
        <f t="shared" si="1"/>
        <v>61-80</v>
      </c>
      <c r="H46" t="s">
        <v>23</v>
      </c>
      <c r="I46" t="s">
        <v>24</v>
      </c>
      <c r="J46" t="s">
        <v>25</v>
      </c>
      <c r="K46" t="s">
        <v>26</v>
      </c>
      <c r="L46">
        <v>2</v>
      </c>
      <c r="M46">
        <v>2</v>
      </c>
      <c r="N46">
        <v>4</v>
      </c>
      <c r="O46">
        <v>7.1</v>
      </c>
      <c r="P46">
        <v>3</v>
      </c>
      <c r="Q46">
        <v>6</v>
      </c>
      <c r="R46">
        <v>947823</v>
      </c>
      <c r="S46">
        <f>Table1[[#This Row],[Revenue]]-Table1[[#This Row],[Operating_Costs]]</f>
        <v>255796</v>
      </c>
      <c r="T46">
        <v>692027</v>
      </c>
      <c r="U46">
        <v>33</v>
      </c>
      <c r="V46">
        <v>56</v>
      </c>
      <c r="W46">
        <v>14.1</v>
      </c>
    </row>
    <row r="47" spans="1:23" x14ac:dyDescent="0.25">
      <c r="A47">
        <v>13</v>
      </c>
      <c r="B47" t="s">
        <v>30</v>
      </c>
      <c r="C47" s="1">
        <v>44327</v>
      </c>
      <c r="D47" s="1">
        <v>44346</v>
      </c>
      <c r="E47" s="2">
        <f t="shared" si="0"/>
        <v>1</v>
      </c>
      <c r="F47">
        <v>25</v>
      </c>
      <c r="G47" t="str">
        <f t="shared" si="1"/>
        <v>21-40</v>
      </c>
      <c r="H47" t="s">
        <v>35</v>
      </c>
      <c r="I47" t="s">
        <v>61</v>
      </c>
      <c r="J47" t="s">
        <v>62</v>
      </c>
      <c r="K47" t="s">
        <v>26</v>
      </c>
      <c r="L47">
        <v>2</v>
      </c>
      <c r="M47">
        <v>2</v>
      </c>
      <c r="N47">
        <v>2.8</v>
      </c>
      <c r="O47">
        <v>10</v>
      </c>
      <c r="P47">
        <v>3</v>
      </c>
      <c r="Q47">
        <v>3</v>
      </c>
      <c r="R47">
        <v>736561</v>
      </c>
      <c r="S47">
        <f>Table1[[#This Row],[Revenue]]-Table1[[#This Row],[Operating_Costs]]</f>
        <v>372989</v>
      </c>
      <c r="T47">
        <v>363572</v>
      </c>
      <c r="U47">
        <v>39</v>
      </c>
      <c r="V47">
        <v>60</v>
      </c>
      <c r="W47">
        <v>7.4</v>
      </c>
    </row>
    <row r="48" spans="1:23" x14ac:dyDescent="0.25">
      <c r="A48">
        <v>10</v>
      </c>
      <c r="B48" t="s">
        <v>34</v>
      </c>
      <c r="C48" s="1">
        <v>44351</v>
      </c>
      <c r="D48" s="1">
        <v>44353</v>
      </c>
      <c r="E48" s="2">
        <f t="shared" si="0"/>
        <v>1</v>
      </c>
      <c r="F48">
        <v>49</v>
      </c>
      <c r="G48" t="str">
        <f t="shared" si="1"/>
        <v>41-60</v>
      </c>
      <c r="H48" t="s">
        <v>23</v>
      </c>
      <c r="I48" t="s">
        <v>67</v>
      </c>
      <c r="J48" t="s">
        <v>68</v>
      </c>
      <c r="K48" t="s">
        <v>38</v>
      </c>
      <c r="L48">
        <v>2</v>
      </c>
      <c r="M48">
        <v>2</v>
      </c>
      <c r="N48">
        <v>1.9</v>
      </c>
      <c r="O48">
        <v>7.2</v>
      </c>
      <c r="P48">
        <v>6</v>
      </c>
      <c r="Q48">
        <v>3</v>
      </c>
      <c r="R48">
        <v>927933</v>
      </c>
      <c r="S48">
        <f>Table1[[#This Row],[Revenue]]-Table1[[#This Row],[Operating_Costs]]</f>
        <v>388215</v>
      </c>
      <c r="T48">
        <v>539718</v>
      </c>
      <c r="U48">
        <v>58</v>
      </c>
      <c r="V48">
        <v>56</v>
      </c>
      <c r="W48">
        <v>6</v>
      </c>
    </row>
    <row r="49" spans="1:23" x14ac:dyDescent="0.25">
      <c r="A49">
        <v>13</v>
      </c>
      <c r="B49" t="s">
        <v>30</v>
      </c>
      <c r="C49" s="1">
        <v>44332</v>
      </c>
      <c r="D49" s="1">
        <v>44354</v>
      </c>
      <c r="E49" s="2">
        <f t="shared" si="0"/>
        <v>1</v>
      </c>
      <c r="F49">
        <v>38</v>
      </c>
      <c r="G49" t="str">
        <f t="shared" si="1"/>
        <v>21-40</v>
      </c>
      <c r="H49" t="s">
        <v>23</v>
      </c>
      <c r="I49" t="s">
        <v>27</v>
      </c>
      <c r="J49" t="s">
        <v>28</v>
      </c>
      <c r="K49" t="s">
        <v>42</v>
      </c>
      <c r="L49">
        <v>2</v>
      </c>
      <c r="M49">
        <v>2</v>
      </c>
      <c r="N49">
        <v>4.2</v>
      </c>
      <c r="O49">
        <v>9.6</v>
      </c>
      <c r="P49">
        <v>5</v>
      </c>
      <c r="Q49">
        <v>6</v>
      </c>
      <c r="R49">
        <v>780091</v>
      </c>
      <c r="S49">
        <f>Table1[[#This Row],[Revenue]]-Table1[[#This Row],[Operating_Costs]]</f>
        <v>406969</v>
      </c>
      <c r="T49">
        <v>373122</v>
      </c>
      <c r="U49">
        <v>36</v>
      </c>
      <c r="V49">
        <v>61</v>
      </c>
      <c r="W49">
        <v>8.1</v>
      </c>
    </row>
    <row r="50" spans="1:23" x14ac:dyDescent="0.25">
      <c r="A50">
        <v>5</v>
      </c>
      <c r="B50" t="s">
        <v>22</v>
      </c>
      <c r="C50" s="1">
        <v>44352</v>
      </c>
      <c r="D50" s="1">
        <v>44355</v>
      </c>
      <c r="E50" s="2">
        <f t="shared" si="0"/>
        <v>1</v>
      </c>
      <c r="F50">
        <v>75</v>
      </c>
      <c r="G50" t="str">
        <f t="shared" si="1"/>
        <v>61-80</v>
      </c>
      <c r="H50" t="s">
        <v>35</v>
      </c>
      <c r="I50" t="s">
        <v>60</v>
      </c>
      <c r="J50" t="s">
        <v>59</v>
      </c>
      <c r="K50" t="s">
        <v>29</v>
      </c>
      <c r="L50">
        <v>2</v>
      </c>
      <c r="M50">
        <v>2</v>
      </c>
      <c r="N50">
        <v>2.7</v>
      </c>
      <c r="O50">
        <v>9.4</v>
      </c>
      <c r="P50">
        <v>7</v>
      </c>
      <c r="Q50">
        <v>5</v>
      </c>
      <c r="R50">
        <v>986235</v>
      </c>
      <c r="S50">
        <f>Table1[[#This Row],[Revenue]]-Table1[[#This Row],[Operating_Costs]]</f>
        <v>565549</v>
      </c>
      <c r="T50">
        <v>420686</v>
      </c>
      <c r="U50">
        <v>40</v>
      </c>
      <c r="V50">
        <v>59</v>
      </c>
      <c r="W50">
        <v>36.5</v>
      </c>
    </row>
    <row r="51" spans="1:23" x14ac:dyDescent="0.25">
      <c r="A51">
        <v>2</v>
      </c>
      <c r="B51" t="s">
        <v>39</v>
      </c>
      <c r="C51" s="1">
        <v>44358</v>
      </c>
      <c r="D51" s="1">
        <v>44361</v>
      </c>
      <c r="E51" s="2">
        <f t="shared" si="0"/>
        <v>1</v>
      </c>
      <c r="F51">
        <v>67</v>
      </c>
      <c r="G51" t="str">
        <f t="shared" si="1"/>
        <v>61-80</v>
      </c>
      <c r="H51" t="s">
        <v>23</v>
      </c>
      <c r="I51" t="s">
        <v>50</v>
      </c>
      <c r="J51" t="s">
        <v>51</v>
      </c>
      <c r="K51" t="s">
        <v>33</v>
      </c>
      <c r="L51">
        <v>2</v>
      </c>
      <c r="M51">
        <v>2</v>
      </c>
      <c r="N51">
        <v>5.4</v>
      </c>
      <c r="O51">
        <v>8.5</v>
      </c>
      <c r="P51">
        <v>4</v>
      </c>
      <c r="Q51">
        <v>3</v>
      </c>
      <c r="R51">
        <v>684601</v>
      </c>
      <c r="S51">
        <f>Table1[[#This Row],[Revenue]]-Table1[[#This Row],[Operating_Costs]]</f>
        <v>124129</v>
      </c>
      <c r="T51">
        <v>560472</v>
      </c>
      <c r="U51">
        <v>36</v>
      </c>
      <c r="V51">
        <v>58</v>
      </c>
      <c r="W51">
        <v>8.9</v>
      </c>
    </row>
    <row r="52" spans="1:23" x14ac:dyDescent="0.25">
      <c r="A52">
        <v>4</v>
      </c>
      <c r="B52" t="s">
        <v>69</v>
      </c>
      <c r="C52" s="1">
        <v>44340</v>
      </c>
      <c r="D52" s="1">
        <v>44361</v>
      </c>
      <c r="E52" s="2">
        <f t="shared" si="0"/>
        <v>1</v>
      </c>
      <c r="F52">
        <v>30</v>
      </c>
      <c r="G52" t="str">
        <f t="shared" si="1"/>
        <v>21-40</v>
      </c>
      <c r="H52" t="s">
        <v>35</v>
      </c>
      <c r="I52" t="s">
        <v>36</v>
      </c>
      <c r="J52" t="s">
        <v>37</v>
      </c>
      <c r="K52" t="s">
        <v>38</v>
      </c>
      <c r="L52">
        <v>2</v>
      </c>
      <c r="M52">
        <v>2</v>
      </c>
      <c r="N52">
        <v>4.5</v>
      </c>
      <c r="O52">
        <v>9.6</v>
      </c>
      <c r="P52">
        <v>5</v>
      </c>
      <c r="Q52">
        <v>3</v>
      </c>
      <c r="R52">
        <v>850890</v>
      </c>
      <c r="S52">
        <f>Table1[[#This Row],[Revenue]]-Table1[[#This Row],[Operating_Costs]]</f>
        <v>193619</v>
      </c>
      <c r="T52">
        <v>657271</v>
      </c>
      <c r="U52">
        <v>46</v>
      </c>
      <c r="V52">
        <v>65</v>
      </c>
      <c r="W52">
        <v>9.5</v>
      </c>
    </row>
    <row r="53" spans="1:23" x14ac:dyDescent="0.25">
      <c r="A53">
        <v>14</v>
      </c>
      <c r="B53" t="s">
        <v>48</v>
      </c>
      <c r="C53" s="1">
        <v>44353</v>
      </c>
      <c r="D53" s="1">
        <v>44361</v>
      </c>
      <c r="E53" s="2">
        <f t="shared" si="0"/>
        <v>1</v>
      </c>
      <c r="F53">
        <v>62</v>
      </c>
      <c r="G53" t="str">
        <f t="shared" si="1"/>
        <v>61-80</v>
      </c>
      <c r="H53" t="s">
        <v>23</v>
      </c>
      <c r="I53" t="s">
        <v>55</v>
      </c>
      <c r="J53" t="s">
        <v>56</v>
      </c>
      <c r="K53" t="s">
        <v>38</v>
      </c>
      <c r="L53">
        <v>2</v>
      </c>
      <c r="M53">
        <v>2</v>
      </c>
      <c r="N53">
        <v>6.6</v>
      </c>
      <c r="O53">
        <v>9.9</v>
      </c>
      <c r="P53">
        <v>7</v>
      </c>
      <c r="Q53">
        <v>3</v>
      </c>
      <c r="R53">
        <v>700623</v>
      </c>
      <c r="S53">
        <f>Table1[[#This Row],[Revenue]]-Table1[[#This Row],[Operating_Costs]]</f>
        <v>30919</v>
      </c>
      <c r="T53">
        <v>669704</v>
      </c>
      <c r="U53">
        <v>39</v>
      </c>
      <c r="V53">
        <v>63</v>
      </c>
      <c r="W53">
        <v>14.8</v>
      </c>
    </row>
    <row r="54" spans="1:23" x14ac:dyDescent="0.25">
      <c r="A54">
        <v>5</v>
      </c>
      <c r="B54" t="s">
        <v>22</v>
      </c>
      <c r="C54" s="1">
        <v>44354</v>
      </c>
      <c r="D54" s="1">
        <v>44366</v>
      </c>
      <c r="E54" s="2">
        <f t="shared" si="0"/>
        <v>1</v>
      </c>
      <c r="F54">
        <v>31</v>
      </c>
      <c r="G54" t="str">
        <f t="shared" si="1"/>
        <v>21-40</v>
      </c>
      <c r="H54" t="s">
        <v>23</v>
      </c>
      <c r="I54" t="s">
        <v>31</v>
      </c>
      <c r="J54" t="s">
        <v>28</v>
      </c>
      <c r="K54" t="s">
        <v>29</v>
      </c>
      <c r="L54">
        <v>2</v>
      </c>
      <c r="M54">
        <v>2</v>
      </c>
      <c r="N54">
        <v>2.7</v>
      </c>
      <c r="O54">
        <v>7.1</v>
      </c>
      <c r="P54">
        <v>4</v>
      </c>
      <c r="Q54">
        <v>7</v>
      </c>
      <c r="R54">
        <v>682001</v>
      </c>
      <c r="S54">
        <f>Table1[[#This Row],[Revenue]]-Table1[[#This Row],[Operating_Costs]]</f>
        <v>304157</v>
      </c>
      <c r="T54">
        <v>377844</v>
      </c>
      <c r="U54">
        <v>29</v>
      </c>
      <c r="V54">
        <v>64</v>
      </c>
      <c r="W54">
        <v>6.8</v>
      </c>
    </row>
    <row r="55" spans="1:23" x14ac:dyDescent="0.25">
      <c r="A55">
        <v>10</v>
      </c>
      <c r="B55" t="s">
        <v>34</v>
      </c>
      <c r="C55" s="1">
        <v>44351</v>
      </c>
      <c r="D55" s="1">
        <v>44374</v>
      </c>
      <c r="E55" s="2">
        <f t="shared" si="0"/>
        <v>1</v>
      </c>
      <c r="F55">
        <v>29</v>
      </c>
      <c r="G55" t="str">
        <f t="shared" si="1"/>
        <v>21-40</v>
      </c>
      <c r="H55" t="s">
        <v>35</v>
      </c>
      <c r="I55" t="s">
        <v>36</v>
      </c>
      <c r="J55" t="s">
        <v>37</v>
      </c>
      <c r="K55" t="s">
        <v>29</v>
      </c>
      <c r="L55">
        <v>2</v>
      </c>
      <c r="M55">
        <v>2</v>
      </c>
      <c r="N55">
        <v>1.6</v>
      </c>
      <c r="O55">
        <v>8.6999999999999993</v>
      </c>
      <c r="P55">
        <v>3</v>
      </c>
      <c r="Q55">
        <v>7</v>
      </c>
      <c r="R55">
        <v>873968</v>
      </c>
      <c r="S55">
        <f>Table1[[#This Row],[Revenue]]-Table1[[#This Row],[Operating_Costs]]</f>
        <v>289955</v>
      </c>
      <c r="T55">
        <v>584013</v>
      </c>
      <c r="U55">
        <v>55</v>
      </c>
      <c r="V55">
        <v>64</v>
      </c>
      <c r="W55">
        <v>36.799999999999997</v>
      </c>
    </row>
    <row r="56" spans="1:23" x14ac:dyDescent="0.25">
      <c r="A56">
        <v>13</v>
      </c>
      <c r="B56" t="s">
        <v>30</v>
      </c>
      <c r="C56" s="1">
        <v>44365</v>
      </c>
      <c r="D56" s="1">
        <v>44394</v>
      </c>
      <c r="E56" s="2">
        <f t="shared" si="0"/>
        <v>1</v>
      </c>
      <c r="F56">
        <v>33</v>
      </c>
      <c r="G56" t="str">
        <f t="shared" si="1"/>
        <v>21-40</v>
      </c>
      <c r="H56" t="s">
        <v>23</v>
      </c>
      <c r="I56" t="s">
        <v>43</v>
      </c>
      <c r="J56" t="s">
        <v>25</v>
      </c>
      <c r="K56" t="s">
        <v>26</v>
      </c>
      <c r="L56">
        <v>2</v>
      </c>
      <c r="M56">
        <v>2</v>
      </c>
      <c r="N56">
        <v>5.2</v>
      </c>
      <c r="O56">
        <v>7.3</v>
      </c>
      <c r="P56">
        <v>5</v>
      </c>
      <c r="Q56">
        <v>4</v>
      </c>
      <c r="R56">
        <v>543282</v>
      </c>
      <c r="S56">
        <f>Table1[[#This Row],[Revenue]]-Table1[[#This Row],[Operating_Costs]]</f>
        <v>169084</v>
      </c>
      <c r="T56">
        <v>374198</v>
      </c>
      <c r="U56">
        <v>34</v>
      </c>
      <c r="V56">
        <v>64</v>
      </c>
      <c r="W56">
        <v>12.9</v>
      </c>
    </row>
    <row r="57" spans="1:23" x14ac:dyDescent="0.25">
      <c r="A57">
        <v>13</v>
      </c>
      <c r="B57" t="s">
        <v>30</v>
      </c>
      <c r="C57" s="1">
        <v>44379</v>
      </c>
      <c r="D57" s="1">
        <v>44395</v>
      </c>
      <c r="E57" s="2">
        <f t="shared" si="0"/>
        <v>1</v>
      </c>
      <c r="F57">
        <v>31</v>
      </c>
      <c r="G57" t="str">
        <f t="shared" si="1"/>
        <v>21-40</v>
      </c>
      <c r="H57" t="s">
        <v>35</v>
      </c>
      <c r="I57" t="s">
        <v>36</v>
      </c>
      <c r="J57" t="s">
        <v>37</v>
      </c>
      <c r="K57" t="s">
        <v>38</v>
      </c>
      <c r="L57">
        <v>2</v>
      </c>
      <c r="M57">
        <v>2</v>
      </c>
      <c r="N57">
        <v>3.8</v>
      </c>
      <c r="O57">
        <v>7.8</v>
      </c>
      <c r="P57">
        <v>7</v>
      </c>
      <c r="Q57">
        <v>3</v>
      </c>
      <c r="R57">
        <v>785290</v>
      </c>
      <c r="S57">
        <f>Table1[[#This Row],[Revenue]]-Table1[[#This Row],[Operating_Costs]]</f>
        <v>414397</v>
      </c>
      <c r="T57">
        <v>370893</v>
      </c>
      <c r="U57">
        <v>40</v>
      </c>
      <c r="V57">
        <v>65</v>
      </c>
      <c r="W57">
        <v>9.8000000000000007</v>
      </c>
    </row>
    <row r="58" spans="1:23" x14ac:dyDescent="0.25">
      <c r="A58">
        <v>14</v>
      </c>
      <c r="B58" t="s">
        <v>48</v>
      </c>
      <c r="C58" s="1">
        <v>44377</v>
      </c>
      <c r="D58" s="1">
        <v>44397</v>
      </c>
      <c r="E58" s="2">
        <f t="shared" si="0"/>
        <v>1</v>
      </c>
      <c r="F58">
        <v>50</v>
      </c>
      <c r="G58" t="str">
        <f t="shared" si="1"/>
        <v>41-60</v>
      </c>
      <c r="H58" t="s">
        <v>35</v>
      </c>
      <c r="I58" t="s">
        <v>36</v>
      </c>
      <c r="J58" t="s">
        <v>37</v>
      </c>
      <c r="K58" t="s">
        <v>33</v>
      </c>
      <c r="L58">
        <v>2</v>
      </c>
      <c r="M58">
        <v>2</v>
      </c>
      <c r="N58">
        <v>1.2</v>
      </c>
      <c r="O58">
        <v>8.8000000000000007</v>
      </c>
      <c r="P58">
        <v>4</v>
      </c>
      <c r="Q58">
        <v>5</v>
      </c>
      <c r="R58">
        <v>724327</v>
      </c>
      <c r="S58">
        <f>Table1[[#This Row],[Revenue]]-Table1[[#This Row],[Operating_Costs]]</f>
        <v>32169</v>
      </c>
      <c r="T58">
        <v>692158</v>
      </c>
      <c r="U58">
        <v>40</v>
      </c>
      <c r="V58">
        <v>65</v>
      </c>
      <c r="W58">
        <v>8.5</v>
      </c>
    </row>
    <row r="59" spans="1:23" x14ac:dyDescent="0.25">
      <c r="A59">
        <v>10</v>
      </c>
      <c r="B59" t="s">
        <v>34</v>
      </c>
      <c r="C59" s="1">
        <v>44374</v>
      </c>
      <c r="D59" s="1">
        <v>44399</v>
      </c>
      <c r="E59" s="2">
        <f t="shared" si="0"/>
        <v>1</v>
      </c>
      <c r="F59">
        <v>27</v>
      </c>
      <c r="G59" t="str">
        <f t="shared" si="1"/>
        <v>21-40</v>
      </c>
      <c r="H59" t="s">
        <v>35</v>
      </c>
      <c r="I59" t="s">
        <v>31</v>
      </c>
      <c r="J59" t="s">
        <v>28</v>
      </c>
      <c r="K59" t="s">
        <v>42</v>
      </c>
      <c r="L59">
        <v>2</v>
      </c>
      <c r="M59">
        <v>2</v>
      </c>
      <c r="N59">
        <v>3.2</v>
      </c>
      <c r="O59">
        <v>8.3000000000000007</v>
      </c>
      <c r="P59">
        <v>5</v>
      </c>
      <c r="Q59">
        <v>4</v>
      </c>
      <c r="R59">
        <v>859707</v>
      </c>
      <c r="S59">
        <f>Table1[[#This Row],[Revenue]]-Table1[[#This Row],[Operating_Costs]]</f>
        <v>274215</v>
      </c>
      <c r="T59">
        <v>585492</v>
      </c>
      <c r="U59">
        <v>58</v>
      </c>
      <c r="V59">
        <v>62</v>
      </c>
      <c r="W59">
        <v>6.5</v>
      </c>
    </row>
    <row r="60" spans="1:23" x14ac:dyDescent="0.25">
      <c r="A60">
        <v>9</v>
      </c>
      <c r="B60" t="s">
        <v>44</v>
      </c>
      <c r="C60" s="1">
        <v>44373</v>
      </c>
      <c r="D60" s="1">
        <v>44403</v>
      </c>
      <c r="E60" s="2">
        <f t="shared" si="0"/>
        <v>1</v>
      </c>
      <c r="F60">
        <v>32</v>
      </c>
      <c r="G60" t="str">
        <f t="shared" si="1"/>
        <v>21-40</v>
      </c>
      <c r="H60" t="s">
        <v>23</v>
      </c>
      <c r="I60" t="s">
        <v>43</v>
      </c>
      <c r="J60" t="s">
        <v>25</v>
      </c>
      <c r="K60" t="s">
        <v>42</v>
      </c>
      <c r="L60">
        <v>2</v>
      </c>
      <c r="M60">
        <v>2</v>
      </c>
      <c r="N60">
        <v>2.8</v>
      </c>
      <c r="O60">
        <v>7.5</v>
      </c>
      <c r="P60">
        <v>3</v>
      </c>
      <c r="Q60">
        <v>7</v>
      </c>
      <c r="R60">
        <v>534558</v>
      </c>
      <c r="S60">
        <f>Table1[[#This Row],[Revenue]]-Table1[[#This Row],[Operating_Costs]]</f>
        <v>116053</v>
      </c>
      <c r="T60">
        <v>418505</v>
      </c>
      <c r="U60">
        <v>38</v>
      </c>
      <c r="V60">
        <v>66</v>
      </c>
      <c r="W60">
        <v>7.3</v>
      </c>
    </row>
    <row r="61" spans="1:23" x14ac:dyDescent="0.25">
      <c r="A61">
        <v>7</v>
      </c>
      <c r="B61" t="s">
        <v>49</v>
      </c>
      <c r="C61" s="1">
        <v>44375</v>
      </c>
      <c r="D61" s="1">
        <v>44405</v>
      </c>
      <c r="E61" s="2">
        <f t="shared" si="0"/>
        <v>1</v>
      </c>
      <c r="F61">
        <v>34</v>
      </c>
      <c r="G61" t="str">
        <f t="shared" si="1"/>
        <v>21-40</v>
      </c>
      <c r="H61" t="s">
        <v>35</v>
      </c>
      <c r="I61" t="s">
        <v>60</v>
      </c>
      <c r="J61" t="s">
        <v>59</v>
      </c>
      <c r="K61" t="s">
        <v>42</v>
      </c>
      <c r="L61">
        <v>2</v>
      </c>
      <c r="M61">
        <v>2</v>
      </c>
      <c r="N61">
        <v>1.2</v>
      </c>
      <c r="O61">
        <v>7.6</v>
      </c>
      <c r="P61">
        <v>5</v>
      </c>
      <c r="Q61">
        <v>7</v>
      </c>
      <c r="R61">
        <v>623222</v>
      </c>
      <c r="S61">
        <f>Table1[[#This Row],[Revenue]]-Table1[[#This Row],[Operating_Costs]]</f>
        <v>67174</v>
      </c>
      <c r="T61">
        <v>556048</v>
      </c>
      <c r="U61">
        <v>42</v>
      </c>
      <c r="V61">
        <v>54</v>
      </c>
      <c r="W61">
        <v>10</v>
      </c>
    </row>
    <row r="62" spans="1:23" x14ac:dyDescent="0.25">
      <c r="A62">
        <v>15</v>
      </c>
      <c r="B62" t="s">
        <v>45</v>
      </c>
      <c r="C62" s="1">
        <v>44403</v>
      </c>
      <c r="D62" s="1">
        <v>44405</v>
      </c>
      <c r="E62" s="2">
        <f t="shared" si="0"/>
        <v>1</v>
      </c>
      <c r="F62">
        <v>89</v>
      </c>
      <c r="G62" t="str">
        <f t="shared" si="1"/>
        <v>81+</v>
      </c>
      <c r="H62" t="s">
        <v>35</v>
      </c>
      <c r="I62" t="s">
        <v>46</v>
      </c>
      <c r="J62" t="s">
        <v>47</v>
      </c>
      <c r="K62" t="s">
        <v>29</v>
      </c>
      <c r="L62">
        <v>2</v>
      </c>
      <c r="M62">
        <v>2</v>
      </c>
      <c r="N62">
        <v>2.5</v>
      </c>
      <c r="O62">
        <v>9.1</v>
      </c>
      <c r="P62">
        <v>6</v>
      </c>
      <c r="Q62">
        <v>4</v>
      </c>
      <c r="R62">
        <v>768270</v>
      </c>
      <c r="S62">
        <f>Table1[[#This Row],[Revenue]]-Table1[[#This Row],[Operating_Costs]]</f>
        <v>209321</v>
      </c>
      <c r="T62">
        <v>558949</v>
      </c>
      <c r="U62">
        <v>41</v>
      </c>
      <c r="V62">
        <v>61</v>
      </c>
      <c r="W62">
        <v>10.7</v>
      </c>
    </row>
    <row r="63" spans="1:23" x14ac:dyDescent="0.25">
      <c r="A63">
        <v>13</v>
      </c>
      <c r="B63" t="s">
        <v>30</v>
      </c>
      <c r="C63" s="1">
        <v>44398</v>
      </c>
      <c r="D63" s="1">
        <v>44411</v>
      </c>
      <c r="E63" s="2">
        <f t="shared" si="0"/>
        <v>1</v>
      </c>
      <c r="F63">
        <v>85</v>
      </c>
      <c r="G63" t="str">
        <f t="shared" si="1"/>
        <v>81+</v>
      </c>
      <c r="H63" t="s">
        <v>35</v>
      </c>
      <c r="I63" t="s">
        <v>64</v>
      </c>
      <c r="J63" t="s">
        <v>65</v>
      </c>
      <c r="K63" t="s">
        <v>26</v>
      </c>
      <c r="L63">
        <v>2</v>
      </c>
      <c r="M63">
        <v>2</v>
      </c>
      <c r="N63">
        <v>6.1</v>
      </c>
      <c r="O63">
        <v>9</v>
      </c>
      <c r="P63">
        <v>6</v>
      </c>
      <c r="Q63">
        <v>3</v>
      </c>
      <c r="R63">
        <v>753251</v>
      </c>
      <c r="S63">
        <f>Table1[[#This Row],[Revenue]]-Table1[[#This Row],[Operating_Costs]]</f>
        <v>396633</v>
      </c>
      <c r="T63">
        <v>356618</v>
      </c>
      <c r="U63">
        <v>49</v>
      </c>
      <c r="V63">
        <v>65</v>
      </c>
      <c r="W63">
        <v>5.2</v>
      </c>
    </row>
    <row r="64" spans="1:23" x14ac:dyDescent="0.25">
      <c r="A64">
        <v>1</v>
      </c>
      <c r="B64" t="s">
        <v>32</v>
      </c>
      <c r="C64" s="1">
        <v>44399</v>
      </c>
      <c r="D64" s="1">
        <v>44412</v>
      </c>
      <c r="E64" s="2">
        <f t="shared" si="0"/>
        <v>1</v>
      </c>
      <c r="F64">
        <v>39</v>
      </c>
      <c r="G64" t="str">
        <f t="shared" si="1"/>
        <v>21-40</v>
      </c>
      <c r="H64" t="s">
        <v>35</v>
      </c>
      <c r="I64" t="s">
        <v>36</v>
      </c>
      <c r="J64" t="s">
        <v>37</v>
      </c>
      <c r="K64" t="s">
        <v>29</v>
      </c>
      <c r="L64">
        <v>2</v>
      </c>
      <c r="M64">
        <v>2</v>
      </c>
      <c r="N64">
        <v>3.8</v>
      </c>
      <c r="O64">
        <v>7.7</v>
      </c>
      <c r="P64">
        <v>7</v>
      </c>
      <c r="Q64">
        <v>5</v>
      </c>
      <c r="R64">
        <v>901562</v>
      </c>
      <c r="S64">
        <f>Table1[[#This Row],[Revenue]]-Table1[[#This Row],[Operating_Costs]]</f>
        <v>222427</v>
      </c>
      <c r="T64">
        <v>679135</v>
      </c>
      <c r="U64">
        <v>30</v>
      </c>
      <c r="V64">
        <v>66</v>
      </c>
      <c r="W64">
        <v>14.3</v>
      </c>
    </row>
    <row r="65" spans="1:23" x14ac:dyDescent="0.25">
      <c r="A65">
        <v>9</v>
      </c>
      <c r="B65" t="s">
        <v>44</v>
      </c>
      <c r="C65" s="1">
        <v>44395</v>
      </c>
      <c r="D65" s="1">
        <v>44412</v>
      </c>
      <c r="E65" s="2">
        <f t="shared" si="0"/>
        <v>1</v>
      </c>
      <c r="F65">
        <v>65</v>
      </c>
      <c r="G65" t="str">
        <f t="shared" si="1"/>
        <v>61-80</v>
      </c>
      <c r="H65" t="s">
        <v>23</v>
      </c>
      <c r="I65" t="s">
        <v>43</v>
      </c>
      <c r="J65" t="s">
        <v>25</v>
      </c>
      <c r="K65" t="s">
        <v>26</v>
      </c>
      <c r="L65">
        <v>2</v>
      </c>
      <c r="M65">
        <v>2</v>
      </c>
      <c r="N65">
        <v>2.8</v>
      </c>
      <c r="O65">
        <v>9.4</v>
      </c>
      <c r="P65">
        <v>5</v>
      </c>
      <c r="Q65">
        <v>6</v>
      </c>
      <c r="R65">
        <v>536909</v>
      </c>
      <c r="S65">
        <f>Table1[[#This Row],[Revenue]]-Table1[[#This Row],[Operating_Costs]]</f>
        <v>100941</v>
      </c>
      <c r="T65">
        <v>435968</v>
      </c>
      <c r="U65">
        <v>38</v>
      </c>
      <c r="V65">
        <v>64</v>
      </c>
      <c r="W65">
        <v>36.1</v>
      </c>
    </row>
    <row r="66" spans="1:23" x14ac:dyDescent="0.25">
      <c r="A66">
        <v>15</v>
      </c>
      <c r="B66" t="s">
        <v>45</v>
      </c>
      <c r="C66" s="1">
        <v>44399</v>
      </c>
      <c r="D66" s="1">
        <v>44416</v>
      </c>
      <c r="E66" s="2">
        <f t="shared" si="0"/>
        <v>1</v>
      </c>
      <c r="F66">
        <v>57</v>
      </c>
      <c r="G66" t="str">
        <f t="shared" si="1"/>
        <v>41-60</v>
      </c>
      <c r="H66" t="s">
        <v>35</v>
      </c>
      <c r="I66" t="s">
        <v>64</v>
      </c>
      <c r="J66" t="s">
        <v>65</v>
      </c>
      <c r="K66" t="s">
        <v>33</v>
      </c>
      <c r="L66">
        <v>2</v>
      </c>
      <c r="M66">
        <v>2</v>
      </c>
      <c r="N66">
        <v>6.4</v>
      </c>
      <c r="O66">
        <v>9.3000000000000007</v>
      </c>
      <c r="P66">
        <v>7</v>
      </c>
      <c r="Q66">
        <v>7</v>
      </c>
      <c r="R66">
        <v>768454</v>
      </c>
      <c r="S66">
        <f>Table1[[#This Row],[Revenue]]-Table1[[#This Row],[Operating_Costs]]</f>
        <v>245033</v>
      </c>
      <c r="T66">
        <v>523421</v>
      </c>
      <c r="U66">
        <v>36</v>
      </c>
      <c r="V66">
        <v>54</v>
      </c>
      <c r="W66">
        <v>6.1</v>
      </c>
    </row>
    <row r="67" spans="1:23" x14ac:dyDescent="0.25">
      <c r="A67">
        <v>3</v>
      </c>
      <c r="B67" t="s">
        <v>57</v>
      </c>
      <c r="C67" s="1">
        <v>44421</v>
      </c>
      <c r="D67" s="1">
        <v>44424</v>
      </c>
      <c r="E67" s="2">
        <f t="shared" ref="E67:E130" si="2">IF(D67-C67&lt;=30,1,0)</f>
        <v>1</v>
      </c>
      <c r="F67">
        <v>68</v>
      </c>
      <c r="G67" t="str">
        <f t="shared" ref="G67:G130" si="3">IF(F67&lt;=20,"0-20",IF(F67&lt;=40,"21-40",IF(F67&lt;=60,"41-60",IF(F67&lt;=80,"61-80","81+"))))</f>
        <v>61-80</v>
      </c>
      <c r="H67" t="s">
        <v>23</v>
      </c>
      <c r="I67" t="s">
        <v>24</v>
      </c>
      <c r="J67" t="s">
        <v>25</v>
      </c>
      <c r="K67" t="s">
        <v>33</v>
      </c>
      <c r="L67">
        <v>2</v>
      </c>
      <c r="M67">
        <v>2</v>
      </c>
      <c r="N67">
        <v>4.5</v>
      </c>
      <c r="O67">
        <v>9.9</v>
      </c>
      <c r="P67">
        <v>5</v>
      </c>
      <c r="Q67">
        <v>7</v>
      </c>
      <c r="R67">
        <v>555454</v>
      </c>
      <c r="S67">
        <f>Table1[[#This Row],[Revenue]]-Table1[[#This Row],[Operating_Costs]]</f>
        <v>227268</v>
      </c>
      <c r="T67">
        <v>328186</v>
      </c>
      <c r="U67">
        <v>21</v>
      </c>
      <c r="V67">
        <v>64</v>
      </c>
      <c r="W67">
        <v>10.7</v>
      </c>
    </row>
    <row r="68" spans="1:23" x14ac:dyDescent="0.25">
      <c r="A68">
        <v>12</v>
      </c>
      <c r="B68" t="s">
        <v>66</v>
      </c>
      <c r="C68" s="1">
        <v>44413</v>
      </c>
      <c r="D68" s="1">
        <v>44425</v>
      </c>
      <c r="E68" s="2">
        <f t="shared" si="2"/>
        <v>1</v>
      </c>
      <c r="F68">
        <v>65</v>
      </c>
      <c r="G68" t="str">
        <f t="shared" si="3"/>
        <v>61-80</v>
      </c>
      <c r="H68" t="s">
        <v>35</v>
      </c>
      <c r="I68" t="s">
        <v>36</v>
      </c>
      <c r="J68" t="s">
        <v>37</v>
      </c>
      <c r="K68" t="s">
        <v>42</v>
      </c>
      <c r="L68">
        <v>2</v>
      </c>
      <c r="M68">
        <v>2</v>
      </c>
      <c r="N68">
        <v>5</v>
      </c>
      <c r="O68">
        <v>7.3</v>
      </c>
      <c r="P68">
        <v>6</v>
      </c>
      <c r="Q68">
        <v>7</v>
      </c>
      <c r="R68">
        <v>987890</v>
      </c>
      <c r="S68">
        <f>Table1[[#This Row],[Revenue]]-Table1[[#This Row],[Operating_Costs]]</f>
        <v>481322</v>
      </c>
      <c r="T68">
        <v>506568</v>
      </c>
      <c r="U68">
        <v>59</v>
      </c>
      <c r="V68">
        <v>60</v>
      </c>
      <c r="W68">
        <v>14.1</v>
      </c>
    </row>
    <row r="69" spans="1:23" x14ac:dyDescent="0.25">
      <c r="A69">
        <v>11</v>
      </c>
      <c r="B69" t="s">
        <v>63</v>
      </c>
      <c r="C69" s="1">
        <v>44427</v>
      </c>
      <c r="D69" s="1">
        <v>44433</v>
      </c>
      <c r="E69" s="2">
        <f t="shared" si="2"/>
        <v>1</v>
      </c>
      <c r="F69">
        <v>37</v>
      </c>
      <c r="G69" t="str">
        <f t="shared" si="3"/>
        <v>21-40</v>
      </c>
      <c r="H69" t="s">
        <v>35</v>
      </c>
      <c r="I69" t="s">
        <v>36</v>
      </c>
      <c r="J69" t="s">
        <v>37</v>
      </c>
      <c r="K69" t="s">
        <v>33</v>
      </c>
      <c r="L69">
        <v>2</v>
      </c>
      <c r="M69">
        <v>2</v>
      </c>
      <c r="N69">
        <v>1.4</v>
      </c>
      <c r="O69">
        <v>8.8000000000000007</v>
      </c>
      <c r="P69">
        <v>6</v>
      </c>
      <c r="Q69">
        <v>3</v>
      </c>
      <c r="R69">
        <v>738792</v>
      </c>
      <c r="S69">
        <f>Table1[[#This Row],[Revenue]]-Table1[[#This Row],[Operating_Costs]]</f>
        <v>255689</v>
      </c>
      <c r="T69">
        <v>483103</v>
      </c>
      <c r="U69">
        <v>30</v>
      </c>
      <c r="V69">
        <v>57</v>
      </c>
      <c r="W69">
        <v>8.5</v>
      </c>
    </row>
    <row r="70" spans="1:23" x14ac:dyDescent="0.25">
      <c r="A70">
        <v>2</v>
      </c>
      <c r="B70" t="s">
        <v>39</v>
      </c>
      <c r="C70" s="1">
        <v>44414</v>
      </c>
      <c r="D70" s="1">
        <v>44434</v>
      </c>
      <c r="E70" s="2">
        <f t="shared" si="2"/>
        <v>1</v>
      </c>
      <c r="F70">
        <v>74</v>
      </c>
      <c r="G70" t="str">
        <f t="shared" si="3"/>
        <v>61-80</v>
      </c>
      <c r="H70" t="s">
        <v>35</v>
      </c>
      <c r="I70" t="s">
        <v>40</v>
      </c>
      <c r="J70" t="s">
        <v>41</v>
      </c>
      <c r="K70" t="s">
        <v>33</v>
      </c>
      <c r="L70">
        <v>2</v>
      </c>
      <c r="M70">
        <v>2</v>
      </c>
      <c r="N70">
        <v>6.5</v>
      </c>
      <c r="O70">
        <v>7.3</v>
      </c>
      <c r="P70">
        <v>5</v>
      </c>
      <c r="Q70">
        <v>5</v>
      </c>
      <c r="R70">
        <v>817941</v>
      </c>
      <c r="S70">
        <f>Table1[[#This Row],[Revenue]]-Table1[[#This Row],[Operating_Costs]]</f>
        <v>262367</v>
      </c>
      <c r="T70">
        <v>555574</v>
      </c>
      <c r="U70">
        <v>37</v>
      </c>
      <c r="V70">
        <v>65</v>
      </c>
      <c r="W70">
        <v>6.4</v>
      </c>
    </row>
    <row r="71" spans="1:23" x14ac:dyDescent="0.25">
      <c r="A71">
        <v>7</v>
      </c>
      <c r="B71" t="s">
        <v>49</v>
      </c>
      <c r="C71" s="1">
        <v>44422</v>
      </c>
      <c r="D71" s="1">
        <v>44436</v>
      </c>
      <c r="E71" s="2">
        <f t="shared" si="2"/>
        <v>1</v>
      </c>
      <c r="F71">
        <v>80</v>
      </c>
      <c r="G71" t="str">
        <f t="shared" si="3"/>
        <v>61-80</v>
      </c>
      <c r="H71" t="s">
        <v>35</v>
      </c>
      <c r="I71" t="s">
        <v>64</v>
      </c>
      <c r="J71" t="s">
        <v>65</v>
      </c>
      <c r="K71" t="s">
        <v>26</v>
      </c>
      <c r="L71">
        <v>2</v>
      </c>
      <c r="M71">
        <v>2</v>
      </c>
      <c r="N71">
        <v>2</v>
      </c>
      <c r="O71">
        <v>9.1999999999999993</v>
      </c>
      <c r="P71">
        <v>6</v>
      </c>
      <c r="Q71">
        <v>5</v>
      </c>
      <c r="R71">
        <v>739404</v>
      </c>
      <c r="S71">
        <f>Table1[[#This Row],[Revenue]]-Table1[[#This Row],[Operating_Costs]]</f>
        <v>186121</v>
      </c>
      <c r="T71">
        <v>553283</v>
      </c>
      <c r="U71">
        <v>59</v>
      </c>
      <c r="V71">
        <v>57</v>
      </c>
      <c r="W71">
        <v>5.7</v>
      </c>
    </row>
    <row r="72" spans="1:23" x14ac:dyDescent="0.25">
      <c r="A72">
        <v>12</v>
      </c>
      <c r="B72" t="s">
        <v>66</v>
      </c>
      <c r="C72" s="1">
        <v>44429</v>
      </c>
      <c r="D72" s="1">
        <v>44436</v>
      </c>
      <c r="E72" s="2">
        <f t="shared" si="2"/>
        <v>1</v>
      </c>
      <c r="F72">
        <v>52</v>
      </c>
      <c r="G72" t="str">
        <f t="shared" si="3"/>
        <v>41-60</v>
      </c>
      <c r="H72" t="s">
        <v>35</v>
      </c>
      <c r="I72" t="s">
        <v>58</v>
      </c>
      <c r="J72" t="s">
        <v>59</v>
      </c>
      <c r="K72" t="s">
        <v>42</v>
      </c>
      <c r="L72">
        <v>2</v>
      </c>
      <c r="M72">
        <v>2</v>
      </c>
      <c r="N72">
        <v>3.7</v>
      </c>
      <c r="O72">
        <v>8.9</v>
      </c>
      <c r="P72">
        <v>3</v>
      </c>
      <c r="Q72">
        <v>3</v>
      </c>
      <c r="R72">
        <v>826092</v>
      </c>
      <c r="S72">
        <f>Table1[[#This Row],[Revenue]]-Table1[[#This Row],[Operating_Costs]]</f>
        <v>128353</v>
      </c>
      <c r="T72">
        <v>697739</v>
      </c>
      <c r="U72">
        <v>63</v>
      </c>
      <c r="V72">
        <v>63</v>
      </c>
      <c r="W72">
        <v>12.1</v>
      </c>
    </row>
    <row r="73" spans="1:23" x14ac:dyDescent="0.25">
      <c r="A73">
        <v>14</v>
      </c>
      <c r="B73" t="s">
        <v>48</v>
      </c>
      <c r="C73" s="1">
        <v>44411</v>
      </c>
      <c r="D73" s="1">
        <v>44440</v>
      </c>
      <c r="E73" s="2">
        <f t="shared" si="2"/>
        <v>1</v>
      </c>
      <c r="F73">
        <v>78</v>
      </c>
      <c r="G73" t="str">
        <f t="shared" si="3"/>
        <v>61-80</v>
      </c>
      <c r="H73" t="s">
        <v>23</v>
      </c>
      <c r="I73" t="s">
        <v>43</v>
      </c>
      <c r="J73" t="s">
        <v>25</v>
      </c>
      <c r="K73" t="s">
        <v>29</v>
      </c>
      <c r="L73">
        <v>2</v>
      </c>
      <c r="M73">
        <v>2</v>
      </c>
      <c r="N73">
        <v>2.9</v>
      </c>
      <c r="O73">
        <v>8.5</v>
      </c>
      <c r="P73">
        <v>3</v>
      </c>
      <c r="Q73">
        <v>3</v>
      </c>
      <c r="R73">
        <v>870720</v>
      </c>
      <c r="S73">
        <f>Table1[[#This Row],[Revenue]]-Table1[[#This Row],[Operating_Costs]]</f>
        <v>249841</v>
      </c>
      <c r="T73">
        <v>620879</v>
      </c>
      <c r="U73">
        <v>40</v>
      </c>
      <c r="V73">
        <v>63</v>
      </c>
      <c r="W73">
        <v>6</v>
      </c>
    </row>
    <row r="74" spans="1:23" x14ac:dyDescent="0.25">
      <c r="A74">
        <v>6</v>
      </c>
      <c r="B74" t="s">
        <v>70</v>
      </c>
      <c r="C74" s="1">
        <v>44424</v>
      </c>
      <c r="D74" s="1">
        <v>44447</v>
      </c>
      <c r="E74" s="2">
        <f t="shared" si="2"/>
        <v>1</v>
      </c>
      <c r="F74">
        <v>40</v>
      </c>
      <c r="G74" t="str">
        <f t="shared" si="3"/>
        <v>21-40</v>
      </c>
      <c r="H74" t="s">
        <v>23</v>
      </c>
      <c r="I74" t="s">
        <v>24</v>
      </c>
      <c r="J74" t="s">
        <v>25</v>
      </c>
      <c r="K74" t="s">
        <v>38</v>
      </c>
      <c r="L74">
        <v>2</v>
      </c>
      <c r="M74">
        <v>2</v>
      </c>
      <c r="N74">
        <v>5.7</v>
      </c>
      <c r="O74">
        <v>9.9</v>
      </c>
      <c r="P74">
        <v>7</v>
      </c>
      <c r="Q74">
        <v>3</v>
      </c>
      <c r="R74">
        <v>641679</v>
      </c>
      <c r="S74">
        <f>Table1[[#This Row],[Revenue]]-Table1[[#This Row],[Operating_Costs]]</f>
        <v>53013</v>
      </c>
      <c r="T74">
        <v>588666</v>
      </c>
      <c r="U74">
        <v>20</v>
      </c>
      <c r="V74">
        <v>66</v>
      </c>
      <c r="W74">
        <v>10.7</v>
      </c>
    </row>
    <row r="75" spans="1:23" x14ac:dyDescent="0.25">
      <c r="A75">
        <v>11</v>
      </c>
      <c r="B75" t="s">
        <v>63</v>
      </c>
      <c r="C75" s="1">
        <v>44422</v>
      </c>
      <c r="D75" s="1">
        <v>44452</v>
      </c>
      <c r="E75" s="2">
        <f t="shared" si="2"/>
        <v>1</v>
      </c>
      <c r="F75">
        <v>37</v>
      </c>
      <c r="G75" t="str">
        <f t="shared" si="3"/>
        <v>21-40</v>
      </c>
      <c r="H75" t="s">
        <v>35</v>
      </c>
      <c r="I75" t="s">
        <v>36</v>
      </c>
      <c r="J75" t="s">
        <v>37</v>
      </c>
      <c r="K75" t="s">
        <v>26</v>
      </c>
      <c r="L75">
        <v>2</v>
      </c>
      <c r="M75">
        <v>2</v>
      </c>
      <c r="N75">
        <v>5.4</v>
      </c>
      <c r="O75">
        <v>7.4</v>
      </c>
      <c r="P75">
        <v>3</v>
      </c>
      <c r="Q75">
        <v>3</v>
      </c>
      <c r="R75">
        <v>776823</v>
      </c>
      <c r="S75">
        <f>Table1[[#This Row],[Revenue]]-Table1[[#This Row],[Operating_Costs]]</f>
        <v>375401</v>
      </c>
      <c r="T75">
        <v>401422</v>
      </c>
      <c r="U75">
        <v>34</v>
      </c>
      <c r="V75">
        <v>55</v>
      </c>
      <c r="W75">
        <v>10</v>
      </c>
    </row>
    <row r="76" spans="1:23" x14ac:dyDescent="0.25">
      <c r="A76">
        <v>2</v>
      </c>
      <c r="B76" t="s">
        <v>39</v>
      </c>
      <c r="C76" s="1">
        <v>44443</v>
      </c>
      <c r="D76" s="1">
        <v>44458</v>
      </c>
      <c r="E76" s="2">
        <f t="shared" si="2"/>
        <v>1</v>
      </c>
      <c r="F76">
        <v>25</v>
      </c>
      <c r="G76" t="str">
        <f t="shared" si="3"/>
        <v>21-40</v>
      </c>
      <c r="H76" t="s">
        <v>23</v>
      </c>
      <c r="I76" t="s">
        <v>31</v>
      </c>
      <c r="J76" t="s">
        <v>28</v>
      </c>
      <c r="K76" t="s">
        <v>33</v>
      </c>
      <c r="L76">
        <v>2</v>
      </c>
      <c r="M76">
        <v>2</v>
      </c>
      <c r="N76">
        <v>5.9</v>
      </c>
      <c r="O76">
        <v>8.1</v>
      </c>
      <c r="P76">
        <v>7</v>
      </c>
      <c r="Q76">
        <v>4</v>
      </c>
      <c r="R76">
        <v>688141</v>
      </c>
      <c r="S76">
        <f>Table1[[#This Row],[Revenue]]-Table1[[#This Row],[Operating_Costs]]</f>
        <v>137648</v>
      </c>
      <c r="T76">
        <v>550493</v>
      </c>
      <c r="U76">
        <v>33</v>
      </c>
      <c r="V76">
        <v>54</v>
      </c>
      <c r="W76">
        <v>10.4</v>
      </c>
    </row>
    <row r="77" spans="1:23" x14ac:dyDescent="0.25">
      <c r="A77">
        <v>14</v>
      </c>
      <c r="B77" t="s">
        <v>48</v>
      </c>
      <c r="C77" s="1">
        <v>44444</v>
      </c>
      <c r="D77" s="1">
        <v>44459</v>
      </c>
      <c r="E77" s="2">
        <f t="shared" si="2"/>
        <v>1</v>
      </c>
      <c r="F77">
        <v>40</v>
      </c>
      <c r="G77" t="str">
        <f t="shared" si="3"/>
        <v>21-40</v>
      </c>
      <c r="H77" t="s">
        <v>35</v>
      </c>
      <c r="I77" t="s">
        <v>36</v>
      </c>
      <c r="J77" t="s">
        <v>37</v>
      </c>
      <c r="K77" t="s">
        <v>38</v>
      </c>
      <c r="L77">
        <v>2</v>
      </c>
      <c r="M77">
        <v>2</v>
      </c>
      <c r="N77">
        <v>4.0999999999999996</v>
      </c>
      <c r="O77">
        <v>9.4</v>
      </c>
      <c r="P77">
        <v>5</v>
      </c>
      <c r="Q77">
        <v>5</v>
      </c>
      <c r="R77">
        <v>832017</v>
      </c>
      <c r="S77">
        <f>Table1[[#This Row],[Revenue]]-Table1[[#This Row],[Operating_Costs]]</f>
        <v>290001</v>
      </c>
      <c r="T77">
        <v>542016</v>
      </c>
      <c r="U77">
        <v>37</v>
      </c>
      <c r="V77">
        <v>64</v>
      </c>
      <c r="W77">
        <v>12.1</v>
      </c>
    </row>
    <row r="78" spans="1:23" x14ac:dyDescent="0.25">
      <c r="A78">
        <v>2</v>
      </c>
      <c r="B78" t="s">
        <v>39</v>
      </c>
      <c r="C78" s="1">
        <v>44440</v>
      </c>
      <c r="D78" s="1">
        <v>44463</v>
      </c>
      <c r="E78" s="2">
        <f t="shared" si="2"/>
        <v>1</v>
      </c>
      <c r="F78">
        <v>87</v>
      </c>
      <c r="G78" t="str">
        <f t="shared" si="3"/>
        <v>81+</v>
      </c>
      <c r="H78" t="s">
        <v>23</v>
      </c>
      <c r="I78" t="s">
        <v>27</v>
      </c>
      <c r="J78" t="s">
        <v>28</v>
      </c>
      <c r="K78" t="s">
        <v>26</v>
      </c>
      <c r="L78">
        <v>2</v>
      </c>
      <c r="M78">
        <v>2</v>
      </c>
      <c r="N78">
        <v>2.4</v>
      </c>
      <c r="O78">
        <v>9.1</v>
      </c>
      <c r="P78">
        <v>6</v>
      </c>
      <c r="Q78">
        <v>7</v>
      </c>
      <c r="R78">
        <v>831323</v>
      </c>
      <c r="S78">
        <f>Table1[[#This Row],[Revenue]]-Table1[[#This Row],[Operating_Costs]]</f>
        <v>194588</v>
      </c>
      <c r="T78">
        <v>636735</v>
      </c>
      <c r="U78">
        <v>33</v>
      </c>
      <c r="V78">
        <v>61</v>
      </c>
      <c r="W78">
        <v>10.4</v>
      </c>
    </row>
    <row r="79" spans="1:23" x14ac:dyDescent="0.25">
      <c r="A79">
        <v>8</v>
      </c>
      <c r="B79" t="s">
        <v>52</v>
      </c>
      <c r="C79" s="1">
        <v>44441</v>
      </c>
      <c r="D79" s="1">
        <v>44468</v>
      </c>
      <c r="E79" s="2">
        <f t="shared" si="2"/>
        <v>1</v>
      </c>
      <c r="F79">
        <v>29</v>
      </c>
      <c r="G79" t="str">
        <f t="shared" si="3"/>
        <v>21-40</v>
      </c>
      <c r="H79" t="s">
        <v>23</v>
      </c>
      <c r="I79" t="s">
        <v>58</v>
      </c>
      <c r="J79" t="s">
        <v>59</v>
      </c>
      <c r="K79" t="s">
        <v>29</v>
      </c>
      <c r="L79">
        <v>2</v>
      </c>
      <c r="M79">
        <v>2</v>
      </c>
      <c r="N79">
        <v>3.3</v>
      </c>
      <c r="O79">
        <v>9.1</v>
      </c>
      <c r="P79">
        <v>5</v>
      </c>
      <c r="Q79">
        <v>4</v>
      </c>
      <c r="R79">
        <v>998103</v>
      </c>
      <c r="S79">
        <f>Table1[[#This Row],[Revenue]]-Table1[[#This Row],[Operating_Costs]]</f>
        <v>137398</v>
      </c>
      <c r="T79">
        <v>860705</v>
      </c>
      <c r="U79">
        <v>30</v>
      </c>
      <c r="V79">
        <v>56</v>
      </c>
      <c r="W79">
        <v>14.5</v>
      </c>
    </row>
    <row r="80" spans="1:23" x14ac:dyDescent="0.25">
      <c r="A80">
        <v>11</v>
      </c>
      <c r="B80" t="s">
        <v>63</v>
      </c>
      <c r="C80" s="1">
        <v>44463</v>
      </c>
      <c r="D80" s="1">
        <v>44470</v>
      </c>
      <c r="E80" s="2">
        <f t="shared" si="2"/>
        <v>1</v>
      </c>
      <c r="F80">
        <v>39</v>
      </c>
      <c r="G80" t="str">
        <f t="shared" si="3"/>
        <v>21-40</v>
      </c>
      <c r="H80" t="s">
        <v>23</v>
      </c>
      <c r="I80" t="s">
        <v>67</v>
      </c>
      <c r="J80" t="s">
        <v>68</v>
      </c>
      <c r="K80" t="s">
        <v>29</v>
      </c>
      <c r="L80">
        <v>2</v>
      </c>
      <c r="M80">
        <v>2</v>
      </c>
      <c r="N80">
        <v>6</v>
      </c>
      <c r="O80">
        <v>7.8</v>
      </c>
      <c r="P80">
        <v>7</v>
      </c>
      <c r="Q80">
        <v>3</v>
      </c>
      <c r="R80">
        <v>626418</v>
      </c>
      <c r="S80">
        <f>Table1[[#This Row],[Revenue]]-Table1[[#This Row],[Operating_Costs]]</f>
        <v>224045</v>
      </c>
      <c r="T80">
        <v>402373</v>
      </c>
      <c r="U80">
        <v>35</v>
      </c>
      <c r="V80">
        <v>56</v>
      </c>
      <c r="W80">
        <v>9.1</v>
      </c>
    </row>
    <row r="81" spans="1:23" x14ac:dyDescent="0.25">
      <c r="A81">
        <v>10</v>
      </c>
      <c r="B81" t="s">
        <v>34</v>
      </c>
      <c r="C81" s="1">
        <v>44467</v>
      </c>
      <c r="D81" s="1">
        <v>44472</v>
      </c>
      <c r="E81" s="2">
        <f t="shared" si="2"/>
        <v>1</v>
      </c>
      <c r="F81">
        <v>34</v>
      </c>
      <c r="G81" t="str">
        <f t="shared" si="3"/>
        <v>21-40</v>
      </c>
      <c r="H81" t="s">
        <v>23</v>
      </c>
      <c r="I81" t="s">
        <v>24</v>
      </c>
      <c r="J81" t="s">
        <v>25</v>
      </c>
      <c r="K81" t="s">
        <v>42</v>
      </c>
      <c r="L81">
        <v>2</v>
      </c>
      <c r="M81">
        <v>2</v>
      </c>
      <c r="N81">
        <v>2.5</v>
      </c>
      <c r="O81">
        <v>7.6</v>
      </c>
      <c r="P81">
        <v>3</v>
      </c>
      <c r="Q81">
        <v>6</v>
      </c>
      <c r="R81">
        <v>840986</v>
      </c>
      <c r="S81">
        <f>Table1[[#This Row],[Revenue]]-Table1[[#This Row],[Operating_Costs]]</f>
        <v>236617</v>
      </c>
      <c r="T81">
        <v>604369</v>
      </c>
      <c r="U81">
        <v>56</v>
      </c>
      <c r="V81">
        <v>60</v>
      </c>
      <c r="W81">
        <v>7</v>
      </c>
    </row>
    <row r="82" spans="1:23" x14ac:dyDescent="0.25">
      <c r="A82">
        <v>12</v>
      </c>
      <c r="B82" t="s">
        <v>66</v>
      </c>
      <c r="C82" s="1">
        <v>44468</v>
      </c>
      <c r="D82" s="1">
        <v>44475</v>
      </c>
      <c r="E82" s="2">
        <f t="shared" si="2"/>
        <v>1</v>
      </c>
      <c r="F82">
        <v>32</v>
      </c>
      <c r="G82" t="str">
        <f t="shared" si="3"/>
        <v>21-40</v>
      </c>
      <c r="H82" t="s">
        <v>35</v>
      </c>
      <c r="I82" t="s">
        <v>61</v>
      </c>
      <c r="J82" t="s">
        <v>62</v>
      </c>
      <c r="K82" t="s">
        <v>38</v>
      </c>
      <c r="L82">
        <v>2</v>
      </c>
      <c r="M82">
        <v>2</v>
      </c>
      <c r="N82">
        <v>1.2</v>
      </c>
      <c r="O82">
        <v>8.1</v>
      </c>
      <c r="P82">
        <v>6</v>
      </c>
      <c r="Q82">
        <v>5</v>
      </c>
      <c r="R82">
        <v>863583</v>
      </c>
      <c r="S82">
        <f>Table1[[#This Row],[Revenue]]-Table1[[#This Row],[Operating_Costs]]</f>
        <v>265449</v>
      </c>
      <c r="T82">
        <v>598134</v>
      </c>
      <c r="U82">
        <v>66</v>
      </c>
      <c r="V82">
        <v>61</v>
      </c>
      <c r="W82">
        <v>14.4</v>
      </c>
    </row>
    <row r="83" spans="1:23" x14ac:dyDescent="0.25">
      <c r="A83">
        <v>12</v>
      </c>
      <c r="B83" t="s">
        <v>66</v>
      </c>
      <c r="C83" s="1">
        <v>44461</v>
      </c>
      <c r="D83" s="1">
        <v>44477</v>
      </c>
      <c r="E83" s="2">
        <f t="shared" si="2"/>
        <v>1</v>
      </c>
      <c r="F83">
        <v>34</v>
      </c>
      <c r="G83" t="str">
        <f t="shared" si="3"/>
        <v>21-40</v>
      </c>
      <c r="H83" t="s">
        <v>35</v>
      </c>
      <c r="I83" t="s">
        <v>40</v>
      </c>
      <c r="J83" t="s">
        <v>41</v>
      </c>
      <c r="K83" t="s">
        <v>42</v>
      </c>
      <c r="L83">
        <v>2</v>
      </c>
      <c r="M83">
        <v>2</v>
      </c>
      <c r="N83">
        <v>5.8</v>
      </c>
      <c r="O83">
        <v>8.9</v>
      </c>
      <c r="P83">
        <v>7</v>
      </c>
      <c r="Q83">
        <v>5</v>
      </c>
      <c r="R83">
        <v>822170</v>
      </c>
      <c r="S83">
        <f>Table1[[#This Row],[Revenue]]-Table1[[#This Row],[Operating_Costs]]</f>
        <v>185893</v>
      </c>
      <c r="T83">
        <v>636277</v>
      </c>
      <c r="U83">
        <v>80</v>
      </c>
      <c r="V83">
        <v>65</v>
      </c>
      <c r="W83">
        <v>8.8000000000000007</v>
      </c>
    </row>
    <row r="84" spans="1:23" x14ac:dyDescent="0.25">
      <c r="A84">
        <v>2</v>
      </c>
      <c r="B84" t="s">
        <v>39</v>
      </c>
      <c r="C84" s="1">
        <v>44460</v>
      </c>
      <c r="D84" s="1">
        <v>44487</v>
      </c>
      <c r="E84" s="2">
        <f t="shared" si="2"/>
        <v>1</v>
      </c>
      <c r="F84">
        <v>49</v>
      </c>
      <c r="G84" t="str">
        <f t="shared" si="3"/>
        <v>41-60</v>
      </c>
      <c r="H84" t="s">
        <v>35</v>
      </c>
      <c r="I84" t="s">
        <v>31</v>
      </c>
      <c r="J84" t="s">
        <v>28</v>
      </c>
      <c r="K84" t="s">
        <v>29</v>
      </c>
      <c r="L84">
        <v>2</v>
      </c>
      <c r="M84">
        <v>2</v>
      </c>
      <c r="N84">
        <v>1.6</v>
      </c>
      <c r="O84">
        <v>8.4</v>
      </c>
      <c r="P84">
        <v>3</v>
      </c>
      <c r="Q84">
        <v>5</v>
      </c>
      <c r="R84">
        <v>756716</v>
      </c>
      <c r="S84">
        <f>Table1[[#This Row],[Revenue]]-Table1[[#This Row],[Operating_Costs]]</f>
        <v>228677</v>
      </c>
      <c r="T84">
        <v>528039</v>
      </c>
      <c r="U84">
        <v>31</v>
      </c>
      <c r="V84">
        <v>62</v>
      </c>
      <c r="W84">
        <v>8.6999999999999993</v>
      </c>
    </row>
    <row r="85" spans="1:23" x14ac:dyDescent="0.25">
      <c r="A85">
        <v>1</v>
      </c>
      <c r="B85" t="s">
        <v>32</v>
      </c>
      <c r="C85" s="1">
        <v>44475</v>
      </c>
      <c r="D85" s="1">
        <v>44491</v>
      </c>
      <c r="E85" s="2">
        <f t="shared" si="2"/>
        <v>1</v>
      </c>
      <c r="F85">
        <v>39</v>
      </c>
      <c r="G85" t="str">
        <f t="shared" si="3"/>
        <v>21-40</v>
      </c>
      <c r="H85" t="s">
        <v>23</v>
      </c>
      <c r="I85" t="s">
        <v>43</v>
      </c>
      <c r="J85" t="s">
        <v>25</v>
      </c>
      <c r="K85" t="s">
        <v>42</v>
      </c>
      <c r="L85">
        <v>2</v>
      </c>
      <c r="M85">
        <v>2</v>
      </c>
      <c r="N85">
        <v>5.9</v>
      </c>
      <c r="O85">
        <v>8.5</v>
      </c>
      <c r="P85">
        <v>7</v>
      </c>
      <c r="Q85">
        <v>3</v>
      </c>
      <c r="R85">
        <v>959350</v>
      </c>
      <c r="S85">
        <f>Table1[[#This Row],[Revenue]]-Table1[[#This Row],[Operating_Costs]]</f>
        <v>64393</v>
      </c>
      <c r="T85">
        <v>894957</v>
      </c>
      <c r="U85">
        <v>40</v>
      </c>
      <c r="V85">
        <v>64</v>
      </c>
      <c r="W85">
        <v>12.1</v>
      </c>
    </row>
    <row r="86" spans="1:23" x14ac:dyDescent="0.25">
      <c r="A86">
        <v>7</v>
      </c>
      <c r="B86" t="s">
        <v>49</v>
      </c>
      <c r="C86" s="1">
        <v>44485</v>
      </c>
      <c r="D86" s="1">
        <v>44492</v>
      </c>
      <c r="E86" s="2">
        <f t="shared" si="2"/>
        <v>1</v>
      </c>
      <c r="F86">
        <v>37</v>
      </c>
      <c r="G86" t="str">
        <f t="shared" si="3"/>
        <v>21-40</v>
      </c>
      <c r="H86" t="s">
        <v>35</v>
      </c>
      <c r="I86" t="s">
        <v>46</v>
      </c>
      <c r="J86" t="s">
        <v>47</v>
      </c>
      <c r="K86" t="s">
        <v>33</v>
      </c>
      <c r="L86">
        <v>2</v>
      </c>
      <c r="M86">
        <v>2</v>
      </c>
      <c r="N86">
        <v>6.1</v>
      </c>
      <c r="O86">
        <v>9</v>
      </c>
      <c r="P86">
        <v>5</v>
      </c>
      <c r="Q86">
        <v>6</v>
      </c>
      <c r="R86">
        <v>824680</v>
      </c>
      <c r="S86">
        <f>Table1[[#This Row],[Revenue]]-Table1[[#This Row],[Operating_Costs]]</f>
        <v>260023</v>
      </c>
      <c r="T86">
        <v>564657</v>
      </c>
      <c r="U86">
        <v>50</v>
      </c>
      <c r="V86">
        <v>65</v>
      </c>
      <c r="W86">
        <v>13.7</v>
      </c>
    </row>
    <row r="87" spans="1:23" x14ac:dyDescent="0.25">
      <c r="A87">
        <v>5</v>
      </c>
      <c r="B87" t="s">
        <v>22</v>
      </c>
      <c r="C87" s="1">
        <v>44468</v>
      </c>
      <c r="D87" s="1">
        <v>44493</v>
      </c>
      <c r="E87" s="2">
        <f t="shared" si="2"/>
        <v>1</v>
      </c>
      <c r="F87">
        <v>61</v>
      </c>
      <c r="G87" t="str">
        <f t="shared" si="3"/>
        <v>61-80</v>
      </c>
      <c r="H87" t="s">
        <v>23</v>
      </c>
      <c r="I87" t="s">
        <v>43</v>
      </c>
      <c r="J87" t="s">
        <v>25</v>
      </c>
      <c r="K87" t="s">
        <v>26</v>
      </c>
      <c r="L87">
        <v>2</v>
      </c>
      <c r="M87">
        <v>2</v>
      </c>
      <c r="N87">
        <v>4.4000000000000004</v>
      </c>
      <c r="O87">
        <v>9.6999999999999993</v>
      </c>
      <c r="P87">
        <v>7</v>
      </c>
      <c r="Q87">
        <v>6</v>
      </c>
      <c r="R87">
        <v>952899</v>
      </c>
      <c r="S87">
        <f>Table1[[#This Row],[Revenue]]-Table1[[#This Row],[Operating_Costs]]</f>
        <v>569363</v>
      </c>
      <c r="T87">
        <v>383536</v>
      </c>
      <c r="U87">
        <v>21</v>
      </c>
      <c r="V87">
        <v>64</v>
      </c>
      <c r="W87">
        <v>14.7</v>
      </c>
    </row>
    <row r="88" spans="1:23" x14ac:dyDescent="0.25">
      <c r="A88">
        <v>12</v>
      </c>
      <c r="B88" t="s">
        <v>66</v>
      </c>
      <c r="C88" s="1">
        <v>44468</v>
      </c>
      <c r="D88" s="1">
        <v>44495</v>
      </c>
      <c r="E88" s="2">
        <f t="shared" si="2"/>
        <v>1</v>
      </c>
      <c r="F88">
        <v>85</v>
      </c>
      <c r="G88" t="str">
        <f t="shared" si="3"/>
        <v>81+</v>
      </c>
      <c r="H88" t="s">
        <v>35</v>
      </c>
      <c r="I88" t="s">
        <v>31</v>
      </c>
      <c r="J88" t="s">
        <v>28</v>
      </c>
      <c r="K88" t="s">
        <v>33</v>
      </c>
      <c r="L88">
        <v>2</v>
      </c>
      <c r="M88">
        <v>2</v>
      </c>
      <c r="N88">
        <v>6.1</v>
      </c>
      <c r="O88">
        <v>8.1</v>
      </c>
      <c r="P88">
        <v>6</v>
      </c>
      <c r="Q88">
        <v>4</v>
      </c>
      <c r="R88">
        <v>847217</v>
      </c>
      <c r="S88">
        <f>Table1[[#This Row],[Revenue]]-Table1[[#This Row],[Operating_Costs]]</f>
        <v>209721</v>
      </c>
      <c r="T88">
        <v>637496</v>
      </c>
      <c r="U88">
        <v>63</v>
      </c>
      <c r="V88">
        <v>57</v>
      </c>
      <c r="W88">
        <v>14.7</v>
      </c>
    </row>
    <row r="89" spans="1:23" x14ac:dyDescent="0.25">
      <c r="A89">
        <v>4</v>
      </c>
      <c r="B89" t="s">
        <v>69</v>
      </c>
      <c r="C89" s="1">
        <v>44483</v>
      </c>
      <c r="D89" s="1">
        <v>44496</v>
      </c>
      <c r="E89" s="2">
        <f t="shared" si="2"/>
        <v>1</v>
      </c>
      <c r="F89">
        <v>48</v>
      </c>
      <c r="G89" t="str">
        <f t="shared" si="3"/>
        <v>41-60</v>
      </c>
      <c r="H89" t="s">
        <v>35</v>
      </c>
      <c r="I89" t="s">
        <v>55</v>
      </c>
      <c r="J89" t="s">
        <v>56</v>
      </c>
      <c r="K89" t="s">
        <v>29</v>
      </c>
      <c r="L89">
        <v>2</v>
      </c>
      <c r="M89">
        <v>2</v>
      </c>
      <c r="N89">
        <v>1.4</v>
      </c>
      <c r="O89">
        <v>8.3000000000000007</v>
      </c>
      <c r="P89">
        <v>7</v>
      </c>
      <c r="Q89">
        <v>4</v>
      </c>
      <c r="R89">
        <v>961884</v>
      </c>
      <c r="S89">
        <f>Table1[[#This Row],[Revenue]]-Table1[[#This Row],[Operating_Costs]]</f>
        <v>323980</v>
      </c>
      <c r="T89">
        <v>637904</v>
      </c>
      <c r="U89">
        <v>51</v>
      </c>
      <c r="V89">
        <v>60</v>
      </c>
      <c r="W89">
        <v>6.4</v>
      </c>
    </row>
    <row r="90" spans="1:23" x14ac:dyDescent="0.25">
      <c r="A90">
        <v>3</v>
      </c>
      <c r="B90" t="s">
        <v>57</v>
      </c>
      <c r="C90" s="1">
        <v>44493</v>
      </c>
      <c r="D90" s="1">
        <v>44498</v>
      </c>
      <c r="E90" s="2">
        <f t="shared" si="2"/>
        <v>1</v>
      </c>
      <c r="F90">
        <v>90</v>
      </c>
      <c r="G90" t="str">
        <f t="shared" si="3"/>
        <v>81+</v>
      </c>
      <c r="H90" t="s">
        <v>35</v>
      </c>
      <c r="I90" t="s">
        <v>55</v>
      </c>
      <c r="J90" t="s">
        <v>56</v>
      </c>
      <c r="K90" t="s">
        <v>29</v>
      </c>
      <c r="L90">
        <v>2</v>
      </c>
      <c r="M90">
        <v>2</v>
      </c>
      <c r="N90">
        <v>5.0999999999999996</v>
      </c>
      <c r="O90">
        <v>8.4</v>
      </c>
      <c r="P90">
        <v>7</v>
      </c>
      <c r="Q90">
        <v>7</v>
      </c>
      <c r="R90">
        <v>576304</v>
      </c>
      <c r="S90">
        <f>Table1[[#This Row],[Revenue]]-Table1[[#This Row],[Operating_Costs]]</f>
        <v>189892</v>
      </c>
      <c r="T90">
        <v>386412</v>
      </c>
      <c r="U90">
        <v>23</v>
      </c>
      <c r="V90">
        <v>56</v>
      </c>
      <c r="W90">
        <v>13.5</v>
      </c>
    </row>
    <row r="91" spans="1:23" x14ac:dyDescent="0.25">
      <c r="A91">
        <v>5</v>
      </c>
      <c r="B91" t="s">
        <v>22</v>
      </c>
      <c r="C91" s="1">
        <v>44492</v>
      </c>
      <c r="D91" s="1">
        <v>44498</v>
      </c>
      <c r="E91" s="2">
        <f t="shared" si="2"/>
        <v>1</v>
      </c>
      <c r="F91">
        <v>40</v>
      </c>
      <c r="G91" t="str">
        <f t="shared" si="3"/>
        <v>21-40</v>
      </c>
      <c r="H91" t="s">
        <v>23</v>
      </c>
      <c r="I91" t="s">
        <v>64</v>
      </c>
      <c r="J91" t="s">
        <v>65</v>
      </c>
      <c r="K91" t="s">
        <v>38</v>
      </c>
      <c r="L91">
        <v>2</v>
      </c>
      <c r="M91">
        <v>2</v>
      </c>
      <c r="N91">
        <v>1.3</v>
      </c>
      <c r="O91">
        <v>9.1999999999999993</v>
      </c>
      <c r="P91">
        <v>6</v>
      </c>
      <c r="Q91">
        <v>5</v>
      </c>
      <c r="R91">
        <v>676188</v>
      </c>
      <c r="S91">
        <f>Table1[[#This Row],[Revenue]]-Table1[[#This Row],[Operating_Costs]]</f>
        <v>204412</v>
      </c>
      <c r="T91">
        <v>471776</v>
      </c>
      <c r="U91">
        <v>33</v>
      </c>
      <c r="V91">
        <v>54</v>
      </c>
      <c r="W91">
        <v>8.1</v>
      </c>
    </row>
    <row r="92" spans="1:23" x14ac:dyDescent="0.25">
      <c r="A92">
        <v>2</v>
      </c>
      <c r="B92" t="s">
        <v>39</v>
      </c>
      <c r="C92" s="1">
        <v>44481</v>
      </c>
      <c r="D92" s="1">
        <v>44501</v>
      </c>
      <c r="E92" s="2">
        <f t="shared" si="2"/>
        <v>1</v>
      </c>
      <c r="F92">
        <v>36</v>
      </c>
      <c r="G92" t="str">
        <f t="shared" si="3"/>
        <v>21-40</v>
      </c>
      <c r="H92" t="s">
        <v>35</v>
      </c>
      <c r="I92" t="s">
        <v>58</v>
      </c>
      <c r="J92" t="s">
        <v>59</v>
      </c>
      <c r="K92" t="s">
        <v>26</v>
      </c>
      <c r="L92">
        <v>2</v>
      </c>
      <c r="M92">
        <v>2</v>
      </c>
      <c r="N92">
        <v>3.8</v>
      </c>
      <c r="O92">
        <v>8.1999999999999993</v>
      </c>
      <c r="P92">
        <v>3</v>
      </c>
      <c r="Q92">
        <v>7</v>
      </c>
      <c r="R92">
        <v>752880</v>
      </c>
      <c r="S92">
        <f>Table1[[#This Row],[Revenue]]-Table1[[#This Row],[Operating_Costs]]</f>
        <v>157133</v>
      </c>
      <c r="T92">
        <v>595747</v>
      </c>
      <c r="U92">
        <v>40</v>
      </c>
      <c r="V92">
        <v>56</v>
      </c>
      <c r="W92">
        <v>6.6</v>
      </c>
    </row>
    <row r="93" spans="1:23" x14ac:dyDescent="0.25">
      <c r="A93">
        <v>15</v>
      </c>
      <c r="B93" t="s">
        <v>45</v>
      </c>
      <c r="C93" s="1">
        <v>44491</v>
      </c>
      <c r="D93" s="1">
        <v>44511</v>
      </c>
      <c r="E93" s="2">
        <f t="shared" si="2"/>
        <v>1</v>
      </c>
      <c r="F93">
        <v>36</v>
      </c>
      <c r="G93" t="str">
        <f t="shared" si="3"/>
        <v>21-40</v>
      </c>
      <c r="H93" t="s">
        <v>35</v>
      </c>
      <c r="I93" t="s">
        <v>40</v>
      </c>
      <c r="J93" t="s">
        <v>41</v>
      </c>
      <c r="K93" t="s">
        <v>42</v>
      </c>
      <c r="L93">
        <v>2</v>
      </c>
      <c r="M93">
        <v>2</v>
      </c>
      <c r="N93">
        <v>6.3</v>
      </c>
      <c r="O93">
        <v>8.8000000000000007</v>
      </c>
      <c r="P93">
        <v>5</v>
      </c>
      <c r="Q93">
        <v>5</v>
      </c>
      <c r="R93">
        <v>737328</v>
      </c>
      <c r="S93">
        <f>Table1[[#This Row],[Revenue]]-Table1[[#This Row],[Operating_Costs]]</f>
        <v>178761</v>
      </c>
      <c r="T93">
        <v>558567</v>
      </c>
      <c r="U93">
        <v>50</v>
      </c>
      <c r="V93">
        <v>66</v>
      </c>
      <c r="W93">
        <v>36.1</v>
      </c>
    </row>
    <row r="94" spans="1:23" x14ac:dyDescent="0.25">
      <c r="A94">
        <v>10</v>
      </c>
      <c r="B94" t="s">
        <v>34</v>
      </c>
      <c r="C94" s="1">
        <v>44509</v>
      </c>
      <c r="D94" s="1">
        <v>44511</v>
      </c>
      <c r="E94" s="2">
        <f t="shared" si="2"/>
        <v>1</v>
      </c>
      <c r="F94">
        <v>74</v>
      </c>
      <c r="G94" t="str">
        <f t="shared" si="3"/>
        <v>61-80</v>
      </c>
      <c r="H94" t="s">
        <v>35</v>
      </c>
      <c r="I94" t="s">
        <v>31</v>
      </c>
      <c r="J94" t="s">
        <v>28</v>
      </c>
      <c r="K94" t="s">
        <v>42</v>
      </c>
      <c r="L94">
        <v>2</v>
      </c>
      <c r="M94">
        <v>2</v>
      </c>
      <c r="N94">
        <v>1.1000000000000001</v>
      </c>
      <c r="O94">
        <v>8.5</v>
      </c>
      <c r="P94">
        <v>5</v>
      </c>
      <c r="Q94">
        <v>5</v>
      </c>
      <c r="R94">
        <v>803643</v>
      </c>
      <c r="S94">
        <f>Table1[[#This Row],[Revenue]]-Table1[[#This Row],[Operating_Costs]]</f>
        <v>221698</v>
      </c>
      <c r="T94">
        <v>581945</v>
      </c>
      <c r="U94">
        <v>54</v>
      </c>
      <c r="V94">
        <v>60</v>
      </c>
      <c r="W94">
        <v>10.1</v>
      </c>
    </row>
    <row r="95" spans="1:23" x14ac:dyDescent="0.25">
      <c r="A95">
        <v>8</v>
      </c>
      <c r="B95" t="s">
        <v>52</v>
      </c>
      <c r="C95" s="1">
        <v>44502</v>
      </c>
      <c r="D95" s="1">
        <v>44520</v>
      </c>
      <c r="E95" s="2">
        <f t="shared" si="2"/>
        <v>1</v>
      </c>
      <c r="F95">
        <v>42</v>
      </c>
      <c r="G95" t="str">
        <f t="shared" si="3"/>
        <v>41-60</v>
      </c>
      <c r="H95" t="s">
        <v>23</v>
      </c>
      <c r="I95" t="s">
        <v>58</v>
      </c>
      <c r="J95" t="s">
        <v>59</v>
      </c>
      <c r="K95" t="s">
        <v>29</v>
      </c>
      <c r="L95">
        <v>2</v>
      </c>
      <c r="M95">
        <v>2</v>
      </c>
      <c r="N95">
        <v>6.6</v>
      </c>
      <c r="O95">
        <v>8.6999999999999993</v>
      </c>
      <c r="P95">
        <v>7</v>
      </c>
      <c r="Q95">
        <v>5</v>
      </c>
      <c r="R95">
        <v>971395</v>
      </c>
      <c r="S95">
        <f>Table1[[#This Row],[Revenue]]-Table1[[#This Row],[Operating_Costs]]</f>
        <v>143488</v>
      </c>
      <c r="T95">
        <v>827907</v>
      </c>
      <c r="U95">
        <v>40</v>
      </c>
      <c r="V95">
        <v>61</v>
      </c>
      <c r="W95">
        <v>14.8</v>
      </c>
    </row>
    <row r="96" spans="1:23" x14ac:dyDescent="0.25">
      <c r="A96">
        <v>11</v>
      </c>
      <c r="B96" t="s">
        <v>63</v>
      </c>
      <c r="C96" s="1">
        <v>44511</v>
      </c>
      <c r="D96" s="1">
        <v>44521</v>
      </c>
      <c r="E96" s="2">
        <f t="shared" si="2"/>
        <v>1</v>
      </c>
      <c r="F96">
        <v>64</v>
      </c>
      <c r="G96" t="str">
        <f t="shared" si="3"/>
        <v>61-80</v>
      </c>
      <c r="H96" t="s">
        <v>23</v>
      </c>
      <c r="I96" t="s">
        <v>50</v>
      </c>
      <c r="J96" t="s">
        <v>51</v>
      </c>
      <c r="K96" t="s">
        <v>29</v>
      </c>
      <c r="L96">
        <v>2</v>
      </c>
      <c r="M96">
        <v>2</v>
      </c>
      <c r="N96">
        <v>1.3</v>
      </c>
      <c r="O96">
        <v>9.6999999999999993</v>
      </c>
      <c r="P96">
        <v>5</v>
      </c>
      <c r="Q96">
        <v>7</v>
      </c>
      <c r="R96">
        <v>795095</v>
      </c>
      <c r="S96">
        <f>Table1[[#This Row],[Revenue]]-Table1[[#This Row],[Operating_Costs]]</f>
        <v>391860</v>
      </c>
      <c r="T96">
        <v>403235</v>
      </c>
      <c r="U96">
        <v>21</v>
      </c>
      <c r="V96">
        <v>61</v>
      </c>
      <c r="W96">
        <v>10.5</v>
      </c>
    </row>
    <row r="97" spans="1:23" x14ac:dyDescent="0.25">
      <c r="A97">
        <v>15</v>
      </c>
      <c r="B97" t="s">
        <v>45</v>
      </c>
      <c r="C97" s="1">
        <v>44501</v>
      </c>
      <c r="D97" s="1">
        <v>44527</v>
      </c>
      <c r="E97" s="2">
        <f t="shared" si="2"/>
        <v>1</v>
      </c>
      <c r="F97">
        <v>35</v>
      </c>
      <c r="G97" t="str">
        <f t="shared" si="3"/>
        <v>21-40</v>
      </c>
      <c r="H97" t="s">
        <v>23</v>
      </c>
      <c r="I97" t="s">
        <v>67</v>
      </c>
      <c r="J97" t="s">
        <v>68</v>
      </c>
      <c r="K97" t="s">
        <v>42</v>
      </c>
      <c r="L97">
        <v>2</v>
      </c>
      <c r="M97">
        <v>2</v>
      </c>
      <c r="N97">
        <v>1.5</v>
      </c>
      <c r="O97">
        <v>9.8000000000000007</v>
      </c>
      <c r="P97">
        <v>6</v>
      </c>
      <c r="Q97">
        <v>5</v>
      </c>
      <c r="R97">
        <v>721890</v>
      </c>
      <c r="S97">
        <f>Table1[[#This Row],[Revenue]]-Table1[[#This Row],[Operating_Costs]]</f>
        <v>203131</v>
      </c>
      <c r="T97">
        <v>518759</v>
      </c>
      <c r="U97">
        <v>51</v>
      </c>
      <c r="V97">
        <v>56</v>
      </c>
      <c r="W97">
        <v>7.1</v>
      </c>
    </row>
    <row r="98" spans="1:23" x14ac:dyDescent="0.25">
      <c r="A98">
        <v>14</v>
      </c>
      <c r="B98" t="s">
        <v>48</v>
      </c>
      <c r="C98" s="1">
        <v>44502</v>
      </c>
      <c r="D98" s="1">
        <v>44528</v>
      </c>
      <c r="E98" s="2">
        <f t="shared" si="2"/>
        <v>1</v>
      </c>
      <c r="F98">
        <v>40</v>
      </c>
      <c r="G98" t="str">
        <f t="shared" si="3"/>
        <v>21-40</v>
      </c>
      <c r="H98" t="s">
        <v>35</v>
      </c>
      <c r="I98" t="s">
        <v>53</v>
      </c>
      <c r="J98" t="s">
        <v>54</v>
      </c>
      <c r="K98" t="s">
        <v>38</v>
      </c>
      <c r="L98">
        <v>2</v>
      </c>
      <c r="M98">
        <v>2</v>
      </c>
      <c r="N98">
        <v>2.5</v>
      </c>
      <c r="O98">
        <v>9.8000000000000007</v>
      </c>
      <c r="P98">
        <v>7</v>
      </c>
      <c r="Q98">
        <v>6</v>
      </c>
      <c r="R98">
        <v>891000</v>
      </c>
      <c r="S98">
        <f>Table1[[#This Row],[Revenue]]-Table1[[#This Row],[Operating_Costs]]</f>
        <v>301202</v>
      </c>
      <c r="T98">
        <v>589798</v>
      </c>
      <c r="U98">
        <v>43</v>
      </c>
      <c r="V98">
        <v>55</v>
      </c>
      <c r="W98">
        <v>9.8000000000000007</v>
      </c>
    </row>
    <row r="99" spans="1:23" x14ac:dyDescent="0.25">
      <c r="A99">
        <v>2</v>
      </c>
      <c r="B99" t="s">
        <v>39</v>
      </c>
      <c r="C99" s="1">
        <v>44515</v>
      </c>
      <c r="D99" s="1">
        <v>44533</v>
      </c>
      <c r="E99" s="2">
        <f t="shared" si="2"/>
        <v>1</v>
      </c>
      <c r="F99">
        <v>37</v>
      </c>
      <c r="G99" t="str">
        <f t="shared" si="3"/>
        <v>21-40</v>
      </c>
      <c r="H99" t="s">
        <v>23</v>
      </c>
      <c r="I99" t="s">
        <v>24</v>
      </c>
      <c r="J99" t="s">
        <v>25</v>
      </c>
      <c r="K99" t="s">
        <v>26</v>
      </c>
      <c r="L99">
        <v>2</v>
      </c>
      <c r="M99">
        <v>2</v>
      </c>
      <c r="N99">
        <v>6.2</v>
      </c>
      <c r="O99">
        <v>7</v>
      </c>
      <c r="P99">
        <v>3</v>
      </c>
      <c r="Q99">
        <v>5</v>
      </c>
      <c r="R99">
        <v>895316</v>
      </c>
      <c r="S99">
        <f>Table1[[#This Row],[Revenue]]-Table1[[#This Row],[Operating_Costs]]</f>
        <v>356371</v>
      </c>
      <c r="T99">
        <v>538945</v>
      </c>
      <c r="U99">
        <v>40</v>
      </c>
      <c r="V99">
        <v>62</v>
      </c>
      <c r="W99">
        <v>12.9</v>
      </c>
    </row>
    <row r="100" spans="1:23" x14ac:dyDescent="0.25">
      <c r="A100">
        <v>9</v>
      </c>
      <c r="B100" t="s">
        <v>44</v>
      </c>
      <c r="C100" s="1">
        <v>44530</v>
      </c>
      <c r="D100" s="1">
        <v>44535</v>
      </c>
      <c r="E100" s="2">
        <f t="shared" si="2"/>
        <v>1</v>
      </c>
      <c r="F100">
        <v>46</v>
      </c>
      <c r="G100" t="str">
        <f t="shared" si="3"/>
        <v>41-60</v>
      </c>
      <c r="H100" t="s">
        <v>35</v>
      </c>
      <c r="I100" t="s">
        <v>53</v>
      </c>
      <c r="J100" t="s">
        <v>54</v>
      </c>
      <c r="K100" t="s">
        <v>26</v>
      </c>
      <c r="L100">
        <v>2</v>
      </c>
      <c r="M100">
        <v>2</v>
      </c>
      <c r="N100">
        <v>3.3</v>
      </c>
      <c r="O100">
        <v>9.6999999999999993</v>
      </c>
      <c r="P100">
        <v>3</v>
      </c>
      <c r="Q100">
        <v>7</v>
      </c>
      <c r="R100">
        <v>568827</v>
      </c>
      <c r="S100">
        <f>Table1[[#This Row],[Revenue]]-Table1[[#This Row],[Operating_Costs]]</f>
        <v>102744</v>
      </c>
      <c r="T100">
        <v>466083</v>
      </c>
      <c r="U100">
        <v>39</v>
      </c>
      <c r="V100">
        <v>60</v>
      </c>
      <c r="W100">
        <v>14.2</v>
      </c>
    </row>
    <row r="101" spans="1:23" x14ac:dyDescent="0.25">
      <c r="A101">
        <v>14</v>
      </c>
      <c r="B101" t="s">
        <v>48</v>
      </c>
      <c r="C101" s="1">
        <v>44513</v>
      </c>
      <c r="D101" s="1">
        <v>44535</v>
      </c>
      <c r="E101" s="2">
        <f t="shared" si="2"/>
        <v>1</v>
      </c>
      <c r="F101">
        <v>35</v>
      </c>
      <c r="G101" t="str">
        <f t="shared" si="3"/>
        <v>21-40</v>
      </c>
      <c r="H101" t="s">
        <v>35</v>
      </c>
      <c r="I101" t="s">
        <v>61</v>
      </c>
      <c r="J101" t="s">
        <v>62</v>
      </c>
      <c r="K101" t="s">
        <v>38</v>
      </c>
      <c r="L101">
        <v>2</v>
      </c>
      <c r="M101">
        <v>2</v>
      </c>
      <c r="N101">
        <v>4.4000000000000004</v>
      </c>
      <c r="O101">
        <v>7.2</v>
      </c>
      <c r="P101">
        <v>5</v>
      </c>
      <c r="Q101">
        <v>3</v>
      </c>
      <c r="R101">
        <v>824813</v>
      </c>
      <c r="S101">
        <f>Table1[[#This Row],[Revenue]]-Table1[[#This Row],[Operating_Costs]]</f>
        <v>143879</v>
      </c>
      <c r="T101">
        <v>680934</v>
      </c>
      <c r="U101">
        <v>38</v>
      </c>
      <c r="V101">
        <v>62</v>
      </c>
      <c r="W101">
        <v>8.5</v>
      </c>
    </row>
    <row r="102" spans="1:23" x14ac:dyDescent="0.25">
      <c r="A102">
        <v>12</v>
      </c>
      <c r="B102" t="s">
        <v>66</v>
      </c>
      <c r="C102" s="1">
        <v>44528</v>
      </c>
      <c r="D102" s="1">
        <v>44541</v>
      </c>
      <c r="E102" s="2">
        <f t="shared" si="2"/>
        <v>1</v>
      </c>
      <c r="F102">
        <v>33</v>
      </c>
      <c r="G102" t="str">
        <f t="shared" si="3"/>
        <v>21-40</v>
      </c>
      <c r="H102" t="s">
        <v>23</v>
      </c>
      <c r="I102" t="s">
        <v>61</v>
      </c>
      <c r="J102" t="s">
        <v>62</v>
      </c>
      <c r="K102" t="s">
        <v>29</v>
      </c>
      <c r="L102">
        <v>2</v>
      </c>
      <c r="M102">
        <v>2</v>
      </c>
      <c r="N102">
        <v>5.2</v>
      </c>
      <c r="O102">
        <v>8.8000000000000007</v>
      </c>
      <c r="P102">
        <v>4</v>
      </c>
      <c r="Q102">
        <v>4</v>
      </c>
      <c r="R102">
        <v>835933</v>
      </c>
      <c r="S102">
        <f>Table1[[#This Row],[Revenue]]-Table1[[#This Row],[Operating_Costs]]</f>
        <v>140810</v>
      </c>
      <c r="T102">
        <v>695123</v>
      </c>
      <c r="U102">
        <v>62</v>
      </c>
      <c r="V102">
        <v>57</v>
      </c>
      <c r="W102">
        <v>14.8</v>
      </c>
    </row>
    <row r="103" spans="1:23" x14ac:dyDescent="0.25">
      <c r="A103">
        <v>2</v>
      </c>
      <c r="B103" t="s">
        <v>39</v>
      </c>
      <c r="C103" s="1">
        <v>44524</v>
      </c>
      <c r="D103" s="1">
        <v>44545</v>
      </c>
      <c r="E103" s="2">
        <f t="shared" si="2"/>
        <v>1</v>
      </c>
      <c r="F103">
        <v>46</v>
      </c>
      <c r="G103" t="str">
        <f t="shared" si="3"/>
        <v>41-60</v>
      </c>
      <c r="H103" t="s">
        <v>35</v>
      </c>
      <c r="I103" t="s">
        <v>31</v>
      </c>
      <c r="J103" t="s">
        <v>28</v>
      </c>
      <c r="K103" t="s">
        <v>33</v>
      </c>
      <c r="L103">
        <v>2</v>
      </c>
      <c r="M103">
        <v>2</v>
      </c>
      <c r="N103">
        <v>3.5</v>
      </c>
      <c r="O103">
        <v>8.5</v>
      </c>
      <c r="P103">
        <v>5</v>
      </c>
      <c r="Q103">
        <v>4</v>
      </c>
      <c r="R103">
        <v>612501</v>
      </c>
      <c r="S103">
        <f>Table1[[#This Row],[Revenue]]-Table1[[#This Row],[Operating_Costs]]</f>
        <v>63191</v>
      </c>
      <c r="T103">
        <v>549310</v>
      </c>
      <c r="U103">
        <v>38</v>
      </c>
      <c r="V103">
        <v>57</v>
      </c>
      <c r="W103">
        <v>9.3000000000000007</v>
      </c>
    </row>
    <row r="104" spans="1:23" x14ac:dyDescent="0.25">
      <c r="A104">
        <v>10</v>
      </c>
      <c r="B104" t="s">
        <v>34</v>
      </c>
      <c r="C104" s="1">
        <v>44520</v>
      </c>
      <c r="D104" s="1">
        <v>44548</v>
      </c>
      <c r="E104" s="2">
        <f t="shared" si="2"/>
        <v>1</v>
      </c>
      <c r="F104">
        <v>33</v>
      </c>
      <c r="G104" t="str">
        <f t="shared" si="3"/>
        <v>21-40</v>
      </c>
      <c r="H104" t="s">
        <v>23</v>
      </c>
      <c r="I104" t="s">
        <v>50</v>
      </c>
      <c r="J104" t="s">
        <v>51</v>
      </c>
      <c r="K104" t="s">
        <v>38</v>
      </c>
      <c r="L104">
        <v>2</v>
      </c>
      <c r="M104">
        <v>2</v>
      </c>
      <c r="N104">
        <v>6.3</v>
      </c>
      <c r="O104">
        <v>8</v>
      </c>
      <c r="P104">
        <v>7</v>
      </c>
      <c r="Q104">
        <v>5</v>
      </c>
      <c r="R104">
        <v>937579</v>
      </c>
      <c r="S104">
        <f>Table1[[#This Row],[Revenue]]-Table1[[#This Row],[Operating_Costs]]</f>
        <v>367929</v>
      </c>
      <c r="T104">
        <v>569650</v>
      </c>
      <c r="U104">
        <v>65</v>
      </c>
      <c r="V104">
        <v>62</v>
      </c>
      <c r="W104">
        <v>6</v>
      </c>
    </row>
    <row r="105" spans="1:23" x14ac:dyDescent="0.25">
      <c r="A105">
        <v>7</v>
      </c>
      <c r="B105" t="s">
        <v>49</v>
      </c>
      <c r="C105" s="1">
        <v>44541</v>
      </c>
      <c r="D105" s="1">
        <v>44549</v>
      </c>
      <c r="E105" s="2">
        <f t="shared" si="2"/>
        <v>1</v>
      </c>
      <c r="F105">
        <v>46</v>
      </c>
      <c r="G105" t="str">
        <f t="shared" si="3"/>
        <v>41-60</v>
      </c>
      <c r="H105" t="s">
        <v>23</v>
      </c>
      <c r="I105" t="s">
        <v>64</v>
      </c>
      <c r="J105" t="s">
        <v>65</v>
      </c>
      <c r="K105" t="s">
        <v>26</v>
      </c>
      <c r="L105">
        <v>2</v>
      </c>
      <c r="M105">
        <v>2</v>
      </c>
      <c r="N105">
        <v>6</v>
      </c>
      <c r="O105">
        <v>9.6999999999999993</v>
      </c>
      <c r="P105">
        <v>7</v>
      </c>
      <c r="Q105">
        <v>4</v>
      </c>
      <c r="R105">
        <v>853777</v>
      </c>
      <c r="S105">
        <f>Table1[[#This Row],[Revenue]]-Table1[[#This Row],[Operating_Costs]]</f>
        <v>312056</v>
      </c>
      <c r="T105">
        <v>541721</v>
      </c>
      <c r="U105">
        <v>55</v>
      </c>
      <c r="V105">
        <v>61</v>
      </c>
      <c r="W105">
        <v>13.3</v>
      </c>
    </row>
    <row r="106" spans="1:23" x14ac:dyDescent="0.25">
      <c r="A106">
        <v>2</v>
      </c>
      <c r="B106" t="s">
        <v>39</v>
      </c>
      <c r="C106" s="1">
        <v>44532</v>
      </c>
      <c r="D106" s="1">
        <v>44552</v>
      </c>
      <c r="E106" s="2">
        <f t="shared" si="2"/>
        <v>1</v>
      </c>
      <c r="F106">
        <v>60</v>
      </c>
      <c r="G106" t="str">
        <f t="shared" si="3"/>
        <v>41-60</v>
      </c>
      <c r="H106" t="s">
        <v>35</v>
      </c>
      <c r="I106" t="s">
        <v>55</v>
      </c>
      <c r="J106" t="s">
        <v>56</v>
      </c>
      <c r="K106" t="s">
        <v>33</v>
      </c>
      <c r="L106">
        <v>2</v>
      </c>
      <c r="M106">
        <v>2</v>
      </c>
      <c r="N106">
        <v>6.5</v>
      </c>
      <c r="O106">
        <v>9.9</v>
      </c>
      <c r="P106">
        <v>7</v>
      </c>
      <c r="Q106">
        <v>5</v>
      </c>
      <c r="R106">
        <v>797880</v>
      </c>
      <c r="S106">
        <f>Table1[[#This Row],[Revenue]]-Table1[[#This Row],[Operating_Costs]]</f>
        <v>204574</v>
      </c>
      <c r="T106">
        <v>593306</v>
      </c>
      <c r="U106">
        <v>40</v>
      </c>
      <c r="V106">
        <v>54</v>
      </c>
      <c r="W106">
        <v>7.7</v>
      </c>
    </row>
    <row r="107" spans="1:23" x14ac:dyDescent="0.25">
      <c r="A107">
        <v>9</v>
      </c>
      <c r="B107" t="s">
        <v>44</v>
      </c>
      <c r="C107" s="1">
        <v>44551</v>
      </c>
      <c r="D107" s="1">
        <v>44554</v>
      </c>
      <c r="E107" s="2">
        <f t="shared" si="2"/>
        <v>1</v>
      </c>
      <c r="F107">
        <v>66</v>
      </c>
      <c r="G107" t="str">
        <f t="shared" si="3"/>
        <v>61-80</v>
      </c>
      <c r="H107" t="s">
        <v>35</v>
      </c>
      <c r="I107" t="s">
        <v>31</v>
      </c>
      <c r="J107" t="s">
        <v>28</v>
      </c>
      <c r="K107" t="s">
        <v>26</v>
      </c>
      <c r="L107">
        <v>2</v>
      </c>
      <c r="M107">
        <v>2</v>
      </c>
      <c r="N107">
        <v>2.9</v>
      </c>
      <c r="O107">
        <v>7.3</v>
      </c>
      <c r="P107">
        <v>3</v>
      </c>
      <c r="Q107">
        <v>6</v>
      </c>
      <c r="R107">
        <v>512851</v>
      </c>
      <c r="S107">
        <f>Table1[[#This Row],[Revenue]]-Table1[[#This Row],[Operating_Costs]]</f>
        <v>122800</v>
      </c>
      <c r="T107">
        <v>390051</v>
      </c>
      <c r="U107">
        <v>38</v>
      </c>
      <c r="V107">
        <v>56</v>
      </c>
      <c r="W107">
        <v>10.9</v>
      </c>
    </row>
    <row r="108" spans="1:23" x14ac:dyDescent="0.25">
      <c r="A108">
        <v>4</v>
      </c>
      <c r="B108" t="s">
        <v>69</v>
      </c>
      <c r="C108" s="1">
        <v>44545</v>
      </c>
      <c r="D108" s="1">
        <v>44558</v>
      </c>
      <c r="E108" s="2">
        <f t="shared" si="2"/>
        <v>1</v>
      </c>
      <c r="F108">
        <v>35</v>
      </c>
      <c r="G108" t="str">
        <f t="shared" si="3"/>
        <v>21-40</v>
      </c>
      <c r="H108" t="s">
        <v>35</v>
      </c>
      <c r="I108" t="s">
        <v>53</v>
      </c>
      <c r="J108" t="s">
        <v>54</v>
      </c>
      <c r="K108" t="s">
        <v>38</v>
      </c>
      <c r="L108">
        <v>2</v>
      </c>
      <c r="M108">
        <v>2</v>
      </c>
      <c r="N108">
        <v>6.9</v>
      </c>
      <c r="O108">
        <v>7.8</v>
      </c>
      <c r="P108">
        <v>7</v>
      </c>
      <c r="Q108">
        <v>7</v>
      </c>
      <c r="R108">
        <v>870784</v>
      </c>
      <c r="S108">
        <f>Table1[[#This Row],[Revenue]]-Table1[[#This Row],[Operating_Costs]]</f>
        <v>224415</v>
      </c>
      <c r="T108">
        <v>646369</v>
      </c>
      <c r="U108">
        <v>32</v>
      </c>
      <c r="V108">
        <v>64</v>
      </c>
      <c r="W108">
        <v>7.5</v>
      </c>
    </row>
    <row r="109" spans="1:23" x14ac:dyDescent="0.25">
      <c r="A109">
        <v>5</v>
      </c>
      <c r="B109" t="s">
        <v>22</v>
      </c>
      <c r="C109" s="1">
        <v>44552</v>
      </c>
      <c r="D109" s="1">
        <v>44567</v>
      </c>
      <c r="E109" s="2">
        <f t="shared" si="2"/>
        <v>1</v>
      </c>
      <c r="F109">
        <v>85</v>
      </c>
      <c r="G109" t="str">
        <f t="shared" si="3"/>
        <v>81+</v>
      </c>
      <c r="H109" t="s">
        <v>23</v>
      </c>
      <c r="I109" t="s">
        <v>64</v>
      </c>
      <c r="J109" t="s">
        <v>65</v>
      </c>
      <c r="K109" t="s">
        <v>29</v>
      </c>
      <c r="L109">
        <v>2</v>
      </c>
      <c r="M109">
        <v>2</v>
      </c>
      <c r="N109">
        <v>2.7</v>
      </c>
      <c r="O109">
        <v>7.7</v>
      </c>
      <c r="P109">
        <v>6</v>
      </c>
      <c r="Q109">
        <v>5</v>
      </c>
      <c r="R109">
        <v>628551</v>
      </c>
      <c r="S109">
        <f>Table1[[#This Row],[Revenue]]-Table1[[#This Row],[Operating_Costs]]</f>
        <v>231742</v>
      </c>
      <c r="T109">
        <v>396809</v>
      </c>
      <c r="U109">
        <v>38</v>
      </c>
      <c r="V109">
        <v>65</v>
      </c>
      <c r="W109">
        <v>12.3</v>
      </c>
    </row>
    <row r="110" spans="1:23" x14ac:dyDescent="0.25">
      <c r="A110">
        <v>5</v>
      </c>
      <c r="B110" t="s">
        <v>22</v>
      </c>
      <c r="C110" s="1">
        <v>44545</v>
      </c>
      <c r="D110" s="1">
        <v>44571</v>
      </c>
      <c r="E110" s="2">
        <f t="shared" si="2"/>
        <v>1</v>
      </c>
      <c r="F110">
        <v>79</v>
      </c>
      <c r="G110" t="str">
        <f t="shared" si="3"/>
        <v>61-80</v>
      </c>
      <c r="H110" t="s">
        <v>35</v>
      </c>
      <c r="I110" t="s">
        <v>58</v>
      </c>
      <c r="J110" t="s">
        <v>59</v>
      </c>
      <c r="K110" t="s">
        <v>42</v>
      </c>
      <c r="L110">
        <v>2</v>
      </c>
      <c r="M110">
        <v>2</v>
      </c>
      <c r="N110">
        <v>3.7</v>
      </c>
      <c r="O110">
        <v>9.4</v>
      </c>
      <c r="P110">
        <v>4</v>
      </c>
      <c r="Q110">
        <v>5</v>
      </c>
      <c r="R110">
        <v>757734</v>
      </c>
      <c r="S110">
        <f>Table1[[#This Row],[Revenue]]-Table1[[#This Row],[Operating_Costs]]</f>
        <v>552520</v>
      </c>
      <c r="T110">
        <v>205214</v>
      </c>
      <c r="U110">
        <v>37</v>
      </c>
      <c r="V110">
        <v>63</v>
      </c>
      <c r="W110">
        <v>9.1999999999999993</v>
      </c>
    </row>
    <row r="111" spans="1:23" x14ac:dyDescent="0.25">
      <c r="A111">
        <v>14</v>
      </c>
      <c r="B111" t="s">
        <v>48</v>
      </c>
      <c r="C111" s="1">
        <v>44551</v>
      </c>
      <c r="D111" s="1">
        <v>44574</v>
      </c>
      <c r="E111" s="2">
        <f t="shared" si="2"/>
        <v>1</v>
      </c>
      <c r="F111">
        <v>42</v>
      </c>
      <c r="G111" t="str">
        <f t="shared" si="3"/>
        <v>41-60</v>
      </c>
      <c r="H111" t="s">
        <v>35</v>
      </c>
      <c r="I111" t="s">
        <v>60</v>
      </c>
      <c r="J111" t="s">
        <v>59</v>
      </c>
      <c r="K111" t="s">
        <v>26</v>
      </c>
      <c r="L111">
        <v>2</v>
      </c>
      <c r="M111">
        <v>2</v>
      </c>
      <c r="N111">
        <v>5.9</v>
      </c>
      <c r="O111">
        <v>9.3000000000000007</v>
      </c>
      <c r="P111">
        <v>3</v>
      </c>
      <c r="Q111">
        <v>4</v>
      </c>
      <c r="R111">
        <v>706456</v>
      </c>
      <c r="S111">
        <f>Table1[[#This Row],[Revenue]]-Table1[[#This Row],[Operating_Costs]]</f>
        <v>6694</v>
      </c>
      <c r="T111">
        <v>699762</v>
      </c>
      <c r="U111">
        <v>32</v>
      </c>
      <c r="V111">
        <v>59</v>
      </c>
      <c r="W111">
        <v>8.6999999999999993</v>
      </c>
    </row>
    <row r="112" spans="1:23" x14ac:dyDescent="0.25">
      <c r="A112">
        <v>9</v>
      </c>
      <c r="B112" t="s">
        <v>44</v>
      </c>
      <c r="C112" s="1">
        <v>44567</v>
      </c>
      <c r="D112" s="1">
        <v>44576</v>
      </c>
      <c r="E112" s="2">
        <f t="shared" si="2"/>
        <v>1</v>
      </c>
      <c r="F112">
        <v>36</v>
      </c>
      <c r="G112" t="str">
        <f t="shared" si="3"/>
        <v>21-40</v>
      </c>
      <c r="H112" t="s">
        <v>23</v>
      </c>
      <c r="I112" t="s">
        <v>50</v>
      </c>
      <c r="J112" t="s">
        <v>51</v>
      </c>
      <c r="K112" t="s">
        <v>29</v>
      </c>
      <c r="L112">
        <v>2</v>
      </c>
      <c r="M112">
        <v>2</v>
      </c>
      <c r="N112">
        <v>4.9000000000000004</v>
      </c>
      <c r="O112">
        <v>7.6</v>
      </c>
      <c r="P112">
        <v>4</v>
      </c>
      <c r="Q112">
        <v>3</v>
      </c>
      <c r="R112">
        <v>522674</v>
      </c>
      <c r="S112">
        <f>Table1[[#This Row],[Revenue]]-Table1[[#This Row],[Operating_Costs]]</f>
        <v>106428</v>
      </c>
      <c r="T112">
        <v>416246</v>
      </c>
      <c r="U112">
        <v>35</v>
      </c>
      <c r="V112">
        <v>54</v>
      </c>
      <c r="W112">
        <v>8.8000000000000007</v>
      </c>
    </row>
    <row r="113" spans="1:23" x14ac:dyDescent="0.25">
      <c r="A113">
        <v>14</v>
      </c>
      <c r="B113" t="s">
        <v>48</v>
      </c>
      <c r="C113" s="1">
        <v>44556</v>
      </c>
      <c r="D113" s="1">
        <v>44577</v>
      </c>
      <c r="E113" s="2">
        <f t="shared" si="2"/>
        <v>1</v>
      </c>
      <c r="F113">
        <v>54</v>
      </c>
      <c r="G113" t="str">
        <f t="shared" si="3"/>
        <v>41-60</v>
      </c>
      <c r="H113" t="s">
        <v>35</v>
      </c>
      <c r="I113" t="s">
        <v>60</v>
      </c>
      <c r="J113" t="s">
        <v>59</v>
      </c>
      <c r="K113" t="s">
        <v>29</v>
      </c>
      <c r="L113">
        <v>2</v>
      </c>
      <c r="M113">
        <v>2</v>
      </c>
      <c r="N113">
        <v>2.9</v>
      </c>
      <c r="O113">
        <v>9.9</v>
      </c>
      <c r="P113">
        <v>6</v>
      </c>
      <c r="Q113">
        <v>6</v>
      </c>
      <c r="R113">
        <v>892723</v>
      </c>
      <c r="S113">
        <f>Table1[[#This Row],[Revenue]]-Table1[[#This Row],[Operating_Costs]]</f>
        <v>370046</v>
      </c>
      <c r="T113">
        <v>522677</v>
      </c>
      <c r="U113">
        <v>39</v>
      </c>
      <c r="V113">
        <v>58</v>
      </c>
      <c r="W113">
        <v>12.6</v>
      </c>
    </row>
    <row r="114" spans="1:23" x14ac:dyDescent="0.25">
      <c r="A114">
        <v>14</v>
      </c>
      <c r="B114" t="s">
        <v>48</v>
      </c>
      <c r="C114" s="1">
        <v>44553</v>
      </c>
      <c r="D114" s="1">
        <v>44577</v>
      </c>
      <c r="E114" s="2">
        <f t="shared" si="2"/>
        <v>1</v>
      </c>
      <c r="F114">
        <v>72</v>
      </c>
      <c r="G114" t="str">
        <f t="shared" si="3"/>
        <v>61-80</v>
      </c>
      <c r="H114" t="s">
        <v>23</v>
      </c>
      <c r="I114" t="s">
        <v>31</v>
      </c>
      <c r="J114" t="s">
        <v>28</v>
      </c>
      <c r="K114" t="s">
        <v>33</v>
      </c>
      <c r="L114">
        <v>2</v>
      </c>
      <c r="M114">
        <v>2</v>
      </c>
      <c r="N114">
        <v>1.3</v>
      </c>
      <c r="O114">
        <v>8</v>
      </c>
      <c r="P114">
        <v>6</v>
      </c>
      <c r="Q114">
        <v>7</v>
      </c>
      <c r="R114">
        <v>822639</v>
      </c>
      <c r="S114">
        <f>Table1[[#This Row],[Revenue]]-Table1[[#This Row],[Operating_Costs]]</f>
        <v>282757</v>
      </c>
      <c r="T114">
        <v>539882</v>
      </c>
      <c r="U114">
        <v>40</v>
      </c>
      <c r="V114">
        <v>61</v>
      </c>
      <c r="W114">
        <v>10.1</v>
      </c>
    </row>
    <row r="115" spans="1:23" x14ac:dyDescent="0.25">
      <c r="A115">
        <v>2</v>
      </c>
      <c r="B115" t="s">
        <v>39</v>
      </c>
      <c r="C115" s="1">
        <v>44571</v>
      </c>
      <c r="D115" s="1">
        <v>44588</v>
      </c>
      <c r="E115" s="2">
        <f t="shared" si="2"/>
        <v>1</v>
      </c>
      <c r="F115">
        <v>46</v>
      </c>
      <c r="G115" t="str">
        <f t="shared" si="3"/>
        <v>41-60</v>
      </c>
      <c r="H115" t="s">
        <v>35</v>
      </c>
      <c r="I115" t="s">
        <v>36</v>
      </c>
      <c r="J115" t="s">
        <v>37</v>
      </c>
      <c r="K115" t="s">
        <v>42</v>
      </c>
      <c r="L115">
        <v>2</v>
      </c>
      <c r="M115">
        <v>2</v>
      </c>
      <c r="N115">
        <v>6.4</v>
      </c>
      <c r="O115">
        <v>9.9</v>
      </c>
      <c r="P115">
        <v>4</v>
      </c>
      <c r="Q115">
        <v>3</v>
      </c>
      <c r="R115">
        <v>793256</v>
      </c>
      <c r="S115">
        <f>Table1[[#This Row],[Revenue]]-Table1[[#This Row],[Operating_Costs]]</f>
        <v>152244</v>
      </c>
      <c r="T115">
        <v>641012</v>
      </c>
      <c r="U115">
        <v>31</v>
      </c>
      <c r="V115">
        <v>66</v>
      </c>
      <c r="W115">
        <v>9.1999999999999993</v>
      </c>
    </row>
    <row r="116" spans="1:23" x14ac:dyDescent="0.25">
      <c r="A116">
        <v>7</v>
      </c>
      <c r="B116" t="s">
        <v>49</v>
      </c>
      <c r="C116" s="1">
        <v>44567</v>
      </c>
      <c r="D116" s="1">
        <v>44591</v>
      </c>
      <c r="E116" s="2">
        <f t="shared" si="2"/>
        <v>1</v>
      </c>
      <c r="F116">
        <v>40</v>
      </c>
      <c r="G116" t="str">
        <f t="shared" si="3"/>
        <v>21-40</v>
      </c>
      <c r="H116" t="s">
        <v>35</v>
      </c>
      <c r="I116" t="s">
        <v>46</v>
      </c>
      <c r="J116" t="s">
        <v>47</v>
      </c>
      <c r="K116" t="s">
        <v>42</v>
      </c>
      <c r="L116">
        <v>2</v>
      </c>
      <c r="M116">
        <v>2</v>
      </c>
      <c r="N116">
        <v>6.1</v>
      </c>
      <c r="O116">
        <v>9</v>
      </c>
      <c r="P116">
        <v>4</v>
      </c>
      <c r="Q116">
        <v>4</v>
      </c>
      <c r="R116">
        <v>613766</v>
      </c>
      <c r="S116">
        <f>Table1[[#This Row],[Revenue]]-Table1[[#This Row],[Operating_Costs]]</f>
        <v>77465</v>
      </c>
      <c r="T116">
        <v>536301</v>
      </c>
      <c r="U116">
        <v>42</v>
      </c>
      <c r="V116">
        <v>59</v>
      </c>
      <c r="W116">
        <v>8.4</v>
      </c>
    </row>
    <row r="117" spans="1:23" x14ac:dyDescent="0.25">
      <c r="A117">
        <v>7</v>
      </c>
      <c r="B117" t="s">
        <v>49</v>
      </c>
      <c r="C117" s="1">
        <v>44575</v>
      </c>
      <c r="D117" s="1">
        <v>44597</v>
      </c>
      <c r="E117" s="2">
        <f t="shared" si="2"/>
        <v>1</v>
      </c>
      <c r="F117">
        <v>43</v>
      </c>
      <c r="G117" t="str">
        <f t="shared" si="3"/>
        <v>41-60</v>
      </c>
      <c r="H117" t="s">
        <v>23</v>
      </c>
      <c r="I117" t="s">
        <v>61</v>
      </c>
      <c r="J117" t="s">
        <v>62</v>
      </c>
      <c r="K117" t="s">
        <v>33</v>
      </c>
      <c r="L117">
        <v>2</v>
      </c>
      <c r="M117">
        <v>2</v>
      </c>
      <c r="N117">
        <v>5</v>
      </c>
      <c r="O117">
        <v>8.1</v>
      </c>
      <c r="P117">
        <v>6</v>
      </c>
      <c r="Q117">
        <v>5</v>
      </c>
      <c r="R117">
        <v>891617</v>
      </c>
      <c r="S117">
        <f>Table1[[#This Row],[Revenue]]-Table1[[#This Row],[Operating_Costs]]</f>
        <v>347920</v>
      </c>
      <c r="T117">
        <v>543697</v>
      </c>
      <c r="U117">
        <v>49</v>
      </c>
      <c r="V117">
        <v>66</v>
      </c>
      <c r="W117">
        <v>36.299999999999997</v>
      </c>
    </row>
    <row r="118" spans="1:23" x14ac:dyDescent="0.25">
      <c r="A118">
        <v>5</v>
      </c>
      <c r="B118" t="s">
        <v>22</v>
      </c>
      <c r="C118" s="1">
        <v>44583</v>
      </c>
      <c r="D118" s="1">
        <v>44600</v>
      </c>
      <c r="E118" s="2">
        <f t="shared" si="2"/>
        <v>1</v>
      </c>
      <c r="F118">
        <v>27</v>
      </c>
      <c r="G118" t="str">
        <f t="shared" si="3"/>
        <v>21-40</v>
      </c>
      <c r="H118" t="s">
        <v>35</v>
      </c>
      <c r="I118" t="s">
        <v>27</v>
      </c>
      <c r="J118" t="s">
        <v>28</v>
      </c>
      <c r="K118" t="s">
        <v>33</v>
      </c>
      <c r="L118">
        <v>2</v>
      </c>
      <c r="M118">
        <v>2</v>
      </c>
      <c r="N118">
        <v>1.1000000000000001</v>
      </c>
      <c r="O118">
        <v>8.6</v>
      </c>
      <c r="P118">
        <v>3</v>
      </c>
      <c r="Q118">
        <v>5</v>
      </c>
      <c r="R118">
        <v>625554</v>
      </c>
      <c r="S118">
        <f>Table1[[#This Row],[Revenue]]-Table1[[#This Row],[Operating_Costs]]</f>
        <v>320837</v>
      </c>
      <c r="T118">
        <v>304717</v>
      </c>
      <c r="U118">
        <v>34</v>
      </c>
      <c r="V118">
        <v>55</v>
      </c>
      <c r="W118">
        <v>10.199999999999999</v>
      </c>
    </row>
    <row r="119" spans="1:23" x14ac:dyDescent="0.25">
      <c r="A119">
        <v>7</v>
      </c>
      <c r="B119" t="s">
        <v>49</v>
      </c>
      <c r="C119" s="1">
        <v>44589</v>
      </c>
      <c r="D119" s="1">
        <v>44605</v>
      </c>
      <c r="E119" s="2">
        <f t="shared" si="2"/>
        <v>1</v>
      </c>
      <c r="F119">
        <v>22</v>
      </c>
      <c r="G119" t="str">
        <f t="shared" si="3"/>
        <v>21-40</v>
      </c>
      <c r="H119" t="s">
        <v>35</v>
      </c>
      <c r="I119" t="s">
        <v>36</v>
      </c>
      <c r="J119" t="s">
        <v>37</v>
      </c>
      <c r="K119" t="s">
        <v>38</v>
      </c>
      <c r="L119">
        <v>2</v>
      </c>
      <c r="M119">
        <v>2</v>
      </c>
      <c r="N119">
        <v>3.6</v>
      </c>
      <c r="O119">
        <v>8.9</v>
      </c>
      <c r="P119">
        <v>4</v>
      </c>
      <c r="Q119">
        <v>5</v>
      </c>
      <c r="R119">
        <v>717261</v>
      </c>
      <c r="S119">
        <f>Table1[[#This Row],[Revenue]]-Table1[[#This Row],[Operating_Costs]]</f>
        <v>188189</v>
      </c>
      <c r="T119">
        <v>529072</v>
      </c>
      <c r="U119">
        <v>45</v>
      </c>
      <c r="V119">
        <v>54</v>
      </c>
      <c r="W119">
        <v>8.6999999999999993</v>
      </c>
    </row>
    <row r="120" spans="1:23" x14ac:dyDescent="0.25">
      <c r="A120">
        <v>3</v>
      </c>
      <c r="B120" t="s">
        <v>57</v>
      </c>
      <c r="C120" s="1">
        <v>44602</v>
      </c>
      <c r="D120" s="1">
        <v>44606</v>
      </c>
      <c r="E120" s="2">
        <f t="shared" si="2"/>
        <v>1</v>
      </c>
      <c r="F120">
        <v>67</v>
      </c>
      <c r="G120" t="str">
        <f t="shared" si="3"/>
        <v>61-80</v>
      </c>
      <c r="H120" t="s">
        <v>35</v>
      </c>
      <c r="I120" t="s">
        <v>60</v>
      </c>
      <c r="J120" t="s">
        <v>59</v>
      </c>
      <c r="K120" t="s">
        <v>42</v>
      </c>
      <c r="L120">
        <v>2</v>
      </c>
      <c r="M120">
        <v>2</v>
      </c>
      <c r="N120">
        <v>6.8</v>
      </c>
      <c r="O120">
        <v>9.9</v>
      </c>
      <c r="P120">
        <v>6</v>
      </c>
      <c r="Q120">
        <v>5</v>
      </c>
      <c r="R120">
        <v>514923</v>
      </c>
      <c r="S120">
        <f>Table1[[#This Row],[Revenue]]-Table1[[#This Row],[Operating_Costs]]</f>
        <v>126593</v>
      </c>
      <c r="T120">
        <v>388330</v>
      </c>
      <c r="U120">
        <v>25</v>
      </c>
      <c r="V120">
        <v>65</v>
      </c>
      <c r="W120">
        <v>8.1999999999999993</v>
      </c>
    </row>
    <row r="121" spans="1:23" x14ac:dyDescent="0.25">
      <c r="A121">
        <v>2</v>
      </c>
      <c r="B121" t="s">
        <v>39</v>
      </c>
      <c r="C121" s="1">
        <v>44586</v>
      </c>
      <c r="D121" s="1">
        <v>44608</v>
      </c>
      <c r="E121" s="2">
        <f t="shared" si="2"/>
        <v>1</v>
      </c>
      <c r="F121">
        <v>85</v>
      </c>
      <c r="G121" t="str">
        <f t="shared" si="3"/>
        <v>81+</v>
      </c>
      <c r="H121" t="s">
        <v>23</v>
      </c>
      <c r="I121" t="s">
        <v>46</v>
      </c>
      <c r="J121" t="s">
        <v>47</v>
      </c>
      <c r="K121" t="s">
        <v>26</v>
      </c>
      <c r="L121">
        <v>2</v>
      </c>
      <c r="M121">
        <v>2</v>
      </c>
      <c r="N121">
        <v>2.8</v>
      </c>
      <c r="O121">
        <v>7.3</v>
      </c>
      <c r="P121">
        <v>3</v>
      </c>
      <c r="Q121">
        <v>7</v>
      </c>
      <c r="R121">
        <v>636301</v>
      </c>
      <c r="S121">
        <f>Table1[[#This Row],[Revenue]]-Table1[[#This Row],[Operating_Costs]]</f>
        <v>125969</v>
      </c>
      <c r="T121">
        <v>510332</v>
      </c>
      <c r="U121">
        <v>30</v>
      </c>
      <c r="V121">
        <v>54</v>
      </c>
      <c r="W121">
        <v>9.1</v>
      </c>
    </row>
    <row r="122" spans="1:23" x14ac:dyDescent="0.25">
      <c r="A122">
        <v>14</v>
      </c>
      <c r="B122" t="s">
        <v>48</v>
      </c>
      <c r="C122" s="1">
        <v>44593</v>
      </c>
      <c r="D122" s="1">
        <v>44610</v>
      </c>
      <c r="E122" s="2">
        <f t="shared" si="2"/>
        <v>1</v>
      </c>
      <c r="F122">
        <v>35</v>
      </c>
      <c r="G122" t="str">
        <f t="shared" si="3"/>
        <v>21-40</v>
      </c>
      <c r="H122" t="s">
        <v>23</v>
      </c>
      <c r="I122" t="s">
        <v>55</v>
      </c>
      <c r="J122" t="s">
        <v>56</v>
      </c>
      <c r="K122" t="s">
        <v>38</v>
      </c>
      <c r="L122">
        <v>2</v>
      </c>
      <c r="M122">
        <v>2</v>
      </c>
      <c r="N122">
        <v>6.3</v>
      </c>
      <c r="O122">
        <v>9.3000000000000007</v>
      </c>
      <c r="P122">
        <v>7</v>
      </c>
      <c r="Q122">
        <v>6</v>
      </c>
      <c r="R122">
        <v>781777</v>
      </c>
      <c r="S122">
        <f>Table1[[#This Row],[Revenue]]-Table1[[#This Row],[Operating_Costs]]</f>
        <v>115422</v>
      </c>
      <c r="T122">
        <v>666355</v>
      </c>
      <c r="U122">
        <v>31</v>
      </c>
      <c r="V122">
        <v>59</v>
      </c>
      <c r="W122">
        <v>9.1999999999999993</v>
      </c>
    </row>
    <row r="123" spans="1:23" x14ac:dyDescent="0.25">
      <c r="A123">
        <v>9</v>
      </c>
      <c r="B123" t="s">
        <v>44</v>
      </c>
      <c r="C123" s="1">
        <v>44609</v>
      </c>
      <c r="D123" s="1">
        <v>44612</v>
      </c>
      <c r="E123" s="2">
        <f t="shared" si="2"/>
        <v>1</v>
      </c>
      <c r="F123">
        <v>49</v>
      </c>
      <c r="G123" t="str">
        <f t="shared" si="3"/>
        <v>41-60</v>
      </c>
      <c r="H123" t="s">
        <v>35</v>
      </c>
      <c r="I123" t="s">
        <v>64</v>
      </c>
      <c r="J123" t="s">
        <v>65</v>
      </c>
      <c r="K123" t="s">
        <v>33</v>
      </c>
      <c r="L123">
        <v>2</v>
      </c>
      <c r="M123">
        <v>2</v>
      </c>
      <c r="N123">
        <v>4.3</v>
      </c>
      <c r="O123">
        <v>8.3000000000000007</v>
      </c>
      <c r="P123">
        <v>7</v>
      </c>
      <c r="Q123">
        <v>6</v>
      </c>
      <c r="R123">
        <v>525382</v>
      </c>
      <c r="S123">
        <f>Table1[[#This Row],[Revenue]]-Table1[[#This Row],[Operating_Costs]]</f>
        <v>58021</v>
      </c>
      <c r="T123">
        <v>467361</v>
      </c>
      <c r="U123">
        <v>35</v>
      </c>
      <c r="V123">
        <v>62</v>
      </c>
      <c r="W123">
        <v>6.9</v>
      </c>
    </row>
    <row r="124" spans="1:23" x14ac:dyDescent="0.25">
      <c r="A124">
        <v>5</v>
      </c>
      <c r="B124" t="s">
        <v>22</v>
      </c>
      <c r="C124" s="1">
        <v>44601</v>
      </c>
      <c r="D124" s="1">
        <v>44614</v>
      </c>
      <c r="E124" s="2">
        <f t="shared" si="2"/>
        <v>1</v>
      </c>
      <c r="F124">
        <v>49</v>
      </c>
      <c r="G124" t="str">
        <f t="shared" si="3"/>
        <v>41-60</v>
      </c>
      <c r="H124" t="s">
        <v>35</v>
      </c>
      <c r="I124" t="s">
        <v>53</v>
      </c>
      <c r="J124" t="s">
        <v>54</v>
      </c>
      <c r="K124" t="s">
        <v>38</v>
      </c>
      <c r="L124">
        <v>2</v>
      </c>
      <c r="M124">
        <v>2</v>
      </c>
      <c r="N124">
        <v>4.0999999999999996</v>
      </c>
      <c r="O124">
        <v>9.5</v>
      </c>
      <c r="P124">
        <v>7</v>
      </c>
      <c r="Q124">
        <v>4</v>
      </c>
      <c r="R124">
        <v>697886</v>
      </c>
      <c r="S124">
        <f>Table1[[#This Row],[Revenue]]-Table1[[#This Row],[Operating_Costs]]</f>
        <v>242259</v>
      </c>
      <c r="T124">
        <v>455627</v>
      </c>
      <c r="U124">
        <v>20</v>
      </c>
      <c r="V124">
        <v>57</v>
      </c>
      <c r="W124">
        <v>9.8000000000000007</v>
      </c>
    </row>
    <row r="125" spans="1:23" x14ac:dyDescent="0.25">
      <c r="A125">
        <v>9</v>
      </c>
      <c r="B125" t="s">
        <v>44</v>
      </c>
      <c r="C125" s="1">
        <v>44615</v>
      </c>
      <c r="D125" s="1">
        <v>44616</v>
      </c>
      <c r="E125" s="2">
        <f t="shared" si="2"/>
        <v>1</v>
      </c>
      <c r="F125">
        <v>76</v>
      </c>
      <c r="G125" t="str">
        <f t="shared" si="3"/>
        <v>61-80</v>
      </c>
      <c r="H125" t="s">
        <v>23</v>
      </c>
      <c r="I125" t="s">
        <v>61</v>
      </c>
      <c r="J125" t="s">
        <v>62</v>
      </c>
      <c r="K125" t="s">
        <v>26</v>
      </c>
      <c r="L125">
        <v>2</v>
      </c>
      <c r="M125">
        <v>2</v>
      </c>
      <c r="N125">
        <v>6.8</v>
      </c>
      <c r="O125">
        <v>7.6</v>
      </c>
      <c r="P125">
        <v>6</v>
      </c>
      <c r="Q125">
        <v>5</v>
      </c>
      <c r="R125">
        <v>593053</v>
      </c>
      <c r="S125">
        <f>Table1[[#This Row],[Revenue]]-Table1[[#This Row],[Operating_Costs]]</f>
        <v>176575</v>
      </c>
      <c r="T125">
        <v>416478</v>
      </c>
      <c r="U125">
        <v>40</v>
      </c>
      <c r="V125">
        <v>56</v>
      </c>
      <c r="W125">
        <v>10</v>
      </c>
    </row>
    <row r="126" spans="1:23" x14ac:dyDescent="0.25">
      <c r="A126">
        <v>6</v>
      </c>
      <c r="B126" t="s">
        <v>70</v>
      </c>
      <c r="C126" s="1">
        <v>44605</v>
      </c>
      <c r="D126" s="1">
        <v>44617</v>
      </c>
      <c r="E126" s="2">
        <f t="shared" si="2"/>
        <v>1</v>
      </c>
      <c r="F126">
        <v>56</v>
      </c>
      <c r="G126" t="str">
        <f t="shared" si="3"/>
        <v>41-60</v>
      </c>
      <c r="H126" t="s">
        <v>35</v>
      </c>
      <c r="I126" t="s">
        <v>58</v>
      </c>
      <c r="J126" t="s">
        <v>59</v>
      </c>
      <c r="K126" t="s">
        <v>26</v>
      </c>
      <c r="L126">
        <v>2</v>
      </c>
      <c r="M126">
        <v>2</v>
      </c>
      <c r="N126">
        <v>1.1000000000000001</v>
      </c>
      <c r="O126">
        <v>8.1999999999999993</v>
      </c>
      <c r="P126">
        <v>5</v>
      </c>
      <c r="Q126">
        <v>5</v>
      </c>
      <c r="R126">
        <v>684967</v>
      </c>
      <c r="S126">
        <f>Table1[[#This Row],[Revenue]]-Table1[[#This Row],[Operating_Costs]]</f>
        <v>282678</v>
      </c>
      <c r="T126">
        <v>402289</v>
      </c>
      <c r="U126">
        <v>26</v>
      </c>
      <c r="V126">
        <v>59</v>
      </c>
      <c r="W126">
        <v>9.4</v>
      </c>
    </row>
    <row r="127" spans="1:23" x14ac:dyDescent="0.25">
      <c r="A127">
        <v>3</v>
      </c>
      <c r="B127" t="s">
        <v>57</v>
      </c>
      <c r="C127" s="1">
        <v>44611</v>
      </c>
      <c r="D127" s="1">
        <v>44621</v>
      </c>
      <c r="E127" s="2">
        <f t="shared" si="2"/>
        <v>1</v>
      </c>
      <c r="F127">
        <v>78</v>
      </c>
      <c r="G127" t="str">
        <f t="shared" si="3"/>
        <v>61-80</v>
      </c>
      <c r="H127" t="s">
        <v>23</v>
      </c>
      <c r="I127" t="s">
        <v>31</v>
      </c>
      <c r="J127" t="s">
        <v>28</v>
      </c>
      <c r="K127" t="s">
        <v>26</v>
      </c>
      <c r="L127">
        <v>2</v>
      </c>
      <c r="M127">
        <v>2</v>
      </c>
      <c r="N127">
        <v>2.2000000000000002</v>
      </c>
      <c r="O127">
        <v>8.8000000000000007</v>
      </c>
      <c r="P127">
        <v>6</v>
      </c>
      <c r="Q127">
        <v>3</v>
      </c>
      <c r="R127">
        <v>583840</v>
      </c>
      <c r="S127">
        <f>Table1[[#This Row],[Revenue]]-Table1[[#This Row],[Operating_Costs]]</f>
        <v>261022</v>
      </c>
      <c r="T127">
        <v>322818</v>
      </c>
      <c r="U127">
        <v>18</v>
      </c>
      <c r="V127">
        <v>54</v>
      </c>
      <c r="W127">
        <v>7.7</v>
      </c>
    </row>
    <row r="128" spans="1:23" x14ac:dyDescent="0.25">
      <c r="A128">
        <v>5</v>
      </c>
      <c r="B128" t="s">
        <v>22</v>
      </c>
      <c r="C128" s="1">
        <v>44592</v>
      </c>
      <c r="D128" s="1">
        <v>44621</v>
      </c>
      <c r="E128" s="2">
        <f t="shared" si="2"/>
        <v>1</v>
      </c>
      <c r="F128">
        <v>23</v>
      </c>
      <c r="G128" t="str">
        <f t="shared" si="3"/>
        <v>21-40</v>
      </c>
      <c r="H128" t="s">
        <v>23</v>
      </c>
      <c r="I128" t="s">
        <v>43</v>
      </c>
      <c r="J128" t="s">
        <v>25</v>
      </c>
      <c r="K128" t="s">
        <v>33</v>
      </c>
      <c r="L128">
        <v>2</v>
      </c>
      <c r="M128">
        <v>2</v>
      </c>
      <c r="N128">
        <v>6.6</v>
      </c>
      <c r="O128">
        <v>8.4</v>
      </c>
      <c r="P128">
        <v>5</v>
      </c>
      <c r="Q128">
        <v>3</v>
      </c>
      <c r="R128">
        <v>973628</v>
      </c>
      <c r="S128">
        <f>Table1[[#This Row],[Revenue]]-Table1[[#This Row],[Operating_Costs]]</f>
        <v>539954</v>
      </c>
      <c r="T128">
        <v>433674</v>
      </c>
      <c r="U128">
        <v>36</v>
      </c>
      <c r="V128">
        <v>54</v>
      </c>
      <c r="W128">
        <v>8.8000000000000007</v>
      </c>
    </row>
    <row r="129" spans="1:23" x14ac:dyDescent="0.25">
      <c r="A129">
        <v>11</v>
      </c>
      <c r="B129" t="s">
        <v>63</v>
      </c>
      <c r="C129" s="1">
        <v>44607</v>
      </c>
      <c r="D129" s="1">
        <v>44629</v>
      </c>
      <c r="E129" s="2">
        <f t="shared" si="2"/>
        <v>1</v>
      </c>
      <c r="F129">
        <v>24</v>
      </c>
      <c r="G129" t="str">
        <f t="shared" si="3"/>
        <v>21-40</v>
      </c>
      <c r="H129" t="s">
        <v>35</v>
      </c>
      <c r="I129" t="s">
        <v>36</v>
      </c>
      <c r="J129" t="s">
        <v>37</v>
      </c>
      <c r="K129" t="s">
        <v>29</v>
      </c>
      <c r="L129">
        <v>2</v>
      </c>
      <c r="M129">
        <v>2</v>
      </c>
      <c r="N129">
        <v>4.3</v>
      </c>
      <c r="O129">
        <v>9.9</v>
      </c>
      <c r="P129">
        <v>7</v>
      </c>
      <c r="Q129">
        <v>6</v>
      </c>
      <c r="R129">
        <v>679331</v>
      </c>
      <c r="S129">
        <f>Table1[[#This Row],[Revenue]]-Table1[[#This Row],[Operating_Costs]]</f>
        <v>267268</v>
      </c>
      <c r="T129">
        <v>412063</v>
      </c>
      <c r="U129">
        <v>21</v>
      </c>
      <c r="V129">
        <v>62</v>
      </c>
      <c r="W129">
        <v>6.6</v>
      </c>
    </row>
    <row r="130" spans="1:23" x14ac:dyDescent="0.25">
      <c r="A130">
        <v>5</v>
      </c>
      <c r="B130" t="s">
        <v>22</v>
      </c>
      <c r="C130" s="1">
        <v>44603</v>
      </c>
      <c r="D130" s="1">
        <v>44629</v>
      </c>
      <c r="E130" s="2">
        <f t="shared" si="2"/>
        <v>1</v>
      </c>
      <c r="F130">
        <v>23</v>
      </c>
      <c r="G130" t="str">
        <f t="shared" si="3"/>
        <v>21-40</v>
      </c>
      <c r="H130" t="s">
        <v>35</v>
      </c>
      <c r="I130" t="s">
        <v>36</v>
      </c>
      <c r="J130" t="s">
        <v>37</v>
      </c>
      <c r="K130" t="s">
        <v>26</v>
      </c>
      <c r="L130">
        <v>2</v>
      </c>
      <c r="M130">
        <v>2</v>
      </c>
      <c r="N130">
        <v>1.9</v>
      </c>
      <c r="O130">
        <v>8.8000000000000007</v>
      </c>
      <c r="P130">
        <v>3</v>
      </c>
      <c r="Q130">
        <v>7</v>
      </c>
      <c r="R130">
        <v>629442</v>
      </c>
      <c r="S130">
        <f>Table1[[#This Row],[Revenue]]-Table1[[#This Row],[Operating_Costs]]</f>
        <v>395519</v>
      </c>
      <c r="T130">
        <v>233923</v>
      </c>
      <c r="U130">
        <v>20</v>
      </c>
      <c r="V130">
        <v>63</v>
      </c>
      <c r="W130">
        <v>10.8</v>
      </c>
    </row>
    <row r="131" spans="1:23" x14ac:dyDescent="0.25">
      <c r="A131">
        <v>7</v>
      </c>
      <c r="B131" t="s">
        <v>49</v>
      </c>
      <c r="C131" s="1">
        <v>44606</v>
      </c>
      <c r="D131" s="1">
        <v>44630</v>
      </c>
      <c r="E131" s="2">
        <f t="shared" ref="E131:E194" si="4">IF(D131-C131&lt;=30,1,0)</f>
        <v>1</v>
      </c>
      <c r="F131">
        <v>69</v>
      </c>
      <c r="G131" t="str">
        <f t="shared" ref="G131:G194" si="5">IF(F131&lt;=20,"0-20",IF(F131&lt;=40,"21-40",IF(F131&lt;=60,"41-60",IF(F131&lt;=80,"61-80","81+"))))</f>
        <v>61-80</v>
      </c>
      <c r="H131" t="s">
        <v>35</v>
      </c>
      <c r="I131" t="s">
        <v>46</v>
      </c>
      <c r="J131" t="s">
        <v>47</v>
      </c>
      <c r="K131" t="s">
        <v>33</v>
      </c>
      <c r="L131">
        <v>2</v>
      </c>
      <c r="M131">
        <v>2</v>
      </c>
      <c r="N131">
        <v>2.1</v>
      </c>
      <c r="O131">
        <v>7.9</v>
      </c>
      <c r="P131">
        <v>3</v>
      </c>
      <c r="Q131">
        <v>3</v>
      </c>
      <c r="R131">
        <v>882985</v>
      </c>
      <c r="S131">
        <f>Table1[[#This Row],[Revenue]]-Table1[[#This Row],[Operating_Costs]]</f>
        <v>381495</v>
      </c>
      <c r="T131">
        <v>501490</v>
      </c>
      <c r="U131">
        <v>49</v>
      </c>
      <c r="V131">
        <v>60</v>
      </c>
      <c r="W131">
        <v>9</v>
      </c>
    </row>
    <row r="132" spans="1:23" x14ac:dyDescent="0.25">
      <c r="A132">
        <v>5</v>
      </c>
      <c r="B132" t="s">
        <v>22</v>
      </c>
      <c r="C132" s="1">
        <v>44611</v>
      </c>
      <c r="D132" s="1">
        <v>44632</v>
      </c>
      <c r="E132" s="2">
        <f t="shared" si="4"/>
        <v>1</v>
      </c>
      <c r="F132">
        <v>59</v>
      </c>
      <c r="G132" t="str">
        <f t="shared" si="5"/>
        <v>41-60</v>
      </c>
      <c r="H132" t="s">
        <v>35</v>
      </c>
      <c r="I132" t="s">
        <v>36</v>
      </c>
      <c r="J132" t="s">
        <v>37</v>
      </c>
      <c r="K132" t="s">
        <v>29</v>
      </c>
      <c r="L132">
        <v>2</v>
      </c>
      <c r="M132">
        <v>2</v>
      </c>
      <c r="N132">
        <v>4.5</v>
      </c>
      <c r="O132">
        <v>7.5</v>
      </c>
      <c r="P132">
        <v>3</v>
      </c>
      <c r="Q132">
        <v>6</v>
      </c>
      <c r="R132">
        <v>692484</v>
      </c>
      <c r="S132">
        <f>Table1[[#This Row],[Revenue]]-Table1[[#This Row],[Operating_Costs]]</f>
        <v>381812</v>
      </c>
      <c r="T132">
        <v>310672</v>
      </c>
      <c r="U132">
        <v>30</v>
      </c>
      <c r="V132">
        <v>57</v>
      </c>
      <c r="W132">
        <v>14.1</v>
      </c>
    </row>
    <row r="133" spans="1:23" x14ac:dyDescent="0.25">
      <c r="A133">
        <v>3</v>
      </c>
      <c r="B133" t="s">
        <v>57</v>
      </c>
      <c r="C133" s="1">
        <v>44612</v>
      </c>
      <c r="D133" s="1">
        <v>44639</v>
      </c>
      <c r="E133" s="2">
        <f t="shared" si="4"/>
        <v>1</v>
      </c>
      <c r="F133">
        <v>41</v>
      </c>
      <c r="G133" t="str">
        <f t="shared" si="5"/>
        <v>41-60</v>
      </c>
      <c r="H133" t="s">
        <v>23</v>
      </c>
      <c r="I133" t="s">
        <v>24</v>
      </c>
      <c r="J133" t="s">
        <v>25</v>
      </c>
      <c r="K133" t="s">
        <v>26</v>
      </c>
      <c r="L133">
        <v>2</v>
      </c>
      <c r="M133">
        <v>2</v>
      </c>
      <c r="N133">
        <v>2.5</v>
      </c>
      <c r="O133">
        <v>8</v>
      </c>
      <c r="P133">
        <v>3</v>
      </c>
      <c r="Q133">
        <v>3</v>
      </c>
      <c r="R133">
        <v>560725</v>
      </c>
      <c r="S133">
        <f>Table1[[#This Row],[Revenue]]-Table1[[#This Row],[Operating_Costs]]</f>
        <v>231996</v>
      </c>
      <c r="T133">
        <v>328729</v>
      </c>
      <c r="U133">
        <v>22</v>
      </c>
      <c r="V133">
        <v>66</v>
      </c>
      <c r="W133">
        <v>36.5</v>
      </c>
    </row>
    <row r="134" spans="1:23" x14ac:dyDescent="0.25">
      <c r="A134">
        <v>14</v>
      </c>
      <c r="B134" t="s">
        <v>48</v>
      </c>
      <c r="C134" s="1">
        <v>44639</v>
      </c>
      <c r="D134" s="1">
        <v>44643</v>
      </c>
      <c r="E134" s="2">
        <f t="shared" si="4"/>
        <v>1</v>
      </c>
      <c r="F134">
        <v>73</v>
      </c>
      <c r="G134" t="str">
        <f t="shared" si="5"/>
        <v>61-80</v>
      </c>
      <c r="H134" t="s">
        <v>23</v>
      </c>
      <c r="I134" t="s">
        <v>24</v>
      </c>
      <c r="J134" t="s">
        <v>25</v>
      </c>
      <c r="K134" t="s">
        <v>29</v>
      </c>
      <c r="L134">
        <v>2</v>
      </c>
      <c r="M134">
        <v>2</v>
      </c>
      <c r="N134">
        <v>2.2000000000000002</v>
      </c>
      <c r="O134">
        <v>8.6999999999999993</v>
      </c>
      <c r="P134">
        <v>6</v>
      </c>
      <c r="Q134">
        <v>3</v>
      </c>
      <c r="R134">
        <v>853850</v>
      </c>
      <c r="S134">
        <f>Table1[[#This Row],[Revenue]]-Table1[[#This Row],[Operating_Costs]]</f>
        <v>169359</v>
      </c>
      <c r="T134">
        <v>684491</v>
      </c>
      <c r="U134">
        <v>49</v>
      </c>
      <c r="V134">
        <v>60</v>
      </c>
      <c r="W134">
        <v>9.8000000000000007</v>
      </c>
    </row>
    <row r="135" spans="1:23" x14ac:dyDescent="0.25">
      <c r="A135">
        <v>15</v>
      </c>
      <c r="B135" t="s">
        <v>45</v>
      </c>
      <c r="C135" s="1">
        <v>44630</v>
      </c>
      <c r="D135" s="1">
        <v>44643</v>
      </c>
      <c r="E135" s="2">
        <f t="shared" si="4"/>
        <v>1</v>
      </c>
      <c r="F135">
        <v>63</v>
      </c>
      <c r="G135" t="str">
        <f t="shared" si="5"/>
        <v>61-80</v>
      </c>
      <c r="H135" t="s">
        <v>35</v>
      </c>
      <c r="I135" t="s">
        <v>58</v>
      </c>
      <c r="J135" t="s">
        <v>59</v>
      </c>
      <c r="K135" t="s">
        <v>26</v>
      </c>
      <c r="L135">
        <v>2</v>
      </c>
      <c r="M135">
        <v>2</v>
      </c>
      <c r="N135">
        <v>3.8</v>
      </c>
      <c r="O135">
        <v>9.6</v>
      </c>
      <c r="P135">
        <v>6</v>
      </c>
      <c r="Q135">
        <v>5</v>
      </c>
      <c r="R135">
        <v>747904</v>
      </c>
      <c r="S135">
        <f>Table1[[#This Row],[Revenue]]-Table1[[#This Row],[Operating_Costs]]</f>
        <v>117719</v>
      </c>
      <c r="T135">
        <v>630185</v>
      </c>
      <c r="U135">
        <v>31</v>
      </c>
      <c r="V135">
        <v>65</v>
      </c>
      <c r="W135">
        <v>36.5</v>
      </c>
    </row>
    <row r="136" spans="1:23" x14ac:dyDescent="0.25">
      <c r="A136">
        <v>6</v>
      </c>
      <c r="B136" t="s">
        <v>70</v>
      </c>
      <c r="C136" s="1">
        <v>44618</v>
      </c>
      <c r="D136" s="1">
        <v>44645</v>
      </c>
      <c r="E136" s="2">
        <f t="shared" si="4"/>
        <v>1</v>
      </c>
      <c r="F136">
        <v>90</v>
      </c>
      <c r="G136" t="str">
        <f t="shared" si="5"/>
        <v>81+</v>
      </c>
      <c r="H136" t="s">
        <v>35</v>
      </c>
      <c r="I136" t="s">
        <v>36</v>
      </c>
      <c r="J136" t="s">
        <v>37</v>
      </c>
      <c r="K136" t="s">
        <v>26</v>
      </c>
      <c r="L136">
        <v>2</v>
      </c>
      <c r="M136">
        <v>2</v>
      </c>
      <c r="N136">
        <v>6</v>
      </c>
      <c r="O136">
        <v>9.1</v>
      </c>
      <c r="P136">
        <v>4</v>
      </c>
      <c r="Q136">
        <v>4</v>
      </c>
      <c r="R136">
        <v>675681</v>
      </c>
      <c r="S136">
        <f>Table1[[#This Row],[Revenue]]-Table1[[#This Row],[Operating_Costs]]</f>
        <v>143765</v>
      </c>
      <c r="T136">
        <v>531916</v>
      </c>
      <c r="U136">
        <v>29</v>
      </c>
      <c r="V136">
        <v>60</v>
      </c>
      <c r="W136">
        <v>10.1</v>
      </c>
    </row>
    <row r="137" spans="1:23" x14ac:dyDescent="0.25">
      <c r="A137">
        <v>12</v>
      </c>
      <c r="B137" t="s">
        <v>66</v>
      </c>
      <c r="C137" s="1">
        <v>44621</v>
      </c>
      <c r="D137" s="1">
        <v>44646</v>
      </c>
      <c r="E137" s="2">
        <f t="shared" si="4"/>
        <v>1</v>
      </c>
      <c r="F137">
        <v>85</v>
      </c>
      <c r="G137" t="str">
        <f t="shared" si="5"/>
        <v>81+</v>
      </c>
      <c r="H137" t="s">
        <v>23</v>
      </c>
      <c r="I137" t="s">
        <v>67</v>
      </c>
      <c r="J137" t="s">
        <v>68</v>
      </c>
      <c r="K137" t="s">
        <v>38</v>
      </c>
      <c r="L137">
        <v>2</v>
      </c>
      <c r="M137">
        <v>2</v>
      </c>
      <c r="N137">
        <v>4.5999999999999996</v>
      </c>
      <c r="O137">
        <v>8.6999999999999993</v>
      </c>
      <c r="P137">
        <v>4</v>
      </c>
      <c r="Q137">
        <v>4</v>
      </c>
      <c r="R137">
        <v>895399</v>
      </c>
      <c r="S137">
        <f>Table1[[#This Row],[Revenue]]-Table1[[#This Row],[Operating_Costs]]</f>
        <v>343427</v>
      </c>
      <c r="T137">
        <v>551972</v>
      </c>
      <c r="U137">
        <v>61</v>
      </c>
      <c r="V137">
        <v>57</v>
      </c>
      <c r="W137">
        <v>7.4</v>
      </c>
    </row>
    <row r="138" spans="1:23" x14ac:dyDescent="0.25">
      <c r="A138">
        <v>5</v>
      </c>
      <c r="B138" t="s">
        <v>22</v>
      </c>
      <c r="C138" s="1">
        <v>44624</v>
      </c>
      <c r="D138" s="1">
        <v>44648</v>
      </c>
      <c r="E138" s="2">
        <f t="shared" si="4"/>
        <v>1</v>
      </c>
      <c r="F138">
        <v>81</v>
      </c>
      <c r="G138" t="str">
        <f t="shared" si="5"/>
        <v>81+</v>
      </c>
      <c r="H138" t="s">
        <v>35</v>
      </c>
      <c r="I138" t="s">
        <v>61</v>
      </c>
      <c r="J138" t="s">
        <v>62</v>
      </c>
      <c r="K138" t="s">
        <v>29</v>
      </c>
      <c r="L138">
        <v>2</v>
      </c>
      <c r="M138">
        <v>2</v>
      </c>
      <c r="N138">
        <v>2.4</v>
      </c>
      <c r="O138">
        <v>7.9</v>
      </c>
      <c r="P138">
        <v>3</v>
      </c>
      <c r="Q138">
        <v>4</v>
      </c>
      <c r="R138">
        <v>747394</v>
      </c>
      <c r="S138">
        <f>Table1[[#This Row],[Revenue]]-Table1[[#This Row],[Operating_Costs]]</f>
        <v>250713</v>
      </c>
      <c r="T138">
        <v>496681</v>
      </c>
      <c r="U138">
        <v>21</v>
      </c>
      <c r="V138">
        <v>60</v>
      </c>
      <c r="W138">
        <v>12.9</v>
      </c>
    </row>
    <row r="139" spans="1:23" x14ac:dyDescent="0.25">
      <c r="A139">
        <v>5</v>
      </c>
      <c r="B139" t="s">
        <v>22</v>
      </c>
      <c r="C139" s="1">
        <v>44629</v>
      </c>
      <c r="D139" s="1">
        <v>44652</v>
      </c>
      <c r="E139" s="2">
        <f t="shared" si="4"/>
        <v>1</v>
      </c>
      <c r="F139">
        <v>80</v>
      </c>
      <c r="G139" t="str">
        <f t="shared" si="5"/>
        <v>61-80</v>
      </c>
      <c r="H139" t="s">
        <v>23</v>
      </c>
      <c r="I139" t="s">
        <v>24</v>
      </c>
      <c r="J139" t="s">
        <v>25</v>
      </c>
      <c r="K139" t="s">
        <v>38</v>
      </c>
      <c r="L139">
        <v>2</v>
      </c>
      <c r="M139">
        <v>2</v>
      </c>
      <c r="N139">
        <v>5.3</v>
      </c>
      <c r="O139">
        <v>9.4</v>
      </c>
      <c r="P139">
        <v>5</v>
      </c>
      <c r="Q139">
        <v>3</v>
      </c>
      <c r="R139">
        <v>887559</v>
      </c>
      <c r="S139">
        <f>Table1[[#This Row],[Revenue]]-Table1[[#This Row],[Operating_Costs]]</f>
        <v>404688</v>
      </c>
      <c r="T139">
        <v>482871</v>
      </c>
      <c r="U139">
        <v>37</v>
      </c>
      <c r="V139">
        <v>56</v>
      </c>
      <c r="W139">
        <v>5.9</v>
      </c>
    </row>
    <row r="140" spans="1:23" x14ac:dyDescent="0.25">
      <c r="A140">
        <v>6</v>
      </c>
      <c r="B140" t="s">
        <v>70</v>
      </c>
      <c r="C140" s="1">
        <v>44643</v>
      </c>
      <c r="D140" s="1">
        <v>44653</v>
      </c>
      <c r="E140" s="2">
        <f t="shared" si="4"/>
        <v>1</v>
      </c>
      <c r="F140">
        <v>40</v>
      </c>
      <c r="G140" t="str">
        <f t="shared" si="5"/>
        <v>21-40</v>
      </c>
      <c r="H140" t="s">
        <v>35</v>
      </c>
      <c r="I140" t="s">
        <v>61</v>
      </c>
      <c r="J140" t="s">
        <v>62</v>
      </c>
      <c r="K140" t="s">
        <v>33</v>
      </c>
      <c r="L140">
        <v>2</v>
      </c>
      <c r="M140">
        <v>2</v>
      </c>
      <c r="N140">
        <v>2.7</v>
      </c>
      <c r="O140">
        <v>9.4</v>
      </c>
      <c r="P140">
        <v>7</v>
      </c>
      <c r="Q140">
        <v>5</v>
      </c>
      <c r="R140">
        <v>793627</v>
      </c>
      <c r="S140">
        <f>Table1[[#This Row],[Revenue]]-Table1[[#This Row],[Operating_Costs]]</f>
        <v>387111</v>
      </c>
      <c r="T140">
        <v>406516</v>
      </c>
      <c r="U140">
        <v>29</v>
      </c>
      <c r="V140">
        <v>64</v>
      </c>
      <c r="W140">
        <v>6.5</v>
      </c>
    </row>
    <row r="141" spans="1:23" x14ac:dyDescent="0.25">
      <c r="A141">
        <v>4</v>
      </c>
      <c r="B141" t="s">
        <v>69</v>
      </c>
      <c r="C141" s="1">
        <v>44630</v>
      </c>
      <c r="D141" s="1">
        <v>44660</v>
      </c>
      <c r="E141" s="2">
        <f t="shared" si="4"/>
        <v>1</v>
      </c>
      <c r="F141">
        <v>46</v>
      </c>
      <c r="G141" t="str">
        <f t="shared" si="5"/>
        <v>41-60</v>
      </c>
      <c r="H141" t="s">
        <v>23</v>
      </c>
      <c r="I141" t="s">
        <v>24</v>
      </c>
      <c r="J141" t="s">
        <v>25</v>
      </c>
      <c r="K141" t="s">
        <v>29</v>
      </c>
      <c r="L141">
        <v>2</v>
      </c>
      <c r="M141">
        <v>2</v>
      </c>
      <c r="N141">
        <v>5</v>
      </c>
      <c r="O141">
        <v>9.4</v>
      </c>
      <c r="P141">
        <v>7</v>
      </c>
      <c r="Q141">
        <v>3</v>
      </c>
      <c r="R141">
        <v>994331</v>
      </c>
      <c r="S141">
        <f>Table1[[#This Row],[Revenue]]-Table1[[#This Row],[Operating_Costs]]</f>
        <v>480870</v>
      </c>
      <c r="T141">
        <v>513461</v>
      </c>
      <c r="U141">
        <v>60</v>
      </c>
      <c r="V141">
        <v>56</v>
      </c>
      <c r="W141">
        <v>13.1</v>
      </c>
    </row>
    <row r="142" spans="1:23" x14ac:dyDescent="0.25">
      <c r="A142">
        <v>14</v>
      </c>
      <c r="B142" t="s">
        <v>48</v>
      </c>
      <c r="C142" s="1">
        <v>44648</v>
      </c>
      <c r="D142" s="1">
        <v>44662</v>
      </c>
      <c r="E142" s="2">
        <f t="shared" si="4"/>
        <v>1</v>
      </c>
      <c r="F142">
        <v>41</v>
      </c>
      <c r="G142" t="str">
        <f t="shared" si="5"/>
        <v>41-60</v>
      </c>
      <c r="H142" t="s">
        <v>35</v>
      </c>
      <c r="I142" t="s">
        <v>31</v>
      </c>
      <c r="J142" t="s">
        <v>28</v>
      </c>
      <c r="K142" t="s">
        <v>26</v>
      </c>
      <c r="L142">
        <v>2</v>
      </c>
      <c r="M142">
        <v>2</v>
      </c>
      <c r="N142">
        <v>5.6</v>
      </c>
      <c r="O142">
        <v>9.4</v>
      </c>
      <c r="P142">
        <v>3</v>
      </c>
      <c r="Q142">
        <v>6</v>
      </c>
      <c r="R142">
        <v>843216</v>
      </c>
      <c r="S142">
        <f>Table1[[#This Row],[Revenue]]-Table1[[#This Row],[Operating_Costs]]</f>
        <v>185290</v>
      </c>
      <c r="T142">
        <v>657926</v>
      </c>
      <c r="U142">
        <v>36</v>
      </c>
      <c r="V142">
        <v>60</v>
      </c>
      <c r="W142">
        <v>13.8</v>
      </c>
    </row>
    <row r="143" spans="1:23" x14ac:dyDescent="0.25">
      <c r="A143">
        <v>2</v>
      </c>
      <c r="B143" t="s">
        <v>39</v>
      </c>
      <c r="C143" s="1">
        <v>44641</v>
      </c>
      <c r="D143" s="1">
        <v>44670</v>
      </c>
      <c r="E143" s="2">
        <f t="shared" si="4"/>
        <v>1</v>
      </c>
      <c r="F143">
        <v>27</v>
      </c>
      <c r="G143" t="str">
        <f t="shared" si="5"/>
        <v>21-40</v>
      </c>
      <c r="H143" t="s">
        <v>23</v>
      </c>
      <c r="I143" t="s">
        <v>27</v>
      </c>
      <c r="J143" t="s">
        <v>28</v>
      </c>
      <c r="K143" t="s">
        <v>42</v>
      </c>
      <c r="L143">
        <v>2</v>
      </c>
      <c r="M143">
        <v>2</v>
      </c>
      <c r="N143">
        <v>3.5</v>
      </c>
      <c r="O143">
        <v>7.1</v>
      </c>
      <c r="P143">
        <v>6</v>
      </c>
      <c r="Q143">
        <v>6</v>
      </c>
      <c r="R143">
        <v>669627</v>
      </c>
      <c r="S143">
        <f>Table1[[#This Row],[Revenue]]-Table1[[#This Row],[Operating_Costs]]</f>
        <v>148269</v>
      </c>
      <c r="T143">
        <v>521358</v>
      </c>
      <c r="U143">
        <v>37</v>
      </c>
      <c r="V143">
        <v>57</v>
      </c>
      <c r="W143">
        <v>36.200000000000003</v>
      </c>
    </row>
    <row r="144" spans="1:23" x14ac:dyDescent="0.25">
      <c r="A144">
        <v>5</v>
      </c>
      <c r="B144" t="s">
        <v>22</v>
      </c>
      <c r="C144" s="1">
        <v>44671</v>
      </c>
      <c r="D144" s="1">
        <v>44672</v>
      </c>
      <c r="E144" s="2">
        <f t="shared" si="4"/>
        <v>1</v>
      </c>
      <c r="F144">
        <v>58</v>
      </c>
      <c r="G144" t="str">
        <f t="shared" si="5"/>
        <v>41-60</v>
      </c>
      <c r="H144" t="s">
        <v>35</v>
      </c>
      <c r="I144" t="s">
        <v>55</v>
      </c>
      <c r="J144" t="s">
        <v>56</v>
      </c>
      <c r="K144" t="s">
        <v>26</v>
      </c>
      <c r="L144">
        <v>2</v>
      </c>
      <c r="M144">
        <v>2</v>
      </c>
      <c r="N144">
        <v>2.1</v>
      </c>
      <c r="O144">
        <v>8.9</v>
      </c>
      <c r="P144">
        <v>5</v>
      </c>
      <c r="Q144">
        <v>5</v>
      </c>
      <c r="R144">
        <v>887678</v>
      </c>
      <c r="S144">
        <f>Table1[[#This Row],[Revenue]]-Table1[[#This Row],[Operating_Costs]]</f>
        <v>541345</v>
      </c>
      <c r="T144">
        <v>346333</v>
      </c>
      <c r="U144">
        <v>28</v>
      </c>
      <c r="V144">
        <v>63</v>
      </c>
      <c r="W144">
        <v>6.3</v>
      </c>
    </row>
    <row r="145" spans="1:23" x14ac:dyDescent="0.25">
      <c r="A145">
        <v>3</v>
      </c>
      <c r="B145" t="s">
        <v>57</v>
      </c>
      <c r="C145" s="1">
        <v>44675</v>
      </c>
      <c r="D145" s="1">
        <v>44676</v>
      </c>
      <c r="E145" s="2">
        <f t="shared" si="4"/>
        <v>1</v>
      </c>
      <c r="F145">
        <v>34</v>
      </c>
      <c r="G145" t="str">
        <f t="shared" si="5"/>
        <v>21-40</v>
      </c>
      <c r="H145" t="s">
        <v>35</v>
      </c>
      <c r="I145" t="s">
        <v>36</v>
      </c>
      <c r="J145" t="s">
        <v>37</v>
      </c>
      <c r="K145" t="s">
        <v>29</v>
      </c>
      <c r="L145">
        <v>2</v>
      </c>
      <c r="M145">
        <v>2</v>
      </c>
      <c r="N145">
        <v>4</v>
      </c>
      <c r="O145">
        <v>7.6</v>
      </c>
      <c r="P145">
        <v>6</v>
      </c>
      <c r="Q145">
        <v>5</v>
      </c>
      <c r="R145">
        <v>505914</v>
      </c>
      <c r="S145">
        <f>Table1[[#This Row],[Revenue]]-Table1[[#This Row],[Operating_Costs]]</f>
        <v>107745</v>
      </c>
      <c r="T145">
        <v>398169</v>
      </c>
      <c r="U145">
        <v>15</v>
      </c>
      <c r="V145">
        <v>57</v>
      </c>
      <c r="W145">
        <v>14.2</v>
      </c>
    </row>
    <row r="146" spans="1:23" x14ac:dyDescent="0.25">
      <c r="A146">
        <v>9</v>
      </c>
      <c r="B146" t="s">
        <v>44</v>
      </c>
      <c r="C146" s="1">
        <v>44657</v>
      </c>
      <c r="D146" s="1">
        <v>44682</v>
      </c>
      <c r="E146" s="2">
        <f t="shared" si="4"/>
        <v>1</v>
      </c>
      <c r="F146">
        <v>45</v>
      </c>
      <c r="G146" t="str">
        <f t="shared" si="5"/>
        <v>41-60</v>
      </c>
      <c r="H146" t="s">
        <v>23</v>
      </c>
      <c r="I146" t="s">
        <v>64</v>
      </c>
      <c r="J146" t="s">
        <v>65</v>
      </c>
      <c r="K146" t="s">
        <v>33</v>
      </c>
      <c r="L146">
        <v>2</v>
      </c>
      <c r="M146">
        <v>2</v>
      </c>
      <c r="N146">
        <v>5.3</v>
      </c>
      <c r="O146">
        <v>7.2</v>
      </c>
      <c r="P146">
        <v>3</v>
      </c>
      <c r="Q146">
        <v>5</v>
      </c>
      <c r="R146">
        <v>572287</v>
      </c>
      <c r="S146">
        <f>Table1[[#This Row],[Revenue]]-Table1[[#This Row],[Operating_Costs]]</f>
        <v>95046</v>
      </c>
      <c r="T146">
        <v>477241</v>
      </c>
      <c r="U146">
        <v>37</v>
      </c>
      <c r="V146">
        <v>66</v>
      </c>
      <c r="W146">
        <v>9.4</v>
      </c>
    </row>
    <row r="147" spans="1:23" x14ac:dyDescent="0.25">
      <c r="A147">
        <v>11</v>
      </c>
      <c r="B147" t="s">
        <v>63</v>
      </c>
      <c r="C147" s="1">
        <v>44661</v>
      </c>
      <c r="D147" s="1">
        <v>44684</v>
      </c>
      <c r="E147" s="2">
        <f t="shared" si="4"/>
        <v>1</v>
      </c>
      <c r="F147">
        <v>33</v>
      </c>
      <c r="G147" t="str">
        <f t="shared" si="5"/>
        <v>21-40</v>
      </c>
      <c r="H147" t="s">
        <v>35</v>
      </c>
      <c r="I147" t="s">
        <v>40</v>
      </c>
      <c r="J147" t="s">
        <v>41</v>
      </c>
      <c r="K147" t="s">
        <v>29</v>
      </c>
      <c r="L147">
        <v>2</v>
      </c>
      <c r="M147">
        <v>2</v>
      </c>
      <c r="N147">
        <v>3.2</v>
      </c>
      <c r="O147">
        <v>8.3000000000000007</v>
      </c>
      <c r="P147">
        <v>6</v>
      </c>
      <c r="Q147">
        <v>7</v>
      </c>
      <c r="R147">
        <v>799406</v>
      </c>
      <c r="S147">
        <f>Table1[[#This Row],[Revenue]]-Table1[[#This Row],[Operating_Costs]]</f>
        <v>344592</v>
      </c>
      <c r="T147">
        <v>454814</v>
      </c>
      <c r="U147">
        <v>29</v>
      </c>
      <c r="V147">
        <v>59</v>
      </c>
      <c r="W147">
        <v>36.200000000000003</v>
      </c>
    </row>
    <row r="148" spans="1:23" x14ac:dyDescent="0.25">
      <c r="A148">
        <v>14</v>
      </c>
      <c r="B148" t="s">
        <v>48</v>
      </c>
      <c r="C148" s="1">
        <v>44659</v>
      </c>
      <c r="D148" s="1">
        <v>44684</v>
      </c>
      <c r="E148" s="2">
        <f t="shared" si="4"/>
        <v>1</v>
      </c>
      <c r="F148">
        <v>35</v>
      </c>
      <c r="G148" t="str">
        <f t="shared" si="5"/>
        <v>21-40</v>
      </c>
      <c r="H148" t="s">
        <v>35</v>
      </c>
      <c r="I148" t="s">
        <v>40</v>
      </c>
      <c r="J148" t="s">
        <v>41</v>
      </c>
      <c r="K148" t="s">
        <v>42</v>
      </c>
      <c r="L148">
        <v>2</v>
      </c>
      <c r="M148">
        <v>2</v>
      </c>
      <c r="N148">
        <v>5.5</v>
      </c>
      <c r="O148">
        <v>7.3</v>
      </c>
      <c r="P148">
        <v>6</v>
      </c>
      <c r="Q148">
        <v>3</v>
      </c>
      <c r="R148">
        <v>880174</v>
      </c>
      <c r="S148">
        <f>Table1[[#This Row],[Revenue]]-Table1[[#This Row],[Operating_Costs]]</f>
        <v>282522</v>
      </c>
      <c r="T148">
        <v>597652</v>
      </c>
      <c r="U148">
        <v>32</v>
      </c>
      <c r="V148">
        <v>57</v>
      </c>
      <c r="W148">
        <v>6.8</v>
      </c>
    </row>
    <row r="149" spans="1:23" x14ac:dyDescent="0.25">
      <c r="A149">
        <v>11</v>
      </c>
      <c r="B149" t="s">
        <v>63</v>
      </c>
      <c r="C149" s="1">
        <v>44664</v>
      </c>
      <c r="D149" s="1">
        <v>44685</v>
      </c>
      <c r="E149" s="2">
        <f t="shared" si="4"/>
        <v>1</v>
      </c>
      <c r="F149">
        <v>49</v>
      </c>
      <c r="G149" t="str">
        <f t="shared" si="5"/>
        <v>41-60</v>
      </c>
      <c r="H149" t="s">
        <v>35</v>
      </c>
      <c r="I149" t="s">
        <v>61</v>
      </c>
      <c r="J149" t="s">
        <v>62</v>
      </c>
      <c r="K149" t="s">
        <v>38</v>
      </c>
      <c r="L149">
        <v>2</v>
      </c>
      <c r="M149">
        <v>2</v>
      </c>
      <c r="N149">
        <v>6.9</v>
      </c>
      <c r="O149">
        <v>8.9</v>
      </c>
      <c r="P149">
        <v>6</v>
      </c>
      <c r="Q149">
        <v>6</v>
      </c>
      <c r="R149">
        <v>658144</v>
      </c>
      <c r="S149">
        <f>Table1[[#This Row],[Revenue]]-Table1[[#This Row],[Operating_Costs]]</f>
        <v>198206</v>
      </c>
      <c r="T149">
        <v>459938</v>
      </c>
      <c r="U149">
        <v>27</v>
      </c>
      <c r="V149">
        <v>63</v>
      </c>
      <c r="W149">
        <v>8.4</v>
      </c>
    </row>
    <row r="150" spans="1:23" x14ac:dyDescent="0.25">
      <c r="A150">
        <v>10</v>
      </c>
      <c r="B150" t="s">
        <v>34</v>
      </c>
      <c r="C150" s="1">
        <v>44674</v>
      </c>
      <c r="D150" s="1">
        <v>44695</v>
      </c>
      <c r="E150" s="2">
        <f t="shared" si="4"/>
        <v>1</v>
      </c>
      <c r="F150">
        <v>65</v>
      </c>
      <c r="G150" t="str">
        <f t="shared" si="5"/>
        <v>61-80</v>
      </c>
      <c r="H150" t="s">
        <v>35</v>
      </c>
      <c r="I150" t="s">
        <v>46</v>
      </c>
      <c r="J150" t="s">
        <v>47</v>
      </c>
      <c r="K150" t="s">
        <v>29</v>
      </c>
      <c r="L150">
        <v>2</v>
      </c>
      <c r="M150">
        <v>2</v>
      </c>
      <c r="N150">
        <v>6.5</v>
      </c>
      <c r="O150">
        <v>8.5</v>
      </c>
      <c r="P150">
        <v>6</v>
      </c>
      <c r="Q150">
        <v>5</v>
      </c>
      <c r="R150">
        <v>959510</v>
      </c>
      <c r="S150">
        <f>Table1[[#This Row],[Revenue]]-Table1[[#This Row],[Operating_Costs]]</f>
        <v>319154</v>
      </c>
      <c r="T150">
        <v>640356</v>
      </c>
      <c r="U150">
        <v>55</v>
      </c>
      <c r="V150">
        <v>65</v>
      </c>
      <c r="W150">
        <v>14.2</v>
      </c>
    </row>
    <row r="151" spans="1:23" x14ac:dyDescent="0.25">
      <c r="A151">
        <v>12</v>
      </c>
      <c r="B151" t="s">
        <v>66</v>
      </c>
      <c r="C151" s="1">
        <v>44676</v>
      </c>
      <c r="D151" s="1">
        <v>44697</v>
      </c>
      <c r="E151" s="2">
        <f t="shared" si="4"/>
        <v>1</v>
      </c>
      <c r="F151">
        <v>77</v>
      </c>
      <c r="G151" t="str">
        <f t="shared" si="5"/>
        <v>61-80</v>
      </c>
      <c r="H151" t="s">
        <v>35</v>
      </c>
      <c r="I151" t="s">
        <v>64</v>
      </c>
      <c r="J151" t="s">
        <v>65</v>
      </c>
      <c r="K151" t="s">
        <v>29</v>
      </c>
      <c r="L151">
        <v>2</v>
      </c>
      <c r="M151">
        <v>2</v>
      </c>
      <c r="N151">
        <v>3.8</v>
      </c>
      <c r="O151">
        <v>8.6999999999999993</v>
      </c>
      <c r="P151">
        <v>6</v>
      </c>
      <c r="Q151">
        <v>6</v>
      </c>
      <c r="R151">
        <v>984836</v>
      </c>
      <c r="S151">
        <f>Table1[[#This Row],[Revenue]]-Table1[[#This Row],[Operating_Costs]]</f>
        <v>436803</v>
      </c>
      <c r="T151">
        <v>548033</v>
      </c>
      <c r="U151">
        <v>60</v>
      </c>
      <c r="V151">
        <v>58</v>
      </c>
      <c r="W151">
        <v>5.6</v>
      </c>
    </row>
    <row r="152" spans="1:23" x14ac:dyDescent="0.25">
      <c r="A152">
        <v>3</v>
      </c>
      <c r="B152" t="s">
        <v>57</v>
      </c>
      <c r="C152" s="1">
        <v>44685</v>
      </c>
      <c r="D152" s="1">
        <v>44699</v>
      </c>
      <c r="E152" s="2">
        <f t="shared" si="4"/>
        <v>1</v>
      </c>
      <c r="F152">
        <v>88</v>
      </c>
      <c r="G152" t="str">
        <f t="shared" si="5"/>
        <v>81+</v>
      </c>
      <c r="H152" t="s">
        <v>23</v>
      </c>
      <c r="I152" t="s">
        <v>43</v>
      </c>
      <c r="J152" t="s">
        <v>25</v>
      </c>
      <c r="K152" t="s">
        <v>33</v>
      </c>
      <c r="L152">
        <v>2</v>
      </c>
      <c r="M152">
        <v>2</v>
      </c>
      <c r="N152">
        <v>5.3</v>
      </c>
      <c r="O152">
        <v>8</v>
      </c>
      <c r="P152">
        <v>7</v>
      </c>
      <c r="Q152">
        <v>5</v>
      </c>
      <c r="R152">
        <v>577616</v>
      </c>
      <c r="S152">
        <f>Table1[[#This Row],[Revenue]]-Table1[[#This Row],[Operating_Costs]]</f>
        <v>264232</v>
      </c>
      <c r="T152">
        <v>313384</v>
      </c>
      <c r="U152">
        <v>22</v>
      </c>
      <c r="V152">
        <v>60</v>
      </c>
      <c r="W152">
        <v>12.5</v>
      </c>
    </row>
    <row r="153" spans="1:23" x14ac:dyDescent="0.25">
      <c r="A153">
        <v>14</v>
      </c>
      <c r="B153" t="s">
        <v>48</v>
      </c>
      <c r="C153" s="1">
        <v>44706</v>
      </c>
      <c r="D153" s="1">
        <v>44712</v>
      </c>
      <c r="E153" s="2">
        <f t="shared" si="4"/>
        <v>1</v>
      </c>
      <c r="F153">
        <v>72</v>
      </c>
      <c r="G153" t="str">
        <f t="shared" si="5"/>
        <v>61-80</v>
      </c>
      <c r="H153" t="s">
        <v>35</v>
      </c>
      <c r="I153" t="s">
        <v>60</v>
      </c>
      <c r="J153" t="s">
        <v>59</v>
      </c>
      <c r="K153" t="s">
        <v>29</v>
      </c>
      <c r="L153">
        <v>2</v>
      </c>
      <c r="M153">
        <v>2</v>
      </c>
      <c r="N153">
        <v>2</v>
      </c>
      <c r="O153">
        <v>8.6</v>
      </c>
      <c r="P153">
        <v>3</v>
      </c>
      <c r="Q153">
        <v>4</v>
      </c>
      <c r="R153">
        <v>717456</v>
      </c>
      <c r="S153">
        <f>Table1[[#This Row],[Revenue]]-Table1[[#This Row],[Operating_Costs]]</f>
        <v>33321</v>
      </c>
      <c r="T153">
        <v>684135</v>
      </c>
      <c r="U153">
        <v>43</v>
      </c>
      <c r="V153">
        <v>65</v>
      </c>
      <c r="W153">
        <v>12.3</v>
      </c>
    </row>
    <row r="154" spans="1:23" x14ac:dyDescent="0.25">
      <c r="A154">
        <v>14</v>
      </c>
      <c r="B154" t="s">
        <v>48</v>
      </c>
      <c r="C154" s="1">
        <v>44703</v>
      </c>
      <c r="D154" s="1">
        <v>44715</v>
      </c>
      <c r="E154" s="2">
        <f t="shared" si="4"/>
        <v>1</v>
      </c>
      <c r="F154">
        <v>25</v>
      </c>
      <c r="G154" t="str">
        <f t="shared" si="5"/>
        <v>21-40</v>
      </c>
      <c r="H154" t="s">
        <v>35</v>
      </c>
      <c r="I154" t="s">
        <v>46</v>
      </c>
      <c r="J154" t="s">
        <v>47</v>
      </c>
      <c r="K154" t="s">
        <v>29</v>
      </c>
      <c r="L154">
        <v>2</v>
      </c>
      <c r="M154">
        <v>2</v>
      </c>
      <c r="N154">
        <v>1.1000000000000001</v>
      </c>
      <c r="O154">
        <v>9</v>
      </c>
      <c r="P154">
        <v>7</v>
      </c>
      <c r="Q154">
        <v>4</v>
      </c>
      <c r="R154">
        <v>736617</v>
      </c>
      <c r="S154">
        <f>Table1[[#This Row],[Revenue]]-Table1[[#This Row],[Operating_Costs]]</f>
        <v>137545</v>
      </c>
      <c r="T154">
        <v>599072</v>
      </c>
      <c r="U154">
        <v>46</v>
      </c>
      <c r="V154">
        <v>61</v>
      </c>
      <c r="W154">
        <v>13.4</v>
      </c>
    </row>
    <row r="155" spans="1:23" x14ac:dyDescent="0.25">
      <c r="A155">
        <v>5</v>
      </c>
      <c r="B155" t="s">
        <v>22</v>
      </c>
      <c r="C155" s="1">
        <v>44713</v>
      </c>
      <c r="D155" s="1">
        <v>44715</v>
      </c>
      <c r="E155" s="2">
        <f t="shared" si="4"/>
        <v>1</v>
      </c>
      <c r="F155">
        <v>46</v>
      </c>
      <c r="G155" t="str">
        <f t="shared" si="5"/>
        <v>41-60</v>
      </c>
      <c r="H155" t="s">
        <v>23</v>
      </c>
      <c r="I155" t="s">
        <v>24</v>
      </c>
      <c r="J155" t="s">
        <v>25</v>
      </c>
      <c r="K155" t="s">
        <v>29</v>
      </c>
      <c r="L155">
        <v>2</v>
      </c>
      <c r="M155">
        <v>2</v>
      </c>
      <c r="N155">
        <v>3.5</v>
      </c>
      <c r="O155">
        <v>8.6</v>
      </c>
      <c r="P155">
        <v>4</v>
      </c>
      <c r="Q155">
        <v>4</v>
      </c>
      <c r="R155">
        <v>846153</v>
      </c>
      <c r="S155">
        <f>Table1[[#This Row],[Revenue]]-Table1[[#This Row],[Operating_Costs]]</f>
        <v>613281</v>
      </c>
      <c r="T155">
        <v>232872</v>
      </c>
      <c r="U155">
        <v>26</v>
      </c>
      <c r="V155">
        <v>59</v>
      </c>
      <c r="W155">
        <v>36.5</v>
      </c>
    </row>
    <row r="156" spans="1:23" x14ac:dyDescent="0.25">
      <c r="A156">
        <v>8</v>
      </c>
      <c r="B156" t="s">
        <v>52</v>
      </c>
      <c r="C156" s="1">
        <v>44708</v>
      </c>
      <c r="D156" s="1">
        <v>44716</v>
      </c>
      <c r="E156" s="2">
        <f t="shared" si="4"/>
        <v>1</v>
      </c>
      <c r="F156">
        <v>31</v>
      </c>
      <c r="G156" t="str">
        <f t="shared" si="5"/>
        <v>21-40</v>
      </c>
      <c r="H156" t="s">
        <v>23</v>
      </c>
      <c r="I156" t="s">
        <v>31</v>
      </c>
      <c r="J156" t="s">
        <v>28</v>
      </c>
      <c r="K156" t="s">
        <v>38</v>
      </c>
      <c r="L156">
        <v>2</v>
      </c>
      <c r="M156">
        <v>2</v>
      </c>
      <c r="N156">
        <v>4.4000000000000004</v>
      </c>
      <c r="O156">
        <v>8.5</v>
      </c>
      <c r="P156">
        <v>3</v>
      </c>
      <c r="Q156">
        <v>7</v>
      </c>
      <c r="R156">
        <v>903642</v>
      </c>
      <c r="S156">
        <f>Table1[[#This Row],[Revenue]]-Table1[[#This Row],[Operating_Costs]]</f>
        <v>87403</v>
      </c>
      <c r="T156">
        <v>816239</v>
      </c>
      <c r="U156">
        <v>33</v>
      </c>
      <c r="V156">
        <v>64</v>
      </c>
      <c r="W156">
        <v>5.0999999999999996</v>
      </c>
    </row>
    <row r="157" spans="1:23" x14ac:dyDescent="0.25">
      <c r="A157">
        <v>10</v>
      </c>
      <c r="B157" t="s">
        <v>34</v>
      </c>
      <c r="C157" s="1">
        <v>44707</v>
      </c>
      <c r="D157" s="1">
        <v>44718</v>
      </c>
      <c r="E157" s="2">
        <f t="shared" si="4"/>
        <v>1</v>
      </c>
      <c r="F157">
        <v>62</v>
      </c>
      <c r="G157" t="str">
        <f t="shared" si="5"/>
        <v>61-80</v>
      </c>
      <c r="H157" t="s">
        <v>23</v>
      </c>
      <c r="I157" t="s">
        <v>50</v>
      </c>
      <c r="J157" t="s">
        <v>51</v>
      </c>
      <c r="K157" t="s">
        <v>33</v>
      </c>
      <c r="L157">
        <v>2</v>
      </c>
      <c r="M157">
        <v>2</v>
      </c>
      <c r="N157">
        <v>3</v>
      </c>
      <c r="O157">
        <v>7.5</v>
      </c>
      <c r="P157">
        <v>3</v>
      </c>
      <c r="Q157">
        <v>7</v>
      </c>
      <c r="R157">
        <v>958279</v>
      </c>
      <c r="S157">
        <f>Table1[[#This Row],[Revenue]]-Table1[[#This Row],[Operating_Costs]]</f>
        <v>282480</v>
      </c>
      <c r="T157">
        <v>675799</v>
      </c>
      <c r="U157">
        <v>67</v>
      </c>
      <c r="V157">
        <v>54</v>
      </c>
      <c r="W157">
        <v>14.3</v>
      </c>
    </row>
    <row r="158" spans="1:23" x14ac:dyDescent="0.25">
      <c r="A158">
        <v>3</v>
      </c>
      <c r="B158" t="s">
        <v>57</v>
      </c>
      <c r="C158" s="1">
        <v>44712</v>
      </c>
      <c r="D158" s="1">
        <v>44721</v>
      </c>
      <c r="E158" s="2">
        <f t="shared" si="4"/>
        <v>1</v>
      </c>
      <c r="F158">
        <v>82</v>
      </c>
      <c r="G158" t="str">
        <f t="shared" si="5"/>
        <v>81+</v>
      </c>
      <c r="H158" t="s">
        <v>35</v>
      </c>
      <c r="I158" t="s">
        <v>31</v>
      </c>
      <c r="J158" t="s">
        <v>28</v>
      </c>
      <c r="K158" t="s">
        <v>33</v>
      </c>
      <c r="L158">
        <v>2</v>
      </c>
      <c r="M158">
        <v>2</v>
      </c>
      <c r="N158">
        <v>5.5</v>
      </c>
      <c r="O158">
        <v>8.1</v>
      </c>
      <c r="P158">
        <v>6</v>
      </c>
      <c r="Q158">
        <v>4</v>
      </c>
      <c r="R158">
        <v>507621</v>
      </c>
      <c r="S158">
        <f>Table1[[#This Row],[Revenue]]-Table1[[#This Row],[Operating_Costs]]</f>
        <v>108014</v>
      </c>
      <c r="T158">
        <v>399607</v>
      </c>
      <c r="U158">
        <v>17</v>
      </c>
      <c r="V158">
        <v>64</v>
      </c>
      <c r="W158">
        <v>36.4</v>
      </c>
    </row>
    <row r="159" spans="1:23" x14ac:dyDescent="0.25">
      <c r="A159">
        <v>4</v>
      </c>
      <c r="B159" t="s">
        <v>69</v>
      </c>
      <c r="C159" s="1">
        <v>44702</v>
      </c>
      <c r="D159" s="1">
        <v>44722</v>
      </c>
      <c r="E159" s="2">
        <f t="shared" si="4"/>
        <v>1</v>
      </c>
      <c r="F159">
        <v>51</v>
      </c>
      <c r="G159" t="str">
        <f t="shared" si="5"/>
        <v>41-60</v>
      </c>
      <c r="H159" t="s">
        <v>35</v>
      </c>
      <c r="I159" t="s">
        <v>31</v>
      </c>
      <c r="J159" t="s">
        <v>28</v>
      </c>
      <c r="K159" t="s">
        <v>33</v>
      </c>
      <c r="L159">
        <v>2</v>
      </c>
      <c r="M159">
        <v>2</v>
      </c>
      <c r="N159">
        <v>4.5999999999999996</v>
      </c>
      <c r="O159">
        <v>7.8</v>
      </c>
      <c r="P159">
        <v>7</v>
      </c>
      <c r="Q159">
        <v>5</v>
      </c>
      <c r="R159">
        <v>957884</v>
      </c>
      <c r="S159">
        <f>Table1[[#This Row],[Revenue]]-Table1[[#This Row],[Operating_Costs]]</f>
        <v>409583</v>
      </c>
      <c r="T159">
        <v>548301</v>
      </c>
      <c r="U159">
        <v>49</v>
      </c>
      <c r="V159">
        <v>60</v>
      </c>
      <c r="W159">
        <v>6.1</v>
      </c>
    </row>
    <row r="160" spans="1:23" x14ac:dyDescent="0.25">
      <c r="A160">
        <v>14</v>
      </c>
      <c r="B160" t="s">
        <v>48</v>
      </c>
      <c r="C160" s="1">
        <v>44718</v>
      </c>
      <c r="D160" s="1">
        <v>44724</v>
      </c>
      <c r="E160" s="2">
        <f t="shared" si="4"/>
        <v>1</v>
      </c>
      <c r="F160">
        <v>46</v>
      </c>
      <c r="G160" t="str">
        <f t="shared" si="5"/>
        <v>41-60</v>
      </c>
      <c r="H160" t="s">
        <v>23</v>
      </c>
      <c r="I160" t="s">
        <v>58</v>
      </c>
      <c r="J160" t="s">
        <v>59</v>
      </c>
      <c r="K160" t="s">
        <v>26</v>
      </c>
      <c r="L160">
        <v>2</v>
      </c>
      <c r="M160">
        <v>2</v>
      </c>
      <c r="N160">
        <v>6.7</v>
      </c>
      <c r="O160">
        <v>8.6</v>
      </c>
      <c r="P160">
        <v>6</v>
      </c>
      <c r="Q160">
        <v>4</v>
      </c>
      <c r="R160">
        <v>713884</v>
      </c>
      <c r="S160">
        <f>Table1[[#This Row],[Revenue]]-Table1[[#This Row],[Operating_Costs]]</f>
        <v>85107</v>
      </c>
      <c r="T160">
        <v>628777</v>
      </c>
      <c r="U160">
        <v>32</v>
      </c>
      <c r="V160">
        <v>64</v>
      </c>
      <c r="W160">
        <v>12.6</v>
      </c>
    </row>
    <row r="161" spans="1:23" x14ac:dyDescent="0.25">
      <c r="A161">
        <v>13</v>
      </c>
      <c r="B161" t="s">
        <v>30</v>
      </c>
      <c r="C161" s="1">
        <v>44698</v>
      </c>
      <c r="D161" s="1">
        <v>44727</v>
      </c>
      <c r="E161" s="2">
        <f t="shared" si="4"/>
        <v>1</v>
      </c>
      <c r="F161">
        <v>55</v>
      </c>
      <c r="G161" t="str">
        <f t="shared" si="5"/>
        <v>41-60</v>
      </c>
      <c r="H161" t="s">
        <v>23</v>
      </c>
      <c r="I161" t="s">
        <v>31</v>
      </c>
      <c r="J161" t="s">
        <v>28</v>
      </c>
      <c r="K161" t="s">
        <v>38</v>
      </c>
      <c r="L161">
        <v>2</v>
      </c>
      <c r="M161">
        <v>2</v>
      </c>
      <c r="N161">
        <v>3.2</v>
      </c>
      <c r="O161">
        <v>8.1999999999999993</v>
      </c>
      <c r="P161">
        <v>3</v>
      </c>
      <c r="Q161">
        <v>7</v>
      </c>
      <c r="R161">
        <v>797403</v>
      </c>
      <c r="S161">
        <f>Table1[[#This Row],[Revenue]]-Table1[[#This Row],[Operating_Costs]]</f>
        <v>427280</v>
      </c>
      <c r="T161">
        <v>370123</v>
      </c>
      <c r="U161">
        <v>38</v>
      </c>
      <c r="V161">
        <v>64</v>
      </c>
      <c r="W161">
        <v>36.200000000000003</v>
      </c>
    </row>
    <row r="162" spans="1:23" x14ac:dyDescent="0.25">
      <c r="A162">
        <v>7</v>
      </c>
      <c r="B162" t="s">
        <v>49</v>
      </c>
      <c r="C162" s="1">
        <v>44729</v>
      </c>
      <c r="D162" s="1">
        <v>44730</v>
      </c>
      <c r="E162" s="2">
        <f t="shared" si="4"/>
        <v>1</v>
      </c>
      <c r="F162">
        <v>58</v>
      </c>
      <c r="G162" t="str">
        <f t="shared" si="5"/>
        <v>41-60</v>
      </c>
      <c r="H162" t="s">
        <v>23</v>
      </c>
      <c r="I162" t="s">
        <v>27</v>
      </c>
      <c r="J162" t="s">
        <v>28</v>
      </c>
      <c r="K162" t="s">
        <v>29</v>
      </c>
      <c r="L162">
        <v>2</v>
      </c>
      <c r="M162">
        <v>2</v>
      </c>
      <c r="N162">
        <v>3.8</v>
      </c>
      <c r="O162">
        <v>9.1999999999999993</v>
      </c>
      <c r="P162">
        <v>3</v>
      </c>
      <c r="Q162">
        <v>3</v>
      </c>
      <c r="R162">
        <v>723552</v>
      </c>
      <c r="S162">
        <f>Table1[[#This Row],[Revenue]]-Table1[[#This Row],[Operating_Costs]]</f>
        <v>165555</v>
      </c>
      <c r="T162">
        <v>557997</v>
      </c>
      <c r="U162">
        <v>48</v>
      </c>
      <c r="V162">
        <v>54</v>
      </c>
      <c r="W162">
        <v>12.1</v>
      </c>
    </row>
    <row r="163" spans="1:23" x14ac:dyDescent="0.25">
      <c r="A163">
        <v>7</v>
      </c>
      <c r="B163" t="s">
        <v>49</v>
      </c>
      <c r="C163" s="1">
        <v>44731</v>
      </c>
      <c r="D163" s="1">
        <v>44739</v>
      </c>
      <c r="E163" s="2">
        <f t="shared" si="4"/>
        <v>1</v>
      </c>
      <c r="F163">
        <v>82</v>
      </c>
      <c r="G163" t="str">
        <f t="shared" si="5"/>
        <v>81+</v>
      </c>
      <c r="H163" t="s">
        <v>23</v>
      </c>
      <c r="I163" t="s">
        <v>58</v>
      </c>
      <c r="J163" t="s">
        <v>59</v>
      </c>
      <c r="K163" t="s">
        <v>33</v>
      </c>
      <c r="L163">
        <v>2</v>
      </c>
      <c r="M163">
        <v>2</v>
      </c>
      <c r="N163">
        <v>6</v>
      </c>
      <c r="O163">
        <v>7.9</v>
      </c>
      <c r="P163">
        <v>7</v>
      </c>
      <c r="Q163">
        <v>3</v>
      </c>
      <c r="R163">
        <v>870350</v>
      </c>
      <c r="S163">
        <f>Table1[[#This Row],[Revenue]]-Table1[[#This Row],[Operating_Costs]]</f>
        <v>340389</v>
      </c>
      <c r="T163">
        <v>529961</v>
      </c>
      <c r="U163">
        <v>60</v>
      </c>
      <c r="V163">
        <v>66</v>
      </c>
      <c r="W163">
        <v>9.6</v>
      </c>
    </row>
    <row r="164" spans="1:23" x14ac:dyDescent="0.25">
      <c r="A164">
        <v>10</v>
      </c>
      <c r="B164" t="s">
        <v>34</v>
      </c>
      <c r="C164" s="1">
        <v>44722</v>
      </c>
      <c r="D164" s="1">
        <v>44739</v>
      </c>
      <c r="E164" s="2">
        <f t="shared" si="4"/>
        <v>1</v>
      </c>
      <c r="F164">
        <v>80</v>
      </c>
      <c r="G164" t="str">
        <f t="shared" si="5"/>
        <v>61-80</v>
      </c>
      <c r="H164" t="s">
        <v>23</v>
      </c>
      <c r="I164" t="s">
        <v>58</v>
      </c>
      <c r="J164" t="s">
        <v>59</v>
      </c>
      <c r="K164" t="s">
        <v>42</v>
      </c>
      <c r="L164">
        <v>2</v>
      </c>
      <c r="M164">
        <v>2</v>
      </c>
      <c r="N164">
        <v>6.9</v>
      </c>
      <c r="O164">
        <v>9.8000000000000007</v>
      </c>
      <c r="P164">
        <v>3</v>
      </c>
      <c r="Q164">
        <v>4</v>
      </c>
      <c r="R164">
        <v>998004</v>
      </c>
      <c r="S164">
        <f>Table1[[#This Row],[Revenue]]-Table1[[#This Row],[Operating_Costs]]</f>
        <v>411135</v>
      </c>
      <c r="T164">
        <v>586869</v>
      </c>
      <c r="U164">
        <v>53</v>
      </c>
      <c r="V164">
        <v>62</v>
      </c>
      <c r="W164">
        <v>7.5</v>
      </c>
    </row>
    <row r="165" spans="1:23" x14ac:dyDescent="0.25">
      <c r="A165">
        <v>4</v>
      </c>
      <c r="B165" t="s">
        <v>69</v>
      </c>
      <c r="C165" s="1">
        <v>44712</v>
      </c>
      <c r="D165" s="1">
        <v>44740</v>
      </c>
      <c r="E165" s="2">
        <f t="shared" si="4"/>
        <v>1</v>
      </c>
      <c r="F165">
        <v>59</v>
      </c>
      <c r="G165" t="str">
        <f t="shared" si="5"/>
        <v>41-60</v>
      </c>
      <c r="H165" t="s">
        <v>23</v>
      </c>
      <c r="I165" t="s">
        <v>67</v>
      </c>
      <c r="J165" t="s">
        <v>68</v>
      </c>
      <c r="K165" t="s">
        <v>33</v>
      </c>
      <c r="L165">
        <v>2</v>
      </c>
      <c r="M165">
        <v>2</v>
      </c>
      <c r="N165">
        <v>5</v>
      </c>
      <c r="O165">
        <v>7</v>
      </c>
      <c r="P165">
        <v>6</v>
      </c>
      <c r="Q165">
        <v>6</v>
      </c>
      <c r="R165">
        <v>841657</v>
      </c>
      <c r="S165">
        <f>Table1[[#This Row],[Revenue]]-Table1[[#This Row],[Operating_Costs]]</f>
        <v>240854</v>
      </c>
      <c r="T165">
        <v>600803</v>
      </c>
      <c r="U165">
        <v>37</v>
      </c>
      <c r="V165">
        <v>58</v>
      </c>
      <c r="W165">
        <v>7.9</v>
      </c>
    </row>
    <row r="166" spans="1:23" x14ac:dyDescent="0.25">
      <c r="A166">
        <v>11</v>
      </c>
      <c r="B166" t="s">
        <v>63</v>
      </c>
      <c r="C166" s="1">
        <v>44713</v>
      </c>
      <c r="D166" s="1">
        <v>44740</v>
      </c>
      <c r="E166" s="2">
        <f t="shared" si="4"/>
        <v>1</v>
      </c>
      <c r="F166">
        <v>83</v>
      </c>
      <c r="G166" t="str">
        <f t="shared" si="5"/>
        <v>81+</v>
      </c>
      <c r="H166" t="s">
        <v>23</v>
      </c>
      <c r="I166" t="s">
        <v>24</v>
      </c>
      <c r="J166" t="s">
        <v>25</v>
      </c>
      <c r="K166" t="s">
        <v>38</v>
      </c>
      <c r="L166">
        <v>2</v>
      </c>
      <c r="M166">
        <v>2</v>
      </c>
      <c r="N166">
        <v>2.1</v>
      </c>
      <c r="O166">
        <v>7.1</v>
      </c>
      <c r="P166">
        <v>7</v>
      </c>
      <c r="Q166">
        <v>7</v>
      </c>
      <c r="R166">
        <v>746380</v>
      </c>
      <c r="S166">
        <f>Table1[[#This Row],[Revenue]]-Table1[[#This Row],[Operating_Costs]]</f>
        <v>254309</v>
      </c>
      <c r="T166">
        <v>492071</v>
      </c>
      <c r="U166">
        <v>22</v>
      </c>
      <c r="V166">
        <v>55</v>
      </c>
      <c r="W166">
        <v>10.9</v>
      </c>
    </row>
    <row r="167" spans="1:23" x14ac:dyDescent="0.25">
      <c r="A167">
        <v>9</v>
      </c>
      <c r="B167" t="s">
        <v>44</v>
      </c>
      <c r="C167" s="1">
        <v>44745</v>
      </c>
      <c r="D167" s="1">
        <v>44746</v>
      </c>
      <c r="E167" s="2">
        <f t="shared" si="4"/>
        <v>1</v>
      </c>
      <c r="F167">
        <v>42</v>
      </c>
      <c r="G167" t="str">
        <f t="shared" si="5"/>
        <v>41-60</v>
      </c>
      <c r="H167" t="s">
        <v>23</v>
      </c>
      <c r="I167" t="s">
        <v>43</v>
      </c>
      <c r="J167" t="s">
        <v>25</v>
      </c>
      <c r="K167" t="s">
        <v>26</v>
      </c>
      <c r="L167">
        <v>2</v>
      </c>
      <c r="M167">
        <v>2</v>
      </c>
      <c r="N167">
        <v>2.1</v>
      </c>
      <c r="O167">
        <v>8.8000000000000007</v>
      </c>
      <c r="P167">
        <v>3</v>
      </c>
      <c r="Q167">
        <v>4</v>
      </c>
      <c r="R167">
        <v>574419</v>
      </c>
      <c r="S167">
        <f>Table1[[#This Row],[Revenue]]-Table1[[#This Row],[Operating_Costs]]</f>
        <v>119119</v>
      </c>
      <c r="T167">
        <v>455300</v>
      </c>
      <c r="U167">
        <v>35</v>
      </c>
      <c r="V167">
        <v>57</v>
      </c>
      <c r="W167">
        <v>10.9</v>
      </c>
    </row>
    <row r="168" spans="1:23" x14ac:dyDescent="0.25">
      <c r="A168">
        <v>14</v>
      </c>
      <c r="B168" t="s">
        <v>48</v>
      </c>
      <c r="C168" s="1">
        <v>44722</v>
      </c>
      <c r="D168" s="1">
        <v>44747</v>
      </c>
      <c r="E168" s="2">
        <f t="shared" si="4"/>
        <v>1</v>
      </c>
      <c r="F168">
        <v>46</v>
      </c>
      <c r="G168" t="str">
        <f t="shared" si="5"/>
        <v>41-60</v>
      </c>
      <c r="H168" t="s">
        <v>23</v>
      </c>
      <c r="I168" t="s">
        <v>64</v>
      </c>
      <c r="J168" t="s">
        <v>65</v>
      </c>
      <c r="K168" t="s">
        <v>42</v>
      </c>
      <c r="L168">
        <v>2</v>
      </c>
      <c r="M168">
        <v>2</v>
      </c>
      <c r="N168">
        <v>6.6</v>
      </c>
      <c r="O168">
        <v>7.7</v>
      </c>
      <c r="P168">
        <v>6</v>
      </c>
      <c r="Q168">
        <v>3</v>
      </c>
      <c r="R168">
        <v>724614</v>
      </c>
      <c r="S168">
        <f>Table1[[#This Row],[Revenue]]-Table1[[#This Row],[Operating_Costs]]</f>
        <v>118927</v>
      </c>
      <c r="T168">
        <v>605687</v>
      </c>
      <c r="U168">
        <v>48</v>
      </c>
      <c r="V168">
        <v>57</v>
      </c>
      <c r="W168">
        <v>10.199999999999999</v>
      </c>
    </row>
    <row r="169" spans="1:23" x14ac:dyDescent="0.25">
      <c r="A169">
        <v>15</v>
      </c>
      <c r="B169" t="s">
        <v>45</v>
      </c>
      <c r="C169" s="1">
        <v>44721</v>
      </c>
      <c r="D169" s="1">
        <v>44751</v>
      </c>
      <c r="E169" s="2">
        <f t="shared" si="4"/>
        <v>1</v>
      </c>
      <c r="F169">
        <v>57</v>
      </c>
      <c r="G169" t="str">
        <f t="shared" si="5"/>
        <v>41-60</v>
      </c>
      <c r="H169" t="s">
        <v>23</v>
      </c>
      <c r="I169" t="s">
        <v>31</v>
      </c>
      <c r="J169" t="s">
        <v>28</v>
      </c>
      <c r="K169" t="s">
        <v>42</v>
      </c>
      <c r="L169">
        <v>2</v>
      </c>
      <c r="M169">
        <v>2</v>
      </c>
      <c r="N169">
        <v>2.5</v>
      </c>
      <c r="O169">
        <v>9.3000000000000007</v>
      </c>
      <c r="P169">
        <v>4</v>
      </c>
      <c r="Q169">
        <v>5</v>
      </c>
      <c r="R169">
        <v>721809</v>
      </c>
      <c r="S169">
        <f>Table1[[#This Row],[Revenue]]-Table1[[#This Row],[Operating_Costs]]</f>
        <v>32421</v>
      </c>
      <c r="T169">
        <v>689388</v>
      </c>
      <c r="U169">
        <v>60</v>
      </c>
      <c r="V169">
        <v>57</v>
      </c>
      <c r="W169">
        <v>10.7</v>
      </c>
    </row>
    <row r="170" spans="1:23" x14ac:dyDescent="0.25">
      <c r="A170">
        <v>5</v>
      </c>
      <c r="B170" t="s">
        <v>22</v>
      </c>
      <c r="C170" s="1">
        <v>44749</v>
      </c>
      <c r="D170" s="1">
        <v>44752</v>
      </c>
      <c r="E170" s="2">
        <f t="shared" si="4"/>
        <v>1</v>
      </c>
      <c r="F170">
        <v>25</v>
      </c>
      <c r="G170" t="str">
        <f t="shared" si="5"/>
        <v>21-40</v>
      </c>
      <c r="H170" t="s">
        <v>35</v>
      </c>
      <c r="I170" t="s">
        <v>40</v>
      </c>
      <c r="J170" t="s">
        <v>41</v>
      </c>
      <c r="K170" t="s">
        <v>42</v>
      </c>
      <c r="L170">
        <v>2</v>
      </c>
      <c r="M170">
        <v>2</v>
      </c>
      <c r="N170">
        <v>4.8</v>
      </c>
      <c r="O170">
        <v>7.6</v>
      </c>
      <c r="P170">
        <v>5</v>
      </c>
      <c r="Q170">
        <v>6</v>
      </c>
      <c r="R170">
        <v>644922</v>
      </c>
      <c r="S170">
        <f>Table1[[#This Row],[Revenue]]-Table1[[#This Row],[Operating_Costs]]</f>
        <v>187686</v>
      </c>
      <c r="T170">
        <v>457236</v>
      </c>
      <c r="U170">
        <v>26</v>
      </c>
      <c r="V170">
        <v>58</v>
      </c>
      <c r="W170">
        <v>7</v>
      </c>
    </row>
    <row r="171" spans="1:23" x14ac:dyDescent="0.25">
      <c r="A171">
        <v>10</v>
      </c>
      <c r="B171" t="s">
        <v>34</v>
      </c>
      <c r="C171" s="1">
        <v>44739</v>
      </c>
      <c r="D171" s="1">
        <v>44752</v>
      </c>
      <c r="E171" s="2">
        <f t="shared" si="4"/>
        <v>1</v>
      </c>
      <c r="F171">
        <v>21</v>
      </c>
      <c r="G171" t="str">
        <f t="shared" si="5"/>
        <v>21-40</v>
      </c>
      <c r="H171" t="s">
        <v>23</v>
      </c>
      <c r="I171" t="s">
        <v>67</v>
      </c>
      <c r="J171" t="s">
        <v>68</v>
      </c>
      <c r="K171" t="s">
        <v>33</v>
      </c>
      <c r="L171">
        <v>2</v>
      </c>
      <c r="M171">
        <v>2</v>
      </c>
      <c r="N171">
        <v>3.9</v>
      </c>
      <c r="O171">
        <v>8.5</v>
      </c>
      <c r="P171">
        <v>4</v>
      </c>
      <c r="Q171">
        <v>3</v>
      </c>
      <c r="R171">
        <v>852774</v>
      </c>
      <c r="S171">
        <f>Table1[[#This Row],[Revenue]]-Table1[[#This Row],[Operating_Costs]]</f>
        <v>316387</v>
      </c>
      <c r="T171">
        <v>536387</v>
      </c>
      <c r="U171">
        <v>69</v>
      </c>
      <c r="V171">
        <v>66</v>
      </c>
      <c r="W171">
        <v>36.799999999999997</v>
      </c>
    </row>
    <row r="172" spans="1:23" x14ac:dyDescent="0.25">
      <c r="A172">
        <v>12</v>
      </c>
      <c r="B172" t="s">
        <v>66</v>
      </c>
      <c r="C172" s="1">
        <v>44722</v>
      </c>
      <c r="D172" s="1">
        <v>44752</v>
      </c>
      <c r="E172" s="2">
        <f t="shared" si="4"/>
        <v>1</v>
      </c>
      <c r="F172">
        <v>37</v>
      </c>
      <c r="G172" t="str">
        <f t="shared" si="5"/>
        <v>21-40</v>
      </c>
      <c r="H172" t="s">
        <v>23</v>
      </c>
      <c r="I172" t="s">
        <v>43</v>
      </c>
      <c r="J172" t="s">
        <v>25</v>
      </c>
      <c r="K172" t="s">
        <v>33</v>
      </c>
      <c r="L172">
        <v>2</v>
      </c>
      <c r="M172">
        <v>2</v>
      </c>
      <c r="N172">
        <v>6.6</v>
      </c>
      <c r="O172">
        <v>7.5</v>
      </c>
      <c r="P172">
        <v>3</v>
      </c>
      <c r="Q172">
        <v>4</v>
      </c>
      <c r="R172">
        <v>966458</v>
      </c>
      <c r="S172">
        <f>Table1[[#This Row],[Revenue]]-Table1[[#This Row],[Operating_Costs]]</f>
        <v>292493</v>
      </c>
      <c r="T172">
        <v>673965</v>
      </c>
      <c r="U172">
        <v>76</v>
      </c>
      <c r="V172">
        <v>62</v>
      </c>
      <c r="W172">
        <v>36.5</v>
      </c>
    </row>
    <row r="173" spans="1:23" x14ac:dyDescent="0.25">
      <c r="A173">
        <v>4</v>
      </c>
      <c r="B173" t="s">
        <v>69</v>
      </c>
      <c r="C173" s="1">
        <v>44732</v>
      </c>
      <c r="D173" s="1">
        <v>44756</v>
      </c>
      <c r="E173" s="2">
        <f t="shared" si="4"/>
        <v>1</v>
      </c>
      <c r="F173">
        <v>28</v>
      </c>
      <c r="G173" t="str">
        <f t="shared" si="5"/>
        <v>21-40</v>
      </c>
      <c r="H173" t="s">
        <v>23</v>
      </c>
      <c r="I173" t="s">
        <v>24</v>
      </c>
      <c r="J173" t="s">
        <v>25</v>
      </c>
      <c r="K173" t="s">
        <v>26</v>
      </c>
      <c r="L173">
        <v>2</v>
      </c>
      <c r="M173">
        <v>2</v>
      </c>
      <c r="N173">
        <v>3.8</v>
      </c>
      <c r="O173">
        <v>8.4</v>
      </c>
      <c r="P173">
        <v>7</v>
      </c>
      <c r="Q173">
        <v>5</v>
      </c>
      <c r="R173">
        <v>875775</v>
      </c>
      <c r="S173">
        <f>Table1[[#This Row],[Revenue]]-Table1[[#This Row],[Operating_Costs]]</f>
        <v>254571</v>
      </c>
      <c r="T173">
        <v>621204</v>
      </c>
      <c r="U173">
        <v>33</v>
      </c>
      <c r="V173">
        <v>61</v>
      </c>
      <c r="W173">
        <v>10</v>
      </c>
    </row>
    <row r="174" spans="1:23" x14ac:dyDescent="0.25">
      <c r="A174">
        <v>10</v>
      </c>
      <c r="B174" t="s">
        <v>34</v>
      </c>
      <c r="C174" s="1">
        <v>44734</v>
      </c>
      <c r="D174" s="1">
        <v>44756</v>
      </c>
      <c r="E174" s="2">
        <f t="shared" si="4"/>
        <v>1</v>
      </c>
      <c r="F174">
        <v>56</v>
      </c>
      <c r="G174" t="str">
        <f t="shared" si="5"/>
        <v>41-60</v>
      </c>
      <c r="H174" t="s">
        <v>23</v>
      </c>
      <c r="I174" t="s">
        <v>24</v>
      </c>
      <c r="J174" t="s">
        <v>25</v>
      </c>
      <c r="K174" t="s">
        <v>33</v>
      </c>
      <c r="L174">
        <v>2</v>
      </c>
      <c r="M174">
        <v>2</v>
      </c>
      <c r="N174">
        <v>1.1000000000000001</v>
      </c>
      <c r="O174">
        <v>8.6</v>
      </c>
      <c r="P174">
        <v>3</v>
      </c>
      <c r="Q174">
        <v>3</v>
      </c>
      <c r="R174">
        <v>929465</v>
      </c>
      <c r="S174">
        <f>Table1[[#This Row],[Revenue]]-Table1[[#This Row],[Operating_Costs]]</f>
        <v>280246</v>
      </c>
      <c r="T174">
        <v>649219</v>
      </c>
      <c r="U174">
        <v>59</v>
      </c>
      <c r="V174">
        <v>55</v>
      </c>
      <c r="W174">
        <v>5.6</v>
      </c>
    </row>
    <row r="175" spans="1:23" x14ac:dyDescent="0.25">
      <c r="A175">
        <v>4</v>
      </c>
      <c r="B175" t="s">
        <v>69</v>
      </c>
      <c r="C175" s="1">
        <v>44762</v>
      </c>
      <c r="D175" s="1">
        <v>44769</v>
      </c>
      <c r="E175" s="2">
        <f t="shared" si="4"/>
        <v>1</v>
      </c>
      <c r="F175">
        <v>59</v>
      </c>
      <c r="G175" t="str">
        <f t="shared" si="5"/>
        <v>41-60</v>
      </c>
      <c r="H175" t="s">
        <v>35</v>
      </c>
      <c r="I175" t="s">
        <v>36</v>
      </c>
      <c r="J175" t="s">
        <v>37</v>
      </c>
      <c r="K175" t="s">
        <v>42</v>
      </c>
      <c r="L175">
        <v>2</v>
      </c>
      <c r="M175">
        <v>2</v>
      </c>
      <c r="N175">
        <v>6.1</v>
      </c>
      <c r="O175">
        <v>8.5</v>
      </c>
      <c r="P175">
        <v>3</v>
      </c>
      <c r="Q175">
        <v>7</v>
      </c>
      <c r="R175">
        <v>980171</v>
      </c>
      <c r="S175">
        <f>Table1[[#This Row],[Revenue]]-Table1[[#This Row],[Operating_Costs]]</f>
        <v>335284</v>
      </c>
      <c r="T175">
        <v>644887</v>
      </c>
      <c r="U175">
        <v>33</v>
      </c>
      <c r="V175">
        <v>57</v>
      </c>
      <c r="W175">
        <v>9.1999999999999993</v>
      </c>
    </row>
    <row r="176" spans="1:23" x14ac:dyDescent="0.25">
      <c r="A176">
        <v>14</v>
      </c>
      <c r="B176" t="s">
        <v>48</v>
      </c>
      <c r="C176" s="1">
        <v>44757</v>
      </c>
      <c r="D176" s="1">
        <v>44771</v>
      </c>
      <c r="E176" s="2">
        <f t="shared" si="4"/>
        <v>1</v>
      </c>
      <c r="F176">
        <v>25</v>
      </c>
      <c r="G176" t="str">
        <f t="shared" si="5"/>
        <v>21-40</v>
      </c>
      <c r="H176" t="s">
        <v>23</v>
      </c>
      <c r="I176" t="s">
        <v>55</v>
      </c>
      <c r="J176" t="s">
        <v>56</v>
      </c>
      <c r="K176" t="s">
        <v>33</v>
      </c>
      <c r="L176">
        <v>2</v>
      </c>
      <c r="M176">
        <v>2</v>
      </c>
      <c r="N176">
        <v>2.7</v>
      </c>
      <c r="O176">
        <v>8.6</v>
      </c>
      <c r="P176">
        <v>3</v>
      </c>
      <c r="Q176">
        <v>7</v>
      </c>
      <c r="R176">
        <v>825027</v>
      </c>
      <c r="S176">
        <f>Table1[[#This Row],[Revenue]]-Table1[[#This Row],[Operating_Costs]]</f>
        <v>203675</v>
      </c>
      <c r="T176">
        <v>621352</v>
      </c>
      <c r="U176">
        <v>40</v>
      </c>
      <c r="V176">
        <v>59</v>
      </c>
      <c r="W176">
        <v>36</v>
      </c>
    </row>
    <row r="177" spans="1:23" x14ac:dyDescent="0.25">
      <c r="A177">
        <v>8</v>
      </c>
      <c r="B177" t="s">
        <v>52</v>
      </c>
      <c r="C177" s="1">
        <v>44764</v>
      </c>
      <c r="D177" s="1">
        <v>44773</v>
      </c>
      <c r="E177" s="2">
        <f t="shared" si="4"/>
        <v>1</v>
      </c>
      <c r="F177">
        <v>64</v>
      </c>
      <c r="G177" t="str">
        <f t="shared" si="5"/>
        <v>61-80</v>
      </c>
      <c r="H177" t="s">
        <v>35</v>
      </c>
      <c r="I177" t="s">
        <v>27</v>
      </c>
      <c r="J177" t="s">
        <v>28</v>
      </c>
      <c r="K177" t="s">
        <v>38</v>
      </c>
      <c r="L177">
        <v>2</v>
      </c>
      <c r="M177">
        <v>2</v>
      </c>
      <c r="N177">
        <v>6.9</v>
      </c>
      <c r="O177">
        <v>9.6999999999999993</v>
      </c>
      <c r="P177">
        <v>5</v>
      </c>
      <c r="Q177">
        <v>3</v>
      </c>
      <c r="R177">
        <v>989508</v>
      </c>
      <c r="S177">
        <f>Table1[[#This Row],[Revenue]]-Table1[[#This Row],[Operating_Costs]]</f>
        <v>105902</v>
      </c>
      <c r="T177">
        <v>883606</v>
      </c>
      <c r="U177">
        <v>39</v>
      </c>
      <c r="V177">
        <v>64</v>
      </c>
      <c r="W177">
        <v>10</v>
      </c>
    </row>
    <row r="178" spans="1:23" x14ac:dyDescent="0.25">
      <c r="A178">
        <v>12</v>
      </c>
      <c r="B178" t="s">
        <v>66</v>
      </c>
      <c r="C178" s="1">
        <v>44763</v>
      </c>
      <c r="D178" s="1">
        <v>44773</v>
      </c>
      <c r="E178" s="2">
        <f t="shared" si="4"/>
        <v>1</v>
      </c>
      <c r="F178">
        <v>57</v>
      </c>
      <c r="G178" t="str">
        <f t="shared" si="5"/>
        <v>41-60</v>
      </c>
      <c r="H178" t="s">
        <v>35</v>
      </c>
      <c r="I178" t="s">
        <v>55</v>
      </c>
      <c r="J178" t="s">
        <v>56</v>
      </c>
      <c r="K178" t="s">
        <v>42</v>
      </c>
      <c r="L178">
        <v>2</v>
      </c>
      <c r="M178">
        <v>2</v>
      </c>
      <c r="N178">
        <v>3.1</v>
      </c>
      <c r="O178">
        <v>8.9</v>
      </c>
      <c r="P178">
        <v>5</v>
      </c>
      <c r="Q178">
        <v>6</v>
      </c>
      <c r="R178">
        <v>878754</v>
      </c>
      <c r="S178">
        <f>Table1[[#This Row],[Revenue]]-Table1[[#This Row],[Operating_Costs]]</f>
        <v>374918</v>
      </c>
      <c r="T178">
        <v>503836</v>
      </c>
      <c r="U178">
        <v>62</v>
      </c>
      <c r="V178">
        <v>55</v>
      </c>
      <c r="W178">
        <v>36.6</v>
      </c>
    </row>
    <row r="179" spans="1:23" x14ac:dyDescent="0.25">
      <c r="A179">
        <v>2</v>
      </c>
      <c r="B179" t="s">
        <v>39</v>
      </c>
      <c r="C179" s="1">
        <v>44756</v>
      </c>
      <c r="D179" s="1">
        <v>44775</v>
      </c>
      <c r="E179" s="2">
        <f t="shared" si="4"/>
        <v>1</v>
      </c>
      <c r="F179">
        <v>49</v>
      </c>
      <c r="G179" t="str">
        <f t="shared" si="5"/>
        <v>41-60</v>
      </c>
      <c r="H179" t="s">
        <v>35</v>
      </c>
      <c r="I179" t="s">
        <v>60</v>
      </c>
      <c r="J179" t="s">
        <v>59</v>
      </c>
      <c r="K179" t="s">
        <v>26</v>
      </c>
      <c r="L179">
        <v>2</v>
      </c>
      <c r="M179">
        <v>2</v>
      </c>
      <c r="N179">
        <v>1</v>
      </c>
      <c r="O179">
        <v>7.3</v>
      </c>
      <c r="P179">
        <v>6</v>
      </c>
      <c r="Q179">
        <v>5</v>
      </c>
      <c r="R179">
        <v>751238</v>
      </c>
      <c r="S179">
        <f>Table1[[#This Row],[Revenue]]-Table1[[#This Row],[Operating_Costs]]</f>
        <v>214786</v>
      </c>
      <c r="T179">
        <v>536452</v>
      </c>
      <c r="U179">
        <v>31</v>
      </c>
      <c r="V179">
        <v>62</v>
      </c>
      <c r="W179">
        <v>12.5</v>
      </c>
    </row>
    <row r="180" spans="1:23" x14ac:dyDescent="0.25">
      <c r="A180">
        <v>5</v>
      </c>
      <c r="B180" t="s">
        <v>22</v>
      </c>
      <c r="C180" s="1">
        <v>44747</v>
      </c>
      <c r="D180" s="1">
        <v>44776</v>
      </c>
      <c r="E180" s="2">
        <f t="shared" si="4"/>
        <v>1</v>
      </c>
      <c r="F180">
        <v>50</v>
      </c>
      <c r="G180" t="str">
        <f t="shared" si="5"/>
        <v>41-60</v>
      </c>
      <c r="H180" t="s">
        <v>23</v>
      </c>
      <c r="I180" t="s">
        <v>50</v>
      </c>
      <c r="J180" t="s">
        <v>51</v>
      </c>
      <c r="K180" t="s">
        <v>26</v>
      </c>
      <c r="L180">
        <v>2</v>
      </c>
      <c r="M180">
        <v>2</v>
      </c>
      <c r="N180">
        <v>5.8</v>
      </c>
      <c r="O180">
        <v>7.3</v>
      </c>
      <c r="P180">
        <v>4</v>
      </c>
      <c r="Q180">
        <v>6</v>
      </c>
      <c r="R180">
        <v>698988</v>
      </c>
      <c r="S180">
        <f>Table1[[#This Row],[Revenue]]-Table1[[#This Row],[Operating_Costs]]</f>
        <v>228246</v>
      </c>
      <c r="T180">
        <v>470742</v>
      </c>
      <c r="U180">
        <v>21</v>
      </c>
      <c r="V180">
        <v>55</v>
      </c>
      <c r="W180">
        <v>8.1</v>
      </c>
    </row>
    <row r="181" spans="1:23" x14ac:dyDescent="0.25">
      <c r="A181">
        <v>15</v>
      </c>
      <c r="B181" t="s">
        <v>45</v>
      </c>
      <c r="C181" s="1">
        <v>44750</v>
      </c>
      <c r="D181" s="1">
        <v>44777</v>
      </c>
      <c r="E181" s="2">
        <f t="shared" si="4"/>
        <v>1</v>
      </c>
      <c r="F181">
        <v>28</v>
      </c>
      <c r="G181" t="str">
        <f t="shared" si="5"/>
        <v>21-40</v>
      </c>
      <c r="H181" t="s">
        <v>35</v>
      </c>
      <c r="I181" t="s">
        <v>61</v>
      </c>
      <c r="J181" t="s">
        <v>62</v>
      </c>
      <c r="K181" t="s">
        <v>38</v>
      </c>
      <c r="L181">
        <v>2</v>
      </c>
      <c r="M181">
        <v>2</v>
      </c>
      <c r="N181">
        <v>2.5</v>
      </c>
      <c r="O181">
        <v>7.5</v>
      </c>
      <c r="P181">
        <v>6</v>
      </c>
      <c r="Q181">
        <v>7</v>
      </c>
      <c r="R181">
        <v>748373</v>
      </c>
      <c r="S181">
        <f>Table1[[#This Row],[Revenue]]-Table1[[#This Row],[Operating_Costs]]</f>
        <v>230923</v>
      </c>
      <c r="T181">
        <v>517450</v>
      </c>
      <c r="U181">
        <v>56</v>
      </c>
      <c r="V181">
        <v>66</v>
      </c>
      <c r="W181">
        <v>14.6</v>
      </c>
    </row>
    <row r="182" spans="1:23" x14ac:dyDescent="0.25">
      <c r="A182">
        <v>5</v>
      </c>
      <c r="B182" t="s">
        <v>22</v>
      </c>
      <c r="C182" s="1">
        <v>44769</v>
      </c>
      <c r="D182" s="1">
        <v>44781</v>
      </c>
      <c r="E182" s="2">
        <f t="shared" si="4"/>
        <v>1</v>
      </c>
      <c r="F182">
        <v>48</v>
      </c>
      <c r="G182" t="str">
        <f t="shared" si="5"/>
        <v>41-60</v>
      </c>
      <c r="H182" t="s">
        <v>23</v>
      </c>
      <c r="I182" t="s">
        <v>64</v>
      </c>
      <c r="J182" t="s">
        <v>65</v>
      </c>
      <c r="K182" t="s">
        <v>42</v>
      </c>
      <c r="L182">
        <v>2</v>
      </c>
      <c r="M182">
        <v>2</v>
      </c>
      <c r="N182">
        <v>6</v>
      </c>
      <c r="O182">
        <v>9.6</v>
      </c>
      <c r="P182">
        <v>3</v>
      </c>
      <c r="Q182">
        <v>7</v>
      </c>
      <c r="R182">
        <v>676630</v>
      </c>
      <c r="S182">
        <f>Table1[[#This Row],[Revenue]]-Table1[[#This Row],[Operating_Costs]]</f>
        <v>301034</v>
      </c>
      <c r="T182">
        <v>375596</v>
      </c>
      <c r="U182">
        <v>37</v>
      </c>
      <c r="V182">
        <v>59</v>
      </c>
      <c r="W182">
        <v>36.5</v>
      </c>
    </row>
    <row r="183" spans="1:23" x14ac:dyDescent="0.25">
      <c r="A183">
        <v>14</v>
      </c>
      <c r="B183" t="s">
        <v>48</v>
      </c>
      <c r="C183" s="1">
        <v>44780</v>
      </c>
      <c r="D183" s="1">
        <v>44782</v>
      </c>
      <c r="E183" s="2">
        <f t="shared" si="4"/>
        <v>1</v>
      </c>
      <c r="F183">
        <v>58</v>
      </c>
      <c r="G183" t="str">
        <f t="shared" si="5"/>
        <v>41-60</v>
      </c>
      <c r="H183" t="s">
        <v>35</v>
      </c>
      <c r="I183" t="s">
        <v>60</v>
      </c>
      <c r="J183" t="s">
        <v>59</v>
      </c>
      <c r="K183" t="s">
        <v>42</v>
      </c>
      <c r="L183">
        <v>2</v>
      </c>
      <c r="M183">
        <v>2</v>
      </c>
      <c r="N183">
        <v>5.6</v>
      </c>
      <c r="O183">
        <v>9.4</v>
      </c>
      <c r="P183">
        <v>3</v>
      </c>
      <c r="Q183">
        <v>7</v>
      </c>
      <c r="R183">
        <v>823691</v>
      </c>
      <c r="S183">
        <f>Table1[[#This Row],[Revenue]]-Table1[[#This Row],[Operating_Costs]]</f>
        <v>170116</v>
      </c>
      <c r="T183">
        <v>653575</v>
      </c>
      <c r="U183">
        <v>44</v>
      </c>
      <c r="V183">
        <v>65</v>
      </c>
      <c r="W183">
        <v>14.1</v>
      </c>
    </row>
    <row r="184" spans="1:23" x14ac:dyDescent="0.25">
      <c r="A184">
        <v>15</v>
      </c>
      <c r="B184" t="s">
        <v>45</v>
      </c>
      <c r="C184" s="1">
        <v>44767</v>
      </c>
      <c r="D184" s="1">
        <v>44791</v>
      </c>
      <c r="E184" s="2">
        <f t="shared" si="4"/>
        <v>1</v>
      </c>
      <c r="F184">
        <v>52</v>
      </c>
      <c r="G184" t="str">
        <f t="shared" si="5"/>
        <v>41-60</v>
      </c>
      <c r="H184" t="s">
        <v>35</v>
      </c>
      <c r="I184" t="s">
        <v>58</v>
      </c>
      <c r="J184" t="s">
        <v>59</v>
      </c>
      <c r="K184" t="s">
        <v>33</v>
      </c>
      <c r="L184">
        <v>2</v>
      </c>
      <c r="M184">
        <v>2</v>
      </c>
      <c r="N184">
        <v>2.7</v>
      </c>
      <c r="O184">
        <v>9.6999999999999993</v>
      </c>
      <c r="P184">
        <v>6</v>
      </c>
      <c r="Q184">
        <v>5</v>
      </c>
      <c r="R184">
        <v>723903</v>
      </c>
      <c r="S184">
        <f>Table1[[#This Row],[Revenue]]-Table1[[#This Row],[Operating_Costs]]</f>
        <v>86489</v>
      </c>
      <c r="T184">
        <v>637414</v>
      </c>
      <c r="U184">
        <v>36</v>
      </c>
      <c r="V184">
        <v>55</v>
      </c>
      <c r="W184">
        <v>13.1</v>
      </c>
    </row>
    <row r="185" spans="1:23" x14ac:dyDescent="0.25">
      <c r="A185">
        <v>15</v>
      </c>
      <c r="B185" t="s">
        <v>45</v>
      </c>
      <c r="C185" s="1">
        <v>44768</v>
      </c>
      <c r="D185" s="1">
        <v>44795</v>
      </c>
      <c r="E185" s="2">
        <f t="shared" si="4"/>
        <v>1</v>
      </c>
      <c r="F185">
        <v>38</v>
      </c>
      <c r="G185" t="str">
        <f t="shared" si="5"/>
        <v>21-40</v>
      </c>
      <c r="H185" t="s">
        <v>23</v>
      </c>
      <c r="I185" t="s">
        <v>43</v>
      </c>
      <c r="J185" t="s">
        <v>25</v>
      </c>
      <c r="K185" t="s">
        <v>26</v>
      </c>
      <c r="L185">
        <v>2</v>
      </c>
      <c r="M185">
        <v>2</v>
      </c>
      <c r="N185">
        <v>2.6</v>
      </c>
      <c r="O185">
        <v>9.4</v>
      </c>
      <c r="P185">
        <v>7</v>
      </c>
      <c r="Q185">
        <v>5</v>
      </c>
      <c r="R185">
        <v>720779</v>
      </c>
      <c r="S185">
        <f>Table1[[#This Row],[Revenue]]-Table1[[#This Row],[Operating_Costs]]</f>
        <v>167151</v>
      </c>
      <c r="T185">
        <v>553628</v>
      </c>
      <c r="U185">
        <v>59</v>
      </c>
      <c r="V185">
        <v>62</v>
      </c>
      <c r="W185">
        <v>14.4</v>
      </c>
    </row>
    <row r="186" spans="1:23" x14ac:dyDescent="0.25">
      <c r="A186">
        <v>15</v>
      </c>
      <c r="B186" t="s">
        <v>45</v>
      </c>
      <c r="C186" s="1">
        <v>44769</v>
      </c>
      <c r="D186" s="1">
        <v>44797</v>
      </c>
      <c r="E186" s="2">
        <f t="shared" si="4"/>
        <v>1</v>
      </c>
      <c r="F186">
        <v>89</v>
      </c>
      <c r="G186" t="str">
        <f t="shared" si="5"/>
        <v>81+</v>
      </c>
      <c r="H186" t="s">
        <v>35</v>
      </c>
      <c r="I186" t="s">
        <v>31</v>
      </c>
      <c r="J186" t="s">
        <v>28</v>
      </c>
      <c r="K186" t="s">
        <v>29</v>
      </c>
      <c r="L186">
        <v>2</v>
      </c>
      <c r="M186">
        <v>2</v>
      </c>
      <c r="N186">
        <v>4.2</v>
      </c>
      <c r="O186">
        <v>9.3000000000000007</v>
      </c>
      <c r="P186">
        <v>3</v>
      </c>
      <c r="Q186">
        <v>4</v>
      </c>
      <c r="R186">
        <v>762958</v>
      </c>
      <c r="S186">
        <f>Table1[[#This Row],[Revenue]]-Table1[[#This Row],[Operating_Costs]]</f>
        <v>71318</v>
      </c>
      <c r="T186">
        <v>691640</v>
      </c>
      <c r="U186">
        <v>33</v>
      </c>
      <c r="V186">
        <v>54</v>
      </c>
      <c r="W186">
        <v>13.5</v>
      </c>
    </row>
    <row r="187" spans="1:23" x14ac:dyDescent="0.25">
      <c r="A187">
        <v>3</v>
      </c>
      <c r="B187" t="s">
        <v>57</v>
      </c>
      <c r="C187" s="1">
        <v>44790</v>
      </c>
      <c r="D187" s="1">
        <v>44800</v>
      </c>
      <c r="E187" s="2">
        <f t="shared" si="4"/>
        <v>1</v>
      </c>
      <c r="F187">
        <v>33</v>
      </c>
      <c r="G187" t="str">
        <f t="shared" si="5"/>
        <v>21-40</v>
      </c>
      <c r="H187" t="s">
        <v>35</v>
      </c>
      <c r="I187" t="s">
        <v>40</v>
      </c>
      <c r="J187" t="s">
        <v>41</v>
      </c>
      <c r="K187" t="s">
        <v>26</v>
      </c>
      <c r="L187">
        <v>2</v>
      </c>
      <c r="M187">
        <v>2</v>
      </c>
      <c r="N187">
        <v>5.7</v>
      </c>
      <c r="O187">
        <v>9.6999999999999993</v>
      </c>
      <c r="P187">
        <v>6</v>
      </c>
      <c r="Q187">
        <v>7</v>
      </c>
      <c r="R187">
        <v>526597</v>
      </c>
      <c r="S187">
        <f>Table1[[#This Row],[Revenue]]-Table1[[#This Row],[Operating_Costs]]</f>
        <v>157022</v>
      </c>
      <c r="T187">
        <v>369575</v>
      </c>
      <c r="U187">
        <v>23</v>
      </c>
      <c r="V187">
        <v>65</v>
      </c>
      <c r="W187">
        <v>7.9</v>
      </c>
    </row>
    <row r="188" spans="1:23" x14ac:dyDescent="0.25">
      <c r="A188">
        <v>5</v>
      </c>
      <c r="B188" t="s">
        <v>22</v>
      </c>
      <c r="C188" s="1">
        <v>44786</v>
      </c>
      <c r="D188" s="1">
        <v>44801</v>
      </c>
      <c r="E188" s="2">
        <f t="shared" si="4"/>
        <v>1</v>
      </c>
      <c r="F188">
        <v>81</v>
      </c>
      <c r="G188" t="str">
        <f t="shared" si="5"/>
        <v>81+</v>
      </c>
      <c r="H188" t="s">
        <v>35</v>
      </c>
      <c r="I188" t="s">
        <v>60</v>
      </c>
      <c r="J188" t="s">
        <v>59</v>
      </c>
      <c r="K188" t="s">
        <v>29</v>
      </c>
      <c r="L188">
        <v>2</v>
      </c>
      <c r="M188">
        <v>2</v>
      </c>
      <c r="N188">
        <v>1.6</v>
      </c>
      <c r="O188">
        <v>10</v>
      </c>
      <c r="P188">
        <v>7</v>
      </c>
      <c r="Q188">
        <v>7</v>
      </c>
      <c r="R188">
        <v>761921</v>
      </c>
      <c r="S188">
        <f>Table1[[#This Row],[Revenue]]-Table1[[#This Row],[Operating_Costs]]</f>
        <v>372987</v>
      </c>
      <c r="T188">
        <v>388934</v>
      </c>
      <c r="U188">
        <v>35</v>
      </c>
      <c r="V188">
        <v>57</v>
      </c>
      <c r="W188">
        <v>13.9</v>
      </c>
    </row>
    <row r="189" spans="1:23" x14ac:dyDescent="0.25">
      <c r="A189">
        <v>8</v>
      </c>
      <c r="B189" t="s">
        <v>52</v>
      </c>
      <c r="C189" s="1">
        <v>44790</v>
      </c>
      <c r="D189" s="1">
        <v>44804</v>
      </c>
      <c r="E189" s="2">
        <f t="shared" si="4"/>
        <v>1</v>
      </c>
      <c r="F189">
        <v>63</v>
      </c>
      <c r="G189" t="str">
        <f t="shared" si="5"/>
        <v>61-80</v>
      </c>
      <c r="H189" t="s">
        <v>23</v>
      </c>
      <c r="I189" t="s">
        <v>27</v>
      </c>
      <c r="J189" t="s">
        <v>28</v>
      </c>
      <c r="K189" t="s">
        <v>38</v>
      </c>
      <c r="L189">
        <v>2</v>
      </c>
      <c r="M189">
        <v>2</v>
      </c>
      <c r="N189">
        <v>5.6</v>
      </c>
      <c r="O189">
        <v>8.6999999999999993</v>
      </c>
      <c r="P189">
        <v>6</v>
      </c>
      <c r="Q189">
        <v>6</v>
      </c>
      <c r="R189">
        <v>912143</v>
      </c>
      <c r="S189">
        <f>Table1[[#This Row],[Revenue]]-Table1[[#This Row],[Operating_Costs]]</f>
        <v>19460</v>
      </c>
      <c r="T189">
        <v>892683</v>
      </c>
      <c r="U189">
        <v>36</v>
      </c>
      <c r="V189">
        <v>64</v>
      </c>
      <c r="W189">
        <v>6</v>
      </c>
    </row>
    <row r="190" spans="1:23" x14ac:dyDescent="0.25">
      <c r="A190">
        <v>4</v>
      </c>
      <c r="B190" t="s">
        <v>69</v>
      </c>
      <c r="C190" s="1">
        <v>44796</v>
      </c>
      <c r="D190" s="1">
        <v>44806</v>
      </c>
      <c r="E190" s="2">
        <f t="shared" si="4"/>
        <v>1</v>
      </c>
      <c r="F190">
        <v>53</v>
      </c>
      <c r="G190" t="str">
        <f t="shared" si="5"/>
        <v>41-60</v>
      </c>
      <c r="H190" t="s">
        <v>35</v>
      </c>
      <c r="I190" t="s">
        <v>36</v>
      </c>
      <c r="J190" t="s">
        <v>37</v>
      </c>
      <c r="K190" t="s">
        <v>38</v>
      </c>
      <c r="L190">
        <v>2</v>
      </c>
      <c r="M190">
        <v>2</v>
      </c>
      <c r="N190">
        <v>6.7</v>
      </c>
      <c r="O190">
        <v>8</v>
      </c>
      <c r="P190">
        <v>5</v>
      </c>
      <c r="Q190">
        <v>7</v>
      </c>
      <c r="R190">
        <v>898569</v>
      </c>
      <c r="S190">
        <f>Table1[[#This Row],[Revenue]]-Table1[[#This Row],[Operating_Costs]]</f>
        <v>258319</v>
      </c>
      <c r="T190">
        <v>640250</v>
      </c>
      <c r="U190">
        <v>60</v>
      </c>
      <c r="V190">
        <v>63</v>
      </c>
      <c r="W190">
        <v>9.6999999999999993</v>
      </c>
    </row>
    <row r="191" spans="1:23" x14ac:dyDescent="0.25">
      <c r="A191">
        <v>3</v>
      </c>
      <c r="B191" t="s">
        <v>57</v>
      </c>
      <c r="C191" s="1">
        <v>44786</v>
      </c>
      <c r="D191" s="1">
        <v>44808</v>
      </c>
      <c r="E191" s="2">
        <f t="shared" si="4"/>
        <v>1</v>
      </c>
      <c r="F191">
        <v>84</v>
      </c>
      <c r="G191" t="str">
        <f t="shared" si="5"/>
        <v>81+</v>
      </c>
      <c r="H191" t="s">
        <v>35</v>
      </c>
      <c r="I191" t="s">
        <v>58</v>
      </c>
      <c r="J191" t="s">
        <v>59</v>
      </c>
      <c r="K191" t="s">
        <v>38</v>
      </c>
      <c r="L191">
        <v>2</v>
      </c>
      <c r="M191">
        <v>2</v>
      </c>
      <c r="N191">
        <v>3.9</v>
      </c>
      <c r="O191">
        <v>7.2</v>
      </c>
      <c r="P191">
        <v>4</v>
      </c>
      <c r="Q191">
        <v>3</v>
      </c>
      <c r="R191">
        <v>505859</v>
      </c>
      <c r="S191">
        <f>Table1[[#This Row],[Revenue]]-Table1[[#This Row],[Operating_Costs]]</f>
        <v>169209</v>
      </c>
      <c r="T191">
        <v>336650</v>
      </c>
      <c r="U191">
        <v>22</v>
      </c>
      <c r="V191">
        <v>54</v>
      </c>
      <c r="W191">
        <v>8.5</v>
      </c>
    </row>
    <row r="192" spans="1:23" x14ac:dyDescent="0.25">
      <c r="A192">
        <v>5</v>
      </c>
      <c r="B192" t="s">
        <v>22</v>
      </c>
      <c r="C192" s="1">
        <v>44800</v>
      </c>
      <c r="D192" s="1">
        <v>44812</v>
      </c>
      <c r="E192" s="2">
        <f t="shared" si="4"/>
        <v>1</v>
      </c>
      <c r="F192">
        <v>74</v>
      </c>
      <c r="G192" t="str">
        <f t="shared" si="5"/>
        <v>61-80</v>
      </c>
      <c r="H192" t="s">
        <v>35</v>
      </c>
      <c r="I192" t="s">
        <v>31</v>
      </c>
      <c r="J192" t="s">
        <v>28</v>
      </c>
      <c r="K192" t="s">
        <v>33</v>
      </c>
      <c r="L192">
        <v>2</v>
      </c>
      <c r="M192">
        <v>2</v>
      </c>
      <c r="N192">
        <v>6.7</v>
      </c>
      <c r="O192">
        <v>9.6999999999999993</v>
      </c>
      <c r="P192">
        <v>3</v>
      </c>
      <c r="Q192">
        <v>6</v>
      </c>
      <c r="R192">
        <v>959759</v>
      </c>
      <c r="S192">
        <f>Table1[[#This Row],[Revenue]]-Table1[[#This Row],[Operating_Costs]]</f>
        <v>685876</v>
      </c>
      <c r="T192">
        <v>273883</v>
      </c>
      <c r="U192">
        <v>31</v>
      </c>
      <c r="V192">
        <v>64</v>
      </c>
      <c r="W192">
        <v>8.6999999999999993</v>
      </c>
    </row>
    <row r="193" spans="1:23" x14ac:dyDescent="0.25">
      <c r="A193">
        <v>12</v>
      </c>
      <c r="B193" t="s">
        <v>66</v>
      </c>
      <c r="C193" s="1">
        <v>44815</v>
      </c>
      <c r="D193" s="1">
        <v>44817</v>
      </c>
      <c r="E193" s="2">
        <f t="shared" si="4"/>
        <v>1</v>
      </c>
      <c r="F193">
        <v>35</v>
      </c>
      <c r="G193" t="str">
        <f t="shared" si="5"/>
        <v>21-40</v>
      </c>
      <c r="H193" t="s">
        <v>23</v>
      </c>
      <c r="I193" t="s">
        <v>67</v>
      </c>
      <c r="J193" t="s">
        <v>68</v>
      </c>
      <c r="K193" t="s">
        <v>29</v>
      </c>
      <c r="L193">
        <v>2</v>
      </c>
      <c r="M193">
        <v>2</v>
      </c>
      <c r="N193">
        <v>2.9</v>
      </c>
      <c r="O193">
        <v>7</v>
      </c>
      <c r="P193">
        <v>5</v>
      </c>
      <c r="Q193">
        <v>3</v>
      </c>
      <c r="R193">
        <v>808717</v>
      </c>
      <c r="S193">
        <f>Table1[[#This Row],[Revenue]]-Table1[[#This Row],[Operating_Costs]]</f>
        <v>296327</v>
      </c>
      <c r="T193">
        <v>512390</v>
      </c>
      <c r="U193">
        <v>77</v>
      </c>
      <c r="V193">
        <v>61</v>
      </c>
      <c r="W193">
        <v>10.7</v>
      </c>
    </row>
    <row r="194" spans="1:23" x14ac:dyDescent="0.25">
      <c r="A194">
        <v>7</v>
      </c>
      <c r="B194" t="s">
        <v>49</v>
      </c>
      <c r="C194" s="1">
        <v>44816</v>
      </c>
      <c r="D194" s="1">
        <v>44820</v>
      </c>
      <c r="E194" s="2">
        <f t="shared" si="4"/>
        <v>1</v>
      </c>
      <c r="F194">
        <v>87</v>
      </c>
      <c r="G194" t="str">
        <f t="shared" si="5"/>
        <v>81+</v>
      </c>
      <c r="H194" t="s">
        <v>23</v>
      </c>
      <c r="I194" t="s">
        <v>50</v>
      </c>
      <c r="J194" t="s">
        <v>51</v>
      </c>
      <c r="K194" t="s">
        <v>42</v>
      </c>
      <c r="L194">
        <v>2</v>
      </c>
      <c r="M194">
        <v>2</v>
      </c>
      <c r="N194">
        <v>2.5</v>
      </c>
      <c r="O194">
        <v>8.3000000000000007</v>
      </c>
      <c r="P194">
        <v>3</v>
      </c>
      <c r="Q194">
        <v>4</v>
      </c>
      <c r="R194">
        <v>878614</v>
      </c>
      <c r="S194">
        <f>Table1[[#This Row],[Revenue]]-Table1[[#This Row],[Operating_Costs]]</f>
        <v>299245</v>
      </c>
      <c r="T194">
        <v>579369</v>
      </c>
      <c r="U194">
        <v>46</v>
      </c>
      <c r="V194">
        <v>55</v>
      </c>
      <c r="W194">
        <v>9.4</v>
      </c>
    </row>
    <row r="195" spans="1:23" x14ac:dyDescent="0.25">
      <c r="A195">
        <v>12</v>
      </c>
      <c r="B195" t="s">
        <v>66</v>
      </c>
      <c r="C195" s="1">
        <v>44794</v>
      </c>
      <c r="D195" s="1">
        <v>44820</v>
      </c>
      <c r="E195" s="2">
        <f t="shared" ref="E195:E258" si="6">IF(D195-C195&lt;=30,1,0)</f>
        <v>1</v>
      </c>
      <c r="F195">
        <v>27</v>
      </c>
      <c r="G195" t="str">
        <f t="shared" ref="G195:G258" si="7">IF(F195&lt;=20,"0-20",IF(F195&lt;=40,"21-40",IF(F195&lt;=60,"41-60",IF(F195&lt;=80,"61-80","81+"))))</f>
        <v>21-40</v>
      </c>
      <c r="H195" t="s">
        <v>35</v>
      </c>
      <c r="I195" t="s">
        <v>46</v>
      </c>
      <c r="J195" t="s">
        <v>47</v>
      </c>
      <c r="K195" t="s">
        <v>42</v>
      </c>
      <c r="L195">
        <v>2</v>
      </c>
      <c r="M195">
        <v>2</v>
      </c>
      <c r="N195">
        <v>1.2</v>
      </c>
      <c r="O195">
        <v>8.6999999999999993</v>
      </c>
      <c r="P195">
        <v>6</v>
      </c>
      <c r="Q195">
        <v>4</v>
      </c>
      <c r="R195">
        <v>922609</v>
      </c>
      <c r="S195">
        <f>Table1[[#This Row],[Revenue]]-Table1[[#This Row],[Operating_Costs]]</f>
        <v>294860</v>
      </c>
      <c r="T195">
        <v>627749</v>
      </c>
      <c r="U195">
        <v>69</v>
      </c>
      <c r="V195">
        <v>59</v>
      </c>
      <c r="W195">
        <v>12</v>
      </c>
    </row>
    <row r="196" spans="1:23" x14ac:dyDescent="0.25">
      <c r="A196">
        <v>9</v>
      </c>
      <c r="B196" t="s">
        <v>44</v>
      </c>
      <c r="C196" s="1">
        <v>44798</v>
      </c>
      <c r="D196" s="1">
        <v>44823</v>
      </c>
      <c r="E196" s="2">
        <f t="shared" si="6"/>
        <v>1</v>
      </c>
      <c r="F196">
        <v>51</v>
      </c>
      <c r="G196" t="str">
        <f t="shared" si="7"/>
        <v>41-60</v>
      </c>
      <c r="H196" t="s">
        <v>23</v>
      </c>
      <c r="I196" t="s">
        <v>24</v>
      </c>
      <c r="J196" t="s">
        <v>25</v>
      </c>
      <c r="K196" t="s">
        <v>42</v>
      </c>
      <c r="L196">
        <v>2</v>
      </c>
      <c r="M196">
        <v>2</v>
      </c>
      <c r="N196">
        <v>2.8</v>
      </c>
      <c r="O196">
        <v>7.3</v>
      </c>
      <c r="P196">
        <v>3</v>
      </c>
      <c r="Q196">
        <v>7</v>
      </c>
      <c r="R196">
        <v>515003</v>
      </c>
      <c r="S196">
        <f>Table1[[#This Row],[Revenue]]-Table1[[#This Row],[Operating_Costs]]</f>
        <v>110165</v>
      </c>
      <c r="T196">
        <v>404838</v>
      </c>
      <c r="U196">
        <v>37</v>
      </c>
      <c r="V196">
        <v>59</v>
      </c>
      <c r="W196">
        <v>36.200000000000003</v>
      </c>
    </row>
    <row r="197" spans="1:23" x14ac:dyDescent="0.25">
      <c r="A197">
        <v>5</v>
      </c>
      <c r="B197" t="s">
        <v>22</v>
      </c>
      <c r="C197" s="1">
        <v>44801</v>
      </c>
      <c r="D197" s="1">
        <v>44825</v>
      </c>
      <c r="E197" s="2">
        <f t="shared" si="6"/>
        <v>1</v>
      </c>
      <c r="F197">
        <v>58</v>
      </c>
      <c r="G197" t="str">
        <f t="shared" si="7"/>
        <v>41-60</v>
      </c>
      <c r="H197" t="s">
        <v>35</v>
      </c>
      <c r="I197" t="s">
        <v>36</v>
      </c>
      <c r="J197" t="s">
        <v>37</v>
      </c>
      <c r="K197" t="s">
        <v>33</v>
      </c>
      <c r="L197">
        <v>2</v>
      </c>
      <c r="M197">
        <v>2</v>
      </c>
      <c r="N197">
        <v>4.9000000000000004</v>
      </c>
      <c r="O197">
        <v>8.6</v>
      </c>
      <c r="P197">
        <v>4</v>
      </c>
      <c r="Q197">
        <v>5</v>
      </c>
      <c r="R197">
        <v>866510</v>
      </c>
      <c r="S197">
        <f>Table1[[#This Row],[Revenue]]-Table1[[#This Row],[Operating_Costs]]</f>
        <v>562600</v>
      </c>
      <c r="T197">
        <v>303910</v>
      </c>
      <c r="U197">
        <v>33</v>
      </c>
      <c r="V197">
        <v>61</v>
      </c>
      <c r="W197">
        <v>8.4</v>
      </c>
    </row>
    <row r="198" spans="1:23" x14ac:dyDescent="0.25">
      <c r="A198">
        <v>12</v>
      </c>
      <c r="B198" t="s">
        <v>66</v>
      </c>
      <c r="C198" s="1">
        <v>44819</v>
      </c>
      <c r="D198" s="1">
        <v>44826</v>
      </c>
      <c r="E198" s="2">
        <f t="shared" si="6"/>
        <v>1</v>
      </c>
      <c r="F198">
        <v>44</v>
      </c>
      <c r="G198" t="str">
        <f t="shared" si="7"/>
        <v>41-60</v>
      </c>
      <c r="H198" t="s">
        <v>23</v>
      </c>
      <c r="I198" t="s">
        <v>46</v>
      </c>
      <c r="J198" t="s">
        <v>47</v>
      </c>
      <c r="K198" t="s">
        <v>33</v>
      </c>
      <c r="L198">
        <v>2</v>
      </c>
      <c r="M198">
        <v>2</v>
      </c>
      <c r="N198">
        <v>2.4</v>
      </c>
      <c r="O198">
        <v>9.4</v>
      </c>
      <c r="P198">
        <v>6</v>
      </c>
      <c r="Q198">
        <v>7</v>
      </c>
      <c r="R198">
        <v>867184</v>
      </c>
      <c r="S198">
        <f>Table1[[#This Row],[Revenue]]-Table1[[#This Row],[Operating_Costs]]</f>
        <v>334041</v>
      </c>
      <c r="T198">
        <v>533143</v>
      </c>
      <c r="U198">
        <v>75</v>
      </c>
      <c r="V198">
        <v>60</v>
      </c>
      <c r="W198">
        <v>7.9</v>
      </c>
    </row>
    <row r="199" spans="1:23" x14ac:dyDescent="0.25">
      <c r="A199">
        <v>14</v>
      </c>
      <c r="B199" t="s">
        <v>48</v>
      </c>
      <c r="C199" s="1">
        <v>44806</v>
      </c>
      <c r="D199" s="1">
        <v>44827</v>
      </c>
      <c r="E199" s="2">
        <f t="shared" si="6"/>
        <v>1</v>
      </c>
      <c r="F199">
        <v>60</v>
      </c>
      <c r="G199" t="str">
        <f t="shared" si="7"/>
        <v>41-60</v>
      </c>
      <c r="H199" t="s">
        <v>35</v>
      </c>
      <c r="I199" t="s">
        <v>53</v>
      </c>
      <c r="J199" t="s">
        <v>54</v>
      </c>
      <c r="K199" t="s">
        <v>33</v>
      </c>
      <c r="L199">
        <v>2</v>
      </c>
      <c r="M199">
        <v>2</v>
      </c>
      <c r="N199">
        <v>2.5</v>
      </c>
      <c r="O199">
        <v>8.4</v>
      </c>
      <c r="P199">
        <v>3</v>
      </c>
      <c r="Q199">
        <v>3</v>
      </c>
      <c r="R199">
        <v>785127</v>
      </c>
      <c r="S199">
        <f>Table1[[#This Row],[Revenue]]-Table1[[#This Row],[Operating_Costs]]</f>
        <v>112552</v>
      </c>
      <c r="T199">
        <v>672575</v>
      </c>
      <c r="U199">
        <v>47</v>
      </c>
      <c r="V199">
        <v>54</v>
      </c>
      <c r="W199">
        <v>7.8</v>
      </c>
    </row>
    <row r="200" spans="1:23" x14ac:dyDescent="0.25">
      <c r="A200">
        <v>14</v>
      </c>
      <c r="B200" t="s">
        <v>48</v>
      </c>
      <c r="C200" s="1">
        <v>44821</v>
      </c>
      <c r="D200" s="1">
        <v>44835</v>
      </c>
      <c r="E200" s="2">
        <f t="shared" si="6"/>
        <v>1</v>
      </c>
      <c r="F200">
        <v>64</v>
      </c>
      <c r="G200" t="str">
        <f t="shared" si="7"/>
        <v>61-80</v>
      </c>
      <c r="H200" t="s">
        <v>35</v>
      </c>
      <c r="I200" t="s">
        <v>36</v>
      </c>
      <c r="J200" t="s">
        <v>37</v>
      </c>
      <c r="K200" t="s">
        <v>26</v>
      </c>
      <c r="L200">
        <v>2</v>
      </c>
      <c r="M200">
        <v>2</v>
      </c>
      <c r="N200">
        <v>5.5</v>
      </c>
      <c r="O200">
        <v>9.6</v>
      </c>
      <c r="P200">
        <v>4</v>
      </c>
      <c r="Q200">
        <v>4</v>
      </c>
      <c r="R200">
        <v>856120</v>
      </c>
      <c r="S200">
        <f>Table1[[#This Row],[Revenue]]-Table1[[#This Row],[Operating_Costs]]</f>
        <v>268637</v>
      </c>
      <c r="T200">
        <v>587483</v>
      </c>
      <c r="U200">
        <v>46</v>
      </c>
      <c r="V200">
        <v>64</v>
      </c>
      <c r="W200">
        <v>8.5</v>
      </c>
    </row>
    <row r="201" spans="1:23" x14ac:dyDescent="0.25">
      <c r="A201">
        <v>4</v>
      </c>
      <c r="B201" t="s">
        <v>69</v>
      </c>
      <c r="C201" s="1">
        <v>44824</v>
      </c>
      <c r="D201" s="1">
        <v>44836</v>
      </c>
      <c r="E201" s="2">
        <f t="shared" si="6"/>
        <v>1</v>
      </c>
      <c r="F201">
        <v>87</v>
      </c>
      <c r="G201" t="str">
        <f t="shared" si="7"/>
        <v>81+</v>
      </c>
      <c r="H201" t="s">
        <v>23</v>
      </c>
      <c r="I201" t="s">
        <v>31</v>
      </c>
      <c r="J201" t="s">
        <v>28</v>
      </c>
      <c r="K201" t="s">
        <v>38</v>
      </c>
      <c r="L201">
        <v>2</v>
      </c>
      <c r="M201">
        <v>2</v>
      </c>
      <c r="N201">
        <v>2.1</v>
      </c>
      <c r="O201">
        <v>9.6</v>
      </c>
      <c r="P201">
        <v>3</v>
      </c>
      <c r="Q201">
        <v>3</v>
      </c>
      <c r="R201">
        <v>955215</v>
      </c>
      <c r="S201">
        <f>Table1[[#This Row],[Revenue]]-Table1[[#This Row],[Operating_Costs]]</f>
        <v>436846</v>
      </c>
      <c r="T201">
        <v>518369</v>
      </c>
      <c r="U201">
        <v>43</v>
      </c>
      <c r="V201">
        <v>64</v>
      </c>
      <c r="W201">
        <v>13.9</v>
      </c>
    </row>
    <row r="202" spans="1:23" x14ac:dyDescent="0.25">
      <c r="A202">
        <v>8</v>
      </c>
      <c r="B202" t="s">
        <v>52</v>
      </c>
      <c r="C202" s="1">
        <v>44819</v>
      </c>
      <c r="D202" s="1">
        <v>44837</v>
      </c>
      <c r="E202" s="2">
        <f t="shared" si="6"/>
        <v>1</v>
      </c>
      <c r="F202">
        <v>43</v>
      </c>
      <c r="G202" t="str">
        <f t="shared" si="7"/>
        <v>41-60</v>
      </c>
      <c r="H202" t="s">
        <v>23</v>
      </c>
      <c r="I202" t="s">
        <v>43</v>
      </c>
      <c r="J202" t="s">
        <v>25</v>
      </c>
      <c r="K202" t="s">
        <v>42</v>
      </c>
      <c r="L202">
        <v>2</v>
      </c>
      <c r="M202">
        <v>2</v>
      </c>
      <c r="N202">
        <v>3.6</v>
      </c>
      <c r="O202">
        <v>9.1999999999999993</v>
      </c>
      <c r="P202">
        <v>3</v>
      </c>
      <c r="Q202">
        <v>6</v>
      </c>
      <c r="R202">
        <v>915385</v>
      </c>
      <c r="S202">
        <f>Table1[[#This Row],[Revenue]]-Table1[[#This Row],[Operating_Costs]]</f>
        <v>94854</v>
      </c>
      <c r="T202">
        <v>820531</v>
      </c>
      <c r="U202">
        <v>34</v>
      </c>
      <c r="V202">
        <v>54</v>
      </c>
      <c r="W202">
        <v>5.5</v>
      </c>
    </row>
    <row r="203" spans="1:23" x14ac:dyDescent="0.25">
      <c r="A203">
        <v>8</v>
      </c>
      <c r="B203" t="s">
        <v>52</v>
      </c>
      <c r="C203" s="1">
        <v>44833</v>
      </c>
      <c r="D203" s="1">
        <v>44846</v>
      </c>
      <c r="E203" s="2">
        <f t="shared" si="6"/>
        <v>1</v>
      </c>
      <c r="F203">
        <v>44</v>
      </c>
      <c r="G203" t="str">
        <f t="shared" si="7"/>
        <v>41-60</v>
      </c>
      <c r="H203" t="s">
        <v>35</v>
      </c>
      <c r="I203" t="s">
        <v>36</v>
      </c>
      <c r="J203" t="s">
        <v>37</v>
      </c>
      <c r="K203" t="s">
        <v>38</v>
      </c>
      <c r="L203">
        <v>2</v>
      </c>
      <c r="M203">
        <v>2</v>
      </c>
      <c r="N203">
        <v>5</v>
      </c>
      <c r="O203">
        <v>7.9</v>
      </c>
      <c r="P203">
        <v>3</v>
      </c>
      <c r="Q203">
        <v>7</v>
      </c>
      <c r="R203">
        <v>962268</v>
      </c>
      <c r="S203">
        <f>Table1[[#This Row],[Revenue]]-Table1[[#This Row],[Operating_Costs]]</f>
        <v>80615</v>
      </c>
      <c r="T203">
        <v>881653</v>
      </c>
      <c r="U203">
        <v>30</v>
      </c>
      <c r="V203">
        <v>61</v>
      </c>
      <c r="W203">
        <v>12.7</v>
      </c>
    </row>
    <row r="204" spans="1:23" x14ac:dyDescent="0.25">
      <c r="A204">
        <v>9</v>
      </c>
      <c r="B204" t="s">
        <v>44</v>
      </c>
      <c r="C204" s="1">
        <v>44825</v>
      </c>
      <c r="D204" s="1">
        <v>44848</v>
      </c>
      <c r="E204" s="2">
        <f t="shared" si="6"/>
        <v>1</v>
      </c>
      <c r="F204">
        <v>35</v>
      </c>
      <c r="G204" t="str">
        <f t="shared" si="7"/>
        <v>21-40</v>
      </c>
      <c r="H204" t="s">
        <v>35</v>
      </c>
      <c r="I204" t="s">
        <v>31</v>
      </c>
      <c r="J204" t="s">
        <v>28</v>
      </c>
      <c r="K204" t="s">
        <v>42</v>
      </c>
      <c r="L204">
        <v>2</v>
      </c>
      <c r="M204">
        <v>2</v>
      </c>
      <c r="N204">
        <v>6.5</v>
      </c>
      <c r="O204">
        <v>8</v>
      </c>
      <c r="P204">
        <v>5</v>
      </c>
      <c r="Q204">
        <v>3</v>
      </c>
      <c r="R204">
        <v>547479</v>
      </c>
      <c r="S204">
        <f>Table1[[#This Row],[Revenue]]-Table1[[#This Row],[Operating_Costs]]</f>
        <v>97056</v>
      </c>
      <c r="T204">
        <v>450423</v>
      </c>
      <c r="U204">
        <v>37</v>
      </c>
      <c r="V204">
        <v>54</v>
      </c>
      <c r="W204">
        <v>14</v>
      </c>
    </row>
    <row r="205" spans="1:23" x14ac:dyDescent="0.25">
      <c r="A205">
        <v>9</v>
      </c>
      <c r="B205" t="s">
        <v>44</v>
      </c>
      <c r="C205" s="1">
        <v>44838</v>
      </c>
      <c r="D205" s="1">
        <v>44852</v>
      </c>
      <c r="E205" s="2">
        <f t="shared" si="6"/>
        <v>1</v>
      </c>
      <c r="F205">
        <v>36</v>
      </c>
      <c r="G205" t="str">
        <f t="shared" si="7"/>
        <v>21-40</v>
      </c>
      <c r="H205" t="s">
        <v>23</v>
      </c>
      <c r="I205" t="s">
        <v>46</v>
      </c>
      <c r="J205" t="s">
        <v>47</v>
      </c>
      <c r="K205" t="s">
        <v>38</v>
      </c>
      <c r="L205">
        <v>2</v>
      </c>
      <c r="M205">
        <v>2</v>
      </c>
      <c r="N205">
        <v>3.5</v>
      </c>
      <c r="O205">
        <v>8</v>
      </c>
      <c r="P205">
        <v>4</v>
      </c>
      <c r="Q205">
        <v>5</v>
      </c>
      <c r="R205">
        <v>513516</v>
      </c>
      <c r="S205">
        <f>Table1[[#This Row],[Revenue]]-Table1[[#This Row],[Operating_Costs]]</f>
        <v>50485</v>
      </c>
      <c r="T205">
        <v>463031</v>
      </c>
      <c r="U205">
        <v>36</v>
      </c>
      <c r="V205">
        <v>54</v>
      </c>
      <c r="W205">
        <v>14.7</v>
      </c>
    </row>
    <row r="206" spans="1:23" x14ac:dyDescent="0.25">
      <c r="A206">
        <v>5</v>
      </c>
      <c r="B206" t="s">
        <v>22</v>
      </c>
      <c r="C206" s="1">
        <v>44827</v>
      </c>
      <c r="D206" s="1">
        <v>44853</v>
      </c>
      <c r="E206" s="2">
        <f t="shared" si="6"/>
        <v>1</v>
      </c>
      <c r="F206">
        <v>25</v>
      </c>
      <c r="G206" t="str">
        <f t="shared" si="7"/>
        <v>21-40</v>
      </c>
      <c r="H206" t="s">
        <v>35</v>
      </c>
      <c r="I206" t="s">
        <v>36</v>
      </c>
      <c r="J206" t="s">
        <v>37</v>
      </c>
      <c r="K206" t="s">
        <v>38</v>
      </c>
      <c r="L206">
        <v>2</v>
      </c>
      <c r="M206">
        <v>2</v>
      </c>
      <c r="N206">
        <v>2.1</v>
      </c>
      <c r="O206">
        <v>9.6</v>
      </c>
      <c r="P206">
        <v>5</v>
      </c>
      <c r="Q206">
        <v>5</v>
      </c>
      <c r="R206">
        <v>878071</v>
      </c>
      <c r="S206">
        <f>Table1[[#This Row],[Revenue]]-Table1[[#This Row],[Operating_Costs]]</f>
        <v>631781</v>
      </c>
      <c r="T206">
        <v>246290</v>
      </c>
      <c r="U206">
        <v>39</v>
      </c>
      <c r="V206">
        <v>65</v>
      </c>
      <c r="W206">
        <v>13.4</v>
      </c>
    </row>
    <row r="207" spans="1:23" x14ac:dyDescent="0.25">
      <c r="A207">
        <v>15</v>
      </c>
      <c r="B207" t="s">
        <v>45</v>
      </c>
      <c r="C207" s="1">
        <v>44840</v>
      </c>
      <c r="D207" s="1">
        <v>44854</v>
      </c>
      <c r="E207" s="2">
        <f t="shared" si="6"/>
        <v>1</v>
      </c>
      <c r="F207">
        <v>28</v>
      </c>
      <c r="G207" t="str">
        <f t="shared" si="7"/>
        <v>21-40</v>
      </c>
      <c r="H207" t="s">
        <v>23</v>
      </c>
      <c r="I207" t="s">
        <v>61</v>
      </c>
      <c r="J207" t="s">
        <v>62</v>
      </c>
      <c r="K207" t="s">
        <v>42</v>
      </c>
      <c r="L207">
        <v>2</v>
      </c>
      <c r="M207">
        <v>2</v>
      </c>
      <c r="N207">
        <v>1.3</v>
      </c>
      <c r="O207">
        <v>9.4</v>
      </c>
      <c r="P207">
        <v>4</v>
      </c>
      <c r="Q207">
        <v>5</v>
      </c>
      <c r="R207">
        <v>728625</v>
      </c>
      <c r="S207">
        <f>Table1[[#This Row],[Revenue]]-Table1[[#This Row],[Operating_Costs]]</f>
        <v>140791</v>
      </c>
      <c r="T207">
        <v>587834</v>
      </c>
      <c r="U207">
        <v>34</v>
      </c>
      <c r="V207">
        <v>55</v>
      </c>
      <c r="W207">
        <v>36.200000000000003</v>
      </c>
    </row>
    <row r="208" spans="1:23" x14ac:dyDescent="0.25">
      <c r="A208">
        <v>1</v>
      </c>
      <c r="B208" t="s">
        <v>32</v>
      </c>
      <c r="C208" s="1">
        <v>44826</v>
      </c>
      <c r="D208" s="1">
        <v>44856</v>
      </c>
      <c r="E208" s="2">
        <f t="shared" si="6"/>
        <v>1</v>
      </c>
      <c r="F208">
        <v>43</v>
      </c>
      <c r="G208" t="str">
        <f t="shared" si="7"/>
        <v>41-60</v>
      </c>
      <c r="H208" t="s">
        <v>35</v>
      </c>
      <c r="I208" t="s">
        <v>46</v>
      </c>
      <c r="J208" t="s">
        <v>47</v>
      </c>
      <c r="K208" t="s">
        <v>29</v>
      </c>
      <c r="L208">
        <v>2</v>
      </c>
      <c r="M208">
        <v>2</v>
      </c>
      <c r="N208">
        <v>6.1</v>
      </c>
      <c r="O208">
        <v>9.8000000000000007</v>
      </c>
      <c r="P208">
        <v>4</v>
      </c>
      <c r="Q208">
        <v>6</v>
      </c>
      <c r="R208">
        <v>913086</v>
      </c>
      <c r="S208">
        <f>Table1[[#This Row],[Revenue]]-Table1[[#This Row],[Operating_Costs]]</f>
        <v>42312</v>
      </c>
      <c r="T208">
        <v>870774</v>
      </c>
      <c r="U208">
        <v>40</v>
      </c>
      <c r="V208">
        <v>57</v>
      </c>
      <c r="W208">
        <v>5</v>
      </c>
    </row>
    <row r="209" spans="1:23" x14ac:dyDescent="0.25">
      <c r="A209">
        <v>15</v>
      </c>
      <c r="B209" t="s">
        <v>45</v>
      </c>
      <c r="C209" s="1">
        <v>44840</v>
      </c>
      <c r="D209" s="1">
        <v>44861</v>
      </c>
      <c r="E209" s="2">
        <f t="shared" si="6"/>
        <v>1</v>
      </c>
      <c r="F209">
        <v>89</v>
      </c>
      <c r="G209" t="str">
        <f t="shared" si="7"/>
        <v>81+</v>
      </c>
      <c r="H209" t="s">
        <v>35</v>
      </c>
      <c r="I209" t="s">
        <v>40</v>
      </c>
      <c r="J209" t="s">
        <v>41</v>
      </c>
      <c r="K209" t="s">
        <v>26</v>
      </c>
      <c r="L209">
        <v>2</v>
      </c>
      <c r="M209">
        <v>2</v>
      </c>
      <c r="N209">
        <v>1.5</v>
      </c>
      <c r="O209">
        <v>9.5</v>
      </c>
      <c r="P209">
        <v>7</v>
      </c>
      <c r="Q209">
        <v>4</v>
      </c>
      <c r="R209">
        <v>799472</v>
      </c>
      <c r="S209">
        <f>Table1[[#This Row],[Revenue]]-Table1[[#This Row],[Operating_Costs]]</f>
        <v>231971</v>
      </c>
      <c r="T209">
        <v>567501</v>
      </c>
      <c r="U209">
        <v>49</v>
      </c>
      <c r="V209">
        <v>57</v>
      </c>
      <c r="W209">
        <v>6.7</v>
      </c>
    </row>
    <row r="210" spans="1:23" x14ac:dyDescent="0.25">
      <c r="A210">
        <v>3</v>
      </c>
      <c r="B210" t="s">
        <v>57</v>
      </c>
      <c r="C210" s="1">
        <v>44851</v>
      </c>
      <c r="D210" s="1">
        <v>44875</v>
      </c>
      <c r="E210" s="2">
        <f t="shared" si="6"/>
        <v>1</v>
      </c>
      <c r="F210">
        <v>49</v>
      </c>
      <c r="G210" t="str">
        <f t="shared" si="7"/>
        <v>41-60</v>
      </c>
      <c r="H210" t="s">
        <v>23</v>
      </c>
      <c r="I210" t="s">
        <v>24</v>
      </c>
      <c r="J210" t="s">
        <v>25</v>
      </c>
      <c r="K210" t="s">
        <v>38</v>
      </c>
      <c r="L210">
        <v>2</v>
      </c>
      <c r="M210">
        <v>2</v>
      </c>
      <c r="N210">
        <v>1.8</v>
      </c>
      <c r="O210">
        <v>7.8</v>
      </c>
      <c r="P210">
        <v>4</v>
      </c>
      <c r="Q210">
        <v>3</v>
      </c>
      <c r="R210">
        <v>577839</v>
      </c>
      <c r="S210">
        <f>Table1[[#This Row],[Revenue]]-Table1[[#This Row],[Operating_Costs]]</f>
        <v>231222</v>
      </c>
      <c r="T210">
        <v>346617</v>
      </c>
      <c r="U210">
        <v>20</v>
      </c>
      <c r="V210">
        <v>60</v>
      </c>
      <c r="W210">
        <v>13.3</v>
      </c>
    </row>
    <row r="211" spans="1:23" x14ac:dyDescent="0.25">
      <c r="A211">
        <v>8</v>
      </c>
      <c r="B211" t="s">
        <v>52</v>
      </c>
      <c r="C211" s="1">
        <v>44869</v>
      </c>
      <c r="D211" s="1">
        <v>44875</v>
      </c>
      <c r="E211" s="2">
        <f t="shared" si="6"/>
        <v>1</v>
      </c>
      <c r="F211">
        <v>67</v>
      </c>
      <c r="G211" t="str">
        <f t="shared" si="7"/>
        <v>61-80</v>
      </c>
      <c r="H211" t="s">
        <v>35</v>
      </c>
      <c r="I211" t="s">
        <v>46</v>
      </c>
      <c r="J211" t="s">
        <v>47</v>
      </c>
      <c r="K211" t="s">
        <v>33</v>
      </c>
      <c r="L211">
        <v>2</v>
      </c>
      <c r="M211">
        <v>2</v>
      </c>
      <c r="N211">
        <v>6.7</v>
      </c>
      <c r="O211">
        <v>9.6999999999999993</v>
      </c>
      <c r="P211">
        <v>7</v>
      </c>
      <c r="Q211">
        <v>6</v>
      </c>
      <c r="R211">
        <v>984429</v>
      </c>
      <c r="S211">
        <f>Table1[[#This Row],[Revenue]]-Table1[[#This Row],[Operating_Costs]]</f>
        <v>91650</v>
      </c>
      <c r="T211">
        <v>892779</v>
      </c>
      <c r="U211">
        <v>30</v>
      </c>
      <c r="V211">
        <v>62</v>
      </c>
      <c r="W211">
        <v>10.199999999999999</v>
      </c>
    </row>
    <row r="212" spans="1:23" x14ac:dyDescent="0.25">
      <c r="A212">
        <v>11</v>
      </c>
      <c r="B212" t="s">
        <v>63</v>
      </c>
      <c r="C212" s="1">
        <v>44865</v>
      </c>
      <c r="D212" s="1">
        <v>44878</v>
      </c>
      <c r="E212" s="2">
        <f t="shared" si="6"/>
        <v>1</v>
      </c>
      <c r="F212">
        <v>90</v>
      </c>
      <c r="G212" t="str">
        <f t="shared" si="7"/>
        <v>81+</v>
      </c>
      <c r="H212" t="s">
        <v>23</v>
      </c>
      <c r="I212" t="s">
        <v>61</v>
      </c>
      <c r="J212" t="s">
        <v>62</v>
      </c>
      <c r="K212" t="s">
        <v>33</v>
      </c>
      <c r="L212">
        <v>2</v>
      </c>
      <c r="M212">
        <v>2</v>
      </c>
      <c r="N212">
        <v>1.4</v>
      </c>
      <c r="O212">
        <v>9.1999999999999993</v>
      </c>
      <c r="P212">
        <v>3</v>
      </c>
      <c r="Q212">
        <v>3</v>
      </c>
      <c r="R212">
        <v>714434</v>
      </c>
      <c r="S212">
        <f>Table1[[#This Row],[Revenue]]-Table1[[#This Row],[Operating_Costs]]</f>
        <v>136379</v>
      </c>
      <c r="T212">
        <v>578055</v>
      </c>
      <c r="U212">
        <v>35</v>
      </c>
      <c r="V212">
        <v>57</v>
      </c>
      <c r="W212">
        <v>10.5</v>
      </c>
    </row>
    <row r="213" spans="1:23" x14ac:dyDescent="0.25">
      <c r="A213">
        <v>14</v>
      </c>
      <c r="B213" t="s">
        <v>48</v>
      </c>
      <c r="C213" s="1">
        <v>44899</v>
      </c>
      <c r="D213" s="1">
        <v>44900</v>
      </c>
      <c r="E213" s="2">
        <f t="shared" si="6"/>
        <v>1</v>
      </c>
      <c r="F213">
        <v>29</v>
      </c>
      <c r="G213" t="str">
        <f t="shared" si="7"/>
        <v>21-40</v>
      </c>
      <c r="H213" t="s">
        <v>23</v>
      </c>
      <c r="I213" t="s">
        <v>55</v>
      </c>
      <c r="J213" t="s">
        <v>56</v>
      </c>
      <c r="K213" t="s">
        <v>26</v>
      </c>
      <c r="L213">
        <v>2</v>
      </c>
      <c r="M213">
        <v>2</v>
      </c>
      <c r="N213">
        <v>2.5</v>
      </c>
      <c r="O213">
        <v>9</v>
      </c>
      <c r="P213">
        <v>7</v>
      </c>
      <c r="Q213">
        <v>5</v>
      </c>
      <c r="R213">
        <v>721091</v>
      </c>
      <c r="S213">
        <f>Table1[[#This Row],[Revenue]]-Table1[[#This Row],[Operating_Costs]]</f>
        <v>186097</v>
      </c>
      <c r="T213">
        <v>534994</v>
      </c>
      <c r="U213">
        <v>33</v>
      </c>
      <c r="V213">
        <v>61</v>
      </c>
      <c r="W213">
        <v>36.9</v>
      </c>
    </row>
    <row r="214" spans="1:23" x14ac:dyDescent="0.25">
      <c r="A214">
        <v>12</v>
      </c>
      <c r="B214" t="s">
        <v>66</v>
      </c>
      <c r="C214" s="1">
        <v>44891</v>
      </c>
      <c r="D214" s="1">
        <v>44903</v>
      </c>
      <c r="E214" s="2">
        <f t="shared" si="6"/>
        <v>1</v>
      </c>
      <c r="F214">
        <v>70</v>
      </c>
      <c r="G214" t="str">
        <f t="shared" si="7"/>
        <v>61-80</v>
      </c>
      <c r="H214" t="s">
        <v>35</v>
      </c>
      <c r="I214" t="s">
        <v>36</v>
      </c>
      <c r="J214" t="s">
        <v>37</v>
      </c>
      <c r="K214" t="s">
        <v>33</v>
      </c>
      <c r="L214">
        <v>2</v>
      </c>
      <c r="M214">
        <v>2</v>
      </c>
      <c r="N214">
        <v>5</v>
      </c>
      <c r="O214">
        <v>9.6</v>
      </c>
      <c r="P214">
        <v>3</v>
      </c>
      <c r="Q214">
        <v>3</v>
      </c>
      <c r="R214">
        <v>968509</v>
      </c>
      <c r="S214">
        <f>Table1[[#This Row],[Revenue]]-Table1[[#This Row],[Operating_Costs]]</f>
        <v>350165</v>
      </c>
      <c r="T214">
        <v>618344</v>
      </c>
      <c r="U214">
        <v>73</v>
      </c>
      <c r="V214">
        <v>55</v>
      </c>
      <c r="W214">
        <v>7.9</v>
      </c>
    </row>
    <row r="215" spans="1:23" x14ac:dyDescent="0.25">
      <c r="A215">
        <v>9</v>
      </c>
      <c r="B215" t="s">
        <v>44</v>
      </c>
      <c r="C215" s="1">
        <v>44896</v>
      </c>
      <c r="D215" s="1">
        <v>44905</v>
      </c>
      <c r="E215" s="2">
        <f t="shared" si="6"/>
        <v>1</v>
      </c>
      <c r="F215">
        <v>34</v>
      </c>
      <c r="G215" t="str">
        <f t="shared" si="7"/>
        <v>21-40</v>
      </c>
      <c r="H215" t="s">
        <v>23</v>
      </c>
      <c r="I215" t="s">
        <v>24</v>
      </c>
      <c r="J215" t="s">
        <v>25</v>
      </c>
      <c r="K215" t="s">
        <v>42</v>
      </c>
      <c r="L215">
        <v>2</v>
      </c>
      <c r="M215">
        <v>2</v>
      </c>
      <c r="N215">
        <v>5.9</v>
      </c>
      <c r="O215">
        <v>8.5</v>
      </c>
      <c r="P215">
        <v>5</v>
      </c>
      <c r="Q215">
        <v>5</v>
      </c>
      <c r="R215">
        <v>515793</v>
      </c>
      <c r="S215">
        <f>Table1[[#This Row],[Revenue]]-Table1[[#This Row],[Operating_Costs]]</f>
        <v>128284</v>
      </c>
      <c r="T215">
        <v>387509</v>
      </c>
      <c r="U215">
        <v>38</v>
      </c>
      <c r="V215">
        <v>66</v>
      </c>
      <c r="W215">
        <v>12.8</v>
      </c>
    </row>
    <row r="216" spans="1:23" x14ac:dyDescent="0.25">
      <c r="A216">
        <v>15</v>
      </c>
      <c r="B216" t="s">
        <v>45</v>
      </c>
      <c r="C216" s="1">
        <v>44893</v>
      </c>
      <c r="D216" s="1">
        <v>44908</v>
      </c>
      <c r="E216" s="2">
        <f t="shared" si="6"/>
        <v>1</v>
      </c>
      <c r="F216">
        <v>25</v>
      </c>
      <c r="G216" t="str">
        <f t="shared" si="7"/>
        <v>21-40</v>
      </c>
      <c r="H216" t="s">
        <v>23</v>
      </c>
      <c r="I216" t="s">
        <v>24</v>
      </c>
      <c r="J216" t="s">
        <v>25</v>
      </c>
      <c r="K216" t="s">
        <v>33</v>
      </c>
      <c r="L216">
        <v>2</v>
      </c>
      <c r="M216">
        <v>2</v>
      </c>
      <c r="N216">
        <v>6.4</v>
      </c>
      <c r="O216">
        <v>8.1</v>
      </c>
      <c r="P216">
        <v>3</v>
      </c>
      <c r="Q216">
        <v>3</v>
      </c>
      <c r="R216">
        <v>707481</v>
      </c>
      <c r="S216">
        <f>Table1[[#This Row],[Revenue]]-Table1[[#This Row],[Operating_Costs]]</f>
        <v>60016</v>
      </c>
      <c r="T216">
        <v>647465</v>
      </c>
      <c r="U216">
        <v>32</v>
      </c>
      <c r="V216">
        <v>62</v>
      </c>
      <c r="W216">
        <v>36.200000000000003</v>
      </c>
    </row>
    <row r="217" spans="1:23" x14ac:dyDescent="0.25">
      <c r="A217">
        <v>5</v>
      </c>
      <c r="B217" t="s">
        <v>22</v>
      </c>
      <c r="C217" s="1">
        <v>44884</v>
      </c>
      <c r="D217" s="1">
        <v>44909</v>
      </c>
      <c r="E217" s="2">
        <f t="shared" si="6"/>
        <v>1</v>
      </c>
      <c r="F217">
        <v>87</v>
      </c>
      <c r="G217" t="str">
        <f t="shared" si="7"/>
        <v>81+</v>
      </c>
      <c r="H217" t="s">
        <v>23</v>
      </c>
      <c r="I217" t="s">
        <v>24</v>
      </c>
      <c r="J217" t="s">
        <v>25</v>
      </c>
      <c r="K217" t="s">
        <v>29</v>
      </c>
      <c r="L217">
        <v>2</v>
      </c>
      <c r="M217">
        <v>2</v>
      </c>
      <c r="N217">
        <v>6.7</v>
      </c>
      <c r="O217">
        <v>7.6</v>
      </c>
      <c r="P217">
        <v>5</v>
      </c>
      <c r="Q217">
        <v>3</v>
      </c>
      <c r="R217">
        <v>919836</v>
      </c>
      <c r="S217">
        <f>Table1[[#This Row],[Revenue]]-Table1[[#This Row],[Operating_Costs]]</f>
        <v>686755</v>
      </c>
      <c r="T217">
        <v>233081</v>
      </c>
      <c r="U217">
        <v>21</v>
      </c>
      <c r="V217">
        <v>54</v>
      </c>
      <c r="W217">
        <v>9.6</v>
      </c>
    </row>
    <row r="218" spans="1:23" x14ac:dyDescent="0.25">
      <c r="A218">
        <v>10</v>
      </c>
      <c r="B218" t="s">
        <v>34</v>
      </c>
      <c r="C218" s="1">
        <v>44899</v>
      </c>
      <c r="D218" s="1">
        <v>44914</v>
      </c>
      <c r="E218" s="2">
        <f t="shared" si="6"/>
        <v>1</v>
      </c>
      <c r="F218">
        <v>78</v>
      </c>
      <c r="G218" t="str">
        <f t="shared" si="7"/>
        <v>61-80</v>
      </c>
      <c r="H218" t="s">
        <v>35</v>
      </c>
      <c r="I218" t="s">
        <v>58</v>
      </c>
      <c r="J218" t="s">
        <v>59</v>
      </c>
      <c r="K218" t="s">
        <v>26</v>
      </c>
      <c r="L218">
        <v>2</v>
      </c>
      <c r="M218">
        <v>2</v>
      </c>
      <c r="N218">
        <v>6.8</v>
      </c>
      <c r="O218">
        <v>9.3000000000000007</v>
      </c>
      <c r="P218">
        <v>3</v>
      </c>
      <c r="Q218">
        <v>3</v>
      </c>
      <c r="R218">
        <v>850791</v>
      </c>
      <c r="S218">
        <f>Table1[[#This Row],[Revenue]]-Table1[[#This Row],[Operating_Costs]]</f>
        <v>161372</v>
      </c>
      <c r="T218">
        <v>689419</v>
      </c>
      <c r="U218">
        <v>67</v>
      </c>
      <c r="V218">
        <v>60</v>
      </c>
      <c r="W218">
        <v>12.7</v>
      </c>
    </row>
    <row r="219" spans="1:23" x14ac:dyDescent="0.25">
      <c r="A219">
        <v>2</v>
      </c>
      <c r="B219" t="s">
        <v>39</v>
      </c>
      <c r="C219" s="1">
        <v>44911</v>
      </c>
      <c r="D219" s="1">
        <v>44915</v>
      </c>
      <c r="E219" s="2">
        <f t="shared" si="6"/>
        <v>1</v>
      </c>
      <c r="F219">
        <v>43</v>
      </c>
      <c r="G219" t="str">
        <f t="shared" si="7"/>
        <v>41-60</v>
      </c>
      <c r="H219" t="s">
        <v>35</v>
      </c>
      <c r="I219" t="s">
        <v>53</v>
      </c>
      <c r="J219" t="s">
        <v>54</v>
      </c>
      <c r="K219" t="s">
        <v>26</v>
      </c>
      <c r="L219">
        <v>2</v>
      </c>
      <c r="M219">
        <v>2</v>
      </c>
      <c r="N219">
        <v>1.3</v>
      </c>
      <c r="O219">
        <v>8.6</v>
      </c>
      <c r="P219">
        <v>4</v>
      </c>
      <c r="Q219">
        <v>7</v>
      </c>
      <c r="R219">
        <v>835566</v>
      </c>
      <c r="S219">
        <f>Table1[[#This Row],[Revenue]]-Table1[[#This Row],[Operating_Costs]]</f>
        <v>253691</v>
      </c>
      <c r="T219">
        <v>581875</v>
      </c>
      <c r="U219">
        <v>38</v>
      </c>
      <c r="V219">
        <v>61</v>
      </c>
      <c r="W219">
        <v>7.5</v>
      </c>
    </row>
    <row r="220" spans="1:23" x14ac:dyDescent="0.25">
      <c r="A220">
        <v>15</v>
      </c>
      <c r="B220" t="s">
        <v>45</v>
      </c>
      <c r="C220" s="1">
        <v>44917</v>
      </c>
      <c r="D220" s="1">
        <v>44919</v>
      </c>
      <c r="E220" s="2">
        <f t="shared" si="6"/>
        <v>1</v>
      </c>
      <c r="F220">
        <v>39</v>
      </c>
      <c r="G220" t="str">
        <f t="shared" si="7"/>
        <v>21-40</v>
      </c>
      <c r="H220" t="s">
        <v>23</v>
      </c>
      <c r="I220" t="s">
        <v>61</v>
      </c>
      <c r="J220" t="s">
        <v>62</v>
      </c>
      <c r="K220" t="s">
        <v>42</v>
      </c>
      <c r="L220">
        <v>2</v>
      </c>
      <c r="M220">
        <v>2</v>
      </c>
      <c r="N220">
        <v>6.4</v>
      </c>
      <c r="O220">
        <v>7.4</v>
      </c>
      <c r="P220">
        <v>3</v>
      </c>
      <c r="Q220">
        <v>4</v>
      </c>
      <c r="R220">
        <v>782464</v>
      </c>
      <c r="S220">
        <f>Table1[[#This Row],[Revenue]]-Table1[[#This Row],[Operating_Costs]]</f>
        <v>188567</v>
      </c>
      <c r="T220">
        <v>593897</v>
      </c>
      <c r="U220">
        <v>47</v>
      </c>
      <c r="V220">
        <v>58</v>
      </c>
      <c r="W220">
        <v>9.1</v>
      </c>
    </row>
    <row r="221" spans="1:23" x14ac:dyDescent="0.25">
      <c r="A221">
        <v>14</v>
      </c>
      <c r="B221" t="s">
        <v>48</v>
      </c>
      <c r="C221" s="1">
        <v>44891</v>
      </c>
      <c r="D221" s="1">
        <v>44920</v>
      </c>
      <c r="E221" s="2">
        <f t="shared" si="6"/>
        <v>1</v>
      </c>
      <c r="F221">
        <v>37</v>
      </c>
      <c r="G221" t="str">
        <f t="shared" si="7"/>
        <v>21-40</v>
      </c>
      <c r="H221" t="s">
        <v>23</v>
      </c>
      <c r="I221" t="s">
        <v>55</v>
      </c>
      <c r="J221" t="s">
        <v>56</v>
      </c>
      <c r="K221" t="s">
        <v>38</v>
      </c>
      <c r="L221">
        <v>2</v>
      </c>
      <c r="M221">
        <v>2</v>
      </c>
      <c r="N221">
        <v>4</v>
      </c>
      <c r="O221">
        <v>9.1999999999999993</v>
      </c>
      <c r="P221">
        <v>6</v>
      </c>
      <c r="Q221">
        <v>3</v>
      </c>
      <c r="R221">
        <v>766161</v>
      </c>
      <c r="S221">
        <f>Table1[[#This Row],[Revenue]]-Table1[[#This Row],[Operating_Costs]]</f>
        <v>249223</v>
      </c>
      <c r="T221">
        <v>516938</v>
      </c>
      <c r="U221">
        <v>40</v>
      </c>
      <c r="V221">
        <v>64</v>
      </c>
      <c r="W221">
        <v>7.8</v>
      </c>
    </row>
    <row r="222" spans="1:23" x14ac:dyDescent="0.25">
      <c r="A222">
        <v>3</v>
      </c>
      <c r="B222" t="s">
        <v>57</v>
      </c>
      <c r="C222" s="1">
        <v>44894</v>
      </c>
      <c r="D222" s="1">
        <v>44923</v>
      </c>
      <c r="E222" s="2">
        <f t="shared" si="6"/>
        <v>1</v>
      </c>
      <c r="F222">
        <v>24</v>
      </c>
      <c r="G222" t="str">
        <f t="shared" si="7"/>
        <v>21-40</v>
      </c>
      <c r="H222" t="s">
        <v>35</v>
      </c>
      <c r="I222" t="s">
        <v>61</v>
      </c>
      <c r="J222" t="s">
        <v>62</v>
      </c>
      <c r="K222" t="s">
        <v>26</v>
      </c>
      <c r="L222">
        <v>2</v>
      </c>
      <c r="M222">
        <v>2</v>
      </c>
      <c r="N222">
        <v>1.9</v>
      </c>
      <c r="O222">
        <v>8</v>
      </c>
      <c r="P222">
        <v>6</v>
      </c>
      <c r="Q222">
        <v>5</v>
      </c>
      <c r="R222">
        <v>583544</v>
      </c>
      <c r="S222">
        <f>Table1[[#This Row],[Revenue]]-Table1[[#This Row],[Operating_Costs]]</f>
        <v>244296</v>
      </c>
      <c r="T222">
        <v>339248</v>
      </c>
      <c r="U222">
        <v>23</v>
      </c>
      <c r="V222">
        <v>65</v>
      </c>
      <c r="W222">
        <v>8</v>
      </c>
    </row>
    <row r="223" spans="1:23" x14ac:dyDescent="0.25">
      <c r="A223">
        <v>12</v>
      </c>
      <c r="B223" t="s">
        <v>66</v>
      </c>
      <c r="C223" s="1">
        <v>44915</v>
      </c>
      <c r="D223" s="1">
        <v>44925</v>
      </c>
      <c r="E223" s="2">
        <f t="shared" si="6"/>
        <v>1</v>
      </c>
      <c r="F223">
        <v>67</v>
      </c>
      <c r="G223" t="str">
        <f t="shared" si="7"/>
        <v>61-80</v>
      </c>
      <c r="H223" t="s">
        <v>23</v>
      </c>
      <c r="I223" t="s">
        <v>43</v>
      </c>
      <c r="J223" t="s">
        <v>25</v>
      </c>
      <c r="K223" t="s">
        <v>33</v>
      </c>
      <c r="L223">
        <v>2</v>
      </c>
      <c r="M223">
        <v>2</v>
      </c>
      <c r="N223">
        <v>4.9000000000000004</v>
      </c>
      <c r="O223">
        <v>9.5</v>
      </c>
      <c r="P223">
        <v>6</v>
      </c>
      <c r="Q223">
        <v>5</v>
      </c>
      <c r="R223">
        <v>946176</v>
      </c>
      <c r="S223">
        <f>Table1[[#This Row],[Revenue]]-Table1[[#This Row],[Operating_Costs]]</f>
        <v>259893</v>
      </c>
      <c r="T223">
        <v>686283</v>
      </c>
      <c r="U223">
        <v>51</v>
      </c>
      <c r="V223">
        <v>64</v>
      </c>
      <c r="W223">
        <v>13.7</v>
      </c>
    </row>
    <row r="224" spans="1:23" x14ac:dyDescent="0.25">
      <c r="A224">
        <v>14</v>
      </c>
      <c r="B224" t="s">
        <v>48</v>
      </c>
      <c r="C224" s="1">
        <v>44898</v>
      </c>
      <c r="D224" s="1">
        <v>44928</v>
      </c>
      <c r="E224" s="2">
        <f t="shared" si="6"/>
        <v>1</v>
      </c>
      <c r="F224">
        <v>43</v>
      </c>
      <c r="G224" t="str">
        <f t="shared" si="7"/>
        <v>41-60</v>
      </c>
      <c r="H224" t="s">
        <v>35</v>
      </c>
      <c r="I224" t="s">
        <v>64</v>
      </c>
      <c r="J224" t="s">
        <v>65</v>
      </c>
      <c r="K224" t="s">
        <v>38</v>
      </c>
      <c r="L224">
        <v>2</v>
      </c>
      <c r="M224">
        <v>2</v>
      </c>
      <c r="N224">
        <v>6.4</v>
      </c>
      <c r="O224">
        <v>8</v>
      </c>
      <c r="P224">
        <v>4</v>
      </c>
      <c r="Q224">
        <v>3</v>
      </c>
      <c r="R224">
        <v>741864</v>
      </c>
      <c r="S224">
        <f>Table1[[#This Row],[Revenue]]-Table1[[#This Row],[Operating_Costs]]</f>
        <v>97114</v>
      </c>
      <c r="T224">
        <v>644750</v>
      </c>
      <c r="U224">
        <v>40</v>
      </c>
      <c r="V224">
        <v>59</v>
      </c>
      <c r="W224">
        <v>10.3</v>
      </c>
    </row>
    <row r="225" spans="1:23" x14ac:dyDescent="0.25">
      <c r="A225">
        <v>10</v>
      </c>
      <c r="B225" t="s">
        <v>34</v>
      </c>
      <c r="C225" s="1">
        <v>44901</v>
      </c>
      <c r="D225" s="1">
        <v>44930</v>
      </c>
      <c r="E225" s="2">
        <f t="shared" si="6"/>
        <v>1</v>
      </c>
      <c r="F225">
        <v>74</v>
      </c>
      <c r="G225" t="str">
        <f t="shared" si="7"/>
        <v>61-80</v>
      </c>
      <c r="H225" t="s">
        <v>35</v>
      </c>
      <c r="I225" t="s">
        <v>46</v>
      </c>
      <c r="J225" t="s">
        <v>47</v>
      </c>
      <c r="K225" t="s">
        <v>42</v>
      </c>
      <c r="L225">
        <v>2</v>
      </c>
      <c r="M225">
        <v>2</v>
      </c>
      <c r="N225">
        <v>5.0999999999999996</v>
      </c>
      <c r="O225">
        <v>9.9</v>
      </c>
      <c r="P225">
        <v>4</v>
      </c>
      <c r="Q225">
        <v>6</v>
      </c>
      <c r="R225">
        <v>943529</v>
      </c>
      <c r="S225">
        <f>Table1[[#This Row],[Revenue]]-Table1[[#This Row],[Operating_Costs]]</f>
        <v>406579</v>
      </c>
      <c r="T225">
        <v>536950</v>
      </c>
      <c r="U225">
        <v>68</v>
      </c>
      <c r="V225">
        <v>61</v>
      </c>
      <c r="W225">
        <v>7.1</v>
      </c>
    </row>
    <row r="226" spans="1:23" x14ac:dyDescent="0.25">
      <c r="A226">
        <v>14</v>
      </c>
      <c r="B226" t="s">
        <v>48</v>
      </c>
      <c r="C226" s="1">
        <v>44932</v>
      </c>
      <c r="D226" s="1">
        <v>44933</v>
      </c>
      <c r="E226" s="2">
        <f t="shared" si="6"/>
        <v>1</v>
      </c>
      <c r="F226">
        <v>84</v>
      </c>
      <c r="G226" t="str">
        <f t="shared" si="7"/>
        <v>81+</v>
      </c>
      <c r="H226" t="s">
        <v>23</v>
      </c>
      <c r="I226" t="s">
        <v>43</v>
      </c>
      <c r="J226" t="s">
        <v>25</v>
      </c>
      <c r="K226" t="s">
        <v>26</v>
      </c>
      <c r="L226">
        <v>2</v>
      </c>
      <c r="M226">
        <v>2</v>
      </c>
      <c r="N226">
        <v>4.0999999999999996</v>
      </c>
      <c r="O226">
        <v>9.1999999999999993</v>
      </c>
      <c r="P226">
        <v>6</v>
      </c>
      <c r="Q226">
        <v>3</v>
      </c>
      <c r="R226">
        <v>895225</v>
      </c>
      <c r="S226">
        <f>Table1[[#This Row],[Revenue]]-Table1[[#This Row],[Operating_Costs]]</f>
        <v>367054</v>
      </c>
      <c r="T226">
        <v>528171</v>
      </c>
      <c r="U226">
        <v>44</v>
      </c>
      <c r="V226">
        <v>54</v>
      </c>
      <c r="W226">
        <v>12.1</v>
      </c>
    </row>
    <row r="227" spans="1:23" x14ac:dyDescent="0.25">
      <c r="A227">
        <v>5</v>
      </c>
      <c r="B227" t="s">
        <v>22</v>
      </c>
      <c r="C227" s="1">
        <v>44928</v>
      </c>
      <c r="D227" s="1">
        <v>44937</v>
      </c>
      <c r="E227" s="2">
        <f t="shared" si="6"/>
        <v>1</v>
      </c>
      <c r="F227">
        <v>81</v>
      </c>
      <c r="G227" t="str">
        <f t="shared" si="7"/>
        <v>81+</v>
      </c>
      <c r="H227" t="s">
        <v>35</v>
      </c>
      <c r="I227" t="s">
        <v>36</v>
      </c>
      <c r="J227" t="s">
        <v>37</v>
      </c>
      <c r="K227" t="s">
        <v>26</v>
      </c>
      <c r="L227">
        <v>2</v>
      </c>
      <c r="M227">
        <v>2</v>
      </c>
      <c r="N227">
        <v>3.8</v>
      </c>
      <c r="O227">
        <v>9.6999999999999993</v>
      </c>
      <c r="P227">
        <v>5</v>
      </c>
      <c r="Q227">
        <v>3</v>
      </c>
      <c r="R227">
        <v>778194</v>
      </c>
      <c r="S227">
        <f>Table1[[#This Row],[Revenue]]-Table1[[#This Row],[Operating_Costs]]</f>
        <v>507353</v>
      </c>
      <c r="T227">
        <v>270841</v>
      </c>
      <c r="U227">
        <v>37</v>
      </c>
      <c r="V227">
        <v>66</v>
      </c>
      <c r="W227">
        <v>13.5</v>
      </c>
    </row>
    <row r="228" spans="1:23" x14ac:dyDescent="0.25">
      <c r="A228">
        <v>1</v>
      </c>
      <c r="B228" t="s">
        <v>32</v>
      </c>
      <c r="C228" s="1">
        <v>44915</v>
      </c>
      <c r="D228" s="1">
        <v>44938</v>
      </c>
      <c r="E228" s="2">
        <f t="shared" si="6"/>
        <v>1</v>
      </c>
      <c r="F228">
        <v>22</v>
      </c>
      <c r="G228" t="str">
        <f t="shared" si="7"/>
        <v>21-40</v>
      </c>
      <c r="H228" t="s">
        <v>35</v>
      </c>
      <c r="I228" t="s">
        <v>36</v>
      </c>
      <c r="J228" t="s">
        <v>37</v>
      </c>
      <c r="K228" t="s">
        <v>42</v>
      </c>
      <c r="L228">
        <v>2</v>
      </c>
      <c r="M228">
        <v>2</v>
      </c>
      <c r="N228">
        <v>5.8</v>
      </c>
      <c r="O228">
        <v>7.5</v>
      </c>
      <c r="P228">
        <v>7</v>
      </c>
      <c r="Q228">
        <v>7</v>
      </c>
      <c r="R228">
        <v>902170</v>
      </c>
      <c r="S228">
        <f>Table1[[#This Row],[Revenue]]-Table1[[#This Row],[Operating_Costs]]</f>
        <v>138527</v>
      </c>
      <c r="T228">
        <v>763643</v>
      </c>
      <c r="U228">
        <v>38</v>
      </c>
      <c r="V228">
        <v>61</v>
      </c>
      <c r="W228">
        <v>36</v>
      </c>
    </row>
    <row r="229" spans="1:23" x14ac:dyDescent="0.25">
      <c r="A229">
        <v>10</v>
      </c>
      <c r="B229" t="s">
        <v>34</v>
      </c>
      <c r="C229" s="1">
        <v>44926</v>
      </c>
      <c r="D229" s="1">
        <v>44938</v>
      </c>
      <c r="E229" s="2">
        <f t="shared" si="6"/>
        <v>1</v>
      </c>
      <c r="F229">
        <v>34</v>
      </c>
      <c r="G229" t="str">
        <f t="shared" si="7"/>
        <v>21-40</v>
      </c>
      <c r="H229" t="s">
        <v>35</v>
      </c>
      <c r="I229" t="s">
        <v>36</v>
      </c>
      <c r="J229" t="s">
        <v>37</v>
      </c>
      <c r="K229" t="s">
        <v>42</v>
      </c>
      <c r="L229">
        <v>2</v>
      </c>
      <c r="M229">
        <v>2</v>
      </c>
      <c r="N229">
        <v>4.0999999999999996</v>
      </c>
      <c r="O229">
        <v>9.4</v>
      </c>
      <c r="P229">
        <v>5</v>
      </c>
      <c r="Q229">
        <v>6</v>
      </c>
      <c r="R229">
        <v>853559</v>
      </c>
      <c r="S229">
        <f>Table1[[#This Row],[Revenue]]-Table1[[#This Row],[Operating_Costs]]</f>
        <v>161633</v>
      </c>
      <c r="T229">
        <v>691926</v>
      </c>
      <c r="U229">
        <v>69</v>
      </c>
      <c r="V229">
        <v>64</v>
      </c>
      <c r="W229">
        <v>10.8</v>
      </c>
    </row>
    <row r="230" spans="1:23" x14ac:dyDescent="0.25">
      <c r="A230">
        <v>11</v>
      </c>
      <c r="B230" t="s">
        <v>63</v>
      </c>
      <c r="C230" s="1">
        <v>44932</v>
      </c>
      <c r="D230" s="1">
        <v>44942</v>
      </c>
      <c r="E230" s="2">
        <f t="shared" si="6"/>
        <v>1</v>
      </c>
      <c r="F230">
        <v>31</v>
      </c>
      <c r="G230" t="str">
        <f t="shared" si="7"/>
        <v>21-40</v>
      </c>
      <c r="H230" t="s">
        <v>35</v>
      </c>
      <c r="I230" t="s">
        <v>40</v>
      </c>
      <c r="J230" t="s">
        <v>41</v>
      </c>
      <c r="K230" t="s">
        <v>29</v>
      </c>
      <c r="L230">
        <v>2</v>
      </c>
      <c r="M230">
        <v>2</v>
      </c>
      <c r="N230">
        <v>3.4</v>
      </c>
      <c r="O230">
        <v>8.1</v>
      </c>
      <c r="P230">
        <v>4</v>
      </c>
      <c r="Q230">
        <v>5</v>
      </c>
      <c r="R230">
        <v>699693</v>
      </c>
      <c r="S230">
        <f>Table1[[#This Row],[Revenue]]-Table1[[#This Row],[Operating_Costs]]</f>
        <v>261738</v>
      </c>
      <c r="T230">
        <v>437955</v>
      </c>
      <c r="U230">
        <v>24</v>
      </c>
      <c r="V230">
        <v>65</v>
      </c>
      <c r="W230">
        <v>9.1</v>
      </c>
    </row>
    <row r="231" spans="1:23" x14ac:dyDescent="0.25">
      <c r="A231">
        <v>10</v>
      </c>
      <c r="B231" t="s">
        <v>34</v>
      </c>
      <c r="C231" s="1">
        <v>44931</v>
      </c>
      <c r="D231" s="1">
        <v>44945</v>
      </c>
      <c r="E231" s="2">
        <f t="shared" si="6"/>
        <v>1</v>
      </c>
      <c r="F231">
        <v>23</v>
      </c>
      <c r="G231" t="str">
        <f t="shared" si="7"/>
        <v>21-40</v>
      </c>
      <c r="H231" t="s">
        <v>35</v>
      </c>
      <c r="I231" t="s">
        <v>64</v>
      </c>
      <c r="J231" t="s">
        <v>65</v>
      </c>
      <c r="K231" t="s">
        <v>33</v>
      </c>
      <c r="L231">
        <v>2</v>
      </c>
      <c r="M231">
        <v>2</v>
      </c>
      <c r="N231">
        <v>1.6</v>
      </c>
      <c r="O231">
        <v>7.3</v>
      </c>
      <c r="P231">
        <v>5</v>
      </c>
      <c r="Q231">
        <v>7</v>
      </c>
      <c r="R231">
        <v>802860</v>
      </c>
      <c r="S231">
        <f>Table1[[#This Row],[Revenue]]-Table1[[#This Row],[Operating_Costs]]</f>
        <v>203645</v>
      </c>
      <c r="T231">
        <v>599215</v>
      </c>
      <c r="U231">
        <v>60</v>
      </c>
      <c r="V231">
        <v>61</v>
      </c>
      <c r="W231">
        <v>14.3</v>
      </c>
    </row>
    <row r="232" spans="1:23" x14ac:dyDescent="0.25">
      <c r="A232">
        <v>12</v>
      </c>
      <c r="B232" t="s">
        <v>66</v>
      </c>
      <c r="C232" s="1">
        <v>44925</v>
      </c>
      <c r="D232" s="1">
        <v>44945</v>
      </c>
      <c r="E232" s="2">
        <f t="shared" si="6"/>
        <v>1</v>
      </c>
      <c r="F232">
        <v>31</v>
      </c>
      <c r="G232" t="str">
        <f t="shared" si="7"/>
        <v>21-40</v>
      </c>
      <c r="H232" t="s">
        <v>35</v>
      </c>
      <c r="I232" t="s">
        <v>64</v>
      </c>
      <c r="J232" t="s">
        <v>65</v>
      </c>
      <c r="K232" t="s">
        <v>29</v>
      </c>
      <c r="L232">
        <v>2</v>
      </c>
      <c r="M232">
        <v>2</v>
      </c>
      <c r="N232">
        <v>4.4000000000000004</v>
      </c>
      <c r="O232">
        <v>9.8000000000000007</v>
      </c>
      <c r="P232">
        <v>3</v>
      </c>
      <c r="Q232">
        <v>3</v>
      </c>
      <c r="R232">
        <v>957921</v>
      </c>
      <c r="S232">
        <f>Table1[[#This Row],[Revenue]]-Table1[[#This Row],[Operating_Costs]]</f>
        <v>432141</v>
      </c>
      <c r="T232">
        <v>525780</v>
      </c>
      <c r="U232">
        <v>62</v>
      </c>
      <c r="V232">
        <v>55</v>
      </c>
      <c r="W232">
        <v>36.4</v>
      </c>
    </row>
    <row r="233" spans="1:23" x14ac:dyDescent="0.25">
      <c r="A233">
        <v>4</v>
      </c>
      <c r="B233" t="s">
        <v>69</v>
      </c>
      <c r="C233" s="1">
        <v>44922</v>
      </c>
      <c r="D233" s="1">
        <v>44951</v>
      </c>
      <c r="E233" s="2">
        <f t="shared" si="6"/>
        <v>1</v>
      </c>
      <c r="F233">
        <v>42</v>
      </c>
      <c r="G233" t="str">
        <f t="shared" si="7"/>
        <v>41-60</v>
      </c>
      <c r="H233" t="s">
        <v>23</v>
      </c>
      <c r="I233" t="s">
        <v>24</v>
      </c>
      <c r="J233" t="s">
        <v>25</v>
      </c>
      <c r="K233" t="s">
        <v>29</v>
      </c>
      <c r="L233">
        <v>2</v>
      </c>
      <c r="M233">
        <v>2</v>
      </c>
      <c r="N233">
        <v>1.7</v>
      </c>
      <c r="O233">
        <v>9.8000000000000007</v>
      </c>
      <c r="P233">
        <v>6</v>
      </c>
      <c r="Q233">
        <v>3</v>
      </c>
      <c r="R233">
        <v>831066</v>
      </c>
      <c r="S233">
        <f>Table1[[#This Row],[Revenue]]-Table1[[#This Row],[Operating_Costs]]</f>
        <v>140314</v>
      </c>
      <c r="T233">
        <v>690752</v>
      </c>
      <c r="U233">
        <v>43</v>
      </c>
      <c r="V233">
        <v>66</v>
      </c>
      <c r="W233">
        <v>14.4</v>
      </c>
    </row>
    <row r="234" spans="1:23" x14ac:dyDescent="0.25">
      <c r="A234">
        <v>5</v>
      </c>
      <c r="B234" t="s">
        <v>22</v>
      </c>
      <c r="C234" s="1">
        <v>44932</v>
      </c>
      <c r="D234" s="1">
        <v>44951</v>
      </c>
      <c r="E234" s="2">
        <f t="shared" si="6"/>
        <v>1</v>
      </c>
      <c r="F234">
        <v>47</v>
      </c>
      <c r="G234" t="str">
        <f t="shared" si="7"/>
        <v>41-60</v>
      </c>
      <c r="H234" t="s">
        <v>23</v>
      </c>
      <c r="I234" t="s">
        <v>50</v>
      </c>
      <c r="J234" t="s">
        <v>51</v>
      </c>
      <c r="K234" t="s">
        <v>33</v>
      </c>
      <c r="L234">
        <v>2</v>
      </c>
      <c r="M234">
        <v>2</v>
      </c>
      <c r="N234">
        <v>4.7</v>
      </c>
      <c r="O234">
        <v>8.8000000000000007</v>
      </c>
      <c r="P234">
        <v>7</v>
      </c>
      <c r="Q234">
        <v>3</v>
      </c>
      <c r="R234">
        <v>662746</v>
      </c>
      <c r="S234">
        <f>Table1[[#This Row],[Revenue]]-Table1[[#This Row],[Operating_Costs]]</f>
        <v>444658</v>
      </c>
      <c r="T234">
        <v>218088</v>
      </c>
      <c r="U234">
        <v>35</v>
      </c>
      <c r="V234">
        <v>61</v>
      </c>
      <c r="W234">
        <v>6.3</v>
      </c>
    </row>
    <row r="235" spans="1:23" x14ac:dyDescent="0.25">
      <c r="A235">
        <v>5</v>
      </c>
      <c r="B235" t="s">
        <v>22</v>
      </c>
      <c r="C235" s="1">
        <v>44933</v>
      </c>
      <c r="D235" s="1">
        <v>44954</v>
      </c>
      <c r="E235" s="2">
        <f t="shared" si="6"/>
        <v>1</v>
      </c>
      <c r="F235">
        <v>82</v>
      </c>
      <c r="G235" t="str">
        <f t="shared" si="7"/>
        <v>81+</v>
      </c>
      <c r="H235" t="s">
        <v>23</v>
      </c>
      <c r="I235" t="s">
        <v>24</v>
      </c>
      <c r="J235" t="s">
        <v>25</v>
      </c>
      <c r="K235" t="s">
        <v>38</v>
      </c>
      <c r="L235">
        <v>2</v>
      </c>
      <c r="M235">
        <v>2</v>
      </c>
      <c r="N235">
        <v>3.7</v>
      </c>
      <c r="O235">
        <v>8.6</v>
      </c>
      <c r="P235">
        <v>3</v>
      </c>
      <c r="Q235">
        <v>5</v>
      </c>
      <c r="R235">
        <v>991001</v>
      </c>
      <c r="S235">
        <f>Table1[[#This Row],[Revenue]]-Table1[[#This Row],[Operating_Costs]]</f>
        <v>508813</v>
      </c>
      <c r="T235">
        <v>482188</v>
      </c>
      <c r="U235">
        <v>27</v>
      </c>
      <c r="V235">
        <v>65</v>
      </c>
      <c r="W235">
        <v>12.6</v>
      </c>
    </row>
    <row r="236" spans="1:23" x14ac:dyDescent="0.25">
      <c r="A236">
        <v>8</v>
      </c>
      <c r="B236" t="s">
        <v>52</v>
      </c>
      <c r="C236" s="1">
        <v>44940</v>
      </c>
      <c r="D236" s="1">
        <v>44954</v>
      </c>
      <c r="E236" s="2">
        <f t="shared" si="6"/>
        <v>1</v>
      </c>
      <c r="F236">
        <v>85</v>
      </c>
      <c r="G236" t="str">
        <f t="shared" si="7"/>
        <v>81+</v>
      </c>
      <c r="H236" t="s">
        <v>23</v>
      </c>
      <c r="I236" t="s">
        <v>50</v>
      </c>
      <c r="J236" t="s">
        <v>51</v>
      </c>
      <c r="K236" t="s">
        <v>42</v>
      </c>
      <c r="L236">
        <v>2</v>
      </c>
      <c r="M236">
        <v>2</v>
      </c>
      <c r="N236">
        <v>5.2</v>
      </c>
      <c r="O236">
        <v>9.1999999999999993</v>
      </c>
      <c r="P236">
        <v>7</v>
      </c>
      <c r="Q236">
        <v>3</v>
      </c>
      <c r="R236">
        <v>923767</v>
      </c>
      <c r="S236">
        <f>Table1[[#This Row],[Revenue]]-Table1[[#This Row],[Operating_Costs]]</f>
        <v>32036</v>
      </c>
      <c r="T236">
        <v>891731</v>
      </c>
      <c r="U236">
        <v>34</v>
      </c>
      <c r="V236">
        <v>59</v>
      </c>
      <c r="W236">
        <v>10.8</v>
      </c>
    </row>
    <row r="237" spans="1:23" x14ac:dyDescent="0.25">
      <c r="A237">
        <v>8</v>
      </c>
      <c r="B237" t="s">
        <v>52</v>
      </c>
      <c r="C237" s="1">
        <v>44929</v>
      </c>
      <c r="D237" s="1">
        <v>44957</v>
      </c>
      <c r="E237" s="2">
        <f t="shared" si="6"/>
        <v>1</v>
      </c>
      <c r="F237">
        <v>46</v>
      </c>
      <c r="G237" t="str">
        <f t="shared" si="7"/>
        <v>41-60</v>
      </c>
      <c r="H237" t="s">
        <v>35</v>
      </c>
      <c r="I237" t="s">
        <v>27</v>
      </c>
      <c r="J237" t="s">
        <v>28</v>
      </c>
      <c r="K237" t="s">
        <v>26</v>
      </c>
      <c r="L237">
        <v>2</v>
      </c>
      <c r="M237">
        <v>2</v>
      </c>
      <c r="N237">
        <v>1.2</v>
      </c>
      <c r="O237">
        <v>7.6</v>
      </c>
      <c r="P237">
        <v>5</v>
      </c>
      <c r="Q237">
        <v>6</v>
      </c>
      <c r="R237">
        <v>942672</v>
      </c>
      <c r="S237">
        <f>Table1[[#This Row],[Revenue]]-Table1[[#This Row],[Operating_Costs]]</f>
        <v>51946</v>
      </c>
      <c r="T237">
        <v>890726</v>
      </c>
      <c r="U237">
        <v>38</v>
      </c>
      <c r="V237">
        <v>55</v>
      </c>
      <c r="W237">
        <v>6.2</v>
      </c>
    </row>
    <row r="238" spans="1:23" x14ac:dyDescent="0.25">
      <c r="A238">
        <v>4</v>
      </c>
      <c r="B238" t="s">
        <v>69</v>
      </c>
      <c r="C238" s="1">
        <v>44948</v>
      </c>
      <c r="D238" s="1">
        <v>44959</v>
      </c>
      <c r="E238" s="2">
        <f t="shared" si="6"/>
        <v>1</v>
      </c>
      <c r="F238">
        <v>27</v>
      </c>
      <c r="G238" t="str">
        <f t="shared" si="7"/>
        <v>21-40</v>
      </c>
      <c r="H238" t="s">
        <v>35</v>
      </c>
      <c r="I238" t="s">
        <v>36</v>
      </c>
      <c r="J238" t="s">
        <v>37</v>
      </c>
      <c r="K238" t="s">
        <v>26</v>
      </c>
      <c r="L238">
        <v>2</v>
      </c>
      <c r="M238">
        <v>2</v>
      </c>
      <c r="N238">
        <v>3.4</v>
      </c>
      <c r="O238">
        <v>9.9</v>
      </c>
      <c r="P238">
        <v>6</v>
      </c>
      <c r="Q238">
        <v>5</v>
      </c>
      <c r="R238">
        <v>892752</v>
      </c>
      <c r="S238">
        <f>Table1[[#This Row],[Revenue]]-Table1[[#This Row],[Operating_Costs]]</f>
        <v>386145</v>
      </c>
      <c r="T238">
        <v>506607</v>
      </c>
      <c r="U238">
        <v>36</v>
      </c>
      <c r="V238">
        <v>55</v>
      </c>
      <c r="W238">
        <v>12.9</v>
      </c>
    </row>
    <row r="239" spans="1:23" x14ac:dyDescent="0.25">
      <c r="A239">
        <v>6</v>
      </c>
      <c r="B239" t="s">
        <v>70</v>
      </c>
      <c r="C239" s="1">
        <v>44944</v>
      </c>
      <c r="D239" s="1">
        <v>44959</v>
      </c>
      <c r="E239" s="2">
        <f t="shared" si="6"/>
        <v>1</v>
      </c>
      <c r="F239">
        <v>22</v>
      </c>
      <c r="G239" t="str">
        <f t="shared" si="7"/>
        <v>21-40</v>
      </c>
      <c r="H239" t="s">
        <v>35</v>
      </c>
      <c r="I239" t="s">
        <v>31</v>
      </c>
      <c r="J239" t="s">
        <v>28</v>
      </c>
      <c r="K239" t="s">
        <v>26</v>
      </c>
      <c r="L239">
        <v>2</v>
      </c>
      <c r="M239">
        <v>2</v>
      </c>
      <c r="N239">
        <v>5.2</v>
      </c>
      <c r="O239">
        <v>9.6</v>
      </c>
      <c r="P239">
        <v>5</v>
      </c>
      <c r="Q239">
        <v>7</v>
      </c>
      <c r="R239">
        <v>636378</v>
      </c>
      <c r="S239">
        <f>Table1[[#This Row],[Revenue]]-Table1[[#This Row],[Operating_Costs]]</f>
        <v>129216</v>
      </c>
      <c r="T239">
        <v>507162</v>
      </c>
      <c r="U239">
        <v>25</v>
      </c>
      <c r="V239">
        <v>64</v>
      </c>
      <c r="W239">
        <v>5.4</v>
      </c>
    </row>
    <row r="240" spans="1:23" x14ac:dyDescent="0.25">
      <c r="A240">
        <v>3</v>
      </c>
      <c r="B240" t="s">
        <v>57</v>
      </c>
      <c r="C240" s="1">
        <v>44938</v>
      </c>
      <c r="D240" s="1">
        <v>44960</v>
      </c>
      <c r="E240" s="2">
        <f t="shared" si="6"/>
        <v>1</v>
      </c>
      <c r="F240">
        <v>43</v>
      </c>
      <c r="G240" t="str">
        <f t="shared" si="7"/>
        <v>41-60</v>
      </c>
      <c r="H240" t="s">
        <v>35</v>
      </c>
      <c r="I240" t="s">
        <v>27</v>
      </c>
      <c r="J240" t="s">
        <v>28</v>
      </c>
      <c r="K240" t="s">
        <v>29</v>
      </c>
      <c r="L240">
        <v>2</v>
      </c>
      <c r="M240">
        <v>2</v>
      </c>
      <c r="N240">
        <v>4.5999999999999996</v>
      </c>
      <c r="O240">
        <v>9.6999999999999993</v>
      </c>
      <c r="P240">
        <v>6</v>
      </c>
      <c r="Q240">
        <v>7</v>
      </c>
      <c r="R240">
        <v>573163</v>
      </c>
      <c r="S240">
        <f>Table1[[#This Row],[Revenue]]-Table1[[#This Row],[Operating_Costs]]</f>
        <v>262743</v>
      </c>
      <c r="T240">
        <v>310420</v>
      </c>
      <c r="U240">
        <v>17</v>
      </c>
      <c r="V240">
        <v>55</v>
      </c>
      <c r="W240">
        <v>14.9</v>
      </c>
    </row>
    <row r="241" spans="1:23" x14ac:dyDescent="0.25">
      <c r="A241">
        <v>14</v>
      </c>
      <c r="B241" t="s">
        <v>48</v>
      </c>
      <c r="C241" s="1">
        <v>44938</v>
      </c>
      <c r="D241" s="1">
        <v>44960</v>
      </c>
      <c r="E241" s="2">
        <f t="shared" si="6"/>
        <v>1</v>
      </c>
      <c r="F241">
        <v>75</v>
      </c>
      <c r="G241" t="str">
        <f t="shared" si="7"/>
        <v>61-80</v>
      </c>
      <c r="H241" t="s">
        <v>35</v>
      </c>
      <c r="I241" t="s">
        <v>58</v>
      </c>
      <c r="J241" t="s">
        <v>59</v>
      </c>
      <c r="K241" t="s">
        <v>29</v>
      </c>
      <c r="L241">
        <v>2</v>
      </c>
      <c r="M241">
        <v>2</v>
      </c>
      <c r="N241">
        <v>4.7</v>
      </c>
      <c r="O241">
        <v>7.2</v>
      </c>
      <c r="P241">
        <v>3</v>
      </c>
      <c r="Q241">
        <v>4</v>
      </c>
      <c r="R241">
        <v>769792</v>
      </c>
      <c r="S241">
        <f>Table1[[#This Row],[Revenue]]-Table1[[#This Row],[Operating_Costs]]</f>
        <v>262035</v>
      </c>
      <c r="T241">
        <v>507757</v>
      </c>
      <c r="U241">
        <v>45</v>
      </c>
      <c r="V241">
        <v>61</v>
      </c>
      <c r="W241">
        <v>13.7</v>
      </c>
    </row>
    <row r="242" spans="1:23" x14ac:dyDescent="0.25">
      <c r="A242">
        <v>4</v>
      </c>
      <c r="B242" t="s">
        <v>69</v>
      </c>
      <c r="C242" s="1">
        <v>44953</v>
      </c>
      <c r="D242" s="1">
        <v>44961</v>
      </c>
      <c r="E242" s="2">
        <f t="shared" si="6"/>
        <v>1</v>
      </c>
      <c r="F242">
        <v>86</v>
      </c>
      <c r="G242" t="str">
        <f t="shared" si="7"/>
        <v>81+</v>
      </c>
      <c r="H242" t="s">
        <v>35</v>
      </c>
      <c r="I242" t="s">
        <v>53</v>
      </c>
      <c r="J242" t="s">
        <v>54</v>
      </c>
      <c r="K242" t="s">
        <v>33</v>
      </c>
      <c r="L242">
        <v>2</v>
      </c>
      <c r="M242">
        <v>2</v>
      </c>
      <c r="N242">
        <v>1.1000000000000001</v>
      </c>
      <c r="O242">
        <v>7.3</v>
      </c>
      <c r="P242">
        <v>6</v>
      </c>
      <c r="Q242">
        <v>3</v>
      </c>
      <c r="R242">
        <v>985408</v>
      </c>
      <c r="S242">
        <f>Table1[[#This Row],[Revenue]]-Table1[[#This Row],[Operating_Costs]]</f>
        <v>427569</v>
      </c>
      <c r="T242">
        <v>557839</v>
      </c>
      <c r="U242">
        <v>52</v>
      </c>
      <c r="V242">
        <v>62</v>
      </c>
      <c r="W242">
        <v>13.6</v>
      </c>
    </row>
    <row r="243" spans="1:23" x14ac:dyDescent="0.25">
      <c r="A243">
        <v>12</v>
      </c>
      <c r="B243" t="s">
        <v>66</v>
      </c>
      <c r="C243" s="1">
        <v>44951</v>
      </c>
      <c r="D243" s="1">
        <v>44963</v>
      </c>
      <c r="E243" s="2">
        <f t="shared" si="6"/>
        <v>1</v>
      </c>
      <c r="F243">
        <v>46</v>
      </c>
      <c r="G243" t="str">
        <f t="shared" si="7"/>
        <v>41-60</v>
      </c>
      <c r="H243" t="s">
        <v>35</v>
      </c>
      <c r="I243" t="s">
        <v>40</v>
      </c>
      <c r="J243" t="s">
        <v>41</v>
      </c>
      <c r="K243" t="s">
        <v>26</v>
      </c>
      <c r="L243">
        <v>2</v>
      </c>
      <c r="M243">
        <v>2</v>
      </c>
      <c r="N243">
        <v>3.9</v>
      </c>
      <c r="O243">
        <v>9.6</v>
      </c>
      <c r="P243">
        <v>4</v>
      </c>
      <c r="Q243">
        <v>4</v>
      </c>
      <c r="R243">
        <v>998912</v>
      </c>
      <c r="S243">
        <f>Table1[[#This Row],[Revenue]]-Table1[[#This Row],[Operating_Costs]]</f>
        <v>461138</v>
      </c>
      <c r="T243">
        <v>537774</v>
      </c>
      <c r="U243">
        <v>59</v>
      </c>
      <c r="V243">
        <v>65</v>
      </c>
      <c r="W243">
        <v>13.6</v>
      </c>
    </row>
    <row r="244" spans="1:23" x14ac:dyDescent="0.25">
      <c r="A244">
        <v>7</v>
      </c>
      <c r="B244" t="s">
        <v>49</v>
      </c>
      <c r="C244" s="1">
        <v>44961</v>
      </c>
      <c r="D244" s="1">
        <v>44964</v>
      </c>
      <c r="E244" s="2">
        <f t="shared" si="6"/>
        <v>1</v>
      </c>
      <c r="F244">
        <v>23</v>
      </c>
      <c r="G244" t="str">
        <f t="shared" si="7"/>
        <v>21-40</v>
      </c>
      <c r="H244" t="s">
        <v>35</v>
      </c>
      <c r="I244" t="s">
        <v>40</v>
      </c>
      <c r="J244" t="s">
        <v>41</v>
      </c>
      <c r="K244" t="s">
        <v>26</v>
      </c>
      <c r="L244">
        <v>2</v>
      </c>
      <c r="M244">
        <v>2</v>
      </c>
      <c r="N244">
        <v>3.5</v>
      </c>
      <c r="O244">
        <v>7</v>
      </c>
      <c r="P244">
        <v>6</v>
      </c>
      <c r="Q244">
        <v>5</v>
      </c>
      <c r="R244">
        <v>880083</v>
      </c>
      <c r="S244">
        <f>Table1[[#This Row],[Revenue]]-Table1[[#This Row],[Operating_Costs]]</f>
        <v>377120</v>
      </c>
      <c r="T244">
        <v>502963</v>
      </c>
      <c r="U244">
        <v>55</v>
      </c>
      <c r="V244">
        <v>64</v>
      </c>
      <c r="W244">
        <v>9.3000000000000007</v>
      </c>
    </row>
    <row r="245" spans="1:23" x14ac:dyDescent="0.25">
      <c r="A245">
        <v>7</v>
      </c>
      <c r="B245" t="s">
        <v>49</v>
      </c>
      <c r="C245" s="1">
        <v>44956</v>
      </c>
      <c r="D245" s="1">
        <v>44966</v>
      </c>
      <c r="E245" s="2">
        <f t="shared" si="6"/>
        <v>1</v>
      </c>
      <c r="F245">
        <v>56</v>
      </c>
      <c r="G245" t="str">
        <f t="shared" si="7"/>
        <v>41-60</v>
      </c>
      <c r="H245" t="s">
        <v>23</v>
      </c>
      <c r="I245" t="s">
        <v>55</v>
      </c>
      <c r="J245" t="s">
        <v>56</v>
      </c>
      <c r="K245" t="s">
        <v>33</v>
      </c>
      <c r="L245">
        <v>2</v>
      </c>
      <c r="M245">
        <v>2</v>
      </c>
      <c r="N245">
        <v>5.0999999999999996</v>
      </c>
      <c r="O245">
        <v>7.3</v>
      </c>
      <c r="P245">
        <v>5</v>
      </c>
      <c r="Q245">
        <v>3</v>
      </c>
      <c r="R245">
        <v>681773</v>
      </c>
      <c r="S245">
        <f>Table1[[#This Row],[Revenue]]-Table1[[#This Row],[Operating_Costs]]</f>
        <v>150908</v>
      </c>
      <c r="T245">
        <v>530865</v>
      </c>
      <c r="U245">
        <v>51</v>
      </c>
      <c r="V245">
        <v>66</v>
      </c>
      <c r="W245">
        <v>13.1</v>
      </c>
    </row>
    <row r="246" spans="1:23" x14ac:dyDescent="0.25">
      <c r="A246">
        <v>7</v>
      </c>
      <c r="B246" t="s">
        <v>49</v>
      </c>
      <c r="C246" s="1">
        <v>44958</v>
      </c>
      <c r="D246" s="1">
        <v>44967</v>
      </c>
      <c r="E246" s="2">
        <f t="shared" si="6"/>
        <v>1</v>
      </c>
      <c r="F246">
        <v>46</v>
      </c>
      <c r="G246" t="str">
        <f t="shared" si="7"/>
        <v>41-60</v>
      </c>
      <c r="H246" t="s">
        <v>23</v>
      </c>
      <c r="I246" t="s">
        <v>27</v>
      </c>
      <c r="J246" t="s">
        <v>28</v>
      </c>
      <c r="K246" t="s">
        <v>38</v>
      </c>
      <c r="L246">
        <v>2</v>
      </c>
      <c r="M246">
        <v>2</v>
      </c>
      <c r="N246">
        <v>1.9</v>
      </c>
      <c r="O246">
        <v>7</v>
      </c>
      <c r="P246">
        <v>3</v>
      </c>
      <c r="Q246">
        <v>3</v>
      </c>
      <c r="R246">
        <v>725360</v>
      </c>
      <c r="S246">
        <f>Table1[[#This Row],[Revenue]]-Table1[[#This Row],[Operating_Costs]]</f>
        <v>137642</v>
      </c>
      <c r="T246">
        <v>587718</v>
      </c>
      <c r="U246">
        <v>45</v>
      </c>
      <c r="V246">
        <v>60</v>
      </c>
      <c r="W246">
        <v>5.6</v>
      </c>
    </row>
    <row r="247" spans="1:23" x14ac:dyDescent="0.25">
      <c r="A247">
        <v>8</v>
      </c>
      <c r="B247" t="s">
        <v>52</v>
      </c>
      <c r="C247" s="1">
        <v>44966</v>
      </c>
      <c r="D247" s="1">
        <v>44968</v>
      </c>
      <c r="E247" s="2">
        <f t="shared" si="6"/>
        <v>1</v>
      </c>
      <c r="F247">
        <v>79</v>
      </c>
      <c r="G247" t="str">
        <f t="shared" si="7"/>
        <v>61-80</v>
      </c>
      <c r="H247" t="s">
        <v>23</v>
      </c>
      <c r="I247" t="s">
        <v>43</v>
      </c>
      <c r="J247" t="s">
        <v>25</v>
      </c>
      <c r="K247" t="s">
        <v>29</v>
      </c>
      <c r="L247">
        <v>2</v>
      </c>
      <c r="M247">
        <v>2</v>
      </c>
      <c r="N247">
        <v>3.3</v>
      </c>
      <c r="O247">
        <v>9.9</v>
      </c>
      <c r="P247">
        <v>4</v>
      </c>
      <c r="Q247">
        <v>7</v>
      </c>
      <c r="R247">
        <v>986427</v>
      </c>
      <c r="S247">
        <f>Table1[[#This Row],[Revenue]]-Table1[[#This Row],[Operating_Costs]]</f>
        <v>122110</v>
      </c>
      <c r="T247">
        <v>864317</v>
      </c>
      <c r="U247">
        <v>38</v>
      </c>
      <c r="V247">
        <v>55</v>
      </c>
      <c r="W247">
        <v>8.4</v>
      </c>
    </row>
    <row r="248" spans="1:23" x14ac:dyDescent="0.25">
      <c r="A248">
        <v>11</v>
      </c>
      <c r="B248" t="s">
        <v>63</v>
      </c>
      <c r="C248" s="1">
        <v>44954</v>
      </c>
      <c r="D248" s="1">
        <v>44974</v>
      </c>
      <c r="E248" s="2">
        <f t="shared" si="6"/>
        <v>1</v>
      </c>
      <c r="F248">
        <v>29</v>
      </c>
      <c r="G248" t="str">
        <f t="shared" si="7"/>
        <v>21-40</v>
      </c>
      <c r="H248" t="s">
        <v>23</v>
      </c>
      <c r="I248" t="s">
        <v>55</v>
      </c>
      <c r="J248" t="s">
        <v>56</v>
      </c>
      <c r="K248" t="s">
        <v>33</v>
      </c>
      <c r="L248">
        <v>2</v>
      </c>
      <c r="M248">
        <v>2</v>
      </c>
      <c r="N248">
        <v>3.2</v>
      </c>
      <c r="O248">
        <v>7.9</v>
      </c>
      <c r="P248">
        <v>5</v>
      </c>
      <c r="Q248">
        <v>7</v>
      </c>
      <c r="R248">
        <v>777152</v>
      </c>
      <c r="S248">
        <f>Table1[[#This Row],[Revenue]]-Table1[[#This Row],[Operating_Costs]]</f>
        <v>260861</v>
      </c>
      <c r="T248">
        <v>516291</v>
      </c>
      <c r="U248">
        <v>24</v>
      </c>
      <c r="V248">
        <v>54</v>
      </c>
      <c r="W248">
        <v>6.9</v>
      </c>
    </row>
    <row r="249" spans="1:23" x14ac:dyDescent="0.25">
      <c r="A249">
        <v>1</v>
      </c>
      <c r="B249" t="s">
        <v>32</v>
      </c>
      <c r="C249" s="1">
        <v>44971</v>
      </c>
      <c r="D249" s="1">
        <v>44978</v>
      </c>
      <c r="E249" s="2">
        <f t="shared" si="6"/>
        <v>1</v>
      </c>
      <c r="F249">
        <v>39</v>
      </c>
      <c r="G249" t="str">
        <f t="shared" si="7"/>
        <v>21-40</v>
      </c>
      <c r="H249" t="s">
        <v>23</v>
      </c>
      <c r="I249" t="s">
        <v>24</v>
      </c>
      <c r="J249" t="s">
        <v>25</v>
      </c>
      <c r="K249" t="s">
        <v>29</v>
      </c>
      <c r="L249">
        <v>2</v>
      </c>
      <c r="M249">
        <v>2</v>
      </c>
      <c r="N249">
        <v>1.6</v>
      </c>
      <c r="O249">
        <v>9.1</v>
      </c>
      <c r="P249">
        <v>5</v>
      </c>
      <c r="Q249">
        <v>3</v>
      </c>
      <c r="R249">
        <v>926680</v>
      </c>
      <c r="S249">
        <f>Table1[[#This Row],[Revenue]]-Table1[[#This Row],[Operating_Costs]]</f>
        <v>96833</v>
      </c>
      <c r="T249">
        <v>829847</v>
      </c>
      <c r="U249">
        <v>39</v>
      </c>
      <c r="V249">
        <v>59</v>
      </c>
      <c r="W249">
        <v>36.6</v>
      </c>
    </row>
    <row r="250" spans="1:23" x14ac:dyDescent="0.25">
      <c r="A250">
        <v>11</v>
      </c>
      <c r="B250" t="s">
        <v>63</v>
      </c>
      <c r="C250" s="1">
        <v>44956</v>
      </c>
      <c r="D250" s="1">
        <v>44982</v>
      </c>
      <c r="E250" s="2">
        <f t="shared" si="6"/>
        <v>1</v>
      </c>
      <c r="F250">
        <v>47</v>
      </c>
      <c r="G250" t="str">
        <f t="shared" si="7"/>
        <v>41-60</v>
      </c>
      <c r="H250" t="s">
        <v>35</v>
      </c>
      <c r="I250" t="s">
        <v>27</v>
      </c>
      <c r="J250" t="s">
        <v>28</v>
      </c>
      <c r="K250" t="s">
        <v>33</v>
      </c>
      <c r="L250">
        <v>2</v>
      </c>
      <c r="M250">
        <v>2</v>
      </c>
      <c r="N250">
        <v>3.4</v>
      </c>
      <c r="O250">
        <v>8.9</v>
      </c>
      <c r="P250">
        <v>7</v>
      </c>
      <c r="Q250">
        <v>7</v>
      </c>
      <c r="R250">
        <v>607332</v>
      </c>
      <c r="S250">
        <f>Table1[[#This Row],[Revenue]]-Table1[[#This Row],[Operating_Costs]]</f>
        <v>110263</v>
      </c>
      <c r="T250">
        <v>497069</v>
      </c>
      <c r="U250">
        <v>33</v>
      </c>
      <c r="V250">
        <v>56</v>
      </c>
      <c r="W250">
        <v>9.6999999999999993</v>
      </c>
    </row>
    <row r="251" spans="1:23" x14ac:dyDescent="0.25">
      <c r="A251">
        <v>9</v>
      </c>
      <c r="B251" t="s">
        <v>44</v>
      </c>
      <c r="C251" s="1">
        <v>44972</v>
      </c>
      <c r="D251" s="1">
        <v>44988</v>
      </c>
      <c r="E251" s="2">
        <f t="shared" si="6"/>
        <v>1</v>
      </c>
      <c r="F251">
        <v>49</v>
      </c>
      <c r="G251" t="str">
        <f t="shared" si="7"/>
        <v>41-60</v>
      </c>
      <c r="H251" t="s">
        <v>23</v>
      </c>
      <c r="I251" t="s">
        <v>27</v>
      </c>
      <c r="J251" t="s">
        <v>28</v>
      </c>
      <c r="K251" t="s">
        <v>33</v>
      </c>
      <c r="L251">
        <v>2</v>
      </c>
      <c r="M251">
        <v>2</v>
      </c>
      <c r="N251">
        <v>3.9</v>
      </c>
      <c r="O251">
        <v>9.5</v>
      </c>
      <c r="P251">
        <v>4</v>
      </c>
      <c r="Q251">
        <v>7</v>
      </c>
      <c r="R251">
        <v>580736</v>
      </c>
      <c r="S251">
        <f>Table1[[#This Row],[Revenue]]-Table1[[#This Row],[Operating_Costs]]</f>
        <v>187277</v>
      </c>
      <c r="T251">
        <v>393459</v>
      </c>
      <c r="U251">
        <v>35</v>
      </c>
      <c r="V251">
        <v>59</v>
      </c>
      <c r="W251">
        <v>12.1</v>
      </c>
    </row>
    <row r="252" spans="1:23" x14ac:dyDescent="0.25">
      <c r="A252">
        <v>2</v>
      </c>
      <c r="B252" t="s">
        <v>39</v>
      </c>
      <c r="C252" s="1">
        <v>44964</v>
      </c>
      <c r="D252" s="1">
        <v>44989</v>
      </c>
      <c r="E252" s="2">
        <f t="shared" si="6"/>
        <v>1</v>
      </c>
      <c r="F252">
        <v>43</v>
      </c>
      <c r="G252" t="str">
        <f t="shared" si="7"/>
        <v>41-60</v>
      </c>
      <c r="H252" t="s">
        <v>23</v>
      </c>
      <c r="I252" t="s">
        <v>43</v>
      </c>
      <c r="J252" t="s">
        <v>25</v>
      </c>
      <c r="K252" t="s">
        <v>33</v>
      </c>
      <c r="L252">
        <v>2</v>
      </c>
      <c r="M252">
        <v>2</v>
      </c>
      <c r="N252">
        <v>3.7</v>
      </c>
      <c r="O252">
        <v>9</v>
      </c>
      <c r="P252">
        <v>5</v>
      </c>
      <c r="Q252">
        <v>4</v>
      </c>
      <c r="R252">
        <v>606808</v>
      </c>
      <c r="S252">
        <f>Table1[[#This Row],[Revenue]]-Table1[[#This Row],[Operating_Costs]]</f>
        <v>-23784</v>
      </c>
      <c r="T252">
        <v>630592</v>
      </c>
      <c r="U252">
        <v>31</v>
      </c>
      <c r="V252">
        <v>62</v>
      </c>
      <c r="W252">
        <v>8.5</v>
      </c>
    </row>
    <row r="253" spans="1:23" x14ac:dyDescent="0.25">
      <c r="A253">
        <v>9</v>
      </c>
      <c r="B253" t="s">
        <v>44</v>
      </c>
      <c r="C253" s="1">
        <v>44970</v>
      </c>
      <c r="D253" s="1">
        <v>44996</v>
      </c>
      <c r="E253" s="2">
        <f t="shared" si="6"/>
        <v>1</v>
      </c>
      <c r="F253">
        <v>51</v>
      </c>
      <c r="G253" t="str">
        <f t="shared" si="7"/>
        <v>41-60</v>
      </c>
      <c r="H253" t="s">
        <v>35</v>
      </c>
      <c r="I253" t="s">
        <v>60</v>
      </c>
      <c r="J253" t="s">
        <v>59</v>
      </c>
      <c r="K253" t="s">
        <v>42</v>
      </c>
      <c r="L253">
        <v>2</v>
      </c>
      <c r="M253">
        <v>2</v>
      </c>
      <c r="N253">
        <v>6.2</v>
      </c>
      <c r="O253">
        <v>8.6</v>
      </c>
      <c r="P253">
        <v>4</v>
      </c>
      <c r="Q253">
        <v>4</v>
      </c>
      <c r="R253">
        <v>538371</v>
      </c>
      <c r="S253">
        <f>Table1[[#This Row],[Revenue]]-Table1[[#This Row],[Operating_Costs]]</f>
        <v>101740</v>
      </c>
      <c r="T253">
        <v>436631</v>
      </c>
      <c r="U253">
        <v>39</v>
      </c>
      <c r="V253">
        <v>65</v>
      </c>
      <c r="W253">
        <v>13.3</v>
      </c>
    </row>
    <row r="254" spans="1:23" x14ac:dyDescent="0.25">
      <c r="A254">
        <v>15</v>
      </c>
      <c r="B254" t="s">
        <v>45</v>
      </c>
      <c r="C254" s="1">
        <v>44979</v>
      </c>
      <c r="D254" s="1">
        <v>44998</v>
      </c>
      <c r="E254" s="2">
        <f t="shared" si="6"/>
        <v>1</v>
      </c>
      <c r="F254">
        <v>81</v>
      </c>
      <c r="G254" t="str">
        <f t="shared" si="7"/>
        <v>81+</v>
      </c>
      <c r="H254" t="s">
        <v>23</v>
      </c>
      <c r="I254" t="s">
        <v>27</v>
      </c>
      <c r="J254" t="s">
        <v>28</v>
      </c>
      <c r="K254" t="s">
        <v>42</v>
      </c>
      <c r="L254">
        <v>2</v>
      </c>
      <c r="M254">
        <v>2</v>
      </c>
      <c r="N254">
        <v>3.1</v>
      </c>
      <c r="O254">
        <v>8.1999999999999993</v>
      </c>
      <c r="P254">
        <v>6</v>
      </c>
      <c r="Q254">
        <v>6</v>
      </c>
      <c r="R254">
        <v>724416</v>
      </c>
      <c r="S254">
        <f>Table1[[#This Row],[Revenue]]-Table1[[#This Row],[Operating_Costs]]</f>
        <v>206881</v>
      </c>
      <c r="T254">
        <v>517535</v>
      </c>
      <c r="U254">
        <v>51</v>
      </c>
      <c r="V254">
        <v>64</v>
      </c>
      <c r="W254">
        <v>14.4</v>
      </c>
    </row>
    <row r="255" spans="1:23" x14ac:dyDescent="0.25">
      <c r="A255">
        <v>2</v>
      </c>
      <c r="B255" t="s">
        <v>39</v>
      </c>
      <c r="C255" s="1">
        <v>44972</v>
      </c>
      <c r="D255" s="1">
        <v>45001</v>
      </c>
      <c r="E255" s="2">
        <f t="shared" si="6"/>
        <v>1</v>
      </c>
      <c r="F255">
        <v>29</v>
      </c>
      <c r="G255" t="str">
        <f t="shared" si="7"/>
        <v>21-40</v>
      </c>
      <c r="H255" t="s">
        <v>23</v>
      </c>
      <c r="I255" t="s">
        <v>24</v>
      </c>
      <c r="J255" t="s">
        <v>25</v>
      </c>
      <c r="K255" t="s">
        <v>42</v>
      </c>
      <c r="L255">
        <v>2</v>
      </c>
      <c r="M255">
        <v>2</v>
      </c>
      <c r="N255">
        <v>1.4</v>
      </c>
      <c r="O255">
        <v>7.5</v>
      </c>
      <c r="P255">
        <v>6</v>
      </c>
      <c r="Q255">
        <v>5</v>
      </c>
      <c r="R255">
        <v>678393</v>
      </c>
      <c r="S255">
        <f>Table1[[#This Row],[Revenue]]-Table1[[#This Row],[Operating_Costs]]</f>
        <v>79958</v>
      </c>
      <c r="T255">
        <v>598435</v>
      </c>
      <c r="U255">
        <v>36</v>
      </c>
      <c r="V255">
        <v>64</v>
      </c>
      <c r="W255">
        <v>8</v>
      </c>
    </row>
    <row r="256" spans="1:23" x14ac:dyDescent="0.25">
      <c r="A256">
        <v>5</v>
      </c>
      <c r="B256" t="s">
        <v>22</v>
      </c>
      <c r="C256" s="1">
        <v>44993</v>
      </c>
      <c r="D256" s="1">
        <v>45002</v>
      </c>
      <c r="E256" s="2">
        <f t="shared" si="6"/>
        <v>1</v>
      </c>
      <c r="F256">
        <v>49</v>
      </c>
      <c r="G256" t="str">
        <f t="shared" si="7"/>
        <v>41-60</v>
      </c>
      <c r="H256" t="s">
        <v>35</v>
      </c>
      <c r="I256" t="s">
        <v>50</v>
      </c>
      <c r="J256" t="s">
        <v>51</v>
      </c>
      <c r="K256" t="s">
        <v>29</v>
      </c>
      <c r="L256">
        <v>2</v>
      </c>
      <c r="M256">
        <v>2</v>
      </c>
      <c r="N256">
        <v>4.0999999999999996</v>
      </c>
      <c r="O256">
        <v>9.4</v>
      </c>
      <c r="P256">
        <v>6</v>
      </c>
      <c r="Q256">
        <v>7</v>
      </c>
      <c r="R256">
        <v>970103</v>
      </c>
      <c r="S256">
        <f>Table1[[#This Row],[Revenue]]-Table1[[#This Row],[Operating_Costs]]</f>
        <v>659848</v>
      </c>
      <c r="T256">
        <v>310255</v>
      </c>
      <c r="U256">
        <v>30</v>
      </c>
      <c r="V256">
        <v>61</v>
      </c>
      <c r="W256">
        <v>12.7</v>
      </c>
    </row>
    <row r="257" spans="1:23" x14ac:dyDescent="0.25">
      <c r="A257">
        <v>5</v>
      </c>
      <c r="B257" t="s">
        <v>22</v>
      </c>
      <c r="C257" s="1">
        <v>44995</v>
      </c>
      <c r="D257" s="1">
        <v>45002</v>
      </c>
      <c r="E257" s="2">
        <f t="shared" si="6"/>
        <v>1</v>
      </c>
      <c r="F257">
        <v>65</v>
      </c>
      <c r="G257" t="str">
        <f t="shared" si="7"/>
        <v>61-80</v>
      </c>
      <c r="H257" t="s">
        <v>35</v>
      </c>
      <c r="I257" t="s">
        <v>60</v>
      </c>
      <c r="J257" t="s">
        <v>59</v>
      </c>
      <c r="K257" t="s">
        <v>29</v>
      </c>
      <c r="L257">
        <v>2</v>
      </c>
      <c r="M257">
        <v>2</v>
      </c>
      <c r="N257">
        <v>1.6</v>
      </c>
      <c r="O257">
        <v>9.1</v>
      </c>
      <c r="P257">
        <v>6</v>
      </c>
      <c r="Q257">
        <v>3</v>
      </c>
      <c r="R257">
        <v>825772</v>
      </c>
      <c r="S257">
        <f>Table1[[#This Row],[Revenue]]-Table1[[#This Row],[Operating_Costs]]</f>
        <v>527056</v>
      </c>
      <c r="T257">
        <v>298716</v>
      </c>
      <c r="U257">
        <v>20</v>
      </c>
      <c r="V257">
        <v>57</v>
      </c>
      <c r="W257">
        <v>9.5</v>
      </c>
    </row>
    <row r="258" spans="1:23" x14ac:dyDescent="0.25">
      <c r="A258">
        <v>2</v>
      </c>
      <c r="B258" t="s">
        <v>39</v>
      </c>
      <c r="C258" s="1">
        <v>44984</v>
      </c>
      <c r="D258" s="1">
        <v>45004</v>
      </c>
      <c r="E258" s="2">
        <f t="shared" si="6"/>
        <v>1</v>
      </c>
      <c r="F258">
        <v>38</v>
      </c>
      <c r="G258" t="str">
        <f t="shared" si="7"/>
        <v>21-40</v>
      </c>
      <c r="H258" t="s">
        <v>23</v>
      </c>
      <c r="I258" t="s">
        <v>31</v>
      </c>
      <c r="J258" t="s">
        <v>28</v>
      </c>
      <c r="K258" t="s">
        <v>29</v>
      </c>
      <c r="L258">
        <v>2</v>
      </c>
      <c r="M258">
        <v>2</v>
      </c>
      <c r="N258">
        <v>2.5</v>
      </c>
      <c r="O258">
        <v>7.1</v>
      </c>
      <c r="P258">
        <v>3</v>
      </c>
      <c r="Q258">
        <v>7</v>
      </c>
      <c r="R258">
        <v>728510</v>
      </c>
      <c r="S258">
        <f>Table1[[#This Row],[Revenue]]-Table1[[#This Row],[Operating_Costs]]</f>
        <v>197768</v>
      </c>
      <c r="T258">
        <v>530742</v>
      </c>
      <c r="U258">
        <v>34</v>
      </c>
      <c r="V258">
        <v>60</v>
      </c>
      <c r="W258">
        <v>8.1999999999999993</v>
      </c>
    </row>
    <row r="259" spans="1:23" x14ac:dyDescent="0.25">
      <c r="A259">
        <v>6</v>
      </c>
      <c r="B259" t="s">
        <v>70</v>
      </c>
      <c r="C259" s="1">
        <v>44986</v>
      </c>
      <c r="D259" s="1">
        <v>45009</v>
      </c>
      <c r="E259" s="2">
        <f t="shared" ref="E259:E322" si="8">IF(D259-C259&lt;=30,1,0)</f>
        <v>1</v>
      </c>
      <c r="F259">
        <v>40</v>
      </c>
      <c r="G259" t="str">
        <f t="shared" ref="G259:G322" si="9">IF(F259&lt;=20,"0-20",IF(F259&lt;=40,"21-40",IF(F259&lt;=60,"41-60",IF(F259&lt;=80,"61-80","81+"))))</f>
        <v>21-40</v>
      </c>
      <c r="H259" t="s">
        <v>35</v>
      </c>
      <c r="I259" t="s">
        <v>61</v>
      </c>
      <c r="J259" t="s">
        <v>62</v>
      </c>
      <c r="K259" t="s">
        <v>33</v>
      </c>
      <c r="L259">
        <v>2</v>
      </c>
      <c r="M259">
        <v>2</v>
      </c>
      <c r="N259">
        <v>1.8</v>
      </c>
      <c r="O259">
        <v>7.1</v>
      </c>
      <c r="P259">
        <v>6</v>
      </c>
      <c r="Q259">
        <v>6</v>
      </c>
      <c r="R259">
        <v>772478</v>
      </c>
      <c r="S259">
        <f>Table1[[#This Row],[Revenue]]-Table1[[#This Row],[Operating_Costs]]</f>
        <v>198959</v>
      </c>
      <c r="T259">
        <v>573519</v>
      </c>
      <c r="U259">
        <v>22</v>
      </c>
      <c r="V259">
        <v>60</v>
      </c>
      <c r="W259">
        <v>12</v>
      </c>
    </row>
    <row r="260" spans="1:23" x14ac:dyDescent="0.25">
      <c r="A260">
        <v>10</v>
      </c>
      <c r="B260" t="s">
        <v>34</v>
      </c>
      <c r="C260" s="1">
        <v>44991</v>
      </c>
      <c r="D260" s="1">
        <v>45014</v>
      </c>
      <c r="E260" s="2">
        <f t="shared" si="8"/>
        <v>1</v>
      </c>
      <c r="F260">
        <v>23</v>
      </c>
      <c r="G260" t="str">
        <f t="shared" si="9"/>
        <v>21-40</v>
      </c>
      <c r="H260" t="s">
        <v>23</v>
      </c>
      <c r="I260" t="s">
        <v>43</v>
      </c>
      <c r="J260" t="s">
        <v>25</v>
      </c>
      <c r="K260" t="s">
        <v>42</v>
      </c>
      <c r="L260">
        <v>2</v>
      </c>
      <c r="M260">
        <v>2</v>
      </c>
      <c r="N260">
        <v>1.9</v>
      </c>
      <c r="O260">
        <v>9.5</v>
      </c>
      <c r="P260">
        <v>5</v>
      </c>
      <c r="Q260">
        <v>3</v>
      </c>
      <c r="R260">
        <v>949542</v>
      </c>
      <c r="S260">
        <f>Table1[[#This Row],[Revenue]]-Table1[[#This Row],[Operating_Costs]]</f>
        <v>422152</v>
      </c>
      <c r="T260">
        <v>527390</v>
      </c>
      <c r="U260">
        <v>63</v>
      </c>
      <c r="V260">
        <v>54</v>
      </c>
      <c r="W260">
        <v>6.1</v>
      </c>
    </row>
    <row r="261" spans="1:23" x14ac:dyDescent="0.25">
      <c r="A261">
        <v>14</v>
      </c>
      <c r="B261" t="s">
        <v>48</v>
      </c>
      <c r="C261" s="1">
        <v>44996</v>
      </c>
      <c r="D261" s="1">
        <v>45014</v>
      </c>
      <c r="E261" s="2">
        <f t="shared" si="8"/>
        <v>1</v>
      </c>
      <c r="F261">
        <v>69</v>
      </c>
      <c r="G261" t="str">
        <f t="shared" si="9"/>
        <v>61-80</v>
      </c>
      <c r="H261" t="s">
        <v>23</v>
      </c>
      <c r="I261" t="s">
        <v>46</v>
      </c>
      <c r="J261" t="s">
        <v>47</v>
      </c>
      <c r="K261" t="s">
        <v>33</v>
      </c>
      <c r="L261">
        <v>2</v>
      </c>
      <c r="M261">
        <v>2</v>
      </c>
      <c r="N261">
        <v>6.9</v>
      </c>
      <c r="O261">
        <v>7.1</v>
      </c>
      <c r="P261">
        <v>4</v>
      </c>
      <c r="Q261">
        <v>6</v>
      </c>
      <c r="R261">
        <v>781074</v>
      </c>
      <c r="S261">
        <f>Table1[[#This Row],[Revenue]]-Table1[[#This Row],[Operating_Costs]]</f>
        <v>120817</v>
      </c>
      <c r="T261">
        <v>660257</v>
      </c>
      <c r="U261">
        <v>45</v>
      </c>
      <c r="V261">
        <v>59</v>
      </c>
      <c r="W261">
        <v>8</v>
      </c>
    </row>
    <row r="262" spans="1:23" x14ac:dyDescent="0.25">
      <c r="A262">
        <v>10</v>
      </c>
      <c r="B262" t="s">
        <v>34</v>
      </c>
      <c r="C262" s="1">
        <v>44997</v>
      </c>
      <c r="D262" s="1">
        <v>45020</v>
      </c>
      <c r="E262" s="2">
        <f t="shared" si="8"/>
        <v>1</v>
      </c>
      <c r="F262">
        <v>38</v>
      </c>
      <c r="G262" t="str">
        <f t="shared" si="9"/>
        <v>21-40</v>
      </c>
      <c r="H262" t="s">
        <v>23</v>
      </c>
      <c r="I262" t="s">
        <v>67</v>
      </c>
      <c r="J262" t="s">
        <v>68</v>
      </c>
      <c r="K262" t="s">
        <v>29</v>
      </c>
      <c r="L262">
        <v>2</v>
      </c>
      <c r="M262">
        <v>2</v>
      </c>
      <c r="N262">
        <v>1.4</v>
      </c>
      <c r="O262">
        <v>8.3000000000000007</v>
      </c>
      <c r="P262">
        <v>6</v>
      </c>
      <c r="Q262">
        <v>5</v>
      </c>
      <c r="R262">
        <v>971957</v>
      </c>
      <c r="S262">
        <f>Table1[[#This Row],[Revenue]]-Table1[[#This Row],[Operating_Costs]]</f>
        <v>295872</v>
      </c>
      <c r="T262">
        <v>676085</v>
      </c>
      <c r="U262">
        <v>60</v>
      </c>
      <c r="V262">
        <v>59</v>
      </c>
      <c r="W262">
        <v>36.5</v>
      </c>
    </row>
    <row r="263" spans="1:23" x14ac:dyDescent="0.25">
      <c r="A263">
        <v>13</v>
      </c>
      <c r="B263" t="s">
        <v>30</v>
      </c>
      <c r="C263" s="1">
        <v>45023</v>
      </c>
      <c r="D263" s="1">
        <v>45027</v>
      </c>
      <c r="E263" s="2">
        <f t="shared" si="8"/>
        <v>1</v>
      </c>
      <c r="F263">
        <v>32</v>
      </c>
      <c r="G263" t="str">
        <f t="shared" si="9"/>
        <v>21-40</v>
      </c>
      <c r="H263" t="s">
        <v>35</v>
      </c>
      <c r="I263" t="s">
        <v>27</v>
      </c>
      <c r="J263" t="s">
        <v>28</v>
      </c>
      <c r="K263" t="s">
        <v>42</v>
      </c>
      <c r="L263">
        <v>2</v>
      </c>
      <c r="M263">
        <v>2</v>
      </c>
      <c r="N263">
        <v>4.2</v>
      </c>
      <c r="O263">
        <v>7.3</v>
      </c>
      <c r="P263">
        <v>3</v>
      </c>
      <c r="Q263">
        <v>7</v>
      </c>
      <c r="R263">
        <v>661764</v>
      </c>
      <c r="S263">
        <f>Table1[[#This Row],[Revenue]]-Table1[[#This Row],[Operating_Costs]]</f>
        <v>282435</v>
      </c>
      <c r="T263">
        <v>379329</v>
      </c>
      <c r="U263">
        <v>35</v>
      </c>
      <c r="V263">
        <v>65</v>
      </c>
      <c r="W263">
        <v>7.8</v>
      </c>
    </row>
    <row r="264" spans="1:23" x14ac:dyDescent="0.25">
      <c r="A264">
        <v>8</v>
      </c>
      <c r="B264" t="s">
        <v>52</v>
      </c>
      <c r="C264" s="1">
        <v>45014</v>
      </c>
      <c r="D264" s="1">
        <v>45032</v>
      </c>
      <c r="E264" s="2">
        <f t="shared" si="8"/>
        <v>1</v>
      </c>
      <c r="F264">
        <v>66</v>
      </c>
      <c r="G264" t="str">
        <f t="shared" si="9"/>
        <v>61-80</v>
      </c>
      <c r="H264" t="s">
        <v>23</v>
      </c>
      <c r="I264" t="s">
        <v>61</v>
      </c>
      <c r="J264" t="s">
        <v>62</v>
      </c>
      <c r="K264" t="s">
        <v>33</v>
      </c>
      <c r="L264">
        <v>2</v>
      </c>
      <c r="M264">
        <v>2</v>
      </c>
      <c r="N264">
        <v>1.3</v>
      </c>
      <c r="O264">
        <v>9.5</v>
      </c>
      <c r="P264">
        <v>6</v>
      </c>
      <c r="Q264">
        <v>3</v>
      </c>
      <c r="R264">
        <v>990050</v>
      </c>
      <c r="S264">
        <f>Table1[[#This Row],[Revenue]]-Table1[[#This Row],[Operating_Costs]]</f>
        <v>189566</v>
      </c>
      <c r="T264">
        <v>800484</v>
      </c>
      <c r="U264">
        <v>33</v>
      </c>
      <c r="V264">
        <v>63</v>
      </c>
      <c r="W264">
        <v>9.1</v>
      </c>
    </row>
    <row r="265" spans="1:23" x14ac:dyDescent="0.25">
      <c r="A265">
        <v>11</v>
      </c>
      <c r="B265" t="s">
        <v>63</v>
      </c>
      <c r="C265" s="1">
        <v>45026</v>
      </c>
      <c r="D265" s="1">
        <v>45035</v>
      </c>
      <c r="E265" s="2">
        <f t="shared" si="8"/>
        <v>1</v>
      </c>
      <c r="F265">
        <v>26</v>
      </c>
      <c r="G265" t="str">
        <f t="shared" si="9"/>
        <v>21-40</v>
      </c>
      <c r="H265" t="s">
        <v>35</v>
      </c>
      <c r="I265" t="s">
        <v>61</v>
      </c>
      <c r="J265" t="s">
        <v>62</v>
      </c>
      <c r="K265" t="s">
        <v>26</v>
      </c>
      <c r="L265">
        <v>2</v>
      </c>
      <c r="M265">
        <v>2</v>
      </c>
      <c r="N265">
        <v>6.5</v>
      </c>
      <c r="O265">
        <v>8.6</v>
      </c>
      <c r="P265">
        <v>4</v>
      </c>
      <c r="Q265">
        <v>6</v>
      </c>
      <c r="R265">
        <v>686296</v>
      </c>
      <c r="S265">
        <f>Table1[[#This Row],[Revenue]]-Table1[[#This Row],[Operating_Costs]]</f>
        <v>184410</v>
      </c>
      <c r="T265">
        <v>501886</v>
      </c>
      <c r="U265">
        <v>21</v>
      </c>
      <c r="V265">
        <v>62</v>
      </c>
      <c r="W265">
        <v>5.6</v>
      </c>
    </row>
    <row r="266" spans="1:23" x14ac:dyDescent="0.25">
      <c r="A266">
        <v>7</v>
      </c>
      <c r="B266" t="s">
        <v>49</v>
      </c>
      <c r="C266" s="1">
        <v>45007</v>
      </c>
      <c r="D266" s="1">
        <v>45037</v>
      </c>
      <c r="E266" s="2">
        <f t="shared" si="8"/>
        <v>1</v>
      </c>
      <c r="F266">
        <v>44</v>
      </c>
      <c r="G266" t="str">
        <f t="shared" si="9"/>
        <v>41-60</v>
      </c>
      <c r="H266" t="s">
        <v>23</v>
      </c>
      <c r="I266" t="s">
        <v>40</v>
      </c>
      <c r="J266" t="s">
        <v>41</v>
      </c>
      <c r="K266" t="s">
        <v>42</v>
      </c>
      <c r="L266">
        <v>2</v>
      </c>
      <c r="M266">
        <v>2</v>
      </c>
      <c r="N266">
        <v>4.0999999999999996</v>
      </c>
      <c r="O266">
        <v>9.9</v>
      </c>
      <c r="P266">
        <v>5</v>
      </c>
      <c r="Q266">
        <v>4</v>
      </c>
      <c r="R266">
        <v>641816</v>
      </c>
      <c r="S266">
        <f>Table1[[#This Row],[Revenue]]-Table1[[#This Row],[Operating_Costs]]</f>
        <v>97368</v>
      </c>
      <c r="T266">
        <v>544448</v>
      </c>
      <c r="U266">
        <v>58</v>
      </c>
      <c r="V266">
        <v>58</v>
      </c>
      <c r="W266">
        <v>14.4</v>
      </c>
    </row>
    <row r="267" spans="1:23" x14ac:dyDescent="0.25">
      <c r="A267">
        <v>14</v>
      </c>
      <c r="B267" t="s">
        <v>48</v>
      </c>
      <c r="C267" s="1">
        <v>45021</v>
      </c>
      <c r="D267" s="1">
        <v>45039</v>
      </c>
      <c r="E267" s="2">
        <f t="shared" si="8"/>
        <v>1</v>
      </c>
      <c r="F267">
        <v>85</v>
      </c>
      <c r="G267" t="str">
        <f t="shared" si="9"/>
        <v>81+</v>
      </c>
      <c r="H267" t="s">
        <v>23</v>
      </c>
      <c r="I267" t="s">
        <v>61</v>
      </c>
      <c r="J267" t="s">
        <v>62</v>
      </c>
      <c r="K267" t="s">
        <v>26</v>
      </c>
      <c r="L267">
        <v>2</v>
      </c>
      <c r="M267">
        <v>2</v>
      </c>
      <c r="N267">
        <v>2</v>
      </c>
      <c r="O267">
        <v>7.4</v>
      </c>
      <c r="P267">
        <v>6</v>
      </c>
      <c r="Q267">
        <v>3</v>
      </c>
      <c r="R267">
        <v>796007</v>
      </c>
      <c r="S267">
        <f>Table1[[#This Row],[Revenue]]-Table1[[#This Row],[Operating_Costs]]</f>
        <v>241439</v>
      </c>
      <c r="T267">
        <v>554568</v>
      </c>
      <c r="U267">
        <v>45</v>
      </c>
      <c r="V267">
        <v>58</v>
      </c>
      <c r="W267">
        <v>8.6</v>
      </c>
    </row>
    <row r="268" spans="1:23" x14ac:dyDescent="0.25">
      <c r="A268">
        <v>6</v>
      </c>
      <c r="B268" t="s">
        <v>70</v>
      </c>
      <c r="C268" s="1">
        <v>45020</v>
      </c>
      <c r="D268" s="1">
        <v>45042</v>
      </c>
      <c r="E268" s="2">
        <f t="shared" si="8"/>
        <v>1</v>
      </c>
      <c r="F268">
        <v>38</v>
      </c>
      <c r="G268" t="str">
        <f t="shared" si="9"/>
        <v>21-40</v>
      </c>
      <c r="H268" t="s">
        <v>35</v>
      </c>
      <c r="I268" t="s">
        <v>58</v>
      </c>
      <c r="J268" t="s">
        <v>59</v>
      </c>
      <c r="K268" t="s">
        <v>26</v>
      </c>
      <c r="L268">
        <v>2</v>
      </c>
      <c r="M268">
        <v>2</v>
      </c>
      <c r="N268">
        <v>3.2</v>
      </c>
      <c r="O268">
        <v>8.1999999999999993</v>
      </c>
      <c r="P268">
        <v>4</v>
      </c>
      <c r="Q268">
        <v>5</v>
      </c>
      <c r="R268">
        <v>763638</v>
      </c>
      <c r="S268">
        <f>Table1[[#This Row],[Revenue]]-Table1[[#This Row],[Operating_Costs]]</f>
        <v>330205</v>
      </c>
      <c r="T268">
        <v>433433</v>
      </c>
      <c r="U268">
        <v>22</v>
      </c>
      <c r="V268">
        <v>58</v>
      </c>
      <c r="W268">
        <v>8.3000000000000007</v>
      </c>
    </row>
    <row r="269" spans="1:23" x14ac:dyDescent="0.25">
      <c r="A269">
        <v>9</v>
      </c>
      <c r="B269" t="s">
        <v>44</v>
      </c>
      <c r="C269" s="1">
        <v>45043</v>
      </c>
      <c r="D269" s="1">
        <v>45049</v>
      </c>
      <c r="E269" s="2">
        <f t="shared" si="8"/>
        <v>1</v>
      </c>
      <c r="F269">
        <v>37</v>
      </c>
      <c r="G269" t="str">
        <f t="shared" si="9"/>
        <v>21-40</v>
      </c>
      <c r="H269" t="s">
        <v>35</v>
      </c>
      <c r="I269" t="s">
        <v>64</v>
      </c>
      <c r="J269" t="s">
        <v>65</v>
      </c>
      <c r="K269" t="s">
        <v>42</v>
      </c>
      <c r="L269">
        <v>2</v>
      </c>
      <c r="M269">
        <v>2</v>
      </c>
      <c r="N269">
        <v>1.6</v>
      </c>
      <c r="O269">
        <v>9.9</v>
      </c>
      <c r="P269">
        <v>6</v>
      </c>
      <c r="Q269">
        <v>4</v>
      </c>
      <c r="R269">
        <v>567164</v>
      </c>
      <c r="S269">
        <f>Table1[[#This Row],[Revenue]]-Table1[[#This Row],[Operating_Costs]]</f>
        <v>86473</v>
      </c>
      <c r="T269">
        <v>480691</v>
      </c>
      <c r="U269">
        <v>39</v>
      </c>
      <c r="V269">
        <v>66</v>
      </c>
      <c r="W269">
        <v>10.4</v>
      </c>
    </row>
    <row r="270" spans="1:23" x14ac:dyDescent="0.25">
      <c r="A270">
        <v>11</v>
      </c>
      <c r="B270" t="s">
        <v>63</v>
      </c>
      <c r="C270" s="1">
        <v>45038</v>
      </c>
      <c r="D270" s="1">
        <v>45050</v>
      </c>
      <c r="E270" s="2">
        <f t="shared" si="8"/>
        <v>1</v>
      </c>
      <c r="F270">
        <v>87</v>
      </c>
      <c r="G270" t="str">
        <f t="shared" si="9"/>
        <v>81+</v>
      </c>
      <c r="H270" t="s">
        <v>35</v>
      </c>
      <c r="I270" t="s">
        <v>40</v>
      </c>
      <c r="J270" t="s">
        <v>41</v>
      </c>
      <c r="K270" t="s">
        <v>42</v>
      </c>
      <c r="L270">
        <v>2</v>
      </c>
      <c r="M270">
        <v>2</v>
      </c>
      <c r="N270">
        <v>3.9</v>
      </c>
      <c r="O270">
        <v>9.6999999999999993</v>
      </c>
      <c r="P270">
        <v>6</v>
      </c>
      <c r="Q270">
        <v>4</v>
      </c>
      <c r="R270">
        <v>714830</v>
      </c>
      <c r="S270">
        <f>Table1[[#This Row],[Revenue]]-Table1[[#This Row],[Operating_Costs]]</f>
        <v>201442</v>
      </c>
      <c r="T270">
        <v>513388</v>
      </c>
      <c r="U270">
        <v>31</v>
      </c>
      <c r="V270">
        <v>65</v>
      </c>
      <c r="W270">
        <v>36.799999999999997</v>
      </c>
    </row>
    <row r="271" spans="1:23" x14ac:dyDescent="0.25">
      <c r="A271">
        <v>2</v>
      </c>
      <c r="B271" t="s">
        <v>39</v>
      </c>
      <c r="C271" s="1">
        <v>45030</v>
      </c>
      <c r="D271" s="1">
        <v>45052</v>
      </c>
      <c r="E271" s="2">
        <f t="shared" si="8"/>
        <v>1</v>
      </c>
      <c r="F271">
        <v>54</v>
      </c>
      <c r="G271" t="str">
        <f t="shared" si="9"/>
        <v>41-60</v>
      </c>
      <c r="H271" t="s">
        <v>35</v>
      </c>
      <c r="I271" t="s">
        <v>50</v>
      </c>
      <c r="J271" t="s">
        <v>51</v>
      </c>
      <c r="K271" t="s">
        <v>38</v>
      </c>
      <c r="L271">
        <v>2</v>
      </c>
      <c r="M271">
        <v>2</v>
      </c>
      <c r="N271">
        <v>1.5</v>
      </c>
      <c r="O271">
        <v>8.6</v>
      </c>
      <c r="P271">
        <v>4</v>
      </c>
      <c r="Q271">
        <v>6</v>
      </c>
      <c r="R271">
        <v>604898</v>
      </c>
      <c r="S271">
        <f>Table1[[#This Row],[Revenue]]-Table1[[#This Row],[Operating_Costs]]</f>
        <v>102938</v>
      </c>
      <c r="T271">
        <v>501960</v>
      </c>
      <c r="U271">
        <v>30</v>
      </c>
      <c r="V271">
        <v>58</v>
      </c>
      <c r="W271">
        <v>9.4</v>
      </c>
    </row>
    <row r="272" spans="1:23" x14ac:dyDescent="0.25">
      <c r="A272">
        <v>10</v>
      </c>
      <c r="B272" t="s">
        <v>34</v>
      </c>
      <c r="C272" s="1">
        <v>45030</v>
      </c>
      <c r="D272" s="1">
        <v>45052</v>
      </c>
      <c r="E272" s="2">
        <f t="shared" si="8"/>
        <v>1</v>
      </c>
      <c r="F272">
        <v>76</v>
      </c>
      <c r="G272" t="str">
        <f t="shared" si="9"/>
        <v>61-80</v>
      </c>
      <c r="H272" t="s">
        <v>23</v>
      </c>
      <c r="I272" t="s">
        <v>31</v>
      </c>
      <c r="J272" t="s">
        <v>28</v>
      </c>
      <c r="K272" t="s">
        <v>38</v>
      </c>
      <c r="L272">
        <v>2</v>
      </c>
      <c r="M272">
        <v>2</v>
      </c>
      <c r="N272">
        <v>2.5</v>
      </c>
      <c r="O272">
        <v>8.3000000000000007</v>
      </c>
      <c r="P272">
        <v>6</v>
      </c>
      <c r="Q272">
        <v>4</v>
      </c>
      <c r="R272">
        <v>978785</v>
      </c>
      <c r="S272">
        <f>Table1[[#This Row],[Revenue]]-Table1[[#This Row],[Operating_Costs]]</f>
        <v>474690</v>
      </c>
      <c r="T272">
        <v>504095</v>
      </c>
      <c r="U272">
        <v>60</v>
      </c>
      <c r="V272">
        <v>56</v>
      </c>
      <c r="W272">
        <v>7.9</v>
      </c>
    </row>
    <row r="273" spans="1:23" x14ac:dyDescent="0.25">
      <c r="A273">
        <v>2</v>
      </c>
      <c r="B273" t="s">
        <v>39</v>
      </c>
      <c r="C273" s="1">
        <v>45040</v>
      </c>
      <c r="D273" s="1">
        <v>45053</v>
      </c>
      <c r="E273" s="2">
        <f t="shared" si="8"/>
        <v>1</v>
      </c>
      <c r="F273">
        <v>41</v>
      </c>
      <c r="G273" t="str">
        <f t="shared" si="9"/>
        <v>41-60</v>
      </c>
      <c r="H273" t="s">
        <v>23</v>
      </c>
      <c r="I273" t="s">
        <v>43</v>
      </c>
      <c r="J273" t="s">
        <v>25</v>
      </c>
      <c r="K273" t="s">
        <v>29</v>
      </c>
      <c r="L273">
        <v>2</v>
      </c>
      <c r="M273">
        <v>2</v>
      </c>
      <c r="N273">
        <v>4.4000000000000004</v>
      </c>
      <c r="O273">
        <v>9.4</v>
      </c>
      <c r="P273">
        <v>4</v>
      </c>
      <c r="Q273">
        <v>4</v>
      </c>
      <c r="R273">
        <v>809619</v>
      </c>
      <c r="S273">
        <f>Table1[[#This Row],[Revenue]]-Table1[[#This Row],[Operating_Costs]]</f>
        <v>254270</v>
      </c>
      <c r="T273">
        <v>555349</v>
      </c>
      <c r="U273">
        <v>34</v>
      </c>
      <c r="V273">
        <v>64</v>
      </c>
      <c r="W273">
        <v>10.199999999999999</v>
      </c>
    </row>
    <row r="274" spans="1:23" x14ac:dyDescent="0.25">
      <c r="A274">
        <v>14</v>
      </c>
      <c r="B274" t="s">
        <v>48</v>
      </c>
      <c r="C274" s="1">
        <v>45038</v>
      </c>
      <c r="D274" s="1">
        <v>45063</v>
      </c>
      <c r="E274" s="2">
        <f t="shared" si="8"/>
        <v>1</v>
      </c>
      <c r="F274">
        <v>71</v>
      </c>
      <c r="G274" t="str">
        <f t="shared" si="9"/>
        <v>61-80</v>
      </c>
      <c r="H274" t="s">
        <v>35</v>
      </c>
      <c r="I274" t="s">
        <v>58</v>
      </c>
      <c r="J274" t="s">
        <v>59</v>
      </c>
      <c r="K274" t="s">
        <v>38</v>
      </c>
      <c r="L274">
        <v>2</v>
      </c>
      <c r="M274">
        <v>2</v>
      </c>
      <c r="N274">
        <v>6.1</v>
      </c>
      <c r="O274">
        <v>7.3</v>
      </c>
      <c r="P274">
        <v>6</v>
      </c>
      <c r="Q274">
        <v>4</v>
      </c>
      <c r="R274">
        <v>776490</v>
      </c>
      <c r="S274">
        <f>Table1[[#This Row],[Revenue]]-Table1[[#This Row],[Operating_Costs]]</f>
        <v>276205</v>
      </c>
      <c r="T274">
        <v>500285</v>
      </c>
      <c r="U274">
        <v>30</v>
      </c>
      <c r="V274">
        <v>59</v>
      </c>
      <c r="W274">
        <v>10.1</v>
      </c>
    </row>
    <row r="275" spans="1:23" x14ac:dyDescent="0.25">
      <c r="A275">
        <v>10</v>
      </c>
      <c r="B275" t="s">
        <v>34</v>
      </c>
      <c r="C275" s="1">
        <v>45045</v>
      </c>
      <c r="D275" s="1">
        <v>45065</v>
      </c>
      <c r="E275" s="2">
        <f t="shared" si="8"/>
        <v>1</v>
      </c>
      <c r="F275">
        <v>46</v>
      </c>
      <c r="G275" t="str">
        <f t="shared" si="9"/>
        <v>41-60</v>
      </c>
      <c r="H275" t="s">
        <v>23</v>
      </c>
      <c r="I275" t="s">
        <v>50</v>
      </c>
      <c r="J275" t="s">
        <v>51</v>
      </c>
      <c r="K275" t="s">
        <v>29</v>
      </c>
      <c r="L275">
        <v>2</v>
      </c>
      <c r="M275">
        <v>2</v>
      </c>
      <c r="N275">
        <v>6.3</v>
      </c>
      <c r="O275">
        <v>7.6</v>
      </c>
      <c r="P275">
        <v>7</v>
      </c>
      <c r="Q275">
        <v>4</v>
      </c>
      <c r="R275">
        <v>944226</v>
      </c>
      <c r="S275">
        <f>Table1[[#This Row],[Revenue]]-Table1[[#This Row],[Operating_Costs]]</f>
        <v>428864</v>
      </c>
      <c r="T275">
        <v>515362</v>
      </c>
      <c r="U275">
        <v>67</v>
      </c>
      <c r="V275">
        <v>56</v>
      </c>
      <c r="W275">
        <v>6.5</v>
      </c>
    </row>
    <row r="276" spans="1:23" x14ac:dyDescent="0.25">
      <c r="A276">
        <v>6</v>
      </c>
      <c r="B276" t="s">
        <v>70</v>
      </c>
      <c r="C276" s="1">
        <v>45064</v>
      </c>
      <c r="D276" s="1">
        <v>45069</v>
      </c>
      <c r="E276" s="2">
        <f t="shared" si="8"/>
        <v>1</v>
      </c>
      <c r="F276">
        <v>63</v>
      </c>
      <c r="G276" t="str">
        <f t="shared" si="9"/>
        <v>61-80</v>
      </c>
      <c r="H276" t="s">
        <v>35</v>
      </c>
      <c r="I276" t="s">
        <v>64</v>
      </c>
      <c r="J276" t="s">
        <v>65</v>
      </c>
      <c r="K276" t="s">
        <v>33</v>
      </c>
      <c r="L276">
        <v>2</v>
      </c>
      <c r="M276">
        <v>2</v>
      </c>
      <c r="N276">
        <v>5</v>
      </c>
      <c r="O276">
        <v>8.8000000000000007</v>
      </c>
      <c r="P276">
        <v>5</v>
      </c>
      <c r="Q276">
        <v>4</v>
      </c>
      <c r="R276">
        <v>607870</v>
      </c>
      <c r="S276">
        <f>Table1[[#This Row],[Revenue]]-Table1[[#This Row],[Operating_Costs]]</f>
        <v>160204</v>
      </c>
      <c r="T276">
        <v>447666</v>
      </c>
      <c r="U276">
        <v>29</v>
      </c>
      <c r="V276">
        <v>57</v>
      </c>
      <c r="W276">
        <v>12.5</v>
      </c>
    </row>
    <row r="277" spans="1:23" x14ac:dyDescent="0.25">
      <c r="A277">
        <v>5</v>
      </c>
      <c r="B277" t="s">
        <v>22</v>
      </c>
      <c r="C277" s="1">
        <v>45049</v>
      </c>
      <c r="D277" s="1">
        <v>45077</v>
      </c>
      <c r="E277" s="2">
        <f t="shared" si="8"/>
        <v>1</v>
      </c>
      <c r="F277">
        <v>33</v>
      </c>
      <c r="G277" t="str">
        <f t="shared" si="9"/>
        <v>21-40</v>
      </c>
      <c r="H277" t="s">
        <v>35</v>
      </c>
      <c r="I277" t="s">
        <v>61</v>
      </c>
      <c r="J277" t="s">
        <v>62</v>
      </c>
      <c r="K277" t="s">
        <v>33</v>
      </c>
      <c r="L277">
        <v>2</v>
      </c>
      <c r="M277">
        <v>2</v>
      </c>
      <c r="N277">
        <v>6.8</v>
      </c>
      <c r="O277">
        <v>9.4</v>
      </c>
      <c r="P277">
        <v>4</v>
      </c>
      <c r="Q277">
        <v>5</v>
      </c>
      <c r="R277">
        <v>735432</v>
      </c>
      <c r="S277">
        <f>Table1[[#This Row],[Revenue]]-Table1[[#This Row],[Operating_Costs]]</f>
        <v>522644</v>
      </c>
      <c r="T277">
        <v>212788</v>
      </c>
      <c r="U277">
        <v>25</v>
      </c>
      <c r="V277">
        <v>54</v>
      </c>
      <c r="W277">
        <v>14.7</v>
      </c>
    </row>
    <row r="278" spans="1:23" x14ac:dyDescent="0.25">
      <c r="A278">
        <v>10</v>
      </c>
      <c r="B278" t="s">
        <v>34</v>
      </c>
      <c r="C278" s="1">
        <v>45056</v>
      </c>
      <c r="D278" s="1">
        <v>45077</v>
      </c>
      <c r="E278" s="2">
        <f t="shared" si="8"/>
        <v>1</v>
      </c>
      <c r="F278">
        <v>40</v>
      </c>
      <c r="G278" t="str">
        <f t="shared" si="9"/>
        <v>21-40</v>
      </c>
      <c r="H278" t="s">
        <v>35</v>
      </c>
      <c r="I278" t="s">
        <v>31</v>
      </c>
      <c r="J278" t="s">
        <v>28</v>
      </c>
      <c r="K278" t="s">
        <v>38</v>
      </c>
      <c r="L278">
        <v>2</v>
      </c>
      <c r="M278">
        <v>2</v>
      </c>
      <c r="N278">
        <v>1.4</v>
      </c>
      <c r="O278">
        <v>7.4</v>
      </c>
      <c r="P278">
        <v>4</v>
      </c>
      <c r="Q278">
        <v>7</v>
      </c>
      <c r="R278">
        <v>988138</v>
      </c>
      <c r="S278">
        <f>Table1[[#This Row],[Revenue]]-Table1[[#This Row],[Operating_Costs]]</f>
        <v>313162</v>
      </c>
      <c r="T278">
        <v>674976</v>
      </c>
      <c r="U278">
        <v>67</v>
      </c>
      <c r="V278">
        <v>64</v>
      </c>
      <c r="W278">
        <v>10.9</v>
      </c>
    </row>
    <row r="279" spans="1:23" x14ac:dyDescent="0.25">
      <c r="A279">
        <v>11</v>
      </c>
      <c r="B279" t="s">
        <v>63</v>
      </c>
      <c r="C279" s="1">
        <v>45058</v>
      </c>
      <c r="D279" s="1">
        <v>45080</v>
      </c>
      <c r="E279" s="2">
        <f t="shared" si="8"/>
        <v>1</v>
      </c>
      <c r="F279">
        <v>63</v>
      </c>
      <c r="G279" t="str">
        <f t="shared" si="9"/>
        <v>61-80</v>
      </c>
      <c r="H279" t="s">
        <v>35</v>
      </c>
      <c r="I279" t="s">
        <v>50</v>
      </c>
      <c r="J279" t="s">
        <v>51</v>
      </c>
      <c r="K279" t="s">
        <v>29</v>
      </c>
      <c r="L279">
        <v>2</v>
      </c>
      <c r="M279">
        <v>2</v>
      </c>
      <c r="N279">
        <v>4.4000000000000004</v>
      </c>
      <c r="O279">
        <v>8.5</v>
      </c>
      <c r="P279">
        <v>3</v>
      </c>
      <c r="Q279">
        <v>5</v>
      </c>
      <c r="R279">
        <v>786975</v>
      </c>
      <c r="S279">
        <f>Table1[[#This Row],[Revenue]]-Table1[[#This Row],[Operating_Costs]]</f>
        <v>382818</v>
      </c>
      <c r="T279">
        <v>404157</v>
      </c>
      <c r="U279">
        <v>35</v>
      </c>
      <c r="V279">
        <v>63</v>
      </c>
      <c r="W279">
        <v>7.4</v>
      </c>
    </row>
    <row r="280" spans="1:23" x14ac:dyDescent="0.25">
      <c r="A280">
        <v>3</v>
      </c>
      <c r="B280" t="s">
        <v>57</v>
      </c>
      <c r="C280" s="1">
        <v>45067</v>
      </c>
      <c r="D280" s="1">
        <v>45085</v>
      </c>
      <c r="E280" s="2">
        <f t="shared" si="8"/>
        <v>1</v>
      </c>
      <c r="F280">
        <v>79</v>
      </c>
      <c r="G280" t="str">
        <f t="shared" si="9"/>
        <v>61-80</v>
      </c>
      <c r="H280" t="s">
        <v>23</v>
      </c>
      <c r="I280" t="s">
        <v>24</v>
      </c>
      <c r="J280" t="s">
        <v>25</v>
      </c>
      <c r="K280" t="s">
        <v>33</v>
      </c>
      <c r="L280">
        <v>2</v>
      </c>
      <c r="M280">
        <v>2</v>
      </c>
      <c r="N280">
        <v>2.2000000000000002</v>
      </c>
      <c r="O280">
        <v>8.1999999999999993</v>
      </c>
      <c r="P280">
        <v>4</v>
      </c>
      <c r="Q280">
        <v>4</v>
      </c>
      <c r="R280">
        <v>577094</v>
      </c>
      <c r="S280">
        <f>Table1[[#This Row],[Revenue]]-Table1[[#This Row],[Operating_Costs]]</f>
        <v>253373</v>
      </c>
      <c r="T280">
        <v>323721</v>
      </c>
      <c r="U280">
        <v>21</v>
      </c>
      <c r="V280">
        <v>63</v>
      </c>
      <c r="W280">
        <v>12</v>
      </c>
    </row>
    <row r="281" spans="1:23" x14ac:dyDescent="0.25">
      <c r="A281">
        <v>15</v>
      </c>
      <c r="B281" t="s">
        <v>45</v>
      </c>
      <c r="C281" s="1">
        <v>45083</v>
      </c>
      <c r="D281" s="1">
        <v>45090</v>
      </c>
      <c r="E281" s="2">
        <f t="shared" si="8"/>
        <v>1</v>
      </c>
      <c r="F281">
        <v>23</v>
      </c>
      <c r="G281" t="str">
        <f t="shared" si="9"/>
        <v>21-40</v>
      </c>
      <c r="H281" t="s">
        <v>35</v>
      </c>
      <c r="I281" t="s">
        <v>36</v>
      </c>
      <c r="J281" t="s">
        <v>37</v>
      </c>
      <c r="K281" t="s">
        <v>42</v>
      </c>
      <c r="L281">
        <v>2</v>
      </c>
      <c r="M281">
        <v>2</v>
      </c>
      <c r="N281">
        <v>3.9</v>
      </c>
      <c r="O281">
        <v>9.6999999999999993</v>
      </c>
      <c r="P281">
        <v>7</v>
      </c>
      <c r="Q281">
        <v>3</v>
      </c>
      <c r="R281">
        <v>745123</v>
      </c>
      <c r="S281">
        <f>Table1[[#This Row],[Revenue]]-Table1[[#This Row],[Operating_Costs]]</f>
        <v>241434</v>
      </c>
      <c r="T281">
        <v>503689</v>
      </c>
      <c r="U281">
        <v>51</v>
      </c>
      <c r="V281">
        <v>58</v>
      </c>
      <c r="W281">
        <v>6.5</v>
      </c>
    </row>
    <row r="282" spans="1:23" x14ac:dyDescent="0.25">
      <c r="A282">
        <v>3</v>
      </c>
      <c r="B282" t="s">
        <v>57</v>
      </c>
      <c r="C282" s="1">
        <v>45073</v>
      </c>
      <c r="D282" s="1">
        <v>45093</v>
      </c>
      <c r="E282" s="2">
        <f t="shared" si="8"/>
        <v>1</v>
      </c>
      <c r="F282">
        <v>37</v>
      </c>
      <c r="G282" t="str">
        <f t="shared" si="9"/>
        <v>21-40</v>
      </c>
      <c r="H282" t="s">
        <v>23</v>
      </c>
      <c r="I282" t="s">
        <v>31</v>
      </c>
      <c r="J282" t="s">
        <v>28</v>
      </c>
      <c r="K282" t="s">
        <v>29</v>
      </c>
      <c r="L282">
        <v>2</v>
      </c>
      <c r="M282">
        <v>2</v>
      </c>
      <c r="N282">
        <v>3.8</v>
      </c>
      <c r="O282">
        <v>7</v>
      </c>
      <c r="P282">
        <v>4</v>
      </c>
      <c r="Q282">
        <v>3</v>
      </c>
      <c r="R282">
        <v>594409</v>
      </c>
      <c r="S282">
        <f>Table1[[#This Row],[Revenue]]-Table1[[#This Row],[Operating_Costs]]</f>
        <v>271774</v>
      </c>
      <c r="T282">
        <v>322635</v>
      </c>
      <c r="U282">
        <v>25</v>
      </c>
      <c r="V282">
        <v>59</v>
      </c>
      <c r="W282">
        <v>14.8</v>
      </c>
    </row>
    <row r="283" spans="1:23" x14ac:dyDescent="0.25">
      <c r="A283">
        <v>3</v>
      </c>
      <c r="B283" t="s">
        <v>57</v>
      </c>
      <c r="C283" s="1">
        <v>45076</v>
      </c>
      <c r="D283" s="1">
        <v>45094</v>
      </c>
      <c r="E283" s="2">
        <f t="shared" si="8"/>
        <v>1</v>
      </c>
      <c r="F283">
        <v>51</v>
      </c>
      <c r="G283" t="str">
        <f t="shared" si="9"/>
        <v>41-60</v>
      </c>
      <c r="H283" t="s">
        <v>23</v>
      </c>
      <c r="I283" t="s">
        <v>24</v>
      </c>
      <c r="J283" t="s">
        <v>25</v>
      </c>
      <c r="K283" t="s">
        <v>42</v>
      </c>
      <c r="L283">
        <v>2</v>
      </c>
      <c r="M283">
        <v>2</v>
      </c>
      <c r="N283">
        <v>5.5</v>
      </c>
      <c r="O283">
        <v>7.6</v>
      </c>
      <c r="P283">
        <v>3</v>
      </c>
      <c r="Q283">
        <v>3</v>
      </c>
      <c r="R283">
        <v>539706</v>
      </c>
      <c r="S283">
        <f>Table1[[#This Row],[Revenue]]-Table1[[#This Row],[Operating_Costs]]</f>
        <v>203103</v>
      </c>
      <c r="T283">
        <v>336603</v>
      </c>
      <c r="U283">
        <v>19</v>
      </c>
      <c r="V283">
        <v>54</v>
      </c>
      <c r="W283">
        <v>7.7</v>
      </c>
    </row>
    <row r="284" spans="1:23" x14ac:dyDescent="0.25">
      <c r="A284">
        <v>14</v>
      </c>
      <c r="B284" t="s">
        <v>48</v>
      </c>
      <c r="C284" s="1">
        <v>45077</v>
      </c>
      <c r="D284" s="1">
        <v>45094</v>
      </c>
      <c r="E284" s="2">
        <f t="shared" si="8"/>
        <v>1</v>
      </c>
      <c r="F284">
        <v>57</v>
      </c>
      <c r="G284" t="str">
        <f t="shared" si="9"/>
        <v>41-60</v>
      </c>
      <c r="H284" t="s">
        <v>23</v>
      </c>
      <c r="I284" t="s">
        <v>61</v>
      </c>
      <c r="J284" t="s">
        <v>62</v>
      </c>
      <c r="K284" t="s">
        <v>33</v>
      </c>
      <c r="L284">
        <v>2</v>
      </c>
      <c r="M284">
        <v>2</v>
      </c>
      <c r="N284">
        <v>2.6</v>
      </c>
      <c r="O284">
        <v>7.3</v>
      </c>
      <c r="P284">
        <v>5</v>
      </c>
      <c r="Q284">
        <v>7</v>
      </c>
      <c r="R284">
        <v>778048</v>
      </c>
      <c r="S284">
        <f>Table1[[#This Row],[Revenue]]-Table1[[#This Row],[Operating_Costs]]</f>
        <v>129623</v>
      </c>
      <c r="T284">
        <v>648425</v>
      </c>
      <c r="U284">
        <v>43</v>
      </c>
      <c r="V284">
        <v>62</v>
      </c>
      <c r="W284">
        <v>6.5</v>
      </c>
    </row>
    <row r="285" spans="1:23" x14ac:dyDescent="0.25">
      <c r="A285">
        <v>9</v>
      </c>
      <c r="B285" t="s">
        <v>44</v>
      </c>
      <c r="C285" s="1">
        <v>45072</v>
      </c>
      <c r="D285" s="1">
        <v>45096</v>
      </c>
      <c r="E285" s="2">
        <f t="shared" si="8"/>
        <v>1</v>
      </c>
      <c r="F285">
        <v>37</v>
      </c>
      <c r="G285" t="str">
        <f t="shared" si="9"/>
        <v>21-40</v>
      </c>
      <c r="H285" t="s">
        <v>35</v>
      </c>
      <c r="I285" t="s">
        <v>55</v>
      </c>
      <c r="J285" t="s">
        <v>56</v>
      </c>
      <c r="K285" t="s">
        <v>42</v>
      </c>
      <c r="L285">
        <v>2</v>
      </c>
      <c r="M285">
        <v>2</v>
      </c>
      <c r="N285">
        <v>2.8</v>
      </c>
      <c r="O285">
        <v>7.1</v>
      </c>
      <c r="P285">
        <v>3</v>
      </c>
      <c r="Q285">
        <v>4</v>
      </c>
      <c r="R285">
        <v>515033</v>
      </c>
      <c r="S285">
        <f>Table1[[#This Row],[Revenue]]-Table1[[#This Row],[Operating_Costs]]</f>
        <v>84897</v>
      </c>
      <c r="T285">
        <v>430136</v>
      </c>
      <c r="U285">
        <v>36</v>
      </c>
      <c r="V285">
        <v>56</v>
      </c>
      <c r="W285">
        <v>12.4</v>
      </c>
    </row>
    <row r="286" spans="1:23" x14ac:dyDescent="0.25">
      <c r="A286">
        <v>8</v>
      </c>
      <c r="B286" t="s">
        <v>52</v>
      </c>
      <c r="C286" s="1">
        <v>45083</v>
      </c>
      <c r="D286" s="1">
        <v>45097</v>
      </c>
      <c r="E286" s="2">
        <f t="shared" si="8"/>
        <v>1</v>
      </c>
      <c r="F286">
        <v>76</v>
      </c>
      <c r="G286" t="str">
        <f t="shared" si="9"/>
        <v>61-80</v>
      </c>
      <c r="H286" t="s">
        <v>23</v>
      </c>
      <c r="I286" t="s">
        <v>31</v>
      </c>
      <c r="J286" t="s">
        <v>28</v>
      </c>
      <c r="K286" t="s">
        <v>38</v>
      </c>
      <c r="L286">
        <v>2</v>
      </c>
      <c r="M286">
        <v>2</v>
      </c>
      <c r="N286">
        <v>1.9</v>
      </c>
      <c r="O286">
        <v>9.6</v>
      </c>
      <c r="P286">
        <v>4</v>
      </c>
      <c r="Q286">
        <v>6</v>
      </c>
      <c r="R286">
        <v>917345</v>
      </c>
      <c r="S286">
        <f>Table1[[#This Row],[Revenue]]-Table1[[#This Row],[Operating_Costs]]</f>
        <v>107388</v>
      </c>
      <c r="T286">
        <v>809957</v>
      </c>
      <c r="U286">
        <v>40</v>
      </c>
      <c r="V286">
        <v>58</v>
      </c>
      <c r="W286">
        <v>10.199999999999999</v>
      </c>
    </row>
    <row r="287" spans="1:23" x14ac:dyDescent="0.25">
      <c r="A287">
        <v>14</v>
      </c>
      <c r="B287" t="s">
        <v>48</v>
      </c>
      <c r="C287" s="1">
        <v>45073</v>
      </c>
      <c r="D287" s="1">
        <v>45098</v>
      </c>
      <c r="E287" s="2">
        <f t="shared" si="8"/>
        <v>1</v>
      </c>
      <c r="F287">
        <v>29</v>
      </c>
      <c r="G287" t="str">
        <f t="shared" si="9"/>
        <v>21-40</v>
      </c>
      <c r="H287" t="s">
        <v>35</v>
      </c>
      <c r="I287" t="s">
        <v>46</v>
      </c>
      <c r="J287" t="s">
        <v>47</v>
      </c>
      <c r="K287" t="s">
        <v>29</v>
      </c>
      <c r="L287">
        <v>2</v>
      </c>
      <c r="M287">
        <v>2</v>
      </c>
      <c r="N287">
        <v>3</v>
      </c>
      <c r="O287">
        <v>7.1</v>
      </c>
      <c r="P287">
        <v>7</v>
      </c>
      <c r="Q287">
        <v>7</v>
      </c>
      <c r="R287">
        <v>877595</v>
      </c>
      <c r="S287">
        <f>Table1[[#This Row],[Revenue]]-Table1[[#This Row],[Operating_Costs]]</f>
        <v>278078</v>
      </c>
      <c r="T287">
        <v>599517</v>
      </c>
      <c r="U287">
        <v>33</v>
      </c>
      <c r="V287">
        <v>55</v>
      </c>
      <c r="W287">
        <v>14.4</v>
      </c>
    </row>
    <row r="288" spans="1:23" x14ac:dyDescent="0.25">
      <c r="A288">
        <v>10</v>
      </c>
      <c r="B288" t="s">
        <v>34</v>
      </c>
      <c r="C288" s="1">
        <v>45093</v>
      </c>
      <c r="D288" s="1">
        <v>45103</v>
      </c>
      <c r="E288" s="2">
        <f t="shared" si="8"/>
        <v>1</v>
      </c>
      <c r="F288">
        <v>33</v>
      </c>
      <c r="G288" t="str">
        <f t="shared" si="9"/>
        <v>21-40</v>
      </c>
      <c r="H288" t="s">
        <v>23</v>
      </c>
      <c r="I288" t="s">
        <v>61</v>
      </c>
      <c r="J288" t="s">
        <v>62</v>
      </c>
      <c r="K288" t="s">
        <v>26</v>
      </c>
      <c r="L288">
        <v>2</v>
      </c>
      <c r="M288">
        <v>2</v>
      </c>
      <c r="N288">
        <v>5.2</v>
      </c>
      <c r="O288">
        <v>9.3000000000000007</v>
      </c>
      <c r="P288">
        <v>5</v>
      </c>
      <c r="Q288">
        <v>6</v>
      </c>
      <c r="R288">
        <v>986320</v>
      </c>
      <c r="S288">
        <f>Table1[[#This Row],[Revenue]]-Table1[[#This Row],[Operating_Costs]]</f>
        <v>435088</v>
      </c>
      <c r="T288">
        <v>551232</v>
      </c>
      <c r="U288">
        <v>66</v>
      </c>
      <c r="V288">
        <v>55</v>
      </c>
      <c r="W288">
        <v>8</v>
      </c>
    </row>
    <row r="289" spans="1:23" x14ac:dyDescent="0.25">
      <c r="A289">
        <v>2</v>
      </c>
      <c r="B289" t="s">
        <v>39</v>
      </c>
      <c r="C289" s="1">
        <v>45082</v>
      </c>
      <c r="D289" s="1">
        <v>45104</v>
      </c>
      <c r="E289" s="2">
        <f t="shared" si="8"/>
        <v>1</v>
      </c>
      <c r="F289">
        <v>71</v>
      </c>
      <c r="G289" t="str">
        <f t="shared" si="9"/>
        <v>61-80</v>
      </c>
      <c r="H289" t="s">
        <v>23</v>
      </c>
      <c r="I289" t="s">
        <v>40</v>
      </c>
      <c r="J289" t="s">
        <v>41</v>
      </c>
      <c r="K289" t="s">
        <v>42</v>
      </c>
      <c r="L289">
        <v>2</v>
      </c>
      <c r="M289">
        <v>2</v>
      </c>
      <c r="N289">
        <v>4.2</v>
      </c>
      <c r="O289">
        <v>8.9</v>
      </c>
      <c r="P289">
        <v>5</v>
      </c>
      <c r="Q289">
        <v>6</v>
      </c>
      <c r="R289">
        <v>813713</v>
      </c>
      <c r="S289">
        <f>Table1[[#This Row],[Revenue]]-Table1[[#This Row],[Operating_Costs]]</f>
        <v>243020</v>
      </c>
      <c r="T289">
        <v>570693</v>
      </c>
      <c r="U289">
        <v>40</v>
      </c>
      <c r="V289">
        <v>59</v>
      </c>
      <c r="W289">
        <v>6.8</v>
      </c>
    </row>
    <row r="290" spans="1:23" x14ac:dyDescent="0.25">
      <c r="A290">
        <v>6</v>
      </c>
      <c r="B290" t="s">
        <v>70</v>
      </c>
      <c r="C290" s="1">
        <v>45079</v>
      </c>
      <c r="D290" s="1">
        <v>45106</v>
      </c>
      <c r="E290" s="2">
        <f t="shared" si="8"/>
        <v>1</v>
      </c>
      <c r="F290">
        <v>73</v>
      </c>
      <c r="G290" t="str">
        <f t="shared" si="9"/>
        <v>61-80</v>
      </c>
      <c r="H290" t="s">
        <v>35</v>
      </c>
      <c r="I290" t="s">
        <v>31</v>
      </c>
      <c r="J290" t="s">
        <v>28</v>
      </c>
      <c r="K290" t="s">
        <v>29</v>
      </c>
      <c r="L290">
        <v>2</v>
      </c>
      <c r="M290">
        <v>2</v>
      </c>
      <c r="N290">
        <v>3.2</v>
      </c>
      <c r="O290">
        <v>9.9</v>
      </c>
      <c r="P290">
        <v>6</v>
      </c>
      <c r="Q290">
        <v>7</v>
      </c>
      <c r="R290">
        <v>619204</v>
      </c>
      <c r="S290">
        <f>Table1[[#This Row],[Revenue]]-Table1[[#This Row],[Operating_Costs]]</f>
        <v>163903</v>
      </c>
      <c r="T290">
        <v>455301</v>
      </c>
      <c r="U290">
        <v>30</v>
      </c>
      <c r="V290">
        <v>55</v>
      </c>
      <c r="W290">
        <v>9.6</v>
      </c>
    </row>
    <row r="291" spans="1:23" x14ac:dyDescent="0.25">
      <c r="A291">
        <v>14</v>
      </c>
      <c r="B291" t="s">
        <v>48</v>
      </c>
      <c r="C291" s="1">
        <v>45102</v>
      </c>
      <c r="D291" s="1">
        <v>45107</v>
      </c>
      <c r="E291" s="2">
        <f t="shared" si="8"/>
        <v>1</v>
      </c>
      <c r="F291">
        <v>27</v>
      </c>
      <c r="G291" t="str">
        <f t="shared" si="9"/>
        <v>21-40</v>
      </c>
      <c r="H291" t="s">
        <v>35</v>
      </c>
      <c r="I291" t="s">
        <v>31</v>
      </c>
      <c r="J291" t="s">
        <v>28</v>
      </c>
      <c r="K291" t="s">
        <v>33</v>
      </c>
      <c r="L291">
        <v>2</v>
      </c>
      <c r="M291">
        <v>2</v>
      </c>
      <c r="N291">
        <v>6.9</v>
      </c>
      <c r="O291">
        <v>8.8000000000000007</v>
      </c>
      <c r="P291">
        <v>3</v>
      </c>
      <c r="Q291">
        <v>6</v>
      </c>
      <c r="R291">
        <v>894880</v>
      </c>
      <c r="S291">
        <f>Table1[[#This Row],[Revenue]]-Table1[[#This Row],[Operating_Costs]]</f>
        <v>252512</v>
      </c>
      <c r="T291">
        <v>642368</v>
      </c>
      <c r="U291">
        <v>32</v>
      </c>
      <c r="V291">
        <v>54</v>
      </c>
      <c r="W291">
        <v>36.1</v>
      </c>
    </row>
    <row r="292" spans="1:23" x14ac:dyDescent="0.25">
      <c r="A292">
        <v>1</v>
      </c>
      <c r="B292" t="s">
        <v>32</v>
      </c>
      <c r="C292" s="1">
        <v>45096</v>
      </c>
      <c r="D292" s="1">
        <v>45110</v>
      </c>
      <c r="E292" s="2">
        <f t="shared" si="8"/>
        <v>1</v>
      </c>
      <c r="F292">
        <v>30</v>
      </c>
      <c r="G292" t="str">
        <f t="shared" si="9"/>
        <v>21-40</v>
      </c>
      <c r="H292" t="s">
        <v>35</v>
      </c>
      <c r="I292" t="s">
        <v>64</v>
      </c>
      <c r="J292" t="s">
        <v>65</v>
      </c>
      <c r="K292" t="s">
        <v>33</v>
      </c>
      <c r="L292">
        <v>2</v>
      </c>
      <c r="M292">
        <v>2</v>
      </c>
      <c r="N292">
        <v>5.3</v>
      </c>
      <c r="O292">
        <v>9.1</v>
      </c>
      <c r="P292">
        <v>5</v>
      </c>
      <c r="Q292">
        <v>7</v>
      </c>
      <c r="R292">
        <v>934638</v>
      </c>
      <c r="S292">
        <f>Table1[[#This Row],[Revenue]]-Table1[[#This Row],[Operating_Costs]]</f>
        <v>219044</v>
      </c>
      <c r="T292">
        <v>715594</v>
      </c>
      <c r="U292">
        <v>37</v>
      </c>
      <c r="V292">
        <v>62</v>
      </c>
      <c r="W292">
        <v>7.4</v>
      </c>
    </row>
    <row r="293" spans="1:23" x14ac:dyDescent="0.25">
      <c r="A293">
        <v>14</v>
      </c>
      <c r="B293" t="s">
        <v>48</v>
      </c>
      <c r="C293" s="1">
        <v>45113</v>
      </c>
      <c r="D293" s="1">
        <v>45115</v>
      </c>
      <c r="E293" s="2">
        <f t="shared" si="8"/>
        <v>1</v>
      </c>
      <c r="F293">
        <v>80</v>
      </c>
      <c r="G293" t="str">
        <f t="shared" si="9"/>
        <v>61-80</v>
      </c>
      <c r="H293" t="s">
        <v>35</v>
      </c>
      <c r="I293" t="s">
        <v>40</v>
      </c>
      <c r="J293" t="s">
        <v>41</v>
      </c>
      <c r="K293" t="s">
        <v>38</v>
      </c>
      <c r="L293">
        <v>2</v>
      </c>
      <c r="M293">
        <v>2</v>
      </c>
      <c r="N293">
        <v>4.5999999999999996</v>
      </c>
      <c r="O293">
        <v>9.4</v>
      </c>
      <c r="P293">
        <v>4</v>
      </c>
      <c r="Q293">
        <v>7</v>
      </c>
      <c r="R293">
        <v>787246</v>
      </c>
      <c r="S293">
        <f>Table1[[#This Row],[Revenue]]-Table1[[#This Row],[Operating_Costs]]</f>
        <v>181362</v>
      </c>
      <c r="T293">
        <v>605884</v>
      </c>
      <c r="U293">
        <v>30</v>
      </c>
      <c r="V293">
        <v>55</v>
      </c>
      <c r="W293">
        <v>9.1</v>
      </c>
    </row>
    <row r="294" spans="1:23" x14ac:dyDescent="0.25">
      <c r="A294">
        <v>3</v>
      </c>
      <c r="B294" t="s">
        <v>57</v>
      </c>
      <c r="C294" s="1">
        <v>45112</v>
      </c>
      <c r="D294" s="1">
        <v>45117</v>
      </c>
      <c r="E294" s="2">
        <f t="shared" si="8"/>
        <v>1</v>
      </c>
      <c r="F294">
        <v>66</v>
      </c>
      <c r="G294" t="str">
        <f t="shared" si="9"/>
        <v>61-80</v>
      </c>
      <c r="H294" t="s">
        <v>35</v>
      </c>
      <c r="I294" t="s">
        <v>36</v>
      </c>
      <c r="J294" t="s">
        <v>37</v>
      </c>
      <c r="K294" t="s">
        <v>33</v>
      </c>
      <c r="L294">
        <v>2</v>
      </c>
      <c r="M294">
        <v>2</v>
      </c>
      <c r="N294">
        <v>6.3</v>
      </c>
      <c r="O294">
        <v>9.1</v>
      </c>
      <c r="P294">
        <v>4</v>
      </c>
      <c r="Q294">
        <v>4</v>
      </c>
      <c r="R294">
        <v>545772</v>
      </c>
      <c r="S294">
        <f>Table1[[#This Row],[Revenue]]-Table1[[#This Row],[Operating_Costs]]</f>
        <v>237108</v>
      </c>
      <c r="T294">
        <v>308664</v>
      </c>
      <c r="U294">
        <v>22</v>
      </c>
      <c r="V294">
        <v>59</v>
      </c>
      <c r="W294">
        <v>10.8</v>
      </c>
    </row>
    <row r="295" spans="1:23" x14ac:dyDescent="0.25">
      <c r="A295">
        <v>7</v>
      </c>
      <c r="B295" t="s">
        <v>49</v>
      </c>
      <c r="C295" s="1">
        <v>45113</v>
      </c>
      <c r="D295" s="1">
        <v>45119</v>
      </c>
      <c r="E295" s="2">
        <f t="shared" si="8"/>
        <v>1</v>
      </c>
      <c r="F295">
        <v>26</v>
      </c>
      <c r="G295" t="str">
        <f t="shared" si="9"/>
        <v>21-40</v>
      </c>
      <c r="H295" t="s">
        <v>23</v>
      </c>
      <c r="I295" t="s">
        <v>50</v>
      </c>
      <c r="J295" t="s">
        <v>51</v>
      </c>
      <c r="K295" t="s">
        <v>42</v>
      </c>
      <c r="L295">
        <v>2</v>
      </c>
      <c r="M295">
        <v>2</v>
      </c>
      <c r="N295">
        <v>1.8</v>
      </c>
      <c r="O295">
        <v>8.8000000000000007</v>
      </c>
      <c r="P295">
        <v>6</v>
      </c>
      <c r="Q295">
        <v>3</v>
      </c>
      <c r="R295">
        <v>640898</v>
      </c>
      <c r="S295">
        <f>Table1[[#This Row],[Revenue]]-Table1[[#This Row],[Operating_Costs]]</f>
        <v>111591</v>
      </c>
      <c r="T295">
        <v>529307</v>
      </c>
      <c r="U295">
        <v>45</v>
      </c>
      <c r="V295">
        <v>54</v>
      </c>
      <c r="W295">
        <v>9.6999999999999993</v>
      </c>
    </row>
    <row r="296" spans="1:23" x14ac:dyDescent="0.25">
      <c r="A296">
        <v>6</v>
      </c>
      <c r="B296" t="s">
        <v>70</v>
      </c>
      <c r="C296" s="1">
        <v>45092</v>
      </c>
      <c r="D296" s="1">
        <v>45121</v>
      </c>
      <c r="E296" s="2">
        <f t="shared" si="8"/>
        <v>1</v>
      </c>
      <c r="F296">
        <v>63</v>
      </c>
      <c r="G296" t="str">
        <f t="shared" si="9"/>
        <v>61-80</v>
      </c>
      <c r="H296" t="s">
        <v>35</v>
      </c>
      <c r="I296" t="s">
        <v>58</v>
      </c>
      <c r="J296" t="s">
        <v>59</v>
      </c>
      <c r="K296" t="s">
        <v>33</v>
      </c>
      <c r="L296">
        <v>2</v>
      </c>
      <c r="M296">
        <v>2</v>
      </c>
      <c r="N296">
        <v>4.0999999999999996</v>
      </c>
      <c r="O296">
        <v>7.7</v>
      </c>
      <c r="P296">
        <v>7</v>
      </c>
      <c r="Q296">
        <v>6</v>
      </c>
      <c r="R296">
        <v>773613</v>
      </c>
      <c r="S296">
        <f>Table1[[#This Row],[Revenue]]-Table1[[#This Row],[Operating_Costs]]</f>
        <v>315152</v>
      </c>
      <c r="T296">
        <v>458461</v>
      </c>
      <c r="U296">
        <v>28</v>
      </c>
      <c r="V296">
        <v>66</v>
      </c>
      <c r="W296">
        <v>10</v>
      </c>
    </row>
    <row r="297" spans="1:23" x14ac:dyDescent="0.25">
      <c r="A297">
        <v>15</v>
      </c>
      <c r="B297" t="s">
        <v>45</v>
      </c>
      <c r="C297" s="1">
        <v>45098</v>
      </c>
      <c r="D297" s="1">
        <v>45122</v>
      </c>
      <c r="E297" s="2">
        <f t="shared" si="8"/>
        <v>1</v>
      </c>
      <c r="F297">
        <v>38</v>
      </c>
      <c r="G297" t="str">
        <f t="shared" si="9"/>
        <v>21-40</v>
      </c>
      <c r="H297" t="s">
        <v>35</v>
      </c>
      <c r="I297" t="s">
        <v>36</v>
      </c>
      <c r="J297" t="s">
        <v>37</v>
      </c>
      <c r="K297" t="s">
        <v>38</v>
      </c>
      <c r="L297">
        <v>2</v>
      </c>
      <c r="M297">
        <v>2</v>
      </c>
      <c r="N297">
        <v>3.9</v>
      </c>
      <c r="O297">
        <v>7.9</v>
      </c>
      <c r="P297">
        <v>6</v>
      </c>
      <c r="Q297">
        <v>4</v>
      </c>
      <c r="R297">
        <v>709613</v>
      </c>
      <c r="S297">
        <f>Table1[[#This Row],[Revenue]]-Table1[[#This Row],[Operating_Costs]]</f>
        <v>100233</v>
      </c>
      <c r="T297">
        <v>609380</v>
      </c>
      <c r="U297">
        <v>31</v>
      </c>
      <c r="V297">
        <v>66</v>
      </c>
      <c r="W297">
        <v>7.4</v>
      </c>
    </row>
    <row r="298" spans="1:23" x14ac:dyDescent="0.25">
      <c r="A298">
        <v>3</v>
      </c>
      <c r="B298" t="s">
        <v>57</v>
      </c>
      <c r="C298" s="1">
        <v>45103</v>
      </c>
      <c r="D298" s="1">
        <v>45125</v>
      </c>
      <c r="E298" s="2">
        <f t="shared" si="8"/>
        <v>1</v>
      </c>
      <c r="F298">
        <v>75</v>
      </c>
      <c r="G298" t="str">
        <f t="shared" si="9"/>
        <v>61-80</v>
      </c>
      <c r="H298" t="s">
        <v>23</v>
      </c>
      <c r="I298" t="s">
        <v>24</v>
      </c>
      <c r="J298" t="s">
        <v>25</v>
      </c>
      <c r="K298" t="s">
        <v>29</v>
      </c>
      <c r="L298">
        <v>2</v>
      </c>
      <c r="M298">
        <v>2</v>
      </c>
      <c r="N298">
        <v>5</v>
      </c>
      <c r="O298">
        <v>9</v>
      </c>
      <c r="P298">
        <v>3</v>
      </c>
      <c r="Q298">
        <v>5</v>
      </c>
      <c r="R298">
        <v>534131</v>
      </c>
      <c r="S298">
        <f>Table1[[#This Row],[Revenue]]-Table1[[#This Row],[Operating_Costs]]</f>
        <v>208812</v>
      </c>
      <c r="T298">
        <v>325319</v>
      </c>
      <c r="U298">
        <v>18</v>
      </c>
      <c r="V298">
        <v>65</v>
      </c>
      <c r="W298">
        <v>5.3</v>
      </c>
    </row>
    <row r="299" spans="1:23" x14ac:dyDescent="0.25">
      <c r="A299">
        <v>5</v>
      </c>
      <c r="B299" t="s">
        <v>22</v>
      </c>
      <c r="C299" s="1">
        <v>45124</v>
      </c>
      <c r="D299" s="1">
        <v>45125</v>
      </c>
      <c r="E299" s="2">
        <f t="shared" si="8"/>
        <v>1</v>
      </c>
      <c r="F299">
        <v>40</v>
      </c>
      <c r="G299" t="str">
        <f t="shared" si="9"/>
        <v>21-40</v>
      </c>
      <c r="H299" t="s">
        <v>23</v>
      </c>
      <c r="I299" t="s">
        <v>50</v>
      </c>
      <c r="J299" t="s">
        <v>51</v>
      </c>
      <c r="K299" t="s">
        <v>29</v>
      </c>
      <c r="L299">
        <v>2</v>
      </c>
      <c r="M299">
        <v>2</v>
      </c>
      <c r="N299">
        <v>1.4</v>
      </c>
      <c r="O299">
        <v>7.1</v>
      </c>
      <c r="P299">
        <v>3</v>
      </c>
      <c r="Q299">
        <v>6</v>
      </c>
      <c r="R299">
        <v>930897</v>
      </c>
      <c r="S299">
        <f>Table1[[#This Row],[Revenue]]-Table1[[#This Row],[Operating_Costs]]</f>
        <v>465998</v>
      </c>
      <c r="T299">
        <v>464899</v>
      </c>
      <c r="U299">
        <v>24</v>
      </c>
      <c r="V299">
        <v>62</v>
      </c>
      <c r="W299">
        <v>7.9</v>
      </c>
    </row>
    <row r="300" spans="1:23" x14ac:dyDescent="0.25">
      <c r="A300">
        <v>8</v>
      </c>
      <c r="B300" t="s">
        <v>52</v>
      </c>
      <c r="C300" s="1">
        <v>45111</v>
      </c>
      <c r="D300" s="1">
        <v>45132</v>
      </c>
      <c r="E300" s="2">
        <f t="shared" si="8"/>
        <v>1</v>
      </c>
      <c r="F300">
        <v>78</v>
      </c>
      <c r="G300" t="str">
        <f t="shared" si="9"/>
        <v>61-80</v>
      </c>
      <c r="H300" t="s">
        <v>35</v>
      </c>
      <c r="I300" t="s">
        <v>46</v>
      </c>
      <c r="J300" t="s">
        <v>47</v>
      </c>
      <c r="K300" t="s">
        <v>33</v>
      </c>
      <c r="L300">
        <v>2</v>
      </c>
      <c r="M300">
        <v>2</v>
      </c>
      <c r="N300">
        <v>2.8</v>
      </c>
      <c r="O300">
        <v>8.1999999999999993</v>
      </c>
      <c r="P300">
        <v>6</v>
      </c>
      <c r="Q300">
        <v>7</v>
      </c>
      <c r="R300">
        <v>915432</v>
      </c>
      <c r="S300">
        <f>Table1[[#This Row],[Revenue]]-Table1[[#This Row],[Operating_Costs]]</f>
        <v>70174</v>
      </c>
      <c r="T300">
        <v>845258</v>
      </c>
      <c r="U300">
        <v>36</v>
      </c>
      <c r="V300">
        <v>64</v>
      </c>
      <c r="W300">
        <v>36</v>
      </c>
    </row>
    <row r="301" spans="1:23" x14ac:dyDescent="0.25">
      <c r="A301">
        <v>7</v>
      </c>
      <c r="B301" t="s">
        <v>49</v>
      </c>
      <c r="C301" s="1">
        <v>45119</v>
      </c>
      <c r="D301" s="1">
        <v>45134</v>
      </c>
      <c r="E301" s="2">
        <f t="shared" si="8"/>
        <v>1</v>
      </c>
      <c r="F301">
        <v>41</v>
      </c>
      <c r="G301" t="str">
        <f t="shared" si="9"/>
        <v>41-60</v>
      </c>
      <c r="H301" t="s">
        <v>35</v>
      </c>
      <c r="I301" t="s">
        <v>46</v>
      </c>
      <c r="J301" t="s">
        <v>47</v>
      </c>
      <c r="K301" t="s">
        <v>38</v>
      </c>
      <c r="L301">
        <v>2</v>
      </c>
      <c r="M301">
        <v>2</v>
      </c>
      <c r="N301">
        <v>6.1</v>
      </c>
      <c r="O301">
        <v>8.1999999999999993</v>
      </c>
      <c r="P301">
        <v>4</v>
      </c>
      <c r="Q301">
        <v>4</v>
      </c>
      <c r="R301">
        <v>725741</v>
      </c>
      <c r="S301">
        <f>Table1[[#This Row],[Revenue]]-Table1[[#This Row],[Operating_Costs]]</f>
        <v>154703</v>
      </c>
      <c r="T301">
        <v>571038</v>
      </c>
      <c r="U301">
        <v>54</v>
      </c>
      <c r="V301">
        <v>61</v>
      </c>
      <c r="W301">
        <v>5.9</v>
      </c>
    </row>
    <row r="302" spans="1:23" x14ac:dyDescent="0.25">
      <c r="A302">
        <v>9</v>
      </c>
      <c r="B302" t="s">
        <v>44</v>
      </c>
      <c r="C302" s="1">
        <v>45134</v>
      </c>
      <c r="D302" s="1">
        <v>45135</v>
      </c>
      <c r="E302" s="2">
        <f t="shared" si="8"/>
        <v>1</v>
      </c>
      <c r="F302">
        <v>37</v>
      </c>
      <c r="G302" t="str">
        <f t="shared" si="9"/>
        <v>21-40</v>
      </c>
      <c r="H302" t="s">
        <v>35</v>
      </c>
      <c r="I302" t="s">
        <v>27</v>
      </c>
      <c r="J302" t="s">
        <v>28</v>
      </c>
      <c r="K302" t="s">
        <v>26</v>
      </c>
      <c r="L302">
        <v>2</v>
      </c>
      <c r="M302">
        <v>2</v>
      </c>
      <c r="N302">
        <v>2.1</v>
      </c>
      <c r="O302">
        <v>7.9</v>
      </c>
      <c r="P302">
        <v>6</v>
      </c>
      <c r="Q302">
        <v>7</v>
      </c>
      <c r="R302">
        <v>553662</v>
      </c>
      <c r="S302">
        <f>Table1[[#This Row],[Revenue]]-Table1[[#This Row],[Operating_Costs]]</f>
        <v>64644</v>
      </c>
      <c r="T302">
        <v>489018</v>
      </c>
      <c r="U302">
        <v>40</v>
      </c>
      <c r="V302">
        <v>54</v>
      </c>
      <c r="W302">
        <v>5.2</v>
      </c>
    </row>
    <row r="303" spans="1:23" x14ac:dyDescent="0.25">
      <c r="A303">
        <v>6</v>
      </c>
      <c r="B303" t="s">
        <v>70</v>
      </c>
      <c r="C303" s="1">
        <v>45122</v>
      </c>
      <c r="D303" s="1">
        <v>45136</v>
      </c>
      <c r="E303" s="2">
        <f t="shared" si="8"/>
        <v>1</v>
      </c>
      <c r="F303">
        <v>38</v>
      </c>
      <c r="G303" t="str">
        <f t="shared" si="9"/>
        <v>21-40</v>
      </c>
      <c r="H303" t="s">
        <v>35</v>
      </c>
      <c r="I303" t="s">
        <v>36</v>
      </c>
      <c r="J303" t="s">
        <v>37</v>
      </c>
      <c r="K303" t="s">
        <v>33</v>
      </c>
      <c r="L303">
        <v>2</v>
      </c>
      <c r="M303">
        <v>2</v>
      </c>
      <c r="N303">
        <v>3.4</v>
      </c>
      <c r="O303">
        <v>7.8</v>
      </c>
      <c r="P303">
        <v>5</v>
      </c>
      <c r="Q303">
        <v>6</v>
      </c>
      <c r="R303">
        <v>740062</v>
      </c>
      <c r="S303">
        <f>Table1[[#This Row],[Revenue]]-Table1[[#This Row],[Operating_Costs]]</f>
        <v>183417</v>
      </c>
      <c r="T303">
        <v>556645</v>
      </c>
      <c r="U303">
        <v>29</v>
      </c>
      <c r="V303">
        <v>54</v>
      </c>
      <c r="W303">
        <v>13.5</v>
      </c>
    </row>
    <row r="304" spans="1:23" x14ac:dyDescent="0.25">
      <c r="A304">
        <v>8</v>
      </c>
      <c r="B304" t="s">
        <v>52</v>
      </c>
      <c r="C304" s="1">
        <v>45125</v>
      </c>
      <c r="D304" s="1">
        <v>45141</v>
      </c>
      <c r="E304" s="2">
        <f t="shared" si="8"/>
        <v>1</v>
      </c>
      <c r="F304">
        <v>25</v>
      </c>
      <c r="G304" t="str">
        <f t="shared" si="9"/>
        <v>21-40</v>
      </c>
      <c r="H304" t="s">
        <v>35</v>
      </c>
      <c r="I304" t="s">
        <v>61</v>
      </c>
      <c r="J304" t="s">
        <v>62</v>
      </c>
      <c r="K304" t="s">
        <v>29</v>
      </c>
      <c r="L304">
        <v>2</v>
      </c>
      <c r="M304">
        <v>2</v>
      </c>
      <c r="N304">
        <v>1.7</v>
      </c>
      <c r="O304">
        <v>8.6</v>
      </c>
      <c r="P304">
        <v>4</v>
      </c>
      <c r="Q304">
        <v>4</v>
      </c>
      <c r="R304">
        <v>931528</v>
      </c>
      <c r="S304">
        <f>Table1[[#This Row],[Revenue]]-Table1[[#This Row],[Operating_Costs]]</f>
        <v>68674</v>
      </c>
      <c r="T304">
        <v>862854</v>
      </c>
      <c r="U304">
        <v>40</v>
      </c>
      <c r="V304">
        <v>65</v>
      </c>
      <c r="W304">
        <v>7.7</v>
      </c>
    </row>
    <row r="305" spans="1:23" x14ac:dyDescent="0.25">
      <c r="A305">
        <v>12</v>
      </c>
      <c r="B305" t="s">
        <v>66</v>
      </c>
      <c r="C305" s="1">
        <v>45149</v>
      </c>
      <c r="D305" s="1">
        <v>45152</v>
      </c>
      <c r="E305" s="2">
        <f t="shared" si="8"/>
        <v>1</v>
      </c>
      <c r="F305">
        <v>27</v>
      </c>
      <c r="G305" t="str">
        <f t="shared" si="9"/>
        <v>21-40</v>
      </c>
      <c r="H305" t="s">
        <v>35</v>
      </c>
      <c r="I305" t="s">
        <v>58</v>
      </c>
      <c r="J305" t="s">
        <v>59</v>
      </c>
      <c r="K305" t="s">
        <v>33</v>
      </c>
      <c r="L305">
        <v>2</v>
      </c>
      <c r="M305">
        <v>2</v>
      </c>
      <c r="N305">
        <v>2.6</v>
      </c>
      <c r="O305">
        <v>8.1</v>
      </c>
      <c r="P305">
        <v>3</v>
      </c>
      <c r="Q305">
        <v>6</v>
      </c>
      <c r="R305">
        <v>943488</v>
      </c>
      <c r="S305">
        <f>Table1[[#This Row],[Revenue]]-Table1[[#This Row],[Operating_Costs]]</f>
        <v>356627</v>
      </c>
      <c r="T305">
        <v>586861</v>
      </c>
      <c r="U305">
        <v>61</v>
      </c>
      <c r="V305">
        <v>58</v>
      </c>
      <c r="W305">
        <v>6.6</v>
      </c>
    </row>
    <row r="306" spans="1:23" x14ac:dyDescent="0.25">
      <c r="A306">
        <v>14</v>
      </c>
      <c r="B306" t="s">
        <v>48</v>
      </c>
      <c r="C306" s="1">
        <v>45150</v>
      </c>
      <c r="D306" s="1">
        <v>45154</v>
      </c>
      <c r="E306" s="2">
        <f t="shared" si="8"/>
        <v>1</v>
      </c>
      <c r="F306">
        <v>23</v>
      </c>
      <c r="G306" t="str">
        <f t="shared" si="9"/>
        <v>21-40</v>
      </c>
      <c r="H306" t="s">
        <v>35</v>
      </c>
      <c r="I306" t="s">
        <v>46</v>
      </c>
      <c r="J306" t="s">
        <v>47</v>
      </c>
      <c r="K306" t="s">
        <v>26</v>
      </c>
      <c r="L306">
        <v>2</v>
      </c>
      <c r="M306">
        <v>2</v>
      </c>
      <c r="N306">
        <v>3.7</v>
      </c>
      <c r="O306">
        <v>8.4</v>
      </c>
      <c r="P306">
        <v>7</v>
      </c>
      <c r="Q306">
        <v>6</v>
      </c>
      <c r="R306">
        <v>826524</v>
      </c>
      <c r="S306">
        <f>Table1[[#This Row],[Revenue]]-Table1[[#This Row],[Operating_Costs]]</f>
        <v>183114</v>
      </c>
      <c r="T306">
        <v>643410</v>
      </c>
      <c r="U306">
        <v>45</v>
      </c>
      <c r="V306">
        <v>64</v>
      </c>
      <c r="W306">
        <v>7</v>
      </c>
    </row>
    <row r="307" spans="1:23" x14ac:dyDescent="0.25">
      <c r="A307">
        <v>8</v>
      </c>
      <c r="B307" t="s">
        <v>52</v>
      </c>
      <c r="C307" s="1">
        <v>45134</v>
      </c>
      <c r="D307" s="1">
        <v>45156</v>
      </c>
      <c r="E307" s="2">
        <f t="shared" si="8"/>
        <v>1</v>
      </c>
      <c r="F307">
        <v>48</v>
      </c>
      <c r="G307" t="str">
        <f t="shared" si="9"/>
        <v>41-60</v>
      </c>
      <c r="H307" t="s">
        <v>23</v>
      </c>
      <c r="I307" t="s">
        <v>24</v>
      </c>
      <c r="J307" t="s">
        <v>25</v>
      </c>
      <c r="K307" t="s">
        <v>42</v>
      </c>
      <c r="L307">
        <v>2</v>
      </c>
      <c r="M307">
        <v>2</v>
      </c>
      <c r="N307">
        <v>3.1</v>
      </c>
      <c r="O307">
        <v>8.4</v>
      </c>
      <c r="P307">
        <v>4</v>
      </c>
      <c r="Q307">
        <v>7</v>
      </c>
      <c r="R307">
        <v>927657</v>
      </c>
      <c r="S307">
        <f>Table1[[#This Row],[Revenue]]-Table1[[#This Row],[Operating_Costs]]</f>
        <v>125222</v>
      </c>
      <c r="T307">
        <v>802435</v>
      </c>
      <c r="U307">
        <v>31</v>
      </c>
      <c r="V307">
        <v>54</v>
      </c>
      <c r="W307">
        <v>14.6</v>
      </c>
    </row>
    <row r="308" spans="1:23" x14ac:dyDescent="0.25">
      <c r="A308">
        <v>7</v>
      </c>
      <c r="B308" t="s">
        <v>49</v>
      </c>
      <c r="C308" s="1">
        <v>45148</v>
      </c>
      <c r="D308" s="1">
        <v>45159</v>
      </c>
      <c r="E308" s="2">
        <f t="shared" si="8"/>
        <v>1</v>
      </c>
      <c r="F308">
        <v>25</v>
      </c>
      <c r="G308" t="str">
        <f t="shared" si="9"/>
        <v>21-40</v>
      </c>
      <c r="H308" t="s">
        <v>23</v>
      </c>
      <c r="I308" t="s">
        <v>61</v>
      </c>
      <c r="J308" t="s">
        <v>62</v>
      </c>
      <c r="K308" t="s">
        <v>26</v>
      </c>
      <c r="L308">
        <v>2</v>
      </c>
      <c r="M308">
        <v>2</v>
      </c>
      <c r="N308">
        <v>2.7</v>
      </c>
      <c r="O308">
        <v>9.1</v>
      </c>
      <c r="P308">
        <v>6</v>
      </c>
      <c r="Q308">
        <v>6</v>
      </c>
      <c r="R308">
        <v>725572</v>
      </c>
      <c r="S308">
        <f>Table1[[#This Row],[Revenue]]-Table1[[#This Row],[Operating_Costs]]</f>
        <v>204825</v>
      </c>
      <c r="T308">
        <v>520747</v>
      </c>
      <c r="U308">
        <v>43</v>
      </c>
      <c r="V308">
        <v>65</v>
      </c>
      <c r="W308">
        <v>7.3</v>
      </c>
    </row>
    <row r="309" spans="1:23" x14ac:dyDescent="0.25">
      <c r="A309">
        <v>9</v>
      </c>
      <c r="B309" t="s">
        <v>44</v>
      </c>
      <c r="C309" s="1">
        <v>45139</v>
      </c>
      <c r="D309" s="1">
        <v>45160</v>
      </c>
      <c r="E309" s="2">
        <f t="shared" si="8"/>
        <v>1</v>
      </c>
      <c r="F309">
        <v>82</v>
      </c>
      <c r="G309" t="str">
        <f t="shared" si="9"/>
        <v>81+</v>
      </c>
      <c r="H309" t="s">
        <v>35</v>
      </c>
      <c r="I309" t="s">
        <v>40</v>
      </c>
      <c r="J309" t="s">
        <v>41</v>
      </c>
      <c r="K309" t="s">
        <v>38</v>
      </c>
      <c r="L309">
        <v>2</v>
      </c>
      <c r="M309">
        <v>2</v>
      </c>
      <c r="N309">
        <v>5.7</v>
      </c>
      <c r="O309">
        <v>7.2</v>
      </c>
      <c r="P309">
        <v>4</v>
      </c>
      <c r="Q309">
        <v>7</v>
      </c>
      <c r="R309">
        <v>568676</v>
      </c>
      <c r="S309">
        <f>Table1[[#This Row],[Revenue]]-Table1[[#This Row],[Operating_Costs]]</f>
        <v>186880</v>
      </c>
      <c r="T309">
        <v>381796</v>
      </c>
      <c r="U309">
        <v>40</v>
      </c>
      <c r="V309">
        <v>66</v>
      </c>
      <c r="W309">
        <v>9.4</v>
      </c>
    </row>
    <row r="310" spans="1:23" x14ac:dyDescent="0.25">
      <c r="A310">
        <v>10</v>
      </c>
      <c r="B310" t="s">
        <v>34</v>
      </c>
      <c r="C310" s="1">
        <v>45152</v>
      </c>
      <c r="D310" s="1">
        <v>45162</v>
      </c>
      <c r="E310" s="2">
        <f t="shared" si="8"/>
        <v>1</v>
      </c>
      <c r="F310">
        <v>32</v>
      </c>
      <c r="G310" t="str">
        <f t="shared" si="9"/>
        <v>21-40</v>
      </c>
      <c r="H310" t="s">
        <v>35</v>
      </c>
      <c r="I310" t="s">
        <v>60</v>
      </c>
      <c r="J310" t="s">
        <v>59</v>
      </c>
      <c r="K310" t="s">
        <v>42</v>
      </c>
      <c r="L310">
        <v>2</v>
      </c>
      <c r="M310">
        <v>2</v>
      </c>
      <c r="N310">
        <v>3.8</v>
      </c>
      <c r="O310">
        <v>8.1</v>
      </c>
      <c r="P310">
        <v>4</v>
      </c>
      <c r="Q310">
        <v>3</v>
      </c>
      <c r="R310">
        <v>930147</v>
      </c>
      <c r="S310">
        <f>Table1[[#This Row],[Revenue]]-Table1[[#This Row],[Operating_Costs]]</f>
        <v>404505</v>
      </c>
      <c r="T310">
        <v>525642</v>
      </c>
      <c r="U310">
        <v>65</v>
      </c>
      <c r="V310">
        <v>61</v>
      </c>
      <c r="W310">
        <v>5.3</v>
      </c>
    </row>
    <row r="311" spans="1:23" x14ac:dyDescent="0.25">
      <c r="A311">
        <v>8</v>
      </c>
      <c r="B311" t="s">
        <v>52</v>
      </c>
      <c r="C311" s="1">
        <v>45138</v>
      </c>
      <c r="D311" s="1">
        <v>45166</v>
      </c>
      <c r="E311" s="2">
        <f t="shared" si="8"/>
        <v>1</v>
      </c>
      <c r="F311">
        <v>45</v>
      </c>
      <c r="G311" t="str">
        <f t="shared" si="9"/>
        <v>41-60</v>
      </c>
      <c r="H311" t="s">
        <v>35</v>
      </c>
      <c r="I311" t="s">
        <v>40</v>
      </c>
      <c r="J311" t="s">
        <v>41</v>
      </c>
      <c r="K311" t="s">
        <v>38</v>
      </c>
      <c r="L311">
        <v>2</v>
      </c>
      <c r="M311">
        <v>2</v>
      </c>
      <c r="N311">
        <v>3.8</v>
      </c>
      <c r="O311">
        <v>9.6</v>
      </c>
      <c r="P311">
        <v>5</v>
      </c>
      <c r="Q311">
        <v>6</v>
      </c>
      <c r="R311">
        <v>979941</v>
      </c>
      <c r="S311">
        <f>Table1[[#This Row],[Revenue]]-Table1[[#This Row],[Operating_Costs]]</f>
        <v>123735</v>
      </c>
      <c r="T311">
        <v>856206</v>
      </c>
      <c r="U311">
        <v>33</v>
      </c>
      <c r="V311">
        <v>59</v>
      </c>
      <c r="W311">
        <v>13.2</v>
      </c>
    </row>
    <row r="312" spans="1:23" x14ac:dyDescent="0.25">
      <c r="A312">
        <v>15</v>
      </c>
      <c r="B312" t="s">
        <v>45</v>
      </c>
      <c r="C312" s="1">
        <v>45145</v>
      </c>
      <c r="D312" s="1">
        <v>45169</v>
      </c>
      <c r="E312" s="2">
        <f t="shared" si="8"/>
        <v>1</v>
      </c>
      <c r="F312">
        <v>31</v>
      </c>
      <c r="G312" t="str">
        <f t="shared" si="9"/>
        <v>21-40</v>
      </c>
      <c r="H312" t="s">
        <v>23</v>
      </c>
      <c r="I312" t="s">
        <v>24</v>
      </c>
      <c r="J312" t="s">
        <v>25</v>
      </c>
      <c r="K312" t="s">
        <v>26</v>
      </c>
      <c r="L312">
        <v>2</v>
      </c>
      <c r="M312">
        <v>2</v>
      </c>
      <c r="N312">
        <v>1.8</v>
      </c>
      <c r="O312">
        <v>9.1</v>
      </c>
      <c r="P312">
        <v>6</v>
      </c>
      <c r="Q312">
        <v>7</v>
      </c>
      <c r="R312">
        <v>709641</v>
      </c>
      <c r="S312">
        <f>Table1[[#This Row],[Revenue]]-Table1[[#This Row],[Operating_Costs]]</f>
        <v>165273</v>
      </c>
      <c r="T312">
        <v>544368</v>
      </c>
      <c r="U312">
        <v>30</v>
      </c>
      <c r="V312">
        <v>65</v>
      </c>
      <c r="W312">
        <v>8.1999999999999993</v>
      </c>
    </row>
    <row r="313" spans="1:23" x14ac:dyDescent="0.25">
      <c r="A313">
        <v>7</v>
      </c>
      <c r="B313" t="s">
        <v>49</v>
      </c>
      <c r="C313" s="1">
        <v>45158</v>
      </c>
      <c r="D313" s="1">
        <v>45170</v>
      </c>
      <c r="E313" s="2">
        <f t="shared" si="8"/>
        <v>1</v>
      </c>
      <c r="F313">
        <v>73</v>
      </c>
      <c r="G313" t="str">
        <f t="shared" si="9"/>
        <v>61-80</v>
      </c>
      <c r="H313" t="s">
        <v>23</v>
      </c>
      <c r="I313" t="s">
        <v>27</v>
      </c>
      <c r="J313" t="s">
        <v>28</v>
      </c>
      <c r="K313" t="s">
        <v>29</v>
      </c>
      <c r="L313">
        <v>2</v>
      </c>
      <c r="M313">
        <v>2</v>
      </c>
      <c r="N313">
        <v>3.8</v>
      </c>
      <c r="O313">
        <v>9.1</v>
      </c>
      <c r="P313">
        <v>7</v>
      </c>
      <c r="Q313">
        <v>6</v>
      </c>
      <c r="R313">
        <v>698004</v>
      </c>
      <c r="S313">
        <f>Table1[[#This Row],[Revenue]]-Table1[[#This Row],[Operating_Costs]]</f>
        <v>138599</v>
      </c>
      <c r="T313">
        <v>559405</v>
      </c>
      <c r="U313">
        <v>55</v>
      </c>
      <c r="V313">
        <v>55</v>
      </c>
      <c r="W313">
        <v>14</v>
      </c>
    </row>
    <row r="314" spans="1:23" x14ac:dyDescent="0.25">
      <c r="A314">
        <v>11</v>
      </c>
      <c r="B314" t="s">
        <v>63</v>
      </c>
      <c r="C314" s="1">
        <v>45148</v>
      </c>
      <c r="D314" s="1">
        <v>45172</v>
      </c>
      <c r="E314" s="2">
        <f t="shared" si="8"/>
        <v>1</v>
      </c>
      <c r="F314">
        <v>77</v>
      </c>
      <c r="G314" t="str">
        <f t="shared" si="9"/>
        <v>61-80</v>
      </c>
      <c r="H314" t="s">
        <v>23</v>
      </c>
      <c r="I314" t="s">
        <v>24</v>
      </c>
      <c r="J314" t="s">
        <v>25</v>
      </c>
      <c r="K314" t="s">
        <v>38</v>
      </c>
      <c r="L314">
        <v>2</v>
      </c>
      <c r="M314">
        <v>2</v>
      </c>
      <c r="N314">
        <v>6</v>
      </c>
      <c r="O314">
        <v>9.4</v>
      </c>
      <c r="P314">
        <v>3</v>
      </c>
      <c r="Q314">
        <v>6</v>
      </c>
      <c r="R314">
        <v>750687</v>
      </c>
      <c r="S314">
        <f>Table1[[#This Row],[Revenue]]-Table1[[#This Row],[Operating_Costs]]</f>
        <v>214184</v>
      </c>
      <c r="T314">
        <v>536503</v>
      </c>
      <c r="U314">
        <v>30</v>
      </c>
      <c r="V314">
        <v>65</v>
      </c>
      <c r="W314">
        <v>14.4</v>
      </c>
    </row>
    <row r="315" spans="1:23" x14ac:dyDescent="0.25">
      <c r="A315">
        <v>13</v>
      </c>
      <c r="B315" t="s">
        <v>30</v>
      </c>
      <c r="C315" s="1">
        <v>45161</v>
      </c>
      <c r="D315" s="1">
        <v>45173</v>
      </c>
      <c r="E315" s="2">
        <f t="shared" si="8"/>
        <v>1</v>
      </c>
      <c r="F315">
        <v>37</v>
      </c>
      <c r="G315" t="str">
        <f t="shared" si="9"/>
        <v>21-40</v>
      </c>
      <c r="H315" t="s">
        <v>23</v>
      </c>
      <c r="I315" t="s">
        <v>64</v>
      </c>
      <c r="J315" t="s">
        <v>65</v>
      </c>
      <c r="K315" t="s">
        <v>38</v>
      </c>
      <c r="L315">
        <v>2</v>
      </c>
      <c r="M315">
        <v>2</v>
      </c>
      <c r="N315">
        <v>1.8</v>
      </c>
      <c r="O315">
        <v>9.9</v>
      </c>
      <c r="P315">
        <v>5</v>
      </c>
      <c r="Q315">
        <v>6</v>
      </c>
      <c r="R315">
        <v>553461</v>
      </c>
      <c r="S315">
        <f>Table1[[#This Row],[Revenue]]-Table1[[#This Row],[Operating_Costs]]</f>
        <v>167273</v>
      </c>
      <c r="T315">
        <v>386188</v>
      </c>
      <c r="U315">
        <v>44</v>
      </c>
      <c r="V315">
        <v>56</v>
      </c>
      <c r="W315">
        <v>7.3</v>
      </c>
    </row>
    <row r="316" spans="1:23" x14ac:dyDescent="0.25">
      <c r="A316">
        <v>6</v>
      </c>
      <c r="B316" t="s">
        <v>70</v>
      </c>
      <c r="C316" s="1">
        <v>45159</v>
      </c>
      <c r="D316" s="1">
        <v>45176</v>
      </c>
      <c r="E316" s="2">
        <f t="shared" si="8"/>
        <v>1</v>
      </c>
      <c r="F316">
        <v>73</v>
      </c>
      <c r="G316" t="str">
        <f t="shared" si="9"/>
        <v>61-80</v>
      </c>
      <c r="H316" t="s">
        <v>35</v>
      </c>
      <c r="I316" t="s">
        <v>31</v>
      </c>
      <c r="J316" t="s">
        <v>28</v>
      </c>
      <c r="K316" t="s">
        <v>29</v>
      </c>
      <c r="L316">
        <v>2</v>
      </c>
      <c r="M316">
        <v>2</v>
      </c>
      <c r="N316">
        <v>3</v>
      </c>
      <c r="O316">
        <v>9.3000000000000007</v>
      </c>
      <c r="P316">
        <v>4</v>
      </c>
      <c r="Q316">
        <v>6</v>
      </c>
      <c r="R316">
        <v>612422</v>
      </c>
      <c r="S316">
        <f>Table1[[#This Row],[Revenue]]-Table1[[#This Row],[Operating_Costs]]</f>
        <v>33609</v>
      </c>
      <c r="T316">
        <v>578813</v>
      </c>
      <c r="U316">
        <v>27</v>
      </c>
      <c r="V316">
        <v>56</v>
      </c>
      <c r="W316">
        <v>13.6</v>
      </c>
    </row>
    <row r="317" spans="1:23" x14ac:dyDescent="0.25">
      <c r="A317">
        <v>10</v>
      </c>
      <c r="B317" t="s">
        <v>34</v>
      </c>
      <c r="C317" s="1">
        <v>45154</v>
      </c>
      <c r="D317" s="1">
        <v>45176</v>
      </c>
      <c r="E317" s="2">
        <f t="shared" si="8"/>
        <v>1</v>
      </c>
      <c r="F317">
        <v>90</v>
      </c>
      <c r="G317" t="str">
        <f t="shared" si="9"/>
        <v>81+</v>
      </c>
      <c r="H317" t="s">
        <v>35</v>
      </c>
      <c r="I317" t="s">
        <v>53</v>
      </c>
      <c r="J317" t="s">
        <v>54</v>
      </c>
      <c r="K317" t="s">
        <v>29</v>
      </c>
      <c r="L317">
        <v>2</v>
      </c>
      <c r="M317">
        <v>2</v>
      </c>
      <c r="N317">
        <v>2</v>
      </c>
      <c r="O317">
        <v>9.3000000000000007</v>
      </c>
      <c r="P317">
        <v>5</v>
      </c>
      <c r="Q317">
        <v>3</v>
      </c>
      <c r="R317">
        <v>915397</v>
      </c>
      <c r="S317">
        <f>Table1[[#This Row],[Revenue]]-Table1[[#This Row],[Operating_Costs]]</f>
        <v>371752</v>
      </c>
      <c r="T317">
        <v>543645</v>
      </c>
      <c r="U317">
        <v>63</v>
      </c>
      <c r="V317">
        <v>62</v>
      </c>
      <c r="W317">
        <v>10.8</v>
      </c>
    </row>
    <row r="318" spans="1:23" x14ac:dyDescent="0.25">
      <c r="A318">
        <v>15</v>
      </c>
      <c r="B318" t="s">
        <v>45</v>
      </c>
      <c r="C318" s="1">
        <v>45172</v>
      </c>
      <c r="D318" s="1">
        <v>45177</v>
      </c>
      <c r="E318" s="2">
        <f t="shared" si="8"/>
        <v>1</v>
      </c>
      <c r="F318">
        <v>30</v>
      </c>
      <c r="G318" t="str">
        <f t="shared" si="9"/>
        <v>21-40</v>
      </c>
      <c r="H318" t="s">
        <v>35</v>
      </c>
      <c r="I318" t="s">
        <v>40</v>
      </c>
      <c r="J318" t="s">
        <v>41</v>
      </c>
      <c r="K318" t="s">
        <v>42</v>
      </c>
      <c r="L318">
        <v>2</v>
      </c>
      <c r="M318">
        <v>2</v>
      </c>
      <c r="N318">
        <v>2.5</v>
      </c>
      <c r="O318">
        <v>7.8</v>
      </c>
      <c r="P318">
        <v>6</v>
      </c>
      <c r="Q318">
        <v>6</v>
      </c>
      <c r="R318">
        <v>781675</v>
      </c>
      <c r="S318">
        <f>Table1[[#This Row],[Revenue]]-Table1[[#This Row],[Operating_Costs]]</f>
        <v>117939</v>
      </c>
      <c r="T318">
        <v>663736</v>
      </c>
      <c r="U318">
        <v>55</v>
      </c>
      <c r="V318">
        <v>61</v>
      </c>
      <c r="W318">
        <v>10.8</v>
      </c>
    </row>
    <row r="319" spans="1:23" x14ac:dyDescent="0.25">
      <c r="A319">
        <v>10</v>
      </c>
      <c r="B319" t="s">
        <v>34</v>
      </c>
      <c r="C319" s="1">
        <v>45175</v>
      </c>
      <c r="D319" s="1">
        <v>45177</v>
      </c>
      <c r="E319" s="2">
        <f t="shared" si="8"/>
        <v>1</v>
      </c>
      <c r="F319">
        <v>24</v>
      </c>
      <c r="G319" t="str">
        <f t="shared" si="9"/>
        <v>21-40</v>
      </c>
      <c r="H319" t="s">
        <v>23</v>
      </c>
      <c r="I319" t="s">
        <v>24</v>
      </c>
      <c r="J319" t="s">
        <v>25</v>
      </c>
      <c r="K319" t="s">
        <v>38</v>
      </c>
      <c r="L319">
        <v>2</v>
      </c>
      <c r="M319">
        <v>2</v>
      </c>
      <c r="N319">
        <v>2.7</v>
      </c>
      <c r="O319">
        <v>9.6999999999999993</v>
      </c>
      <c r="P319">
        <v>5</v>
      </c>
      <c r="Q319">
        <v>6</v>
      </c>
      <c r="R319">
        <v>801483</v>
      </c>
      <c r="S319">
        <f>Table1[[#This Row],[Revenue]]-Table1[[#This Row],[Operating_Costs]]</f>
        <v>167668</v>
      </c>
      <c r="T319">
        <v>633815</v>
      </c>
      <c r="U319">
        <v>58</v>
      </c>
      <c r="V319">
        <v>64</v>
      </c>
      <c r="W319">
        <v>12.6</v>
      </c>
    </row>
    <row r="320" spans="1:23" x14ac:dyDescent="0.25">
      <c r="A320">
        <v>14</v>
      </c>
      <c r="B320" t="s">
        <v>48</v>
      </c>
      <c r="C320" s="1">
        <v>45178</v>
      </c>
      <c r="D320" s="1">
        <v>45179</v>
      </c>
      <c r="E320" s="2">
        <f t="shared" si="8"/>
        <v>1</v>
      </c>
      <c r="F320">
        <v>45</v>
      </c>
      <c r="G320" t="str">
        <f t="shared" si="9"/>
        <v>41-60</v>
      </c>
      <c r="H320" t="s">
        <v>35</v>
      </c>
      <c r="I320" t="s">
        <v>58</v>
      </c>
      <c r="J320" t="s">
        <v>59</v>
      </c>
      <c r="K320" t="s">
        <v>42</v>
      </c>
      <c r="L320">
        <v>2</v>
      </c>
      <c r="M320">
        <v>2</v>
      </c>
      <c r="N320">
        <v>5.0999999999999996</v>
      </c>
      <c r="O320">
        <v>7.1</v>
      </c>
      <c r="P320">
        <v>7</v>
      </c>
      <c r="Q320">
        <v>4</v>
      </c>
      <c r="R320">
        <v>790709</v>
      </c>
      <c r="S320">
        <f>Table1[[#This Row],[Revenue]]-Table1[[#This Row],[Operating_Costs]]</f>
        <v>96716</v>
      </c>
      <c r="T320">
        <v>693993</v>
      </c>
      <c r="U320">
        <v>30</v>
      </c>
      <c r="V320">
        <v>64</v>
      </c>
      <c r="W320">
        <v>9.1</v>
      </c>
    </row>
    <row r="321" spans="1:23" x14ac:dyDescent="0.25">
      <c r="A321">
        <v>2</v>
      </c>
      <c r="B321" t="s">
        <v>39</v>
      </c>
      <c r="C321" s="1">
        <v>45172</v>
      </c>
      <c r="D321" s="1">
        <v>45182</v>
      </c>
      <c r="E321" s="2">
        <f t="shared" si="8"/>
        <v>1</v>
      </c>
      <c r="F321">
        <v>88</v>
      </c>
      <c r="G321" t="str">
        <f t="shared" si="9"/>
        <v>81+</v>
      </c>
      <c r="H321" t="s">
        <v>23</v>
      </c>
      <c r="I321" t="s">
        <v>24</v>
      </c>
      <c r="J321" t="s">
        <v>25</v>
      </c>
      <c r="K321" t="s">
        <v>26</v>
      </c>
      <c r="L321">
        <v>2</v>
      </c>
      <c r="M321">
        <v>2</v>
      </c>
      <c r="N321">
        <v>5.7</v>
      </c>
      <c r="O321">
        <v>9</v>
      </c>
      <c r="P321">
        <v>6</v>
      </c>
      <c r="Q321">
        <v>6</v>
      </c>
      <c r="R321">
        <v>600482</v>
      </c>
      <c r="S321">
        <f>Table1[[#This Row],[Revenue]]-Table1[[#This Row],[Operating_Costs]]</f>
        <v>-20465</v>
      </c>
      <c r="T321">
        <v>620947</v>
      </c>
      <c r="U321">
        <v>38</v>
      </c>
      <c r="V321">
        <v>65</v>
      </c>
      <c r="W321">
        <v>13.2</v>
      </c>
    </row>
    <row r="322" spans="1:23" x14ac:dyDescent="0.25">
      <c r="A322">
        <v>1</v>
      </c>
      <c r="B322" t="s">
        <v>32</v>
      </c>
      <c r="C322" s="1">
        <v>45175</v>
      </c>
      <c r="D322" s="1">
        <v>45185</v>
      </c>
      <c r="E322" s="2">
        <f t="shared" si="8"/>
        <v>1</v>
      </c>
      <c r="F322">
        <v>73</v>
      </c>
      <c r="G322" t="str">
        <f t="shared" si="9"/>
        <v>61-80</v>
      </c>
      <c r="H322" t="s">
        <v>35</v>
      </c>
      <c r="I322" t="s">
        <v>36</v>
      </c>
      <c r="J322" t="s">
        <v>37</v>
      </c>
      <c r="K322" t="s">
        <v>29</v>
      </c>
      <c r="L322">
        <v>2</v>
      </c>
      <c r="M322">
        <v>2</v>
      </c>
      <c r="N322">
        <v>3.4</v>
      </c>
      <c r="O322">
        <v>9.6</v>
      </c>
      <c r="P322">
        <v>4</v>
      </c>
      <c r="Q322">
        <v>4</v>
      </c>
      <c r="R322">
        <v>992412</v>
      </c>
      <c r="S322">
        <f>Table1[[#This Row],[Revenue]]-Table1[[#This Row],[Operating_Costs]]</f>
        <v>339050</v>
      </c>
      <c r="T322">
        <v>653362</v>
      </c>
      <c r="U322">
        <v>33</v>
      </c>
      <c r="V322">
        <v>64</v>
      </c>
      <c r="W322">
        <v>7.4</v>
      </c>
    </row>
    <row r="323" spans="1:23" x14ac:dyDescent="0.25">
      <c r="A323">
        <v>11</v>
      </c>
      <c r="B323" t="s">
        <v>63</v>
      </c>
      <c r="C323" s="1">
        <v>45162</v>
      </c>
      <c r="D323" s="1">
        <v>45188</v>
      </c>
      <c r="E323" s="2">
        <f t="shared" ref="E323:E386" si="10">IF(D323-C323&lt;=30,1,0)</f>
        <v>1</v>
      </c>
      <c r="F323">
        <v>27</v>
      </c>
      <c r="G323" t="str">
        <f t="shared" ref="G323:G386" si="11">IF(F323&lt;=20,"0-20",IF(F323&lt;=40,"21-40",IF(F323&lt;=60,"41-60",IF(F323&lt;=80,"61-80","81+"))))</f>
        <v>21-40</v>
      </c>
      <c r="H323" t="s">
        <v>23</v>
      </c>
      <c r="I323" t="s">
        <v>55</v>
      </c>
      <c r="J323" t="s">
        <v>56</v>
      </c>
      <c r="K323" t="s">
        <v>26</v>
      </c>
      <c r="L323">
        <v>2</v>
      </c>
      <c r="M323">
        <v>2</v>
      </c>
      <c r="N323">
        <v>3.8</v>
      </c>
      <c r="O323">
        <v>9.6999999999999993</v>
      </c>
      <c r="P323">
        <v>3</v>
      </c>
      <c r="Q323">
        <v>4</v>
      </c>
      <c r="R323">
        <v>706689</v>
      </c>
      <c r="S323">
        <f>Table1[[#This Row],[Revenue]]-Table1[[#This Row],[Operating_Costs]]</f>
        <v>223117</v>
      </c>
      <c r="T323">
        <v>483572</v>
      </c>
      <c r="U323">
        <v>30</v>
      </c>
      <c r="V323">
        <v>66</v>
      </c>
      <c r="W323">
        <v>14.5</v>
      </c>
    </row>
    <row r="324" spans="1:23" x14ac:dyDescent="0.25">
      <c r="A324">
        <v>15</v>
      </c>
      <c r="B324" t="s">
        <v>45</v>
      </c>
      <c r="C324" s="1">
        <v>45183</v>
      </c>
      <c r="D324" s="1">
        <v>45188</v>
      </c>
      <c r="E324" s="2">
        <f t="shared" si="10"/>
        <v>1</v>
      </c>
      <c r="F324">
        <v>74</v>
      </c>
      <c r="G324" t="str">
        <f t="shared" si="11"/>
        <v>61-80</v>
      </c>
      <c r="H324" t="s">
        <v>23</v>
      </c>
      <c r="I324" t="s">
        <v>50</v>
      </c>
      <c r="J324" t="s">
        <v>51</v>
      </c>
      <c r="K324" t="s">
        <v>29</v>
      </c>
      <c r="L324">
        <v>2</v>
      </c>
      <c r="M324">
        <v>2</v>
      </c>
      <c r="N324">
        <v>5.4</v>
      </c>
      <c r="O324">
        <v>8.3000000000000007</v>
      </c>
      <c r="P324">
        <v>3</v>
      </c>
      <c r="Q324">
        <v>6</v>
      </c>
      <c r="R324">
        <v>731572</v>
      </c>
      <c r="S324">
        <f>Table1[[#This Row],[Revenue]]-Table1[[#This Row],[Operating_Costs]]</f>
        <v>110906</v>
      </c>
      <c r="T324">
        <v>620666</v>
      </c>
      <c r="U324">
        <v>41</v>
      </c>
      <c r="V324">
        <v>55</v>
      </c>
      <c r="W324">
        <v>6.9</v>
      </c>
    </row>
    <row r="325" spans="1:23" x14ac:dyDescent="0.25">
      <c r="A325">
        <v>1</v>
      </c>
      <c r="B325" t="s">
        <v>32</v>
      </c>
      <c r="C325" s="1">
        <v>45176</v>
      </c>
      <c r="D325" s="1">
        <v>45195</v>
      </c>
      <c r="E325" s="2">
        <f t="shared" si="10"/>
        <v>1</v>
      </c>
      <c r="F325">
        <v>26</v>
      </c>
      <c r="G325" t="str">
        <f t="shared" si="11"/>
        <v>21-40</v>
      </c>
      <c r="H325" t="s">
        <v>23</v>
      </c>
      <c r="I325" t="s">
        <v>24</v>
      </c>
      <c r="J325" t="s">
        <v>25</v>
      </c>
      <c r="K325" t="s">
        <v>26</v>
      </c>
      <c r="L325">
        <v>2</v>
      </c>
      <c r="M325">
        <v>2</v>
      </c>
      <c r="N325">
        <v>6.7</v>
      </c>
      <c r="O325">
        <v>9.9</v>
      </c>
      <c r="P325">
        <v>3</v>
      </c>
      <c r="Q325">
        <v>7</v>
      </c>
      <c r="R325">
        <v>910463</v>
      </c>
      <c r="S325">
        <f>Table1[[#This Row],[Revenue]]-Table1[[#This Row],[Operating_Costs]]</f>
        <v>224507</v>
      </c>
      <c r="T325">
        <v>685956</v>
      </c>
      <c r="U325">
        <v>30</v>
      </c>
      <c r="V325">
        <v>62</v>
      </c>
      <c r="W325">
        <v>12.8</v>
      </c>
    </row>
    <row r="326" spans="1:23" x14ac:dyDescent="0.25">
      <c r="A326">
        <v>5</v>
      </c>
      <c r="B326" t="s">
        <v>22</v>
      </c>
      <c r="C326" s="1">
        <v>45169</v>
      </c>
      <c r="D326" s="1">
        <v>45195</v>
      </c>
      <c r="E326" s="2">
        <f t="shared" si="10"/>
        <v>1</v>
      </c>
      <c r="F326">
        <v>38</v>
      </c>
      <c r="G326" t="str">
        <f t="shared" si="11"/>
        <v>21-40</v>
      </c>
      <c r="H326" t="s">
        <v>35</v>
      </c>
      <c r="I326" t="s">
        <v>31</v>
      </c>
      <c r="J326" t="s">
        <v>28</v>
      </c>
      <c r="K326" t="s">
        <v>33</v>
      </c>
      <c r="L326">
        <v>2</v>
      </c>
      <c r="M326">
        <v>2</v>
      </c>
      <c r="N326">
        <v>4.0999999999999996</v>
      </c>
      <c r="O326">
        <v>7.9</v>
      </c>
      <c r="P326">
        <v>7</v>
      </c>
      <c r="Q326">
        <v>3</v>
      </c>
      <c r="R326">
        <v>785715</v>
      </c>
      <c r="S326">
        <f>Table1[[#This Row],[Revenue]]-Table1[[#This Row],[Operating_Costs]]</f>
        <v>564641</v>
      </c>
      <c r="T326">
        <v>221074</v>
      </c>
      <c r="U326">
        <v>34</v>
      </c>
      <c r="V326">
        <v>64</v>
      </c>
      <c r="W326">
        <v>9.4</v>
      </c>
    </row>
    <row r="327" spans="1:23" x14ac:dyDescent="0.25">
      <c r="A327">
        <v>10</v>
      </c>
      <c r="B327" t="s">
        <v>34</v>
      </c>
      <c r="C327" s="1">
        <v>45194</v>
      </c>
      <c r="D327" s="1">
        <v>45195</v>
      </c>
      <c r="E327" s="2">
        <f t="shared" si="10"/>
        <v>1</v>
      </c>
      <c r="F327">
        <v>28</v>
      </c>
      <c r="G327" t="str">
        <f t="shared" si="11"/>
        <v>21-40</v>
      </c>
      <c r="H327" t="s">
        <v>35</v>
      </c>
      <c r="I327" t="s">
        <v>40</v>
      </c>
      <c r="J327" t="s">
        <v>41</v>
      </c>
      <c r="K327" t="s">
        <v>29</v>
      </c>
      <c r="L327">
        <v>2</v>
      </c>
      <c r="M327">
        <v>2</v>
      </c>
      <c r="N327">
        <v>4</v>
      </c>
      <c r="O327">
        <v>8.6999999999999993</v>
      </c>
      <c r="P327">
        <v>6</v>
      </c>
      <c r="Q327">
        <v>6</v>
      </c>
      <c r="R327">
        <v>884921</v>
      </c>
      <c r="S327">
        <f>Table1[[#This Row],[Revenue]]-Table1[[#This Row],[Operating_Costs]]</f>
        <v>185560</v>
      </c>
      <c r="T327">
        <v>699361</v>
      </c>
      <c r="U327">
        <v>50</v>
      </c>
      <c r="V327">
        <v>57</v>
      </c>
      <c r="W327">
        <v>6</v>
      </c>
    </row>
    <row r="328" spans="1:23" x14ac:dyDescent="0.25">
      <c r="A328">
        <v>9</v>
      </c>
      <c r="B328" t="s">
        <v>44</v>
      </c>
      <c r="C328" s="1">
        <v>45195</v>
      </c>
      <c r="D328" s="1">
        <v>45196</v>
      </c>
      <c r="E328" s="2">
        <f t="shared" si="10"/>
        <v>1</v>
      </c>
      <c r="F328">
        <v>75</v>
      </c>
      <c r="G328" t="str">
        <f t="shared" si="11"/>
        <v>61-80</v>
      </c>
      <c r="H328" t="s">
        <v>23</v>
      </c>
      <c r="I328" t="s">
        <v>24</v>
      </c>
      <c r="J328" t="s">
        <v>25</v>
      </c>
      <c r="K328" t="s">
        <v>26</v>
      </c>
      <c r="L328">
        <v>2</v>
      </c>
      <c r="M328">
        <v>2</v>
      </c>
      <c r="N328">
        <v>3.1</v>
      </c>
      <c r="O328">
        <v>9.4</v>
      </c>
      <c r="P328">
        <v>4</v>
      </c>
      <c r="Q328">
        <v>4</v>
      </c>
      <c r="R328">
        <v>575406</v>
      </c>
      <c r="S328">
        <f>Table1[[#This Row],[Revenue]]-Table1[[#This Row],[Operating_Costs]]</f>
        <v>138349</v>
      </c>
      <c r="T328">
        <v>437057</v>
      </c>
      <c r="U328">
        <v>38</v>
      </c>
      <c r="V328">
        <v>58</v>
      </c>
      <c r="W328">
        <v>5.0999999999999996</v>
      </c>
    </row>
    <row r="329" spans="1:23" x14ac:dyDescent="0.25">
      <c r="A329">
        <v>3</v>
      </c>
      <c r="B329" t="s">
        <v>57</v>
      </c>
      <c r="C329" s="1">
        <v>45179</v>
      </c>
      <c r="D329" s="1">
        <v>45199</v>
      </c>
      <c r="E329" s="2">
        <f t="shared" si="10"/>
        <v>1</v>
      </c>
      <c r="F329">
        <v>23</v>
      </c>
      <c r="G329" t="str">
        <f t="shared" si="11"/>
        <v>21-40</v>
      </c>
      <c r="H329" t="s">
        <v>35</v>
      </c>
      <c r="I329" t="s">
        <v>36</v>
      </c>
      <c r="J329" t="s">
        <v>37</v>
      </c>
      <c r="K329" t="s">
        <v>38</v>
      </c>
      <c r="L329">
        <v>2</v>
      </c>
      <c r="M329">
        <v>2</v>
      </c>
      <c r="N329">
        <v>1.8</v>
      </c>
      <c r="O329">
        <v>7.3</v>
      </c>
      <c r="P329">
        <v>5</v>
      </c>
      <c r="Q329">
        <v>7</v>
      </c>
      <c r="R329">
        <v>571461</v>
      </c>
      <c r="S329">
        <f>Table1[[#This Row],[Revenue]]-Table1[[#This Row],[Operating_Costs]]</f>
        <v>245869</v>
      </c>
      <c r="T329">
        <v>325592</v>
      </c>
      <c r="U329">
        <v>21</v>
      </c>
      <c r="V329">
        <v>62</v>
      </c>
      <c r="W329">
        <v>6.3</v>
      </c>
    </row>
    <row r="330" spans="1:23" x14ac:dyDescent="0.25">
      <c r="A330">
        <v>6</v>
      </c>
      <c r="B330" t="s">
        <v>70</v>
      </c>
      <c r="C330" s="1">
        <v>45190</v>
      </c>
      <c r="D330" s="1">
        <v>45200</v>
      </c>
      <c r="E330" s="2">
        <f t="shared" si="10"/>
        <v>1</v>
      </c>
      <c r="F330">
        <v>70</v>
      </c>
      <c r="G330" t="str">
        <f t="shared" si="11"/>
        <v>61-80</v>
      </c>
      <c r="H330" t="s">
        <v>23</v>
      </c>
      <c r="I330" t="s">
        <v>27</v>
      </c>
      <c r="J330" t="s">
        <v>28</v>
      </c>
      <c r="K330" t="s">
        <v>26</v>
      </c>
      <c r="L330">
        <v>2</v>
      </c>
      <c r="M330">
        <v>2</v>
      </c>
      <c r="N330">
        <v>2</v>
      </c>
      <c r="O330">
        <v>7.1</v>
      </c>
      <c r="P330">
        <v>6</v>
      </c>
      <c r="Q330">
        <v>4</v>
      </c>
      <c r="R330">
        <v>720904</v>
      </c>
      <c r="S330">
        <f>Table1[[#This Row],[Revenue]]-Table1[[#This Row],[Operating_Costs]]</f>
        <v>287830</v>
      </c>
      <c r="T330">
        <v>433074</v>
      </c>
      <c r="U330">
        <v>27</v>
      </c>
      <c r="V330">
        <v>66</v>
      </c>
      <c r="W330">
        <v>12.7</v>
      </c>
    </row>
    <row r="331" spans="1:23" x14ac:dyDescent="0.25">
      <c r="A331">
        <v>12</v>
      </c>
      <c r="B331" t="s">
        <v>66</v>
      </c>
      <c r="C331" s="1">
        <v>45190</v>
      </c>
      <c r="D331" s="1">
        <v>45205</v>
      </c>
      <c r="E331" s="2">
        <f t="shared" si="10"/>
        <v>1</v>
      </c>
      <c r="F331">
        <v>33</v>
      </c>
      <c r="G331" t="str">
        <f t="shared" si="11"/>
        <v>21-40</v>
      </c>
      <c r="H331" t="s">
        <v>35</v>
      </c>
      <c r="I331" t="s">
        <v>27</v>
      </c>
      <c r="J331" t="s">
        <v>28</v>
      </c>
      <c r="K331" t="s">
        <v>26</v>
      </c>
      <c r="L331">
        <v>2</v>
      </c>
      <c r="M331">
        <v>2</v>
      </c>
      <c r="N331">
        <v>3.1</v>
      </c>
      <c r="O331">
        <v>8.1999999999999993</v>
      </c>
      <c r="P331">
        <v>5</v>
      </c>
      <c r="Q331">
        <v>6</v>
      </c>
      <c r="R331">
        <v>823036</v>
      </c>
      <c r="S331">
        <f>Table1[[#This Row],[Revenue]]-Table1[[#This Row],[Operating_Costs]]</f>
        <v>155744</v>
      </c>
      <c r="T331">
        <v>667292</v>
      </c>
      <c r="U331">
        <v>53</v>
      </c>
      <c r="V331">
        <v>66</v>
      </c>
      <c r="W331">
        <v>6</v>
      </c>
    </row>
    <row r="332" spans="1:23" x14ac:dyDescent="0.25">
      <c r="A332">
        <v>9</v>
      </c>
      <c r="B332" t="s">
        <v>44</v>
      </c>
      <c r="C332" s="1">
        <v>45188</v>
      </c>
      <c r="D332" s="1">
        <v>45210</v>
      </c>
      <c r="E332" s="2">
        <f t="shared" si="10"/>
        <v>1</v>
      </c>
      <c r="F332">
        <v>36</v>
      </c>
      <c r="G332" t="str">
        <f t="shared" si="11"/>
        <v>21-40</v>
      </c>
      <c r="H332" t="s">
        <v>35</v>
      </c>
      <c r="I332" t="s">
        <v>58</v>
      </c>
      <c r="J332" t="s">
        <v>59</v>
      </c>
      <c r="K332" t="s">
        <v>38</v>
      </c>
      <c r="L332">
        <v>2</v>
      </c>
      <c r="M332">
        <v>2</v>
      </c>
      <c r="N332">
        <v>1.9</v>
      </c>
      <c r="O332">
        <v>8.1</v>
      </c>
      <c r="P332">
        <v>6</v>
      </c>
      <c r="Q332">
        <v>6</v>
      </c>
      <c r="R332">
        <v>534197</v>
      </c>
      <c r="S332">
        <f>Table1[[#This Row],[Revenue]]-Table1[[#This Row],[Operating_Costs]]</f>
        <v>48143</v>
      </c>
      <c r="T332">
        <v>486054</v>
      </c>
      <c r="U332">
        <v>37</v>
      </c>
      <c r="V332">
        <v>65</v>
      </c>
      <c r="W332">
        <v>5.2</v>
      </c>
    </row>
    <row r="333" spans="1:23" x14ac:dyDescent="0.25">
      <c r="A333">
        <v>12</v>
      </c>
      <c r="B333" t="s">
        <v>66</v>
      </c>
      <c r="C333" s="1">
        <v>45202</v>
      </c>
      <c r="D333" s="1">
        <v>45211</v>
      </c>
      <c r="E333" s="2">
        <f t="shared" si="10"/>
        <v>1</v>
      </c>
      <c r="F333">
        <v>68</v>
      </c>
      <c r="G333" t="str">
        <f t="shared" si="11"/>
        <v>61-80</v>
      </c>
      <c r="H333" t="s">
        <v>23</v>
      </c>
      <c r="I333" t="s">
        <v>61</v>
      </c>
      <c r="J333" t="s">
        <v>62</v>
      </c>
      <c r="K333" t="s">
        <v>38</v>
      </c>
      <c r="L333">
        <v>2</v>
      </c>
      <c r="M333">
        <v>2</v>
      </c>
      <c r="N333">
        <v>1.2</v>
      </c>
      <c r="O333">
        <v>7.9</v>
      </c>
      <c r="P333">
        <v>6</v>
      </c>
      <c r="Q333">
        <v>5</v>
      </c>
      <c r="R333">
        <v>932599</v>
      </c>
      <c r="S333">
        <f>Table1[[#This Row],[Revenue]]-Table1[[#This Row],[Operating_Costs]]</f>
        <v>347087</v>
      </c>
      <c r="T333">
        <v>585512</v>
      </c>
      <c r="U333">
        <v>56</v>
      </c>
      <c r="V333">
        <v>61</v>
      </c>
      <c r="W333">
        <v>14.2</v>
      </c>
    </row>
    <row r="334" spans="1:23" x14ac:dyDescent="0.25">
      <c r="A334">
        <v>8</v>
      </c>
      <c r="B334" t="s">
        <v>52</v>
      </c>
      <c r="C334" s="1">
        <v>45197</v>
      </c>
      <c r="D334" s="1">
        <v>45213</v>
      </c>
      <c r="E334" s="2">
        <f t="shared" si="10"/>
        <v>1</v>
      </c>
      <c r="F334">
        <v>34</v>
      </c>
      <c r="G334" t="str">
        <f t="shared" si="11"/>
        <v>21-40</v>
      </c>
      <c r="H334" t="s">
        <v>23</v>
      </c>
      <c r="I334" t="s">
        <v>27</v>
      </c>
      <c r="J334" t="s">
        <v>28</v>
      </c>
      <c r="K334" t="s">
        <v>33</v>
      </c>
      <c r="L334">
        <v>2</v>
      </c>
      <c r="M334">
        <v>2</v>
      </c>
      <c r="N334">
        <v>2.8</v>
      </c>
      <c r="O334">
        <v>9.3000000000000007</v>
      </c>
      <c r="P334">
        <v>6</v>
      </c>
      <c r="Q334">
        <v>5</v>
      </c>
      <c r="R334">
        <v>939305</v>
      </c>
      <c r="S334">
        <f>Table1[[#This Row],[Revenue]]-Table1[[#This Row],[Operating_Costs]]</f>
        <v>90640</v>
      </c>
      <c r="T334">
        <v>848665</v>
      </c>
      <c r="U334">
        <v>31</v>
      </c>
      <c r="V334">
        <v>63</v>
      </c>
      <c r="W334">
        <v>9.1</v>
      </c>
    </row>
    <row r="335" spans="1:23" x14ac:dyDescent="0.25">
      <c r="A335">
        <v>12</v>
      </c>
      <c r="B335" t="s">
        <v>66</v>
      </c>
      <c r="C335" s="1">
        <v>45201</v>
      </c>
      <c r="D335" s="1">
        <v>45216</v>
      </c>
      <c r="E335" s="2">
        <f t="shared" si="10"/>
        <v>1</v>
      </c>
      <c r="F335">
        <v>68</v>
      </c>
      <c r="G335" t="str">
        <f t="shared" si="11"/>
        <v>61-80</v>
      </c>
      <c r="H335" t="s">
        <v>35</v>
      </c>
      <c r="I335" t="s">
        <v>53</v>
      </c>
      <c r="J335" t="s">
        <v>54</v>
      </c>
      <c r="K335" t="s">
        <v>33</v>
      </c>
      <c r="L335">
        <v>2</v>
      </c>
      <c r="M335">
        <v>2</v>
      </c>
      <c r="N335">
        <v>1.9</v>
      </c>
      <c r="O335">
        <v>7.8</v>
      </c>
      <c r="P335">
        <v>3</v>
      </c>
      <c r="Q335">
        <v>3</v>
      </c>
      <c r="R335">
        <v>897250</v>
      </c>
      <c r="S335">
        <f>Table1[[#This Row],[Revenue]]-Table1[[#This Row],[Operating_Costs]]</f>
        <v>376177</v>
      </c>
      <c r="T335">
        <v>521073</v>
      </c>
      <c r="U335">
        <v>71</v>
      </c>
      <c r="V335">
        <v>60</v>
      </c>
      <c r="W335">
        <v>36.9</v>
      </c>
    </row>
    <row r="336" spans="1:23" x14ac:dyDescent="0.25">
      <c r="A336">
        <v>14</v>
      </c>
      <c r="B336" t="s">
        <v>48</v>
      </c>
      <c r="C336" s="1">
        <v>45201</v>
      </c>
      <c r="D336" s="1">
        <v>45220</v>
      </c>
      <c r="E336" s="2">
        <f t="shared" si="10"/>
        <v>1</v>
      </c>
      <c r="F336">
        <v>39</v>
      </c>
      <c r="G336" t="str">
        <f t="shared" si="11"/>
        <v>21-40</v>
      </c>
      <c r="H336" t="s">
        <v>23</v>
      </c>
      <c r="I336" t="s">
        <v>24</v>
      </c>
      <c r="J336" t="s">
        <v>25</v>
      </c>
      <c r="K336" t="s">
        <v>33</v>
      </c>
      <c r="L336">
        <v>2</v>
      </c>
      <c r="M336">
        <v>2</v>
      </c>
      <c r="N336">
        <v>5</v>
      </c>
      <c r="O336">
        <v>7.5</v>
      </c>
      <c r="P336">
        <v>4</v>
      </c>
      <c r="Q336">
        <v>6</v>
      </c>
      <c r="R336">
        <v>800246</v>
      </c>
      <c r="S336">
        <f>Table1[[#This Row],[Revenue]]-Table1[[#This Row],[Operating_Costs]]</f>
        <v>139558</v>
      </c>
      <c r="T336">
        <v>660688</v>
      </c>
      <c r="U336">
        <v>39</v>
      </c>
      <c r="V336">
        <v>64</v>
      </c>
      <c r="W336">
        <v>9.5</v>
      </c>
    </row>
    <row r="337" spans="1:23" x14ac:dyDescent="0.25">
      <c r="A337">
        <v>2</v>
      </c>
      <c r="B337" t="s">
        <v>39</v>
      </c>
      <c r="C337" s="1">
        <v>45220</v>
      </c>
      <c r="D337" s="1">
        <v>45221</v>
      </c>
      <c r="E337" s="2">
        <f t="shared" si="10"/>
        <v>1</v>
      </c>
      <c r="F337">
        <v>42</v>
      </c>
      <c r="G337" t="str">
        <f t="shared" si="11"/>
        <v>41-60</v>
      </c>
      <c r="H337" t="s">
        <v>23</v>
      </c>
      <c r="I337" t="s">
        <v>58</v>
      </c>
      <c r="J337" t="s">
        <v>59</v>
      </c>
      <c r="K337" t="s">
        <v>29</v>
      </c>
      <c r="L337">
        <v>2</v>
      </c>
      <c r="M337">
        <v>2</v>
      </c>
      <c r="N337">
        <v>5.6</v>
      </c>
      <c r="O337">
        <v>9</v>
      </c>
      <c r="P337">
        <v>4</v>
      </c>
      <c r="Q337">
        <v>3</v>
      </c>
      <c r="R337">
        <v>847183</v>
      </c>
      <c r="S337">
        <f>Table1[[#This Row],[Revenue]]-Table1[[#This Row],[Operating_Costs]]</f>
        <v>242680</v>
      </c>
      <c r="T337">
        <v>604503</v>
      </c>
      <c r="U337">
        <v>40</v>
      </c>
      <c r="V337">
        <v>63</v>
      </c>
      <c r="W337">
        <v>10.4</v>
      </c>
    </row>
    <row r="338" spans="1:23" x14ac:dyDescent="0.25">
      <c r="A338">
        <v>11</v>
      </c>
      <c r="B338" t="s">
        <v>63</v>
      </c>
      <c r="C338" s="1">
        <v>45218</v>
      </c>
      <c r="D338" s="1">
        <v>45228</v>
      </c>
      <c r="E338" s="2">
        <f t="shared" si="10"/>
        <v>1</v>
      </c>
      <c r="F338">
        <v>39</v>
      </c>
      <c r="G338" t="str">
        <f t="shared" si="11"/>
        <v>21-40</v>
      </c>
      <c r="H338" t="s">
        <v>23</v>
      </c>
      <c r="I338" t="s">
        <v>55</v>
      </c>
      <c r="J338" t="s">
        <v>56</v>
      </c>
      <c r="K338" t="s">
        <v>33</v>
      </c>
      <c r="L338">
        <v>2</v>
      </c>
      <c r="M338">
        <v>2</v>
      </c>
      <c r="N338">
        <v>2.1</v>
      </c>
      <c r="O338">
        <v>7.3</v>
      </c>
      <c r="P338">
        <v>6</v>
      </c>
      <c r="Q338">
        <v>5</v>
      </c>
      <c r="R338">
        <v>688088</v>
      </c>
      <c r="S338">
        <f>Table1[[#This Row],[Revenue]]-Table1[[#This Row],[Operating_Costs]]</f>
        <v>272419</v>
      </c>
      <c r="T338">
        <v>415669</v>
      </c>
      <c r="U338">
        <v>33</v>
      </c>
      <c r="V338">
        <v>61</v>
      </c>
      <c r="W338">
        <v>13.8</v>
      </c>
    </row>
    <row r="339" spans="1:23" x14ac:dyDescent="0.25">
      <c r="A339">
        <v>14</v>
      </c>
      <c r="B339" t="s">
        <v>48</v>
      </c>
      <c r="C339" s="1">
        <v>45227</v>
      </c>
      <c r="D339" s="1">
        <v>45228</v>
      </c>
      <c r="E339" s="2">
        <f t="shared" si="10"/>
        <v>1</v>
      </c>
      <c r="F339">
        <v>33</v>
      </c>
      <c r="G339" t="str">
        <f t="shared" si="11"/>
        <v>21-40</v>
      </c>
      <c r="H339" t="s">
        <v>23</v>
      </c>
      <c r="I339" t="s">
        <v>43</v>
      </c>
      <c r="J339" t="s">
        <v>25</v>
      </c>
      <c r="K339" t="s">
        <v>29</v>
      </c>
      <c r="L339">
        <v>2</v>
      </c>
      <c r="M339">
        <v>2</v>
      </c>
      <c r="N339">
        <v>4.5999999999999996</v>
      </c>
      <c r="O339">
        <v>7.9</v>
      </c>
      <c r="P339">
        <v>7</v>
      </c>
      <c r="Q339">
        <v>6</v>
      </c>
      <c r="R339">
        <v>860733</v>
      </c>
      <c r="S339">
        <f>Table1[[#This Row],[Revenue]]-Table1[[#This Row],[Operating_Costs]]</f>
        <v>259362</v>
      </c>
      <c r="T339">
        <v>601371</v>
      </c>
      <c r="U339">
        <v>35</v>
      </c>
      <c r="V339">
        <v>66</v>
      </c>
      <c r="W339">
        <v>8</v>
      </c>
    </row>
    <row r="340" spans="1:23" x14ac:dyDescent="0.25">
      <c r="A340">
        <v>11</v>
      </c>
      <c r="B340" t="s">
        <v>63</v>
      </c>
      <c r="C340" s="1">
        <v>45208</v>
      </c>
      <c r="D340" s="1">
        <v>45235</v>
      </c>
      <c r="E340" s="2">
        <f t="shared" si="10"/>
        <v>1</v>
      </c>
      <c r="F340">
        <v>84</v>
      </c>
      <c r="G340" t="str">
        <f t="shared" si="11"/>
        <v>81+</v>
      </c>
      <c r="H340" t="s">
        <v>23</v>
      </c>
      <c r="I340" t="s">
        <v>55</v>
      </c>
      <c r="J340" t="s">
        <v>56</v>
      </c>
      <c r="K340" t="s">
        <v>26</v>
      </c>
      <c r="L340">
        <v>2</v>
      </c>
      <c r="M340">
        <v>2</v>
      </c>
      <c r="N340">
        <v>6</v>
      </c>
      <c r="O340">
        <v>7.4</v>
      </c>
      <c r="P340">
        <v>4</v>
      </c>
      <c r="Q340">
        <v>5</v>
      </c>
      <c r="R340">
        <v>626598</v>
      </c>
      <c r="S340">
        <f>Table1[[#This Row],[Revenue]]-Table1[[#This Row],[Operating_Costs]]</f>
        <v>90254</v>
      </c>
      <c r="T340">
        <v>536344</v>
      </c>
      <c r="U340">
        <v>27</v>
      </c>
      <c r="V340">
        <v>56</v>
      </c>
      <c r="W340">
        <v>9.4</v>
      </c>
    </row>
    <row r="341" spans="1:23" x14ac:dyDescent="0.25">
      <c r="A341">
        <v>10</v>
      </c>
      <c r="B341" t="s">
        <v>34</v>
      </c>
      <c r="C341" s="1">
        <v>45217</v>
      </c>
      <c r="D341" s="1">
        <v>45238</v>
      </c>
      <c r="E341" s="2">
        <f t="shared" si="10"/>
        <v>1</v>
      </c>
      <c r="F341">
        <v>61</v>
      </c>
      <c r="G341" t="str">
        <f t="shared" si="11"/>
        <v>61-80</v>
      </c>
      <c r="H341" t="s">
        <v>23</v>
      </c>
      <c r="I341" t="s">
        <v>50</v>
      </c>
      <c r="J341" t="s">
        <v>51</v>
      </c>
      <c r="K341" t="s">
        <v>26</v>
      </c>
      <c r="L341">
        <v>2</v>
      </c>
      <c r="M341">
        <v>2</v>
      </c>
      <c r="N341">
        <v>4.4000000000000004</v>
      </c>
      <c r="O341">
        <v>7.4</v>
      </c>
      <c r="P341">
        <v>3</v>
      </c>
      <c r="Q341">
        <v>3</v>
      </c>
      <c r="R341">
        <v>915791</v>
      </c>
      <c r="S341">
        <f>Table1[[#This Row],[Revenue]]-Table1[[#This Row],[Operating_Costs]]</f>
        <v>239272</v>
      </c>
      <c r="T341">
        <v>676519</v>
      </c>
      <c r="U341">
        <v>66</v>
      </c>
      <c r="V341">
        <v>59</v>
      </c>
      <c r="W341">
        <v>10.7</v>
      </c>
    </row>
    <row r="342" spans="1:23" x14ac:dyDescent="0.25">
      <c r="A342">
        <v>3</v>
      </c>
      <c r="B342" t="s">
        <v>57</v>
      </c>
      <c r="C342" s="1">
        <v>45217</v>
      </c>
      <c r="D342" s="1">
        <v>45240</v>
      </c>
      <c r="E342" s="2">
        <f t="shared" si="10"/>
        <v>1</v>
      </c>
      <c r="F342">
        <v>29</v>
      </c>
      <c r="G342" t="str">
        <f t="shared" si="11"/>
        <v>21-40</v>
      </c>
      <c r="H342" t="s">
        <v>23</v>
      </c>
      <c r="I342" t="s">
        <v>43</v>
      </c>
      <c r="J342" t="s">
        <v>25</v>
      </c>
      <c r="K342" t="s">
        <v>26</v>
      </c>
      <c r="L342">
        <v>2</v>
      </c>
      <c r="M342">
        <v>2</v>
      </c>
      <c r="N342">
        <v>3.7</v>
      </c>
      <c r="O342">
        <v>8.8000000000000007</v>
      </c>
      <c r="P342">
        <v>4</v>
      </c>
      <c r="Q342">
        <v>7</v>
      </c>
      <c r="R342">
        <v>597682</v>
      </c>
      <c r="S342">
        <f>Table1[[#This Row],[Revenue]]-Table1[[#This Row],[Operating_Costs]]</f>
        <v>211900</v>
      </c>
      <c r="T342">
        <v>385782</v>
      </c>
      <c r="U342">
        <v>17</v>
      </c>
      <c r="V342">
        <v>62</v>
      </c>
      <c r="W342">
        <v>13.2</v>
      </c>
    </row>
    <row r="343" spans="1:23" x14ac:dyDescent="0.25">
      <c r="A343">
        <v>7</v>
      </c>
      <c r="B343" t="s">
        <v>49</v>
      </c>
      <c r="C343" s="1">
        <v>45230</v>
      </c>
      <c r="D343" s="1">
        <v>45243</v>
      </c>
      <c r="E343" s="2">
        <f t="shared" si="10"/>
        <v>1</v>
      </c>
      <c r="F343">
        <v>47</v>
      </c>
      <c r="G343" t="str">
        <f t="shared" si="11"/>
        <v>41-60</v>
      </c>
      <c r="H343" t="s">
        <v>23</v>
      </c>
      <c r="I343" t="s">
        <v>67</v>
      </c>
      <c r="J343" t="s">
        <v>68</v>
      </c>
      <c r="K343" t="s">
        <v>26</v>
      </c>
      <c r="L343">
        <v>2</v>
      </c>
      <c r="M343">
        <v>2</v>
      </c>
      <c r="N343">
        <v>4.5999999999999996</v>
      </c>
      <c r="O343">
        <v>9.8000000000000007</v>
      </c>
      <c r="P343">
        <v>7</v>
      </c>
      <c r="Q343">
        <v>6</v>
      </c>
      <c r="R343">
        <v>698721</v>
      </c>
      <c r="S343">
        <f>Table1[[#This Row],[Revenue]]-Table1[[#This Row],[Operating_Costs]]</f>
        <v>121591</v>
      </c>
      <c r="T343">
        <v>577130</v>
      </c>
      <c r="U343">
        <v>51</v>
      </c>
      <c r="V343">
        <v>59</v>
      </c>
      <c r="W343">
        <v>9.9</v>
      </c>
    </row>
    <row r="344" spans="1:23" x14ac:dyDescent="0.25">
      <c r="A344">
        <v>14</v>
      </c>
      <c r="B344" t="s">
        <v>48</v>
      </c>
      <c r="C344" s="1">
        <v>45239</v>
      </c>
      <c r="D344" s="1">
        <v>45244</v>
      </c>
      <c r="E344" s="2">
        <f t="shared" si="10"/>
        <v>1</v>
      </c>
      <c r="F344">
        <v>33</v>
      </c>
      <c r="G344" t="str">
        <f t="shared" si="11"/>
        <v>21-40</v>
      </c>
      <c r="H344" t="s">
        <v>35</v>
      </c>
      <c r="I344" t="s">
        <v>36</v>
      </c>
      <c r="J344" t="s">
        <v>37</v>
      </c>
      <c r="K344" t="s">
        <v>26</v>
      </c>
      <c r="L344">
        <v>2</v>
      </c>
      <c r="M344">
        <v>2</v>
      </c>
      <c r="N344">
        <v>2.4</v>
      </c>
      <c r="O344">
        <v>9.8000000000000007</v>
      </c>
      <c r="P344">
        <v>6</v>
      </c>
      <c r="Q344">
        <v>3</v>
      </c>
      <c r="R344">
        <v>855802</v>
      </c>
      <c r="S344">
        <f>Table1[[#This Row],[Revenue]]-Table1[[#This Row],[Operating_Costs]]</f>
        <v>291169</v>
      </c>
      <c r="T344">
        <v>564633</v>
      </c>
      <c r="U344">
        <v>36</v>
      </c>
      <c r="V344">
        <v>54</v>
      </c>
      <c r="W344">
        <v>5</v>
      </c>
    </row>
    <row r="345" spans="1:23" x14ac:dyDescent="0.25">
      <c r="A345">
        <v>8</v>
      </c>
      <c r="B345" t="s">
        <v>52</v>
      </c>
      <c r="C345" s="1">
        <v>45230</v>
      </c>
      <c r="D345" s="1">
        <v>45247</v>
      </c>
      <c r="E345" s="2">
        <f t="shared" si="10"/>
        <v>1</v>
      </c>
      <c r="F345">
        <v>51</v>
      </c>
      <c r="G345" t="str">
        <f t="shared" si="11"/>
        <v>41-60</v>
      </c>
      <c r="H345" t="s">
        <v>35</v>
      </c>
      <c r="I345" t="s">
        <v>40</v>
      </c>
      <c r="J345" t="s">
        <v>41</v>
      </c>
      <c r="K345" t="s">
        <v>42</v>
      </c>
      <c r="L345">
        <v>2</v>
      </c>
      <c r="M345">
        <v>2</v>
      </c>
      <c r="N345">
        <v>5.8</v>
      </c>
      <c r="O345">
        <v>7.8</v>
      </c>
      <c r="P345">
        <v>4</v>
      </c>
      <c r="Q345">
        <v>4</v>
      </c>
      <c r="R345">
        <v>995812</v>
      </c>
      <c r="S345">
        <f>Table1[[#This Row],[Revenue]]-Table1[[#This Row],[Operating_Costs]]</f>
        <v>169242</v>
      </c>
      <c r="T345">
        <v>826570</v>
      </c>
      <c r="U345">
        <v>31</v>
      </c>
      <c r="V345">
        <v>59</v>
      </c>
      <c r="W345">
        <v>9.5</v>
      </c>
    </row>
    <row r="346" spans="1:23" x14ac:dyDescent="0.25">
      <c r="A346">
        <v>12</v>
      </c>
      <c r="B346" t="s">
        <v>66</v>
      </c>
      <c r="C346" s="1">
        <v>45231</v>
      </c>
      <c r="D346" s="1">
        <v>45248</v>
      </c>
      <c r="E346" s="2">
        <f t="shared" si="10"/>
        <v>1</v>
      </c>
      <c r="F346">
        <v>67</v>
      </c>
      <c r="G346" t="str">
        <f t="shared" si="11"/>
        <v>61-80</v>
      </c>
      <c r="H346" t="s">
        <v>35</v>
      </c>
      <c r="I346" t="s">
        <v>36</v>
      </c>
      <c r="J346" t="s">
        <v>37</v>
      </c>
      <c r="K346" t="s">
        <v>42</v>
      </c>
      <c r="L346">
        <v>2</v>
      </c>
      <c r="M346">
        <v>2</v>
      </c>
      <c r="N346">
        <v>5.4</v>
      </c>
      <c r="O346">
        <v>9.3000000000000007</v>
      </c>
      <c r="P346">
        <v>5</v>
      </c>
      <c r="Q346">
        <v>7</v>
      </c>
      <c r="R346">
        <v>819435</v>
      </c>
      <c r="S346">
        <f>Table1[[#This Row],[Revenue]]-Table1[[#This Row],[Operating_Costs]]</f>
        <v>239863</v>
      </c>
      <c r="T346">
        <v>579572</v>
      </c>
      <c r="U346">
        <v>75</v>
      </c>
      <c r="V346">
        <v>64</v>
      </c>
      <c r="W346">
        <v>6.2</v>
      </c>
    </row>
    <row r="347" spans="1:23" x14ac:dyDescent="0.25">
      <c r="A347">
        <v>13</v>
      </c>
      <c r="B347" t="s">
        <v>30</v>
      </c>
      <c r="C347" s="1">
        <v>45244</v>
      </c>
      <c r="D347" s="1">
        <v>45248</v>
      </c>
      <c r="E347" s="2">
        <f t="shared" si="10"/>
        <v>1</v>
      </c>
      <c r="F347">
        <v>38</v>
      </c>
      <c r="G347" t="str">
        <f t="shared" si="11"/>
        <v>21-40</v>
      </c>
      <c r="H347" t="s">
        <v>35</v>
      </c>
      <c r="I347" t="s">
        <v>31</v>
      </c>
      <c r="J347" t="s">
        <v>28</v>
      </c>
      <c r="K347" t="s">
        <v>38</v>
      </c>
      <c r="L347">
        <v>2</v>
      </c>
      <c r="M347">
        <v>2</v>
      </c>
      <c r="N347">
        <v>2.8</v>
      </c>
      <c r="O347">
        <v>9.4</v>
      </c>
      <c r="P347">
        <v>7</v>
      </c>
      <c r="Q347">
        <v>3</v>
      </c>
      <c r="R347">
        <v>547176</v>
      </c>
      <c r="S347">
        <f>Table1[[#This Row],[Revenue]]-Table1[[#This Row],[Operating_Costs]]</f>
        <v>149936</v>
      </c>
      <c r="T347">
        <v>397240</v>
      </c>
      <c r="U347">
        <v>39</v>
      </c>
      <c r="V347">
        <v>63</v>
      </c>
      <c r="W347">
        <v>36.9</v>
      </c>
    </row>
    <row r="348" spans="1:23" x14ac:dyDescent="0.25">
      <c r="A348">
        <v>5</v>
      </c>
      <c r="B348" t="s">
        <v>22</v>
      </c>
      <c r="C348" s="1">
        <v>45220</v>
      </c>
      <c r="D348" s="1">
        <v>45249</v>
      </c>
      <c r="E348" s="2">
        <f t="shared" si="10"/>
        <v>1</v>
      </c>
      <c r="F348">
        <v>35</v>
      </c>
      <c r="G348" t="str">
        <f t="shared" si="11"/>
        <v>21-40</v>
      </c>
      <c r="H348" t="s">
        <v>35</v>
      </c>
      <c r="I348" t="s">
        <v>55</v>
      </c>
      <c r="J348" t="s">
        <v>56</v>
      </c>
      <c r="K348" t="s">
        <v>29</v>
      </c>
      <c r="L348">
        <v>2</v>
      </c>
      <c r="M348">
        <v>2</v>
      </c>
      <c r="N348">
        <v>1.9</v>
      </c>
      <c r="O348">
        <v>8.1999999999999993</v>
      </c>
      <c r="P348">
        <v>7</v>
      </c>
      <c r="Q348">
        <v>6</v>
      </c>
      <c r="R348">
        <v>764187</v>
      </c>
      <c r="S348">
        <f>Table1[[#This Row],[Revenue]]-Table1[[#This Row],[Operating_Costs]]</f>
        <v>270211</v>
      </c>
      <c r="T348">
        <v>493976</v>
      </c>
      <c r="U348">
        <v>30</v>
      </c>
      <c r="V348">
        <v>56</v>
      </c>
      <c r="W348">
        <v>12</v>
      </c>
    </row>
    <row r="349" spans="1:23" x14ac:dyDescent="0.25">
      <c r="A349">
        <v>8</v>
      </c>
      <c r="B349" t="s">
        <v>52</v>
      </c>
      <c r="C349" s="1">
        <v>45227</v>
      </c>
      <c r="D349" s="1">
        <v>45249</v>
      </c>
      <c r="E349" s="2">
        <f t="shared" si="10"/>
        <v>1</v>
      </c>
      <c r="F349">
        <v>34</v>
      </c>
      <c r="G349" t="str">
        <f t="shared" si="11"/>
        <v>21-40</v>
      </c>
      <c r="H349" t="s">
        <v>23</v>
      </c>
      <c r="I349" t="s">
        <v>55</v>
      </c>
      <c r="J349" t="s">
        <v>56</v>
      </c>
      <c r="K349" t="s">
        <v>33</v>
      </c>
      <c r="L349">
        <v>2</v>
      </c>
      <c r="M349">
        <v>2</v>
      </c>
      <c r="N349">
        <v>4.5</v>
      </c>
      <c r="O349">
        <v>7.1</v>
      </c>
      <c r="P349">
        <v>3</v>
      </c>
      <c r="Q349">
        <v>4</v>
      </c>
      <c r="R349">
        <v>902035</v>
      </c>
      <c r="S349">
        <f>Table1[[#This Row],[Revenue]]-Table1[[#This Row],[Operating_Costs]]</f>
        <v>63404</v>
      </c>
      <c r="T349">
        <v>838631</v>
      </c>
      <c r="U349">
        <v>34</v>
      </c>
      <c r="V349">
        <v>54</v>
      </c>
      <c r="W349">
        <v>6.7</v>
      </c>
    </row>
    <row r="350" spans="1:23" x14ac:dyDescent="0.25">
      <c r="A350">
        <v>3</v>
      </c>
      <c r="B350" t="s">
        <v>57</v>
      </c>
      <c r="C350" s="1">
        <v>45245</v>
      </c>
      <c r="D350" s="1">
        <v>45250</v>
      </c>
      <c r="E350" s="2">
        <f t="shared" si="10"/>
        <v>1</v>
      </c>
      <c r="F350">
        <v>74</v>
      </c>
      <c r="G350" t="str">
        <f t="shared" si="11"/>
        <v>61-80</v>
      </c>
      <c r="H350" t="s">
        <v>23</v>
      </c>
      <c r="I350" t="s">
        <v>46</v>
      </c>
      <c r="J350" t="s">
        <v>47</v>
      </c>
      <c r="K350" t="s">
        <v>38</v>
      </c>
      <c r="L350">
        <v>2</v>
      </c>
      <c r="M350">
        <v>2</v>
      </c>
      <c r="N350">
        <v>4.5999999999999996</v>
      </c>
      <c r="O350">
        <v>8.1999999999999993</v>
      </c>
      <c r="P350">
        <v>6</v>
      </c>
      <c r="Q350">
        <v>5</v>
      </c>
      <c r="R350">
        <v>584227</v>
      </c>
      <c r="S350">
        <f>Table1[[#This Row],[Revenue]]-Table1[[#This Row],[Operating_Costs]]</f>
        <v>271904</v>
      </c>
      <c r="T350">
        <v>312323</v>
      </c>
      <c r="U350">
        <v>16</v>
      </c>
      <c r="V350">
        <v>60</v>
      </c>
      <c r="W350">
        <v>7</v>
      </c>
    </row>
    <row r="351" spans="1:23" x14ac:dyDescent="0.25">
      <c r="A351">
        <v>4</v>
      </c>
      <c r="B351" t="s">
        <v>69</v>
      </c>
      <c r="C351" s="1">
        <v>45249</v>
      </c>
      <c r="D351" s="1">
        <v>45251</v>
      </c>
      <c r="E351" s="2">
        <f t="shared" si="10"/>
        <v>1</v>
      </c>
      <c r="F351">
        <v>32</v>
      </c>
      <c r="G351" t="str">
        <f t="shared" si="11"/>
        <v>21-40</v>
      </c>
      <c r="H351" t="s">
        <v>35</v>
      </c>
      <c r="I351" t="s">
        <v>50</v>
      </c>
      <c r="J351" t="s">
        <v>51</v>
      </c>
      <c r="K351" t="s">
        <v>26</v>
      </c>
      <c r="L351">
        <v>2</v>
      </c>
      <c r="M351">
        <v>2</v>
      </c>
      <c r="N351">
        <v>1.7</v>
      </c>
      <c r="O351">
        <v>8</v>
      </c>
      <c r="P351">
        <v>5</v>
      </c>
      <c r="Q351">
        <v>6</v>
      </c>
      <c r="R351">
        <v>843159</v>
      </c>
      <c r="S351">
        <f>Table1[[#This Row],[Revenue]]-Table1[[#This Row],[Operating_Costs]]</f>
        <v>244354</v>
      </c>
      <c r="T351">
        <v>598805</v>
      </c>
      <c r="U351">
        <v>60</v>
      </c>
      <c r="V351">
        <v>59</v>
      </c>
      <c r="W351">
        <v>7.6</v>
      </c>
    </row>
    <row r="352" spans="1:23" x14ac:dyDescent="0.25">
      <c r="A352">
        <v>10</v>
      </c>
      <c r="B352" t="s">
        <v>34</v>
      </c>
      <c r="C352" s="1">
        <v>45245</v>
      </c>
      <c r="D352" s="1">
        <v>45251</v>
      </c>
      <c r="E352" s="2">
        <f t="shared" si="10"/>
        <v>1</v>
      </c>
      <c r="F352">
        <v>43</v>
      </c>
      <c r="G352" t="str">
        <f t="shared" si="11"/>
        <v>41-60</v>
      </c>
      <c r="H352" t="s">
        <v>23</v>
      </c>
      <c r="I352" t="s">
        <v>24</v>
      </c>
      <c r="J352" t="s">
        <v>25</v>
      </c>
      <c r="K352" t="s">
        <v>42</v>
      </c>
      <c r="L352">
        <v>2</v>
      </c>
      <c r="M352">
        <v>2</v>
      </c>
      <c r="N352">
        <v>5.9</v>
      </c>
      <c r="O352">
        <v>7.3</v>
      </c>
      <c r="P352">
        <v>6</v>
      </c>
      <c r="Q352">
        <v>3</v>
      </c>
      <c r="R352">
        <v>933539</v>
      </c>
      <c r="S352">
        <f>Table1[[#This Row],[Revenue]]-Table1[[#This Row],[Operating_Costs]]</f>
        <v>391992</v>
      </c>
      <c r="T352">
        <v>541547</v>
      </c>
      <c r="U352">
        <v>64</v>
      </c>
      <c r="V352">
        <v>58</v>
      </c>
      <c r="W352">
        <v>13.7</v>
      </c>
    </row>
    <row r="353" spans="1:23" x14ac:dyDescent="0.25">
      <c r="A353">
        <v>9</v>
      </c>
      <c r="B353" t="s">
        <v>44</v>
      </c>
      <c r="C353" s="1">
        <v>45227</v>
      </c>
      <c r="D353" s="1">
        <v>45253</v>
      </c>
      <c r="E353" s="2">
        <f t="shared" si="10"/>
        <v>1</v>
      </c>
      <c r="F353">
        <v>42</v>
      </c>
      <c r="G353" t="str">
        <f t="shared" si="11"/>
        <v>41-60</v>
      </c>
      <c r="H353" t="s">
        <v>35</v>
      </c>
      <c r="I353" t="s">
        <v>58</v>
      </c>
      <c r="J353" t="s">
        <v>59</v>
      </c>
      <c r="K353" t="s">
        <v>29</v>
      </c>
      <c r="L353">
        <v>2</v>
      </c>
      <c r="M353">
        <v>2</v>
      </c>
      <c r="N353">
        <v>5.3</v>
      </c>
      <c r="O353">
        <v>8</v>
      </c>
      <c r="P353">
        <v>3</v>
      </c>
      <c r="Q353">
        <v>6</v>
      </c>
      <c r="R353">
        <v>506663</v>
      </c>
      <c r="S353">
        <f>Table1[[#This Row],[Revenue]]-Table1[[#This Row],[Operating_Costs]]</f>
        <v>67009</v>
      </c>
      <c r="T353">
        <v>439654</v>
      </c>
      <c r="U353">
        <v>35</v>
      </c>
      <c r="V353">
        <v>65</v>
      </c>
      <c r="W353">
        <v>9.6</v>
      </c>
    </row>
    <row r="354" spans="1:23" x14ac:dyDescent="0.25">
      <c r="A354">
        <v>3</v>
      </c>
      <c r="B354" t="s">
        <v>57</v>
      </c>
      <c r="C354" s="1">
        <v>45252</v>
      </c>
      <c r="D354" s="1">
        <v>45255</v>
      </c>
      <c r="E354" s="2">
        <f t="shared" si="10"/>
        <v>1</v>
      </c>
      <c r="F354">
        <v>81</v>
      </c>
      <c r="G354" t="str">
        <f t="shared" si="11"/>
        <v>81+</v>
      </c>
      <c r="H354" t="s">
        <v>23</v>
      </c>
      <c r="I354" t="s">
        <v>27</v>
      </c>
      <c r="J354" t="s">
        <v>28</v>
      </c>
      <c r="K354" t="s">
        <v>38</v>
      </c>
      <c r="L354">
        <v>2</v>
      </c>
      <c r="M354">
        <v>2</v>
      </c>
      <c r="N354">
        <v>6.2</v>
      </c>
      <c r="O354">
        <v>8.1</v>
      </c>
      <c r="P354">
        <v>7</v>
      </c>
      <c r="Q354">
        <v>4</v>
      </c>
      <c r="R354">
        <v>591558</v>
      </c>
      <c r="S354">
        <f>Table1[[#This Row],[Revenue]]-Table1[[#This Row],[Operating_Costs]]</f>
        <v>248704</v>
      </c>
      <c r="T354">
        <v>342854</v>
      </c>
      <c r="U354">
        <v>19</v>
      </c>
      <c r="V354">
        <v>60</v>
      </c>
      <c r="W354">
        <v>12.9</v>
      </c>
    </row>
    <row r="355" spans="1:23" x14ac:dyDescent="0.25">
      <c r="A355">
        <v>5</v>
      </c>
      <c r="B355" t="s">
        <v>22</v>
      </c>
      <c r="C355" s="1">
        <v>45234</v>
      </c>
      <c r="D355" s="1">
        <v>45263</v>
      </c>
      <c r="E355" s="2">
        <f t="shared" si="10"/>
        <v>1</v>
      </c>
      <c r="F355">
        <v>49</v>
      </c>
      <c r="G355" t="str">
        <f t="shared" si="11"/>
        <v>41-60</v>
      </c>
      <c r="H355" t="s">
        <v>23</v>
      </c>
      <c r="I355" t="s">
        <v>40</v>
      </c>
      <c r="J355" t="s">
        <v>41</v>
      </c>
      <c r="K355" t="s">
        <v>26</v>
      </c>
      <c r="L355">
        <v>2</v>
      </c>
      <c r="M355">
        <v>2</v>
      </c>
      <c r="N355">
        <v>2.7</v>
      </c>
      <c r="O355">
        <v>8.3000000000000007</v>
      </c>
      <c r="P355">
        <v>6</v>
      </c>
      <c r="Q355">
        <v>4</v>
      </c>
      <c r="R355">
        <v>647826</v>
      </c>
      <c r="S355">
        <f>Table1[[#This Row],[Revenue]]-Table1[[#This Row],[Operating_Costs]]</f>
        <v>280561</v>
      </c>
      <c r="T355">
        <v>367265</v>
      </c>
      <c r="U355">
        <v>24</v>
      </c>
      <c r="V355">
        <v>66</v>
      </c>
      <c r="W355">
        <v>14</v>
      </c>
    </row>
    <row r="356" spans="1:23" x14ac:dyDescent="0.25">
      <c r="A356">
        <v>13</v>
      </c>
      <c r="B356" t="s">
        <v>30</v>
      </c>
      <c r="C356" s="1">
        <v>45256</v>
      </c>
      <c r="D356" s="1">
        <v>45265</v>
      </c>
      <c r="E356" s="2">
        <f t="shared" si="10"/>
        <v>1</v>
      </c>
      <c r="F356">
        <v>69</v>
      </c>
      <c r="G356" t="str">
        <f t="shared" si="11"/>
        <v>61-80</v>
      </c>
      <c r="H356" t="s">
        <v>23</v>
      </c>
      <c r="I356" t="s">
        <v>24</v>
      </c>
      <c r="J356" t="s">
        <v>25</v>
      </c>
      <c r="K356" t="s">
        <v>26</v>
      </c>
      <c r="L356">
        <v>2</v>
      </c>
      <c r="M356">
        <v>2</v>
      </c>
      <c r="N356">
        <v>6.5</v>
      </c>
      <c r="O356">
        <v>8.6</v>
      </c>
      <c r="P356">
        <v>6</v>
      </c>
      <c r="Q356">
        <v>7</v>
      </c>
      <c r="R356">
        <v>600564</v>
      </c>
      <c r="S356">
        <f>Table1[[#This Row],[Revenue]]-Table1[[#This Row],[Operating_Costs]]</f>
        <v>219566</v>
      </c>
      <c r="T356">
        <v>380998</v>
      </c>
      <c r="U356">
        <v>46</v>
      </c>
      <c r="V356">
        <v>55</v>
      </c>
      <c r="W356">
        <v>12.4</v>
      </c>
    </row>
    <row r="357" spans="1:23" x14ac:dyDescent="0.25">
      <c r="A357">
        <v>2</v>
      </c>
      <c r="B357" t="s">
        <v>39</v>
      </c>
      <c r="C357" s="1">
        <v>45252</v>
      </c>
      <c r="D357" s="1">
        <v>45266</v>
      </c>
      <c r="E357" s="2">
        <f t="shared" si="10"/>
        <v>1</v>
      </c>
      <c r="F357">
        <v>90</v>
      </c>
      <c r="G357" t="str">
        <f t="shared" si="11"/>
        <v>81+</v>
      </c>
      <c r="H357" t="s">
        <v>35</v>
      </c>
      <c r="I357" t="s">
        <v>40</v>
      </c>
      <c r="J357" t="s">
        <v>41</v>
      </c>
      <c r="K357" t="s">
        <v>26</v>
      </c>
      <c r="L357">
        <v>2</v>
      </c>
      <c r="M357">
        <v>2</v>
      </c>
      <c r="N357">
        <v>3.1</v>
      </c>
      <c r="O357">
        <v>8.5</v>
      </c>
      <c r="P357">
        <v>5</v>
      </c>
      <c r="Q357">
        <v>4</v>
      </c>
      <c r="R357">
        <v>781785</v>
      </c>
      <c r="S357">
        <f>Table1[[#This Row],[Revenue]]-Table1[[#This Row],[Operating_Costs]]</f>
        <v>247332</v>
      </c>
      <c r="T357">
        <v>534453</v>
      </c>
      <c r="U357">
        <v>33</v>
      </c>
      <c r="V357">
        <v>54</v>
      </c>
      <c r="W357">
        <v>36.200000000000003</v>
      </c>
    </row>
    <row r="358" spans="1:23" x14ac:dyDescent="0.25">
      <c r="A358">
        <v>13</v>
      </c>
      <c r="B358" t="s">
        <v>30</v>
      </c>
      <c r="C358" s="1">
        <v>45257</v>
      </c>
      <c r="D358" s="1">
        <v>45268</v>
      </c>
      <c r="E358" s="2">
        <f t="shared" si="10"/>
        <v>1</v>
      </c>
      <c r="F358">
        <v>47</v>
      </c>
      <c r="G358" t="str">
        <f t="shared" si="11"/>
        <v>41-60</v>
      </c>
      <c r="H358" t="s">
        <v>23</v>
      </c>
      <c r="I358" t="s">
        <v>50</v>
      </c>
      <c r="J358" t="s">
        <v>51</v>
      </c>
      <c r="K358" t="s">
        <v>38</v>
      </c>
      <c r="L358">
        <v>2</v>
      </c>
      <c r="M358">
        <v>2</v>
      </c>
      <c r="N358">
        <v>5</v>
      </c>
      <c r="O358">
        <v>8.3000000000000007</v>
      </c>
      <c r="P358">
        <v>4</v>
      </c>
      <c r="Q358">
        <v>3</v>
      </c>
      <c r="R358">
        <v>729721</v>
      </c>
      <c r="S358">
        <f>Table1[[#This Row],[Revenue]]-Table1[[#This Row],[Operating_Costs]]</f>
        <v>341906</v>
      </c>
      <c r="T358">
        <v>387815</v>
      </c>
      <c r="U358">
        <v>41</v>
      </c>
      <c r="V358">
        <v>58</v>
      </c>
      <c r="W358">
        <v>9</v>
      </c>
    </row>
    <row r="359" spans="1:23" x14ac:dyDescent="0.25">
      <c r="A359">
        <v>10</v>
      </c>
      <c r="B359" t="s">
        <v>34</v>
      </c>
      <c r="C359" s="1">
        <v>45269</v>
      </c>
      <c r="D359" s="1">
        <v>45272</v>
      </c>
      <c r="E359" s="2">
        <f t="shared" si="10"/>
        <v>1</v>
      </c>
      <c r="F359">
        <v>26</v>
      </c>
      <c r="G359" t="str">
        <f t="shared" si="11"/>
        <v>21-40</v>
      </c>
      <c r="H359" t="s">
        <v>35</v>
      </c>
      <c r="I359" t="s">
        <v>36</v>
      </c>
      <c r="J359" t="s">
        <v>37</v>
      </c>
      <c r="K359" t="s">
        <v>26</v>
      </c>
      <c r="L359">
        <v>2</v>
      </c>
      <c r="M359">
        <v>2</v>
      </c>
      <c r="N359">
        <v>4.9000000000000004</v>
      </c>
      <c r="O359">
        <v>10</v>
      </c>
      <c r="P359">
        <v>4</v>
      </c>
      <c r="Q359">
        <v>7</v>
      </c>
      <c r="R359">
        <v>994238</v>
      </c>
      <c r="S359">
        <f>Table1[[#This Row],[Revenue]]-Table1[[#This Row],[Operating_Costs]]</f>
        <v>364495</v>
      </c>
      <c r="T359">
        <v>629743</v>
      </c>
      <c r="U359">
        <v>58</v>
      </c>
      <c r="V359">
        <v>59</v>
      </c>
      <c r="W359">
        <v>8.5</v>
      </c>
    </row>
    <row r="360" spans="1:23" x14ac:dyDescent="0.25">
      <c r="A360">
        <v>12</v>
      </c>
      <c r="B360" t="s">
        <v>66</v>
      </c>
      <c r="C360" s="1">
        <v>45256</v>
      </c>
      <c r="D360" s="1">
        <v>45275</v>
      </c>
      <c r="E360" s="2">
        <f t="shared" si="10"/>
        <v>1</v>
      </c>
      <c r="F360">
        <v>29</v>
      </c>
      <c r="G360" t="str">
        <f t="shared" si="11"/>
        <v>21-40</v>
      </c>
      <c r="H360" t="s">
        <v>35</v>
      </c>
      <c r="I360" t="s">
        <v>50</v>
      </c>
      <c r="J360" t="s">
        <v>51</v>
      </c>
      <c r="K360" t="s">
        <v>29</v>
      </c>
      <c r="L360">
        <v>2</v>
      </c>
      <c r="M360">
        <v>2</v>
      </c>
      <c r="N360">
        <v>4.3</v>
      </c>
      <c r="O360">
        <v>9.9</v>
      </c>
      <c r="P360">
        <v>6</v>
      </c>
      <c r="Q360">
        <v>4</v>
      </c>
      <c r="R360">
        <v>981291</v>
      </c>
      <c r="S360">
        <f>Table1[[#This Row],[Revenue]]-Table1[[#This Row],[Operating_Costs]]</f>
        <v>477818</v>
      </c>
      <c r="T360">
        <v>503473</v>
      </c>
      <c r="U360">
        <v>57</v>
      </c>
      <c r="V360">
        <v>60</v>
      </c>
      <c r="W360">
        <v>12.4</v>
      </c>
    </row>
    <row r="361" spans="1:23" x14ac:dyDescent="0.25">
      <c r="A361">
        <v>5</v>
      </c>
      <c r="B361" t="s">
        <v>22</v>
      </c>
      <c r="C361" s="1">
        <v>45248</v>
      </c>
      <c r="D361" s="1">
        <v>45278</v>
      </c>
      <c r="E361" s="2">
        <f t="shared" si="10"/>
        <v>1</v>
      </c>
      <c r="F361">
        <v>73</v>
      </c>
      <c r="G361" t="str">
        <f t="shared" si="11"/>
        <v>61-80</v>
      </c>
      <c r="H361" t="s">
        <v>35</v>
      </c>
      <c r="I361" t="s">
        <v>46</v>
      </c>
      <c r="J361" t="s">
        <v>47</v>
      </c>
      <c r="K361" t="s">
        <v>26</v>
      </c>
      <c r="L361">
        <v>2</v>
      </c>
      <c r="M361">
        <v>2</v>
      </c>
      <c r="N361">
        <v>4.4000000000000004</v>
      </c>
      <c r="O361">
        <v>7.3</v>
      </c>
      <c r="P361">
        <v>4</v>
      </c>
      <c r="Q361">
        <v>5</v>
      </c>
      <c r="R361">
        <v>604819</v>
      </c>
      <c r="S361">
        <f>Table1[[#This Row],[Revenue]]-Table1[[#This Row],[Operating_Costs]]</f>
        <v>337104</v>
      </c>
      <c r="T361">
        <v>267715</v>
      </c>
      <c r="U361">
        <v>22</v>
      </c>
      <c r="V361">
        <v>63</v>
      </c>
      <c r="W361">
        <v>9.1</v>
      </c>
    </row>
    <row r="362" spans="1:23" x14ac:dyDescent="0.25">
      <c r="A362">
        <v>14</v>
      </c>
      <c r="B362" t="s">
        <v>48</v>
      </c>
      <c r="C362" s="1">
        <v>45251</v>
      </c>
      <c r="D362" s="1">
        <v>45279</v>
      </c>
      <c r="E362" s="2">
        <f t="shared" si="10"/>
        <v>1</v>
      </c>
      <c r="F362">
        <v>46</v>
      </c>
      <c r="G362" t="str">
        <f t="shared" si="11"/>
        <v>41-60</v>
      </c>
      <c r="H362" t="s">
        <v>23</v>
      </c>
      <c r="I362" t="s">
        <v>61</v>
      </c>
      <c r="J362" t="s">
        <v>62</v>
      </c>
      <c r="K362" t="s">
        <v>26</v>
      </c>
      <c r="L362">
        <v>2</v>
      </c>
      <c r="M362">
        <v>2</v>
      </c>
      <c r="N362">
        <v>4.4000000000000004</v>
      </c>
      <c r="O362">
        <v>9.4</v>
      </c>
      <c r="P362">
        <v>5</v>
      </c>
      <c r="Q362">
        <v>3</v>
      </c>
      <c r="R362">
        <v>790752</v>
      </c>
      <c r="S362">
        <f>Table1[[#This Row],[Revenue]]-Table1[[#This Row],[Operating_Costs]]</f>
        <v>286117</v>
      </c>
      <c r="T362">
        <v>504635</v>
      </c>
      <c r="U362">
        <v>40</v>
      </c>
      <c r="V362">
        <v>60</v>
      </c>
      <c r="W362">
        <v>12.2</v>
      </c>
    </row>
    <row r="363" spans="1:23" x14ac:dyDescent="0.25">
      <c r="A363">
        <v>11</v>
      </c>
      <c r="B363" t="s">
        <v>63</v>
      </c>
      <c r="C363" s="1">
        <v>45258</v>
      </c>
      <c r="D363" s="1">
        <v>45284</v>
      </c>
      <c r="E363" s="2">
        <f t="shared" si="10"/>
        <v>1</v>
      </c>
      <c r="F363">
        <v>37</v>
      </c>
      <c r="G363" t="str">
        <f t="shared" si="11"/>
        <v>21-40</v>
      </c>
      <c r="H363" t="s">
        <v>35</v>
      </c>
      <c r="I363" t="s">
        <v>55</v>
      </c>
      <c r="J363" t="s">
        <v>56</v>
      </c>
      <c r="K363" t="s">
        <v>26</v>
      </c>
      <c r="L363">
        <v>2</v>
      </c>
      <c r="M363">
        <v>2</v>
      </c>
      <c r="N363">
        <v>5.7</v>
      </c>
      <c r="O363">
        <v>9.4</v>
      </c>
      <c r="P363">
        <v>4</v>
      </c>
      <c r="Q363">
        <v>4</v>
      </c>
      <c r="R363">
        <v>671661</v>
      </c>
      <c r="S363">
        <f>Table1[[#This Row],[Revenue]]-Table1[[#This Row],[Operating_Costs]]</f>
        <v>254988</v>
      </c>
      <c r="T363">
        <v>416673</v>
      </c>
      <c r="U363">
        <v>32</v>
      </c>
      <c r="V363">
        <v>57</v>
      </c>
      <c r="W363">
        <v>14</v>
      </c>
    </row>
    <row r="364" spans="1:23" x14ac:dyDescent="0.25">
      <c r="A364">
        <v>12</v>
      </c>
      <c r="B364" t="s">
        <v>66</v>
      </c>
      <c r="C364" s="1">
        <v>45283</v>
      </c>
      <c r="D364" s="1">
        <v>45291</v>
      </c>
      <c r="E364" s="2">
        <f t="shared" si="10"/>
        <v>1</v>
      </c>
      <c r="F364">
        <v>46</v>
      </c>
      <c r="G364" t="str">
        <f t="shared" si="11"/>
        <v>41-60</v>
      </c>
      <c r="H364" t="s">
        <v>23</v>
      </c>
      <c r="I364" t="s">
        <v>50</v>
      </c>
      <c r="J364" t="s">
        <v>51</v>
      </c>
      <c r="K364" t="s">
        <v>29</v>
      </c>
      <c r="L364">
        <v>2</v>
      </c>
      <c r="M364">
        <v>2</v>
      </c>
      <c r="N364">
        <v>6.6</v>
      </c>
      <c r="O364">
        <v>7.6</v>
      </c>
      <c r="P364">
        <v>6</v>
      </c>
      <c r="Q364">
        <v>7</v>
      </c>
      <c r="R364">
        <v>838238</v>
      </c>
      <c r="S364">
        <f>Table1[[#This Row],[Revenue]]-Table1[[#This Row],[Operating_Costs]]</f>
        <v>258052</v>
      </c>
      <c r="T364">
        <v>580186</v>
      </c>
      <c r="U364">
        <v>59</v>
      </c>
      <c r="V364">
        <v>66</v>
      </c>
      <c r="W364">
        <v>5.2</v>
      </c>
    </row>
    <row r="365" spans="1:23" x14ac:dyDescent="0.25">
      <c r="A365">
        <v>8</v>
      </c>
      <c r="B365" t="s">
        <v>52</v>
      </c>
      <c r="C365" s="1">
        <v>45269</v>
      </c>
      <c r="D365" s="1">
        <v>45292</v>
      </c>
      <c r="E365" s="2">
        <f t="shared" si="10"/>
        <v>1</v>
      </c>
      <c r="F365">
        <v>29</v>
      </c>
      <c r="G365" t="str">
        <f t="shared" si="11"/>
        <v>21-40</v>
      </c>
      <c r="H365" t="s">
        <v>35</v>
      </c>
      <c r="I365" t="s">
        <v>27</v>
      </c>
      <c r="J365" t="s">
        <v>28</v>
      </c>
      <c r="K365" t="s">
        <v>33</v>
      </c>
      <c r="L365">
        <v>2</v>
      </c>
      <c r="M365">
        <v>2</v>
      </c>
      <c r="N365">
        <v>4</v>
      </c>
      <c r="O365">
        <v>8.1</v>
      </c>
      <c r="P365">
        <v>5</v>
      </c>
      <c r="Q365">
        <v>5</v>
      </c>
      <c r="R365">
        <v>966376</v>
      </c>
      <c r="S365">
        <f>Table1[[#This Row],[Revenue]]-Table1[[#This Row],[Operating_Costs]]</f>
        <v>122766</v>
      </c>
      <c r="T365">
        <v>843610</v>
      </c>
      <c r="U365">
        <v>32</v>
      </c>
      <c r="V365">
        <v>65</v>
      </c>
      <c r="W365">
        <v>14.4</v>
      </c>
    </row>
    <row r="366" spans="1:23" x14ac:dyDescent="0.25">
      <c r="A366">
        <v>9</v>
      </c>
      <c r="B366" t="s">
        <v>44</v>
      </c>
      <c r="C366" s="1">
        <v>45290</v>
      </c>
      <c r="D366" s="1">
        <v>45294</v>
      </c>
      <c r="E366" s="2">
        <f t="shared" si="10"/>
        <v>1</v>
      </c>
      <c r="F366">
        <v>49</v>
      </c>
      <c r="G366" t="str">
        <f t="shared" si="11"/>
        <v>41-60</v>
      </c>
      <c r="H366" t="s">
        <v>35</v>
      </c>
      <c r="I366" t="s">
        <v>40</v>
      </c>
      <c r="J366" t="s">
        <v>41</v>
      </c>
      <c r="K366" t="s">
        <v>29</v>
      </c>
      <c r="L366">
        <v>2</v>
      </c>
      <c r="M366">
        <v>2</v>
      </c>
      <c r="N366">
        <v>2.2000000000000002</v>
      </c>
      <c r="O366">
        <v>7.1</v>
      </c>
      <c r="P366">
        <v>4</v>
      </c>
      <c r="Q366">
        <v>5</v>
      </c>
      <c r="R366">
        <v>523753</v>
      </c>
      <c r="S366">
        <f>Table1[[#This Row],[Revenue]]-Table1[[#This Row],[Operating_Costs]]</f>
        <v>128079</v>
      </c>
      <c r="T366">
        <v>395674</v>
      </c>
      <c r="U366">
        <v>35</v>
      </c>
      <c r="V366">
        <v>64</v>
      </c>
      <c r="W366">
        <v>9.6999999999999993</v>
      </c>
    </row>
    <row r="367" spans="1:23" x14ac:dyDescent="0.25">
      <c r="A367">
        <v>14</v>
      </c>
      <c r="B367" t="s">
        <v>48</v>
      </c>
      <c r="C367" s="1">
        <v>45276</v>
      </c>
      <c r="D367" s="1">
        <v>45295</v>
      </c>
      <c r="E367" s="2">
        <f t="shared" si="10"/>
        <v>1</v>
      </c>
      <c r="F367">
        <v>22</v>
      </c>
      <c r="G367" t="str">
        <f t="shared" si="11"/>
        <v>21-40</v>
      </c>
      <c r="H367" t="s">
        <v>23</v>
      </c>
      <c r="I367" t="s">
        <v>24</v>
      </c>
      <c r="J367" t="s">
        <v>25</v>
      </c>
      <c r="K367" t="s">
        <v>38</v>
      </c>
      <c r="L367">
        <v>2</v>
      </c>
      <c r="M367">
        <v>2</v>
      </c>
      <c r="N367">
        <v>2.9</v>
      </c>
      <c r="O367">
        <v>8.6</v>
      </c>
      <c r="P367">
        <v>6</v>
      </c>
      <c r="Q367">
        <v>7</v>
      </c>
      <c r="R367">
        <v>782499</v>
      </c>
      <c r="S367">
        <f>Table1[[#This Row],[Revenue]]-Table1[[#This Row],[Operating_Costs]]</f>
        <v>229703</v>
      </c>
      <c r="T367">
        <v>552796</v>
      </c>
      <c r="U367">
        <v>31</v>
      </c>
      <c r="V367">
        <v>65</v>
      </c>
      <c r="W367">
        <v>8.9</v>
      </c>
    </row>
    <row r="368" spans="1:23" x14ac:dyDescent="0.25">
      <c r="A368">
        <v>12</v>
      </c>
      <c r="B368" t="s">
        <v>66</v>
      </c>
      <c r="C368" s="1">
        <v>45280</v>
      </c>
      <c r="D368" s="1">
        <v>45298</v>
      </c>
      <c r="E368" s="2">
        <f t="shared" si="10"/>
        <v>1</v>
      </c>
      <c r="F368">
        <v>25</v>
      </c>
      <c r="G368" t="str">
        <f t="shared" si="11"/>
        <v>21-40</v>
      </c>
      <c r="H368" t="s">
        <v>23</v>
      </c>
      <c r="I368" t="s">
        <v>61</v>
      </c>
      <c r="J368" t="s">
        <v>62</v>
      </c>
      <c r="K368" t="s">
        <v>33</v>
      </c>
      <c r="L368">
        <v>2</v>
      </c>
      <c r="M368">
        <v>2</v>
      </c>
      <c r="N368">
        <v>4.5999999999999996</v>
      </c>
      <c r="O368">
        <v>10</v>
      </c>
      <c r="P368">
        <v>5</v>
      </c>
      <c r="Q368">
        <v>7</v>
      </c>
      <c r="R368">
        <v>886364</v>
      </c>
      <c r="S368">
        <f>Table1[[#This Row],[Revenue]]-Table1[[#This Row],[Operating_Costs]]</f>
        <v>354545</v>
      </c>
      <c r="T368">
        <v>531819</v>
      </c>
      <c r="U368">
        <v>52</v>
      </c>
      <c r="V368">
        <v>62</v>
      </c>
      <c r="W368">
        <v>7.2</v>
      </c>
    </row>
    <row r="369" spans="1:23" x14ac:dyDescent="0.25">
      <c r="A369">
        <v>7</v>
      </c>
      <c r="B369" t="s">
        <v>49</v>
      </c>
      <c r="C369" s="1">
        <v>45293</v>
      </c>
      <c r="D369" s="1">
        <v>45300</v>
      </c>
      <c r="E369" s="2">
        <f t="shared" si="10"/>
        <v>1</v>
      </c>
      <c r="F369">
        <v>41</v>
      </c>
      <c r="G369" t="str">
        <f t="shared" si="11"/>
        <v>41-60</v>
      </c>
      <c r="H369" t="s">
        <v>35</v>
      </c>
      <c r="I369" t="s">
        <v>31</v>
      </c>
      <c r="J369" t="s">
        <v>28</v>
      </c>
      <c r="K369" t="s">
        <v>26</v>
      </c>
      <c r="L369">
        <v>2</v>
      </c>
      <c r="M369">
        <v>2</v>
      </c>
      <c r="N369">
        <v>4.0999999999999996</v>
      </c>
      <c r="O369">
        <v>7.2</v>
      </c>
      <c r="P369">
        <v>4</v>
      </c>
      <c r="Q369">
        <v>4</v>
      </c>
      <c r="R369">
        <v>861655</v>
      </c>
      <c r="S369">
        <f>Table1[[#This Row],[Revenue]]-Table1[[#This Row],[Operating_Costs]]</f>
        <v>290363</v>
      </c>
      <c r="T369">
        <v>571292</v>
      </c>
      <c r="U369">
        <v>53</v>
      </c>
      <c r="V369">
        <v>64</v>
      </c>
      <c r="W369">
        <v>5.2</v>
      </c>
    </row>
    <row r="370" spans="1:23" x14ac:dyDescent="0.25">
      <c r="A370">
        <v>2</v>
      </c>
      <c r="B370" t="s">
        <v>39</v>
      </c>
      <c r="C370" s="1">
        <v>45275</v>
      </c>
      <c r="D370" s="1">
        <v>45301</v>
      </c>
      <c r="E370" s="2">
        <f t="shared" si="10"/>
        <v>1</v>
      </c>
      <c r="F370">
        <v>66</v>
      </c>
      <c r="G370" t="str">
        <f t="shared" si="11"/>
        <v>61-80</v>
      </c>
      <c r="H370" t="s">
        <v>23</v>
      </c>
      <c r="I370" t="s">
        <v>31</v>
      </c>
      <c r="J370" t="s">
        <v>28</v>
      </c>
      <c r="K370" t="s">
        <v>42</v>
      </c>
      <c r="L370">
        <v>2</v>
      </c>
      <c r="M370">
        <v>2</v>
      </c>
      <c r="N370">
        <v>1.5</v>
      </c>
      <c r="O370">
        <v>8</v>
      </c>
      <c r="P370">
        <v>6</v>
      </c>
      <c r="Q370">
        <v>6</v>
      </c>
      <c r="R370">
        <v>880098</v>
      </c>
      <c r="S370">
        <f>Table1[[#This Row],[Revenue]]-Table1[[#This Row],[Operating_Costs]]</f>
        <v>230957</v>
      </c>
      <c r="T370">
        <v>649141</v>
      </c>
      <c r="U370">
        <v>34</v>
      </c>
      <c r="V370">
        <v>60</v>
      </c>
      <c r="W370">
        <v>12.6</v>
      </c>
    </row>
    <row r="371" spans="1:23" x14ac:dyDescent="0.25">
      <c r="A371">
        <v>11</v>
      </c>
      <c r="B371" t="s">
        <v>63</v>
      </c>
      <c r="C371" s="1">
        <v>45277</v>
      </c>
      <c r="D371" s="1">
        <v>45303</v>
      </c>
      <c r="E371" s="2">
        <f t="shared" si="10"/>
        <v>1</v>
      </c>
      <c r="F371">
        <v>78</v>
      </c>
      <c r="G371" t="str">
        <f t="shared" si="11"/>
        <v>61-80</v>
      </c>
      <c r="H371" t="s">
        <v>23</v>
      </c>
      <c r="I371" t="s">
        <v>67</v>
      </c>
      <c r="J371" t="s">
        <v>68</v>
      </c>
      <c r="K371" t="s">
        <v>26</v>
      </c>
      <c r="L371">
        <v>2</v>
      </c>
      <c r="M371">
        <v>2</v>
      </c>
      <c r="N371">
        <v>4.4000000000000004</v>
      </c>
      <c r="O371">
        <v>9.1</v>
      </c>
      <c r="P371">
        <v>7</v>
      </c>
      <c r="Q371">
        <v>4</v>
      </c>
      <c r="R371">
        <v>723672</v>
      </c>
      <c r="S371">
        <f>Table1[[#This Row],[Revenue]]-Table1[[#This Row],[Operating_Costs]]</f>
        <v>297636</v>
      </c>
      <c r="T371">
        <v>426036</v>
      </c>
      <c r="U371">
        <v>26</v>
      </c>
      <c r="V371">
        <v>60</v>
      </c>
      <c r="W371">
        <v>12.1</v>
      </c>
    </row>
    <row r="372" spans="1:23" x14ac:dyDescent="0.25">
      <c r="A372">
        <v>10</v>
      </c>
      <c r="B372" t="s">
        <v>34</v>
      </c>
      <c r="C372" s="1">
        <v>45298</v>
      </c>
      <c r="D372" s="1">
        <v>45307</v>
      </c>
      <c r="E372" s="2">
        <f t="shared" si="10"/>
        <v>1</v>
      </c>
      <c r="F372">
        <v>44</v>
      </c>
      <c r="G372" t="str">
        <f t="shared" si="11"/>
        <v>41-60</v>
      </c>
      <c r="H372" t="s">
        <v>23</v>
      </c>
      <c r="I372" t="s">
        <v>67</v>
      </c>
      <c r="J372" t="s">
        <v>68</v>
      </c>
      <c r="K372" t="s">
        <v>29</v>
      </c>
      <c r="L372">
        <v>2</v>
      </c>
      <c r="M372">
        <v>2</v>
      </c>
      <c r="N372">
        <v>1.6</v>
      </c>
      <c r="O372">
        <v>9.6999999999999993</v>
      </c>
      <c r="P372">
        <v>6</v>
      </c>
      <c r="Q372">
        <v>7</v>
      </c>
      <c r="R372">
        <v>922082</v>
      </c>
      <c r="S372">
        <f>Table1[[#This Row],[Revenue]]-Table1[[#This Row],[Operating_Costs]]</f>
        <v>351687</v>
      </c>
      <c r="T372">
        <v>570395</v>
      </c>
      <c r="U372">
        <v>52</v>
      </c>
      <c r="V372">
        <v>63</v>
      </c>
      <c r="W372">
        <v>36.4</v>
      </c>
    </row>
    <row r="373" spans="1:23" x14ac:dyDescent="0.25">
      <c r="A373">
        <v>12</v>
      </c>
      <c r="B373" t="s">
        <v>66</v>
      </c>
      <c r="C373" s="1">
        <v>45285</v>
      </c>
      <c r="D373" s="1">
        <v>45308</v>
      </c>
      <c r="E373" s="2">
        <f t="shared" si="10"/>
        <v>1</v>
      </c>
      <c r="F373">
        <v>27</v>
      </c>
      <c r="G373" t="str">
        <f t="shared" si="11"/>
        <v>21-40</v>
      </c>
      <c r="H373" t="s">
        <v>23</v>
      </c>
      <c r="I373" t="s">
        <v>24</v>
      </c>
      <c r="J373" t="s">
        <v>25</v>
      </c>
      <c r="K373" t="s">
        <v>38</v>
      </c>
      <c r="L373">
        <v>2</v>
      </c>
      <c r="M373">
        <v>2</v>
      </c>
      <c r="N373">
        <v>5.6</v>
      </c>
      <c r="O373">
        <v>7.8</v>
      </c>
      <c r="P373">
        <v>5</v>
      </c>
      <c r="Q373">
        <v>7</v>
      </c>
      <c r="R373">
        <v>945252</v>
      </c>
      <c r="S373">
        <f>Table1[[#This Row],[Revenue]]-Table1[[#This Row],[Operating_Costs]]</f>
        <v>348952</v>
      </c>
      <c r="T373">
        <v>596300</v>
      </c>
      <c r="U373">
        <v>60</v>
      </c>
      <c r="V373">
        <v>61</v>
      </c>
      <c r="W373">
        <v>12.3</v>
      </c>
    </row>
    <row r="374" spans="1:23" x14ac:dyDescent="0.25">
      <c r="A374">
        <v>13</v>
      </c>
      <c r="B374" t="s">
        <v>30</v>
      </c>
      <c r="C374" s="1">
        <v>45291</v>
      </c>
      <c r="D374" s="1">
        <v>45313</v>
      </c>
      <c r="E374" s="2">
        <f t="shared" si="10"/>
        <v>1</v>
      </c>
      <c r="F374">
        <v>29</v>
      </c>
      <c r="G374" t="str">
        <f t="shared" si="11"/>
        <v>21-40</v>
      </c>
      <c r="H374" t="s">
        <v>35</v>
      </c>
      <c r="I374" t="s">
        <v>27</v>
      </c>
      <c r="J374" t="s">
        <v>28</v>
      </c>
      <c r="K374" t="s">
        <v>42</v>
      </c>
      <c r="L374">
        <v>2</v>
      </c>
      <c r="M374">
        <v>2</v>
      </c>
      <c r="N374">
        <v>3</v>
      </c>
      <c r="O374">
        <v>7.1</v>
      </c>
      <c r="P374">
        <v>7</v>
      </c>
      <c r="Q374">
        <v>3</v>
      </c>
      <c r="R374">
        <v>782126</v>
      </c>
      <c r="S374">
        <f>Table1[[#This Row],[Revenue]]-Table1[[#This Row],[Operating_Costs]]</f>
        <v>381125</v>
      </c>
      <c r="T374">
        <v>401001</v>
      </c>
      <c r="U374">
        <v>48</v>
      </c>
      <c r="V374">
        <v>66</v>
      </c>
      <c r="W374">
        <v>7.6</v>
      </c>
    </row>
    <row r="375" spans="1:23" x14ac:dyDescent="0.25">
      <c r="A375">
        <v>15</v>
      </c>
      <c r="B375" t="s">
        <v>45</v>
      </c>
      <c r="C375" s="1">
        <v>45312</v>
      </c>
      <c r="D375" s="1">
        <v>45316</v>
      </c>
      <c r="E375" s="2">
        <f t="shared" si="10"/>
        <v>1</v>
      </c>
      <c r="F375">
        <v>28</v>
      </c>
      <c r="G375" t="str">
        <f t="shared" si="11"/>
        <v>21-40</v>
      </c>
      <c r="H375" t="s">
        <v>23</v>
      </c>
      <c r="I375" t="s">
        <v>64</v>
      </c>
      <c r="J375" t="s">
        <v>65</v>
      </c>
      <c r="K375" t="s">
        <v>26</v>
      </c>
      <c r="L375">
        <v>2</v>
      </c>
      <c r="M375">
        <v>2</v>
      </c>
      <c r="N375">
        <v>6.3</v>
      </c>
      <c r="O375">
        <v>9.1</v>
      </c>
      <c r="P375">
        <v>5</v>
      </c>
      <c r="Q375">
        <v>4</v>
      </c>
      <c r="R375">
        <v>797223</v>
      </c>
      <c r="S375">
        <f>Table1[[#This Row],[Revenue]]-Table1[[#This Row],[Operating_Costs]]</f>
        <v>242709</v>
      </c>
      <c r="T375">
        <v>554514</v>
      </c>
      <c r="U375">
        <v>48</v>
      </c>
      <c r="V375">
        <v>66</v>
      </c>
      <c r="W375">
        <v>36.9</v>
      </c>
    </row>
    <row r="376" spans="1:23" x14ac:dyDescent="0.25">
      <c r="A376">
        <v>7</v>
      </c>
      <c r="B376" t="s">
        <v>49</v>
      </c>
      <c r="C376" s="1">
        <v>45317</v>
      </c>
      <c r="D376" s="1">
        <v>45320</v>
      </c>
      <c r="E376" s="2">
        <f t="shared" si="10"/>
        <v>1</v>
      </c>
      <c r="F376">
        <v>77</v>
      </c>
      <c r="G376" t="str">
        <f t="shared" si="11"/>
        <v>61-80</v>
      </c>
      <c r="H376" t="s">
        <v>35</v>
      </c>
      <c r="I376" t="s">
        <v>36</v>
      </c>
      <c r="J376" t="s">
        <v>37</v>
      </c>
      <c r="K376" t="s">
        <v>29</v>
      </c>
      <c r="L376">
        <v>2</v>
      </c>
      <c r="M376">
        <v>2</v>
      </c>
      <c r="N376">
        <v>2</v>
      </c>
      <c r="O376">
        <v>8.5</v>
      </c>
      <c r="P376">
        <v>7</v>
      </c>
      <c r="Q376">
        <v>4</v>
      </c>
      <c r="R376">
        <v>887575</v>
      </c>
      <c r="S376">
        <f>Table1[[#This Row],[Revenue]]-Table1[[#This Row],[Operating_Costs]]</f>
        <v>345322</v>
      </c>
      <c r="T376">
        <v>542253</v>
      </c>
      <c r="U376">
        <v>47</v>
      </c>
      <c r="V376">
        <v>63</v>
      </c>
      <c r="W376">
        <v>12.8</v>
      </c>
    </row>
    <row r="377" spans="1:23" x14ac:dyDescent="0.25">
      <c r="A377">
        <v>7</v>
      </c>
      <c r="B377" t="s">
        <v>49</v>
      </c>
      <c r="C377" s="1">
        <v>45293</v>
      </c>
      <c r="D377" s="1">
        <v>45322</v>
      </c>
      <c r="E377" s="2">
        <f t="shared" si="10"/>
        <v>1</v>
      </c>
      <c r="F377">
        <v>51</v>
      </c>
      <c r="G377" t="str">
        <f t="shared" si="11"/>
        <v>41-60</v>
      </c>
      <c r="H377" t="s">
        <v>23</v>
      </c>
      <c r="I377" t="s">
        <v>50</v>
      </c>
      <c r="J377" t="s">
        <v>51</v>
      </c>
      <c r="K377" t="s">
        <v>38</v>
      </c>
      <c r="L377">
        <v>2</v>
      </c>
      <c r="M377">
        <v>2</v>
      </c>
      <c r="N377">
        <v>2.1</v>
      </c>
      <c r="O377">
        <v>9.4</v>
      </c>
      <c r="P377">
        <v>3</v>
      </c>
      <c r="Q377">
        <v>7</v>
      </c>
      <c r="R377">
        <v>674551</v>
      </c>
      <c r="S377">
        <f>Table1[[#This Row],[Revenue]]-Table1[[#This Row],[Operating_Costs]]</f>
        <v>92954</v>
      </c>
      <c r="T377">
        <v>581597</v>
      </c>
      <c r="U377">
        <v>60</v>
      </c>
      <c r="V377">
        <v>55</v>
      </c>
      <c r="W377">
        <v>14</v>
      </c>
    </row>
    <row r="378" spans="1:23" x14ac:dyDescent="0.25">
      <c r="A378">
        <v>14</v>
      </c>
      <c r="B378" t="s">
        <v>48</v>
      </c>
      <c r="C378" s="1">
        <v>45318</v>
      </c>
      <c r="D378" s="1">
        <v>45324</v>
      </c>
      <c r="E378" s="2">
        <f t="shared" si="10"/>
        <v>1</v>
      </c>
      <c r="F378">
        <v>39</v>
      </c>
      <c r="G378" t="str">
        <f t="shared" si="11"/>
        <v>21-40</v>
      </c>
      <c r="H378" t="s">
        <v>23</v>
      </c>
      <c r="I378" t="s">
        <v>43</v>
      </c>
      <c r="J378" t="s">
        <v>25</v>
      </c>
      <c r="K378" t="s">
        <v>33</v>
      </c>
      <c r="L378">
        <v>2</v>
      </c>
      <c r="M378">
        <v>2</v>
      </c>
      <c r="N378">
        <v>5.4</v>
      </c>
      <c r="O378">
        <v>9</v>
      </c>
      <c r="P378">
        <v>3</v>
      </c>
      <c r="Q378">
        <v>7</v>
      </c>
      <c r="R378">
        <v>721623</v>
      </c>
      <c r="S378">
        <f>Table1[[#This Row],[Revenue]]-Table1[[#This Row],[Operating_Costs]]</f>
        <v>129208</v>
      </c>
      <c r="T378">
        <v>592415</v>
      </c>
      <c r="U378">
        <v>49</v>
      </c>
      <c r="V378">
        <v>58</v>
      </c>
      <c r="W378">
        <v>12</v>
      </c>
    </row>
    <row r="379" spans="1:23" x14ac:dyDescent="0.25">
      <c r="A379">
        <v>1</v>
      </c>
      <c r="B379" t="s">
        <v>32</v>
      </c>
      <c r="C379" s="1">
        <v>45312</v>
      </c>
      <c r="D379" s="1">
        <v>45326</v>
      </c>
      <c r="E379" s="2">
        <f t="shared" si="10"/>
        <v>1</v>
      </c>
      <c r="F379">
        <v>43</v>
      </c>
      <c r="G379" t="str">
        <f t="shared" si="11"/>
        <v>41-60</v>
      </c>
      <c r="H379" t="s">
        <v>23</v>
      </c>
      <c r="I379" t="s">
        <v>50</v>
      </c>
      <c r="J379" t="s">
        <v>51</v>
      </c>
      <c r="K379" t="s">
        <v>29</v>
      </c>
      <c r="L379">
        <v>2</v>
      </c>
      <c r="M379">
        <v>2</v>
      </c>
      <c r="N379">
        <v>3.9</v>
      </c>
      <c r="O379">
        <v>8</v>
      </c>
      <c r="P379">
        <v>4</v>
      </c>
      <c r="Q379">
        <v>7</v>
      </c>
      <c r="R379">
        <v>904691</v>
      </c>
      <c r="S379">
        <f>Table1[[#This Row],[Revenue]]-Table1[[#This Row],[Operating_Costs]]</f>
        <v>7212</v>
      </c>
      <c r="T379">
        <v>897479</v>
      </c>
      <c r="U379">
        <v>33</v>
      </c>
      <c r="V379">
        <v>56</v>
      </c>
      <c r="W379">
        <v>10.3</v>
      </c>
    </row>
    <row r="380" spans="1:23" x14ac:dyDescent="0.25">
      <c r="A380">
        <v>14</v>
      </c>
      <c r="B380" t="s">
        <v>48</v>
      </c>
      <c r="C380" s="1">
        <v>45317</v>
      </c>
      <c r="D380" s="1">
        <v>45329</v>
      </c>
      <c r="E380" s="2">
        <f t="shared" si="10"/>
        <v>1</v>
      </c>
      <c r="F380">
        <v>44</v>
      </c>
      <c r="G380" t="str">
        <f t="shared" si="11"/>
        <v>41-60</v>
      </c>
      <c r="H380" t="s">
        <v>35</v>
      </c>
      <c r="I380" t="s">
        <v>36</v>
      </c>
      <c r="J380" t="s">
        <v>37</v>
      </c>
      <c r="K380" t="s">
        <v>29</v>
      </c>
      <c r="L380">
        <v>2</v>
      </c>
      <c r="M380">
        <v>2</v>
      </c>
      <c r="N380">
        <v>6.7</v>
      </c>
      <c r="O380">
        <v>7.8</v>
      </c>
      <c r="P380">
        <v>5</v>
      </c>
      <c r="Q380">
        <v>4</v>
      </c>
      <c r="R380">
        <v>702291</v>
      </c>
      <c r="S380">
        <f>Table1[[#This Row],[Revenue]]-Table1[[#This Row],[Operating_Costs]]</f>
        <v>145872</v>
      </c>
      <c r="T380">
        <v>556419</v>
      </c>
      <c r="U380">
        <v>34</v>
      </c>
      <c r="V380">
        <v>55</v>
      </c>
      <c r="W380">
        <v>9.6999999999999993</v>
      </c>
    </row>
    <row r="381" spans="1:23" x14ac:dyDescent="0.25">
      <c r="A381">
        <v>11</v>
      </c>
      <c r="B381" t="s">
        <v>63</v>
      </c>
      <c r="C381" s="1">
        <v>45327</v>
      </c>
      <c r="D381" s="1">
        <v>45333</v>
      </c>
      <c r="E381" s="2">
        <f t="shared" si="10"/>
        <v>1</v>
      </c>
      <c r="F381">
        <v>60</v>
      </c>
      <c r="G381" t="str">
        <f t="shared" si="11"/>
        <v>41-60</v>
      </c>
      <c r="H381" t="s">
        <v>23</v>
      </c>
      <c r="I381" t="s">
        <v>58</v>
      </c>
      <c r="J381" t="s">
        <v>59</v>
      </c>
      <c r="K381" t="s">
        <v>33</v>
      </c>
      <c r="L381">
        <v>2</v>
      </c>
      <c r="M381">
        <v>2</v>
      </c>
      <c r="N381">
        <v>5.3</v>
      </c>
      <c r="O381">
        <v>9.1</v>
      </c>
      <c r="P381">
        <v>3</v>
      </c>
      <c r="Q381">
        <v>4</v>
      </c>
      <c r="R381">
        <v>704070</v>
      </c>
      <c r="S381">
        <f>Table1[[#This Row],[Revenue]]-Table1[[#This Row],[Operating_Costs]]</f>
        <v>198800</v>
      </c>
      <c r="T381">
        <v>505270</v>
      </c>
      <c r="U381">
        <v>27</v>
      </c>
      <c r="V381">
        <v>55</v>
      </c>
      <c r="W381">
        <v>13.1</v>
      </c>
    </row>
    <row r="382" spans="1:23" x14ac:dyDescent="0.25">
      <c r="A382">
        <v>8</v>
      </c>
      <c r="B382" t="s">
        <v>52</v>
      </c>
      <c r="C382" s="1">
        <v>45327</v>
      </c>
      <c r="D382" s="1">
        <v>45334</v>
      </c>
      <c r="E382" s="2">
        <f t="shared" si="10"/>
        <v>1</v>
      </c>
      <c r="F382">
        <v>33</v>
      </c>
      <c r="G382" t="str">
        <f t="shared" si="11"/>
        <v>21-40</v>
      </c>
      <c r="H382" t="s">
        <v>35</v>
      </c>
      <c r="I382" t="s">
        <v>58</v>
      </c>
      <c r="J382" t="s">
        <v>59</v>
      </c>
      <c r="K382" t="s">
        <v>33</v>
      </c>
      <c r="L382">
        <v>2</v>
      </c>
      <c r="M382">
        <v>2</v>
      </c>
      <c r="N382">
        <v>5.2</v>
      </c>
      <c r="O382">
        <v>9.6</v>
      </c>
      <c r="P382">
        <v>4</v>
      </c>
      <c r="Q382">
        <v>7</v>
      </c>
      <c r="R382">
        <v>951626</v>
      </c>
      <c r="S382">
        <f>Table1[[#This Row],[Revenue]]-Table1[[#This Row],[Operating_Costs]]</f>
        <v>129735</v>
      </c>
      <c r="T382">
        <v>821891</v>
      </c>
      <c r="U382">
        <v>34</v>
      </c>
      <c r="V382">
        <v>66</v>
      </c>
      <c r="W382">
        <v>10.9</v>
      </c>
    </row>
    <row r="383" spans="1:23" x14ac:dyDescent="0.25">
      <c r="A383">
        <v>14</v>
      </c>
      <c r="B383" t="s">
        <v>48</v>
      </c>
      <c r="C383" s="1">
        <v>45315</v>
      </c>
      <c r="D383" s="1">
        <v>45334</v>
      </c>
      <c r="E383" s="2">
        <f t="shared" si="10"/>
        <v>1</v>
      </c>
      <c r="F383">
        <v>34</v>
      </c>
      <c r="G383" t="str">
        <f t="shared" si="11"/>
        <v>21-40</v>
      </c>
      <c r="H383" t="s">
        <v>35</v>
      </c>
      <c r="I383" t="s">
        <v>36</v>
      </c>
      <c r="J383" t="s">
        <v>37</v>
      </c>
      <c r="K383" t="s">
        <v>38</v>
      </c>
      <c r="L383">
        <v>2</v>
      </c>
      <c r="M383">
        <v>2</v>
      </c>
      <c r="N383">
        <v>2</v>
      </c>
      <c r="O383">
        <v>9.9</v>
      </c>
      <c r="P383">
        <v>7</v>
      </c>
      <c r="Q383">
        <v>6</v>
      </c>
      <c r="R383">
        <v>708878</v>
      </c>
      <c r="S383">
        <f>Table1[[#This Row],[Revenue]]-Table1[[#This Row],[Operating_Costs]]</f>
        <v>88542</v>
      </c>
      <c r="T383">
        <v>620336</v>
      </c>
      <c r="U383">
        <v>37</v>
      </c>
      <c r="V383">
        <v>65</v>
      </c>
      <c r="W383">
        <v>14.5</v>
      </c>
    </row>
    <row r="384" spans="1:23" x14ac:dyDescent="0.25">
      <c r="A384">
        <v>13</v>
      </c>
      <c r="B384" t="s">
        <v>30</v>
      </c>
      <c r="C384" s="1">
        <v>45323</v>
      </c>
      <c r="D384" s="1">
        <v>45336</v>
      </c>
      <c r="E384" s="2">
        <f t="shared" si="10"/>
        <v>1</v>
      </c>
      <c r="F384">
        <v>89</v>
      </c>
      <c r="G384" t="str">
        <f t="shared" si="11"/>
        <v>81+</v>
      </c>
      <c r="H384" t="s">
        <v>23</v>
      </c>
      <c r="I384" t="s">
        <v>61</v>
      </c>
      <c r="J384" t="s">
        <v>62</v>
      </c>
      <c r="K384" t="s">
        <v>26</v>
      </c>
      <c r="L384">
        <v>2</v>
      </c>
      <c r="M384">
        <v>2</v>
      </c>
      <c r="N384">
        <v>4.5999999999999996</v>
      </c>
      <c r="O384">
        <v>8.8000000000000007</v>
      </c>
      <c r="P384">
        <v>7</v>
      </c>
      <c r="Q384">
        <v>7</v>
      </c>
      <c r="R384">
        <v>774964</v>
      </c>
      <c r="S384">
        <f>Table1[[#This Row],[Revenue]]-Table1[[#This Row],[Operating_Costs]]</f>
        <v>415752</v>
      </c>
      <c r="T384">
        <v>359212</v>
      </c>
      <c r="U384">
        <v>39</v>
      </c>
      <c r="V384">
        <v>63</v>
      </c>
      <c r="W384">
        <v>36</v>
      </c>
    </row>
    <row r="385" spans="1:23" x14ac:dyDescent="0.25">
      <c r="A385">
        <v>10</v>
      </c>
      <c r="B385" t="s">
        <v>34</v>
      </c>
      <c r="C385" s="1">
        <v>45316</v>
      </c>
      <c r="D385" s="1">
        <v>45339</v>
      </c>
      <c r="E385" s="2">
        <f t="shared" si="10"/>
        <v>1</v>
      </c>
      <c r="F385">
        <v>62</v>
      </c>
      <c r="G385" t="str">
        <f t="shared" si="11"/>
        <v>61-80</v>
      </c>
      <c r="H385" t="s">
        <v>23</v>
      </c>
      <c r="I385" t="s">
        <v>50</v>
      </c>
      <c r="J385" t="s">
        <v>51</v>
      </c>
      <c r="K385" t="s">
        <v>33</v>
      </c>
      <c r="L385">
        <v>2</v>
      </c>
      <c r="M385">
        <v>2</v>
      </c>
      <c r="N385">
        <v>5.2</v>
      </c>
      <c r="O385">
        <v>9.3000000000000007</v>
      </c>
      <c r="P385">
        <v>3</v>
      </c>
      <c r="Q385">
        <v>5</v>
      </c>
      <c r="R385">
        <v>867179</v>
      </c>
      <c r="S385">
        <f>Table1[[#This Row],[Revenue]]-Table1[[#This Row],[Operating_Costs]]</f>
        <v>241217</v>
      </c>
      <c r="T385">
        <v>625962</v>
      </c>
      <c r="U385">
        <v>50</v>
      </c>
      <c r="V385">
        <v>64</v>
      </c>
      <c r="W385">
        <v>9</v>
      </c>
    </row>
    <row r="386" spans="1:23" x14ac:dyDescent="0.25">
      <c r="A386">
        <v>15</v>
      </c>
      <c r="B386" t="s">
        <v>45</v>
      </c>
      <c r="C386" s="1">
        <v>45324</v>
      </c>
      <c r="D386" s="1">
        <v>45343</v>
      </c>
      <c r="E386" s="2">
        <f t="shared" si="10"/>
        <v>1</v>
      </c>
      <c r="F386">
        <v>46</v>
      </c>
      <c r="G386" t="str">
        <f t="shared" si="11"/>
        <v>41-60</v>
      </c>
      <c r="H386" t="s">
        <v>35</v>
      </c>
      <c r="I386" t="s">
        <v>58</v>
      </c>
      <c r="J386" t="s">
        <v>59</v>
      </c>
      <c r="K386" t="s">
        <v>38</v>
      </c>
      <c r="L386">
        <v>2</v>
      </c>
      <c r="M386">
        <v>2</v>
      </c>
      <c r="N386">
        <v>6.3</v>
      </c>
      <c r="O386">
        <v>9.6999999999999993</v>
      </c>
      <c r="P386">
        <v>3</v>
      </c>
      <c r="Q386">
        <v>4</v>
      </c>
      <c r="R386">
        <v>759979</v>
      </c>
      <c r="S386">
        <f>Table1[[#This Row],[Revenue]]-Table1[[#This Row],[Operating_Costs]]</f>
        <v>118966</v>
      </c>
      <c r="T386">
        <v>641013</v>
      </c>
      <c r="U386">
        <v>57</v>
      </c>
      <c r="V386">
        <v>66</v>
      </c>
      <c r="W386">
        <v>14.9</v>
      </c>
    </row>
    <row r="387" spans="1:23" x14ac:dyDescent="0.25">
      <c r="A387">
        <v>3</v>
      </c>
      <c r="B387" t="s">
        <v>57</v>
      </c>
      <c r="C387" s="1">
        <v>45338</v>
      </c>
      <c r="D387" s="1">
        <v>45347</v>
      </c>
      <c r="E387" s="2">
        <f t="shared" ref="E387:E450" si="12">IF(D387-C387&lt;=30,1,0)</f>
        <v>1</v>
      </c>
      <c r="F387">
        <v>28</v>
      </c>
      <c r="G387" t="str">
        <f t="shared" ref="G387:G450" si="13">IF(F387&lt;=20,"0-20",IF(F387&lt;=40,"21-40",IF(F387&lt;=60,"41-60",IF(F387&lt;=80,"61-80","81+"))))</f>
        <v>21-40</v>
      </c>
      <c r="H387" t="s">
        <v>23</v>
      </c>
      <c r="I387" t="s">
        <v>24</v>
      </c>
      <c r="J387" t="s">
        <v>25</v>
      </c>
      <c r="K387" t="s">
        <v>33</v>
      </c>
      <c r="L387">
        <v>2</v>
      </c>
      <c r="M387">
        <v>2</v>
      </c>
      <c r="N387">
        <v>4.2</v>
      </c>
      <c r="O387">
        <v>8.8000000000000007</v>
      </c>
      <c r="P387">
        <v>5</v>
      </c>
      <c r="Q387">
        <v>6</v>
      </c>
      <c r="R387">
        <v>508720</v>
      </c>
      <c r="S387">
        <f>Table1[[#This Row],[Revenue]]-Table1[[#This Row],[Operating_Costs]]</f>
        <v>194128</v>
      </c>
      <c r="T387">
        <v>314592</v>
      </c>
      <c r="U387">
        <v>22</v>
      </c>
      <c r="V387">
        <v>55</v>
      </c>
      <c r="W387">
        <v>6.3</v>
      </c>
    </row>
    <row r="388" spans="1:23" x14ac:dyDescent="0.25">
      <c r="A388">
        <v>11</v>
      </c>
      <c r="B388" t="s">
        <v>63</v>
      </c>
      <c r="C388" s="1">
        <v>45341</v>
      </c>
      <c r="D388" s="1">
        <v>45352</v>
      </c>
      <c r="E388" s="2">
        <f t="shared" si="12"/>
        <v>1</v>
      </c>
      <c r="F388">
        <v>54</v>
      </c>
      <c r="G388" t="str">
        <f t="shared" si="13"/>
        <v>41-60</v>
      </c>
      <c r="H388" t="s">
        <v>23</v>
      </c>
      <c r="I388" t="s">
        <v>55</v>
      </c>
      <c r="J388" t="s">
        <v>56</v>
      </c>
      <c r="K388" t="s">
        <v>26</v>
      </c>
      <c r="L388">
        <v>2</v>
      </c>
      <c r="M388">
        <v>2</v>
      </c>
      <c r="N388">
        <v>3.5</v>
      </c>
      <c r="O388">
        <v>8</v>
      </c>
      <c r="P388">
        <v>5</v>
      </c>
      <c r="Q388">
        <v>6</v>
      </c>
      <c r="R388">
        <v>764996</v>
      </c>
      <c r="S388">
        <f>Table1[[#This Row],[Revenue]]-Table1[[#This Row],[Operating_Costs]]</f>
        <v>249437</v>
      </c>
      <c r="T388">
        <v>515559</v>
      </c>
      <c r="U388">
        <v>30</v>
      </c>
      <c r="V388">
        <v>60</v>
      </c>
      <c r="W388">
        <v>13.5</v>
      </c>
    </row>
    <row r="389" spans="1:23" x14ac:dyDescent="0.25">
      <c r="A389">
        <v>5</v>
      </c>
      <c r="B389" t="s">
        <v>22</v>
      </c>
      <c r="C389" s="1">
        <v>45334</v>
      </c>
      <c r="D389" s="1">
        <v>45364</v>
      </c>
      <c r="E389" s="2">
        <f t="shared" si="12"/>
        <v>1</v>
      </c>
      <c r="F389">
        <v>44</v>
      </c>
      <c r="G389" t="str">
        <f t="shared" si="13"/>
        <v>41-60</v>
      </c>
      <c r="H389" t="s">
        <v>23</v>
      </c>
      <c r="I389" t="s">
        <v>40</v>
      </c>
      <c r="J389" t="s">
        <v>41</v>
      </c>
      <c r="K389" t="s">
        <v>26</v>
      </c>
      <c r="L389">
        <v>2</v>
      </c>
      <c r="M389">
        <v>2</v>
      </c>
      <c r="N389">
        <v>6</v>
      </c>
      <c r="O389">
        <v>9.5</v>
      </c>
      <c r="P389">
        <v>5</v>
      </c>
      <c r="Q389">
        <v>4</v>
      </c>
      <c r="R389">
        <v>761874</v>
      </c>
      <c r="S389">
        <f>Table1[[#This Row],[Revenue]]-Table1[[#This Row],[Operating_Costs]]</f>
        <v>436408</v>
      </c>
      <c r="T389">
        <v>325466</v>
      </c>
      <c r="U389">
        <v>21</v>
      </c>
      <c r="V389">
        <v>58</v>
      </c>
      <c r="W389">
        <v>6.6</v>
      </c>
    </row>
    <row r="390" spans="1:23" x14ac:dyDescent="0.25">
      <c r="A390">
        <v>9</v>
      </c>
      <c r="B390" t="s">
        <v>44</v>
      </c>
      <c r="C390" s="1">
        <v>45348</v>
      </c>
      <c r="D390" s="1">
        <v>45364</v>
      </c>
      <c r="E390" s="2">
        <f t="shared" si="12"/>
        <v>1</v>
      </c>
      <c r="F390">
        <v>22</v>
      </c>
      <c r="G390" t="str">
        <f t="shared" si="13"/>
        <v>21-40</v>
      </c>
      <c r="H390" t="s">
        <v>35</v>
      </c>
      <c r="I390" t="s">
        <v>58</v>
      </c>
      <c r="J390" t="s">
        <v>59</v>
      </c>
      <c r="K390" t="s">
        <v>38</v>
      </c>
      <c r="L390">
        <v>2</v>
      </c>
      <c r="M390">
        <v>2</v>
      </c>
      <c r="N390">
        <v>4.4000000000000004</v>
      </c>
      <c r="O390">
        <v>7.6</v>
      </c>
      <c r="P390">
        <v>5</v>
      </c>
      <c r="Q390">
        <v>4</v>
      </c>
      <c r="R390">
        <v>501865</v>
      </c>
      <c r="S390">
        <f>Table1[[#This Row],[Revenue]]-Table1[[#This Row],[Operating_Costs]]</f>
        <v>25499</v>
      </c>
      <c r="T390">
        <v>476366</v>
      </c>
      <c r="U390">
        <v>35</v>
      </c>
      <c r="V390">
        <v>63</v>
      </c>
      <c r="W390">
        <v>6.6</v>
      </c>
    </row>
    <row r="391" spans="1:23" x14ac:dyDescent="0.25">
      <c r="A391">
        <v>2</v>
      </c>
      <c r="B391" t="s">
        <v>39</v>
      </c>
      <c r="C391" s="1">
        <v>45357</v>
      </c>
      <c r="D391" s="1">
        <v>45365</v>
      </c>
      <c r="E391" s="2">
        <f t="shared" si="12"/>
        <v>1</v>
      </c>
      <c r="F391">
        <v>25</v>
      </c>
      <c r="G391" t="str">
        <f t="shared" si="13"/>
        <v>21-40</v>
      </c>
      <c r="H391" t="s">
        <v>23</v>
      </c>
      <c r="I391" t="s">
        <v>27</v>
      </c>
      <c r="J391" t="s">
        <v>28</v>
      </c>
      <c r="K391" t="s">
        <v>26</v>
      </c>
      <c r="L391">
        <v>2</v>
      </c>
      <c r="M391">
        <v>2</v>
      </c>
      <c r="N391">
        <v>3</v>
      </c>
      <c r="O391">
        <v>8.1</v>
      </c>
      <c r="P391">
        <v>6</v>
      </c>
      <c r="Q391">
        <v>7</v>
      </c>
      <c r="R391">
        <v>819222</v>
      </c>
      <c r="S391">
        <f>Table1[[#This Row],[Revenue]]-Table1[[#This Row],[Operating_Costs]]</f>
        <v>212361</v>
      </c>
      <c r="T391">
        <v>606861</v>
      </c>
      <c r="U391">
        <v>31</v>
      </c>
      <c r="V391">
        <v>65</v>
      </c>
      <c r="W391">
        <v>5.8</v>
      </c>
    </row>
    <row r="392" spans="1:23" x14ac:dyDescent="0.25">
      <c r="A392">
        <v>3</v>
      </c>
      <c r="B392" t="s">
        <v>57</v>
      </c>
      <c r="C392" s="1">
        <v>45351</v>
      </c>
      <c r="D392" s="1">
        <v>45365</v>
      </c>
      <c r="E392" s="2">
        <f t="shared" si="12"/>
        <v>1</v>
      </c>
      <c r="F392">
        <v>41</v>
      </c>
      <c r="G392" t="str">
        <f t="shared" si="13"/>
        <v>41-60</v>
      </c>
      <c r="H392" t="s">
        <v>35</v>
      </c>
      <c r="I392" t="s">
        <v>36</v>
      </c>
      <c r="J392" t="s">
        <v>37</v>
      </c>
      <c r="K392" t="s">
        <v>29</v>
      </c>
      <c r="L392">
        <v>2</v>
      </c>
      <c r="M392">
        <v>2</v>
      </c>
      <c r="N392">
        <v>3.3</v>
      </c>
      <c r="O392">
        <v>7.9</v>
      </c>
      <c r="P392">
        <v>4</v>
      </c>
      <c r="Q392">
        <v>7</v>
      </c>
      <c r="R392">
        <v>585825</v>
      </c>
      <c r="S392">
        <f>Table1[[#This Row],[Revenue]]-Table1[[#This Row],[Operating_Costs]]</f>
        <v>239720</v>
      </c>
      <c r="T392">
        <v>346105</v>
      </c>
      <c r="U392">
        <v>16</v>
      </c>
      <c r="V392">
        <v>64</v>
      </c>
      <c r="W392">
        <v>9.9</v>
      </c>
    </row>
    <row r="393" spans="1:23" x14ac:dyDescent="0.25">
      <c r="A393">
        <v>4</v>
      </c>
      <c r="B393" t="s">
        <v>69</v>
      </c>
      <c r="C393" s="1">
        <v>45345</v>
      </c>
      <c r="D393" s="1">
        <v>45367</v>
      </c>
      <c r="E393" s="2">
        <f t="shared" si="12"/>
        <v>1</v>
      </c>
      <c r="F393">
        <v>69</v>
      </c>
      <c r="G393" t="str">
        <f t="shared" si="13"/>
        <v>61-80</v>
      </c>
      <c r="H393" t="s">
        <v>35</v>
      </c>
      <c r="I393" t="s">
        <v>31</v>
      </c>
      <c r="J393" t="s">
        <v>28</v>
      </c>
      <c r="K393" t="s">
        <v>38</v>
      </c>
      <c r="L393">
        <v>2</v>
      </c>
      <c r="M393">
        <v>2</v>
      </c>
      <c r="N393">
        <v>2</v>
      </c>
      <c r="O393">
        <v>9.6</v>
      </c>
      <c r="P393">
        <v>3</v>
      </c>
      <c r="Q393">
        <v>6</v>
      </c>
      <c r="R393">
        <v>859529</v>
      </c>
      <c r="S393">
        <f>Table1[[#This Row],[Revenue]]-Table1[[#This Row],[Operating_Costs]]</f>
        <v>350882</v>
      </c>
      <c r="T393">
        <v>508647</v>
      </c>
      <c r="U393">
        <v>42</v>
      </c>
      <c r="V393">
        <v>58</v>
      </c>
      <c r="W393">
        <v>12.3</v>
      </c>
    </row>
    <row r="394" spans="1:23" x14ac:dyDescent="0.25">
      <c r="A394">
        <v>11</v>
      </c>
      <c r="B394" t="s">
        <v>63</v>
      </c>
      <c r="C394" s="1">
        <v>45364</v>
      </c>
      <c r="D394" s="1">
        <v>45369</v>
      </c>
      <c r="E394" s="2">
        <f t="shared" si="12"/>
        <v>1</v>
      </c>
      <c r="F394">
        <v>22</v>
      </c>
      <c r="G394" t="str">
        <f t="shared" si="13"/>
        <v>21-40</v>
      </c>
      <c r="H394" t="s">
        <v>23</v>
      </c>
      <c r="I394" t="s">
        <v>43</v>
      </c>
      <c r="J394" t="s">
        <v>25</v>
      </c>
      <c r="K394" t="s">
        <v>33</v>
      </c>
      <c r="L394">
        <v>2</v>
      </c>
      <c r="M394">
        <v>2</v>
      </c>
      <c r="N394">
        <v>2.1</v>
      </c>
      <c r="O394">
        <v>8.4</v>
      </c>
      <c r="P394">
        <v>6</v>
      </c>
      <c r="Q394">
        <v>3</v>
      </c>
      <c r="R394">
        <v>610577</v>
      </c>
      <c r="S394">
        <f>Table1[[#This Row],[Revenue]]-Table1[[#This Row],[Operating_Costs]]</f>
        <v>99736</v>
      </c>
      <c r="T394">
        <v>510841</v>
      </c>
      <c r="U394">
        <v>24</v>
      </c>
      <c r="V394">
        <v>62</v>
      </c>
      <c r="W394">
        <v>12</v>
      </c>
    </row>
    <row r="395" spans="1:23" x14ac:dyDescent="0.25">
      <c r="A395">
        <v>6</v>
      </c>
      <c r="B395" t="s">
        <v>70</v>
      </c>
      <c r="C395" s="1">
        <v>45370</v>
      </c>
      <c r="D395" s="1">
        <v>45374</v>
      </c>
      <c r="E395" s="2">
        <f t="shared" si="12"/>
        <v>1</v>
      </c>
      <c r="F395">
        <v>89</v>
      </c>
      <c r="G395" t="str">
        <f t="shared" si="13"/>
        <v>81+</v>
      </c>
      <c r="H395" t="s">
        <v>35</v>
      </c>
      <c r="I395" t="s">
        <v>31</v>
      </c>
      <c r="J395" t="s">
        <v>28</v>
      </c>
      <c r="K395" t="s">
        <v>38</v>
      </c>
      <c r="L395">
        <v>2</v>
      </c>
      <c r="M395">
        <v>2</v>
      </c>
      <c r="N395">
        <v>6.2</v>
      </c>
      <c r="O395">
        <v>7.8</v>
      </c>
      <c r="P395">
        <v>6</v>
      </c>
      <c r="Q395">
        <v>6</v>
      </c>
      <c r="R395">
        <v>715365</v>
      </c>
      <c r="S395">
        <f>Table1[[#This Row],[Revenue]]-Table1[[#This Row],[Operating_Costs]]</f>
        <v>155197</v>
      </c>
      <c r="T395">
        <v>560168</v>
      </c>
      <c r="U395">
        <v>27</v>
      </c>
      <c r="V395">
        <v>56</v>
      </c>
      <c r="W395">
        <v>5.0999999999999996</v>
      </c>
    </row>
    <row r="396" spans="1:23" x14ac:dyDescent="0.25">
      <c r="A396">
        <v>9</v>
      </c>
      <c r="B396" t="s">
        <v>44</v>
      </c>
      <c r="C396" s="1">
        <v>45360</v>
      </c>
      <c r="D396" s="1">
        <v>45376</v>
      </c>
      <c r="E396" s="2">
        <f t="shared" si="12"/>
        <v>1</v>
      </c>
      <c r="F396">
        <v>79</v>
      </c>
      <c r="G396" t="str">
        <f t="shared" si="13"/>
        <v>61-80</v>
      </c>
      <c r="H396" t="s">
        <v>23</v>
      </c>
      <c r="I396" t="s">
        <v>40</v>
      </c>
      <c r="J396" t="s">
        <v>41</v>
      </c>
      <c r="K396" t="s">
        <v>33</v>
      </c>
      <c r="L396">
        <v>2</v>
      </c>
      <c r="M396">
        <v>2</v>
      </c>
      <c r="N396">
        <v>6.6</v>
      </c>
      <c r="O396">
        <v>8</v>
      </c>
      <c r="P396">
        <v>5</v>
      </c>
      <c r="Q396">
        <v>4</v>
      </c>
      <c r="R396">
        <v>561418</v>
      </c>
      <c r="S396">
        <f>Table1[[#This Row],[Revenue]]-Table1[[#This Row],[Operating_Costs]]</f>
        <v>166578</v>
      </c>
      <c r="T396">
        <v>394840</v>
      </c>
      <c r="U396">
        <v>40</v>
      </c>
      <c r="V396">
        <v>66</v>
      </c>
      <c r="W396">
        <v>5</v>
      </c>
    </row>
    <row r="397" spans="1:23" x14ac:dyDescent="0.25">
      <c r="A397">
        <v>14</v>
      </c>
      <c r="B397" t="s">
        <v>48</v>
      </c>
      <c r="C397" s="1">
        <v>45368</v>
      </c>
      <c r="D397" s="1">
        <v>45382</v>
      </c>
      <c r="E397" s="2">
        <f t="shared" si="12"/>
        <v>1</v>
      </c>
      <c r="F397">
        <v>78</v>
      </c>
      <c r="G397" t="str">
        <f t="shared" si="13"/>
        <v>61-80</v>
      </c>
      <c r="H397" t="s">
        <v>35</v>
      </c>
      <c r="I397" t="s">
        <v>53</v>
      </c>
      <c r="J397" t="s">
        <v>54</v>
      </c>
      <c r="K397" t="s">
        <v>29</v>
      </c>
      <c r="L397">
        <v>2</v>
      </c>
      <c r="M397">
        <v>2</v>
      </c>
      <c r="N397">
        <v>4</v>
      </c>
      <c r="O397">
        <v>8.6999999999999993</v>
      </c>
      <c r="P397">
        <v>7</v>
      </c>
      <c r="Q397">
        <v>5</v>
      </c>
      <c r="R397">
        <v>766680</v>
      </c>
      <c r="S397">
        <f>Table1[[#This Row],[Revenue]]-Table1[[#This Row],[Operating_Costs]]</f>
        <v>266640</v>
      </c>
      <c r="T397">
        <v>500040</v>
      </c>
      <c r="U397">
        <v>50</v>
      </c>
      <c r="V397">
        <v>63</v>
      </c>
      <c r="W397">
        <v>7.7</v>
      </c>
    </row>
    <row r="398" spans="1:23" x14ac:dyDescent="0.25">
      <c r="A398">
        <v>14</v>
      </c>
      <c r="B398" t="s">
        <v>48</v>
      </c>
      <c r="C398" s="1">
        <v>45365</v>
      </c>
      <c r="D398" s="1">
        <v>45383</v>
      </c>
      <c r="E398" s="2">
        <f t="shared" si="12"/>
        <v>1</v>
      </c>
      <c r="F398">
        <v>48</v>
      </c>
      <c r="G398" t="str">
        <f t="shared" si="13"/>
        <v>41-60</v>
      </c>
      <c r="H398" t="s">
        <v>35</v>
      </c>
      <c r="I398" t="s">
        <v>36</v>
      </c>
      <c r="J398" t="s">
        <v>37</v>
      </c>
      <c r="K398" t="s">
        <v>29</v>
      </c>
      <c r="L398">
        <v>2</v>
      </c>
      <c r="M398">
        <v>2</v>
      </c>
      <c r="N398">
        <v>5.8</v>
      </c>
      <c r="O398">
        <v>7.6</v>
      </c>
      <c r="P398">
        <v>7</v>
      </c>
      <c r="Q398">
        <v>4</v>
      </c>
      <c r="R398">
        <v>759522</v>
      </c>
      <c r="S398">
        <f>Table1[[#This Row],[Revenue]]-Table1[[#This Row],[Operating_Costs]]</f>
        <v>243366</v>
      </c>
      <c r="T398">
        <v>516156</v>
      </c>
      <c r="U398">
        <v>47</v>
      </c>
      <c r="V398">
        <v>63</v>
      </c>
      <c r="W398">
        <v>36.799999999999997</v>
      </c>
    </row>
    <row r="399" spans="1:23" x14ac:dyDescent="0.25">
      <c r="A399">
        <v>14</v>
      </c>
      <c r="B399" t="s">
        <v>48</v>
      </c>
      <c r="C399" s="1">
        <v>45362</v>
      </c>
      <c r="D399" s="1">
        <v>45387</v>
      </c>
      <c r="E399" s="2">
        <f t="shared" si="12"/>
        <v>1</v>
      </c>
      <c r="F399">
        <v>63</v>
      </c>
      <c r="G399" t="str">
        <f t="shared" si="13"/>
        <v>61-80</v>
      </c>
      <c r="H399" t="s">
        <v>23</v>
      </c>
      <c r="I399" t="s">
        <v>40</v>
      </c>
      <c r="J399" t="s">
        <v>41</v>
      </c>
      <c r="K399" t="s">
        <v>42</v>
      </c>
      <c r="L399">
        <v>2</v>
      </c>
      <c r="M399">
        <v>2</v>
      </c>
      <c r="N399">
        <v>4.3</v>
      </c>
      <c r="O399">
        <v>7</v>
      </c>
      <c r="P399">
        <v>6</v>
      </c>
      <c r="Q399">
        <v>6</v>
      </c>
      <c r="R399">
        <v>773241</v>
      </c>
      <c r="S399">
        <f>Table1[[#This Row],[Revenue]]-Table1[[#This Row],[Operating_Costs]]</f>
        <v>170859</v>
      </c>
      <c r="T399">
        <v>602382</v>
      </c>
      <c r="U399">
        <v>36</v>
      </c>
      <c r="V399">
        <v>61</v>
      </c>
      <c r="W399">
        <v>8.3000000000000007</v>
      </c>
    </row>
    <row r="400" spans="1:23" x14ac:dyDescent="0.25">
      <c r="A400">
        <v>2</v>
      </c>
      <c r="B400" t="s">
        <v>39</v>
      </c>
      <c r="C400" s="1">
        <v>45373</v>
      </c>
      <c r="D400" s="1">
        <v>45389</v>
      </c>
      <c r="E400" s="2">
        <f t="shared" si="12"/>
        <v>1</v>
      </c>
      <c r="F400">
        <v>78</v>
      </c>
      <c r="G400" t="str">
        <f t="shared" si="13"/>
        <v>61-80</v>
      </c>
      <c r="H400" t="s">
        <v>35</v>
      </c>
      <c r="I400" t="s">
        <v>46</v>
      </c>
      <c r="J400" t="s">
        <v>47</v>
      </c>
      <c r="K400" t="s">
        <v>33</v>
      </c>
      <c r="L400">
        <v>2</v>
      </c>
      <c r="M400">
        <v>2</v>
      </c>
      <c r="N400">
        <v>4.9000000000000004</v>
      </c>
      <c r="O400">
        <v>8.5</v>
      </c>
      <c r="P400">
        <v>6</v>
      </c>
      <c r="Q400">
        <v>3</v>
      </c>
      <c r="R400">
        <v>636788</v>
      </c>
      <c r="S400">
        <f>Table1[[#This Row],[Revenue]]-Table1[[#This Row],[Operating_Costs]]</f>
        <v>5205</v>
      </c>
      <c r="T400">
        <v>631583</v>
      </c>
      <c r="U400">
        <v>40</v>
      </c>
      <c r="V400">
        <v>59</v>
      </c>
      <c r="W400">
        <v>9.6</v>
      </c>
    </row>
    <row r="401" spans="1:23" x14ac:dyDescent="0.25">
      <c r="A401">
        <v>12</v>
      </c>
      <c r="B401" t="s">
        <v>66</v>
      </c>
      <c r="C401" s="1">
        <v>45366</v>
      </c>
      <c r="D401" s="1">
        <v>45390</v>
      </c>
      <c r="E401" s="2">
        <f t="shared" si="12"/>
        <v>1</v>
      </c>
      <c r="F401">
        <v>73</v>
      </c>
      <c r="G401" t="str">
        <f t="shared" si="13"/>
        <v>61-80</v>
      </c>
      <c r="H401" t="s">
        <v>23</v>
      </c>
      <c r="I401" t="s">
        <v>24</v>
      </c>
      <c r="J401" t="s">
        <v>25</v>
      </c>
      <c r="K401" t="s">
        <v>33</v>
      </c>
      <c r="L401">
        <v>2</v>
      </c>
      <c r="M401">
        <v>2</v>
      </c>
      <c r="N401">
        <v>3.7</v>
      </c>
      <c r="O401">
        <v>7.7</v>
      </c>
      <c r="P401">
        <v>3</v>
      </c>
      <c r="Q401">
        <v>6</v>
      </c>
      <c r="R401">
        <v>939442</v>
      </c>
      <c r="S401">
        <f>Table1[[#This Row],[Revenue]]-Table1[[#This Row],[Operating_Costs]]</f>
        <v>435202</v>
      </c>
      <c r="T401">
        <v>504240</v>
      </c>
      <c r="U401">
        <v>79</v>
      </c>
      <c r="V401">
        <v>64</v>
      </c>
      <c r="W401">
        <v>14.7</v>
      </c>
    </row>
    <row r="402" spans="1:23" x14ac:dyDescent="0.25">
      <c r="A402">
        <v>15</v>
      </c>
      <c r="B402" t="s">
        <v>45</v>
      </c>
      <c r="C402" s="1">
        <v>45382</v>
      </c>
      <c r="D402" s="1">
        <v>45396</v>
      </c>
      <c r="E402" s="2">
        <f t="shared" si="12"/>
        <v>1</v>
      </c>
      <c r="F402">
        <v>79</v>
      </c>
      <c r="G402" t="str">
        <f t="shared" si="13"/>
        <v>61-80</v>
      </c>
      <c r="H402" t="s">
        <v>23</v>
      </c>
      <c r="I402" t="s">
        <v>64</v>
      </c>
      <c r="J402" t="s">
        <v>65</v>
      </c>
      <c r="K402" t="s">
        <v>26</v>
      </c>
      <c r="L402">
        <v>2</v>
      </c>
      <c r="M402">
        <v>2</v>
      </c>
      <c r="N402">
        <v>6.7</v>
      </c>
      <c r="O402">
        <v>7.4</v>
      </c>
      <c r="P402">
        <v>3</v>
      </c>
      <c r="Q402">
        <v>5</v>
      </c>
      <c r="R402">
        <v>715855</v>
      </c>
      <c r="S402">
        <f>Table1[[#This Row],[Revenue]]-Table1[[#This Row],[Operating_Costs]]</f>
        <v>197063</v>
      </c>
      <c r="T402">
        <v>518792</v>
      </c>
      <c r="U402">
        <v>57</v>
      </c>
      <c r="V402">
        <v>59</v>
      </c>
      <c r="W402">
        <v>5.9</v>
      </c>
    </row>
    <row r="403" spans="1:23" x14ac:dyDescent="0.25">
      <c r="A403">
        <v>11</v>
      </c>
      <c r="B403" t="s">
        <v>63</v>
      </c>
      <c r="C403" s="1">
        <v>45381</v>
      </c>
      <c r="D403" s="1">
        <v>45397</v>
      </c>
      <c r="E403" s="2">
        <f t="shared" si="12"/>
        <v>1</v>
      </c>
      <c r="F403">
        <v>86</v>
      </c>
      <c r="G403" t="str">
        <f t="shared" si="13"/>
        <v>81+</v>
      </c>
      <c r="H403" t="s">
        <v>35</v>
      </c>
      <c r="I403" t="s">
        <v>46</v>
      </c>
      <c r="J403" t="s">
        <v>47</v>
      </c>
      <c r="K403" t="s">
        <v>26</v>
      </c>
      <c r="L403">
        <v>2</v>
      </c>
      <c r="M403">
        <v>2</v>
      </c>
      <c r="N403">
        <v>2.9</v>
      </c>
      <c r="O403">
        <v>9.5</v>
      </c>
      <c r="P403">
        <v>3</v>
      </c>
      <c r="Q403">
        <v>3</v>
      </c>
      <c r="R403">
        <v>680285</v>
      </c>
      <c r="S403">
        <f>Table1[[#This Row],[Revenue]]-Table1[[#This Row],[Operating_Costs]]</f>
        <v>206632</v>
      </c>
      <c r="T403">
        <v>473653</v>
      </c>
      <c r="U403">
        <v>28</v>
      </c>
      <c r="V403">
        <v>58</v>
      </c>
      <c r="W403">
        <v>13.3</v>
      </c>
    </row>
    <row r="404" spans="1:23" x14ac:dyDescent="0.25">
      <c r="A404">
        <v>9</v>
      </c>
      <c r="B404" t="s">
        <v>44</v>
      </c>
      <c r="C404" s="1">
        <v>45380</v>
      </c>
      <c r="D404" s="1">
        <v>45397</v>
      </c>
      <c r="E404" s="2">
        <f t="shared" si="12"/>
        <v>1</v>
      </c>
      <c r="F404">
        <v>52</v>
      </c>
      <c r="G404" t="str">
        <f t="shared" si="13"/>
        <v>41-60</v>
      </c>
      <c r="H404" t="s">
        <v>23</v>
      </c>
      <c r="I404" t="s">
        <v>43</v>
      </c>
      <c r="J404" t="s">
        <v>25</v>
      </c>
      <c r="K404" t="s">
        <v>42</v>
      </c>
      <c r="L404">
        <v>2</v>
      </c>
      <c r="M404">
        <v>2</v>
      </c>
      <c r="N404">
        <v>1.1000000000000001</v>
      </c>
      <c r="O404">
        <v>8.9</v>
      </c>
      <c r="P404">
        <v>5</v>
      </c>
      <c r="Q404">
        <v>4</v>
      </c>
      <c r="R404">
        <v>525425</v>
      </c>
      <c r="S404">
        <f>Table1[[#This Row],[Revenue]]-Table1[[#This Row],[Operating_Costs]]</f>
        <v>52134</v>
      </c>
      <c r="T404">
        <v>473291</v>
      </c>
      <c r="U404">
        <v>38</v>
      </c>
      <c r="V404">
        <v>58</v>
      </c>
      <c r="W404">
        <v>14.4</v>
      </c>
    </row>
    <row r="405" spans="1:23" x14ac:dyDescent="0.25">
      <c r="A405">
        <v>15</v>
      </c>
      <c r="B405" t="s">
        <v>45</v>
      </c>
      <c r="C405" s="1">
        <v>45381</v>
      </c>
      <c r="D405" s="1">
        <v>45411</v>
      </c>
      <c r="E405" s="2">
        <f t="shared" si="12"/>
        <v>1</v>
      </c>
      <c r="F405">
        <v>76</v>
      </c>
      <c r="G405" t="str">
        <f t="shared" si="13"/>
        <v>61-80</v>
      </c>
      <c r="H405" t="s">
        <v>23</v>
      </c>
      <c r="I405" t="s">
        <v>24</v>
      </c>
      <c r="J405" t="s">
        <v>25</v>
      </c>
      <c r="K405" t="s">
        <v>29</v>
      </c>
      <c r="L405">
        <v>2</v>
      </c>
      <c r="M405">
        <v>2</v>
      </c>
      <c r="N405">
        <v>6.9</v>
      </c>
      <c r="O405">
        <v>7.9</v>
      </c>
      <c r="P405">
        <v>5</v>
      </c>
      <c r="Q405">
        <v>7</v>
      </c>
      <c r="R405">
        <v>746467</v>
      </c>
      <c r="S405">
        <f>Table1[[#This Row],[Revenue]]-Table1[[#This Row],[Operating_Costs]]</f>
        <v>59632</v>
      </c>
      <c r="T405">
        <v>686835</v>
      </c>
      <c r="U405">
        <v>54</v>
      </c>
      <c r="V405">
        <v>64</v>
      </c>
      <c r="W405">
        <v>14.4</v>
      </c>
    </row>
    <row r="406" spans="1:23" x14ac:dyDescent="0.25">
      <c r="A406">
        <v>1</v>
      </c>
      <c r="B406" t="s">
        <v>32</v>
      </c>
      <c r="C406" s="1">
        <v>45396</v>
      </c>
      <c r="D406" s="1">
        <v>45413</v>
      </c>
      <c r="E406" s="2">
        <f t="shared" si="12"/>
        <v>1</v>
      </c>
      <c r="F406">
        <v>46</v>
      </c>
      <c r="G406" t="str">
        <f t="shared" si="13"/>
        <v>41-60</v>
      </c>
      <c r="H406" t="s">
        <v>23</v>
      </c>
      <c r="I406" t="s">
        <v>50</v>
      </c>
      <c r="J406" t="s">
        <v>51</v>
      </c>
      <c r="K406" t="s">
        <v>42</v>
      </c>
      <c r="L406">
        <v>2</v>
      </c>
      <c r="M406">
        <v>2</v>
      </c>
      <c r="N406">
        <v>6.5</v>
      </c>
      <c r="O406">
        <v>8.6</v>
      </c>
      <c r="P406">
        <v>6</v>
      </c>
      <c r="Q406">
        <v>7</v>
      </c>
      <c r="R406">
        <v>940330</v>
      </c>
      <c r="S406">
        <f>Table1[[#This Row],[Revenue]]-Table1[[#This Row],[Operating_Costs]]</f>
        <v>108789</v>
      </c>
      <c r="T406">
        <v>831541</v>
      </c>
      <c r="U406">
        <v>38</v>
      </c>
      <c r="V406">
        <v>61</v>
      </c>
      <c r="W406">
        <v>8.3000000000000007</v>
      </c>
    </row>
    <row r="407" spans="1:23" x14ac:dyDescent="0.25">
      <c r="A407">
        <v>8</v>
      </c>
      <c r="B407" t="s">
        <v>52</v>
      </c>
      <c r="C407" s="1">
        <v>45403</v>
      </c>
      <c r="D407" s="1">
        <v>45414</v>
      </c>
      <c r="E407" s="2">
        <f t="shared" si="12"/>
        <v>1</v>
      </c>
      <c r="F407">
        <v>70</v>
      </c>
      <c r="G407" t="str">
        <f t="shared" si="13"/>
        <v>61-80</v>
      </c>
      <c r="H407" t="s">
        <v>23</v>
      </c>
      <c r="I407" t="s">
        <v>58</v>
      </c>
      <c r="J407" t="s">
        <v>59</v>
      </c>
      <c r="K407" t="s">
        <v>33</v>
      </c>
      <c r="L407">
        <v>2</v>
      </c>
      <c r="M407">
        <v>2</v>
      </c>
      <c r="N407">
        <v>1.3</v>
      </c>
      <c r="O407">
        <v>9.9</v>
      </c>
      <c r="P407">
        <v>6</v>
      </c>
      <c r="Q407">
        <v>3</v>
      </c>
      <c r="R407">
        <v>907829</v>
      </c>
      <c r="S407">
        <f>Table1[[#This Row],[Revenue]]-Table1[[#This Row],[Operating_Costs]]</f>
        <v>94409</v>
      </c>
      <c r="T407">
        <v>813420</v>
      </c>
      <c r="U407">
        <v>30</v>
      </c>
      <c r="V407">
        <v>54</v>
      </c>
      <c r="W407">
        <v>13.4</v>
      </c>
    </row>
    <row r="408" spans="1:23" x14ac:dyDescent="0.25">
      <c r="A408">
        <v>5</v>
      </c>
      <c r="B408" t="s">
        <v>22</v>
      </c>
      <c r="C408" s="1">
        <v>45408</v>
      </c>
      <c r="D408" s="1">
        <v>45421</v>
      </c>
      <c r="E408" s="2">
        <f t="shared" si="12"/>
        <v>1</v>
      </c>
      <c r="F408">
        <v>37</v>
      </c>
      <c r="G408" t="str">
        <f t="shared" si="13"/>
        <v>21-40</v>
      </c>
      <c r="H408" t="s">
        <v>23</v>
      </c>
      <c r="I408" t="s">
        <v>24</v>
      </c>
      <c r="J408" t="s">
        <v>25</v>
      </c>
      <c r="K408" t="s">
        <v>33</v>
      </c>
      <c r="L408">
        <v>2</v>
      </c>
      <c r="M408">
        <v>2</v>
      </c>
      <c r="N408">
        <v>2.5</v>
      </c>
      <c r="O408">
        <v>7.3</v>
      </c>
      <c r="P408">
        <v>6</v>
      </c>
      <c r="Q408">
        <v>4</v>
      </c>
      <c r="R408">
        <v>909351</v>
      </c>
      <c r="S408">
        <f>Table1[[#This Row],[Revenue]]-Table1[[#This Row],[Operating_Costs]]</f>
        <v>646102</v>
      </c>
      <c r="T408">
        <v>263249</v>
      </c>
      <c r="U408">
        <v>36</v>
      </c>
      <c r="V408">
        <v>65</v>
      </c>
      <c r="W408">
        <v>12.5</v>
      </c>
    </row>
    <row r="409" spans="1:23" x14ac:dyDescent="0.25">
      <c r="A409">
        <v>2</v>
      </c>
      <c r="B409" t="s">
        <v>39</v>
      </c>
      <c r="C409" s="1">
        <v>45403</v>
      </c>
      <c r="D409" s="1">
        <v>45423</v>
      </c>
      <c r="E409" s="2">
        <f t="shared" si="12"/>
        <v>1</v>
      </c>
      <c r="F409">
        <v>49</v>
      </c>
      <c r="G409" t="str">
        <f t="shared" si="13"/>
        <v>41-60</v>
      </c>
      <c r="H409" t="s">
        <v>23</v>
      </c>
      <c r="I409" t="s">
        <v>24</v>
      </c>
      <c r="J409" t="s">
        <v>25</v>
      </c>
      <c r="K409" t="s">
        <v>26</v>
      </c>
      <c r="L409">
        <v>2</v>
      </c>
      <c r="M409">
        <v>2</v>
      </c>
      <c r="N409">
        <v>1.1000000000000001</v>
      </c>
      <c r="O409">
        <v>7.1</v>
      </c>
      <c r="P409">
        <v>5</v>
      </c>
      <c r="Q409">
        <v>6</v>
      </c>
      <c r="R409">
        <v>888717</v>
      </c>
      <c r="S409">
        <f>Table1[[#This Row],[Revenue]]-Table1[[#This Row],[Operating_Costs]]</f>
        <v>301696</v>
      </c>
      <c r="T409">
        <v>587021</v>
      </c>
      <c r="U409">
        <v>35</v>
      </c>
      <c r="V409">
        <v>62</v>
      </c>
      <c r="W409">
        <v>7</v>
      </c>
    </row>
    <row r="410" spans="1:23" x14ac:dyDescent="0.25">
      <c r="A410">
        <v>12</v>
      </c>
      <c r="B410" t="s">
        <v>66</v>
      </c>
      <c r="C410" s="1">
        <v>45414</v>
      </c>
      <c r="D410" s="1">
        <v>45426</v>
      </c>
      <c r="E410" s="2">
        <f t="shared" si="12"/>
        <v>1</v>
      </c>
      <c r="F410">
        <v>43</v>
      </c>
      <c r="G410" t="str">
        <f t="shared" si="13"/>
        <v>41-60</v>
      </c>
      <c r="H410" t="s">
        <v>23</v>
      </c>
      <c r="I410" t="s">
        <v>43</v>
      </c>
      <c r="J410" t="s">
        <v>25</v>
      </c>
      <c r="K410" t="s">
        <v>33</v>
      </c>
      <c r="L410">
        <v>2</v>
      </c>
      <c r="M410">
        <v>2</v>
      </c>
      <c r="N410">
        <v>2.1</v>
      </c>
      <c r="O410">
        <v>9.8000000000000007</v>
      </c>
      <c r="P410">
        <v>3</v>
      </c>
      <c r="Q410">
        <v>4</v>
      </c>
      <c r="R410">
        <v>887598</v>
      </c>
      <c r="S410">
        <f>Table1[[#This Row],[Revenue]]-Table1[[#This Row],[Operating_Costs]]</f>
        <v>249017</v>
      </c>
      <c r="T410">
        <v>638581</v>
      </c>
      <c r="U410">
        <v>55</v>
      </c>
      <c r="V410">
        <v>60</v>
      </c>
      <c r="W410">
        <v>6.1</v>
      </c>
    </row>
    <row r="411" spans="1:23" x14ac:dyDescent="0.25">
      <c r="A411">
        <v>14</v>
      </c>
      <c r="B411" t="s">
        <v>48</v>
      </c>
      <c r="C411" s="1">
        <v>45420</v>
      </c>
      <c r="D411" s="1">
        <v>45431</v>
      </c>
      <c r="E411" s="2">
        <f t="shared" si="12"/>
        <v>1</v>
      </c>
      <c r="F411">
        <v>27</v>
      </c>
      <c r="G411" t="str">
        <f t="shared" si="13"/>
        <v>21-40</v>
      </c>
      <c r="H411" t="s">
        <v>35</v>
      </c>
      <c r="I411" t="s">
        <v>58</v>
      </c>
      <c r="J411" t="s">
        <v>59</v>
      </c>
      <c r="K411" t="s">
        <v>29</v>
      </c>
      <c r="L411">
        <v>2</v>
      </c>
      <c r="M411">
        <v>2</v>
      </c>
      <c r="N411">
        <v>6.3</v>
      </c>
      <c r="O411">
        <v>9.5</v>
      </c>
      <c r="P411">
        <v>6</v>
      </c>
      <c r="Q411">
        <v>5</v>
      </c>
      <c r="R411">
        <v>806357</v>
      </c>
      <c r="S411">
        <f>Table1[[#This Row],[Revenue]]-Table1[[#This Row],[Operating_Costs]]</f>
        <v>252421</v>
      </c>
      <c r="T411">
        <v>553936</v>
      </c>
      <c r="U411">
        <v>31</v>
      </c>
      <c r="V411">
        <v>64</v>
      </c>
      <c r="W411">
        <v>13.1</v>
      </c>
    </row>
    <row r="412" spans="1:23" x14ac:dyDescent="0.25">
      <c r="A412">
        <v>6</v>
      </c>
      <c r="B412" t="s">
        <v>70</v>
      </c>
      <c r="C412" s="1">
        <v>45403</v>
      </c>
      <c r="D412" s="1">
        <v>45433</v>
      </c>
      <c r="E412" s="2">
        <f t="shared" si="12"/>
        <v>1</v>
      </c>
      <c r="F412">
        <v>36</v>
      </c>
      <c r="G412" t="str">
        <f t="shared" si="13"/>
        <v>21-40</v>
      </c>
      <c r="H412" t="s">
        <v>23</v>
      </c>
      <c r="I412" t="s">
        <v>67</v>
      </c>
      <c r="J412" t="s">
        <v>68</v>
      </c>
      <c r="K412" t="s">
        <v>29</v>
      </c>
      <c r="L412">
        <v>2</v>
      </c>
      <c r="M412">
        <v>2</v>
      </c>
      <c r="N412">
        <v>3.7</v>
      </c>
      <c r="O412">
        <v>9.6999999999999993</v>
      </c>
      <c r="P412">
        <v>3</v>
      </c>
      <c r="Q412">
        <v>7</v>
      </c>
      <c r="R412">
        <v>793823</v>
      </c>
      <c r="S412">
        <f>Table1[[#This Row],[Revenue]]-Table1[[#This Row],[Operating_Costs]]</f>
        <v>300339</v>
      </c>
      <c r="T412">
        <v>493484</v>
      </c>
      <c r="U412">
        <v>28</v>
      </c>
      <c r="V412">
        <v>56</v>
      </c>
      <c r="W412">
        <v>5.6</v>
      </c>
    </row>
    <row r="413" spans="1:23" x14ac:dyDescent="0.25">
      <c r="A413">
        <v>8</v>
      </c>
      <c r="B413" t="s">
        <v>52</v>
      </c>
      <c r="C413" s="1">
        <v>45434</v>
      </c>
      <c r="D413" s="1">
        <v>45435</v>
      </c>
      <c r="E413" s="2">
        <f t="shared" si="12"/>
        <v>1</v>
      </c>
      <c r="F413">
        <v>37</v>
      </c>
      <c r="G413" t="str">
        <f t="shared" si="13"/>
        <v>21-40</v>
      </c>
      <c r="H413" t="s">
        <v>35</v>
      </c>
      <c r="I413" t="s">
        <v>36</v>
      </c>
      <c r="J413" t="s">
        <v>37</v>
      </c>
      <c r="K413" t="s">
        <v>38</v>
      </c>
      <c r="L413">
        <v>2</v>
      </c>
      <c r="M413">
        <v>2</v>
      </c>
      <c r="N413">
        <v>1.7</v>
      </c>
      <c r="O413">
        <v>7.1</v>
      </c>
      <c r="P413">
        <v>3</v>
      </c>
      <c r="Q413">
        <v>4</v>
      </c>
      <c r="R413">
        <v>946074</v>
      </c>
      <c r="S413">
        <f>Table1[[#This Row],[Revenue]]-Table1[[#This Row],[Operating_Costs]]</f>
        <v>73881</v>
      </c>
      <c r="T413">
        <v>872193</v>
      </c>
      <c r="U413">
        <v>30</v>
      </c>
      <c r="V413">
        <v>60</v>
      </c>
      <c r="W413">
        <v>12.4</v>
      </c>
    </row>
    <row r="414" spans="1:23" x14ac:dyDescent="0.25">
      <c r="A414">
        <v>12</v>
      </c>
      <c r="B414" t="s">
        <v>66</v>
      </c>
      <c r="C414" s="1">
        <v>45413</v>
      </c>
      <c r="D414" s="1">
        <v>45440</v>
      </c>
      <c r="E414" s="2">
        <f t="shared" si="12"/>
        <v>1</v>
      </c>
      <c r="F414">
        <v>89</v>
      </c>
      <c r="G414" t="str">
        <f t="shared" si="13"/>
        <v>81+</v>
      </c>
      <c r="H414" t="s">
        <v>35</v>
      </c>
      <c r="I414" t="s">
        <v>36</v>
      </c>
      <c r="J414" t="s">
        <v>37</v>
      </c>
      <c r="K414" t="s">
        <v>33</v>
      </c>
      <c r="L414">
        <v>2</v>
      </c>
      <c r="M414">
        <v>2</v>
      </c>
      <c r="N414">
        <v>7</v>
      </c>
      <c r="O414">
        <v>7.2</v>
      </c>
      <c r="P414">
        <v>3</v>
      </c>
      <c r="Q414">
        <v>3</v>
      </c>
      <c r="R414">
        <v>981981</v>
      </c>
      <c r="S414">
        <f>Table1[[#This Row],[Revenue]]-Table1[[#This Row],[Operating_Costs]]</f>
        <v>354572</v>
      </c>
      <c r="T414">
        <v>627409</v>
      </c>
      <c r="U414">
        <v>60</v>
      </c>
      <c r="V414">
        <v>65</v>
      </c>
      <c r="W414">
        <v>5.4</v>
      </c>
    </row>
    <row r="415" spans="1:23" x14ac:dyDescent="0.25">
      <c r="A415">
        <v>8</v>
      </c>
      <c r="B415" t="s">
        <v>52</v>
      </c>
      <c r="C415" s="1">
        <v>45418</v>
      </c>
      <c r="D415" s="1">
        <v>45442</v>
      </c>
      <c r="E415" s="2">
        <f t="shared" si="12"/>
        <v>1</v>
      </c>
      <c r="F415">
        <v>25</v>
      </c>
      <c r="G415" t="str">
        <f t="shared" si="13"/>
        <v>21-40</v>
      </c>
      <c r="H415" t="s">
        <v>35</v>
      </c>
      <c r="I415" t="s">
        <v>36</v>
      </c>
      <c r="J415" t="s">
        <v>37</v>
      </c>
      <c r="K415" t="s">
        <v>29</v>
      </c>
      <c r="L415">
        <v>2</v>
      </c>
      <c r="M415">
        <v>2</v>
      </c>
      <c r="N415">
        <v>5.7</v>
      </c>
      <c r="O415">
        <v>7.7</v>
      </c>
      <c r="P415">
        <v>4</v>
      </c>
      <c r="Q415">
        <v>5</v>
      </c>
      <c r="R415">
        <v>999591</v>
      </c>
      <c r="S415">
        <f>Table1[[#This Row],[Revenue]]-Table1[[#This Row],[Operating_Costs]]</f>
        <v>143597</v>
      </c>
      <c r="T415">
        <v>855994</v>
      </c>
      <c r="U415">
        <v>36</v>
      </c>
      <c r="V415">
        <v>56</v>
      </c>
      <c r="W415">
        <v>13.9</v>
      </c>
    </row>
    <row r="416" spans="1:23" x14ac:dyDescent="0.25">
      <c r="A416">
        <v>5</v>
      </c>
      <c r="B416" t="s">
        <v>22</v>
      </c>
      <c r="C416" s="1">
        <v>45421</v>
      </c>
      <c r="D416" s="1">
        <v>45443</v>
      </c>
      <c r="E416" s="2">
        <f t="shared" si="12"/>
        <v>1</v>
      </c>
      <c r="F416">
        <v>65</v>
      </c>
      <c r="G416" t="str">
        <f t="shared" si="13"/>
        <v>61-80</v>
      </c>
      <c r="H416" t="s">
        <v>23</v>
      </c>
      <c r="I416" t="s">
        <v>31</v>
      </c>
      <c r="J416" t="s">
        <v>28</v>
      </c>
      <c r="K416" t="s">
        <v>33</v>
      </c>
      <c r="L416">
        <v>2</v>
      </c>
      <c r="M416">
        <v>2</v>
      </c>
      <c r="N416">
        <v>1.6</v>
      </c>
      <c r="O416">
        <v>7.5</v>
      </c>
      <c r="P416">
        <v>4</v>
      </c>
      <c r="Q416">
        <v>3</v>
      </c>
      <c r="R416">
        <v>764216</v>
      </c>
      <c r="S416">
        <f>Table1[[#This Row],[Revenue]]-Table1[[#This Row],[Operating_Costs]]</f>
        <v>309451</v>
      </c>
      <c r="T416">
        <v>454765</v>
      </c>
      <c r="U416">
        <v>35</v>
      </c>
      <c r="V416">
        <v>54</v>
      </c>
      <c r="W416">
        <v>5.9</v>
      </c>
    </row>
    <row r="417" spans="1:23" x14ac:dyDescent="0.25">
      <c r="A417">
        <v>5</v>
      </c>
      <c r="B417" t="s">
        <v>22</v>
      </c>
      <c r="C417" s="1">
        <v>45432</v>
      </c>
      <c r="D417" s="1">
        <v>45443</v>
      </c>
      <c r="E417" s="2">
        <f t="shared" si="12"/>
        <v>1</v>
      </c>
      <c r="F417">
        <v>46</v>
      </c>
      <c r="G417" t="str">
        <f t="shared" si="13"/>
        <v>41-60</v>
      </c>
      <c r="H417" t="s">
        <v>23</v>
      </c>
      <c r="I417" t="s">
        <v>43</v>
      </c>
      <c r="J417" t="s">
        <v>25</v>
      </c>
      <c r="K417" t="s">
        <v>38</v>
      </c>
      <c r="L417">
        <v>2</v>
      </c>
      <c r="M417">
        <v>2</v>
      </c>
      <c r="N417">
        <v>4</v>
      </c>
      <c r="O417">
        <v>9.1</v>
      </c>
      <c r="P417">
        <v>5</v>
      </c>
      <c r="Q417">
        <v>6</v>
      </c>
      <c r="R417">
        <v>804640</v>
      </c>
      <c r="S417">
        <f>Table1[[#This Row],[Revenue]]-Table1[[#This Row],[Operating_Costs]]</f>
        <v>514560</v>
      </c>
      <c r="T417">
        <v>290080</v>
      </c>
      <c r="U417">
        <v>40</v>
      </c>
      <c r="V417">
        <v>59</v>
      </c>
      <c r="W417">
        <v>5.3</v>
      </c>
    </row>
    <row r="418" spans="1:23" x14ac:dyDescent="0.25">
      <c r="A418">
        <v>5</v>
      </c>
      <c r="B418" t="s">
        <v>22</v>
      </c>
      <c r="C418" s="1">
        <v>45443</v>
      </c>
      <c r="D418" s="1">
        <v>45445</v>
      </c>
      <c r="E418" s="2">
        <f t="shared" si="12"/>
        <v>1</v>
      </c>
      <c r="F418">
        <v>90</v>
      </c>
      <c r="G418" t="str">
        <f t="shared" si="13"/>
        <v>81+</v>
      </c>
      <c r="H418" t="s">
        <v>35</v>
      </c>
      <c r="I418" t="s">
        <v>36</v>
      </c>
      <c r="J418" t="s">
        <v>37</v>
      </c>
      <c r="K418" t="s">
        <v>33</v>
      </c>
      <c r="L418">
        <v>2</v>
      </c>
      <c r="M418">
        <v>2</v>
      </c>
      <c r="N418">
        <v>1.3</v>
      </c>
      <c r="O418">
        <v>8.1999999999999993</v>
      </c>
      <c r="P418">
        <v>3</v>
      </c>
      <c r="Q418">
        <v>6</v>
      </c>
      <c r="R418">
        <v>771559</v>
      </c>
      <c r="S418">
        <f>Table1[[#This Row],[Revenue]]-Table1[[#This Row],[Operating_Costs]]</f>
        <v>545382</v>
      </c>
      <c r="T418">
        <v>226177</v>
      </c>
      <c r="U418">
        <v>40</v>
      </c>
      <c r="V418">
        <v>62</v>
      </c>
      <c r="W418">
        <v>14.1</v>
      </c>
    </row>
    <row r="419" spans="1:23" x14ac:dyDescent="0.25">
      <c r="A419">
        <v>5</v>
      </c>
      <c r="B419" t="s">
        <v>22</v>
      </c>
      <c r="C419" s="1">
        <v>45426</v>
      </c>
      <c r="D419" s="1">
        <v>45448</v>
      </c>
      <c r="E419" s="2">
        <f t="shared" si="12"/>
        <v>1</v>
      </c>
      <c r="F419">
        <v>65</v>
      </c>
      <c r="G419" t="str">
        <f t="shared" si="13"/>
        <v>61-80</v>
      </c>
      <c r="H419" t="s">
        <v>35</v>
      </c>
      <c r="I419" t="s">
        <v>40</v>
      </c>
      <c r="J419" t="s">
        <v>41</v>
      </c>
      <c r="K419" t="s">
        <v>42</v>
      </c>
      <c r="L419">
        <v>2</v>
      </c>
      <c r="M419">
        <v>2</v>
      </c>
      <c r="N419">
        <v>5.6</v>
      </c>
      <c r="O419">
        <v>9.5</v>
      </c>
      <c r="P419">
        <v>6</v>
      </c>
      <c r="Q419">
        <v>4</v>
      </c>
      <c r="R419">
        <v>658391</v>
      </c>
      <c r="S419">
        <f>Table1[[#This Row],[Revenue]]-Table1[[#This Row],[Operating_Costs]]</f>
        <v>288104</v>
      </c>
      <c r="T419">
        <v>370287</v>
      </c>
      <c r="U419">
        <v>33</v>
      </c>
      <c r="V419">
        <v>55</v>
      </c>
      <c r="W419">
        <v>5.9</v>
      </c>
    </row>
    <row r="420" spans="1:23" x14ac:dyDescent="0.25">
      <c r="A420">
        <v>7</v>
      </c>
      <c r="B420" t="s">
        <v>49</v>
      </c>
      <c r="C420" s="1">
        <v>45425</v>
      </c>
      <c r="D420" s="1">
        <v>45449</v>
      </c>
      <c r="E420" s="2">
        <f t="shared" si="12"/>
        <v>1</v>
      </c>
      <c r="F420">
        <v>83</v>
      </c>
      <c r="G420" t="str">
        <f t="shared" si="13"/>
        <v>81+</v>
      </c>
      <c r="H420" t="s">
        <v>35</v>
      </c>
      <c r="I420" t="s">
        <v>27</v>
      </c>
      <c r="J420" t="s">
        <v>28</v>
      </c>
      <c r="K420" t="s">
        <v>38</v>
      </c>
      <c r="L420">
        <v>2</v>
      </c>
      <c r="M420">
        <v>2</v>
      </c>
      <c r="N420">
        <v>6.9</v>
      </c>
      <c r="O420">
        <v>8.6999999999999993</v>
      </c>
      <c r="P420">
        <v>3</v>
      </c>
      <c r="Q420">
        <v>5</v>
      </c>
      <c r="R420">
        <v>675833</v>
      </c>
      <c r="S420">
        <f>Table1[[#This Row],[Revenue]]-Table1[[#This Row],[Operating_Costs]]</f>
        <v>104894</v>
      </c>
      <c r="T420">
        <v>570939</v>
      </c>
      <c r="U420">
        <v>51</v>
      </c>
      <c r="V420">
        <v>66</v>
      </c>
      <c r="W420">
        <v>10.7</v>
      </c>
    </row>
    <row r="421" spans="1:23" x14ac:dyDescent="0.25">
      <c r="A421">
        <v>5</v>
      </c>
      <c r="B421" t="s">
        <v>22</v>
      </c>
      <c r="C421" s="1">
        <v>45438</v>
      </c>
      <c r="D421" s="1">
        <v>45453</v>
      </c>
      <c r="E421" s="2">
        <f t="shared" si="12"/>
        <v>1</v>
      </c>
      <c r="F421">
        <v>48</v>
      </c>
      <c r="G421" t="str">
        <f t="shared" si="13"/>
        <v>41-60</v>
      </c>
      <c r="H421" t="s">
        <v>23</v>
      </c>
      <c r="I421" t="s">
        <v>24</v>
      </c>
      <c r="J421" t="s">
        <v>25</v>
      </c>
      <c r="K421" t="s">
        <v>33</v>
      </c>
      <c r="L421">
        <v>2</v>
      </c>
      <c r="M421">
        <v>2</v>
      </c>
      <c r="N421">
        <v>3.8</v>
      </c>
      <c r="O421">
        <v>7.7</v>
      </c>
      <c r="P421">
        <v>4</v>
      </c>
      <c r="Q421">
        <v>5</v>
      </c>
      <c r="R421">
        <v>820259</v>
      </c>
      <c r="S421">
        <f>Table1[[#This Row],[Revenue]]-Table1[[#This Row],[Operating_Costs]]</f>
        <v>432102</v>
      </c>
      <c r="T421">
        <v>388157</v>
      </c>
      <c r="U421">
        <v>39</v>
      </c>
      <c r="V421">
        <v>58</v>
      </c>
      <c r="W421">
        <v>6.2</v>
      </c>
    </row>
    <row r="422" spans="1:23" x14ac:dyDescent="0.25">
      <c r="A422">
        <v>15</v>
      </c>
      <c r="B422" t="s">
        <v>45</v>
      </c>
      <c r="C422" s="1">
        <v>45442</v>
      </c>
      <c r="D422" s="1">
        <v>45455</v>
      </c>
      <c r="E422" s="2">
        <f t="shared" si="12"/>
        <v>1</v>
      </c>
      <c r="F422">
        <v>33</v>
      </c>
      <c r="G422" t="str">
        <f t="shared" si="13"/>
        <v>21-40</v>
      </c>
      <c r="H422" t="s">
        <v>35</v>
      </c>
      <c r="I422" t="s">
        <v>58</v>
      </c>
      <c r="J422" t="s">
        <v>59</v>
      </c>
      <c r="K422" t="s">
        <v>33</v>
      </c>
      <c r="L422">
        <v>2</v>
      </c>
      <c r="M422">
        <v>2</v>
      </c>
      <c r="N422">
        <v>4.4000000000000004</v>
      </c>
      <c r="O422">
        <v>7.8</v>
      </c>
      <c r="P422">
        <v>5</v>
      </c>
      <c r="Q422">
        <v>3</v>
      </c>
      <c r="R422">
        <v>794206</v>
      </c>
      <c r="S422">
        <f>Table1[[#This Row],[Revenue]]-Table1[[#This Row],[Operating_Costs]]</f>
        <v>172892</v>
      </c>
      <c r="T422">
        <v>621314</v>
      </c>
      <c r="U422">
        <v>31</v>
      </c>
      <c r="V422">
        <v>64</v>
      </c>
      <c r="W422">
        <v>14.9</v>
      </c>
    </row>
    <row r="423" spans="1:23" x14ac:dyDescent="0.25">
      <c r="A423">
        <v>5</v>
      </c>
      <c r="B423" t="s">
        <v>22</v>
      </c>
      <c r="C423" s="1">
        <v>45438</v>
      </c>
      <c r="D423" s="1">
        <v>45461</v>
      </c>
      <c r="E423" s="2">
        <f t="shared" si="12"/>
        <v>1</v>
      </c>
      <c r="F423">
        <v>81</v>
      </c>
      <c r="G423" t="str">
        <f t="shared" si="13"/>
        <v>81+</v>
      </c>
      <c r="H423" t="s">
        <v>35</v>
      </c>
      <c r="I423" t="s">
        <v>61</v>
      </c>
      <c r="J423" t="s">
        <v>62</v>
      </c>
      <c r="K423" t="s">
        <v>42</v>
      </c>
      <c r="L423">
        <v>2</v>
      </c>
      <c r="M423">
        <v>2</v>
      </c>
      <c r="N423">
        <v>2.4</v>
      </c>
      <c r="O423">
        <v>7.3</v>
      </c>
      <c r="P423">
        <v>5</v>
      </c>
      <c r="Q423">
        <v>7</v>
      </c>
      <c r="R423">
        <v>771019</v>
      </c>
      <c r="S423">
        <f>Table1[[#This Row],[Revenue]]-Table1[[#This Row],[Operating_Costs]]</f>
        <v>434452</v>
      </c>
      <c r="T423">
        <v>336567</v>
      </c>
      <c r="U423">
        <v>30</v>
      </c>
      <c r="V423">
        <v>56</v>
      </c>
      <c r="W423">
        <v>8.3000000000000007</v>
      </c>
    </row>
    <row r="424" spans="1:23" x14ac:dyDescent="0.25">
      <c r="A424">
        <v>2</v>
      </c>
      <c r="B424" t="s">
        <v>39</v>
      </c>
      <c r="C424" s="1">
        <v>45441</v>
      </c>
      <c r="D424" s="1">
        <v>45463</v>
      </c>
      <c r="E424" s="2">
        <f t="shared" si="12"/>
        <v>1</v>
      </c>
      <c r="F424">
        <v>29</v>
      </c>
      <c r="G424" t="str">
        <f t="shared" si="13"/>
        <v>21-40</v>
      </c>
      <c r="H424" t="s">
        <v>23</v>
      </c>
      <c r="I424" t="s">
        <v>24</v>
      </c>
      <c r="J424" t="s">
        <v>25</v>
      </c>
      <c r="K424" t="s">
        <v>42</v>
      </c>
      <c r="L424">
        <v>2</v>
      </c>
      <c r="M424">
        <v>2</v>
      </c>
      <c r="N424">
        <v>5.4</v>
      </c>
      <c r="O424">
        <v>9</v>
      </c>
      <c r="P424">
        <v>4</v>
      </c>
      <c r="Q424">
        <v>4</v>
      </c>
      <c r="R424">
        <v>836732</v>
      </c>
      <c r="S424">
        <f>Table1[[#This Row],[Revenue]]-Table1[[#This Row],[Operating_Costs]]</f>
        <v>313135</v>
      </c>
      <c r="T424">
        <v>523597</v>
      </c>
      <c r="U424">
        <v>31</v>
      </c>
      <c r="V424">
        <v>62</v>
      </c>
      <c r="W424">
        <v>6.4</v>
      </c>
    </row>
    <row r="425" spans="1:23" x14ac:dyDescent="0.25">
      <c r="A425">
        <v>13</v>
      </c>
      <c r="B425" t="s">
        <v>30</v>
      </c>
      <c r="C425" s="1">
        <v>45448</v>
      </c>
      <c r="D425" s="1">
        <v>45463</v>
      </c>
      <c r="E425" s="2">
        <f t="shared" si="12"/>
        <v>1</v>
      </c>
      <c r="F425">
        <v>37</v>
      </c>
      <c r="G425" t="str">
        <f t="shared" si="13"/>
        <v>21-40</v>
      </c>
      <c r="H425" t="s">
        <v>23</v>
      </c>
      <c r="I425" t="s">
        <v>27</v>
      </c>
      <c r="J425" t="s">
        <v>28</v>
      </c>
      <c r="K425" t="s">
        <v>29</v>
      </c>
      <c r="L425">
        <v>2</v>
      </c>
      <c r="M425">
        <v>2</v>
      </c>
      <c r="N425">
        <v>4.4000000000000004</v>
      </c>
      <c r="O425">
        <v>7.2</v>
      </c>
      <c r="P425">
        <v>7</v>
      </c>
      <c r="Q425">
        <v>4</v>
      </c>
      <c r="R425">
        <v>735565</v>
      </c>
      <c r="S425">
        <f>Table1[[#This Row],[Revenue]]-Table1[[#This Row],[Operating_Costs]]</f>
        <v>382669</v>
      </c>
      <c r="T425">
        <v>352896</v>
      </c>
      <c r="U425">
        <v>31</v>
      </c>
      <c r="V425">
        <v>62</v>
      </c>
      <c r="W425">
        <v>8</v>
      </c>
    </row>
    <row r="426" spans="1:23" x14ac:dyDescent="0.25">
      <c r="A426">
        <v>15</v>
      </c>
      <c r="B426" t="s">
        <v>45</v>
      </c>
      <c r="C426" s="1">
        <v>45467</v>
      </c>
      <c r="D426" s="1">
        <v>45471</v>
      </c>
      <c r="E426" s="2">
        <f t="shared" si="12"/>
        <v>1</v>
      </c>
      <c r="F426">
        <v>49</v>
      </c>
      <c r="G426" t="str">
        <f t="shared" si="13"/>
        <v>41-60</v>
      </c>
      <c r="H426" t="s">
        <v>35</v>
      </c>
      <c r="I426" t="s">
        <v>36</v>
      </c>
      <c r="J426" t="s">
        <v>37</v>
      </c>
      <c r="K426" t="s">
        <v>38</v>
      </c>
      <c r="L426">
        <v>2</v>
      </c>
      <c r="M426">
        <v>2</v>
      </c>
      <c r="N426">
        <v>5.3</v>
      </c>
      <c r="O426">
        <v>8.6</v>
      </c>
      <c r="P426">
        <v>6</v>
      </c>
      <c r="Q426">
        <v>3</v>
      </c>
      <c r="R426">
        <v>770423</v>
      </c>
      <c r="S426">
        <f>Table1[[#This Row],[Revenue]]-Table1[[#This Row],[Operating_Costs]]</f>
        <v>78434</v>
      </c>
      <c r="T426">
        <v>691989</v>
      </c>
      <c r="U426">
        <v>37</v>
      </c>
      <c r="V426">
        <v>56</v>
      </c>
      <c r="W426">
        <v>8.1999999999999993</v>
      </c>
    </row>
    <row r="427" spans="1:23" x14ac:dyDescent="0.25">
      <c r="A427">
        <v>2</v>
      </c>
      <c r="B427" t="s">
        <v>39</v>
      </c>
      <c r="C427" s="1">
        <v>45448</v>
      </c>
      <c r="D427" s="1">
        <v>45474</v>
      </c>
      <c r="E427" s="2">
        <f t="shared" si="12"/>
        <v>1</v>
      </c>
      <c r="F427">
        <v>45</v>
      </c>
      <c r="G427" t="str">
        <f t="shared" si="13"/>
        <v>41-60</v>
      </c>
      <c r="H427" t="s">
        <v>23</v>
      </c>
      <c r="I427" t="s">
        <v>24</v>
      </c>
      <c r="J427" t="s">
        <v>25</v>
      </c>
      <c r="K427" t="s">
        <v>38</v>
      </c>
      <c r="L427">
        <v>2</v>
      </c>
      <c r="M427">
        <v>2</v>
      </c>
      <c r="N427">
        <v>6.8</v>
      </c>
      <c r="O427">
        <v>8.4</v>
      </c>
      <c r="P427">
        <v>4</v>
      </c>
      <c r="Q427">
        <v>5</v>
      </c>
      <c r="R427">
        <v>893789</v>
      </c>
      <c r="S427">
        <f>Table1[[#This Row],[Revenue]]-Table1[[#This Row],[Operating_Costs]]</f>
        <v>312404</v>
      </c>
      <c r="T427">
        <v>581385</v>
      </c>
      <c r="U427">
        <v>36</v>
      </c>
      <c r="V427">
        <v>59</v>
      </c>
      <c r="W427">
        <v>14.9</v>
      </c>
    </row>
    <row r="428" spans="1:23" x14ac:dyDescent="0.25">
      <c r="A428">
        <v>9</v>
      </c>
      <c r="B428" t="s">
        <v>44</v>
      </c>
      <c r="C428" s="1">
        <v>45480</v>
      </c>
      <c r="D428" s="1">
        <v>45482</v>
      </c>
      <c r="E428" s="2">
        <f t="shared" si="12"/>
        <v>1</v>
      </c>
      <c r="F428">
        <v>37</v>
      </c>
      <c r="G428" t="str">
        <f t="shared" si="13"/>
        <v>21-40</v>
      </c>
      <c r="H428" t="s">
        <v>35</v>
      </c>
      <c r="I428" t="s">
        <v>61</v>
      </c>
      <c r="J428" t="s">
        <v>62</v>
      </c>
      <c r="K428" t="s">
        <v>38</v>
      </c>
      <c r="L428">
        <v>2</v>
      </c>
      <c r="M428">
        <v>2</v>
      </c>
      <c r="N428">
        <v>1.1000000000000001</v>
      </c>
      <c r="O428">
        <v>8.1999999999999993</v>
      </c>
      <c r="P428">
        <v>5</v>
      </c>
      <c r="Q428">
        <v>6</v>
      </c>
      <c r="R428">
        <v>513857</v>
      </c>
      <c r="S428">
        <f>Table1[[#This Row],[Revenue]]-Table1[[#This Row],[Operating_Costs]]</f>
        <v>44160</v>
      </c>
      <c r="T428">
        <v>469697</v>
      </c>
      <c r="U428">
        <v>36</v>
      </c>
      <c r="V428">
        <v>61</v>
      </c>
      <c r="W428">
        <v>8</v>
      </c>
    </row>
    <row r="429" spans="1:23" x14ac:dyDescent="0.25">
      <c r="A429">
        <v>14</v>
      </c>
      <c r="B429" t="s">
        <v>48</v>
      </c>
      <c r="C429" s="1">
        <v>45478</v>
      </c>
      <c r="D429" s="1">
        <v>45484</v>
      </c>
      <c r="E429" s="2">
        <f t="shared" si="12"/>
        <v>1</v>
      </c>
      <c r="F429">
        <v>39</v>
      </c>
      <c r="G429" t="str">
        <f t="shared" si="13"/>
        <v>21-40</v>
      </c>
      <c r="H429" t="s">
        <v>35</v>
      </c>
      <c r="I429" t="s">
        <v>58</v>
      </c>
      <c r="J429" t="s">
        <v>59</v>
      </c>
      <c r="K429" t="s">
        <v>26</v>
      </c>
      <c r="L429">
        <v>2</v>
      </c>
      <c r="M429">
        <v>2</v>
      </c>
      <c r="N429">
        <v>4.2</v>
      </c>
      <c r="O429">
        <v>9.4</v>
      </c>
      <c r="P429">
        <v>6</v>
      </c>
      <c r="Q429">
        <v>5</v>
      </c>
      <c r="R429">
        <v>824230</v>
      </c>
      <c r="S429">
        <f>Table1[[#This Row],[Revenue]]-Table1[[#This Row],[Operating_Costs]]</f>
        <v>211279</v>
      </c>
      <c r="T429">
        <v>612951</v>
      </c>
      <c r="U429">
        <v>41</v>
      </c>
      <c r="V429">
        <v>60</v>
      </c>
      <c r="W429">
        <v>10.3</v>
      </c>
    </row>
    <row r="430" spans="1:23" x14ac:dyDescent="0.25">
      <c r="A430">
        <v>7</v>
      </c>
      <c r="B430" t="s">
        <v>49</v>
      </c>
      <c r="C430" s="1">
        <v>45479</v>
      </c>
      <c r="D430" s="1">
        <v>45484</v>
      </c>
      <c r="E430" s="2">
        <f t="shared" si="12"/>
        <v>1</v>
      </c>
      <c r="F430">
        <v>57</v>
      </c>
      <c r="G430" t="str">
        <f t="shared" si="13"/>
        <v>41-60</v>
      </c>
      <c r="H430" t="s">
        <v>35</v>
      </c>
      <c r="I430" t="s">
        <v>36</v>
      </c>
      <c r="J430" t="s">
        <v>37</v>
      </c>
      <c r="K430" t="s">
        <v>26</v>
      </c>
      <c r="L430">
        <v>2</v>
      </c>
      <c r="M430">
        <v>2</v>
      </c>
      <c r="N430">
        <v>3.9</v>
      </c>
      <c r="O430">
        <v>8.6</v>
      </c>
      <c r="P430">
        <v>4</v>
      </c>
      <c r="Q430">
        <v>4</v>
      </c>
      <c r="R430">
        <v>655615</v>
      </c>
      <c r="S430">
        <f>Table1[[#This Row],[Revenue]]-Table1[[#This Row],[Operating_Costs]]</f>
        <v>109316</v>
      </c>
      <c r="T430">
        <v>546299</v>
      </c>
      <c r="U430">
        <v>40</v>
      </c>
      <c r="V430">
        <v>59</v>
      </c>
      <c r="W430">
        <v>8.3000000000000007</v>
      </c>
    </row>
    <row r="431" spans="1:23" x14ac:dyDescent="0.25">
      <c r="A431">
        <v>6</v>
      </c>
      <c r="B431" t="s">
        <v>70</v>
      </c>
      <c r="C431" s="1">
        <v>45468</v>
      </c>
      <c r="D431" s="1">
        <v>45485</v>
      </c>
      <c r="E431" s="2">
        <f t="shared" si="12"/>
        <v>1</v>
      </c>
      <c r="F431">
        <v>65</v>
      </c>
      <c r="G431" t="str">
        <f t="shared" si="13"/>
        <v>61-80</v>
      </c>
      <c r="H431" t="s">
        <v>35</v>
      </c>
      <c r="I431" t="s">
        <v>61</v>
      </c>
      <c r="J431" t="s">
        <v>62</v>
      </c>
      <c r="K431" t="s">
        <v>38</v>
      </c>
      <c r="L431">
        <v>2</v>
      </c>
      <c r="M431">
        <v>2</v>
      </c>
      <c r="N431">
        <v>2.2999999999999998</v>
      </c>
      <c r="O431">
        <v>7.5</v>
      </c>
      <c r="P431">
        <v>5</v>
      </c>
      <c r="Q431">
        <v>3</v>
      </c>
      <c r="R431">
        <v>771091</v>
      </c>
      <c r="S431">
        <f>Table1[[#This Row],[Revenue]]-Table1[[#This Row],[Operating_Costs]]</f>
        <v>369138</v>
      </c>
      <c r="T431">
        <v>401953</v>
      </c>
      <c r="U431">
        <v>27</v>
      </c>
      <c r="V431">
        <v>65</v>
      </c>
      <c r="W431">
        <v>9.6999999999999993</v>
      </c>
    </row>
    <row r="432" spans="1:23" x14ac:dyDescent="0.25">
      <c r="A432">
        <v>5</v>
      </c>
      <c r="B432" t="s">
        <v>22</v>
      </c>
      <c r="C432" s="1">
        <v>45461</v>
      </c>
      <c r="D432" s="1">
        <v>45488</v>
      </c>
      <c r="E432" s="2">
        <f t="shared" si="12"/>
        <v>1</v>
      </c>
      <c r="F432">
        <v>81</v>
      </c>
      <c r="G432" t="str">
        <f t="shared" si="13"/>
        <v>81+</v>
      </c>
      <c r="H432" t="s">
        <v>35</v>
      </c>
      <c r="I432" t="s">
        <v>31</v>
      </c>
      <c r="J432" t="s">
        <v>28</v>
      </c>
      <c r="K432" t="s">
        <v>33</v>
      </c>
      <c r="L432">
        <v>2</v>
      </c>
      <c r="M432">
        <v>2</v>
      </c>
      <c r="N432">
        <v>4</v>
      </c>
      <c r="O432">
        <v>8.6</v>
      </c>
      <c r="P432">
        <v>5</v>
      </c>
      <c r="Q432">
        <v>3</v>
      </c>
      <c r="R432">
        <v>955181</v>
      </c>
      <c r="S432">
        <f>Table1[[#This Row],[Revenue]]-Table1[[#This Row],[Operating_Costs]]</f>
        <v>554465</v>
      </c>
      <c r="T432">
        <v>400716</v>
      </c>
      <c r="U432">
        <v>32</v>
      </c>
      <c r="V432">
        <v>56</v>
      </c>
      <c r="W432">
        <v>13.2</v>
      </c>
    </row>
    <row r="433" spans="1:23" x14ac:dyDescent="0.25">
      <c r="A433">
        <v>10</v>
      </c>
      <c r="B433" t="s">
        <v>34</v>
      </c>
      <c r="C433" s="1">
        <v>45489</v>
      </c>
      <c r="D433" s="1">
        <v>45493</v>
      </c>
      <c r="E433" s="2">
        <f t="shared" si="12"/>
        <v>1</v>
      </c>
      <c r="F433">
        <v>53</v>
      </c>
      <c r="G433" t="str">
        <f t="shared" si="13"/>
        <v>41-60</v>
      </c>
      <c r="H433" t="s">
        <v>23</v>
      </c>
      <c r="I433" t="s">
        <v>31</v>
      </c>
      <c r="J433" t="s">
        <v>28</v>
      </c>
      <c r="K433" t="s">
        <v>38</v>
      </c>
      <c r="L433">
        <v>2</v>
      </c>
      <c r="M433">
        <v>2</v>
      </c>
      <c r="N433">
        <v>4.9000000000000004</v>
      </c>
      <c r="O433">
        <v>7.8</v>
      </c>
      <c r="P433">
        <v>4</v>
      </c>
      <c r="Q433">
        <v>5</v>
      </c>
      <c r="R433">
        <v>922339</v>
      </c>
      <c r="S433">
        <f>Table1[[#This Row],[Revenue]]-Table1[[#This Row],[Operating_Costs]]</f>
        <v>334071</v>
      </c>
      <c r="T433">
        <v>588268</v>
      </c>
      <c r="U433">
        <v>67</v>
      </c>
      <c r="V433">
        <v>66</v>
      </c>
      <c r="W433">
        <v>5.4</v>
      </c>
    </row>
    <row r="434" spans="1:23" x14ac:dyDescent="0.25">
      <c r="A434">
        <v>7</v>
      </c>
      <c r="B434" t="s">
        <v>49</v>
      </c>
      <c r="C434" s="1">
        <v>45487</v>
      </c>
      <c r="D434" s="1">
        <v>45494</v>
      </c>
      <c r="E434" s="2">
        <f t="shared" si="12"/>
        <v>1</v>
      </c>
      <c r="F434">
        <v>51</v>
      </c>
      <c r="G434" t="str">
        <f t="shared" si="13"/>
        <v>41-60</v>
      </c>
      <c r="H434" t="s">
        <v>23</v>
      </c>
      <c r="I434" t="s">
        <v>46</v>
      </c>
      <c r="J434" t="s">
        <v>47</v>
      </c>
      <c r="K434" t="s">
        <v>38</v>
      </c>
      <c r="L434">
        <v>2</v>
      </c>
      <c r="M434">
        <v>2</v>
      </c>
      <c r="N434">
        <v>4.3</v>
      </c>
      <c r="O434">
        <v>7.7</v>
      </c>
      <c r="P434">
        <v>5</v>
      </c>
      <c r="Q434">
        <v>7</v>
      </c>
      <c r="R434">
        <v>807954</v>
      </c>
      <c r="S434">
        <f>Table1[[#This Row],[Revenue]]-Table1[[#This Row],[Operating_Costs]]</f>
        <v>213276</v>
      </c>
      <c r="T434">
        <v>594678</v>
      </c>
      <c r="U434">
        <v>42</v>
      </c>
      <c r="V434">
        <v>62</v>
      </c>
      <c r="W434">
        <v>13.9</v>
      </c>
    </row>
    <row r="435" spans="1:23" x14ac:dyDescent="0.25">
      <c r="A435">
        <v>5</v>
      </c>
      <c r="B435" t="s">
        <v>22</v>
      </c>
      <c r="C435" s="1">
        <v>45491</v>
      </c>
      <c r="D435" s="1">
        <v>45495</v>
      </c>
      <c r="E435" s="2">
        <f t="shared" si="12"/>
        <v>1</v>
      </c>
      <c r="F435">
        <v>22</v>
      </c>
      <c r="G435" t="str">
        <f t="shared" si="13"/>
        <v>21-40</v>
      </c>
      <c r="H435" t="s">
        <v>23</v>
      </c>
      <c r="I435" t="s">
        <v>43</v>
      </c>
      <c r="J435" t="s">
        <v>25</v>
      </c>
      <c r="K435" t="s">
        <v>33</v>
      </c>
      <c r="L435">
        <v>2</v>
      </c>
      <c r="M435">
        <v>2</v>
      </c>
      <c r="N435">
        <v>3.9</v>
      </c>
      <c r="O435">
        <v>7.5</v>
      </c>
      <c r="P435">
        <v>5</v>
      </c>
      <c r="Q435">
        <v>7</v>
      </c>
      <c r="R435">
        <v>655464</v>
      </c>
      <c r="S435">
        <f>Table1[[#This Row],[Revenue]]-Table1[[#This Row],[Operating_Costs]]</f>
        <v>396283</v>
      </c>
      <c r="T435">
        <v>259181</v>
      </c>
      <c r="U435">
        <v>27</v>
      </c>
      <c r="V435">
        <v>59</v>
      </c>
      <c r="W435">
        <v>13.4</v>
      </c>
    </row>
    <row r="436" spans="1:23" x14ac:dyDescent="0.25">
      <c r="A436">
        <v>10</v>
      </c>
      <c r="B436" t="s">
        <v>34</v>
      </c>
      <c r="C436" s="1">
        <v>45469</v>
      </c>
      <c r="D436" s="1">
        <v>45495</v>
      </c>
      <c r="E436" s="2">
        <f t="shared" si="12"/>
        <v>1</v>
      </c>
      <c r="F436">
        <v>55</v>
      </c>
      <c r="G436" t="str">
        <f t="shared" si="13"/>
        <v>41-60</v>
      </c>
      <c r="H436" t="s">
        <v>35</v>
      </c>
      <c r="I436" t="s">
        <v>58</v>
      </c>
      <c r="J436" t="s">
        <v>59</v>
      </c>
      <c r="K436" t="s">
        <v>33</v>
      </c>
      <c r="L436">
        <v>2</v>
      </c>
      <c r="M436">
        <v>2</v>
      </c>
      <c r="N436">
        <v>1.3</v>
      </c>
      <c r="O436">
        <v>9.1</v>
      </c>
      <c r="P436">
        <v>4</v>
      </c>
      <c r="Q436">
        <v>7</v>
      </c>
      <c r="R436">
        <v>939996</v>
      </c>
      <c r="S436">
        <f>Table1[[#This Row],[Revenue]]-Table1[[#This Row],[Operating_Costs]]</f>
        <v>241483</v>
      </c>
      <c r="T436">
        <v>698513</v>
      </c>
      <c r="U436">
        <v>56</v>
      </c>
      <c r="V436">
        <v>55</v>
      </c>
      <c r="W436">
        <v>10.6</v>
      </c>
    </row>
    <row r="437" spans="1:23" x14ac:dyDescent="0.25">
      <c r="A437">
        <v>2</v>
      </c>
      <c r="B437" t="s">
        <v>39</v>
      </c>
      <c r="C437" s="1">
        <v>45485</v>
      </c>
      <c r="D437" s="1">
        <v>45497</v>
      </c>
      <c r="E437" s="2">
        <f t="shared" si="12"/>
        <v>1</v>
      </c>
      <c r="F437">
        <v>63</v>
      </c>
      <c r="G437" t="str">
        <f t="shared" si="13"/>
        <v>61-80</v>
      </c>
      <c r="H437" t="s">
        <v>35</v>
      </c>
      <c r="I437" t="s">
        <v>36</v>
      </c>
      <c r="J437" t="s">
        <v>37</v>
      </c>
      <c r="K437" t="s">
        <v>33</v>
      </c>
      <c r="L437">
        <v>2</v>
      </c>
      <c r="M437">
        <v>2</v>
      </c>
      <c r="N437">
        <v>6.7</v>
      </c>
      <c r="O437">
        <v>7.8</v>
      </c>
      <c r="P437">
        <v>6</v>
      </c>
      <c r="Q437">
        <v>5</v>
      </c>
      <c r="R437">
        <v>678325</v>
      </c>
      <c r="S437">
        <f>Table1[[#This Row],[Revenue]]-Table1[[#This Row],[Operating_Costs]]</f>
        <v>34431</v>
      </c>
      <c r="T437">
        <v>643894</v>
      </c>
      <c r="U437">
        <v>30</v>
      </c>
      <c r="V437">
        <v>63</v>
      </c>
      <c r="W437">
        <v>6.4</v>
      </c>
    </row>
    <row r="438" spans="1:23" x14ac:dyDescent="0.25">
      <c r="A438">
        <v>13</v>
      </c>
      <c r="B438" t="s">
        <v>30</v>
      </c>
      <c r="C438" s="1">
        <v>45488</v>
      </c>
      <c r="D438" s="1">
        <v>45499</v>
      </c>
      <c r="E438" s="2">
        <f t="shared" si="12"/>
        <v>1</v>
      </c>
      <c r="F438">
        <v>24</v>
      </c>
      <c r="G438" t="str">
        <f t="shared" si="13"/>
        <v>21-40</v>
      </c>
      <c r="H438" t="s">
        <v>23</v>
      </c>
      <c r="I438" t="s">
        <v>64</v>
      </c>
      <c r="J438" t="s">
        <v>65</v>
      </c>
      <c r="K438" t="s">
        <v>38</v>
      </c>
      <c r="L438">
        <v>2</v>
      </c>
      <c r="M438">
        <v>2</v>
      </c>
      <c r="N438">
        <v>5.5</v>
      </c>
      <c r="O438">
        <v>7.6</v>
      </c>
      <c r="P438">
        <v>3</v>
      </c>
      <c r="Q438">
        <v>6</v>
      </c>
      <c r="R438">
        <v>419185</v>
      </c>
      <c r="S438">
        <f>Table1[[#This Row],[Revenue]]-Table1[[#This Row],[Operating_Costs]]</f>
        <v>43670</v>
      </c>
      <c r="T438">
        <v>375515</v>
      </c>
      <c r="U438">
        <v>45</v>
      </c>
      <c r="V438">
        <v>65</v>
      </c>
      <c r="W438">
        <v>14.7</v>
      </c>
    </row>
    <row r="439" spans="1:23" x14ac:dyDescent="0.25">
      <c r="A439">
        <v>2</v>
      </c>
      <c r="B439" t="s">
        <v>39</v>
      </c>
      <c r="C439" s="1">
        <v>45493</v>
      </c>
      <c r="D439" s="1">
        <v>45500</v>
      </c>
      <c r="E439" s="2">
        <f t="shared" si="12"/>
        <v>1</v>
      </c>
      <c r="F439">
        <v>29</v>
      </c>
      <c r="G439" t="str">
        <f t="shared" si="13"/>
        <v>21-40</v>
      </c>
      <c r="H439" t="s">
        <v>23</v>
      </c>
      <c r="I439" t="s">
        <v>31</v>
      </c>
      <c r="J439" t="s">
        <v>28</v>
      </c>
      <c r="K439" t="s">
        <v>42</v>
      </c>
      <c r="L439">
        <v>2</v>
      </c>
      <c r="M439">
        <v>2</v>
      </c>
      <c r="N439">
        <v>5.4</v>
      </c>
      <c r="O439">
        <v>8.8000000000000007</v>
      </c>
      <c r="P439">
        <v>7</v>
      </c>
      <c r="Q439">
        <v>6</v>
      </c>
      <c r="R439">
        <v>877092</v>
      </c>
      <c r="S439">
        <f>Table1[[#This Row],[Revenue]]-Table1[[#This Row],[Operating_Costs]]</f>
        <v>346827</v>
      </c>
      <c r="T439">
        <v>530265</v>
      </c>
      <c r="U439">
        <v>40</v>
      </c>
      <c r="V439">
        <v>64</v>
      </c>
      <c r="W439">
        <v>10.1</v>
      </c>
    </row>
    <row r="440" spans="1:23" x14ac:dyDescent="0.25">
      <c r="A440">
        <v>1</v>
      </c>
      <c r="B440" t="s">
        <v>32</v>
      </c>
      <c r="C440" s="1">
        <v>45490</v>
      </c>
      <c r="D440" s="1">
        <v>45502</v>
      </c>
      <c r="E440" s="2">
        <f t="shared" si="12"/>
        <v>1</v>
      </c>
      <c r="F440">
        <v>76</v>
      </c>
      <c r="G440" t="str">
        <f t="shared" si="13"/>
        <v>61-80</v>
      </c>
      <c r="H440" t="s">
        <v>23</v>
      </c>
      <c r="I440" t="s">
        <v>24</v>
      </c>
      <c r="J440" t="s">
        <v>25</v>
      </c>
      <c r="K440" t="s">
        <v>29</v>
      </c>
      <c r="L440">
        <v>2</v>
      </c>
      <c r="M440">
        <v>2</v>
      </c>
      <c r="N440">
        <v>4.7</v>
      </c>
      <c r="O440">
        <v>7.8</v>
      </c>
      <c r="P440">
        <v>4</v>
      </c>
      <c r="Q440">
        <v>6</v>
      </c>
      <c r="R440">
        <v>923660</v>
      </c>
      <c r="S440">
        <f>Table1[[#This Row],[Revenue]]-Table1[[#This Row],[Operating_Costs]]</f>
        <v>122695</v>
      </c>
      <c r="T440">
        <v>800965</v>
      </c>
      <c r="U440">
        <v>38</v>
      </c>
      <c r="V440">
        <v>62</v>
      </c>
      <c r="W440">
        <v>13.6</v>
      </c>
    </row>
    <row r="441" spans="1:23" x14ac:dyDescent="0.25">
      <c r="A441">
        <v>9</v>
      </c>
      <c r="B441" t="s">
        <v>44</v>
      </c>
      <c r="C441" s="1">
        <v>45505</v>
      </c>
      <c r="D441" s="1">
        <v>45508</v>
      </c>
      <c r="E441" s="2">
        <f t="shared" si="12"/>
        <v>1</v>
      </c>
      <c r="F441">
        <v>37</v>
      </c>
      <c r="G441" t="str">
        <f t="shared" si="13"/>
        <v>21-40</v>
      </c>
      <c r="H441" t="s">
        <v>35</v>
      </c>
      <c r="I441" t="s">
        <v>36</v>
      </c>
      <c r="J441" t="s">
        <v>37</v>
      </c>
      <c r="K441" t="s">
        <v>29</v>
      </c>
      <c r="L441">
        <v>2</v>
      </c>
      <c r="M441">
        <v>2</v>
      </c>
      <c r="N441">
        <v>6.2</v>
      </c>
      <c r="O441">
        <v>9.6</v>
      </c>
      <c r="P441">
        <v>6</v>
      </c>
      <c r="Q441">
        <v>7</v>
      </c>
      <c r="R441">
        <v>534669</v>
      </c>
      <c r="S441">
        <f>Table1[[#This Row],[Revenue]]-Table1[[#This Row],[Operating_Costs]]</f>
        <v>105226</v>
      </c>
      <c r="T441">
        <v>429443</v>
      </c>
      <c r="U441">
        <v>40</v>
      </c>
      <c r="V441">
        <v>65</v>
      </c>
      <c r="W441">
        <v>10</v>
      </c>
    </row>
    <row r="442" spans="1:23" x14ac:dyDescent="0.25">
      <c r="A442">
        <v>12</v>
      </c>
      <c r="B442" t="s">
        <v>66</v>
      </c>
      <c r="C442" s="1">
        <v>45492</v>
      </c>
      <c r="D442" s="1">
        <v>45508</v>
      </c>
      <c r="E442" s="2">
        <f t="shared" si="12"/>
        <v>1</v>
      </c>
      <c r="F442">
        <v>62</v>
      </c>
      <c r="G442" t="str">
        <f t="shared" si="13"/>
        <v>61-80</v>
      </c>
      <c r="H442" t="s">
        <v>35</v>
      </c>
      <c r="I442" t="s">
        <v>58</v>
      </c>
      <c r="J442" t="s">
        <v>59</v>
      </c>
      <c r="K442" t="s">
        <v>38</v>
      </c>
      <c r="L442">
        <v>2</v>
      </c>
      <c r="M442">
        <v>2</v>
      </c>
      <c r="N442">
        <v>5.2</v>
      </c>
      <c r="O442">
        <v>9.9</v>
      </c>
      <c r="P442">
        <v>3</v>
      </c>
      <c r="Q442">
        <v>7</v>
      </c>
      <c r="R442">
        <v>927790</v>
      </c>
      <c r="S442">
        <f>Table1[[#This Row],[Revenue]]-Table1[[#This Row],[Operating_Costs]]</f>
        <v>271602</v>
      </c>
      <c r="T442">
        <v>656188</v>
      </c>
      <c r="U442">
        <v>75</v>
      </c>
      <c r="V442">
        <v>55</v>
      </c>
      <c r="W442">
        <v>8.1999999999999993</v>
      </c>
    </row>
    <row r="443" spans="1:23" x14ac:dyDescent="0.25">
      <c r="A443">
        <v>13</v>
      </c>
      <c r="B443" t="s">
        <v>30</v>
      </c>
      <c r="C443" s="1">
        <v>45497</v>
      </c>
      <c r="D443" s="1">
        <v>45509</v>
      </c>
      <c r="E443" s="2">
        <f t="shared" si="12"/>
        <v>1</v>
      </c>
      <c r="F443">
        <v>74</v>
      </c>
      <c r="G443" t="str">
        <f t="shared" si="13"/>
        <v>61-80</v>
      </c>
      <c r="H443" t="s">
        <v>35</v>
      </c>
      <c r="I443" t="s">
        <v>60</v>
      </c>
      <c r="J443" t="s">
        <v>59</v>
      </c>
      <c r="K443" t="s">
        <v>29</v>
      </c>
      <c r="L443">
        <v>2</v>
      </c>
      <c r="M443">
        <v>2</v>
      </c>
      <c r="N443">
        <v>3.4</v>
      </c>
      <c r="O443">
        <v>8.9</v>
      </c>
      <c r="P443">
        <v>4</v>
      </c>
      <c r="Q443">
        <v>7</v>
      </c>
      <c r="R443">
        <v>488732</v>
      </c>
      <c r="S443">
        <f>Table1[[#This Row],[Revenue]]-Table1[[#This Row],[Operating_Costs]]</f>
        <v>125591</v>
      </c>
      <c r="T443">
        <v>363141</v>
      </c>
      <c r="U443">
        <v>39</v>
      </c>
      <c r="V443">
        <v>66</v>
      </c>
      <c r="W443">
        <v>14.5</v>
      </c>
    </row>
    <row r="444" spans="1:23" x14ac:dyDescent="0.25">
      <c r="A444">
        <v>5</v>
      </c>
      <c r="B444" t="s">
        <v>22</v>
      </c>
      <c r="C444" s="1">
        <v>45492</v>
      </c>
      <c r="D444" s="1">
        <v>45512</v>
      </c>
      <c r="E444" s="2">
        <f t="shared" si="12"/>
        <v>1</v>
      </c>
      <c r="F444">
        <v>71</v>
      </c>
      <c r="G444" t="str">
        <f t="shared" si="13"/>
        <v>61-80</v>
      </c>
      <c r="H444" t="s">
        <v>23</v>
      </c>
      <c r="I444" t="s">
        <v>46</v>
      </c>
      <c r="J444" t="s">
        <v>47</v>
      </c>
      <c r="K444" t="s">
        <v>42</v>
      </c>
      <c r="L444">
        <v>2</v>
      </c>
      <c r="M444">
        <v>2</v>
      </c>
      <c r="N444">
        <v>3.6</v>
      </c>
      <c r="O444">
        <v>8.1</v>
      </c>
      <c r="P444">
        <v>5</v>
      </c>
      <c r="Q444">
        <v>7</v>
      </c>
      <c r="R444">
        <v>853819</v>
      </c>
      <c r="S444">
        <f>Table1[[#This Row],[Revenue]]-Table1[[#This Row],[Operating_Costs]]</f>
        <v>461490</v>
      </c>
      <c r="T444">
        <v>392329</v>
      </c>
      <c r="U444">
        <v>27</v>
      </c>
      <c r="V444">
        <v>55</v>
      </c>
      <c r="W444">
        <v>7.5</v>
      </c>
    </row>
    <row r="445" spans="1:23" x14ac:dyDescent="0.25">
      <c r="A445">
        <v>14</v>
      </c>
      <c r="B445" t="s">
        <v>48</v>
      </c>
      <c r="C445" s="1">
        <v>45488</v>
      </c>
      <c r="D445" s="1">
        <v>45512</v>
      </c>
      <c r="E445" s="2">
        <f t="shared" si="12"/>
        <v>1</v>
      </c>
      <c r="F445">
        <v>62</v>
      </c>
      <c r="G445" t="str">
        <f t="shared" si="13"/>
        <v>61-80</v>
      </c>
      <c r="H445" t="s">
        <v>23</v>
      </c>
      <c r="I445" t="s">
        <v>67</v>
      </c>
      <c r="J445" t="s">
        <v>68</v>
      </c>
      <c r="K445" t="s">
        <v>38</v>
      </c>
      <c r="L445">
        <v>2</v>
      </c>
      <c r="M445">
        <v>2</v>
      </c>
      <c r="N445">
        <v>3.6</v>
      </c>
      <c r="O445">
        <v>8</v>
      </c>
      <c r="P445">
        <v>6</v>
      </c>
      <c r="Q445">
        <v>6</v>
      </c>
      <c r="R445">
        <v>865436</v>
      </c>
      <c r="S445">
        <f>Table1[[#This Row],[Revenue]]-Table1[[#This Row],[Operating_Costs]]</f>
        <v>293183</v>
      </c>
      <c r="T445">
        <v>572253</v>
      </c>
      <c r="U445">
        <v>50</v>
      </c>
      <c r="V445">
        <v>57</v>
      </c>
      <c r="W445">
        <v>5.8</v>
      </c>
    </row>
    <row r="446" spans="1:23" x14ac:dyDescent="0.25">
      <c r="A446">
        <v>14</v>
      </c>
      <c r="B446" t="s">
        <v>48</v>
      </c>
      <c r="C446" s="1">
        <v>45498</v>
      </c>
      <c r="D446" s="1">
        <v>45514</v>
      </c>
      <c r="E446" s="2">
        <f t="shared" si="12"/>
        <v>1</v>
      </c>
      <c r="F446">
        <v>37</v>
      </c>
      <c r="G446" t="str">
        <f t="shared" si="13"/>
        <v>21-40</v>
      </c>
      <c r="H446" t="s">
        <v>23</v>
      </c>
      <c r="I446" t="s">
        <v>43</v>
      </c>
      <c r="J446" t="s">
        <v>25</v>
      </c>
      <c r="K446" t="s">
        <v>38</v>
      </c>
      <c r="L446">
        <v>2</v>
      </c>
      <c r="M446">
        <v>2</v>
      </c>
      <c r="N446">
        <v>3.3</v>
      </c>
      <c r="O446">
        <v>9.5</v>
      </c>
      <c r="P446">
        <v>4</v>
      </c>
      <c r="Q446">
        <v>4</v>
      </c>
      <c r="R446">
        <v>874649</v>
      </c>
      <c r="S446">
        <f>Table1[[#This Row],[Revenue]]-Table1[[#This Row],[Operating_Costs]]</f>
        <v>246318</v>
      </c>
      <c r="T446">
        <v>628331</v>
      </c>
      <c r="U446">
        <v>33</v>
      </c>
      <c r="V446">
        <v>59</v>
      </c>
      <c r="W446">
        <v>9.3000000000000007</v>
      </c>
    </row>
    <row r="447" spans="1:23" x14ac:dyDescent="0.25">
      <c r="A447">
        <v>10</v>
      </c>
      <c r="B447" t="s">
        <v>34</v>
      </c>
      <c r="C447" s="1">
        <v>45508</v>
      </c>
      <c r="D447" s="1">
        <v>45524</v>
      </c>
      <c r="E447" s="2">
        <f t="shared" si="12"/>
        <v>1</v>
      </c>
      <c r="F447">
        <v>29</v>
      </c>
      <c r="G447" t="str">
        <f t="shared" si="13"/>
        <v>21-40</v>
      </c>
      <c r="H447" t="s">
        <v>35</v>
      </c>
      <c r="I447" t="s">
        <v>40</v>
      </c>
      <c r="J447" t="s">
        <v>41</v>
      </c>
      <c r="K447" t="s">
        <v>29</v>
      </c>
      <c r="L447">
        <v>2</v>
      </c>
      <c r="M447">
        <v>2</v>
      </c>
      <c r="N447">
        <v>1</v>
      </c>
      <c r="O447">
        <v>9.1</v>
      </c>
      <c r="P447">
        <v>3</v>
      </c>
      <c r="Q447">
        <v>5</v>
      </c>
      <c r="R447">
        <v>961789</v>
      </c>
      <c r="S447">
        <f>Table1[[#This Row],[Revenue]]-Table1[[#This Row],[Operating_Costs]]</f>
        <v>325628</v>
      </c>
      <c r="T447">
        <v>636161</v>
      </c>
      <c r="U447">
        <v>59</v>
      </c>
      <c r="V447">
        <v>61</v>
      </c>
      <c r="W447">
        <v>13.5</v>
      </c>
    </row>
    <row r="448" spans="1:23" x14ac:dyDescent="0.25">
      <c r="A448">
        <v>7</v>
      </c>
      <c r="B448" t="s">
        <v>49</v>
      </c>
      <c r="C448" s="1">
        <v>45514</v>
      </c>
      <c r="D448" s="1">
        <v>45529</v>
      </c>
      <c r="E448" s="2">
        <f t="shared" si="12"/>
        <v>1</v>
      </c>
      <c r="F448">
        <v>86</v>
      </c>
      <c r="G448" t="str">
        <f t="shared" si="13"/>
        <v>81+</v>
      </c>
      <c r="H448" t="s">
        <v>35</v>
      </c>
      <c r="I448" t="s">
        <v>55</v>
      </c>
      <c r="J448" t="s">
        <v>56</v>
      </c>
      <c r="K448" t="s">
        <v>38</v>
      </c>
      <c r="L448">
        <v>2</v>
      </c>
      <c r="M448">
        <v>2</v>
      </c>
      <c r="N448">
        <v>5.9</v>
      </c>
      <c r="O448">
        <v>8.3000000000000007</v>
      </c>
      <c r="P448">
        <v>7</v>
      </c>
      <c r="Q448">
        <v>3</v>
      </c>
      <c r="R448">
        <v>701332</v>
      </c>
      <c r="S448">
        <f>Table1[[#This Row],[Revenue]]-Table1[[#This Row],[Operating_Costs]]</f>
        <v>191561</v>
      </c>
      <c r="T448">
        <v>509771</v>
      </c>
      <c r="U448">
        <v>58</v>
      </c>
      <c r="V448">
        <v>56</v>
      </c>
      <c r="W448">
        <v>6.4</v>
      </c>
    </row>
    <row r="449" spans="1:23" x14ac:dyDescent="0.25">
      <c r="A449">
        <v>7</v>
      </c>
      <c r="B449" t="s">
        <v>49</v>
      </c>
      <c r="C449" s="1">
        <v>45514</v>
      </c>
      <c r="D449" s="1">
        <v>45529</v>
      </c>
      <c r="E449" s="2">
        <f t="shared" si="12"/>
        <v>1</v>
      </c>
      <c r="F449">
        <v>39</v>
      </c>
      <c r="G449" t="str">
        <f t="shared" si="13"/>
        <v>21-40</v>
      </c>
      <c r="H449" t="s">
        <v>23</v>
      </c>
      <c r="I449" t="s">
        <v>24</v>
      </c>
      <c r="J449" t="s">
        <v>25</v>
      </c>
      <c r="K449" t="s">
        <v>42</v>
      </c>
      <c r="L449">
        <v>2</v>
      </c>
      <c r="M449">
        <v>2</v>
      </c>
      <c r="N449">
        <v>5.5</v>
      </c>
      <c r="O449">
        <v>8.1</v>
      </c>
      <c r="P449">
        <v>7</v>
      </c>
      <c r="Q449">
        <v>3</v>
      </c>
      <c r="R449">
        <v>848989</v>
      </c>
      <c r="S449">
        <f>Table1[[#This Row],[Revenue]]-Table1[[#This Row],[Operating_Costs]]</f>
        <v>297230</v>
      </c>
      <c r="T449">
        <v>551759</v>
      </c>
      <c r="U449">
        <v>58</v>
      </c>
      <c r="V449">
        <v>63</v>
      </c>
      <c r="W449">
        <v>6.3</v>
      </c>
    </row>
    <row r="450" spans="1:23" x14ac:dyDescent="0.25">
      <c r="A450">
        <v>2</v>
      </c>
      <c r="B450" t="s">
        <v>39</v>
      </c>
      <c r="C450" s="1">
        <v>45529</v>
      </c>
      <c r="D450" s="1">
        <v>45531</v>
      </c>
      <c r="E450" s="2">
        <f t="shared" si="12"/>
        <v>1</v>
      </c>
      <c r="F450">
        <v>28</v>
      </c>
      <c r="G450" t="str">
        <f t="shared" si="13"/>
        <v>21-40</v>
      </c>
      <c r="H450" t="s">
        <v>23</v>
      </c>
      <c r="I450" t="s">
        <v>46</v>
      </c>
      <c r="J450" t="s">
        <v>47</v>
      </c>
      <c r="K450" t="s">
        <v>29</v>
      </c>
      <c r="L450">
        <v>2</v>
      </c>
      <c r="M450">
        <v>2</v>
      </c>
      <c r="N450">
        <v>3.5</v>
      </c>
      <c r="O450">
        <v>7.5</v>
      </c>
      <c r="P450">
        <v>5</v>
      </c>
      <c r="Q450">
        <v>5</v>
      </c>
      <c r="R450">
        <v>680906</v>
      </c>
      <c r="S450">
        <f>Table1[[#This Row],[Revenue]]-Table1[[#This Row],[Operating_Costs]]</f>
        <v>128707</v>
      </c>
      <c r="T450">
        <v>552199</v>
      </c>
      <c r="U450">
        <v>40</v>
      </c>
      <c r="V450">
        <v>62</v>
      </c>
      <c r="W450">
        <v>8.1999999999999993</v>
      </c>
    </row>
    <row r="451" spans="1:23" x14ac:dyDescent="0.25">
      <c r="A451">
        <v>14</v>
      </c>
      <c r="B451" t="s">
        <v>48</v>
      </c>
      <c r="C451" s="1">
        <v>45520</v>
      </c>
      <c r="D451" s="1">
        <v>45533</v>
      </c>
      <c r="E451" s="2">
        <f t="shared" ref="E451:E501" si="14">IF(D451-C451&lt;=30,1,0)</f>
        <v>1</v>
      </c>
      <c r="F451">
        <v>30</v>
      </c>
      <c r="G451" t="str">
        <f t="shared" ref="G451:G514" si="15">IF(F451&lt;=20,"0-20",IF(F451&lt;=40,"21-40",IF(F451&lt;=60,"41-60",IF(F451&lt;=80,"61-80","81+"))))</f>
        <v>21-40</v>
      </c>
      <c r="H451" t="s">
        <v>23</v>
      </c>
      <c r="I451" t="s">
        <v>46</v>
      </c>
      <c r="J451" t="s">
        <v>47</v>
      </c>
      <c r="K451" t="s">
        <v>29</v>
      </c>
      <c r="L451">
        <v>2</v>
      </c>
      <c r="M451">
        <v>2</v>
      </c>
      <c r="N451">
        <v>1.8</v>
      </c>
      <c r="O451">
        <v>8.8000000000000007</v>
      </c>
      <c r="P451">
        <v>7</v>
      </c>
      <c r="Q451">
        <v>4</v>
      </c>
      <c r="R451">
        <v>795807</v>
      </c>
      <c r="S451">
        <f>Table1[[#This Row],[Revenue]]-Table1[[#This Row],[Operating_Costs]]</f>
        <v>195528</v>
      </c>
      <c r="T451">
        <v>600279</v>
      </c>
      <c r="U451">
        <v>41</v>
      </c>
      <c r="V451">
        <v>56</v>
      </c>
      <c r="W451">
        <v>9.5</v>
      </c>
    </row>
    <row r="452" spans="1:23" x14ac:dyDescent="0.25">
      <c r="A452">
        <v>6</v>
      </c>
      <c r="B452" t="s">
        <v>70</v>
      </c>
      <c r="C452" s="1">
        <v>45524</v>
      </c>
      <c r="D452" s="1">
        <v>45537</v>
      </c>
      <c r="E452" s="2">
        <f t="shared" si="14"/>
        <v>1</v>
      </c>
      <c r="F452">
        <v>70</v>
      </c>
      <c r="G452" t="str">
        <f t="shared" si="15"/>
        <v>61-80</v>
      </c>
      <c r="H452" t="s">
        <v>35</v>
      </c>
      <c r="I452" t="s">
        <v>46</v>
      </c>
      <c r="J452" t="s">
        <v>47</v>
      </c>
      <c r="K452" t="s">
        <v>33</v>
      </c>
      <c r="L452">
        <v>2</v>
      </c>
      <c r="M452">
        <v>2</v>
      </c>
      <c r="N452">
        <v>4.9000000000000004</v>
      </c>
      <c r="O452">
        <v>7.1</v>
      </c>
      <c r="P452">
        <v>3</v>
      </c>
      <c r="Q452">
        <v>3</v>
      </c>
      <c r="R452">
        <v>765731</v>
      </c>
      <c r="S452">
        <f>Table1[[#This Row],[Revenue]]-Table1[[#This Row],[Operating_Costs]]</f>
        <v>357144</v>
      </c>
      <c r="T452">
        <v>408587</v>
      </c>
      <c r="U452">
        <v>20</v>
      </c>
      <c r="V452">
        <v>57</v>
      </c>
      <c r="W452">
        <v>36.4</v>
      </c>
    </row>
    <row r="453" spans="1:23" x14ac:dyDescent="0.25">
      <c r="A453">
        <v>12</v>
      </c>
      <c r="B453" t="s">
        <v>66</v>
      </c>
      <c r="C453" s="1">
        <v>45528</v>
      </c>
      <c r="D453" s="1">
        <v>45538</v>
      </c>
      <c r="E453" s="2">
        <f t="shared" si="14"/>
        <v>1</v>
      </c>
      <c r="F453">
        <v>78</v>
      </c>
      <c r="G453" t="str">
        <f t="shared" si="15"/>
        <v>61-80</v>
      </c>
      <c r="H453" t="s">
        <v>35</v>
      </c>
      <c r="I453" t="s">
        <v>64</v>
      </c>
      <c r="J453" t="s">
        <v>65</v>
      </c>
      <c r="K453" t="s">
        <v>29</v>
      </c>
      <c r="L453">
        <v>2</v>
      </c>
      <c r="M453">
        <v>2</v>
      </c>
      <c r="N453">
        <v>2.2999999999999998</v>
      </c>
      <c r="O453">
        <v>9.8000000000000007</v>
      </c>
      <c r="P453">
        <v>5</v>
      </c>
      <c r="Q453">
        <v>5</v>
      </c>
      <c r="R453">
        <v>935055</v>
      </c>
      <c r="S453">
        <f>Table1[[#This Row],[Revenue]]-Table1[[#This Row],[Operating_Costs]]</f>
        <v>315348</v>
      </c>
      <c r="T453">
        <v>619707</v>
      </c>
      <c r="U453">
        <v>53</v>
      </c>
      <c r="V453">
        <v>61</v>
      </c>
      <c r="W453">
        <v>13.6</v>
      </c>
    </row>
    <row r="454" spans="1:23" x14ac:dyDescent="0.25">
      <c r="A454">
        <v>7</v>
      </c>
      <c r="B454" t="s">
        <v>49</v>
      </c>
      <c r="C454" s="1">
        <v>45511</v>
      </c>
      <c r="D454" s="1">
        <v>45540</v>
      </c>
      <c r="E454" s="2">
        <f t="shared" si="14"/>
        <v>1</v>
      </c>
      <c r="F454">
        <v>66</v>
      </c>
      <c r="G454" t="str">
        <f t="shared" si="15"/>
        <v>61-80</v>
      </c>
      <c r="H454" t="s">
        <v>23</v>
      </c>
      <c r="I454" t="s">
        <v>43</v>
      </c>
      <c r="J454" t="s">
        <v>25</v>
      </c>
      <c r="K454" t="s">
        <v>26</v>
      </c>
      <c r="L454">
        <v>2</v>
      </c>
      <c r="M454">
        <v>2</v>
      </c>
      <c r="N454">
        <v>5</v>
      </c>
      <c r="O454">
        <v>9.5</v>
      </c>
      <c r="P454">
        <v>3</v>
      </c>
      <c r="Q454">
        <v>5</v>
      </c>
      <c r="R454">
        <v>789429</v>
      </c>
      <c r="S454">
        <f>Table1[[#This Row],[Revenue]]-Table1[[#This Row],[Operating_Costs]]</f>
        <v>202853</v>
      </c>
      <c r="T454">
        <v>586576</v>
      </c>
      <c r="U454">
        <v>48</v>
      </c>
      <c r="V454">
        <v>57</v>
      </c>
      <c r="W454">
        <v>12</v>
      </c>
    </row>
    <row r="455" spans="1:23" x14ac:dyDescent="0.25">
      <c r="A455">
        <v>3</v>
      </c>
      <c r="B455" t="s">
        <v>57</v>
      </c>
      <c r="C455" s="1">
        <v>45517</v>
      </c>
      <c r="D455" s="1">
        <v>45544</v>
      </c>
      <c r="E455" s="2">
        <f t="shared" si="14"/>
        <v>1</v>
      </c>
      <c r="F455">
        <v>25</v>
      </c>
      <c r="G455" t="str">
        <f t="shared" si="15"/>
        <v>21-40</v>
      </c>
      <c r="H455" t="s">
        <v>23</v>
      </c>
      <c r="I455" t="s">
        <v>31</v>
      </c>
      <c r="J455" t="s">
        <v>28</v>
      </c>
      <c r="K455" t="s">
        <v>42</v>
      </c>
      <c r="L455">
        <v>2</v>
      </c>
      <c r="M455">
        <v>2</v>
      </c>
      <c r="N455">
        <v>6.8</v>
      </c>
      <c r="O455">
        <v>9.1999999999999993</v>
      </c>
      <c r="P455">
        <v>5</v>
      </c>
      <c r="Q455">
        <v>7</v>
      </c>
      <c r="R455">
        <v>510197</v>
      </c>
      <c r="S455">
        <f>Table1[[#This Row],[Revenue]]-Table1[[#This Row],[Operating_Costs]]</f>
        <v>174054</v>
      </c>
      <c r="T455">
        <v>336143</v>
      </c>
      <c r="U455">
        <v>24</v>
      </c>
      <c r="V455">
        <v>60</v>
      </c>
      <c r="W455">
        <v>7.1</v>
      </c>
    </row>
    <row r="456" spans="1:23" x14ac:dyDescent="0.25">
      <c r="A456">
        <v>5</v>
      </c>
      <c r="B456" t="s">
        <v>22</v>
      </c>
      <c r="C456" s="1">
        <v>45526</v>
      </c>
      <c r="D456" s="1">
        <v>45548</v>
      </c>
      <c r="E456" s="2">
        <f t="shared" si="14"/>
        <v>1</v>
      </c>
      <c r="F456">
        <v>47</v>
      </c>
      <c r="G456" t="str">
        <f t="shared" si="15"/>
        <v>41-60</v>
      </c>
      <c r="H456" t="s">
        <v>35</v>
      </c>
      <c r="I456" t="s">
        <v>61</v>
      </c>
      <c r="J456" t="s">
        <v>62</v>
      </c>
      <c r="K456" t="s">
        <v>38</v>
      </c>
      <c r="L456">
        <v>2</v>
      </c>
      <c r="M456">
        <v>2</v>
      </c>
      <c r="N456">
        <v>1.5</v>
      </c>
      <c r="O456">
        <v>8.1999999999999993</v>
      </c>
      <c r="P456">
        <v>4</v>
      </c>
      <c r="Q456">
        <v>3</v>
      </c>
      <c r="R456">
        <v>735215</v>
      </c>
      <c r="S456">
        <f>Table1[[#This Row],[Revenue]]-Table1[[#This Row],[Operating_Costs]]</f>
        <v>376813</v>
      </c>
      <c r="T456">
        <v>358402</v>
      </c>
      <c r="U456">
        <v>22</v>
      </c>
      <c r="V456">
        <v>61</v>
      </c>
      <c r="W456">
        <v>8.1</v>
      </c>
    </row>
    <row r="457" spans="1:23" x14ac:dyDescent="0.25">
      <c r="A457">
        <v>14</v>
      </c>
      <c r="B457" t="s">
        <v>48</v>
      </c>
      <c r="C457" s="1">
        <v>45540</v>
      </c>
      <c r="D457" s="1">
        <v>45548</v>
      </c>
      <c r="E457" s="2">
        <f t="shared" si="14"/>
        <v>1</v>
      </c>
      <c r="F457">
        <v>41</v>
      </c>
      <c r="G457" t="str">
        <f t="shared" si="15"/>
        <v>41-60</v>
      </c>
      <c r="H457" t="s">
        <v>23</v>
      </c>
      <c r="I457" t="s">
        <v>24</v>
      </c>
      <c r="J457" t="s">
        <v>25</v>
      </c>
      <c r="K457" t="s">
        <v>33</v>
      </c>
      <c r="L457">
        <v>2</v>
      </c>
      <c r="M457">
        <v>2</v>
      </c>
      <c r="N457">
        <v>3.1</v>
      </c>
      <c r="O457">
        <v>7.9</v>
      </c>
      <c r="P457">
        <v>7</v>
      </c>
      <c r="Q457">
        <v>7</v>
      </c>
      <c r="R457">
        <v>868961</v>
      </c>
      <c r="S457">
        <f>Table1[[#This Row],[Revenue]]-Table1[[#This Row],[Operating_Costs]]</f>
        <v>314419</v>
      </c>
      <c r="T457">
        <v>554542</v>
      </c>
      <c r="U457">
        <v>40</v>
      </c>
      <c r="V457">
        <v>54</v>
      </c>
      <c r="W457">
        <v>13.4</v>
      </c>
    </row>
    <row r="458" spans="1:23" x14ac:dyDescent="0.25">
      <c r="A458">
        <v>13</v>
      </c>
      <c r="B458" t="s">
        <v>30</v>
      </c>
      <c r="C458" s="1">
        <v>45552</v>
      </c>
      <c r="D458" s="1">
        <v>45553</v>
      </c>
      <c r="E458" s="2">
        <f t="shared" si="14"/>
        <v>1</v>
      </c>
      <c r="F458">
        <v>90</v>
      </c>
      <c r="G458" t="str">
        <f t="shared" si="15"/>
        <v>81+</v>
      </c>
      <c r="H458" t="s">
        <v>23</v>
      </c>
      <c r="I458" t="s">
        <v>61</v>
      </c>
      <c r="J458" t="s">
        <v>62</v>
      </c>
      <c r="K458" t="s">
        <v>26</v>
      </c>
      <c r="L458">
        <v>2</v>
      </c>
      <c r="M458">
        <v>2</v>
      </c>
      <c r="N458">
        <v>4</v>
      </c>
      <c r="O458">
        <v>8.1999999999999993</v>
      </c>
      <c r="P458">
        <v>4</v>
      </c>
      <c r="Q458">
        <v>4</v>
      </c>
      <c r="R458">
        <v>573693</v>
      </c>
      <c r="S458">
        <f>Table1[[#This Row],[Revenue]]-Table1[[#This Row],[Operating_Costs]]</f>
        <v>169633</v>
      </c>
      <c r="T458">
        <v>404060</v>
      </c>
      <c r="U458">
        <v>43</v>
      </c>
      <c r="V458">
        <v>59</v>
      </c>
      <c r="W458">
        <v>13.5</v>
      </c>
    </row>
    <row r="459" spans="1:23" x14ac:dyDescent="0.25">
      <c r="A459">
        <v>9</v>
      </c>
      <c r="B459" t="s">
        <v>44</v>
      </c>
      <c r="C459" s="1">
        <v>45549</v>
      </c>
      <c r="D459" s="1">
        <v>45553</v>
      </c>
      <c r="E459" s="2">
        <f t="shared" si="14"/>
        <v>1</v>
      </c>
      <c r="F459">
        <v>77</v>
      </c>
      <c r="G459" t="str">
        <f t="shared" si="15"/>
        <v>61-80</v>
      </c>
      <c r="H459" t="s">
        <v>23</v>
      </c>
      <c r="I459" t="s">
        <v>61</v>
      </c>
      <c r="J459" t="s">
        <v>62</v>
      </c>
      <c r="K459" t="s">
        <v>38</v>
      </c>
      <c r="L459">
        <v>2</v>
      </c>
      <c r="M459">
        <v>2</v>
      </c>
      <c r="N459">
        <v>5.7</v>
      </c>
      <c r="O459">
        <v>8</v>
      </c>
      <c r="P459">
        <v>4</v>
      </c>
      <c r="Q459">
        <v>4</v>
      </c>
      <c r="R459">
        <v>539760</v>
      </c>
      <c r="S459">
        <f>Table1[[#This Row],[Revenue]]-Table1[[#This Row],[Operating_Costs]]</f>
        <v>51874</v>
      </c>
      <c r="T459">
        <v>487886</v>
      </c>
      <c r="U459">
        <v>35</v>
      </c>
      <c r="V459">
        <v>60</v>
      </c>
      <c r="W459">
        <v>5.9</v>
      </c>
    </row>
    <row r="460" spans="1:23" x14ac:dyDescent="0.25">
      <c r="A460">
        <v>10</v>
      </c>
      <c r="B460" t="s">
        <v>34</v>
      </c>
      <c r="C460" s="1">
        <v>45547</v>
      </c>
      <c r="D460" s="1">
        <v>45554</v>
      </c>
      <c r="E460" s="2">
        <f t="shared" si="14"/>
        <v>1</v>
      </c>
      <c r="F460">
        <v>54</v>
      </c>
      <c r="G460" t="str">
        <f t="shared" si="15"/>
        <v>41-60</v>
      </c>
      <c r="H460" t="s">
        <v>35</v>
      </c>
      <c r="I460" t="s">
        <v>36</v>
      </c>
      <c r="J460" t="s">
        <v>37</v>
      </c>
      <c r="K460" t="s">
        <v>38</v>
      </c>
      <c r="L460">
        <v>2</v>
      </c>
      <c r="M460">
        <v>2</v>
      </c>
      <c r="N460">
        <v>3.7</v>
      </c>
      <c r="O460">
        <v>7.1</v>
      </c>
      <c r="P460">
        <v>4</v>
      </c>
      <c r="Q460">
        <v>4</v>
      </c>
      <c r="R460">
        <v>883664</v>
      </c>
      <c r="S460">
        <f>Table1[[#This Row],[Revenue]]-Table1[[#This Row],[Operating_Costs]]</f>
        <v>299436</v>
      </c>
      <c r="T460">
        <v>584228</v>
      </c>
      <c r="U460">
        <v>63</v>
      </c>
      <c r="V460">
        <v>59</v>
      </c>
      <c r="W460">
        <v>7.3</v>
      </c>
    </row>
    <row r="461" spans="1:23" x14ac:dyDescent="0.25">
      <c r="A461">
        <v>2</v>
      </c>
      <c r="B461" t="s">
        <v>39</v>
      </c>
      <c r="C461" s="1">
        <v>45555</v>
      </c>
      <c r="D461" s="1">
        <v>45560</v>
      </c>
      <c r="E461" s="2">
        <f t="shared" si="14"/>
        <v>1</v>
      </c>
      <c r="F461">
        <v>46</v>
      </c>
      <c r="G461" t="str">
        <f t="shared" si="15"/>
        <v>41-60</v>
      </c>
      <c r="H461" t="s">
        <v>35</v>
      </c>
      <c r="I461" t="s">
        <v>31</v>
      </c>
      <c r="J461" t="s">
        <v>28</v>
      </c>
      <c r="K461" t="s">
        <v>42</v>
      </c>
      <c r="L461">
        <v>2</v>
      </c>
      <c r="M461">
        <v>2</v>
      </c>
      <c r="N461">
        <v>2.5</v>
      </c>
      <c r="O461">
        <v>9</v>
      </c>
      <c r="P461">
        <v>4</v>
      </c>
      <c r="Q461">
        <v>5</v>
      </c>
      <c r="R461">
        <v>802538</v>
      </c>
      <c r="S461">
        <f>Table1[[#This Row],[Revenue]]-Table1[[#This Row],[Operating_Costs]]</f>
        <v>270360</v>
      </c>
      <c r="T461">
        <v>532178</v>
      </c>
      <c r="U461">
        <v>36</v>
      </c>
      <c r="V461">
        <v>54</v>
      </c>
      <c r="W461">
        <v>14.4</v>
      </c>
    </row>
    <row r="462" spans="1:23" x14ac:dyDescent="0.25">
      <c r="A462">
        <v>9</v>
      </c>
      <c r="B462" t="s">
        <v>44</v>
      </c>
      <c r="C462" s="1">
        <v>45555</v>
      </c>
      <c r="D462" s="1">
        <v>45562</v>
      </c>
      <c r="E462" s="2">
        <f t="shared" si="14"/>
        <v>1</v>
      </c>
      <c r="F462">
        <v>41</v>
      </c>
      <c r="G462" t="str">
        <f t="shared" si="15"/>
        <v>41-60</v>
      </c>
      <c r="H462" t="s">
        <v>23</v>
      </c>
      <c r="I462" t="s">
        <v>31</v>
      </c>
      <c r="J462" t="s">
        <v>28</v>
      </c>
      <c r="K462" t="s">
        <v>38</v>
      </c>
      <c r="L462">
        <v>2</v>
      </c>
      <c r="M462">
        <v>2</v>
      </c>
      <c r="N462">
        <v>3.4</v>
      </c>
      <c r="O462">
        <v>7.7</v>
      </c>
      <c r="P462">
        <v>5</v>
      </c>
      <c r="Q462">
        <v>6</v>
      </c>
      <c r="R462">
        <v>556245</v>
      </c>
      <c r="S462">
        <f>Table1[[#This Row],[Revenue]]-Table1[[#This Row],[Operating_Costs]]</f>
        <v>87310</v>
      </c>
      <c r="T462">
        <v>468935</v>
      </c>
      <c r="U462">
        <v>37</v>
      </c>
      <c r="V462">
        <v>66</v>
      </c>
      <c r="W462">
        <v>10.8</v>
      </c>
    </row>
    <row r="463" spans="1:23" x14ac:dyDescent="0.25">
      <c r="A463">
        <v>4</v>
      </c>
      <c r="B463" t="s">
        <v>69</v>
      </c>
      <c r="C463" s="1">
        <v>45542</v>
      </c>
      <c r="D463" s="1">
        <v>45563</v>
      </c>
      <c r="E463" s="2">
        <f t="shared" si="14"/>
        <v>1</v>
      </c>
      <c r="F463">
        <v>36</v>
      </c>
      <c r="G463" t="str">
        <f t="shared" si="15"/>
        <v>21-40</v>
      </c>
      <c r="H463" t="s">
        <v>35</v>
      </c>
      <c r="I463" t="s">
        <v>46</v>
      </c>
      <c r="J463" t="s">
        <v>47</v>
      </c>
      <c r="K463" t="s">
        <v>29</v>
      </c>
      <c r="L463">
        <v>2</v>
      </c>
      <c r="M463">
        <v>2</v>
      </c>
      <c r="N463">
        <v>4.2</v>
      </c>
      <c r="O463">
        <v>7.7</v>
      </c>
      <c r="P463">
        <v>6</v>
      </c>
      <c r="Q463">
        <v>7</v>
      </c>
      <c r="R463">
        <v>888875</v>
      </c>
      <c r="S463">
        <f>Table1[[#This Row],[Revenue]]-Table1[[#This Row],[Operating_Costs]]</f>
        <v>269749</v>
      </c>
      <c r="T463">
        <v>619126</v>
      </c>
      <c r="U463">
        <v>46</v>
      </c>
      <c r="V463">
        <v>59</v>
      </c>
      <c r="W463">
        <v>9.1</v>
      </c>
    </row>
    <row r="464" spans="1:23" x14ac:dyDescent="0.25">
      <c r="A464">
        <v>6</v>
      </c>
      <c r="B464" t="s">
        <v>70</v>
      </c>
      <c r="C464" s="1">
        <v>45544</v>
      </c>
      <c r="D464" s="1">
        <v>45566</v>
      </c>
      <c r="E464" s="2">
        <f t="shared" si="14"/>
        <v>1</v>
      </c>
      <c r="F464">
        <v>63</v>
      </c>
      <c r="G464" t="str">
        <f t="shared" si="15"/>
        <v>61-80</v>
      </c>
      <c r="H464" t="s">
        <v>23</v>
      </c>
      <c r="I464" t="s">
        <v>40</v>
      </c>
      <c r="J464" t="s">
        <v>41</v>
      </c>
      <c r="K464" t="s">
        <v>42</v>
      </c>
      <c r="L464">
        <v>2</v>
      </c>
      <c r="M464">
        <v>2</v>
      </c>
      <c r="N464">
        <v>3.3</v>
      </c>
      <c r="O464">
        <v>7.1</v>
      </c>
      <c r="P464">
        <v>5</v>
      </c>
      <c r="Q464">
        <v>6</v>
      </c>
      <c r="R464">
        <v>652762</v>
      </c>
      <c r="S464">
        <f>Table1[[#This Row],[Revenue]]-Table1[[#This Row],[Operating_Costs]]</f>
        <v>76879</v>
      </c>
      <c r="T464">
        <v>575883</v>
      </c>
      <c r="U464">
        <v>24</v>
      </c>
      <c r="V464">
        <v>66</v>
      </c>
      <c r="W464">
        <v>13.5</v>
      </c>
    </row>
    <row r="465" spans="1:23" x14ac:dyDescent="0.25">
      <c r="A465">
        <v>5</v>
      </c>
      <c r="B465" t="s">
        <v>22</v>
      </c>
      <c r="C465" s="1">
        <v>45545</v>
      </c>
      <c r="D465" s="1">
        <v>45570</v>
      </c>
      <c r="E465" s="2">
        <f t="shared" si="14"/>
        <v>1</v>
      </c>
      <c r="F465">
        <v>68</v>
      </c>
      <c r="G465" t="str">
        <f t="shared" si="15"/>
        <v>61-80</v>
      </c>
      <c r="H465" t="s">
        <v>23</v>
      </c>
      <c r="I465" t="s">
        <v>24</v>
      </c>
      <c r="J465" t="s">
        <v>25</v>
      </c>
      <c r="K465" t="s">
        <v>42</v>
      </c>
      <c r="L465">
        <v>2</v>
      </c>
      <c r="M465">
        <v>2</v>
      </c>
      <c r="N465">
        <v>1.9</v>
      </c>
      <c r="O465">
        <v>9.6999999999999993</v>
      </c>
      <c r="P465">
        <v>3</v>
      </c>
      <c r="Q465">
        <v>7</v>
      </c>
      <c r="R465">
        <v>820253</v>
      </c>
      <c r="S465">
        <f>Table1[[#This Row],[Revenue]]-Table1[[#This Row],[Operating_Costs]]</f>
        <v>576343</v>
      </c>
      <c r="T465">
        <v>243910</v>
      </c>
      <c r="U465">
        <v>26</v>
      </c>
      <c r="V465">
        <v>56</v>
      </c>
      <c r="W465">
        <v>13.4</v>
      </c>
    </row>
    <row r="466" spans="1:23" x14ac:dyDescent="0.25">
      <c r="A466">
        <v>5</v>
      </c>
      <c r="B466" t="s">
        <v>22</v>
      </c>
      <c r="C466" s="1">
        <v>45570</v>
      </c>
      <c r="D466" s="1">
        <v>45577</v>
      </c>
      <c r="E466" s="2">
        <f t="shared" si="14"/>
        <v>1</v>
      </c>
      <c r="F466">
        <v>26</v>
      </c>
      <c r="G466" t="str">
        <f t="shared" si="15"/>
        <v>21-40</v>
      </c>
      <c r="H466" t="s">
        <v>23</v>
      </c>
      <c r="I466" t="s">
        <v>24</v>
      </c>
      <c r="J466" t="s">
        <v>25</v>
      </c>
      <c r="K466" t="s">
        <v>33</v>
      </c>
      <c r="L466">
        <v>2</v>
      </c>
      <c r="M466">
        <v>2</v>
      </c>
      <c r="N466">
        <v>4.8</v>
      </c>
      <c r="O466">
        <v>7.1</v>
      </c>
      <c r="P466">
        <v>5</v>
      </c>
      <c r="Q466">
        <v>5</v>
      </c>
      <c r="R466">
        <v>890715</v>
      </c>
      <c r="S466">
        <f>Table1[[#This Row],[Revenue]]-Table1[[#This Row],[Operating_Costs]]</f>
        <v>620457</v>
      </c>
      <c r="T466">
        <v>270258</v>
      </c>
      <c r="U466">
        <v>28</v>
      </c>
      <c r="V466">
        <v>62</v>
      </c>
      <c r="W466">
        <v>7.4</v>
      </c>
    </row>
    <row r="467" spans="1:23" x14ac:dyDescent="0.25">
      <c r="A467">
        <v>1</v>
      </c>
      <c r="B467" t="s">
        <v>32</v>
      </c>
      <c r="C467" s="1">
        <v>45562</v>
      </c>
      <c r="D467" s="1">
        <v>45578</v>
      </c>
      <c r="E467" s="2">
        <f t="shared" si="14"/>
        <v>1</v>
      </c>
      <c r="F467">
        <v>53</v>
      </c>
      <c r="G467" t="str">
        <f t="shared" si="15"/>
        <v>41-60</v>
      </c>
      <c r="H467" t="s">
        <v>35</v>
      </c>
      <c r="I467" t="s">
        <v>36</v>
      </c>
      <c r="J467" t="s">
        <v>37</v>
      </c>
      <c r="K467" t="s">
        <v>42</v>
      </c>
      <c r="L467">
        <v>2</v>
      </c>
      <c r="M467">
        <v>2</v>
      </c>
      <c r="N467">
        <v>5.6</v>
      </c>
      <c r="O467">
        <v>8.1999999999999993</v>
      </c>
      <c r="P467">
        <v>3</v>
      </c>
      <c r="Q467">
        <v>3</v>
      </c>
      <c r="R467">
        <v>956494</v>
      </c>
      <c r="S467">
        <f>Table1[[#This Row],[Revenue]]-Table1[[#This Row],[Operating_Costs]]</f>
        <v>319640</v>
      </c>
      <c r="T467">
        <v>636854</v>
      </c>
      <c r="U467">
        <v>35</v>
      </c>
      <c r="V467">
        <v>65</v>
      </c>
      <c r="W467">
        <v>36.1</v>
      </c>
    </row>
    <row r="468" spans="1:23" x14ac:dyDescent="0.25">
      <c r="A468">
        <v>11</v>
      </c>
      <c r="B468" t="s">
        <v>63</v>
      </c>
      <c r="C468" s="1">
        <v>45575</v>
      </c>
      <c r="D468" s="1">
        <v>45579</v>
      </c>
      <c r="E468" s="2">
        <f t="shared" si="14"/>
        <v>1</v>
      </c>
      <c r="F468">
        <v>58</v>
      </c>
      <c r="G468" t="str">
        <f t="shared" si="15"/>
        <v>41-60</v>
      </c>
      <c r="H468" t="s">
        <v>23</v>
      </c>
      <c r="I468" t="s">
        <v>64</v>
      </c>
      <c r="J468" t="s">
        <v>65</v>
      </c>
      <c r="K468" t="s">
        <v>29</v>
      </c>
      <c r="L468">
        <v>2</v>
      </c>
      <c r="M468">
        <v>2</v>
      </c>
      <c r="N468">
        <v>1.8</v>
      </c>
      <c r="O468">
        <v>8.1999999999999993</v>
      </c>
      <c r="P468">
        <v>5</v>
      </c>
      <c r="Q468">
        <v>3</v>
      </c>
      <c r="R468">
        <v>667358</v>
      </c>
      <c r="S468">
        <f>Table1[[#This Row],[Revenue]]-Table1[[#This Row],[Operating_Costs]]</f>
        <v>258496</v>
      </c>
      <c r="T468">
        <v>408862</v>
      </c>
      <c r="U468">
        <v>27</v>
      </c>
      <c r="V468">
        <v>55</v>
      </c>
      <c r="W468">
        <v>8.8000000000000007</v>
      </c>
    </row>
    <row r="469" spans="1:23" x14ac:dyDescent="0.25">
      <c r="A469">
        <v>2</v>
      </c>
      <c r="B469" t="s">
        <v>39</v>
      </c>
      <c r="C469" s="1">
        <v>45569</v>
      </c>
      <c r="D469" s="1">
        <v>45582</v>
      </c>
      <c r="E469" s="2">
        <f t="shared" si="14"/>
        <v>1</v>
      </c>
      <c r="F469">
        <v>62</v>
      </c>
      <c r="G469" t="str">
        <f t="shared" si="15"/>
        <v>61-80</v>
      </c>
      <c r="H469" t="s">
        <v>23</v>
      </c>
      <c r="I469" t="s">
        <v>50</v>
      </c>
      <c r="J469" t="s">
        <v>51</v>
      </c>
      <c r="K469" t="s">
        <v>33</v>
      </c>
      <c r="L469">
        <v>2</v>
      </c>
      <c r="M469">
        <v>2</v>
      </c>
      <c r="N469">
        <v>1.7</v>
      </c>
      <c r="O469">
        <v>8.4</v>
      </c>
      <c r="P469">
        <v>6</v>
      </c>
      <c r="Q469">
        <v>3</v>
      </c>
      <c r="R469">
        <v>624862</v>
      </c>
      <c r="S469">
        <f>Table1[[#This Row],[Revenue]]-Table1[[#This Row],[Operating_Costs]]</f>
        <v>-17810</v>
      </c>
      <c r="T469">
        <v>642672</v>
      </c>
      <c r="U469">
        <v>34</v>
      </c>
      <c r="V469">
        <v>61</v>
      </c>
      <c r="W469">
        <v>7.6</v>
      </c>
    </row>
    <row r="470" spans="1:23" x14ac:dyDescent="0.25">
      <c r="A470">
        <v>8</v>
      </c>
      <c r="B470" t="s">
        <v>52</v>
      </c>
      <c r="C470" s="1">
        <v>45576</v>
      </c>
      <c r="D470" s="1">
        <v>45582</v>
      </c>
      <c r="E470" s="2">
        <f t="shared" si="14"/>
        <v>1</v>
      </c>
      <c r="F470">
        <v>23</v>
      </c>
      <c r="G470" t="str">
        <f t="shared" si="15"/>
        <v>21-40</v>
      </c>
      <c r="H470" t="s">
        <v>35</v>
      </c>
      <c r="I470" t="s">
        <v>31</v>
      </c>
      <c r="J470" t="s">
        <v>28</v>
      </c>
      <c r="K470" t="s">
        <v>33</v>
      </c>
      <c r="L470">
        <v>2</v>
      </c>
      <c r="M470">
        <v>2</v>
      </c>
      <c r="N470">
        <v>2.4</v>
      </c>
      <c r="O470">
        <v>9.1999999999999993</v>
      </c>
      <c r="P470">
        <v>6</v>
      </c>
      <c r="Q470">
        <v>6</v>
      </c>
      <c r="R470">
        <v>952870</v>
      </c>
      <c r="S470">
        <f>Table1[[#This Row],[Revenue]]-Table1[[#This Row],[Operating_Costs]]</f>
        <v>109083</v>
      </c>
      <c r="T470">
        <v>843787</v>
      </c>
      <c r="U470">
        <v>35</v>
      </c>
      <c r="V470">
        <v>59</v>
      </c>
      <c r="W470">
        <v>9.8000000000000007</v>
      </c>
    </row>
    <row r="471" spans="1:23" x14ac:dyDescent="0.25">
      <c r="A471">
        <v>2</v>
      </c>
      <c r="B471" t="s">
        <v>39</v>
      </c>
      <c r="C471" s="1">
        <v>45574</v>
      </c>
      <c r="D471" s="1">
        <v>45585</v>
      </c>
      <c r="E471" s="2">
        <f t="shared" si="14"/>
        <v>1</v>
      </c>
      <c r="F471">
        <v>65</v>
      </c>
      <c r="G471" t="str">
        <f t="shared" si="15"/>
        <v>61-80</v>
      </c>
      <c r="H471" t="s">
        <v>23</v>
      </c>
      <c r="I471" t="s">
        <v>46</v>
      </c>
      <c r="J471" t="s">
        <v>47</v>
      </c>
      <c r="K471" t="s">
        <v>29</v>
      </c>
      <c r="L471">
        <v>2</v>
      </c>
      <c r="M471">
        <v>2</v>
      </c>
      <c r="N471">
        <v>3.4</v>
      </c>
      <c r="O471">
        <v>9.6</v>
      </c>
      <c r="P471">
        <v>7</v>
      </c>
      <c r="Q471">
        <v>3</v>
      </c>
      <c r="R471">
        <v>725463</v>
      </c>
      <c r="S471">
        <f>Table1[[#This Row],[Revenue]]-Table1[[#This Row],[Operating_Costs]]</f>
        <v>95316</v>
      </c>
      <c r="T471">
        <v>630147</v>
      </c>
      <c r="U471">
        <v>31</v>
      </c>
      <c r="V471">
        <v>58</v>
      </c>
      <c r="W471">
        <v>6.9</v>
      </c>
    </row>
    <row r="472" spans="1:23" x14ac:dyDescent="0.25">
      <c r="A472">
        <v>15</v>
      </c>
      <c r="B472" t="s">
        <v>45</v>
      </c>
      <c r="C472" s="1">
        <v>45575</v>
      </c>
      <c r="D472" s="1">
        <v>45586</v>
      </c>
      <c r="E472" s="2">
        <f t="shared" si="14"/>
        <v>1</v>
      </c>
      <c r="F472">
        <v>25</v>
      </c>
      <c r="G472" t="str">
        <f t="shared" si="15"/>
        <v>21-40</v>
      </c>
      <c r="H472" t="s">
        <v>23</v>
      </c>
      <c r="I472" t="s">
        <v>24</v>
      </c>
      <c r="J472" t="s">
        <v>25</v>
      </c>
      <c r="K472" t="s">
        <v>38</v>
      </c>
      <c r="L472">
        <v>2</v>
      </c>
      <c r="M472">
        <v>2</v>
      </c>
      <c r="N472">
        <v>1.9</v>
      </c>
      <c r="O472">
        <v>9</v>
      </c>
      <c r="P472">
        <v>7</v>
      </c>
      <c r="Q472">
        <v>4</v>
      </c>
      <c r="R472">
        <v>731885</v>
      </c>
      <c r="S472">
        <f>Table1[[#This Row],[Revenue]]-Table1[[#This Row],[Operating_Costs]]</f>
        <v>218495</v>
      </c>
      <c r="T472">
        <v>513390</v>
      </c>
      <c r="U472">
        <v>52</v>
      </c>
      <c r="V472">
        <v>62</v>
      </c>
      <c r="W472">
        <v>13.7</v>
      </c>
    </row>
    <row r="473" spans="1:23" x14ac:dyDescent="0.25">
      <c r="A473">
        <v>11</v>
      </c>
      <c r="B473" t="s">
        <v>63</v>
      </c>
      <c r="C473" s="1">
        <v>45581</v>
      </c>
      <c r="D473" s="1">
        <v>45588</v>
      </c>
      <c r="E473" s="2">
        <f t="shared" si="14"/>
        <v>1</v>
      </c>
      <c r="F473">
        <v>47</v>
      </c>
      <c r="G473" t="str">
        <f t="shared" si="15"/>
        <v>41-60</v>
      </c>
      <c r="H473" t="s">
        <v>23</v>
      </c>
      <c r="I473" t="s">
        <v>50</v>
      </c>
      <c r="J473" t="s">
        <v>51</v>
      </c>
      <c r="K473" t="s">
        <v>29</v>
      </c>
      <c r="L473">
        <v>2</v>
      </c>
      <c r="M473">
        <v>2</v>
      </c>
      <c r="N473">
        <v>4</v>
      </c>
      <c r="O473">
        <v>8</v>
      </c>
      <c r="P473">
        <v>6</v>
      </c>
      <c r="Q473">
        <v>3</v>
      </c>
      <c r="R473">
        <v>790156</v>
      </c>
      <c r="S473">
        <f>Table1[[#This Row],[Revenue]]-Table1[[#This Row],[Operating_Costs]]</f>
        <v>282429</v>
      </c>
      <c r="T473">
        <v>507727</v>
      </c>
      <c r="U473">
        <v>20</v>
      </c>
      <c r="V473">
        <v>54</v>
      </c>
      <c r="W473">
        <v>13.3</v>
      </c>
    </row>
    <row r="474" spans="1:23" x14ac:dyDescent="0.25">
      <c r="A474">
        <v>9</v>
      </c>
      <c r="B474" t="s">
        <v>44</v>
      </c>
      <c r="C474" s="1">
        <v>45585</v>
      </c>
      <c r="D474" s="1">
        <v>45589</v>
      </c>
      <c r="E474" s="2">
        <f t="shared" si="14"/>
        <v>1</v>
      </c>
      <c r="F474">
        <v>46</v>
      </c>
      <c r="G474" t="str">
        <f t="shared" si="15"/>
        <v>41-60</v>
      </c>
      <c r="H474" t="s">
        <v>23</v>
      </c>
      <c r="I474" t="s">
        <v>64</v>
      </c>
      <c r="J474" t="s">
        <v>65</v>
      </c>
      <c r="K474" t="s">
        <v>42</v>
      </c>
      <c r="L474">
        <v>2</v>
      </c>
      <c r="M474">
        <v>2</v>
      </c>
      <c r="N474">
        <v>2.4</v>
      </c>
      <c r="O474">
        <v>9.8000000000000007</v>
      </c>
      <c r="P474">
        <v>5</v>
      </c>
      <c r="Q474">
        <v>5</v>
      </c>
      <c r="R474">
        <v>523815</v>
      </c>
      <c r="S474">
        <f>Table1[[#This Row],[Revenue]]-Table1[[#This Row],[Operating_Costs]]</f>
        <v>108187</v>
      </c>
      <c r="T474">
        <v>415628</v>
      </c>
      <c r="U474">
        <v>37</v>
      </c>
      <c r="V474">
        <v>61</v>
      </c>
      <c r="W474">
        <v>5.9</v>
      </c>
    </row>
    <row r="475" spans="1:23" x14ac:dyDescent="0.25">
      <c r="A475">
        <v>6</v>
      </c>
      <c r="B475" t="s">
        <v>70</v>
      </c>
      <c r="C475" s="1">
        <v>45578</v>
      </c>
      <c r="D475" s="1">
        <v>45591</v>
      </c>
      <c r="E475" s="2">
        <f t="shared" si="14"/>
        <v>1</v>
      </c>
      <c r="F475">
        <v>32</v>
      </c>
      <c r="G475" t="str">
        <f t="shared" si="15"/>
        <v>21-40</v>
      </c>
      <c r="H475" t="s">
        <v>23</v>
      </c>
      <c r="I475" t="s">
        <v>24</v>
      </c>
      <c r="J475" t="s">
        <v>25</v>
      </c>
      <c r="K475" t="s">
        <v>29</v>
      </c>
      <c r="L475">
        <v>2</v>
      </c>
      <c r="M475">
        <v>2</v>
      </c>
      <c r="N475">
        <v>6.5</v>
      </c>
      <c r="O475">
        <v>9.5</v>
      </c>
      <c r="P475">
        <v>3</v>
      </c>
      <c r="Q475">
        <v>5</v>
      </c>
      <c r="R475">
        <v>768913</v>
      </c>
      <c r="S475">
        <f>Table1[[#This Row],[Revenue]]-Table1[[#This Row],[Operating_Costs]]</f>
        <v>263066</v>
      </c>
      <c r="T475">
        <v>505847</v>
      </c>
      <c r="U475">
        <v>20</v>
      </c>
      <c r="V475">
        <v>60</v>
      </c>
      <c r="W475">
        <v>36.6</v>
      </c>
    </row>
    <row r="476" spans="1:23" x14ac:dyDescent="0.25">
      <c r="A476">
        <v>9</v>
      </c>
      <c r="B476" t="s">
        <v>44</v>
      </c>
      <c r="C476" s="1">
        <v>45588</v>
      </c>
      <c r="D476" s="1">
        <v>45595</v>
      </c>
      <c r="E476" s="2">
        <f t="shared" si="14"/>
        <v>1</v>
      </c>
      <c r="F476">
        <v>68</v>
      </c>
      <c r="G476" t="str">
        <f t="shared" si="15"/>
        <v>61-80</v>
      </c>
      <c r="H476" t="s">
        <v>35</v>
      </c>
      <c r="I476" t="s">
        <v>40</v>
      </c>
      <c r="J476" t="s">
        <v>41</v>
      </c>
      <c r="K476" t="s">
        <v>42</v>
      </c>
      <c r="L476">
        <v>2</v>
      </c>
      <c r="M476">
        <v>2</v>
      </c>
      <c r="N476">
        <v>4.2</v>
      </c>
      <c r="O476">
        <v>7.7</v>
      </c>
      <c r="P476">
        <v>6</v>
      </c>
      <c r="Q476">
        <v>7</v>
      </c>
      <c r="R476">
        <v>564179</v>
      </c>
      <c r="S476">
        <f>Table1[[#This Row],[Revenue]]-Table1[[#This Row],[Operating_Costs]]</f>
        <v>165751</v>
      </c>
      <c r="T476">
        <v>398428</v>
      </c>
      <c r="U476">
        <v>40</v>
      </c>
      <c r="V476">
        <v>61</v>
      </c>
      <c r="W476">
        <v>9.6</v>
      </c>
    </row>
    <row r="477" spans="1:23" x14ac:dyDescent="0.25">
      <c r="A477">
        <v>5</v>
      </c>
      <c r="B477" t="s">
        <v>22</v>
      </c>
      <c r="C477" s="1">
        <v>45594</v>
      </c>
      <c r="D477" s="1">
        <v>45596</v>
      </c>
      <c r="E477" s="2">
        <f t="shared" si="14"/>
        <v>1</v>
      </c>
      <c r="F477">
        <v>25</v>
      </c>
      <c r="G477" t="str">
        <f t="shared" si="15"/>
        <v>21-40</v>
      </c>
      <c r="H477" t="s">
        <v>23</v>
      </c>
      <c r="I477" t="s">
        <v>40</v>
      </c>
      <c r="J477" t="s">
        <v>41</v>
      </c>
      <c r="K477" t="s">
        <v>38</v>
      </c>
      <c r="L477">
        <v>2</v>
      </c>
      <c r="M477">
        <v>2</v>
      </c>
      <c r="N477">
        <v>5.3</v>
      </c>
      <c r="O477">
        <v>9</v>
      </c>
      <c r="P477">
        <v>4</v>
      </c>
      <c r="Q477">
        <v>3</v>
      </c>
      <c r="R477">
        <v>659332</v>
      </c>
      <c r="S477">
        <f>Table1[[#This Row],[Revenue]]-Table1[[#This Row],[Operating_Costs]]</f>
        <v>323149</v>
      </c>
      <c r="T477">
        <v>336183</v>
      </c>
      <c r="U477">
        <v>35</v>
      </c>
      <c r="V477">
        <v>63</v>
      </c>
      <c r="W477">
        <v>36.5</v>
      </c>
    </row>
    <row r="478" spans="1:23" x14ac:dyDescent="0.25">
      <c r="A478">
        <v>15</v>
      </c>
      <c r="B478" t="s">
        <v>45</v>
      </c>
      <c r="C478" s="1">
        <v>45579</v>
      </c>
      <c r="D478" s="1">
        <v>45601</v>
      </c>
      <c r="E478" s="2">
        <f t="shared" si="14"/>
        <v>1</v>
      </c>
      <c r="F478">
        <v>66</v>
      </c>
      <c r="G478" t="str">
        <f t="shared" si="15"/>
        <v>61-80</v>
      </c>
      <c r="H478" t="s">
        <v>35</v>
      </c>
      <c r="I478" t="s">
        <v>53</v>
      </c>
      <c r="J478" t="s">
        <v>54</v>
      </c>
      <c r="K478" t="s">
        <v>38</v>
      </c>
      <c r="L478">
        <v>2</v>
      </c>
      <c r="M478">
        <v>2</v>
      </c>
      <c r="N478">
        <v>4.0999999999999996</v>
      </c>
      <c r="O478">
        <v>7.2</v>
      </c>
      <c r="P478">
        <v>3</v>
      </c>
      <c r="Q478">
        <v>5</v>
      </c>
      <c r="R478">
        <v>754797</v>
      </c>
      <c r="S478">
        <f>Table1[[#This Row],[Revenue]]-Table1[[#This Row],[Operating_Costs]]</f>
        <v>102135</v>
      </c>
      <c r="T478">
        <v>652662</v>
      </c>
      <c r="U478">
        <v>51</v>
      </c>
      <c r="V478">
        <v>61</v>
      </c>
      <c r="W478">
        <v>13.8</v>
      </c>
    </row>
    <row r="479" spans="1:23" x14ac:dyDescent="0.25">
      <c r="A479">
        <v>3</v>
      </c>
      <c r="B479" t="s">
        <v>57</v>
      </c>
      <c r="C479" s="1">
        <v>45579</v>
      </c>
      <c r="D479" s="1">
        <v>45604</v>
      </c>
      <c r="E479" s="2">
        <f t="shared" si="14"/>
        <v>1</v>
      </c>
      <c r="F479">
        <v>33</v>
      </c>
      <c r="G479" t="str">
        <f t="shared" si="15"/>
        <v>21-40</v>
      </c>
      <c r="H479" t="s">
        <v>23</v>
      </c>
      <c r="I479" t="s">
        <v>24</v>
      </c>
      <c r="J479" t="s">
        <v>25</v>
      </c>
      <c r="K479" t="s">
        <v>38</v>
      </c>
      <c r="L479">
        <v>2</v>
      </c>
      <c r="M479">
        <v>2</v>
      </c>
      <c r="N479">
        <v>6</v>
      </c>
      <c r="O479">
        <v>7.5</v>
      </c>
      <c r="P479">
        <v>3</v>
      </c>
      <c r="Q479">
        <v>6</v>
      </c>
      <c r="R479">
        <v>594238</v>
      </c>
      <c r="S479">
        <f>Table1[[#This Row],[Revenue]]-Table1[[#This Row],[Operating_Costs]]</f>
        <v>242180</v>
      </c>
      <c r="T479">
        <v>352058</v>
      </c>
      <c r="U479">
        <v>23</v>
      </c>
      <c r="V479">
        <v>63</v>
      </c>
      <c r="W479">
        <v>9.1</v>
      </c>
    </row>
    <row r="480" spans="1:23" x14ac:dyDescent="0.25">
      <c r="A480">
        <v>10</v>
      </c>
      <c r="B480" t="s">
        <v>34</v>
      </c>
      <c r="C480" s="1">
        <v>45583</v>
      </c>
      <c r="D480" s="1">
        <v>45606</v>
      </c>
      <c r="E480" s="2">
        <f t="shared" si="14"/>
        <v>1</v>
      </c>
      <c r="F480">
        <v>75</v>
      </c>
      <c r="G480" t="str">
        <f t="shared" si="15"/>
        <v>61-80</v>
      </c>
      <c r="H480" t="s">
        <v>23</v>
      </c>
      <c r="I480" t="s">
        <v>61</v>
      </c>
      <c r="J480" t="s">
        <v>62</v>
      </c>
      <c r="K480" t="s">
        <v>26</v>
      </c>
      <c r="L480">
        <v>2</v>
      </c>
      <c r="M480">
        <v>2</v>
      </c>
      <c r="N480">
        <v>3.3</v>
      </c>
      <c r="O480">
        <v>8.1999999999999993</v>
      </c>
      <c r="P480">
        <v>3</v>
      </c>
      <c r="Q480">
        <v>4</v>
      </c>
      <c r="R480">
        <v>983698</v>
      </c>
      <c r="S480">
        <f>Table1[[#This Row],[Revenue]]-Table1[[#This Row],[Operating_Costs]]</f>
        <v>427782</v>
      </c>
      <c r="T480">
        <v>555916</v>
      </c>
      <c r="U480">
        <v>67</v>
      </c>
      <c r="V480">
        <v>59</v>
      </c>
      <c r="W480">
        <v>6.6</v>
      </c>
    </row>
    <row r="481" spans="1:23" x14ac:dyDescent="0.25">
      <c r="A481">
        <v>8</v>
      </c>
      <c r="B481" t="s">
        <v>52</v>
      </c>
      <c r="C481" s="1">
        <v>45598</v>
      </c>
      <c r="D481" s="1">
        <v>45613</v>
      </c>
      <c r="E481" s="2">
        <f t="shared" si="14"/>
        <v>1</v>
      </c>
      <c r="F481">
        <v>56</v>
      </c>
      <c r="G481" t="str">
        <f t="shared" si="15"/>
        <v>41-60</v>
      </c>
      <c r="H481" t="s">
        <v>35</v>
      </c>
      <c r="I481" t="s">
        <v>31</v>
      </c>
      <c r="J481" t="s">
        <v>28</v>
      </c>
      <c r="K481" t="s">
        <v>38</v>
      </c>
      <c r="L481">
        <v>2</v>
      </c>
      <c r="M481">
        <v>2</v>
      </c>
      <c r="N481">
        <v>6.7</v>
      </c>
      <c r="O481">
        <v>8.1</v>
      </c>
      <c r="P481">
        <v>5</v>
      </c>
      <c r="Q481">
        <v>4</v>
      </c>
      <c r="R481">
        <v>968287</v>
      </c>
      <c r="S481">
        <f>Table1[[#This Row],[Revenue]]-Table1[[#This Row],[Operating_Costs]]</f>
        <v>90679</v>
      </c>
      <c r="T481">
        <v>877608</v>
      </c>
      <c r="U481">
        <v>40</v>
      </c>
      <c r="V481">
        <v>54</v>
      </c>
      <c r="W481">
        <v>36.9</v>
      </c>
    </row>
    <row r="482" spans="1:23" x14ac:dyDescent="0.25">
      <c r="A482">
        <v>9</v>
      </c>
      <c r="B482" t="s">
        <v>44</v>
      </c>
      <c r="C482" s="1">
        <v>45603</v>
      </c>
      <c r="D482" s="1">
        <v>45619</v>
      </c>
      <c r="E482" s="2">
        <f t="shared" si="14"/>
        <v>1</v>
      </c>
      <c r="F482">
        <v>67</v>
      </c>
      <c r="G482" t="str">
        <f t="shared" si="15"/>
        <v>61-80</v>
      </c>
      <c r="H482" t="s">
        <v>23</v>
      </c>
      <c r="I482" t="s">
        <v>40</v>
      </c>
      <c r="J482" t="s">
        <v>41</v>
      </c>
      <c r="K482" t="s">
        <v>42</v>
      </c>
      <c r="L482">
        <v>2</v>
      </c>
      <c r="M482">
        <v>2</v>
      </c>
      <c r="N482">
        <v>6.7</v>
      </c>
      <c r="O482">
        <v>9</v>
      </c>
      <c r="P482">
        <v>5</v>
      </c>
      <c r="Q482">
        <v>4</v>
      </c>
      <c r="R482">
        <v>508322</v>
      </c>
      <c r="S482">
        <f>Table1[[#This Row],[Revenue]]-Table1[[#This Row],[Operating_Costs]]</f>
        <v>91594</v>
      </c>
      <c r="T482">
        <v>416728</v>
      </c>
      <c r="U482">
        <v>35</v>
      </c>
      <c r="V482">
        <v>58</v>
      </c>
      <c r="W482">
        <v>9.8000000000000007</v>
      </c>
    </row>
    <row r="483" spans="1:23" x14ac:dyDescent="0.25">
      <c r="A483">
        <v>13</v>
      </c>
      <c r="B483" t="s">
        <v>30</v>
      </c>
      <c r="C483" s="1">
        <v>45593</v>
      </c>
      <c r="D483" s="1">
        <v>45619</v>
      </c>
      <c r="E483" s="2">
        <f t="shared" si="14"/>
        <v>1</v>
      </c>
      <c r="F483">
        <v>68</v>
      </c>
      <c r="G483" t="str">
        <f t="shared" si="15"/>
        <v>61-80</v>
      </c>
      <c r="H483" t="s">
        <v>23</v>
      </c>
      <c r="I483" t="s">
        <v>31</v>
      </c>
      <c r="J483" t="s">
        <v>28</v>
      </c>
      <c r="K483" t="s">
        <v>29</v>
      </c>
      <c r="L483">
        <v>2</v>
      </c>
      <c r="M483">
        <v>2</v>
      </c>
      <c r="N483">
        <v>2.9</v>
      </c>
      <c r="O483">
        <v>9.1</v>
      </c>
      <c r="P483">
        <v>3</v>
      </c>
      <c r="Q483">
        <v>7</v>
      </c>
      <c r="R483">
        <v>691753</v>
      </c>
      <c r="S483">
        <f>Table1[[#This Row],[Revenue]]-Table1[[#This Row],[Operating_Costs]]</f>
        <v>285364</v>
      </c>
      <c r="T483">
        <v>406389</v>
      </c>
      <c r="U483">
        <v>35</v>
      </c>
      <c r="V483">
        <v>58</v>
      </c>
      <c r="W483">
        <v>10.8</v>
      </c>
    </row>
    <row r="484" spans="1:23" x14ac:dyDescent="0.25">
      <c r="A484">
        <v>9</v>
      </c>
      <c r="B484" t="s">
        <v>44</v>
      </c>
      <c r="C484" s="1">
        <v>45605</v>
      </c>
      <c r="D484" s="1">
        <v>45620</v>
      </c>
      <c r="E484" s="2">
        <f t="shared" si="14"/>
        <v>1</v>
      </c>
      <c r="F484">
        <v>43</v>
      </c>
      <c r="G484" t="str">
        <f t="shared" si="15"/>
        <v>41-60</v>
      </c>
      <c r="H484" t="s">
        <v>35</v>
      </c>
      <c r="I484" t="s">
        <v>58</v>
      </c>
      <c r="J484" t="s">
        <v>59</v>
      </c>
      <c r="K484" t="s">
        <v>33</v>
      </c>
      <c r="L484">
        <v>2</v>
      </c>
      <c r="M484">
        <v>2</v>
      </c>
      <c r="N484">
        <v>2.2999999999999998</v>
      </c>
      <c r="O484">
        <v>9.9</v>
      </c>
      <c r="P484">
        <v>7</v>
      </c>
      <c r="Q484">
        <v>4</v>
      </c>
      <c r="R484">
        <v>575322</v>
      </c>
      <c r="S484">
        <f>Table1[[#This Row],[Revenue]]-Table1[[#This Row],[Operating_Costs]]</f>
        <v>139580</v>
      </c>
      <c r="T484">
        <v>435742</v>
      </c>
      <c r="U484">
        <v>35</v>
      </c>
      <c r="V484">
        <v>66</v>
      </c>
      <c r="W484">
        <v>36.5</v>
      </c>
    </row>
    <row r="485" spans="1:23" x14ac:dyDescent="0.25">
      <c r="A485">
        <v>9</v>
      </c>
      <c r="B485" t="s">
        <v>44</v>
      </c>
      <c r="C485" s="1">
        <v>45596</v>
      </c>
      <c r="D485" s="1">
        <v>45622</v>
      </c>
      <c r="E485" s="2">
        <f t="shared" si="14"/>
        <v>1</v>
      </c>
      <c r="F485">
        <v>24</v>
      </c>
      <c r="G485" t="str">
        <f t="shared" si="15"/>
        <v>21-40</v>
      </c>
      <c r="H485" t="s">
        <v>35</v>
      </c>
      <c r="I485" t="s">
        <v>40</v>
      </c>
      <c r="J485" t="s">
        <v>41</v>
      </c>
      <c r="K485" t="s">
        <v>38</v>
      </c>
      <c r="L485">
        <v>2</v>
      </c>
      <c r="M485">
        <v>2</v>
      </c>
      <c r="N485">
        <v>6</v>
      </c>
      <c r="O485">
        <v>7.5</v>
      </c>
      <c r="P485">
        <v>6</v>
      </c>
      <c r="Q485">
        <v>7</v>
      </c>
      <c r="R485">
        <v>582522</v>
      </c>
      <c r="S485">
        <f>Table1[[#This Row],[Revenue]]-Table1[[#This Row],[Operating_Costs]]</f>
        <v>179039</v>
      </c>
      <c r="T485">
        <v>403483</v>
      </c>
      <c r="U485">
        <v>39</v>
      </c>
      <c r="V485">
        <v>58</v>
      </c>
      <c r="W485">
        <v>10</v>
      </c>
    </row>
    <row r="486" spans="1:23" x14ac:dyDescent="0.25">
      <c r="A486">
        <v>5</v>
      </c>
      <c r="B486" t="s">
        <v>22</v>
      </c>
      <c r="C486" s="1">
        <v>45622</v>
      </c>
      <c r="D486" s="1">
        <v>45626</v>
      </c>
      <c r="E486" s="2">
        <f t="shared" si="14"/>
        <v>1</v>
      </c>
      <c r="F486">
        <v>27</v>
      </c>
      <c r="G486" t="str">
        <f t="shared" si="15"/>
        <v>21-40</v>
      </c>
      <c r="H486" t="s">
        <v>23</v>
      </c>
      <c r="I486" t="s">
        <v>24</v>
      </c>
      <c r="J486" t="s">
        <v>25</v>
      </c>
      <c r="K486" t="s">
        <v>33</v>
      </c>
      <c r="L486">
        <v>2</v>
      </c>
      <c r="M486">
        <v>2</v>
      </c>
      <c r="N486">
        <v>6.4</v>
      </c>
      <c r="O486">
        <v>8.5</v>
      </c>
      <c r="P486">
        <v>3</v>
      </c>
      <c r="Q486">
        <v>3</v>
      </c>
      <c r="R486">
        <v>730401</v>
      </c>
      <c r="S486">
        <f>Table1[[#This Row],[Revenue]]-Table1[[#This Row],[Operating_Costs]]</f>
        <v>244416</v>
      </c>
      <c r="T486">
        <v>485985</v>
      </c>
      <c r="U486">
        <v>26</v>
      </c>
      <c r="V486">
        <v>65</v>
      </c>
      <c r="W486">
        <v>8.5</v>
      </c>
    </row>
    <row r="487" spans="1:23" x14ac:dyDescent="0.25">
      <c r="A487">
        <v>2</v>
      </c>
      <c r="B487" t="s">
        <v>39</v>
      </c>
      <c r="C487" s="1">
        <v>45625</v>
      </c>
      <c r="D487" s="1">
        <v>45630</v>
      </c>
      <c r="E487" s="2">
        <f t="shared" si="14"/>
        <v>1</v>
      </c>
      <c r="F487">
        <v>83</v>
      </c>
      <c r="G487" t="str">
        <f t="shared" si="15"/>
        <v>81+</v>
      </c>
      <c r="H487" t="s">
        <v>23</v>
      </c>
      <c r="I487" t="s">
        <v>43</v>
      </c>
      <c r="J487" t="s">
        <v>25</v>
      </c>
      <c r="K487" t="s">
        <v>29</v>
      </c>
      <c r="L487">
        <v>2</v>
      </c>
      <c r="M487">
        <v>2</v>
      </c>
      <c r="N487">
        <v>3.9</v>
      </c>
      <c r="O487">
        <v>7.3</v>
      </c>
      <c r="P487">
        <v>4</v>
      </c>
      <c r="Q487">
        <v>3</v>
      </c>
      <c r="R487">
        <v>680459</v>
      </c>
      <c r="S487">
        <f>Table1[[#This Row],[Revenue]]-Table1[[#This Row],[Operating_Costs]]</f>
        <v>45082</v>
      </c>
      <c r="T487">
        <v>635377</v>
      </c>
      <c r="U487">
        <v>37</v>
      </c>
      <c r="V487">
        <v>63</v>
      </c>
      <c r="W487">
        <v>13.3</v>
      </c>
    </row>
    <row r="488" spans="1:23" x14ac:dyDescent="0.25">
      <c r="A488">
        <v>14</v>
      </c>
      <c r="B488" t="s">
        <v>48</v>
      </c>
      <c r="C488" s="1">
        <v>45621</v>
      </c>
      <c r="D488" s="1">
        <v>45636</v>
      </c>
      <c r="E488" s="2">
        <f t="shared" si="14"/>
        <v>1</v>
      </c>
      <c r="F488">
        <v>36</v>
      </c>
      <c r="G488" t="str">
        <f t="shared" si="15"/>
        <v>21-40</v>
      </c>
      <c r="H488" t="s">
        <v>23</v>
      </c>
      <c r="I488" t="s">
        <v>31</v>
      </c>
      <c r="J488" t="s">
        <v>28</v>
      </c>
      <c r="K488" t="s">
        <v>26</v>
      </c>
      <c r="L488">
        <v>2</v>
      </c>
      <c r="M488">
        <v>2</v>
      </c>
      <c r="N488">
        <v>3.2</v>
      </c>
      <c r="O488">
        <v>7.7</v>
      </c>
      <c r="P488">
        <v>4</v>
      </c>
      <c r="Q488">
        <v>3</v>
      </c>
      <c r="R488">
        <v>702872</v>
      </c>
      <c r="S488">
        <f>Table1[[#This Row],[Revenue]]-Table1[[#This Row],[Operating_Costs]]</f>
        <v>158566</v>
      </c>
      <c r="T488">
        <v>544306</v>
      </c>
      <c r="U488">
        <v>39</v>
      </c>
      <c r="V488">
        <v>58</v>
      </c>
      <c r="W488">
        <v>10.3</v>
      </c>
    </row>
    <row r="489" spans="1:23" x14ac:dyDescent="0.25">
      <c r="A489">
        <v>12</v>
      </c>
      <c r="B489" t="s">
        <v>66</v>
      </c>
      <c r="C489" s="1">
        <v>45627</v>
      </c>
      <c r="D489" s="1">
        <v>45636</v>
      </c>
      <c r="E489" s="2">
        <f t="shared" si="14"/>
        <v>1</v>
      </c>
      <c r="F489">
        <v>57</v>
      </c>
      <c r="G489" t="str">
        <f t="shared" si="15"/>
        <v>41-60</v>
      </c>
      <c r="H489" t="s">
        <v>35</v>
      </c>
      <c r="I489" t="s">
        <v>55</v>
      </c>
      <c r="J489" t="s">
        <v>56</v>
      </c>
      <c r="K489" t="s">
        <v>38</v>
      </c>
      <c r="L489">
        <v>2</v>
      </c>
      <c r="M489">
        <v>2</v>
      </c>
      <c r="N489">
        <v>6</v>
      </c>
      <c r="O489">
        <v>8.3000000000000007</v>
      </c>
      <c r="P489">
        <v>4</v>
      </c>
      <c r="Q489">
        <v>7</v>
      </c>
      <c r="R489">
        <v>857505</v>
      </c>
      <c r="S489">
        <f>Table1[[#This Row],[Revenue]]-Table1[[#This Row],[Operating_Costs]]</f>
        <v>295761</v>
      </c>
      <c r="T489">
        <v>561744</v>
      </c>
      <c r="U489">
        <v>59</v>
      </c>
      <c r="V489">
        <v>60</v>
      </c>
      <c r="W489">
        <v>6.8</v>
      </c>
    </row>
    <row r="490" spans="1:23" x14ac:dyDescent="0.25">
      <c r="A490">
        <v>7</v>
      </c>
      <c r="B490" t="s">
        <v>49</v>
      </c>
      <c r="C490" s="1">
        <v>45617</v>
      </c>
      <c r="D490" s="1">
        <v>45640</v>
      </c>
      <c r="E490" s="2">
        <f t="shared" si="14"/>
        <v>1</v>
      </c>
      <c r="F490">
        <v>70</v>
      </c>
      <c r="G490" t="str">
        <f t="shared" si="15"/>
        <v>61-80</v>
      </c>
      <c r="H490" t="s">
        <v>23</v>
      </c>
      <c r="I490" t="s">
        <v>43</v>
      </c>
      <c r="J490" t="s">
        <v>25</v>
      </c>
      <c r="K490" t="s">
        <v>26</v>
      </c>
      <c r="L490">
        <v>2</v>
      </c>
      <c r="M490">
        <v>2</v>
      </c>
      <c r="N490">
        <v>5.7</v>
      </c>
      <c r="O490">
        <v>7.3</v>
      </c>
      <c r="P490">
        <v>5</v>
      </c>
      <c r="Q490">
        <v>5</v>
      </c>
      <c r="R490">
        <v>766920</v>
      </c>
      <c r="S490">
        <f>Table1[[#This Row],[Revenue]]-Table1[[#This Row],[Operating_Costs]]</f>
        <v>207758</v>
      </c>
      <c r="T490">
        <v>559162</v>
      </c>
      <c r="U490">
        <v>53</v>
      </c>
      <c r="V490">
        <v>61</v>
      </c>
      <c r="W490">
        <v>6</v>
      </c>
    </row>
    <row r="491" spans="1:23" x14ac:dyDescent="0.25">
      <c r="A491">
        <v>15</v>
      </c>
      <c r="B491" t="s">
        <v>45</v>
      </c>
      <c r="C491" s="1">
        <v>45633</v>
      </c>
      <c r="D491" s="1">
        <v>45641</v>
      </c>
      <c r="E491" s="2">
        <f t="shared" si="14"/>
        <v>1</v>
      </c>
      <c r="F491">
        <v>37</v>
      </c>
      <c r="G491" t="str">
        <f t="shared" si="15"/>
        <v>21-40</v>
      </c>
      <c r="H491" t="s">
        <v>23</v>
      </c>
      <c r="I491" t="s">
        <v>64</v>
      </c>
      <c r="J491" t="s">
        <v>65</v>
      </c>
      <c r="K491" t="s">
        <v>42</v>
      </c>
      <c r="L491">
        <v>2</v>
      </c>
      <c r="M491">
        <v>2</v>
      </c>
      <c r="N491">
        <v>2.5</v>
      </c>
      <c r="O491">
        <v>8.8000000000000007</v>
      </c>
      <c r="P491">
        <v>5</v>
      </c>
      <c r="Q491">
        <v>6</v>
      </c>
      <c r="R491">
        <v>793384</v>
      </c>
      <c r="S491">
        <f>Table1[[#This Row],[Revenue]]-Table1[[#This Row],[Operating_Costs]]</f>
        <v>188633</v>
      </c>
      <c r="T491">
        <v>604751</v>
      </c>
      <c r="U491">
        <v>60</v>
      </c>
      <c r="V491">
        <v>61</v>
      </c>
      <c r="W491">
        <v>8.4</v>
      </c>
    </row>
    <row r="492" spans="1:23" x14ac:dyDescent="0.25">
      <c r="A492">
        <v>12</v>
      </c>
      <c r="B492" t="s">
        <v>66</v>
      </c>
      <c r="C492" s="1">
        <v>45628</v>
      </c>
      <c r="D492" s="1">
        <v>45641</v>
      </c>
      <c r="E492" s="2">
        <f t="shared" si="14"/>
        <v>1</v>
      </c>
      <c r="F492">
        <v>67</v>
      </c>
      <c r="G492" t="str">
        <f t="shared" si="15"/>
        <v>61-80</v>
      </c>
      <c r="H492" t="s">
        <v>35</v>
      </c>
      <c r="I492" t="s">
        <v>36</v>
      </c>
      <c r="J492" t="s">
        <v>37</v>
      </c>
      <c r="K492" t="s">
        <v>42</v>
      </c>
      <c r="L492">
        <v>2</v>
      </c>
      <c r="M492">
        <v>2</v>
      </c>
      <c r="N492">
        <v>2.9</v>
      </c>
      <c r="O492">
        <v>9.3000000000000007</v>
      </c>
      <c r="P492">
        <v>3</v>
      </c>
      <c r="Q492">
        <v>6</v>
      </c>
      <c r="R492">
        <v>902684</v>
      </c>
      <c r="S492">
        <f>Table1[[#This Row],[Revenue]]-Table1[[#This Row],[Operating_Costs]]</f>
        <v>386249</v>
      </c>
      <c r="T492">
        <v>516435</v>
      </c>
      <c r="U492">
        <v>62</v>
      </c>
      <c r="V492">
        <v>61</v>
      </c>
      <c r="W492">
        <v>10.5</v>
      </c>
    </row>
    <row r="493" spans="1:23" x14ac:dyDescent="0.25">
      <c r="A493">
        <v>9</v>
      </c>
      <c r="B493" t="s">
        <v>44</v>
      </c>
      <c r="C493" s="1">
        <v>45634</v>
      </c>
      <c r="D493" s="1">
        <v>45644</v>
      </c>
      <c r="E493" s="2">
        <f t="shared" si="14"/>
        <v>1</v>
      </c>
      <c r="F493">
        <v>44</v>
      </c>
      <c r="G493" t="str">
        <f t="shared" si="15"/>
        <v>41-60</v>
      </c>
      <c r="H493" t="s">
        <v>23</v>
      </c>
      <c r="I493" t="s">
        <v>43</v>
      </c>
      <c r="J493" t="s">
        <v>25</v>
      </c>
      <c r="K493" t="s">
        <v>33</v>
      </c>
      <c r="L493">
        <v>2</v>
      </c>
      <c r="M493">
        <v>2</v>
      </c>
      <c r="N493">
        <v>3.2</v>
      </c>
      <c r="O493">
        <v>7.7</v>
      </c>
      <c r="P493">
        <v>6</v>
      </c>
      <c r="Q493">
        <v>7</v>
      </c>
      <c r="R493">
        <v>558495</v>
      </c>
      <c r="S493">
        <f>Table1[[#This Row],[Revenue]]-Table1[[#This Row],[Operating_Costs]]</f>
        <v>172512</v>
      </c>
      <c r="T493">
        <v>385983</v>
      </c>
      <c r="U493">
        <v>36</v>
      </c>
      <c r="V493">
        <v>62</v>
      </c>
      <c r="W493">
        <v>9</v>
      </c>
    </row>
    <row r="494" spans="1:23" x14ac:dyDescent="0.25">
      <c r="A494">
        <v>10</v>
      </c>
      <c r="B494" t="s">
        <v>34</v>
      </c>
      <c r="C494" s="1">
        <v>45621</v>
      </c>
      <c r="D494" s="1">
        <v>45647</v>
      </c>
      <c r="E494" s="2">
        <f t="shared" si="14"/>
        <v>1</v>
      </c>
      <c r="F494">
        <v>39</v>
      </c>
      <c r="G494" t="str">
        <f t="shared" si="15"/>
        <v>21-40</v>
      </c>
      <c r="H494" t="s">
        <v>23</v>
      </c>
      <c r="I494" t="s">
        <v>55</v>
      </c>
      <c r="J494" t="s">
        <v>56</v>
      </c>
      <c r="K494" t="s">
        <v>38</v>
      </c>
      <c r="L494">
        <v>2</v>
      </c>
      <c r="M494">
        <v>2</v>
      </c>
      <c r="N494">
        <v>4.4000000000000004</v>
      </c>
      <c r="O494">
        <v>8.4</v>
      </c>
      <c r="P494">
        <v>3</v>
      </c>
      <c r="Q494">
        <v>3</v>
      </c>
      <c r="R494">
        <v>890442</v>
      </c>
      <c r="S494">
        <f>Table1[[#This Row],[Revenue]]-Table1[[#This Row],[Operating_Costs]]</f>
        <v>229766</v>
      </c>
      <c r="T494">
        <v>660676</v>
      </c>
      <c r="U494">
        <v>66</v>
      </c>
      <c r="V494">
        <v>60</v>
      </c>
      <c r="W494">
        <v>12.5</v>
      </c>
    </row>
    <row r="495" spans="1:23" x14ac:dyDescent="0.25">
      <c r="A495">
        <v>14</v>
      </c>
      <c r="B495" t="s">
        <v>48</v>
      </c>
      <c r="C495" s="1">
        <v>45637</v>
      </c>
      <c r="D495" s="1">
        <v>45649</v>
      </c>
      <c r="E495" s="2">
        <f t="shared" si="14"/>
        <v>1</v>
      </c>
      <c r="F495">
        <v>39</v>
      </c>
      <c r="G495" t="str">
        <f t="shared" si="15"/>
        <v>21-40</v>
      </c>
      <c r="H495" t="s">
        <v>23</v>
      </c>
      <c r="I495" t="s">
        <v>24</v>
      </c>
      <c r="J495" t="s">
        <v>25</v>
      </c>
      <c r="K495" t="s">
        <v>42</v>
      </c>
      <c r="L495">
        <v>2</v>
      </c>
      <c r="M495">
        <v>2</v>
      </c>
      <c r="N495">
        <v>1.5</v>
      </c>
      <c r="O495">
        <v>8.9</v>
      </c>
      <c r="P495">
        <v>3</v>
      </c>
      <c r="Q495">
        <v>6</v>
      </c>
      <c r="R495">
        <v>831755</v>
      </c>
      <c r="S495">
        <f>Table1[[#This Row],[Revenue]]-Table1[[#This Row],[Operating_Costs]]</f>
        <v>231699</v>
      </c>
      <c r="T495">
        <v>600056</v>
      </c>
      <c r="U495">
        <v>33</v>
      </c>
      <c r="V495">
        <v>66</v>
      </c>
      <c r="W495">
        <v>9.9</v>
      </c>
    </row>
    <row r="496" spans="1:23" x14ac:dyDescent="0.25">
      <c r="A496">
        <v>5</v>
      </c>
      <c r="B496" t="s">
        <v>22</v>
      </c>
      <c r="C496" s="1">
        <v>45628</v>
      </c>
      <c r="D496" s="1">
        <v>45657</v>
      </c>
      <c r="E496" s="2">
        <f t="shared" si="14"/>
        <v>1</v>
      </c>
      <c r="F496">
        <v>57</v>
      </c>
      <c r="G496" t="str">
        <f t="shared" si="15"/>
        <v>41-60</v>
      </c>
      <c r="H496" t="s">
        <v>23</v>
      </c>
      <c r="I496" t="s">
        <v>43</v>
      </c>
      <c r="J496" t="s">
        <v>25</v>
      </c>
      <c r="K496" t="s">
        <v>38</v>
      </c>
      <c r="L496">
        <v>2</v>
      </c>
      <c r="M496">
        <v>2</v>
      </c>
      <c r="N496">
        <v>1.7</v>
      </c>
      <c r="O496">
        <v>8.4</v>
      </c>
      <c r="P496">
        <v>5</v>
      </c>
      <c r="Q496">
        <v>4</v>
      </c>
      <c r="R496">
        <v>757454</v>
      </c>
      <c r="S496">
        <f>Table1[[#This Row],[Revenue]]-Table1[[#This Row],[Operating_Costs]]</f>
        <v>365293</v>
      </c>
      <c r="T496">
        <v>392161</v>
      </c>
      <c r="U496">
        <v>37</v>
      </c>
      <c r="V496">
        <v>65</v>
      </c>
      <c r="W496">
        <v>14.5</v>
      </c>
    </row>
    <row r="497" spans="1:23" x14ac:dyDescent="0.25">
      <c r="A497">
        <v>6</v>
      </c>
      <c r="B497" t="s">
        <v>70</v>
      </c>
      <c r="C497" s="1">
        <v>45639</v>
      </c>
      <c r="D497" s="1">
        <v>45658</v>
      </c>
      <c r="E497" s="2">
        <f t="shared" si="14"/>
        <v>1</v>
      </c>
      <c r="F497">
        <v>25</v>
      </c>
      <c r="G497" t="str">
        <f t="shared" si="15"/>
        <v>21-40</v>
      </c>
      <c r="H497" t="s">
        <v>23</v>
      </c>
      <c r="I497" t="s">
        <v>24</v>
      </c>
      <c r="J497" t="s">
        <v>25</v>
      </c>
      <c r="K497" t="s">
        <v>29</v>
      </c>
      <c r="L497">
        <v>2</v>
      </c>
      <c r="M497">
        <v>2</v>
      </c>
      <c r="N497">
        <v>3.6</v>
      </c>
      <c r="O497">
        <v>10</v>
      </c>
      <c r="P497">
        <v>4</v>
      </c>
      <c r="Q497">
        <v>7</v>
      </c>
      <c r="R497">
        <v>644656</v>
      </c>
      <c r="S497">
        <f>Table1[[#This Row],[Revenue]]-Table1[[#This Row],[Operating_Costs]]</f>
        <v>224962</v>
      </c>
      <c r="T497">
        <v>419694</v>
      </c>
      <c r="U497">
        <v>22</v>
      </c>
      <c r="V497">
        <v>56</v>
      </c>
      <c r="W497">
        <v>12.1</v>
      </c>
    </row>
    <row r="498" spans="1:23" x14ac:dyDescent="0.25">
      <c r="A498">
        <v>11</v>
      </c>
      <c r="B498" t="s">
        <v>63</v>
      </c>
      <c r="C498" s="1">
        <v>45631</v>
      </c>
      <c r="D498" s="1">
        <v>45660</v>
      </c>
      <c r="E498" s="2">
        <f t="shared" si="14"/>
        <v>1</v>
      </c>
      <c r="F498">
        <v>81</v>
      </c>
      <c r="G498" t="str">
        <f t="shared" si="15"/>
        <v>81+</v>
      </c>
      <c r="H498" t="s">
        <v>35</v>
      </c>
      <c r="I498" t="s">
        <v>36</v>
      </c>
      <c r="J498" t="s">
        <v>37</v>
      </c>
      <c r="K498" t="s">
        <v>26</v>
      </c>
      <c r="L498">
        <v>2</v>
      </c>
      <c r="M498">
        <v>2</v>
      </c>
      <c r="N498">
        <v>4.8</v>
      </c>
      <c r="O498">
        <v>8.8000000000000007</v>
      </c>
      <c r="P498">
        <v>3</v>
      </c>
      <c r="Q498">
        <v>7</v>
      </c>
      <c r="R498">
        <v>719296</v>
      </c>
      <c r="S498">
        <f>Table1[[#This Row],[Revenue]]-Table1[[#This Row],[Operating_Costs]]</f>
        <v>149795</v>
      </c>
      <c r="T498">
        <v>569501</v>
      </c>
      <c r="U498">
        <v>29</v>
      </c>
      <c r="V498">
        <v>55</v>
      </c>
      <c r="W498">
        <v>13.8</v>
      </c>
    </row>
    <row r="499" spans="1:23" x14ac:dyDescent="0.25">
      <c r="A499">
        <v>14</v>
      </c>
      <c r="B499" t="s">
        <v>48</v>
      </c>
      <c r="C499" s="1">
        <v>45654</v>
      </c>
      <c r="D499" s="1">
        <v>45662</v>
      </c>
      <c r="E499" s="2">
        <f t="shared" si="14"/>
        <v>1</v>
      </c>
      <c r="F499">
        <v>54</v>
      </c>
      <c r="G499" t="str">
        <f t="shared" si="15"/>
        <v>41-60</v>
      </c>
      <c r="H499" t="s">
        <v>23</v>
      </c>
      <c r="I499" t="s">
        <v>40</v>
      </c>
      <c r="J499" t="s">
        <v>41</v>
      </c>
      <c r="K499" t="s">
        <v>26</v>
      </c>
      <c r="L499">
        <v>2</v>
      </c>
      <c r="M499">
        <v>2</v>
      </c>
      <c r="N499">
        <v>5.7</v>
      </c>
      <c r="O499">
        <v>7.5</v>
      </c>
      <c r="P499">
        <v>5</v>
      </c>
      <c r="Q499">
        <v>3</v>
      </c>
      <c r="R499">
        <v>723399</v>
      </c>
      <c r="S499">
        <f>Table1[[#This Row],[Revenue]]-Table1[[#This Row],[Operating_Costs]]</f>
        <v>63226</v>
      </c>
      <c r="T499">
        <v>660173</v>
      </c>
      <c r="U499">
        <v>41</v>
      </c>
      <c r="V499">
        <v>62</v>
      </c>
      <c r="W499">
        <v>9.1</v>
      </c>
    </row>
    <row r="500" spans="1:23" x14ac:dyDescent="0.25">
      <c r="A500">
        <v>2</v>
      </c>
      <c r="B500" t="s">
        <v>39</v>
      </c>
      <c r="C500" s="1">
        <v>45646</v>
      </c>
      <c r="D500" s="1">
        <v>45667</v>
      </c>
      <c r="E500" s="2">
        <f t="shared" si="14"/>
        <v>1</v>
      </c>
      <c r="F500">
        <v>32</v>
      </c>
      <c r="G500" t="str">
        <f t="shared" si="15"/>
        <v>21-40</v>
      </c>
      <c r="H500" t="s">
        <v>23</v>
      </c>
      <c r="I500" t="s">
        <v>31</v>
      </c>
      <c r="J500" t="s">
        <v>28</v>
      </c>
      <c r="K500" t="s">
        <v>26</v>
      </c>
      <c r="L500">
        <v>2</v>
      </c>
      <c r="M500">
        <v>2</v>
      </c>
      <c r="N500">
        <v>1.3</v>
      </c>
      <c r="O500">
        <v>8.1</v>
      </c>
      <c r="P500">
        <v>3</v>
      </c>
      <c r="Q500">
        <v>3</v>
      </c>
      <c r="R500">
        <v>627015</v>
      </c>
      <c r="S500">
        <f>Table1[[#This Row],[Revenue]]-Table1[[#This Row],[Operating_Costs]]</f>
        <v>34638</v>
      </c>
      <c r="T500">
        <v>592377</v>
      </c>
      <c r="U500">
        <v>40</v>
      </c>
      <c r="V500">
        <v>62</v>
      </c>
      <c r="W500">
        <v>7.3</v>
      </c>
    </row>
    <row r="501" spans="1:23" x14ac:dyDescent="0.25">
      <c r="A501">
        <v>11</v>
      </c>
      <c r="B501" t="s">
        <v>63</v>
      </c>
      <c r="C501" s="1">
        <v>45646</v>
      </c>
      <c r="D501" s="1">
        <v>45668</v>
      </c>
      <c r="E501" s="2">
        <f t="shared" si="14"/>
        <v>1</v>
      </c>
      <c r="F501">
        <v>32</v>
      </c>
      <c r="G501" t="str">
        <f t="shared" si="15"/>
        <v>21-40</v>
      </c>
      <c r="H501" t="s">
        <v>35</v>
      </c>
      <c r="I501" t="s">
        <v>36</v>
      </c>
      <c r="J501" t="s">
        <v>37</v>
      </c>
      <c r="K501" t="s">
        <v>26</v>
      </c>
      <c r="L501">
        <v>2</v>
      </c>
      <c r="M501">
        <v>2</v>
      </c>
      <c r="N501">
        <v>6.8</v>
      </c>
      <c r="O501">
        <v>7</v>
      </c>
      <c r="P501">
        <v>6</v>
      </c>
      <c r="Q501">
        <v>5</v>
      </c>
      <c r="R501">
        <v>723700</v>
      </c>
      <c r="S501">
        <f>Table1[[#This Row],[Revenue]]-Table1[[#This Row],[Operating_Costs]]</f>
        <v>174269</v>
      </c>
      <c r="T501">
        <v>549431</v>
      </c>
      <c r="U501">
        <v>24</v>
      </c>
      <c r="V501">
        <v>56</v>
      </c>
      <c r="W501">
        <v>13.2</v>
      </c>
    </row>
    <row r="502" spans="1:23" x14ac:dyDescent="0.25">
      <c r="A502">
        <v>1</v>
      </c>
      <c r="B502" t="s">
        <v>32</v>
      </c>
      <c r="C502" s="1">
        <v>44418</v>
      </c>
      <c r="D502" t="s">
        <v>71</v>
      </c>
      <c r="E502">
        <v>0</v>
      </c>
      <c r="F502">
        <v>41</v>
      </c>
      <c r="G502" t="str">
        <f t="shared" si="15"/>
        <v>41-60</v>
      </c>
      <c r="H502" t="s">
        <v>35</v>
      </c>
      <c r="I502" t="s">
        <v>36</v>
      </c>
      <c r="J502" t="s">
        <v>37</v>
      </c>
      <c r="K502" t="s">
        <v>38</v>
      </c>
      <c r="L502">
        <v>1</v>
      </c>
      <c r="M502">
        <v>1</v>
      </c>
      <c r="N502">
        <v>1</v>
      </c>
      <c r="O502">
        <v>10</v>
      </c>
      <c r="P502">
        <v>4</v>
      </c>
      <c r="Q502">
        <v>5</v>
      </c>
      <c r="R502">
        <v>928284</v>
      </c>
      <c r="S502">
        <f>Table1[[#This Row],[Revenue]]-Table1[[#This Row],[Operating_Costs]]</f>
        <v>62192</v>
      </c>
      <c r="T502">
        <v>866092</v>
      </c>
      <c r="U502">
        <v>30</v>
      </c>
      <c r="V502">
        <v>65</v>
      </c>
      <c r="W502">
        <v>9.9</v>
      </c>
    </row>
    <row r="503" spans="1:23" x14ac:dyDescent="0.25">
      <c r="A503">
        <v>1</v>
      </c>
      <c r="B503" t="s">
        <v>32</v>
      </c>
      <c r="C503" s="1">
        <v>45468</v>
      </c>
      <c r="D503" t="s">
        <v>71</v>
      </c>
      <c r="E503">
        <v>0</v>
      </c>
      <c r="F503">
        <v>69</v>
      </c>
      <c r="G503" t="str">
        <f t="shared" si="15"/>
        <v>61-80</v>
      </c>
      <c r="H503" t="s">
        <v>35</v>
      </c>
      <c r="I503" t="s">
        <v>60</v>
      </c>
      <c r="J503" t="s">
        <v>59</v>
      </c>
      <c r="K503" t="s">
        <v>38</v>
      </c>
      <c r="L503">
        <v>1</v>
      </c>
      <c r="M503">
        <v>1</v>
      </c>
      <c r="N503">
        <v>4.4000000000000004</v>
      </c>
      <c r="O503">
        <v>7.3</v>
      </c>
      <c r="P503">
        <v>5</v>
      </c>
      <c r="Q503">
        <v>4</v>
      </c>
      <c r="R503">
        <v>948782</v>
      </c>
      <c r="S503">
        <f>Table1[[#This Row],[Revenue]]-Table1[[#This Row],[Operating_Costs]]</f>
        <v>288189</v>
      </c>
      <c r="T503">
        <v>660593</v>
      </c>
      <c r="U503">
        <v>35</v>
      </c>
      <c r="V503">
        <v>60</v>
      </c>
      <c r="W503">
        <v>6.6</v>
      </c>
    </row>
    <row r="504" spans="1:23" x14ac:dyDescent="0.25">
      <c r="A504">
        <v>1</v>
      </c>
      <c r="B504" t="s">
        <v>32</v>
      </c>
      <c r="C504" s="1">
        <v>45524</v>
      </c>
      <c r="D504" t="s">
        <v>71</v>
      </c>
      <c r="E504">
        <v>0</v>
      </c>
      <c r="F504">
        <v>84</v>
      </c>
      <c r="G504" t="str">
        <f t="shared" si="15"/>
        <v>81+</v>
      </c>
      <c r="H504" t="s">
        <v>35</v>
      </c>
      <c r="I504" t="s">
        <v>46</v>
      </c>
      <c r="J504" t="s">
        <v>47</v>
      </c>
      <c r="K504" t="s">
        <v>33</v>
      </c>
      <c r="L504">
        <v>1</v>
      </c>
      <c r="M504">
        <v>1</v>
      </c>
      <c r="N504">
        <v>3.1</v>
      </c>
      <c r="O504">
        <v>7.6</v>
      </c>
      <c r="P504">
        <v>3</v>
      </c>
      <c r="Q504">
        <v>5</v>
      </c>
      <c r="R504">
        <v>993380</v>
      </c>
      <c r="S504">
        <f>Table1[[#This Row],[Revenue]]-Table1[[#This Row],[Operating_Costs]]</f>
        <v>256182</v>
      </c>
      <c r="T504">
        <v>737198</v>
      </c>
      <c r="U504">
        <v>34</v>
      </c>
      <c r="V504">
        <v>64</v>
      </c>
      <c r="W504">
        <v>5.3</v>
      </c>
    </row>
    <row r="505" spans="1:23" x14ac:dyDescent="0.25">
      <c r="A505">
        <v>1</v>
      </c>
      <c r="B505" t="s">
        <v>32</v>
      </c>
      <c r="C505" s="1">
        <v>44805</v>
      </c>
      <c r="D505" t="s">
        <v>71</v>
      </c>
      <c r="E505">
        <v>0</v>
      </c>
      <c r="F505">
        <v>71</v>
      </c>
      <c r="G505" t="str">
        <f t="shared" si="15"/>
        <v>61-80</v>
      </c>
      <c r="H505" t="s">
        <v>35</v>
      </c>
      <c r="I505" t="s">
        <v>58</v>
      </c>
      <c r="J505" t="s">
        <v>59</v>
      </c>
      <c r="K505" t="s">
        <v>26</v>
      </c>
      <c r="L505">
        <v>1</v>
      </c>
      <c r="M505">
        <v>1</v>
      </c>
      <c r="N505">
        <v>3</v>
      </c>
      <c r="O505">
        <v>8.6999999999999993</v>
      </c>
      <c r="P505">
        <v>3</v>
      </c>
      <c r="Q505">
        <v>7</v>
      </c>
      <c r="R505">
        <v>957800</v>
      </c>
      <c r="S505">
        <f>Table1[[#This Row],[Revenue]]-Table1[[#This Row],[Operating_Costs]]</f>
        <v>140167</v>
      </c>
      <c r="T505">
        <v>817633</v>
      </c>
      <c r="U505">
        <v>32</v>
      </c>
      <c r="V505">
        <v>58</v>
      </c>
      <c r="W505">
        <v>14.4</v>
      </c>
    </row>
    <row r="506" spans="1:23" x14ac:dyDescent="0.25">
      <c r="A506">
        <v>1</v>
      </c>
      <c r="B506" t="s">
        <v>32</v>
      </c>
      <c r="C506" s="1">
        <v>45377</v>
      </c>
      <c r="D506" t="s">
        <v>71</v>
      </c>
      <c r="E506">
        <v>0</v>
      </c>
      <c r="F506">
        <v>50</v>
      </c>
      <c r="G506" t="str">
        <f t="shared" si="15"/>
        <v>41-60</v>
      </c>
      <c r="H506" t="s">
        <v>23</v>
      </c>
      <c r="I506" t="s">
        <v>24</v>
      </c>
      <c r="J506" t="s">
        <v>25</v>
      </c>
      <c r="K506" t="s">
        <v>38</v>
      </c>
      <c r="L506">
        <v>1</v>
      </c>
      <c r="M506">
        <v>1</v>
      </c>
      <c r="N506">
        <v>3.4</v>
      </c>
      <c r="O506">
        <v>8.4</v>
      </c>
      <c r="P506">
        <v>7</v>
      </c>
      <c r="Q506">
        <v>4</v>
      </c>
      <c r="R506">
        <v>952681</v>
      </c>
      <c r="S506">
        <f>Table1[[#This Row],[Revenue]]-Table1[[#This Row],[Operating_Costs]]</f>
        <v>201756</v>
      </c>
      <c r="T506">
        <v>750925</v>
      </c>
      <c r="U506">
        <v>40</v>
      </c>
      <c r="V506">
        <v>56</v>
      </c>
      <c r="W506">
        <v>7.2</v>
      </c>
    </row>
    <row r="507" spans="1:23" x14ac:dyDescent="0.25">
      <c r="A507">
        <v>1</v>
      </c>
      <c r="B507" t="s">
        <v>32</v>
      </c>
      <c r="C507" s="1">
        <v>44277</v>
      </c>
      <c r="D507" t="s">
        <v>71</v>
      </c>
      <c r="E507">
        <v>0</v>
      </c>
      <c r="F507">
        <v>57</v>
      </c>
      <c r="G507" t="str">
        <f t="shared" si="15"/>
        <v>41-60</v>
      </c>
      <c r="H507" t="s">
        <v>35</v>
      </c>
      <c r="I507" t="s">
        <v>60</v>
      </c>
      <c r="J507" t="s">
        <v>59</v>
      </c>
      <c r="K507" t="s">
        <v>42</v>
      </c>
      <c r="L507">
        <v>1</v>
      </c>
      <c r="M507">
        <v>1</v>
      </c>
      <c r="N507">
        <v>1</v>
      </c>
      <c r="O507">
        <v>7.4</v>
      </c>
      <c r="P507">
        <v>7</v>
      </c>
      <c r="Q507">
        <v>3</v>
      </c>
      <c r="R507">
        <v>978382</v>
      </c>
      <c r="S507">
        <f>Table1[[#This Row],[Revenue]]-Table1[[#This Row],[Operating_Costs]]</f>
        <v>200786</v>
      </c>
      <c r="T507">
        <v>777596</v>
      </c>
      <c r="U507">
        <v>34</v>
      </c>
      <c r="V507">
        <v>57</v>
      </c>
      <c r="W507">
        <v>10.9</v>
      </c>
    </row>
    <row r="508" spans="1:23" x14ac:dyDescent="0.25">
      <c r="A508">
        <v>1</v>
      </c>
      <c r="B508" t="s">
        <v>32</v>
      </c>
      <c r="C508" s="1">
        <v>44315</v>
      </c>
      <c r="D508" t="s">
        <v>71</v>
      </c>
      <c r="E508">
        <v>0</v>
      </c>
      <c r="F508">
        <v>31</v>
      </c>
      <c r="G508" t="str">
        <f t="shared" si="15"/>
        <v>21-40</v>
      </c>
      <c r="H508" t="s">
        <v>23</v>
      </c>
      <c r="I508" t="s">
        <v>40</v>
      </c>
      <c r="J508" t="s">
        <v>41</v>
      </c>
      <c r="K508" t="s">
        <v>29</v>
      </c>
      <c r="L508">
        <v>1</v>
      </c>
      <c r="M508">
        <v>1</v>
      </c>
      <c r="N508">
        <v>2.2000000000000002</v>
      </c>
      <c r="O508">
        <v>7.3</v>
      </c>
      <c r="P508">
        <v>7</v>
      </c>
      <c r="Q508">
        <v>7</v>
      </c>
      <c r="R508">
        <v>936601</v>
      </c>
      <c r="S508">
        <f>Table1[[#This Row],[Revenue]]-Table1[[#This Row],[Operating_Costs]]</f>
        <v>177389</v>
      </c>
      <c r="T508">
        <v>759212</v>
      </c>
      <c r="U508">
        <v>40</v>
      </c>
      <c r="V508">
        <v>65</v>
      </c>
      <c r="W508">
        <v>6</v>
      </c>
    </row>
    <row r="509" spans="1:23" x14ac:dyDescent="0.25">
      <c r="A509">
        <v>1</v>
      </c>
      <c r="B509" t="s">
        <v>32</v>
      </c>
      <c r="C509" s="1">
        <v>44520</v>
      </c>
      <c r="D509" t="s">
        <v>71</v>
      </c>
      <c r="E509">
        <v>0</v>
      </c>
      <c r="F509">
        <v>24</v>
      </c>
      <c r="G509" t="str">
        <f t="shared" si="15"/>
        <v>21-40</v>
      </c>
      <c r="H509" t="s">
        <v>23</v>
      </c>
      <c r="I509" t="s">
        <v>50</v>
      </c>
      <c r="J509" t="s">
        <v>51</v>
      </c>
      <c r="K509" t="s">
        <v>33</v>
      </c>
      <c r="L509">
        <v>1</v>
      </c>
      <c r="M509">
        <v>1</v>
      </c>
      <c r="N509">
        <v>3.8</v>
      </c>
      <c r="O509">
        <v>8.1999999999999993</v>
      </c>
      <c r="P509">
        <v>3</v>
      </c>
      <c r="Q509">
        <v>5</v>
      </c>
      <c r="R509">
        <v>997485</v>
      </c>
      <c r="S509">
        <f>Table1[[#This Row],[Revenue]]-Table1[[#This Row],[Operating_Costs]]</f>
        <v>272129</v>
      </c>
      <c r="T509">
        <v>725356</v>
      </c>
      <c r="U509">
        <v>34</v>
      </c>
      <c r="V509">
        <v>55</v>
      </c>
      <c r="W509">
        <v>14.7</v>
      </c>
    </row>
    <row r="510" spans="1:23" x14ac:dyDescent="0.25">
      <c r="A510">
        <v>1</v>
      </c>
      <c r="B510" t="s">
        <v>32</v>
      </c>
      <c r="C510" s="1">
        <v>44739</v>
      </c>
      <c r="D510" t="s">
        <v>71</v>
      </c>
      <c r="E510">
        <v>0</v>
      </c>
      <c r="F510">
        <v>87</v>
      </c>
      <c r="G510" t="str">
        <f t="shared" si="15"/>
        <v>81+</v>
      </c>
      <c r="H510" t="s">
        <v>23</v>
      </c>
      <c r="I510" t="s">
        <v>24</v>
      </c>
      <c r="J510" t="s">
        <v>25</v>
      </c>
      <c r="K510" t="s">
        <v>29</v>
      </c>
      <c r="L510">
        <v>1</v>
      </c>
      <c r="M510">
        <v>1</v>
      </c>
      <c r="N510">
        <v>5.9</v>
      </c>
      <c r="O510">
        <v>7.5</v>
      </c>
      <c r="P510">
        <v>3</v>
      </c>
      <c r="Q510">
        <v>5</v>
      </c>
      <c r="R510">
        <v>968658</v>
      </c>
      <c r="S510">
        <f>Table1[[#This Row],[Revenue]]-Table1[[#This Row],[Operating_Costs]]</f>
        <v>145805</v>
      </c>
      <c r="T510">
        <v>822853</v>
      </c>
      <c r="U510">
        <v>34</v>
      </c>
      <c r="V510">
        <v>61</v>
      </c>
      <c r="W510">
        <v>8.1999999999999993</v>
      </c>
    </row>
    <row r="511" spans="1:23" x14ac:dyDescent="0.25">
      <c r="A511">
        <v>1</v>
      </c>
      <c r="B511" t="s">
        <v>32</v>
      </c>
      <c r="C511" s="1">
        <v>44756</v>
      </c>
      <c r="D511" t="s">
        <v>71</v>
      </c>
      <c r="E511">
        <v>0</v>
      </c>
      <c r="F511">
        <v>68</v>
      </c>
      <c r="G511" t="str">
        <f t="shared" si="15"/>
        <v>61-80</v>
      </c>
      <c r="H511" t="s">
        <v>23</v>
      </c>
      <c r="I511" t="s">
        <v>24</v>
      </c>
      <c r="J511" t="s">
        <v>25</v>
      </c>
      <c r="K511" t="s">
        <v>29</v>
      </c>
      <c r="L511">
        <v>1</v>
      </c>
      <c r="M511">
        <v>1</v>
      </c>
      <c r="N511">
        <v>1.8</v>
      </c>
      <c r="O511">
        <v>9.9</v>
      </c>
      <c r="P511">
        <v>4</v>
      </c>
      <c r="Q511">
        <v>6</v>
      </c>
      <c r="R511">
        <v>930258</v>
      </c>
      <c r="S511">
        <f>Table1[[#This Row],[Revenue]]-Table1[[#This Row],[Operating_Costs]]</f>
        <v>116279</v>
      </c>
      <c r="T511">
        <v>813979</v>
      </c>
      <c r="U511">
        <v>32</v>
      </c>
      <c r="V511">
        <v>55</v>
      </c>
      <c r="W511">
        <v>13.4</v>
      </c>
    </row>
    <row r="512" spans="1:23" x14ac:dyDescent="0.25">
      <c r="A512">
        <v>1</v>
      </c>
      <c r="B512" t="s">
        <v>32</v>
      </c>
      <c r="C512" s="1">
        <v>44397</v>
      </c>
      <c r="D512" t="s">
        <v>71</v>
      </c>
      <c r="E512">
        <v>0</v>
      </c>
      <c r="F512">
        <v>67</v>
      </c>
      <c r="G512" t="str">
        <f t="shared" si="15"/>
        <v>61-80</v>
      </c>
      <c r="H512" t="s">
        <v>35</v>
      </c>
      <c r="I512" t="s">
        <v>40</v>
      </c>
      <c r="J512" t="s">
        <v>41</v>
      </c>
      <c r="K512" t="s">
        <v>33</v>
      </c>
      <c r="L512">
        <v>1</v>
      </c>
      <c r="M512">
        <v>1</v>
      </c>
      <c r="N512">
        <v>4.2</v>
      </c>
      <c r="O512">
        <v>8.1999999999999993</v>
      </c>
      <c r="P512">
        <v>4</v>
      </c>
      <c r="Q512">
        <v>4</v>
      </c>
      <c r="R512">
        <v>908347</v>
      </c>
      <c r="S512">
        <f>Table1[[#This Row],[Revenue]]-Table1[[#This Row],[Operating_Costs]]</f>
        <v>261284</v>
      </c>
      <c r="T512">
        <v>647063</v>
      </c>
      <c r="U512">
        <v>39</v>
      </c>
      <c r="V512">
        <v>65</v>
      </c>
      <c r="W512">
        <v>7.1</v>
      </c>
    </row>
    <row r="513" spans="1:23" x14ac:dyDescent="0.25">
      <c r="A513">
        <v>1</v>
      </c>
      <c r="B513" t="s">
        <v>32</v>
      </c>
      <c r="C513" s="1">
        <v>45233</v>
      </c>
      <c r="D513" t="s">
        <v>71</v>
      </c>
      <c r="E513">
        <v>0</v>
      </c>
      <c r="F513">
        <v>77</v>
      </c>
      <c r="G513" t="str">
        <f t="shared" si="15"/>
        <v>61-80</v>
      </c>
      <c r="H513" t="s">
        <v>35</v>
      </c>
      <c r="I513" t="s">
        <v>58</v>
      </c>
      <c r="J513" t="s">
        <v>59</v>
      </c>
      <c r="K513" t="s">
        <v>26</v>
      </c>
      <c r="L513">
        <v>1</v>
      </c>
      <c r="M513">
        <v>1</v>
      </c>
      <c r="N513">
        <v>5.8</v>
      </c>
      <c r="O513">
        <v>9.6999999999999993</v>
      </c>
      <c r="P513">
        <v>6</v>
      </c>
      <c r="Q513">
        <v>4</v>
      </c>
      <c r="R513">
        <v>922630</v>
      </c>
      <c r="S513">
        <f>Table1[[#This Row],[Revenue]]-Table1[[#This Row],[Operating_Costs]]</f>
        <v>185304</v>
      </c>
      <c r="T513">
        <v>737326</v>
      </c>
      <c r="U513">
        <v>40</v>
      </c>
      <c r="V513">
        <v>56</v>
      </c>
      <c r="W513">
        <v>7.8</v>
      </c>
    </row>
    <row r="514" spans="1:23" x14ac:dyDescent="0.25">
      <c r="A514">
        <v>1</v>
      </c>
      <c r="B514" t="s">
        <v>32</v>
      </c>
      <c r="C514" s="1">
        <v>44220</v>
      </c>
      <c r="D514" t="s">
        <v>71</v>
      </c>
      <c r="E514">
        <v>0</v>
      </c>
      <c r="F514">
        <v>37</v>
      </c>
      <c r="G514" t="str">
        <f t="shared" si="15"/>
        <v>21-40</v>
      </c>
      <c r="H514" t="s">
        <v>23</v>
      </c>
      <c r="I514" t="s">
        <v>27</v>
      </c>
      <c r="J514" t="s">
        <v>28</v>
      </c>
      <c r="K514" t="s">
        <v>29</v>
      </c>
      <c r="L514">
        <v>1</v>
      </c>
      <c r="M514">
        <v>1</v>
      </c>
      <c r="N514">
        <v>6.4</v>
      </c>
      <c r="O514">
        <v>9</v>
      </c>
      <c r="P514">
        <v>4</v>
      </c>
      <c r="Q514">
        <v>3</v>
      </c>
      <c r="R514">
        <v>954846</v>
      </c>
      <c r="S514">
        <f>Table1[[#This Row],[Revenue]]-Table1[[#This Row],[Operating_Costs]]</f>
        <v>170478</v>
      </c>
      <c r="T514">
        <v>784368</v>
      </c>
      <c r="U514">
        <v>40</v>
      </c>
      <c r="V514">
        <v>62</v>
      </c>
      <c r="W514">
        <v>36.1</v>
      </c>
    </row>
    <row r="515" spans="1:23" x14ac:dyDescent="0.25">
      <c r="A515">
        <v>1</v>
      </c>
      <c r="B515" t="s">
        <v>32</v>
      </c>
      <c r="C515" s="1">
        <v>44594</v>
      </c>
      <c r="D515" t="s">
        <v>71</v>
      </c>
      <c r="E515">
        <v>0</v>
      </c>
      <c r="F515">
        <v>22</v>
      </c>
      <c r="G515" t="str">
        <f t="shared" ref="G515:G578" si="16">IF(F515&lt;=20,"0-20",IF(F515&lt;=40,"21-40",IF(F515&lt;=60,"41-60",IF(F515&lt;=80,"61-80","81+"))))</f>
        <v>21-40</v>
      </c>
      <c r="H515" t="s">
        <v>35</v>
      </c>
      <c r="I515" t="s">
        <v>64</v>
      </c>
      <c r="J515" t="s">
        <v>65</v>
      </c>
      <c r="K515" t="s">
        <v>38</v>
      </c>
      <c r="L515">
        <v>1</v>
      </c>
      <c r="M515">
        <v>1</v>
      </c>
      <c r="N515">
        <v>5.3</v>
      </c>
      <c r="O515">
        <v>7.1</v>
      </c>
      <c r="P515">
        <v>4</v>
      </c>
      <c r="Q515">
        <v>5</v>
      </c>
      <c r="R515">
        <v>981747</v>
      </c>
      <c r="S515">
        <f>Table1[[#This Row],[Revenue]]-Table1[[#This Row],[Operating_Costs]]</f>
        <v>140463</v>
      </c>
      <c r="T515">
        <v>841284</v>
      </c>
      <c r="U515">
        <v>32</v>
      </c>
      <c r="V515">
        <v>58</v>
      </c>
      <c r="W515">
        <v>36.5</v>
      </c>
    </row>
    <row r="516" spans="1:23" x14ac:dyDescent="0.25">
      <c r="A516">
        <v>1</v>
      </c>
      <c r="B516" t="s">
        <v>32</v>
      </c>
      <c r="C516" s="1">
        <v>44289</v>
      </c>
      <c r="D516" t="s">
        <v>71</v>
      </c>
      <c r="E516">
        <v>0</v>
      </c>
      <c r="F516">
        <v>38</v>
      </c>
      <c r="G516" t="str">
        <f t="shared" si="16"/>
        <v>21-40</v>
      </c>
      <c r="H516" t="s">
        <v>23</v>
      </c>
      <c r="I516" t="s">
        <v>27</v>
      </c>
      <c r="J516" t="s">
        <v>28</v>
      </c>
      <c r="K516" t="s">
        <v>42</v>
      </c>
      <c r="L516">
        <v>1</v>
      </c>
      <c r="M516">
        <v>1</v>
      </c>
      <c r="N516">
        <v>3.7</v>
      </c>
      <c r="O516">
        <v>8.4</v>
      </c>
      <c r="P516">
        <v>7</v>
      </c>
      <c r="Q516">
        <v>6</v>
      </c>
      <c r="R516">
        <v>939579</v>
      </c>
      <c r="S516">
        <f>Table1[[#This Row],[Revenue]]-Table1[[#This Row],[Operating_Costs]]</f>
        <v>68654</v>
      </c>
      <c r="T516">
        <v>870925</v>
      </c>
      <c r="U516">
        <v>32</v>
      </c>
      <c r="V516">
        <v>65</v>
      </c>
      <c r="W516">
        <v>36</v>
      </c>
    </row>
    <row r="517" spans="1:23" x14ac:dyDescent="0.25">
      <c r="A517">
        <v>1</v>
      </c>
      <c r="B517" t="s">
        <v>32</v>
      </c>
      <c r="C517" s="1">
        <v>45437</v>
      </c>
      <c r="D517" t="s">
        <v>71</v>
      </c>
      <c r="E517">
        <v>0</v>
      </c>
      <c r="F517">
        <v>39</v>
      </c>
      <c r="G517" t="str">
        <f t="shared" si="16"/>
        <v>21-40</v>
      </c>
      <c r="H517" t="s">
        <v>23</v>
      </c>
      <c r="I517" t="s">
        <v>24</v>
      </c>
      <c r="J517" t="s">
        <v>25</v>
      </c>
      <c r="K517" t="s">
        <v>42</v>
      </c>
      <c r="L517">
        <v>1</v>
      </c>
      <c r="M517">
        <v>1</v>
      </c>
      <c r="N517">
        <v>4.0999999999999996</v>
      </c>
      <c r="O517">
        <v>8</v>
      </c>
      <c r="P517">
        <v>6</v>
      </c>
      <c r="Q517">
        <v>7</v>
      </c>
      <c r="R517">
        <v>931377</v>
      </c>
      <c r="S517">
        <f>Table1[[#This Row],[Revenue]]-Table1[[#This Row],[Operating_Costs]]</f>
        <v>101890</v>
      </c>
      <c r="T517">
        <v>829487</v>
      </c>
      <c r="U517">
        <v>33</v>
      </c>
      <c r="V517">
        <v>66</v>
      </c>
      <c r="W517">
        <v>13.5</v>
      </c>
    </row>
    <row r="518" spans="1:23" x14ac:dyDescent="0.25">
      <c r="A518">
        <v>1</v>
      </c>
      <c r="B518" t="s">
        <v>32</v>
      </c>
      <c r="C518" s="1">
        <v>45071</v>
      </c>
      <c r="D518" t="s">
        <v>71</v>
      </c>
      <c r="E518">
        <v>0</v>
      </c>
      <c r="F518">
        <v>53</v>
      </c>
      <c r="G518" t="str">
        <f t="shared" si="16"/>
        <v>41-60</v>
      </c>
      <c r="H518" t="s">
        <v>35</v>
      </c>
      <c r="I518" t="s">
        <v>40</v>
      </c>
      <c r="J518" t="s">
        <v>41</v>
      </c>
      <c r="K518" t="s">
        <v>33</v>
      </c>
      <c r="L518">
        <v>1</v>
      </c>
      <c r="M518">
        <v>1</v>
      </c>
      <c r="N518">
        <v>5.8</v>
      </c>
      <c r="O518">
        <v>7</v>
      </c>
      <c r="P518">
        <v>4</v>
      </c>
      <c r="Q518">
        <v>3</v>
      </c>
      <c r="R518">
        <v>932370</v>
      </c>
      <c r="S518">
        <f>Table1[[#This Row],[Revenue]]-Table1[[#This Row],[Operating_Costs]]</f>
        <v>155438</v>
      </c>
      <c r="T518">
        <v>776932</v>
      </c>
      <c r="U518">
        <v>40</v>
      </c>
      <c r="V518">
        <v>54</v>
      </c>
      <c r="W518">
        <v>14.5</v>
      </c>
    </row>
    <row r="519" spans="1:23" x14ac:dyDescent="0.25">
      <c r="A519">
        <v>1</v>
      </c>
      <c r="B519" t="s">
        <v>32</v>
      </c>
      <c r="C519" s="1">
        <v>44722</v>
      </c>
      <c r="D519" t="s">
        <v>71</v>
      </c>
      <c r="E519">
        <v>0</v>
      </c>
      <c r="F519">
        <v>81</v>
      </c>
      <c r="G519" t="str">
        <f t="shared" si="16"/>
        <v>81+</v>
      </c>
      <c r="H519" t="s">
        <v>35</v>
      </c>
      <c r="I519" t="s">
        <v>36</v>
      </c>
      <c r="J519" t="s">
        <v>37</v>
      </c>
      <c r="K519" t="s">
        <v>38</v>
      </c>
      <c r="L519">
        <v>1</v>
      </c>
      <c r="M519">
        <v>1</v>
      </c>
      <c r="N519">
        <v>4.5999999999999996</v>
      </c>
      <c r="O519">
        <v>8.5</v>
      </c>
      <c r="P519">
        <v>7</v>
      </c>
      <c r="Q519">
        <v>6</v>
      </c>
      <c r="R519">
        <v>975103</v>
      </c>
      <c r="S519">
        <f>Table1[[#This Row],[Revenue]]-Table1[[#This Row],[Operating_Costs]]</f>
        <v>134414</v>
      </c>
      <c r="T519">
        <v>840689</v>
      </c>
      <c r="U519">
        <v>31</v>
      </c>
      <c r="V519">
        <v>56</v>
      </c>
      <c r="W519">
        <v>7.8</v>
      </c>
    </row>
    <row r="520" spans="1:23" x14ac:dyDescent="0.25">
      <c r="A520">
        <v>1</v>
      </c>
      <c r="B520" t="s">
        <v>32</v>
      </c>
      <c r="C520" s="1">
        <v>44801</v>
      </c>
      <c r="D520" t="s">
        <v>71</v>
      </c>
      <c r="E520">
        <v>0</v>
      </c>
      <c r="F520">
        <v>38</v>
      </c>
      <c r="G520" t="str">
        <f t="shared" si="16"/>
        <v>21-40</v>
      </c>
      <c r="H520" t="s">
        <v>23</v>
      </c>
      <c r="I520" t="s">
        <v>50</v>
      </c>
      <c r="J520" t="s">
        <v>51</v>
      </c>
      <c r="K520" t="s">
        <v>29</v>
      </c>
      <c r="L520">
        <v>1</v>
      </c>
      <c r="M520">
        <v>1</v>
      </c>
      <c r="N520">
        <v>1.4</v>
      </c>
      <c r="O520">
        <v>8</v>
      </c>
      <c r="P520">
        <v>4</v>
      </c>
      <c r="Q520">
        <v>3</v>
      </c>
      <c r="R520">
        <v>900078</v>
      </c>
      <c r="S520">
        <f>Table1[[#This Row],[Revenue]]-Table1[[#This Row],[Operating_Costs]]</f>
        <v>232550</v>
      </c>
      <c r="T520">
        <v>667528</v>
      </c>
      <c r="U520">
        <v>37</v>
      </c>
      <c r="V520">
        <v>59</v>
      </c>
      <c r="W520">
        <v>5.6</v>
      </c>
    </row>
    <row r="521" spans="1:23" x14ac:dyDescent="0.25">
      <c r="A521">
        <v>1</v>
      </c>
      <c r="B521" t="s">
        <v>32</v>
      </c>
      <c r="C521" s="1">
        <v>45307</v>
      </c>
      <c r="D521" t="s">
        <v>71</v>
      </c>
      <c r="E521">
        <v>0</v>
      </c>
      <c r="F521">
        <v>66</v>
      </c>
      <c r="G521" t="str">
        <f t="shared" si="16"/>
        <v>61-80</v>
      </c>
      <c r="H521" t="s">
        <v>35</v>
      </c>
      <c r="I521" t="s">
        <v>58</v>
      </c>
      <c r="J521" t="s">
        <v>59</v>
      </c>
      <c r="K521" t="s">
        <v>38</v>
      </c>
      <c r="L521">
        <v>1</v>
      </c>
      <c r="M521">
        <v>1</v>
      </c>
      <c r="N521">
        <v>2.2999999999999998</v>
      </c>
      <c r="O521">
        <v>7.3</v>
      </c>
      <c r="P521">
        <v>5</v>
      </c>
      <c r="Q521">
        <v>7</v>
      </c>
      <c r="R521">
        <v>935016</v>
      </c>
      <c r="S521">
        <f>Table1[[#This Row],[Revenue]]-Table1[[#This Row],[Operating_Costs]]</f>
        <v>111880</v>
      </c>
      <c r="T521">
        <v>823136</v>
      </c>
      <c r="U521">
        <v>30</v>
      </c>
      <c r="V521">
        <v>59</v>
      </c>
      <c r="W521">
        <v>10.7</v>
      </c>
    </row>
    <row r="522" spans="1:23" x14ac:dyDescent="0.25">
      <c r="A522">
        <v>1</v>
      </c>
      <c r="B522" t="s">
        <v>32</v>
      </c>
      <c r="C522" s="1">
        <v>44699</v>
      </c>
      <c r="D522" t="s">
        <v>71</v>
      </c>
      <c r="E522">
        <v>0</v>
      </c>
      <c r="F522">
        <v>35</v>
      </c>
      <c r="G522" t="str">
        <f t="shared" si="16"/>
        <v>21-40</v>
      </c>
      <c r="H522" t="s">
        <v>23</v>
      </c>
      <c r="I522" t="s">
        <v>24</v>
      </c>
      <c r="J522" t="s">
        <v>25</v>
      </c>
      <c r="K522" t="s">
        <v>42</v>
      </c>
      <c r="L522">
        <v>1</v>
      </c>
      <c r="M522">
        <v>1</v>
      </c>
      <c r="N522">
        <v>1.2</v>
      </c>
      <c r="O522">
        <v>8.6</v>
      </c>
      <c r="P522">
        <v>5</v>
      </c>
      <c r="Q522">
        <v>6</v>
      </c>
      <c r="R522">
        <v>997478</v>
      </c>
      <c r="S522">
        <f>Table1[[#This Row],[Revenue]]-Table1[[#This Row],[Operating_Costs]]</f>
        <v>347202</v>
      </c>
      <c r="T522">
        <v>650276</v>
      </c>
      <c r="U522">
        <v>32</v>
      </c>
      <c r="V522">
        <v>65</v>
      </c>
      <c r="W522">
        <v>7.7</v>
      </c>
    </row>
    <row r="523" spans="1:23" x14ac:dyDescent="0.25">
      <c r="A523">
        <v>1</v>
      </c>
      <c r="B523" t="s">
        <v>32</v>
      </c>
      <c r="C523" s="1">
        <v>45455</v>
      </c>
      <c r="D523" t="s">
        <v>71</v>
      </c>
      <c r="E523">
        <v>0</v>
      </c>
      <c r="F523">
        <v>84</v>
      </c>
      <c r="G523" t="str">
        <f t="shared" si="16"/>
        <v>81+</v>
      </c>
      <c r="H523" t="s">
        <v>23</v>
      </c>
      <c r="I523" t="s">
        <v>24</v>
      </c>
      <c r="J523" t="s">
        <v>25</v>
      </c>
      <c r="K523" t="s">
        <v>26</v>
      </c>
      <c r="L523">
        <v>1</v>
      </c>
      <c r="M523">
        <v>1</v>
      </c>
      <c r="N523">
        <v>2.6</v>
      </c>
      <c r="O523">
        <v>9.6</v>
      </c>
      <c r="P523">
        <v>4</v>
      </c>
      <c r="Q523">
        <v>6</v>
      </c>
      <c r="R523">
        <v>958274</v>
      </c>
      <c r="S523">
        <f>Table1[[#This Row],[Revenue]]-Table1[[#This Row],[Operating_Costs]]</f>
        <v>212574</v>
      </c>
      <c r="T523">
        <v>745700</v>
      </c>
      <c r="U523">
        <v>35</v>
      </c>
      <c r="V523">
        <v>63</v>
      </c>
      <c r="W523">
        <v>13.9</v>
      </c>
    </row>
    <row r="524" spans="1:23" x14ac:dyDescent="0.25">
      <c r="A524">
        <v>1</v>
      </c>
      <c r="B524" t="s">
        <v>32</v>
      </c>
      <c r="C524" s="1">
        <v>44248</v>
      </c>
      <c r="D524" t="s">
        <v>71</v>
      </c>
      <c r="E524">
        <v>0</v>
      </c>
      <c r="F524">
        <v>49</v>
      </c>
      <c r="G524" t="str">
        <f t="shared" si="16"/>
        <v>41-60</v>
      </c>
      <c r="H524" t="s">
        <v>35</v>
      </c>
      <c r="I524" t="s">
        <v>61</v>
      </c>
      <c r="J524" t="s">
        <v>62</v>
      </c>
      <c r="K524" t="s">
        <v>29</v>
      </c>
      <c r="L524">
        <v>1</v>
      </c>
      <c r="M524">
        <v>1</v>
      </c>
      <c r="N524">
        <v>6.9</v>
      </c>
      <c r="O524">
        <v>9</v>
      </c>
      <c r="P524">
        <v>7</v>
      </c>
      <c r="Q524">
        <v>4</v>
      </c>
      <c r="R524">
        <v>935736</v>
      </c>
      <c r="S524">
        <f>Table1[[#This Row],[Revenue]]-Table1[[#This Row],[Operating_Costs]]</f>
        <v>275179</v>
      </c>
      <c r="T524">
        <v>660557</v>
      </c>
      <c r="U524">
        <v>32</v>
      </c>
      <c r="V524">
        <v>54</v>
      </c>
      <c r="W524">
        <v>6.8</v>
      </c>
    </row>
    <row r="525" spans="1:23" x14ac:dyDescent="0.25">
      <c r="A525">
        <v>1</v>
      </c>
      <c r="B525" t="s">
        <v>32</v>
      </c>
      <c r="C525" s="1">
        <v>44777</v>
      </c>
      <c r="D525" t="s">
        <v>71</v>
      </c>
      <c r="E525">
        <v>0</v>
      </c>
      <c r="F525">
        <v>32</v>
      </c>
      <c r="G525" t="str">
        <f t="shared" si="16"/>
        <v>21-40</v>
      </c>
      <c r="H525" t="s">
        <v>35</v>
      </c>
      <c r="I525" t="s">
        <v>46</v>
      </c>
      <c r="J525" t="s">
        <v>47</v>
      </c>
      <c r="K525" t="s">
        <v>38</v>
      </c>
      <c r="L525">
        <v>1</v>
      </c>
      <c r="M525">
        <v>1</v>
      </c>
      <c r="N525">
        <v>2.2999999999999998</v>
      </c>
      <c r="O525">
        <v>8.3000000000000007</v>
      </c>
      <c r="P525">
        <v>7</v>
      </c>
      <c r="Q525">
        <v>7</v>
      </c>
      <c r="R525">
        <v>969888</v>
      </c>
      <c r="S525">
        <f>Table1[[#This Row],[Revenue]]-Table1[[#This Row],[Operating_Costs]]</f>
        <v>153067</v>
      </c>
      <c r="T525">
        <v>816821</v>
      </c>
      <c r="U525">
        <v>33</v>
      </c>
      <c r="V525">
        <v>61</v>
      </c>
      <c r="W525">
        <v>13.9</v>
      </c>
    </row>
    <row r="526" spans="1:23" x14ac:dyDescent="0.25">
      <c r="A526">
        <v>1</v>
      </c>
      <c r="B526" t="s">
        <v>32</v>
      </c>
      <c r="C526" s="1">
        <v>44527</v>
      </c>
      <c r="D526" t="s">
        <v>71</v>
      </c>
      <c r="E526">
        <v>0</v>
      </c>
      <c r="F526">
        <v>56</v>
      </c>
      <c r="G526" t="str">
        <f t="shared" si="16"/>
        <v>41-60</v>
      </c>
      <c r="H526" t="s">
        <v>35</v>
      </c>
      <c r="I526" t="s">
        <v>58</v>
      </c>
      <c r="J526" t="s">
        <v>59</v>
      </c>
      <c r="K526" t="s">
        <v>29</v>
      </c>
      <c r="L526">
        <v>1</v>
      </c>
      <c r="M526">
        <v>1</v>
      </c>
      <c r="N526">
        <v>3.4</v>
      </c>
      <c r="O526">
        <v>8.3000000000000007</v>
      </c>
      <c r="P526">
        <v>7</v>
      </c>
      <c r="Q526">
        <v>3</v>
      </c>
      <c r="R526">
        <v>992142</v>
      </c>
      <c r="S526">
        <f>Table1[[#This Row],[Revenue]]-Table1[[#This Row],[Operating_Costs]]</f>
        <v>258782</v>
      </c>
      <c r="T526">
        <v>733360</v>
      </c>
      <c r="U526">
        <v>35</v>
      </c>
      <c r="V526">
        <v>60</v>
      </c>
      <c r="W526">
        <v>13.8</v>
      </c>
    </row>
    <row r="527" spans="1:23" x14ac:dyDescent="0.25">
      <c r="A527">
        <v>1</v>
      </c>
      <c r="B527" t="s">
        <v>32</v>
      </c>
      <c r="C527" s="1">
        <v>44279</v>
      </c>
      <c r="D527" t="s">
        <v>71</v>
      </c>
      <c r="E527">
        <v>0</v>
      </c>
      <c r="F527">
        <v>74</v>
      </c>
      <c r="G527" t="str">
        <f t="shared" si="16"/>
        <v>61-80</v>
      </c>
      <c r="H527" t="s">
        <v>23</v>
      </c>
      <c r="I527" t="s">
        <v>64</v>
      </c>
      <c r="J527" t="s">
        <v>65</v>
      </c>
      <c r="K527" t="s">
        <v>33</v>
      </c>
      <c r="L527">
        <v>1</v>
      </c>
      <c r="M527">
        <v>1</v>
      </c>
      <c r="N527">
        <v>2.6</v>
      </c>
      <c r="O527">
        <v>9.4</v>
      </c>
      <c r="P527">
        <v>3</v>
      </c>
      <c r="Q527">
        <v>7</v>
      </c>
      <c r="R527">
        <v>928439</v>
      </c>
      <c r="S527">
        <f>Table1[[#This Row],[Revenue]]-Table1[[#This Row],[Operating_Costs]]</f>
        <v>108193</v>
      </c>
      <c r="T527">
        <v>820246</v>
      </c>
      <c r="U527">
        <v>30</v>
      </c>
      <c r="V527">
        <v>64</v>
      </c>
      <c r="W527">
        <v>14.9</v>
      </c>
    </row>
    <row r="528" spans="1:23" x14ac:dyDescent="0.25">
      <c r="A528">
        <v>1</v>
      </c>
      <c r="B528" t="s">
        <v>32</v>
      </c>
      <c r="C528" s="1">
        <v>45221</v>
      </c>
      <c r="D528" t="s">
        <v>71</v>
      </c>
      <c r="E528">
        <v>0</v>
      </c>
      <c r="F528">
        <v>40</v>
      </c>
      <c r="G528" t="str">
        <f t="shared" si="16"/>
        <v>21-40</v>
      </c>
      <c r="H528" t="s">
        <v>23</v>
      </c>
      <c r="I528" t="s">
        <v>24</v>
      </c>
      <c r="J528" t="s">
        <v>25</v>
      </c>
      <c r="K528" t="s">
        <v>42</v>
      </c>
      <c r="L528">
        <v>1</v>
      </c>
      <c r="M528">
        <v>1</v>
      </c>
      <c r="N528">
        <v>4.5999999999999996</v>
      </c>
      <c r="O528">
        <v>8.1</v>
      </c>
      <c r="P528">
        <v>6</v>
      </c>
      <c r="Q528">
        <v>6</v>
      </c>
      <c r="R528">
        <v>987318</v>
      </c>
      <c r="S528">
        <f>Table1[[#This Row],[Revenue]]-Table1[[#This Row],[Operating_Costs]]</f>
        <v>318058</v>
      </c>
      <c r="T528">
        <v>669260</v>
      </c>
      <c r="U528">
        <v>36</v>
      </c>
      <c r="V528">
        <v>65</v>
      </c>
      <c r="W528">
        <v>13.8</v>
      </c>
    </row>
    <row r="529" spans="1:23" x14ac:dyDescent="0.25">
      <c r="A529">
        <v>1</v>
      </c>
      <c r="B529" t="s">
        <v>32</v>
      </c>
      <c r="C529" s="1">
        <v>45012</v>
      </c>
      <c r="D529" t="s">
        <v>71</v>
      </c>
      <c r="E529">
        <v>0</v>
      </c>
      <c r="F529">
        <v>31</v>
      </c>
      <c r="G529" t="str">
        <f t="shared" si="16"/>
        <v>21-40</v>
      </c>
      <c r="H529" t="s">
        <v>35</v>
      </c>
      <c r="I529" t="s">
        <v>36</v>
      </c>
      <c r="J529" t="s">
        <v>37</v>
      </c>
      <c r="K529" t="s">
        <v>38</v>
      </c>
      <c r="L529">
        <v>1</v>
      </c>
      <c r="M529">
        <v>1</v>
      </c>
      <c r="N529">
        <v>3.5</v>
      </c>
      <c r="O529">
        <v>7</v>
      </c>
      <c r="P529">
        <v>5</v>
      </c>
      <c r="Q529">
        <v>3</v>
      </c>
      <c r="R529">
        <v>917124</v>
      </c>
      <c r="S529">
        <f>Table1[[#This Row],[Revenue]]-Table1[[#This Row],[Operating_Costs]]</f>
        <v>80837</v>
      </c>
      <c r="T529">
        <v>836287</v>
      </c>
      <c r="U529">
        <v>40</v>
      </c>
      <c r="V529">
        <v>56</v>
      </c>
      <c r="W529">
        <v>9.4</v>
      </c>
    </row>
    <row r="530" spans="1:23" x14ac:dyDescent="0.25">
      <c r="A530">
        <v>1</v>
      </c>
      <c r="B530" t="s">
        <v>32</v>
      </c>
      <c r="C530" s="1">
        <v>45607</v>
      </c>
      <c r="D530" t="s">
        <v>71</v>
      </c>
      <c r="E530">
        <v>0</v>
      </c>
      <c r="F530">
        <v>32</v>
      </c>
      <c r="G530" t="str">
        <f t="shared" si="16"/>
        <v>21-40</v>
      </c>
      <c r="H530" t="s">
        <v>35</v>
      </c>
      <c r="I530" t="s">
        <v>36</v>
      </c>
      <c r="J530" t="s">
        <v>37</v>
      </c>
      <c r="K530" t="s">
        <v>29</v>
      </c>
      <c r="L530">
        <v>1</v>
      </c>
      <c r="M530">
        <v>1</v>
      </c>
      <c r="N530">
        <v>2.7</v>
      </c>
      <c r="O530">
        <v>7.6</v>
      </c>
      <c r="P530">
        <v>5</v>
      </c>
      <c r="Q530">
        <v>3</v>
      </c>
      <c r="R530">
        <v>935077</v>
      </c>
      <c r="S530">
        <f>Table1[[#This Row],[Revenue]]-Table1[[#This Row],[Operating_Costs]]</f>
        <v>282644</v>
      </c>
      <c r="T530">
        <v>652433</v>
      </c>
      <c r="U530">
        <v>31</v>
      </c>
      <c r="V530">
        <v>59</v>
      </c>
      <c r="W530">
        <v>14.1</v>
      </c>
    </row>
    <row r="531" spans="1:23" x14ac:dyDescent="0.25">
      <c r="A531">
        <v>1</v>
      </c>
      <c r="B531" t="s">
        <v>32</v>
      </c>
      <c r="C531" s="1">
        <v>44601</v>
      </c>
      <c r="D531" t="s">
        <v>71</v>
      </c>
      <c r="E531">
        <v>0</v>
      </c>
      <c r="F531">
        <v>21</v>
      </c>
      <c r="G531" t="str">
        <f t="shared" si="16"/>
        <v>21-40</v>
      </c>
      <c r="H531" t="s">
        <v>23</v>
      </c>
      <c r="I531" t="s">
        <v>24</v>
      </c>
      <c r="J531" t="s">
        <v>25</v>
      </c>
      <c r="K531" t="s">
        <v>26</v>
      </c>
      <c r="L531">
        <v>1</v>
      </c>
      <c r="M531">
        <v>1</v>
      </c>
      <c r="N531">
        <v>6.6</v>
      </c>
      <c r="O531">
        <v>7</v>
      </c>
      <c r="P531">
        <v>6</v>
      </c>
      <c r="Q531">
        <v>3</v>
      </c>
      <c r="R531">
        <v>999512</v>
      </c>
      <c r="S531">
        <f>Table1[[#This Row],[Revenue]]-Table1[[#This Row],[Operating_Costs]]</f>
        <v>216146</v>
      </c>
      <c r="T531">
        <v>783366</v>
      </c>
      <c r="U531">
        <v>31</v>
      </c>
      <c r="V531">
        <v>62</v>
      </c>
      <c r="W531">
        <v>7.2</v>
      </c>
    </row>
    <row r="532" spans="1:23" x14ac:dyDescent="0.25">
      <c r="A532">
        <v>1</v>
      </c>
      <c r="B532" t="s">
        <v>32</v>
      </c>
      <c r="C532" s="1">
        <v>45581</v>
      </c>
      <c r="D532" t="s">
        <v>71</v>
      </c>
      <c r="E532">
        <v>0</v>
      </c>
      <c r="F532">
        <v>36</v>
      </c>
      <c r="G532" t="str">
        <f t="shared" si="16"/>
        <v>21-40</v>
      </c>
      <c r="H532" t="s">
        <v>35</v>
      </c>
      <c r="I532" t="s">
        <v>61</v>
      </c>
      <c r="J532" t="s">
        <v>62</v>
      </c>
      <c r="K532" t="s">
        <v>29</v>
      </c>
      <c r="L532">
        <v>1</v>
      </c>
      <c r="M532">
        <v>1</v>
      </c>
      <c r="N532">
        <v>1.2</v>
      </c>
      <c r="O532">
        <v>8.1999999999999993</v>
      </c>
      <c r="P532">
        <v>7</v>
      </c>
      <c r="Q532">
        <v>7</v>
      </c>
      <c r="R532">
        <v>945209</v>
      </c>
      <c r="S532">
        <f>Table1[[#This Row],[Revenue]]-Table1[[#This Row],[Operating_Costs]]</f>
        <v>227602</v>
      </c>
      <c r="T532">
        <v>717607</v>
      </c>
      <c r="U532">
        <v>32</v>
      </c>
      <c r="V532">
        <v>59</v>
      </c>
      <c r="W532">
        <v>13.2</v>
      </c>
    </row>
    <row r="533" spans="1:23" x14ac:dyDescent="0.25">
      <c r="A533">
        <v>1</v>
      </c>
      <c r="B533" t="s">
        <v>32</v>
      </c>
      <c r="C533" s="1">
        <v>44568</v>
      </c>
      <c r="D533" t="s">
        <v>71</v>
      </c>
      <c r="E533">
        <v>0</v>
      </c>
      <c r="F533">
        <v>84</v>
      </c>
      <c r="G533" t="str">
        <f t="shared" si="16"/>
        <v>81+</v>
      </c>
      <c r="H533" t="s">
        <v>35</v>
      </c>
      <c r="I533" t="s">
        <v>46</v>
      </c>
      <c r="J533" t="s">
        <v>47</v>
      </c>
      <c r="K533" t="s">
        <v>33</v>
      </c>
      <c r="L533">
        <v>1</v>
      </c>
      <c r="M533">
        <v>1</v>
      </c>
      <c r="N533">
        <v>3.1</v>
      </c>
      <c r="O533">
        <v>8.4</v>
      </c>
      <c r="P533">
        <v>3</v>
      </c>
      <c r="Q533">
        <v>7</v>
      </c>
      <c r="R533">
        <v>939816</v>
      </c>
      <c r="S533">
        <f>Table1[[#This Row],[Revenue]]-Table1[[#This Row],[Operating_Costs]]</f>
        <v>306960</v>
      </c>
      <c r="T533">
        <v>632856</v>
      </c>
      <c r="U533">
        <v>38</v>
      </c>
      <c r="V533">
        <v>64</v>
      </c>
      <c r="W533">
        <v>9.9</v>
      </c>
    </row>
    <row r="534" spans="1:23" x14ac:dyDescent="0.25">
      <c r="A534">
        <v>1</v>
      </c>
      <c r="B534" t="s">
        <v>32</v>
      </c>
      <c r="C534" s="1">
        <v>44609</v>
      </c>
      <c r="D534" t="s">
        <v>71</v>
      </c>
      <c r="E534">
        <v>0</v>
      </c>
      <c r="F534">
        <v>38</v>
      </c>
      <c r="G534" t="str">
        <f t="shared" si="16"/>
        <v>21-40</v>
      </c>
      <c r="H534" t="s">
        <v>35</v>
      </c>
      <c r="I534" t="s">
        <v>40</v>
      </c>
      <c r="J534" t="s">
        <v>41</v>
      </c>
      <c r="K534" t="s">
        <v>33</v>
      </c>
      <c r="L534">
        <v>1</v>
      </c>
      <c r="M534">
        <v>1</v>
      </c>
      <c r="N534">
        <v>1.3</v>
      </c>
      <c r="O534">
        <v>10</v>
      </c>
      <c r="P534">
        <v>3</v>
      </c>
      <c r="Q534">
        <v>3</v>
      </c>
      <c r="R534">
        <v>971979</v>
      </c>
      <c r="S534">
        <f>Table1[[#This Row],[Revenue]]-Table1[[#This Row],[Operating_Costs]]</f>
        <v>130006</v>
      </c>
      <c r="T534">
        <v>841973</v>
      </c>
      <c r="U534">
        <v>37</v>
      </c>
      <c r="V534">
        <v>54</v>
      </c>
      <c r="W534">
        <v>7.8</v>
      </c>
    </row>
    <row r="535" spans="1:23" x14ac:dyDescent="0.25">
      <c r="A535">
        <v>1</v>
      </c>
      <c r="B535" t="s">
        <v>32</v>
      </c>
      <c r="C535" s="1">
        <v>44790</v>
      </c>
      <c r="D535" t="s">
        <v>71</v>
      </c>
      <c r="E535">
        <v>0</v>
      </c>
      <c r="F535">
        <v>42</v>
      </c>
      <c r="G535" t="str">
        <f t="shared" si="16"/>
        <v>41-60</v>
      </c>
      <c r="H535" t="s">
        <v>35</v>
      </c>
      <c r="I535" t="s">
        <v>27</v>
      </c>
      <c r="J535" t="s">
        <v>28</v>
      </c>
      <c r="K535" t="s">
        <v>26</v>
      </c>
      <c r="L535">
        <v>1</v>
      </c>
      <c r="M535">
        <v>1</v>
      </c>
      <c r="N535">
        <v>1.6</v>
      </c>
      <c r="O535">
        <v>7.3</v>
      </c>
      <c r="P535">
        <v>5</v>
      </c>
      <c r="Q535">
        <v>5</v>
      </c>
      <c r="R535">
        <v>985400</v>
      </c>
      <c r="S535">
        <f>Table1[[#This Row],[Revenue]]-Table1[[#This Row],[Operating_Costs]]</f>
        <v>141727</v>
      </c>
      <c r="T535">
        <v>843673</v>
      </c>
      <c r="U535">
        <v>36</v>
      </c>
      <c r="V535">
        <v>57</v>
      </c>
      <c r="W535">
        <v>8.9</v>
      </c>
    </row>
    <row r="536" spans="1:23" x14ac:dyDescent="0.25">
      <c r="A536">
        <v>1</v>
      </c>
      <c r="B536" t="s">
        <v>32</v>
      </c>
      <c r="C536" s="1">
        <v>45299</v>
      </c>
      <c r="D536" t="s">
        <v>71</v>
      </c>
      <c r="E536">
        <v>0</v>
      </c>
      <c r="F536">
        <v>75</v>
      </c>
      <c r="G536" t="str">
        <f t="shared" si="16"/>
        <v>61-80</v>
      </c>
      <c r="H536" t="s">
        <v>35</v>
      </c>
      <c r="I536" t="s">
        <v>36</v>
      </c>
      <c r="J536" t="s">
        <v>37</v>
      </c>
      <c r="K536" t="s">
        <v>29</v>
      </c>
      <c r="L536">
        <v>1</v>
      </c>
      <c r="M536">
        <v>1</v>
      </c>
      <c r="N536">
        <v>6.1</v>
      </c>
      <c r="O536">
        <v>9.9</v>
      </c>
      <c r="P536">
        <v>5</v>
      </c>
      <c r="Q536">
        <v>5</v>
      </c>
      <c r="R536">
        <v>966326</v>
      </c>
      <c r="S536">
        <f>Table1[[#This Row],[Revenue]]-Table1[[#This Row],[Operating_Costs]]</f>
        <v>306685</v>
      </c>
      <c r="T536">
        <v>659641</v>
      </c>
      <c r="U536">
        <v>38</v>
      </c>
      <c r="V536">
        <v>61</v>
      </c>
      <c r="W536">
        <v>12.7</v>
      </c>
    </row>
    <row r="537" spans="1:23" x14ac:dyDescent="0.25">
      <c r="A537">
        <v>1</v>
      </c>
      <c r="B537" t="s">
        <v>32</v>
      </c>
      <c r="C537" s="1">
        <v>44938</v>
      </c>
      <c r="D537" t="s">
        <v>71</v>
      </c>
      <c r="E537">
        <v>0</v>
      </c>
      <c r="F537">
        <v>84</v>
      </c>
      <c r="G537" t="str">
        <f t="shared" si="16"/>
        <v>81+</v>
      </c>
      <c r="H537" t="s">
        <v>35</v>
      </c>
      <c r="I537" t="s">
        <v>36</v>
      </c>
      <c r="J537" t="s">
        <v>37</v>
      </c>
      <c r="K537" t="s">
        <v>33</v>
      </c>
      <c r="L537">
        <v>1</v>
      </c>
      <c r="M537">
        <v>1</v>
      </c>
      <c r="N537">
        <v>6.1</v>
      </c>
      <c r="O537">
        <v>8.3000000000000007</v>
      </c>
      <c r="P537">
        <v>5</v>
      </c>
      <c r="Q537">
        <v>4</v>
      </c>
      <c r="R537">
        <v>984381</v>
      </c>
      <c r="S537">
        <f>Table1[[#This Row],[Revenue]]-Table1[[#This Row],[Operating_Costs]]</f>
        <v>263643</v>
      </c>
      <c r="T537">
        <v>720738</v>
      </c>
      <c r="U537">
        <v>39</v>
      </c>
      <c r="V537">
        <v>64</v>
      </c>
      <c r="W537">
        <v>7.6</v>
      </c>
    </row>
    <row r="538" spans="1:23" x14ac:dyDescent="0.25">
      <c r="A538">
        <v>1</v>
      </c>
      <c r="B538" t="s">
        <v>32</v>
      </c>
      <c r="C538" s="1">
        <v>44532</v>
      </c>
      <c r="D538" t="s">
        <v>71</v>
      </c>
      <c r="E538">
        <v>0</v>
      </c>
      <c r="F538">
        <v>28</v>
      </c>
      <c r="G538" t="str">
        <f t="shared" si="16"/>
        <v>21-40</v>
      </c>
      <c r="H538" t="s">
        <v>35</v>
      </c>
      <c r="I538" t="s">
        <v>58</v>
      </c>
      <c r="J538" t="s">
        <v>59</v>
      </c>
      <c r="K538" t="s">
        <v>29</v>
      </c>
      <c r="L538">
        <v>1</v>
      </c>
      <c r="M538">
        <v>1</v>
      </c>
      <c r="N538">
        <v>3.6</v>
      </c>
      <c r="O538">
        <v>8.9</v>
      </c>
      <c r="P538">
        <v>7</v>
      </c>
      <c r="Q538">
        <v>4</v>
      </c>
      <c r="R538">
        <v>903723</v>
      </c>
      <c r="S538">
        <f>Table1[[#This Row],[Revenue]]-Table1[[#This Row],[Operating_Costs]]</f>
        <v>244192</v>
      </c>
      <c r="T538">
        <v>659531</v>
      </c>
      <c r="U538">
        <v>35</v>
      </c>
      <c r="V538">
        <v>57</v>
      </c>
      <c r="W538">
        <v>12.9</v>
      </c>
    </row>
    <row r="539" spans="1:23" x14ac:dyDescent="0.25">
      <c r="A539">
        <v>1</v>
      </c>
      <c r="B539" t="s">
        <v>32</v>
      </c>
      <c r="C539" s="1">
        <v>44449</v>
      </c>
      <c r="D539" t="s">
        <v>71</v>
      </c>
      <c r="E539">
        <v>0</v>
      </c>
      <c r="F539">
        <v>35</v>
      </c>
      <c r="G539" t="str">
        <f t="shared" si="16"/>
        <v>21-40</v>
      </c>
      <c r="H539" t="s">
        <v>23</v>
      </c>
      <c r="I539" t="s">
        <v>24</v>
      </c>
      <c r="J539" t="s">
        <v>25</v>
      </c>
      <c r="K539" t="s">
        <v>33</v>
      </c>
      <c r="L539">
        <v>1</v>
      </c>
      <c r="M539">
        <v>1</v>
      </c>
      <c r="N539">
        <v>2.2000000000000002</v>
      </c>
      <c r="O539">
        <v>9.1999999999999993</v>
      </c>
      <c r="P539">
        <v>4</v>
      </c>
      <c r="Q539">
        <v>4</v>
      </c>
      <c r="R539">
        <v>915009</v>
      </c>
      <c r="S539">
        <f>Table1[[#This Row],[Revenue]]-Table1[[#This Row],[Operating_Costs]]</f>
        <v>268599</v>
      </c>
      <c r="T539">
        <v>646410</v>
      </c>
      <c r="U539">
        <v>36</v>
      </c>
      <c r="V539">
        <v>66</v>
      </c>
      <c r="W539">
        <v>6.8</v>
      </c>
    </row>
    <row r="540" spans="1:23" x14ac:dyDescent="0.25">
      <c r="A540">
        <v>1</v>
      </c>
      <c r="B540" t="s">
        <v>32</v>
      </c>
      <c r="C540" s="1">
        <v>44405</v>
      </c>
      <c r="D540" t="s">
        <v>71</v>
      </c>
      <c r="E540">
        <v>0</v>
      </c>
      <c r="F540">
        <v>38</v>
      </c>
      <c r="G540" t="str">
        <f t="shared" si="16"/>
        <v>21-40</v>
      </c>
      <c r="H540" t="s">
        <v>35</v>
      </c>
      <c r="I540" t="s">
        <v>31</v>
      </c>
      <c r="J540" t="s">
        <v>28</v>
      </c>
      <c r="K540" t="s">
        <v>29</v>
      </c>
      <c r="L540">
        <v>1</v>
      </c>
      <c r="M540">
        <v>1</v>
      </c>
      <c r="N540">
        <v>2.8</v>
      </c>
      <c r="O540">
        <v>8.4</v>
      </c>
      <c r="P540">
        <v>5</v>
      </c>
      <c r="Q540">
        <v>3</v>
      </c>
      <c r="R540">
        <v>903861</v>
      </c>
      <c r="S540">
        <f>Table1[[#This Row],[Revenue]]-Table1[[#This Row],[Operating_Costs]]</f>
        <v>77320</v>
      </c>
      <c r="T540">
        <v>826541</v>
      </c>
      <c r="U540">
        <v>30</v>
      </c>
      <c r="V540">
        <v>56</v>
      </c>
      <c r="W540">
        <v>14.4</v>
      </c>
    </row>
    <row r="541" spans="1:23" x14ac:dyDescent="0.25">
      <c r="A541">
        <v>1</v>
      </c>
      <c r="B541" t="s">
        <v>32</v>
      </c>
      <c r="C541" s="1">
        <v>45556</v>
      </c>
      <c r="D541" t="s">
        <v>71</v>
      </c>
      <c r="E541">
        <v>0</v>
      </c>
      <c r="F541">
        <v>36</v>
      </c>
      <c r="G541" t="str">
        <f t="shared" si="16"/>
        <v>21-40</v>
      </c>
      <c r="H541" t="s">
        <v>23</v>
      </c>
      <c r="I541" t="s">
        <v>24</v>
      </c>
      <c r="J541" t="s">
        <v>25</v>
      </c>
      <c r="K541" t="s">
        <v>42</v>
      </c>
      <c r="L541">
        <v>1</v>
      </c>
      <c r="M541">
        <v>1</v>
      </c>
      <c r="N541">
        <v>6.6</v>
      </c>
      <c r="O541">
        <v>8.3000000000000007</v>
      </c>
      <c r="P541">
        <v>3</v>
      </c>
      <c r="Q541">
        <v>5</v>
      </c>
      <c r="R541">
        <v>949192</v>
      </c>
      <c r="S541">
        <f>Table1[[#This Row],[Revenue]]-Table1[[#This Row],[Operating_Costs]]</f>
        <v>223956</v>
      </c>
      <c r="T541">
        <v>725236</v>
      </c>
      <c r="U541">
        <v>33</v>
      </c>
      <c r="V541">
        <v>61</v>
      </c>
      <c r="W541">
        <v>6.3</v>
      </c>
    </row>
    <row r="542" spans="1:23" x14ac:dyDescent="0.25">
      <c r="A542">
        <v>1</v>
      </c>
      <c r="B542" t="s">
        <v>32</v>
      </c>
      <c r="C542" s="1">
        <v>44728</v>
      </c>
      <c r="D542" t="s">
        <v>71</v>
      </c>
      <c r="E542">
        <v>0</v>
      </c>
      <c r="F542">
        <v>90</v>
      </c>
      <c r="G542" t="str">
        <f t="shared" si="16"/>
        <v>81+</v>
      </c>
      <c r="H542" t="s">
        <v>35</v>
      </c>
      <c r="I542" t="s">
        <v>40</v>
      </c>
      <c r="J542" t="s">
        <v>41</v>
      </c>
      <c r="K542" t="s">
        <v>29</v>
      </c>
      <c r="L542">
        <v>1</v>
      </c>
      <c r="M542">
        <v>1</v>
      </c>
      <c r="N542">
        <v>1.7</v>
      </c>
      <c r="O542">
        <v>7.4</v>
      </c>
      <c r="P542">
        <v>7</v>
      </c>
      <c r="Q542">
        <v>5</v>
      </c>
      <c r="R542">
        <v>990755</v>
      </c>
      <c r="S542">
        <f>Table1[[#This Row],[Revenue]]-Table1[[#This Row],[Operating_Costs]]</f>
        <v>108376</v>
      </c>
      <c r="T542">
        <v>882379</v>
      </c>
      <c r="U542">
        <v>35</v>
      </c>
      <c r="V542">
        <v>55</v>
      </c>
      <c r="W542">
        <v>7.3</v>
      </c>
    </row>
    <row r="543" spans="1:23" x14ac:dyDescent="0.25">
      <c r="A543">
        <v>1</v>
      </c>
      <c r="B543" t="s">
        <v>32</v>
      </c>
      <c r="C543" s="1">
        <v>44696</v>
      </c>
      <c r="D543" t="s">
        <v>71</v>
      </c>
      <c r="E543">
        <v>0</v>
      </c>
      <c r="F543">
        <v>33</v>
      </c>
      <c r="G543" t="str">
        <f t="shared" si="16"/>
        <v>21-40</v>
      </c>
      <c r="H543" t="s">
        <v>23</v>
      </c>
      <c r="I543" t="s">
        <v>58</v>
      </c>
      <c r="J543" t="s">
        <v>59</v>
      </c>
      <c r="K543" t="s">
        <v>42</v>
      </c>
      <c r="L543">
        <v>1</v>
      </c>
      <c r="M543">
        <v>1</v>
      </c>
      <c r="N543">
        <v>5.0999999999999996</v>
      </c>
      <c r="O543">
        <v>7.9</v>
      </c>
      <c r="P543">
        <v>3</v>
      </c>
      <c r="Q543">
        <v>6</v>
      </c>
      <c r="R543">
        <v>980107</v>
      </c>
      <c r="S543">
        <f>Table1[[#This Row],[Revenue]]-Table1[[#This Row],[Operating_Costs]]</f>
        <v>215504</v>
      </c>
      <c r="T543">
        <v>764603</v>
      </c>
      <c r="U543">
        <v>40</v>
      </c>
      <c r="V543">
        <v>62</v>
      </c>
      <c r="W543">
        <v>14.2</v>
      </c>
    </row>
    <row r="544" spans="1:23" x14ac:dyDescent="0.25">
      <c r="A544">
        <v>1</v>
      </c>
      <c r="B544" t="s">
        <v>32</v>
      </c>
      <c r="C544" s="1">
        <v>44793</v>
      </c>
      <c r="D544" t="s">
        <v>71</v>
      </c>
      <c r="E544">
        <v>0</v>
      </c>
      <c r="F544">
        <v>84</v>
      </c>
      <c r="G544" t="str">
        <f t="shared" si="16"/>
        <v>81+</v>
      </c>
      <c r="H544" t="s">
        <v>23</v>
      </c>
      <c r="I544" t="s">
        <v>64</v>
      </c>
      <c r="J544" t="s">
        <v>65</v>
      </c>
      <c r="K544" t="s">
        <v>26</v>
      </c>
      <c r="L544">
        <v>1</v>
      </c>
      <c r="M544">
        <v>1</v>
      </c>
      <c r="N544">
        <v>4.5999999999999996</v>
      </c>
      <c r="O544">
        <v>9.4</v>
      </c>
      <c r="P544">
        <v>6</v>
      </c>
      <c r="Q544">
        <v>4</v>
      </c>
      <c r="R544">
        <v>953818</v>
      </c>
      <c r="S544">
        <f>Table1[[#This Row],[Revenue]]-Table1[[#This Row],[Operating_Costs]]</f>
        <v>218497</v>
      </c>
      <c r="T544">
        <v>735321</v>
      </c>
      <c r="U544">
        <v>31</v>
      </c>
      <c r="V544">
        <v>62</v>
      </c>
      <c r="W544">
        <v>9</v>
      </c>
    </row>
    <row r="545" spans="1:23" x14ac:dyDescent="0.25">
      <c r="A545">
        <v>1</v>
      </c>
      <c r="B545" t="s">
        <v>32</v>
      </c>
      <c r="C545" s="1">
        <v>44670</v>
      </c>
      <c r="D545" t="s">
        <v>71</v>
      </c>
      <c r="E545">
        <v>0</v>
      </c>
      <c r="F545">
        <v>27</v>
      </c>
      <c r="G545" t="str">
        <f t="shared" si="16"/>
        <v>21-40</v>
      </c>
      <c r="H545" t="s">
        <v>35</v>
      </c>
      <c r="I545" t="s">
        <v>36</v>
      </c>
      <c r="J545" t="s">
        <v>37</v>
      </c>
      <c r="K545" t="s">
        <v>33</v>
      </c>
      <c r="L545">
        <v>1</v>
      </c>
      <c r="M545">
        <v>1</v>
      </c>
      <c r="N545">
        <v>4.5999999999999996</v>
      </c>
      <c r="O545">
        <v>9</v>
      </c>
      <c r="P545">
        <v>3</v>
      </c>
      <c r="Q545">
        <v>4</v>
      </c>
      <c r="R545">
        <v>934697</v>
      </c>
      <c r="S545">
        <f>Table1[[#This Row],[Revenue]]-Table1[[#This Row],[Operating_Costs]]</f>
        <v>47419</v>
      </c>
      <c r="T545">
        <v>887278</v>
      </c>
      <c r="U545">
        <v>39</v>
      </c>
      <c r="V545">
        <v>65</v>
      </c>
      <c r="W545">
        <v>9</v>
      </c>
    </row>
    <row r="546" spans="1:23" x14ac:dyDescent="0.25">
      <c r="A546">
        <v>1</v>
      </c>
      <c r="B546" t="s">
        <v>32</v>
      </c>
      <c r="C546" s="1">
        <v>44817</v>
      </c>
      <c r="D546" t="s">
        <v>71</v>
      </c>
      <c r="E546">
        <v>0</v>
      </c>
      <c r="F546">
        <v>75</v>
      </c>
      <c r="G546" t="str">
        <f t="shared" si="16"/>
        <v>61-80</v>
      </c>
      <c r="H546" t="s">
        <v>23</v>
      </c>
      <c r="I546" t="s">
        <v>24</v>
      </c>
      <c r="J546" t="s">
        <v>25</v>
      </c>
      <c r="K546" t="s">
        <v>38</v>
      </c>
      <c r="L546">
        <v>1</v>
      </c>
      <c r="M546">
        <v>1</v>
      </c>
      <c r="N546">
        <v>1.2</v>
      </c>
      <c r="O546">
        <v>8.5</v>
      </c>
      <c r="P546">
        <v>3</v>
      </c>
      <c r="Q546">
        <v>5</v>
      </c>
      <c r="R546">
        <v>997518</v>
      </c>
      <c r="S546">
        <f>Table1[[#This Row],[Revenue]]-Table1[[#This Row],[Operating_Costs]]</f>
        <v>154234</v>
      </c>
      <c r="T546">
        <v>843284</v>
      </c>
      <c r="U546">
        <v>38</v>
      </c>
      <c r="V546">
        <v>61</v>
      </c>
      <c r="W546">
        <v>9</v>
      </c>
    </row>
    <row r="547" spans="1:23" x14ac:dyDescent="0.25">
      <c r="A547">
        <v>1</v>
      </c>
      <c r="B547" t="s">
        <v>32</v>
      </c>
      <c r="C547" s="1">
        <v>44743</v>
      </c>
      <c r="D547" t="s">
        <v>71</v>
      </c>
      <c r="E547">
        <v>0</v>
      </c>
      <c r="F547">
        <v>85</v>
      </c>
      <c r="G547" t="str">
        <f t="shared" si="16"/>
        <v>81+</v>
      </c>
      <c r="H547" t="s">
        <v>35</v>
      </c>
      <c r="I547" t="s">
        <v>53</v>
      </c>
      <c r="J547" t="s">
        <v>54</v>
      </c>
      <c r="K547" t="s">
        <v>33</v>
      </c>
      <c r="L547">
        <v>1</v>
      </c>
      <c r="M547">
        <v>1</v>
      </c>
      <c r="N547">
        <v>4</v>
      </c>
      <c r="O547">
        <v>9.6999999999999993</v>
      </c>
      <c r="P547">
        <v>3</v>
      </c>
      <c r="Q547">
        <v>6</v>
      </c>
      <c r="R547">
        <v>921094</v>
      </c>
      <c r="S547">
        <f>Table1[[#This Row],[Revenue]]-Table1[[#This Row],[Operating_Costs]]</f>
        <v>62122</v>
      </c>
      <c r="T547">
        <v>858972</v>
      </c>
      <c r="U547">
        <v>34</v>
      </c>
      <c r="V547">
        <v>60</v>
      </c>
      <c r="W547">
        <v>13.3</v>
      </c>
    </row>
    <row r="548" spans="1:23" x14ac:dyDescent="0.25">
      <c r="A548">
        <v>1</v>
      </c>
      <c r="B548" t="s">
        <v>32</v>
      </c>
      <c r="C548" s="1">
        <v>44974</v>
      </c>
      <c r="D548" t="s">
        <v>71</v>
      </c>
      <c r="E548">
        <v>0</v>
      </c>
      <c r="F548">
        <v>90</v>
      </c>
      <c r="G548" t="str">
        <f t="shared" si="16"/>
        <v>81+</v>
      </c>
      <c r="H548" t="s">
        <v>23</v>
      </c>
      <c r="I548" t="s">
        <v>24</v>
      </c>
      <c r="J548" t="s">
        <v>25</v>
      </c>
      <c r="K548" t="s">
        <v>26</v>
      </c>
      <c r="L548">
        <v>1</v>
      </c>
      <c r="M548">
        <v>1</v>
      </c>
      <c r="N548">
        <v>5.7</v>
      </c>
      <c r="O548">
        <v>7.5</v>
      </c>
      <c r="P548">
        <v>4</v>
      </c>
      <c r="Q548">
        <v>7</v>
      </c>
      <c r="R548">
        <v>940873</v>
      </c>
      <c r="S548">
        <f>Table1[[#This Row],[Revenue]]-Table1[[#This Row],[Operating_Costs]]</f>
        <v>66337</v>
      </c>
      <c r="T548">
        <v>874536</v>
      </c>
      <c r="U548">
        <v>37</v>
      </c>
      <c r="V548">
        <v>65</v>
      </c>
      <c r="W548">
        <v>12.4</v>
      </c>
    </row>
    <row r="549" spans="1:23" x14ac:dyDescent="0.25">
      <c r="A549">
        <v>1</v>
      </c>
      <c r="B549" t="s">
        <v>32</v>
      </c>
      <c r="C549" s="1">
        <v>44606</v>
      </c>
      <c r="D549" t="s">
        <v>71</v>
      </c>
      <c r="E549">
        <v>0</v>
      </c>
      <c r="F549">
        <v>70</v>
      </c>
      <c r="G549" t="str">
        <f t="shared" si="16"/>
        <v>61-80</v>
      </c>
      <c r="H549" t="s">
        <v>35</v>
      </c>
      <c r="I549" t="s">
        <v>31</v>
      </c>
      <c r="J549" t="s">
        <v>28</v>
      </c>
      <c r="K549" t="s">
        <v>42</v>
      </c>
      <c r="L549">
        <v>1</v>
      </c>
      <c r="M549">
        <v>1</v>
      </c>
      <c r="N549">
        <v>4.0999999999999996</v>
      </c>
      <c r="O549">
        <v>8</v>
      </c>
      <c r="P549">
        <v>5</v>
      </c>
      <c r="Q549">
        <v>3</v>
      </c>
      <c r="R549">
        <v>954419</v>
      </c>
      <c r="S549">
        <f>Table1[[#This Row],[Revenue]]-Table1[[#This Row],[Operating_Costs]]</f>
        <v>274752</v>
      </c>
      <c r="T549">
        <v>679667</v>
      </c>
      <c r="U549">
        <v>40</v>
      </c>
      <c r="V549">
        <v>62</v>
      </c>
      <c r="W549">
        <v>10.4</v>
      </c>
    </row>
    <row r="550" spans="1:23" x14ac:dyDescent="0.25">
      <c r="A550">
        <v>1</v>
      </c>
      <c r="B550" t="s">
        <v>32</v>
      </c>
      <c r="C550" s="1">
        <v>44521</v>
      </c>
      <c r="D550" t="s">
        <v>71</v>
      </c>
      <c r="E550">
        <v>0</v>
      </c>
      <c r="F550">
        <v>46</v>
      </c>
      <c r="G550" t="str">
        <f t="shared" si="16"/>
        <v>41-60</v>
      </c>
      <c r="H550" t="s">
        <v>35</v>
      </c>
      <c r="I550" t="s">
        <v>40</v>
      </c>
      <c r="J550" t="s">
        <v>41</v>
      </c>
      <c r="K550" t="s">
        <v>42</v>
      </c>
      <c r="L550">
        <v>1</v>
      </c>
      <c r="M550">
        <v>1</v>
      </c>
      <c r="N550">
        <v>6.8</v>
      </c>
      <c r="O550">
        <v>7.8</v>
      </c>
      <c r="P550">
        <v>6</v>
      </c>
      <c r="Q550">
        <v>3</v>
      </c>
      <c r="R550">
        <v>979229</v>
      </c>
      <c r="S550">
        <f>Table1[[#This Row],[Revenue]]-Table1[[#This Row],[Operating_Costs]]</f>
        <v>126087</v>
      </c>
      <c r="T550">
        <v>853142</v>
      </c>
      <c r="U550">
        <v>32</v>
      </c>
      <c r="V550">
        <v>58</v>
      </c>
      <c r="W550">
        <v>8.1</v>
      </c>
    </row>
    <row r="551" spans="1:23" x14ac:dyDescent="0.25">
      <c r="A551">
        <v>1</v>
      </c>
      <c r="B551" t="s">
        <v>32</v>
      </c>
      <c r="C551" s="1">
        <v>44632</v>
      </c>
      <c r="D551" t="s">
        <v>71</v>
      </c>
      <c r="E551">
        <v>0</v>
      </c>
      <c r="F551">
        <v>21</v>
      </c>
      <c r="G551" t="str">
        <f t="shared" si="16"/>
        <v>21-40</v>
      </c>
      <c r="H551" t="s">
        <v>35</v>
      </c>
      <c r="I551" t="s">
        <v>36</v>
      </c>
      <c r="J551" t="s">
        <v>37</v>
      </c>
      <c r="K551" t="s">
        <v>29</v>
      </c>
      <c r="L551">
        <v>1</v>
      </c>
      <c r="M551">
        <v>1</v>
      </c>
      <c r="N551">
        <v>2.9</v>
      </c>
      <c r="O551">
        <v>8.6999999999999993</v>
      </c>
      <c r="P551">
        <v>7</v>
      </c>
      <c r="Q551">
        <v>7</v>
      </c>
      <c r="R551">
        <v>940337</v>
      </c>
      <c r="S551">
        <f>Table1[[#This Row],[Revenue]]-Table1[[#This Row],[Operating_Costs]]</f>
        <v>278516</v>
      </c>
      <c r="T551">
        <v>661821</v>
      </c>
      <c r="U551">
        <v>34</v>
      </c>
      <c r="V551">
        <v>63</v>
      </c>
      <c r="W551">
        <v>36.1</v>
      </c>
    </row>
    <row r="552" spans="1:23" x14ac:dyDescent="0.25">
      <c r="A552">
        <v>1</v>
      </c>
      <c r="B552" t="s">
        <v>32</v>
      </c>
      <c r="C552" s="1">
        <v>45183</v>
      </c>
      <c r="D552" t="s">
        <v>71</v>
      </c>
      <c r="E552">
        <v>0</v>
      </c>
      <c r="F552">
        <v>39</v>
      </c>
      <c r="G552" t="str">
        <f t="shared" si="16"/>
        <v>21-40</v>
      </c>
      <c r="H552" t="s">
        <v>23</v>
      </c>
      <c r="I552" t="s">
        <v>24</v>
      </c>
      <c r="J552" t="s">
        <v>25</v>
      </c>
      <c r="K552" t="s">
        <v>29</v>
      </c>
      <c r="L552">
        <v>1</v>
      </c>
      <c r="M552">
        <v>1</v>
      </c>
      <c r="N552">
        <v>2.5</v>
      </c>
      <c r="O552">
        <v>9</v>
      </c>
      <c r="P552">
        <v>6</v>
      </c>
      <c r="Q552">
        <v>3</v>
      </c>
      <c r="R552">
        <v>939204</v>
      </c>
      <c r="S552">
        <f>Table1[[#This Row],[Revenue]]-Table1[[#This Row],[Operating_Costs]]</f>
        <v>277192</v>
      </c>
      <c r="T552">
        <v>662012</v>
      </c>
      <c r="U552">
        <v>32</v>
      </c>
      <c r="V552">
        <v>57</v>
      </c>
      <c r="W552">
        <v>13.7</v>
      </c>
    </row>
    <row r="553" spans="1:23" x14ac:dyDescent="0.25">
      <c r="A553">
        <v>1</v>
      </c>
      <c r="B553" t="s">
        <v>32</v>
      </c>
      <c r="C553" s="1">
        <v>45327</v>
      </c>
      <c r="D553" t="s">
        <v>71</v>
      </c>
      <c r="E553">
        <v>0</v>
      </c>
      <c r="F553">
        <v>52</v>
      </c>
      <c r="G553" t="str">
        <f t="shared" si="16"/>
        <v>41-60</v>
      </c>
      <c r="H553" t="s">
        <v>23</v>
      </c>
      <c r="I553" t="s">
        <v>50</v>
      </c>
      <c r="J553" t="s">
        <v>51</v>
      </c>
      <c r="K553" t="s">
        <v>42</v>
      </c>
      <c r="L553">
        <v>1</v>
      </c>
      <c r="M553">
        <v>1</v>
      </c>
      <c r="N553">
        <v>3.2</v>
      </c>
      <c r="O553">
        <v>9</v>
      </c>
      <c r="P553">
        <v>5</v>
      </c>
      <c r="Q553">
        <v>7</v>
      </c>
      <c r="R553">
        <v>955130</v>
      </c>
      <c r="S553">
        <f>Table1[[#This Row],[Revenue]]-Table1[[#This Row],[Operating_Costs]]</f>
        <v>298274</v>
      </c>
      <c r="T553">
        <v>656856</v>
      </c>
      <c r="U553">
        <v>36</v>
      </c>
      <c r="V553">
        <v>60</v>
      </c>
      <c r="W553">
        <v>7.9</v>
      </c>
    </row>
    <row r="554" spans="1:23" x14ac:dyDescent="0.25">
      <c r="A554">
        <v>1</v>
      </c>
      <c r="B554" t="s">
        <v>32</v>
      </c>
      <c r="C554" s="1">
        <v>45370</v>
      </c>
      <c r="D554" t="s">
        <v>71</v>
      </c>
      <c r="E554">
        <v>0</v>
      </c>
      <c r="F554">
        <v>51</v>
      </c>
      <c r="G554" t="str">
        <f t="shared" si="16"/>
        <v>41-60</v>
      </c>
      <c r="H554" t="s">
        <v>35</v>
      </c>
      <c r="I554" t="s">
        <v>31</v>
      </c>
      <c r="J554" t="s">
        <v>28</v>
      </c>
      <c r="K554" t="s">
        <v>26</v>
      </c>
      <c r="L554">
        <v>1</v>
      </c>
      <c r="M554">
        <v>1</v>
      </c>
      <c r="N554">
        <v>6.9</v>
      </c>
      <c r="O554">
        <v>9.6</v>
      </c>
      <c r="P554">
        <v>6</v>
      </c>
      <c r="Q554">
        <v>3</v>
      </c>
      <c r="R554">
        <v>993636</v>
      </c>
      <c r="S554">
        <f>Table1[[#This Row],[Revenue]]-Table1[[#This Row],[Operating_Costs]]</f>
        <v>169048</v>
      </c>
      <c r="T554">
        <v>824588</v>
      </c>
      <c r="U554">
        <v>35</v>
      </c>
      <c r="V554">
        <v>54</v>
      </c>
      <c r="W554">
        <v>8.8000000000000007</v>
      </c>
    </row>
    <row r="555" spans="1:23" x14ac:dyDescent="0.25">
      <c r="A555">
        <v>1</v>
      </c>
      <c r="B555" t="s">
        <v>32</v>
      </c>
      <c r="C555" s="1">
        <v>44876</v>
      </c>
      <c r="D555" t="s">
        <v>71</v>
      </c>
      <c r="E555">
        <v>0</v>
      </c>
      <c r="F555">
        <v>50</v>
      </c>
      <c r="G555" t="str">
        <f t="shared" si="16"/>
        <v>41-60</v>
      </c>
      <c r="H555" t="s">
        <v>35</v>
      </c>
      <c r="I555" t="s">
        <v>55</v>
      </c>
      <c r="J555" t="s">
        <v>56</v>
      </c>
      <c r="K555" t="s">
        <v>42</v>
      </c>
      <c r="L555">
        <v>1</v>
      </c>
      <c r="M555">
        <v>1</v>
      </c>
      <c r="N555">
        <v>2.1</v>
      </c>
      <c r="O555">
        <v>7.8</v>
      </c>
      <c r="P555">
        <v>3</v>
      </c>
      <c r="Q555">
        <v>7</v>
      </c>
      <c r="R555">
        <v>977776</v>
      </c>
      <c r="S555">
        <f>Table1[[#This Row],[Revenue]]-Table1[[#This Row],[Operating_Costs]]</f>
        <v>341966</v>
      </c>
      <c r="T555">
        <v>635810</v>
      </c>
      <c r="U555">
        <v>30</v>
      </c>
      <c r="V555">
        <v>66</v>
      </c>
      <c r="W555">
        <v>10.4</v>
      </c>
    </row>
    <row r="556" spans="1:23" x14ac:dyDescent="0.25">
      <c r="A556">
        <v>1</v>
      </c>
      <c r="B556" t="s">
        <v>32</v>
      </c>
      <c r="C556" s="1">
        <v>44964</v>
      </c>
      <c r="D556" t="s">
        <v>71</v>
      </c>
      <c r="E556">
        <v>0</v>
      </c>
      <c r="F556">
        <v>28</v>
      </c>
      <c r="G556" t="str">
        <f t="shared" si="16"/>
        <v>21-40</v>
      </c>
      <c r="H556" t="s">
        <v>23</v>
      </c>
      <c r="I556" t="s">
        <v>64</v>
      </c>
      <c r="J556" t="s">
        <v>65</v>
      </c>
      <c r="K556" t="s">
        <v>33</v>
      </c>
      <c r="L556">
        <v>1</v>
      </c>
      <c r="M556">
        <v>1</v>
      </c>
      <c r="N556">
        <v>6.6</v>
      </c>
      <c r="O556">
        <v>7</v>
      </c>
      <c r="P556">
        <v>5</v>
      </c>
      <c r="Q556">
        <v>6</v>
      </c>
      <c r="R556">
        <v>915333</v>
      </c>
      <c r="S556">
        <f>Table1[[#This Row],[Revenue]]-Table1[[#This Row],[Operating_Costs]]</f>
        <v>136238</v>
      </c>
      <c r="T556">
        <v>779095</v>
      </c>
      <c r="U556">
        <v>31</v>
      </c>
      <c r="V556">
        <v>60</v>
      </c>
      <c r="W556">
        <v>9.4</v>
      </c>
    </row>
    <row r="557" spans="1:23" x14ac:dyDescent="0.25">
      <c r="A557">
        <v>1</v>
      </c>
      <c r="B557" t="s">
        <v>32</v>
      </c>
      <c r="C557" s="1">
        <v>44932</v>
      </c>
      <c r="D557" t="s">
        <v>71</v>
      </c>
      <c r="E557">
        <v>0</v>
      </c>
      <c r="F557">
        <v>89</v>
      </c>
      <c r="G557" t="str">
        <f t="shared" si="16"/>
        <v>81+</v>
      </c>
      <c r="H557" t="s">
        <v>23</v>
      </c>
      <c r="I557" t="s">
        <v>24</v>
      </c>
      <c r="J557" t="s">
        <v>25</v>
      </c>
      <c r="K557" t="s">
        <v>26</v>
      </c>
      <c r="L557">
        <v>1</v>
      </c>
      <c r="M557">
        <v>1</v>
      </c>
      <c r="N557">
        <v>2.5</v>
      </c>
      <c r="O557">
        <v>9.3000000000000007</v>
      </c>
      <c r="P557">
        <v>5</v>
      </c>
      <c r="Q557">
        <v>4</v>
      </c>
      <c r="R557">
        <v>935943</v>
      </c>
      <c r="S557">
        <f>Table1[[#This Row],[Revenue]]-Table1[[#This Row],[Operating_Costs]]</f>
        <v>112468</v>
      </c>
      <c r="T557">
        <v>823475</v>
      </c>
      <c r="U557">
        <v>30</v>
      </c>
      <c r="V557">
        <v>54</v>
      </c>
      <c r="W557">
        <v>36.700000000000003</v>
      </c>
    </row>
    <row r="558" spans="1:23" x14ac:dyDescent="0.25">
      <c r="A558">
        <v>1</v>
      </c>
      <c r="B558" t="s">
        <v>32</v>
      </c>
      <c r="C558" s="1">
        <v>44711</v>
      </c>
      <c r="D558" t="s">
        <v>71</v>
      </c>
      <c r="E558">
        <v>0</v>
      </c>
      <c r="F558">
        <v>68</v>
      </c>
      <c r="G558" t="str">
        <f t="shared" si="16"/>
        <v>61-80</v>
      </c>
      <c r="H558" t="s">
        <v>35</v>
      </c>
      <c r="I558" t="s">
        <v>46</v>
      </c>
      <c r="J558" t="s">
        <v>47</v>
      </c>
      <c r="K558" t="s">
        <v>26</v>
      </c>
      <c r="L558">
        <v>1</v>
      </c>
      <c r="M558">
        <v>1</v>
      </c>
      <c r="N558">
        <v>1.2</v>
      </c>
      <c r="O558">
        <v>7.3</v>
      </c>
      <c r="P558">
        <v>3</v>
      </c>
      <c r="Q558">
        <v>4</v>
      </c>
      <c r="R558">
        <v>937413</v>
      </c>
      <c r="S558">
        <f>Table1[[#This Row],[Revenue]]-Table1[[#This Row],[Operating_Costs]]</f>
        <v>174019</v>
      </c>
      <c r="T558">
        <v>763394</v>
      </c>
      <c r="U558">
        <v>34</v>
      </c>
      <c r="V558">
        <v>60</v>
      </c>
      <c r="W558">
        <v>13.8</v>
      </c>
    </row>
    <row r="559" spans="1:23" x14ac:dyDescent="0.25">
      <c r="A559">
        <v>1</v>
      </c>
      <c r="B559" t="s">
        <v>32</v>
      </c>
      <c r="C559" s="1">
        <v>44503</v>
      </c>
      <c r="D559" t="s">
        <v>71</v>
      </c>
      <c r="E559">
        <v>0</v>
      </c>
      <c r="F559">
        <v>69</v>
      </c>
      <c r="G559" t="str">
        <f t="shared" si="16"/>
        <v>61-80</v>
      </c>
      <c r="H559" t="s">
        <v>23</v>
      </c>
      <c r="I559" t="s">
        <v>40</v>
      </c>
      <c r="J559" t="s">
        <v>41</v>
      </c>
      <c r="K559" t="s">
        <v>38</v>
      </c>
      <c r="L559">
        <v>1</v>
      </c>
      <c r="M559">
        <v>1</v>
      </c>
      <c r="N559">
        <v>2.1</v>
      </c>
      <c r="O559">
        <v>7.1</v>
      </c>
      <c r="P559">
        <v>5</v>
      </c>
      <c r="Q559">
        <v>4</v>
      </c>
      <c r="R559">
        <v>958794</v>
      </c>
      <c r="S559">
        <f>Table1[[#This Row],[Revenue]]-Table1[[#This Row],[Operating_Costs]]</f>
        <v>206233</v>
      </c>
      <c r="T559">
        <v>752561</v>
      </c>
      <c r="U559">
        <v>40</v>
      </c>
      <c r="V559">
        <v>62</v>
      </c>
      <c r="W559">
        <v>9.3000000000000007</v>
      </c>
    </row>
    <row r="560" spans="1:23" x14ac:dyDescent="0.25">
      <c r="A560">
        <v>1</v>
      </c>
      <c r="B560" t="s">
        <v>32</v>
      </c>
      <c r="C560" s="1">
        <v>45564</v>
      </c>
      <c r="D560" t="s">
        <v>71</v>
      </c>
      <c r="E560">
        <v>0</v>
      </c>
      <c r="F560">
        <v>25</v>
      </c>
      <c r="G560" t="str">
        <f t="shared" si="16"/>
        <v>21-40</v>
      </c>
      <c r="H560" t="s">
        <v>23</v>
      </c>
      <c r="I560" t="s">
        <v>31</v>
      </c>
      <c r="J560" t="s">
        <v>28</v>
      </c>
      <c r="K560" t="s">
        <v>33</v>
      </c>
      <c r="L560">
        <v>1</v>
      </c>
      <c r="M560">
        <v>1</v>
      </c>
      <c r="N560">
        <v>1.4</v>
      </c>
      <c r="O560">
        <v>9.6</v>
      </c>
      <c r="P560">
        <v>6</v>
      </c>
      <c r="Q560">
        <v>7</v>
      </c>
      <c r="R560">
        <v>961580</v>
      </c>
      <c r="S560">
        <f>Table1[[#This Row],[Revenue]]-Table1[[#This Row],[Operating_Costs]]</f>
        <v>341586</v>
      </c>
      <c r="T560">
        <v>619994</v>
      </c>
      <c r="U560">
        <v>34</v>
      </c>
      <c r="V560">
        <v>59</v>
      </c>
      <c r="W560">
        <v>12</v>
      </c>
    </row>
    <row r="561" spans="1:23" x14ac:dyDescent="0.25">
      <c r="A561">
        <v>1</v>
      </c>
      <c r="B561" t="s">
        <v>32</v>
      </c>
      <c r="C561" s="1">
        <v>44321</v>
      </c>
      <c r="D561" t="s">
        <v>71</v>
      </c>
      <c r="E561">
        <v>0</v>
      </c>
      <c r="F561">
        <v>37</v>
      </c>
      <c r="G561" t="str">
        <f t="shared" si="16"/>
        <v>21-40</v>
      </c>
      <c r="H561" t="s">
        <v>35</v>
      </c>
      <c r="I561" t="s">
        <v>58</v>
      </c>
      <c r="J561" t="s">
        <v>59</v>
      </c>
      <c r="K561" t="s">
        <v>26</v>
      </c>
      <c r="L561">
        <v>1</v>
      </c>
      <c r="M561">
        <v>1</v>
      </c>
      <c r="N561">
        <v>5.8</v>
      </c>
      <c r="O561">
        <v>7.3</v>
      </c>
      <c r="P561">
        <v>7</v>
      </c>
      <c r="Q561">
        <v>6</v>
      </c>
      <c r="R561">
        <v>981690</v>
      </c>
      <c r="S561">
        <f>Table1[[#This Row],[Revenue]]-Table1[[#This Row],[Operating_Costs]]</f>
        <v>147412</v>
      </c>
      <c r="T561">
        <v>834278</v>
      </c>
      <c r="U561">
        <v>35</v>
      </c>
      <c r="V561">
        <v>66</v>
      </c>
      <c r="W561">
        <v>5.7</v>
      </c>
    </row>
    <row r="562" spans="1:23" x14ac:dyDescent="0.25">
      <c r="A562">
        <v>1</v>
      </c>
      <c r="B562" t="s">
        <v>32</v>
      </c>
      <c r="C562" s="1">
        <v>45286</v>
      </c>
      <c r="D562" t="s">
        <v>71</v>
      </c>
      <c r="E562">
        <v>0</v>
      </c>
      <c r="F562">
        <v>66</v>
      </c>
      <c r="G562" t="str">
        <f t="shared" si="16"/>
        <v>61-80</v>
      </c>
      <c r="H562" t="s">
        <v>35</v>
      </c>
      <c r="I562" t="s">
        <v>27</v>
      </c>
      <c r="J562" t="s">
        <v>28</v>
      </c>
      <c r="K562" t="s">
        <v>33</v>
      </c>
      <c r="L562">
        <v>1</v>
      </c>
      <c r="M562">
        <v>1</v>
      </c>
      <c r="N562">
        <v>4.9000000000000004</v>
      </c>
      <c r="O562">
        <v>9.6</v>
      </c>
      <c r="P562">
        <v>5</v>
      </c>
      <c r="Q562">
        <v>6</v>
      </c>
      <c r="R562">
        <v>908825</v>
      </c>
      <c r="S562">
        <f>Table1[[#This Row],[Revenue]]-Table1[[#This Row],[Operating_Costs]]</f>
        <v>228277</v>
      </c>
      <c r="T562">
        <v>680548</v>
      </c>
      <c r="U562">
        <v>35</v>
      </c>
      <c r="V562">
        <v>56</v>
      </c>
      <c r="W562">
        <v>7.7</v>
      </c>
    </row>
    <row r="563" spans="1:23" x14ac:dyDescent="0.25">
      <c r="A563">
        <v>1</v>
      </c>
      <c r="B563" t="s">
        <v>32</v>
      </c>
      <c r="C563" s="1">
        <v>45322</v>
      </c>
      <c r="D563" t="s">
        <v>71</v>
      </c>
      <c r="E563">
        <v>0</v>
      </c>
      <c r="F563">
        <v>66</v>
      </c>
      <c r="G563" t="str">
        <f t="shared" si="16"/>
        <v>61-80</v>
      </c>
      <c r="H563" t="s">
        <v>35</v>
      </c>
      <c r="I563" t="s">
        <v>58</v>
      </c>
      <c r="J563" t="s">
        <v>59</v>
      </c>
      <c r="K563" t="s">
        <v>42</v>
      </c>
      <c r="L563">
        <v>1</v>
      </c>
      <c r="M563">
        <v>1</v>
      </c>
      <c r="N563">
        <v>5.0999999999999996</v>
      </c>
      <c r="O563">
        <v>7.9</v>
      </c>
      <c r="P563">
        <v>6</v>
      </c>
      <c r="Q563">
        <v>3</v>
      </c>
      <c r="R563">
        <v>935820</v>
      </c>
      <c r="S563">
        <f>Table1[[#This Row],[Revenue]]-Table1[[#This Row],[Operating_Costs]]</f>
        <v>230893</v>
      </c>
      <c r="T563">
        <v>704927</v>
      </c>
      <c r="U563">
        <v>33</v>
      </c>
      <c r="V563">
        <v>56</v>
      </c>
      <c r="W563">
        <v>10</v>
      </c>
    </row>
    <row r="564" spans="1:23" x14ac:dyDescent="0.25">
      <c r="A564">
        <v>1</v>
      </c>
      <c r="B564" t="s">
        <v>32</v>
      </c>
      <c r="C564" s="1">
        <v>45394</v>
      </c>
      <c r="D564" t="s">
        <v>71</v>
      </c>
      <c r="E564">
        <v>0</v>
      </c>
      <c r="F564">
        <v>66</v>
      </c>
      <c r="G564" t="str">
        <f t="shared" si="16"/>
        <v>61-80</v>
      </c>
      <c r="H564" t="s">
        <v>35</v>
      </c>
      <c r="I564" t="s">
        <v>58</v>
      </c>
      <c r="J564" t="s">
        <v>59</v>
      </c>
      <c r="K564" t="s">
        <v>42</v>
      </c>
      <c r="L564">
        <v>1</v>
      </c>
      <c r="M564">
        <v>1</v>
      </c>
      <c r="N564">
        <v>1.9</v>
      </c>
      <c r="O564">
        <v>7.9</v>
      </c>
      <c r="P564">
        <v>5</v>
      </c>
      <c r="Q564">
        <v>4</v>
      </c>
      <c r="R564">
        <v>981431</v>
      </c>
      <c r="S564">
        <f>Table1[[#This Row],[Revenue]]-Table1[[#This Row],[Operating_Costs]]</f>
        <v>253859</v>
      </c>
      <c r="T564">
        <v>727572</v>
      </c>
      <c r="U564">
        <v>33</v>
      </c>
      <c r="V564">
        <v>55</v>
      </c>
      <c r="W564">
        <v>5.8</v>
      </c>
    </row>
    <row r="565" spans="1:23" x14ac:dyDescent="0.25">
      <c r="A565">
        <v>1</v>
      </c>
      <c r="B565" t="s">
        <v>32</v>
      </c>
      <c r="C565" s="1">
        <v>44696</v>
      </c>
      <c r="D565" t="s">
        <v>71</v>
      </c>
      <c r="E565">
        <v>0</v>
      </c>
      <c r="F565">
        <v>67</v>
      </c>
      <c r="G565" t="str">
        <f t="shared" si="16"/>
        <v>61-80</v>
      </c>
      <c r="H565" t="s">
        <v>35</v>
      </c>
      <c r="I565" t="s">
        <v>31</v>
      </c>
      <c r="J565" t="s">
        <v>28</v>
      </c>
      <c r="K565" t="s">
        <v>42</v>
      </c>
      <c r="L565">
        <v>1</v>
      </c>
      <c r="M565">
        <v>1</v>
      </c>
      <c r="N565">
        <v>4.7</v>
      </c>
      <c r="O565">
        <v>7.3</v>
      </c>
      <c r="P565">
        <v>5</v>
      </c>
      <c r="Q565">
        <v>5</v>
      </c>
      <c r="R565">
        <v>989009</v>
      </c>
      <c r="S565">
        <f>Table1[[#This Row],[Revenue]]-Table1[[#This Row],[Operating_Costs]]</f>
        <v>276478</v>
      </c>
      <c r="T565">
        <v>712531</v>
      </c>
      <c r="U565">
        <v>30</v>
      </c>
      <c r="V565">
        <v>64</v>
      </c>
      <c r="W565">
        <v>9.5</v>
      </c>
    </row>
    <row r="566" spans="1:23" x14ac:dyDescent="0.25">
      <c r="A566">
        <v>1</v>
      </c>
      <c r="B566" t="s">
        <v>32</v>
      </c>
      <c r="C566" s="1">
        <v>44203</v>
      </c>
      <c r="D566" t="s">
        <v>71</v>
      </c>
      <c r="E566">
        <v>0</v>
      </c>
      <c r="F566">
        <v>68</v>
      </c>
      <c r="G566" t="str">
        <f t="shared" si="16"/>
        <v>61-80</v>
      </c>
      <c r="H566" t="s">
        <v>35</v>
      </c>
      <c r="I566" t="s">
        <v>61</v>
      </c>
      <c r="J566" t="s">
        <v>62</v>
      </c>
      <c r="K566" t="s">
        <v>29</v>
      </c>
      <c r="L566">
        <v>1</v>
      </c>
      <c r="M566">
        <v>1</v>
      </c>
      <c r="N566">
        <v>6.2</v>
      </c>
      <c r="O566">
        <v>9.5</v>
      </c>
      <c r="P566">
        <v>3</v>
      </c>
      <c r="Q566">
        <v>3</v>
      </c>
      <c r="R566">
        <v>917065</v>
      </c>
      <c r="S566">
        <f>Table1[[#This Row],[Revenue]]-Table1[[#This Row],[Operating_Costs]]</f>
        <v>245980</v>
      </c>
      <c r="T566">
        <v>671085</v>
      </c>
      <c r="U566">
        <v>40</v>
      </c>
      <c r="V566">
        <v>63</v>
      </c>
      <c r="W566">
        <v>12.4</v>
      </c>
    </row>
    <row r="567" spans="1:23" x14ac:dyDescent="0.25">
      <c r="A567">
        <v>1</v>
      </c>
      <c r="B567" t="s">
        <v>32</v>
      </c>
      <c r="C567" s="1">
        <v>44787</v>
      </c>
      <c r="D567" t="s">
        <v>71</v>
      </c>
      <c r="E567">
        <v>0</v>
      </c>
      <c r="F567">
        <v>43</v>
      </c>
      <c r="G567" t="str">
        <f t="shared" si="16"/>
        <v>41-60</v>
      </c>
      <c r="H567" t="s">
        <v>35</v>
      </c>
      <c r="I567" t="s">
        <v>31</v>
      </c>
      <c r="J567" t="s">
        <v>28</v>
      </c>
      <c r="K567" t="s">
        <v>33</v>
      </c>
      <c r="L567">
        <v>1</v>
      </c>
      <c r="M567">
        <v>1</v>
      </c>
      <c r="N567">
        <v>4.8</v>
      </c>
      <c r="O567">
        <v>8.4</v>
      </c>
      <c r="P567">
        <v>4</v>
      </c>
      <c r="Q567">
        <v>4</v>
      </c>
      <c r="R567">
        <v>921088</v>
      </c>
      <c r="S567">
        <f>Table1[[#This Row],[Revenue]]-Table1[[#This Row],[Operating_Costs]]</f>
        <v>184120</v>
      </c>
      <c r="T567">
        <v>736968</v>
      </c>
      <c r="U567">
        <v>33</v>
      </c>
      <c r="V567">
        <v>64</v>
      </c>
      <c r="W567">
        <v>13.2</v>
      </c>
    </row>
    <row r="568" spans="1:23" x14ac:dyDescent="0.25">
      <c r="A568">
        <v>1</v>
      </c>
      <c r="B568" t="s">
        <v>32</v>
      </c>
      <c r="C568" s="1">
        <v>44684</v>
      </c>
      <c r="D568" t="s">
        <v>71</v>
      </c>
      <c r="E568">
        <v>0</v>
      </c>
      <c r="F568">
        <v>76</v>
      </c>
      <c r="G568" t="str">
        <f t="shared" si="16"/>
        <v>61-80</v>
      </c>
      <c r="H568" t="s">
        <v>35</v>
      </c>
      <c r="I568" t="s">
        <v>55</v>
      </c>
      <c r="J568" t="s">
        <v>56</v>
      </c>
      <c r="K568" t="s">
        <v>38</v>
      </c>
      <c r="L568">
        <v>1</v>
      </c>
      <c r="M568">
        <v>1</v>
      </c>
      <c r="N568">
        <v>6.6</v>
      </c>
      <c r="O568">
        <v>7.8</v>
      </c>
      <c r="P568">
        <v>3</v>
      </c>
      <c r="Q568">
        <v>6</v>
      </c>
      <c r="R568">
        <v>903693</v>
      </c>
      <c r="S568">
        <f>Table1[[#This Row],[Revenue]]-Table1[[#This Row],[Operating_Costs]]</f>
        <v>233401</v>
      </c>
      <c r="T568">
        <v>670292</v>
      </c>
      <c r="U568">
        <v>36</v>
      </c>
      <c r="V568">
        <v>56</v>
      </c>
      <c r="W568">
        <v>36.200000000000003</v>
      </c>
    </row>
    <row r="569" spans="1:23" x14ac:dyDescent="0.25">
      <c r="A569">
        <v>1</v>
      </c>
      <c r="B569" t="s">
        <v>32</v>
      </c>
      <c r="C569" s="1">
        <v>45073</v>
      </c>
      <c r="D569" t="s">
        <v>71</v>
      </c>
      <c r="E569">
        <v>0</v>
      </c>
      <c r="F569">
        <v>27</v>
      </c>
      <c r="G569" t="str">
        <f t="shared" si="16"/>
        <v>21-40</v>
      </c>
      <c r="H569" t="s">
        <v>23</v>
      </c>
      <c r="I569" t="s">
        <v>24</v>
      </c>
      <c r="J569" t="s">
        <v>25</v>
      </c>
      <c r="K569" t="s">
        <v>33</v>
      </c>
      <c r="L569">
        <v>1</v>
      </c>
      <c r="M569">
        <v>1</v>
      </c>
      <c r="N569">
        <v>5.6</v>
      </c>
      <c r="O569">
        <v>9.6</v>
      </c>
      <c r="P569">
        <v>3</v>
      </c>
      <c r="Q569">
        <v>6</v>
      </c>
      <c r="R569">
        <v>967835</v>
      </c>
      <c r="S569">
        <f>Table1[[#This Row],[Revenue]]-Table1[[#This Row],[Operating_Costs]]</f>
        <v>342382</v>
      </c>
      <c r="T569">
        <v>625453</v>
      </c>
      <c r="U569">
        <v>33</v>
      </c>
      <c r="V569">
        <v>60</v>
      </c>
      <c r="W569">
        <v>8.1</v>
      </c>
    </row>
    <row r="570" spans="1:23" x14ac:dyDescent="0.25">
      <c r="A570">
        <v>1</v>
      </c>
      <c r="B570" t="s">
        <v>32</v>
      </c>
      <c r="C570" s="1">
        <v>45344</v>
      </c>
      <c r="D570" t="s">
        <v>71</v>
      </c>
      <c r="E570">
        <v>0</v>
      </c>
      <c r="F570">
        <v>51</v>
      </c>
      <c r="G570" t="str">
        <f t="shared" si="16"/>
        <v>41-60</v>
      </c>
      <c r="H570" t="s">
        <v>35</v>
      </c>
      <c r="I570" t="s">
        <v>36</v>
      </c>
      <c r="J570" t="s">
        <v>37</v>
      </c>
      <c r="K570" t="s">
        <v>42</v>
      </c>
      <c r="L570">
        <v>1</v>
      </c>
      <c r="M570">
        <v>1</v>
      </c>
      <c r="N570">
        <v>1.5</v>
      </c>
      <c r="O570">
        <v>9.4</v>
      </c>
      <c r="P570">
        <v>6</v>
      </c>
      <c r="Q570">
        <v>4</v>
      </c>
      <c r="R570">
        <v>923000</v>
      </c>
      <c r="S570">
        <f>Table1[[#This Row],[Revenue]]-Table1[[#This Row],[Operating_Costs]]</f>
        <v>110461</v>
      </c>
      <c r="T570">
        <v>812539</v>
      </c>
      <c r="U570">
        <v>40</v>
      </c>
      <c r="V570">
        <v>63</v>
      </c>
      <c r="W570">
        <v>8.1999999999999993</v>
      </c>
    </row>
    <row r="571" spans="1:23" x14ac:dyDescent="0.25">
      <c r="A571">
        <v>1</v>
      </c>
      <c r="B571" t="s">
        <v>32</v>
      </c>
      <c r="C571" s="1">
        <v>44236</v>
      </c>
      <c r="D571" t="s">
        <v>71</v>
      </c>
      <c r="E571">
        <v>0</v>
      </c>
      <c r="F571">
        <v>83</v>
      </c>
      <c r="G571" t="str">
        <f t="shared" si="16"/>
        <v>81+</v>
      </c>
      <c r="H571" t="s">
        <v>35</v>
      </c>
      <c r="I571" t="s">
        <v>36</v>
      </c>
      <c r="J571" t="s">
        <v>37</v>
      </c>
      <c r="K571" t="s">
        <v>42</v>
      </c>
      <c r="L571">
        <v>1</v>
      </c>
      <c r="M571">
        <v>1</v>
      </c>
      <c r="N571">
        <v>4.5999999999999996</v>
      </c>
      <c r="O571">
        <v>9.1999999999999993</v>
      </c>
      <c r="P571">
        <v>6</v>
      </c>
      <c r="Q571">
        <v>6</v>
      </c>
      <c r="R571">
        <v>905273</v>
      </c>
      <c r="S571">
        <f>Table1[[#This Row],[Revenue]]-Table1[[#This Row],[Operating_Costs]]</f>
        <v>204640</v>
      </c>
      <c r="T571">
        <v>700633</v>
      </c>
      <c r="U571">
        <v>34</v>
      </c>
      <c r="V571">
        <v>63</v>
      </c>
      <c r="W571">
        <v>13</v>
      </c>
    </row>
    <row r="572" spans="1:23" x14ac:dyDescent="0.25">
      <c r="A572">
        <v>1</v>
      </c>
      <c r="B572" t="s">
        <v>32</v>
      </c>
      <c r="C572" s="1">
        <v>45414</v>
      </c>
      <c r="D572" t="s">
        <v>71</v>
      </c>
      <c r="E572">
        <v>0</v>
      </c>
      <c r="F572">
        <v>54</v>
      </c>
      <c r="G572" t="str">
        <f t="shared" si="16"/>
        <v>41-60</v>
      </c>
      <c r="H572" t="s">
        <v>35</v>
      </c>
      <c r="I572" t="s">
        <v>46</v>
      </c>
      <c r="J572" t="s">
        <v>47</v>
      </c>
      <c r="K572" t="s">
        <v>26</v>
      </c>
      <c r="L572">
        <v>1</v>
      </c>
      <c r="M572">
        <v>1</v>
      </c>
      <c r="N572">
        <v>1.1000000000000001</v>
      </c>
      <c r="O572">
        <v>9.6</v>
      </c>
      <c r="P572">
        <v>4</v>
      </c>
      <c r="Q572">
        <v>5</v>
      </c>
      <c r="R572">
        <v>916455</v>
      </c>
      <c r="S572">
        <f>Table1[[#This Row],[Revenue]]-Table1[[#This Row],[Operating_Costs]]</f>
        <v>280297</v>
      </c>
      <c r="T572">
        <v>636158</v>
      </c>
      <c r="U572">
        <v>30</v>
      </c>
      <c r="V572">
        <v>56</v>
      </c>
      <c r="W572">
        <v>10.9</v>
      </c>
    </row>
    <row r="573" spans="1:23" x14ac:dyDescent="0.25">
      <c r="A573">
        <v>1</v>
      </c>
      <c r="B573" t="s">
        <v>32</v>
      </c>
      <c r="C573" s="1">
        <v>45330</v>
      </c>
      <c r="D573" t="s">
        <v>71</v>
      </c>
      <c r="E573">
        <v>0</v>
      </c>
      <c r="F573">
        <v>29</v>
      </c>
      <c r="G573" t="str">
        <f t="shared" si="16"/>
        <v>21-40</v>
      </c>
      <c r="H573" t="s">
        <v>23</v>
      </c>
      <c r="I573" t="s">
        <v>24</v>
      </c>
      <c r="J573" t="s">
        <v>25</v>
      </c>
      <c r="K573" t="s">
        <v>33</v>
      </c>
      <c r="L573">
        <v>1</v>
      </c>
      <c r="M573">
        <v>1</v>
      </c>
      <c r="N573">
        <v>4.3</v>
      </c>
      <c r="O573">
        <v>8.1</v>
      </c>
      <c r="P573">
        <v>6</v>
      </c>
      <c r="Q573">
        <v>4</v>
      </c>
      <c r="R573">
        <v>983461</v>
      </c>
      <c r="S573">
        <f>Table1[[#This Row],[Revenue]]-Table1[[#This Row],[Operating_Costs]]</f>
        <v>331981</v>
      </c>
      <c r="T573">
        <v>651480</v>
      </c>
      <c r="U573">
        <v>40</v>
      </c>
      <c r="V573">
        <v>59</v>
      </c>
      <c r="W573">
        <v>9.4</v>
      </c>
    </row>
    <row r="574" spans="1:23" x14ac:dyDescent="0.25">
      <c r="A574">
        <v>1</v>
      </c>
      <c r="B574" t="s">
        <v>32</v>
      </c>
      <c r="C574" s="1">
        <v>44532</v>
      </c>
      <c r="D574" t="s">
        <v>71</v>
      </c>
      <c r="E574">
        <v>0</v>
      </c>
      <c r="F574">
        <v>64</v>
      </c>
      <c r="G574" t="str">
        <f t="shared" si="16"/>
        <v>61-80</v>
      </c>
      <c r="H574" t="s">
        <v>35</v>
      </c>
      <c r="I574" t="s">
        <v>46</v>
      </c>
      <c r="J574" t="s">
        <v>47</v>
      </c>
      <c r="K574" t="s">
        <v>33</v>
      </c>
      <c r="L574">
        <v>1</v>
      </c>
      <c r="M574">
        <v>1</v>
      </c>
      <c r="N574">
        <v>2.1</v>
      </c>
      <c r="O574">
        <v>8.9</v>
      </c>
      <c r="P574">
        <v>5</v>
      </c>
      <c r="Q574">
        <v>7</v>
      </c>
      <c r="R574">
        <v>906459</v>
      </c>
      <c r="S574">
        <f>Table1[[#This Row],[Revenue]]-Table1[[#This Row],[Operating_Costs]]</f>
        <v>169180</v>
      </c>
      <c r="T574">
        <v>737279</v>
      </c>
      <c r="U574">
        <v>36</v>
      </c>
      <c r="V574">
        <v>55</v>
      </c>
      <c r="W574">
        <v>8.1999999999999993</v>
      </c>
    </row>
    <row r="575" spans="1:23" x14ac:dyDescent="0.25">
      <c r="A575">
        <v>1</v>
      </c>
      <c r="B575" t="s">
        <v>32</v>
      </c>
      <c r="C575" s="1">
        <v>45257</v>
      </c>
      <c r="D575" t="s">
        <v>71</v>
      </c>
      <c r="E575">
        <v>0</v>
      </c>
      <c r="F575">
        <v>72</v>
      </c>
      <c r="G575" t="str">
        <f t="shared" si="16"/>
        <v>61-80</v>
      </c>
      <c r="H575" t="s">
        <v>35</v>
      </c>
      <c r="I575" t="s">
        <v>36</v>
      </c>
      <c r="J575" t="s">
        <v>37</v>
      </c>
      <c r="K575" t="s">
        <v>26</v>
      </c>
      <c r="L575">
        <v>1</v>
      </c>
      <c r="M575">
        <v>1</v>
      </c>
      <c r="N575">
        <v>5.3</v>
      </c>
      <c r="O575">
        <v>8.3000000000000007</v>
      </c>
      <c r="P575">
        <v>3</v>
      </c>
      <c r="Q575">
        <v>6</v>
      </c>
      <c r="R575">
        <v>932226</v>
      </c>
      <c r="S575">
        <f>Table1[[#This Row],[Revenue]]-Table1[[#This Row],[Operating_Costs]]</f>
        <v>162843</v>
      </c>
      <c r="T575">
        <v>769383</v>
      </c>
      <c r="U575">
        <v>30</v>
      </c>
      <c r="V575">
        <v>56</v>
      </c>
      <c r="W575">
        <v>7.4</v>
      </c>
    </row>
    <row r="576" spans="1:23" x14ac:dyDescent="0.25">
      <c r="A576">
        <v>1</v>
      </c>
      <c r="B576" t="s">
        <v>32</v>
      </c>
      <c r="C576" s="1">
        <v>45373</v>
      </c>
      <c r="D576" t="s">
        <v>71</v>
      </c>
      <c r="E576">
        <v>0</v>
      </c>
      <c r="F576">
        <v>67</v>
      </c>
      <c r="G576" t="str">
        <f t="shared" si="16"/>
        <v>61-80</v>
      </c>
      <c r="H576" t="s">
        <v>23</v>
      </c>
      <c r="I576" t="s">
        <v>31</v>
      </c>
      <c r="J576" t="s">
        <v>28</v>
      </c>
      <c r="K576" t="s">
        <v>33</v>
      </c>
      <c r="L576">
        <v>1</v>
      </c>
      <c r="M576">
        <v>1</v>
      </c>
      <c r="N576">
        <v>6.5</v>
      </c>
      <c r="O576">
        <v>9.1999999999999993</v>
      </c>
      <c r="P576">
        <v>7</v>
      </c>
      <c r="Q576">
        <v>5</v>
      </c>
      <c r="R576">
        <v>973851</v>
      </c>
      <c r="S576">
        <f>Table1[[#This Row],[Revenue]]-Table1[[#This Row],[Operating_Costs]]</f>
        <v>154710</v>
      </c>
      <c r="T576">
        <v>819141</v>
      </c>
      <c r="U576">
        <v>39</v>
      </c>
      <c r="V576">
        <v>59</v>
      </c>
      <c r="W576">
        <v>13.6</v>
      </c>
    </row>
    <row r="577" spans="1:23" x14ac:dyDescent="0.25">
      <c r="A577">
        <v>1</v>
      </c>
      <c r="B577" t="s">
        <v>32</v>
      </c>
      <c r="C577" s="1">
        <v>45128</v>
      </c>
      <c r="D577" t="s">
        <v>71</v>
      </c>
      <c r="E577">
        <v>0</v>
      </c>
      <c r="F577">
        <v>21</v>
      </c>
      <c r="G577" t="str">
        <f t="shared" si="16"/>
        <v>21-40</v>
      </c>
      <c r="H577" t="s">
        <v>35</v>
      </c>
      <c r="I577" t="s">
        <v>46</v>
      </c>
      <c r="J577" t="s">
        <v>47</v>
      </c>
      <c r="K577" t="s">
        <v>42</v>
      </c>
      <c r="L577">
        <v>1</v>
      </c>
      <c r="M577">
        <v>1</v>
      </c>
      <c r="N577">
        <v>4.5999999999999996</v>
      </c>
      <c r="O577">
        <v>7.7</v>
      </c>
      <c r="P577">
        <v>4</v>
      </c>
      <c r="Q577">
        <v>5</v>
      </c>
      <c r="R577">
        <v>935158</v>
      </c>
      <c r="S577">
        <f>Table1[[#This Row],[Revenue]]-Table1[[#This Row],[Operating_Costs]]</f>
        <v>231100</v>
      </c>
      <c r="T577">
        <v>704058</v>
      </c>
      <c r="U577">
        <v>34</v>
      </c>
      <c r="V577">
        <v>63</v>
      </c>
      <c r="W577">
        <v>12.5</v>
      </c>
    </row>
    <row r="578" spans="1:23" x14ac:dyDescent="0.25">
      <c r="A578">
        <v>1</v>
      </c>
      <c r="B578" t="s">
        <v>32</v>
      </c>
      <c r="C578" s="1">
        <v>44845</v>
      </c>
      <c r="D578" t="s">
        <v>71</v>
      </c>
      <c r="E578">
        <v>0</v>
      </c>
      <c r="F578">
        <v>36</v>
      </c>
      <c r="G578" t="str">
        <f t="shared" si="16"/>
        <v>21-40</v>
      </c>
      <c r="H578" t="s">
        <v>35</v>
      </c>
      <c r="I578" t="s">
        <v>61</v>
      </c>
      <c r="J578" t="s">
        <v>62</v>
      </c>
      <c r="K578" t="s">
        <v>26</v>
      </c>
      <c r="L578">
        <v>1</v>
      </c>
      <c r="M578">
        <v>1</v>
      </c>
      <c r="N578">
        <v>1.6</v>
      </c>
      <c r="O578">
        <v>9</v>
      </c>
      <c r="P578">
        <v>3</v>
      </c>
      <c r="Q578">
        <v>3</v>
      </c>
      <c r="R578">
        <v>936046</v>
      </c>
      <c r="S578">
        <f>Table1[[#This Row],[Revenue]]-Table1[[#This Row],[Operating_Costs]]</f>
        <v>312023</v>
      </c>
      <c r="T578">
        <v>624023</v>
      </c>
      <c r="U578">
        <v>37</v>
      </c>
      <c r="V578">
        <v>59</v>
      </c>
      <c r="W578">
        <v>12.9</v>
      </c>
    </row>
    <row r="579" spans="1:23" x14ac:dyDescent="0.25">
      <c r="A579">
        <v>1</v>
      </c>
      <c r="B579" t="s">
        <v>32</v>
      </c>
      <c r="C579" s="1">
        <v>44512</v>
      </c>
      <c r="D579" t="s">
        <v>71</v>
      </c>
      <c r="E579">
        <v>0</v>
      </c>
      <c r="F579">
        <v>24</v>
      </c>
      <c r="G579" t="str">
        <f t="shared" ref="G579:G642" si="17">IF(F579&lt;=20,"0-20",IF(F579&lt;=40,"21-40",IF(F579&lt;=60,"41-60",IF(F579&lt;=80,"61-80","81+"))))</f>
        <v>21-40</v>
      </c>
      <c r="H579" t="s">
        <v>23</v>
      </c>
      <c r="I579" t="s">
        <v>24</v>
      </c>
      <c r="J579" t="s">
        <v>25</v>
      </c>
      <c r="K579" t="s">
        <v>33</v>
      </c>
      <c r="L579">
        <v>1</v>
      </c>
      <c r="M579">
        <v>1</v>
      </c>
      <c r="N579">
        <v>1.9</v>
      </c>
      <c r="O579">
        <v>8.9</v>
      </c>
      <c r="P579">
        <v>3</v>
      </c>
      <c r="Q579">
        <v>5</v>
      </c>
      <c r="R579">
        <v>962583</v>
      </c>
      <c r="S579">
        <f>Table1[[#This Row],[Revenue]]-Table1[[#This Row],[Operating_Costs]]</f>
        <v>110556</v>
      </c>
      <c r="T579">
        <v>852027</v>
      </c>
      <c r="U579">
        <v>38</v>
      </c>
      <c r="V579">
        <v>59</v>
      </c>
      <c r="W579">
        <v>8.8000000000000007</v>
      </c>
    </row>
    <row r="580" spans="1:23" x14ac:dyDescent="0.25">
      <c r="A580">
        <v>1</v>
      </c>
      <c r="B580" t="s">
        <v>32</v>
      </c>
      <c r="C580" s="1">
        <v>44894</v>
      </c>
      <c r="D580" t="s">
        <v>71</v>
      </c>
      <c r="E580">
        <v>0</v>
      </c>
      <c r="F580">
        <v>32</v>
      </c>
      <c r="G580" t="str">
        <f t="shared" si="17"/>
        <v>21-40</v>
      </c>
      <c r="H580" t="s">
        <v>35</v>
      </c>
      <c r="I580" t="s">
        <v>61</v>
      </c>
      <c r="J580" t="s">
        <v>62</v>
      </c>
      <c r="K580" t="s">
        <v>38</v>
      </c>
      <c r="L580">
        <v>1</v>
      </c>
      <c r="M580">
        <v>1</v>
      </c>
      <c r="N580">
        <v>1.1000000000000001</v>
      </c>
      <c r="O580">
        <v>7</v>
      </c>
      <c r="P580">
        <v>7</v>
      </c>
      <c r="Q580">
        <v>7</v>
      </c>
      <c r="R580">
        <v>939359</v>
      </c>
      <c r="S580">
        <f>Table1[[#This Row],[Revenue]]-Table1[[#This Row],[Operating_Costs]]</f>
        <v>97584</v>
      </c>
      <c r="T580">
        <v>841775</v>
      </c>
      <c r="U580">
        <v>31</v>
      </c>
      <c r="V580">
        <v>64</v>
      </c>
      <c r="W580">
        <v>6.5</v>
      </c>
    </row>
    <row r="581" spans="1:23" x14ac:dyDescent="0.25">
      <c r="A581">
        <v>1</v>
      </c>
      <c r="B581" t="s">
        <v>32</v>
      </c>
      <c r="C581" s="1">
        <v>44399</v>
      </c>
      <c r="D581" t="s">
        <v>71</v>
      </c>
      <c r="E581">
        <v>0</v>
      </c>
      <c r="F581">
        <v>43</v>
      </c>
      <c r="G581" t="str">
        <f t="shared" si="17"/>
        <v>41-60</v>
      </c>
      <c r="H581" t="s">
        <v>35</v>
      </c>
      <c r="I581" t="s">
        <v>40</v>
      </c>
      <c r="J581" t="s">
        <v>41</v>
      </c>
      <c r="K581" t="s">
        <v>26</v>
      </c>
      <c r="L581">
        <v>1</v>
      </c>
      <c r="M581">
        <v>1</v>
      </c>
      <c r="N581">
        <v>4.2</v>
      </c>
      <c r="O581">
        <v>8.1</v>
      </c>
      <c r="P581">
        <v>4</v>
      </c>
      <c r="Q581">
        <v>3</v>
      </c>
      <c r="R581">
        <v>930747</v>
      </c>
      <c r="S581">
        <f>Table1[[#This Row],[Revenue]]-Table1[[#This Row],[Operating_Costs]]</f>
        <v>88814</v>
      </c>
      <c r="T581">
        <v>841933</v>
      </c>
      <c r="U581">
        <v>32</v>
      </c>
      <c r="V581">
        <v>66</v>
      </c>
      <c r="W581">
        <v>14.3</v>
      </c>
    </row>
    <row r="582" spans="1:23" x14ac:dyDescent="0.25">
      <c r="A582">
        <v>1</v>
      </c>
      <c r="B582" t="s">
        <v>32</v>
      </c>
      <c r="C582" s="1">
        <v>44501</v>
      </c>
      <c r="D582" t="s">
        <v>71</v>
      </c>
      <c r="E582">
        <v>0</v>
      </c>
      <c r="F582">
        <v>50</v>
      </c>
      <c r="G582" t="str">
        <f t="shared" si="17"/>
        <v>41-60</v>
      </c>
      <c r="H582" t="s">
        <v>23</v>
      </c>
      <c r="I582" t="s">
        <v>24</v>
      </c>
      <c r="J582" t="s">
        <v>25</v>
      </c>
      <c r="K582" t="s">
        <v>33</v>
      </c>
      <c r="L582">
        <v>1</v>
      </c>
      <c r="M582">
        <v>1</v>
      </c>
      <c r="N582">
        <v>1.5</v>
      </c>
      <c r="O582">
        <v>9.3000000000000007</v>
      </c>
      <c r="P582">
        <v>3</v>
      </c>
      <c r="Q582">
        <v>4</v>
      </c>
      <c r="R582">
        <v>970262</v>
      </c>
      <c r="S582">
        <f>Table1[[#This Row],[Revenue]]-Table1[[#This Row],[Operating_Costs]]</f>
        <v>324444</v>
      </c>
      <c r="T582">
        <v>645818</v>
      </c>
      <c r="U582">
        <v>32</v>
      </c>
      <c r="V582">
        <v>55</v>
      </c>
      <c r="W582">
        <v>36.6</v>
      </c>
    </row>
    <row r="583" spans="1:23" x14ac:dyDescent="0.25">
      <c r="A583">
        <v>1</v>
      </c>
      <c r="B583" t="s">
        <v>32</v>
      </c>
      <c r="C583" s="1">
        <v>44310</v>
      </c>
      <c r="D583" t="s">
        <v>71</v>
      </c>
      <c r="E583">
        <v>0</v>
      </c>
      <c r="F583">
        <v>57</v>
      </c>
      <c r="G583" t="str">
        <f t="shared" si="17"/>
        <v>41-60</v>
      </c>
      <c r="H583" t="s">
        <v>23</v>
      </c>
      <c r="I583" t="s">
        <v>43</v>
      </c>
      <c r="J583" t="s">
        <v>25</v>
      </c>
      <c r="K583" t="s">
        <v>38</v>
      </c>
      <c r="L583">
        <v>1</v>
      </c>
      <c r="M583">
        <v>1</v>
      </c>
      <c r="N583">
        <v>4.4000000000000004</v>
      </c>
      <c r="O583">
        <v>7.2</v>
      </c>
      <c r="P583">
        <v>4</v>
      </c>
      <c r="Q583">
        <v>6</v>
      </c>
      <c r="R583">
        <v>906215</v>
      </c>
      <c r="S583">
        <f>Table1[[#This Row],[Revenue]]-Table1[[#This Row],[Operating_Costs]]</f>
        <v>265703</v>
      </c>
      <c r="T583">
        <v>640512</v>
      </c>
      <c r="U583">
        <v>35</v>
      </c>
      <c r="V583">
        <v>54</v>
      </c>
      <c r="W583">
        <v>9</v>
      </c>
    </row>
    <row r="584" spans="1:23" x14ac:dyDescent="0.25">
      <c r="A584">
        <v>1</v>
      </c>
      <c r="B584" t="s">
        <v>32</v>
      </c>
      <c r="C584" s="1">
        <v>44367</v>
      </c>
      <c r="D584" t="s">
        <v>71</v>
      </c>
      <c r="E584">
        <v>0</v>
      </c>
      <c r="F584">
        <v>32</v>
      </c>
      <c r="G584" t="str">
        <f t="shared" si="17"/>
        <v>21-40</v>
      </c>
      <c r="H584" t="s">
        <v>35</v>
      </c>
      <c r="I584" t="s">
        <v>27</v>
      </c>
      <c r="J584" t="s">
        <v>28</v>
      </c>
      <c r="K584" t="s">
        <v>26</v>
      </c>
      <c r="L584">
        <v>1</v>
      </c>
      <c r="M584">
        <v>1</v>
      </c>
      <c r="N584">
        <v>4.7</v>
      </c>
      <c r="O584">
        <v>8.3000000000000007</v>
      </c>
      <c r="P584">
        <v>5</v>
      </c>
      <c r="Q584">
        <v>5</v>
      </c>
      <c r="R584">
        <v>930201</v>
      </c>
      <c r="S584">
        <f>Table1[[#This Row],[Revenue]]-Table1[[#This Row],[Operating_Costs]]</f>
        <v>290784</v>
      </c>
      <c r="T584">
        <v>639417</v>
      </c>
      <c r="U584">
        <v>33</v>
      </c>
      <c r="V584">
        <v>61</v>
      </c>
      <c r="W584">
        <v>10.6</v>
      </c>
    </row>
    <row r="585" spans="1:23" x14ac:dyDescent="0.25">
      <c r="A585">
        <v>1</v>
      </c>
      <c r="B585" t="s">
        <v>32</v>
      </c>
      <c r="C585" s="1">
        <v>45491</v>
      </c>
      <c r="D585" t="s">
        <v>71</v>
      </c>
      <c r="E585">
        <v>0</v>
      </c>
      <c r="F585">
        <v>41</v>
      </c>
      <c r="G585" t="str">
        <f t="shared" si="17"/>
        <v>41-60</v>
      </c>
      <c r="H585" t="s">
        <v>35</v>
      </c>
      <c r="I585" t="s">
        <v>61</v>
      </c>
      <c r="J585" t="s">
        <v>62</v>
      </c>
      <c r="K585" t="s">
        <v>26</v>
      </c>
      <c r="L585">
        <v>1</v>
      </c>
      <c r="M585">
        <v>1</v>
      </c>
      <c r="N585">
        <v>4.3</v>
      </c>
      <c r="O585">
        <v>9.3000000000000007</v>
      </c>
      <c r="P585">
        <v>4</v>
      </c>
      <c r="Q585">
        <v>4</v>
      </c>
      <c r="R585">
        <v>986607</v>
      </c>
      <c r="S585">
        <f>Table1[[#This Row],[Revenue]]-Table1[[#This Row],[Operating_Costs]]</f>
        <v>297405</v>
      </c>
      <c r="T585">
        <v>689202</v>
      </c>
      <c r="U585">
        <v>35</v>
      </c>
      <c r="V585">
        <v>63</v>
      </c>
      <c r="W585">
        <v>14.9</v>
      </c>
    </row>
    <row r="586" spans="1:23" x14ac:dyDescent="0.25">
      <c r="A586">
        <v>1</v>
      </c>
      <c r="B586" t="s">
        <v>32</v>
      </c>
      <c r="C586" s="1">
        <v>44596</v>
      </c>
      <c r="D586" t="s">
        <v>71</v>
      </c>
      <c r="E586">
        <v>0</v>
      </c>
      <c r="F586">
        <v>39</v>
      </c>
      <c r="G586" t="str">
        <f t="shared" si="17"/>
        <v>21-40</v>
      </c>
      <c r="H586" t="s">
        <v>35</v>
      </c>
      <c r="I586" t="s">
        <v>46</v>
      </c>
      <c r="J586" t="s">
        <v>47</v>
      </c>
      <c r="K586" t="s">
        <v>33</v>
      </c>
      <c r="L586">
        <v>1</v>
      </c>
      <c r="M586">
        <v>1</v>
      </c>
      <c r="N586">
        <v>1.5</v>
      </c>
      <c r="O586">
        <v>9</v>
      </c>
      <c r="P586">
        <v>4</v>
      </c>
      <c r="Q586">
        <v>3</v>
      </c>
      <c r="R586">
        <v>947984</v>
      </c>
      <c r="S586">
        <f>Table1[[#This Row],[Revenue]]-Table1[[#This Row],[Operating_Costs]]</f>
        <v>169248</v>
      </c>
      <c r="T586">
        <v>778736</v>
      </c>
      <c r="U586">
        <v>37</v>
      </c>
      <c r="V586">
        <v>64</v>
      </c>
      <c r="W586">
        <v>8.1</v>
      </c>
    </row>
    <row r="587" spans="1:23" x14ac:dyDescent="0.25">
      <c r="A587">
        <v>1</v>
      </c>
      <c r="B587" t="s">
        <v>32</v>
      </c>
      <c r="C587" s="1">
        <v>44351</v>
      </c>
      <c r="D587" t="s">
        <v>71</v>
      </c>
      <c r="E587">
        <v>0</v>
      </c>
      <c r="F587">
        <v>86</v>
      </c>
      <c r="G587" t="str">
        <f t="shared" si="17"/>
        <v>81+</v>
      </c>
      <c r="H587" t="s">
        <v>35</v>
      </c>
      <c r="I587" t="s">
        <v>46</v>
      </c>
      <c r="J587" t="s">
        <v>47</v>
      </c>
      <c r="K587" t="s">
        <v>42</v>
      </c>
      <c r="L587">
        <v>1</v>
      </c>
      <c r="M587">
        <v>1</v>
      </c>
      <c r="N587">
        <v>4.9000000000000004</v>
      </c>
      <c r="O587">
        <v>9.3000000000000007</v>
      </c>
      <c r="P587">
        <v>5</v>
      </c>
      <c r="Q587">
        <v>6</v>
      </c>
      <c r="R587">
        <v>926426</v>
      </c>
      <c r="S587">
        <f>Table1[[#This Row],[Revenue]]-Table1[[#This Row],[Operating_Costs]]</f>
        <v>90286</v>
      </c>
      <c r="T587">
        <v>836140</v>
      </c>
      <c r="U587">
        <v>37</v>
      </c>
      <c r="V587">
        <v>62</v>
      </c>
      <c r="W587">
        <v>5.9</v>
      </c>
    </row>
    <row r="588" spans="1:23" x14ac:dyDescent="0.25">
      <c r="A588">
        <v>1</v>
      </c>
      <c r="B588" t="s">
        <v>32</v>
      </c>
      <c r="C588" s="1">
        <v>44870</v>
      </c>
      <c r="D588" t="s">
        <v>71</v>
      </c>
      <c r="E588">
        <v>0</v>
      </c>
      <c r="F588">
        <v>56</v>
      </c>
      <c r="G588" t="str">
        <f t="shared" si="17"/>
        <v>41-60</v>
      </c>
      <c r="H588" t="s">
        <v>23</v>
      </c>
      <c r="I588" t="s">
        <v>24</v>
      </c>
      <c r="J588" t="s">
        <v>25</v>
      </c>
      <c r="K588" t="s">
        <v>38</v>
      </c>
      <c r="L588">
        <v>1</v>
      </c>
      <c r="M588">
        <v>1</v>
      </c>
      <c r="N588">
        <v>4.2</v>
      </c>
      <c r="O588">
        <v>7.8</v>
      </c>
      <c r="P588">
        <v>6</v>
      </c>
      <c r="Q588">
        <v>3</v>
      </c>
      <c r="R588">
        <v>973466</v>
      </c>
      <c r="S588">
        <f>Table1[[#This Row],[Revenue]]-Table1[[#This Row],[Operating_Costs]]</f>
        <v>300933</v>
      </c>
      <c r="T588">
        <v>672533</v>
      </c>
      <c r="U588">
        <v>36</v>
      </c>
      <c r="V588">
        <v>59</v>
      </c>
      <c r="W588">
        <v>9.1999999999999993</v>
      </c>
    </row>
    <row r="589" spans="1:23" x14ac:dyDescent="0.25">
      <c r="A589">
        <v>1</v>
      </c>
      <c r="B589" t="s">
        <v>32</v>
      </c>
      <c r="C589" s="1">
        <v>44583</v>
      </c>
      <c r="D589" t="s">
        <v>71</v>
      </c>
      <c r="E589">
        <v>0</v>
      </c>
      <c r="F589">
        <v>49</v>
      </c>
      <c r="G589" t="str">
        <f t="shared" si="17"/>
        <v>41-60</v>
      </c>
      <c r="H589" t="s">
        <v>35</v>
      </c>
      <c r="I589" t="s">
        <v>31</v>
      </c>
      <c r="J589" t="s">
        <v>28</v>
      </c>
      <c r="K589" t="s">
        <v>42</v>
      </c>
      <c r="L589">
        <v>1</v>
      </c>
      <c r="M589">
        <v>1</v>
      </c>
      <c r="N589">
        <v>4.5999999999999996</v>
      </c>
      <c r="O589">
        <v>9.3000000000000007</v>
      </c>
      <c r="P589">
        <v>3</v>
      </c>
      <c r="Q589">
        <v>5</v>
      </c>
      <c r="R589">
        <v>965516</v>
      </c>
      <c r="S589">
        <f>Table1[[#This Row],[Revenue]]-Table1[[#This Row],[Operating_Costs]]</f>
        <v>67307</v>
      </c>
      <c r="T589">
        <v>898209</v>
      </c>
      <c r="U589">
        <v>32</v>
      </c>
      <c r="V589">
        <v>64</v>
      </c>
      <c r="W589">
        <v>10.1</v>
      </c>
    </row>
    <row r="590" spans="1:23" x14ac:dyDescent="0.25">
      <c r="A590">
        <v>1</v>
      </c>
      <c r="B590" t="s">
        <v>32</v>
      </c>
      <c r="C590" s="1">
        <v>45558</v>
      </c>
      <c r="D590" t="s">
        <v>71</v>
      </c>
      <c r="E590">
        <v>0</v>
      </c>
      <c r="F590">
        <v>61</v>
      </c>
      <c r="G590" t="str">
        <f t="shared" si="17"/>
        <v>61-80</v>
      </c>
      <c r="H590" t="s">
        <v>35</v>
      </c>
      <c r="I590" t="s">
        <v>50</v>
      </c>
      <c r="J590" t="s">
        <v>51</v>
      </c>
      <c r="K590" t="s">
        <v>29</v>
      </c>
      <c r="L590">
        <v>1</v>
      </c>
      <c r="M590">
        <v>1</v>
      </c>
      <c r="N590">
        <v>4.8</v>
      </c>
      <c r="O590">
        <v>9.9</v>
      </c>
      <c r="P590">
        <v>3</v>
      </c>
      <c r="Q590">
        <v>5</v>
      </c>
      <c r="R590">
        <v>961387</v>
      </c>
      <c r="S590">
        <f>Table1[[#This Row],[Revenue]]-Table1[[#This Row],[Operating_Costs]]</f>
        <v>176250</v>
      </c>
      <c r="T590">
        <v>785137</v>
      </c>
      <c r="U590">
        <v>39</v>
      </c>
      <c r="V590">
        <v>61</v>
      </c>
      <c r="W590">
        <v>13.7</v>
      </c>
    </row>
    <row r="591" spans="1:23" x14ac:dyDescent="0.25">
      <c r="A591">
        <v>1</v>
      </c>
      <c r="B591" t="s">
        <v>32</v>
      </c>
      <c r="C591" s="1">
        <v>44843</v>
      </c>
      <c r="D591" t="s">
        <v>71</v>
      </c>
      <c r="E591">
        <v>0</v>
      </c>
      <c r="F591">
        <v>43</v>
      </c>
      <c r="G591" t="str">
        <f t="shared" si="17"/>
        <v>41-60</v>
      </c>
      <c r="H591" t="s">
        <v>23</v>
      </c>
      <c r="I591" t="s">
        <v>43</v>
      </c>
      <c r="J591" t="s">
        <v>25</v>
      </c>
      <c r="K591" t="s">
        <v>29</v>
      </c>
      <c r="L591">
        <v>1</v>
      </c>
      <c r="M591">
        <v>1</v>
      </c>
      <c r="N591">
        <v>4.5</v>
      </c>
      <c r="O591">
        <v>7</v>
      </c>
      <c r="P591">
        <v>4</v>
      </c>
      <c r="Q591">
        <v>4</v>
      </c>
      <c r="R591">
        <v>930884</v>
      </c>
      <c r="S591">
        <f>Table1[[#This Row],[Revenue]]-Table1[[#This Row],[Operating_Costs]]</f>
        <v>54523</v>
      </c>
      <c r="T591">
        <v>876361</v>
      </c>
      <c r="U591">
        <v>37</v>
      </c>
      <c r="V591">
        <v>63</v>
      </c>
      <c r="W591">
        <v>10.199999999999999</v>
      </c>
    </row>
    <row r="592" spans="1:23" x14ac:dyDescent="0.25">
      <c r="A592">
        <v>1</v>
      </c>
      <c r="B592" t="s">
        <v>32</v>
      </c>
      <c r="C592" s="1">
        <v>44640</v>
      </c>
      <c r="D592" t="s">
        <v>71</v>
      </c>
      <c r="E592">
        <v>0</v>
      </c>
      <c r="F592">
        <v>39</v>
      </c>
      <c r="G592" t="str">
        <f t="shared" si="17"/>
        <v>21-40</v>
      </c>
      <c r="H592" t="s">
        <v>23</v>
      </c>
      <c r="I592" t="s">
        <v>27</v>
      </c>
      <c r="J592" t="s">
        <v>28</v>
      </c>
      <c r="K592" t="s">
        <v>33</v>
      </c>
      <c r="L592">
        <v>1</v>
      </c>
      <c r="M592">
        <v>1</v>
      </c>
      <c r="N592">
        <v>1.6</v>
      </c>
      <c r="O592">
        <v>9.5</v>
      </c>
      <c r="P592">
        <v>6</v>
      </c>
      <c r="Q592">
        <v>5</v>
      </c>
      <c r="R592">
        <v>959181</v>
      </c>
      <c r="S592">
        <f>Table1[[#This Row],[Revenue]]-Table1[[#This Row],[Operating_Costs]]</f>
        <v>331329</v>
      </c>
      <c r="T592">
        <v>627852</v>
      </c>
      <c r="U592">
        <v>36</v>
      </c>
      <c r="V592">
        <v>56</v>
      </c>
      <c r="W592">
        <v>6.8</v>
      </c>
    </row>
    <row r="593" spans="1:23" x14ac:dyDescent="0.25">
      <c r="A593">
        <v>1</v>
      </c>
      <c r="B593" t="s">
        <v>32</v>
      </c>
      <c r="C593" s="1">
        <v>45212</v>
      </c>
      <c r="D593" t="s">
        <v>71</v>
      </c>
      <c r="E593">
        <v>0</v>
      </c>
      <c r="F593">
        <v>72</v>
      </c>
      <c r="G593" t="str">
        <f t="shared" si="17"/>
        <v>61-80</v>
      </c>
      <c r="H593" t="s">
        <v>23</v>
      </c>
      <c r="I593" t="s">
        <v>24</v>
      </c>
      <c r="J593" t="s">
        <v>25</v>
      </c>
      <c r="K593" t="s">
        <v>42</v>
      </c>
      <c r="L593">
        <v>1</v>
      </c>
      <c r="M593">
        <v>1</v>
      </c>
      <c r="N593">
        <v>1.5</v>
      </c>
      <c r="O593">
        <v>9.4</v>
      </c>
      <c r="P593">
        <v>6</v>
      </c>
      <c r="Q593">
        <v>3</v>
      </c>
      <c r="R593">
        <v>936334</v>
      </c>
      <c r="S593">
        <f>Table1[[#This Row],[Revenue]]-Table1[[#This Row],[Operating_Costs]]</f>
        <v>304572</v>
      </c>
      <c r="T593">
        <v>631762</v>
      </c>
      <c r="U593">
        <v>37</v>
      </c>
      <c r="V593">
        <v>58</v>
      </c>
      <c r="W593">
        <v>9.3000000000000007</v>
      </c>
    </row>
    <row r="594" spans="1:23" x14ac:dyDescent="0.25">
      <c r="A594">
        <v>1</v>
      </c>
      <c r="B594" t="s">
        <v>32</v>
      </c>
      <c r="C594" s="1">
        <v>45411</v>
      </c>
      <c r="D594" t="s">
        <v>71</v>
      </c>
      <c r="E594">
        <v>0</v>
      </c>
      <c r="F594">
        <v>49</v>
      </c>
      <c r="G594" t="str">
        <f t="shared" si="17"/>
        <v>41-60</v>
      </c>
      <c r="H594" t="s">
        <v>23</v>
      </c>
      <c r="I594" t="s">
        <v>31</v>
      </c>
      <c r="J594" t="s">
        <v>28</v>
      </c>
      <c r="K594" t="s">
        <v>42</v>
      </c>
      <c r="L594">
        <v>1</v>
      </c>
      <c r="M594">
        <v>1</v>
      </c>
      <c r="N594">
        <v>1.2</v>
      </c>
      <c r="O594">
        <v>8</v>
      </c>
      <c r="P594">
        <v>7</v>
      </c>
      <c r="Q594">
        <v>6</v>
      </c>
      <c r="R594">
        <v>936830</v>
      </c>
      <c r="S594">
        <f>Table1[[#This Row],[Revenue]]-Table1[[#This Row],[Operating_Costs]]</f>
        <v>164770</v>
      </c>
      <c r="T594">
        <v>772060</v>
      </c>
      <c r="U594">
        <v>34</v>
      </c>
      <c r="V594">
        <v>59</v>
      </c>
      <c r="W594">
        <v>10.8</v>
      </c>
    </row>
    <row r="595" spans="1:23" x14ac:dyDescent="0.25">
      <c r="A595">
        <v>1</v>
      </c>
      <c r="B595" t="s">
        <v>32</v>
      </c>
      <c r="C595" s="1">
        <v>45066</v>
      </c>
      <c r="D595" t="s">
        <v>71</v>
      </c>
      <c r="E595">
        <v>0</v>
      </c>
      <c r="F595">
        <v>47</v>
      </c>
      <c r="G595" t="str">
        <f t="shared" si="17"/>
        <v>41-60</v>
      </c>
      <c r="H595" t="s">
        <v>35</v>
      </c>
      <c r="I595" t="s">
        <v>58</v>
      </c>
      <c r="J595" t="s">
        <v>59</v>
      </c>
      <c r="K595" t="s">
        <v>29</v>
      </c>
      <c r="L595">
        <v>1</v>
      </c>
      <c r="M595">
        <v>1</v>
      </c>
      <c r="N595">
        <v>4</v>
      </c>
      <c r="O595">
        <v>8.1</v>
      </c>
      <c r="P595">
        <v>7</v>
      </c>
      <c r="Q595">
        <v>3</v>
      </c>
      <c r="R595">
        <v>948693</v>
      </c>
      <c r="S595">
        <f>Table1[[#This Row],[Revenue]]-Table1[[#This Row],[Operating_Costs]]</f>
        <v>109011</v>
      </c>
      <c r="T595">
        <v>839682</v>
      </c>
      <c r="U595">
        <v>34</v>
      </c>
      <c r="V595">
        <v>61</v>
      </c>
      <c r="W595">
        <v>5.2</v>
      </c>
    </row>
    <row r="596" spans="1:23" x14ac:dyDescent="0.25">
      <c r="A596">
        <v>1</v>
      </c>
      <c r="B596" t="s">
        <v>32</v>
      </c>
      <c r="C596" s="1">
        <v>44323</v>
      </c>
      <c r="D596" t="s">
        <v>71</v>
      </c>
      <c r="E596">
        <v>0</v>
      </c>
      <c r="F596">
        <v>36</v>
      </c>
      <c r="G596" t="str">
        <f t="shared" si="17"/>
        <v>21-40</v>
      </c>
      <c r="H596" t="s">
        <v>23</v>
      </c>
      <c r="I596" t="s">
        <v>40</v>
      </c>
      <c r="J596" t="s">
        <v>41</v>
      </c>
      <c r="K596" t="s">
        <v>26</v>
      </c>
      <c r="L596">
        <v>1</v>
      </c>
      <c r="M596">
        <v>1</v>
      </c>
      <c r="N596">
        <v>2.2999999999999998</v>
      </c>
      <c r="O596">
        <v>7.4</v>
      </c>
      <c r="P596">
        <v>7</v>
      </c>
      <c r="Q596">
        <v>5</v>
      </c>
      <c r="R596">
        <v>975583</v>
      </c>
      <c r="S596">
        <f>Table1[[#This Row],[Revenue]]-Table1[[#This Row],[Operating_Costs]]</f>
        <v>115904</v>
      </c>
      <c r="T596">
        <v>859679</v>
      </c>
      <c r="U596">
        <v>33</v>
      </c>
      <c r="V596">
        <v>60</v>
      </c>
      <c r="W596">
        <v>14.2</v>
      </c>
    </row>
    <row r="597" spans="1:23" x14ac:dyDescent="0.25">
      <c r="A597">
        <v>1</v>
      </c>
      <c r="B597" t="s">
        <v>32</v>
      </c>
      <c r="C597" s="1">
        <v>44865</v>
      </c>
      <c r="D597" t="s">
        <v>71</v>
      </c>
      <c r="E597">
        <v>0</v>
      </c>
      <c r="F597">
        <v>78</v>
      </c>
      <c r="G597" t="str">
        <f t="shared" si="17"/>
        <v>61-80</v>
      </c>
      <c r="H597" t="s">
        <v>23</v>
      </c>
      <c r="I597" t="s">
        <v>46</v>
      </c>
      <c r="J597" t="s">
        <v>47</v>
      </c>
      <c r="K597" t="s">
        <v>42</v>
      </c>
      <c r="L597">
        <v>1</v>
      </c>
      <c r="M597">
        <v>1</v>
      </c>
      <c r="N597">
        <v>4.3</v>
      </c>
      <c r="O597">
        <v>8.3000000000000007</v>
      </c>
      <c r="P597">
        <v>5</v>
      </c>
      <c r="Q597">
        <v>4</v>
      </c>
      <c r="R597">
        <v>997409</v>
      </c>
      <c r="S597">
        <f>Table1[[#This Row],[Revenue]]-Table1[[#This Row],[Operating_Costs]]</f>
        <v>367562</v>
      </c>
      <c r="T597">
        <v>629847</v>
      </c>
      <c r="U597">
        <v>35</v>
      </c>
      <c r="V597">
        <v>61</v>
      </c>
      <c r="W597">
        <v>7.4</v>
      </c>
    </row>
    <row r="598" spans="1:23" x14ac:dyDescent="0.25">
      <c r="A598">
        <v>1</v>
      </c>
      <c r="B598" t="s">
        <v>32</v>
      </c>
      <c r="C598" s="1">
        <v>45053</v>
      </c>
      <c r="D598" t="s">
        <v>71</v>
      </c>
      <c r="E598">
        <v>0</v>
      </c>
      <c r="F598">
        <v>43</v>
      </c>
      <c r="G598" t="str">
        <f t="shared" si="17"/>
        <v>41-60</v>
      </c>
      <c r="H598" t="s">
        <v>23</v>
      </c>
      <c r="I598" t="s">
        <v>43</v>
      </c>
      <c r="J598" t="s">
        <v>25</v>
      </c>
      <c r="K598" t="s">
        <v>29</v>
      </c>
      <c r="L598">
        <v>1</v>
      </c>
      <c r="M598">
        <v>1</v>
      </c>
      <c r="N598">
        <v>1</v>
      </c>
      <c r="O598">
        <v>8.5</v>
      </c>
      <c r="P598">
        <v>7</v>
      </c>
      <c r="Q598">
        <v>6</v>
      </c>
      <c r="R598">
        <v>938092</v>
      </c>
      <c r="S598">
        <f>Table1[[#This Row],[Revenue]]-Table1[[#This Row],[Operating_Costs]]</f>
        <v>46239</v>
      </c>
      <c r="T598">
        <v>891853</v>
      </c>
      <c r="U598">
        <v>30</v>
      </c>
      <c r="V598">
        <v>64</v>
      </c>
      <c r="W598">
        <v>7.8</v>
      </c>
    </row>
    <row r="599" spans="1:23" x14ac:dyDescent="0.25">
      <c r="A599">
        <v>1</v>
      </c>
      <c r="B599" t="s">
        <v>32</v>
      </c>
      <c r="C599" s="1">
        <v>45094</v>
      </c>
      <c r="D599" t="s">
        <v>71</v>
      </c>
      <c r="E599">
        <v>0</v>
      </c>
      <c r="F599">
        <v>31</v>
      </c>
      <c r="G599" t="str">
        <f t="shared" si="17"/>
        <v>21-40</v>
      </c>
      <c r="H599" t="s">
        <v>35</v>
      </c>
      <c r="I599" t="s">
        <v>36</v>
      </c>
      <c r="J599" t="s">
        <v>37</v>
      </c>
      <c r="K599" t="s">
        <v>42</v>
      </c>
      <c r="L599">
        <v>1</v>
      </c>
      <c r="M599">
        <v>1</v>
      </c>
      <c r="N599">
        <v>6.5</v>
      </c>
      <c r="O599">
        <v>8.6999999999999993</v>
      </c>
      <c r="P599">
        <v>6</v>
      </c>
      <c r="Q599">
        <v>5</v>
      </c>
      <c r="R599">
        <v>910098</v>
      </c>
      <c r="S599">
        <f>Table1[[#This Row],[Revenue]]-Table1[[#This Row],[Operating_Costs]]</f>
        <v>112124</v>
      </c>
      <c r="T599">
        <v>797974</v>
      </c>
      <c r="U599">
        <v>36</v>
      </c>
      <c r="V599">
        <v>60</v>
      </c>
      <c r="W599">
        <v>12.8</v>
      </c>
    </row>
    <row r="600" spans="1:23" x14ac:dyDescent="0.25">
      <c r="A600">
        <v>1</v>
      </c>
      <c r="B600" t="s">
        <v>32</v>
      </c>
      <c r="C600" s="1">
        <v>45414</v>
      </c>
      <c r="D600" t="s">
        <v>71</v>
      </c>
      <c r="E600">
        <v>0</v>
      </c>
      <c r="F600">
        <v>60</v>
      </c>
      <c r="G600" t="str">
        <f t="shared" si="17"/>
        <v>41-60</v>
      </c>
      <c r="H600" t="s">
        <v>23</v>
      </c>
      <c r="I600" t="s">
        <v>50</v>
      </c>
      <c r="J600" t="s">
        <v>51</v>
      </c>
      <c r="K600" t="s">
        <v>26</v>
      </c>
      <c r="L600">
        <v>1</v>
      </c>
      <c r="M600">
        <v>1</v>
      </c>
      <c r="N600">
        <v>2.2999999999999998</v>
      </c>
      <c r="O600">
        <v>7.1</v>
      </c>
      <c r="P600">
        <v>5</v>
      </c>
      <c r="Q600">
        <v>5</v>
      </c>
      <c r="R600">
        <v>912537</v>
      </c>
      <c r="S600">
        <f>Table1[[#This Row],[Revenue]]-Table1[[#This Row],[Operating_Costs]]</f>
        <v>117955</v>
      </c>
      <c r="T600">
        <v>794582</v>
      </c>
      <c r="U600">
        <v>31</v>
      </c>
      <c r="V600">
        <v>56</v>
      </c>
      <c r="W600">
        <v>13.8</v>
      </c>
    </row>
    <row r="601" spans="1:23" x14ac:dyDescent="0.25">
      <c r="A601">
        <v>1</v>
      </c>
      <c r="B601" t="s">
        <v>32</v>
      </c>
      <c r="C601" s="1">
        <v>44476</v>
      </c>
      <c r="D601" t="s">
        <v>71</v>
      </c>
      <c r="E601">
        <v>0</v>
      </c>
      <c r="F601">
        <v>76</v>
      </c>
      <c r="G601" t="str">
        <f t="shared" si="17"/>
        <v>61-80</v>
      </c>
      <c r="H601" t="s">
        <v>23</v>
      </c>
      <c r="I601" t="s">
        <v>31</v>
      </c>
      <c r="J601" t="s">
        <v>28</v>
      </c>
      <c r="K601" t="s">
        <v>38</v>
      </c>
      <c r="L601">
        <v>1</v>
      </c>
      <c r="M601">
        <v>1</v>
      </c>
      <c r="N601">
        <v>5.7</v>
      </c>
      <c r="O601">
        <v>9.6999999999999993</v>
      </c>
      <c r="P601">
        <v>5</v>
      </c>
      <c r="Q601">
        <v>5</v>
      </c>
      <c r="R601">
        <v>913958</v>
      </c>
      <c r="S601">
        <f>Table1[[#This Row],[Revenue]]-Table1[[#This Row],[Operating_Costs]]</f>
        <v>161946</v>
      </c>
      <c r="T601">
        <v>752012</v>
      </c>
      <c r="U601">
        <v>37</v>
      </c>
      <c r="V601">
        <v>65</v>
      </c>
      <c r="W601">
        <v>8.3000000000000007</v>
      </c>
    </row>
    <row r="602" spans="1:23" x14ac:dyDescent="0.25">
      <c r="A602">
        <v>1</v>
      </c>
      <c r="B602" t="s">
        <v>32</v>
      </c>
      <c r="C602" s="1">
        <v>44678</v>
      </c>
      <c r="D602" t="s">
        <v>71</v>
      </c>
      <c r="E602">
        <v>0</v>
      </c>
      <c r="F602">
        <v>80</v>
      </c>
      <c r="G602" t="str">
        <f t="shared" si="17"/>
        <v>61-80</v>
      </c>
      <c r="H602" t="s">
        <v>35</v>
      </c>
      <c r="I602" t="s">
        <v>61</v>
      </c>
      <c r="J602" t="s">
        <v>62</v>
      </c>
      <c r="K602" t="s">
        <v>29</v>
      </c>
      <c r="L602">
        <v>1</v>
      </c>
      <c r="M602">
        <v>1</v>
      </c>
      <c r="N602">
        <v>3.2</v>
      </c>
      <c r="O602">
        <v>8.6999999999999993</v>
      </c>
      <c r="P602">
        <v>6</v>
      </c>
      <c r="Q602">
        <v>5</v>
      </c>
      <c r="R602">
        <v>946272</v>
      </c>
      <c r="S602">
        <f>Table1[[#This Row],[Revenue]]-Table1[[#This Row],[Operating_Costs]]</f>
        <v>316031</v>
      </c>
      <c r="T602">
        <v>630241</v>
      </c>
      <c r="U602">
        <v>38</v>
      </c>
      <c r="V602">
        <v>55</v>
      </c>
      <c r="W602">
        <v>8.5</v>
      </c>
    </row>
    <row r="603" spans="1:23" x14ac:dyDescent="0.25">
      <c r="A603">
        <v>1</v>
      </c>
      <c r="B603" t="s">
        <v>32</v>
      </c>
      <c r="C603" s="1">
        <v>45222</v>
      </c>
      <c r="D603" t="s">
        <v>71</v>
      </c>
      <c r="E603">
        <v>0</v>
      </c>
      <c r="F603">
        <v>23</v>
      </c>
      <c r="G603" t="str">
        <f t="shared" si="17"/>
        <v>21-40</v>
      </c>
      <c r="H603" t="s">
        <v>23</v>
      </c>
      <c r="I603" t="s">
        <v>31</v>
      </c>
      <c r="J603" t="s">
        <v>28</v>
      </c>
      <c r="K603" t="s">
        <v>29</v>
      </c>
      <c r="L603">
        <v>1</v>
      </c>
      <c r="M603">
        <v>1</v>
      </c>
      <c r="N603">
        <v>3.8</v>
      </c>
      <c r="O603">
        <v>9.6</v>
      </c>
      <c r="P603">
        <v>6</v>
      </c>
      <c r="Q603">
        <v>7</v>
      </c>
      <c r="R603">
        <v>960471</v>
      </c>
      <c r="S603">
        <f>Table1[[#This Row],[Revenue]]-Table1[[#This Row],[Operating_Costs]]</f>
        <v>91374</v>
      </c>
      <c r="T603">
        <v>869097</v>
      </c>
      <c r="U603">
        <v>39</v>
      </c>
      <c r="V603">
        <v>65</v>
      </c>
      <c r="W603">
        <v>12.8</v>
      </c>
    </row>
    <row r="604" spans="1:23" x14ac:dyDescent="0.25">
      <c r="A604">
        <v>1</v>
      </c>
      <c r="B604" t="s">
        <v>32</v>
      </c>
      <c r="C604" s="1">
        <v>44489</v>
      </c>
      <c r="D604" t="s">
        <v>71</v>
      </c>
      <c r="E604">
        <v>0</v>
      </c>
      <c r="F604">
        <v>27</v>
      </c>
      <c r="G604" t="str">
        <f t="shared" si="17"/>
        <v>21-40</v>
      </c>
      <c r="H604" t="s">
        <v>35</v>
      </c>
      <c r="I604" t="s">
        <v>53</v>
      </c>
      <c r="J604" t="s">
        <v>54</v>
      </c>
      <c r="K604" t="s">
        <v>38</v>
      </c>
      <c r="L604">
        <v>1</v>
      </c>
      <c r="M604">
        <v>1</v>
      </c>
      <c r="N604">
        <v>2.9</v>
      </c>
      <c r="O604">
        <v>7.3</v>
      </c>
      <c r="P604">
        <v>7</v>
      </c>
      <c r="Q604">
        <v>7</v>
      </c>
      <c r="R604">
        <v>932259</v>
      </c>
      <c r="S604">
        <f>Table1[[#This Row],[Revenue]]-Table1[[#This Row],[Operating_Costs]]</f>
        <v>253788</v>
      </c>
      <c r="T604">
        <v>678471</v>
      </c>
      <c r="U604">
        <v>36</v>
      </c>
      <c r="V604">
        <v>56</v>
      </c>
      <c r="W604">
        <v>14</v>
      </c>
    </row>
    <row r="605" spans="1:23" x14ac:dyDescent="0.25">
      <c r="A605">
        <v>1</v>
      </c>
      <c r="B605" t="s">
        <v>32</v>
      </c>
      <c r="C605" s="1">
        <v>44837</v>
      </c>
      <c r="D605" t="s">
        <v>71</v>
      </c>
      <c r="E605">
        <v>0</v>
      </c>
      <c r="F605">
        <v>31</v>
      </c>
      <c r="G605" t="str">
        <f t="shared" si="17"/>
        <v>21-40</v>
      </c>
      <c r="H605" t="s">
        <v>35</v>
      </c>
      <c r="I605" t="s">
        <v>64</v>
      </c>
      <c r="J605" t="s">
        <v>65</v>
      </c>
      <c r="K605" t="s">
        <v>29</v>
      </c>
      <c r="L605">
        <v>1</v>
      </c>
      <c r="M605">
        <v>1</v>
      </c>
      <c r="N605">
        <v>1.9</v>
      </c>
      <c r="O605">
        <v>7.5</v>
      </c>
      <c r="P605">
        <v>7</v>
      </c>
      <c r="Q605">
        <v>3</v>
      </c>
      <c r="R605">
        <v>995787</v>
      </c>
      <c r="S605">
        <f>Table1[[#This Row],[Revenue]]-Table1[[#This Row],[Operating_Costs]]</f>
        <v>349286</v>
      </c>
      <c r="T605">
        <v>646501</v>
      </c>
      <c r="U605">
        <v>38</v>
      </c>
      <c r="V605">
        <v>59</v>
      </c>
      <c r="W605">
        <v>36.6</v>
      </c>
    </row>
    <row r="606" spans="1:23" x14ac:dyDescent="0.25">
      <c r="A606">
        <v>1</v>
      </c>
      <c r="B606" t="s">
        <v>32</v>
      </c>
      <c r="C606" s="1">
        <v>44523</v>
      </c>
      <c r="D606" t="s">
        <v>71</v>
      </c>
      <c r="E606">
        <v>0</v>
      </c>
      <c r="F606">
        <v>84</v>
      </c>
      <c r="G606" t="str">
        <f t="shared" si="17"/>
        <v>81+</v>
      </c>
      <c r="H606" t="s">
        <v>23</v>
      </c>
      <c r="I606" t="s">
        <v>24</v>
      </c>
      <c r="J606" t="s">
        <v>25</v>
      </c>
      <c r="K606" t="s">
        <v>29</v>
      </c>
      <c r="L606">
        <v>1</v>
      </c>
      <c r="M606">
        <v>1</v>
      </c>
      <c r="N606">
        <v>4.7</v>
      </c>
      <c r="O606">
        <v>9</v>
      </c>
      <c r="P606">
        <v>7</v>
      </c>
      <c r="Q606">
        <v>3</v>
      </c>
      <c r="R606">
        <v>955408</v>
      </c>
      <c r="S606">
        <f>Table1[[#This Row],[Revenue]]-Table1[[#This Row],[Operating_Costs]]</f>
        <v>198758</v>
      </c>
      <c r="T606">
        <v>756650</v>
      </c>
      <c r="U606">
        <v>32</v>
      </c>
      <c r="V606">
        <v>54</v>
      </c>
      <c r="W606">
        <v>6.2</v>
      </c>
    </row>
    <row r="607" spans="1:23" x14ac:dyDescent="0.25">
      <c r="A607">
        <v>1</v>
      </c>
      <c r="B607" t="s">
        <v>32</v>
      </c>
      <c r="C607" s="1">
        <v>45499</v>
      </c>
      <c r="D607" t="s">
        <v>71</v>
      </c>
      <c r="E607">
        <v>0</v>
      </c>
      <c r="F607">
        <v>78</v>
      </c>
      <c r="G607" t="str">
        <f t="shared" si="17"/>
        <v>61-80</v>
      </c>
      <c r="H607" t="s">
        <v>35</v>
      </c>
      <c r="I607" t="s">
        <v>61</v>
      </c>
      <c r="J607" t="s">
        <v>62</v>
      </c>
      <c r="K607" t="s">
        <v>29</v>
      </c>
      <c r="L607">
        <v>1</v>
      </c>
      <c r="M607">
        <v>1</v>
      </c>
      <c r="N607">
        <v>1.9</v>
      </c>
      <c r="O607">
        <v>8.4</v>
      </c>
      <c r="P607">
        <v>3</v>
      </c>
      <c r="Q607">
        <v>6</v>
      </c>
      <c r="R607">
        <v>989383</v>
      </c>
      <c r="S607">
        <f>Table1[[#This Row],[Revenue]]-Table1[[#This Row],[Operating_Costs]]</f>
        <v>120213</v>
      </c>
      <c r="T607">
        <v>869170</v>
      </c>
      <c r="U607">
        <v>40</v>
      </c>
      <c r="V607">
        <v>60</v>
      </c>
      <c r="W607">
        <v>9.1999999999999993</v>
      </c>
    </row>
    <row r="608" spans="1:23" x14ac:dyDescent="0.25">
      <c r="A608">
        <v>1</v>
      </c>
      <c r="B608" t="s">
        <v>32</v>
      </c>
      <c r="C608" s="1">
        <v>45100</v>
      </c>
      <c r="D608" t="s">
        <v>71</v>
      </c>
      <c r="E608">
        <v>0</v>
      </c>
      <c r="F608">
        <v>80</v>
      </c>
      <c r="G608" t="str">
        <f t="shared" si="17"/>
        <v>61-80</v>
      </c>
      <c r="H608" t="s">
        <v>23</v>
      </c>
      <c r="I608" t="s">
        <v>64</v>
      </c>
      <c r="J608" t="s">
        <v>65</v>
      </c>
      <c r="K608" t="s">
        <v>42</v>
      </c>
      <c r="L608">
        <v>1</v>
      </c>
      <c r="M608">
        <v>1</v>
      </c>
      <c r="N608">
        <v>2.1</v>
      </c>
      <c r="O608">
        <v>7.4</v>
      </c>
      <c r="P608">
        <v>3</v>
      </c>
      <c r="Q608">
        <v>3</v>
      </c>
      <c r="R608">
        <v>964988</v>
      </c>
      <c r="S608">
        <f>Table1[[#This Row],[Revenue]]-Table1[[#This Row],[Operating_Costs]]</f>
        <v>156490</v>
      </c>
      <c r="T608">
        <v>808498</v>
      </c>
      <c r="U608">
        <v>31</v>
      </c>
      <c r="V608">
        <v>56</v>
      </c>
      <c r="W608">
        <v>12.3</v>
      </c>
    </row>
    <row r="609" spans="1:23" x14ac:dyDescent="0.25">
      <c r="A609">
        <v>1</v>
      </c>
      <c r="B609" t="s">
        <v>32</v>
      </c>
      <c r="C609" s="1">
        <v>45421</v>
      </c>
      <c r="D609" t="s">
        <v>71</v>
      </c>
      <c r="E609">
        <v>0</v>
      </c>
      <c r="F609">
        <v>87</v>
      </c>
      <c r="G609" t="str">
        <f t="shared" si="17"/>
        <v>81+</v>
      </c>
      <c r="H609" t="s">
        <v>23</v>
      </c>
      <c r="I609" t="s">
        <v>24</v>
      </c>
      <c r="J609" t="s">
        <v>25</v>
      </c>
      <c r="K609" t="s">
        <v>38</v>
      </c>
      <c r="L609">
        <v>1</v>
      </c>
      <c r="M609">
        <v>1</v>
      </c>
      <c r="N609">
        <v>5.8</v>
      </c>
      <c r="O609">
        <v>8.1</v>
      </c>
      <c r="P609">
        <v>5</v>
      </c>
      <c r="Q609">
        <v>3</v>
      </c>
      <c r="R609">
        <v>959583</v>
      </c>
      <c r="S609">
        <f>Table1[[#This Row],[Revenue]]-Table1[[#This Row],[Operating_Costs]]</f>
        <v>227700</v>
      </c>
      <c r="T609">
        <v>731883</v>
      </c>
      <c r="U609">
        <v>39</v>
      </c>
      <c r="V609">
        <v>58</v>
      </c>
      <c r="W609">
        <v>9.5</v>
      </c>
    </row>
    <row r="610" spans="1:23" x14ac:dyDescent="0.25">
      <c r="A610">
        <v>1</v>
      </c>
      <c r="B610" t="s">
        <v>32</v>
      </c>
      <c r="C610" s="1">
        <v>44386</v>
      </c>
      <c r="D610" t="s">
        <v>71</v>
      </c>
      <c r="E610">
        <v>0</v>
      </c>
      <c r="F610">
        <v>29</v>
      </c>
      <c r="G610" t="str">
        <f t="shared" si="17"/>
        <v>21-40</v>
      </c>
      <c r="H610" t="s">
        <v>35</v>
      </c>
      <c r="I610" t="s">
        <v>64</v>
      </c>
      <c r="J610" t="s">
        <v>65</v>
      </c>
      <c r="K610" t="s">
        <v>33</v>
      </c>
      <c r="L610">
        <v>1</v>
      </c>
      <c r="M610">
        <v>1</v>
      </c>
      <c r="N610">
        <v>5.5</v>
      </c>
      <c r="O610">
        <v>9.6999999999999993</v>
      </c>
      <c r="P610">
        <v>3</v>
      </c>
      <c r="Q610">
        <v>4</v>
      </c>
      <c r="R610">
        <v>954227</v>
      </c>
      <c r="S610">
        <f>Table1[[#This Row],[Revenue]]-Table1[[#This Row],[Operating_Costs]]</f>
        <v>328557</v>
      </c>
      <c r="T610">
        <v>625670</v>
      </c>
      <c r="U610">
        <v>37</v>
      </c>
      <c r="V610">
        <v>59</v>
      </c>
      <c r="W610">
        <v>8.1</v>
      </c>
    </row>
    <row r="611" spans="1:23" x14ac:dyDescent="0.25">
      <c r="A611">
        <v>1</v>
      </c>
      <c r="B611" t="s">
        <v>32</v>
      </c>
      <c r="C611" s="1">
        <v>45489</v>
      </c>
      <c r="D611" t="s">
        <v>71</v>
      </c>
      <c r="E611">
        <v>0</v>
      </c>
      <c r="F611">
        <v>63</v>
      </c>
      <c r="G611" t="str">
        <f t="shared" si="17"/>
        <v>61-80</v>
      </c>
      <c r="H611" t="s">
        <v>35</v>
      </c>
      <c r="I611" t="s">
        <v>36</v>
      </c>
      <c r="J611" t="s">
        <v>37</v>
      </c>
      <c r="K611" t="s">
        <v>38</v>
      </c>
      <c r="L611">
        <v>1</v>
      </c>
      <c r="M611">
        <v>1</v>
      </c>
      <c r="N611">
        <v>4</v>
      </c>
      <c r="O611">
        <v>9.8000000000000007</v>
      </c>
      <c r="P611">
        <v>5</v>
      </c>
      <c r="Q611">
        <v>5</v>
      </c>
      <c r="R611">
        <v>948294</v>
      </c>
      <c r="S611">
        <f>Table1[[#This Row],[Revenue]]-Table1[[#This Row],[Operating_Costs]]</f>
        <v>79510</v>
      </c>
      <c r="T611">
        <v>868784</v>
      </c>
      <c r="U611">
        <v>36</v>
      </c>
      <c r="V611">
        <v>56</v>
      </c>
      <c r="W611">
        <v>10.9</v>
      </c>
    </row>
    <row r="612" spans="1:23" x14ac:dyDescent="0.25">
      <c r="A612">
        <v>1</v>
      </c>
      <c r="B612" t="s">
        <v>32</v>
      </c>
      <c r="C612" s="1">
        <v>45581</v>
      </c>
      <c r="D612" t="s">
        <v>71</v>
      </c>
      <c r="E612">
        <v>0</v>
      </c>
      <c r="F612">
        <v>51</v>
      </c>
      <c r="G612" t="str">
        <f t="shared" si="17"/>
        <v>41-60</v>
      </c>
      <c r="H612" t="s">
        <v>35</v>
      </c>
      <c r="I612" t="s">
        <v>55</v>
      </c>
      <c r="J612" t="s">
        <v>56</v>
      </c>
      <c r="K612" t="s">
        <v>29</v>
      </c>
      <c r="L612">
        <v>1</v>
      </c>
      <c r="M612">
        <v>1</v>
      </c>
      <c r="N612">
        <v>3.7</v>
      </c>
      <c r="O612">
        <v>9</v>
      </c>
      <c r="P612">
        <v>5</v>
      </c>
      <c r="Q612">
        <v>6</v>
      </c>
      <c r="R612">
        <v>948835</v>
      </c>
      <c r="S612">
        <f>Table1[[#This Row],[Revenue]]-Table1[[#This Row],[Operating_Costs]]</f>
        <v>344961</v>
      </c>
      <c r="T612">
        <v>603874</v>
      </c>
      <c r="U612">
        <v>38</v>
      </c>
      <c r="V612">
        <v>63</v>
      </c>
      <c r="W612">
        <v>8.1</v>
      </c>
    </row>
    <row r="613" spans="1:23" x14ac:dyDescent="0.25">
      <c r="A613">
        <v>1</v>
      </c>
      <c r="B613" t="s">
        <v>32</v>
      </c>
      <c r="C613" s="1">
        <v>45181</v>
      </c>
      <c r="D613" t="s">
        <v>71</v>
      </c>
      <c r="E613">
        <v>0</v>
      </c>
      <c r="F613">
        <v>25</v>
      </c>
      <c r="G613" t="str">
        <f t="shared" si="17"/>
        <v>21-40</v>
      </c>
      <c r="H613" t="s">
        <v>23</v>
      </c>
      <c r="I613" t="s">
        <v>24</v>
      </c>
      <c r="J613" t="s">
        <v>25</v>
      </c>
      <c r="K613" t="s">
        <v>42</v>
      </c>
      <c r="L613">
        <v>1</v>
      </c>
      <c r="M613">
        <v>1</v>
      </c>
      <c r="N613">
        <v>4</v>
      </c>
      <c r="O613">
        <v>8.8000000000000007</v>
      </c>
      <c r="P613">
        <v>7</v>
      </c>
      <c r="Q613">
        <v>4</v>
      </c>
      <c r="R613">
        <v>943276</v>
      </c>
      <c r="S613">
        <f>Table1[[#This Row],[Revenue]]-Table1[[#This Row],[Operating_Costs]]</f>
        <v>257458</v>
      </c>
      <c r="T613">
        <v>685818</v>
      </c>
      <c r="U613">
        <v>38</v>
      </c>
      <c r="V613">
        <v>58</v>
      </c>
      <c r="W613">
        <v>7.7</v>
      </c>
    </row>
    <row r="614" spans="1:23" x14ac:dyDescent="0.25">
      <c r="A614">
        <v>1</v>
      </c>
      <c r="B614" t="s">
        <v>32</v>
      </c>
      <c r="C614" s="1">
        <v>44763</v>
      </c>
      <c r="D614" t="s">
        <v>71</v>
      </c>
      <c r="E614">
        <v>0</v>
      </c>
      <c r="F614">
        <v>42</v>
      </c>
      <c r="G614" t="str">
        <f t="shared" si="17"/>
        <v>41-60</v>
      </c>
      <c r="H614" t="s">
        <v>23</v>
      </c>
      <c r="I614" t="s">
        <v>31</v>
      </c>
      <c r="J614" t="s">
        <v>28</v>
      </c>
      <c r="K614" t="s">
        <v>26</v>
      </c>
      <c r="L614">
        <v>1</v>
      </c>
      <c r="M614">
        <v>1</v>
      </c>
      <c r="N614">
        <v>3.4</v>
      </c>
      <c r="O614">
        <v>8.5</v>
      </c>
      <c r="P614">
        <v>7</v>
      </c>
      <c r="Q614">
        <v>4</v>
      </c>
      <c r="R614">
        <v>985617</v>
      </c>
      <c r="S614">
        <f>Table1[[#This Row],[Revenue]]-Table1[[#This Row],[Operating_Costs]]</f>
        <v>334881</v>
      </c>
      <c r="T614">
        <v>650736</v>
      </c>
      <c r="U614">
        <v>32</v>
      </c>
      <c r="V614">
        <v>59</v>
      </c>
      <c r="W614">
        <v>13.9</v>
      </c>
    </row>
    <row r="615" spans="1:23" x14ac:dyDescent="0.25">
      <c r="A615">
        <v>1</v>
      </c>
      <c r="B615" t="s">
        <v>32</v>
      </c>
      <c r="C615" s="1">
        <v>44995</v>
      </c>
      <c r="D615" t="s">
        <v>71</v>
      </c>
      <c r="E615">
        <v>0</v>
      </c>
      <c r="F615">
        <v>59</v>
      </c>
      <c r="G615" t="str">
        <f t="shared" si="17"/>
        <v>41-60</v>
      </c>
      <c r="H615" t="s">
        <v>35</v>
      </c>
      <c r="I615" t="s">
        <v>31</v>
      </c>
      <c r="J615" t="s">
        <v>28</v>
      </c>
      <c r="K615" t="s">
        <v>26</v>
      </c>
      <c r="L615">
        <v>1</v>
      </c>
      <c r="M615">
        <v>1</v>
      </c>
      <c r="N615">
        <v>3.5</v>
      </c>
      <c r="O615">
        <v>8.1</v>
      </c>
      <c r="P615">
        <v>3</v>
      </c>
      <c r="Q615">
        <v>6</v>
      </c>
      <c r="R615">
        <v>987802</v>
      </c>
      <c r="S615">
        <f>Table1[[#This Row],[Revenue]]-Table1[[#This Row],[Operating_Costs]]</f>
        <v>129973</v>
      </c>
      <c r="T615">
        <v>857829</v>
      </c>
      <c r="U615">
        <v>33</v>
      </c>
      <c r="V615">
        <v>54</v>
      </c>
      <c r="W615">
        <v>36</v>
      </c>
    </row>
    <row r="616" spans="1:23" x14ac:dyDescent="0.25">
      <c r="A616">
        <v>1</v>
      </c>
      <c r="B616" t="s">
        <v>32</v>
      </c>
      <c r="C616" s="1">
        <v>44385</v>
      </c>
      <c r="D616" t="s">
        <v>71</v>
      </c>
      <c r="E616">
        <v>0</v>
      </c>
      <c r="F616">
        <v>49</v>
      </c>
      <c r="G616" t="str">
        <f t="shared" si="17"/>
        <v>41-60</v>
      </c>
      <c r="H616" t="s">
        <v>35</v>
      </c>
      <c r="I616" t="s">
        <v>60</v>
      </c>
      <c r="J616" t="s">
        <v>59</v>
      </c>
      <c r="K616" t="s">
        <v>38</v>
      </c>
      <c r="L616">
        <v>1</v>
      </c>
      <c r="M616">
        <v>1</v>
      </c>
      <c r="N616">
        <v>5.8</v>
      </c>
      <c r="O616">
        <v>10</v>
      </c>
      <c r="P616">
        <v>3</v>
      </c>
      <c r="Q616">
        <v>5</v>
      </c>
      <c r="R616">
        <v>949199</v>
      </c>
      <c r="S616">
        <f>Table1[[#This Row],[Revenue]]-Table1[[#This Row],[Operating_Costs]]</f>
        <v>164709</v>
      </c>
      <c r="T616">
        <v>784490</v>
      </c>
      <c r="U616">
        <v>37</v>
      </c>
      <c r="V616">
        <v>58</v>
      </c>
      <c r="W616">
        <v>9.4</v>
      </c>
    </row>
    <row r="617" spans="1:23" x14ac:dyDescent="0.25">
      <c r="A617">
        <v>1</v>
      </c>
      <c r="B617" t="s">
        <v>32</v>
      </c>
      <c r="C617" s="1">
        <v>44514</v>
      </c>
      <c r="D617" t="s">
        <v>71</v>
      </c>
      <c r="E617">
        <v>0</v>
      </c>
      <c r="F617">
        <v>54</v>
      </c>
      <c r="G617" t="str">
        <f t="shared" si="17"/>
        <v>41-60</v>
      </c>
      <c r="H617" t="s">
        <v>23</v>
      </c>
      <c r="I617" t="s">
        <v>31</v>
      </c>
      <c r="J617" t="s">
        <v>28</v>
      </c>
      <c r="K617" t="s">
        <v>42</v>
      </c>
      <c r="L617">
        <v>1</v>
      </c>
      <c r="M617">
        <v>1</v>
      </c>
      <c r="N617">
        <v>2.2999999999999998</v>
      </c>
      <c r="O617">
        <v>8.3000000000000007</v>
      </c>
      <c r="P617">
        <v>5</v>
      </c>
      <c r="Q617">
        <v>4</v>
      </c>
      <c r="R617">
        <v>964129</v>
      </c>
      <c r="S617">
        <f>Table1[[#This Row],[Revenue]]-Table1[[#This Row],[Operating_Costs]]</f>
        <v>359324</v>
      </c>
      <c r="T617">
        <v>604805</v>
      </c>
      <c r="U617">
        <v>33</v>
      </c>
      <c r="V617">
        <v>60</v>
      </c>
      <c r="W617">
        <v>36.9</v>
      </c>
    </row>
    <row r="618" spans="1:23" x14ac:dyDescent="0.25">
      <c r="A618">
        <v>1</v>
      </c>
      <c r="B618" t="s">
        <v>32</v>
      </c>
      <c r="C618" s="1">
        <v>44226</v>
      </c>
      <c r="D618" t="s">
        <v>71</v>
      </c>
      <c r="E618">
        <v>0</v>
      </c>
      <c r="F618">
        <v>62</v>
      </c>
      <c r="G618" t="str">
        <f t="shared" si="17"/>
        <v>61-80</v>
      </c>
      <c r="H618" t="s">
        <v>23</v>
      </c>
      <c r="I618" t="s">
        <v>58</v>
      </c>
      <c r="J618" t="s">
        <v>59</v>
      </c>
      <c r="K618" t="s">
        <v>33</v>
      </c>
      <c r="L618">
        <v>1</v>
      </c>
      <c r="M618">
        <v>1</v>
      </c>
      <c r="N618">
        <v>4</v>
      </c>
      <c r="O618">
        <v>9.1999999999999993</v>
      </c>
      <c r="P618">
        <v>5</v>
      </c>
      <c r="Q618">
        <v>4</v>
      </c>
      <c r="R618">
        <v>952266</v>
      </c>
      <c r="S618">
        <f>Table1[[#This Row],[Revenue]]-Table1[[#This Row],[Operating_Costs]]</f>
        <v>329141</v>
      </c>
      <c r="T618">
        <v>623125</v>
      </c>
      <c r="U618">
        <v>33</v>
      </c>
      <c r="V618">
        <v>60</v>
      </c>
      <c r="W618">
        <v>13.7</v>
      </c>
    </row>
    <row r="619" spans="1:23" x14ac:dyDescent="0.25">
      <c r="A619">
        <v>1</v>
      </c>
      <c r="B619" t="s">
        <v>32</v>
      </c>
      <c r="C619" s="1">
        <v>44337</v>
      </c>
      <c r="D619" t="s">
        <v>71</v>
      </c>
      <c r="E619">
        <v>0</v>
      </c>
      <c r="F619">
        <v>55</v>
      </c>
      <c r="G619" t="str">
        <f t="shared" si="17"/>
        <v>41-60</v>
      </c>
      <c r="H619" t="s">
        <v>23</v>
      </c>
      <c r="I619" t="s">
        <v>27</v>
      </c>
      <c r="J619" t="s">
        <v>28</v>
      </c>
      <c r="K619" t="s">
        <v>29</v>
      </c>
      <c r="L619">
        <v>1</v>
      </c>
      <c r="M619">
        <v>1</v>
      </c>
      <c r="N619">
        <v>1.6</v>
      </c>
      <c r="O619">
        <v>10</v>
      </c>
      <c r="P619">
        <v>7</v>
      </c>
      <c r="Q619">
        <v>6</v>
      </c>
      <c r="R619">
        <v>984200</v>
      </c>
      <c r="S619">
        <f>Table1[[#This Row],[Revenue]]-Table1[[#This Row],[Operating_Costs]]</f>
        <v>309112</v>
      </c>
      <c r="T619">
        <v>675088</v>
      </c>
      <c r="U619">
        <v>40</v>
      </c>
      <c r="V619">
        <v>55</v>
      </c>
      <c r="W619">
        <v>9.4</v>
      </c>
    </row>
    <row r="620" spans="1:23" x14ac:dyDescent="0.25">
      <c r="A620">
        <v>1</v>
      </c>
      <c r="B620" t="s">
        <v>32</v>
      </c>
      <c r="C620" s="1">
        <v>45140</v>
      </c>
      <c r="D620" t="s">
        <v>71</v>
      </c>
      <c r="E620">
        <v>0</v>
      </c>
      <c r="F620">
        <v>52</v>
      </c>
      <c r="G620" t="str">
        <f t="shared" si="17"/>
        <v>41-60</v>
      </c>
      <c r="H620" t="s">
        <v>35</v>
      </c>
      <c r="I620" t="s">
        <v>61</v>
      </c>
      <c r="J620" t="s">
        <v>62</v>
      </c>
      <c r="K620" t="s">
        <v>42</v>
      </c>
      <c r="L620">
        <v>1</v>
      </c>
      <c r="M620">
        <v>1</v>
      </c>
      <c r="N620">
        <v>4.9000000000000004</v>
      </c>
      <c r="O620">
        <v>8.3000000000000007</v>
      </c>
      <c r="P620">
        <v>5</v>
      </c>
      <c r="Q620">
        <v>3</v>
      </c>
      <c r="R620">
        <v>925205</v>
      </c>
      <c r="S620">
        <f>Table1[[#This Row],[Revenue]]-Table1[[#This Row],[Operating_Costs]]</f>
        <v>203808</v>
      </c>
      <c r="T620">
        <v>721397</v>
      </c>
      <c r="U620">
        <v>37</v>
      </c>
      <c r="V620">
        <v>62</v>
      </c>
      <c r="W620">
        <v>14.2</v>
      </c>
    </row>
    <row r="621" spans="1:23" x14ac:dyDescent="0.25">
      <c r="A621">
        <v>1</v>
      </c>
      <c r="B621" t="s">
        <v>32</v>
      </c>
      <c r="C621" s="1">
        <v>45281</v>
      </c>
      <c r="D621" t="s">
        <v>71</v>
      </c>
      <c r="E621">
        <v>0</v>
      </c>
      <c r="F621">
        <v>36</v>
      </c>
      <c r="G621" t="str">
        <f t="shared" si="17"/>
        <v>21-40</v>
      </c>
      <c r="H621" t="s">
        <v>35</v>
      </c>
      <c r="I621" t="s">
        <v>36</v>
      </c>
      <c r="J621" t="s">
        <v>37</v>
      </c>
      <c r="K621" t="s">
        <v>42</v>
      </c>
      <c r="L621">
        <v>1</v>
      </c>
      <c r="M621">
        <v>1</v>
      </c>
      <c r="N621">
        <v>3.5</v>
      </c>
      <c r="O621">
        <v>9.9</v>
      </c>
      <c r="P621">
        <v>5</v>
      </c>
      <c r="Q621">
        <v>3</v>
      </c>
      <c r="R621">
        <v>927439</v>
      </c>
      <c r="S621">
        <f>Table1[[#This Row],[Revenue]]-Table1[[#This Row],[Operating_Costs]]</f>
        <v>81346</v>
      </c>
      <c r="T621">
        <v>846093</v>
      </c>
      <c r="U621">
        <v>38</v>
      </c>
      <c r="V621">
        <v>66</v>
      </c>
      <c r="W621">
        <v>6.4</v>
      </c>
    </row>
    <row r="622" spans="1:23" x14ac:dyDescent="0.25">
      <c r="A622">
        <v>1</v>
      </c>
      <c r="B622" t="s">
        <v>32</v>
      </c>
      <c r="C622" s="1">
        <v>44944</v>
      </c>
      <c r="D622" t="s">
        <v>71</v>
      </c>
      <c r="E622">
        <v>0</v>
      </c>
      <c r="F622">
        <v>78</v>
      </c>
      <c r="G622" t="str">
        <f t="shared" si="17"/>
        <v>61-80</v>
      </c>
      <c r="H622" t="s">
        <v>23</v>
      </c>
      <c r="I622" t="s">
        <v>31</v>
      </c>
      <c r="J622" t="s">
        <v>28</v>
      </c>
      <c r="K622" t="s">
        <v>42</v>
      </c>
      <c r="L622">
        <v>1</v>
      </c>
      <c r="M622">
        <v>1</v>
      </c>
      <c r="N622">
        <v>1.6</v>
      </c>
      <c r="O622">
        <v>7.6</v>
      </c>
      <c r="P622">
        <v>3</v>
      </c>
      <c r="Q622">
        <v>5</v>
      </c>
      <c r="R622">
        <v>967246</v>
      </c>
      <c r="S622">
        <f>Table1[[#This Row],[Revenue]]-Table1[[#This Row],[Operating_Costs]]</f>
        <v>363597</v>
      </c>
      <c r="T622">
        <v>603649</v>
      </c>
      <c r="U622">
        <v>36</v>
      </c>
      <c r="V622">
        <v>63</v>
      </c>
      <c r="W622">
        <v>10.9</v>
      </c>
    </row>
    <row r="623" spans="1:23" x14ac:dyDescent="0.25">
      <c r="A623">
        <v>1</v>
      </c>
      <c r="B623" t="s">
        <v>32</v>
      </c>
      <c r="C623" s="1">
        <v>44266</v>
      </c>
      <c r="D623" t="s">
        <v>71</v>
      </c>
      <c r="E623">
        <v>0</v>
      </c>
      <c r="F623">
        <v>83</v>
      </c>
      <c r="G623" t="str">
        <f t="shared" si="17"/>
        <v>81+</v>
      </c>
      <c r="H623" t="s">
        <v>35</v>
      </c>
      <c r="I623" t="s">
        <v>46</v>
      </c>
      <c r="J623" t="s">
        <v>47</v>
      </c>
      <c r="K623" t="s">
        <v>42</v>
      </c>
      <c r="L623">
        <v>1</v>
      </c>
      <c r="M623">
        <v>1</v>
      </c>
      <c r="N623">
        <v>3.7</v>
      </c>
      <c r="O623">
        <v>9.6</v>
      </c>
      <c r="P623">
        <v>3</v>
      </c>
      <c r="Q623">
        <v>5</v>
      </c>
      <c r="R623">
        <v>965065</v>
      </c>
      <c r="S623">
        <f>Table1[[#This Row],[Revenue]]-Table1[[#This Row],[Operating_Costs]]</f>
        <v>332446</v>
      </c>
      <c r="T623">
        <v>632619</v>
      </c>
      <c r="U623">
        <v>35</v>
      </c>
      <c r="V623">
        <v>55</v>
      </c>
      <c r="W623">
        <v>9</v>
      </c>
    </row>
    <row r="624" spans="1:23" x14ac:dyDescent="0.25">
      <c r="A624">
        <v>1</v>
      </c>
      <c r="B624" t="s">
        <v>32</v>
      </c>
      <c r="C624" s="1">
        <v>45463</v>
      </c>
      <c r="D624" t="s">
        <v>71</v>
      </c>
      <c r="E624">
        <v>0</v>
      </c>
      <c r="F624">
        <v>63</v>
      </c>
      <c r="G624" t="str">
        <f t="shared" si="17"/>
        <v>61-80</v>
      </c>
      <c r="H624" t="s">
        <v>35</v>
      </c>
      <c r="I624" t="s">
        <v>36</v>
      </c>
      <c r="J624" t="s">
        <v>37</v>
      </c>
      <c r="K624" t="s">
        <v>33</v>
      </c>
      <c r="L624">
        <v>1</v>
      </c>
      <c r="M624">
        <v>1</v>
      </c>
      <c r="N624">
        <v>4.3</v>
      </c>
      <c r="O624">
        <v>9</v>
      </c>
      <c r="P624">
        <v>6</v>
      </c>
      <c r="Q624">
        <v>4</v>
      </c>
      <c r="R624">
        <v>963306</v>
      </c>
      <c r="S624">
        <f>Table1[[#This Row],[Revenue]]-Table1[[#This Row],[Operating_Costs]]</f>
        <v>295441</v>
      </c>
      <c r="T624">
        <v>667865</v>
      </c>
      <c r="U624">
        <v>34</v>
      </c>
      <c r="V624">
        <v>61</v>
      </c>
      <c r="W624">
        <v>6.6</v>
      </c>
    </row>
    <row r="625" spans="1:23" x14ac:dyDescent="0.25">
      <c r="A625">
        <v>1</v>
      </c>
      <c r="B625" t="s">
        <v>32</v>
      </c>
      <c r="C625" s="1">
        <v>44248</v>
      </c>
      <c r="D625" t="s">
        <v>71</v>
      </c>
      <c r="E625">
        <v>0</v>
      </c>
      <c r="F625">
        <v>35</v>
      </c>
      <c r="G625" t="str">
        <f t="shared" si="17"/>
        <v>21-40</v>
      </c>
      <c r="H625" t="s">
        <v>35</v>
      </c>
      <c r="I625" t="s">
        <v>61</v>
      </c>
      <c r="J625" t="s">
        <v>62</v>
      </c>
      <c r="K625" t="s">
        <v>38</v>
      </c>
      <c r="L625">
        <v>1</v>
      </c>
      <c r="M625">
        <v>1</v>
      </c>
      <c r="N625">
        <v>5.3</v>
      </c>
      <c r="O625">
        <v>7.2</v>
      </c>
      <c r="P625">
        <v>7</v>
      </c>
      <c r="Q625">
        <v>6</v>
      </c>
      <c r="R625">
        <v>964058</v>
      </c>
      <c r="S625">
        <f>Table1[[#This Row],[Revenue]]-Table1[[#This Row],[Operating_Costs]]</f>
        <v>206206</v>
      </c>
      <c r="T625">
        <v>757852</v>
      </c>
      <c r="U625">
        <v>33</v>
      </c>
      <c r="V625">
        <v>57</v>
      </c>
      <c r="W625">
        <v>7.9</v>
      </c>
    </row>
    <row r="626" spans="1:23" x14ac:dyDescent="0.25">
      <c r="A626">
        <v>1</v>
      </c>
      <c r="B626" t="s">
        <v>32</v>
      </c>
      <c r="C626" s="1">
        <v>44347</v>
      </c>
      <c r="D626" t="s">
        <v>71</v>
      </c>
      <c r="E626">
        <v>0</v>
      </c>
      <c r="F626">
        <v>25</v>
      </c>
      <c r="G626" t="str">
        <f t="shared" si="17"/>
        <v>21-40</v>
      </c>
      <c r="H626" t="s">
        <v>23</v>
      </c>
      <c r="I626" t="s">
        <v>24</v>
      </c>
      <c r="J626" t="s">
        <v>25</v>
      </c>
      <c r="K626" t="s">
        <v>29</v>
      </c>
      <c r="L626">
        <v>1</v>
      </c>
      <c r="M626">
        <v>1</v>
      </c>
      <c r="N626">
        <v>6.7</v>
      </c>
      <c r="O626">
        <v>7.2</v>
      </c>
      <c r="P626">
        <v>6</v>
      </c>
      <c r="Q626">
        <v>6</v>
      </c>
      <c r="R626">
        <v>980822</v>
      </c>
      <c r="S626">
        <f>Table1[[#This Row],[Revenue]]-Table1[[#This Row],[Operating_Costs]]</f>
        <v>175063</v>
      </c>
      <c r="T626">
        <v>805759</v>
      </c>
      <c r="U626">
        <v>30</v>
      </c>
      <c r="V626">
        <v>66</v>
      </c>
      <c r="W626">
        <v>14.3</v>
      </c>
    </row>
    <row r="627" spans="1:23" x14ac:dyDescent="0.25">
      <c r="A627">
        <v>1</v>
      </c>
      <c r="B627" t="s">
        <v>32</v>
      </c>
      <c r="C627" s="1">
        <v>44898</v>
      </c>
      <c r="D627" t="s">
        <v>71</v>
      </c>
      <c r="E627">
        <v>0</v>
      </c>
      <c r="F627">
        <v>32</v>
      </c>
      <c r="G627" t="str">
        <f t="shared" si="17"/>
        <v>21-40</v>
      </c>
      <c r="H627" t="s">
        <v>23</v>
      </c>
      <c r="I627" t="s">
        <v>24</v>
      </c>
      <c r="J627" t="s">
        <v>25</v>
      </c>
      <c r="K627" t="s">
        <v>29</v>
      </c>
      <c r="L627">
        <v>1</v>
      </c>
      <c r="M627">
        <v>1</v>
      </c>
      <c r="N627">
        <v>4.5999999999999996</v>
      </c>
      <c r="O627">
        <v>8.5</v>
      </c>
      <c r="P627">
        <v>4</v>
      </c>
      <c r="Q627">
        <v>7</v>
      </c>
      <c r="R627">
        <v>937508</v>
      </c>
      <c r="S627">
        <f>Table1[[#This Row],[Revenue]]-Table1[[#This Row],[Operating_Costs]]</f>
        <v>334102</v>
      </c>
      <c r="T627">
        <v>603406</v>
      </c>
      <c r="U627">
        <v>36</v>
      </c>
      <c r="V627">
        <v>63</v>
      </c>
      <c r="W627">
        <v>8.9</v>
      </c>
    </row>
    <row r="628" spans="1:23" x14ac:dyDescent="0.25">
      <c r="A628">
        <v>1</v>
      </c>
      <c r="B628" t="s">
        <v>32</v>
      </c>
      <c r="C628" s="1">
        <v>44365</v>
      </c>
      <c r="D628" t="s">
        <v>71</v>
      </c>
      <c r="E628">
        <v>0</v>
      </c>
      <c r="F628">
        <v>21</v>
      </c>
      <c r="G628" t="str">
        <f t="shared" si="17"/>
        <v>21-40</v>
      </c>
      <c r="H628" t="s">
        <v>35</v>
      </c>
      <c r="I628" t="s">
        <v>31</v>
      </c>
      <c r="J628" t="s">
        <v>28</v>
      </c>
      <c r="K628" t="s">
        <v>38</v>
      </c>
      <c r="L628">
        <v>1</v>
      </c>
      <c r="M628">
        <v>1</v>
      </c>
      <c r="N628">
        <v>1.5</v>
      </c>
      <c r="O628">
        <v>7.8</v>
      </c>
      <c r="P628">
        <v>4</v>
      </c>
      <c r="Q628">
        <v>5</v>
      </c>
      <c r="R628">
        <v>940600</v>
      </c>
      <c r="S628">
        <f>Table1[[#This Row],[Revenue]]-Table1[[#This Row],[Operating_Costs]]</f>
        <v>191333</v>
      </c>
      <c r="T628">
        <v>749267</v>
      </c>
      <c r="U628">
        <v>34</v>
      </c>
      <c r="V628">
        <v>56</v>
      </c>
      <c r="W628">
        <v>10</v>
      </c>
    </row>
    <row r="629" spans="1:23" x14ac:dyDescent="0.25">
      <c r="A629">
        <v>1</v>
      </c>
      <c r="B629" t="s">
        <v>32</v>
      </c>
      <c r="C629" s="1">
        <v>44324</v>
      </c>
      <c r="D629" t="s">
        <v>71</v>
      </c>
      <c r="E629">
        <v>0</v>
      </c>
      <c r="F629">
        <v>44</v>
      </c>
      <c r="G629" t="str">
        <f t="shared" si="17"/>
        <v>41-60</v>
      </c>
      <c r="H629" t="s">
        <v>23</v>
      </c>
      <c r="I629" t="s">
        <v>64</v>
      </c>
      <c r="J629" t="s">
        <v>65</v>
      </c>
      <c r="K629" t="s">
        <v>38</v>
      </c>
      <c r="L629">
        <v>1</v>
      </c>
      <c r="M629">
        <v>1</v>
      </c>
      <c r="N629">
        <v>1.6</v>
      </c>
      <c r="O629">
        <v>9.4</v>
      </c>
      <c r="P629">
        <v>3</v>
      </c>
      <c r="Q629">
        <v>6</v>
      </c>
      <c r="R629">
        <v>954474</v>
      </c>
      <c r="S629">
        <f>Table1[[#This Row],[Revenue]]-Table1[[#This Row],[Operating_Costs]]</f>
        <v>205229</v>
      </c>
      <c r="T629">
        <v>749245</v>
      </c>
      <c r="U629">
        <v>31</v>
      </c>
      <c r="V629">
        <v>61</v>
      </c>
      <c r="W629">
        <v>36.1</v>
      </c>
    </row>
    <row r="630" spans="1:23" x14ac:dyDescent="0.25">
      <c r="A630">
        <v>2</v>
      </c>
      <c r="B630" t="s">
        <v>39</v>
      </c>
      <c r="C630" s="1">
        <v>44403</v>
      </c>
      <c r="D630" t="s">
        <v>71</v>
      </c>
      <c r="E630">
        <v>0</v>
      </c>
      <c r="F630">
        <v>31</v>
      </c>
      <c r="G630" t="str">
        <f t="shared" si="17"/>
        <v>21-40</v>
      </c>
      <c r="H630" t="s">
        <v>35</v>
      </c>
      <c r="I630" t="s">
        <v>58</v>
      </c>
      <c r="J630" t="s">
        <v>59</v>
      </c>
      <c r="K630" t="s">
        <v>26</v>
      </c>
      <c r="L630">
        <v>1</v>
      </c>
      <c r="M630">
        <v>1</v>
      </c>
      <c r="N630">
        <v>3.3</v>
      </c>
      <c r="O630">
        <v>7.7</v>
      </c>
      <c r="P630">
        <v>3</v>
      </c>
      <c r="Q630">
        <v>5</v>
      </c>
      <c r="R630">
        <v>612382</v>
      </c>
      <c r="S630">
        <f>Table1[[#This Row],[Revenue]]-Table1[[#This Row],[Operating_Costs]]</f>
        <v>84537</v>
      </c>
      <c r="T630">
        <v>527845</v>
      </c>
      <c r="U630">
        <v>39</v>
      </c>
      <c r="V630">
        <v>65</v>
      </c>
      <c r="W630">
        <v>12.8</v>
      </c>
    </row>
    <row r="631" spans="1:23" x14ac:dyDescent="0.25">
      <c r="A631">
        <v>2</v>
      </c>
      <c r="B631" t="s">
        <v>39</v>
      </c>
      <c r="C631" s="1">
        <v>44341</v>
      </c>
      <c r="D631" t="s">
        <v>71</v>
      </c>
      <c r="E631">
        <v>0</v>
      </c>
      <c r="F631">
        <v>79</v>
      </c>
      <c r="G631" t="str">
        <f t="shared" si="17"/>
        <v>61-80</v>
      </c>
      <c r="H631" t="s">
        <v>23</v>
      </c>
      <c r="I631" t="s">
        <v>24</v>
      </c>
      <c r="J631" t="s">
        <v>25</v>
      </c>
      <c r="K631" t="s">
        <v>38</v>
      </c>
      <c r="L631">
        <v>1</v>
      </c>
      <c r="M631">
        <v>1</v>
      </c>
      <c r="N631">
        <v>2</v>
      </c>
      <c r="O631">
        <v>7.2</v>
      </c>
      <c r="P631">
        <v>4</v>
      </c>
      <c r="Q631">
        <v>3</v>
      </c>
      <c r="R631">
        <v>784654</v>
      </c>
      <c r="S631">
        <f>Table1[[#This Row],[Revenue]]-Table1[[#This Row],[Operating_Costs]]</f>
        <v>154128</v>
      </c>
      <c r="T631">
        <v>630526</v>
      </c>
      <c r="U631">
        <v>35</v>
      </c>
      <c r="V631">
        <v>63</v>
      </c>
      <c r="W631">
        <v>9.4</v>
      </c>
    </row>
    <row r="632" spans="1:23" x14ac:dyDescent="0.25">
      <c r="A632">
        <v>2</v>
      </c>
      <c r="B632" t="s">
        <v>39</v>
      </c>
      <c r="C632" s="1">
        <v>44487</v>
      </c>
      <c r="D632" t="s">
        <v>71</v>
      </c>
      <c r="E632">
        <v>0</v>
      </c>
      <c r="F632">
        <v>46</v>
      </c>
      <c r="G632" t="str">
        <f t="shared" si="17"/>
        <v>41-60</v>
      </c>
      <c r="H632" t="s">
        <v>35</v>
      </c>
      <c r="I632" t="s">
        <v>40</v>
      </c>
      <c r="J632" t="s">
        <v>41</v>
      </c>
      <c r="K632" t="s">
        <v>38</v>
      </c>
      <c r="L632">
        <v>1</v>
      </c>
      <c r="M632">
        <v>1</v>
      </c>
      <c r="N632">
        <v>1.8</v>
      </c>
      <c r="O632">
        <v>8</v>
      </c>
      <c r="P632">
        <v>6</v>
      </c>
      <c r="Q632">
        <v>4</v>
      </c>
      <c r="R632">
        <v>661760</v>
      </c>
      <c r="S632">
        <f>Table1[[#This Row],[Revenue]]-Table1[[#This Row],[Operating_Costs]]</f>
        <v>147738</v>
      </c>
      <c r="T632">
        <v>514022</v>
      </c>
      <c r="U632">
        <v>35</v>
      </c>
      <c r="V632">
        <v>54</v>
      </c>
      <c r="W632">
        <v>13</v>
      </c>
    </row>
    <row r="633" spans="1:23" x14ac:dyDescent="0.25">
      <c r="A633">
        <v>2</v>
      </c>
      <c r="B633" t="s">
        <v>39</v>
      </c>
      <c r="C633" s="1">
        <v>44338</v>
      </c>
      <c r="D633" t="s">
        <v>71</v>
      </c>
      <c r="E633">
        <v>0</v>
      </c>
      <c r="F633">
        <v>24</v>
      </c>
      <c r="G633" t="str">
        <f t="shared" si="17"/>
        <v>21-40</v>
      </c>
      <c r="H633" t="s">
        <v>35</v>
      </c>
      <c r="I633" t="s">
        <v>40</v>
      </c>
      <c r="J633" t="s">
        <v>41</v>
      </c>
      <c r="K633" t="s">
        <v>38</v>
      </c>
      <c r="L633">
        <v>1</v>
      </c>
      <c r="M633">
        <v>1</v>
      </c>
      <c r="N633">
        <v>3</v>
      </c>
      <c r="O633">
        <v>9.5</v>
      </c>
      <c r="P633">
        <v>6</v>
      </c>
      <c r="Q633">
        <v>7</v>
      </c>
      <c r="R633">
        <v>795698</v>
      </c>
      <c r="S633">
        <f>Table1[[#This Row],[Revenue]]-Table1[[#This Row],[Operating_Costs]]</f>
        <v>234051</v>
      </c>
      <c r="T633">
        <v>561647</v>
      </c>
      <c r="U633">
        <v>39</v>
      </c>
      <c r="V633">
        <v>66</v>
      </c>
      <c r="W633">
        <v>36.700000000000003</v>
      </c>
    </row>
    <row r="634" spans="1:23" x14ac:dyDescent="0.25">
      <c r="A634">
        <v>2</v>
      </c>
      <c r="B634" t="s">
        <v>39</v>
      </c>
      <c r="C634" s="1">
        <v>45555</v>
      </c>
      <c r="D634" t="s">
        <v>71</v>
      </c>
      <c r="E634">
        <v>0</v>
      </c>
      <c r="F634">
        <v>85</v>
      </c>
      <c r="G634" t="str">
        <f t="shared" si="17"/>
        <v>81+</v>
      </c>
      <c r="H634" t="s">
        <v>35</v>
      </c>
      <c r="I634" t="s">
        <v>36</v>
      </c>
      <c r="J634" t="s">
        <v>37</v>
      </c>
      <c r="K634" t="s">
        <v>26</v>
      </c>
      <c r="L634">
        <v>1</v>
      </c>
      <c r="M634">
        <v>1</v>
      </c>
      <c r="N634">
        <v>5.7</v>
      </c>
      <c r="O634">
        <v>8.9</v>
      </c>
      <c r="P634">
        <v>7</v>
      </c>
      <c r="Q634">
        <v>5</v>
      </c>
      <c r="R634">
        <v>610034</v>
      </c>
      <c r="S634">
        <f>Table1[[#This Row],[Revenue]]-Table1[[#This Row],[Operating_Costs]]</f>
        <v>41930</v>
      </c>
      <c r="T634">
        <v>568104</v>
      </c>
      <c r="U634">
        <v>32</v>
      </c>
      <c r="V634">
        <v>61</v>
      </c>
      <c r="W634">
        <v>8.5</v>
      </c>
    </row>
    <row r="635" spans="1:23" x14ac:dyDescent="0.25">
      <c r="A635">
        <v>2</v>
      </c>
      <c r="B635" t="s">
        <v>39</v>
      </c>
      <c r="C635" s="1">
        <v>44335</v>
      </c>
      <c r="D635" t="s">
        <v>71</v>
      </c>
      <c r="E635">
        <v>0</v>
      </c>
      <c r="F635">
        <v>82</v>
      </c>
      <c r="G635" t="str">
        <f t="shared" si="17"/>
        <v>81+</v>
      </c>
      <c r="H635" t="s">
        <v>35</v>
      </c>
      <c r="I635" t="s">
        <v>36</v>
      </c>
      <c r="J635" t="s">
        <v>37</v>
      </c>
      <c r="K635" t="s">
        <v>42</v>
      </c>
      <c r="L635">
        <v>1</v>
      </c>
      <c r="M635">
        <v>1</v>
      </c>
      <c r="N635">
        <v>2.2000000000000002</v>
      </c>
      <c r="O635">
        <v>8.6999999999999993</v>
      </c>
      <c r="P635">
        <v>3</v>
      </c>
      <c r="Q635">
        <v>3</v>
      </c>
      <c r="R635">
        <v>797908</v>
      </c>
      <c r="S635">
        <f>Table1[[#This Row],[Revenue]]-Table1[[#This Row],[Operating_Costs]]</f>
        <v>148024</v>
      </c>
      <c r="T635">
        <v>649884</v>
      </c>
      <c r="U635">
        <v>34</v>
      </c>
      <c r="V635">
        <v>55</v>
      </c>
      <c r="W635">
        <v>36.9</v>
      </c>
    </row>
    <row r="636" spans="1:23" x14ac:dyDescent="0.25">
      <c r="A636">
        <v>2</v>
      </c>
      <c r="B636" t="s">
        <v>39</v>
      </c>
      <c r="C636" s="1">
        <v>45638</v>
      </c>
      <c r="D636" t="s">
        <v>71</v>
      </c>
      <c r="E636">
        <v>0</v>
      </c>
      <c r="F636">
        <v>36</v>
      </c>
      <c r="G636" t="str">
        <f t="shared" si="17"/>
        <v>21-40</v>
      </c>
      <c r="H636" t="s">
        <v>35</v>
      </c>
      <c r="I636" t="s">
        <v>55</v>
      </c>
      <c r="J636" t="s">
        <v>56</v>
      </c>
      <c r="K636" t="s">
        <v>33</v>
      </c>
      <c r="L636">
        <v>1</v>
      </c>
      <c r="M636">
        <v>1</v>
      </c>
      <c r="N636">
        <v>3.8</v>
      </c>
      <c r="O636">
        <v>8.1</v>
      </c>
      <c r="P636">
        <v>5</v>
      </c>
      <c r="Q636">
        <v>7</v>
      </c>
      <c r="R636">
        <v>619531</v>
      </c>
      <c r="S636">
        <f>Table1[[#This Row],[Revenue]]-Table1[[#This Row],[Operating_Costs]]</f>
        <v>17013</v>
      </c>
      <c r="T636">
        <v>602518</v>
      </c>
      <c r="U636">
        <v>39</v>
      </c>
      <c r="V636">
        <v>65</v>
      </c>
      <c r="W636">
        <v>12</v>
      </c>
    </row>
    <row r="637" spans="1:23" x14ac:dyDescent="0.25">
      <c r="A637">
        <v>2</v>
      </c>
      <c r="B637" t="s">
        <v>39</v>
      </c>
      <c r="C637" s="1">
        <v>45548</v>
      </c>
      <c r="D637" t="s">
        <v>71</v>
      </c>
      <c r="E637">
        <v>0</v>
      </c>
      <c r="F637">
        <v>54</v>
      </c>
      <c r="G637" t="str">
        <f t="shared" si="17"/>
        <v>41-60</v>
      </c>
      <c r="H637" t="s">
        <v>23</v>
      </c>
      <c r="I637" t="s">
        <v>40</v>
      </c>
      <c r="J637" t="s">
        <v>41</v>
      </c>
      <c r="K637" t="s">
        <v>33</v>
      </c>
      <c r="L637">
        <v>1</v>
      </c>
      <c r="M637">
        <v>1</v>
      </c>
      <c r="N637">
        <v>3.1</v>
      </c>
      <c r="O637">
        <v>8.4</v>
      </c>
      <c r="P637">
        <v>3</v>
      </c>
      <c r="Q637">
        <v>4</v>
      </c>
      <c r="R637">
        <v>741636</v>
      </c>
      <c r="S637">
        <f>Table1[[#This Row],[Revenue]]-Table1[[#This Row],[Operating_Costs]]</f>
        <v>100211</v>
      </c>
      <c r="T637">
        <v>641425</v>
      </c>
      <c r="U637">
        <v>38</v>
      </c>
      <c r="V637">
        <v>66</v>
      </c>
      <c r="W637">
        <v>7.2</v>
      </c>
    </row>
    <row r="638" spans="1:23" x14ac:dyDescent="0.25">
      <c r="A638">
        <v>2</v>
      </c>
      <c r="B638" t="s">
        <v>39</v>
      </c>
      <c r="C638" s="1">
        <v>45154</v>
      </c>
      <c r="D638" t="s">
        <v>71</v>
      </c>
      <c r="E638">
        <v>0</v>
      </c>
      <c r="F638">
        <v>61</v>
      </c>
      <c r="G638" t="str">
        <f t="shared" si="17"/>
        <v>61-80</v>
      </c>
      <c r="H638" t="s">
        <v>35</v>
      </c>
      <c r="I638" t="s">
        <v>61</v>
      </c>
      <c r="J638" t="s">
        <v>62</v>
      </c>
      <c r="K638" t="s">
        <v>42</v>
      </c>
      <c r="L638">
        <v>1</v>
      </c>
      <c r="M638">
        <v>1</v>
      </c>
      <c r="N638">
        <v>5.7</v>
      </c>
      <c r="O638">
        <v>8.1999999999999993</v>
      </c>
      <c r="P638">
        <v>6</v>
      </c>
      <c r="Q638">
        <v>5</v>
      </c>
      <c r="R638">
        <v>786861</v>
      </c>
      <c r="S638">
        <f>Table1[[#This Row],[Revenue]]-Table1[[#This Row],[Operating_Costs]]</f>
        <v>208519</v>
      </c>
      <c r="T638">
        <v>578342</v>
      </c>
      <c r="U638">
        <v>32</v>
      </c>
      <c r="V638">
        <v>55</v>
      </c>
      <c r="W638">
        <v>13.5</v>
      </c>
    </row>
    <row r="639" spans="1:23" x14ac:dyDescent="0.25">
      <c r="A639">
        <v>2</v>
      </c>
      <c r="B639" t="s">
        <v>39</v>
      </c>
      <c r="C639" s="1">
        <v>45121</v>
      </c>
      <c r="D639" t="s">
        <v>71</v>
      </c>
      <c r="E639">
        <v>0</v>
      </c>
      <c r="F639">
        <v>23</v>
      </c>
      <c r="G639" t="str">
        <f t="shared" si="17"/>
        <v>21-40</v>
      </c>
      <c r="H639" t="s">
        <v>23</v>
      </c>
      <c r="I639" t="s">
        <v>67</v>
      </c>
      <c r="J639" t="s">
        <v>68</v>
      </c>
      <c r="K639" t="s">
        <v>29</v>
      </c>
      <c r="L639">
        <v>1</v>
      </c>
      <c r="M639">
        <v>1</v>
      </c>
      <c r="N639">
        <v>4.4000000000000004</v>
      </c>
      <c r="O639">
        <v>7.5</v>
      </c>
      <c r="P639">
        <v>7</v>
      </c>
      <c r="Q639">
        <v>3</v>
      </c>
      <c r="R639">
        <v>714788</v>
      </c>
      <c r="S639">
        <f>Table1[[#This Row],[Revenue]]-Table1[[#This Row],[Operating_Costs]]</f>
        <v>153122</v>
      </c>
      <c r="T639">
        <v>561666</v>
      </c>
      <c r="U639">
        <v>34</v>
      </c>
      <c r="V639">
        <v>59</v>
      </c>
      <c r="W639">
        <v>12.5</v>
      </c>
    </row>
    <row r="640" spans="1:23" x14ac:dyDescent="0.25">
      <c r="A640">
        <v>2</v>
      </c>
      <c r="B640" t="s">
        <v>39</v>
      </c>
      <c r="C640" s="1">
        <v>44809</v>
      </c>
      <c r="D640" t="s">
        <v>71</v>
      </c>
      <c r="E640">
        <v>0</v>
      </c>
      <c r="F640">
        <v>46</v>
      </c>
      <c r="G640" t="str">
        <f t="shared" si="17"/>
        <v>41-60</v>
      </c>
      <c r="H640" t="s">
        <v>35</v>
      </c>
      <c r="I640" t="s">
        <v>36</v>
      </c>
      <c r="J640" t="s">
        <v>37</v>
      </c>
      <c r="K640" t="s">
        <v>38</v>
      </c>
      <c r="L640">
        <v>1</v>
      </c>
      <c r="M640">
        <v>1</v>
      </c>
      <c r="N640">
        <v>7</v>
      </c>
      <c r="O640">
        <v>7</v>
      </c>
      <c r="P640">
        <v>6</v>
      </c>
      <c r="Q640">
        <v>3</v>
      </c>
      <c r="R640">
        <v>631803</v>
      </c>
      <c r="S640">
        <f>Table1[[#This Row],[Revenue]]-Table1[[#This Row],[Operating_Costs]]</f>
        <v>-13545</v>
      </c>
      <c r="T640">
        <v>645348</v>
      </c>
      <c r="U640">
        <v>33</v>
      </c>
      <c r="V640">
        <v>59</v>
      </c>
      <c r="W640">
        <v>36.1</v>
      </c>
    </row>
    <row r="641" spans="1:23" x14ac:dyDescent="0.25">
      <c r="A641">
        <v>2</v>
      </c>
      <c r="B641" t="s">
        <v>39</v>
      </c>
      <c r="C641" s="1">
        <v>44279</v>
      </c>
      <c r="D641" t="s">
        <v>71</v>
      </c>
      <c r="E641">
        <v>0</v>
      </c>
      <c r="F641">
        <v>37</v>
      </c>
      <c r="G641" t="str">
        <f t="shared" si="17"/>
        <v>21-40</v>
      </c>
      <c r="H641" t="s">
        <v>35</v>
      </c>
      <c r="I641" t="s">
        <v>61</v>
      </c>
      <c r="J641" t="s">
        <v>62</v>
      </c>
      <c r="K641" t="s">
        <v>42</v>
      </c>
      <c r="L641">
        <v>1</v>
      </c>
      <c r="M641">
        <v>1</v>
      </c>
      <c r="N641">
        <v>2.5</v>
      </c>
      <c r="O641">
        <v>7.5</v>
      </c>
      <c r="P641">
        <v>3</v>
      </c>
      <c r="Q641">
        <v>4</v>
      </c>
      <c r="R641">
        <v>814692</v>
      </c>
      <c r="S641">
        <f>Table1[[#This Row],[Revenue]]-Table1[[#This Row],[Operating_Costs]]</f>
        <v>297572</v>
      </c>
      <c r="T641">
        <v>517120</v>
      </c>
      <c r="U641">
        <v>40</v>
      </c>
      <c r="V641">
        <v>58</v>
      </c>
      <c r="W641">
        <v>12.2</v>
      </c>
    </row>
    <row r="642" spans="1:23" x14ac:dyDescent="0.25">
      <c r="A642">
        <v>2</v>
      </c>
      <c r="B642" t="s">
        <v>39</v>
      </c>
      <c r="C642" s="1">
        <v>45157</v>
      </c>
      <c r="D642" t="s">
        <v>71</v>
      </c>
      <c r="E642">
        <v>0</v>
      </c>
      <c r="F642">
        <v>49</v>
      </c>
      <c r="G642" t="str">
        <f t="shared" si="17"/>
        <v>41-60</v>
      </c>
      <c r="H642" t="s">
        <v>23</v>
      </c>
      <c r="I642" t="s">
        <v>24</v>
      </c>
      <c r="J642" t="s">
        <v>25</v>
      </c>
      <c r="K642" t="s">
        <v>38</v>
      </c>
      <c r="L642">
        <v>1</v>
      </c>
      <c r="M642">
        <v>1</v>
      </c>
      <c r="N642">
        <v>3.1</v>
      </c>
      <c r="O642">
        <v>9.4</v>
      </c>
      <c r="P642">
        <v>5</v>
      </c>
      <c r="Q642">
        <v>5</v>
      </c>
      <c r="R642">
        <v>867591</v>
      </c>
      <c r="S642">
        <f>Table1[[#This Row],[Revenue]]-Table1[[#This Row],[Operating_Costs]]</f>
        <v>236729</v>
      </c>
      <c r="T642">
        <v>630862</v>
      </c>
      <c r="U642">
        <v>36</v>
      </c>
      <c r="V642">
        <v>63</v>
      </c>
      <c r="W642">
        <v>6.3</v>
      </c>
    </row>
    <row r="643" spans="1:23" x14ac:dyDescent="0.25">
      <c r="A643">
        <v>2</v>
      </c>
      <c r="B643" t="s">
        <v>39</v>
      </c>
      <c r="C643" s="1">
        <v>44574</v>
      </c>
      <c r="D643" t="s">
        <v>71</v>
      </c>
      <c r="E643">
        <v>0</v>
      </c>
      <c r="F643">
        <v>43</v>
      </c>
      <c r="G643" t="str">
        <f t="shared" ref="G643:G706" si="18">IF(F643&lt;=20,"0-20",IF(F643&lt;=40,"21-40",IF(F643&lt;=60,"41-60",IF(F643&lt;=80,"61-80","81+"))))</f>
        <v>41-60</v>
      </c>
      <c r="H643" t="s">
        <v>23</v>
      </c>
      <c r="I643" t="s">
        <v>40</v>
      </c>
      <c r="J643" t="s">
        <v>41</v>
      </c>
      <c r="K643" t="s">
        <v>38</v>
      </c>
      <c r="L643">
        <v>1</v>
      </c>
      <c r="M643">
        <v>1</v>
      </c>
      <c r="N643">
        <v>4.7</v>
      </c>
      <c r="O643">
        <v>7.1</v>
      </c>
      <c r="P643">
        <v>4</v>
      </c>
      <c r="Q643">
        <v>4</v>
      </c>
      <c r="R643">
        <v>677999</v>
      </c>
      <c r="S643">
        <f>Table1[[#This Row],[Revenue]]-Table1[[#This Row],[Operating_Costs]]</f>
        <v>33948</v>
      </c>
      <c r="T643">
        <v>644051</v>
      </c>
      <c r="U643">
        <v>31</v>
      </c>
      <c r="V643">
        <v>62</v>
      </c>
      <c r="W643">
        <v>36.299999999999997</v>
      </c>
    </row>
    <row r="644" spans="1:23" x14ac:dyDescent="0.25">
      <c r="A644">
        <v>2</v>
      </c>
      <c r="B644" t="s">
        <v>39</v>
      </c>
      <c r="C644" s="1">
        <v>45242</v>
      </c>
      <c r="D644" t="s">
        <v>71</v>
      </c>
      <c r="E644">
        <v>0</v>
      </c>
      <c r="F644">
        <v>29</v>
      </c>
      <c r="G644" t="str">
        <f t="shared" si="18"/>
        <v>21-40</v>
      </c>
      <c r="H644" t="s">
        <v>23</v>
      </c>
      <c r="I644" t="s">
        <v>24</v>
      </c>
      <c r="J644" t="s">
        <v>25</v>
      </c>
      <c r="K644" t="s">
        <v>26</v>
      </c>
      <c r="L644">
        <v>1</v>
      </c>
      <c r="M644">
        <v>1</v>
      </c>
      <c r="N644">
        <v>6.3</v>
      </c>
      <c r="O644">
        <v>9</v>
      </c>
      <c r="P644">
        <v>7</v>
      </c>
      <c r="Q644">
        <v>7</v>
      </c>
      <c r="R644">
        <v>736169</v>
      </c>
      <c r="S644">
        <f>Table1[[#This Row],[Revenue]]-Table1[[#This Row],[Operating_Costs]]</f>
        <v>191480</v>
      </c>
      <c r="T644">
        <v>544689</v>
      </c>
      <c r="U644">
        <v>32</v>
      </c>
      <c r="V644">
        <v>64</v>
      </c>
      <c r="W644">
        <v>5.3</v>
      </c>
    </row>
    <row r="645" spans="1:23" x14ac:dyDescent="0.25">
      <c r="A645">
        <v>2</v>
      </c>
      <c r="B645" t="s">
        <v>39</v>
      </c>
      <c r="C645" s="1">
        <v>44570</v>
      </c>
      <c r="D645" t="s">
        <v>71</v>
      </c>
      <c r="E645">
        <v>0</v>
      </c>
      <c r="F645">
        <v>46</v>
      </c>
      <c r="G645" t="str">
        <f t="shared" si="18"/>
        <v>41-60</v>
      </c>
      <c r="H645" t="s">
        <v>35</v>
      </c>
      <c r="I645" t="s">
        <v>58</v>
      </c>
      <c r="J645" t="s">
        <v>59</v>
      </c>
      <c r="K645" t="s">
        <v>26</v>
      </c>
      <c r="L645">
        <v>1</v>
      </c>
      <c r="M645">
        <v>1</v>
      </c>
      <c r="N645">
        <v>2.5</v>
      </c>
      <c r="O645">
        <v>7.2</v>
      </c>
      <c r="P645">
        <v>4</v>
      </c>
      <c r="Q645">
        <v>6</v>
      </c>
      <c r="R645">
        <v>633927</v>
      </c>
      <c r="S645">
        <f>Table1[[#This Row],[Revenue]]-Table1[[#This Row],[Operating_Costs]]</f>
        <v>21849</v>
      </c>
      <c r="T645">
        <v>612078</v>
      </c>
      <c r="U645">
        <v>31</v>
      </c>
      <c r="V645">
        <v>61</v>
      </c>
      <c r="W645">
        <v>9.6999999999999993</v>
      </c>
    </row>
    <row r="646" spans="1:23" x14ac:dyDescent="0.25">
      <c r="A646">
        <v>2</v>
      </c>
      <c r="B646" t="s">
        <v>39</v>
      </c>
      <c r="C646" s="1">
        <v>44784</v>
      </c>
      <c r="D646" t="s">
        <v>71</v>
      </c>
      <c r="E646">
        <v>0</v>
      </c>
      <c r="F646">
        <v>79</v>
      </c>
      <c r="G646" t="str">
        <f t="shared" si="18"/>
        <v>61-80</v>
      </c>
      <c r="H646" t="s">
        <v>35</v>
      </c>
      <c r="I646" t="s">
        <v>36</v>
      </c>
      <c r="J646" t="s">
        <v>37</v>
      </c>
      <c r="K646" t="s">
        <v>29</v>
      </c>
      <c r="L646">
        <v>1</v>
      </c>
      <c r="M646">
        <v>1</v>
      </c>
      <c r="N646">
        <v>2.1</v>
      </c>
      <c r="O646">
        <v>9.9</v>
      </c>
      <c r="P646">
        <v>4</v>
      </c>
      <c r="Q646">
        <v>4</v>
      </c>
      <c r="R646">
        <v>812091</v>
      </c>
      <c r="S646">
        <f>Table1[[#This Row],[Revenue]]-Table1[[#This Row],[Operating_Costs]]</f>
        <v>271383</v>
      </c>
      <c r="T646">
        <v>540708</v>
      </c>
      <c r="U646">
        <v>34</v>
      </c>
      <c r="V646">
        <v>61</v>
      </c>
      <c r="W646">
        <v>12.3</v>
      </c>
    </row>
    <row r="647" spans="1:23" x14ac:dyDescent="0.25">
      <c r="A647">
        <v>2</v>
      </c>
      <c r="B647" t="s">
        <v>39</v>
      </c>
      <c r="C647" s="1">
        <v>45587</v>
      </c>
      <c r="D647" t="s">
        <v>71</v>
      </c>
      <c r="E647">
        <v>0</v>
      </c>
      <c r="F647">
        <v>74</v>
      </c>
      <c r="G647" t="str">
        <f t="shared" si="18"/>
        <v>61-80</v>
      </c>
      <c r="H647" t="s">
        <v>35</v>
      </c>
      <c r="I647" t="s">
        <v>60</v>
      </c>
      <c r="J647" t="s">
        <v>59</v>
      </c>
      <c r="K647" t="s">
        <v>38</v>
      </c>
      <c r="L647">
        <v>1</v>
      </c>
      <c r="M647">
        <v>1</v>
      </c>
      <c r="N647">
        <v>5.9</v>
      </c>
      <c r="O647">
        <v>7.9</v>
      </c>
      <c r="P647">
        <v>6</v>
      </c>
      <c r="Q647">
        <v>7</v>
      </c>
      <c r="R647">
        <v>626187</v>
      </c>
      <c r="S647">
        <f>Table1[[#This Row],[Revenue]]-Table1[[#This Row],[Operating_Costs]]</f>
        <v>93461</v>
      </c>
      <c r="T647">
        <v>532726</v>
      </c>
      <c r="U647">
        <v>40</v>
      </c>
      <c r="V647">
        <v>58</v>
      </c>
      <c r="W647">
        <v>5.2</v>
      </c>
    </row>
    <row r="648" spans="1:23" x14ac:dyDescent="0.25">
      <c r="A648">
        <v>2</v>
      </c>
      <c r="B648" t="s">
        <v>39</v>
      </c>
      <c r="C648" s="1">
        <v>44524</v>
      </c>
      <c r="D648" t="s">
        <v>71</v>
      </c>
      <c r="E648">
        <v>0</v>
      </c>
      <c r="F648">
        <v>37</v>
      </c>
      <c r="G648" t="str">
        <f t="shared" si="18"/>
        <v>21-40</v>
      </c>
      <c r="H648" t="s">
        <v>35</v>
      </c>
      <c r="I648" t="s">
        <v>50</v>
      </c>
      <c r="J648" t="s">
        <v>51</v>
      </c>
      <c r="K648" t="s">
        <v>26</v>
      </c>
      <c r="L648">
        <v>1</v>
      </c>
      <c r="M648">
        <v>1</v>
      </c>
      <c r="N648">
        <v>3.4</v>
      </c>
      <c r="O648">
        <v>9.3000000000000007</v>
      </c>
      <c r="P648">
        <v>5</v>
      </c>
      <c r="Q648">
        <v>4</v>
      </c>
      <c r="R648">
        <v>713036</v>
      </c>
      <c r="S648">
        <f>Table1[[#This Row],[Revenue]]-Table1[[#This Row],[Operating_Costs]]</f>
        <v>113355</v>
      </c>
      <c r="T648">
        <v>599681</v>
      </c>
      <c r="U648">
        <v>31</v>
      </c>
      <c r="V648">
        <v>65</v>
      </c>
      <c r="W648">
        <v>10.9</v>
      </c>
    </row>
    <row r="649" spans="1:23" x14ac:dyDescent="0.25">
      <c r="A649">
        <v>2</v>
      </c>
      <c r="B649" t="s">
        <v>39</v>
      </c>
      <c r="C649" s="1">
        <v>44585</v>
      </c>
      <c r="D649" t="s">
        <v>71</v>
      </c>
      <c r="E649">
        <v>0</v>
      </c>
      <c r="F649">
        <v>23</v>
      </c>
      <c r="G649" t="str">
        <f t="shared" si="18"/>
        <v>21-40</v>
      </c>
      <c r="H649" t="s">
        <v>35</v>
      </c>
      <c r="I649" t="s">
        <v>36</v>
      </c>
      <c r="J649" t="s">
        <v>37</v>
      </c>
      <c r="K649" t="s">
        <v>38</v>
      </c>
      <c r="L649">
        <v>1</v>
      </c>
      <c r="M649">
        <v>1</v>
      </c>
      <c r="N649">
        <v>4.0999999999999996</v>
      </c>
      <c r="O649">
        <v>9.1</v>
      </c>
      <c r="P649">
        <v>5</v>
      </c>
      <c r="Q649">
        <v>6</v>
      </c>
      <c r="R649">
        <v>667177</v>
      </c>
      <c r="S649">
        <f>Table1[[#This Row],[Revenue]]-Table1[[#This Row],[Operating_Costs]]</f>
        <v>85252</v>
      </c>
      <c r="T649">
        <v>581925</v>
      </c>
      <c r="U649">
        <v>38</v>
      </c>
      <c r="V649">
        <v>63</v>
      </c>
      <c r="W649">
        <v>36.6</v>
      </c>
    </row>
    <row r="650" spans="1:23" x14ac:dyDescent="0.25">
      <c r="A650">
        <v>2</v>
      </c>
      <c r="B650" t="s">
        <v>39</v>
      </c>
      <c r="C650" s="1">
        <v>44832</v>
      </c>
      <c r="D650" t="s">
        <v>71</v>
      </c>
      <c r="E650">
        <v>0</v>
      </c>
      <c r="F650">
        <v>85</v>
      </c>
      <c r="G650" t="str">
        <f t="shared" si="18"/>
        <v>81+</v>
      </c>
      <c r="H650" t="s">
        <v>23</v>
      </c>
      <c r="I650" t="s">
        <v>24</v>
      </c>
      <c r="J650" t="s">
        <v>25</v>
      </c>
      <c r="K650" t="s">
        <v>33</v>
      </c>
      <c r="L650">
        <v>1</v>
      </c>
      <c r="M650">
        <v>1</v>
      </c>
      <c r="N650">
        <v>6.5</v>
      </c>
      <c r="O650">
        <v>9.1999999999999993</v>
      </c>
      <c r="P650">
        <v>7</v>
      </c>
      <c r="Q650">
        <v>3</v>
      </c>
      <c r="R650">
        <v>779731</v>
      </c>
      <c r="S650">
        <f>Table1[[#This Row],[Revenue]]-Table1[[#This Row],[Operating_Costs]]</f>
        <v>177253</v>
      </c>
      <c r="T650">
        <v>602478</v>
      </c>
      <c r="U650">
        <v>40</v>
      </c>
      <c r="V650">
        <v>58</v>
      </c>
      <c r="W650">
        <v>9.6999999999999993</v>
      </c>
    </row>
    <row r="651" spans="1:23" x14ac:dyDescent="0.25">
      <c r="A651">
        <v>2</v>
      </c>
      <c r="B651" t="s">
        <v>39</v>
      </c>
      <c r="C651" s="1">
        <v>45577</v>
      </c>
      <c r="D651" t="s">
        <v>71</v>
      </c>
      <c r="E651">
        <v>0</v>
      </c>
      <c r="F651">
        <v>61</v>
      </c>
      <c r="G651" t="str">
        <f t="shared" si="18"/>
        <v>61-80</v>
      </c>
      <c r="H651" t="s">
        <v>23</v>
      </c>
      <c r="I651" t="s">
        <v>43</v>
      </c>
      <c r="J651" t="s">
        <v>25</v>
      </c>
      <c r="K651" t="s">
        <v>29</v>
      </c>
      <c r="L651">
        <v>1</v>
      </c>
      <c r="M651">
        <v>1</v>
      </c>
      <c r="N651">
        <v>4</v>
      </c>
      <c r="O651">
        <v>8.4</v>
      </c>
      <c r="P651">
        <v>7</v>
      </c>
      <c r="Q651">
        <v>3</v>
      </c>
      <c r="R651">
        <v>856162</v>
      </c>
      <c r="S651">
        <f>Table1[[#This Row],[Revenue]]-Table1[[#This Row],[Operating_Costs]]</f>
        <v>302762</v>
      </c>
      <c r="T651">
        <v>553400</v>
      </c>
      <c r="U651">
        <v>33</v>
      </c>
      <c r="V651">
        <v>54</v>
      </c>
      <c r="W651">
        <v>10.6</v>
      </c>
    </row>
    <row r="652" spans="1:23" x14ac:dyDescent="0.25">
      <c r="A652">
        <v>2</v>
      </c>
      <c r="B652" t="s">
        <v>39</v>
      </c>
      <c r="C652" s="1">
        <v>44898</v>
      </c>
      <c r="D652" t="s">
        <v>71</v>
      </c>
      <c r="E652">
        <v>0</v>
      </c>
      <c r="F652">
        <v>29</v>
      </c>
      <c r="G652" t="str">
        <f t="shared" si="18"/>
        <v>21-40</v>
      </c>
      <c r="H652" t="s">
        <v>35</v>
      </c>
      <c r="I652" t="s">
        <v>64</v>
      </c>
      <c r="J652" t="s">
        <v>65</v>
      </c>
      <c r="K652" t="s">
        <v>33</v>
      </c>
      <c r="L652">
        <v>1</v>
      </c>
      <c r="M652">
        <v>1</v>
      </c>
      <c r="N652">
        <v>5.6</v>
      </c>
      <c r="O652">
        <v>7.1</v>
      </c>
      <c r="P652">
        <v>4</v>
      </c>
      <c r="Q652">
        <v>7</v>
      </c>
      <c r="R652">
        <v>632725</v>
      </c>
      <c r="S652">
        <f>Table1[[#This Row],[Revenue]]-Table1[[#This Row],[Operating_Costs]]</f>
        <v>110737</v>
      </c>
      <c r="T652">
        <v>521988</v>
      </c>
      <c r="U652">
        <v>33</v>
      </c>
      <c r="V652">
        <v>65</v>
      </c>
      <c r="W652">
        <v>9.1999999999999993</v>
      </c>
    </row>
    <row r="653" spans="1:23" x14ac:dyDescent="0.25">
      <c r="A653">
        <v>2</v>
      </c>
      <c r="B653" t="s">
        <v>39</v>
      </c>
      <c r="C653" s="1">
        <v>44242</v>
      </c>
      <c r="D653" t="s">
        <v>71</v>
      </c>
      <c r="E653">
        <v>0</v>
      </c>
      <c r="F653">
        <v>46</v>
      </c>
      <c r="G653" t="str">
        <f t="shared" si="18"/>
        <v>41-60</v>
      </c>
      <c r="H653" t="s">
        <v>23</v>
      </c>
      <c r="I653" t="s">
        <v>43</v>
      </c>
      <c r="J653" t="s">
        <v>25</v>
      </c>
      <c r="K653" t="s">
        <v>38</v>
      </c>
      <c r="L653">
        <v>1</v>
      </c>
      <c r="M653">
        <v>1</v>
      </c>
      <c r="N653">
        <v>4.0999999999999996</v>
      </c>
      <c r="O653">
        <v>9.9</v>
      </c>
      <c r="P653">
        <v>6</v>
      </c>
      <c r="Q653">
        <v>3</v>
      </c>
      <c r="R653">
        <v>625226</v>
      </c>
      <c r="S653">
        <f>Table1[[#This Row],[Revenue]]-Table1[[#This Row],[Operating_Costs]]</f>
        <v>43694</v>
      </c>
      <c r="T653">
        <v>581532</v>
      </c>
      <c r="U653">
        <v>30</v>
      </c>
      <c r="V653">
        <v>55</v>
      </c>
      <c r="W653">
        <v>12.4</v>
      </c>
    </row>
    <row r="654" spans="1:23" x14ac:dyDescent="0.25">
      <c r="A654">
        <v>2</v>
      </c>
      <c r="B654" t="s">
        <v>39</v>
      </c>
      <c r="C654" s="1">
        <v>44307</v>
      </c>
      <c r="D654" t="s">
        <v>71</v>
      </c>
      <c r="E654">
        <v>0</v>
      </c>
      <c r="F654">
        <v>23</v>
      </c>
      <c r="G654" t="str">
        <f t="shared" si="18"/>
        <v>21-40</v>
      </c>
      <c r="H654" t="s">
        <v>23</v>
      </c>
      <c r="I654" t="s">
        <v>27</v>
      </c>
      <c r="J654" t="s">
        <v>28</v>
      </c>
      <c r="K654" t="s">
        <v>38</v>
      </c>
      <c r="L654">
        <v>1</v>
      </c>
      <c r="M654">
        <v>1</v>
      </c>
      <c r="N654">
        <v>6.8</v>
      </c>
      <c r="O654">
        <v>9.8000000000000007</v>
      </c>
      <c r="P654">
        <v>3</v>
      </c>
      <c r="Q654">
        <v>4</v>
      </c>
      <c r="R654">
        <v>737483</v>
      </c>
      <c r="S654">
        <f>Table1[[#This Row],[Revenue]]-Table1[[#This Row],[Operating_Costs]]</f>
        <v>137054</v>
      </c>
      <c r="T654">
        <v>600429</v>
      </c>
      <c r="U654">
        <v>37</v>
      </c>
      <c r="V654">
        <v>58</v>
      </c>
      <c r="W654">
        <v>12.5</v>
      </c>
    </row>
    <row r="655" spans="1:23" x14ac:dyDescent="0.25">
      <c r="A655">
        <v>2</v>
      </c>
      <c r="B655" t="s">
        <v>39</v>
      </c>
      <c r="C655" s="1">
        <v>44603</v>
      </c>
      <c r="D655" t="s">
        <v>71</v>
      </c>
      <c r="E655">
        <v>0</v>
      </c>
      <c r="F655">
        <v>39</v>
      </c>
      <c r="G655" t="str">
        <f t="shared" si="18"/>
        <v>21-40</v>
      </c>
      <c r="H655" t="s">
        <v>23</v>
      </c>
      <c r="I655" t="s">
        <v>24</v>
      </c>
      <c r="J655" t="s">
        <v>25</v>
      </c>
      <c r="K655" t="s">
        <v>33</v>
      </c>
      <c r="L655">
        <v>1</v>
      </c>
      <c r="M655">
        <v>1</v>
      </c>
      <c r="N655">
        <v>6.6</v>
      </c>
      <c r="O655">
        <v>9.5</v>
      </c>
      <c r="P655">
        <v>5</v>
      </c>
      <c r="Q655">
        <v>5</v>
      </c>
      <c r="R655">
        <v>776106</v>
      </c>
      <c r="S655">
        <f>Table1[[#This Row],[Revenue]]-Table1[[#This Row],[Operating_Costs]]</f>
        <v>244839</v>
      </c>
      <c r="T655">
        <v>531267</v>
      </c>
      <c r="U655">
        <v>33</v>
      </c>
      <c r="V655">
        <v>58</v>
      </c>
      <c r="W655">
        <v>8.9</v>
      </c>
    </row>
    <row r="656" spans="1:23" x14ac:dyDescent="0.25">
      <c r="A656">
        <v>2</v>
      </c>
      <c r="B656" t="s">
        <v>39</v>
      </c>
      <c r="C656" s="1">
        <v>44557</v>
      </c>
      <c r="D656" t="s">
        <v>71</v>
      </c>
      <c r="E656">
        <v>0</v>
      </c>
      <c r="F656">
        <v>65</v>
      </c>
      <c r="G656" t="str">
        <f t="shared" si="18"/>
        <v>61-80</v>
      </c>
      <c r="H656" t="s">
        <v>23</v>
      </c>
      <c r="I656" t="s">
        <v>67</v>
      </c>
      <c r="J656" t="s">
        <v>68</v>
      </c>
      <c r="K656" t="s">
        <v>38</v>
      </c>
      <c r="L656">
        <v>1</v>
      </c>
      <c r="M656">
        <v>1</v>
      </c>
      <c r="N656">
        <v>2.6</v>
      </c>
      <c r="O656">
        <v>9.9</v>
      </c>
      <c r="P656">
        <v>5</v>
      </c>
      <c r="Q656">
        <v>6</v>
      </c>
      <c r="R656">
        <v>841751</v>
      </c>
      <c r="S656">
        <f>Table1[[#This Row],[Revenue]]-Table1[[#This Row],[Operating_Costs]]</f>
        <v>254531</v>
      </c>
      <c r="T656">
        <v>587220</v>
      </c>
      <c r="U656">
        <v>37</v>
      </c>
      <c r="V656">
        <v>60</v>
      </c>
      <c r="W656">
        <v>13.1</v>
      </c>
    </row>
    <row r="657" spans="1:23" x14ac:dyDescent="0.25">
      <c r="A657">
        <v>2</v>
      </c>
      <c r="B657" t="s">
        <v>39</v>
      </c>
      <c r="C657" s="1">
        <v>45278</v>
      </c>
      <c r="D657" t="s">
        <v>71</v>
      </c>
      <c r="E657">
        <v>0</v>
      </c>
      <c r="F657">
        <v>33</v>
      </c>
      <c r="G657" t="str">
        <f t="shared" si="18"/>
        <v>21-40</v>
      </c>
      <c r="H657" t="s">
        <v>35</v>
      </c>
      <c r="I657" t="s">
        <v>64</v>
      </c>
      <c r="J657" t="s">
        <v>65</v>
      </c>
      <c r="K657" t="s">
        <v>42</v>
      </c>
      <c r="L657">
        <v>1</v>
      </c>
      <c r="M657">
        <v>1</v>
      </c>
      <c r="N657">
        <v>2.4</v>
      </c>
      <c r="O657">
        <v>7.4</v>
      </c>
      <c r="P657">
        <v>5</v>
      </c>
      <c r="Q657">
        <v>5</v>
      </c>
      <c r="R657">
        <v>620829</v>
      </c>
      <c r="S657">
        <f>Table1[[#This Row],[Revenue]]-Table1[[#This Row],[Operating_Costs]]</f>
        <v>25839</v>
      </c>
      <c r="T657">
        <v>594990</v>
      </c>
      <c r="U657">
        <v>30</v>
      </c>
      <c r="V657">
        <v>60</v>
      </c>
      <c r="W657">
        <v>13.9</v>
      </c>
    </row>
    <row r="658" spans="1:23" x14ac:dyDescent="0.25">
      <c r="A658">
        <v>2</v>
      </c>
      <c r="B658" t="s">
        <v>39</v>
      </c>
      <c r="C658" s="1">
        <v>44940</v>
      </c>
      <c r="D658" t="s">
        <v>71</v>
      </c>
      <c r="E658">
        <v>0</v>
      </c>
      <c r="F658">
        <v>39</v>
      </c>
      <c r="G658" t="str">
        <f t="shared" si="18"/>
        <v>21-40</v>
      </c>
      <c r="H658" t="s">
        <v>23</v>
      </c>
      <c r="I658" t="s">
        <v>58</v>
      </c>
      <c r="J658" t="s">
        <v>59</v>
      </c>
      <c r="K658" t="s">
        <v>38</v>
      </c>
      <c r="L658">
        <v>1</v>
      </c>
      <c r="M658">
        <v>1</v>
      </c>
      <c r="N658">
        <v>4.0999999999999996</v>
      </c>
      <c r="O658">
        <v>9.3000000000000007</v>
      </c>
      <c r="P658">
        <v>3</v>
      </c>
      <c r="Q658">
        <v>3</v>
      </c>
      <c r="R658">
        <v>873843</v>
      </c>
      <c r="S658">
        <f>Table1[[#This Row],[Revenue]]-Table1[[#This Row],[Operating_Costs]]</f>
        <v>336519</v>
      </c>
      <c r="T658">
        <v>537324</v>
      </c>
      <c r="U658">
        <v>40</v>
      </c>
      <c r="V658">
        <v>54</v>
      </c>
      <c r="W658">
        <v>7.6</v>
      </c>
    </row>
    <row r="659" spans="1:23" x14ac:dyDescent="0.25">
      <c r="A659">
        <v>2</v>
      </c>
      <c r="B659" t="s">
        <v>39</v>
      </c>
      <c r="C659" s="1">
        <v>45285</v>
      </c>
      <c r="D659" t="s">
        <v>71</v>
      </c>
      <c r="E659">
        <v>0</v>
      </c>
      <c r="F659">
        <v>71</v>
      </c>
      <c r="G659" t="str">
        <f t="shared" si="18"/>
        <v>61-80</v>
      </c>
      <c r="H659" t="s">
        <v>23</v>
      </c>
      <c r="I659" t="s">
        <v>24</v>
      </c>
      <c r="J659" t="s">
        <v>25</v>
      </c>
      <c r="K659" t="s">
        <v>29</v>
      </c>
      <c r="L659">
        <v>1</v>
      </c>
      <c r="M659">
        <v>1</v>
      </c>
      <c r="N659">
        <v>5.2</v>
      </c>
      <c r="O659">
        <v>9</v>
      </c>
      <c r="P659">
        <v>6</v>
      </c>
      <c r="Q659">
        <v>5</v>
      </c>
      <c r="R659">
        <v>708001</v>
      </c>
      <c r="S659">
        <f>Table1[[#This Row],[Revenue]]-Table1[[#This Row],[Operating_Costs]]</f>
        <v>60470</v>
      </c>
      <c r="T659">
        <v>647531</v>
      </c>
      <c r="U659">
        <v>32</v>
      </c>
      <c r="V659">
        <v>55</v>
      </c>
      <c r="W659">
        <v>10.7</v>
      </c>
    </row>
    <row r="660" spans="1:23" x14ac:dyDescent="0.25">
      <c r="A660">
        <v>2</v>
      </c>
      <c r="B660" t="s">
        <v>39</v>
      </c>
      <c r="C660" s="1">
        <v>44540</v>
      </c>
      <c r="D660" t="s">
        <v>71</v>
      </c>
      <c r="E660">
        <v>0</v>
      </c>
      <c r="F660">
        <v>27</v>
      </c>
      <c r="G660" t="str">
        <f t="shared" si="18"/>
        <v>21-40</v>
      </c>
      <c r="H660" t="s">
        <v>23</v>
      </c>
      <c r="I660" t="s">
        <v>24</v>
      </c>
      <c r="J660" t="s">
        <v>25</v>
      </c>
      <c r="K660" t="s">
        <v>33</v>
      </c>
      <c r="L660">
        <v>1</v>
      </c>
      <c r="M660">
        <v>1</v>
      </c>
      <c r="N660">
        <v>3.9</v>
      </c>
      <c r="O660">
        <v>8.8000000000000007</v>
      </c>
      <c r="P660">
        <v>5</v>
      </c>
      <c r="Q660">
        <v>3</v>
      </c>
      <c r="R660">
        <v>754822</v>
      </c>
      <c r="S660">
        <f>Table1[[#This Row],[Revenue]]-Table1[[#This Row],[Operating_Costs]]</f>
        <v>139542</v>
      </c>
      <c r="T660">
        <v>615280</v>
      </c>
      <c r="U660">
        <v>30</v>
      </c>
      <c r="V660">
        <v>61</v>
      </c>
      <c r="W660">
        <v>10.8</v>
      </c>
    </row>
    <row r="661" spans="1:23" x14ac:dyDescent="0.25">
      <c r="A661">
        <v>2</v>
      </c>
      <c r="B661" t="s">
        <v>39</v>
      </c>
      <c r="C661" s="1">
        <v>44642</v>
      </c>
      <c r="D661" t="s">
        <v>71</v>
      </c>
      <c r="E661">
        <v>0</v>
      </c>
      <c r="F661">
        <v>34</v>
      </c>
      <c r="G661" t="str">
        <f t="shared" si="18"/>
        <v>21-40</v>
      </c>
      <c r="H661" t="s">
        <v>35</v>
      </c>
      <c r="I661" t="s">
        <v>36</v>
      </c>
      <c r="J661" t="s">
        <v>37</v>
      </c>
      <c r="K661" t="s">
        <v>26</v>
      </c>
      <c r="L661">
        <v>1</v>
      </c>
      <c r="M661">
        <v>1</v>
      </c>
      <c r="N661">
        <v>3.9</v>
      </c>
      <c r="O661">
        <v>8.4</v>
      </c>
      <c r="P661">
        <v>5</v>
      </c>
      <c r="Q661">
        <v>7</v>
      </c>
      <c r="R661">
        <v>700573</v>
      </c>
      <c r="S661">
        <f>Table1[[#This Row],[Revenue]]-Table1[[#This Row],[Operating_Costs]]</f>
        <v>148295</v>
      </c>
      <c r="T661">
        <v>552278</v>
      </c>
      <c r="U661">
        <v>34</v>
      </c>
      <c r="V661">
        <v>64</v>
      </c>
      <c r="W661">
        <v>14</v>
      </c>
    </row>
    <row r="662" spans="1:23" x14ac:dyDescent="0.25">
      <c r="A662">
        <v>2</v>
      </c>
      <c r="B662" t="s">
        <v>39</v>
      </c>
      <c r="C662" s="1">
        <v>45080</v>
      </c>
      <c r="D662" t="s">
        <v>71</v>
      </c>
      <c r="E662">
        <v>0</v>
      </c>
      <c r="F662">
        <v>49</v>
      </c>
      <c r="G662" t="str">
        <f t="shared" si="18"/>
        <v>41-60</v>
      </c>
      <c r="H662" t="s">
        <v>23</v>
      </c>
      <c r="I662" t="s">
        <v>43</v>
      </c>
      <c r="J662" t="s">
        <v>25</v>
      </c>
      <c r="K662" t="s">
        <v>38</v>
      </c>
      <c r="L662">
        <v>1</v>
      </c>
      <c r="M662">
        <v>1</v>
      </c>
      <c r="N662">
        <v>5.4</v>
      </c>
      <c r="O662">
        <v>9.5</v>
      </c>
      <c r="P662">
        <v>5</v>
      </c>
      <c r="Q662">
        <v>3</v>
      </c>
      <c r="R662">
        <v>882899</v>
      </c>
      <c r="S662">
        <f>Table1[[#This Row],[Revenue]]-Table1[[#This Row],[Operating_Costs]]</f>
        <v>246086</v>
      </c>
      <c r="T662">
        <v>636813</v>
      </c>
      <c r="U662">
        <v>30</v>
      </c>
      <c r="V662">
        <v>64</v>
      </c>
      <c r="W662">
        <v>9.9</v>
      </c>
    </row>
    <row r="663" spans="1:23" x14ac:dyDescent="0.25">
      <c r="A663">
        <v>2</v>
      </c>
      <c r="B663" t="s">
        <v>39</v>
      </c>
      <c r="C663" s="1">
        <v>44931</v>
      </c>
      <c r="D663" t="s">
        <v>71</v>
      </c>
      <c r="E663">
        <v>0</v>
      </c>
      <c r="F663">
        <v>66</v>
      </c>
      <c r="G663" t="str">
        <f t="shared" si="18"/>
        <v>61-80</v>
      </c>
      <c r="H663" t="s">
        <v>23</v>
      </c>
      <c r="I663" t="s">
        <v>50</v>
      </c>
      <c r="J663" t="s">
        <v>51</v>
      </c>
      <c r="K663" t="s">
        <v>26</v>
      </c>
      <c r="L663">
        <v>1</v>
      </c>
      <c r="M663">
        <v>1</v>
      </c>
      <c r="N663">
        <v>1.8</v>
      </c>
      <c r="O663">
        <v>7.9</v>
      </c>
      <c r="P663">
        <v>7</v>
      </c>
      <c r="Q663">
        <v>6</v>
      </c>
      <c r="R663">
        <v>631717</v>
      </c>
      <c r="S663">
        <f>Table1[[#This Row],[Revenue]]-Table1[[#This Row],[Operating_Costs]]</f>
        <v>81295</v>
      </c>
      <c r="T663">
        <v>550422</v>
      </c>
      <c r="U663">
        <v>39</v>
      </c>
      <c r="V663">
        <v>63</v>
      </c>
      <c r="W663">
        <v>12.2</v>
      </c>
    </row>
    <row r="664" spans="1:23" x14ac:dyDescent="0.25">
      <c r="A664">
        <v>2</v>
      </c>
      <c r="B664" t="s">
        <v>39</v>
      </c>
      <c r="C664" s="1">
        <v>44621</v>
      </c>
      <c r="D664" t="s">
        <v>71</v>
      </c>
      <c r="E664">
        <v>0</v>
      </c>
      <c r="F664">
        <v>83</v>
      </c>
      <c r="G664" t="str">
        <f t="shared" si="18"/>
        <v>81+</v>
      </c>
      <c r="H664" t="s">
        <v>35</v>
      </c>
      <c r="I664" t="s">
        <v>36</v>
      </c>
      <c r="J664" t="s">
        <v>37</v>
      </c>
      <c r="K664" t="s">
        <v>38</v>
      </c>
      <c r="L664">
        <v>1</v>
      </c>
      <c r="M664">
        <v>1</v>
      </c>
      <c r="N664">
        <v>2.2000000000000002</v>
      </c>
      <c r="O664">
        <v>7.8</v>
      </c>
      <c r="P664">
        <v>3</v>
      </c>
      <c r="Q664">
        <v>5</v>
      </c>
      <c r="R664">
        <v>822787</v>
      </c>
      <c r="S664">
        <f>Table1[[#This Row],[Revenue]]-Table1[[#This Row],[Operating_Costs]]</f>
        <v>275142</v>
      </c>
      <c r="T664">
        <v>547645</v>
      </c>
      <c r="U664">
        <v>31</v>
      </c>
      <c r="V664">
        <v>61</v>
      </c>
      <c r="W664">
        <v>5.8</v>
      </c>
    </row>
    <row r="665" spans="1:23" x14ac:dyDescent="0.25">
      <c r="A665">
        <v>2</v>
      </c>
      <c r="B665" t="s">
        <v>39</v>
      </c>
      <c r="C665" s="1">
        <v>45576</v>
      </c>
      <c r="D665" t="s">
        <v>71</v>
      </c>
      <c r="E665">
        <v>0</v>
      </c>
      <c r="F665">
        <v>32</v>
      </c>
      <c r="G665" t="str">
        <f t="shared" si="18"/>
        <v>21-40</v>
      </c>
      <c r="H665" t="s">
        <v>23</v>
      </c>
      <c r="I665" t="s">
        <v>27</v>
      </c>
      <c r="J665" t="s">
        <v>28</v>
      </c>
      <c r="K665" t="s">
        <v>29</v>
      </c>
      <c r="L665">
        <v>1</v>
      </c>
      <c r="M665">
        <v>1</v>
      </c>
      <c r="N665">
        <v>1.8</v>
      </c>
      <c r="O665">
        <v>7.7</v>
      </c>
      <c r="P665">
        <v>6</v>
      </c>
      <c r="Q665">
        <v>3</v>
      </c>
      <c r="R665">
        <v>624216</v>
      </c>
      <c r="S665">
        <f>Table1[[#This Row],[Revenue]]-Table1[[#This Row],[Operating_Costs]]</f>
        <v>37869</v>
      </c>
      <c r="T665">
        <v>586347</v>
      </c>
      <c r="U665">
        <v>35</v>
      </c>
      <c r="V665">
        <v>63</v>
      </c>
      <c r="W665">
        <v>13.4</v>
      </c>
    </row>
    <row r="666" spans="1:23" x14ac:dyDescent="0.25">
      <c r="A666">
        <v>2</v>
      </c>
      <c r="B666" t="s">
        <v>39</v>
      </c>
      <c r="C666" s="1">
        <v>44567</v>
      </c>
      <c r="D666" t="s">
        <v>71</v>
      </c>
      <c r="E666">
        <v>0</v>
      </c>
      <c r="F666">
        <v>44</v>
      </c>
      <c r="G666" t="str">
        <f t="shared" si="18"/>
        <v>41-60</v>
      </c>
      <c r="H666" t="s">
        <v>35</v>
      </c>
      <c r="I666" t="s">
        <v>40</v>
      </c>
      <c r="J666" t="s">
        <v>41</v>
      </c>
      <c r="K666" t="s">
        <v>29</v>
      </c>
      <c r="L666">
        <v>1</v>
      </c>
      <c r="M666">
        <v>1</v>
      </c>
      <c r="N666">
        <v>5.3</v>
      </c>
      <c r="O666">
        <v>9.1</v>
      </c>
      <c r="P666">
        <v>5</v>
      </c>
      <c r="Q666">
        <v>7</v>
      </c>
      <c r="R666">
        <v>699970</v>
      </c>
      <c r="S666">
        <f>Table1[[#This Row],[Revenue]]-Table1[[#This Row],[Operating_Costs]]</f>
        <v>78968</v>
      </c>
      <c r="T666">
        <v>621002</v>
      </c>
      <c r="U666">
        <v>38</v>
      </c>
      <c r="V666">
        <v>56</v>
      </c>
      <c r="W666">
        <v>5.4</v>
      </c>
    </row>
    <row r="667" spans="1:23" x14ac:dyDescent="0.25">
      <c r="A667">
        <v>2</v>
      </c>
      <c r="B667" t="s">
        <v>39</v>
      </c>
      <c r="C667" s="1">
        <v>45070</v>
      </c>
      <c r="D667" t="s">
        <v>71</v>
      </c>
      <c r="E667">
        <v>0</v>
      </c>
      <c r="F667">
        <v>54</v>
      </c>
      <c r="G667" t="str">
        <f t="shared" si="18"/>
        <v>41-60</v>
      </c>
      <c r="H667" t="s">
        <v>35</v>
      </c>
      <c r="I667" t="s">
        <v>60</v>
      </c>
      <c r="J667" t="s">
        <v>59</v>
      </c>
      <c r="K667" t="s">
        <v>29</v>
      </c>
      <c r="L667">
        <v>1</v>
      </c>
      <c r="M667">
        <v>1</v>
      </c>
      <c r="N667">
        <v>5.4</v>
      </c>
      <c r="O667">
        <v>8.4</v>
      </c>
      <c r="P667">
        <v>3</v>
      </c>
      <c r="Q667">
        <v>6</v>
      </c>
      <c r="R667">
        <v>610558</v>
      </c>
      <c r="S667">
        <f>Table1[[#This Row],[Revenue]]-Table1[[#This Row],[Operating_Costs]]</f>
        <v>2198</v>
      </c>
      <c r="T667">
        <v>608360</v>
      </c>
      <c r="U667">
        <v>36</v>
      </c>
      <c r="V667">
        <v>61</v>
      </c>
      <c r="W667">
        <v>10.8</v>
      </c>
    </row>
    <row r="668" spans="1:23" x14ac:dyDescent="0.25">
      <c r="A668">
        <v>1</v>
      </c>
      <c r="B668" t="s">
        <v>32</v>
      </c>
      <c r="C668" s="1">
        <v>45192</v>
      </c>
      <c r="D668" t="s">
        <v>71</v>
      </c>
      <c r="E668">
        <v>0</v>
      </c>
      <c r="F668">
        <v>70</v>
      </c>
      <c r="G668" t="str">
        <f t="shared" si="18"/>
        <v>61-80</v>
      </c>
      <c r="H668" t="s">
        <v>23</v>
      </c>
      <c r="I668" t="s">
        <v>24</v>
      </c>
      <c r="J668" t="s">
        <v>25</v>
      </c>
      <c r="K668" t="s">
        <v>38</v>
      </c>
      <c r="L668">
        <v>1</v>
      </c>
      <c r="M668">
        <v>1</v>
      </c>
      <c r="N668">
        <v>4.3</v>
      </c>
      <c r="O668">
        <v>7.6</v>
      </c>
      <c r="P668">
        <v>4</v>
      </c>
      <c r="Q668">
        <v>4</v>
      </c>
      <c r="R668">
        <v>946987</v>
      </c>
      <c r="S668">
        <f>Table1[[#This Row],[Revenue]]-Table1[[#This Row],[Operating_Costs]]</f>
        <v>289319</v>
      </c>
      <c r="T668">
        <v>657668</v>
      </c>
      <c r="U668">
        <v>40</v>
      </c>
      <c r="V668">
        <v>54</v>
      </c>
      <c r="W668">
        <v>5.8</v>
      </c>
    </row>
    <row r="669" spans="1:23" x14ac:dyDescent="0.25">
      <c r="A669">
        <v>1</v>
      </c>
      <c r="B669" t="s">
        <v>32</v>
      </c>
      <c r="C669" s="1">
        <v>45005</v>
      </c>
      <c r="D669" t="s">
        <v>71</v>
      </c>
      <c r="E669">
        <v>0</v>
      </c>
      <c r="F669">
        <v>28</v>
      </c>
      <c r="G669" t="str">
        <f t="shared" si="18"/>
        <v>21-40</v>
      </c>
      <c r="H669" t="s">
        <v>23</v>
      </c>
      <c r="I669" t="s">
        <v>64</v>
      </c>
      <c r="J669" t="s">
        <v>65</v>
      </c>
      <c r="K669" t="s">
        <v>33</v>
      </c>
      <c r="L669">
        <v>1</v>
      </c>
      <c r="M669">
        <v>1</v>
      </c>
      <c r="N669">
        <v>6.5</v>
      </c>
      <c r="O669">
        <v>9.8000000000000007</v>
      </c>
      <c r="P669">
        <v>4</v>
      </c>
      <c r="Q669">
        <v>5</v>
      </c>
      <c r="R669">
        <v>973837</v>
      </c>
      <c r="S669">
        <f>Table1[[#This Row],[Revenue]]-Table1[[#This Row],[Operating_Costs]]</f>
        <v>302471</v>
      </c>
      <c r="T669">
        <v>671366</v>
      </c>
      <c r="U669">
        <v>34</v>
      </c>
      <c r="V669">
        <v>58</v>
      </c>
      <c r="W669">
        <v>12.2</v>
      </c>
    </row>
    <row r="670" spans="1:23" x14ac:dyDescent="0.25">
      <c r="A670">
        <v>2</v>
      </c>
      <c r="B670" t="s">
        <v>39</v>
      </c>
      <c r="C670" s="1">
        <v>44262</v>
      </c>
      <c r="D670" t="s">
        <v>71</v>
      </c>
      <c r="E670">
        <v>0</v>
      </c>
      <c r="F670">
        <v>33</v>
      </c>
      <c r="G670" t="str">
        <f t="shared" si="18"/>
        <v>21-40</v>
      </c>
      <c r="H670" t="s">
        <v>35</v>
      </c>
      <c r="I670" t="s">
        <v>64</v>
      </c>
      <c r="J670" t="s">
        <v>65</v>
      </c>
      <c r="K670" t="s">
        <v>38</v>
      </c>
      <c r="L670">
        <v>1</v>
      </c>
      <c r="M670">
        <v>1</v>
      </c>
      <c r="N670">
        <v>6.7</v>
      </c>
      <c r="O670">
        <v>8.4</v>
      </c>
      <c r="P670">
        <v>5</v>
      </c>
      <c r="Q670">
        <v>7</v>
      </c>
      <c r="R670">
        <v>812162</v>
      </c>
      <c r="S670">
        <f>Table1[[#This Row],[Revenue]]-Table1[[#This Row],[Operating_Costs]]</f>
        <v>303393</v>
      </c>
      <c r="T670">
        <v>508769</v>
      </c>
      <c r="U670">
        <v>34</v>
      </c>
      <c r="V670">
        <v>63</v>
      </c>
      <c r="W670">
        <v>7</v>
      </c>
    </row>
    <row r="671" spans="1:23" x14ac:dyDescent="0.25">
      <c r="A671">
        <v>1</v>
      </c>
      <c r="B671" t="s">
        <v>32</v>
      </c>
      <c r="C671" s="1">
        <v>45316</v>
      </c>
      <c r="D671" t="s">
        <v>71</v>
      </c>
      <c r="E671">
        <v>0</v>
      </c>
      <c r="F671">
        <v>54</v>
      </c>
      <c r="G671" t="str">
        <f t="shared" si="18"/>
        <v>41-60</v>
      </c>
      <c r="H671" t="s">
        <v>35</v>
      </c>
      <c r="I671" t="s">
        <v>40</v>
      </c>
      <c r="J671" t="s">
        <v>41</v>
      </c>
      <c r="K671" t="s">
        <v>42</v>
      </c>
      <c r="L671">
        <v>1</v>
      </c>
      <c r="M671">
        <v>1</v>
      </c>
      <c r="N671">
        <v>2.2999999999999998</v>
      </c>
      <c r="O671">
        <v>9.4</v>
      </c>
      <c r="P671">
        <v>5</v>
      </c>
      <c r="Q671">
        <v>7</v>
      </c>
      <c r="R671">
        <v>960199</v>
      </c>
      <c r="S671">
        <f>Table1[[#This Row],[Revenue]]-Table1[[#This Row],[Operating_Costs]]</f>
        <v>257504</v>
      </c>
      <c r="T671">
        <v>702695</v>
      </c>
      <c r="U671">
        <v>38</v>
      </c>
      <c r="V671">
        <v>61</v>
      </c>
      <c r="W671">
        <v>13</v>
      </c>
    </row>
    <row r="672" spans="1:23" x14ac:dyDescent="0.25">
      <c r="A672">
        <v>1</v>
      </c>
      <c r="B672" t="s">
        <v>32</v>
      </c>
      <c r="C672" s="1">
        <v>44541</v>
      </c>
      <c r="D672" t="s">
        <v>71</v>
      </c>
      <c r="E672">
        <v>0</v>
      </c>
      <c r="F672">
        <v>80</v>
      </c>
      <c r="G672" t="str">
        <f t="shared" si="18"/>
        <v>61-80</v>
      </c>
      <c r="H672" t="s">
        <v>23</v>
      </c>
      <c r="I672" t="s">
        <v>31</v>
      </c>
      <c r="J672" t="s">
        <v>28</v>
      </c>
      <c r="K672" t="s">
        <v>42</v>
      </c>
      <c r="L672">
        <v>1</v>
      </c>
      <c r="M672">
        <v>1</v>
      </c>
      <c r="N672">
        <v>3.5</v>
      </c>
      <c r="O672">
        <v>9.6</v>
      </c>
      <c r="P672">
        <v>4</v>
      </c>
      <c r="Q672">
        <v>6</v>
      </c>
      <c r="R672">
        <v>953774</v>
      </c>
      <c r="S672">
        <f>Table1[[#This Row],[Revenue]]-Table1[[#This Row],[Operating_Costs]]</f>
        <v>60018</v>
      </c>
      <c r="T672">
        <v>893756</v>
      </c>
      <c r="U672">
        <v>38</v>
      </c>
      <c r="V672">
        <v>62</v>
      </c>
      <c r="W672">
        <v>10.9</v>
      </c>
    </row>
    <row r="673" spans="1:23" x14ac:dyDescent="0.25">
      <c r="A673">
        <v>2</v>
      </c>
      <c r="B673" t="s">
        <v>39</v>
      </c>
      <c r="C673" s="1">
        <v>45521</v>
      </c>
      <c r="D673" t="s">
        <v>71</v>
      </c>
      <c r="E673">
        <v>0</v>
      </c>
      <c r="F673">
        <v>46</v>
      </c>
      <c r="G673" t="str">
        <f t="shared" si="18"/>
        <v>41-60</v>
      </c>
      <c r="H673" t="s">
        <v>23</v>
      </c>
      <c r="I673" t="s">
        <v>67</v>
      </c>
      <c r="J673" t="s">
        <v>68</v>
      </c>
      <c r="K673" t="s">
        <v>38</v>
      </c>
      <c r="L673">
        <v>1</v>
      </c>
      <c r="M673">
        <v>1</v>
      </c>
      <c r="N673">
        <v>3.7</v>
      </c>
      <c r="O673">
        <v>8.1999999999999993</v>
      </c>
      <c r="P673">
        <v>7</v>
      </c>
      <c r="Q673">
        <v>3</v>
      </c>
      <c r="R673">
        <v>699003</v>
      </c>
      <c r="S673">
        <f>Table1[[#This Row],[Revenue]]-Table1[[#This Row],[Operating_Costs]]</f>
        <v>79667</v>
      </c>
      <c r="T673">
        <v>619336</v>
      </c>
      <c r="U673">
        <v>37</v>
      </c>
      <c r="V673">
        <v>54</v>
      </c>
      <c r="W673">
        <v>10.6</v>
      </c>
    </row>
    <row r="674" spans="1:23" x14ac:dyDescent="0.25">
      <c r="A674">
        <v>2</v>
      </c>
      <c r="B674" t="s">
        <v>39</v>
      </c>
      <c r="C674" s="1">
        <v>45422</v>
      </c>
      <c r="D674" t="s">
        <v>71</v>
      </c>
      <c r="E674">
        <v>0</v>
      </c>
      <c r="F674">
        <v>75</v>
      </c>
      <c r="G674" t="str">
        <f t="shared" si="18"/>
        <v>61-80</v>
      </c>
      <c r="H674" t="s">
        <v>35</v>
      </c>
      <c r="I674" t="s">
        <v>61</v>
      </c>
      <c r="J674" t="s">
        <v>62</v>
      </c>
      <c r="K674" t="s">
        <v>38</v>
      </c>
      <c r="L674">
        <v>1</v>
      </c>
      <c r="M674">
        <v>1</v>
      </c>
      <c r="N674">
        <v>6.5</v>
      </c>
      <c r="O674">
        <v>9.3000000000000007</v>
      </c>
      <c r="P674">
        <v>6</v>
      </c>
      <c r="Q674">
        <v>5</v>
      </c>
      <c r="R674">
        <v>712809</v>
      </c>
      <c r="S674">
        <f>Table1[[#This Row],[Revenue]]-Table1[[#This Row],[Operating_Costs]]</f>
        <v>76214</v>
      </c>
      <c r="T674">
        <v>636595</v>
      </c>
      <c r="U674">
        <v>39</v>
      </c>
      <c r="V674">
        <v>59</v>
      </c>
      <c r="W674">
        <v>5.9</v>
      </c>
    </row>
    <row r="675" spans="1:23" x14ac:dyDescent="0.25">
      <c r="A675">
        <v>2</v>
      </c>
      <c r="B675" t="s">
        <v>39</v>
      </c>
      <c r="C675" s="1">
        <v>44898</v>
      </c>
      <c r="D675" t="s">
        <v>71</v>
      </c>
      <c r="E675">
        <v>0</v>
      </c>
      <c r="F675">
        <v>44</v>
      </c>
      <c r="G675" t="str">
        <f t="shared" si="18"/>
        <v>41-60</v>
      </c>
      <c r="H675" t="s">
        <v>35</v>
      </c>
      <c r="I675" t="s">
        <v>55</v>
      </c>
      <c r="J675" t="s">
        <v>56</v>
      </c>
      <c r="K675" t="s">
        <v>29</v>
      </c>
      <c r="L675">
        <v>1</v>
      </c>
      <c r="M675">
        <v>1</v>
      </c>
      <c r="N675">
        <v>3.7</v>
      </c>
      <c r="O675">
        <v>9.6999999999999993</v>
      </c>
      <c r="P675">
        <v>3</v>
      </c>
      <c r="Q675">
        <v>4</v>
      </c>
      <c r="R675">
        <v>718995</v>
      </c>
      <c r="S675">
        <f>Table1[[#This Row],[Revenue]]-Table1[[#This Row],[Operating_Costs]]</f>
        <v>108952</v>
      </c>
      <c r="T675">
        <v>610043</v>
      </c>
      <c r="U675">
        <v>40</v>
      </c>
      <c r="V675">
        <v>64</v>
      </c>
      <c r="W675">
        <v>13.3</v>
      </c>
    </row>
    <row r="676" spans="1:23" x14ac:dyDescent="0.25">
      <c r="A676">
        <v>1</v>
      </c>
      <c r="B676" t="s">
        <v>32</v>
      </c>
      <c r="C676" s="1">
        <v>45007</v>
      </c>
      <c r="D676" t="s">
        <v>71</v>
      </c>
      <c r="E676">
        <v>0</v>
      </c>
      <c r="F676">
        <v>28</v>
      </c>
      <c r="G676" t="str">
        <f t="shared" si="18"/>
        <v>21-40</v>
      </c>
      <c r="H676" t="s">
        <v>35</v>
      </c>
      <c r="I676" t="s">
        <v>60</v>
      </c>
      <c r="J676" t="s">
        <v>59</v>
      </c>
      <c r="K676" t="s">
        <v>33</v>
      </c>
      <c r="L676">
        <v>1</v>
      </c>
      <c r="M676">
        <v>1</v>
      </c>
      <c r="N676">
        <v>5.2</v>
      </c>
      <c r="O676">
        <v>9.1999999999999993</v>
      </c>
      <c r="P676">
        <v>6</v>
      </c>
      <c r="Q676">
        <v>3</v>
      </c>
      <c r="R676">
        <v>993350</v>
      </c>
      <c r="S676">
        <f>Table1[[#This Row],[Revenue]]-Table1[[#This Row],[Operating_Costs]]</f>
        <v>333200</v>
      </c>
      <c r="T676">
        <v>660150</v>
      </c>
      <c r="U676">
        <v>31</v>
      </c>
      <c r="V676">
        <v>61</v>
      </c>
      <c r="W676">
        <v>36.1</v>
      </c>
    </row>
    <row r="677" spans="1:23" x14ac:dyDescent="0.25">
      <c r="A677">
        <v>1</v>
      </c>
      <c r="B677" t="s">
        <v>32</v>
      </c>
      <c r="C677" s="1">
        <v>44454</v>
      </c>
      <c r="D677" t="s">
        <v>71</v>
      </c>
      <c r="E677">
        <v>0</v>
      </c>
      <c r="F677">
        <v>63</v>
      </c>
      <c r="G677" t="str">
        <f t="shared" si="18"/>
        <v>61-80</v>
      </c>
      <c r="H677" t="s">
        <v>35</v>
      </c>
      <c r="I677" t="s">
        <v>31</v>
      </c>
      <c r="J677" t="s">
        <v>28</v>
      </c>
      <c r="K677" t="s">
        <v>26</v>
      </c>
      <c r="L677">
        <v>1</v>
      </c>
      <c r="M677">
        <v>1</v>
      </c>
      <c r="N677">
        <v>1.6</v>
      </c>
      <c r="O677">
        <v>7.7</v>
      </c>
      <c r="P677">
        <v>6</v>
      </c>
      <c r="Q677">
        <v>6</v>
      </c>
      <c r="R677">
        <v>931014</v>
      </c>
      <c r="S677">
        <f>Table1[[#This Row],[Revenue]]-Table1[[#This Row],[Operating_Costs]]</f>
        <v>286091</v>
      </c>
      <c r="T677">
        <v>644923</v>
      </c>
      <c r="U677">
        <v>32</v>
      </c>
      <c r="V677">
        <v>57</v>
      </c>
      <c r="W677">
        <v>14.4</v>
      </c>
    </row>
    <row r="678" spans="1:23" x14ac:dyDescent="0.25">
      <c r="A678">
        <v>1</v>
      </c>
      <c r="B678" t="s">
        <v>32</v>
      </c>
      <c r="C678" s="1">
        <v>44695</v>
      </c>
      <c r="D678" t="s">
        <v>71</v>
      </c>
      <c r="E678">
        <v>0</v>
      </c>
      <c r="F678">
        <v>72</v>
      </c>
      <c r="G678" t="str">
        <f t="shared" si="18"/>
        <v>61-80</v>
      </c>
      <c r="H678" t="s">
        <v>35</v>
      </c>
      <c r="I678" t="s">
        <v>36</v>
      </c>
      <c r="J678" t="s">
        <v>37</v>
      </c>
      <c r="K678" t="s">
        <v>33</v>
      </c>
      <c r="L678">
        <v>1</v>
      </c>
      <c r="M678">
        <v>1</v>
      </c>
      <c r="N678">
        <v>3</v>
      </c>
      <c r="O678">
        <v>8.4</v>
      </c>
      <c r="P678">
        <v>5</v>
      </c>
      <c r="Q678">
        <v>7</v>
      </c>
      <c r="R678">
        <v>962575</v>
      </c>
      <c r="S678">
        <f>Table1[[#This Row],[Revenue]]-Table1[[#This Row],[Operating_Costs]]</f>
        <v>322298</v>
      </c>
      <c r="T678">
        <v>640277</v>
      </c>
      <c r="U678">
        <v>34</v>
      </c>
      <c r="V678">
        <v>62</v>
      </c>
      <c r="W678">
        <v>6.2</v>
      </c>
    </row>
    <row r="679" spans="1:23" x14ac:dyDescent="0.25">
      <c r="A679">
        <v>1</v>
      </c>
      <c r="B679" t="s">
        <v>32</v>
      </c>
      <c r="C679" s="1">
        <v>44547</v>
      </c>
      <c r="D679" t="s">
        <v>71</v>
      </c>
      <c r="E679">
        <v>0</v>
      </c>
      <c r="F679">
        <v>83</v>
      </c>
      <c r="G679" t="str">
        <f t="shared" si="18"/>
        <v>81+</v>
      </c>
      <c r="H679" t="s">
        <v>23</v>
      </c>
      <c r="I679" t="s">
        <v>24</v>
      </c>
      <c r="J679" t="s">
        <v>25</v>
      </c>
      <c r="K679" t="s">
        <v>29</v>
      </c>
      <c r="L679">
        <v>1</v>
      </c>
      <c r="M679">
        <v>1</v>
      </c>
      <c r="N679">
        <v>5.3</v>
      </c>
      <c r="O679">
        <v>8.9</v>
      </c>
      <c r="P679">
        <v>6</v>
      </c>
      <c r="Q679">
        <v>3</v>
      </c>
      <c r="R679">
        <v>902796</v>
      </c>
      <c r="S679">
        <f>Table1[[#This Row],[Revenue]]-Table1[[#This Row],[Operating_Costs]]</f>
        <v>300238</v>
      </c>
      <c r="T679">
        <v>602558</v>
      </c>
      <c r="U679">
        <v>38</v>
      </c>
      <c r="V679">
        <v>64</v>
      </c>
      <c r="W679">
        <v>13.3</v>
      </c>
    </row>
    <row r="680" spans="1:23" x14ac:dyDescent="0.25">
      <c r="A680">
        <v>1</v>
      </c>
      <c r="B680" t="s">
        <v>32</v>
      </c>
      <c r="C680" s="1">
        <v>44573</v>
      </c>
      <c r="D680" t="s">
        <v>71</v>
      </c>
      <c r="E680">
        <v>0</v>
      </c>
      <c r="F680">
        <v>28</v>
      </c>
      <c r="G680" t="str">
        <f t="shared" si="18"/>
        <v>21-40</v>
      </c>
      <c r="H680" t="s">
        <v>35</v>
      </c>
      <c r="I680" t="s">
        <v>60</v>
      </c>
      <c r="J680" t="s">
        <v>59</v>
      </c>
      <c r="K680" t="s">
        <v>29</v>
      </c>
      <c r="L680">
        <v>1</v>
      </c>
      <c r="M680">
        <v>1</v>
      </c>
      <c r="N680">
        <v>3.1</v>
      </c>
      <c r="O680">
        <v>9.4</v>
      </c>
      <c r="P680">
        <v>6</v>
      </c>
      <c r="Q680">
        <v>6</v>
      </c>
      <c r="R680">
        <v>963075</v>
      </c>
      <c r="S680">
        <f>Table1[[#This Row],[Revenue]]-Table1[[#This Row],[Operating_Costs]]</f>
        <v>76738</v>
      </c>
      <c r="T680">
        <v>886337</v>
      </c>
      <c r="U680">
        <v>31</v>
      </c>
      <c r="V680">
        <v>62</v>
      </c>
      <c r="W680">
        <v>15</v>
      </c>
    </row>
    <row r="681" spans="1:23" x14ac:dyDescent="0.25">
      <c r="A681">
        <v>1</v>
      </c>
      <c r="B681" t="s">
        <v>32</v>
      </c>
      <c r="C681" s="1">
        <v>45143</v>
      </c>
      <c r="D681" t="s">
        <v>71</v>
      </c>
      <c r="E681">
        <v>0</v>
      </c>
      <c r="F681">
        <v>48</v>
      </c>
      <c r="G681" t="str">
        <f t="shared" si="18"/>
        <v>41-60</v>
      </c>
      <c r="H681" t="s">
        <v>35</v>
      </c>
      <c r="I681" t="s">
        <v>36</v>
      </c>
      <c r="J681" t="s">
        <v>37</v>
      </c>
      <c r="K681" t="s">
        <v>42</v>
      </c>
      <c r="L681">
        <v>1</v>
      </c>
      <c r="M681">
        <v>1</v>
      </c>
      <c r="N681">
        <v>2.4</v>
      </c>
      <c r="O681">
        <v>7.4</v>
      </c>
      <c r="P681">
        <v>3</v>
      </c>
      <c r="Q681">
        <v>3</v>
      </c>
      <c r="R681">
        <v>947782</v>
      </c>
      <c r="S681">
        <f>Table1[[#This Row],[Revenue]]-Table1[[#This Row],[Operating_Costs]]</f>
        <v>320409</v>
      </c>
      <c r="T681">
        <v>627373</v>
      </c>
      <c r="U681">
        <v>32</v>
      </c>
      <c r="V681">
        <v>57</v>
      </c>
      <c r="W681">
        <v>9.1999999999999993</v>
      </c>
    </row>
    <row r="682" spans="1:23" x14ac:dyDescent="0.25">
      <c r="A682">
        <v>2</v>
      </c>
      <c r="B682" t="s">
        <v>39</v>
      </c>
      <c r="C682" s="1">
        <v>44406</v>
      </c>
      <c r="D682" t="s">
        <v>71</v>
      </c>
      <c r="E682">
        <v>0</v>
      </c>
      <c r="F682">
        <v>48</v>
      </c>
      <c r="G682" t="str">
        <f t="shared" si="18"/>
        <v>41-60</v>
      </c>
      <c r="H682" t="s">
        <v>35</v>
      </c>
      <c r="I682" t="s">
        <v>61</v>
      </c>
      <c r="J682" t="s">
        <v>62</v>
      </c>
      <c r="K682" t="s">
        <v>29</v>
      </c>
      <c r="L682">
        <v>1</v>
      </c>
      <c r="M682">
        <v>1</v>
      </c>
      <c r="N682">
        <v>2.5</v>
      </c>
      <c r="O682">
        <v>7.9</v>
      </c>
      <c r="P682">
        <v>4</v>
      </c>
      <c r="Q682">
        <v>4</v>
      </c>
      <c r="R682">
        <v>852855</v>
      </c>
      <c r="S682">
        <f>Table1[[#This Row],[Revenue]]-Table1[[#This Row],[Operating_Costs]]</f>
        <v>246545</v>
      </c>
      <c r="T682">
        <v>606310</v>
      </c>
      <c r="U682">
        <v>32</v>
      </c>
      <c r="V682">
        <v>61</v>
      </c>
      <c r="W682">
        <v>14.4</v>
      </c>
    </row>
    <row r="683" spans="1:23" x14ac:dyDescent="0.25">
      <c r="A683">
        <v>1</v>
      </c>
      <c r="B683" t="s">
        <v>32</v>
      </c>
      <c r="C683" s="1">
        <v>44672</v>
      </c>
      <c r="D683" t="s">
        <v>71</v>
      </c>
      <c r="E683">
        <v>0</v>
      </c>
      <c r="F683">
        <v>21</v>
      </c>
      <c r="G683" t="str">
        <f t="shared" si="18"/>
        <v>21-40</v>
      </c>
      <c r="H683" t="s">
        <v>35</v>
      </c>
      <c r="I683" t="s">
        <v>31</v>
      </c>
      <c r="J683" t="s">
        <v>28</v>
      </c>
      <c r="K683" t="s">
        <v>26</v>
      </c>
      <c r="L683">
        <v>1</v>
      </c>
      <c r="M683">
        <v>1</v>
      </c>
      <c r="N683">
        <v>3.2</v>
      </c>
      <c r="O683">
        <v>7.3</v>
      </c>
      <c r="P683">
        <v>6</v>
      </c>
      <c r="Q683">
        <v>3</v>
      </c>
      <c r="R683">
        <v>905298</v>
      </c>
      <c r="S683">
        <f>Table1[[#This Row],[Revenue]]-Table1[[#This Row],[Operating_Costs]]</f>
        <v>37047</v>
      </c>
      <c r="T683">
        <v>868251</v>
      </c>
      <c r="U683">
        <v>31</v>
      </c>
      <c r="V683">
        <v>62</v>
      </c>
      <c r="W683">
        <v>8.9</v>
      </c>
    </row>
    <row r="684" spans="1:23" x14ac:dyDescent="0.25">
      <c r="A684">
        <v>1</v>
      </c>
      <c r="B684" t="s">
        <v>32</v>
      </c>
      <c r="C684" s="1">
        <v>44629</v>
      </c>
      <c r="D684" t="s">
        <v>71</v>
      </c>
      <c r="E684">
        <v>0</v>
      </c>
      <c r="F684">
        <v>70</v>
      </c>
      <c r="G684" t="str">
        <f t="shared" si="18"/>
        <v>61-80</v>
      </c>
      <c r="H684" t="s">
        <v>23</v>
      </c>
      <c r="I684" t="s">
        <v>24</v>
      </c>
      <c r="J684" t="s">
        <v>25</v>
      </c>
      <c r="K684" t="s">
        <v>26</v>
      </c>
      <c r="L684">
        <v>1</v>
      </c>
      <c r="M684">
        <v>1</v>
      </c>
      <c r="N684">
        <v>5.9</v>
      </c>
      <c r="O684">
        <v>7.1</v>
      </c>
      <c r="P684">
        <v>7</v>
      </c>
      <c r="Q684">
        <v>3</v>
      </c>
      <c r="R684">
        <v>970987</v>
      </c>
      <c r="S684">
        <f>Table1[[#This Row],[Revenue]]-Table1[[#This Row],[Operating_Costs]]</f>
        <v>112617</v>
      </c>
      <c r="T684">
        <v>858370</v>
      </c>
      <c r="U684">
        <v>32</v>
      </c>
      <c r="V684">
        <v>65</v>
      </c>
      <c r="W684">
        <v>36.1</v>
      </c>
    </row>
    <row r="685" spans="1:23" x14ac:dyDescent="0.25">
      <c r="A685">
        <v>1</v>
      </c>
      <c r="B685" t="s">
        <v>32</v>
      </c>
      <c r="C685" s="1">
        <v>45213</v>
      </c>
      <c r="D685" t="s">
        <v>71</v>
      </c>
      <c r="E685">
        <v>0</v>
      </c>
      <c r="F685">
        <v>61</v>
      </c>
      <c r="G685" t="str">
        <f t="shared" si="18"/>
        <v>61-80</v>
      </c>
      <c r="H685" t="s">
        <v>23</v>
      </c>
      <c r="I685" t="s">
        <v>31</v>
      </c>
      <c r="J685" t="s">
        <v>28</v>
      </c>
      <c r="K685" t="s">
        <v>33</v>
      </c>
      <c r="L685">
        <v>1</v>
      </c>
      <c r="M685">
        <v>1</v>
      </c>
      <c r="N685">
        <v>5.6</v>
      </c>
      <c r="O685">
        <v>9.9</v>
      </c>
      <c r="P685">
        <v>3</v>
      </c>
      <c r="Q685">
        <v>5</v>
      </c>
      <c r="R685">
        <v>934999</v>
      </c>
      <c r="S685">
        <f>Table1[[#This Row],[Revenue]]-Table1[[#This Row],[Operating_Costs]]</f>
        <v>193613</v>
      </c>
      <c r="T685">
        <v>741386</v>
      </c>
      <c r="U685">
        <v>32</v>
      </c>
      <c r="V685">
        <v>59</v>
      </c>
      <c r="W685">
        <v>6.6</v>
      </c>
    </row>
    <row r="686" spans="1:23" x14ac:dyDescent="0.25">
      <c r="A686">
        <v>2</v>
      </c>
      <c r="B686" t="s">
        <v>39</v>
      </c>
      <c r="C686" s="1">
        <v>45544</v>
      </c>
      <c r="D686" t="s">
        <v>71</v>
      </c>
      <c r="E686">
        <v>0</v>
      </c>
      <c r="F686">
        <v>46</v>
      </c>
      <c r="G686" t="str">
        <f t="shared" si="18"/>
        <v>41-60</v>
      </c>
      <c r="H686" t="s">
        <v>23</v>
      </c>
      <c r="I686" t="s">
        <v>24</v>
      </c>
      <c r="J686" t="s">
        <v>25</v>
      </c>
      <c r="K686" t="s">
        <v>26</v>
      </c>
      <c r="L686">
        <v>1</v>
      </c>
      <c r="M686">
        <v>1</v>
      </c>
      <c r="N686">
        <v>4.8</v>
      </c>
      <c r="O686">
        <v>9.6999999999999993</v>
      </c>
      <c r="P686">
        <v>5</v>
      </c>
      <c r="Q686">
        <v>7</v>
      </c>
      <c r="R686">
        <v>816958</v>
      </c>
      <c r="S686">
        <f>Table1[[#This Row],[Revenue]]-Table1[[#This Row],[Operating_Costs]]</f>
        <v>196506</v>
      </c>
      <c r="T686">
        <v>620452</v>
      </c>
      <c r="U686">
        <v>37</v>
      </c>
      <c r="V686">
        <v>54</v>
      </c>
      <c r="W686">
        <v>5.9</v>
      </c>
    </row>
    <row r="687" spans="1:23" x14ac:dyDescent="0.25">
      <c r="A687">
        <v>2</v>
      </c>
      <c r="B687" t="s">
        <v>39</v>
      </c>
      <c r="C687" s="1">
        <v>44458</v>
      </c>
      <c r="D687" t="s">
        <v>71</v>
      </c>
      <c r="E687">
        <v>0</v>
      </c>
      <c r="F687">
        <v>83</v>
      </c>
      <c r="G687" t="str">
        <f t="shared" si="18"/>
        <v>81+</v>
      </c>
      <c r="H687" t="s">
        <v>35</v>
      </c>
      <c r="I687" t="s">
        <v>46</v>
      </c>
      <c r="J687" t="s">
        <v>47</v>
      </c>
      <c r="K687" t="s">
        <v>26</v>
      </c>
      <c r="L687">
        <v>1</v>
      </c>
      <c r="M687">
        <v>1</v>
      </c>
      <c r="N687">
        <v>6.8</v>
      </c>
      <c r="O687">
        <v>9.8000000000000007</v>
      </c>
      <c r="P687">
        <v>6</v>
      </c>
      <c r="Q687">
        <v>5</v>
      </c>
      <c r="R687">
        <v>703390</v>
      </c>
      <c r="S687">
        <f>Table1[[#This Row],[Revenue]]-Table1[[#This Row],[Operating_Costs]]</f>
        <v>167034</v>
      </c>
      <c r="T687">
        <v>536356</v>
      </c>
      <c r="U687">
        <v>35</v>
      </c>
      <c r="V687">
        <v>56</v>
      </c>
      <c r="W687">
        <v>10.4</v>
      </c>
    </row>
    <row r="688" spans="1:23" x14ac:dyDescent="0.25">
      <c r="A688">
        <v>2</v>
      </c>
      <c r="B688" t="s">
        <v>39</v>
      </c>
      <c r="C688" s="1">
        <v>44721</v>
      </c>
      <c r="D688" t="s">
        <v>71</v>
      </c>
      <c r="E688">
        <v>0</v>
      </c>
      <c r="F688">
        <v>79</v>
      </c>
      <c r="G688" t="str">
        <f t="shared" si="18"/>
        <v>61-80</v>
      </c>
      <c r="H688" t="s">
        <v>35</v>
      </c>
      <c r="I688" t="s">
        <v>31</v>
      </c>
      <c r="J688" t="s">
        <v>28</v>
      </c>
      <c r="K688" t="s">
        <v>26</v>
      </c>
      <c r="L688">
        <v>1</v>
      </c>
      <c r="M688">
        <v>1</v>
      </c>
      <c r="N688">
        <v>6.3</v>
      </c>
      <c r="O688">
        <v>8.3000000000000007</v>
      </c>
      <c r="P688">
        <v>7</v>
      </c>
      <c r="Q688">
        <v>5</v>
      </c>
      <c r="R688">
        <v>780664</v>
      </c>
      <c r="S688">
        <f>Table1[[#This Row],[Revenue]]-Table1[[#This Row],[Operating_Costs]]</f>
        <v>193186</v>
      </c>
      <c r="T688">
        <v>587478</v>
      </c>
      <c r="U688">
        <v>36</v>
      </c>
      <c r="V688">
        <v>63</v>
      </c>
      <c r="W688">
        <v>8.3000000000000007</v>
      </c>
    </row>
    <row r="689" spans="1:23" x14ac:dyDescent="0.25">
      <c r="A689">
        <v>1</v>
      </c>
      <c r="B689" t="s">
        <v>32</v>
      </c>
      <c r="C689" s="1">
        <v>45096</v>
      </c>
      <c r="D689" t="s">
        <v>71</v>
      </c>
      <c r="E689">
        <v>0</v>
      </c>
      <c r="F689">
        <v>30</v>
      </c>
      <c r="G689" t="str">
        <f t="shared" si="18"/>
        <v>21-40</v>
      </c>
      <c r="H689" t="s">
        <v>23</v>
      </c>
      <c r="I689" t="s">
        <v>27</v>
      </c>
      <c r="J689" t="s">
        <v>28</v>
      </c>
      <c r="K689" t="s">
        <v>26</v>
      </c>
      <c r="L689">
        <v>1</v>
      </c>
      <c r="M689">
        <v>1</v>
      </c>
      <c r="N689">
        <v>5.3</v>
      </c>
      <c r="O689">
        <v>9.5</v>
      </c>
      <c r="P689">
        <v>3</v>
      </c>
      <c r="Q689">
        <v>4</v>
      </c>
      <c r="R689">
        <v>930703</v>
      </c>
      <c r="S689">
        <f>Table1[[#This Row],[Revenue]]-Table1[[#This Row],[Operating_Costs]]</f>
        <v>165409</v>
      </c>
      <c r="T689">
        <v>765294</v>
      </c>
      <c r="U689">
        <v>35</v>
      </c>
      <c r="V689">
        <v>55</v>
      </c>
      <c r="W689">
        <v>6.9</v>
      </c>
    </row>
    <row r="690" spans="1:23" x14ac:dyDescent="0.25">
      <c r="A690">
        <v>1</v>
      </c>
      <c r="B690" t="s">
        <v>32</v>
      </c>
      <c r="C690" s="1">
        <v>45303</v>
      </c>
      <c r="D690" t="s">
        <v>71</v>
      </c>
      <c r="E690">
        <v>0</v>
      </c>
      <c r="F690">
        <v>46</v>
      </c>
      <c r="G690" t="str">
        <f t="shared" si="18"/>
        <v>41-60</v>
      </c>
      <c r="H690" t="s">
        <v>35</v>
      </c>
      <c r="I690" t="s">
        <v>60</v>
      </c>
      <c r="J690" t="s">
        <v>59</v>
      </c>
      <c r="K690" t="s">
        <v>42</v>
      </c>
      <c r="L690">
        <v>1</v>
      </c>
      <c r="M690">
        <v>1</v>
      </c>
      <c r="N690">
        <v>3.6</v>
      </c>
      <c r="O690">
        <v>8.6</v>
      </c>
      <c r="P690">
        <v>6</v>
      </c>
      <c r="Q690">
        <v>6</v>
      </c>
      <c r="R690">
        <v>981457</v>
      </c>
      <c r="S690">
        <f>Table1[[#This Row],[Revenue]]-Table1[[#This Row],[Operating_Costs]]</f>
        <v>379842</v>
      </c>
      <c r="T690">
        <v>601615</v>
      </c>
      <c r="U690">
        <v>36</v>
      </c>
      <c r="V690">
        <v>54</v>
      </c>
      <c r="W690">
        <v>14</v>
      </c>
    </row>
    <row r="691" spans="1:23" x14ac:dyDescent="0.25">
      <c r="A691">
        <v>1</v>
      </c>
      <c r="B691" t="s">
        <v>32</v>
      </c>
      <c r="C691" s="1">
        <v>44227</v>
      </c>
      <c r="D691" t="s">
        <v>71</v>
      </c>
      <c r="E691">
        <v>0</v>
      </c>
      <c r="F691">
        <v>39</v>
      </c>
      <c r="G691" t="str">
        <f t="shared" si="18"/>
        <v>21-40</v>
      </c>
      <c r="H691" t="s">
        <v>23</v>
      </c>
      <c r="I691" t="s">
        <v>64</v>
      </c>
      <c r="J691" t="s">
        <v>65</v>
      </c>
      <c r="K691" t="s">
        <v>33</v>
      </c>
      <c r="L691">
        <v>1</v>
      </c>
      <c r="M691">
        <v>1</v>
      </c>
      <c r="N691">
        <v>3.8</v>
      </c>
      <c r="O691">
        <v>7.3</v>
      </c>
      <c r="P691">
        <v>4</v>
      </c>
      <c r="Q691">
        <v>4</v>
      </c>
      <c r="R691">
        <v>913748</v>
      </c>
      <c r="S691">
        <f>Table1[[#This Row],[Revenue]]-Table1[[#This Row],[Operating_Costs]]</f>
        <v>181112</v>
      </c>
      <c r="T691">
        <v>732636</v>
      </c>
      <c r="U691">
        <v>34</v>
      </c>
      <c r="V691">
        <v>58</v>
      </c>
      <c r="W691">
        <v>36.799999999999997</v>
      </c>
    </row>
    <row r="692" spans="1:23" x14ac:dyDescent="0.25">
      <c r="A692">
        <v>1</v>
      </c>
      <c r="B692" t="s">
        <v>32</v>
      </c>
      <c r="C692" s="1">
        <v>44786</v>
      </c>
      <c r="D692" t="s">
        <v>71</v>
      </c>
      <c r="E692">
        <v>0</v>
      </c>
      <c r="F692">
        <v>72</v>
      </c>
      <c r="G692" t="str">
        <f t="shared" si="18"/>
        <v>61-80</v>
      </c>
      <c r="H692" t="s">
        <v>23</v>
      </c>
      <c r="I692" t="s">
        <v>24</v>
      </c>
      <c r="J692" t="s">
        <v>25</v>
      </c>
      <c r="K692" t="s">
        <v>33</v>
      </c>
      <c r="L692">
        <v>1</v>
      </c>
      <c r="M692">
        <v>1</v>
      </c>
      <c r="N692">
        <v>4.4000000000000004</v>
      </c>
      <c r="O692">
        <v>7.2</v>
      </c>
      <c r="P692">
        <v>7</v>
      </c>
      <c r="Q692">
        <v>4</v>
      </c>
      <c r="R692">
        <v>982126</v>
      </c>
      <c r="S692">
        <f>Table1[[#This Row],[Revenue]]-Table1[[#This Row],[Operating_Costs]]</f>
        <v>95926</v>
      </c>
      <c r="T692">
        <v>886200</v>
      </c>
      <c r="U692">
        <v>37</v>
      </c>
      <c r="V692">
        <v>66</v>
      </c>
      <c r="W692">
        <v>14.8</v>
      </c>
    </row>
    <row r="693" spans="1:23" x14ac:dyDescent="0.25">
      <c r="A693">
        <v>1</v>
      </c>
      <c r="B693" t="s">
        <v>32</v>
      </c>
      <c r="C693" s="1">
        <v>44258</v>
      </c>
      <c r="D693" t="s">
        <v>71</v>
      </c>
      <c r="E693">
        <v>0</v>
      </c>
      <c r="F693">
        <v>80</v>
      </c>
      <c r="G693" t="str">
        <f t="shared" si="18"/>
        <v>61-80</v>
      </c>
      <c r="H693" t="s">
        <v>35</v>
      </c>
      <c r="I693" t="s">
        <v>31</v>
      </c>
      <c r="J693" t="s">
        <v>28</v>
      </c>
      <c r="K693" t="s">
        <v>29</v>
      </c>
      <c r="L693">
        <v>1</v>
      </c>
      <c r="M693">
        <v>1</v>
      </c>
      <c r="N693">
        <v>2.5</v>
      </c>
      <c r="O693">
        <v>7.1</v>
      </c>
      <c r="P693">
        <v>6</v>
      </c>
      <c r="Q693">
        <v>6</v>
      </c>
      <c r="R693">
        <v>959355</v>
      </c>
      <c r="S693">
        <f>Table1[[#This Row],[Revenue]]-Table1[[#This Row],[Operating_Costs]]</f>
        <v>131402</v>
      </c>
      <c r="T693">
        <v>827953</v>
      </c>
      <c r="U693">
        <v>32</v>
      </c>
      <c r="V693">
        <v>65</v>
      </c>
      <c r="W693">
        <v>36.799999999999997</v>
      </c>
    </row>
    <row r="694" spans="1:23" x14ac:dyDescent="0.25">
      <c r="A694">
        <v>1</v>
      </c>
      <c r="B694" t="s">
        <v>32</v>
      </c>
      <c r="C694" s="1">
        <v>45221</v>
      </c>
      <c r="D694" t="s">
        <v>71</v>
      </c>
      <c r="E694">
        <v>0</v>
      </c>
      <c r="F694">
        <v>27</v>
      </c>
      <c r="G694" t="str">
        <f t="shared" si="18"/>
        <v>21-40</v>
      </c>
      <c r="H694" t="s">
        <v>23</v>
      </c>
      <c r="I694" t="s">
        <v>43</v>
      </c>
      <c r="J694" t="s">
        <v>25</v>
      </c>
      <c r="K694" t="s">
        <v>42</v>
      </c>
      <c r="L694">
        <v>1</v>
      </c>
      <c r="M694">
        <v>1</v>
      </c>
      <c r="N694">
        <v>1.2</v>
      </c>
      <c r="O694">
        <v>9.4</v>
      </c>
      <c r="P694">
        <v>4</v>
      </c>
      <c r="Q694">
        <v>4</v>
      </c>
      <c r="R694">
        <v>996185</v>
      </c>
      <c r="S694">
        <f>Table1[[#This Row],[Revenue]]-Table1[[#This Row],[Operating_Costs]]</f>
        <v>260080</v>
      </c>
      <c r="T694">
        <v>736105</v>
      </c>
      <c r="U694">
        <v>31</v>
      </c>
      <c r="V694">
        <v>54</v>
      </c>
      <c r="W694">
        <v>9.5</v>
      </c>
    </row>
    <row r="695" spans="1:23" x14ac:dyDescent="0.25">
      <c r="A695">
        <v>1</v>
      </c>
      <c r="B695" t="s">
        <v>32</v>
      </c>
      <c r="C695" s="1">
        <v>44769</v>
      </c>
      <c r="D695" t="s">
        <v>71</v>
      </c>
      <c r="E695">
        <v>0</v>
      </c>
      <c r="F695">
        <v>50</v>
      </c>
      <c r="G695" t="str">
        <f t="shared" si="18"/>
        <v>41-60</v>
      </c>
      <c r="H695" t="s">
        <v>23</v>
      </c>
      <c r="I695" t="s">
        <v>64</v>
      </c>
      <c r="J695" t="s">
        <v>65</v>
      </c>
      <c r="K695" t="s">
        <v>29</v>
      </c>
      <c r="L695">
        <v>1</v>
      </c>
      <c r="M695">
        <v>1</v>
      </c>
      <c r="N695">
        <v>6.7</v>
      </c>
      <c r="O695">
        <v>9.5</v>
      </c>
      <c r="P695">
        <v>3</v>
      </c>
      <c r="Q695">
        <v>5</v>
      </c>
      <c r="R695">
        <v>982103</v>
      </c>
      <c r="S695">
        <f>Table1[[#This Row],[Revenue]]-Table1[[#This Row],[Operating_Costs]]</f>
        <v>139627</v>
      </c>
      <c r="T695">
        <v>842476</v>
      </c>
      <c r="U695">
        <v>36</v>
      </c>
      <c r="V695">
        <v>63</v>
      </c>
      <c r="W695">
        <v>13.4</v>
      </c>
    </row>
    <row r="696" spans="1:23" x14ac:dyDescent="0.25">
      <c r="A696">
        <v>1</v>
      </c>
      <c r="B696" t="s">
        <v>32</v>
      </c>
      <c r="C696" s="1">
        <v>44333</v>
      </c>
      <c r="D696" t="s">
        <v>71</v>
      </c>
      <c r="E696">
        <v>0</v>
      </c>
      <c r="F696">
        <v>39</v>
      </c>
      <c r="G696" t="str">
        <f t="shared" si="18"/>
        <v>21-40</v>
      </c>
      <c r="H696" t="s">
        <v>23</v>
      </c>
      <c r="I696" t="s">
        <v>24</v>
      </c>
      <c r="J696" t="s">
        <v>25</v>
      </c>
      <c r="K696" t="s">
        <v>29</v>
      </c>
      <c r="L696">
        <v>1</v>
      </c>
      <c r="M696">
        <v>1</v>
      </c>
      <c r="N696">
        <v>2.2999999999999998</v>
      </c>
      <c r="O696">
        <v>7.7</v>
      </c>
      <c r="P696">
        <v>4</v>
      </c>
      <c r="Q696">
        <v>3</v>
      </c>
      <c r="R696">
        <v>900325</v>
      </c>
      <c r="S696">
        <f>Table1[[#This Row],[Revenue]]-Table1[[#This Row],[Operating_Costs]]</f>
        <v>39233</v>
      </c>
      <c r="T696">
        <v>861092</v>
      </c>
      <c r="U696">
        <v>40</v>
      </c>
      <c r="V696">
        <v>54</v>
      </c>
      <c r="W696">
        <v>13.5</v>
      </c>
    </row>
    <row r="697" spans="1:23" x14ac:dyDescent="0.25">
      <c r="A697">
        <v>1</v>
      </c>
      <c r="B697" t="s">
        <v>32</v>
      </c>
      <c r="C697" s="1">
        <v>44502</v>
      </c>
      <c r="D697" t="s">
        <v>71</v>
      </c>
      <c r="E697">
        <v>0</v>
      </c>
      <c r="F697">
        <v>43</v>
      </c>
      <c r="G697" t="str">
        <f t="shared" si="18"/>
        <v>41-60</v>
      </c>
      <c r="H697" t="s">
        <v>35</v>
      </c>
      <c r="I697" t="s">
        <v>31</v>
      </c>
      <c r="J697" t="s">
        <v>28</v>
      </c>
      <c r="K697" t="s">
        <v>26</v>
      </c>
      <c r="L697">
        <v>1</v>
      </c>
      <c r="M697">
        <v>1</v>
      </c>
      <c r="N697">
        <v>6.1</v>
      </c>
      <c r="O697">
        <v>7.2</v>
      </c>
      <c r="P697">
        <v>4</v>
      </c>
      <c r="Q697">
        <v>3</v>
      </c>
      <c r="R697">
        <v>948181</v>
      </c>
      <c r="S697">
        <f>Table1[[#This Row],[Revenue]]-Table1[[#This Row],[Operating_Costs]]</f>
        <v>177895</v>
      </c>
      <c r="T697">
        <v>770286</v>
      </c>
      <c r="U697">
        <v>38</v>
      </c>
      <c r="V697">
        <v>59</v>
      </c>
      <c r="W697">
        <v>13.4</v>
      </c>
    </row>
    <row r="698" spans="1:23" x14ac:dyDescent="0.25">
      <c r="A698">
        <v>1</v>
      </c>
      <c r="B698" t="s">
        <v>32</v>
      </c>
      <c r="C698" s="1">
        <v>44600</v>
      </c>
      <c r="D698" t="s">
        <v>71</v>
      </c>
      <c r="E698">
        <v>0</v>
      </c>
      <c r="F698">
        <v>88</v>
      </c>
      <c r="G698" t="str">
        <f t="shared" si="18"/>
        <v>81+</v>
      </c>
      <c r="H698" t="s">
        <v>23</v>
      </c>
      <c r="I698" t="s">
        <v>24</v>
      </c>
      <c r="J698" t="s">
        <v>25</v>
      </c>
      <c r="K698" t="s">
        <v>38</v>
      </c>
      <c r="L698">
        <v>1</v>
      </c>
      <c r="M698">
        <v>1</v>
      </c>
      <c r="N698">
        <v>2.6</v>
      </c>
      <c r="O698">
        <v>7.3</v>
      </c>
      <c r="P698">
        <v>4</v>
      </c>
      <c r="Q698">
        <v>5</v>
      </c>
      <c r="R698">
        <v>916822</v>
      </c>
      <c r="S698">
        <f>Table1[[#This Row],[Revenue]]-Table1[[#This Row],[Operating_Costs]]</f>
        <v>66549</v>
      </c>
      <c r="T698">
        <v>850273</v>
      </c>
      <c r="U698">
        <v>38</v>
      </c>
      <c r="V698">
        <v>62</v>
      </c>
      <c r="W698">
        <v>8.4</v>
      </c>
    </row>
    <row r="699" spans="1:23" x14ac:dyDescent="0.25">
      <c r="A699">
        <v>1</v>
      </c>
      <c r="B699" t="s">
        <v>32</v>
      </c>
      <c r="C699" s="1">
        <v>44434</v>
      </c>
      <c r="D699" t="s">
        <v>71</v>
      </c>
      <c r="E699">
        <v>0</v>
      </c>
      <c r="F699">
        <v>87</v>
      </c>
      <c r="G699" t="str">
        <f t="shared" si="18"/>
        <v>81+</v>
      </c>
      <c r="H699" t="s">
        <v>23</v>
      </c>
      <c r="I699" t="s">
        <v>50</v>
      </c>
      <c r="J699" t="s">
        <v>51</v>
      </c>
      <c r="K699" t="s">
        <v>29</v>
      </c>
      <c r="L699">
        <v>1</v>
      </c>
      <c r="M699">
        <v>1</v>
      </c>
      <c r="N699">
        <v>2.7</v>
      </c>
      <c r="O699">
        <v>8.8000000000000007</v>
      </c>
      <c r="P699">
        <v>5</v>
      </c>
      <c r="Q699">
        <v>4</v>
      </c>
      <c r="R699">
        <v>907747</v>
      </c>
      <c r="S699">
        <f>Table1[[#This Row],[Revenue]]-Table1[[#This Row],[Operating_Costs]]</f>
        <v>293113</v>
      </c>
      <c r="T699">
        <v>614634</v>
      </c>
      <c r="U699">
        <v>35</v>
      </c>
      <c r="V699">
        <v>54</v>
      </c>
      <c r="W699">
        <v>36.799999999999997</v>
      </c>
    </row>
    <row r="700" spans="1:23" x14ac:dyDescent="0.25">
      <c r="A700">
        <v>1</v>
      </c>
      <c r="B700" t="s">
        <v>32</v>
      </c>
      <c r="C700" s="1">
        <v>44426</v>
      </c>
      <c r="D700" t="s">
        <v>71</v>
      </c>
      <c r="E700">
        <v>0</v>
      </c>
      <c r="F700">
        <v>33</v>
      </c>
      <c r="G700" t="str">
        <f t="shared" si="18"/>
        <v>21-40</v>
      </c>
      <c r="H700" t="s">
        <v>23</v>
      </c>
      <c r="I700" t="s">
        <v>50</v>
      </c>
      <c r="J700" t="s">
        <v>51</v>
      </c>
      <c r="K700" t="s">
        <v>29</v>
      </c>
      <c r="L700">
        <v>1</v>
      </c>
      <c r="M700">
        <v>1</v>
      </c>
      <c r="N700">
        <v>1.5</v>
      </c>
      <c r="O700">
        <v>8.6</v>
      </c>
      <c r="P700">
        <v>3</v>
      </c>
      <c r="Q700">
        <v>4</v>
      </c>
      <c r="R700">
        <v>972921</v>
      </c>
      <c r="S700">
        <f>Table1[[#This Row],[Revenue]]-Table1[[#This Row],[Operating_Costs]]</f>
        <v>239407</v>
      </c>
      <c r="T700">
        <v>733514</v>
      </c>
      <c r="U700">
        <v>37</v>
      </c>
      <c r="V700">
        <v>60</v>
      </c>
      <c r="W700">
        <v>6.5</v>
      </c>
    </row>
    <row r="701" spans="1:23" x14ac:dyDescent="0.25">
      <c r="A701">
        <v>1</v>
      </c>
      <c r="B701" t="s">
        <v>32</v>
      </c>
      <c r="C701" s="1">
        <v>44627</v>
      </c>
      <c r="D701" t="s">
        <v>71</v>
      </c>
      <c r="E701">
        <v>0</v>
      </c>
      <c r="F701">
        <v>45</v>
      </c>
      <c r="G701" t="str">
        <f t="shared" si="18"/>
        <v>41-60</v>
      </c>
      <c r="H701" t="s">
        <v>23</v>
      </c>
      <c r="I701" t="s">
        <v>27</v>
      </c>
      <c r="J701" t="s">
        <v>28</v>
      </c>
      <c r="K701" t="s">
        <v>33</v>
      </c>
      <c r="L701">
        <v>1</v>
      </c>
      <c r="M701">
        <v>1</v>
      </c>
      <c r="N701">
        <v>2.9</v>
      </c>
      <c r="O701">
        <v>9.4</v>
      </c>
      <c r="P701">
        <v>4</v>
      </c>
      <c r="Q701">
        <v>4</v>
      </c>
      <c r="R701">
        <v>981350</v>
      </c>
      <c r="S701">
        <f>Table1[[#This Row],[Revenue]]-Table1[[#This Row],[Operating_Costs]]</f>
        <v>375526</v>
      </c>
      <c r="T701">
        <v>605824</v>
      </c>
      <c r="U701">
        <v>31</v>
      </c>
      <c r="V701">
        <v>61</v>
      </c>
      <c r="W701">
        <v>8.6999999999999993</v>
      </c>
    </row>
    <row r="702" spans="1:23" x14ac:dyDescent="0.25">
      <c r="A702">
        <v>1</v>
      </c>
      <c r="B702" t="s">
        <v>32</v>
      </c>
      <c r="C702" s="1">
        <v>44244</v>
      </c>
      <c r="D702" t="s">
        <v>71</v>
      </c>
      <c r="E702">
        <v>0</v>
      </c>
      <c r="F702">
        <v>61</v>
      </c>
      <c r="G702" t="str">
        <f t="shared" si="18"/>
        <v>61-80</v>
      </c>
      <c r="H702" t="s">
        <v>23</v>
      </c>
      <c r="I702" t="s">
        <v>24</v>
      </c>
      <c r="J702" t="s">
        <v>25</v>
      </c>
      <c r="K702" t="s">
        <v>38</v>
      </c>
      <c r="L702">
        <v>1</v>
      </c>
      <c r="M702">
        <v>1</v>
      </c>
      <c r="N702">
        <v>5.0999999999999996</v>
      </c>
      <c r="O702">
        <v>8.1</v>
      </c>
      <c r="P702">
        <v>7</v>
      </c>
      <c r="Q702">
        <v>6</v>
      </c>
      <c r="R702">
        <v>941830</v>
      </c>
      <c r="S702">
        <f>Table1[[#This Row],[Revenue]]-Table1[[#This Row],[Operating_Costs]]</f>
        <v>126693</v>
      </c>
      <c r="T702">
        <v>815137</v>
      </c>
      <c r="U702">
        <v>39</v>
      </c>
      <c r="V702">
        <v>62</v>
      </c>
      <c r="W702">
        <v>6.2</v>
      </c>
    </row>
    <row r="703" spans="1:23" x14ac:dyDescent="0.25">
      <c r="A703">
        <v>1</v>
      </c>
      <c r="B703" t="s">
        <v>32</v>
      </c>
      <c r="C703" s="1">
        <v>45590</v>
      </c>
      <c r="D703" t="s">
        <v>71</v>
      </c>
      <c r="E703">
        <v>0</v>
      </c>
      <c r="F703">
        <v>61</v>
      </c>
      <c r="G703" t="str">
        <f t="shared" si="18"/>
        <v>61-80</v>
      </c>
      <c r="H703" t="s">
        <v>35</v>
      </c>
      <c r="I703" t="s">
        <v>40</v>
      </c>
      <c r="J703" t="s">
        <v>41</v>
      </c>
      <c r="K703" t="s">
        <v>29</v>
      </c>
      <c r="L703">
        <v>1</v>
      </c>
      <c r="M703">
        <v>1</v>
      </c>
      <c r="N703">
        <v>2.2000000000000002</v>
      </c>
      <c r="O703">
        <v>9.5</v>
      </c>
      <c r="P703">
        <v>7</v>
      </c>
      <c r="Q703">
        <v>6</v>
      </c>
      <c r="R703">
        <v>958377</v>
      </c>
      <c r="S703">
        <f>Table1[[#This Row],[Revenue]]-Table1[[#This Row],[Operating_Costs]]</f>
        <v>164632</v>
      </c>
      <c r="T703">
        <v>793745</v>
      </c>
      <c r="U703">
        <v>37</v>
      </c>
      <c r="V703">
        <v>57</v>
      </c>
      <c r="W703">
        <v>5.9</v>
      </c>
    </row>
    <row r="704" spans="1:23" x14ac:dyDescent="0.25">
      <c r="A704">
        <v>1</v>
      </c>
      <c r="B704" t="s">
        <v>32</v>
      </c>
      <c r="C704" s="1">
        <v>44896</v>
      </c>
      <c r="D704" t="s">
        <v>71</v>
      </c>
      <c r="E704">
        <v>0</v>
      </c>
      <c r="F704">
        <v>37</v>
      </c>
      <c r="G704" t="str">
        <f t="shared" si="18"/>
        <v>21-40</v>
      </c>
      <c r="H704" t="s">
        <v>35</v>
      </c>
      <c r="I704" t="s">
        <v>58</v>
      </c>
      <c r="J704" t="s">
        <v>59</v>
      </c>
      <c r="K704" t="s">
        <v>29</v>
      </c>
      <c r="L704">
        <v>1</v>
      </c>
      <c r="M704">
        <v>1</v>
      </c>
      <c r="N704">
        <v>2</v>
      </c>
      <c r="O704">
        <v>7.9</v>
      </c>
      <c r="P704">
        <v>3</v>
      </c>
      <c r="Q704">
        <v>4</v>
      </c>
      <c r="R704">
        <v>935208</v>
      </c>
      <c r="S704">
        <f>Table1[[#This Row],[Revenue]]-Table1[[#This Row],[Operating_Costs]]</f>
        <v>126008</v>
      </c>
      <c r="T704">
        <v>809200</v>
      </c>
      <c r="U704">
        <v>40</v>
      </c>
      <c r="V704">
        <v>64</v>
      </c>
      <c r="W704">
        <v>7.5</v>
      </c>
    </row>
    <row r="705" spans="1:23" x14ac:dyDescent="0.25">
      <c r="A705">
        <v>1</v>
      </c>
      <c r="B705" t="s">
        <v>32</v>
      </c>
      <c r="C705" s="1">
        <v>45521</v>
      </c>
      <c r="D705" t="s">
        <v>71</v>
      </c>
      <c r="E705">
        <v>0</v>
      </c>
      <c r="F705">
        <v>57</v>
      </c>
      <c r="G705" t="str">
        <f t="shared" si="18"/>
        <v>41-60</v>
      </c>
      <c r="H705" t="s">
        <v>23</v>
      </c>
      <c r="I705" t="s">
        <v>24</v>
      </c>
      <c r="J705" t="s">
        <v>25</v>
      </c>
      <c r="K705" t="s">
        <v>29</v>
      </c>
      <c r="L705">
        <v>1</v>
      </c>
      <c r="M705">
        <v>1</v>
      </c>
      <c r="N705">
        <v>1.7</v>
      </c>
      <c r="O705">
        <v>9.1</v>
      </c>
      <c r="P705">
        <v>3</v>
      </c>
      <c r="Q705">
        <v>6</v>
      </c>
      <c r="R705">
        <v>975787</v>
      </c>
      <c r="S705">
        <f>Table1[[#This Row],[Revenue]]-Table1[[#This Row],[Operating_Costs]]</f>
        <v>153016</v>
      </c>
      <c r="T705">
        <v>822771</v>
      </c>
      <c r="U705">
        <v>33</v>
      </c>
      <c r="V705">
        <v>61</v>
      </c>
      <c r="W705">
        <v>13.4</v>
      </c>
    </row>
    <row r="706" spans="1:23" x14ac:dyDescent="0.25">
      <c r="A706">
        <v>1</v>
      </c>
      <c r="B706" t="s">
        <v>32</v>
      </c>
      <c r="C706" s="1">
        <v>44995</v>
      </c>
      <c r="D706" t="s">
        <v>71</v>
      </c>
      <c r="E706">
        <v>0</v>
      </c>
      <c r="F706">
        <v>85</v>
      </c>
      <c r="G706" t="str">
        <f t="shared" si="18"/>
        <v>81+</v>
      </c>
      <c r="H706" t="s">
        <v>23</v>
      </c>
      <c r="I706" t="s">
        <v>43</v>
      </c>
      <c r="J706" t="s">
        <v>25</v>
      </c>
      <c r="K706" t="s">
        <v>26</v>
      </c>
      <c r="L706">
        <v>1</v>
      </c>
      <c r="M706">
        <v>1</v>
      </c>
      <c r="N706">
        <v>6.1</v>
      </c>
      <c r="O706">
        <v>7.7</v>
      </c>
      <c r="P706">
        <v>5</v>
      </c>
      <c r="Q706">
        <v>7</v>
      </c>
      <c r="R706">
        <v>980128</v>
      </c>
      <c r="S706">
        <f>Table1[[#This Row],[Revenue]]-Table1[[#This Row],[Operating_Costs]]</f>
        <v>194449</v>
      </c>
      <c r="T706">
        <v>785679</v>
      </c>
      <c r="U706">
        <v>36</v>
      </c>
      <c r="V706">
        <v>59</v>
      </c>
      <c r="W706">
        <v>14.5</v>
      </c>
    </row>
    <row r="707" spans="1:23" x14ac:dyDescent="0.25">
      <c r="A707">
        <v>1</v>
      </c>
      <c r="B707" t="s">
        <v>32</v>
      </c>
      <c r="C707" s="1">
        <v>44338</v>
      </c>
      <c r="D707" t="s">
        <v>71</v>
      </c>
      <c r="E707">
        <v>0</v>
      </c>
      <c r="F707">
        <v>74</v>
      </c>
      <c r="G707" t="str">
        <f t="shared" ref="G707:G770" si="19">IF(F707&lt;=20,"0-20",IF(F707&lt;=40,"21-40",IF(F707&lt;=60,"41-60",IF(F707&lt;=80,"61-80","81+"))))</f>
        <v>61-80</v>
      </c>
      <c r="H707" t="s">
        <v>23</v>
      </c>
      <c r="I707" t="s">
        <v>24</v>
      </c>
      <c r="J707" t="s">
        <v>25</v>
      </c>
      <c r="K707" t="s">
        <v>26</v>
      </c>
      <c r="L707">
        <v>1</v>
      </c>
      <c r="M707">
        <v>1</v>
      </c>
      <c r="N707">
        <v>1.3</v>
      </c>
      <c r="O707">
        <v>8.5</v>
      </c>
      <c r="P707">
        <v>5</v>
      </c>
      <c r="Q707">
        <v>5</v>
      </c>
      <c r="R707">
        <v>944196</v>
      </c>
      <c r="S707">
        <f>Table1[[#This Row],[Revenue]]-Table1[[#This Row],[Operating_Costs]]</f>
        <v>157226</v>
      </c>
      <c r="T707">
        <v>786970</v>
      </c>
      <c r="U707">
        <v>30</v>
      </c>
      <c r="V707">
        <v>63</v>
      </c>
      <c r="W707">
        <v>12.6</v>
      </c>
    </row>
    <row r="708" spans="1:23" x14ac:dyDescent="0.25">
      <c r="A708">
        <v>1</v>
      </c>
      <c r="B708" t="s">
        <v>32</v>
      </c>
      <c r="C708" s="1">
        <v>45343</v>
      </c>
      <c r="D708" t="s">
        <v>71</v>
      </c>
      <c r="E708">
        <v>0</v>
      </c>
      <c r="F708">
        <v>74</v>
      </c>
      <c r="G708" t="str">
        <f t="shared" si="19"/>
        <v>61-80</v>
      </c>
      <c r="H708" t="s">
        <v>35</v>
      </c>
      <c r="I708" t="s">
        <v>36</v>
      </c>
      <c r="J708" t="s">
        <v>37</v>
      </c>
      <c r="K708" t="s">
        <v>33</v>
      </c>
      <c r="L708">
        <v>1</v>
      </c>
      <c r="M708">
        <v>1</v>
      </c>
      <c r="N708">
        <v>2.1</v>
      </c>
      <c r="O708">
        <v>9.5</v>
      </c>
      <c r="P708">
        <v>4</v>
      </c>
      <c r="Q708">
        <v>5</v>
      </c>
      <c r="R708">
        <v>937827</v>
      </c>
      <c r="S708">
        <f>Table1[[#This Row],[Revenue]]-Table1[[#This Row],[Operating_Costs]]</f>
        <v>56330</v>
      </c>
      <c r="T708">
        <v>881497</v>
      </c>
      <c r="U708">
        <v>32</v>
      </c>
      <c r="V708">
        <v>62</v>
      </c>
      <c r="W708">
        <v>5.5</v>
      </c>
    </row>
    <row r="709" spans="1:23" x14ac:dyDescent="0.25">
      <c r="A709">
        <v>1</v>
      </c>
      <c r="B709" t="s">
        <v>32</v>
      </c>
      <c r="C709" s="1">
        <v>45612</v>
      </c>
      <c r="D709" t="s">
        <v>71</v>
      </c>
      <c r="E709">
        <v>0</v>
      </c>
      <c r="F709">
        <v>55</v>
      </c>
      <c r="G709" t="str">
        <f t="shared" si="19"/>
        <v>41-60</v>
      </c>
      <c r="H709" t="s">
        <v>23</v>
      </c>
      <c r="I709" t="s">
        <v>24</v>
      </c>
      <c r="J709" t="s">
        <v>25</v>
      </c>
      <c r="K709" t="s">
        <v>42</v>
      </c>
      <c r="L709">
        <v>1</v>
      </c>
      <c r="M709">
        <v>1</v>
      </c>
      <c r="N709">
        <v>4.9000000000000004</v>
      </c>
      <c r="O709">
        <v>8.8000000000000007</v>
      </c>
      <c r="P709">
        <v>4</v>
      </c>
      <c r="Q709">
        <v>7</v>
      </c>
      <c r="R709">
        <v>945991</v>
      </c>
      <c r="S709">
        <f>Table1[[#This Row],[Revenue]]-Table1[[#This Row],[Operating_Costs]]</f>
        <v>297629</v>
      </c>
      <c r="T709">
        <v>648362</v>
      </c>
      <c r="U709">
        <v>35</v>
      </c>
      <c r="V709">
        <v>58</v>
      </c>
      <c r="W709">
        <v>36.9</v>
      </c>
    </row>
    <row r="710" spans="1:23" x14ac:dyDescent="0.25">
      <c r="A710">
        <v>1</v>
      </c>
      <c r="B710" t="s">
        <v>32</v>
      </c>
      <c r="C710" s="1">
        <v>44927</v>
      </c>
      <c r="D710" t="s">
        <v>71</v>
      </c>
      <c r="E710">
        <v>0</v>
      </c>
      <c r="F710">
        <v>49</v>
      </c>
      <c r="G710" t="str">
        <f t="shared" si="19"/>
        <v>41-60</v>
      </c>
      <c r="H710" t="s">
        <v>35</v>
      </c>
      <c r="I710" t="s">
        <v>60</v>
      </c>
      <c r="J710" t="s">
        <v>59</v>
      </c>
      <c r="K710" t="s">
        <v>33</v>
      </c>
      <c r="L710">
        <v>1</v>
      </c>
      <c r="M710">
        <v>1</v>
      </c>
      <c r="N710">
        <v>2.1</v>
      </c>
      <c r="O710">
        <v>7.3</v>
      </c>
      <c r="P710">
        <v>4</v>
      </c>
      <c r="Q710">
        <v>3</v>
      </c>
      <c r="R710">
        <v>906656</v>
      </c>
      <c r="S710">
        <f>Table1[[#This Row],[Revenue]]-Table1[[#This Row],[Operating_Costs]]</f>
        <v>281614</v>
      </c>
      <c r="T710">
        <v>625042</v>
      </c>
      <c r="U710">
        <v>33</v>
      </c>
      <c r="V710">
        <v>64</v>
      </c>
      <c r="W710">
        <v>13.6</v>
      </c>
    </row>
    <row r="711" spans="1:23" x14ac:dyDescent="0.25">
      <c r="A711">
        <v>1</v>
      </c>
      <c r="B711" t="s">
        <v>32</v>
      </c>
      <c r="C711" s="1">
        <v>44508</v>
      </c>
      <c r="D711" t="s">
        <v>71</v>
      </c>
      <c r="E711">
        <v>0</v>
      </c>
      <c r="F711">
        <v>23</v>
      </c>
      <c r="G711" t="str">
        <f t="shared" si="19"/>
        <v>21-40</v>
      </c>
      <c r="H711" t="s">
        <v>23</v>
      </c>
      <c r="I711" t="s">
        <v>24</v>
      </c>
      <c r="J711" t="s">
        <v>25</v>
      </c>
      <c r="K711" t="s">
        <v>29</v>
      </c>
      <c r="L711">
        <v>1</v>
      </c>
      <c r="M711">
        <v>1</v>
      </c>
      <c r="N711">
        <v>5.2</v>
      </c>
      <c r="O711">
        <v>8.9</v>
      </c>
      <c r="P711">
        <v>3</v>
      </c>
      <c r="Q711">
        <v>5</v>
      </c>
      <c r="R711">
        <v>985890</v>
      </c>
      <c r="S711">
        <f>Table1[[#This Row],[Revenue]]-Table1[[#This Row],[Operating_Costs]]</f>
        <v>264574</v>
      </c>
      <c r="T711">
        <v>721316</v>
      </c>
      <c r="U711">
        <v>34</v>
      </c>
      <c r="V711">
        <v>58</v>
      </c>
      <c r="W711">
        <v>9.8000000000000007</v>
      </c>
    </row>
    <row r="712" spans="1:23" x14ac:dyDescent="0.25">
      <c r="A712">
        <v>1</v>
      </c>
      <c r="B712" t="s">
        <v>32</v>
      </c>
      <c r="C712" s="1">
        <v>45141</v>
      </c>
      <c r="D712" t="s">
        <v>71</v>
      </c>
      <c r="E712">
        <v>0</v>
      </c>
      <c r="F712">
        <v>40</v>
      </c>
      <c r="G712" t="str">
        <f t="shared" si="19"/>
        <v>21-40</v>
      </c>
      <c r="H712" t="s">
        <v>23</v>
      </c>
      <c r="I712" t="s">
        <v>58</v>
      </c>
      <c r="J712" t="s">
        <v>59</v>
      </c>
      <c r="K712" t="s">
        <v>33</v>
      </c>
      <c r="L712">
        <v>1</v>
      </c>
      <c r="M712">
        <v>1</v>
      </c>
      <c r="N712">
        <v>2.1</v>
      </c>
      <c r="O712">
        <v>8.1</v>
      </c>
      <c r="P712">
        <v>7</v>
      </c>
      <c r="Q712">
        <v>5</v>
      </c>
      <c r="R712">
        <v>972565</v>
      </c>
      <c r="S712">
        <f>Table1[[#This Row],[Revenue]]-Table1[[#This Row],[Operating_Costs]]</f>
        <v>275643</v>
      </c>
      <c r="T712">
        <v>696922</v>
      </c>
      <c r="U712">
        <v>31</v>
      </c>
      <c r="V712">
        <v>62</v>
      </c>
      <c r="W712">
        <v>8.4</v>
      </c>
    </row>
    <row r="713" spans="1:23" x14ac:dyDescent="0.25">
      <c r="A713">
        <v>1</v>
      </c>
      <c r="B713" t="s">
        <v>32</v>
      </c>
      <c r="C713" s="1">
        <v>44959</v>
      </c>
      <c r="D713" t="s">
        <v>71</v>
      </c>
      <c r="E713">
        <v>0</v>
      </c>
      <c r="F713">
        <v>47</v>
      </c>
      <c r="G713" t="str">
        <f t="shared" si="19"/>
        <v>41-60</v>
      </c>
      <c r="H713" t="s">
        <v>23</v>
      </c>
      <c r="I713" t="s">
        <v>24</v>
      </c>
      <c r="J713" t="s">
        <v>25</v>
      </c>
      <c r="K713" t="s">
        <v>42</v>
      </c>
      <c r="L713">
        <v>1</v>
      </c>
      <c r="M713">
        <v>1</v>
      </c>
      <c r="N713">
        <v>6.8</v>
      </c>
      <c r="O713">
        <v>9.1</v>
      </c>
      <c r="P713">
        <v>6</v>
      </c>
      <c r="Q713">
        <v>5</v>
      </c>
      <c r="R713">
        <v>961012</v>
      </c>
      <c r="S713">
        <f>Table1[[#This Row],[Revenue]]-Table1[[#This Row],[Operating_Costs]]</f>
        <v>88929</v>
      </c>
      <c r="T713">
        <v>872083</v>
      </c>
      <c r="U713">
        <v>35</v>
      </c>
      <c r="V713">
        <v>65</v>
      </c>
      <c r="W713">
        <v>12.8</v>
      </c>
    </row>
    <row r="714" spans="1:23" x14ac:dyDescent="0.25">
      <c r="A714">
        <v>1</v>
      </c>
      <c r="B714" t="s">
        <v>32</v>
      </c>
      <c r="C714" s="1">
        <v>45359</v>
      </c>
      <c r="D714" t="s">
        <v>71</v>
      </c>
      <c r="E714">
        <v>0</v>
      </c>
      <c r="F714">
        <v>23</v>
      </c>
      <c r="G714" t="str">
        <f t="shared" si="19"/>
        <v>21-40</v>
      </c>
      <c r="H714" t="s">
        <v>35</v>
      </c>
      <c r="I714" t="s">
        <v>36</v>
      </c>
      <c r="J714" t="s">
        <v>37</v>
      </c>
      <c r="K714" t="s">
        <v>26</v>
      </c>
      <c r="L714">
        <v>1</v>
      </c>
      <c r="M714">
        <v>1</v>
      </c>
      <c r="N714">
        <v>5.8</v>
      </c>
      <c r="O714">
        <v>9.9</v>
      </c>
      <c r="P714">
        <v>4</v>
      </c>
      <c r="Q714">
        <v>6</v>
      </c>
      <c r="R714">
        <v>986402</v>
      </c>
      <c r="S714">
        <f>Table1[[#This Row],[Revenue]]-Table1[[#This Row],[Operating_Costs]]</f>
        <v>275869</v>
      </c>
      <c r="T714">
        <v>710533</v>
      </c>
      <c r="U714">
        <v>30</v>
      </c>
      <c r="V714">
        <v>63</v>
      </c>
      <c r="W714">
        <v>15</v>
      </c>
    </row>
    <row r="715" spans="1:23" x14ac:dyDescent="0.25">
      <c r="A715">
        <v>1</v>
      </c>
      <c r="B715" t="s">
        <v>32</v>
      </c>
      <c r="C715" s="1">
        <v>45317</v>
      </c>
      <c r="D715" t="s">
        <v>71</v>
      </c>
      <c r="E715">
        <v>0</v>
      </c>
      <c r="F715">
        <v>73</v>
      </c>
      <c r="G715" t="str">
        <f t="shared" si="19"/>
        <v>61-80</v>
      </c>
      <c r="H715" t="s">
        <v>23</v>
      </c>
      <c r="I715" t="s">
        <v>40</v>
      </c>
      <c r="J715" t="s">
        <v>41</v>
      </c>
      <c r="K715" t="s">
        <v>42</v>
      </c>
      <c r="L715">
        <v>1</v>
      </c>
      <c r="M715">
        <v>1</v>
      </c>
      <c r="N715">
        <v>1</v>
      </c>
      <c r="O715">
        <v>7.3</v>
      </c>
      <c r="P715">
        <v>5</v>
      </c>
      <c r="Q715">
        <v>4</v>
      </c>
      <c r="R715">
        <v>966320</v>
      </c>
      <c r="S715">
        <f>Table1[[#This Row],[Revenue]]-Table1[[#This Row],[Operating_Costs]]</f>
        <v>347058</v>
      </c>
      <c r="T715">
        <v>619262</v>
      </c>
      <c r="U715">
        <v>38</v>
      </c>
      <c r="V715">
        <v>55</v>
      </c>
      <c r="W715">
        <v>5.8</v>
      </c>
    </row>
    <row r="716" spans="1:23" x14ac:dyDescent="0.25">
      <c r="A716">
        <v>1</v>
      </c>
      <c r="B716" t="s">
        <v>32</v>
      </c>
      <c r="C716" s="1">
        <v>45204</v>
      </c>
      <c r="D716" t="s">
        <v>71</v>
      </c>
      <c r="E716">
        <v>0</v>
      </c>
      <c r="F716">
        <v>86</v>
      </c>
      <c r="G716" t="str">
        <f t="shared" si="19"/>
        <v>81+</v>
      </c>
      <c r="H716" t="s">
        <v>23</v>
      </c>
      <c r="I716" t="s">
        <v>24</v>
      </c>
      <c r="J716" t="s">
        <v>25</v>
      </c>
      <c r="K716" t="s">
        <v>33</v>
      </c>
      <c r="L716">
        <v>1</v>
      </c>
      <c r="M716">
        <v>1</v>
      </c>
      <c r="N716">
        <v>4.3</v>
      </c>
      <c r="O716">
        <v>7</v>
      </c>
      <c r="P716">
        <v>6</v>
      </c>
      <c r="Q716">
        <v>7</v>
      </c>
      <c r="R716">
        <v>901974</v>
      </c>
      <c r="S716">
        <f>Table1[[#This Row],[Revenue]]-Table1[[#This Row],[Operating_Costs]]</f>
        <v>209265</v>
      </c>
      <c r="T716">
        <v>692709</v>
      </c>
      <c r="U716">
        <v>34</v>
      </c>
      <c r="V716">
        <v>64</v>
      </c>
      <c r="W716">
        <v>9</v>
      </c>
    </row>
    <row r="717" spans="1:23" x14ac:dyDescent="0.25">
      <c r="A717">
        <v>1</v>
      </c>
      <c r="B717" t="s">
        <v>32</v>
      </c>
      <c r="C717" s="1">
        <v>44968</v>
      </c>
      <c r="D717" t="s">
        <v>71</v>
      </c>
      <c r="E717">
        <v>0</v>
      </c>
      <c r="F717">
        <v>87</v>
      </c>
      <c r="G717" t="str">
        <f t="shared" si="19"/>
        <v>81+</v>
      </c>
      <c r="H717" t="s">
        <v>35</v>
      </c>
      <c r="I717" t="s">
        <v>60</v>
      </c>
      <c r="J717" t="s">
        <v>59</v>
      </c>
      <c r="K717" t="s">
        <v>33</v>
      </c>
      <c r="L717">
        <v>1</v>
      </c>
      <c r="M717">
        <v>1</v>
      </c>
      <c r="N717">
        <v>5.5</v>
      </c>
      <c r="O717">
        <v>9</v>
      </c>
      <c r="P717">
        <v>5</v>
      </c>
      <c r="Q717">
        <v>5</v>
      </c>
      <c r="R717">
        <v>941391</v>
      </c>
      <c r="S717">
        <f>Table1[[#This Row],[Revenue]]-Table1[[#This Row],[Operating_Costs]]</f>
        <v>117740</v>
      </c>
      <c r="T717">
        <v>823651</v>
      </c>
      <c r="U717">
        <v>40</v>
      </c>
      <c r="V717">
        <v>58</v>
      </c>
      <c r="W717">
        <v>7.4</v>
      </c>
    </row>
    <row r="718" spans="1:23" x14ac:dyDescent="0.25">
      <c r="A718">
        <v>1</v>
      </c>
      <c r="B718" t="s">
        <v>32</v>
      </c>
      <c r="C718" s="1">
        <v>44629</v>
      </c>
      <c r="D718" t="s">
        <v>71</v>
      </c>
      <c r="E718">
        <v>0</v>
      </c>
      <c r="F718">
        <v>87</v>
      </c>
      <c r="G718" t="str">
        <f t="shared" si="19"/>
        <v>81+</v>
      </c>
      <c r="H718" t="s">
        <v>35</v>
      </c>
      <c r="I718" t="s">
        <v>36</v>
      </c>
      <c r="J718" t="s">
        <v>37</v>
      </c>
      <c r="K718" t="s">
        <v>38</v>
      </c>
      <c r="L718">
        <v>1</v>
      </c>
      <c r="M718">
        <v>1</v>
      </c>
      <c r="N718">
        <v>3.7</v>
      </c>
      <c r="O718">
        <v>7.4</v>
      </c>
      <c r="P718">
        <v>4</v>
      </c>
      <c r="Q718">
        <v>6</v>
      </c>
      <c r="R718">
        <v>974650</v>
      </c>
      <c r="S718">
        <f>Table1[[#This Row],[Revenue]]-Table1[[#This Row],[Operating_Costs]]</f>
        <v>315667</v>
      </c>
      <c r="T718">
        <v>658983</v>
      </c>
      <c r="U718">
        <v>32</v>
      </c>
      <c r="V718">
        <v>60</v>
      </c>
      <c r="W718">
        <v>13.8</v>
      </c>
    </row>
    <row r="719" spans="1:23" x14ac:dyDescent="0.25">
      <c r="A719">
        <v>1</v>
      </c>
      <c r="B719" t="s">
        <v>32</v>
      </c>
      <c r="C719" s="1">
        <v>45182</v>
      </c>
      <c r="D719" t="s">
        <v>71</v>
      </c>
      <c r="E719">
        <v>0</v>
      </c>
      <c r="F719">
        <v>68</v>
      </c>
      <c r="G719" t="str">
        <f t="shared" si="19"/>
        <v>61-80</v>
      </c>
      <c r="H719" t="s">
        <v>35</v>
      </c>
      <c r="I719" t="s">
        <v>61</v>
      </c>
      <c r="J719" t="s">
        <v>62</v>
      </c>
      <c r="K719" t="s">
        <v>38</v>
      </c>
      <c r="L719">
        <v>1</v>
      </c>
      <c r="M719">
        <v>1</v>
      </c>
      <c r="N719">
        <v>4.8</v>
      </c>
      <c r="O719">
        <v>7.8</v>
      </c>
      <c r="P719">
        <v>5</v>
      </c>
      <c r="Q719">
        <v>6</v>
      </c>
      <c r="R719">
        <v>931423</v>
      </c>
      <c r="S719">
        <f>Table1[[#This Row],[Revenue]]-Table1[[#This Row],[Operating_Costs]]</f>
        <v>181272</v>
      </c>
      <c r="T719">
        <v>750151</v>
      </c>
      <c r="U719">
        <v>32</v>
      </c>
      <c r="V719">
        <v>63</v>
      </c>
      <c r="W719">
        <v>36</v>
      </c>
    </row>
    <row r="720" spans="1:23" x14ac:dyDescent="0.25">
      <c r="A720">
        <v>2</v>
      </c>
      <c r="B720" t="s">
        <v>39</v>
      </c>
      <c r="C720" s="1">
        <v>44304</v>
      </c>
      <c r="D720" t="s">
        <v>71</v>
      </c>
      <c r="E720">
        <v>0</v>
      </c>
      <c r="F720">
        <v>82</v>
      </c>
      <c r="G720" t="str">
        <f t="shared" si="19"/>
        <v>81+</v>
      </c>
      <c r="H720" t="s">
        <v>23</v>
      </c>
      <c r="I720" t="s">
        <v>24</v>
      </c>
      <c r="J720" t="s">
        <v>25</v>
      </c>
      <c r="K720" t="s">
        <v>42</v>
      </c>
      <c r="L720">
        <v>1</v>
      </c>
      <c r="M720">
        <v>1</v>
      </c>
      <c r="N720">
        <v>1.2</v>
      </c>
      <c r="O720">
        <v>7.9</v>
      </c>
      <c r="P720">
        <v>5</v>
      </c>
      <c r="Q720">
        <v>6</v>
      </c>
      <c r="R720">
        <v>638205</v>
      </c>
      <c r="S720">
        <f>Table1[[#This Row],[Revenue]]-Table1[[#This Row],[Operating_Costs]]</f>
        <v>78607</v>
      </c>
      <c r="T720">
        <v>559598</v>
      </c>
      <c r="U720">
        <v>40</v>
      </c>
      <c r="V720">
        <v>64</v>
      </c>
      <c r="W720">
        <v>14.6</v>
      </c>
    </row>
    <row r="721" spans="1:23" x14ac:dyDescent="0.25">
      <c r="A721">
        <v>1</v>
      </c>
      <c r="B721" t="s">
        <v>32</v>
      </c>
      <c r="C721" s="1">
        <v>45651</v>
      </c>
      <c r="D721" t="s">
        <v>71</v>
      </c>
      <c r="E721">
        <v>0</v>
      </c>
      <c r="F721">
        <v>34</v>
      </c>
      <c r="G721" t="str">
        <f t="shared" si="19"/>
        <v>21-40</v>
      </c>
      <c r="H721" t="s">
        <v>35</v>
      </c>
      <c r="I721" t="s">
        <v>58</v>
      </c>
      <c r="J721" t="s">
        <v>59</v>
      </c>
      <c r="K721" t="s">
        <v>29</v>
      </c>
      <c r="L721">
        <v>1</v>
      </c>
      <c r="M721">
        <v>1</v>
      </c>
      <c r="N721">
        <v>2</v>
      </c>
      <c r="O721">
        <v>7.6</v>
      </c>
      <c r="P721">
        <v>7</v>
      </c>
      <c r="Q721">
        <v>6</v>
      </c>
      <c r="R721">
        <v>936636</v>
      </c>
      <c r="S721">
        <f>Table1[[#This Row],[Revenue]]-Table1[[#This Row],[Operating_Costs]]</f>
        <v>142349</v>
      </c>
      <c r="T721">
        <v>794287</v>
      </c>
      <c r="U721">
        <v>31</v>
      </c>
      <c r="V721">
        <v>63</v>
      </c>
      <c r="W721">
        <v>36.6</v>
      </c>
    </row>
    <row r="722" spans="1:23" x14ac:dyDescent="0.25">
      <c r="A722">
        <v>1</v>
      </c>
      <c r="B722" t="s">
        <v>32</v>
      </c>
      <c r="C722" s="1">
        <v>44372</v>
      </c>
      <c r="D722" t="s">
        <v>71</v>
      </c>
      <c r="E722">
        <v>0</v>
      </c>
      <c r="F722">
        <v>23</v>
      </c>
      <c r="G722" t="str">
        <f t="shared" si="19"/>
        <v>21-40</v>
      </c>
      <c r="H722" t="s">
        <v>35</v>
      </c>
      <c r="I722" t="s">
        <v>31</v>
      </c>
      <c r="J722" t="s">
        <v>28</v>
      </c>
      <c r="K722" t="s">
        <v>38</v>
      </c>
      <c r="L722">
        <v>1</v>
      </c>
      <c r="M722">
        <v>1</v>
      </c>
      <c r="N722">
        <v>2.7</v>
      </c>
      <c r="O722">
        <v>7.1</v>
      </c>
      <c r="P722">
        <v>3</v>
      </c>
      <c r="Q722">
        <v>4</v>
      </c>
      <c r="R722">
        <v>975983</v>
      </c>
      <c r="S722">
        <f>Table1[[#This Row],[Revenue]]-Table1[[#This Row],[Operating_Costs]]</f>
        <v>308670</v>
      </c>
      <c r="T722">
        <v>667313</v>
      </c>
      <c r="U722">
        <v>30</v>
      </c>
      <c r="V722">
        <v>56</v>
      </c>
      <c r="W722">
        <v>12.2</v>
      </c>
    </row>
    <row r="723" spans="1:23" x14ac:dyDescent="0.25">
      <c r="A723">
        <v>1</v>
      </c>
      <c r="B723" t="s">
        <v>32</v>
      </c>
      <c r="C723" s="1">
        <v>44332</v>
      </c>
      <c r="D723" t="s">
        <v>71</v>
      </c>
      <c r="E723">
        <v>0</v>
      </c>
      <c r="F723">
        <v>31</v>
      </c>
      <c r="G723" t="str">
        <f t="shared" si="19"/>
        <v>21-40</v>
      </c>
      <c r="H723" t="s">
        <v>35</v>
      </c>
      <c r="I723" t="s">
        <v>55</v>
      </c>
      <c r="J723" t="s">
        <v>56</v>
      </c>
      <c r="K723" t="s">
        <v>26</v>
      </c>
      <c r="L723">
        <v>1</v>
      </c>
      <c r="M723">
        <v>1</v>
      </c>
      <c r="N723">
        <v>7</v>
      </c>
      <c r="O723">
        <v>7.9</v>
      </c>
      <c r="P723">
        <v>7</v>
      </c>
      <c r="Q723">
        <v>3</v>
      </c>
      <c r="R723">
        <v>913354</v>
      </c>
      <c r="S723">
        <f>Table1[[#This Row],[Revenue]]-Table1[[#This Row],[Operating_Costs]]</f>
        <v>77197</v>
      </c>
      <c r="T723">
        <v>836157</v>
      </c>
      <c r="U723">
        <v>35</v>
      </c>
      <c r="V723">
        <v>66</v>
      </c>
      <c r="W723">
        <v>6.1</v>
      </c>
    </row>
    <row r="724" spans="1:23" x14ac:dyDescent="0.25">
      <c r="A724">
        <v>1</v>
      </c>
      <c r="B724" t="s">
        <v>32</v>
      </c>
      <c r="C724" s="1">
        <v>44515</v>
      </c>
      <c r="D724" t="s">
        <v>71</v>
      </c>
      <c r="E724">
        <v>0</v>
      </c>
      <c r="F724">
        <v>60</v>
      </c>
      <c r="G724" t="str">
        <f t="shared" si="19"/>
        <v>41-60</v>
      </c>
      <c r="H724" t="s">
        <v>23</v>
      </c>
      <c r="I724" t="s">
        <v>43</v>
      </c>
      <c r="J724" t="s">
        <v>25</v>
      </c>
      <c r="K724" t="s">
        <v>26</v>
      </c>
      <c r="L724">
        <v>1</v>
      </c>
      <c r="M724">
        <v>1</v>
      </c>
      <c r="N724">
        <v>1.3</v>
      </c>
      <c r="O724">
        <v>8.5</v>
      </c>
      <c r="P724">
        <v>5</v>
      </c>
      <c r="Q724">
        <v>4</v>
      </c>
      <c r="R724">
        <v>967395</v>
      </c>
      <c r="S724">
        <f>Table1[[#This Row],[Revenue]]-Table1[[#This Row],[Operating_Costs]]</f>
        <v>128083</v>
      </c>
      <c r="T724">
        <v>839312</v>
      </c>
      <c r="U724">
        <v>38</v>
      </c>
      <c r="V724">
        <v>57</v>
      </c>
      <c r="W724">
        <v>36.4</v>
      </c>
    </row>
    <row r="725" spans="1:23" x14ac:dyDescent="0.25">
      <c r="A725">
        <v>1</v>
      </c>
      <c r="B725" t="s">
        <v>32</v>
      </c>
      <c r="C725" s="1">
        <v>45304</v>
      </c>
      <c r="D725" t="s">
        <v>71</v>
      </c>
      <c r="E725">
        <v>0</v>
      </c>
      <c r="F725">
        <v>57</v>
      </c>
      <c r="G725" t="str">
        <f t="shared" si="19"/>
        <v>41-60</v>
      </c>
      <c r="H725" t="s">
        <v>35</v>
      </c>
      <c r="I725" t="s">
        <v>61</v>
      </c>
      <c r="J725" t="s">
        <v>62</v>
      </c>
      <c r="K725" t="s">
        <v>33</v>
      </c>
      <c r="L725">
        <v>1</v>
      </c>
      <c r="M725">
        <v>1</v>
      </c>
      <c r="N725">
        <v>3.8</v>
      </c>
      <c r="O725">
        <v>9.3000000000000007</v>
      </c>
      <c r="P725">
        <v>4</v>
      </c>
      <c r="Q725">
        <v>4</v>
      </c>
      <c r="R725">
        <v>994623</v>
      </c>
      <c r="S725">
        <f>Table1[[#This Row],[Revenue]]-Table1[[#This Row],[Operating_Costs]]</f>
        <v>329374</v>
      </c>
      <c r="T725">
        <v>665249</v>
      </c>
      <c r="U725">
        <v>40</v>
      </c>
      <c r="V725">
        <v>57</v>
      </c>
      <c r="W725">
        <v>6.4</v>
      </c>
    </row>
    <row r="726" spans="1:23" x14ac:dyDescent="0.25">
      <c r="A726">
        <v>1</v>
      </c>
      <c r="B726" t="s">
        <v>32</v>
      </c>
      <c r="C726" s="1">
        <v>45105</v>
      </c>
      <c r="D726" t="s">
        <v>71</v>
      </c>
      <c r="E726">
        <v>0</v>
      </c>
      <c r="F726">
        <v>31</v>
      </c>
      <c r="G726" t="str">
        <f t="shared" si="19"/>
        <v>21-40</v>
      </c>
      <c r="H726" t="s">
        <v>23</v>
      </c>
      <c r="I726" t="s">
        <v>24</v>
      </c>
      <c r="J726" t="s">
        <v>25</v>
      </c>
      <c r="K726" t="s">
        <v>33</v>
      </c>
      <c r="L726">
        <v>1</v>
      </c>
      <c r="M726">
        <v>1</v>
      </c>
      <c r="N726">
        <v>6.8</v>
      </c>
      <c r="O726">
        <v>9.1999999999999993</v>
      </c>
      <c r="P726">
        <v>4</v>
      </c>
      <c r="Q726">
        <v>5</v>
      </c>
      <c r="R726">
        <v>908109</v>
      </c>
      <c r="S726">
        <f>Table1[[#This Row],[Revenue]]-Table1[[#This Row],[Operating_Costs]]</f>
        <v>209985</v>
      </c>
      <c r="T726">
        <v>698124</v>
      </c>
      <c r="U726">
        <v>38</v>
      </c>
      <c r="V726">
        <v>63</v>
      </c>
      <c r="W726">
        <v>10.5</v>
      </c>
    </row>
    <row r="727" spans="1:23" x14ac:dyDescent="0.25">
      <c r="A727">
        <v>2</v>
      </c>
      <c r="B727" t="s">
        <v>39</v>
      </c>
      <c r="C727" s="1">
        <v>44871</v>
      </c>
      <c r="D727" t="s">
        <v>71</v>
      </c>
      <c r="E727">
        <v>0</v>
      </c>
      <c r="F727">
        <v>78</v>
      </c>
      <c r="G727" t="str">
        <f t="shared" si="19"/>
        <v>61-80</v>
      </c>
      <c r="H727" t="s">
        <v>35</v>
      </c>
      <c r="I727" t="s">
        <v>46</v>
      </c>
      <c r="J727" t="s">
        <v>47</v>
      </c>
      <c r="K727" t="s">
        <v>29</v>
      </c>
      <c r="L727">
        <v>1</v>
      </c>
      <c r="M727">
        <v>1</v>
      </c>
      <c r="N727">
        <v>5.8</v>
      </c>
      <c r="O727">
        <v>7.8</v>
      </c>
      <c r="P727">
        <v>6</v>
      </c>
      <c r="Q727">
        <v>3</v>
      </c>
      <c r="R727">
        <v>719729</v>
      </c>
      <c r="S727">
        <f>Table1[[#This Row],[Revenue]]-Table1[[#This Row],[Operating_Costs]]</f>
        <v>114890</v>
      </c>
      <c r="T727">
        <v>604839</v>
      </c>
      <c r="U727">
        <v>37</v>
      </c>
      <c r="V727">
        <v>59</v>
      </c>
      <c r="W727">
        <v>36.5</v>
      </c>
    </row>
    <row r="728" spans="1:23" x14ac:dyDescent="0.25">
      <c r="A728">
        <v>1</v>
      </c>
      <c r="B728" t="s">
        <v>32</v>
      </c>
      <c r="C728" s="1">
        <v>45253</v>
      </c>
      <c r="D728" t="s">
        <v>71</v>
      </c>
      <c r="E728">
        <v>0</v>
      </c>
      <c r="F728">
        <v>40</v>
      </c>
      <c r="G728" t="str">
        <f t="shared" si="19"/>
        <v>21-40</v>
      </c>
      <c r="H728" t="s">
        <v>23</v>
      </c>
      <c r="I728" t="s">
        <v>31</v>
      </c>
      <c r="J728" t="s">
        <v>28</v>
      </c>
      <c r="K728" t="s">
        <v>29</v>
      </c>
      <c r="L728">
        <v>1</v>
      </c>
      <c r="M728">
        <v>1</v>
      </c>
      <c r="N728">
        <v>1.5</v>
      </c>
      <c r="O728">
        <v>7.4</v>
      </c>
      <c r="P728">
        <v>5</v>
      </c>
      <c r="Q728">
        <v>7</v>
      </c>
      <c r="R728">
        <v>979559</v>
      </c>
      <c r="S728">
        <f>Table1[[#This Row],[Revenue]]-Table1[[#This Row],[Operating_Costs]]</f>
        <v>82141</v>
      </c>
      <c r="T728">
        <v>897418</v>
      </c>
      <c r="U728">
        <v>31</v>
      </c>
      <c r="V728">
        <v>62</v>
      </c>
      <c r="W728">
        <v>36.6</v>
      </c>
    </row>
    <row r="729" spans="1:23" x14ac:dyDescent="0.25">
      <c r="A729">
        <v>2</v>
      </c>
      <c r="B729" t="s">
        <v>39</v>
      </c>
      <c r="C729" s="1">
        <v>45302</v>
      </c>
      <c r="D729" t="s">
        <v>71</v>
      </c>
      <c r="E729">
        <v>0</v>
      </c>
      <c r="F729">
        <v>61</v>
      </c>
      <c r="G729" t="str">
        <f t="shared" si="19"/>
        <v>61-80</v>
      </c>
      <c r="H729" t="s">
        <v>35</v>
      </c>
      <c r="I729" t="s">
        <v>55</v>
      </c>
      <c r="J729" t="s">
        <v>56</v>
      </c>
      <c r="K729" t="s">
        <v>26</v>
      </c>
      <c r="L729">
        <v>1</v>
      </c>
      <c r="M729">
        <v>1</v>
      </c>
      <c r="N729">
        <v>2</v>
      </c>
      <c r="O729">
        <v>9</v>
      </c>
      <c r="P729">
        <v>3</v>
      </c>
      <c r="Q729">
        <v>5</v>
      </c>
      <c r="R729">
        <v>857757</v>
      </c>
      <c r="S729">
        <f>Table1[[#This Row],[Revenue]]-Table1[[#This Row],[Operating_Costs]]</f>
        <v>241999</v>
      </c>
      <c r="T729">
        <v>615758</v>
      </c>
      <c r="U729">
        <v>32</v>
      </c>
      <c r="V729">
        <v>57</v>
      </c>
      <c r="W729">
        <v>6.7</v>
      </c>
    </row>
    <row r="730" spans="1:23" x14ac:dyDescent="0.25">
      <c r="A730">
        <v>2</v>
      </c>
      <c r="B730" t="s">
        <v>39</v>
      </c>
      <c r="C730" s="1">
        <v>44681</v>
      </c>
      <c r="D730" t="s">
        <v>71</v>
      </c>
      <c r="E730">
        <v>0</v>
      </c>
      <c r="F730">
        <v>31</v>
      </c>
      <c r="G730" t="str">
        <f t="shared" si="19"/>
        <v>21-40</v>
      </c>
      <c r="H730" t="s">
        <v>35</v>
      </c>
      <c r="I730" t="s">
        <v>61</v>
      </c>
      <c r="J730" t="s">
        <v>62</v>
      </c>
      <c r="K730" t="s">
        <v>33</v>
      </c>
      <c r="L730">
        <v>1</v>
      </c>
      <c r="M730">
        <v>1</v>
      </c>
      <c r="N730">
        <v>5.2</v>
      </c>
      <c r="O730">
        <v>7.8</v>
      </c>
      <c r="P730">
        <v>4</v>
      </c>
      <c r="Q730">
        <v>4</v>
      </c>
      <c r="R730">
        <v>714830</v>
      </c>
      <c r="S730">
        <f>Table1[[#This Row],[Revenue]]-Table1[[#This Row],[Operating_Costs]]</f>
        <v>68898</v>
      </c>
      <c r="T730">
        <v>645932</v>
      </c>
      <c r="U730">
        <v>31</v>
      </c>
      <c r="V730">
        <v>66</v>
      </c>
      <c r="W730">
        <v>36</v>
      </c>
    </row>
    <row r="731" spans="1:23" x14ac:dyDescent="0.25">
      <c r="A731">
        <v>1</v>
      </c>
      <c r="B731" t="s">
        <v>32</v>
      </c>
      <c r="C731" s="1">
        <v>44254</v>
      </c>
      <c r="D731" t="s">
        <v>71</v>
      </c>
      <c r="E731">
        <v>0</v>
      </c>
      <c r="F731">
        <v>35</v>
      </c>
      <c r="G731" t="str">
        <f t="shared" si="19"/>
        <v>21-40</v>
      </c>
      <c r="H731" t="s">
        <v>35</v>
      </c>
      <c r="I731" t="s">
        <v>46</v>
      </c>
      <c r="J731" t="s">
        <v>47</v>
      </c>
      <c r="K731" t="s">
        <v>38</v>
      </c>
      <c r="L731">
        <v>1</v>
      </c>
      <c r="M731">
        <v>1</v>
      </c>
      <c r="N731">
        <v>3.9</v>
      </c>
      <c r="O731">
        <v>9.1</v>
      </c>
      <c r="P731">
        <v>4</v>
      </c>
      <c r="Q731">
        <v>7</v>
      </c>
      <c r="R731">
        <v>985224</v>
      </c>
      <c r="S731">
        <f>Table1[[#This Row],[Revenue]]-Table1[[#This Row],[Operating_Costs]]</f>
        <v>298274</v>
      </c>
      <c r="T731">
        <v>686950</v>
      </c>
      <c r="U731">
        <v>37</v>
      </c>
      <c r="V731">
        <v>63</v>
      </c>
      <c r="W731">
        <v>5.7</v>
      </c>
    </row>
    <row r="732" spans="1:23" x14ac:dyDescent="0.25">
      <c r="A732">
        <v>2</v>
      </c>
      <c r="B732" t="s">
        <v>39</v>
      </c>
      <c r="C732" s="1">
        <v>44959</v>
      </c>
      <c r="D732" t="s">
        <v>71</v>
      </c>
      <c r="E732">
        <v>0</v>
      </c>
      <c r="F732">
        <v>62</v>
      </c>
      <c r="G732" t="str">
        <f t="shared" si="19"/>
        <v>61-80</v>
      </c>
      <c r="H732" t="s">
        <v>35</v>
      </c>
      <c r="I732" t="s">
        <v>36</v>
      </c>
      <c r="J732" t="s">
        <v>37</v>
      </c>
      <c r="K732" t="s">
        <v>42</v>
      </c>
      <c r="L732">
        <v>1</v>
      </c>
      <c r="M732">
        <v>1</v>
      </c>
      <c r="N732">
        <v>5.3</v>
      </c>
      <c r="O732">
        <v>8.9</v>
      </c>
      <c r="P732">
        <v>6</v>
      </c>
      <c r="Q732">
        <v>4</v>
      </c>
      <c r="R732">
        <v>719519</v>
      </c>
      <c r="S732">
        <f>Table1[[#This Row],[Revenue]]-Table1[[#This Row],[Operating_Costs]]</f>
        <v>213538</v>
      </c>
      <c r="T732">
        <v>505981</v>
      </c>
      <c r="U732">
        <v>40</v>
      </c>
      <c r="V732">
        <v>63</v>
      </c>
      <c r="W732">
        <v>10.8</v>
      </c>
    </row>
    <row r="733" spans="1:23" x14ac:dyDescent="0.25">
      <c r="A733">
        <v>2</v>
      </c>
      <c r="B733" t="s">
        <v>39</v>
      </c>
      <c r="C733" s="1">
        <v>44247</v>
      </c>
      <c r="D733" t="s">
        <v>71</v>
      </c>
      <c r="E733">
        <v>0</v>
      </c>
      <c r="F733">
        <v>34</v>
      </c>
      <c r="G733" t="str">
        <f t="shared" si="19"/>
        <v>21-40</v>
      </c>
      <c r="H733" t="s">
        <v>35</v>
      </c>
      <c r="I733" t="s">
        <v>53</v>
      </c>
      <c r="J733" t="s">
        <v>54</v>
      </c>
      <c r="K733" t="s">
        <v>33</v>
      </c>
      <c r="L733">
        <v>1</v>
      </c>
      <c r="M733">
        <v>1</v>
      </c>
      <c r="N733">
        <v>4.0999999999999996</v>
      </c>
      <c r="O733">
        <v>8.8000000000000007</v>
      </c>
      <c r="P733">
        <v>7</v>
      </c>
      <c r="Q733">
        <v>5</v>
      </c>
      <c r="R733">
        <v>675143</v>
      </c>
      <c r="S733">
        <f>Table1[[#This Row],[Revenue]]-Table1[[#This Row],[Operating_Costs]]</f>
        <v>27410</v>
      </c>
      <c r="T733">
        <v>647733</v>
      </c>
      <c r="U733">
        <v>34</v>
      </c>
      <c r="V733">
        <v>57</v>
      </c>
      <c r="W733">
        <v>8.6</v>
      </c>
    </row>
    <row r="734" spans="1:23" x14ac:dyDescent="0.25">
      <c r="A734">
        <v>2</v>
      </c>
      <c r="B734" t="s">
        <v>39</v>
      </c>
      <c r="C734" s="1">
        <v>44691</v>
      </c>
      <c r="D734" t="s">
        <v>71</v>
      </c>
      <c r="E734">
        <v>0</v>
      </c>
      <c r="F734">
        <v>70</v>
      </c>
      <c r="G734" t="str">
        <f t="shared" si="19"/>
        <v>61-80</v>
      </c>
      <c r="H734" t="s">
        <v>23</v>
      </c>
      <c r="I734" t="s">
        <v>50</v>
      </c>
      <c r="J734" t="s">
        <v>51</v>
      </c>
      <c r="K734" t="s">
        <v>29</v>
      </c>
      <c r="L734">
        <v>1</v>
      </c>
      <c r="M734">
        <v>1</v>
      </c>
      <c r="N734">
        <v>2.9</v>
      </c>
      <c r="O734">
        <v>9.8000000000000007</v>
      </c>
      <c r="P734">
        <v>5</v>
      </c>
      <c r="Q734">
        <v>7</v>
      </c>
      <c r="R734">
        <v>763623</v>
      </c>
      <c r="S734">
        <f>Table1[[#This Row],[Revenue]]-Table1[[#This Row],[Operating_Costs]]</f>
        <v>172694</v>
      </c>
      <c r="T734">
        <v>590929</v>
      </c>
      <c r="U734">
        <v>36</v>
      </c>
      <c r="V734">
        <v>66</v>
      </c>
      <c r="W734">
        <v>12.7</v>
      </c>
    </row>
    <row r="735" spans="1:23" x14ac:dyDescent="0.25">
      <c r="A735">
        <v>2</v>
      </c>
      <c r="B735" t="s">
        <v>39</v>
      </c>
      <c r="C735" s="1">
        <v>45267</v>
      </c>
      <c r="D735" t="s">
        <v>71</v>
      </c>
      <c r="E735">
        <v>0</v>
      </c>
      <c r="F735">
        <v>40</v>
      </c>
      <c r="G735" t="str">
        <f t="shared" si="19"/>
        <v>21-40</v>
      </c>
      <c r="H735" t="s">
        <v>23</v>
      </c>
      <c r="I735" t="s">
        <v>24</v>
      </c>
      <c r="J735" t="s">
        <v>25</v>
      </c>
      <c r="K735" t="s">
        <v>26</v>
      </c>
      <c r="L735">
        <v>1</v>
      </c>
      <c r="M735">
        <v>1</v>
      </c>
      <c r="N735">
        <v>4</v>
      </c>
      <c r="O735">
        <v>8.8000000000000007</v>
      </c>
      <c r="P735">
        <v>7</v>
      </c>
      <c r="Q735">
        <v>4</v>
      </c>
      <c r="R735">
        <v>806542</v>
      </c>
      <c r="S735">
        <f>Table1[[#This Row],[Revenue]]-Table1[[#This Row],[Operating_Costs]]</f>
        <v>193623</v>
      </c>
      <c r="T735">
        <v>612919</v>
      </c>
      <c r="U735">
        <v>39</v>
      </c>
      <c r="V735">
        <v>54</v>
      </c>
      <c r="W735">
        <v>14.9</v>
      </c>
    </row>
    <row r="736" spans="1:23" x14ac:dyDescent="0.25">
      <c r="A736">
        <v>2</v>
      </c>
      <c r="B736" t="s">
        <v>39</v>
      </c>
      <c r="C736" s="1">
        <v>45386</v>
      </c>
      <c r="D736" t="s">
        <v>71</v>
      </c>
      <c r="E736">
        <v>0</v>
      </c>
      <c r="F736">
        <v>58</v>
      </c>
      <c r="G736" t="str">
        <f t="shared" si="19"/>
        <v>41-60</v>
      </c>
      <c r="H736" t="s">
        <v>35</v>
      </c>
      <c r="I736" t="s">
        <v>36</v>
      </c>
      <c r="J736" t="s">
        <v>37</v>
      </c>
      <c r="K736" t="s">
        <v>29</v>
      </c>
      <c r="L736">
        <v>1</v>
      </c>
      <c r="M736">
        <v>1</v>
      </c>
      <c r="N736">
        <v>6.2</v>
      </c>
      <c r="O736">
        <v>9.6</v>
      </c>
      <c r="P736">
        <v>6</v>
      </c>
      <c r="Q736">
        <v>5</v>
      </c>
      <c r="R736">
        <v>865500</v>
      </c>
      <c r="S736">
        <f>Table1[[#This Row],[Revenue]]-Table1[[#This Row],[Operating_Costs]]</f>
        <v>360174</v>
      </c>
      <c r="T736">
        <v>505326</v>
      </c>
      <c r="U736">
        <v>30</v>
      </c>
      <c r="V736">
        <v>55</v>
      </c>
      <c r="W736">
        <v>14.1</v>
      </c>
    </row>
    <row r="737" spans="1:23" x14ac:dyDescent="0.25">
      <c r="A737">
        <v>1</v>
      </c>
      <c r="B737" t="s">
        <v>32</v>
      </c>
      <c r="C737" s="1">
        <v>45612</v>
      </c>
      <c r="D737" t="s">
        <v>71</v>
      </c>
      <c r="E737">
        <v>0</v>
      </c>
      <c r="F737">
        <v>47</v>
      </c>
      <c r="G737" t="str">
        <f t="shared" si="19"/>
        <v>41-60</v>
      </c>
      <c r="H737" t="s">
        <v>35</v>
      </c>
      <c r="I737" t="s">
        <v>50</v>
      </c>
      <c r="J737" t="s">
        <v>51</v>
      </c>
      <c r="K737" t="s">
        <v>33</v>
      </c>
      <c r="L737">
        <v>1</v>
      </c>
      <c r="M737">
        <v>1</v>
      </c>
      <c r="N737">
        <v>3.1</v>
      </c>
      <c r="O737">
        <v>7.7</v>
      </c>
      <c r="P737">
        <v>4</v>
      </c>
      <c r="Q737">
        <v>4</v>
      </c>
      <c r="R737">
        <v>931841</v>
      </c>
      <c r="S737">
        <f>Table1[[#This Row],[Revenue]]-Table1[[#This Row],[Operating_Costs]]</f>
        <v>55604</v>
      </c>
      <c r="T737">
        <v>876237</v>
      </c>
      <c r="U737">
        <v>31</v>
      </c>
      <c r="V737">
        <v>55</v>
      </c>
      <c r="W737">
        <v>36.700000000000003</v>
      </c>
    </row>
    <row r="738" spans="1:23" x14ac:dyDescent="0.25">
      <c r="A738">
        <v>2</v>
      </c>
      <c r="B738" t="s">
        <v>39</v>
      </c>
      <c r="C738" s="1">
        <v>45552</v>
      </c>
      <c r="D738" t="s">
        <v>71</v>
      </c>
      <c r="E738">
        <v>0</v>
      </c>
      <c r="F738">
        <v>25</v>
      </c>
      <c r="G738" t="str">
        <f t="shared" si="19"/>
        <v>21-40</v>
      </c>
      <c r="H738" t="s">
        <v>23</v>
      </c>
      <c r="I738" t="s">
        <v>31</v>
      </c>
      <c r="J738" t="s">
        <v>28</v>
      </c>
      <c r="K738" t="s">
        <v>38</v>
      </c>
      <c r="L738">
        <v>1</v>
      </c>
      <c r="M738">
        <v>1</v>
      </c>
      <c r="N738">
        <v>1.6</v>
      </c>
      <c r="O738">
        <v>8.5</v>
      </c>
      <c r="P738">
        <v>4</v>
      </c>
      <c r="Q738">
        <v>3</v>
      </c>
      <c r="R738">
        <v>895610</v>
      </c>
      <c r="S738">
        <f>Table1[[#This Row],[Revenue]]-Table1[[#This Row],[Operating_Costs]]</f>
        <v>255016</v>
      </c>
      <c r="T738">
        <v>640594</v>
      </c>
      <c r="U738">
        <v>33</v>
      </c>
      <c r="V738">
        <v>65</v>
      </c>
      <c r="W738">
        <v>13</v>
      </c>
    </row>
    <row r="739" spans="1:23" x14ac:dyDescent="0.25">
      <c r="A739">
        <v>1</v>
      </c>
      <c r="B739" t="s">
        <v>32</v>
      </c>
      <c r="C739" s="1">
        <v>45072</v>
      </c>
      <c r="D739" t="s">
        <v>71</v>
      </c>
      <c r="E739">
        <v>0</v>
      </c>
      <c r="F739">
        <v>47</v>
      </c>
      <c r="G739" t="str">
        <f t="shared" si="19"/>
        <v>41-60</v>
      </c>
      <c r="H739" t="s">
        <v>23</v>
      </c>
      <c r="I739" t="s">
        <v>27</v>
      </c>
      <c r="J739" t="s">
        <v>28</v>
      </c>
      <c r="K739" t="s">
        <v>38</v>
      </c>
      <c r="L739">
        <v>1</v>
      </c>
      <c r="M739">
        <v>1</v>
      </c>
      <c r="N739">
        <v>1.7</v>
      </c>
      <c r="O739">
        <v>9</v>
      </c>
      <c r="P739">
        <v>4</v>
      </c>
      <c r="Q739">
        <v>5</v>
      </c>
      <c r="R739">
        <v>914065</v>
      </c>
      <c r="S739">
        <f>Table1[[#This Row],[Revenue]]-Table1[[#This Row],[Operating_Costs]]</f>
        <v>19016</v>
      </c>
      <c r="T739">
        <v>895049</v>
      </c>
      <c r="U739">
        <v>38</v>
      </c>
      <c r="V739">
        <v>61</v>
      </c>
      <c r="W739">
        <v>10.8</v>
      </c>
    </row>
    <row r="740" spans="1:23" x14ac:dyDescent="0.25">
      <c r="A740">
        <v>1</v>
      </c>
      <c r="B740" t="s">
        <v>32</v>
      </c>
      <c r="C740" s="1">
        <v>45399</v>
      </c>
      <c r="D740" t="s">
        <v>71</v>
      </c>
      <c r="E740">
        <v>0</v>
      </c>
      <c r="F740">
        <v>26</v>
      </c>
      <c r="G740" t="str">
        <f t="shared" si="19"/>
        <v>21-40</v>
      </c>
      <c r="H740" t="s">
        <v>23</v>
      </c>
      <c r="I740" t="s">
        <v>24</v>
      </c>
      <c r="J740" t="s">
        <v>25</v>
      </c>
      <c r="K740" t="s">
        <v>29</v>
      </c>
      <c r="L740">
        <v>1</v>
      </c>
      <c r="M740">
        <v>1</v>
      </c>
      <c r="N740">
        <v>4.7</v>
      </c>
      <c r="O740">
        <v>7.5</v>
      </c>
      <c r="P740">
        <v>4</v>
      </c>
      <c r="Q740">
        <v>3</v>
      </c>
      <c r="R740">
        <v>926520</v>
      </c>
      <c r="S740">
        <f>Table1[[#This Row],[Revenue]]-Table1[[#This Row],[Operating_Costs]]</f>
        <v>27611</v>
      </c>
      <c r="T740">
        <v>898909</v>
      </c>
      <c r="U740">
        <v>35</v>
      </c>
      <c r="V740">
        <v>60</v>
      </c>
      <c r="W740">
        <v>9.8000000000000007</v>
      </c>
    </row>
    <row r="741" spans="1:23" x14ac:dyDescent="0.25">
      <c r="A741">
        <v>2</v>
      </c>
      <c r="B741" t="s">
        <v>39</v>
      </c>
      <c r="C741" s="1">
        <v>45148</v>
      </c>
      <c r="D741" t="s">
        <v>71</v>
      </c>
      <c r="E741">
        <v>0</v>
      </c>
      <c r="F741">
        <v>56</v>
      </c>
      <c r="G741" t="str">
        <f t="shared" si="19"/>
        <v>41-60</v>
      </c>
      <c r="H741" t="s">
        <v>35</v>
      </c>
      <c r="I741" t="s">
        <v>50</v>
      </c>
      <c r="J741" t="s">
        <v>51</v>
      </c>
      <c r="K741" t="s">
        <v>29</v>
      </c>
      <c r="L741">
        <v>1</v>
      </c>
      <c r="M741">
        <v>1</v>
      </c>
      <c r="N741">
        <v>4.7</v>
      </c>
      <c r="O741">
        <v>9.3000000000000007</v>
      </c>
      <c r="P741">
        <v>7</v>
      </c>
      <c r="Q741">
        <v>3</v>
      </c>
      <c r="R741">
        <v>790454</v>
      </c>
      <c r="S741">
        <f>Table1[[#This Row],[Revenue]]-Table1[[#This Row],[Operating_Costs]]</f>
        <v>248669</v>
      </c>
      <c r="T741">
        <v>541785</v>
      </c>
      <c r="U741">
        <v>39</v>
      </c>
      <c r="V741">
        <v>66</v>
      </c>
      <c r="W741">
        <v>6.6</v>
      </c>
    </row>
    <row r="742" spans="1:23" x14ac:dyDescent="0.25">
      <c r="A742">
        <v>1</v>
      </c>
      <c r="B742" t="s">
        <v>32</v>
      </c>
      <c r="C742" s="1">
        <v>44910</v>
      </c>
      <c r="D742" t="s">
        <v>71</v>
      </c>
      <c r="E742">
        <v>0</v>
      </c>
      <c r="F742">
        <v>25</v>
      </c>
      <c r="G742" t="str">
        <f t="shared" si="19"/>
        <v>21-40</v>
      </c>
      <c r="H742" t="s">
        <v>23</v>
      </c>
      <c r="I742" t="s">
        <v>24</v>
      </c>
      <c r="J742" t="s">
        <v>25</v>
      </c>
      <c r="K742" t="s">
        <v>26</v>
      </c>
      <c r="L742">
        <v>1</v>
      </c>
      <c r="M742">
        <v>1</v>
      </c>
      <c r="N742">
        <v>6.7</v>
      </c>
      <c r="O742">
        <v>9.4</v>
      </c>
      <c r="P742">
        <v>7</v>
      </c>
      <c r="Q742">
        <v>6</v>
      </c>
      <c r="R742">
        <v>931414</v>
      </c>
      <c r="S742">
        <f>Table1[[#This Row],[Revenue]]-Table1[[#This Row],[Operating_Costs]]</f>
        <v>74615</v>
      </c>
      <c r="T742">
        <v>856799</v>
      </c>
      <c r="U742">
        <v>39</v>
      </c>
      <c r="V742">
        <v>65</v>
      </c>
      <c r="W742">
        <v>12.5</v>
      </c>
    </row>
    <row r="743" spans="1:23" x14ac:dyDescent="0.25">
      <c r="A743">
        <v>2</v>
      </c>
      <c r="B743" t="s">
        <v>39</v>
      </c>
      <c r="C743" s="1">
        <v>45273</v>
      </c>
      <c r="D743" t="s">
        <v>71</v>
      </c>
      <c r="E743">
        <v>0</v>
      </c>
      <c r="F743">
        <v>54</v>
      </c>
      <c r="G743" t="str">
        <f t="shared" si="19"/>
        <v>41-60</v>
      </c>
      <c r="H743" t="s">
        <v>35</v>
      </c>
      <c r="I743" t="s">
        <v>64</v>
      </c>
      <c r="J743" t="s">
        <v>65</v>
      </c>
      <c r="K743" t="s">
        <v>29</v>
      </c>
      <c r="L743">
        <v>1</v>
      </c>
      <c r="M743">
        <v>1</v>
      </c>
      <c r="N743">
        <v>5.0999999999999996</v>
      </c>
      <c r="O743">
        <v>7.9</v>
      </c>
      <c r="P743">
        <v>6</v>
      </c>
      <c r="Q743">
        <v>4</v>
      </c>
      <c r="R743">
        <v>881203</v>
      </c>
      <c r="S743">
        <f>Table1[[#This Row],[Revenue]]-Table1[[#This Row],[Operating_Costs]]</f>
        <v>312750</v>
      </c>
      <c r="T743">
        <v>568453</v>
      </c>
      <c r="U743">
        <v>39</v>
      </c>
      <c r="V743">
        <v>66</v>
      </c>
      <c r="W743">
        <v>8.9</v>
      </c>
    </row>
    <row r="744" spans="1:23" x14ac:dyDescent="0.25">
      <c r="A744">
        <v>2</v>
      </c>
      <c r="B744" t="s">
        <v>39</v>
      </c>
      <c r="C744" s="1">
        <v>44533</v>
      </c>
      <c r="D744" t="s">
        <v>71</v>
      </c>
      <c r="E744">
        <v>0</v>
      </c>
      <c r="F744">
        <v>38</v>
      </c>
      <c r="G744" t="str">
        <f t="shared" si="19"/>
        <v>21-40</v>
      </c>
      <c r="H744" t="s">
        <v>35</v>
      </c>
      <c r="I744" t="s">
        <v>58</v>
      </c>
      <c r="J744" t="s">
        <v>59</v>
      </c>
      <c r="K744" t="s">
        <v>42</v>
      </c>
      <c r="L744">
        <v>1</v>
      </c>
      <c r="M744">
        <v>1</v>
      </c>
      <c r="N744">
        <v>6.5</v>
      </c>
      <c r="O744">
        <v>9.6999999999999993</v>
      </c>
      <c r="P744">
        <v>3</v>
      </c>
      <c r="Q744">
        <v>7</v>
      </c>
      <c r="R744">
        <v>714722</v>
      </c>
      <c r="S744">
        <f>Table1[[#This Row],[Revenue]]-Table1[[#This Row],[Operating_Costs]]</f>
        <v>91947</v>
      </c>
      <c r="T744">
        <v>622775</v>
      </c>
      <c r="U744">
        <v>39</v>
      </c>
      <c r="V744">
        <v>54</v>
      </c>
      <c r="W744">
        <v>8.4</v>
      </c>
    </row>
    <row r="745" spans="1:23" x14ac:dyDescent="0.25">
      <c r="A745">
        <v>1</v>
      </c>
      <c r="B745" t="s">
        <v>32</v>
      </c>
      <c r="C745" s="1">
        <v>44290</v>
      </c>
      <c r="D745" t="s">
        <v>71</v>
      </c>
      <c r="E745">
        <v>0</v>
      </c>
      <c r="F745">
        <v>38</v>
      </c>
      <c r="G745" t="str">
        <f t="shared" si="19"/>
        <v>21-40</v>
      </c>
      <c r="H745" t="s">
        <v>23</v>
      </c>
      <c r="I745" t="s">
        <v>24</v>
      </c>
      <c r="J745" t="s">
        <v>25</v>
      </c>
      <c r="K745" t="s">
        <v>29</v>
      </c>
      <c r="L745">
        <v>1</v>
      </c>
      <c r="M745">
        <v>1</v>
      </c>
      <c r="N745">
        <v>4.8</v>
      </c>
      <c r="O745">
        <v>8.6999999999999993</v>
      </c>
      <c r="P745">
        <v>6</v>
      </c>
      <c r="Q745">
        <v>5</v>
      </c>
      <c r="R745">
        <v>999730</v>
      </c>
      <c r="S745">
        <f>Table1[[#This Row],[Revenue]]-Table1[[#This Row],[Operating_Costs]]</f>
        <v>286148</v>
      </c>
      <c r="T745">
        <v>713582</v>
      </c>
      <c r="U745">
        <v>33</v>
      </c>
      <c r="V745">
        <v>59</v>
      </c>
      <c r="W745">
        <v>13</v>
      </c>
    </row>
    <row r="746" spans="1:23" x14ac:dyDescent="0.25">
      <c r="A746">
        <v>2</v>
      </c>
      <c r="B746" t="s">
        <v>39</v>
      </c>
      <c r="C746" s="1">
        <v>45250</v>
      </c>
      <c r="D746" t="s">
        <v>71</v>
      </c>
      <c r="E746">
        <v>0</v>
      </c>
      <c r="F746">
        <v>29</v>
      </c>
      <c r="G746" t="str">
        <f t="shared" si="19"/>
        <v>21-40</v>
      </c>
      <c r="H746" t="s">
        <v>23</v>
      </c>
      <c r="I746" t="s">
        <v>46</v>
      </c>
      <c r="J746" t="s">
        <v>47</v>
      </c>
      <c r="K746" t="s">
        <v>29</v>
      </c>
      <c r="L746">
        <v>1</v>
      </c>
      <c r="M746">
        <v>1</v>
      </c>
      <c r="N746">
        <v>6.2</v>
      </c>
      <c r="O746">
        <v>7.9</v>
      </c>
      <c r="P746">
        <v>6</v>
      </c>
      <c r="Q746">
        <v>6</v>
      </c>
      <c r="R746">
        <v>735326</v>
      </c>
      <c r="S746">
        <f>Table1[[#This Row],[Revenue]]-Table1[[#This Row],[Operating_Costs]]</f>
        <v>140993</v>
      </c>
      <c r="T746">
        <v>594333</v>
      </c>
      <c r="U746">
        <v>32</v>
      </c>
      <c r="V746">
        <v>65</v>
      </c>
      <c r="W746">
        <v>5.9</v>
      </c>
    </row>
    <row r="747" spans="1:23" x14ac:dyDescent="0.25">
      <c r="A747">
        <v>1</v>
      </c>
      <c r="B747" t="s">
        <v>32</v>
      </c>
      <c r="C747" s="1">
        <v>44479</v>
      </c>
      <c r="D747" t="s">
        <v>71</v>
      </c>
      <c r="E747">
        <v>0</v>
      </c>
      <c r="F747">
        <v>52</v>
      </c>
      <c r="G747" t="str">
        <f t="shared" si="19"/>
        <v>41-60</v>
      </c>
      <c r="H747" t="s">
        <v>23</v>
      </c>
      <c r="I747" t="s">
        <v>40</v>
      </c>
      <c r="J747" t="s">
        <v>41</v>
      </c>
      <c r="K747" t="s">
        <v>29</v>
      </c>
      <c r="L747">
        <v>1</v>
      </c>
      <c r="M747">
        <v>1</v>
      </c>
      <c r="N747">
        <v>3.7</v>
      </c>
      <c r="O747">
        <v>9.3000000000000007</v>
      </c>
      <c r="P747">
        <v>5</v>
      </c>
      <c r="Q747">
        <v>4</v>
      </c>
      <c r="R747">
        <v>919503</v>
      </c>
      <c r="S747">
        <f>Table1[[#This Row],[Revenue]]-Table1[[#This Row],[Operating_Costs]]</f>
        <v>55405</v>
      </c>
      <c r="T747">
        <v>864098</v>
      </c>
      <c r="U747">
        <v>30</v>
      </c>
      <c r="V747">
        <v>64</v>
      </c>
      <c r="W747">
        <v>8.3000000000000007</v>
      </c>
    </row>
    <row r="748" spans="1:23" x14ac:dyDescent="0.25">
      <c r="A748">
        <v>2</v>
      </c>
      <c r="B748" t="s">
        <v>39</v>
      </c>
      <c r="C748" s="1">
        <v>45609</v>
      </c>
      <c r="D748" t="s">
        <v>71</v>
      </c>
      <c r="E748">
        <v>0</v>
      </c>
      <c r="F748">
        <v>43</v>
      </c>
      <c r="G748" t="str">
        <f t="shared" si="19"/>
        <v>41-60</v>
      </c>
      <c r="H748" t="s">
        <v>35</v>
      </c>
      <c r="I748" t="s">
        <v>36</v>
      </c>
      <c r="J748" t="s">
        <v>37</v>
      </c>
      <c r="K748" t="s">
        <v>42</v>
      </c>
      <c r="L748">
        <v>1</v>
      </c>
      <c r="M748">
        <v>1</v>
      </c>
      <c r="N748">
        <v>5.2</v>
      </c>
      <c r="O748">
        <v>8</v>
      </c>
      <c r="P748">
        <v>3</v>
      </c>
      <c r="Q748">
        <v>6</v>
      </c>
      <c r="R748">
        <v>791836</v>
      </c>
      <c r="S748">
        <f>Table1[[#This Row],[Revenue]]-Table1[[#This Row],[Operating_Costs]]</f>
        <v>154031</v>
      </c>
      <c r="T748">
        <v>637805</v>
      </c>
      <c r="U748">
        <v>37</v>
      </c>
      <c r="V748">
        <v>54</v>
      </c>
      <c r="W748">
        <v>10.9</v>
      </c>
    </row>
    <row r="749" spans="1:23" x14ac:dyDescent="0.25">
      <c r="A749">
        <v>1</v>
      </c>
      <c r="B749" t="s">
        <v>32</v>
      </c>
      <c r="C749" s="1">
        <v>44418</v>
      </c>
      <c r="D749" t="s">
        <v>71</v>
      </c>
      <c r="E749">
        <v>0</v>
      </c>
      <c r="F749">
        <v>36</v>
      </c>
      <c r="G749" t="str">
        <f t="shared" si="19"/>
        <v>21-40</v>
      </c>
      <c r="H749" t="s">
        <v>23</v>
      </c>
      <c r="I749" t="s">
        <v>24</v>
      </c>
      <c r="J749" t="s">
        <v>25</v>
      </c>
      <c r="K749" t="s">
        <v>42</v>
      </c>
      <c r="L749">
        <v>1</v>
      </c>
      <c r="M749">
        <v>1</v>
      </c>
      <c r="N749">
        <v>5.7</v>
      </c>
      <c r="O749">
        <v>7.3</v>
      </c>
      <c r="P749">
        <v>4</v>
      </c>
      <c r="Q749">
        <v>5</v>
      </c>
      <c r="R749">
        <v>976630</v>
      </c>
      <c r="S749">
        <f>Table1[[#This Row],[Revenue]]-Table1[[#This Row],[Operating_Costs]]</f>
        <v>234323</v>
      </c>
      <c r="T749">
        <v>742307</v>
      </c>
      <c r="U749">
        <v>40</v>
      </c>
      <c r="V749">
        <v>63</v>
      </c>
      <c r="W749">
        <v>9.1999999999999993</v>
      </c>
    </row>
    <row r="750" spans="1:23" x14ac:dyDescent="0.25">
      <c r="A750">
        <v>1</v>
      </c>
      <c r="B750" t="s">
        <v>32</v>
      </c>
      <c r="C750" s="1">
        <v>45581</v>
      </c>
      <c r="D750" t="s">
        <v>71</v>
      </c>
      <c r="E750">
        <v>0</v>
      </c>
      <c r="F750">
        <v>26</v>
      </c>
      <c r="G750" t="str">
        <f t="shared" si="19"/>
        <v>21-40</v>
      </c>
      <c r="H750" t="s">
        <v>35</v>
      </c>
      <c r="I750" t="s">
        <v>61</v>
      </c>
      <c r="J750" t="s">
        <v>62</v>
      </c>
      <c r="K750" t="s">
        <v>38</v>
      </c>
      <c r="L750">
        <v>1</v>
      </c>
      <c r="M750">
        <v>1</v>
      </c>
      <c r="N750">
        <v>6.7</v>
      </c>
      <c r="O750">
        <v>7.9</v>
      </c>
      <c r="P750">
        <v>7</v>
      </c>
      <c r="Q750">
        <v>5</v>
      </c>
      <c r="R750">
        <v>986384</v>
      </c>
      <c r="S750">
        <f>Table1[[#This Row],[Revenue]]-Table1[[#This Row],[Operating_Costs]]</f>
        <v>157326</v>
      </c>
      <c r="T750">
        <v>829058</v>
      </c>
      <c r="U750">
        <v>36</v>
      </c>
      <c r="V750">
        <v>57</v>
      </c>
      <c r="W750">
        <v>8.6</v>
      </c>
    </row>
    <row r="751" spans="1:23" x14ac:dyDescent="0.25">
      <c r="A751">
        <v>1</v>
      </c>
      <c r="B751" t="s">
        <v>32</v>
      </c>
      <c r="C751" s="1">
        <v>45166</v>
      </c>
      <c r="D751" t="s">
        <v>71</v>
      </c>
      <c r="E751">
        <v>0</v>
      </c>
      <c r="F751">
        <v>48</v>
      </c>
      <c r="G751" t="str">
        <f t="shared" si="19"/>
        <v>41-60</v>
      </c>
      <c r="H751" t="s">
        <v>23</v>
      </c>
      <c r="I751" t="s">
        <v>50</v>
      </c>
      <c r="J751" t="s">
        <v>51</v>
      </c>
      <c r="K751" t="s">
        <v>33</v>
      </c>
      <c r="L751">
        <v>1</v>
      </c>
      <c r="M751">
        <v>1</v>
      </c>
      <c r="N751">
        <v>6.7</v>
      </c>
      <c r="O751">
        <v>7.9</v>
      </c>
      <c r="P751">
        <v>3</v>
      </c>
      <c r="Q751">
        <v>7</v>
      </c>
      <c r="R751">
        <v>903069</v>
      </c>
      <c r="S751">
        <f>Table1[[#This Row],[Revenue]]-Table1[[#This Row],[Operating_Costs]]</f>
        <v>85281</v>
      </c>
      <c r="T751">
        <v>817788</v>
      </c>
      <c r="U751">
        <v>36</v>
      </c>
      <c r="V751">
        <v>61</v>
      </c>
      <c r="W751">
        <v>13.5</v>
      </c>
    </row>
    <row r="752" spans="1:23" x14ac:dyDescent="0.25">
      <c r="A752">
        <v>1</v>
      </c>
      <c r="B752" t="s">
        <v>32</v>
      </c>
      <c r="C752" s="1">
        <v>45622</v>
      </c>
      <c r="D752" t="s">
        <v>71</v>
      </c>
      <c r="E752">
        <v>0</v>
      </c>
      <c r="F752">
        <v>46</v>
      </c>
      <c r="G752" t="str">
        <f t="shared" si="19"/>
        <v>41-60</v>
      </c>
      <c r="H752" t="s">
        <v>35</v>
      </c>
      <c r="I752" t="s">
        <v>64</v>
      </c>
      <c r="J752" t="s">
        <v>65</v>
      </c>
      <c r="K752" t="s">
        <v>38</v>
      </c>
      <c r="L752">
        <v>1</v>
      </c>
      <c r="M752">
        <v>1</v>
      </c>
      <c r="N752">
        <v>6.9</v>
      </c>
      <c r="O752">
        <v>8.1999999999999993</v>
      </c>
      <c r="P752">
        <v>3</v>
      </c>
      <c r="Q752">
        <v>5</v>
      </c>
      <c r="R752">
        <v>922481</v>
      </c>
      <c r="S752">
        <f>Table1[[#This Row],[Revenue]]-Table1[[#This Row],[Operating_Costs]]</f>
        <v>286164</v>
      </c>
      <c r="T752">
        <v>636317</v>
      </c>
      <c r="U752">
        <v>30</v>
      </c>
      <c r="V752">
        <v>60</v>
      </c>
      <c r="W752">
        <v>9.1</v>
      </c>
    </row>
    <row r="753" spans="1:23" x14ac:dyDescent="0.25">
      <c r="A753">
        <v>2</v>
      </c>
      <c r="B753" t="s">
        <v>39</v>
      </c>
      <c r="C753" s="1">
        <v>44325</v>
      </c>
      <c r="D753" t="s">
        <v>71</v>
      </c>
      <c r="E753">
        <v>0</v>
      </c>
      <c r="F753">
        <v>34</v>
      </c>
      <c r="G753" t="str">
        <f t="shared" si="19"/>
        <v>21-40</v>
      </c>
      <c r="H753" t="s">
        <v>23</v>
      </c>
      <c r="I753" t="s">
        <v>24</v>
      </c>
      <c r="J753" t="s">
        <v>25</v>
      </c>
      <c r="K753" t="s">
        <v>38</v>
      </c>
      <c r="L753">
        <v>1</v>
      </c>
      <c r="M753">
        <v>1</v>
      </c>
      <c r="N753">
        <v>4.4000000000000004</v>
      </c>
      <c r="O753">
        <v>8.8000000000000007</v>
      </c>
      <c r="P753">
        <v>6</v>
      </c>
      <c r="Q753">
        <v>7</v>
      </c>
      <c r="R753">
        <v>714752</v>
      </c>
      <c r="S753">
        <f>Table1[[#This Row],[Revenue]]-Table1[[#This Row],[Operating_Costs]]</f>
        <v>201896</v>
      </c>
      <c r="T753">
        <v>512856</v>
      </c>
      <c r="U753">
        <v>37</v>
      </c>
      <c r="V753">
        <v>61</v>
      </c>
      <c r="W753">
        <v>10.4</v>
      </c>
    </row>
    <row r="754" spans="1:23" x14ac:dyDescent="0.25">
      <c r="A754">
        <v>1</v>
      </c>
      <c r="B754" t="s">
        <v>32</v>
      </c>
      <c r="C754" s="1">
        <v>44893</v>
      </c>
      <c r="D754" t="s">
        <v>71</v>
      </c>
      <c r="E754">
        <v>0</v>
      </c>
      <c r="F754">
        <v>47</v>
      </c>
      <c r="G754" t="str">
        <f t="shared" si="19"/>
        <v>41-60</v>
      </c>
      <c r="H754" t="s">
        <v>35</v>
      </c>
      <c r="I754" t="s">
        <v>60</v>
      </c>
      <c r="J754" t="s">
        <v>59</v>
      </c>
      <c r="K754" t="s">
        <v>26</v>
      </c>
      <c r="L754">
        <v>1</v>
      </c>
      <c r="M754">
        <v>1</v>
      </c>
      <c r="N754">
        <v>4.4000000000000004</v>
      </c>
      <c r="O754">
        <v>8.5</v>
      </c>
      <c r="P754">
        <v>4</v>
      </c>
      <c r="Q754">
        <v>3</v>
      </c>
      <c r="R754">
        <v>953668</v>
      </c>
      <c r="S754">
        <f>Table1[[#This Row],[Revenue]]-Table1[[#This Row],[Operating_Costs]]</f>
        <v>154769</v>
      </c>
      <c r="T754">
        <v>798899</v>
      </c>
      <c r="U754">
        <v>34</v>
      </c>
      <c r="V754">
        <v>54</v>
      </c>
      <c r="W754">
        <v>36.9</v>
      </c>
    </row>
    <row r="755" spans="1:23" x14ac:dyDescent="0.25">
      <c r="A755">
        <v>1</v>
      </c>
      <c r="B755" t="s">
        <v>32</v>
      </c>
      <c r="C755" s="1">
        <v>45548</v>
      </c>
      <c r="D755" t="s">
        <v>71</v>
      </c>
      <c r="E755">
        <v>0</v>
      </c>
      <c r="F755">
        <v>86</v>
      </c>
      <c r="G755" t="str">
        <f t="shared" si="19"/>
        <v>81+</v>
      </c>
      <c r="H755" t="s">
        <v>35</v>
      </c>
      <c r="I755" t="s">
        <v>60</v>
      </c>
      <c r="J755" t="s">
        <v>59</v>
      </c>
      <c r="K755" t="s">
        <v>29</v>
      </c>
      <c r="L755">
        <v>1</v>
      </c>
      <c r="M755">
        <v>1</v>
      </c>
      <c r="N755">
        <v>4</v>
      </c>
      <c r="O755">
        <v>8.5</v>
      </c>
      <c r="P755">
        <v>3</v>
      </c>
      <c r="Q755">
        <v>3</v>
      </c>
      <c r="R755">
        <v>974435</v>
      </c>
      <c r="S755">
        <f>Table1[[#This Row],[Revenue]]-Table1[[#This Row],[Operating_Costs]]</f>
        <v>338598</v>
      </c>
      <c r="T755">
        <v>635837</v>
      </c>
      <c r="U755">
        <v>40</v>
      </c>
      <c r="V755">
        <v>63</v>
      </c>
      <c r="W755">
        <v>7.4</v>
      </c>
    </row>
    <row r="756" spans="1:23" x14ac:dyDescent="0.25">
      <c r="A756">
        <v>1</v>
      </c>
      <c r="B756" t="s">
        <v>32</v>
      </c>
      <c r="C756" s="1">
        <v>45393</v>
      </c>
      <c r="D756" t="s">
        <v>71</v>
      </c>
      <c r="E756">
        <v>0</v>
      </c>
      <c r="F756">
        <v>68</v>
      </c>
      <c r="G756" t="str">
        <f t="shared" si="19"/>
        <v>61-80</v>
      </c>
      <c r="H756" t="s">
        <v>23</v>
      </c>
      <c r="I756" t="s">
        <v>67</v>
      </c>
      <c r="J756" t="s">
        <v>68</v>
      </c>
      <c r="K756" t="s">
        <v>33</v>
      </c>
      <c r="L756">
        <v>1</v>
      </c>
      <c r="M756">
        <v>1</v>
      </c>
      <c r="N756">
        <v>4.0999999999999996</v>
      </c>
      <c r="O756">
        <v>9</v>
      </c>
      <c r="P756">
        <v>5</v>
      </c>
      <c r="Q756">
        <v>7</v>
      </c>
      <c r="R756">
        <v>917427</v>
      </c>
      <c r="S756">
        <f>Table1[[#This Row],[Revenue]]-Table1[[#This Row],[Operating_Costs]]</f>
        <v>66091</v>
      </c>
      <c r="T756">
        <v>851336</v>
      </c>
      <c r="U756">
        <v>40</v>
      </c>
      <c r="V756">
        <v>66</v>
      </c>
      <c r="W756">
        <v>36.6</v>
      </c>
    </row>
    <row r="757" spans="1:23" x14ac:dyDescent="0.25">
      <c r="A757">
        <v>1</v>
      </c>
      <c r="B757" t="s">
        <v>32</v>
      </c>
      <c r="C757" s="1">
        <v>45343</v>
      </c>
      <c r="D757" t="s">
        <v>71</v>
      </c>
      <c r="E757">
        <v>0</v>
      </c>
      <c r="F757">
        <v>55</v>
      </c>
      <c r="G757" t="str">
        <f t="shared" si="19"/>
        <v>41-60</v>
      </c>
      <c r="H757" t="s">
        <v>23</v>
      </c>
      <c r="I757" t="s">
        <v>31</v>
      </c>
      <c r="J757" t="s">
        <v>28</v>
      </c>
      <c r="K757" t="s">
        <v>26</v>
      </c>
      <c r="L757">
        <v>1</v>
      </c>
      <c r="M757">
        <v>1</v>
      </c>
      <c r="N757">
        <v>2.6</v>
      </c>
      <c r="O757">
        <v>8</v>
      </c>
      <c r="P757">
        <v>4</v>
      </c>
      <c r="Q757">
        <v>6</v>
      </c>
      <c r="R757">
        <v>997223</v>
      </c>
      <c r="S757">
        <f>Table1[[#This Row],[Revenue]]-Table1[[#This Row],[Operating_Costs]]</f>
        <v>360899</v>
      </c>
      <c r="T757">
        <v>636324</v>
      </c>
      <c r="U757">
        <v>37</v>
      </c>
      <c r="V757">
        <v>55</v>
      </c>
      <c r="W757">
        <v>7.2</v>
      </c>
    </row>
    <row r="758" spans="1:23" x14ac:dyDescent="0.25">
      <c r="A758">
        <v>2</v>
      </c>
      <c r="B758" t="s">
        <v>39</v>
      </c>
      <c r="C758" s="1">
        <v>44363</v>
      </c>
      <c r="D758" t="s">
        <v>71</v>
      </c>
      <c r="E758">
        <v>0</v>
      </c>
      <c r="F758">
        <v>43</v>
      </c>
      <c r="G758" t="str">
        <f t="shared" si="19"/>
        <v>41-60</v>
      </c>
      <c r="H758" t="s">
        <v>23</v>
      </c>
      <c r="I758" t="s">
        <v>24</v>
      </c>
      <c r="J758" t="s">
        <v>25</v>
      </c>
      <c r="K758" t="s">
        <v>29</v>
      </c>
      <c r="L758">
        <v>1</v>
      </c>
      <c r="M758">
        <v>1</v>
      </c>
      <c r="N758">
        <v>5.4</v>
      </c>
      <c r="O758">
        <v>7.3</v>
      </c>
      <c r="P758">
        <v>6</v>
      </c>
      <c r="Q758">
        <v>4</v>
      </c>
      <c r="R758">
        <v>729764</v>
      </c>
      <c r="S758">
        <f>Table1[[#This Row],[Revenue]]-Table1[[#This Row],[Operating_Costs]]</f>
        <v>126744</v>
      </c>
      <c r="T758">
        <v>603020</v>
      </c>
      <c r="U758">
        <v>31</v>
      </c>
      <c r="V758">
        <v>55</v>
      </c>
      <c r="W758">
        <v>8.3000000000000007</v>
      </c>
    </row>
    <row r="759" spans="1:23" x14ac:dyDescent="0.25">
      <c r="A759">
        <v>2</v>
      </c>
      <c r="B759" t="s">
        <v>39</v>
      </c>
      <c r="C759" s="1">
        <v>44638</v>
      </c>
      <c r="D759" t="s">
        <v>71</v>
      </c>
      <c r="E759">
        <v>0</v>
      </c>
      <c r="F759">
        <v>37</v>
      </c>
      <c r="G759" t="str">
        <f t="shared" si="19"/>
        <v>21-40</v>
      </c>
      <c r="H759" t="s">
        <v>35</v>
      </c>
      <c r="I759" t="s">
        <v>36</v>
      </c>
      <c r="J759" t="s">
        <v>37</v>
      </c>
      <c r="K759" t="s">
        <v>38</v>
      </c>
      <c r="L759">
        <v>1</v>
      </c>
      <c r="M759">
        <v>1</v>
      </c>
      <c r="N759">
        <v>4.5999999999999996</v>
      </c>
      <c r="O759">
        <v>7.2</v>
      </c>
      <c r="P759">
        <v>3</v>
      </c>
      <c r="Q759">
        <v>4</v>
      </c>
      <c r="R759">
        <v>851254</v>
      </c>
      <c r="S759">
        <f>Table1[[#This Row],[Revenue]]-Table1[[#This Row],[Operating_Costs]]</f>
        <v>203373</v>
      </c>
      <c r="T759">
        <v>647881</v>
      </c>
      <c r="U759">
        <v>32</v>
      </c>
      <c r="V759">
        <v>61</v>
      </c>
      <c r="W759">
        <v>12.2</v>
      </c>
    </row>
    <row r="760" spans="1:23" x14ac:dyDescent="0.25">
      <c r="A760">
        <v>1</v>
      </c>
      <c r="B760" t="s">
        <v>32</v>
      </c>
      <c r="C760" s="1">
        <v>45071</v>
      </c>
      <c r="D760" t="s">
        <v>71</v>
      </c>
      <c r="E760">
        <v>0</v>
      </c>
      <c r="F760">
        <v>29</v>
      </c>
      <c r="G760" t="str">
        <f t="shared" si="19"/>
        <v>21-40</v>
      </c>
      <c r="H760" t="s">
        <v>23</v>
      </c>
      <c r="I760" t="s">
        <v>31</v>
      </c>
      <c r="J760" t="s">
        <v>28</v>
      </c>
      <c r="K760" t="s">
        <v>29</v>
      </c>
      <c r="L760">
        <v>1</v>
      </c>
      <c r="M760">
        <v>1</v>
      </c>
      <c r="N760">
        <v>6.6</v>
      </c>
      <c r="O760">
        <v>8.1999999999999993</v>
      </c>
      <c r="P760">
        <v>3</v>
      </c>
      <c r="Q760">
        <v>6</v>
      </c>
      <c r="R760">
        <v>988131</v>
      </c>
      <c r="S760">
        <f>Table1[[#This Row],[Revenue]]-Table1[[#This Row],[Operating_Costs]]</f>
        <v>108856</v>
      </c>
      <c r="T760">
        <v>879275</v>
      </c>
      <c r="U760">
        <v>30</v>
      </c>
      <c r="V760">
        <v>57</v>
      </c>
      <c r="W760">
        <v>5.9</v>
      </c>
    </row>
    <row r="761" spans="1:23" x14ac:dyDescent="0.25">
      <c r="A761">
        <v>1</v>
      </c>
      <c r="B761" t="s">
        <v>32</v>
      </c>
      <c r="C761" s="1">
        <v>45327</v>
      </c>
      <c r="D761" t="s">
        <v>71</v>
      </c>
      <c r="E761">
        <v>0</v>
      </c>
      <c r="F761">
        <v>86</v>
      </c>
      <c r="G761" t="str">
        <f t="shared" si="19"/>
        <v>81+</v>
      </c>
      <c r="H761" t="s">
        <v>23</v>
      </c>
      <c r="I761" t="s">
        <v>50</v>
      </c>
      <c r="J761" t="s">
        <v>51</v>
      </c>
      <c r="K761" t="s">
        <v>38</v>
      </c>
      <c r="L761">
        <v>1</v>
      </c>
      <c r="M761">
        <v>1</v>
      </c>
      <c r="N761">
        <v>4.4000000000000004</v>
      </c>
      <c r="O761">
        <v>9.6</v>
      </c>
      <c r="P761">
        <v>3</v>
      </c>
      <c r="Q761">
        <v>7</v>
      </c>
      <c r="R761">
        <v>986177</v>
      </c>
      <c r="S761">
        <f>Table1[[#This Row],[Revenue]]-Table1[[#This Row],[Operating_Costs]]</f>
        <v>172239</v>
      </c>
      <c r="T761">
        <v>813938</v>
      </c>
      <c r="U761">
        <v>33</v>
      </c>
      <c r="V761">
        <v>55</v>
      </c>
      <c r="W761">
        <v>10</v>
      </c>
    </row>
    <row r="762" spans="1:23" x14ac:dyDescent="0.25">
      <c r="A762">
        <v>1</v>
      </c>
      <c r="B762" t="s">
        <v>32</v>
      </c>
      <c r="C762" s="1">
        <v>45087</v>
      </c>
      <c r="D762" t="s">
        <v>71</v>
      </c>
      <c r="E762">
        <v>0</v>
      </c>
      <c r="F762">
        <v>40</v>
      </c>
      <c r="G762" t="str">
        <f t="shared" si="19"/>
        <v>21-40</v>
      </c>
      <c r="H762" t="s">
        <v>35</v>
      </c>
      <c r="I762" t="s">
        <v>46</v>
      </c>
      <c r="J762" t="s">
        <v>47</v>
      </c>
      <c r="K762" t="s">
        <v>38</v>
      </c>
      <c r="L762">
        <v>1</v>
      </c>
      <c r="M762">
        <v>1</v>
      </c>
      <c r="N762">
        <v>1.5</v>
      </c>
      <c r="O762">
        <v>7.8</v>
      </c>
      <c r="P762">
        <v>6</v>
      </c>
      <c r="Q762">
        <v>3</v>
      </c>
      <c r="R762">
        <v>903570</v>
      </c>
      <c r="S762">
        <f>Table1[[#This Row],[Revenue]]-Table1[[#This Row],[Operating_Costs]]</f>
        <v>122308</v>
      </c>
      <c r="T762">
        <v>781262</v>
      </c>
      <c r="U762">
        <v>37</v>
      </c>
      <c r="V762">
        <v>64</v>
      </c>
      <c r="W762">
        <v>7.9</v>
      </c>
    </row>
    <row r="763" spans="1:23" x14ac:dyDescent="0.25">
      <c r="A763">
        <v>2</v>
      </c>
      <c r="B763" t="s">
        <v>39</v>
      </c>
      <c r="C763" s="1">
        <v>45211</v>
      </c>
      <c r="D763" t="s">
        <v>71</v>
      </c>
      <c r="E763">
        <v>0</v>
      </c>
      <c r="F763">
        <v>49</v>
      </c>
      <c r="G763" t="str">
        <f t="shared" si="19"/>
        <v>41-60</v>
      </c>
      <c r="H763" t="s">
        <v>23</v>
      </c>
      <c r="I763" t="s">
        <v>64</v>
      </c>
      <c r="J763" t="s">
        <v>65</v>
      </c>
      <c r="K763" t="s">
        <v>33</v>
      </c>
      <c r="L763">
        <v>1</v>
      </c>
      <c r="M763">
        <v>1</v>
      </c>
      <c r="N763">
        <v>1.1000000000000001</v>
      </c>
      <c r="O763">
        <v>7.3</v>
      </c>
      <c r="P763">
        <v>4</v>
      </c>
      <c r="Q763">
        <v>7</v>
      </c>
      <c r="R763">
        <v>679748</v>
      </c>
      <c r="S763">
        <f>Table1[[#This Row],[Revenue]]-Table1[[#This Row],[Operating_Costs]]</f>
        <v>142967</v>
      </c>
      <c r="T763">
        <v>536781</v>
      </c>
      <c r="U763">
        <v>37</v>
      </c>
      <c r="V763">
        <v>56</v>
      </c>
      <c r="W763">
        <v>6.3</v>
      </c>
    </row>
    <row r="764" spans="1:23" x14ac:dyDescent="0.25">
      <c r="A764">
        <v>2</v>
      </c>
      <c r="B764" t="s">
        <v>39</v>
      </c>
      <c r="C764" s="1">
        <v>44843</v>
      </c>
      <c r="D764" t="s">
        <v>71</v>
      </c>
      <c r="E764">
        <v>0</v>
      </c>
      <c r="F764">
        <v>44</v>
      </c>
      <c r="G764" t="str">
        <f t="shared" si="19"/>
        <v>41-60</v>
      </c>
      <c r="H764" t="s">
        <v>23</v>
      </c>
      <c r="I764" t="s">
        <v>43</v>
      </c>
      <c r="J764" t="s">
        <v>25</v>
      </c>
      <c r="K764" t="s">
        <v>38</v>
      </c>
      <c r="L764">
        <v>1</v>
      </c>
      <c r="M764">
        <v>1</v>
      </c>
      <c r="N764">
        <v>5.8</v>
      </c>
      <c r="O764">
        <v>7.6</v>
      </c>
      <c r="P764">
        <v>3</v>
      </c>
      <c r="Q764">
        <v>7</v>
      </c>
      <c r="R764">
        <v>786964</v>
      </c>
      <c r="S764">
        <f>Table1[[#This Row],[Revenue]]-Table1[[#This Row],[Operating_Costs]]</f>
        <v>220430</v>
      </c>
      <c r="T764">
        <v>566534</v>
      </c>
      <c r="U764">
        <v>30</v>
      </c>
      <c r="V764">
        <v>63</v>
      </c>
      <c r="W764">
        <v>12</v>
      </c>
    </row>
    <row r="765" spans="1:23" x14ac:dyDescent="0.25">
      <c r="A765">
        <v>2</v>
      </c>
      <c r="B765" t="s">
        <v>39</v>
      </c>
      <c r="C765" s="1">
        <v>44863</v>
      </c>
      <c r="D765" t="s">
        <v>71</v>
      </c>
      <c r="E765">
        <v>0</v>
      </c>
      <c r="F765">
        <v>58</v>
      </c>
      <c r="G765" t="str">
        <f t="shared" si="19"/>
        <v>41-60</v>
      </c>
      <c r="H765" t="s">
        <v>35</v>
      </c>
      <c r="I765" t="s">
        <v>36</v>
      </c>
      <c r="J765" t="s">
        <v>37</v>
      </c>
      <c r="K765" t="s">
        <v>33</v>
      </c>
      <c r="L765">
        <v>1</v>
      </c>
      <c r="M765">
        <v>1</v>
      </c>
      <c r="N765">
        <v>5.2</v>
      </c>
      <c r="O765">
        <v>8.1</v>
      </c>
      <c r="P765">
        <v>7</v>
      </c>
      <c r="Q765">
        <v>5</v>
      </c>
      <c r="R765">
        <v>714176</v>
      </c>
      <c r="S765">
        <f>Table1[[#This Row],[Revenue]]-Table1[[#This Row],[Operating_Costs]]</f>
        <v>160364</v>
      </c>
      <c r="T765">
        <v>553812</v>
      </c>
      <c r="U765">
        <v>37</v>
      </c>
      <c r="V765">
        <v>64</v>
      </c>
      <c r="W765">
        <v>7.5</v>
      </c>
    </row>
    <row r="766" spans="1:23" x14ac:dyDescent="0.25">
      <c r="A766">
        <v>1</v>
      </c>
      <c r="B766" t="s">
        <v>32</v>
      </c>
      <c r="C766" s="1">
        <v>44871</v>
      </c>
      <c r="D766" t="s">
        <v>71</v>
      </c>
      <c r="E766">
        <v>0</v>
      </c>
      <c r="F766">
        <v>90</v>
      </c>
      <c r="G766" t="str">
        <f t="shared" si="19"/>
        <v>81+</v>
      </c>
      <c r="H766" t="s">
        <v>35</v>
      </c>
      <c r="I766" t="s">
        <v>31</v>
      </c>
      <c r="J766" t="s">
        <v>28</v>
      </c>
      <c r="K766" t="s">
        <v>42</v>
      </c>
      <c r="L766">
        <v>1</v>
      </c>
      <c r="M766">
        <v>1</v>
      </c>
      <c r="N766">
        <v>4.8</v>
      </c>
      <c r="O766">
        <v>9.4</v>
      </c>
      <c r="P766">
        <v>4</v>
      </c>
      <c r="Q766">
        <v>6</v>
      </c>
      <c r="R766">
        <v>932149</v>
      </c>
      <c r="S766">
        <f>Table1[[#This Row],[Revenue]]-Table1[[#This Row],[Operating_Costs]]</f>
        <v>215859</v>
      </c>
      <c r="T766">
        <v>716290</v>
      </c>
      <c r="U766">
        <v>36</v>
      </c>
      <c r="V766">
        <v>60</v>
      </c>
      <c r="W766">
        <v>10.7</v>
      </c>
    </row>
    <row r="767" spans="1:23" x14ac:dyDescent="0.25">
      <c r="A767">
        <v>2</v>
      </c>
      <c r="B767" t="s">
        <v>39</v>
      </c>
      <c r="C767" s="1">
        <v>44576</v>
      </c>
      <c r="D767" t="s">
        <v>71</v>
      </c>
      <c r="E767">
        <v>0</v>
      </c>
      <c r="F767">
        <v>84</v>
      </c>
      <c r="G767" t="str">
        <f t="shared" si="19"/>
        <v>81+</v>
      </c>
      <c r="H767" t="s">
        <v>35</v>
      </c>
      <c r="I767" t="s">
        <v>40</v>
      </c>
      <c r="J767" t="s">
        <v>41</v>
      </c>
      <c r="K767" t="s">
        <v>26</v>
      </c>
      <c r="L767">
        <v>1</v>
      </c>
      <c r="M767">
        <v>1</v>
      </c>
      <c r="N767">
        <v>4.0999999999999996</v>
      </c>
      <c r="O767">
        <v>7.1</v>
      </c>
      <c r="P767">
        <v>6</v>
      </c>
      <c r="Q767">
        <v>5</v>
      </c>
      <c r="R767">
        <v>860844</v>
      </c>
      <c r="S767">
        <f>Table1[[#This Row],[Revenue]]-Table1[[#This Row],[Operating_Costs]]</f>
        <v>212483</v>
      </c>
      <c r="T767">
        <v>648361</v>
      </c>
      <c r="U767">
        <v>30</v>
      </c>
      <c r="V767">
        <v>56</v>
      </c>
      <c r="W767">
        <v>13.6</v>
      </c>
    </row>
    <row r="768" spans="1:23" x14ac:dyDescent="0.25">
      <c r="A768">
        <v>1</v>
      </c>
      <c r="B768" t="s">
        <v>32</v>
      </c>
      <c r="C768" s="1">
        <v>45274</v>
      </c>
      <c r="D768" t="s">
        <v>71</v>
      </c>
      <c r="E768">
        <v>0</v>
      </c>
      <c r="F768">
        <v>81</v>
      </c>
      <c r="G768" t="str">
        <f t="shared" si="19"/>
        <v>81+</v>
      </c>
      <c r="H768" t="s">
        <v>23</v>
      </c>
      <c r="I768" t="s">
        <v>24</v>
      </c>
      <c r="J768" t="s">
        <v>25</v>
      </c>
      <c r="K768" t="s">
        <v>26</v>
      </c>
      <c r="L768">
        <v>1</v>
      </c>
      <c r="M768">
        <v>1</v>
      </c>
      <c r="N768">
        <v>6.4</v>
      </c>
      <c r="O768">
        <v>8.1999999999999993</v>
      </c>
      <c r="P768">
        <v>4</v>
      </c>
      <c r="Q768">
        <v>6</v>
      </c>
      <c r="R768">
        <v>966175</v>
      </c>
      <c r="S768">
        <f>Table1[[#This Row],[Revenue]]-Table1[[#This Row],[Operating_Costs]]</f>
        <v>245194</v>
      </c>
      <c r="T768">
        <v>720981</v>
      </c>
      <c r="U768">
        <v>34</v>
      </c>
      <c r="V768">
        <v>60</v>
      </c>
      <c r="W768">
        <v>9.3000000000000007</v>
      </c>
    </row>
    <row r="769" spans="1:23" x14ac:dyDescent="0.25">
      <c r="A769">
        <v>1</v>
      </c>
      <c r="B769" t="s">
        <v>32</v>
      </c>
      <c r="C769" s="1">
        <v>44597</v>
      </c>
      <c r="D769" t="s">
        <v>71</v>
      </c>
      <c r="E769">
        <v>0</v>
      </c>
      <c r="F769">
        <v>27</v>
      </c>
      <c r="G769" t="str">
        <f t="shared" si="19"/>
        <v>21-40</v>
      </c>
      <c r="H769" t="s">
        <v>23</v>
      </c>
      <c r="I769" t="s">
        <v>67</v>
      </c>
      <c r="J769" t="s">
        <v>68</v>
      </c>
      <c r="K769" t="s">
        <v>29</v>
      </c>
      <c r="L769">
        <v>1</v>
      </c>
      <c r="M769">
        <v>1</v>
      </c>
      <c r="N769">
        <v>3.1</v>
      </c>
      <c r="O769">
        <v>9.1</v>
      </c>
      <c r="P769">
        <v>3</v>
      </c>
      <c r="Q769">
        <v>7</v>
      </c>
      <c r="R769">
        <v>907609</v>
      </c>
      <c r="S769">
        <f>Table1[[#This Row],[Revenue]]-Table1[[#This Row],[Operating_Costs]]</f>
        <v>287788</v>
      </c>
      <c r="T769">
        <v>619821</v>
      </c>
      <c r="U769">
        <v>32</v>
      </c>
      <c r="V769">
        <v>65</v>
      </c>
      <c r="W769">
        <v>5.4</v>
      </c>
    </row>
    <row r="770" spans="1:23" x14ac:dyDescent="0.25">
      <c r="A770">
        <v>1</v>
      </c>
      <c r="B770" t="s">
        <v>32</v>
      </c>
      <c r="C770" s="1">
        <v>44286</v>
      </c>
      <c r="D770" t="s">
        <v>71</v>
      </c>
      <c r="E770">
        <v>0</v>
      </c>
      <c r="F770">
        <v>50</v>
      </c>
      <c r="G770" t="str">
        <f t="shared" si="19"/>
        <v>41-60</v>
      </c>
      <c r="H770" t="s">
        <v>23</v>
      </c>
      <c r="I770" t="s">
        <v>64</v>
      </c>
      <c r="J770" t="s">
        <v>65</v>
      </c>
      <c r="K770" t="s">
        <v>33</v>
      </c>
      <c r="L770">
        <v>1</v>
      </c>
      <c r="M770">
        <v>1</v>
      </c>
      <c r="N770">
        <v>6.2</v>
      </c>
      <c r="O770">
        <v>7.1</v>
      </c>
      <c r="P770">
        <v>7</v>
      </c>
      <c r="Q770">
        <v>7</v>
      </c>
      <c r="R770">
        <v>923426</v>
      </c>
      <c r="S770">
        <f>Table1[[#This Row],[Revenue]]-Table1[[#This Row],[Operating_Costs]]</f>
        <v>303061</v>
      </c>
      <c r="T770">
        <v>620365</v>
      </c>
      <c r="U770">
        <v>39</v>
      </c>
      <c r="V770">
        <v>64</v>
      </c>
      <c r="W770">
        <v>12.3</v>
      </c>
    </row>
    <row r="771" spans="1:23" x14ac:dyDescent="0.25">
      <c r="A771">
        <v>1</v>
      </c>
      <c r="B771" t="s">
        <v>32</v>
      </c>
      <c r="C771" s="1">
        <v>45145</v>
      </c>
      <c r="D771" t="s">
        <v>71</v>
      </c>
      <c r="E771">
        <v>0</v>
      </c>
      <c r="F771">
        <v>78</v>
      </c>
      <c r="G771" t="str">
        <f t="shared" ref="G771:G834" si="20">IF(F771&lt;=20,"0-20",IF(F771&lt;=40,"21-40",IF(F771&lt;=60,"41-60",IF(F771&lt;=80,"61-80","81+"))))</f>
        <v>61-80</v>
      </c>
      <c r="H771" t="s">
        <v>23</v>
      </c>
      <c r="I771" t="s">
        <v>64</v>
      </c>
      <c r="J771" t="s">
        <v>65</v>
      </c>
      <c r="K771" t="s">
        <v>38</v>
      </c>
      <c r="L771">
        <v>1</v>
      </c>
      <c r="M771">
        <v>1</v>
      </c>
      <c r="N771">
        <v>1.6</v>
      </c>
      <c r="O771">
        <v>9.6</v>
      </c>
      <c r="P771">
        <v>4</v>
      </c>
      <c r="Q771">
        <v>4</v>
      </c>
      <c r="R771">
        <v>912473</v>
      </c>
      <c r="S771">
        <f>Table1[[#This Row],[Revenue]]-Table1[[#This Row],[Operating_Costs]]</f>
        <v>87894</v>
      </c>
      <c r="T771">
        <v>824579</v>
      </c>
      <c r="U771">
        <v>40</v>
      </c>
      <c r="V771">
        <v>61</v>
      </c>
      <c r="W771">
        <v>6</v>
      </c>
    </row>
    <row r="772" spans="1:23" x14ac:dyDescent="0.25">
      <c r="A772">
        <v>1</v>
      </c>
      <c r="B772" t="s">
        <v>32</v>
      </c>
      <c r="C772" s="1">
        <v>44202</v>
      </c>
      <c r="D772" t="s">
        <v>71</v>
      </c>
      <c r="E772">
        <v>0</v>
      </c>
      <c r="F772">
        <v>53</v>
      </c>
      <c r="G772" t="str">
        <f t="shared" si="20"/>
        <v>41-60</v>
      </c>
      <c r="H772" t="s">
        <v>35</v>
      </c>
      <c r="I772" t="s">
        <v>55</v>
      </c>
      <c r="J772" t="s">
        <v>56</v>
      </c>
      <c r="K772" t="s">
        <v>29</v>
      </c>
      <c r="L772">
        <v>1</v>
      </c>
      <c r="M772">
        <v>1</v>
      </c>
      <c r="N772">
        <v>5</v>
      </c>
      <c r="O772">
        <v>9</v>
      </c>
      <c r="P772">
        <v>7</v>
      </c>
      <c r="Q772">
        <v>6</v>
      </c>
      <c r="R772">
        <v>913012</v>
      </c>
      <c r="S772">
        <f>Table1[[#This Row],[Revenue]]-Table1[[#This Row],[Operating_Costs]]</f>
        <v>129756</v>
      </c>
      <c r="T772">
        <v>783256</v>
      </c>
      <c r="U772">
        <v>32</v>
      </c>
      <c r="V772">
        <v>60</v>
      </c>
      <c r="W772">
        <v>10.3</v>
      </c>
    </row>
    <row r="773" spans="1:23" x14ac:dyDescent="0.25">
      <c r="A773">
        <v>2</v>
      </c>
      <c r="B773" t="s">
        <v>39</v>
      </c>
      <c r="C773" s="1">
        <v>44288</v>
      </c>
      <c r="D773" t="s">
        <v>71</v>
      </c>
      <c r="E773">
        <v>0</v>
      </c>
      <c r="F773">
        <v>79</v>
      </c>
      <c r="G773" t="str">
        <f t="shared" si="20"/>
        <v>61-80</v>
      </c>
      <c r="H773" t="s">
        <v>35</v>
      </c>
      <c r="I773" t="s">
        <v>31</v>
      </c>
      <c r="J773" t="s">
        <v>28</v>
      </c>
      <c r="K773" t="s">
        <v>29</v>
      </c>
      <c r="L773">
        <v>1</v>
      </c>
      <c r="M773">
        <v>1</v>
      </c>
      <c r="N773">
        <v>4.0999999999999996</v>
      </c>
      <c r="O773">
        <v>8.8000000000000007</v>
      </c>
      <c r="P773">
        <v>5</v>
      </c>
      <c r="Q773">
        <v>7</v>
      </c>
      <c r="R773">
        <v>831245</v>
      </c>
      <c r="S773">
        <f>Table1[[#This Row],[Revenue]]-Table1[[#This Row],[Operating_Costs]]</f>
        <v>290949</v>
      </c>
      <c r="T773">
        <v>540296</v>
      </c>
      <c r="U773">
        <v>36</v>
      </c>
      <c r="V773">
        <v>63</v>
      </c>
      <c r="W773">
        <v>12</v>
      </c>
    </row>
    <row r="774" spans="1:23" x14ac:dyDescent="0.25">
      <c r="A774">
        <v>2</v>
      </c>
      <c r="B774" t="s">
        <v>39</v>
      </c>
      <c r="C774" s="1">
        <v>45362</v>
      </c>
      <c r="D774" t="s">
        <v>71</v>
      </c>
      <c r="E774">
        <v>0</v>
      </c>
      <c r="F774">
        <v>45</v>
      </c>
      <c r="G774" t="str">
        <f t="shared" si="20"/>
        <v>41-60</v>
      </c>
      <c r="H774" t="s">
        <v>23</v>
      </c>
      <c r="I774" t="s">
        <v>24</v>
      </c>
      <c r="J774" t="s">
        <v>25</v>
      </c>
      <c r="K774" t="s">
        <v>29</v>
      </c>
      <c r="L774">
        <v>1</v>
      </c>
      <c r="M774">
        <v>1</v>
      </c>
      <c r="N774">
        <v>3</v>
      </c>
      <c r="O774">
        <v>7.9</v>
      </c>
      <c r="P774">
        <v>6</v>
      </c>
      <c r="Q774">
        <v>5</v>
      </c>
      <c r="R774">
        <v>855258</v>
      </c>
      <c r="S774">
        <f>Table1[[#This Row],[Revenue]]-Table1[[#This Row],[Operating_Costs]]</f>
        <v>256241</v>
      </c>
      <c r="T774">
        <v>599017</v>
      </c>
      <c r="U774">
        <v>37</v>
      </c>
      <c r="V774">
        <v>54</v>
      </c>
      <c r="W774">
        <v>36.9</v>
      </c>
    </row>
    <row r="775" spans="1:23" x14ac:dyDescent="0.25">
      <c r="A775">
        <v>2</v>
      </c>
      <c r="B775" t="s">
        <v>39</v>
      </c>
      <c r="C775" s="1">
        <v>45521</v>
      </c>
      <c r="D775" t="s">
        <v>71</v>
      </c>
      <c r="E775">
        <v>0</v>
      </c>
      <c r="F775">
        <v>42</v>
      </c>
      <c r="G775" t="str">
        <f t="shared" si="20"/>
        <v>41-60</v>
      </c>
      <c r="H775" t="s">
        <v>35</v>
      </c>
      <c r="I775" t="s">
        <v>61</v>
      </c>
      <c r="J775" t="s">
        <v>62</v>
      </c>
      <c r="K775" t="s">
        <v>26</v>
      </c>
      <c r="L775">
        <v>1</v>
      </c>
      <c r="M775">
        <v>1</v>
      </c>
      <c r="N775">
        <v>6.1</v>
      </c>
      <c r="O775">
        <v>8.4</v>
      </c>
      <c r="P775">
        <v>3</v>
      </c>
      <c r="Q775">
        <v>6</v>
      </c>
      <c r="R775">
        <v>678256</v>
      </c>
      <c r="S775">
        <f>Table1[[#This Row],[Revenue]]-Table1[[#This Row],[Operating_Costs]]</f>
        <v>139573</v>
      </c>
      <c r="T775">
        <v>538683</v>
      </c>
      <c r="U775">
        <v>31</v>
      </c>
      <c r="V775">
        <v>60</v>
      </c>
      <c r="W775">
        <v>5.2</v>
      </c>
    </row>
    <row r="776" spans="1:23" x14ac:dyDescent="0.25">
      <c r="A776">
        <v>2</v>
      </c>
      <c r="B776" t="s">
        <v>39</v>
      </c>
      <c r="C776" s="1">
        <v>44244</v>
      </c>
      <c r="D776" t="s">
        <v>71</v>
      </c>
      <c r="E776">
        <v>0</v>
      </c>
      <c r="F776">
        <v>28</v>
      </c>
      <c r="G776" t="str">
        <f t="shared" si="20"/>
        <v>21-40</v>
      </c>
      <c r="H776" t="s">
        <v>23</v>
      </c>
      <c r="I776" t="s">
        <v>50</v>
      </c>
      <c r="J776" t="s">
        <v>51</v>
      </c>
      <c r="K776" t="s">
        <v>42</v>
      </c>
      <c r="L776">
        <v>1</v>
      </c>
      <c r="M776">
        <v>1</v>
      </c>
      <c r="N776">
        <v>4.2</v>
      </c>
      <c r="O776">
        <v>9.1999999999999993</v>
      </c>
      <c r="P776">
        <v>7</v>
      </c>
      <c r="Q776">
        <v>5</v>
      </c>
      <c r="R776">
        <v>899435</v>
      </c>
      <c r="S776">
        <f>Table1[[#This Row],[Revenue]]-Table1[[#This Row],[Operating_Costs]]</f>
        <v>309860</v>
      </c>
      <c r="T776">
        <v>589575</v>
      </c>
      <c r="U776">
        <v>37</v>
      </c>
      <c r="V776">
        <v>64</v>
      </c>
      <c r="W776">
        <v>36</v>
      </c>
    </row>
    <row r="777" spans="1:23" x14ac:dyDescent="0.25">
      <c r="A777">
        <v>1</v>
      </c>
      <c r="B777" t="s">
        <v>32</v>
      </c>
      <c r="C777" s="1">
        <v>44563</v>
      </c>
      <c r="D777" t="s">
        <v>71</v>
      </c>
      <c r="E777">
        <v>0</v>
      </c>
      <c r="F777">
        <v>46</v>
      </c>
      <c r="G777" t="str">
        <f t="shared" si="20"/>
        <v>41-60</v>
      </c>
      <c r="H777" t="s">
        <v>23</v>
      </c>
      <c r="I777" t="s">
        <v>24</v>
      </c>
      <c r="J777" t="s">
        <v>25</v>
      </c>
      <c r="K777" t="s">
        <v>29</v>
      </c>
      <c r="L777">
        <v>1</v>
      </c>
      <c r="M777">
        <v>1</v>
      </c>
      <c r="N777">
        <v>2.5</v>
      </c>
      <c r="O777">
        <v>9.3000000000000007</v>
      </c>
      <c r="P777">
        <v>7</v>
      </c>
      <c r="Q777">
        <v>5</v>
      </c>
      <c r="R777">
        <v>922084</v>
      </c>
      <c r="S777">
        <f>Table1[[#This Row],[Revenue]]-Table1[[#This Row],[Operating_Costs]]</f>
        <v>137565</v>
      </c>
      <c r="T777">
        <v>784519</v>
      </c>
      <c r="U777">
        <v>39</v>
      </c>
      <c r="V777">
        <v>59</v>
      </c>
      <c r="W777">
        <v>9.3000000000000007</v>
      </c>
    </row>
    <row r="778" spans="1:23" x14ac:dyDescent="0.25">
      <c r="A778">
        <v>1</v>
      </c>
      <c r="B778" t="s">
        <v>32</v>
      </c>
      <c r="C778" s="1">
        <v>45600</v>
      </c>
      <c r="D778" t="s">
        <v>71</v>
      </c>
      <c r="E778">
        <v>0</v>
      </c>
      <c r="F778">
        <v>86</v>
      </c>
      <c r="G778" t="str">
        <f t="shared" si="20"/>
        <v>81+</v>
      </c>
      <c r="H778" t="s">
        <v>35</v>
      </c>
      <c r="I778" t="s">
        <v>50</v>
      </c>
      <c r="J778" t="s">
        <v>51</v>
      </c>
      <c r="K778" t="s">
        <v>29</v>
      </c>
      <c r="L778">
        <v>1</v>
      </c>
      <c r="M778">
        <v>1</v>
      </c>
      <c r="N778">
        <v>1.5</v>
      </c>
      <c r="O778">
        <v>9</v>
      </c>
      <c r="P778">
        <v>6</v>
      </c>
      <c r="Q778">
        <v>7</v>
      </c>
      <c r="R778">
        <v>966754</v>
      </c>
      <c r="S778">
        <f>Table1[[#This Row],[Revenue]]-Table1[[#This Row],[Operating_Costs]]</f>
        <v>196945</v>
      </c>
      <c r="T778">
        <v>769809</v>
      </c>
      <c r="U778">
        <v>34</v>
      </c>
      <c r="V778">
        <v>56</v>
      </c>
      <c r="W778">
        <v>13.2</v>
      </c>
    </row>
    <row r="779" spans="1:23" x14ac:dyDescent="0.25">
      <c r="A779">
        <v>2</v>
      </c>
      <c r="B779" t="s">
        <v>39</v>
      </c>
      <c r="C779" s="1">
        <v>45308</v>
      </c>
      <c r="D779" t="s">
        <v>71</v>
      </c>
      <c r="E779">
        <v>0</v>
      </c>
      <c r="F779">
        <v>28</v>
      </c>
      <c r="G779" t="str">
        <f t="shared" si="20"/>
        <v>21-40</v>
      </c>
      <c r="H779" t="s">
        <v>23</v>
      </c>
      <c r="I779" t="s">
        <v>24</v>
      </c>
      <c r="J779" t="s">
        <v>25</v>
      </c>
      <c r="K779" t="s">
        <v>29</v>
      </c>
      <c r="L779">
        <v>1</v>
      </c>
      <c r="M779">
        <v>1</v>
      </c>
      <c r="N779">
        <v>2.6</v>
      </c>
      <c r="O779">
        <v>7.6</v>
      </c>
      <c r="P779">
        <v>5</v>
      </c>
      <c r="Q779">
        <v>3</v>
      </c>
      <c r="R779">
        <v>717327</v>
      </c>
      <c r="S779">
        <f>Table1[[#This Row],[Revenue]]-Table1[[#This Row],[Operating_Costs]]</f>
        <v>165437</v>
      </c>
      <c r="T779">
        <v>551890</v>
      </c>
      <c r="U779">
        <v>32</v>
      </c>
      <c r="V779">
        <v>54</v>
      </c>
      <c r="W779">
        <v>6.6</v>
      </c>
    </row>
    <row r="780" spans="1:23" x14ac:dyDescent="0.25">
      <c r="A780">
        <v>1</v>
      </c>
      <c r="B780" t="s">
        <v>32</v>
      </c>
      <c r="C780" s="1">
        <v>44829</v>
      </c>
      <c r="D780" t="s">
        <v>71</v>
      </c>
      <c r="E780">
        <v>0</v>
      </c>
      <c r="F780">
        <v>72</v>
      </c>
      <c r="G780" t="str">
        <f t="shared" si="20"/>
        <v>61-80</v>
      </c>
      <c r="H780" t="s">
        <v>35</v>
      </c>
      <c r="I780" t="s">
        <v>31</v>
      </c>
      <c r="J780" t="s">
        <v>28</v>
      </c>
      <c r="K780" t="s">
        <v>29</v>
      </c>
      <c r="L780">
        <v>1</v>
      </c>
      <c r="M780">
        <v>1</v>
      </c>
      <c r="N780">
        <v>5.3</v>
      </c>
      <c r="O780">
        <v>7.9</v>
      </c>
      <c r="P780">
        <v>5</v>
      </c>
      <c r="Q780">
        <v>3</v>
      </c>
      <c r="R780">
        <v>969785</v>
      </c>
      <c r="S780">
        <f>Table1[[#This Row],[Revenue]]-Table1[[#This Row],[Operating_Costs]]</f>
        <v>135838</v>
      </c>
      <c r="T780">
        <v>833947</v>
      </c>
      <c r="U780">
        <v>36</v>
      </c>
      <c r="V780">
        <v>57</v>
      </c>
      <c r="W780">
        <v>5.9</v>
      </c>
    </row>
    <row r="781" spans="1:23" x14ac:dyDescent="0.25">
      <c r="A781">
        <v>2</v>
      </c>
      <c r="B781" t="s">
        <v>39</v>
      </c>
      <c r="C781" s="1">
        <v>44291</v>
      </c>
      <c r="D781" t="s">
        <v>71</v>
      </c>
      <c r="E781">
        <v>0</v>
      </c>
      <c r="F781">
        <v>72</v>
      </c>
      <c r="G781" t="str">
        <f t="shared" si="20"/>
        <v>61-80</v>
      </c>
      <c r="H781" t="s">
        <v>35</v>
      </c>
      <c r="I781" t="s">
        <v>60</v>
      </c>
      <c r="J781" t="s">
        <v>59</v>
      </c>
      <c r="K781" t="s">
        <v>26</v>
      </c>
      <c r="L781">
        <v>1</v>
      </c>
      <c r="M781">
        <v>1</v>
      </c>
      <c r="N781">
        <v>1.8</v>
      </c>
      <c r="O781">
        <v>7.5</v>
      </c>
      <c r="P781">
        <v>7</v>
      </c>
      <c r="Q781">
        <v>6</v>
      </c>
      <c r="R781">
        <v>632941</v>
      </c>
      <c r="S781">
        <f>Table1[[#This Row],[Revenue]]-Table1[[#This Row],[Operating_Costs]]</f>
        <v>53208</v>
      </c>
      <c r="T781">
        <v>579733</v>
      </c>
      <c r="U781">
        <v>34</v>
      </c>
      <c r="V781">
        <v>57</v>
      </c>
      <c r="W781">
        <v>7.8</v>
      </c>
    </row>
    <row r="782" spans="1:23" x14ac:dyDescent="0.25">
      <c r="A782">
        <v>1</v>
      </c>
      <c r="B782" t="s">
        <v>32</v>
      </c>
      <c r="C782" s="1">
        <v>44770</v>
      </c>
      <c r="D782" t="s">
        <v>71</v>
      </c>
      <c r="E782">
        <v>0</v>
      </c>
      <c r="F782">
        <v>44</v>
      </c>
      <c r="G782" t="str">
        <f t="shared" si="20"/>
        <v>41-60</v>
      </c>
      <c r="H782" t="s">
        <v>23</v>
      </c>
      <c r="I782" t="s">
        <v>67</v>
      </c>
      <c r="J782" t="s">
        <v>68</v>
      </c>
      <c r="K782" t="s">
        <v>42</v>
      </c>
      <c r="L782">
        <v>1</v>
      </c>
      <c r="M782">
        <v>1</v>
      </c>
      <c r="N782">
        <v>5.8</v>
      </c>
      <c r="O782">
        <v>9.9</v>
      </c>
      <c r="P782">
        <v>7</v>
      </c>
      <c r="Q782">
        <v>6</v>
      </c>
      <c r="R782">
        <v>957369</v>
      </c>
      <c r="S782">
        <f>Table1[[#This Row],[Revenue]]-Table1[[#This Row],[Operating_Costs]]</f>
        <v>173763</v>
      </c>
      <c r="T782">
        <v>783606</v>
      </c>
      <c r="U782">
        <v>36</v>
      </c>
      <c r="V782">
        <v>56</v>
      </c>
      <c r="W782">
        <v>14.7</v>
      </c>
    </row>
    <row r="783" spans="1:23" x14ac:dyDescent="0.25">
      <c r="A783">
        <v>1</v>
      </c>
      <c r="B783" t="s">
        <v>32</v>
      </c>
      <c r="C783" s="1">
        <v>44286</v>
      </c>
      <c r="D783" t="s">
        <v>71</v>
      </c>
      <c r="E783">
        <v>0</v>
      </c>
      <c r="F783">
        <v>32</v>
      </c>
      <c r="G783" t="str">
        <f t="shared" si="20"/>
        <v>21-40</v>
      </c>
      <c r="H783" t="s">
        <v>23</v>
      </c>
      <c r="I783" t="s">
        <v>46</v>
      </c>
      <c r="J783" t="s">
        <v>47</v>
      </c>
      <c r="K783" t="s">
        <v>42</v>
      </c>
      <c r="L783">
        <v>1</v>
      </c>
      <c r="M783">
        <v>1</v>
      </c>
      <c r="N783">
        <v>6.1</v>
      </c>
      <c r="O783">
        <v>8</v>
      </c>
      <c r="P783">
        <v>7</v>
      </c>
      <c r="Q783">
        <v>3</v>
      </c>
      <c r="R783">
        <v>932156</v>
      </c>
      <c r="S783">
        <f>Table1[[#This Row],[Revenue]]-Table1[[#This Row],[Operating_Costs]]</f>
        <v>284443</v>
      </c>
      <c r="T783">
        <v>647713</v>
      </c>
      <c r="U783">
        <v>36</v>
      </c>
      <c r="V783">
        <v>60</v>
      </c>
      <c r="W783">
        <v>9.3000000000000007</v>
      </c>
    </row>
    <row r="784" spans="1:23" x14ac:dyDescent="0.25">
      <c r="A784">
        <v>2</v>
      </c>
      <c r="B784" t="s">
        <v>39</v>
      </c>
      <c r="C784" s="1">
        <v>44210</v>
      </c>
      <c r="D784" t="s">
        <v>71</v>
      </c>
      <c r="E784">
        <v>0</v>
      </c>
      <c r="F784">
        <v>44</v>
      </c>
      <c r="G784" t="str">
        <f t="shared" si="20"/>
        <v>41-60</v>
      </c>
      <c r="H784" t="s">
        <v>35</v>
      </c>
      <c r="I784" t="s">
        <v>31</v>
      </c>
      <c r="J784" t="s">
        <v>28</v>
      </c>
      <c r="K784" t="s">
        <v>42</v>
      </c>
      <c r="L784">
        <v>1</v>
      </c>
      <c r="M784">
        <v>1</v>
      </c>
      <c r="N784">
        <v>4.9000000000000004</v>
      </c>
      <c r="O784">
        <v>7.2</v>
      </c>
      <c r="P784">
        <v>4</v>
      </c>
      <c r="Q784">
        <v>7</v>
      </c>
      <c r="R784">
        <v>890799</v>
      </c>
      <c r="S784">
        <f>Table1[[#This Row],[Revenue]]-Table1[[#This Row],[Operating_Costs]]</f>
        <v>340514</v>
      </c>
      <c r="T784">
        <v>550285</v>
      </c>
      <c r="U784">
        <v>39</v>
      </c>
      <c r="V784">
        <v>63</v>
      </c>
      <c r="W784">
        <v>7.6</v>
      </c>
    </row>
    <row r="785" spans="1:23" x14ac:dyDescent="0.25">
      <c r="A785">
        <v>2</v>
      </c>
      <c r="B785" t="s">
        <v>39</v>
      </c>
      <c r="C785" s="1">
        <v>44676</v>
      </c>
      <c r="D785" t="s">
        <v>71</v>
      </c>
      <c r="E785">
        <v>0</v>
      </c>
      <c r="F785">
        <v>43</v>
      </c>
      <c r="G785" t="str">
        <f t="shared" si="20"/>
        <v>41-60</v>
      </c>
      <c r="H785" t="s">
        <v>23</v>
      </c>
      <c r="I785" t="s">
        <v>43</v>
      </c>
      <c r="J785" t="s">
        <v>25</v>
      </c>
      <c r="K785" t="s">
        <v>42</v>
      </c>
      <c r="L785">
        <v>1</v>
      </c>
      <c r="M785">
        <v>1</v>
      </c>
      <c r="N785">
        <v>5.4</v>
      </c>
      <c r="O785">
        <v>9</v>
      </c>
      <c r="P785">
        <v>5</v>
      </c>
      <c r="Q785">
        <v>7</v>
      </c>
      <c r="R785">
        <v>694993</v>
      </c>
      <c r="S785">
        <f>Table1[[#This Row],[Revenue]]-Table1[[#This Row],[Operating_Costs]]</f>
        <v>176609</v>
      </c>
      <c r="T785">
        <v>518384</v>
      </c>
      <c r="U785">
        <v>37</v>
      </c>
      <c r="V785">
        <v>55</v>
      </c>
      <c r="W785">
        <v>14.6</v>
      </c>
    </row>
    <row r="786" spans="1:23" x14ac:dyDescent="0.25">
      <c r="A786">
        <v>2</v>
      </c>
      <c r="B786" t="s">
        <v>39</v>
      </c>
      <c r="C786" s="1">
        <v>44235</v>
      </c>
      <c r="D786" t="s">
        <v>71</v>
      </c>
      <c r="E786">
        <v>0</v>
      </c>
      <c r="F786">
        <v>26</v>
      </c>
      <c r="G786" t="str">
        <f t="shared" si="20"/>
        <v>21-40</v>
      </c>
      <c r="H786" t="s">
        <v>35</v>
      </c>
      <c r="I786" t="s">
        <v>31</v>
      </c>
      <c r="J786" t="s">
        <v>28</v>
      </c>
      <c r="K786" t="s">
        <v>33</v>
      </c>
      <c r="L786">
        <v>1</v>
      </c>
      <c r="M786">
        <v>1</v>
      </c>
      <c r="N786">
        <v>3.2</v>
      </c>
      <c r="O786">
        <v>8.4</v>
      </c>
      <c r="P786">
        <v>4</v>
      </c>
      <c r="Q786">
        <v>4</v>
      </c>
      <c r="R786">
        <v>714163</v>
      </c>
      <c r="S786">
        <f>Table1[[#This Row],[Revenue]]-Table1[[#This Row],[Operating_Costs]]</f>
        <v>91605</v>
      </c>
      <c r="T786">
        <v>622558</v>
      </c>
      <c r="U786">
        <v>35</v>
      </c>
      <c r="V786">
        <v>64</v>
      </c>
      <c r="W786">
        <v>9.6</v>
      </c>
    </row>
    <row r="787" spans="1:23" x14ac:dyDescent="0.25">
      <c r="A787">
        <v>1</v>
      </c>
      <c r="B787" t="s">
        <v>32</v>
      </c>
      <c r="C787" s="1">
        <v>44801</v>
      </c>
      <c r="D787" t="s">
        <v>71</v>
      </c>
      <c r="E787">
        <v>0</v>
      </c>
      <c r="F787">
        <v>88</v>
      </c>
      <c r="G787" t="str">
        <f t="shared" si="20"/>
        <v>81+</v>
      </c>
      <c r="H787" t="s">
        <v>23</v>
      </c>
      <c r="I787" t="s">
        <v>50</v>
      </c>
      <c r="J787" t="s">
        <v>51</v>
      </c>
      <c r="K787" t="s">
        <v>38</v>
      </c>
      <c r="L787">
        <v>1</v>
      </c>
      <c r="M787">
        <v>1</v>
      </c>
      <c r="N787">
        <v>2.4</v>
      </c>
      <c r="O787">
        <v>9.8000000000000007</v>
      </c>
      <c r="P787">
        <v>6</v>
      </c>
      <c r="Q787">
        <v>6</v>
      </c>
      <c r="R787">
        <v>983697</v>
      </c>
      <c r="S787">
        <f>Table1[[#This Row],[Revenue]]-Table1[[#This Row],[Operating_Costs]]</f>
        <v>327048</v>
      </c>
      <c r="T787">
        <v>656649</v>
      </c>
      <c r="U787">
        <v>30</v>
      </c>
      <c r="V787">
        <v>56</v>
      </c>
      <c r="W787">
        <v>36.299999999999997</v>
      </c>
    </row>
    <row r="788" spans="1:23" x14ac:dyDescent="0.25">
      <c r="A788">
        <v>1</v>
      </c>
      <c r="B788" t="s">
        <v>32</v>
      </c>
      <c r="C788" s="1">
        <v>45145</v>
      </c>
      <c r="D788" t="s">
        <v>71</v>
      </c>
      <c r="E788">
        <v>0</v>
      </c>
      <c r="F788">
        <v>34</v>
      </c>
      <c r="G788" t="str">
        <f t="shared" si="20"/>
        <v>21-40</v>
      </c>
      <c r="H788" t="s">
        <v>35</v>
      </c>
      <c r="I788" t="s">
        <v>55</v>
      </c>
      <c r="J788" t="s">
        <v>56</v>
      </c>
      <c r="K788" t="s">
        <v>29</v>
      </c>
      <c r="L788">
        <v>1</v>
      </c>
      <c r="M788">
        <v>1</v>
      </c>
      <c r="N788">
        <v>1.8</v>
      </c>
      <c r="O788">
        <v>9.6999999999999993</v>
      </c>
      <c r="P788">
        <v>6</v>
      </c>
      <c r="Q788">
        <v>6</v>
      </c>
      <c r="R788">
        <v>937417</v>
      </c>
      <c r="S788">
        <f>Table1[[#This Row],[Revenue]]-Table1[[#This Row],[Operating_Costs]]</f>
        <v>50827</v>
      </c>
      <c r="T788">
        <v>886590</v>
      </c>
      <c r="U788">
        <v>36</v>
      </c>
      <c r="V788">
        <v>54</v>
      </c>
      <c r="W788">
        <v>14.6</v>
      </c>
    </row>
    <row r="789" spans="1:23" x14ac:dyDescent="0.25">
      <c r="A789">
        <v>1</v>
      </c>
      <c r="B789" t="s">
        <v>32</v>
      </c>
      <c r="C789" s="1">
        <v>44881</v>
      </c>
      <c r="D789" t="s">
        <v>71</v>
      </c>
      <c r="E789">
        <v>0</v>
      </c>
      <c r="F789">
        <v>25</v>
      </c>
      <c r="G789" t="str">
        <f t="shared" si="20"/>
        <v>21-40</v>
      </c>
      <c r="H789" t="s">
        <v>23</v>
      </c>
      <c r="I789" t="s">
        <v>24</v>
      </c>
      <c r="J789" t="s">
        <v>25</v>
      </c>
      <c r="K789" t="s">
        <v>33</v>
      </c>
      <c r="L789">
        <v>1</v>
      </c>
      <c r="M789">
        <v>1</v>
      </c>
      <c r="N789">
        <v>4.5</v>
      </c>
      <c r="O789">
        <v>7.4</v>
      </c>
      <c r="P789">
        <v>5</v>
      </c>
      <c r="Q789">
        <v>5</v>
      </c>
      <c r="R789">
        <v>993356</v>
      </c>
      <c r="S789">
        <f>Table1[[#This Row],[Revenue]]-Table1[[#This Row],[Operating_Costs]]</f>
        <v>130038</v>
      </c>
      <c r="T789">
        <v>863318</v>
      </c>
      <c r="U789">
        <v>34</v>
      </c>
      <c r="V789">
        <v>58</v>
      </c>
      <c r="W789">
        <v>36.4</v>
      </c>
    </row>
    <row r="790" spans="1:23" x14ac:dyDescent="0.25">
      <c r="A790">
        <v>1</v>
      </c>
      <c r="B790" t="s">
        <v>32</v>
      </c>
      <c r="C790" s="1">
        <v>45174</v>
      </c>
      <c r="D790" t="s">
        <v>71</v>
      </c>
      <c r="E790">
        <v>0</v>
      </c>
      <c r="F790">
        <v>46</v>
      </c>
      <c r="G790" t="str">
        <f t="shared" si="20"/>
        <v>41-60</v>
      </c>
      <c r="H790" t="s">
        <v>23</v>
      </c>
      <c r="I790" t="s">
        <v>31</v>
      </c>
      <c r="J790" t="s">
        <v>28</v>
      </c>
      <c r="K790" t="s">
        <v>42</v>
      </c>
      <c r="L790">
        <v>1</v>
      </c>
      <c r="M790">
        <v>1</v>
      </c>
      <c r="N790">
        <v>5.8</v>
      </c>
      <c r="O790">
        <v>8.6999999999999993</v>
      </c>
      <c r="P790">
        <v>3</v>
      </c>
      <c r="Q790">
        <v>5</v>
      </c>
      <c r="R790">
        <v>916822</v>
      </c>
      <c r="S790">
        <f>Table1[[#This Row],[Revenue]]-Table1[[#This Row],[Operating_Costs]]</f>
        <v>186461</v>
      </c>
      <c r="T790">
        <v>730361</v>
      </c>
      <c r="U790">
        <v>35</v>
      </c>
      <c r="V790">
        <v>57</v>
      </c>
      <c r="W790">
        <v>36.700000000000003</v>
      </c>
    </row>
    <row r="791" spans="1:23" x14ac:dyDescent="0.25">
      <c r="A791">
        <v>1</v>
      </c>
      <c r="B791" t="s">
        <v>32</v>
      </c>
      <c r="C791" s="1">
        <v>45596</v>
      </c>
      <c r="D791" t="s">
        <v>71</v>
      </c>
      <c r="E791">
        <v>0</v>
      </c>
      <c r="F791">
        <v>40</v>
      </c>
      <c r="G791" t="str">
        <f t="shared" si="20"/>
        <v>21-40</v>
      </c>
      <c r="H791" t="s">
        <v>23</v>
      </c>
      <c r="I791" t="s">
        <v>50</v>
      </c>
      <c r="J791" t="s">
        <v>51</v>
      </c>
      <c r="K791" t="s">
        <v>42</v>
      </c>
      <c r="L791">
        <v>1</v>
      </c>
      <c r="M791">
        <v>1</v>
      </c>
      <c r="N791">
        <v>2.9</v>
      </c>
      <c r="O791">
        <v>8.9</v>
      </c>
      <c r="P791">
        <v>7</v>
      </c>
      <c r="Q791">
        <v>3</v>
      </c>
      <c r="R791">
        <v>967260</v>
      </c>
      <c r="S791">
        <f>Table1[[#This Row],[Revenue]]-Table1[[#This Row],[Operating_Costs]]</f>
        <v>189998</v>
      </c>
      <c r="T791">
        <v>777262</v>
      </c>
      <c r="U791">
        <v>34</v>
      </c>
      <c r="V791">
        <v>66</v>
      </c>
      <c r="W791">
        <v>13.2</v>
      </c>
    </row>
    <row r="792" spans="1:23" x14ac:dyDescent="0.25">
      <c r="A792">
        <v>1</v>
      </c>
      <c r="B792" t="s">
        <v>32</v>
      </c>
      <c r="C792" s="1">
        <v>45504</v>
      </c>
      <c r="D792" t="s">
        <v>71</v>
      </c>
      <c r="E792">
        <v>0</v>
      </c>
      <c r="F792">
        <v>33</v>
      </c>
      <c r="G792" t="str">
        <f t="shared" si="20"/>
        <v>21-40</v>
      </c>
      <c r="H792" t="s">
        <v>35</v>
      </c>
      <c r="I792" t="s">
        <v>31</v>
      </c>
      <c r="J792" t="s">
        <v>28</v>
      </c>
      <c r="K792" t="s">
        <v>42</v>
      </c>
      <c r="L792">
        <v>1</v>
      </c>
      <c r="M792">
        <v>1</v>
      </c>
      <c r="N792">
        <v>2.4</v>
      </c>
      <c r="O792">
        <v>9.1</v>
      </c>
      <c r="P792">
        <v>7</v>
      </c>
      <c r="Q792">
        <v>6</v>
      </c>
      <c r="R792">
        <v>959507</v>
      </c>
      <c r="S792">
        <f>Table1[[#This Row],[Revenue]]-Table1[[#This Row],[Operating_Costs]]</f>
        <v>117279</v>
      </c>
      <c r="T792">
        <v>842228</v>
      </c>
      <c r="U792">
        <v>31</v>
      </c>
      <c r="V792">
        <v>59</v>
      </c>
      <c r="W792">
        <v>7.1</v>
      </c>
    </row>
    <row r="793" spans="1:23" x14ac:dyDescent="0.25">
      <c r="A793">
        <v>1</v>
      </c>
      <c r="B793" t="s">
        <v>32</v>
      </c>
      <c r="C793" s="1">
        <v>44868</v>
      </c>
      <c r="D793" t="s">
        <v>71</v>
      </c>
      <c r="E793">
        <v>0</v>
      </c>
      <c r="F793">
        <v>37</v>
      </c>
      <c r="G793" t="str">
        <f t="shared" si="20"/>
        <v>21-40</v>
      </c>
      <c r="H793" t="s">
        <v>35</v>
      </c>
      <c r="I793" t="s">
        <v>31</v>
      </c>
      <c r="J793" t="s">
        <v>28</v>
      </c>
      <c r="K793" t="s">
        <v>33</v>
      </c>
      <c r="L793">
        <v>1</v>
      </c>
      <c r="M793">
        <v>1</v>
      </c>
      <c r="N793">
        <v>1.3</v>
      </c>
      <c r="O793">
        <v>9</v>
      </c>
      <c r="P793">
        <v>6</v>
      </c>
      <c r="Q793">
        <v>4</v>
      </c>
      <c r="R793">
        <v>943928</v>
      </c>
      <c r="S793">
        <f>Table1[[#This Row],[Revenue]]-Table1[[#This Row],[Operating_Costs]]</f>
        <v>217539</v>
      </c>
      <c r="T793">
        <v>726389</v>
      </c>
      <c r="U793">
        <v>36</v>
      </c>
      <c r="V793">
        <v>54</v>
      </c>
      <c r="W793">
        <v>13.3</v>
      </c>
    </row>
    <row r="794" spans="1:23" x14ac:dyDescent="0.25">
      <c r="A794">
        <v>1</v>
      </c>
      <c r="B794" t="s">
        <v>32</v>
      </c>
      <c r="C794" s="1">
        <v>45633</v>
      </c>
      <c r="D794" t="s">
        <v>71</v>
      </c>
      <c r="E794">
        <v>0</v>
      </c>
      <c r="F794">
        <v>40</v>
      </c>
      <c r="G794" t="str">
        <f t="shared" si="20"/>
        <v>21-40</v>
      </c>
      <c r="H794" t="s">
        <v>35</v>
      </c>
      <c r="I794" t="s">
        <v>46</v>
      </c>
      <c r="J794" t="s">
        <v>47</v>
      </c>
      <c r="K794" t="s">
        <v>33</v>
      </c>
      <c r="L794">
        <v>1</v>
      </c>
      <c r="M794">
        <v>1</v>
      </c>
      <c r="N794">
        <v>4.4000000000000004</v>
      </c>
      <c r="O794">
        <v>9</v>
      </c>
      <c r="P794">
        <v>3</v>
      </c>
      <c r="Q794">
        <v>5</v>
      </c>
      <c r="R794">
        <v>903107</v>
      </c>
      <c r="S794">
        <f>Table1[[#This Row],[Revenue]]-Table1[[#This Row],[Operating_Costs]]</f>
        <v>168265</v>
      </c>
      <c r="T794">
        <v>734842</v>
      </c>
      <c r="U794">
        <v>31</v>
      </c>
      <c r="V794">
        <v>61</v>
      </c>
      <c r="W794">
        <v>7.3</v>
      </c>
    </row>
    <row r="795" spans="1:23" x14ac:dyDescent="0.25">
      <c r="A795">
        <v>1</v>
      </c>
      <c r="B795" t="s">
        <v>32</v>
      </c>
      <c r="C795" s="1">
        <v>44319</v>
      </c>
      <c r="D795" t="s">
        <v>71</v>
      </c>
      <c r="E795">
        <v>0</v>
      </c>
      <c r="F795">
        <v>87</v>
      </c>
      <c r="G795" t="str">
        <f t="shared" si="20"/>
        <v>81+</v>
      </c>
      <c r="H795" t="s">
        <v>23</v>
      </c>
      <c r="I795" t="s">
        <v>40</v>
      </c>
      <c r="J795" t="s">
        <v>41</v>
      </c>
      <c r="K795" t="s">
        <v>29</v>
      </c>
      <c r="L795">
        <v>1</v>
      </c>
      <c r="M795">
        <v>1</v>
      </c>
      <c r="N795">
        <v>1.6</v>
      </c>
      <c r="O795">
        <v>8</v>
      </c>
      <c r="P795">
        <v>7</v>
      </c>
      <c r="Q795">
        <v>3</v>
      </c>
      <c r="R795">
        <v>972781</v>
      </c>
      <c r="S795">
        <f>Table1[[#This Row],[Revenue]]-Table1[[#This Row],[Operating_Costs]]</f>
        <v>324050</v>
      </c>
      <c r="T795">
        <v>648731</v>
      </c>
      <c r="U795">
        <v>34</v>
      </c>
      <c r="V795">
        <v>55</v>
      </c>
      <c r="W795">
        <v>12.1</v>
      </c>
    </row>
    <row r="796" spans="1:23" x14ac:dyDescent="0.25">
      <c r="A796">
        <v>1</v>
      </c>
      <c r="B796" t="s">
        <v>32</v>
      </c>
      <c r="C796" s="1">
        <v>44574</v>
      </c>
      <c r="D796" t="s">
        <v>71</v>
      </c>
      <c r="E796">
        <v>0</v>
      </c>
      <c r="F796">
        <v>24</v>
      </c>
      <c r="G796" t="str">
        <f t="shared" si="20"/>
        <v>21-40</v>
      </c>
      <c r="H796" t="s">
        <v>23</v>
      </c>
      <c r="I796" t="s">
        <v>27</v>
      </c>
      <c r="J796" t="s">
        <v>28</v>
      </c>
      <c r="K796" t="s">
        <v>42</v>
      </c>
      <c r="L796">
        <v>1</v>
      </c>
      <c r="M796">
        <v>1</v>
      </c>
      <c r="N796">
        <v>2.7</v>
      </c>
      <c r="O796">
        <v>9</v>
      </c>
      <c r="P796">
        <v>5</v>
      </c>
      <c r="Q796">
        <v>3</v>
      </c>
      <c r="R796">
        <v>918285</v>
      </c>
      <c r="S796">
        <f>Table1[[#This Row],[Revenue]]-Table1[[#This Row],[Operating_Costs]]</f>
        <v>198146</v>
      </c>
      <c r="T796">
        <v>720139</v>
      </c>
      <c r="U796">
        <v>33</v>
      </c>
      <c r="V796">
        <v>57</v>
      </c>
      <c r="W796">
        <v>12.7</v>
      </c>
    </row>
    <row r="797" spans="1:23" x14ac:dyDescent="0.25">
      <c r="A797">
        <v>1</v>
      </c>
      <c r="B797" t="s">
        <v>32</v>
      </c>
      <c r="C797" s="1">
        <v>45466</v>
      </c>
      <c r="D797" t="s">
        <v>71</v>
      </c>
      <c r="E797">
        <v>0</v>
      </c>
      <c r="F797">
        <v>63</v>
      </c>
      <c r="G797" t="str">
        <f t="shared" si="20"/>
        <v>61-80</v>
      </c>
      <c r="H797" t="s">
        <v>35</v>
      </c>
      <c r="I797" t="s">
        <v>36</v>
      </c>
      <c r="J797" t="s">
        <v>37</v>
      </c>
      <c r="K797" t="s">
        <v>29</v>
      </c>
      <c r="L797">
        <v>1</v>
      </c>
      <c r="M797">
        <v>1</v>
      </c>
      <c r="N797">
        <v>3.3</v>
      </c>
      <c r="O797">
        <v>9.3000000000000007</v>
      </c>
      <c r="P797">
        <v>4</v>
      </c>
      <c r="Q797">
        <v>5</v>
      </c>
      <c r="R797">
        <v>902457</v>
      </c>
      <c r="S797">
        <f>Table1[[#This Row],[Revenue]]-Table1[[#This Row],[Operating_Costs]]</f>
        <v>12724</v>
      </c>
      <c r="T797">
        <v>889733</v>
      </c>
      <c r="U797">
        <v>33</v>
      </c>
      <c r="V797">
        <v>58</v>
      </c>
      <c r="W797">
        <v>9.8000000000000007</v>
      </c>
    </row>
    <row r="798" spans="1:23" x14ac:dyDescent="0.25">
      <c r="A798">
        <v>1</v>
      </c>
      <c r="B798" t="s">
        <v>32</v>
      </c>
      <c r="C798" s="1">
        <v>44490</v>
      </c>
      <c r="D798" t="s">
        <v>71</v>
      </c>
      <c r="E798">
        <v>0</v>
      </c>
      <c r="F798">
        <v>84</v>
      </c>
      <c r="G798" t="str">
        <f t="shared" si="20"/>
        <v>81+</v>
      </c>
      <c r="H798" t="s">
        <v>23</v>
      </c>
      <c r="I798" t="s">
        <v>43</v>
      </c>
      <c r="J798" t="s">
        <v>25</v>
      </c>
      <c r="K798" t="s">
        <v>33</v>
      </c>
      <c r="L798">
        <v>1</v>
      </c>
      <c r="M798">
        <v>1</v>
      </c>
      <c r="N798">
        <v>3.6</v>
      </c>
      <c r="O798">
        <v>7.5</v>
      </c>
      <c r="P798">
        <v>3</v>
      </c>
      <c r="Q798">
        <v>7</v>
      </c>
      <c r="R798">
        <v>936763</v>
      </c>
      <c r="S798">
        <f>Table1[[#This Row],[Revenue]]-Table1[[#This Row],[Operating_Costs]]</f>
        <v>276153</v>
      </c>
      <c r="T798">
        <v>660610</v>
      </c>
      <c r="U798">
        <v>34</v>
      </c>
      <c r="V798">
        <v>62</v>
      </c>
      <c r="W798">
        <v>10.4</v>
      </c>
    </row>
    <row r="799" spans="1:23" x14ac:dyDescent="0.25">
      <c r="A799">
        <v>1</v>
      </c>
      <c r="B799" t="s">
        <v>32</v>
      </c>
      <c r="C799" s="1">
        <v>45575</v>
      </c>
      <c r="D799" t="s">
        <v>71</v>
      </c>
      <c r="E799">
        <v>0</v>
      </c>
      <c r="F799">
        <v>26</v>
      </c>
      <c r="G799" t="str">
        <f t="shared" si="20"/>
        <v>21-40</v>
      </c>
      <c r="H799" t="s">
        <v>35</v>
      </c>
      <c r="I799" t="s">
        <v>50</v>
      </c>
      <c r="J799" t="s">
        <v>51</v>
      </c>
      <c r="K799" t="s">
        <v>38</v>
      </c>
      <c r="L799">
        <v>1</v>
      </c>
      <c r="M799">
        <v>1</v>
      </c>
      <c r="N799">
        <v>3.3</v>
      </c>
      <c r="O799">
        <v>8.8000000000000007</v>
      </c>
      <c r="P799">
        <v>5</v>
      </c>
      <c r="Q799">
        <v>4</v>
      </c>
      <c r="R799">
        <v>950159</v>
      </c>
      <c r="S799">
        <f>Table1[[#This Row],[Revenue]]-Table1[[#This Row],[Operating_Costs]]</f>
        <v>198598</v>
      </c>
      <c r="T799">
        <v>751561</v>
      </c>
      <c r="U799">
        <v>32</v>
      </c>
      <c r="V799">
        <v>58</v>
      </c>
      <c r="W799">
        <v>5.3</v>
      </c>
    </row>
    <row r="800" spans="1:23" x14ac:dyDescent="0.25">
      <c r="A800">
        <v>1</v>
      </c>
      <c r="B800" t="s">
        <v>32</v>
      </c>
      <c r="C800" s="1">
        <v>44324</v>
      </c>
      <c r="D800" t="s">
        <v>71</v>
      </c>
      <c r="E800">
        <v>0</v>
      </c>
      <c r="F800">
        <v>60</v>
      </c>
      <c r="G800" t="str">
        <f t="shared" si="20"/>
        <v>41-60</v>
      </c>
      <c r="H800" t="s">
        <v>35</v>
      </c>
      <c r="I800" t="s">
        <v>46</v>
      </c>
      <c r="J800" t="s">
        <v>47</v>
      </c>
      <c r="K800" t="s">
        <v>42</v>
      </c>
      <c r="L800">
        <v>1</v>
      </c>
      <c r="M800">
        <v>1</v>
      </c>
      <c r="N800">
        <v>5.0999999999999996</v>
      </c>
      <c r="O800">
        <v>9</v>
      </c>
      <c r="P800">
        <v>7</v>
      </c>
      <c r="Q800">
        <v>3</v>
      </c>
      <c r="R800">
        <v>917124</v>
      </c>
      <c r="S800">
        <f>Table1[[#This Row],[Revenue]]-Table1[[#This Row],[Operating_Costs]]</f>
        <v>231919</v>
      </c>
      <c r="T800">
        <v>685205</v>
      </c>
      <c r="U800">
        <v>40</v>
      </c>
      <c r="V800">
        <v>55</v>
      </c>
      <c r="W800">
        <v>12.1</v>
      </c>
    </row>
    <row r="801" spans="1:23" x14ac:dyDescent="0.25">
      <c r="A801">
        <v>1</v>
      </c>
      <c r="B801" t="s">
        <v>32</v>
      </c>
      <c r="C801" s="1">
        <v>44683</v>
      </c>
      <c r="D801" t="s">
        <v>71</v>
      </c>
      <c r="E801">
        <v>0</v>
      </c>
      <c r="F801">
        <v>71</v>
      </c>
      <c r="G801" t="str">
        <f t="shared" si="20"/>
        <v>61-80</v>
      </c>
      <c r="H801" t="s">
        <v>35</v>
      </c>
      <c r="I801" t="s">
        <v>55</v>
      </c>
      <c r="J801" t="s">
        <v>56</v>
      </c>
      <c r="K801" t="s">
        <v>38</v>
      </c>
      <c r="L801">
        <v>1</v>
      </c>
      <c r="M801">
        <v>1</v>
      </c>
      <c r="N801">
        <v>4</v>
      </c>
      <c r="O801">
        <v>8.6</v>
      </c>
      <c r="P801">
        <v>6</v>
      </c>
      <c r="Q801">
        <v>6</v>
      </c>
      <c r="R801">
        <v>976446</v>
      </c>
      <c r="S801">
        <f>Table1[[#This Row],[Revenue]]-Table1[[#This Row],[Operating_Costs]]</f>
        <v>248810</v>
      </c>
      <c r="T801">
        <v>727636</v>
      </c>
      <c r="U801">
        <v>31</v>
      </c>
      <c r="V801">
        <v>64</v>
      </c>
      <c r="W801">
        <v>6.4</v>
      </c>
    </row>
    <row r="802" spans="1:23" x14ac:dyDescent="0.25">
      <c r="A802">
        <v>1</v>
      </c>
      <c r="B802" t="s">
        <v>32</v>
      </c>
      <c r="C802" s="1">
        <v>44750</v>
      </c>
      <c r="D802" t="s">
        <v>71</v>
      </c>
      <c r="E802">
        <v>0</v>
      </c>
      <c r="F802">
        <v>54</v>
      </c>
      <c r="G802" t="str">
        <f t="shared" si="20"/>
        <v>41-60</v>
      </c>
      <c r="H802" t="s">
        <v>35</v>
      </c>
      <c r="I802" t="s">
        <v>55</v>
      </c>
      <c r="J802" t="s">
        <v>56</v>
      </c>
      <c r="K802" t="s">
        <v>38</v>
      </c>
      <c r="L802">
        <v>1</v>
      </c>
      <c r="M802">
        <v>1</v>
      </c>
      <c r="N802">
        <v>3.9</v>
      </c>
      <c r="O802">
        <v>7.8</v>
      </c>
      <c r="P802">
        <v>5</v>
      </c>
      <c r="Q802">
        <v>7</v>
      </c>
      <c r="R802">
        <v>942013</v>
      </c>
      <c r="S802">
        <f>Table1[[#This Row],[Revenue]]-Table1[[#This Row],[Operating_Costs]]</f>
        <v>299748</v>
      </c>
      <c r="T802">
        <v>642265</v>
      </c>
      <c r="U802">
        <v>40</v>
      </c>
      <c r="V802">
        <v>64</v>
      </c>
      <c r="W802">
        <v>5.5</v>
      </c>
    </row>
    <row r="803" spans="1:23" x14ac:dyDescent="0.25">
      <c r="A803">
        <v>1</v>
      </c>
      <c r="B803" t="s">
        <v>32</v>
      </c>
      <c r="C803" s="1">
        <v>44421</v>
      </c>
      <c r="D803" t="s">
        <v>71</v>
      </c>
      <c r="E803">
        <v>0</v>
      </c>
      <c r="F803">
        <v>23</v>
      </c>
      <c r="G803" t="str">
        <f t="shared" si="20"/>
        <v>21-40</v>
      </c>
      <c r="H803" t="s">
        <v>35</v>
      </c>
      <c r="I803" t="s">
        <v>61</v>
      </c>
      <c r="J803" t="s">
        <v>62</v>
      </c>
      <c r="K803" t="s">
        <v>33</v>
      </c>
      <c r="L803">
        <v>1</v>
      </c>
      <c r="M803">
        <v>1</v>
      </c>
      <c r="N803">
        <v>5.8</v>
      </c>
      <c r="O803">
        <v>9.4</v>
      </c>
      <c r="P803">
        <v>6</v>
      </c>
      <c r="Q803">
        <v>5</v>
      </c>
      <c r="R803">
        <v>948850</v>
      </c>
      <c r="S803">
        <f>Table1[[#This Row],[Revenue]]-Table1[[#This Row],[Operating_Costs]]</f>
        <v>252304</v>
      </c>
      <c r="T803">
        <v>696546</v>
      </c>
      <c r="U803">
        <v>30</v>
      </c>
      <c r="V803">
        <v>66</v>
      </c>
      <c r="W803">
        <v>36.1</v>
      </c>
    </row>
    <row r="804" spans="1:23" x14ac:dyDescent="0.25">
      <c r="A804">
        <v>1</v>
      </c>
      <c r="B804" t="s">
        <v>32</v>
      </c>
      <c r="C804" s="1">
        <v>45634</v>
      </c>
      <c r="D804" t="s">
        <v>71</v>
      </c>
      <c r="E804">
        <v>0</v>
      </c>
      <c r="F804">
        <v>25</v>
      </c>
      <c r="G804" t="str">
        <f t="shared" si="20"/>
        <v>21-40</v>
      </c>
      <c r="H804" t="s">
        <v>23</v>
      </c>
      <c r="I804" t="s">
        <v>24</v>
      </c>
      <c r="J804" t="s">
        <v>25</v>
      </c>
      <c r="K804" t="s">
        <v>38</v>
      </c>
      <c r="L804">
        <v>1</v>
      </c>
      <c r="M804">
        <v>1</v>
      </c>
      <c r="N804">
        <v>1.1000000000000001</v>
      </c>
      <c r="O804">
        <v>9.6</v>
      </c>
      <c r="P804">
        <v>7</v>
      </c>
      <c r="Q804">
        <v>3</v>
      </c>
      <c r="R804">
        <v>908682</v>
      </c>
      <c r="S804">
        <f>Table1[[#This Row],[Revenue]]-Table1[[#This Row],[Operating_Costs]]</f>
        <v>75626</v>
      </c>
      <c r="T804">
        <v>833056</v>
      </c>
      <c r="U804">
        <v>30</v>
      </c>
      <c r="V804">
        <v>62</v>
      </c>
      <c r="W804">
        <v>9</v>
      </c>
    </row>
    <row r="805" spans="1:23" x14ac:dyDescent="0.25">
      <c r="A805">
        <v>1</v>
      </c>
      <c r="B805" t="s">
        <v>32</v>
      </c>
      <c r="C805" s="1">
        <v>45260</v>
      </c>
      <c r="D805" t="s">
        <v>71</v>
      </c>
      <c r="E805">
        <v>0</v>
      </c>
      <c r="F805">
        <v>28</v>
      </c>
      <c r="G805" t="str">
        <f t="shared" si="20"/>
        <v>21-40</v>
      </c>
      <c r="H805" t="s">
        <v>35</v>
      </c>
      <c r="I805" t="s">
        <v>50</v>
      </c>
      <c r="J805" t="s">
        <v>51</v>
      </c>
      <c r="K805" t="s">
        <v>26</v>
      </c>
      <c r="L805">
        <v>1</v>
      </c>
      <c r="M805">
        <v>1</v>
      </c>
      <c r="N805">
        <v>3.5</v>
      </c>
      <c r="O805">
        <v>8.1</v>
      </c>
      <c r="P805">
        <v>7</v>
      </c>
      <c r="Q805">
        <v>7</v>
      </c>
      <c r="R805">
        <v>948286</v>
      </c>
      <c r="S805">
        <f>Table1[[#This Row],[Revenue]]-Table1[[#This Row],[Operating_Costs]]</f>
        <v>338252</v>
      </c>
      <c r="T805">
        <v>610034</v>
      </c>
      <c r="U805">
        <v>34</v>
      </c>
      <c r="V805">
        <v>62</v>
      </c>
      <c r="W805">
        <v>13.6</v>
      </c>
    </row>
    <row r="806" spans="1:23" x14ac:dyDescent="0.25">
      <c r="A806">
        <v>1</v>
      </c>
      <c r="B806" t="s">
        <v>32</v>
      </c>
      <c r="C806" s="1">
        <v>45125</v>
      </c>
      <c r="D806" t="s">
        <v>71</v>
      </c>
      <c r="E806">
        <v>0</v>
      </c>
      <c r="F806">
        <v>80</v>
      </c>
      <c r="G806" t="str">
        <f t="shared" si="20"/>
        <v>61-80</v>
      </c>
      <c r="H806" t="s">
        <v>23</v>
      </c>
      <c r="I806" t="s">
        <v>24</v>
      </c>
      <c r="J806" t="s">
        <v>25</v>
      </c>
      <c r="K806" t="s">
        <v>38</v>
      </c>
      <c r="L806">
        <v>1</v>
      </c>
      <c r="M806">
        <v>1</v>
      </c>
      <c r="N806">
        <v>6.3</v>
      </c>
      <c r="O806">
        <v>9</v>
      </c>
      <c r="P806">
        <v>5</v>
      </c>
      <c r="Q806">
        <v>6</v>
      </c>
      <c r="R806">
        <v>985670</v>
      </c>
      <c r="S806">
        <f>Table1[[#This Row],[Revenue]]-Table1[[#This Row],[Operating_Costs]]</f>
        <v>145139</v>
      </c>
      <c r="T806">
        <v>840531</v>
      </c>
      <c r="U806">
        <v>38</v>
      </c>
      <c r="V806">
        <v>63</v>
      </c>
      <c r="W806">
        <v>12.4</v>
      </c>
    </row>
    <row r="807" spans="1:23" x14ac:dyDescent="0.25">
      <c r="A807">
        <v>1</v>
      </c>
      <c r="B807" t="s">
        <v>32</v>
      </c>
      <c r="C807" s="1">
        <v>45593</v>
      </c>
      <c r="D807" t="s">
        <v>71</v>
      </c>
      <c r="E807">
        <v>0</v>
      </c>
      <c r="F807">
        <v>87</v>
      </c>
      <c r="G807" t="str">
        <f t="shared" si="20"/>
        <v>81+</v>
      </c>
      <c r="H807" t="s">
        <v>23</v>
      </c>
      <c r="I807" t="s">
        <v>50</v>
      </c>
      <c r="J807" t="s">
        <v>51</v>
      </c>
      <c r="K807" t="s">
        <v>42</v>
      </c>
      <c r="L807">
        <v>1</v>
      </c>
      <c r="M807">
        <v>1</v>
      </c>
      <c r="N807">
        <v>3.5</v>
      </c>
      <c r="O807">
        <v>8</v>
      </c>
      <c r="P807">
        <v>7</v>
      </c>
      <c r="Q807">
        <v>5</v>
      </c>
      <c r="R807">
        <v>945232</v>
      </c>
      <c r="S807">
        <f>Table1[[#This Row],[Revenue]]-Table1[[#This Row],[Operating_Costs]]</f>
        <v>208361</v>
      </c>
      <c r="T807">
        <v>736871</v>
      </c>
      <c r="U807">
        <v>37</v>
      </c>
      <c r="V807">
        <v>56</v>
      </c>
      <c r="W807">
        <v>12.9</v>
      </c>
    </row>
    <row r="808" spans="1:23" x14ac:dyDescent="0.25">
      <c r="A808">
        <v>1</v>
      </c>
      <c r="B808" t="s">
        <v>32</v>
      </c>
      <c r="C808" s="1">
        <v>44591</v>
      </c>
      <c r="D808" t="s">
        <v>71</v>
      </c>
      <c r="E808">
        <v>0</v>
      </c>
      <c r="F808">
        <v>33</v>
      </c>
      <c r="G808" t="str">
        <f t="shared" si="20"/>
        <v>21-40</v>
      </c>
      <c r="H808" t="s">
        <v>35</v>
      </c>
      <c r="I808" t="s">
        <v>58</v>
      </c>
      <c r="J808" t="s">
        <v>59</v>
      </c>
      <c r="K808" t="s">
        <v>33</v>
      </c>
      <c r="L808">
        <v>1</v>
      </c>
      <c r="M808">
        <v>1</v>
      </c>
      <c r="N808">
        <v>1.6</v>
      </c>
      <c r="O808">
        <v>8.9</v>
      </c>
      <c r="P808">
        <v>5</v>
      </c>
      <c r="Q808">
        <v>5</v>
      </c>
      <c r="R808">
        <v>939673</v>
      </c>
      <c r="S808">
        <f>Table1[[#This Row],[Revenue]]-Table1[[#This Row],[Operating_Costs]]</f>
        <v>90026</v>
      </c>
      <c r="T808">
        <v>849647</v>
      </c>
      <c r="U808">
        <v>32</v>
      </c>
      <c r="V808">
        <v>57</v>
      </c>
      <c r="W808">
        <v>36.9</v>
      </c>
    </row>
    <row r="809" spans="1:23" x14ac:dyDescent="0.25">
      <c r="A809">
        <v>1</v>
      </c>
      <c r="B809" t="s">
        <v>32</v>
      </c>
      <c r="C809" s="1">
        <v>44779</v>
      </c>
      <c r="D809" t="s">
        <v>71</v>
      </c>
      <c r="E809">
        <v>0</v>
      </c>
      <c r="F809">
        <v>40</v>
      </c>
      <c r="G809" t="str">
        <f t="shared" si="20"/>
        <v>21-40</v>
      </c>
      <c r="H809" t="s">
        <v>23</v>
      </c>
      <c r="I809" t="s">
        <v>67</v>
      </c>
      <c r="J809" t="s">
        <v>68</v>
      </c>
      <c r="K809" t="s">
        <v>38</v>
      </c>
      <c r="L809">
        <v>1</v>
      </c>
      <c r="M809">
        <v>1</v>
      </c>
      <c r="N809">
        <v>4.3</v>
      </c>
      <c r="O809">
        <v>8.1</v>
      </c>
      <c r="P809">
        <v>3</v>
      </c>
      <c r="Q809">
        <v>3</v>
      </c>
      <c r="R809">
        <v>963403</v>
      </c>
      <c r="S809">
        <f>Table1[[#This Row],[Revenue]]-Table1[[#This Row],[Operating_Costs]]</f>
        <v>172623</v>
      </c>
      <c r="T809">
        <v>790780</v>
      </c>
      <c r="U809">
        <v>35</v>
      </c>
      <c r="V809">
        <v>54</v>
      </c>
      <c r="W809">
        <v>6.3</v>
      </c>
    </row>
    <row r="810" spans="1:23" x14ac:dyDescent="0.25">
      <c r="A810">
        <v>1</v>
      </c>
      <c r="B810" t="s">
        <v>32</v>
      </c>
      <c r="C810" s="1">
        <v>44811</v>
      </c>
      <c r="D810" t="s">
        <v>71</v>
      </c>
      <c r="E810">
        <v>0</v>
      </c>
      <c r="F810">
        <v>89</v>
      </c>
      <c r="G810" t="str">
        <f t="shared" si="20"/>
        <v>81+</v>
      </c>
      <c r="H810" t="s">
        <v>35</v>
      </c>
      <c r="I810" t="s">
        <v>58</v>
      </c>
      <c r="J810" t="s">
        <v>59</v>
      </c>
      <c r="K810" t="s">
        <v>29</v>
      </c>
      <c r="L810">
        <v>1</v>
      </c>
      <c r="M810">
        <v>1</v>
      </c>
      <c r="N810">
        <v>2.2000000000000002</v>
      </c>
      <c r="O810">
        <v>10</v>
      </c>
      <c r="P810">
        <v>7</v>
      </c>
      <c r="Q810">
        <v>7</v>
      </c>
      <c r="R810">
        <v>931432</v>
      </c>
      <c r="S810">
        <f>Table1[[#This Row],[Revenue]]-Table1[[#This Row],[Operating_Costs]]</f>
        <v>118989</v>
      </c>
      <c r="T810">
        <v>812443</v>
      </c>
      <c r="U810">
        <v>36</v>
      </c>
      <c r="V810">
        <v>55</v>
      </c>
      <c r="W810">
        <v>7.9</v>
      </c>
    </row>
    <row r="811" spans="1:23" x14ac:dyDescent="0.25">
      <c r="A811">
        <v>1</v>
      </c>
      <c r="B811" t="s">
        <v>32</v>
      </c>
      <c r="C811" s="1">
        <v>45318</v>
      </c>
      <c r="D811" t="s">
        <v>71</v>
      </c>
      <c r="E811">
        <v>0</v>
      </c>
      <c r="F811">
        <v>47</v>
      </c>
      <c r="G811" t="str">
        <f t="shared" si="20"/>
        <v>41-60</v>
      </c>
      <c r="H811" t="s">
        <v>23</v>
      </c>
      <c r="I811" t="s">
        <v>58</v>
      </c>
      <c r="J811" t="s">
        <v>59</v>
      </c>
      <c r="K811" t="s">
        <v>42</v>
      </c>
      <c r="L811">
        <v>1</v>
      </c>
      <c r="M811">
        <v>1</v>
      </c>
      <c r="N811">
        <v>6.3</v>
      </c>
      <c r="O811">
        <v>9.9</v>
      </c>
      <c r="P811">
        <v>6</v>
      </c>
      <c r="Q811">
        <v>4</v>
      </c>
      <c r="R811">
        <v>992068</v>
      </c>
      <c r="S811">
        <f>Table1[[#This Row],[Revenue]]-Table1[[#This Row],[Operating_Costs]]</f>
        <v>339529</v>
      </c>
      <c r="T811">
        <v>652539</v>
      </c>
      <c r="U811">
        <v>35</v>
      </c>
      <c r="V811">
        <v>58</v>
      </c>
      <c r="W811">
        <v>9.1</v>
      </c>
    </row>
    <row r="812" spans="1:23" x14ac:dyDescent="0.25">
      <c r="A812">
        <v>1</v>
      </c>
      <c r="B812" t="s">
        <v>32</v>
      </c>
      <c r="C812" s="1">
        <v>45221</v>
      </c>
      <c r="D812" t="s">
        <v>71</v>
      </c>
      <c r="E812">
        <v>0</v>
      </c>
      <c r="F812">
        <v>43</v>
      </c>
      <c r="G812" t="str">
        <f t="shared" si="20"/>
        <v>41-60</v>
      </c>
      <c r="H812" t="s">
        <v>23</v>
      </c>
      <c r="I812" t="s">
        <v>43</v>
      </c>
      <c r="J812" t="s">
        <v>25</v>
      </c>
      <c r="K812" t="s">
        <v>29</v>
      </c>
      <c r="L812">
        <v>1</v>
      </c>
      <c r="M812">
        <v>1</v>
      </c>
      <c r="N812">
        <v>3.5</v>
      </c>
      <c r="O812">
        <v>8.1999999999999993</v>
      </c>
      <c r="P812">
        <v>4</v>
      </c>
      <c r="Q812">
        <v>7</v>
      </c>
      <c r="R812">
        <v>934413</v>
      </c>
      <c r="S812">
        <f>Table1[[#This Row],[Revenue]]-Table1[[#This Row],[Operating_Costs]]</f>
        <v>326578</v>
      </c>
      <c r="T812">
        <v>607835</v>
      </c>
      <c r="U812">
        <v>31</v>
      </c>
      <c r="V812">
        <v>58</v>
      </c>
      <c r="W812">
        <v>13.7</v>
      </c>
    </row>
    <row r="813" spans="1:23" x14ac:dyDescent="0.25">
      <c r="A813">
        <v>1</v>
      </c>
      <c r="B813" t="s">
        <v>32</v>
      </c>
      <c r="C813" s="1">
        <v>45360</v>
      </c>
      <c r="D813" t="s">
        <v>71</v>
      </c>
      <c r="E813">
        <v>0</v>
      </c>
      <c r="F813">
        <v>66</v>
      </c>
      <c r="G813" t="str">
        <f t="shared" si="20"/>
        <v>61-80</v>
      </c>
      <c r="H813" t="s">
        <v>35</v>
      </c>
      <c r="I813" t="s">
        <v>27</v>
      </c>
      <c r="J813" t="s">
        <v>28</v>
      </c>
      <c r="K813" t="s">
        <v>26</v>
      </c>
      <c r="L813">
        <v>1</v>
      </c>
      <c r="M813">
        <v>1</v>
      </c>
      <c r="N813">
        <v>6.8</v>
      </c>
      <c r="O813">
        <v>8.6999999999999993</v>
      </c>
      <c r="P813">
        <v>6</v>
      </c>
      <c r="Q813">
        <v>3</v>
      </c>
      <c r="R813">
        <v>944431</v>
      </c>
      <c r="S813">
        <f>Table1[[#This Row],[Revenue]]-Table1[[#This Row],[Operating_Costs]]</f>
        <v>201549</v>
      </c>
      <c r="T813">
        <v>742882</v>
      </c>
      <c r="U813">
        <v>36</v>
      </c>
      <c r="V813">
        <v>55</v>
      </c>
      <c r="W813">
        <v>36.9</v>
      </c>
    </row>
    <row r="814" spans="1:23" x14ac:dyDescent="0.25">
      <c r="A814">
        <v>1</v>
      </c>
      <c r="B814" t="s">
        <v>32</v>
      </c>
      <c r="C814" s="1">
        <v>44756</v>
      </c>
      <c r="D814" t="s">
        <v>71</v>
      </c>
      <c r="E814">
        <v>0</v>
      </c>
      <c r="F814">
        <v>43</v>
      </c>
      <c r="G814" t="str">
        <f t="shared" si="20"/>
        <v>41-60</v>
      </c>
      <c r="H814" t="s">
        <v>35</v>
      </c>
      <c r="I814" t="s">
        <v>31</v>
      </c>
      <c r="J814" t="s">
        <v>28</v>
      </c>
      <c r="K814" t="s">
        <v>42</v>
      </c>
      <c r="L814">
        <v>1</v>
      </c>
      <c r="M814">
        <v>1</v>
      </c>
      <c r="N814">
        <v>6.1</v>
      </c>
      <c r="O814">
        <v>7.7</v>
      </c>
      <c r="P814">
        <v>3</v>
      </c>
      <c r="Q814">
        <v>7</v>
      </c>
      <c r="R814">
        <v>930303</v>
      </c>
      <c r="S814">
        <f>Table1[[#This Row],[Revenue]]-Table1[[#This Row],[Operating_Costs]]</f>
        <v>94849</v>
      </c>
      <c r="T814">
        <v>835454</v>
      </c>
      <c r="U814">
        <v>37</v>
      </c>
      <c r="V814">
        <v>66</v>
      </c>
      <c r="W814">
        <v>8.6</v>
      </c>
    </row>
    <row r="815" spans="1:23" x14ac:dyDescent="0.25">
      <c r="A815">
        <v>1</v>
      </c>
      <c r="B815" t="s">
        <v>32</v>
      </c>
      <c r="C815" s="1">
        <v>44523</v>
      </c>
      <c r="D815" t="s">
        <v>71</v>
      </c>
      <c r="E815">
        <v>0</v>
      </c>
      <c r="F815">
        <v>76</v>
      </c>
      <c r="G815" t="str">
        <f t="shared" si="20"/>
        <v>61-80</v>
      </c>
      <c r="H815" t="s">
        <v>35</v>
      </c>
      <c r="I815" t="s">
        <v>31</v>
      </c>
      <c r="J815" t="s">
        <v>28</v>
      </c>
      <c r="K815" t="s">
        <v>42</v>
      </c>
      <c r="L815">
        <v>1</v>
      </c>
      <c r="M815">
        <v>1</v>
      </c>
      <c r="N815">
        <v>2.9</v>
      </c>
      <c r="O815">
        <v>9.3000000000000007</v>
      </c>
      <c r="P815">
        <v>4</v>
      </c>
      <c r="Q815">
        <v>7</v>
      </c>
      <c r="R815">
        <v>943003</v>
      </c>
      <c r="S815">
        <f>Table1[[#This Row],[Revenue]]-Table1[[#This Row],[Operating_Costs]]</f>
        <v>134420</v>
      </c>
      <c r="T815">
        <v>808583</v>
      </c>
      <c r="U815">
        <v>35</v>
      </c>
      <c r="V815">
        <v>58</v>
      </c>
      <c r="W815">
        <v>7.1</v>
      </c>
    </row>
    <row r="816" spans="1:23" x14ac:dyDescent="0.25">
      <c r="A816">
        <v>1</v>
      </c>
      <c r="B816" t="s">
        <v>32</v>
      </c>
      <c r="C816" s="1">
        <v>44403</v>
      </c>
      <c r="D816" t="s">
        <v>71</v>
      </c>
      <c r="E816">
        <v>0</v>
      </c>
      <c r="F816">
        <v>28</v>
      </c>
      <c r="G816" t="str">
        <f t="shared" si="20"/>
        <v>21-40</v>
      </c>
      <c r="H816" t="s">
        <v>23</v>
      </c>
      <c r="I816" t="s">
        <v>67</v>
      </c>
      <c r="J816" t="s">
        <v>68</v>
      </c>
      <c r="K816" t="s">
        <v>29</v>
      </c>
      <c r="L816">
        <v>1</v>
      </c>
      <c r="M816">
        <v>1</v>
      </c>
      <c r="N816">
        <v>4.3</v>
      </c>
      <c r="O816">
        <v>7.8</v>
      </c>
      <c r="P816">
        <v>5</v>
      </c>
      <c r="Q816">
        <v>7</v>
      </c>
      <c r="R816">
        <v>980534</v>
      </c>
      <c r="S816">
        <f>Table1[[#This Row],[Revenue]]-Table1[[#This Row],[Operating_Costs]]</f>
        <v>174297</v>
      </c>
      <c r="T816">
        <v>806237</v>
      </c>
      <c r="U816">
        <v>36</v>
      </c>
      <c r="V816">
        <v>58</v>
      </c>
      <c r="W816">
        <v>9.9</v>
      </c>
    </row>
    <row r="817" spans="1:23" x14ac:dyDescent="0.25">
      <c r="A817">
        <v>1</v>
      </c>
      <c r="B817" t="s">
        <v>32</v>
      </c>
      <c r="C817" s="1">
        <v>45115</v>
      </c>
      <c r="D817" t="s">
        <v>71</v>
      </c>
      <c r="E817">
        <v>0</v>
      </c>
      <c r="F817">
        <v>69</v>
      </c>
      <c r="G817" t="str">
        <f t="shared" si="20"/>
        <v>61-80</v>
      </c>
      <c r="H817" t="s">
        <v>35</v>
      </c>
      <c r="I817" t="s">
        <v>60</v>
      </c>
      <c r="J817" t="s">
        <v>59</v>
      </c>
      <c r="K817" t="s">
        <v>29</v>
      </c>
      <c r="L817">
        <v>1</v>
      </c>
      <c r="M817">
        <v>1</v>
      </c>
      <c r="N817">
        <v>2.4</v>
      </c>
      <c r="O817">
        <v>9.1999999999999993</v>
      </c>
      <c r="P817">
        <v>5</v>
      </c>
      <c r="Q817">
        <v>7</v>
      </c>
      <c r="R817">
        <v>942846</v>
      </c>
      <c r="S817">
        <f>Table1[[#This Row],[Revenue]]-Table1[[#This Row],[Operating_Costs]]</f>
        <v>285913</v>
      </c>
      <c r="T817">
        <v>656933</v>
      </c>
      <c r="U817">
        <v>33</v>
      </c>
      <c r="V817">
        <v>58</v>
      </c>
      <c r="W817">
        <v>6.4</v>
      </c>
    </row>
    <row r="818" spans="1:23" x14ac:dyDescent="0.25">
      <c r="A818">
        <v>1</v>
      </c>
      <c r="B818" t="s">
        <v>32</v>
      </c>
      <c r="C818" s="1">
        <v>44523</v>
      </c>
      <c r="D818" t="s">
        <v>71</v>
      </c>
      <c r="E818">
        <v>0</v>
      </c>
      <c r="F818">
        <v>23</v>
      </c>
      <c r="G818" t="str">
        <f t="shared" si="20"/>
        <v>21-40</v>
      </c>
      <c r="H818" t="s">
        <v>35</v>
      </c>
      <c r="I818" t="s">
        <v>58</v>
      </c>
      <c r="J818" t="s">
        <v>59</v>
      </c>
      <c r="K818" t="s">
        <v>26</v>
      </c>
      <c r="L818">
        <v>1</v>
      </c>
      <c r="M818">
        <v>1</v>
      </c>
      <c r="N818">
        <v>3.5</v>
      </c>
      <c r="O818">
        <v>8.6999999999999993</v>
      </c>
      <c r="P818">
        <v>7</v>
      </c>
      <c r="Q818">
        <v>6</v>
      </c>
      <c r="R818">
        <v>928418</v>
      </c>
      <c r="S818">
        <f>Table1[[#This Row],[Revenue]]-Table1[[#This Row],[Operating_Costs]]</f>
        <v>189599</v>
      </c>
      <c r="T818">
        <v>738819</v>
      </c>
      <c r="U818">
        <v>31</v>
      </c>
      <c r="V818">
        <v>58</v>
      </c>
      <c r="W818">
        <v>14.4</v>
      </c>
    </row>
    <row r="819" spans="1:23" x14ac:dyDescent="0.25">
      <c r="A819">
        <v>1</v>
      </c>
      <c r="B819" t="s">
        <v>32</v>
      </c>
      <c r="C819" s="1">
        <v>44710</v>
      </c>
      <c r="D819" t="s">
        <v>71</v>
      </c>
      <c r="E819">
        <v>0</v>
      </c>
      <c r="F819">
        <v>29</v>
      </c>
      <c r="G819" t="str">
        <f t="shared" si="20"/>
        <v>21-40</v>
      </c>
      <c r="H819" t="s">
        <v>35</v>
      </c>
      <c r="I819" t="s">
        <v>55</v>
      </c>
      <c r="J819" t="s">
        <v>56</v>
      </c>
      <c r="K819" t="s">
        <v>33</v>
      </c>
      <c r="L819">
        <v>1</v>
      </c>
      <c r="M819">
        <v>1</v>
      </c>
      <c r="N819">
        <v>5.6</v>
      </c>
      <c r="O819">
        <v>8.6999999999999993</v>
      </c>
      <c r="P819">
        <v>7</v>
      </c>
      <c r="Q819">
        <v>6</v>
      </c>
      <c r="R819">
        <v>907621</v>
      </c>
      <c r="S819">
        <f>Table1[[#This Row],[Revenue]]-Table1[[#This Row],[Operating_Costs]]</f>
        <v>260648</v>
      </c>
      <c r="T819">
        <v>646973</v>
      </c>
      <c r="U819">
        <v>39</v>
      </c>
      <c r="V819">
        <v>63</v>
      </c>
      <c r="W819">
        <v>13</v>
      </c>
    </row>
    <row r="820" spans="1:23" x14ac:dyDescent="0.25">
      <c r="A820">
        <v>1</v>
      </c>
      <c r="B820" t="s">
        <v>32</v>
      </c>
      <c r="C820" s="1">
        <v>45048</v>
      </c>
      <c r="D820" t="s">
        <v>71</v>
      </c>
      <c r="E820">
        <v>0</v>
      </c>
      <c r="F820">
        <v>33</v>
      </c>
      <c r="G820" t="str">
        <f t="shared" si="20"/>
        <v>21-40</v>
      </c>
      <c r="H820" t="s">
        <v>35</v>
      </c>
      <c r="I820" t="s">
        <v>64</v>
      </c>
      <c r="J820" t="s">
        <v>65</v>
      </c>
      <c r="K820" t="s">
        <v>42</v>
      </c>
      <c r="L820">
        <v>1</v>
      </c>
      <c r="M820">
        <v>1</v>
      </c>
      <c r="N820">
        <v>1.6</v>
      </c>
      <c r="O820">
        <v>8.9</v>
      </c>
      <c r="P820">
        <v>6</v>
      </c>
      <c r="Q820">
        <v>5</v>
      </c>
      <c r="R820">
        <v>952219</v>
      </c>
      <c r="S820">
        <f>Table1[[#This Row],[Revenue]]-Table1[[#This Row],[Operating_Costs]]</f>
        <v>330351</v>
      </c>
      <c r="T820">
        <v>621868</v>
      </c>
      <c r="U820">
        <v>36</v>
      </c>
      <c r="V820">
        <v>54</v>
      </c>
      <c r="W820">
        <v>6.4</v>
      </c>
    </row>
    <row r="821" spans="1:23" x14ac:dyDescent="0.25">
      <c r="A821">
        <v>1</v>
      </c>
      <c r="B821" t="s">
        <v>32</v>
      </c>
      <c r="C821" s="1">
        <v>44830</v>
      </c>
      <c r="D821" t="s">
        <v>71</v>
      </c>
      <c r="E821">
        <v>0</v>
      </c>
      <c r="F821">
        <v>79</v>
      </c>
      <c r="G821" t="str">
        <f t="shared" si="20"/>
        <v>61-80</v>
      </c>
      <c r="H821" t="s">
        <v>23</v>
      </c>
      <c r="I821" t="s">
        <v>31</v>
      </c>
      <c r="J821" t="s">
        <v>28</v>
      </c>
      <c r="K821" t="s">
        <v>33</v>
      </c>
      <c r="L821">
        <v>1</v>
      </c>
      <c r="M821">
        <v>1</v>
      </c>
      <c r="N821">
        <v>6.4</v>
      </c>
      <c r="O821">
        <v>7.5</v>
      </c>
      <c r="P821">
        <v>7</v>
      </c>
      <c r="Q821">
        <v>4</v>
      </c>
      <c r="R821">
        <v>910903</v>
      </c>
      <c r="S821">
        <f>Table1[[#This Row],[Revenue]]-Table1[[#This Row],[Operating_Costs]]</f>
        <v>22526</v>
      </c>
      <c r="T821">
        <v>888377</v>
      </c>
      <c r="U821">
        <v>37</v>
      </c>
      <c r="V821">
        <v>60</v>
      </c>
      <c r="W821">
        <v>14.6</v>
      </c>
    </row>
    <row r="822" spans="1:23" x14ac:dyDescent="0.25">
      <c r="A822">
        <v>1</v>
      </c>
      <c r="B822" t="s">
        <v>32</v>
      </c>
      <c r="C822" s="1">
        <v>44451</v>
      </c>
      <c r="D822" t="s">
        <v>71</v>
      </c>
      <c r="E822">
        <v>0</v>
      </c>
      <c r="F822">
        <v>25</v>
      </c>
      <c r="G822" t="str">
        <f t="shared" si="20"/>
        <v>21-40</v>
      </c>
      <c r="H822" t="s">
        <v>23</v>
      </c>
      <c r="I822" t="s">
        <v>46</v>
      </c>
      <c r="J822" t="s">
        <v>47</v>
      </c>
      <c r="K822" t="s">
        <v>29</v>
      </c>
      <c r="L822">
        <v>1</v>
      </c>
      <c r="M822">
        <v>1</v>
      </c>
      <c r="N822">
        <v>3.2</v>
      </c>
      <c r="O822">
        <v>7</v>
      </c>
      <c r="P822">
        <v>6</v>
      </c>
      <c r="Q822">
        <v>3</v>
      </c>
      <c r="R822">
        <v>906937</v>
      </c>
      <c r="S822">
        <f>Table1[[#This Row],[Revenue]]-Table1[[#This Row],[Operating_Costs]]</f>
        <v>223869</v>
      </c>
      <c r="T822">
        <v>683068</v>
      </c>
      <c r="U822">
        <v>32</v>
      </c>
      <c r="V822">
        <v>63</v>
      </c>
      <c r="W822">
        <v>8</v>
      </c>
    </row>
    <row r="823" spans="1:23" x14ac:dyDescent="0.25">
      <c r="A823">
        <v>1</v>
      </c>
      <c r="B823" t="s">
        <v>32</v>
      </c>
      <c r="C823" s="1">
        <v>44844</v>
      </c>
      <c r="D823" t="s">
        <v>71</v>
      </c>
      <c r="E823">
        <v>0</v>
      </c>
      <c r="F823">
        <v>35</v>
      </c>
      <c r="G823" t="str">
        <f t="shared" si="20"/>
        <v>21-40</v>
      </c>
      <c r="H823" t="s">
        <v>35</v>
      </c>
      <c r="I823" t="s">
        <v>27</v>
      </c>
      <c r="J823" t="s">
        <v>28</v>
      </c>
      <c r="K823" t="s">
        <v>42</v>
      </c>
      <c r="L823">
        <v>1</v>
      </c>
      <c r="M823">
        <v>1</v>
      </c>
      <c r="N823">
        <v>4.5</v>
      </c>
      <c r="O823">
        <v>7.6</v>
      </c>
      <c r="P823">
        <v>6</v>
      </c>
      <c r="Q823">
        <v>3</v>
      </c>
      <c r="R823">
        <v>916803</v>
      </c>
      <c r="S823">
        <f>Table1[[#This Row],[Revenue]]-Table1[[#This Row],[Operating_Costs]]</f>
        <v>64545</v>
      </c>
      <c r="T823">
        <v>852258</v>
      </c>
      <c r="U823">
        <v>34</v>
      </c>
      <c r="V823">
        <v>63</v>
      </c>
      <c r="W823">
        <v>6.3</v>
      </c>
    </row>
    <row r="824" spans="1:23" x14ac:dyDescent="0.25">
      <c r="A824">
        <v>1</v>
      </c>
      <c r="B824" t="s">
        <v>32</v>
      </c>
      <c r="C824" s="1">
        <v>45186</v>
      </c>
      <c r="D824" t="s">
        <v>71</v>
      </c>
      <c r="E824">
        <v>0</v>
      </c>
      <c r="F824">
        <v>77</v>
      </c>
      <c r="G824" t="str">
        <f t="shared" si="20"/>
        <v>61-80</v>
      </c>
      <c r="H824" t="s">
        <v>35</v>
      </c>
      <c r="I824" t="s">
        <v>36</v>
      </c>
      <c r="J824" t="s">
        <v>37</v>
      </c>
      <c r="K824" t="s">
        <v>33</v>
      </c>
      <c r="L824">
        <v>1</v>
      </c>
      <c r="M824">
        <v>1</v>
      </c>
      <c r="N824">
        <v>5.6</v>
      </c>
      <c r="O824">
        <v>9.3000000000000007</v>
      </c>
      <c r="P824">
        <v>3</v>
      </c>
      <c r="Q824">
        <v>6</v>
      </c>
      <c r="R824">
        <v>968808</v>
      </c>
      <c r="S824">
        <f>Table1[[#This Row],[Revenue]]-Table1[[#This Row],[Operating_Costs]]</f>
        <v>196614</v>
      </c>
      <c r="T824">
        <v>772194</v>
      </c>
      <c r="U824">
        <v>38</v>
      </c>
      <c r="V824">
        <v>64</v>
      </c>
      <c r="W824">
        <v>8.3000000000000007</v>
      </c>
    </row>
    <row r="825" spans="1:23" x14ac:dyDescent="0.25">
      <c r="A825">
        <v>1</v>
      </c>
      <c r="B825" t="s">
        <v>32</v>
      </c>
      <c r="C825" s="1">
        <v>45592</v>
      </c>
      <c r="D825" t="s">
        <v>71</v>
      </c>
      <c r="E825">
        <v>0</v>
      </c>
      <c r="F825">
        <v>52</v>
      </c>
      <c r="G825" t="str">
        <f t="shared" si="20"/>
        <v>41-60</v>
      </c>
      <c r="H825" t="s">
        <v>35</v>
      </c>
      <c r="I825" t="s">
        <v>40</v>
      </c>
      <c r="J825" t="s">
        <v>41</v>
      </c>
      <c r="K825" t="s">
        <v>33</v>
      </c>
      <c r="L825">
        <v>1</v>
      </c>
      <c r="M825">
        <v>1</v>
      </c>
      <c r="N825">
        <v>3.8</v>
      </c>
      <c r="O825">
        <v>7.9</v>
      </c>
      <c r="P825">
        <v>3</v>
      </c>
      <c r="Q825">
        <v>6</v>
      </c>
      <c r="R825">
        <v>906353</v>
      </c>
      <c r="S825">
        <f>Table1[[#This Row],[Revenue]]-Table1[[#This Row],[Operating_Costs]]</f>
        <v>239003</v>
      </c>
      <c r="T825">
        <v>667350</v>
      </c>
      <c r="U825">
        <v>40</v>
      </c>
      <c r="V825">
        <v>55</v>
      </c>
      <c r="W825">
        <v>12.5</v>
      </c>
    </row>
    <row r="826" spans="1:23" x14ac:dyDescent="0.25">
      <c r="A826">
        <v>1</v>
      </c>
      <c r="B826" t="s">
        <v>32</v>
      </c>
      <c r="C826" s="1">
        <v>45517</v>
      </c>
      <c r="D826" t="s">
        <v>71</v>
      </c>
      <c r="E826">
        <v>0</v>
      </c>
      <c r="F826">
        <v>28</v>
      </c>
      <c r="G826" t="str">
        <f t="shared" si="20"/>
        <v>21-40</v>
      </c>
      <c r="H826" t="s">
        <v>23</v>
      </c>
      <c r="I826" t="s">
        <v>46</v>
      </c>
      <c r="J826" t="s">
        <v>47</v>
      </c>
      <c r="K826" t="s">
        <v>29</v>
      </c>
      <c r="L826">
        <v>1</v>
      </c>
      <c r="M826">
        <v>1</v>
      </c>
      <c r="N826">
        <v>3.7</v>
      </c>
      <c r="O826">
        <v>9.6999999999999993</v>
      </c>
      <c r="P826">
        <v>6</v>
      </c>
      <c r="Q826">
        <v>5</v>
      </c>
      <c r="R826">
        <v>967418</v>
      </c>
      <c r="S826">
        <f>Table1[[#This Row],[Revenue]]-Table1[[#This Row],[Operating_Costs]]</f>
        <v>168526</v>
      </c>
      <c r="T826">
        <v>798892</v>
      </c>
      <c r="U826">
        <v>37</v>
      </c>
      <c r="V826">
        <v>54</v>
      </c>
      <c r="W826">
        <v>7.3</v>
      </c>
    </row>
    <row r="827" spans="1:23" x14ac:dyDescent="0.25">
      <c r="A827">
        <v>1</v>
      </c>
      <c r="B827" t="s">
        <v>32</v>
      </c>
      <c r="C827" s="1">
        <v>45549</v>
      </c>
      <c r="D827" t="s">
        <v>71</v>
      </c>
      <c r="E827">
        <v>0</v>
      </c>
      <c r="F827">
        <v>74</v>
      </c>
      <c r="G827" t="str">
        <f t="shared" si="20"/>
        <v>61-80</v>
      </c>
      <c r="H827" t="s">
        <v>23</v>
      </c>
      <c r="I827" t="s">
        <v>24</v>
      </c>
      <c r="J827" t="s">
        <v>25</v>
      </c>
      <c r="K827" t="s">
        <v>29</v>
      </c>
      <c r="L827">
        <v>1</v>
      </c>
      <c r="M827">
        <v>1</v>
      </c>
      <c r="N827">
        <v>6.4</v>
      </c>
      <c r="O827">
        <v>7.4</v>
      </c>
      <c r="P827">
        <v>6</v>
      </c>
      <c r="Q827">
        <v>7</v>
      </c>
      <c r="R827">
        <v>977275</v>
      </c>
      <c r="S827">
        <f>Table1[[#This Row],[Revenue]]-Table1[[#This Row],[Operating_Costs]]</f>
        <v>224415</v>
      </c>
      <c r="T827">
        <v>752860</v>
      </c>
      <c r="U827">
        <v>33</v>
      </c>
      <c r="V827">
        <v>64</v>
      </c>
      <c r="W827">
        <v>14</v>
      </c>
    </row>
    <row r="828" spans="1:23" x14ac:dyDescent="0.25">
      <c r="A828">
        <v>1</v>
      </c>
      <c r="B828" t="s">
        <v>32</v>
      </c>
      <c r="C828" s="1">
        <v>44355</v>
      </c>
      <c r="D828" t="s">
        <v>71</v>
      </c>
      <c r="E828">
        <v>0</v>
      </c>
      <c r="F828">
        <v>53</v>
      </c>
      <c r="G828" t="str">
        <f t="shared" si="20"/>
        <v>41-60</v>
      </c>
      <c r="H828" t="s">
        <v>35</v>
      </c>
      <c r="I828" t="s">
        <v>36</v>
      </c>
      <c r="J828" t="s">
        <v>37</v>
      </c>
      <c r="K828" t="s">
        <v>42</v>
      </c>
      <c r="L828">
        <v>1</v>
      </c>
      <c r="M828">
        <v>1</v>
      </c>
      <c r="N828">
        <v>3.6</v>
      </c>
      <c r="O828">
        <v>7.6</v>
      </c>
      <c r="P828">
        <v>3</v>
      </c>
      <c r="Q828">
        <v>3</v>
      </c>
      <c r="R828">
        <v>904686</v>
      </c>
      <c r="S828">
        <f>Table1[[#This Row],[Revenue]]-Table1[[#This Row],[Operating_Costs]]</f>
        <v>175381</v>
      </c>
      <c r="T828">
        <v>729305</v>
      </c>
      <c r="U828">
        <v>37</v>
      </c>
      <c r="V828">
        <v>56</v>
      </c>
      <c r="W828">
        <v>14.6</v>
      </c>
    </row>
    <row r="829" spans="1:23" x14ac:dyDescent="0.25">
      <c r="A829">
        <v>1</v>
      </c>
      <c r="B829" t="s">
        <v>32</v>
      </c>
      <c r="C829" s="1">
        <v>45052</v>
      </c>
      <c r="D829" t="s">
        <v>71</v>
      </c>
      <c r="E829">
        <v>0</v>
      </c>
      <c r="F829">
        <v>65</v>
      </c>
      <c r="G829" t="str">
        <f t="shared" si="20"/>
        <v>61-80</v>
      </c>
      <c r="H829" t="s">
        <v>23</v>
      </c>
      <c r="I829" t="s">
        <v>31</v>
      </c>
      <c r="J829" t="s">
        <v>28</v>
      </c>
      <c r="K829" t="s">
        <v>42</v>
      </c>
      <c r="L829">
        <v>1</v>
      </c>
      <c r="M829">
        <v>1</v>
      </c>
      <c r="N829">
        <v>4.3</v>
      </c>
      <c r="O829">
        <v>9.6</v>
      </c>
      <c r="P829">
        <v>3</v>
      </c>
      <c r="Q829">
        <v>3</v>
      </c>
      <c r="R829">
        <v>932470</v>
      </c>
      <c r="S829">
        <f>Table1[[#This Row],[Revenue]]-Table1[[#This Row],[Operating_Costs]]</f>
        <v>102773</v>
      </c>
      <c r="T829">
        <v>829697</v>
      </c>
      <c r="U829">
        <v>38</v>
      </c>
      <c r="V829">
        <v>56</v>
      </c>
      <c r="W829">
        <v>8.1999999999999993</v>
      </c>
    </row>
    <row r="830" spans="1:23" x14ac:dyDescent="0.25">
      <c r="A830">
        <v>1</v>
      </c>
      <c r="B830" t="s">
        <v>32</v>
      </c>
      <c r="C830" s="1">
        <v>44352</v>
      </c>
      <c r="D830" t="s">
        <v>71</v>
      </c>
      <c r="E830">
        <v>0</v>
      </c>
      <c r="F830">
        <v>37</v>
      </c>
      <c r="G830" t="str">
        <f t="shared" si="20"/>
        <v>21-40</v>
      </c>
      <c r="H830" t="s">
        <v>35</v>
      </c>
      <c r="I830" t="s">
        <v>61</v>
      </c>
      <c r="J830" t="s">
        <v>62</v>
      </c>
      <c r="K830" t="s">
        <v>38</v>
      </c>
      <c r="L830">
        <v>1</v>
      </c>
      <c r="M830">
        <v>1</v>
      </c>
      <c r="N830">
        <v>2.6</v>
      </c>
      <c r="O830">
        <v>9.4</v>
      </c>
      <c r="P830">
        <v>7</v>
      </c>
      <c r="Q830">
        <v>7</v>
      </c>
      <c r="R830">
        <v>960483</v>
      </c>
      <c r="S830">
        <f>Table1[[#This Row],[Revenue]]-Table1[[#This Row],[Operating_Costs]]</f>
        <v>286390</v>
      </c>
      <c r="T830">
        <v>674093</v>
      </c>
      <c r="U830">
        <v>40</v>
      </c>
      <c r="V830">
        <v>63</v>
      </c>
      <c r="W830">
        <v>5.0999999999999996</v>
      </c>
    </row>
    <row r="831" spans="1:23" x14ac:dyDescent="0.25">
      <c r="A831">
        <v>1</v>
      </c>
      <c r="B831" t="s">
        <v>32</v>
      </c>
      <c r="C831" s="1">
        <v>45495</v>
      </c>
      <c r="D831" t="s">
        <v>71</v>
      </c>
      <c r="E831">
        <v>0</v>
      </c>
      <c r="F831">
        <v>42</v>
      </c>
      <c r="G831" t="str">
        <f t="shared" si="20"/>
        <v>41-60</v>
      </c>
      <c r="H831" t="s">
        <v>23</v>
      </c>
      <c r="I831" t="s">
        <v>43</v>
      </c>
      <c r="J831" t="s">
        <v>25</v>
      </c>
      <c r="K831" t="s">
        <v>38</v>
      </c>
      <c r="L831">
        <v>1</v>
      </c>
      <c r="M831">
        <v>1</v>
      </c>
      <c r="N831">
        <v>5</v>
      </c>
      <c r="O831">
        <v>9</v>
      </c>
      <c r="P831">
        <v>6</v>
      </c>
      <c r="Q831">
        <v>4</v>
      </c>
      <c r="R831">
        <v>988582</v>
      </c>
      <c r="S831">
        <f>Table1[[#This Row],[Revenue]]-Table1[[#This Row],[Operating_Costs]]</f>
        <v>384431</v>
      </c>
      <c r="T831">
        <v>604151</v>
      </c>
      <c r="U831">
        <v>31</v>
      </c>
      <c r="V831">
        <v>58</v>
      </c>
      <c r="W831">
        <v>9.1999999999999993</v>
      </c>
    </row>
    <row r="832" spans="1:23" x14ac:dyDescent="0.25">
      <c r="A832">
        <v>1</v>
      </c>
      <c r="B832" t="s">
        <v>32</v>
      </c>
      <c r="C832" s="1">
        <v>44755</v>
      </c>
      <c r="D832" t="s">
        <v>71</v>
      </c>
      <c r="E832">
        <v>0</v>
      </c>
      <c r="F832">
        <v>69</v>
      </c>
      <c r="G832" t="str">
        <f t="shared" si="20"/>
        <v>61-80</v>
      </c>
      <c r="H832" t="s">
        <v>23</v>
      </c>
      <c r="I832" t="s">
        <v>27</v>
      </c>
      <c r="J832" t="s">
        <v>28</v>
      </c>
      <c r="K832" t="s">
        <v>33</v>
      </c>
      <c r="L832">
        <v>1</v>
      </c>
      <c r="M832">
        <v>1</v>
      </c>
      <c r="N832">
        <v>2.5</v>
      </c>
      <c r="O832">
        <v>9.1999999999999993</v>
      </c>
      <c r="P832">
        <v>6</v>
      </c>
      <c r="Q832">
        <v>7</v>
      </c>
      <c r="R832">
        <v>904958</v>
      </c>
      <c r="S832">
        <f>Table1[[#This Row],[Revenue]]-Table1[[#This Row],[Operating_Costs]]</f>
        <v>46810</v>
      </c>
      <c r="T832">
        <v>858148</v>
      </c>
      <c r="U832">
        <v>39</v>
      </c>
      <c r="V832">
        <v>59</v>
      </c>
      <c r="W832">
        <v>5.4</v>
      </c>
    </row>
    <row r="833" spans="1:23" x14ac:dyDescent="0.25">
      <c r="A833">
        <v>1</v>
      </c>
      <c r="B833" t="s">
        <v>32</v>
      </c>
      <c r="C833" s="1">
        <v>45535</v>
      </c>
      <c r="D833" t="s">
        <v>71</v>
      </c>
      <c r="E833">
        <v>0</v>
      </c>
      <c r="F833">
        <v>48</v>
      </c>
      <c r="G833" t="str">
        <f t="shared" si="20"/>
        <v>41-60</v>
      </c>
      <c r="H833" t="s">
        <v>23</v>
      </c>
      <c r="I833" t="s">
        <v>24</v>
      </c>
      <c r="J833" t="s">
        <v>25</v>
      </c>
      <c r="K833" t="s">
        <v>29</v>
      </c>
      <c r="L833">
        <v>1</v>
      </c>
      <c r="M833">
        <v>1</v>
      </c>
      <c r="N833">
        <v>6.9</v>
      </c>
      <c r="O833">
        <v>9</v>
      </c>
      <c r="P833">
        <v>7</v>
      </c>
      <c r="Q833">
        <v>7</v>
      </c>
      <c r="R833">
        <v>966391</v>
      </c>
      <c r="S833">
        <f>Table1[[#This Row],[Revenue]]-Table1[[#This Row],[Operating_Costs]]</f>
        <v>310697</v>
      </c>
      <c r="T833">
        <v>655694</v>
      </c>
      <c r="U833">
        <v>36</v>
      </c>
      <c r="V833">
        <v>55</v>
      </c>
      <c r="W833">
        <v>7.7</v>
      </c>
    </row>
    <row r="834" spans="1:23" x14ac:dyDescent="0.25">
      <c r="A834">
        <v>2</v>
      </c>
      <c r="B834" t="s">
        <v>39</v>
      </c>
      <c r="C834" s="1">
        <v>44250</v>
      </c>
      <c r="D834" t="s">
        <v>71</v>
      </c>
      <c r="E834">
        <v>0</v>
      </c>
      <c r="F834">
        <v>81</v>
      </c>
      <c r="G834" t="str">
        <f t="shared" si="20"/>
        <v>81+</v>
      </c>
      <c r="H834" t="s">
        <v>35</v>
      </c>
      <c r="I834" t="s">
        <v>31</v>
      </c>
      <c r="J834" t="s">
        <v>28</v>
      </c>
      <c r="K834" t="s">
        <v>42</v>
      </c>
      <c r="L834">
        <v>1</v>
      </c>
      <c r="M834">
        <v>1</v>
      </c>
      <c r="N834">
        <v>4</v>
      </c>
      <c r="O834">
        <v>7.4</v>
      </c>
      <c r="P834">
        <v>7</v>
      </c>
      <c r="Q834">
        <v>7</v>
      </c>
      <c r="R834">
        <v>885376</v>
      </c>
      <c r="S834">
        <f>Table1[[#This Row],[Revenue]]-Table1[[#This Row],[Operating_Costs]]</f>
        <v>310563</v>
      </c>
      <c r="T834">
        <v>574813</v>
      </c>
      <c r="U834">
        <v>38</v>
      </c>
      <c r="V834">
        <v>63</v>
      </c>
      <c r="W834">
        <v>9.6999999999999993</v>
      </c>
    </row>
    <row r="835" spans="1:23" x14ac:dyDescent="0.25">
      <c r="A835">
        <v>1</v>
      </c>
      <c r="B835" t="s">
        <v>32</v>
      </c>
      <c r="C835" s="1">
        <v>44472</v>
      </c>
      <c r="D835" t="s">
        <v>71</v>
      </c>
      <c r="E835">
        <v>0</v>
      </c>
      <c r="F835">
        <v>49</v>
      </c>
      <c r="G835" t="str">
        <f t="shared" ref="G835:G898" si="21">IF(F835&lt;=20,"0-20",IF(F835&lt;=40,"21-40",IF(F835&lt;=60,"41-60",IF(F835&lt;=80,"61-80","81+"))))</f>
        <v>41-60</v>
      </c>
      <c r="H835" t="s">
        <v>23</v>
      </c>
      <c r="I835" t="s">
        <v>67</v>
      </c>
      <c r="J835" t="s">
        <v>68</v>
      </c>
      <c r="K835" t="s">
        <v>33</v>
      </c>
      <c r="L835">
        <v>1</v>
      </c>
      <c r="M835">
        <v>1</v>
      </c>
      <c r="N835">
        <v>3.3</v>
      </c>
      <c r="O835">
        <v>9.1</v>
      </c>
      <c r="P835">
        <v>4</v>
      </c>
      <c r="Q835">
        <v>3</v>
      </c>
      <c r="R835">
        <v>968578</v>
      </c>
      <c r="S835">
        <f>Table1[[#This Row],[Revenue]]-Table1[[#This Row],[Operating_Costs]]</f>
        <v>186127</v>
      </c>
      <c r="T835">
        <v>782451</v>
      </c>
      <c r="U835">
        <v>36</v>
      </c>
      <c r="V835">
        <v>66</v>
      </c>
      <c r="W835">
        <v>36.9</v>
      </c>
    </row>
    <row r="836" spans="1:23" x14ac:dyDescent="0.25">
      <c r="A836">
        <v>1</v>
      </c>
      <c r="B836" t="s">
        <v>32</v>
      </c>
      <c r="C836" s="1">
        <v>45082</v>
      </c>
      <c r="D836" t="s">
        <v>71</v>
      </c>
      <c r="E836">
        <v>0</v>
      </c>
      <c r="F836">
        <v>39</v>
      </c>
      <c r="G836" t="str">
        <f t="shared" si="21"/>
        <v>21-40</v>
      </c>
      <c r="H836" t="s">
        <v>35</v>
      </c>
      <c r="I836" t="s">
        <v>36</v>
      </c>
      <c r="J836" t="s">
        <v>37</v>
      </c>
      <c r="K836" t="s">
        <v>33</v>
      </c>
      <c r="L836">
        <v>1</v>
      </c>
      <c r="M836">
        <v>1</v>
      </c>
      <c r="N836">
        <v>4.5999999999999996</v>
      </c>
      <c r="O836">
        <v>10</v>
      </c>
      <c r="P836">
        <v>7</v>
      </c>
      <c r="Q836">
        <v>3</v>
      </c>
      <c r="R836">
        <v>988762</v>
      </c>
      <c r="S836">
        <f>Table1[[#This Row],[Revenue]]-Table1[[#This Row],[Operating_Costs]]</f>
        <v>378959</v>
      </c>
      <c r="T836">
        <v>609803</v>
      </c>
      <c r="U836">
        <v>33</v>
      </c>
      <c r="V836">
        <v>55</v>
      </c>
      <c r="W836">
        <v>9.6</v>
      </c>
    </row>
    <row r="837" spans="1:23" x14ac:dyDescent="0.25">
      <c r="A837">
        <v>2</v>
      </c>
      <c r="B837" t="s">
        <v>39</v>
      </c>
      <c r="C837" s="1">
        <v>45303</v>
      </c>
      <c r="D837" t="s">
        <v>71</v>
      </c>
      <c r="E837">
        <v>0</v>
      </c>
      <c r="F837">
        <v>25</v>
      </c>
      <c r="G837" t="str">
        <f t="shared" si="21"/>
        <v>21-40</v>
      </c>
      <c r="H837" t="s">
        <v>23</v>
      </c>
      <c r="I837" t="s">
        <v>24</v>
      </c>
      <c r="J837" t="s">
        <v>25</v>
      </c>
      <c r="K837" t="s">
        <v>38</v>
      </c>
      <c r="L837">
        <v>1</v>
      </c>
      <c r="M837">
        <v>1</v>
      </c>
      <c r="N837">
        <v>6.3</v>
      </c>
      <c r="O837">
        <v>7.1</v>
      </c>
      <c r="P837">
        <v>3</v>
      </c>
      <c r="Q837">
        <v>7</v>
      </c>
      <c r="R837">
        <v>646021</v>
      </c>
      <c r="S837">
        <f>Table1[[#This Row],[Revenue]]-Table1[[#This Row],[Operating_Costs]]</f>
        <v>129118</v>
      </c>
      <c r="T837">
        <v>516903</v>
      </c>
      <c r="U837">
        <v>32</v>
      </c>
      <c r="V837">
        <v>56</v>
      </c>
      <c r="W837">
        <v>13.3</v>
      </c>
    </row>
    <row r="838" spans="1:23" x14ac:dyDescent="0.25">
      <c r="A838">
        <v>1</v>
      </c>
      <c r="B838" t="s">
        <v>32</v>
      </c>
      <c r="C838" s="1">
        <v>45449</v>
      </c>
      <c r="D838" t="s">
        <v>71</v>
      </c>
      <c r="E838">
        <v>0</v>
      </c>
      <c r="F838">
        <v>54</v>
      </c>
      <c r="G838" t="str">
        <f t="shared" si="21"/>
        <v>41-60</v>
      </c>
      <c r="H838" t="s">
        <v>35</v>
      </c>
      <c r="I838" t="s">
        <v>31</v>
      </c>
      <c r="J838" t="s">
        <v>28</v>
      </c>
      <c r="K838" t="s">
        <v>26</v>
      </c>
      <c r="L838">
        <v>1</v>
      </c>
      <c r="M838">
        <v>1</v>
      </c>
      <c r="N838">
        <v>3</v>
      </c>
      <c r="O838">
        <v>8.9</v>
      </c>
      <c r="P838">
        <v>6</v>
      </c>
      <c r="Q838">
        <v>4</v>
      </c>
      <c r="R838">
        <v>928548</v>
      </c>
      <c r="S838">
        <f>Table1[[#This Row],[Revenue]]-Table1[[#This Row],[Operating_Costs]]</f>
        <v>181859</v>
      </c>
      <c r="T838">
        <v>746689</v>
      </c>
      <c r="U838">
        <v>31</v>
      </c>
      <c r="V838">
        <v>57</v>
      </c>
      <c r="W838">
        <v>10.5</v>
      </c>
    </row>
    <row r="839" spans="1:23" x14ac:dyDescent="0.25">
      <c r="A839">
        <v>1</v>
      </c>
      <c r="B839" t="s">
        <v>32</v>
      </c>
      <c r="C839" s="1">
        <v>45589</v>
      </c>
      <c r="D839" t="s">
        <v>71</v>
      </c>
      <c r="E839">
        <v>0</v>
      </c>
      <c r="F839">
        <v>33</v>
      </c>
      <c r="G839" t="str">
        <f t="shared" si="21"/>
        <v>21-40</v>
      </c>
      <c r="H839" t="s">
        <v>23</v>
      </c>
      <c r="I839" t="s">
        <v>24</v>
      </c>
      <c r="J839" t="s">
        <v>25</v>
      </c>
      <c r="K839" t="s">
        <v>29</v>
      </c>
      <c r="L839">
        <v>1</v>
      </c>
      <c r="M839">
        <v>1</v>
      </c>
      <c r="N839">
        <v>2.2999999999999998</v>
      </c>
      <c r="O839">
        <v>8</v>
      </c>
      <c r="P839">
        <v>7</v>
      </c>
      <c r="Q839">
        <v>5</v>
      </c>
      <c r="R839">
        <v>939966</v>
      </c>
      <c r="S839">
        <f>Table1[[#This Row],[Revenue]]-Table1[[#This Row],[Operating_Costs]]</f>
        <v>256656</v>
      </c>
      <c r="T839">
        <v>683310</v>
      </c>
      <c r="U839">
        <v>38</v>
      </c>
      <c r="V839">
        <v>64</v>
      </c>
      <c r="W839">
        <v>13.3</v>
      </c>
    </row>
    <row r="840" spans="1:23" x14ac:dyDescent="0.25">
      <c r="A840">
        <v>1</v>
      </c>
      <c r="B840" t="s">
        <v>32</v>
      </c>
      <c r="C840" s="1">
        <v>44257</v>
      </c>
      <c r="D840" t="s">
        <v>71</v>
      </c>
      <c r="E840">
        <v>0</v>
      </c>
      <c r="F840">
        <v>23</v>
      </c>
      <c r="G840" t="str">
        <f t="shared" si="21"/>
        <v>21-40</v>
      </c>
      <c r="H840" t="s">
        <v>35</v>
      </c>
      <c r="I840" t="s">
        <v>36</v>
      </c>
      <c r="J840" t="s">
        <v>37</v>
      </c>
      <c r="K840" t="s">
        <v>42</v>
      </c>
      <c r="L840">
        <v>1</v>
      </c>
      <c r="M840">
        <v>1</v>
      </c>
      <c r="N840">
        <v>4.0999999999999996</v>
      </c>
      <c r="O840">
        <v>9.1999999999999993</v>
      </c>
      <c r="P840">
        <v>5</v>
      </c>
      <c r="Q840">
        <v>5</v>
      </c>
      <c r="R840">
        <v>975368</v>
      </c>
      <c r="S840">
        <f>Table1[[#This Row],[Revenue]]-Table1[[#This Row],[Operating_Costs]]</f>
        <v>147744</v>
      </c>
      <c r="T840">
        <v>827624</v>
      </c>
      <c r="U840">
        <v>39</v>
      </c>
      <c r="V840">
        <v>55</v>
      </c>
      <c r="W840">
        <v>6.6</v>
      </c>
    </row>
    <row r="841" spans="1:23" x14ac:dyDescent="0.25">
      <c r="A841">
        <v>1</v>
      </c>
      <c r="B841" t="s">
        <v>32</v>
      </c>
      <c r="C841" s="1">
        <v>44443</v>
      </c>
      <c r="D841" t="s">
        <v>71</v>
      </c>
      <c r="E841">
        <v>0</v>
      </c>
      <c r="F841">
        <v>77</v>
      </c>
      <c r="G841" t="str">
        <f t="shared" si="21"/>
        <v>61-80</v>
      </c>
      <c r="H841" t="s">
        <v>23</v>
      </c>
      <c r="I841" t="s">
        <v>24</v>
      </c>
      <c r="J841" t="s">
        <v>25</v>
      </c>
      <c r="K841" t="s">
        <v>26</v>
      </c>
      <c r="L841">
        <v>1</v>
      </c>
      <c r="M841">
        <v>1</v>
      </c>
      <c r="N841">
        <v>4.0999999999999996</v>
      </c>
      <c r="O841">
        <v>8.5</v>
      </c>
      <c r="P841">
        <v>5</v>
      </c>
      <c r="Q841">
        <v>3</v>
      </c>
      <c r="R841">
        <v>903860</v>
      </c>
      <c r="S841">
        <f>Table1[[#This Row],[Revenue]]-Table1[[#This Row],[Operating_Costs]]</f>
        <v>219317</v>
      </c>
      <c r="T841">
        <v>684543</v>
      </c>
      <c r="U841">
        <v>37</v>
      </c>
      <c r="V841">
        <v>61</v>
      </c>
      <c r="W841">
        <v>7.8</v>
      </c>
    </row>
    <row r="842" spans="1:23" x14ac:dyDescent="0.25">
      <c r="A842">
        <v>1</v>
      </c>
      <c r="B842" t="s">
        <v>32</v>
      </c>
      <c r="C842" s="1">
        <v>45105</v>
      </c>
      <c r="D842" t="s">
        <v>71</v>
      </c>
      <c r="E842">
        <v>0</v>
      </c>
      <c r="F842">
        <v>47</v>
      </c>
      <c r="G842" t="str">
        <f t="shared" si="21"/>
        <v>41-60</v>
      </c>
      <c r="H842" t="s">
        <v>35</v>
      </c>
      <c r="I842" t="s">
        <v>31</v>
      </c>
      <c r="J842" t="s">
        <v>28</v>
      </c>
      <c r="K842" t="s">
        <v>33</v>
      </c>
      <c r="L842">
        <v>1</v>
      </c>
      <c r="M842">
        <v>1</v>
      </c>
      <c r="N842">
        <v>5</v>
      </c>
      <c r="O842">
        <v>9.6</v>
      </c>
      <c r="P842">
        <v>3</v>
      </c>
      <c r="Q842">
        <v>3</v>
      </c>
      <c r="R842">
        <v>953633</v>
      </c>
      <c r="S842">
        <f>Table1[[#This Row],[Revenue]]-Table1[[#This Row],[Operating_Costs]]</f>
        <v>105772</v>
      </c>
      <c r="T842">
        <v>847861</v>
      </c>
      <c r="U842">
        <v>34</v>
      </c>
      <c r="V842">
        <v>55</v>
      </c>
      <c r="W842">
        <v>9.6999999999999993</v>
      </c>
    </row>
    <row r="843" spans="1:23" x14ac:dyDescent="0.25">
      <c r="A843">
        <v>1</v>
      </c>
      <c r="B843" t="s">
        <v>32</v>
      </c>
      <c r="C843" s="1">
        <v>44774</v>
      </c>
      <c r="D843" t="s">
        <v>71</v>
      </c>
      <c r="E843">
        <v>0</v>
      </c>
      <c r="F843">
        <v>51</v>
      </c>
      <c r="G843" t="str">
        <f t="shared" si="21"/>
        <v>41-60</v>
      </c>
      <c r="H843" t="s">
        <v>23</v>
      </c>
      <c r="I843" t="s">
        <v>43</v>
      </c>
      <c r="J843" t="s">
        <v>25</v>
      </c>
      <c r="K843" t="s">
        <v>33</v>
      </c>
      <c r="L843">
        <v>1</v>
      </c>
      <c r="M843">
        <v>1</v>
      </c>
      <c r="N843">
        <v>5.0999999999999996</v>
      </c>
      <c r="O843">
        <v>7.6</v>
      </c>
      <c r="P843">
        <v>5</v>
      </c>
      <c r="Q843">
        <v>3</v>
      </c>
      <c r="R843">
        <v>998161</v>
      </c>
      <c r="S843">
        <f>Table1[[#This Row],[Revenue]]-Table1[[#This Row],[Operating_Costs]]</f>
        <v>297481</v>
      </c>
      <c r="T843">
        <v>700680</v>
      </c>
      <c r="U843">
        <v>30</v>
      </c>
      <c r="V843">
        <v>58</v>
      </c>
      <c r="W843">
        <v>36.4</v>
      </c>
    </row>
    <row r="844" spans="1:23" x14ac:dyDescent="0.25">
      <c r="A844">
        <v>1</v>
      </c>
      <c r="B844" t="s">
        <v>32</v>
      </c>
      <c r="C844" s="1">
        <v>45410</v>
      </c>
      <c r="D844" t="s">
        <v>71</v>
      </c>
      <c r="E844">
        <v>0</v>
      </c>
      <c r="F844">
        <v>39</v>
      </c>
      <c r="G844" t="str">
        <f t="shared" si="21"/>
        <v>21-40</v>
      </c>
      <c r="H844" t="s">
        <v>35</v>
      </c>
      <c r="I844" t="s">
        <v>46</v>
      </c>
      <c r="J844" t="s">
        <v>47</v>
      </c>
      <c r="K844" t="s">
        <v>26</v>
      </c>
      <c r="L844">
        <v>1</v>
      </c>
      <c r="M844">
        <v>1</v>
      </c>
      <c r="N844">
        <v>2.4</v>
      </c>
      <c r="O844">
        <v>9.8000000000000007</v>
      </c>
      <c r="P844">
        <v>6</v>
      </c>
      <c r="Q844">
        <v>7</v>
      </c>
      <c r="R844">
        <v>916632</v>
      </c>
      <c r="S844">
        <f>Table1[[#This Row],[Revenue]]-Table1[[#This Row],[Operating_Costs]]</f>
        <v>222362</v>
      </c>
      <c r="T844">
        <v>694270</v>
      </c>
      <c r="U844">
        <v>36</v>
      </c>
      <c r="V844">
        <v>55</v>
      </c>
      <c r="W844">
        <v>36.4</v>
      </c>
    </row>
    <row r="845" spans="1:23" x14ac:dyDescent="0.25">
      <c r="A845">
        <v>1</v>
      </c>
      <c r="B845" t="s">
        <v>32</v>
      </c>
      <c r="C845" s="1">
        <v>44256</v>
      </c>
      <c r="D845" t="s">
        <v>71</v>
      </c>
      <c r="E845">
        <v>0</v>
      </c>
      <c r="F845">
        <v>34</v>
      </c>
      <c r="G845" t="str">
        <f t="shared" si="21"/>
        <v>21-40</v>
      </c>
      <c r="H845" t="s">
        <v>23</v>
      </c>
      <c r="I845" t="s">
        <v>43</v>
      </c>
      <c r="J845" t="s">
        <v>25</v>
      </c>
      <c r="K845" t="s">
        <v>33</v>
      </c>
      <c r="L845">
        <v>1</v>
      </c>
      <c r="M845">
        <v>1</v>
      </c>
      <c r="N845">
        <v>1.1000000000000001</v>
      </c>
      <c r="O845">
        <v>8.5</v>
      </c>
      <c r="P845">
        <v>4</v>
      </c>
      <c r="Q845">
        <v>3</v>
      </c>
      <c r="R845">
        <v>979281</v>
      </c>
      <c r="S845">
        <f>Table1[[#This Row],[Revenue]]-Table1[[#This Row],[Operating_Costs]]</f>
        <v>261925</v>
      </c>
      <c r="T845">
        <v>717356</v>
      </c>
      <c r="U845">
        <v>35</v>
      </c>
      <c r="V845">
        <v>64</v>
      </c>
      <c r="W845">
        <v>8.6</v>
      </c>
    </row>
    <row r="846" spans="1:23" x14ac:dyDescent="0.25">
      <c r="A846">
        <v>2</v>
      </c>
      <c r="B846" t="s">
        <v>39</v>
      </c>
      <c r="C846" s="1">
        <v>45215</v>
      </c>
      <c r="D846" t="s">
        <v>71</v>
      </c>
      <c r="E846">
        <v>0</v>
      </c>
      <c r="F846">
        <v>72</v>
      </c>
      <c r="G846" t="str">
        <f t="shared" si="21"/>
        <v>61-80</v>
      </c>
      <c r="H846" t="s">
        <v>35</v>
      </c>
      <c r="I846" t="s">
        <v>27</v>
      </c>
      <c r="J846" t="s">
        <v>28</v>
      </c>
      <c r="K846" t="s">
        <v>38</v>
      </c>
      <c r="L846">
        <v>1</v>
      </c>
      <c r="M846">
        <v>1</v>
      </c>
      <c r="N846">
        <v>6.8</v>
      </c>
      <c r="O846">
        <v>7.2</v>
      </c>
      <c r="P846">
        <v>4</v>
      </c>
      <c r="Q846">
        <v>7</v>
      </c>
      <c r="R846">
        <v>837541</v>
      </c>
      <c r="S846">
        <f>Table1[[#This Row],[Revenue]]-Table1[[#This Row],[Operating_Costs]]</f>
        <v>314438</v>
      </c>
      <c r="T846">
        <v>523103</v>
      </c>
      <c r="U846">
        <v>30</v>
      </c>
      <c r="V846">
        <v>59</v>
      </c>
      <c r="W846">
        <v>8</v>
      </c>
    </row>
    <row r="847" spans="1:23" x14ac:dyDescent="0.25">
      <c r="A847">
        <v>2</v>
      </c>
      <c r="B847" t="s">
        <v>39</v>
      </c>
      <c r="C847" s="1">
        <v>44715</v>
      </c>
      <c r="D847" t="s">
        <v>71</v>
      </c>
      <c r="E847">
        <v>0</v>
      </c>
      <c r="F847">
        <v>72</v>
      </c>
      <c r="G847" t="str">
        <f t="shared" si="21"/>
        <v>61-80</v>
      </c>
      <c r="H847" t="s">
        <v>35</v>
      </c>
      <c r="I847" t="s">
        <v>36</v>
      </c>
      <c r="J847" t="s">
        <v>37</v>
      </c>
      <c r="K847" t="s">
        <v>42</v>
      </c>
      <c r="L847">
        <v>1</v>
      </c>
      <c r="M847">
        <v>1</v>
      </c>
      <c r="N847">
        <v>2.2999999999999998</v>
      </c>
      <c r="O847">
        <v>9.6</v>
      </c>
      <c r="P847">
        <v>5</v>
      </c>
      <c r="Q847">
        <v>4</v>
      </c>
      <c r="R847">
        <v>868169</v>
      </c>
      <c r="S847">
        <f>Table1[[#This Row],[Revenue]]-Table1[[#This Row],[Operating_Costs]]</f>
        <v>358268</v>
      </c>
      <c r="T847">
        <v>509901</v>
      </c>
      <c r="U847">
        <v>34</v>
      </c>
      <c r="V847">
        <v>66</v>
      </c>
      <c r="W847">
        <v>15</v>
      </c>
    </row>
    <row r="848" spans="1:23" x14ac:dyDescent="0.25">
      <c r="A848">
        <v>1</v>
      </c>
      <c r="B848" t="s">
        <v>32</v>
      </c>
      <c r="C848" s="1">
        <v>45306</v>
      </c>
      <c r="D848" t="s">
        <v>71</v>
      </c>
      <c r="E848">
        <v>0</v>
      </c>
      <c r="F848">
        <v>36</v>
      </c>
      <c r="G848" t="str">
        <f t="shared" si="21"/>
        <v>21-40</v>
      </c>
      <c r="H848" t="s">
        <v>35</v>
      </c>
      <c r="I848" t="s">
        <v>40</v>
      </c>
      <c r="J848" t="s">
        <v>41</v>
      </c>
      <c r="K848" t="s">
        <v>26</v>
      </c>
      <c r="L848">
        <v>1</v>
      </c>
      <c r="M848">
        <v>1</v>
      </c>
      <c r="N848">
        <v>6.7</v>
      </c>
      <c r="O848">
        <v>8.1999999999999993</v>
      </c>
      <c r="P848">
        <v>4</v>
      </c>
      <c r="Q848">
        <v>5</v>
      </c>
      <c r="R848">
        <v>940338</v>
      </c>
      <c r="S848">
        <f>Table1[[#This Row],[Revenue]]-Table1[[#This Row],[Operating_Costs]]</f>
        <v>297883</v>
      </c>
      <c r="T848">
        <v>642455</v>
      </c>
      <c r="U848">
        <v>35</v>
      </c>
      <c r="V848">
        <v>65</v>
      </c>
      <c r="W848">
        <v>9.8000000000000007</v>
      </c>
    </row>
    <row r="849" spans="1:23" x14ac:dyDescent="0.25">
      <c r="A849">
        <v>2</v>
      </c>
      <c r="B849" t="s">
        <v>39</v>
      </c>
      <c r="C849" s="1">
        <v>45362</v>
      </c>
      <c r="D849" t="s">
        <v>71</v>
      </c>
      <c r="E849">
        <v>0</v>
      </c>
      <c r="F849">
        <v>35</v>
      </c>
      <c r="G849" t="str">
        <f t="shared" si="21"/>
        <v>21-40</v>
      </c>
      <c r="H849" t="s">
        <v>23</v>
      </c>
      <c r="I849" t="s">
        <v>43</v>
      </c>
      <c r="J849" t="s">
        <v>25</v>
      </c>
      <c r="K849" t="s">
        <v>42</v>
      </c>
      <c r="L849">
        <v>1</v>
      </c>
      <c r="M849">
        <v>1</v>
      </c>
      <c r="N849">
        <v>4.9000000000000004</v>
      </c>
      <c r="O849">
        <v>8.6</v>
      </c>
      <c r="P849">
        <v>4</v>
      </c>
      <c r="Q849">
        <v>6</v>
      </c>
      <c r="R849">
        <v>838473</v>
      </c>
      <c r="S849">
        <f>Table1[[#This Row],[Revenue]]-Table1[[#This Row],[Operating_Costs]]</f>
        <v>204347</v>
      </c>
      <c r="T849">
        <v>634126</v>
      </c>
      <c r="U849">
        <v>34</v>
      </c>
      <c r="V849">
        <v>66</v>
      </c>
      <c r="W849">
        <v>5.0999999999999996</v>
      </c>
    </row>
    <row r="850" spans="1:23" x14ac:dyDescent="0.25">
      <c r="A850">
        <v>2</v>
      </c>
      <c r="B850" t="s">
        <v>39</v>
      </c>
      <c r="C850" s="1">
        <v>45318</v>
      </c>
      <c r="D850" t="s">
        <v>71</v>
      </c>
      <c r="E850">
        <v>0</v>
      </c>
      <c r="F850">
        <v>34</v>
      </c>
      <c r="G850" t="str">
        <f t="shared" si="21"/>
        <v>21-40</v>
      </c>
      <c r="H850" t="s">
        <v>35</v>
      </c>
      <c r="I850" t="s">
        <v>60</v>
      </c>
      <c r="J850" t="s">
        <v>59</v>
      </c>
      <c r="K850" t="s">
        <v>42</v>
      </c>
      <c r="L850">
        <v>1</v>
      </c>
      <c r="M850">
        <v>1</v>
      </c>
      <c r="N850">
        <v>2.1</v>
      </c>
      <c r="O850">
        <v>8.3000000000000007</v>
      </c>
      <c r="P850">
        <v>7</v>
      </c>
      <c r="Q850">
        <v>4</v>
      </c>
      <c r="R850">
        <v>656894</v>
      </c>
      <c r="S850">
        <f>Table1[[#This Row],[Revenue]]-Table1[[#This Row],[Operating_Costs]]</f>
        <v>27824</v>
      </c>
      <c r="T850">
        <v>629070</v>
      </c>
      <c r="U850">
        <v>36</v>
      </c>
      <c r="V850">
        <v>55</v>
      </c>
      <c r="W850">
        <v>7.8</v>
      </c>
    </row>
    <row r="851" spans="1:23" x14ac:dyDescent="0.25">
      <c r="A851">
        <v>1</v>
      </c>
      <c r="B851" t="s">
        <v>32</v>
      </c>
      <c r="C851" s="1">
        <v>44316</v>
      </c>
      <c r="D851" t="s">
        <v>71</v>
      </c>
      <c r="E851">
        <v>0</v>
      </c>
      <c r="F851">
        <v>61</v>
      </c>
      <c r="G851" t="str">
        <f t="shared" si="21"/>
        <v>61-80</v>
      </c>
      <c r="H851" t="s">
        <v>23</v>
      </c>
      <c r="I851" t="s">
        <v>58</v>
      </c>
      <c r="J851" t="s">
        <v>59</v>
      </c>
      <c r="K851" t="s">
        <v>29</v>
      </c>
      <c r="L851">
        <v>1</v>
      </c>
      <c r="M851">
        <v>1</v>
      </c>
      <c r="N851">
        <v>5.0999999999999996</v>
      </c>
      <c r="O851">
        <v>7.4</v>
      </c>
      <c r="P851">
        <v>3</v>
      </c>
      <c r="Q851">
        <v>3</v>
      </c>
      <c r="R851">
        <v>954815</v>
      </c>
      <c r="S851">
        <f>Table1[[#This Row],[Revenue]]-Table1[[#This Row],[Operating_Costs]]</f>
        <v>109421</v>
      </c>
      <c r="T851">
        <v>845394</v>
      </c>
      <c r="U851">
        <v>39</v>
      </c>
      <c r="V851">
        <v>58</v>
      </c>
      <c r="W851">
        <v>5.6</v>
      </c>
    </row>
    <row r="852" spans="1:23" x14ac:dyDescent="0.25">
      <c r="A852">
        <v>1</v>
      </c>
      <c r="B852" t="s">
        <v>32</v>
      </c>
      <c r="C852" s="1">
        <v>44276</v>
      </c>
      <c r="D852" t="s">
        <v>71</v>
      </c>
      <c r="E852">
        <v>0</v>
      </c>
      <c r="F852">
        <v>34</v>
      </c>
      <c r="G852" t="str">
        <f t="shared" si="21"/>
        <v>21-40</v>
      </c>
      <c r="H852" t="s">
        <v>23</v>
      </c>
      <c r="I852" t="s">
        <v>67</v>
      </c>
      <c r="J852" t="s">
        <v>68</v>
      </c>
      <c r="K852" t="s">
        <v>38</v>
      </c>
      <c r="L852">
        <v>1</v>
      </c>
      <c r="M852">
        <v>1</v>
      </c>
      <c r="N852">
        <v>1.4</v>
      </c>
      <c r="O852">
        <v>8.4</v>
      </c>
      <c r="P852">
        <v>3</v>
      </c>
      <c r="Q852">
        <v>3</v>
      </c>
      <c r="R852">
        <v>943035</v>
      </c>
      <c r="S852">
        <f>Table1[[#This Row],[Revenue]]-Table1[[#This Row],[Operating_Costs]]</f>
        <v>325557</v>
      </c>
      <c r="T852">
        <v>617478</v>
      </c>
      <c r="U852">
        <v>37</v>
      </c>
      <c r="V852">
        <v>60</v>
      </c>
      <c r="W852">
        <v>9.4</v>
      </c>
    </row>
    <row r="853" spans="1:23" x14ac:dyDescent="0.25">
      <c r="A853">
        <v>1</v>
      </c>
      <c r="B853" t="s">
        <v>32</v>
      </c>
      <c r="C853" s="1">
        <v>44735</v>
      </c>
      <c r="D853" t="s">
        <v>71</v>
      </c>
      <c r="E853">
        <v>0</v>
      </c>
      <c r="F853">
        <v>42</v>
      </c>
      <c r="G853" t="str">
        <f t="shared" si="21"/>
        <v>41-60</v>
      </c>
      <c r="H853" t="s">
        <v>35</v>
      </c>
      <c r="I853" t="s">
        <v>36</v>
      </c>
      <c r="J853" t="s">
        <v>37</v>
      </c>
      <c r="K853" t="s">
        <v>38</v>
      </c>
      <c r="L853">
        <v>1</v>
      </c>
      <c r="M853">
        <v>1</v>
      </c>
      <c r="N853">
        <v>3</v>
      </c>
      <c r="O853">
        <v>7.3</v>
      </c>
      <c r="P853">
        <v>3</v>
      </c>
      <c r="Q853">
        <v>7</v>
      </c>
      <c r="R853">
        <v>909005</v>
      </c>
      <c r="S853">
        <f>Table1[[#This Row],[Revenue]]-Table1[[#This Row],[Operating_Costs]]</f>
        <v>120477</v>
      </c>
      <c r="T853">
        <v>788528</v>
      </c>
      <c r="U853">
        <v>40</v>
      </c>
      <c r="V853">
        <v>58</v>
      </c>
      <c r="W853">
        <v>6.3</v>
      </c>
    </row>
    <row r="854" spans="1:23" x14ac:dyDescent="0.25">
      <c r="A854">
        <v>1</v>
      </c>
      <c r="B854" t="s">
        <v>32</v>
      </c>
      <c r="C854" s="1">
        <v>45518</v>
      </c>
      <c r="D854" t="s">
        <v>71</v>
      </c>
      <c r="E854">
        <v>0</v>
      </c>
      <c r="F854">
        <v>54</v>
      </c>
      <c r="G854" t="str">
        <f t="shared" si="21"/>
        <v>41-60</v>
      </c>
      <c r="H854" t="s">
        <v>35</v>
      </c>
      <c r="I854" t="s">
        <v>31</v>
      </c>
      <c r="J854" t="s">
        <v>28</v>
      </c>
      <c r="K854" t="s">
        <v>29</v>
      </c>
      <c r="L854">
        <v>1</v>
      </c>
      <c r="M854">
        <v>1</v>
      </c>
      <c r="N854">
        <v>2</v>
      </c>
      <c r="O854">
        <v>7.4</v>
      </c>
      <c r="P854">
        <v>7</v>
      </c>
      <c r="Q854">
        <v>4</v>
      </c>
      <c r="R854">
        <v>902184</v>
      </c>
      <c r="S854">
        <f>Table1[[#This Row],[Revenue]]-Table1[[#This Row],[Operating_Costs]]</f>
        <v>263617</v>
      </c>
      <c r="T854">
        <v>638567</v>
      </c>
      <c r="U854">
        <v>30</v>
      </c>
      <c r="V854">
        <v>54</v>
      </c>
      <c r="W854">
        <v>8.6999999999999993</v>
      </c>
    </row>
    <row r="855" spans="1:23" x14ac:dyDescent="0.25">
      <c r="A855">
        <v>1</v>
      </c>
      <c r="B855" t="s">
        <v>32</v>
      </c>
      <c r="C855" s="1">
        <v>44280</v>
      </c>
      <c r="D855" t="s">
        <v>71</v>
      </c>
      <c r="E855">
        <v>0</v>
      </c>
      <c r="F855">
        <v>57</v>
      </c>
      <c r="G855" t="str">
        <f t="shared" si="21"/>
        <v>41-60</v>
      </c>
      <c r="H855" t="s">
        <v>23</v>
      </c>
      <c r="I855" t="s">
        <v>58</v>
      </c>
      <c r="J855" t="s">
        <v>59</v>
      </c>
      <c r="K855" t="s">
        <v>42</v>
      </c>
      <c r="L855">
        <v>1</v>
      </c>
      <c r="M855">
        <v>1</v>
      </c>
      <c r="N855">
        <v>2.7</v>
      </c>
      <c r="O855">
        <v>8.3000000000000007</v>
      </c>
      <c r="P855">
        <v>4</v>
      </c>
      <c r="Q855">
        <v>3</v>
      </c>
      <c r="R855">
        <v>987687</v>
      </c>
      <c r="S855">
        <f>Table1[[#This Row],[Revenue]]-Table1[[#This Row],[Operating_Costs]]</f>
        <v>328396</v>
      </c>
      <c r="T855">
        <v>659291</v>
      </c>
      <c r="U855">
        <v>30</v>
      </c>
      <c r="V855">
        <v>55</v>
      </c>
      <c r="W855">
        <v>8.1999999999999993</v>
      </c>
    </row>
    <row r="856" spans="1:23" x14ac:dyDescent="0.25">
      <c r="A856">
        <v>2</v>
      </c>
      <c r="B856" t="s">
        <v>39</v>
      </c>
      <c r="C856" s="1">
        <v>44234</v>
      </c>
      <c r="D856" t="s">
        <v>71</v>
      </c>
      <c r="E856">
        <v>0</v>
      </c>
      <c r="F856">
        <v>44</v>
      </c>
      <c r="G856" t="str">
        <f t="shared" si="21"/>
        <v>41-60</v>
      </c>
      <c r="H856" t="s">
        <v>23</v>
      </c>
      <c r="I856" t="s">
        <v>24</v>
      </c>
      <c r="J856" t="s">
        <v>25</v>
      </c>
      <c r="K856" t="s">
        <v>42</v>
      </c>
      <c r="L856">
        <v>1</v>
      </c>
      <c r="M856">
        <v>1</v>
      </c>
      <c r="N856">
        <v>4.5999999999999996</v>
      </c>
      <c r="O856">
        <v>9.4</v>
      </c>
      <c r="P856">
        <v>3</v>
      </c>
      <c r="Q856">
        <v>5</v>
      </c>
      <c r="R856">
        <v>798068</v>
      </c>
      <c r="S856">
        <f>Table1[[#This Row],[Revenue]]-Table1[[#This Row],[Operating_Costs]]</f>
        <v>191716</v>
      </c>
      <c r="T856">
        <v>606352</v>
      </c>
      <c r="U856">
        <v>30</v>
      </c>
      <c r="V856">
        <v>63</v>
      </c>
      <c r="W856">
        <v>13.1</v>
      </c>
    </row>
    <row r="857" spans="1:23" x14ac:dyDescent="0.25">
      <c r="A857">
        <v>1</v>
      </c>
      <c r="B857" t="s">
        <v>32</v>
      </c>
      <c r="C857" s="1">
        <v>44689</v>
      </c>
      <c r="D857" t="s">
        <v>71</v>
      </c>
      <c r="E857">
        <v>0</v>
      </c>
      <c r="F857">
        <v>71</v>
      </c>
      <c r="G857" t="str">
        <f t="shared" si="21"/>
        <v>61-80</v>
      </c>
      <c r="H857" t="s">
        <v>23</v>
      </c>
      <c r="I857" t="s">
        <v>50</v>
      </c>
      <c r="J857" t="s">
        <v>51</v>
      </c>
      <c r="K857" t="s">
        <v>38</v>
      </c>
      <c r="L857">
        <v>1</v>
      </c>
      <c r="M857">
        <v>1</v>
      </c>
      <c r="N857">
        <v>3.8</v>
      </c>
      <c r="O857">
        <v>7.5</v>
      </c>
      <c r="P857">
        <v>5</v>
      </c>
      <c r="Q857">
        <v>3</v>
      </c>
      <c r="R857">
        <v>947747</v>
      </c>
      <c r="S857">
        <f>Table1[[#This Row],[Revenue]]-Table1[[#This Row],[Operating_Costs]]</f>
        <v>251789</v>
      </c>
      <c r="T857">
        <v>695958</v>
      </c>
      <c r="U857">
        <v>33</v>
      </c>
      <c r="V857">
        <v>66</v>
      </c>
      <c r="W857">
        <v>12.6</v>
      </c>
    </row>
    <row r="858" spans="1:23" x14ac:dyDescent="0.25">
      <c r="A858">
        <v>1</v>
      </c>
      <c r="B858" t="s">
        <v>32</v>
      </c>
      <c r="C858" s="1">
        <v>44937</v>
      </c>
      <c r="D858" t="s">
        <v>71</v>
      </c>
      <c r="E858">
        <v>0</v>
      </c>
      <c r="F858">
        <v>26</v>
      </c>
      <c r="G858" t="str">
        <f t="shared" si="21"/>
        <v>21-40</v>
      </c>
      <c r="H858" t="s">
        <v>35</v>
      </c>
      <c r="I858" t="s">
        <v>58</v>
      </c>
      <c r="J858" t="s">
        <v>59</v>
      </c>
      <c r="K858" t="s">
        <v>38</v>
      </c>
      <c r="L858">
        <v>1</v>
      </c>
      <c r="M858">
        <v>1</v>
      </c>
      <c r="N858">
        <v>6.1</v>
      </c>
      <c r="O858">
        <v>7.5</v>
      </c>
      <c r="P858">
        <v>6</v>
      </c>
      <c r="Q858">
        <v>5</v>
      </c>
      <c r="R858">
        <v>904108</v>
      </c>
      <c r="S858">
        <f>Table1[[#This Row],[Revenue]]-Table1[[#This Row],[Operating_Costs]]</f>
        <v>82610</v>
      </c>
      <c r="T858">
        <v>821498</v>
      </c>
      <c r="U858">
        <v>37</v>
      </c>
      <c r="V858">
        <v>54</v>
      </c>
      <c r="W858">
        <v>6.8</v>
      </c>
    </row>
    <row r="859" spans="1:23" x14ac:dyDescent="0.25">
      <c r="A859">
        <v>1</v>
      </c>
      <c r="B859" t="s">
        <v>32</v>
      </c>
      <c r="C859" s="1">
        <v>45014</v>
      </c>
      <c r="D859" t="s">
        <v>71</v>
      </c>
      <c r="E859">
        <v>0</v>
      </c>
      <c r="F859">
        <v>46</v>
      </c>
      <c r="G859" t="str">
        <f t="shared" si="21"/>
        <v>41-60</v>
      </c>
      <c r="H859" t="s">
        <v>35</v>
      </c>
      <c r="I859" t="s">
        <v>53</v>
      </c>
      <c r="J859" t="s">
        <v>54</v>
      </c>
      <c r="K859" t="s">
        <v>42</v>
      </c>
      <c r="L859">
        <v>1</v>
      </c>
      <c r="M859">
        <v>1</v>
      </c>
      <c r="N859">
        <v>2.1</v>
      </c>
      <c r="O859">
        <v>9.4</v>
      </c>
      <c r="P859">
        <v>5</v>
      </c>
      <c r="Q859">
        <v>7</v>
      </c>
      <c r="R859">
        <v>949357</v>
      </c>
      <c r="S859">
        <f>Table1[[#This Row],[Revenue]]-Table1[[#This Row],[Operating_Costs]]</f>
        <v>235141</v>
      </c>
      <c r="T859">
        <v>714216</v>
      </c>
      <c r="U859">
        <v>36</v>
      </c>
      <c r="V859">
        <v>63</v>
      </c>
      <c r="W859">
        <v>13</v>
      </c>
    </row>
    <row r="860" spans="1:23" x14ac:dyDescent="0.25">
      <c r="A860">
        <v>1</v>
      </c>
      <c r="B860" t="s">
        <v>32</v>
      </c>
      <c r="C860" s="1">
        <v>44616</v>
      </c>
      <c r="D860" t="s">
        <v>71</v>
      </c>
      <c r="E860">
        <v>0</v>
      </c>
      <c r="F860">
        <v>30</v>
      </c>
      <c r="G860" t="str">
        <f t="shared" si="21"/>
        <v>21-40</v>
      </c>
      <c r="H860" t="s">
        <v>23</v>
      </c>
      <c r="I860" t="s">
        <v>46</v>
      </c>
      <c r="J860" t="s">
        <v>47</v>
      </c>
      <c r="K860" t="s">
        <v>26</v>
      </c>
      <c r="L860">
        <v>1</v>
      </c>
      <c r="M860">
        <v>1</v>
      </c>
      <c r="N860">
        <v>6.8</v>
      </c>
      <c r="O860">
        <v>9.1999999999999993</v>
      </c>
      <c r="P860">
        <v>5</v>
      </c>
      <c r="Q860">
        <v>3</v>
      </c>
      <c r="R860">
        <v>924874</v>
      </c>
      <c r="S860">
        <f>Table1[[#This Row],[Revenue]]-Table1[[#This Row],[Operating_Costs]]</f>
        <v>97028</v>
      </c>
      <c r="T860">
        <v>827846</v>
      </c>
      <c r="U860">
        <v>39</v>
      </c>
      <c r="V860">
        <v>59</v>
      </c>
      <c r="W860">
        <v>36.9</v>
      </c>
    </row>
    <row r="861" spans="1:23" x14ac:dyDescent="0.25">
      <c r="A861">
        <v>1</v>
      </c>
      <c r="B861" t="s">
        <v>32</v>
      </c>
      <c r="C861" s="1">
        <v>44680</v>
      </c>
      <c r="D861" t="s">
        <v>71</v>
      </c>
      <c r="E861">
        <v>0</v>
      </c>
      <c r="F861">
        <v>86</v>
      </c>
      <c r="G861" t="str">
        <f t="shared" si="21"/>
        <v>81+</v>
      </c>
      <c r="H861" t="s">
        <v>35</v>
      </c>
      <c r="I861" t="s">
        <v>46</v>
      </c>
      <c r="J861" t="s">
        <v>47</v>
      </c>
      <c r="K861" t="s">
        <v>29</v>
      </c>
      <c r="L861">
        <v>1</v>
      </c>
      <c r="M861">
        <v>1</v>
      </c>
      <c r="N861">
        <v>6.7</v>
      </c>
      <c r="O861">
        <v>7.3</v>
      </c>
      <c r="P861">
        <v>7</v>
      </c>
      <c r="Q861">
        <v>3</v>
      </c>
      <c r="R861">
        <v>991654</v>
      </c>
      <c r="S861">
        <f>Table1[[#This Row],[Revenue]]-Table1[[#This Row],[Operating_Costs]]</f>
        <v>251585</v>
      </c>
      <c r="T861">
        <v>740069</v>
      </c>
      <c r="U861">
        <v>35</v>
      </c>
      <c r="V861">
        <v>58</v>
      </c>
      <c r="W861">
        <v>13.1</v>
      </c>
    </row>
    <row r="862" spans="1:23" x14ac:dyDescent="0.25">
      <c r="A862">
        <v>1</v>
      </c>
      <c r="B862" t="s">
        <v>32</v>
      </c>
      <c r="C862" s="1">
        <v>44347</v>
      </c>
      <c r="D862" t="s">
        <v>71</v>
      </c>
      <c r="E862">
        <v>0</v>
      </c>
      <c r="F862">
        <v>84</v>
      </c>
      <c r="G862" t="str">
        <f t="shared" si="21"/>
        <v>81+</v>
      </c>
      <c r="H862" t="s">
        <v>35</v>
      </c>
      <c r="I862" t="s">
        <v>55</v>
      </c>
      <c r="J862" t="s">
        <v>56</v>
      </c>
      <c r="K862" t="s">
        <v>29</v>
      </c>
      <c r="L862">
        <v>1</v>
      </c>
      <c r="M862">
        <v>1</v>
      </c>
      <c r="N862">
        <v>1.3</v>
      </c>
      <c r="O862">
        <v>9.6</v>
      </c>
      <c r="P862">
        <v>6</v>
      </c>
      <c r="Q862">
        <v>3</v>
      </c>
      <c r="R862">
        <v>988359</v>
      </c>
      <c r="S862">
        <f>Table1[[#This Row],[Revenue]]-Table1[[#This Row],[Operating_Costs]]</f>
        <v>100960</v>
      </c>
      <c r="T862">
        <v>887399</v>
      </c>
      <c r="U862">
        <v>39</v>
      </c>
      <c r="V862">
        <v>60</v>
      </c>
      <c r="W862">
        <v>5.0999999999999996</v>
      </c>
    </row>
    <row r="863" spans="1:23" x14ac:dyDescent="0.25">
      <c r="A863">
        <v>1</v>
      </c>
      <c r="B863" t="s">
        <v>32</v>
      </c>
      <c r="C863" s="1">
        <v>44546</v>
      </c>
      <c r="D863" t="s">
        <v>71</v>
      </c>
      <c r="E863">
        <v>0</v>
      </c>
      <c r="F863">
        <v>66</v>
      </c>
      <c r="G863" t="str">
        <f t="shared" si="21"/>
        <v>61-80</v>
      </c>
      <c r="H863" t="s">
        <v>35</v>
      </c>
      <c r="I863" t="s">
        <v>50</v>
      </c>
      <c r="J863" t="s">
        <v>51</v>
      </c>
      <c r="K863" t="s">
        <v>33</v>
      </c>
      <c r="L863">
        <v>1</v>
      </c>
      <c r="M863">
        <v>1</v>
      </c>
      <c r="N863">
        <v>3.8</v>
      </c>
      <c r="O863">
        <v>8.6</v>
      </c>
      <c r="P863">
        <v>4</v>
      </c>
      <c r="Q863">
        <v>3</v>
      </c>
      <c r="R863">
        <v>923664</v>
      </c>
      <c r="S863">
        <f>Table1[[#This Row],[Revenue]]-Table1[[#This Row],[Operating_Costs]]</f>
        <v>153386</v>
      </c>
      <c r="T863">
        <v>770278</v>
      </c>
      <c r="U863">
        <v>39</v>
      </c>
      <c r="V863">
        <v>65</v>
      </c>
      <c r="W863">
        <v>8.9</v>
      </c>
    </row>
    <row r="864" spans="1:23" x14ac:dyDescent="0.25">
      <c r="A864">
        <v>1</v>
      </c>
      <c r="B864" t="s">
        <v>32</v>
      </c>
      <c r="C864" s="1">
        <v>45332</v>
      </c>
      <c r="D864" t="s">
        <v>71</v>
      </c>
      <c r="E864">
        <v>0</v>
      </c>
      <c r="F864">
        <v>79</v>
      </c>
      <c r="G864" t="str">
        <f t="shared" si="21"/>
        <v>61-80</v>
      </c>
      <c r="H864" t="s">
        <v>35</v>
      </c>
      <c r="I864" t="s">
        <v>61</v>
      </c>
      <c r="J864" t="s">
        <v>62</v>
      </c>
      <c r="K864" t="s">
        <v>33</v>
      </c>
      <c r="L864">
        <v>1</v>
      </c>
      <c r="M864">
        <v>1</v>
      </c>
      <c r="N864">
        <v>3.3</v>
      </c>
      <c r="O864">
        <v>8.9</v>
      </c>
      <c r="P864">
        <v>6</v>
      </c>
      <c r="Q864">
        <v>6</v>
      </c>
      <c r="R864">
        <v>996765</v>
      </c>
      <c r="S864">
        <f>Table1[[#This Row],[Revenue]]-Table1[[#This Row],[Operating_Costs]]</f>
        <v>288305</v>
      </c>
      <c r="T864">
        <v>708460</v>
      </c>
      <c r="U864">
        <v>39</v>
      </c>
      <c r="V864">
        <v>66</v>
      </c>
      <c r="W864">
        <v>6.2</v>
      </c>
    </row>
    <row r="865" spans="1:23" x14ac:dyDescent="0.25">
      <c r="A865">
        <v>1</v>
      </c>
      <c r="B865" t="s">
        <v>32</v>
      </c>
      <c r="C865" s="1">
        <v>45245</v>
      </c>
      <c r="D865" t="s">
        <v>71</v>
      </c>
      <c r="E865">
        <v>0</v>
      </c>
      <c r="F865">
        <v>63</v>
      </c>
      <c r="G865" t="str">
        <f t="shared" si="21"/>
        <v>61-80</v>
      </c>
      <c r="H865" t="s">
        <v>35</v>
      </c>
      <c r="I865" t="s">
        <v>36</v>
      </c>
      <c r="J865" t="s">
        <v>37</v>
      </c>
      <c r="K865" t="s">
        <v>29</v>
      </c>
      <c r="L865">
        <v>1</v>
      </c>
      <c r="M865">
        <v>1</v>
      </c>
      <c r="N865">
        <v>4.2</v>
      </c>
      <c r="O865">
        <v>7.9</v>
      </c>
      <c r="P865">
        <v>5</v>
      </c>
      <c r="Q865">
        <v>5</v>
      </c>
      <c r="R865">
        <v>954748</v>
      </c>
      <c r="S865">
        <f>Table1[[#This Row],[Revenue]]-Table1[[#This Row],[Operating_Costs]]</f>
        <v>283978</v>
      </c>
      <c r="T865">
        <v>670770</v>
      </c>
      <c r="U865">
        <v>31</v>
      </c>
      <c r="V865">
        <v>58</v>
      </c>
      <c r="W865">
        <v>7.8</v>
      </c>
    </row>
    <row r="866" spans="1:23" x14ac:dyDescent="0.25">
      <c r="A866">
        <v>1</v>
      </c>
      <c r="B866" t="s">
        <v>32</v>
      </c>
      <c r="C866" s="1">
        <v>44502</v>
      </c>
      <c r="D866" t="s">
        <v>71</v>
      </c>
      <c r="E866">
        <v>0</v>
      </c>
      <c r="F866">
        <v>52</v>
      </c>
      <c r="G866" t="str">
        <f t="shared" si="21"/>
        <v>41-60</v>
      </c>
      <c r="H866" t="s">
        <v>35</v>
      </c>
      <c r="I866" t="s">
        <v>64</v>
      </c>
      <c r="J866" t="s">
        <v>65</v>
      </c>
      <c r="K866" t="s">
        <v>29</v>
      </c>
      <c r="L866">
        <v>1</v>
      </c>
      <c r="M866">
        <v>1</v>
      </c>
      <c r="N866">
        <v>1.6</v>
      </c>
      <c r="O866">
        <v>7.3</v>
      </c>
      <c r="P866">
        <v>7</v>
      </c>
      <c r="Q866">
        <v>7</v>
      </c>
      <c r="R866">
        <v>938097</v>
      </c>
      <c r="S866">
        <f>Table1[[#This Row],[Revenue]]-Table1[[#This Row],[Operating_Costs]]</f>
        <v>294572</v>
      </c>
      <c r="T866">
        <v>643525</v>
      </c>
      <c r="U866">
        <v>38</v>
      </c>
      <c r="V866">
        <v>65</v>
      </c>
      <c r="W866">
        <v>6</v>
      </c>
    </row>
    <row r="867" spans="1:23" x14ac:dyDescent="0.25">
      <c r="A867">
        <v>1</v>
      </c>
      <c r="B867" t="s">
        <v>32</v>
      </c>
      <c r="C867" s="1">
        <v>44923</v>
      </c>
      <c r="D867" t="s">
        <v>71</v>
      </c>
      <c r="E867">
        <v>0</v>
      </c>
      <c r="F867">
        <v>73</v>
      </c>
      <c r="G867" t="str">
        <f t="shared" si="21"/>
        <v>61-80</v>
      </c>
      <c r="H867" t="s">
        <v>23</v>
      </c>
      <c r="I867" t="s">
        <v>46</v>
      </c>
      <c r="J867" t="s">
        <v>47</v>
      </c>
      <c r="K867" t="s">
        <v>29</v>
      </c>
      <c r="L867">
        <v>1</v>
      </c>
      <c r="M867">
        <v>1</v>
      </c>
      <c r="N867">
        <v>1.2</v>
      </c>
      <c r="O867">
        <v>9.6</v>
      </c>
      <c r="P867">
        <v>3</v>
      </c>
      <c r="Q867">
        <v>5</v>
      </c>
      <c r="R867">
        <v>930886</v>
      </c>
      <c r="S867">
        <f>Table1[[#This Row],[Revenue]]-Table1[[#This Row],[Operating_Costs]]</f>
        <v>304453</v>
      </c>
      <c r="T867">
        <v>626433</v>
      </c>
      <c r="U867">
        <v>39</v>
      </c>
      <c r="V867">
        <v>59</v>
      </c>
      <c r="W867">
        <v>6.1</v>
      </c>
    </row>
    <row r="868" spans="1:23" x14ac:dyDescent="0.25">
      <c r="A868">
        <v>1</v>
      </c>
      <c r="B868" t="s">
        <v>32</v>
      </c>
      <c r="C868" s="1">
        <v>44838</v>
      </c>
      <c r="D868" t="s">
        <v>71</v>
      </c>
      <c r="E868">
        <v>0</v>
      </c>
      <c r="F868">
        <v>25</v>
      </c>
      <c r="G868" t="str">
        <f t="shared" si="21"/>
        <v>21-40</v>
      </c>
      <c r="H868" t="s">
        <v>23</v>
      </c>
      <c r="I868" t="s">
        <v>43</v>
      </c>
      <c r="J868" t="s">
        <v>25</v>
      </c>
      <c r="K868" t="s">
        <v>38</v>
      </c>
      <c r="L868">
        <v>1</v>
      </c>
      <c r="M868">
        <v>1</v>
      </c>
      <c r="N868">
        <v>6</v>
      </c>
      <c r="O868">
        <v>7.3</v>
      </c>
      <c r="P868">
        <v>5</v>
      </c>
      <c r="Q868">
        <v>6</v>
      </c>
      <c r="R868">
        <v>926673</v>
      </c>
      <c r="S868">
        <f>Table1[[#This Row],[Revenue]]-Table1[[#This Row],[Operating_Costs]]</f>
        <v>183424</v>
      </c>
      <c r="T868">
        <v>743249</v>
      </c>
      <c r="U868">
        <v>38</v>
      </c>
      <c r="V868">
        <v>62</v>
      </c>
      <c r="W868">
        <v>7.3</v>
      </c>
    </row>
    <row r="869" spans="1:23" x14ac:dyDescent="0.25">
      <c r="A869">
        <v>1</v>
      </c>
      <c r="B869" t="s">
        <v>32</v>
      </c>
      <c r="C869" s="1">
        <v>45086</v>
      </c>
      <c r="D869" t="s">
        <v>71</v>
      </c>
      <c r="E869">
        <v>0</v>
      </c>
      <c r="F869">
        <v>53</v>
      </c>
      <c r="G869" t="str">
        <f t="shared" si="21"/>
        <v>41-60</v>
      </c>
      <c r="H869" t="s">
        <v>35</v>
      </c>
      <c r="I869" t="s">
        <v>40</v>
      </c>
      <c r="J869" t="s">
        <v>41</v>
      </c>
      <c r="K869" t="s">
        <v>26</v>
      </c>
      <c r="L869">
        <v>1</v>
      </c>
      <c r="M869">
        <v>1</v>
      </c>
      <c r="N869">
        <v>2</v>
      </c>
      <c r="O869">
        <v>8.6</v>
      </c>
      <c r="P869">
        <v>6</v>
      </c>
      <c r="Q869">
        <v>7</v>
      </c>
      <c r="R869">
        <v>954537</v>
      </c>
      <c r="S869">
        <f>Table1[[#This Row],[Revenue]]-Table1[[#This Row],[Operating_Costs]]</f>
        <v>240011</v>
      </c>
      <c r="T869">
        <v>714526</v>
      </c>
      <c r="U869">
        <v>34</v>
      </c>
      <c r="V869">
        <v>55</v>
      </c>
      <c r="W869">
        <v>8.6999999999999993</v>
      </c>
    </row>
    <row r="870" spans="1:23" x14ac:dyDescent="0.25">
      <c r="A870">
        <v>1</v>
      </c>
      <c r="B870" t="s">
        <v>32</v>
      </c>
      <c r="C870" s="1">
        <v>45289</v>
      </c>
      <c r="D870" t="s">
        <v>71</v>
      </c>
      <c r="E870">
        <v>0</v>
      </c>
      <c r="F870">
        <v>26</v>
      </c>
      <c r="G870" t="str">
        <f t="shared" si="21"/>
        <v>21-40</v>
      </c>
      <c r="H870" t="s">
        <v>35</v>
      </c>
      <c r="I870" t="s">
        <v>40</v>
      </c>
      <c r="J870" t="s">
        <v>41</v>
      </c>
      <c r="K870" t="s">
        <v>29</v>
      </c>
      <c r="L870">
        <v>1</v>
      </c>
      <c r="M870">
        <v>1</v>
      </c>
      <c r="N870">
        <v>3.2</v>
      </c>
      <c r="O870">
        <v>9.9</v>
      </c>
      <c r="P870">
        <v>3</v>
      </c>
      <c r="Q870">
        <v>3</v>
      </c>
      <c r="R870">
        <v>937695</v>
      </c>
      <c r="S870">
        <f>Table1[[#This Row],[Revenue]]-Table1[[#This Row],[Operating_Costs]]</f>
        <v>316601</v>
      </c>
      <c r="T870">
        <v>621094</v>
      </c>
      <c r="U870">
        <v>32</v>
      </c>
      <c r="V870">
        <v>56</v>
      </c>
      <c r="W870">
        <v>6.2</v>
      </c>
    </row>
    <row r="871" spans="1:23" x14ac:dyDescent="0.25">
      <c r="A871">
        <v>1</v>
      </c>
      <c r="B871" t="s">
        <v>32</v>
      </c>
      <c r="C871" s="1">
        <v>45141</v>
      </c>
      <c r="D871" t="s">
        <v>71</v>
      </c>
      <c r="E871">
        <v>0</v>
      </c>
      <c r="F871">
        <v>38</v>
      </c>
      <c r="G871" t="str">
        <f t="shared" si="21"/>
        <v>21-40</v>
      </c>
      <c r="H871" t="s">
        <v>23</v>
      </c>
      <c r="I871" t="s">
        <v>31</v>
      </c>
      <c r="J871" t="s">
        <v>28</v>
      </c>
      <c r="K871" t="s">
        <v>33</v>
      </c>
      <c r="L871">
        <v>1</v>
      </c>
      <c r="M871">
        <v>1</v>
      </c>
      <c r="N871">
        <v>6.9</v>
      </c>
      <c r="O871">
        <v>8.3000000000000007</v>
      </c>
      <c r="P871">
        <v>4</v>
      </c>
      <c r="Q871">
        <v>5</v>
      </c>
      <c r="R871">
        <v>982261</v>
      </c>
      <c r="S871">
        <f>Table1[[#This Row],[Revenue]]-Table1[[#This Row],[Operating_Costs]]</f>
        <v>277622</v>
      </c>
      <c r="T871">
        <v>704639</v>
      </c>
      <c r="U871">
        <v>33</v>
      </c>
      <c r="V871">
        <v>58</v>
      </c>
      <c r="W871">
        <v>14.2</v>
      </c>
    </row>
    <row r="872" spans="1:23" x14ac:dyDescent="0.25">
      <c r="A872">
        <v>1</v>
      </c>
      <c r="B872" t="s">
        <v>32</v>
      </c>
      <c r="C872" s="1">
        <v>45442</v>
      </c>
      <c r="D872" t="s">
        <v>71</v>
      </c>
      <c r="E872">
        <v>0</v>
      </c>
      <c r="F872">
        <v>29</v>
      </c>
      <c r="G872" t="str">
        <f t="shared" si="21"/>
        <v>21-40</v>
      </c>
      <c r="H872" t="s">
        <v>23</v>
      </c>
      <c r="I872" t="s">
        <v>24</v>
      </c>
      <c r="J872" t="s">
        <v>25</v>
      </c>
      <c r="K872" t="s">
        <v>33</v>
      </c>
      <c r="L872">
        <v>1</v>
      </c>
      <c r="M872">
        <v>1</v>
      </c>
      <c r="N872">
        <v>1.3</v>
      </c>
      <c r="O872">
        <v>8</v>
      </c>
      <c r="P872">
        <v>3</v>
      </c>
      <c r="Q872">
        <v>7</v>
      </c>
      <c r="R872">
        <v>951556</v>
      </c>
      <c r="S872">
        <f>Table1[[#This Row],[Revenue]]-Table1[[#This Row],[Operating_Costs]]</f>
        <v>187062</v>
      </c>
      <c r="T872">
        <v>764494</v>
      </c>
      <c r="U872">
        <v>37</v>
      </c>
      <c r="V872">
        <v>64</v>
      </c>
      <c r="W872">
        <v>5.3</v>
      </c>
    </row>
    <row r="873" spans="1:23" x14ac:dyDescent="0.25">
      <c r="A873">
        <v>1</v>
      </c>
      <c r="B873" t="s">
        <v>32</v>
      </c>
      <c r="C873" s="1">
        <v>45562</v>
      </c>
      <c r="D873" t="s">
        <v>71</v>
      </c>
      <c r="E873">
        <v>0</v>
      </c>
      <c r="F873">
        <v>85</v>
      </c>
      <c r="G873" t="str">
        <f t="shared" si="21"/>
        <v>81+</v>
      </c>
      <c r="H873" t="s">
        <v>35</v>
      </c>
      <c r="I873" t="s">
        <v>31</v>
      </c>
      <c r="J873" t="s">
        <v>28</v>
      </c>
      <c r="K873" t="s">
        <v>29</v>
      </c>
      <c r="L873">
        <v>1</v>
      </c>
      <c r="M873">
        <v>1</v>
      </c>
      <c r="N873">
        <v>4.5</v>
      </c>
      <c r="O873">
        <v>7.7</v>
      </c>
      <c r="P873">
        <v>4</v>
      </c>
      <c r="Q873">
        <v>4</v>
      </c>
      <c r="R873">
        <v>973769</v>
      </c>
      <c r="S873">
        <f>Table1[[#This Row],[Revenue]]-Table1[[#This Row],[Operating_Costs]]</f>
        <v>250594</v>
      </c>
      <c r="T873">
        <v>723175</v>
      </c>
      <c r="U873">
        <v>35</v>
      </c>
      <c r="V873">
        <v>66</v>
      </c>
      <c r="W873">
        <v>36.1</v>
      </c>
    </row>
    <row r="874" spans="1:23" x14ac:dyDescent="0.25">
      <c r="A874">
        <v>1</v>
      </c>
      <c r="B874" t="s">
        <v>32</v>
      </c>
      <c r="C874" s="1">
        <v>45029</v>
      </c>
      <c r="D874" t="s">
        <v>71</v>
      </c>
      <c r="E874">
        <v>0</v>
      </c>
      <c r="F874">
        <v>31</v>
      </c>
      <c r="G874" t="str">
        <f t="shared" si="21"/>
        <v>21-40</v>
      </c>
      <c r="H874" t="s">
        <v>23</v>
      </c>
      <c r="I874" t="s">
        <v>40</v>
      </c>
      <c r="J874" t="s">
        <v>41</v>
      </c>
      <c r="K874" t="s">
        <v>42</v>
      </c>
      <c r="L874">
        <v>1</v>
      </c>
      <c r="M874">
        <v>1</v>
      </c>
      <c r="N874">
        <v>3.1</v>
      </c>
      <c r="O874">
        <v>9.1999999999999993</v>
      </c>
      <c r="P874">
        <v>5</v>
      </c>
      <c r="Q874">
        <v>4</v>
      </c>
      <c r="R874">
        <v>926849</v>
      </c>
      <c r="S874">
        <f>Table1[[#This Row],[Revenue]]-Table1[[#This Row],[Operating_Costs]]</f>
        <v>153380</v>
      </c>
      <c r="T874">
        <v>773469</v>
      </c>
      <c r="U874">
        <v>39</v>
      </c>
      <c r="V874">
        <v>62</v>
      </c>
      <c r="W874">
        <v>36</v>
      </c>
    </row>
    <row r="875" spans="1:23" x14ac:dyDescent="0.25">
      <c r="A875">
        <v>1</v>
      </c>
      <c r="B875" t="s">
        <v>32</v>
      </c>
      <c r="C875" s="1">
        <v>45162</v>
      </c>
      <c r="D875" t="s">
        <v>71</v>
      </c>
      <c r="E875">
        <v>0</v>
      </c>
      <c r="F875">
        <v>22</v>
      </c>
      <c r="G875" t="str">
        <f t="shared" si="21"/>
        <v>21-40</v>
      </c>
      <c r="H875" t="s">
        <v>35</v>
      </c>
      <c r="I875" t="s">
        <v>61</v>
      </c>
      <c r="J875" t="s">
        <v>62</v>
      </c>
      <c r="K875" t="s">
        <v>38</v>
      </c>
      <c r="L875">
        <v>1</v>
      </c>
      <c r="M875">
        <v>1</v>
      </c>
      <c r="N875">
        <v>2.8</v>
      </c>
      <c r="O875">
        <v>7.2</v>
      </c>
      <c r="P875">
        <v>3</v>
      </c>
      <c r="Q875">
        <v>7</v>
      </c>
      <c r="R875">
        <v>907234</v>
      </c>
      <c r="S875">
        <f>Table1[[#This Row],[Revenue]]-Table1[[#This Row],[Operating_Costs]]</f>
        <v>64047</v>
      </c>
      <c r="T875">
        <v>843187</v>
      </c>
      <c r="U875">
        <v>31</v>
      </c>
      <c r="V875">
        <v>58</v>
      </c>
      <c r="W875">
        <v>14.3</v>
      </c>
    </row>
    <row r="876" spans="1:23" x14ac:dyDescent="0.25">
      <c r="A876">
        <v>1</v>
      </c>
      <c r="B876" t="s">
        <v>32</v>
      </c>
      <c r="C876" s="1">
        <v>44950</v>
      </c>
      <c r="D876" t="s">
        <v>71</v>
      </c>
      <c r="E876">
        <v>0</v>
      </c>
      <c r="F876">
        <v>32</v>
      </c>
      <c r="G876" t="str">
        <f t="shared" si="21"/>
        <v>21-40</v>
      </c>
      <c r="H876" t="s">
        <v>23</v>
      </c>
      <c r="I876" t="s">
        <v>67</v>
      </c>
      <c r="J876" t="s">
        <v>68</v>
      </c>
      <c r="K876" t="s">
        <v>33</v>
      </c>
      <c r="L876">
        <v>1</v>
      </c>
      <c r="M876">
        <v>1</v>
      </c>
      <c r="N876">
        <v>2.2999999999999998</v>
      </c>
      <c r="O876">
        <v>8.4</v>
      </c>
      <c r="P876">
        <v>7</v>
      </c>
      <c r="Q876">
        <v>4</v>
      </c>
      <c r="R876">
        <v>936120</v>
      </c>
      <c r="S876">
        <f>Table1[[#This Row],[Revenue]]-Table1[[#This Row],[Operating_Costs]]</f>
        <v>87289</v>
      </c>
      <c r="T876">
        <v>848831</v>
      </c>
      <c r="U876">
        <v>37</v>
      </c>
      <c r="V876">
        <v>65</v>
      </c>
      <c r="W876">
        <v>14.1</v>
      </c>
    </row>
    <row r="877" spans="1:23" x14ac:dyDescent="0.25">
      <c r="A877">
        <v>1</v>
      </c>
      <c r="B877" t="s">
        <v>32</v>
      </c>
      <c r="C877" s="1">
        <v>45184</v>
      </c>
      <c r="D877" t="s">
        <v>71</v>
      </c>
      <c r="E877">
        <v>0</v>
      </c>
      <c r="F877">
        <v>53</v>
      </c>
      <c r="G877" t="str">
        <f t="shared" si="21"/>
        <v>41-60</v>
      </c>
      <c r="H877" t="s">
        <v>23</v>
      </c>
      <c r="I877" t="s">
        <v>31</v>
      </c>
      <c r="J877" t="s">
        <v>28</v>
      </c>
      <c r="K877" t="s">
        <v>29</v>
      </c>
      <c r="L877">
        <v>1</v>
      </c>
      <c r="M877">
        <v>1</v>
      </c>
      <c r="N877">
        <v>5.5</v>
      </c>
      <c r="O877">
        <v>7.6</v>
      </c>
      <c r="P877">
        <v>5</v>
      </c>
      <c r="Q877">
        <v>5</v>
      </c>
      <c r="R877">
        <v>992236</v>
      </c>
      <c r="S877">
        <f>Table1[[#This Row],[Revenue]]-Table1[[#This Row],[Operating_Costs]]</f>
        <v>227707</v>
      </c>
      <c r="T877">
        <v>764529</v>
      </c>
      <c r="U877">
        <v>38</v>
      </c>
      <c r="V877">
        <v>58</v>
      </c>
      <c r="W877">
        <v>5.5</v>
      </c>
    </row>
    <row r="878" spans="1:23" x14ac:dyDescent="0.25">
      <c r="A878">
        <v>1</v>
      </c>
      <c r="B878" t="s">
        <v>32</v>
      </c>
      <c r="C878" s="1">
        <v>44664</v>
      </c>
      <c r="D878" t="s">
        <v>71</v>
      </c>
      <c r="E878">
        <v>0</v>
      </c>
      <c r="F878">
        <v>32</v>
      </c>
      <c r="G878" t="str">
        <f t="shared" si="21"/>
        <v>21-40</v>
      </c>
      <c r="H878" t="s">
        <v>35</v>
      </c>
      <c r="I878" t="s">
        <v>36</v>
      </c>
      <c r="J878" t="s">
        <v>37</v>
      </c>
      <c r="K878" t="s">
        <v>33</v>
      </c>
      <c r="L878">
        <v>1</v>
      </c>
      <c r="M878">
        <v>1</v>
      </c>
      <c r="N878">
        <v>1.1000000000000001</v>
      </c>
      <c r="O878">
        <v>9.6999999999999993</v>
      </c>
      <c r="P878">
        <v>3</v>
      </c>
      <c r="Q878">
        <v>5</v>
      </c>
      <c r="R878">
        <v>970089</v>
      </c>
      <c r="S878">
        <f>Table1[[#This Row],[Revenue]]-Table1[[#This Row],[Operating_Costs]]</f>
        <v>162162</v>
      </c>
      <c r="T878">
        <v>807927</v>
      </c>
      <c r="U878">
        <v>33</v>
      </c>
      <c r="V878">
        <v>63</v>
      </c>
      <c r="W878">
        <v>13.6</v>
      </c>
    </row>
    <row r="879" spans="1:23" x14ac:dyDescent="0.25">
      <c r="A879">
        <v>1</v>
      </c>
      <c r="B879" t="s">
        <v>32</v>
      </c>
      <c r="C879" s="1">
        <v>44488</v>
      </c>
      <c r="D879" t="s">
        <v>71</v>
      </c>
      <c r="E879">
        <v>0</v>
      </c>
      <c r="F879">
        <v>62</v>
      </c>
      <c r="G879" t="str">
        <f t="shared" si="21"/>
        <v>61-80</v>
      </c>
      <c r="H879" t="s">
        <v>35</v>
      </c>
      <c r="I879" t="s">
        <v>61</v>
      </c>
      <c r="J879" t="s">
        <v>62</v>
      </c>
      <c r="K879" t="s">
        <v>33</v>
      </c>
      <c r="L879">
        <v>1</v>
      </c>
      <c r="M879">
        <v>1</v>
      </c>
      <c r="N879">
        <v>2</v>
      </c>
      <c r="O879">
        <v>8.6</v>
      </c>
      <c r="P879">
        <v>7</v>
      </c>
      <c r="Q879">
        <v>7</v>
      </c>
      <c r="R879">
        <v>928434</v>
      </c>
      <c r="S879">
        <f>Table1[[#This Row],[Revenue]]-Table1[[#This Row],[Operating_Costs]]</f>
        <v>260962</v>
      </c>
      <c r="T879">
        <v>667472</v>
      </c>
      <c r="U879">
        <v>38</v>
      </c>
      <c r="V879">
        <v>55</v>
      </c>
      <c r="W879">
        <v>5</v>
      </c>
    </row>
    <row r="880" spans="1:23" x14ac:dyDescent="0.25">
      <c r="A880">
        <v>1</v>
      </c>
      <c r="B880" t="s">
        <v>32</v>
      </c>
      <c r="C880" s="1">
        <v>44662</v>
      </c>
      <c r="D880" t="s">
        <v>71</v>
      </c>
      <c r="E880">
        <v>0</v>
      </c>
      <c r="F880">
        <v>48</v>
      </c>
      <c r="G880" t="str">
        <f t="shared" si="21"/>
        <v>41-60</v>
      </c>
      <c r="H880" t="s">
        <v>35</v>
      </c>
      <c r="I880" t="s">
        <v>58</v>
      </c>
      <c r="J880" t="s">
        <v>59</v>
      </c>
      <c r="K880" t="s">
        <v>26</v>
      </c>
      <c r="L880">
        <v>1</v>
      </c>
      <c r="M880">
        <v>1</v>
      </c>
      <c r="N880">
        <v>1.9</v>
      </c>
      <c r="O880">
        <v>8.4</v>
      </c>
      <c r="P880">
        <v>6</v>
      </c>
      <c r="Q880">
        <v>4</v>
      </c>
      <c r="R880">
        <v>952639</v>
      </c>
      <c r="S880">
        <f>Table1[[#This Row],[Revenue]]-Table1[[#This Row],[Operating_Costs]]</f>
        <v>116103</v>
      </c>
      <c r="T880">
        <v>836536</v>
      </c>
      <c r="U880">
        <v>32</v>
      </c>
      <c r="V880">
        <v>63</v>
      </c>
      <c r="W880">
        <v>7.8</v>
      </c>
    </row>
    <row r="881" spans="1:23" x14ac:dyDescent="0.25">
      <c r="A881">
        <v>1</v>
      </c>
      <c r="B881" t="s">
        <v>32</v>
      </c>
      <c r="C881" s="1">
        <v>45114</v>
      </c>
      <c r="D881" t="s">
        <v>71</v>
      </c>
      <c r="E881">
        <v>0</v>
      </c>
      <c r="F881">
        <v>77</v>
      </c>
      <c r="G881" t="str">
        <f t="shared" si="21"/>
        <v>61-80</v>
      </c>
      <c r="H881" t="s">
        <v>35</v>
      </c>
      <c r="I881" t="s">
        <v>58</v>
      </c>
      <c r="J881" t="s">
        <v>59</v>
      </c>
      <c r="K881" t="s">
        <v>29</v>
      </c>
      <c r="L881">
        <v>1</v>
      </c>
      <c r="M881">
        <v>1</v>
      </c>
      <c r="N881">
        <v>4.4000000000000004</v>
      </c>
      <c r="O881">
        <v>9</v>
      </c>
      <c r="P881">
        <v>7</v>
      </c>
      <c r="Q881">
        <v>3</v>
      </c>
      <c r="R881">
        <v>907181</v>
      </c>
      <c r="S881">
        <f>Table1[[#This Row],[Revenue]]-Table1[[#This Row],[Operating_Costs]]</f>
        <v>31236</v>
      </c>
      <c r="T881">
        <v>875945</v>
      </c>
      <c r="U881">
        <v>31</v>
      </c>
      <c r="V881">
        <v>65</v>
      </c>
      <c r="W881">
        <v>12.1</v>
      </c>
    </row>
    <row r="882" spans="1:23" x14ac:dyDescent="0.25">
      <c r="A882">
        <v>1</v>
      </c>
      <c r="B882" t="s">
        <v>32</v>
      </c>
      <c r="C882" s="1">
        <v>44576</v>
      </c>
      <c r="D882" t="s">
        <v>71</v>
      </c>
      <c r="E882">
        <v>0</v>
      </c>
      <c r="F882">
        <v>84</v>
      </c>
      <c r="G882" t="str">
        <f t="shared" si="21"/>
        <v>81+</v>
      </c>
      <c r="H882" t="s">
        <v>35</v>
      </c>
      <c r="I882" t="s">
        <v>60</v>
      </c>
      <c r="J882" t="s">
        <v>59</v>
      </c>
      <c r="K882" t="s">
        <v>33</v>
      </c>
      <c r="L882">
        <v>1</v>
      </c>
      <c r="M882">
        <v>1</v>
      </c>
      <c r="N882">
        <v>3.3</v>
      </c>
      <c r="O882">
        <v>8.4</v>
      </c>
      <c r="P882">
        <v>4</v>
      </c>
      <c r="Q882">
        <v>3</v>
      </c>
      <c r="R882">
        <v>953623</v>
      </c>
      <c r="S882">
        <f>Table1[[#This Row],[Revenue]]-Table1[[#This Row],[Operating_Costs]]</f>
        <v>94938</v>
      </c>
      <c r="T882">
        <v>858685</v>
      </c>
      <c r="U882">
        <v>31</v>
      </c>
      <c r="V882">
        <v>55</v>
      </c>
      <c r="W882">
        <v>13.9</v>
      </c>
    </row>
    <row r="883" spans="1:23" x14ac:dyDescent="0.25">
      <c r="A883">
        <v>1</v>
      </c>
      <c r="B883" t="s">
        <v>32</v>
      </c>
      <c r="C883" s="1">
        <v>44347</v>
      </c>
      <c r="D883" t="s">
        <v>71</v>
      </c>
      <c r="E883">
        <v>0</v>
      </c>
      <c r="F883">
        <v>36</v>
      </c>
      <c r="G883" t="str">
        <f t="shared" si="21"/>
        <v>21-40</v>
      </c>
      <c r="H883" t="s">
        <v>35</v>
      </c>
      <c r="I883" t="s">
        <v>40</v>
      </c>
      <c r="J883" t="s">
        <v>41</v>
      </c>
      <c r="K883" t="s">
        <v>29</v>
      </c>
      <c r="L883">
        <v>1</v>
      </c>
      <c r="M883">
        <v>1</v>
      </c>
      <c r="N883">
        <v>1.6</v>
      </c>
      <c r="O883">
        <v>7.7</v>
      </c>
      <c r="P883">
        <v>3</v>
      </c>
      <c r="Q883">
        <v>3</v>
      </c>
      <c r="R883">
        <v>959580</v>
      </c>
      <c r="S883">
        <f>Table1[[#This Row],[Revenue]]-Table1[[#This Row],[Operating_Costs]]</f>
        <v>295724</v>
      </c>
      <c r="T883">
        <v>663856</v>
      </c>
      <c r="U883">
        <v>38</v>
      </c>
      <c r="V883">
        <v>55</v>
      </c>
      <c r="W883">
        <v>8.3000000000000007</v>
      </c>
    </row>
    <row r="884" spans="1:23" x14ac:dyDescent="0.25">
      <c r="A884">
        <v>1</v>
      </c>
      <c r="B884" t="s">
        <v>32</v>
      </c>
      <c r="C884" s="1">
        <v>44791</v>
      </c>
      <c r="D884" t="s">
        <v>71</v>
      </c>
      <c r="E884">
        <v>0</v>
      </c>
      <c r="F884">
        <v>81</v>
      </c>
      <c r="G884" t="str">
        <f t="shared" si="21"/>
        <v>81+</v>
      </c>
      <c r="H884" t="s">
        <v>35</v>
      </c>
      <c r="I884" t="s">
        <v>55</v>
      </c>
      <c r="J884" t="s">
        <v>56</v>
      </c>
      <c r="K884" t="s">
        <v>33</v>
      </c>
      <c r="L884">
        <v>1</v>
      </c>
      <c r="M884">
        <v>1</v>
      </c>
      <c r="N884">
        <v>1.3</v>
      </c>
      <c r="O884">
        <v>9.3000000000000007</v>
      </c>
      <c r="P884">
        <v>5</v>
      </c>
      <c r="Q884">
        <v>6</v>
      </c>
      <c r="R884">
        <v>960094</v>
      </c>
      <c r="S884">
        <f>Table1[[#This Row],[Revenue]]-Table1[[#This Row],[Operating_Costs]]</f>
        <v>168666</v>
      </c>
      <c r="T884">
        <v>791428</v>
      </c>
      <c r="U884">
        <v>39</v>
      </c>
      <c r="V884">
        <v>61</v>
      </c>
      <c r="W884">
        <v>36.799999999999997</v>
      </c>
    </row>
    <row r="885" spans="1:23" x14ac:dyDescent="0.25">
      <c r="A885">
        <v>1</v>
      </c>
      <c r="B885" t="s">
        <v>32</v>
      </c>
      <c r="C885" s="1">
        <v>44846</v>
      </c>
      <c r="D885" t="s">
        <v>71</v>
      </c>
      <c r="E885">
        <v>0</v>
      </c>
      <c r="F885">
        <v>76</v>
      </c>
      <c r="G885" t="str">
        <f t="shared" si="21"/>
        <v>61-80</v>
      </c>
      <c r="H885" t="s">
        <v>23</v>
      </c>
      <c r="I885" t="s">
        <v>50</v>
      </c>
      <c r="J885" t="s">
        <v>51</v>
      </c>
      <c r="K885" t="s">
        <v>42</v>
      </c>
      <c r="L885">
        <v>1</v>
      </c>
      <c r="M885">
        <v>1</v>
      </c>
      <c r="N885">
        <v>2.5</v>
      </c>
      <c r="O885">
        <v>8.4</v>
      </c>
      <c r="P885">
        <v>7</v>
      </c>
      <c r="Q885">
        <v>4</v>
      </c>
      <c r="R885">
        <v>976361</v>
      </c>
      <c r="S885">
        <f>Table1[[#This Row],[Revenue]]-Table1[[#This Row],[Operating_Costs]]</f>
        <v>174226</v>
      </c>
      <c r="T885">
        <v>802135</v>
      </c>
      <c r="U885">
        <v>30</v>
      </c>
      <c r="V885">
        <v>56</v>
      </c>
      <c r="W885">
        <v>10.4</v>
      </c>
    </row>
    <row r="886" spans="1:23" x14ac:dyDescent="0.25">
      <c r="A886">
        <v>1</v>
      </c>
      <c r="B886" t="s">
        <v>32</v>
      </c>
      <c r="C886" s="1">
        <v>45058</v>
      </c>
      <c r="D886" t="s">
        <v>71</v>
      </c>
      <c r="E886">
        <v>0</v>
      </c>
      <c r="F886">
        <v>29</v>
      </c>
      <c r="G886" t="str">
        <f t="shared" si="21"/>
        <v>21-40</v>
      </c>
      <c r="H886" t="s">
        <v>35</v>
      </c>
      <c r="I886" t="s">
        <v>31</v>
      </c>
      <c r="J886" t="s">
        <v>28</v>
      </c>
      <c r="K886" t="s">
        <v>38</v>
      </c>
      <c r="L886">
        <v>1</v>
      </c>
      <c r="M886">
        <v>1</v>
      </c>
      <c r="N886">
        <v>3</v>
      </c>
      <c r="O886">
        <v>8.1999999999999993</v>
      </c>
      <c r="P886">
        <v>5</v>
      </c>
      <c r="Q886">
        <v>5</v>
      </c>
      <c r="R886">
        <v>948959</v>
      </c>
      <c r="S886">
        <f>Table1[[#This Row],[Revenue]]-Table1[[#This Row],[Operating_Costs]]</f>
        <v>69515</v>
      </c>
      <c r="T886">
        <v>879444</v>
      </c>
      <c r="U886">
        <v>34</v>
      </c>
      <c r="V886">
        <v>55</v>
      </c>
      <c r="W886">
        <v>14.7</v>
      </c>
    </row>
    <row r="887" spans="1:23" x14ac:dyDescent="0.25">
      <c r="A887">
        <v>2</v>
      </c>
      <c r="B887" t="s">
        <v>39</v>
      </c>
      <c r="C887" s="1">
        <v>44263</v>
      </c>
      <c r="D887" t="s">
        <v>71</v>
      </c>
      <c r="E887">
        <v>0</v>
      </c>
      <c r="F887">
        <v>86</v>
      </c>
      <c r="G887" t="str">
        <f t="shared" si="21"/>
        <v>81+</v>
      </c>
      <c r="H887" t="s">
        <v>23</v>
      </c>
      <c r="I887" t="s">
        <v>43</v>
      </c>
      <c r="J887" t="s">
        <v>25</v>
      </c>
      <c r="K887" t="s">
        <v>33</v>
      </c>
      <c r="L887">
        <v>1</v>
      </c>
      <c r="M887">
        <v>1</v>
      </c>
      <c r="N887">
        <v>5.8</v>
      </c>
      <c r="O887">
        <v>9.9</v>
      </c>
      <c r="P887">
        <v>6</v>
      </c>
      <c r="Q887">
        <v>7</v>
      </c>
      <c r="R887">
        <v>709237</v>
      </c>
      <c r="S887">
        <f>Table1[[#This Row],[Revenue]]-Table1[[#This Row],[Operating_Costs]]</f>
        <v>114280</v>
      </c>
      <c r="T887">
        <v>594957</v>
      </c>
      <c r="U887">
        <v>37</v>
      </c>
      <c r="V887">
        <v>54</v>
      </c>
      <c r="W887">
        <v>7.3</v>
      </c>
    </row>
    <row r="888" spans="1:23" x14ac:dyDescent="0.25">
      <c r="A888">
        <v>2</v>
      </c>
      <c r="B888" t="s">
        <v>39</v>
      </c>
      <c r="C888" s="1">
        <v>44622</v>
      </c>
      <c r="D888" t="s">
        <v>71</v>
      </c>
      <c r="E888">
        <v>0</v>
      </c>
      <c r="F888">
        <v>32</v>
      </c>
      <c r="G888" t="str">
        <f t="shared" si="21"/>
        <v>21-40</v>
      </c>
      <c r="H888" t="s">
        <v>23</v>
      </c>
      <c r="I888" t="s">
        <v>24</v>
      </c>
      <c r="J888" t="s">
        <v>25</v>
      </c>
      <c r="K888" t="s">
        <v>42</v>
      </c>
      <c r="L888">
        <v>1</v>
      </c>
      <c r="M888">
        <v>1</v>
      </c>
      <c r="N888">
        <v>1.6</v>
      </c>
      <c r="O888">
        <v>7.3</v>
      </c>
      <c r="P888">
        <v>4</v>
      </c>
      <c r="Q888">
        <v>3</v>
      </c>
      <c r="R888">
        <v>618882</v>
      </c>
      <c r="S888">
        <f>Table1[[#This Row],[Revenue]]-Table1[[#This Row],[Operating_Costs]]</f>
        <v>-20434</v>
      </c>
      <c r="T888">
        <v>639316</v>
      </c>
      <c r="U888">
        <v>35</v>
      </c>
      <c r="V888">
        <v>66</v>
      </c>
      <c r="W888">
        <v>5.8</v>
      </c>
    </row>
    <row r="889" spans="1:23" x14ac:dyDescent="0.25">
      <c r="A889">
        <v>2</v>
      </c>
      <c r="B889" t="s">
        <v>39</v>
      </c>
      <c r="C889" s="1">
        <v>44388</v>
      </c>
      <c r="D889" t="s">
        <v>71</v>
      </c>
      <c r="E889">
        <v>0</v>
      </c>
      <c r="F889">
        <v>35</v>
      </c>
      <c r="G889" t="str">
        <f t="shared" si="21"/>
        <v>21-40</v>
      </c>
      <c r="H889" t="s">
        <v>23</v>
      </c>
      <c r="I889" t="s">
        <v>27</v>
      </c>
      <c r="J889" t="s">
        <v>28</v>
      </c>
      <c r="K889" t="s">
        <v>26</v>
      </c>
      <c r="L889">
        <v>1</v>
      </c>
      <c r="M889">
        <v>1</v>
      </c>
      <c r="N889">
        <v>3.8</v>
      </c>
      <c r="O889">
        <v>8.6999999999999993</v>
      </c>
      <c r="P889">
        <v>5</v>
      </c>
      <c r="Q889">
        <v>5</v>
      </c>
      <c r="R889">
        <v>682717</v>
      </c>
      <c r="S889">
        <f>Table1[[#This Row],[Revenue]]-Table1[[#This Row],[Operating_Costs]]</f>
        <v>122674</v>
      </c>
      <c r="T889">
        <v>560043</v>
      </c>
      <c r="U889">
        <v>37</v>
      </c>
      <c r="V889">
        <v>58</v>
      </c>
      <c r="W889">
        <v>9.1</v>
      </c>
    </row>
    <row r="890" spans="1:23" x14ac:dyDescent="0.25">
      <c r="A890">
        <v>2</v>
      </c>
      <c r="B890" t="s">
        <v>39</v>
      </c>
      <c r="C890" s="1">
        <v>44744</v>
      </c>
      <c r="D890" t="s">
        <v>71</v>
      </c>
      <c r="E890">
        <v>0</v>
      </c>
      <c r="F890">
        <v>71</v>
      </c>
      <c r="G890" t="str">
        <f t="shared" si="21"/>
        <v>61-80</v>
      </c>
      <c r="H890" t="s">
        <v>23</v>
      </c>
      <c r="I890" t="s">
        <v>24</v>
      </c>
      <c r="J890" t="s">
        <v>25</v>
      </c>
      <c r="K890" t="s">
        <v>33</v>
      </c>
      <c r="L890">
        <v>1</v>
      </c>
      <c r="M890">
        <v>1</v>
      </c>
      <c r="N890">
        <v>4.3</v>
      </c>
      <c r="O890">
        <v>9.8000000000000007</v>
      </c>
      <c r="P890">
        <v>6</v>
      </c>
      <c r="Q890">
        <v>7</v>
      </c>
      <c r="R890">
        <v>792565</v>
      </c>
      <c r="S890">
        <f>Table1[[#This Row],[Revenue]]-Table1[[#This Row],[Operating_Costs]]</f>
        <v>147046</v>
      </c>
      <c r="T890">
        <v>645519</v>
      </c>
      <c r="U890">
        <v>35</v>
      </c>
      <c r="V890">
        <v>63</v>
      </c>
      <c r="W890">
        <v>14.1</v>
      </c>
    </row>
    <row r="891" spans="1:23" x14ac:dyDescent="0.25">
      <c r="A891">
        <v>2</v>
      </c>
      <c r="B891" t="s">
        <v>39</v>
      </c>
      <c r="C891" s="1">
        <v>44738</v>
      </c>
      <c r="D891" t="s">
        <v>71</v>
      </c>
      <c r="E891">
        <v>0</v>
      </c>
      <c r="F891">
        <v>40</v>
      </c>
      <c r="G891" t="str">
        <f t="shared" si="21"/>
        <v>21-40</v>
      </c>
      <c r="H891" t="s">
        <v>23</v>
      </c>
      <c r="I891" t="s">
        <v>43</v>
      </c>
      <c r="J891" t="s">
        <v>25</v>
      </c>
      <c r="K891" t="s">
        <v>38</v>
      </c>
      <c r="L891">
        <v>1</v>
      </c>
      <c r="M891">
        <v>1</v>
      </c>
      <c r="N891">
        <v>1</v>
      </c>
      <c r="O891">
        <v>8.3000000000000007</v>
      </c>
      <c r="P891">
        <v>3</v>
      </c>
      <c r="Q891">
        <v>6</v>
      </c>
      <c r="R891">
        <v>639069</v>
      </c>
      <c r="S891">
        <f>Table1[[#This Row],[Revenue]]-Table1[[#This Row],[Operating_Costs]]</f>
        <v>46005</v>
      </c>
      <c r="T891">
        <v>593064</v>
      </c>
      <c r="U891">
        <v>30</v>
      </c>
      <c r="V891">
        <v>63</v>
      </c>
      <c r="W891">
        <v>7.5</v>
      </c>
    </row>
    <row r="892" spans="1:23" x14ac:dyDescent="0.25">
      <c r="A892">
        <v>2</v>
      </c>
      <c r="B892" t="s">
        <v>39</v>
      </c>
      <c r="C892" s="1">
        <v>45350</v>
      </c>
      <c r="D892" t="s">
        <v>71</v>
      </c>
      <c r="E892">
        <v>0</v>
      </c>
      <c r="F892">
        <v>36</v>
      </c>
      <c r="G892" t="str">
        <f t="shared" si="21"/>
        <v>21-40</v>
      </c>
      <c r="H892" t="s">
        <v>35</v>
      </c>
      <c r="I892" t="s">
        <v>36</v>
      </c>
      <c r="J892" t="s">
        <v>37</v>
      </c>
      <c r="K892" t="s">
        <v>33</v>
      </c>
      <c r="L892">
        <v>1</v>
      </c>
      <c r="M892">
        <v>1</v>
      </c>
      <c r="N892">
        <v>5.8</v>
      </c>
      <c r="O892">
        <v>8.6999999999999993</v>
      </c>
      <c r="P892">
        <v>6</v>
      </c>
      <c r="Q892">
        <v>4</v>
      </c>
      <c r="R892">
        <v>878418</v>
      </c>
      <c r="S892">
        <f>Table1[[#This Row],[Revenue]]-Table1[[#This Row],[Operating_Costs]]</f>
        <v>375528</v>
      </c>
      <c r="T892">
        <v>502890</v>
      </c>
      <c r="U892">
        <v>39</v>
      </c>
      <c r="V892">
        <v>62</v>
      </c>
      <c r="W892">
        <v>36.5</v>
      </c>
    </row>
    <row r="893" spans="1:23" x14ac:dyDescent="0.25">
      <c r="A893">
        <v>2</v>
      </c>
      <c r="B893" t="s">
        <v>39</v>
      </c>
      <c r="C893" s="1">
        <v>45313</v>
      </c>
      <c r="D893" t="s">
        <v>71</v>
      </c>
      <c r="E893">
        <v>0</v>
      </c>
      <c r="F893">
        <v>34</v>
      </c>
      <c r="G893" t="str">
        <f t="shared" si="21"/>
        <v>21-40</v>
      </c>
      <c r="H893" t="s">
        <v>35</v>
      </c>
      <c r="I893" t="s">
        <v>61</v>
      </c>
      <c r="J893" t="s">
        <v>62</v>
      </c>
      <c r="K893" t="s">
        <v>38</v>
      </c>
      <c r="L893">
        <v>1</v>
      </c>
      <c r="M893">
        <v>1</v>
      </c>
      <c r="N893">
        <v>4.5</v>
      </c>
      <c r="O893">
        <v>8.9</v>
      </c>
      <c r="P893">
        <v>4</v>
      </c>
      <c r="Q893">
        <v>6</v>
      </c>
      <c r="R893">
        <v>644726</v>
      </c>
      <c r="S893">
        <f>Table1[[#This Row],[Revenue]]-Table1[[#This Row],[Operating_Costs]]</f>
        <v>16955</v>
      </c>
      <c r="T893">
        <v>627771</v>
      </c>
      <c r="U893">
        <v>40</v>
      </c>
      <c r="V893">
        <v>60</v>
      </c>
      <c r="W893">
        <v>14.1</v>
      </c>
    </row>
    <row r="894" spans="1:23" x14ac:dyDescent="0.25">
      <c r="A894">
        <v>2</v>
      </c>
      <c r="B894" t="s">
        <v>39</v>
      </c>
      <c r="C894" s="1">
        <v>45129</v>
      </c>
      <c r="D894" t="s">
        <v>71</v>
      </c>
      <c r="E894">
        <v>0</v>
      </c>
      <c r="F894">
        <v>36</v>
      </c>
      <c r="G894" t="str">
        <f t="shared" si="21"/>
        <v>21-40</v>
      </c>
      <c r="H894" t="s">
        <v>23</v>
      </c>
      <c r="I894" t="s">
        <v>31</v>
      </c>
      <c r="J894" t="s">
        <v>28</v>
      </c>
      <c r="K894" t="s">
        <v>38</v>
      </c>
      <c r="L894">
        <v>1</v>
      </c>
      <c r="M894">
        <v>1</v>
      </c>
      <c r="N894">
        <v>1.7</v>
      </c>
      <c r="O894">
        <v>8.5</v>
      </c>
      <c r="P894">
        <v>6</v>
      </c>
      <c r="Q894">
        <v>6</v>
      </c>
      <c r="R894">
        <v>609749</v>
      </c>
      <c r="S894">
        <f>Table1[[#This Row],[Revenue]]-Table1[[#This Row],[Operating_Costs]]</f>
        <v>857</v>
      </c>
      <c r="T894">
        <v>608892</v>
      </c>
      <c r="U894">
        <v>32</v>
      </c>
      <c r="V894">
        <v>55</v>
      </c>
      <c r="W894">
        <v>7.6</v>
      </c>
    </row>
    <row r="895" spans="1:23" x14ac:dyDescent="0.25">
      <c r="A895">
        <v>2</v>
      </c>
      <c r="B895" t="s">
        <v>39</v>
      </c>
      <c r="C895" s="1">
        <v>44642</v>
      </c>
      <c r="D895" t="s">
        <v>71</v>
      </c>
      <c r="E895">
        <v>0</v>
      </c>
      <c r="F895">
        <v>33</v>
      </c>
      <c r="G895" t="str">
        <f t="shared" si="21"/>
        <v>21-40</v>
      </c>
      <c r="H895" t="s">
        <v>35</v>
      </c>
      <c r="I895" t="s">
        <v>46</v>
      </c>
      <c r="J895" t="s">
        <v>47</v>
      </c>
      <c r="K895" t="s">
        <v>42</v>
      </c>
      <c r="L895">
        <v>1</v>
      </c>
      <c r="M895">
        <v>1</v>
      </c>
      <c r="N895">
        <v>4.2</v>
      </c>
      <c r="O895">
        <v>9.1</v>
      </c>
      <c r="P895">
        <v>7</v>
      </c>
      <c r="Q895">
        <v>7</v>
      </c>
      <c r="R895">
        <v>752324</v>
      </c>
      <c r="S895">
        <f>Table1[[#This Row],[Revenue]]-Table1[[#This Row],[Operating_Costs]]</f>
        <v>173349</v>
      </c>
      <c r="T895">
        <v>578975</v>
      </c>
      <c r="U895">
        <v>36</v>
      </c>
      <c r="V895">
        <v>64</v>
      </c>
      <c r="W895">
        <v>12.3</v>
      </c>
    </row>
    <row r="896" spans="1:23" x14ac:dyDescent="0.25">
      <c r="A896">
        <v>2</v>
      </c>
      <c r="B896" t="s">
        <v>39</v>
      </c>
      <c r="C896" s="1">
        <v>45644</v>
      </c>
      <c r="D896" t="s">
        <v>71</v>
      </c>
      <c r="E896">
        <v>0</v>
      </c>
      <c r="F896">
        <v>43</v>
      </c>
      <c r="G896" t="str">
        <f t="shared" si="21"/>
        <v>41-60</v>
      </c>
      <c r="H896" t="s">
        <v>35</v>
      </c>
      <c r="I896" t="s">
        <v>64</v>
      </c>
      <c r="J896" t="s">
        <v>65</v>
      </c>
      <c r="K896" t="s">
        <v>33</v>
      </c>
      <c r="L896">
        <v>1</v>
      </c>
      <c r="M896">
        <v>1</v>
      </c>
      <c r="N896">
        <v>6.7</v>
      </c>
      <c r="O896">
        <v>9.3000000000000007</v>
      </c>
      <c r="P896">
        <v>5</v>
      </c>
      <c r="Q896">
        <v>5</v>
      </c>
      <c r="R896">
        <v>842855</v>
      </c>
      <c r="S896">
        <f>Table1[[#This Row],[Revenue]]-Table1[[#This Row],[Operating_Costs]]</f>
        <v>258559</v>
      </c>
      <c r="T896">
        <v>584296</v>
      </c>
      <c r="U896">
        <v>38</v>
      </c>
      <c r="V896">
        <v>62</v>
      </c>
      <c r="W896">
        <v>36.200000000000003</v>
      </c>
    </row>
    <row r="897" spans="1:23" x14ac:dyDescent="0.25">
      <c r="A897">
        <v>2</v>
      </c>
      <c r="B897" t="s">
        <v>39</v>
      </c>
      <c r="C897" s="1">
        <v>45478</v>
      </c>
      <c r="D897" t="s">
        <v>71</v>
      </c>
      <c r="E897">
        <v>0</v>
      </c>
      <c r="F897">
        <v>28</v>
      </c>
      <c r="G897" t="str">
        <f t="shared" si="21"/>
        <v>21-40</v>
      </c>
      <c r="H897" t="s">
        <v>23</v>
      </c>
      <c r="I897" t="s">
        <v>31</v>
      </c>
      <c r="J897" t="s">
        <v>28</v>
      </c>
      <c r="K897" t="s">
        <v>33</v>
      </c>
      <c r="L897">
        <v>1</v>
      </c>
      <c r="M897">
        <v>1</v>
      </c>
      <c r="N897">
        <v>5.6</v>
      </c>
      <c r="O897">
        <v>8.6</v>
      </c>
      <c r="P897">
        <v>3</v>
      </c>
      <c r="Q897">
        <v>6</v>
      </c>
      <c r="R897">
        <v>718715</v>
      </c>
      <c r="S897">
        <f>Table1[[#This Row],[Revenue]]-Table1[[#This Row],[Operating_Costs]]</f>
        <v>134280</v>
      </c>
      <c r="T897">
        <v>584435</v>
      </c>
      <c r="U897">
        <v>36</v>
      </c>
      <c r="V897">
        <v>58</v>
      </c>
      <c r="W897">
        <v>12.8</v>
      </c>
    </row>
    <row r="898" spans="1:23" x14ac:dyDescent="0.25">
      <c r="A898">
        <v>2</v>
      </c>
      <c r="B898" t="s">
        <v>39</v>
      </c>
      <c r="C898" s="1">
        <v>44699</v>
      </c>
      <c r="D898" t="s">
        <v>71</v>
      </c>
      <c r="E898">
        <v>0</v>
      </c>
      <c r="F898">
        <v>28</v>
      </c>
      <c r="G898" t="str">
        <f t="shared" si="21"/>
        <v>21-40</v>
      </c>
      <c r="H898" t="s">
        <v>23</v>
      </c>
      <c r="I898" t="s">
        <v>67</v>
      </c>
      <c r="J898" t="s">
        <v>68</v>
      </c>
      <c r="K898" t="s">
        <v>33</v>
      </c>
      <c r="L898">
        <v>1</v>
      </c>
      <c r="M898">
        <v>1</v>
      </c>
      <c r="N898">
        <v>2</v>
      </c>
      <c r="O898">
        <v>7.7</v>
      </c>
      <c r="P898">
        <v>5</v>
      </c>
      <c r="Q898">
        <v>3</v>
      </c>
      <c r="R898">
        <v>615250</v>
      </c>
      <c r="S898">
        <f>Table1[[#This Row],[Revenue]]-Table1[[#This Row],[Operating_Costs]]</f>
        <v>65010</v>
      </c>
      <c r="T898">
        <v>550240</v>
      </c>
      <c r="U898">
        <v>31</v>
      </c>
      <c r="V898">
        <v>57</v>
      </c>
      <c r="W898">
        <v>5.7</v>
      </c>
    </row>
    <row r="899" spans="1:23" x14ac:dyDescent="0.25">
      <c r="A899">
        <v>2</v>
      </c>
      <c r="B899" t="s">
        <v>39</v>
      </c>
      <c r="C899" s="1">
        <v>44851</v>
      </c>
      <c r="D899" t="s">
        <v>71</v>
      </c>
      <c r="E899">
        <v>0</v>
      </c>
      <c r="F899">
        <v>43</v>
      </c>
      <c r="G899" t="str">
        <f t="shared" ref="G899:G962" si="22">IF(F899&lt;=20,"0-20",IF(F899&lt;=40,"21-40",IF(F899&lt;=60,"41-60",IF(F899&lt;=80,"61-80","81+"))))</f>
        <v>41-60</v>
      </c>
      <c r="H899" t="s">
        <v>35</v>
      </c>
      <c r="I899" t="s">
        <v>53</v>
      </c>
      <c r="J899" t="s">
        <v>54</v>
      </c>
      <c r="K899" t="s">
        <v>29</v>
      </c>
      <c r="L899">
        <v>1</v>
      </c>
      <c r="M899">
        <v>1</v>
      </c>
      <c r="N899">
        <v>1.2</v>
      </c>
      <c r="O899">
        <v>8</v>
      </c>
      <c r="P899">
        <v>6</v>
      </c>
      <c r="Q899">
        <v>6</v>
      </c>
      <c r="R899">
        <v>685022</v>
      </c>
      <c r="S899">
        <f>Table1[[#This Row],[Revenue]]-Table1[[#This Row],[Operating_Costs]]</f>
        <v>142177</v>
      </c>
      <c r="T899">
        <v>542845</v>
      </c>
      <c r="U899">
        <v>39</v>
      </c>
      <c r="V899">
        <v>54</v>
      </c>
      <c r="W899">
        <v>14.6</v>
      </c>
    </row>
    <row r="900" spans="1:23" x14ac:dyDescent="0.25">
      <c r="A900">
        <v>2</v>
      </c>
      <c r="B900" t="s">
        <v>39</v>
      </c>
      <c r="C900" s="1">
        <v>44939</v>
      </c>
      <c r="D900" t="s">
        <v>71</v>
      </c>
      <c r="E900">
        <v>0</v>
      </c>
      <c r="F900">
        <v>36</v>
      </c>
      <c r="G900" t="str">
        <f t="shared" si="22"/>
        <v>21-40</v>
      </c>
      <c r="H900" t="s">
        <v>35</v>
      </c>
      <c r="I900" t="s">
        <v>60</v>
      </c>
      <c r="J900" t="s">
        <v>59</v>
      </c>
      <c r="K900" t="s">
        <v>26</v>
      </c>
      <c r="L900">
        <v>1</v>
      </c>
      <c r="M900">
        <v>1</v>
      </c>
      <c r="N900">
        <v>3.4</v>
      </c>
      <c r="O900">
        <v>9.1</v>
      </c>
      <c r="P900">
        <v>7</v>
      </c>
      <c r="Q900">
        <v>7</v>
      </c>
      <c r="R900">
        <v>801889</v>
      </c>
      <c r="S900">
        <f>Table1[[#This Row],[Revenue]]-Table1[[#This Row],[Operating_Costs]]</f>
        <v>231548</v>
      </c>
      <c r="T900">
        <v>570341</v>
      </c>
      <c r="U900">
        <v>38</v>
      </c>
      <c r="V900">
        <v>55</v>
      </c>
      <c r="W900">
        <v>6.5</v>
      </c>
    </row>
    <row r="901" spans="1:23" x14ac:dyDescent="0.25">
      <c r="A901">
        <v>2</v>
      </c>
      <c r="B901" t="s">
        <v>39</v>
      </c>
      <c r="C901" s="1">
        <v>45651</v>
      </c>
      <c r="D901" t="s">
        <v>71</v>
      </c>
      <c r="E901">
        <v>0</v>
      </c>
      <c r="F901">
        <v>47</v>
      </c>
      <c r="G901" t="str">
        <f t="shared" si="22"/>
        <v>41-60</v>
      </c>
      <c r="H901" t="s">
        <v>23</v>
      </c>
      <c r="I901" t="s">
        <v>24</v>
      </c>
      <c r="J901" t="s">
        <v>25</v>
      </c>
      <c r="K901" t="s">
        <v>29</v>
      </c>
      <c r="L901">
        <v>1</v>
      </c>
      <c r="M901">
        <v>1</v>
      </c>
      <c r="N901">
        <v>6.6</v>
      </c>
      <c r="O901">
        <v>8.1999999999999993</v>
      </c>
      <c r="P901">
        <v>4</v>
      </c>
      <c r="Q901">
        <v>6</v>
      </c>
      <c r="R901">
        <v>747712</v>
      </c>
      <c r="S901">
        <f>Table1[[#This Row],[Revenue]]-Table1[[#This Row],[Operating_Costs]]</f>
        <v>171590</v>
      </c>
      <c r="T901">
        <v>576122</v>
      </c>
      <c r="U901">
        <v>32</v>
      </c>
      <c r="V901">
        <v>64</v>
      </c>
      <c r="W901">
        <v>8</v>
      </c>
    </row>
    <row r="902" spans="1:23" x14ac:dyDescent="0.25">
      <c r="A902">
        <v>2</v>
      </c>
      <c r="B902" t="s">
        <v>39</v>
      </c>
      <c r="C902" s="1">
        <v>44283</v>
      </c>
      <c r="D902" t="s">
        <v>71</v>
      </c>
      <c r="E902">
        <v>0</v>
      </c>
      <c r="F902">
        <v>47</v>
      </c>
      <c r="G902" t="str">
        <f t="shared" si="22"/>
        <v>41-60</v>
      </c>
      <c r="H902" t="s">
        <v>35</v>
      </c>
      <c r="I902" t="s">
        <v>40</v>
      </c>
      <c r="J902" t="s">
        <v>41</v>
      </c>
      <c r="K902" t="s">
        <v>38</v>
      </c>
      <c r="L902">
        <v>1</v>
      </c>
      <c r="M902">
        <v>1</v>
      </c>
      <c r="N902">
        <v>1.9</v>
      </c>
      <c r="O902">
        <v>8.6</v>
      </c>
      <c r="P902">
        <v>5</v>
      </c>
      <c r="Q902">
        <v>5</v>
      </c>
      <c r="R902">
        <v>603707</v>
      </c>
      <c r="S902">
        <f>Table1[[#This Row],[Revenue]]-Table1[[#This Row],[Operating_Costs]]</f>
        <v>97587</v>
      </c>
      <c r="T902">
        <v>506120</v>
      </c>
      <c r="U902">
        <v>31</v>
      </c>
      <c r="V902">
        <v>60</v>
      </c>
      <c r="W902">
        <v>9.1</v>
      </c>
    </row>
    <row r="903" spans="1:23" x14ac:dyDescent="0.25">
      <c r="A903">
        <v>2</v>
      </c>
      <c r="B903" t="s">
        <v>39</v>
      </c>
      <c r="C903" s="1">
        <v>45387</v>
      </c>
      <c r="D903" t="s">
        <v>71</v>
      </c>
      <c r="E903">
        <v>0</v>
      </c>
      <c r="F903">
        <v>62</v>
      </c>
      <c r="G903" t="str">
        <f t="shared" si="22"/>
        <v>61-80</v>
      </c>
      <c r="H903" t="s">
        <v>23</v>
      </c>
      <c r="I903" t="s">
        <v>24</v>
      </c>
      <c r="J903" t="s">
        <v>25</v>
      </c>
      <c r="K903" t="s">
        <v>26</v>
      </c>
      <c r="L903">
        <v>1</v>
      </c>
      <c r="M903">
        <v>1</v>
      </c>
      <c r="N903">
        <v>5.2</v>
      </c>
      <c r="O903">
        <v>8.1999999999999993</v>
      </c>
      <c r="P903">
        <v>7</v>
      </c>
      <c r="Q903">
        <v>5</v>
      </c>
      <c r="R903">
        <v>881524</v>
      </c>
      <c r="S903">
        <f>Table1[[#This Row],[Revenue]]-Table1[[#This Row],[Operating_Costs]]</f>
        <v>261269</v>
      </c>
      <c r="T903">
        <v>620255</v>
      </c>
      <c r="U903">
        <v>31</v>
      </c>
      <c r="V903">
        <v>63</v>
      </c>
      <c r="W903">
        <v>5.0999999999999996</v>
      </c>
    </row>
    <row r="904" spans="1:23" x14ac:dyDescent="0.25">
      <c r="A904">
        <v>2</v>
      </c>
      <c r="B904" t="s">
        <v>39</v>
      </c>
      <c r="C904" s="1">
        <v>45468</v>
      </c>
      <c r="D904" t="s">
        <v>71</v>
      </c>
      <c r="E904">
        <v>0</v>
      </c>
      <c r="F904">
        <v>74</v>
      </c>
      <c r="G904" t="str">
        <f t="shared" si="22"/>
        <v>61-80</v>
      </c>
      <c r="H904" t="s">
        <v>23</v>
      </c>
      <c r="I904" t="s">
        <v>24</v>
      </c>
      <c r="J904" t="s">
        <v>25</v>
      </c>
      <c r="K904" t="s">
        <v>38</v>
      </c>
      <c r="L904">
        <v>1</v>
      </c>
      <c r="M904">
        <v>1</v>
      </c>
      <c r="N904">
        <v>2.2999999999999998</v>
      </c>
      <c r="O904">
        <v>9.9</v>
      </c>
      <c r="P904">
        <v>6</v>
      </c>
      <c r="Q904">
        <v>4</v>
      </c>
      <c r="R904">
        <v>859380</v>
      </c>
      <c r="S904">
        <f>Table1[[#This Row],[Revenue]]-Table1[[#This Row],[Operating_Costs]]</f>
        <v>244644</v>
      </c>
      <c r="T904">
        <v>614736</v>
      </c>
      <c r="U904">
        <v>36</v>
      </c>
      <c r="V904">
        <v>55</v>
      </c>
      <c r="W904">
        <v>12</v>
      </c>
    </row>
    <row r="905" spans="1:23" x14ac:dyDescent="0.25">
      <c r="A905">
        <v>2</v>
      </c>
      <c r="B905" t="s">
        <v>39</v>
      </c>
      <c r="C905" s="1">
        <v>44484</v>
      </c>
      <c r="D905" t="s">
        <v>71</v>
      </c>
      <c r="E905">
        <v>0</v>
      </c>
      <c r="F905">
        <v>30</v>
      </c>
      <c r="G905" t="str">
        <f t="shared" si="22"/>
        <v>21-40</v>
      </c>
      <c r="H905" t="s">
        <v>35</v>
      </c>
      <c r="I905" t="s">
        <v>55</v>
      </c>
      <c r="J905" t="s">
        <v>56</v>
      </c>
      <c r="K905" t="s">
        <v>42</v>
      </c>
      <c r="L905">
        <v>1</v>
      </c>
      <c r="M905">
        <v>1</v>
      </c>
      <c r="N905">
        <v>4.4000000000000004</v>
      </c>
      <c r="O905">
        <v>7.1</v>
      </c>
      <c r="P905">
        <v>4</v>
      </c>
      <c r="Q905">
        <v>3</v>
      </c>
      <c r="R905">
        <v>845164</v>
      </c>
      <c r="S905">
        <f>Table1[[#This Row],[Revenue]]-Table1[[#This Row],[Operating_Costs]]</f>
        <v>343081</v>
      </c>
      <c r="T905">
        <v>502083</v>
      </c>
      <c r="U905">
        <v>32</v>
      </c>
      <c r="V905">
        <v>66</v>
      </c>
      <c r="W905">
        <v>13.5</v>
      </c>
    </row>
    <row r="906" spans="1:23" x14ac:dyDescent="0.25">
      <c r="A906">
        <v>2</v>
      </c>
      <c r="B906" t="s">
        <v>39</v>
      </c>
      <c r="C906" s="1">
        <v>44808</v>
      </c>
      <c r="D906" t="s">
        <v>71</v>
      </c>
      <c r="E906">
        <v>0</v>
      </c>
      <c r="F906">
        <v>50</v>
      </c>
      <c r="G906" t="str">
        <f t="shared" si="22"/>
        <v>41-60</v>
      </c>
      <c r="H906" t="s">
        <v>23</v>
      </c>
      <c r="I906" t="s">
        <v>24</v>
      </c>
      <c r="J906" t="s">
        <v>25</v>
      </c>
      <c r="K906" t="s">
        <v>26</v>
      </c>
      <c r="L906">
        <v>1</v>
      </c>
      <c r="M906">
        <v>1</v>
      </c>
      <c r="N906">
        <v>1.6</v>
      </c>
      <c r="O906">
        <v>8.1999999999999993</v>
      </c>
      <c r="P906">
        <v>4</v>
      </c>
      <c r="Q906">
        <v>5</v>
      </c>
      <c r="R906">
        <v>690220</v>
      </c>
      <c r="S906">
        <f>Table1[[#This Row],[Revenue]]-Table1[[#This Row],[Operating_Costs]]</f>
        <v>128138</v>
      </c>
      <c r="T906">
        <v>562082</v>
      </c>
      <c r="U906">
        <v>37</v>
      </c>
      <c r="V906">
        <v>64</v>
      </c>
      <c r="W906">
        <v>36.799999999999997</v>
      </c>
    </row>
    <row r="907" spans="1:23" x14ac:dyDescent="0.25">
      <c r="A907">
        <v>2</v>
      </c>
      <c r="B907" t="s">
        <v>39</v>
      </c>
      <c r="C907" s="1">
        <v>45062</v>
      </c>
      <c r="D907" t="s">
        <v>71</v>
      </c>
      <c r="E907">
        <v>0</v>
      </c>
      <c r="F907">
        <v>79</v>
      </c>
      <c r="G907" t="str">
        <f t="shared" si="22"/>
        <v>61-80</v>
      </c>
      <c r="H907" t="s">
        <v>23</v>
      </c>
      <c r="I907" t="s">
        <v>24</v>
      </c>
      <c r="J907" t="s">
        <v>25</v>
      </c>
      <c r="K907" t="s">
        <v>29</v>
      </c>
      <c r="L907">
        <v>1</v>
      </c>
      <c r="M907">
        <v>1</v>
      </c>
      <c r="N907">
        <v>5.4</v>
      </c>
      <c r="O907">
        <v>8.1999999999999993</v>
      </c>
      <c r="P907">
        <v>7</v>
      </c>
      <c r="Q907">
        <v>6</v>
      </c>
      <c r="R907">
        <v>820104</v>
      </c>
      <c r="S907">
        <f>Table1[[#This Row],[Revenue]]-Table1[[#This Row],[Operating_Costs]]</f>
        <v>217887</v>
      </c>
      <c r="T907">
        <v>602217</v>
      </c>
      <c r="U907">
        <v>34</v>
      </c>
      <c r="V907">
        <v>57</v>
      </c>
      <c r="W907">
        <v>36.4</v>
      </c>
    </row>
    <row r="908" spans="1:23" x14ac:dyDescent="0.25">
      <c r="A908">
        <v>2</v>
      </c>
      <c r="B908" t="s">
        <v>39</v>
      </c>
      <c r="C908" s="1">
        <v>44565</v>
      </c>
      <c r="D908" t="s">
        <v>71</v>
      </c>
      <c r="E908">
        <v>0</v>
      </c>
      <c r="F908">
        <v>81</v>
      </c>
      <c r="G908" t="str">
        <f t="shared" si="22"/>
        <v>81+</v>
      </c>
      <c r="H908" t="s">
        <v>35</v>
      </c>
      <c r="I908" t="s">
        <v>60</v>
      </c>
      <c r="J908" t="s">
        <v>59</v>
      </c>
      <c r="K908" t="s">
        <v>33</v>
      </c>
      <c r="L908">
        <v>1</v>
      </c>
      <c r="M908">
        <v>1</v>
      </c>
      <c r="N908">
        <v>5.9</v>
      </c>
      <c r="O908">
        <v>9.1</v>
      </c>
      <c r="P908">
        <v>6</v>
      </c>
      <c r="Q908">
        <v>6</v>
      </c>
      <c r="R908">
        <v>736614</v>
      </c>
      <c r="S908">
        <f>Table1[[#This Row],[Revenue]]-Table1[[#This Row],[Operating_Costs]]</f>
        <v>232004</v>
      </c>
      <c r="T908">
        <v>504610</v>
      </c>
      <c r="U908">
        <v>34</v>
      </c>
      <c r="V908">
        <v>54</v>
      </c>
      <c r="W908">
        <v>8.1</v>
      </c>
    </row>
    <row r="909" spans="1:23" x14ac:dyDescent="0.25">
      <c r="A909">
        <v>2</v>
      </c>
      <c r="B909" t="s">
        <v>39</v>
      </c>
      <c r="C909" s="1">
        <v>44281</v>
      </c>
      <c r="D909" t="s">
        <v>71</v>
      </c>
      <c r="E909">
        <v>0</v>
      </c>
      <c r="F909">
        <v>34</v>
      </c>
      <c r="G909" t="str">
        <f t="shared" si="22"/>
        <v>21-40</v>
      </c>
      <c r="H909" t="s">
        <v>35</v>
      </c>
      <c r="I909" t="s">
        <v>36</v>
      </c>
      <c r="J909" t="s">
        <v>37</v>
      </c>
      <c r="K909" t="s">
        <v>38</v>
      </c>
      <c r="L909">
        <v>1</v>
      </c>
      <c r="M909">
        <v>1</v>
      </c>
      <c r="N909">
        <v>5.5</v>
      </c>
      <c r="O909">
        <v>8.4</v>
      </c>
      <c r="P909">
        <v>6</v>
      </c>
      <c r="Q909">
        <v>5</v>
      </c>
      <c r="R909">
        <v>633822</v>
      </c>
      <c r="S909">
        <f>Table1[[#This Row],[Revenue]]-Table1[[#This Row],[Operating_Costs]]</f>
        <v>56862</v>
      </c>
      <c r="T909">
        <v>576960</v>
      </c>
      <c r="U909">
        <v>39</v>
      </c>
      <c r="V909">
        <v>66</v>
      </c>
      <c r="W909">
        <v>14.1</v>
      </c>
    </row>
    <row r="910" spans="1:23" x14ac:dyDescent="0.25">
      <c r="A910">
        <v>2</v>
      </c>
      <c r="B910" t="s">
        <v>39</v>
      </c>
      <c r="C910" s="1">
        <v>44310</v>
      </c>
      <c r="D910" t="s">
        <v>71</v>
      </c>
      <c r="E910">
        <v>0</v>
      </c>
      <c r="F910">
        <v>56</v>
      </c>
      <c r="G910" t="str">
        <f t="shared" si="22"/>
        <v>41-60</v>
      </c>
      <c r="H910" t="s">
        <v>35</v>
      </c>
      <c r="I910" t="s">
        <v>61</v>
      </c>
      <c r="J910" t="s">
        <v>62</v>
      </c>
      <c r="K910" t="s">
        <v>29</v>
      </c>
      <c r="L910">
        <v>1</v>
      </c>
      <c r="M910">
        <v>1</v>
      </c>
      <c r="N910">
        <v>4</v>
      </c>
      <c r="O910">
        <v>9.8000000000000007</v>
      </c>
      <c r="P910">
        <v>7</v>
      </c>
      <c r="Q910">
        <v>7</v>
      </c>
      <c r="R910">
        <v>609075</v>
      </c>
      <c r="S910">
        <f>Table1[[#This Row],[Revenue]]-Table1[[#This Row],[Operating_Costs]]</f>
        <v>29205</v>
      </c>
      <c r="T910">
        <v>579870</v>
      </c>
      <c r="U910">
        <v>31</v>
      </c>
      <c r="V910">
        <v>60</v>
      </c>
      <c r="W910">
        <v>13.3</v>
      </c>
    </row>
    <row r="911" spans="1:23" x14ac:dyDescent="0.25">
      <c r="A911">
        <v>2</v>
      </c>
      <c r="B911" t="s">
        <v>39</v>
      </c>
      <c r="C911" s="1">
        <v>44354</v>
      </c>
      <c r="D911" t="s">
        <v>71</v>
      </c>
      <c r="E911">
        <v>0</v>
      </c>
      <c r="F911">
        <v>62</v>
      </c>
      <c r="G911" t="str">
        <f t="shared" si="22"/>
        <v>61-80</v>
      </c>
      <c r="H911" t="s">
        <v>23</v>
      </c>
      <c r="I911" t="s">
        <v>43</v>
      </c>
      <c r="J911" t="s">
        <v>25</v>
      </c>
      <c r="K911" t="s">
        <v>26</v>
      </c>
      <c r="L911">
        <v>1</v>
      </c>
      <c r="M911">
        <v>1</v>
      </c>
      <c r="N911">
        <v>6</v>
      </c>
      <c r="O911">
        <v>7.4</v>
      </c>
      <c r="P911">
        <v>3</v>
      </c>
      <c r="Q911">
        <v>7</v>
      </c>
      <c r="R911">
        <v>764033</v>
      </c>
      <c r="S911">
        <f>Table1[[#This Row],[Revenue]]-Table1[[#This Row],[Operating_Costs]]</f>
        <v>237626</v>
      </c>
      <c r="T911">
        <v>526407</v>
      </c>
      <c r="U911">
        <v>38</v>
      </c>
      <c r="V911">
        <v>60</v>
      </c>
      <c r="W911">
        <v>36.1</v>
      </c>
    </row>
    <row r="912" spans="1:23" x14ac:dyDescent="0.25">
      <c r="A912">
        <v>2</v>
      </c>
      <c r="B912" t="s">
        <v>39</v>
      </c>
      <c r="C912" s="1">
        <v>44633</v>
      </c>
      <c r="D912" t="s">
        <v>71</v>
      </c>
      <c r="E912">
        <v>0</v>
      </c>
      <c r="F912">
        <v>62</v>
      </c>
      <c r="G912" t="str">
        <f t="shared" si="22"/>
        <v>61-80</v>
      </c>
      <c r="H912" t="s">
        <v>23</v>
      </c>
      <c r="I912" t="s">
        <v>43</v>
      </c>
      <c r="J912" t="s">
        <v>25</v>
      </c>
      <c r="K912" t="s">
        <v>33</v>
      </c>
      <c r="L912">
        <v>1</v>
      </c>
      <c r="M912">
        <v>1</v>
      </c>
      <c r="N912">
        <v>4</v>
      </c>
      <c r="O912">
        <v>8</v>
      </c>
      <c r="P912">
        <v>5</v>
      </c>
      <c r="Q912">
        <v>3</v>
      </c>
      <c r="R912">
        <v>764370</v>
      </c>
      <c r="S912">
        <f>Table1[[#This Row],[Revenue]]-Table1[[#This Row],[Operating_Costs]]</f>
        <v>140566</v>
      </c>
      <c r="T912">
        <v>623804</v>
      </c>
      <c r="U912">
        <v>38</v>
      </c>
      <c r="V912">
        <v>62</v>
      </c>
      <c r="W912">
        <v>7.7</v>
      </c>
    </row>
    <row r="913" spans="1:23" x14ac:dyDescent="0.25">
      <c r="A913">
        <v>2</v>
      </c>
      <c r="B913" t="s">
        <v>39</v>
      </c>
      <c r="C913" s="1">
        <v>45053</v>
      </c>
      <c r="D913" t="s">
        <v>71</v>
      </c>
      <c r="E913">
        <v>0</v>
      </c>
      <c r="F913">
        <v>30</v>
      </c>
      <c r="G913" t="str">
        <f t="shared" si="22"/>
        <v>21-40</v>
      </c>
      <c r="H913" t="s">
        <v>35</v>
      </c>
      <c r="I913" t="s">
        <v>64</v>
      </c>
      <c r="J913" t="s">
        <v>65</v>
      </c>
      <c r="K913" t="s">
        <v>33</v>
      </c>
      <c r="L913">
        <v>1</v>
      </c>
      <c r="M913">
        <v>1</v>
      </c>
      <c r="N913">
        <v>2.5</v>
      </c>
      <c r="O913">
        <v>9.5</v>
      </c>
      <c r="P913">
        <v>6</v>
      </c>
      <c r="Q913">
        <v>6</v>
      </c>
      <c r="R913">
        <v>713361</v>
      </c>
      <c r="S913">
        <f>Table1[[#This Row],[Revenue]]-Table1[[#This Row],[Operating_Costs]]</f>
        <v>108594</v>
      </c>
      <c r="T913">
        <v>604767</v>
      </c>
      <c r="U913">
        <v>38</v>
      </c>
      <c r="V913">
        <v>59</v>
      </c>
      <c r="W913">
        <v>8.1999999999999993</v>
      </c>
    </row>
    <row r="914" spans="1:23" x14ac:dyDescent="0.25">
      <c r="A914">
        <v>2</v>
      </c>
      <c r="B914" t="s">
        <v>39</v>
      </c>
      <c r="C914" s="1">
        <v>45586</v>
      </c>
      <c r="D914" t="s">
        <v>71</v>
      </c>
      <c r="E914">
        <v>0</v>
      </c>
      <c r="F914">
        <v>48</v>
      </c>
      <c r="G914" t="str">
        <f t="shared" si="22"/>
        <v>41-60</v>
      </c>
      <c r="H914" t="s">
        <v>35</v>
      </c>
      <c r="I914" t="s">
        <v>31</v>
      </c>
      <c r="J914" t="s">
        <v>28</v>
      </c>
      <c r="K914" t="s">
        <v>33</v>
      </c>
      <c r="L914">
        <v>1</v>
      </c>
      <c r="M914">
        <v>1</v>
      </c>
      <c r="N914">
        <v>4.5999999999999996</v>
      </c>
      <c r="O914">
        <v>9.4</v>
      </c>
      <c r="P914">
        <v>6</v>
      </c>
      <c r="Q914">
        <v>4</v>
      </c>
      <c r="R914">
        <v>743910</v>
      </c>
      <c r="S914">
        <f>Table1[[#This Row],[Revenue]]-Table1[[#This Row],[Operating_Costs]]</f>
        <v>203323</v>
      </c>
      <c r="T914">
        <v>540587</v>
      </c>
      <c r="U914">
        <v>32</v>
      </c>
      <c r="V914">
        <v>56</v>
      </c>
      <c r="W914">
        <v>36.6</v>
      </c>
    </row>
    <row r="915" spans="1:23" x14ac:dyDescent="0.25">
      <c r="A915">
        <v>2</v>
      </c>
      <c r="B915" t="s">
        <v>39</v>
      </c>
      <c r="C915" s="1">
        <v>45209</v>
      </c>
      <c r="D915" t="s">
        <v>71</v>
      </c>
      <c r="E915">
        <v>0</v>
      </c>
      <c r="F915">
        <v>54</v>
      </c>
      <c r="G915" t="str">
        <f t="shared" si="22"/>
        <v>41-60</v>
      </c>
      <c r="H915" t="s">
        <v>23</v>
      </c>
      <c r="I915" t="s">
        <v>31</v>
      </c>
      <c r="J915" t="s">
        <v>28</v>
      </c>
      <c r="K915" t="s">
        <v>42</v>
      </c>
      <c r="L915">
        <v>1</v>
      </c>
      <c r="M915">
        <v>1</v>
      </c>
      <c r="N915">
        <v>5.2</v>
      </c>
      <c r="O915">
        <v>9.3000000000000007</v>
      </c>
      <c r="P915">
        <v>7</v>
      </c>
      <c r="Q915">
        <v>6</v>
      </c>
      <c r="R915">
        <v>650875</v>
      </c>
      <c r="S915">
        <f>Table1[[#This Row],[Revenue]]-Table1[[#This Row],[Operating_Costs]]</f>
        <v>72085</v>
      </c>
      <c r="T915">
        <v>578790</v>
      </c>
      <c r="U915">
        <v>35</v>
      </c>
      <c r="V915">
        <v>64</v>
      </c>
      <c r="W915">
        <v>8.5</v>
      </c>
    </row>
    <row r="916" spans="1:23" x14ac:dyDescent="0.25">
      <c r="A916">
        <v>1</v>
      </c>
      <c r="B916" t="s">
        <v>32</v>
      </c>
      <c r="C916" s="1">
        <v>44726</v>
      </c>
      <c r="D916" t="s">
        <v>71</v>
      </c>
      <c r="E916">
        <v>0</v>
      </c>
      <c r="F916">
        <v>63</v>
      </c>
      <c r="G916" t="str">
        <f t="shared" si="22"/>
        <v>61-80</v>
      </c>
      <c r="H916" t="s">
        <v>35</v>
      </c>
      <c r="I916" t="s">
        <v>58</v>
      </c>
      <c r="J916" t="s">
        <v>59</v>
      </c>
      <c r="K916" t="s">
        <v>26</v>
      </c>
      <c r="L916">
        <v>1</v>
      </c>
      <c r="M916">
        <v>1</v>
      </c>
      <c r="N916">
        <v>1.8</v>
      </c>
      <c r="O916">
        <v>7.7</v>
      </c>
      <c r="P916">
        <v>5</v>
      </c>
      <c r="Q916">
        <v>7</v>
      </c>
      <c r="R916">
        <v>962103</v>
      </c>
      <c r="S916">
        <f>Table1[[#This Row],[Revenue]]-Table1[[#This Row],[Operating_Costs]]</f>
        <v>275635</v>
      </c>
      <c r="T916">
        <v>686468</v>
      </c>
      <c r="U916">
        <v>36</v>
      </c>
      <c r="V916">
        <v>61</v>
      </c>
      <c r="W916">
        <v>9.6</v>
      </c>
    </row>
    <row r="917" spans="1:23" x14ac:dyDescent="0.25">
      <c r="A917">
        <v>2</v>
      </c>
      <c r="B917" t="s">
        <v>39</v>
      </c>
      <c r="C917" s="1">
        <v>44377</v>
      </c>
      <c r="D917" t="s">
        <v>71</v>
      </c>
      <c r="E917">
        <v>0</v>
      </c>
      <c r="F917">
        <v>68</v>
      </c>
      <c r="G917" t="str">
        <f t="shared" si="22"/>
        <v>61-80</v>
      </c>
      <c r="H917" t="s">
        <v>35</v>
      </c>
      <c r="I917" t="s">
        <v>36</v>
      </c>
      <c r="J917" t="s">
        <v>37</v>
      </c>
      <c r="K917" t="s">
        <v>33</v>
      </c>
      <c r="L917">
        <v>1</v>
      </c>
      <c r="M917">
        <v>1</v>
      </c>
      <c r="N917">
        <v>6.2</v>
      </c>
      <c r="O917">
        <v>7.6</v>
      </c>
      <c r="P917">
        <v>3</v>
      </c>
      <c r="Q917">
        <v>5</v>
      </c>
      <c r="R917">
        <v>896006</v>
      </c>
      <c r="S917">
        <f>Table1[[#This Row],[Revenue]]-Table1[[#This Row],[Operating_Costs]]</f>
        <v>278547</v>
      </c>
      <c r="T917">
        <v>617459</v>
      </c>
      <c r="U917">
        <v>37</v>
      </c>
      <c r="V917">
        <v>65</v>
      </c>
      <c r="W917">
        <v>8.8000000000000007</v>
      </c>
    </row>
    <row r="918" spans="1:23" x14ac:dyDescent="0.25">
      <c r="A918">
        <v>1</v>
      </c>
      <c r="B918" t="s">
        <v>32</v>
      </c>
      <c r="C918" s="1">
        <v>44362</v>
      </c>
      <c r="D918" t="s">
        <v>71</v>
      </c>
      <c r="E918">
        <v>0</v>
      </c>
      <c r="F918">
        <v>21</v>
      </c>
      <c r="G918" t="str">
        <f t="shared" si="22"/>
        <v>21-40</v>
      </c>
      <c r="H918" t="s">
        <v>23</v>
      </c>
      <c r="I918" t="s">
        <v>24</v>
      </c>
      <c r="J918" t="s">
        <v>25</v>
      </c>
      <c r="K918" t="s">
        <v>38</v>
      </c>
      <c r="L918">
        <v>1</v>
      </c>
      <c r="M918">
        <v>1</v>
      </c>
      <c r="N918">
        <v>2</v>
      </c>
      <c r="O918">
        <v>7.9</v>
      </c>
      <c r="P918">
        <v>4</v>
      </c>
      <c r="Q918">
        <v>4</v>
      </c>
      <c r="R918">
        <v>990987</v>
      </c>
      <c r="S918">
        <f>Table1[[#This Row],[Revenue]]-Table1[[#This Row],[Operating_Costs]]</f>
        <v>103350</v>
      </c>
      <c r="T918">
        <v>887637</v>
      </c>
      <c r="U918">
        <v>34</v>
      </c>
      <c r="V918">
        <v>55</v>
      </c>
      <c r="W918">
        <v>36.5</v>
      </c>
    </row>
    <row r="919" spans="1:23" x14ac:dyDescent="0.25">
      <c r="A919">
        <v>2</v>
      </c>
      <c r="B919" t="s">
        <v>39</v>
      </c>
      <c r="C919" s="1">
        <v>45600</v>
      </c>
      <c r="D919" t="s">
        <v>71</v>
      </c>
      <c r="E919">
        <v>0</v>
      </c>
      <c r="F919">
        <v>84</v>
      </c>
      <c r="G919" t="str">
        <f t="shared" si="22"/>
        <v>81+</v>
      </c>
      <c r="H919" t="s">
        <v>23</v>
      </c>
      <c r="I919" t="s">
        <v>64</v>
      </c>
      <c r="J919" t="s">
        <v>65</v>
      </c>
      <c r="K919" t="s">
        <v>26</v>
      </c>
      <c r="L919">
        <v>1</v>
      </c>
      <c r="M919">
        <v>1</v>
      </c>
      <c r="N919">
        <v>3.9</v>
      </c>
      <c r="O919">
        <v>8.1999999999999993</v>
      </c>
      <c r="P919">
        <v>6</v>
      </c>
      <c r="Q919">
        <v>5</v>
      </c>
      <c r="R919">
        <v>693664</v>
      </c>
      <c r="S919">
        <f>Table1[[#This Row],[Revenue]]-Table1[[#This Row],[Operating_Costs]]</f>
        <v>149228</v>
      </c>
      <c r="T919">
        <v>544436</v>
      </c>
      <c r="U919">
        <v>30</v>
      </c>
      <c r="V919">
        <v>59</v>
      </c>
      <c r="W919">
        <v>14.3</v>
      </c>
    </row>
    <row r="920" spans="1:23" x14ac:dyDescent="0.25">
      <c r="A920">
        <v>1</v>
      </c>
      <c r="B920" t="s">
        <v>32</v>
      </c>
      <c r="C920" s="1">
        <v>45513</v>
      </c>
      <c r="D920" t="s">
        <v>71</v>
      </c>
      <c r="E920">
        <v>0</v>
      </c>
      <c r="F920">
        <v>43</v>
      </c>
      <c r="G920" t="str">
        <f t="shared" si="22"/>
        <v>41-60</v>
      </c>
      <c r="H920" t="s">
        <v>35</v>
      </c>
      <c r="I920" t="s">
        <v>55</v>
      </c>
      <c r="J920" t="s">
        <v>56</v>
      </c>
      <c r="K920" t="s">
        <v>29</v>
      </c>
      <c r="L920">
        <v>1</v>
      </c>
      <c r="M920">
        <v>1</v>
      </c>
      <c r="N920">
        <v>3.4</v>
      </c>
      <c r="O920">
        <v>9.1</v>
      </c>
      <c r="P920">
        <v>7</v>
      </c>
      <c r="Q920">
        <v>5</v>
      </c>
      <c r="R920">
        <v>997645</v>
      </c>
      <c r="S920">
        <f>Table1[[#This Row],[Revenue]]-Table1[[#This Row],[Operating_Costs]]</f>
        <v>192468</v>
      </c>
      <c r="T920">
        <v>805177</v>
      </c>
      <c r="U920">
        <v>30</v>
      </c>
      <c r="V920">
        <v>56</v>
      </c>
      <c r="W920">
        <v>8.3000000000000007</v>
      </c>
    </row>
    <row r="921" spans="1:23" x14ac:dyDescent="0.25">
      <c r="A921">
        <v>2</v>
      </c>
      <c r="B921" t="s">
        <v>39</v>
      </c>
      <c r="C921" s="1">
        <v>44806</v>
      </c>
      <c r="D921" t="s">
        <v>71</v>
      </c>
      <c r="E921">
        <v>0</v>
      </c>
      <c r="F921">
        <v>69</v>
      </c>
      <c r="G921" t="str">
        <f t="shared" si="22"/>
        <v>61-80</v>
      </c>
      <c r="H921" t="s">
        <v>23</v>
      </c>
      <c r="I921" t="s">
        <v>24</v>
      </c>
      <c r="J921" t="s">
        <v>25</v>
      </c>
      <c r="K921" t="s">
        <v>33</v>
      </c>
      <c r="L921">
        <v>1</v>
      </c>
      <c r="M921">
        <v>1</v>
      </c>
      <c r="N921">
        <v>3.9</v>
      </c>
      <c r="O921">
        <v>7.8</v>
      </c>
      <c r="P921">
        <v>3</v>
      </c>
      <c r="Q921">
        <v>4</v>
      </c>
      <c r="R921">
        <v>671499</v>
      </c>
      <c r="S921">
        <f>Table1[[#This Row],[Revenue]]-Table1[[#This Row],[Operating_Costs]]</f>
        <v>158236</v>
      </c>
      <c r="T921">
        <v>513263</v>
      </c>
      <c r="U921">
        <v>31</v>
      </c>
      <c r="V921">
        <v>58</v>
      </c>
      <c r="W921">
        <v>5.2</v>
      </c>
    </row>
    <row r="922" spans="1:23" x14ac:dyDescent="0.25">
      <c r="A922">
        <v>2</v>
      </c>
      <c r="B922" t="s">
        <v>39</v>
      </c>
      <c r="C922" s="1">
        <v>45257</v>
      </c>
      <c r="D922" t="s">
        <v>71</v>
      </c>
      <c r="E922">
        <v>0</v>
      </c>
      <c r="F922">
        <v>63</v>
      </c>
      <c r="G922" t="str">
        <f t="shared" si="22"/>
        <v>61-80</v>
      </c>
      <c r="H922" t="s">
        <v>23</v>
      </c>
      <c r="I922" t="s">
        <v>46</v>
      </c>
      <c r="J922" t="s">
        <v>47</v>
      </c>
      <c r="K922" t="s">
        <v>29</v>
      </c>
      <c r="L922">
        <v>1</v>
      </c>
      <c r="M922">
        <v>1</v>
      </c>
      <c r="N922">
        <v>6.3</v>
      </c>
      <c r="O922">
        <v>9.6999999999999993</v>
      </c>
      <c r="P922">
        <v>7</v>
      </c>
      <c r="Q922">
        <v>4</v>
      </c>
      <c r="R922">
        <v>609086</v>
      </c>
      <c r="S922">
        <f>Table1[[#This Row],[Revenue]]-Table1[[#This Row],[Operating_Costs]]</f>
        <v>-16614</v>
      </c>
      <c r="T922">
        <v>625700</v>
      </c>
      <c r="U922">
        <v>37</v>
      </c>
      <c r="V922">
        <v>57</v>
      </c>
      <c r="W922">
        <v>8</v>
      </c>
    </row>
    <row r="923" spans="1:23" x14ac:dyDescent="0.25">
      <c r="A923">
        <v>2</v>
      </c>
      <c r="B923" t="s">
        <v>39</v>
      </c>
      <c r="C923" s="1">
        <v>44334</v>
      </c>
      <c r="D923" t="s">
        <v>71</v>
      </c>
      <c r="E923">
        <v>0</v>
      </c>
      <c r="F923">
        <v>67</v>
      </c>
      <c r="G923" t="str">
        <f t="shared" si="22"/>
        <v>61-80</v>
      </c>
      <c r="H923" t="s">
        <v>35</v>
      </c>
      <c r="I923" t="s">
        <v>60</v>
      </c>
      <c r="J923" t="s">
        <v>59</v>
      </c>
      <c r="K923" t="s">
        <v>26</v>
      </c>
      <c r="L923">
        <v>1</v>
      </c>
      <c r="M923">
        <v>1</v>
      </c>
      <c r="N923">
        <v>1.6</v>
      </c>
      <c r="O923">
        <v>7.2</v>
      </c>
      <c r="P923">
        <v>5</v>
      </c>
      <c r="Q923">
        <v>5</v>
      </c>
      <c r="R923">
        <v>853366</v>
      </c>
      <c r="S923">
        <f>Table1[[#This Row],[Revenue]]-Table1[[#This Row],[Operating_Costs]]</f>
        <v>209223</v>
      </c>
      <c r="T923">
        <v>644143</v>
      </c>
      <c r="U923">
        <v>40</v>
      </c>
      <c r="V923">
        <v>65</v>
      </c>
      <c r="W923">
        <v>9.6999999999999993</v>
      </c>
    </row>
    <row r="924" spans="1:23" x14ac:dyDescent="0.25">
      <c r="A924">
        <v>1</v>
      </c>
      <c r="B924" t="s">
        <v>32</v>
      </c>
      <c r="C924" s="1">
        <v>45241</v>
      </c>
      <c r="D924" t="s">
        <v>71</v>
      </c>
      <c r="E924">
        <v>0</v>
      </c>
      <c r="F924">
        <v>43</v>
      </c>
      <c r="G924" t="str">
        <f t="shared" si="22"/>
        <v>41-60</v>
      </c>
      <c r="H924" t="s">
        <v>23</v>
      </c>
      <c r="I924" t="s">
        <v>24</v>
      </c>
      <c r="J924" t="s">
        <v>25</v>
      </c>
      <c r="K924" t="s">
        <v>42</v>
      </c>
      <c r="L924">
        <v>1</v>
      </c>
      <c r="M924">
        <v>1</v>
      </c>
      <c r="N924">
        <v>4.3</v>
      </c>
      <c r="O924">
        <v>8.9</v>
      </c>
      <c r="P924">
        <v>5</v>
      </c>
      <c r="Q924">
        <v>7</v>
      </c>
      <c r="R924">
        <v>942302</v>
      </c>
      <c r="S924">
        <f>Table1[[#This Row],[Revenue]]-Table1[[#This Row],[Operating_Costs]]</f>
        <v>108441</v>
      </c>
      <c r="T924">
        <v>833861</v>
      </c>
      <c r="U924">
        <v>39</v>
      </c>
      <c r="V924">
        <v>54</v>
      </c>
      <c r="W924">
        <v>7.5</v>
      </c>
    </row>
    <row r="925" spans="1:23" x14ac:dyDescent="0.25">
      <c r="A925">
        <v>2</v>
      </c>
      <c r="B925" t="s">
        <v>39</v>
      </c>
      <c r="C925" s="1">
        <v>44930</v>
      </c>
      <c r="D925" t="s">
        <v>71</v>
      </c>
      <c r="E925">
        <v>0</v>
      </c>
      <c r="F925">
        <v>76</v>
      </c>
      <c r="G925" t="str">
        <f t="shared" si="22"/>
        <v>61-80</v>
      </c>
      <c r="H925" t="s">
        <v>23</v>
      </c>
      <c r="I925" t="s">
        <v>46</v>
      </c>
      <c r="J925" t="s">
        <v>47</v>
      </c>
      <c r="K925" t="s">
        <v>26</v>
      </c>
      <c r="L925">
        <v>1</v>
      </c>
      <c r="M925">
        <v>1</v>
      </c>
      <c r="N925">
        <v>6.8</v>
      </c>
      <c r="O925">
        <v>10</v>
      </c>
      <c r="P925">
        <v>7</v>
      </c>
      <c r="Q925">
        <v>3</v>
      </c>
      <c r="R925">
        <v>638780</v>
      </c>
      <c r="S925">
        <f>Table1[[#This Row],[Revenue]]-Table1[[#This Row],[Operating_Costs]]</f>
        <v>60986</v>
      </c>
      <c r="T925">
        <v>577794</v>
      </c>
      <c r="U925">
        <v>33</v>
      </c>
      <c r="V925">
        <v>65</v>
      </c>
      <c r="W925">
        <v>8.1999999999999993</v>
      </c>
    </row>
    <row r="926" spans="1:23" x14ac:dyDescent="0.25">
      <c r="A926">
        <v>2</v>
      </c>
      <c r="B926" t="s">
        <v>39</v>
      </c>
      <c r="C926" s="1">
        <v>45636</v>
      </c>
      <c r="D926" t="s">
        <v>71</v>
      </c>
      <c r="E926">
        <v>0</v>
      </c>
      <c r="F926">
        <v>83</v>
      </c>
      <c r="G926" t="str">
        <f t="shared" si="22"/>
        <v>81+</v>
      </c>
      <c r="H926" t="s">
        <v>35</v>
      </c>
      <c r="I926" t="s">
        <v>31</v>
      </c>
      <c r="J926" t="s">
        <v>28</v>
      </c>
      <c r="K926" t="s">
        <v>42</v>
      </c>
      <c r="L926">
        <v>1</v>
      </c>
      <c r="M926">
        <v>1</v>
      </c>
      <c r="N926">
        <v>5.2</v>
      </c>
      <c r="O926">
        <v>9.9</v>
      </c>
      <c r="P926">
        <v>6</v>
      </c>
      <c r="Q926">
        <v>4</v>
      </c>
      <c r="R926">
        <v>631830</v>
      </c>
      <c r="S926">
        <f>Table1[[#This Row],[Revenue]]-Table1[[#This Row],[Operating_Costs]]</f>
        <v>-13578</v>
      </c>
      <c r="T926">
        <v>645408</v>
      </c>
      <c r="U926">
        <v>36</v>
      </c>
      <c r="V926">
        <v>54</v>
      </c>
      <c r="W926">
        <v>10.3</v>
      </c>
    </row>
    <row r="927" spans="1:23" x14ac:dyDescent="0.25">
      <c r="A927">
        <v>1</v>
      </c>
      <c r="B927" t="s">
        <v>32</v>
      </c>
      <c r="C927" s="1">
        <v>44618</v>
      </c>
      <c r="D927" t="s">
        <v>71</v>
      </c>
      <c r="E927">
        <v>0</v>
      </c>
      <c r="F927">
        <v>77</v>
      </c>
      <c r="G927" t="str">
        <f t="shared" si="22"/>
        <v>61-80</v>
      </c>
      <c r="H927" t="s">
        <v>23</v>
      </c>
      <c r="I927" t="s">
        <v>24</v>
      </c>
      <c r="J927" t="s">
        <v>25</v>
      </c>
      <c r="K927" t="s">
        <v>38</v>
      </c>
      <c r="L927">
        <v>1</v>
      </c>
      <c r="M927">
        <v>1</v>
      </c>
      <c r="N927">
        <v>4</v>
      </c>
      <c r="O927">
        <v>9.9</v>
      </c>
      <c r="P927">
        <v>5</v>
      </c>
      <c r="Q927">
        <v>7</v>
      </c>
      <c r="R927">
        <v>952293</v>
      </c>
      <c r="S927">
        <f>Table1[[#This Row],[Revenue]]-Table1[[#This Row],[Operating_Costs]]</f>
        <v>224272</v>
      </c>
      <c r="T927">
        <v>728021</v>
      </c>
      <c r="U927">
        <v>35</v>
      </c>
      <c r="V927">
        <v>66</v>
      </c>
      <c r="W927">
        <v>7.3</v>
      </c>
    </row>
    <row r="928" spans="1:23" x14ac:dyDescent="0.25">
      <c r="A928">
        <v>1</v>
      </c>
      <c r="B928" t="s">
        <v>32</v>
      </c>
      <c r="C928" s="1">
        <v>44585</v>
      </c>
      <c r="D928" t="s">
        <v>71</v>
      </c>
      <c r="E928">
        <v>0</v>
      </c>
      <c r="F928">
        <v>43</v>
      </c>
      <c r="G928" t="str">
        <f t="shared" si="22"/>
        <v>41-60</v>
      </c>
      <c r="H928" t="s">
        <v>23</v>
      </c>
      <c r="I928" t="s">
        <v>31</v>
      </c>
      <c r="J928" t="s">
        <v>28</v>
      </c>
      <c r="K928" t="s">
        <v>38</v>
      </c>
      <c r="L928">
        <v>1</v>
      </c>
      <c r="M928">
        <v>1</v>
      </c>
      <c r="N928">
        <v>4.2</v>
      </c>
      <c r="O928">
        <v>9.6</v>
      </c>
      <c r="P928">
        <v>4</v>
      </c>
      <c r="Q928">
        <v>5</v>
      </c>
      <c r="R928">
        <v>945258</v>
      </c>
      <c r="S928">
        <f>Table1[[#This Row],[Revenue]]-Table1[[#This Row],[Operating_Costs]]</f>
        <v>315154</v>
      </c>
      <c r="T928">
        <v>630104</v>
      </c>
      <c r="U928">
        <v>39</v>
      </c>
      <c r="V928">
        <v>65</v>
      </c>
      <c r="W928">
        <v>5.9</v>
      </c>
    </row>
    <row r="929" spans="1:23" x14ac:dyDescent="0.25">
      <c r="A929">
        <v>2</v>
      </c>
      <c r="B929" t="s">
        <v>39</v>
      </c>
      <c r="C929" s="1">
        <v>44572</v>
      </c>
      <c r="D929" t="s">
        <v>71</v>
      </c>
      <c r="E929">
        <v>0</v>
      </c>
      <c r="F929">
        <v>23</v>
      </c>
      <c r="G929" t="str">
        <f t="shared" si="22"/>
        <v>21-40</v>
      </c>
      <c r="H929" t="s">
        <v>35</v>
      </c>
      <c r="I929" t="s">
        <v>36</v>
      </c>
      <c r="J929" t="s">
        <v>37</v>
      </c>
      <c r="K929" t="s">
        <v>26</v>
      </c>
      <c r="L929">
        <v>1</v>
      </c>
      <c r="M929">
        <v>1</v>
      </c>
      <c r="N929">
        <v>2.9</v>
      </c>
      <c r="O929">
        <v>9.6999999999999993</v>
      </c>
      <c r="P929">
        <v>6</v>
      </c>
      <c r="Q929">
        <v>5</v>
      </c>
      <c r="R929">
        <v>897967</v>
      </c>
      <c r="S929">
        <f>Table1[[#This Row],[Revenue]]-Table1[[#This Row],[Operating_Costs]]</f>
        <v>392444</v>
      </c>
      <c r="T929">
        <v>505523</v>
      </c>
      <c r="U929">
        <v>40</v>
      </c>
      <c r="V929">
        <v>57</v>
      </c>
      <c r="W929">
        <v>8.3000000000000007</v>
      </c>
    </row>
    <row r="930" spans="1:23" x14ac:dyDescent="0.25">
      <c r="A930">
        <v>2</v>
      </c>
      <c r="B930" t="s">
        <v>39</v>
      </c>
      <c r="C930" s="1">
        <v>44860</v>
      </c>
      <c r="D930" t="s">
        <v>71</v>
      </c>
      <c r="E930">
        <v>0</v>
      </c>
      <c r="F930">
        <v>51</v>
      </c>
      <c r="G930" t="str">
        <f t="shared" si="22"/>
        <v>41-60</v>
      </c>
      <c r="H930" t="s">
        <v>35</v>
      </c>
      <c r="I930" t="s">
        <v>27</v>
      </c>
      <c r="J930" t="s">
        <v>28</v>
      </c>
      <c r="K930" t="s">
        <v>26</v>
      </c>
      <c r="L930">
        <v>1</v>
      </c>
      <c r="M930">
        <v>1</v>
      </c>
      <c r="N930">
        <v>5.7</v>
      </c>
      <c r="O930">
        <v>9.8000000000000007</v>
      </c>
      <c r="P930">
        <v>5</v>
      </c>
      <c r="Q930">
        <v>5</v>
      </c>
      <c r="R930">
        <v>630181</v>
      </c>
      <c r="S930">
        <f>Table1[[#This Row],[Revenue]]-Table1[[#This Row],[Operating_Costs]]</f>
        <v>1345</v>
      </c>
      <c r="T930">
        <v>628836</v>
      </c>
      <c r="U930">
        <v>38</v>
      </c>
      <c r="V930">
        <v>66</v>
      </c>
      <c r="W930">
        <v>14.1</v>
      </c>
    </row>
    <row r="931" spans="1:23" x14ac:dyDescent="0.25">
      <c r="A931">
        <v>2</v>
      </c>
      <c r="B931" t="s">
        <v>39</v>
      </c>
      <c r="C931" s="1">
        <v>44373</v>
      </c>
      <c r="D931" t="s">
        <v>71</v>
      </c>
      <c r="E931">
        <v>0</v>
      </c>
      <c r="F931">
        <v>25</v>
      </c>
      <c r="G931" t="str">
        <f t="shared" si="22"/>
        <v>21-40</v>
      </c>
      <c r="H931" t="s">
        <v>23</v>
      </c>
      <c r="I931" t="s">
        <v>58</v>
      </c>
      <c r="J931" t="s">
        <v>59</v>
      </c>
      <c r="K931" t="s">
        <v>42</v>
      </c>
      <c r="L931">
        <v>1</v>
      </c>
      <c r="M931">
        <v>1</v>
      </c>
      <c r="N931">
        <v>2.7</v>
      </c>
      <c r="O931">
        <v>8.6</v>
      </c>
      <c r="P931">
        <v>3</v>
      </c>
      <c r="Q931">
        <v>4</v>
      </c>
      <c r="R931">
        <v>714640</v>
      </c>
      <c r="S931">
        <f>Table1[[#This Row],[Revenue]]-Table1[[#This Row],[Operating_Costs]]</f>
        <v>148035</v>
      </c>
      <c r="T931">
        <v>566605</v>
      </c>
      <c r="U931">
        <v>35</v>
      </c>
      <c r="V931">
        <v>59</v>
      </c>
      <c r="W931">
        <v>14.1</v>
      </c>
    </row>
    <row r="932" spans="1:23" x14ac:dyDescent="0.25">
      <c r="A932">
        <v>1</v>
      </c>
      <c r="B932" t="s">
        <v>32</v>
      </c>
      <c r="C932" s="1">
        <v>45314</v>
      </c>
      <c r="D932" t="s">
        <v>71</v>
      </c>
      <c r="E932">
        <v>0</v>
      </c>
      <c r="F932">
        <v>83</v>
      </c>
      <c r="G932" t="str">
        <f t="shared" si="22"/>
        <v>81+</v>
      </c>
      <c r="H932" t="s">
        <v>35</v>
      </c>
      <c r="I932" t="s">
        <v>31</v>
      </c>
      <c r="J932" t="s">
        <v>28</v>
      </c>
      <c r="K932" t="s">
        <v>38</v>
      </c>
      <c r="L932">
        <v>1</v>
      </c>
      <c r="M932">
        <v>1</v>
      </c>
      <c r="N932">
        <v>3.5</v>
      </c>
      <c r="O932">
        <v>7</v>
      </c>
      <c r="P932">
        <v>3</v>
      </c>
      <c r="Q932">
        <v>7</v>
      </c>
      <c r="R932">
        <v>958778</v>
      </c>
      <c r="S932">
        <f>Table1[[#This Row],[Revenue]]-Table1[[#This Row],[Operating_Costs]]</f>
        <v>233555</v>
      </c>
      <c r="T932">
        <v>725223</v>
      </c>
      <c r="U932">
        <v>34</v>
      </c>
      <c r="V932">
        <v>58</v>
      </c>
      <c r="W932">
        <v>13.9</v>
      </c>
    </row>
    <row r="933" spans="1:23" x14ac:dyDescent="0.25">
      <c r="A933">
        <v>1</v>
      </c>
      <c r="B933" t="s">
        <v>32</v>
      </c>
      <c r="C933" s="1">
        <v>45635</v>
      </c>
      <c r="D933" t="s">
        <v>71</v>
      </c>
      <c r="E933">
        <v>0</v>
      </c>
      <c r="F933">
        <v>43</v>
      </c>
      <c r="G933" t="str">
        <f t="shared" si="22"/>
        <v>41-60</v>
      </c>
      <c r="H933" t="s">
        <v>35</v>
      </c>
      <c r="I933" t="s">
        <v>55</v>
      </c>
      <c r="J933" t="s">
        <v>56</v>
      </c>
      <c r="K933" t="s">
        <v>38</v>
      </c>
      <c r="L933">
        <v>1</v>
      </c>
      <c r="M933">
        <v>1</v>
      </c>
      <c r="N933">
        <v>4.5999999999999996</v>
      </c>
      <c r="O933">
        <v>8.6999999999999993</v>
      </c>
      <c r="P933">
        <v>7</v>
      </c>
      <c r="Q933">
        <v>5</v>
      </c>
      <c r="R933">
        <v>989522</v>
      </c>
      <c r="S933">
        <f>Table1[[#This Row],[Revenue]]-Table1[[#This Row],[Operating_Costs]]</f>
        <v>202623</v>
      </c>
      <c r="T933">
        <v>786899</v>
      </c>
      <c r="U933">
        <v>38</v>
      </c>
      <c r="V933">
        <v>58</v>
      </c>
      <c r="W933">
        <v>36.6</v>
      </c>
    </row>
    <row r="934" spans="1:23" x14ac:dyDescent="0.25">
      <c r="A934">
        <v>1</v>
      </c>
      <c r="B934" t="s">
        <v>32</v>
      </c>
      <c r="C934" s="1">
        <v>44460</v>
      </c>
      <c r="D934" t="s">
        <v>71</v>
      </c>
      <c r="E934">
        <v>0</v>
      </c>
      <c r="F934">
        <v>31</v>
      </c>
      <c r="G934" t="str">
        <f t="shared" si="22"/>
        <v>21-40</v>
      </c>
      <c r="H934" t="s">
        <v>23</v>
      </c>
      <c r="I934" t="s">
        <v>24</v>
      </c>
      <c r="J934" t="s">
        <v>25</v>
      </c>
      <c r="K934" t="s">
        <v>42</v>
      </c>
      <c r="L934">
        <v>1</v>
      </c>
      <c r="M934">
        <v>1</v>
      </c>
      <c r="N934">
        <v>1.4</v>
      </c>
      <c r="O934">
        <v>9</v>
      </c>
      <c r="P934">
        <v>7</v>
      </c>
      <c r="Q934">
        <v>4</v>
      </c>
      <c r="R934">
        <v>996730</v>
      </c>
      <c r="S934">
        <f>Table1[[#This Row],[Revenue]]-Table1[[#This Row],[Operating_Costs]]</f>
        <v>139870</v>
      </c>
      <c r="T934">
        <v>856860</v>
      </c>
      <c r="U934">
        <v>36</v>
      </c>
      <c r="V934">
        <v>63</v>
      </c>
      <c r="W934">
        <v>14.9</v>
      </c>
    </row>
    <row r="935" spans="1:23" x14ac:dyDescent="0.25">
      <c r="A935">
        <v>2</v>
      </c>
      <c r="B935" t="s">
        <v>39</v>
      </c>
      <c r="C935" s="1">
        <v>44300</v>
      </c>
      <c r="D935" t="s">
        <v>71</v>
      </c>
      <c r="E935">
        <v>0</v>
      </c>
      <c r="F935">
        <v>41</v>
      </c>
      <c r="G935" t="str">
        <f t="shared" si="22"/>
        <v>41-60</v>
      </c>
      <c r="H935" t="s">
        <v>23</v>
      </c>
      <c r="I935" t="s">
        <v>24</v>
      </c>
      <c r="J935" t="s">
        <v>25</v>
      </c>
      <c r="K935" t="s">
        <v>42</v>
      </c>
      <c r="L935">
        <v>1</v>
      </c>
      <c r="M935">
        <v>1</v>
      </c>
      <c r="N935">
        <v>3.7</v>
      </c>
      <c r="O935">
        <v>7.4</v>
      </c>
      <c r="P935">
        <v>6</v>
      </c>
      <c r="Q935">
        <v>6</v>
      </c>
      <c r="R935">
        <v>747081</v>
      </c>
      <c r="S935">
        <f>Table1[[#This Row],[Revenue]]-Table1[[#This Row],[Operating_Costs]]</f>
        <v>241416</v>
      </c>
      <c r="T935">
        <v>505665</v>
      </c>
      <c r="U935">
        <v>36</v>
      </c>
      <c r="V935">
        <v>54</v>
      </c>
      <c r="W935">
        <v>6.2</v>
      </c>
    </row>
    <row r="936" spans="1:23" x14ac:dyDescent="0.25">
      <c r="A936">
        <v>2</v>
      </c>
      <c r="B936" t="s">
        <v>39</v>
      </c>
      <c r="C936" s="1">
        <v>45496</v>
      </c>
      <c r="D936" t="s">
        <v>71</v>
      </c>
      <c r="E936">
        <v>0</v>
      </c>
      <c r="F936">
        <v>21</v>
      </c>
      <c r="G936" t="str">
        <f t="shared" si="22"/>
        <v>21-40</v>
      </c>
      <c r="H936" t="s">
        <v>23</v>
      </c>
      <c r="I936" t="s">
        <v>58</v>
      </c>
      <c r="J936" t="s">
        <v>59</v>
      </c>
      <c r="K936" t="s">
        <v>38</v>
      </c>
      <c r="L936">
        <v>1</v>
      </c>
      <c r="M936">
        <v>1</v>
      </c>
      <c r="N936">
        <v>3.1</v>
      </c>
      <c r="O936">
        <v>8.8000000000000007</v>
      </c>
      <c r="P936">
        <v>3</v>
      </c>
      <c r="Q936">
        <v>6</v>
      </c>
      <c r="R936">
        <v>776097</v>
      </c>
      <c r="S936">
        <f>Table1[[#This Row],[Revenue]]-Table1[[#This Row],[Operating_Costs]]</f>
        <v>139830</v>
      </c>
      <c r="T936">
        <v>636267</v>
      </c>
      <c r="U936">
        <v>34</v>
      </c>
      <c r="V936">
        <v>65</v>
      </c>
      <c r="W936">
        <v>5.4</v>
      </c>
    </row>
    <row r="937" spans="1:23" x14ac:dyDescent="0.25">
      <c r="A937">
        <v>1</v>
      </c>
      <c r="B937" t="s">
        <v>32</v>
      </c>
      <c r="C937" s="1">
        <v>45609</v>
      </c>
      <c r="D937" t="s">
        <v>71</v>
      </c>
      <c r="E937">
        <v>0</v>
      </c>
      <c r="F937">
        <v>41</v>
      </c>
      <c r="G937" t="str">
        <f t="shared" si="22"/>
        <v>41-60</v>
      </c>
      <c r="H937" t="s">
        <v>35</v>
      </c>
      <c r="I937" t="s">
        <v>61</v>
      </c>
      <c r="J937" t="s">
        <v>62</v>
      </c>
      <c r="K937" t="s">
        <v>42</v>
      </c>
      <c r="L937">
        <v>1</v>
      </c>
      <c r="M937">
        <v>1</v>
      </c>
      <c r="N937">
        <v>5.9</v>
      </c>
      <c r="O937">
        <v>7.6</v>
      </c>
      <c r="P937">
        <v>6</v>
      </c>
      <c r="Q937">
        <v>5</v>
      </c>
      <c r="R937">
        <v>986509</v>
      </c>
      <c r="S937">
        <f>Table1[[#This Row],[Revenue]]-Table1[[#This Row],[Operating_Costs]]</f>
        <v>201931</v>
      </c>
      <c r="T937">
        <v>784578</v>
      </c>
      <c r="U937">
        <v>32</v>
      </c>
      <c r="V937">
        <v>54</v>
      </c>
      <c r="W937">
        <v>14.5</v>
      </c>
    </row>
    <row r="938" spans="1:23" x14ac:dyDescent="0.25">
      <c r="A938">
        <v>2</v>
      </c>
      <c r="B938" t="s">
        <v>39</v>
      </c>
      <c r="C938" s="1">
        <v>45501</v>
      </c>
      <c r="D938" t="s">
        <v>71</v>
      </c>
      <c r="E938">
        <v>0</v>
      </c>
      <c r="F938">
        <v>41</v>
      </c>
      <c r="G938" t="str">
        <f t="shared" si="22"/>
        <v>41-60</v>
      </c>
      <c r="H938" t="s">
        <v>35</v>
      </c>
      <c r="I938" t="s">
        <v>64</v>
      </c>
      <c r="J938" t="s">
        <v>65</v>
      </c>
      <c r="K938" t="s">
        <v>29</v>
      </c>
      <c r="L938">
        <v>1</v>
      </c>
      <c r="M938">
        <v>1</v>
      </c>
      <c r="N938">
        <v>3</v>
      </c>
      <c r="O938">
        <v>8</v>
      </c>
      <c r="P938">
        <v>6</v>
      </c>
      <c r="Q938">
        <v>5</v>
      </c>
      <c r="R938">
        <v>625121</v>
      </c>
      <c r="S938">
        <f>Table1[[#This Row],[Revenue]]-Table1[[#This Row],[Operating_Costs]]</f>
        <v>93353</v>
      </c>
      <c r="T938">
        <v>531768</v>
      </c>
      <c r="U938">
        <v>30</v>
      </c>
      <c r="V938">
        <v>57</v>
      </c>
      <c r="W938">
        <v>14.9</v>
      </c>
    </row>
    <row r="939" spans="1:23" x14ac:dyDescent="0.25">
      <c r="A939">
        <v>1</v>
      </c>
      <c r="B939" t="s">
        <v>32</v>
      </c>
      <c r="C939" s="1">
        <v>44676</v>
      </c>
      <c r="D939" t="s">
        <v>71</v>
      </c>
      <c r="E939">
        <v>0</v>
      </c>
      <c r="F939">
        <v>49</v>
      </c>
      <c r="G939" t="str">
        <f t="shared" si="22"/>
        <v>41-60</v>
      </c>
      <c r="H939" t="s">
        <v>23</v>
      </c>
      <c r="I939" t="s">
        <v>50</v>
      </c>
      <c r="J939" t="s">
        <v>51</v>
      </c>
      <c r="K939" t="s">
        <v>26</v>
      </c>
      <c r="L939">
        <v>1</v>
      </c>
      <c r="M939">
        <v>1</v>
      </c>
      <c r="N939">
        <v>1.5</v>
      </c>
      <c r="O939">
        <v>9</v>
      </c>
      <c r="P939">
        <v>4</v>
      </c>
      <c r="Q939">
        <v>7</v>
      </c>
      <c r="R939">
        <v>996306</v>
      </c>
      <c r="S939">
        <f>Table1[[#This Row],[Revenue]]-Table1[[#This Row],[Operating_Costs]]</f>
        <v>293500</v>
      </c>
      <c r="T939">
        <v>702806</v>
      </c>
      <c r="U939">
        <v>33</v>
      </c>
      <c r="V939">
        <v>58</v>
      </c>
      <c r="W939">
        <v>6</v>
      </c>
    </row>
    <row r="940" spans="1:23" x14ac:dyDescent="0.25">
      <c r="A940">
        <v>2</v>
      </c>
      <c r="B940" t="s">
        <v>39</v>
      </c>
      <c r="C940" s="1">
        <v>45594</v>
      </c>
      <c r="D940" t="s">
        <v>71</v>
      </c>
      <c r="E940">
        <v>0</v>
      </c>
      <c r="F940">
        <v>46</v>
      </c>
      <c r="G940" t="str">
        <f t="shared" si="22"/>
        <v>41-60</v>
      </c>
      <c r="H940" t="s">
        <v>35</v>
      </c>
      <c r="I940" t="s">
        <v>58</v>
      </c>
      <c r="J940" t="s">
        <v>59</v>
      </c>
      <c r="K940" t="s">
        <v>42</v>
      </c>
      <c r="L940">
        <v>1</v>
      </c>
      <c r="M940">
        <v>1</v>
      </c>
      <c r="N940">
        <v>3.8</v>
      </c>
      <c r="O940">
        <v>8.3000000000000007</v>
      </c>
      <c r="P940">
        <v>3</v>
      </c>
      <c r="Q940">
        <v>5</v>
      </c>
      <c r="R940">
        <v>640883</v>
      </c>
      <c r="S940">
        <f>Table1[[#This Row],[Revenue]]-Table1[[#This Row],[Operating_Costs]]</f>
        <v>114261</v>
      </c>
      <c r="T940">
        <v>526622</v>
      </c>
      <c r="U940">
        <v>38</v>
      </c>
      <c r="V940">
        <v>60</v>
      </c>
      <c r="W940">
        <v>7</v>
      </c>
    </row>
    <row r="941" spans="1:23" x14ac:dyDescent="0.25">
      <c r="A941">
        <v>1</v>
      </c>
      <c r="B941" t="s">
        <v>32</v>
      </c>
      <c r="C941" s="1">
        <v>45164</v>
      </c>
      <c r="D941" t="s">
        <v>71</v>
      </c>
      <c r="E941">
        <v>0</v>
      </c>
      <c r="F941">
        <v>67</v>
      </c>
      <c r="G941" t="str">
        <f t="shared" si="22"/>
        <v>61-80</v>
      </c>
      <c r="H941" t="s">
        <v>35</v>
      </c>
      <c r="I941" t="s">
        <v>36</v>
      </c>
      <c r="J941" t="s">
        <v>37</v>
      </c>
      <c r="K941" t="s">
        <v>26</v>
      </c>
      <c r="L941">
        <v>1</v>
      </c>
      <c r="M941">
        <v>1</v>
      </c>
      <c r="N941">
        <v>3</v>
      </c>
      <c r="O941">
        <v>7.1</v>
      </c>
      <c r="P941">
        <v>3</v>
      </c>
      <c r="Q941">
        <v>6</v>
      </c>
      <c r="R941">
        <v>968840</v>
      </c>
      <c r="S941">
        <f>Table1[[#This Row],[Revenue]]-Table1[[#This Row],[Operating_Costs]]</f>
        <v>356123</v>
      </c>
      <c r="T941">
        <v>612717</v>
      </c>
      <c r="U941">
        <v>38</v>
      </c>
      <c r="V941">
        <v>55</v>
      </c>
      <c r="W941">
        <v>14.5</v>
      </c>
    </row>
    <row r="942" spans="1:23" x14ac:dyDescent="0.25">
      <c r="A942">
        <v>2</v>
      </c>
      <c r="B942" t="s">
        <v>39</v>
      </c>
      <c r="C942" s="1">
        <v>45069</v>
      </c>
      <c r="D942" t="s">
        <v>71</v>
      </c>
      <c r="E942">
        <v>0</v>
      </c>
      <c r="F942">
        <v>25</v>
      </c>
      <c r="G942" t="str">
        <f t="shared" si="22"/>
        <v>21-40</v>
      </c>
      <c r="H942" t="s">
        <v>35</v>
      </c>
      <c r="I942" t="s">
        <v>36</v>
      </c>
      <c r="J942" t="s">
        <v>37</v>
      </c>
      <c r="K942" t="s">
        <v>26</v>
      </c>
      <c r="L942">
        <v>1</v>
      </c>
      <c r="M942">
        <v>1</v>
      </c>
      <c r="N942">
        <v>5.0999999999999996</v>
      </c>
      <c r="O942">
        <v>8.1999999999999993</v>
      </c>
      <c r="P942">
        <v>7</v>
      </c>
      <c r="Q942">
        <v>5</v>
      </c>
      <c r="R942">
        <v>864871</v>
      </c>
      <c r="S942">
        <f>Table1[[#This Row],[Revenue]]-Table1[[#This Row],[Operating_Costs]]</f>
        <v>344362</v>
      </c>
      <c r="T942">
        <v>520509</v>
      </c>
      <c r="U942">
        <v>35</v>
      </c>
      <c r="V942">
        <v>59</v>
      </c>
      <c r="W942">
        <v>36.1</v>
      </c>
    </row>
    <row r="943" spans="1:23" x14ac:dyDescent="0.25">
      <c r="A943">
        <v>2</v>
      </c>
      <c r="B943" t="s">
        <v>39</v>
      </c>
      <c r="C943" s="1">
        <v>44921</v>
      </c>
      <c r="D943" t="s">
        <v>71</v>
      </c>
      <c r="E943">
        <v>0</v>
      </c>
      <c r="F943">
        <v>33</v>
      </c>
      <c r="G943" t="str">
        <f t="shared" si="22"/>
        <v>21-40</v>
      </c>
      <c r="H943" t="s">
        <v>23</v>
      </c>
      <c r="I943" t="s">
        <v>31</v>
      </c>
      <c r="J943" t="s">
        <v>28</v>
      </c>
      <c r="K943" t="s">
        <v>29</v>
      </c>
      <c r="L943">
        <v>1</v>
      </c>
      <c r="M943">
        <v>1</v>
      </c>
      <c r="N943">
        <v>3.3</v>
      </c>
      <c r="O943">
        <v>9</v>
      </c>
      <c r="P943">
        <v>7</v>
      </c>
      <c r="Q943">
        <v>3</v>
      </c>
      <c r="R943">
        <v>800329</v>
      </c>
      <c r="S943">
        <f>Table1[[#This Row],[Revenue]]-Table1[[#This Row],[Operating_Costs]]</f>
        <v>224237</v>
      </c>
      <c r="T943">
        <v>576092</v>
      </c>
      <c r="U943">
        <v>35</v>
      </c>
      <c r="V943">
        <v>63</v>
      </c>
      <c r="W943">
        <v>5.4</v>
      </c>
    </row>
    <row r="944" spans="1:23" x14ac:dyDescent="0.25">
      <c r="A944">
        <v>2</v>
      </c>
      <c r="B944" t="s">
        <v>39</v>
      </c>
      <c r="C944" s="1">
        <v>45169</v>
      </c>
      <c r="D944" t="s">
        <v>71</v>
      </c>
      <c r="E944">
        <v>0</v>
      </c>
      <c r="F944">
        <v>73</v>
      </c>
      <c r="G944" t="str">
        <f t="shared" si="22"/>
        <v>61-80</v>
      </c>
      <c r="H944" t="s">
        <v>35</v>
      </c>
      <c r="I944" t="s">
        <v>55</v>
      </c>
      <c r="J944" t="s">
        <v>56</v>
      </c>
      <c r="K944" t="s">
        <v>26</v>
      </c>
      <c r="L944">
        <v>1</v>
      </c>
      <c r="M944">
        <v>1</v>
      </c>
      <c r="N944">
        <v>5.9</v>
      </c>
      <c r="O944">
        <v>9</v>
      </c>
      <c r="P944">
        <v>7</v>
      </c>
      <c r="Q944">
        <v>3</v>
      </c>
      <c r="R944">
        <v>875743</v>
      </c>
      <c r="S944">
        <f>Table1[[#This Row],[Revenue]]-Table1[[#This Row],[Operating_Costs]]</f>
        <v>242703</v>
      </c>
      <c r="T944">
        <v>633040</v>
      </c>
      <c r="U944">
        <v>31</v>
      </c>
      <c r="V944">
        <v>62</v>
      </c>
      <c r="W944">
        <v>7.3</v>
      </c>
    </row>
    <row r="945" spans="1:23" x14ac:dyDescent="0.25">
      <c r="A945">
        <v>2</v>
      </c>
      <c r="B945" t="s">
        <v>39</v>
      </c>
      <c r="C945" s="1">
        <v>45349</v>
      </c>
      <c r="D945" t="s">
        <v>71</v>
      </c>
      <c r="E945">
        <v>0</v>
      </c>
      <c r="F945">
        <v>76</v>
      </c>
      <c r="G945" t="str">
        <f t="shared" si="22"/>
        <v>61-80</v>
      </c>
      <c r="H945" t="s">
        <v>23</v>
      </c>
      <c r="I945" t="s">
        <v>58</v>
      </c>
      <c r="J945" t="s">
        <v>59</v>
      </c>
      <c r="K945" t="s">
        <v>33</v>
      </c>
      <c r="L945">
        <v>1</v>
      </c>
      <c r="M945">
        <v>1</v>
      </c>
      <c r="N945">
        <v>4.9000000000000004</v>
      </c>
      <c r="O945">
        <v>8</v>
      </c>
      <c r="P945">
        <v>5</v>
      </c>
      <c r="Q945">
        <v>5</v>
      </c>
      <c r="R945">
        <v>615476</v>
      </c>
      <c r="S945">
        <f>Table1[[#This Row],[Revenue]]-Table1[[#This Row],[Operating_Costs]]</f>
        <v>112434</v>
      </c>
      <c r="T945">
        <v>503042</v>
      </c>
      <c r="U945">
        <v>37</v>
      </c>
      <c r="V945">
        <v>62</v>
      </c>
      <c r="W945">
        <v>10.4</v>
      </c>
    </row>
    <row r="946" spans="1:23" x14ac:dyDescent="0.25">
      <c r="A946">
        <v>2</v>
      </c>
      <c r="B946" t="s">
        <v>39</v>
      </c>
      <c r="C946" s="1">
        <v>44941</v>
      </c>
      <c r="D946" t="s">
        <v>71</v>
      </c>
      <c r="E946">
        <v>0</v>
      </c>
      <c r="F946">
        <v>80</v>
      </c>
      <c r="G946" t="str">
        <f t="shared" si="22"/>
        <v>61-80</v>
      </c>
      <c r="H946" t="s">
        <v>23</v>
      </c>
      <c r="I946" t="s">
        <v>58</v>
      </c>
      <c r="J946" t="s">
        <v>59</v>
      </c>
      <c r="K946" t="s">
        <v>42</v>
      </c>
      <c r="L946">
        <v>1</v>
      </c>
      <c r="M946">
        <v>1</v>
      </c>
      <c r="N946">
        <v>5.3</v>
      </c>
      <c r="O946">
        <v>9.3000000000000007</v>
      </c>
      <c r="P946">
        <v>4</v>
      </c>
      <c r="Q946">
        <v>3</v>
      </c>
      <c r="R946">
        <v>836790</v>
      </c>
      <c r="S946">
        <f>Table1[[#This Row],[Revenue]]-Table1[[#This Row],[Operating_Costs]]</f>
        <v>308823</v>
      </c>
      <c r="T946">
        <v>527967</v>
      </c>
      <c r="U946">
        <v>33</v>
      </c>
      <c r="V946">
        <v>64</v>
      </c>
      <c r="W946">
        <v>9.9</v>
      </c>
    </row>
    <row r="947" spans="1:23" x14ac:dyDescent="0.25">
      <c r="A947">
        <v>1</v>
      </c>
      <c r="B947" t="s">
        <v>32</v>
      </c>
      <c r="C947" s="1">
        <v>44986</v>
      </c>
      <c r="D947" t="s">
        <v>71</v>
      </c>
      <c r="E947">
        <v>0</v>
      </c>
      <c r="F947">
        <v>37</v>
      </c>
      <c r="G947" t="str">
        <f t="shared" si="22"/>
        <v>21-40</v>
      </c>
      <c r="H947" t="s">
        <v>35</v>
      </c>
      <c r="I947" t="s">
        <v>55</v>
      </c>
      <c r="J947" t="s">
        <v>56</v>
      </c>
      <c r="K947" t="s">
        <v>26</v>
      </c>
      <c r="L947">
        <v>1</v>
      </c>
      <c r="M947">
        <v>1</v>
      </c>
      <c r="N947">
        <v>6.1</v>
      </c>
      <c r="O947">
        <v>8.1</v>
      </c>
      <c r="P947">
        <v>3</v>
      </c>
      <c r="Q947">
        <v>7</v>
      </c>
      <c r="R947">
        <v>942164</v>
      </c>
      <c r="S947">
        <f>Table1[[#This Row],[Revenue]]-Table1[[#This Row],[Operating_Costs]]</f>
        <v>141641</v>
      </c>
      <c r="T947">
        <v>800523</v>
      </c>
      <c r="U947">
        <v>40</v>
      </c>
      <c r="V947">
        <v>60</v>
      </c>
      <c r="W947">
        <v>5</v>
      </c>
    </row>
    <row r="948" spans="1:23" x14ac:dyDescent="0.25">
      <c r="A948">
        <v>1</v>
      </c>
      <c r="B948" t="s">
        <v>32</v>
      </c>
      <c r="C948" s="1">
        <v>44654</v>
      </c>
      <c r="D948" t="s">
        <v>71</v>
      </c>
      <c r="E948">
        <v>0</v>
      </c>
      <c r="F948">
        <v>33</v>
      </c>
      <c r="G948" t="str">
        <f t="shared" si="22"/>
        <v>21-40</v>
      </c>
      <c r="H948" t="s">
        <v>35</v>
      </c>
      <c r="I948" t="s">
        <v>36</v>
      </c>
      <c r="J948" t="s">
        <v>37</v>
      </c>
      <c r="K948" t="s">
        <v>26</v>
      </c>
      <c r="L948">
        <v>1</v>
      </c>
      <c r="M948">
        <v>1</v>
      </c>
      <c r="N948">
        <v>6.1</v>
      </c>
      <c r="O948">
        <v>9.3000000000000007</v>
      </c>
      <c r="P948">
        <v>5</v>
      </c>
      <c r="Q948">
        <v>6</v>
      </c>
      <c r="R948">
        <v>904373</v>
      </c>
      <c r="S948">
        <f>Table1[[#This Row],[Revenue]]-Table1[[#This Row],[Operating_Costs]]</f>
        <v>64345</v>
      </c>
      <c r="T948">
        <v>840028</v>
      </c>
      <c r="U948">
        <v>34</v>
      </c>
      <c r="V948">
        <v>55</v>
      </c>
      <c r="W948">
        <v>7.6</v>
      </c>
    </row>
    <row r="949" spans="1:23" x14ac:dyDescent="0.25">
      <c r="A949">
        <v>2</v>
      </c>
      <c r="B949" t="s">
        <v>39</v>
      </c>
      <c r="C949" s="1">
        <v>45275</v>
      </c>
      <c r="D949" t="s">
        <v>71</v>
      </c>
      <c r="E949">
        <v>0</v>
      </c>
      <c r="F949">
        <v>61</v>
      </c>
      <c r="G949" t="str">
        <f t="shared" si="22"/>
        <v>61-80</v>
      </c>
      <c r="H949" t="s">
        <v>35</v>
      </c>
      <c r="I949" t="s">
        <v>61</v>
      </c>
      <c r="J949" t="s">
        <v>62</v>
      </c>
      <c r="K949" t="s">
        <v>42</v>
      </c>
      <c r="L949">
        <v>1</v>
      </c>
      <c r="M949">
        <v>1</v>
      </c>
      <c r="N949">
        <v>1.6</v>
      </c>
      <c r="O949">
        <v>7.7</v>
      </c>
      <c r="P949">
        <v>4</v>
      </c>
      <c r="Q949">
        <v>7</v>
      </c>
      <c r="R949">
        <v>743608</v>
      </c>
      <c r="S949">
        <f>Table1[[#This Row],[Revenue]]-Table1[[#This Row],[Operating_Costs]]</f>
        <v>185249</v>
      </c>
      <c r="T949">
        <v>558359</v>
      </c>
      <c r="U949">
        <v>35</v>
      </c>
      <c r="V949">
        <v>56</v>
      </c>
      <c r="W949">
        <v>6.7</v>
      </c>
    </row>
    <row r="950" spans="1:23" x14ac:dyDescent="0.25">
      <c r="A950">
        <v>1</v>
      </c>
      <c r="B950" t="s">
        <v>32</v>
      </c>
      <c r="C950" s="1">
        <v>45406</v>
      </c>
      <c r="D950" t="s">
        <v>71</v>
      </c>
      <c r="E950">
        <v>0</v>
      </c>
      <c r="F950">
        <v>64</v>
      </c>
      <c r="G950" t="str">
        <f t="shared" si="22"/>
        <v>61-80</v>
      </c>
      <c r="H950" t="s">
        <v>23</v>
      </c>
      <c r="I950" t="s">
        <v>46</v>
      </c>
      <c r="J950" t="s">
        <v>47</v>
      </c>
      <c r="K950" t="s">
        <v>26</v>
      </c>
      <c r="L950">
        <v>1</v>
      </c>
      <c r="M950">
        <v>1</v>
      </c>
      <c r="N950">
        <v>1.6</v>
      </c>
      <c r="O950">
        <v>7.7</v>
      </c>
      <c r="P950">
        <v>7</v>
      </c>
      <c r="Q950">
        <v>5</v>
      </c>
      <c r="R950">
        <v>904756</v>
      </c>
      <c r="S950">
        <f>Table1[[#This Row],[Revenue]]-Table1[[#This Row],[Operating_Costs]]</f>
        <v>208034</v>
      </c>
      <c r="T950">
        <v>696722</v>
      </c>
      <c r="U950">
        <v>34</v>
      </c>
      <c r="V950">
        <v>66</v>
      </c>
      <c r="W950">
        <v>36.5</v>
      </c>
    </row>
    <row r="951" spans="1:23" x14ac:dyDescent="0.25">
      <c r="A951">
        <v>2</v>
      </c>
      <c r="B951" t="s">
        <v>39</v>
      </c>
      <c r="C951" s="1">
        <v>45219</v>
      </c>
      <c r="D951" t="s">
        <v>71</v>
      </c>
      <c r="E951">
        <v>0</v>
      </c>
      <c r="F951">
        <v>22</v>
      </c>
      <c r="G951" t="str">
        <f t="shared" si="22"/>
        <v>21-40</v>
      </c>
      <c r="H951" t="s">
        <v>35</v>
      </c>
      <c r="I951" t="s">
        <v>55</v>
      </c>
      <c r="J951" t="s">
        <v>56</v>
      </c>
      <c r="K951" t="s">
        <v>38</v>
      </c>
      <c r="L951">
        <v>1</v>
      </c>
      <c r="M951">
        <v>1</v>
      </c>
      <c r="N951">
        <v>6.5</v>
      </c>
      <c r="O951">
        <v>7.3</v>
      </c>
      <c r="P951">
        <v>6</v>
      </c>
      <c r="Q951">
        <v>5</v>
      </c>
      <c r="R951">
        <v>838834</v>
      </c>
      <c r="S951">
        <f>Table1[[#This Row],[Revenue]]-Table1[[#This Row],[Operating_Costs]]</f>
        <v>259368</v>
      </c>
      <c r="T951">
        <v>579466</v>
      </c>
      <c r="U951">
        <v>32</v>
      </c>
      <c r="V951">
        <v>66</v>
      </c>
      <c r="W951">
        <v>7.2</v>
      </c>
    </row>
    <row r="952" spans="1:23" x14ac:dyDescent="0.25">
      <c r="A952">
        <v>1</v>
      </c>
      <c r="B952" t="s">
        <v>32</v>
      </c>
      <c r="C952" s="1">
        <v>44347</v>
      </c>
      <c r="D952" t="s">
        <v>71</v>
      </c>
      <c r="E952">
        <v>0</v>
      </c>
      <c r="F952">
        <v>64</v>
      </c>
      <c r="G952" t="str">
        <f t="shared" si="22"/>
        <v>61-80</v>
      </c>
      <c r="H952" t="s">
        <v>23</v>
      </c>
      <c r="I952" t="s">
        <v>24</v>
      </c>
      <c r="J952" t="s">
        <v>25</v>
      </c>
      <c r="K952" t="s">
        <v>38</v>
      </c>
      <c r="L952">
        <v>1</v>
      </c>
      <c r="M952">
        <v>1</v>
      </c>
      <c r="N952">
        <v>3.1</v>
      </c>
      <c r="O952">
        <v>7.4</v>
      </c>
      <c r="P952">
        <v>6</v>
      </c>
      <c r="Q952">
        <v>7</v>
      </c>
      <c r="R952">
        <v>950526</v>
      </c>
      <c r="S952">
        <f>Table1[[#This Row],[Revenue]]-Table1[[#This Row],[Operating_Costs]]</f>
        <v>337805</v>
      </c>
      <c r="T952">
        <v>612721</v>
      </c>
      <c r="U952">
        <v>30</v>
      </c>
      <c r="V952">
        <v>55</v>
      </c>
      <c r="W952">
        <v>6.2</v>
      </c>
    </row>
    <row r="953" spans="1:23" x14ac:dyDescent="0.25">
      <c r="A953">
        <v>2</v>
      </c>
      <c r="B953" t="s">
        <v>39</v>
      </c>
      <c r="C953" s="1">
        <v>44567</v>
      </c>
      <c r="D953" t="s">
        <v>71</v>
      </c>
      <c r="E953">
        <v>0</v>
      </c>
      <c r="F953">
        <v>31</v>
      </c>
      <c r="G953" t="str">
        <f t="shared" si="22"/>
        <v>21-40</v>
      </c>
      <c r="H953" t="s">
        <v>35</v>
      </c>
      <c r="I953" t="s">
        <v>50</v>
      </c>
      <c r="J953" t="s">
        <v>51</v>
      </c>
      <c r="K953" t="s">
        <v>42</v>
      </c>
      <c r="L953">
        <v>1</v>
      </c>
      <c r="M953">
        <v>1</v>
      </c>
      <c r="N953">
        <v>2.4</v>
      </c>
      <c r="O953">
        <v>9.8000000000000007</v>
      </c>
      <c r="P953">
        <v>5</v>
      </c>
      <c r="Q953">
        <v>6</v>
      </c>
      <c r="R953">
        <v>734167</v>
      </c>
      <c r="S953">
        <f>Table1[[#This Row],[Revenue]]-Table1[[#This Row],[Operating_Costs]]</f>
        <v>168318</v>
      </c>
      <c r="T953">
        <v>565849</v>
      </c>
      <c r="U953">
        <v>30</v>
      </c>
      <c r="V953">
        <v>56</v>
      </c>
      <c r="W953">
        <v>6.2</v>
      </c>
    </row>
    <row r="954" spans="1:23" x14ac:dyDescent="0.25">
      <c r="A954">
        <v>2</v>
      </c>
      <c r="B954" t="s">
        <v>39</v>
      </c>
      <c r="C954" s="1">
        <v>45502</v>
      </c>
      <c r="D954" t="s">
        <v>71</v>
      </c>
      <c r="E954">
        <v>0</v>
      </c>
      <c r="F954">
        <v>76</v>
      </c>
      <c r="G954" t="str">
        <f t="shared" si="22"/>
        <v>61-80</v>
      </c>
      <c r="H954" t="s">
        <v>23</v>
      </c>
      <c r="I954" t="s">
        <v>31</v>
      </c>
      <c r="J954" t="s">
        <v>28</v>
      </c>
      <c r="K954" t="s">
        <v>29</v>
      </c>
      <c r="L954">
        <v>1</v>
      </c>
      <c r="M954">
        <v>1</v>
      </c>
      <c r="N954">
        <v>1.9</v>
      </c>
      <c r="O954">
        <v>7.9</v>
      </c>
      <c r="P954">
        <v>7</v>
      </c>
      <c r="Q954">
        <v>7</v>
      </c>
      <c r="R954">
        <v>814539</v>
      </c>
      <c r="S954">
        <f>Table1[[#This Row],[Revenue]]-Table1[[#This Row],[Operating_Costs]]</f>
        <v>287860</v>
      </c>
      <c r="T954">
        <v>526679</v>
      </c>
      <c r="U954">
        <v>35</v>
      </c>
      <c r="V954">
        <v>59</v>
      </c>
      <c r="W954">
        <v>13.5</v>
      </c>
    </row>
    <row r="955" spans="1:23" x14ac:dyDescent="0.25">
      <c r="A955">
        <v>1</v>
      </c>
      <c r="B955" t="s">
        <v>32</v>
      </c>
      <c r="C955" s="1">
        <v>44602</v>
      </c>
      <c r="D955" t="s">
        <v>71</v>
      </c>
      <c r="E955">
        <v>0</v>
      </c>
      <c r="F955">
        <v>40</v>
      </c>
      <c r="G955" t="str">
        <f t="shared" si="22"/>
        <v>21-40</v>
      </c>
      <c r="H955" t="s">
        <v>35</v>
      </c>
      <c r="I955" t="s">
        <v>27</v>
      </c>
      <c r="J955" t="s">
        <v>28</v>
      </c>
      <c r="K955" t="s">
        <v>29</v>
      </c>
      <c r="L955">
        <v>1</v>
      </c>
      <c r="M955">
        <v>1</v>
      </c>
      <c r="N955">
        <v>6.5</v>
      </c>
      <c r="O955">
        <v>9.3000000000000007</v>
      </c>
      <c r="P955">
        <v>3</v>
      </c>
      <c r="Q955">
        <v>5</v>
      </c>
      <c r="R955">
        <v>941541</v>
      </c>
      <c r="S955">
        <f>Table1[[#This Row],[Revenue]]-Table1[[#This Row],[Operating_Costs]]</f>
        <v>281310</v>
      </c>
      <c r="T955">
        <v>660231</v>
      </c>
      <c r="U955">
        <v>37</v>
      </c>
      <c r="V955">
        <v>59</v>
      </c>
      <c r="W955">
        <v>5.3</v>
      </c>
    </row>
    <row r="956" spans="1:23" x14ac:dyDescent="0.25">
      <c r="A956">
        <v>2</v>
      </c>
      <c r="B956" t="s">
        <v>39</v>
      </c>
      <c r="C956" s="1">
        <v>44305</v>
      </c>
      <c r="D956" t="s">
        <v>71</v>
      </c>
      <c r="E956">
        <v>0</v>
      </c>
      <c r="F956">
        <v>49</v>
      </c>
      <c r="G956" t="str">
        <f t="shared" si="22"/>
        <v>41-60</v>
      </c>
      <c r="H956" t="s">
        <v>23</v>
      </c>
      <c r="I956" t="s">
        <v>24</v>
      </c>
      <c r="J956" t="s">
        <v>25</v>
      </c>
      <c r="K956" t="s">
        <v>38</v>
      </c>
      <c r="L956">
        <v>1</v>
      </c>
      <c r="M956">
        <v>1</v>
      </c>
      <c r="N956">
        <v>5.3</v>
      </c>
      <c r="O956">
        <v>7.6</v>
      </c>
      <c r="P956">
        <v>6</v>
      </c>
      <c r="Q956">
        <v>7</v>
      </c>
      <c r="R956">
        <v>833744</v>
      </c>
      <c r="S956">
        <f>Table1[[#This Row],[Revenue]]-Table1[[#This Row],[Operating_Costs]]</f>
        <v>278727</v>
      </c>
      <c r="T956">
        <v>555017</v>
      </c>
      <c r="U956">
        <v>33</v>
      </c>
      <c r="V956">
        <v>64</v>
      </c>
      <c r="W956">
        <v>9.6</v>
      </c>
    </row>
    <row r="957" spans="1:23" x14ac:dyDescent="0.25">
      <c r="A957">
        <v>2</v>
      </c>
      <c r="B957" t="s">
        <v>39</v>
      </c>
      <c r="C957" s="1">
        <v>44653</v>
      </c>
      <c r="D957" t="s">
        <v>71</v>
      </c>
      <c r="E957">
        <v>0</v>
      </c>
      <c r="F957">
        <v>54</v>
      </c>
      <c r="G957" t="str">
        <f t="shared" si="22"/>
        <v>41-60</v>
      </c>
      <c r="H957" t="s">
        <v>23</v>
      </c>
      <c r="I957" t="s">
        <v>43</v>
      </c>
      <c r="J957" t="s">
        <v>25</v>
      </c>
      <c r="K957" t="s">
        <v>33</v>
      </c>
      <c r="L957">
        <v>1</v>
      </c>
      <c r="M957">
        <v>1</v>
      </c>
      <c r="N957">
        <v>5.8</v>
      </c>
      <c r="O957">
        <v>9.3000000000000007</v>
      </c>
      <c r="P957">
        <v>3</v>
      </c>
      <c r="Q957">
        <v>4</v>
      </c>
      <c r="R957">
        <v>807030</v>
      </c>
      <c r="S957">
        <f>Table1[[#This Row],[Revenue]]-Table1[[#This Row],[Operating_Costs]]</f>
        <v>237180</v>
      </c>
      <c r="T957">
        <v>569850</v>
      </c>
      <c r="U957">
        <v>33</v>
      </c>
      <c r="V957">
        <v>63</v>
      </c>
      <c r="W957">
        <v>13.7</v>
      </c>
    </row>
    <row r="958" spans="1:23" x14ac:dyDescent="0.25">
      <c r="A958">
        <v>3</v>
      </c>
      <c r="B958" t="s">
        <v>57</v>
      </c>
      <c r="C958" s="1">
        <v>44722</v>
      </c>
      <c r="D958" t="s">
        <v>71</v>
      </c>
      <c r="E958">
        <v>0</v>
      </c>
      <c r="F958">
        <v>44</v>
      </c>
      <c r="G958" t="str">
        <f t="shared" si="22"/>
        <v>41-60</v>
      </c>
      <c r="H958" t="s">
        <v>23</v>
      </c>
      <c r="I958" t="s">
        <v>67</v>
      </c>
      <c r="J958" t="s">
        <v>68</v>
      </c>
      <c r="K958" t="s">
        <v>38</v>
      </c>
      <c r="L958">
        <v>1</v>
      </c>
      <c r="M958">
        <v>1</v>
      </c>
      <c r="N958">
        <v>1.9</v>
      </c>
      <c r="O958">
        <v>8.6999999999999993</v>
      </c>
      <c r="P958">
        <v>5</v>
      </c>
      <c r="Q958">
        <v>3</v>
      </c>
      <c r="R958">
        <v>533895</v>
      </c>
      <c r="S958">
        <f>Table1[[#This Row],[Revenue]]-Table1[[#This Row],[Operating_Costs]]</f>
        <v>182316</v>
      </c>
      <c r="T958">
        <v>351579</v>
      </c>
      <c r="U958">
        <v>15</v>
      </c>
      <c r="V958">
        <v>59</v>
      </c>
      <c r="W958">
        <v>12.5</v>
      </c>
    </row>
    <row r="959" spans="1:23" x14ac:dyDescent="0.25">
      <c r="A959">
        <v>3</v>
      </c>
      <c r="B959" t="s">
        <v>57</v>
      </c>
      <c r="C959" s="1">
        <v>44908</v>
      </c>
      <c r="D959" t="s">
        <v>71</v>
      </c>
      <c r="E959">
        <v>0</v>
      </c>
      <c r="F959">
        <v>64</v>
      </c>
      <c r="G959" t="str">
        <f t="shared" si="22"/>
        <v>61-80</v>
      </c>
      <c r="H959" t="s">
        <v>23</v>
      </c>
      <c r="I959" t="s">
        <v>24</v>
      </c>
      <c r="J959" t="s">
        <v>25</v>
      </c>
      <c r="K959" t="s">
        <v>42</v>
      </c>
      <c r="L959">
        <v>1</v>
      </c>
      <c r="M959">
        <v>1</v>
      </c>
      <c r="N959">
        <v>4.8</v>
      </c>
      <c r="O959">
        <v>8.1</v>
      </c>
      <c r="P959">
        <v>6</v>
      </c>
      <c r="Q959">
        <v>3</v>
      </c>
      <c r="R959">
        <v>572719</v>
      </c>
      <c r="S959">
        <f>Table1[[#This Row],[Revenue]]-Table1[[#This Row],[Operating_Costs]]</f>
        <v>173599</v>
      </c>
      <c r="T959">
        <v>399120</v>
      </c>
      <c r="U959">
        <v>18</v>
      </c>
      <c r="V959">
        <v>65</v>
      </c>
      <c r="W959">
        <v>5.8</v>
      </c>
    </row>
    <row r="960" spans="1:23" x14ac:dyDescent="0.25">
      <c r="A960">
        <v>3</v>
      </c>
      <c r="B960" t="s">
        <v>57</v>
      </c>
      <c r="C960" s="1">
        <v>45410</v>
      </c>
      <c r="D960" t="s">
        <v>71</v>
      </c>
      <c r="E960">
        <v>0</v>
      </c>
      <c r="F960">
        <v>43</v>
      </c>
      <c r="G960" t="str">
        <f t="shared" si="22"/>
        <v>41-60</v>
      </c>
      <c r="H960" t="s">
        <v>23</v>
      </c>
      <c r="I960" t="s">
        <v>40</v>
      </c>
      <c r="J960" t="s">
        <v>41</v>
      </c>
      <c r="K960" t="s">
        <v>38</v>
      </c>
      <c r="L960">
        <v>1</v>
      </c>
      <c r="M960">
        <v>1</v>
      </c>
      <c r="N960">
        <v>5.0999999999999996</v>
      </c>
      <c r="O960">
        <v>9.6</v>
      </c>
      <c r="P960">
        <v>4</v>
      </c>
      <c r="Q960">
        <v>3</v>
      </c>
      <c r="R960">
        <v>546031</v>
      </c>
      <c r="S960">
        <f>Table1[[#This Row],[Revenue]]-Table1[[#This Row],[Operating_Costs]]</f>
        <v>210454</v>
      </c>
      <c r="T960">
        <v>335577</v>
      </c>
      <c r="U960">
        <v>22</v>
      </c>
      <c r="V960">
        <v>59</v>
      </c>
      <c r="W960">
        <v>12.3</v>
      </c>
    </row>
    <row r="961" spans="1:23" x14ac:dyDescent="0.25">
      <c r="A961">
        <v>3</v>
      </c>
      <c r="B961" t="s">
        <v>57</v>
      </c>
      <c r="C961" s="1">
        <v>44880</v>
      </c>
      <c r="D961" t="s">
        <v>71</v>
      </c>
      <c r="E961">
        <v>0</v>
      </c>
      <c r="F961">
        <v>76</v>
      </c>
      <c r="G961" t="str">
        <f t="shared" si="22"/>
        <v>61-80</v>
      </c>
      <c r="H961" t="s">
        <v>35</v>
      </c>
      <c r="I961" t="s">
        <v>40</v>
      </c>
      <c r="J961" t="s">
        <v>41</v>
      </c>
      <c r="K961" t="s">
        <v>26</v>
      </c>
      <c r="L961">
        <v>1</v>
      </c>
      <c r="M961">
        <v>1</v>
      </c>
      <c r="N961">
        <v>4.0999999999999996</v>
      </c>
      <c r="O961">
        <v>7.9</v>
      </c>
      <c r="P961">
        <v>5</v>
      </c>
      <c r="Q961">
        <v>7</v>
      </c>
      <c r="R961">
        <v>596804</v>
      </c>
      <c r="S961">
        <f>Table1[[#This Row],[Revenue]]-Table1[[#This Row],[Operating_Costs]]</f>
        <v>240041</v>
      </c>
      <c r="T961">
        <v>356763</v>
      </c>
      <c r="U961">
        <v>25</v>
      </c>
      <c r="V961">
        <v>59</v>
      </c>
      <c r="W961">
        <v>13.7</v>
      </c>
    </row>
    <row r="962" spans="1:23" x14ac:dyDescent="0.25">
      <c r="A962">
        <v>3</v>
      </c>
      <c r="B962" t="s">
        <v>57</v>
      </c>
      <c r="C962" s="1">
        <v>45264</v>
      </c>
      <c r="D962" t="s">
        <v>71</v>
      </c>
      <c r="E962">
        <v>0</v>
      </c>
      <c r="F962">
        <v>31</v>
      </c>
      <c r="G962" t="str">
        <f t="shared" si="22"/>
        <v>21-40</v>
      </c>
      <c r="H962" t="s">
        <v>23</v>
      </c>
      <c r="I962" t="s">
        <v>67</v>
      </c>
      <c r="J962" t="s">
        <v>68</v>
      </c>
      <c r="K962" t="s">
        <v>42</v>
      </c>
      <c r="L962">
        <v>1</v>
      </c>
      <c r="M962">
        <v>1</v>
      </c>
      <c r="N962">
        <v>1.8</v>
      </c>
      <c r="O962">
        <v>9.1999999999999993</v>
      </c>
      <c r="P962">
        <v>3</v>
      </c>
      <c r="Q962">
        <v>5</v>
      </c>
      <c r="R962">
        <v>532236</v>
      </c>
      <c r="S962">
        <f>Table1[[#This Row],[Revenue]]-Table1[[#This Row],[Operating_Costs]]</f>
        <v>165909</v>
      </c>
      <c r="T962">
        <v>366327</v>
      </c>
      <c r="U962">
        <v>21</v>
      </c>
      <c r="V962">
        <v>61</v>
      </c>
      <c r="W962">
        <v>10.7</v>
      </c>
    </row>
    <row r="963" spans="1:23" x14ac:dyDescent="0.25">
      <c r="A963">
        <v>3</v>
      </c>
      <c r="B963" t="s">
        <v>57</v>
      </c>
      <c r="C963" s="1">
        <v>44544</v>
      </c>
      <c r="D963" t="s">
        <v>71</v>
      </c>
      <c r="E963">
        <v>0</v>
      </c>
      <c r="F963">
        <v>77</v>
      </c>
      <c r="G963" t="str">
        <f t="shared" ref="G963:G1026" si="23">IF(F963&lt;=20,"0-20",IF(F963&lt;=40,"21-40",IF(F963&lt;=60,"41-60",IF(F963&lt;=80,"61-80","81+"))))</f>
        <v>61-80</v>
      </c>
      <c r="H963" t="s">
        <v>35</v>
      </c>
      <c r="I963" t="s">
        <v>36</v>
      </c>
      <c r="J963" t="s">
        <v>37</v>
      </c>
      <c r="K963" t="s">
        <v>42</v>
      </c>
      <c r="L963">
        <v>1</v>
      </c>
      <c r="M963">
        <v>1</v>
      </c>
      <c r="N963">
        <v>4</v>
      </c>
      <c r="O963">
        <v>8.4</v>
      </c>
      <c r="P963">
        <v>4</v>
      </c>
      <c r="Q963">
        <v>3</v>
      </c>
      <c r="R963">
        <v>542747</v>
      </c>
      <c r="S963">
        <f>Table1[[#This Row],[Revenue]]-Table1[[#This Row],[Operating_Costs]]</f>
        <v>237977</v>
      </c>
      <c r="T963">
        <v>304770</v>
      </c>
      <c r="U963">
        <v>23</v>
      </c>
      <c r="V963">
        <v>60</v>
      </c>
      <c r="W963">
        <v>9</v>
      </c>
    </row>
    <row r="964" spans="1:23" x14ac:dyDescent="0.25">
      <c r="A964">
        <v>3</v>
      </c>
      <c r="B964" t="s">
        <v>57</v>
      </c>
      <c r="C964" s="1">
        <v>44255</v>
      </c>
      <c r="D964" t="s">
        <v>71</v>
      </c>
      <c r="E964">
        <v>0</v>
      </c>
      <c r="F964">
        <v>58</v>
      </c>
      <c r="G964" t="str">
        <f t="shared" si="23"/>
        <v>41-60</v>
      </c>
      <c r="H964" t="s">
        <v>23</v>
      </c>
      <c r="I964" t="s">
        <v>31</v>
      </c>
      <c r="J964" t="s">
        <v>28</v>
      </c>
      <c r="K964" t="s">
        <v>29</v>
      </c>
      <c r="L964">
        <v>1</v>
      </c>
      <c r="M964">
        <v>1</v>
      </c>
      <c r="N964">
        <v>1.8</v>
      </c>
      <c r="O964">
        <v>8.6</v>
      </c>
      <c r="P964">
        <v>4</v>
      </c>
      <c r="Q964">
        <v>5</v>
      </c>
      <c r="R964">
        <v>592754</v>
      </c>
      <c r="S964">
        <f>Table1[[#This Row],[Revenue]]-Table1[[#This Row],[Operating_Costs]]</f>
        <v>291424</v>
      </c>
      <c r="T964">
        <v>301330</v>
      </c>
      <c r="U964">
        <v>16</v>
      </c>
      <c r="V964">
        <v>66</v>
      </c>
      <c r="W964">
        <v>5.9</v>
      </c>
    </row>
    <row r="965" spans="1:23" x14ac:dyDescent="0.25">
      <c r="A965">
        <v>3</v>
      </c>
      <c r="B965" t="s">
        <v>57</v>
      </c>
      <c r="C965" s="1">
        <v>45110</v>
      </c>
      <c r="D965" t="s">
        <v>71</v>
      </c>
      <c r="E965">
        <v>0</v>
      </c>
      <c r="F965">
        <v>80</v>
      </c>
      <c r="G965" t="str">
        <f t="shared" si="23"/>
        <v>61-80</v>
      </c>
      <c r="H965" t="s">
        <v>23</v>
      </c>
      <c r="I965" t="s">
        <v>31</v>
      </c>
      <c r="J965" t="s">
        <v>28</v>
      </c>
      <c r="K965" t="s">
        <v>29</v>
      </c>
      <c r="L965">
        <v>1</v>
      </c>
      <c r="M965">
        <v>1</v>
      </c>
      <c r="N965">
        <v>5.8</v>
      </c>
      <c r="O965">
        <v>7.6</v>
      </c>
      <c r="P965">
        <v>4</v>
      </c>
      <c r="Q965">
        <v>4</v>
      </c>
      <c r="R965">
        <v>568355</v>
      </c>
      <c r="S965">
        <f>Table1[[#This Row],[Revenue]]-Table1[[#This Row],[Operating_Costs]]</f>
        <v>256196</v>
      </c>
      <c r="T965">
        <v>312159</v>
      </c>
      <c r="U965">
        <v>21</v>
      </c>
      <c r="V965">
        <v>54</v>
      </c>
      <c r="W965">
        <v>13.9</v>
      </c>
    </row>
    <row r="966" spans="1:23" x14ac:dyDescent="0.25">
      <c r="A966">
        <v>3</v>
      </c>
      <c r="B966" t="s">
        <v>57</v>
      </c>
      <c r="C966" s="1">
        <v>44591</v>
      </c>
      <c r="D966" t="s">
        <v>71</v>
      </c>
      <c r="E966">
        <v>0</v>
      </c>
      <c r="F966">
        <v>47</v>
      </c>
      <c r="G966" t="str">
        <f t="shared" si="23"/>
        <v>41-60</v>
      </c>
      <c r="H966" t="s">
        <v>23</v>
      </c>
      <c r="I966" t="s">
        <v>50</v>
      </c>
      <c r="J966" t="s">
        <v>51</v>
      </c>
      <c r="K966" t="s">
        <v>26</v>
      </c>
      <c r="L966">
        <v>1</v>
      </c>
      <c r="M966">
        <v>1</v>
      </c>
      <c r="N966">
        <v>1.6</v>
      </c>
      <c r="O966">
        <v>7.7</v>
      </c>
      <c r="P966">
        <v>7</v>
      </c>
      <c r="Q966">
        <v>5</v>
      </c>
      <c r="R966">
        <v>502563</v>
      </c>
      <c r="S966">
        <f>Table1[[#This Row],[Revenue]]-Table1[[#This Row],[Operating_Costs]]</f>
        <v>152174</v>
      </c>
      <c r="T966">
        <v>350389</v>
      </c>
      <c r="U966">
        <v>18</v>
      </c>
      <c r="V966">
        <v>60</v>
      </c>
      <c r="W966">
        <v>7.2</v>
      </c>
    </row>
    <row r="967" spans="1:23" x14ac:dyDescent="0.25">
      <c r="A967">
        <v>3</v>
      </c>
      <c r="B967" t="s">
        <v>57</v>
      </c>
      <c r="C967" s="1">
        <v>44962</v>
      </c>
      <c r="D967" t="s">
        <v>71</v>
      </c>
      <c r="E967">
        <v>0</v>
      </c>
      <c r="F967">
        <v>87</v>
      </c>
      <c r="G967" t="str">
        <f t="shared" si="23"/>
        <v>81+</v>
      </c>
      <c r="H967" t="s">
        <v>23</v>
      </c>
      <c r="I967" t="s">
        <v>24</v>
      </c>
      <c r="J967" t="s">
        <v>25</v>
      </c>
      <c r="K967" t="s">
        <v>42</v>
      </c>
      <c r="L967">
        <v>1</v>
      </c>
      <c r="M967">
        <v>1</v>
      </c>
      <c r="N967">
        <v>3.2</v>
      </c>
      <c r="O967">
        <v>9.9</v>
      </c>
      <c r="P967">
        <v>6</v>
      </c>
      <c r="Q967">
        <v>4</v>
      </c>
      <c r="R967">
        <v>558386</v>
      </c>
      <c r="S967">
        <f>Table1[[#This Row],[Revenue]]-Table1[[#This Row],[Operating_Costs]]</f>
        <v>237028</v>
      </c>
      <c r="T967">
        <v>321358</v>
      </c>
      <c r="U967">
        <v>20</v>
      </c>
      <c r="V967">
        <v>65</v>
      </c>
      <c r="W967">
        <v>8.3000000000000007</v>
      </c>
    </row>
    <row r="968" spans="1:23" x14ac:dyDescent="0.25">
      <c r="A968">
        <v>3</v>
      </c>
      <c r="B968" t="s">
        <v>57</v>
      </c>
      <c r="C968" s="1">
        <v>44601</v>
      </c>
      <c r="D968" t="s">
        <v>71</v>
      </c>
      <c r="E968">
        <v>0</v>
      </c>
      <c r="F968">
        <v>83</v>
      </c>
      <c r="G968" t="str">
        <f t="shared" si="23"/>
        <v>81+</v>
      </c>
      <c r="H968" t="s">
        <v>35</v>
      </c>
      <c r="I968" t="s">
        <v>58</v>
      </c>
      <c r="J968" t="s">
        <v>59</v>
      </c>
      <c r="K968" t="s">
        <v>29</v>
      </c>
      <c r="L968">
        <v>1</v>
      </c>
      <c r="M968">
        <v>1</v>
      </c>
      <c r="N968">
        <v>3.8</v>
      </c>
      <c r="O968">
        <v>9.5</v>
      </c>
      <c r="P968">
        <v>3</v>
      </c>
      <c r="Q968">
        <v>4</v>
      </c>
      <c r="R968">
        <v>516605</v>
      </c>
      <c r="S968">
        <f>Table1[[#This Row],[Revenue]]-Table1[[#This Row],[Operating_Costs]]</f>
        <v>208564</v>
      </c>
      <c r="T968">
        <v>308041</v>
      </c>
      <c r="U968">
        <v>21</v>
      </c>
      <c r="V968">
        <v>63</v>
      </c>
      <c r="W968">
        <v>36.4</v>
      </c>
    </row>
    <row r="969" spans="1:23" x14ac:dyDescent="0.25">
      <c r="A969">
        <v>3</v>
      </c>
      <c r="B969" t="s">
        <v>57</v>
      </c>
      <c r="C969" s="1">
        <v>44995</v>
      </c>
      <c r="D969" t="s">
        <v>71</v>
      </c>
      <c r="E969">
        <v>0</v>
      </c>
      <c r="F969">
        <v>25</v>
      </c>
      <c r="G969" t="str">
        <f t="shared" si="23"/>
        <v>21-40</v>
      </c>
      <c r="H969" t="s">
        <v>23</v>
      </c>
      <c r="I969" t="s">
        <v>24</v>
      </c>
      <c r="J969" t="s">
        <v>25</v>
      </c>
      <c r="K969" t="s">
        <v>29</v>
      </c>
      <c r="L969">
        <v>1</v>
      </c>
      <c r="M969">
        <v>1</v>
      </c>
      <c r="N969">
        <v>4.5</v>
      </c>
      <c r="O969">
        <v>8.1999999999999993</v>
      </c>
      <c r="P969">
        <v>3</v>
      </c>
      <c r="Q969">
        <v>7</v>
      </c>
      <c r="R969">
        <v>507753</v>
      </c>
      <c r="S969">
        <f>Table1[[#This Row],[Revenue]]-Table1[[#This Row],[Operating_Costs]]</f>
        <v>155376</v>
      </c>
      <c r="T969">
        <v>352377</v>
      </c>
      <c r="U969">
        <v>18</v>
      </c>
      <c r="V969">
        <v>63</v>
      </c>
      <c r="W969">
        <v>14.2</v>
      </c>
    </row>
    <row r="970" spans="1:23" x14ac:dyDescent="0.25">
      <c r="A970">
        <v>3</v>
      </c>
      <c r="B970" t="s">
        <v>57</v>
      </c>
      <c r="C970" s="1">
        <v>44446</v>
      </c>
      <c r="D970" t="s">
        <v>71</v>
      </c>
      <c r="E970">
        <v>0</v>
      </c>
      <c r="F970">
        <v>30</v>
      </c>
      <c r="G970" t="str">
        <f t="shared" si="23"/>
        <v>21-40</v>
      </c>
      <c r="H970" t="s">
        <v>23</v>
      </c>
      <c r="I970" t="s">
        <v>31</v>
      </c>
      <c r="J970" t="s">
        <v>28</v>
      </c>
      <c r="K970" t="s">
        <v>42</v>
      </c>
      <c r="L970">
        <v>1</v>
      </c>
      <c r="M970">
        <v>1</v>
      </c>
      <c r="N970">
        <v>5.0999999999999996</v>
      </c>
      <c r="O970">
        <v>7.6</v>
      </c>
      <c r="P970">
        <v>4</v>
      </c>
      <c r="Q970">
        <v>6</v>
      </c>
      <c r="R970">
        <v>584879</v>
      </c>
      <c r="S970">
        <f>Table1[[#This Row],[Revenue]]-Table1[[#This Row],[Operating_Costs]]</f>
        <v>218436</v>
      </c>
      <c r="T970">
        <v>366443</v>
      </c>
      <c r="U970">
        <v>16</v>
      </c>
      <c r="V970">
        <v>55</v>
      </c>
      <c r="W970">
        <v>9.1999999999999993</v>
      </c>
    </row>
    <row r="971" spans="1:23" x14ac:dyDescent="0.25">
      <c r="A971">
        <v>3</v>
      </c>
      <c r="B971" t="s">
        <v>57</v>
      </c>
      <c r="C971" s="1">
        <v>44226</v>
      </c>
      <c r="D971" t="s">
        <v>71</v>
      </c>
      <c r="E971">
        <v>0</v>
      </c>
      <c r="F971">
        <v>33</v>
      </c>
      <c r="G971" t="str">
        <f t="shared" si="23"/>
        <v>21-40</v>
      </c>
      <c r="H971" t="s">
        <v>23</v>
      </c>
      <c r="I971" t="s">
        <v>58</v>
      </c>
      <c r="J971" t="s">
        <v>59</v>
      </c>
      <c r="K971" t="s">
        <v>29</v>
      </c>
      <c r="L971">
        <v>1</v>
      </c>
      <c r="M971">
        <v>1</v>
      </c>
      <c r="N971">
        <v>3.7</v>
      </c>
      <c r="O971">
        <v>7.8</v>
      </c>
      <c r="P971">
        <v>4</v>
      </c>
      <c r="Q971">
        <v>7</v>
      </c>
      <c r="R971">
        <v>565079</v>
      </c>
      <c r="S971">
        <f>Table1[[#This Row],[Revenue]]-Table1[[#This Row],[Operating_Costs]]</f>
        <v>264758</v>
      </c>
      <c r="T971">
        <v>300321</v>
      </c>
      <c r="U971">
        <v>21</v>
      </c>
      <c r="V971">
        <v>63</v>
      </c>
      <c r="W971">
        <v>12.4</v>
      </c>
    </row>
    <row r="972" spans="1:23" x14ac:dyDescent="0.25">
      <c r="A972">
        <v>3</v>
      </c>
      <c r="B972" t="s">
        <v>57</v>
      </c>
      <c r="C972" s="1">
        <v>44743</v>
      </c>
      <c r="D972" t="s">
        <v>71</v>
      </c>
      <c r="E972">
        <v>0</v>
      </c>
      <c r="F972">
        <v>79</v>
      </c>
      <c r="G972" t="str">
        <f t="shared" si="23"/>
        <v>61-80</v>
      </c>
      <c r="H972" t="s">
        <v>35</v>
      </c>
      <c r="I972" t="s">
        <v>36</v>
      </c>
      <c r="J972" t="s">
        <v>37</v>
      </c>
      <c r="K972" t="s">
        <v>26</v>
      </c>
      <c r="L972">
        <v>1</v>
      </c>
      <c r="M972">
        <v>1</v>
      </c>
      <c r="N972">
        <v>4.5</v>
      </c>
      <c r="O972">
        <v>9.4</v>
      </c>
      <c r="P972">
        <v>3</v>
      </c>
      <c r="Q972">
        <v>4</v>
      </c>
      <c r="R972">
        <v>571251</v>
      </c>
      <c r="S972">
        <f>Table1[[#This Row],[Revenue]]-Table1[[#This Row],[Operating_Costs]]</f>
        <v>262200</v>
      </c>
      <c r="T972">
        <v>309051</v>
      </c>
      <c r="U972">
        <v>20</v>
      </c>
      <c r="V972">
        <v>62</v>
      </c>
      <c r="W972">
        <v>6.4</v>
      </c>
    </row>
    <row r="973" spans="1:23" x14ac:dyDescent="0.25">
      <c r="A973">
        <v>3</v>
      </c>
      <c r="B973" t="s">
        <v>57</v>
      </c>
      <c r="C973" s="1">
        <v>44456</v>
      </c>
      <c r="D973" t="s">
        <v>71</v>
      </c>
      <c r="E973">
        <v>0</v>
      </c>
      <c r="F973">
        <v>89</v>
      </c>
      <c r="G973" t="str">
        <f t="shared" si="23"/>
        <v>81+</v>
      </c>
      <c r="H973" t="s">
        <v>23</v>
      </c>
      <c r="I973" t="s">
        <v>43</v>
      </c>
      <c r="J973" t="s">
        <v>25</v>
      </c>
      <c r="K973" t="s">
        <v>38</v>
      </c>
      <c r="L973">
        <v>1</v>
      </c>
      <c r="M973">
        <v>1</v>
      </c>
      <c r="N973">
        <v>1.2</v>
      </c>
      <c r="O973">
        <v>7.5</v>
      </c>
      <c r="P973">
        <v>4</v>
      </c>
      <c r="Q973">
        <v>5</v>
      </c>
      <c r="R973">
        <v>577279</v>
      </c>
      <c r="S973">
        <f>Table1[[#This Row],[Revenue]]-Table1[[#This Row],[Operating_Costs]]</f>
        <v>185957</v>
      </c>
      <c r="T973">
        <v>391322</v>
      </c>
      <c r="U973">
        <v>24</v>
      </c>
      <c r="V973">
        <v>63</v>
      </c>
      <c r="W973">
        <v>10</v>
      </c>
    </row>
    <row r="974" spans="1:23" x14ac:dyDescent="0.25">
      <c r="A974">
        <v>3</v>
      </c>
      <c r="B974" t="s">
        <v>57</v>
      </c>
      <c r="C974" s="1">
        <v>44349</v>
      </c>
      <c r="D974" t="s">
        <v>71</v>
      </c>
      <c r="E974">
        <v>0</v>
      </c>
      <c r="F974">
        <v>25</v>
      </c>
      <c r="G974" t="str">
        <f t="shared" si="23"/>
        <v>21-40</v>
      </c>
      <c r="H974" t="s">
        <v>23</v>
      </c>
      <c r="I974" t="s">
        <v>31</v>
      </c>
      <c r="J974" t="s">
        <v>28</v>
      </c>
      <c r="K974" t="s">
        <v>26</v>
      </c>
      <c r="L974">
        <v>1</v>
      </c>
      <c r="M974">
        <v>1</v>
      </c>
      <c r="N974">
        <v>1.6</v>
      </c>
      <c r="O974">
        <v>8.1</v>
      </c>
      <c r="P974">
        <v>6</v>
      </c>
      <c r="Q974">
        <v>4</v>
      </c>
      <c r="R974">
        <v>534310</v>
      </c>
      <c r="S974">
        <f>Table1[[#This Row],[Revenue]]-Table1[[#This Row],[Operating_Costs]]</f>
        <v>198369</v>
      </c>
      <c r="T974">
        <v>335941</v>
      </c>
      <c r="U974">
        <v>17</v>
      </c>
      <c r="V974">
        <v>61</v>
      </c>
      <c r="W974">
        <v>12.2</v>
      </c>
    </row>
    <row r="975" spans="1:23" x14ac:dyDescent="0.25">
      <c r="A975">
        <v>3</v>
      </c>
      <c r="B975" t="s">
        <v>57</v>
      </c>
      <c r="C975" s="1">
        <v>44976</v>
      </c>
      <c r="D975" t="s">
        <v>71</v>
      </c>
      <c r="E975">
        <v>0</v>
      </c>
      <c r="F975">
        <v>46</v>
      </c>
      <c r="G975" t="str">
        <f t="shared" si="23"/>
        <v>41-60</v>
      </c>
      <c r="H975" t="s">
        <v>35</v>
      </c>
      <c r="I975" t="s">
        <v>46</v>
      </c>
      <c r="J975" t="s">
        <v>47</v>
      </c>
      <c r="K975" t="s">
        <v>26</v>
      </c>
      <c r="L975">
        <v>1</v>
      </c>
      <c r="M975">
        <v>1</v>
      </c>
      <c r="N975">
        <v>5.7</v>
      </c>
      <c r="O975">
        <v>7.5</v>
      </c>
      <c r="P975">
        <v>7</v>
      </c>
      <c r="Q975">
        <v>7</v>
      </c>
      <c r="R975">
        <v>590919</v>
      </c>
      <c r="S975">
        <f>Table1[[#This Row],[Revenue]]-Table1[[#This Row],[Operating_Costs]]</f>
        <v>233145</v>
      </c>
      <c r="T975">
        <v>357774</v>
      </c>
      <c r="U975">
        <v>22</v>
      </c>
      <c r="V975">
        <v>65</v>
      </c>
      <c r="W975">
        <v>8.9</v>
      </c>
    </row>
    <row r="976" spans="1:23" x14ac:dyDescent="0.25">
      <c r="A976">
        <v>3</v>
      </c>
      <c r="B976" t="s">
        <v>57</v>
      </c>
      <c r="C976" s="1">
        <v>45000</v>
      </c>
      <c r="D976" t="s">
        <v>71</v>
      </c>
      <c r="E976">
        <v>0</v>
      </c>
      <c r="F976">
        <v>29</v>
      </c>
      <c r="G976" t="str">
        <f t="shared" si="23"/>
        <v>21-40</v>
      </c>
      <c r="H976" t="s">
        <v>23</v>
      </c>
      <c r="I976" t="s">
        <v>31</v>
      </c>
      <c r="J976" t="s">
        <v>28</v>
      </c>
      <c r="K976" t="s">
        <v>29</v>
      </c>
      <c r="L976">
        <v>1</v>
      </c>
      <c r="M976">
        <v>1</v>
      </c>
      <c r="N976">
        <v>1.6</v>
      </c>
      <c r="O976">
        <v>8.4</v>
      </c>
      <c r="P976">
        <v>5</v>
      </c>
      <c r="Q976">
        <v>5</v>
      </c>
      <c r="R976">
        <v>597599</v>
      </c>
      <c r="S976">
        <f>Table1[[#This Row],[Revenue]]-Table1[[#This Row],[Operating_Costs]]</f>
        <v>236585</v>
      </c>
      <c r="T976">
        <v>361014</v>
      </c>
      <c r="U976">
        <v>15</v>
      </c>
      <c r="V976">
        <v>64</v>
      </c>
      <c r="W976">
        <v>9.6</v>
      </c>
    </row>
    <row r="977" spans="1:23" x14ac:dyDescent="0.25">
      <c r="A977">
        <v>3</v>
      </c>
      <c r="B977" t="s">
        <v>57</v>
      </c>
      <c r="C977" s="1">
        <v>45219</v>
      </c>
      <c r="D977" t="s">
        <v>71</v>
      </c>
      <c r="E977">
        <v>0</v>
      </c>
      <c r="F977">
        <v>86</v>
      </c>
      <c r="G977" t="str">
        <f t="shared" si="23"/>
        <v>81+</v>
      </c>
      <c r="H977" t="s">
        <v>35</v>
      </c>
      <c r="I977" t="s">
        <v>36</v>
      </c>
      <c r="J977" t="s">
        <v>37</v>
      </c>
      <c r="K977" t="s">
        <v>42</v>
      </c>
      <c r="L977">
        <v>1</v>
      </c>
      <c r="M977">
        <v>1</v>
      </c>
      <c r="N977">
        <v>4.5999999999999996</v>
      </c>
      <c r="O977">
        <v>7.7</v>
      </c>
      <c r="P977">
        <v>4</v>
      </c>
      <c r="Q977">
        <v>5</v>
      </c>
      <c r="R977">
        <v>596905</v>
      </c>
      <c r="S977">
        <f>Table1[[#This Row],[Revenue]]-Table1[[#This Row],[Operating_Costs]]</f>
        <v>254041</v>
      </c>
      <c r="T977">
        <v>342864</v>
      </c>
      <c r="U977">
        <v>22</v>
      </c>
      <c r="V977">
        <v>66</v>
      </c>
      <c r="W977">
        <v>14.9</v>
      </c>
    </row>
    <row r="978" spans="1:23" x14ac:dyDescent="0.25">
      <c r="A978">
        <v>3</v>
      </c>
      <c r="B978" t="s">
        <v>57</v>
      </c>
      <c r="C978" s="1">
        <v>44808</v>
      </c>
      <c r="D978" t="s">
        <v>71</v>
      </c>
      <c r="E978">
        <v>0</v>
      </c>
      <c r="F978">
        <v>27</v>
      </c>
      <c r="G978" t="str">
        <f t="shared" si="23"/>
        <v>21-40</v>
      </c>
      <c r="H978" t="s">
        <v>35</v>
      </c>
      <c r="I978" t="s">
        <v>36</v>
      </c>
      <c r="J978" t="s">
        <v>37</v>
      </c>
      <c r="K978" t="s">
        <v>26</v>
      </c>
      <c r="L978">
        <v>1</v>
      </c>
      <c r="M978">
        <v>1</v>
      </c>
      <c r="N978">
        <v>6</v>
      </c>
      <c r="O978">
        <v>7.1</v>
      </c>
      <c r="P978">
        <v>5</v>
      </c>
      <c r="Q978">
        <v>6</v>
      </c>
      <c r="R978">
        <v>536810</v>
      </c>
      <c r="S978">
        <f>Table1[[#This Row],[Revenue]]-Table1[[#This Row],[Operating_Costs]]</f>
        <v>182014</v>
      </c>
      <c r="T978">
        <v>354796</v>
      </c>
      <c r="U978">
        <v>25</v>
      </c>
      <c r="V978">
        <v>66</v>
      </c>
      <c r="W978">
        <v>10.199999999999999</v>
      </c>
    </row>
    <row r="979" spans="1:23" x14ac:dyDescent="0.25">
      <c r="A979">
        <v>3</v>
      </c>
      <c r="B979" t="s">
        <v>57</v>
      </c>
      <c r="C979" s="1">
        <v>44663</v>
      </c>
      <c r="D979" t="s">
        <v>71</v>
      </c>
      <c r="E979">
        <v>0</v>
      </c>
      <c r="F979">
        <v>43</v>
      </c>
      <c r="G979" t="str">
        <f t="shared" si="23"/>
        <v>41-60</v>
      </c>
      <c r="H979" t="s">
        <v>23</v>
      </c>
      <c r="I979" t="s">
        <v>64</v>
      </c>
      <c r="J979" t="s">
        <v>65</v>
      </c>
      <c r="K979" t="s">
        <v>29</v>
      </c>
      <c r="L979">
        <v>1</v>
      </c>
      <c r="M979">
        <v>1</v>
      </c>
      <c r="N979">
        <v>6.4</v>
      </c>
      <c r="O979">
        <v>7.2</v>
      </c>
      <c r="P979">
        <v>3</v>
      </c>
      <c r="Q979">
        <v>5</v>
      </c>
      <c r="R979">
        <v>529019</v>
      </c>
      <c r="S979">
        <f>Table1[[#This Row],[Revenue]]-Table1[[#This Row],[Operating_Costs]]</f>
        <v>212092</v>
      </c>
      <c r="T979">
        <v>316927</v>
      </c>
      <c r="U979">
        <v>22</v>
      </c>
      <c r="V979">
        <v>64</v>
      </c>
      <c r="W979">
        <v>9.6999999999999993</v>
      </c>
    </row>
    <row r="980" spans="1:23" x14ac:dyDescent="0.25">
      <c r="A980">
        <v>3</v>
      </c>
      <c r="B980" t="s">
        <v>57</v>
      </c>
      <c r="C980" s="1">
        <v>45315</v>
      </c>
      <c r="D980" t="s">
        <v>71</v>
      </c>
      <c r="E980">
        <v>0</v>
      </c>
      <c r="F980">
        <v>63</v>
      </c>
      <c r="G980" t="str">
        <f t="shared" si="23"/>
        <v>61-80</v>
      </c>
      <c r="H980" t="s">
        <v>23</v>
      </c>
      <c r="I980" t="s">
        <v>24</v>
      </c>
      <c r="J980" t="s">
        <v>25</v>
      </c>
      <c r="K980" t="s">
        <v>26</v>
      </c>
      <c r="L980">
        <v>1</v>
      </c>
      <c r="M980">
        <v>1</v>
      </c>
      <c r="N980">
        <v>1.3</v>
      </c>
      <c r="O980">
        <v>8.9</v>
      </c>
      <c r="P980">
        <v>3</v>
      </c>
      <c r="Q980">
        <v>7</v>
      </c>
      <c r="R980">
        <v>548505</v>
      </c>
      <c r="S980">
        <f>Table1[[#This Row],[Revenue]]-Table1[[#This Row],[Operating_Costs]]</f>
        <v>221830</v>
      </c>
      <c r="T980">
        <v>326675</v>
      </c>
      <c r="U980">
        <v>21</v>
      </c>
      <c r="V980">
        <v>55</v>
      </c>
      <c r="W980">
        <v>8.5</v>
      </c>
    </row>
    <row r="981" spans="1:23" x14ac:dyDescent="0.25">
      <c r="A981">
        <v>3</v>
      </c>
      <c r="B981" t="s">
        <v>57</v>
      </c>
      <c r="C981" s="1">
        <v>44526</v>
      </c>
      <c r="D981" t="s">
        <v>71</v>
      </c>
      <c r="E981">
        <v>0</v>
      </c>
      <c r="F981">
        <v>40</v>
      </c>
      <c r="G981" t="str">
        <f t="shared" si="23"/>
        <v>21-40</v>
      </c>
      <c r="H981" t="s">
        <v>23</v>
      </c>
      <c r="I981" t="s">
        <v>50</v>
      </c>
      <c r="J981" t="s">
        <v>51</v>
      </c>
      <c r="K981" t="s">
        <v>26</v>
      </c>
      <c r="L981">
        <v>1</v>
      </c>
      <c r="M981">
        <v>1</v>
      </c>
      <c r="N981">
        <v>2.4</v>
      </c>
      <c r="O981">
        <v>9</v>
      </c>
      <c r="P981">
        <v>4</v>
      </c>
      <c r="Q981">
        <v>7</v>
      </c>
      <c r="R981">
        <v>582208</v>
      </c>
      <c r="S981">
        <f>Table1[[#This Row],[Revenue]]-Table1[[#This Row],[Operating_Costs]]</f>
        <v>208348</v>
      </c>
      <c r="T981">
        <v>373860</v>
      </c>
      <c r="U981">
        <v>18</v>
      </c>
      <c r="V981">
        <v>61</v>
      </c>
      <c r="W981">
        <v>7.6</v>
      </c>
    </row>
    <row r="982" spans="1:23" x14ac:dyDescent="0.25">
      <c r="A982">
        <v>3</v>
      </c>
      <c r="B982" t="s">
        <v>57</v>
      </c>
      <c r="C982" s="1">
        <v>45017</v>
      </c>
      <c r="D982" t="s">
        <v>71</v>
      </c>
      <c r="E982">
        <v>0</v>
      </c>
      <c r="F982">
        <v>77</v>
      </c>
      <c r="G982" t="str">
        <f t="shared" si="23"/>
        <v>61-80</v>
      </c>
      <c r="H982" t="s">
        <v>23</v>
      </c>
      <c r="I982" t="s">
        <v>24</v>
      </c>
      <c r="J982" t="s">
        <v>25</v>
      </c>
      <c r="K982" t="s">
        <v>38</v>
      </c>
      <c r="L982">
        <v>1</v>
      </c>
      <c r="M982">
        <v>1</v>
      </c>
      <c r="N982">
        <v>4.4000000000000004</v>
      </c>
      <c r="O982">
        <v>9.5</v>
      </c>
      <c r="P982">
        <v>7</v>
      </c>
      <c r="Q982">
        <v>6</v>
      </c>
      <c r="R982">
        <v>556384</v>
      </c>
      <c r="S982">
        <f>Table1[[#This Row],[Revenue]]-Table1[[#This Row],[Operating_Costs]]</f>
        <v>246422</v>
      </c>
      <c r="T982">
        <v>309962</v>
      </c>
      <c r="U982">
        <v>16</v>
      </c>
      <c r="V982">
        <v>58</v>
      </c>
      <c r="W982">
        <v>13.8</v>
      </c>
    </row>
    <row r="983" spans="1:23" x14ac:dyDescent="0.25">
      <c r="A983">
        <v>3</v>
      </c>
      <c r="B983" t="s">
        <v>57</v>
      </c>
      <c r="C983" s="1">
        <v>44296</v>
      </c>
      <c r="D983" t="s">
        <v>71</v>
      </c>
      <c r="E983">
        <v>0</v>
      </c>
      <c r="F983">
        <v>74</v>
      </c>
      <c r="G983" t="str">
        <f t="shared" si="23"/>
        <v>61-80</v>
      </c>
      <c r="H983" t="s">
        <v>23</v>
      </c>
      <c r="I983" t="s">
        <v>43</v>
      </c>
      <c r="J983" t="s">
        <v>25</v>
      </c>
      <c r="K983" t="s">
        <v>42</v>
      </c>
      <c r="L983">
        <v>1</v>
      </c>
      <c r="M983">
        <v>1</v>
      </c>
      <c r="N983">
        <v>2.9</v>
      </c>
      <c r="O983">
        <v>7.1</v>
      </c>
      <c r="P983">
        <v>6</v>
      </c>
      <c r="Q983">
        <v>4</v>
      </c>
      <c r="R983">
        <v>565999</v>
      </c>
      <c r="S983">
        <f>Table1[[#This Row],[Revenue]]-Table1[[#This Row],[Operating_Costs]]</f>
        <v>210113</v>
      </c>
      <c r="T983">
        <v>355886</v>
      </c>
      <c r="U983">
        <v>24</v>
      </c>
      <c r="V983">
        <v>54</v>
      </c>
      <c r="W983">
        <v>12.7</v>
      </c>
    </row>
    <row r="984" spans="1:23" x14ac:dyDescent="0.25">
      <c r="A984">
        <v>3</v>
      </c>
      <c r="B984" t="s">
        <v>57</v>
      </c>
      <c r="C984" s="1">
        <v>44844</v>
      </c>
      <c r="D984" t="s">
        <v>71</v>
      </c>
      <c r="E984">
        <v>0</v>
      </c>
      <c r="F984">
        <v>43</v>
      </c>
      <c r="G984" t="str">
        <f t="shared" si="23"/>
        <v>41-60</v>
      </c>
      <c r="H984" t="s">
        <v>35</v>
      </c>
      <c r="I984" t="s">
        <v>36</v>
      </c>
      <c r="J984" t="s">
        <v>37</v>
      </c>
      <c r="K984" t="s">
        <v>38</v>
      </c>
      <c r="L984">
        <v>1</v>
      </c>
      <c r="M984">
        <v>1</v>
      </c>
      <c r="N984">
        <v>5.0999999999999996</v>
      </c>
      <c r="O984">
        <v>9.8000000000000007</v>
      </c>
      <c r="P984">
        <v>6</v>
      </c>
      <c r="Q984">
        <v>4</v>
      </c>
      <c r="R984">
        <v>560916</v>
      </c>
      <c r="S984">
        <f>Table1[[#This Row],[Revenue]]-Table1[[#This Row],[Operating_Costs]]</f>
        <v>213776</v>
      </c>
      <c r="T984">
        <v>347140</v>
      </c>
      <c r="U984">
        <v>18</v>
      </c>
      <c r="V984">
        <v>63</v>
      </c>
      <c r="W984">
        <v>8.1999999999999993</v>
      </c>
    </row>
    <row r="985" spans="1:23" x14ac:dyDescent="0.25">
      <c r="A985">
        <v>3</v>
      </c>
      <c r="B985" t="s">
        <v>57</v>
      </c>
      <c r="C985" s="1">
        <v>45293</v>
      </c>
      <c r="D985" t="s">
        <v>71</v>
      </c>
      <c r="E985">
        <v>0</v>
      </c>
      <c r="F985">
        <v>64</v>
      </c>
      <c r="G985" t="str">
        <f t="shared" si="23"/>
        <v>61-80</v>
      </c>
      <c r="H985" t="s">
        <v>35</v>
      </c>
      <c r="I985" t="s">
        <v>46</v>
      </c>
      <c r="J985" t="s">
        <v>47</v>
      </c>
      <c r="K985" t="s">
        <v>29</v>
      </c>
      <c r="L985">
        <v>1</v>
      </c>
      <c r="M985">
        <v>1</v>
      </c>
      <c r="N985">
        <v>5.5</v>
      </c>
      <c r="O985">
        <v>8.9</v>
      </c>
      <c r="P985">
        <v>6</v>
      </c>
      <c r="Q985">
        <v>3</v>
      </c>
      <c r="R985">
        <v>583569</v>
      </c>
      <c r="S985">
        <f>Table1[[#This Row],[Revenue]]-Table1[[#This Row],[Operating_Costs]]</f>
        <v>242870</v>
      </c>
      <c r="T985">
        <v>340699</v>
      </c>
      <c r="U985">
        <v>23</v>
      </c>
      <c r="V985">
        <v>61</v>
      </c>
      <c r="W985">
        <v>13.5</v>
      </c>
    </row>
    <row r="986" spans="1:23" x14ac:dyDescent="0.25">
      <c r="A986">
        <v>3</v>
      </c>
      <c r="B986" t="s">
        <v>57</v>
      </c>
      <c r="C986" s="1">
        <v>44414</v>
      </c>
      <c r="D986" t="s">
        <v>71</v>
      </c>
      <c r="E986">
        <v>0</v>
      </c>
      <c r="F986">
        <v>69</v>
      </c>
      <c r="G986" t="str">
        <f t="shared" si="23"/>
        <v>61-80</v>
      </c>
      <c r="H986" t="s">
        <v>23</v>
      </c>
      <c r="I986" t="s">
        <v>50</v>
      </c>
      <c r="J986" t="s">
        <v>51</v>
      </c>
      <c r="K986" t="s">
        <v>26</v>
      </c>
      <c r="L986">
        <v>1</v>
      </c>
      <c r="M986">
        <v>1</v>
      </c>
      <c r="N986">
        <v>4.5999999999999996</v>
      </c>
      <c r="O986">
        <v>9.6999999999999993</v>
      </c>
      <c r="P986">
        <v>4</v>
      </c>
      <c r="Q986">
        <v>5</v>
      </c>
      <c r="R986">
        <v>551963</v>
      </c>
      <c r="S986">
        <f>Table1[[#This Row],[Revenue]]-Table1[[#This Row],[Operating_Costs]]</f>
        <v>211343</v>
      </c>
      <c r="T986">
        <v>340620</v>
      </c>
      <c r="U986">
        <v>18</v>
      </c>
      <c r="V986">
        <v>56</v>
      </c>
      <c r="W986">
        <v>13.7</v>
      </c>
    </row>
    <row r="987" spans="1:23" x14ac:dyDescent="0.25">
      <c r="A987">
        <v>3</v>
      </c>
      <c r="B987" t="s">
        <v>57</v>
      </c>
      <c r="C987" s="1">
        <v>44260</v>
      </c>
      <c r="D987" t="s">
        <v>71</v>
      </c>
      <c r="E987">
        <v>0</v>
      </c>
      <c r="F987">
        <v>29</v>
      </c>
      <c r="G987" t="str">
        <f t="shared" si="23"/>
        <v>21-40</v>
      </c>
      <c r="H987" t="s">
        <v>35</v>
      </c>
      <c r="I987" t="s">
        <v>61</v>
      </c>
      <c r="J987" t="s">
        <v>62</v>
      </c>
      <c r="K987" t="s">
        <v>33</v>
      </c>
      <c r="L987">
        <v>1</v>
      </c>
      <c r="M987">
        <v>1</v>
      </c>
      <c r="N987">
        <v>4.5</v>
      </c>
      <c r="O987">
        <v>9.4</v>
      </c>
      <c r="P987">
        <v>5</v>
      </c>
      <c r="Q987">
        <v>3</v>
      </c>
      <c r="R987">
        <v>536684</v>
      </c>
      <c r="S987">
        <f>Table1[[#This Row],[Revenue]]-Table1[[#This Row],[Operating_Costs]]</f>
        <v>207730</v>
      </c>
      <c r="T987">
        <v>328954</v>
      </c>
      <c r="U987">
        <v>25</v>
      </c>
      <c r="V987">
        <v>54</v>
      </c>
      <c r="W987">
        <v>5.2</v>
      </c>
    </row>
    <row r="988" spans="1:23" x14ac:dyDescent="0.25">
      <c r="A988">
        <v>3</v>
      </c>
      <c r="B988" t="s">
        <v>57</v>
      </c>
      <c r="C988" s="1">
        <v>44412</v>
      </c>
      <c r="D988" t="s">
        <v>71</v>
      </c>
      <c r="E988">
        <v>0</v>
      </c>
      <c r="F988">
        <v>31</v>
      </c>
      <c r="G988" t="str">
        <f t="shared" si="23"/>
        <v>21-40</v>
      </c>
      <c r="H988" t="s">
        <v>35</v>
      </c>
      <c r="I988" t="s">
        <v>46</v>
      </c>
      <c r="J988" t="s">
        <v>47</v>
      </c>
      <c r="K988" t="s">
        <v>29</v>
      </c>
      <c r="L988">
        <v>1</v>
      </c>
      <c r="M988">
        <v>1</v>
      </c>
      <c r="N988">
        <v>4.7</v>
      </c>
      <c r="O988">
        <v>7.2</v>
      </c>
      <c r="P988">
        <v>6</v>
      </c>
      <c r="Q988">
        <v>5</v>
      </c>
      <c r="R988">
        <v>548180</v>
      </c>
      <c r="S988">
        <f>Table1[[#This Row],[Revenue]]-Table1[[#This Row],[Operating_Costs]]</f>
        <v>171807</v>
      </c>
      <c r="T988">
        <v>376373</v>
      </c>
      <c r="U988">
        <v>15</v>
      </c>
      <c r="V988">
        <v>61</v>
      </c>
      <c r="W988">
        <v>5.2</v>
      </c>
    </row>
    <row r="989" spans="1:23" x14ac:dyDescent="0.25">
      <c r="A989">
        <v>3</v>
      </c>
      <c r="B989" t="s">
        <v>57</v>
      </c>
      <c r="C989" s="1">
        <v>44202</v>
      </c>
      <c r="D989" t="s">
        <v>71</v>
      </c>
      <c r="E989">
        <v>0</v>
      </c>
      <c r="F989">
        <v>52</v>
      </c>
      <c r="G989" t="str">
        <f t="shared" si="23"/>
        <v>41-60</v>
      </c>
      <c r="H989" t="s">
        <v>35</v>
      </c>
      <c r="I989" t="s">
        <v>60</v>
      </c>
      <c r="J989" t="s">
        <v>59</v>
      </c>
      <c r="K989" t="s">
        <v>33</v>
      </c>
      <c r="L989">
        <v>1</v>
      </c>
      <c r="M989">
        <v>1</v>
      </c>
      <c r="N989">
        <v>6.4</v>
      </c>
      <c r="O989">
        <v>7.7</v>
      </c>
      <c r="P989">
        <v>7</v>
      </c>
      <c r="Q989">
        <v>6</v>
      </c>
      <c r="R989">
        <v>574156</v>
      </c>
      <c r="S989">
        <f>Table1[[#This Row],[Revenue]]-Table1[[#This Row],[Operating_Costs]]</f>
        <v>177804</v>
      </c>
      <c r="T989">
        <v>396352</v>
      </c>
      <c r="U989">
        <v>25</v>
      </c>
      <c r="V989">
        <v>64</v>
      </c>
      <c r="W989">
        <v>7</v>
      </c>
    </row>
    <row r="990" spans="1:23" x14ac:dyDescent="0.25">
      <c r="A990">
        <v>3</v>
      </c>
      <c r="B990" t="s">
        <v>57</v>
      </c>
      <c r="C990" s="1">
        <v>45474</v>
      </c>
      <c r="D990" t="s">
        <v>71</v>
      </c>
      <c r="E990">
        <v>0</v>
      </c>
      <c r="F990">
        <v>31</v>
      </c>
      <c r="G990" t="str">
        <f t="shared" si="23"/>
        <v>21-40</v>
      </c>
      <c r="H990" t="s">
        <v>35</v>
      </c>
      <c r="I990" t="s">
        <v>31</v>
      </c>
      <c r="J990" t="s">
        <v>28</v>
      </c>
      <c r="K990" t="s">
        <v>29</v>
      </c>
      <c r="L990">
        <v>1</v>
      </c>
      <c r="M990">
        <v>1</v>
      </c>
      <c r="N990">
        <v>6</v>
      </c>
      <c r="O990">
        <v>8.3000000000000007</v>
      </c>
      <c r="P990">
        <v>3</v>
      </c>
      <c r="Q990">
        <v>7</v>
      </c>
      <c r="R990">
        <v>559191</v>
      </c>
      <c r="S990">
        <f>Table1[[#This Row],[Revenue]]-Table1[[#This Row],[Operating_Costs]]</f>
        <v>195794</v>
      </c>
      <c r="T990">
        <v>363397</v>
      </c>
      <c r="U990">
        <v>20</v>
      </c>
      <c r="V990">
        <v>63</v>
      </c>
      <c r="W990">
        <v>6.1</v>
      </c>
    </row>
    <row r="991" spans="1:23" x14ac:dyDescent="0.25">
      <c r="A991">
        <v>3</v>
      </c>
      <c r="B991" t="s">
        <v>57</v>
      </c>
      <c r="C991" s="1">
        <v>45524</v>
      </c>
      <c r="D991" t="s">
        <v>71</v>
      </c>
      <c r="E991">
        <v>0</v>
      </c>
      <c r="F991">
        <v>72</v>
      </c>
      <c r="G991" t="str">
        <f t="shared" si="23"/>
        <v>61-80</v>
      </c>
      <c r="H991" t="s">
        <v>23</v>
      </c>
      <c r="I991" t="s">
        <v>46</v>
      </c>
      <c r="J991" t="s">
        <v>47</v>
      </c>
      <c r="K991" t="s">
        <v>38</v>
      </c>
      <c r="L991">
        <v>1</v>
      </c>
      <c r="M991">
        <v>1</v>
      </c>
      <c r="N991">
        <v>3.3</v>
      </c>
      <c r="O991">
        <v>9.1999999999999993</v>
      </c>
      <c r="P991">
        <v>7</v>
      </c>
      <c r="Q991">
        <v>6</v>
      </c>
      <c r="R991">
        <v>593615</v>
      </c>
      <c r="S991">
        <f>Table1[[#This Row],[Revenue]]-Table1[[#This Row],[Operating_Costs]]</f>
        <v>244254</v>
      </c>
      <c r="T991">
        <v>349361</v>
      </c>
      <c r="U991">
        <v>23</v>
      </c>
      <c r="V991">
        <v>66</v>
      </c>
      <c r="W991">
        <v>10.3</v>
      </c>
    </row>
    <row r="992" spans="1:23" x14ac:dyDescent="0.25">
      <c r="A992">
        <v>3</v>
      </c>
      <c r="B992" t="s">
        <v>57</v>
      </c>
      <c r="C992" s="1">
        <v>44278</v>
      </c>
      <c r="D992" t="s">
        <v>71</v>
      </c>
      <c r="E992">
        <v>0</v>
      </c>
      <c r="F992">
        <v>82</v>
      </c>
      <c r="G992" t="str">
        <f t="shared" si="23"/>
        <v>81+</v>
      </c>
      <c r="H992" t="s">
        <v>35</v>
      </c>
      <c r="I992" t="s">
        <v>58</v>
      </c>
      <c r="J992" t="s">
        <v>59</v>
      </c>
      <c r="K992" t="s">
        <v>38</v>
      </c>
      <c r="L992">
        <v>1</v>
      </c>
      <c r="M992">
        <v>1</v>
      </c>
      <c r="N992">
        <v>1.5</v>
      </c>
      <c r="O992">
        <v>8.3000000000000007</v>
      </c>
      <c r="P992">
        <v>7</v>
      </c>
      <c r="Q992">
        <v>6</v>
      </c>
      <c r="R992">
        <v>532667</v>
      </c>
      <c r="S992">
        <f>Table1[[#This Row],[Revenue]]-Table1[[#This Row],[Operating_Costs]]</f>
        <v>200211</v>
      </c>
      <c r="T992">
        <v>332456</v>
      </c>
      <c r="U992">
        <v>20</v>
      </c>
      <c r="V992">
        <v>59</v>
      </c>
      <c r="W992">
        <v>14.8</v>
      </c>
    </row>
    <row r="993" spans="1:23" x14ac:dyDescent="0.25">
      <c r="A993">
        <v>3</v>
      </c>
      <c r="B993" t="s">
        <v>57</v>
      </c>
      <c r="C993" s="1">
        <v>45638</v>
      </c>
      <c r="D993" t="s">
        <v>71</v>
      </c>
      <c r="E993">
        <v>0</v>
      </c>
      <c r="F993">
        <v>85</v>
      </c>
      <c r="G993" t="str">
        <f t="shared" si="23"/>
        <v>81+</v>
      </c>
      <c r="H993" t="s">
        <v>35</v>
      </c>
      <c r="I993" t="s">
        <v>36</v>
      </c>
      <c r="J993" t="s">
        <v>37</v>
      </c>
      <c r="K993" t="s">
        <v>29</v>
      </c>
      <c r="L993">
        <v>1</v>
      </c>
      <c r="M993">
        <v>1</v>
      </c>
      <c r="N993">
        <v>2.2000000000000002</v>
      </c>
      <c r="O993">
        <v>9.1999999999999993</v>
      </c>
      <c r="P993">
        <v>4</v>
      </c>
      <c r="Q993">
        <v>5</v>
      </c>
      <c r="R993">
        <v>506375</v>
      </c>
      <c r="S993">
        <f>Table1[[#This Row],[Revenue]]-Table1[[#This Row],[Operating_Costs]]</f>
        <v>204008</v>
      </c>
      <c r="T993">
        <v>302367</v>
      </c>
      <c r="U993">
        <v>21</v>
      </c>
      <c r="V993">
        <v>54</v>
      </c>
      <c r="W993">
        <v>14.1</v>
      </c>
    </row>
    <row r="994" spans="1:23" x14ac:dyDescent="0.25">
      <c r="A994">
        <v>3</v>
      </c>
      <c r="B994" t="s">
        <v>57</v>
      </c>
      <c r="C994" s="1">
        <v>44514</v>
      </c>
      <c r="D994" t="s">
        <v>71</v>
      </c>
      <c r="E994">
        <v>0</v>
      </c>
      <c r="F994">
        <v>43</v>
      </c>
      <c r="G994" t="str">
        <f t="shared" si="23"/>
        <v>41-60</v>
      </c>
      <c r="H994" t="s">
        <v>35</v>
      </c>
      <c r="I994" t="s">
        <v>31</v>
      </c>
      <c r="J994" t="s">
        <v>28</v>
      </c>
      <c r="K994" t="s">
        <v>26</v>
      </c>
      <c r="L994">
        <v>1</v>
      </c>
      <c r="M994">
        <v>1</v>
      </c>
      <c r="N994">
        <v>4.9000000000000004</v>
      </c>
      <c r="O994">
        <v>8.8000000000000007</v>
      </c>
      <c r="P994">
        <v>5</v>
      </c>
      <c r="Q994">
        <v>5</v>
      </c>
      <c r="R994">
        <v>529540</v>
      </c>
      <c r="S994">
        <f>Table1[[#This Row],[Revenue]]-Table1[[#This Row],[Operating_Costs]]</f>
        <v>209196</v>
      </c>
      <c r="T994">
        <v>320344</v>
      </c>
      <c r="U994">
        <v>25</v>
      </c>
      <c r="V994">
        <v>66</v>
      </c>
      <c r="W994">
        <v>12.7</v>
      </c>
    </row>
    <row r="995" spans="1:23" x14ac:dyDescent="0.25">
      <c r="A995">
        <v>3</v>
      </c>
      <c r="B995" t="s">
        <v>57</v>
      </c>
      <c r="C995" s="1">
        <v>44399</v>
      </c>
      <c r="D995" t="s">
        <v>71</v>
      </c>
      <c r="E995">
        <v>0</v>
      </c>
      <c r="F995">
        <v>66</v>
      </c>
      <c r="G995" t="str">
        <f t="shared" si="23"/>
        <v>61-80</v>
      </c>
      <c r="H995" t="s">
        <v>35</v>
      </c>
      <c r="I995" t="s">
        <v>60</v>
      </c>
      <c r="J995" t="s">
        <v>59</v>
      </c>
      <c r="K995" t="s">
        <v>42</v>
      </c>
      <c r="L995">
        <v>1</v>
      </c>
      <c r="M995">
        <v>1</v>
      </c>
      <c r="N995">
        <v>5.0999999999999996</v>
      </c>
      <c r="O995">
        <v>7.8</v>
      </c>
      <c r="P995">
        <v>5</v>
      </c>
      <c r="Q995">
        <v>5</v>
      </c>
      <c r="R995">
        <v>566170</v>
      </c>
      <c r="S995">
        <f>Table1[[#This Row],[Revenue]]-Table1[[#This Row],[Operating_Costs]]</f>
        <v>168182</v>
      </c>
      <c r="T995">
        <v>397988</v>
      </c>
      <c r="U995">
        <v>15</v>
      </c>
      <c r="V995">
        <v>63</v>
      </c>
      <c r="W995">
        <v>12.6</v>
      </c>
    </row>
    <row r="996" spans="1:23" x14ac:dyDescent="0.25">
      <c r="A996">
        <v>3</v>
      </c>
      <c r="B996" t="s">
        <v>57</v>
      </c>
      <c r="C996" s="1">
        <v>45506</v>
      </c>
      <c r="D996" t="s">
        <v>71</v>
      </c>
      <c r="E996">
        <v>0</v>
      </c>
      <c r="F996">
        <v>56</v>
      </c>
      <c r="G996" t="str">
        <f t="shared" si="23"/>
        <v>41-60</v>
      </c>
      <c r="H996" t="s">
        <v>23</v>
      </c>
      <c r="I996" t="s">
        <v>24</v>
      </c>
      <c r="J996" t="s">
        <v>25</v>
      </c>
      <c r="K996" t="s">
        <v>33</v>
      </c>
      <c r="L996">
        <v>1</v>
      </c>
      <c r="M996">
        <v>1</v>
      </c>
      <c r="N996">
        <v>4.8</v>
      </c>
      <c r="O996">
        <v>8.9</v>
      </c>
      <c r="P996">
        <v>6</v>
      </c>
      <c r="Q996">
        <v>6</v>
      </c>
      <c r="R996">
        <v>504860</v>
      </c>
      <c r="S996">
        <f>Table1[[#This Row],[Revenue]]-Table1[[#This Row],[Operating_Costs]]</f>
        <v>119525</v>
      </c>
      <c r="T996">
        <v>385335</v>
      </c>
      <c r="U996">
        <v>21</v>
      </c>
      <c r="V996">
        <v>56</v>
      </c>
      <c r="W996">
        <v>8.6</v>
      </c>
    </row>
    <row r="997" spans="1:23" x14ac:dyDescent="0.25">
      <c r="A997">
        <v>3</v>
      </c>
      <c r="B997" t="s">
        <v>57</v>
      </c>
      <c r="C997" s="1">
        <v>45298</v>
      </c>
      <c r="D997" t="s">
        <v>71</v>
      </c>
      <c r="E997">
        <v>0</v>
      </c>
      <c r="F997">
        <v>44</v>
      </c>
      <c r="G997" t="str">
        <f t="shared" si="23"/>
        <v>41-60</v>
      </c>
      <c r="H997" t="s">
        <v>23</v>
      </c>
      <c r="I997" t="s">
        <v>27</v>
      </c>
      <c r="J997" t="s">
        <v>28</v>
      </c>
      <c r="K997" t="s">
        <v>29</v>
      </c>
      <c r="L997">
        <v>1</v>
      </c>
      <c r="M997">
        <v>1</v>
      </c>
      <c r="N997">
        <v>3</v>
      </c>
      <c r="O997">
        <v>9</v>
      </c>
      <c r="P997">
        <v>5</v>
      </c>
      <c r="Q997">
        <v>6</v>
      </c>
      <c r="R997">
        <v>576908</v>
      </c>
      <c r="S997">
        <f>Table1[[#This Row],[Revenue]]-Table1[[#This Row],[Operating_Costs]]</f>
        <v>274957</v>
      </c>
      <c r="T997">
        <v>301951</v>
      </c>
      <c r="U997">
        <v>15</v>
      </c>
      <c r="V997">
        <v>55</v>
      </c>
      <c r="W997">
        <v>10.4</v>
      </c>
    </row>
    <row r="998" spans="1:23" x14ac:dyDescent="0.25">
      <c r="A998">
        <v>3</v>
      </c>
      <c r="B998" t="s">
        <v>57</v>
      </c>
      <c r="C998" s="1">
        <v>45509</v>
      </c>
      <c r="D998" t="s">
        <v>71</v>
      </c>
      <c r="E998">
        <v>0</v>
      </c>
      <c r="F998">
        <v>47</v>
      </c>
      <c r="G998" t="str">
        <f t="shared" si="23"/>
        <v>41-60</v>
      </c>
      <c r="H998" t="s">
        <v>23</v>
      </c>
      <c r="I998" t="s">
        <v>46</v>
      </c>
      <c r="J998" t="s">
        <v>47</v>
      </c>
      <c r="K998" t="s">
        <v>33</v>
      </c>
      <c r="L998">
        <v>1</v>
      </c>
      <c r="M998">
        <v>1</v>
      </c>
      <c r="N998">
        <v>4.5999999999999996</v>
      </c>
      <c r="O998">
        <v>9.4</v>
      </c>
      <c r="P998">
        <v>5</v>
      </c>
      <c r="Q998">
        <v>7</v>
      </c>
      <c r="R998">
        <v>576366</v>
      </c>
      <c r="S998">
        <f>Table1[[#This Row],[Revenue]]-Table1[[#This Row],[Operating_Costs]]</f>
        <v>209431</v>
      </c>
      <c r="T998">
        <v>366935</v>
      </c>
      <c r="U998">
        <v>16</v>
      </c>
      <c r="V998">
        <v>66</v>
      </c>
      <c r="W998">
        <v>10.8</v>
      </c>
    </row>
    <row r="999" spans="1:23" x14ac:dyDescent="0.25">
      <c r="A999">
        <v>3</v>
      </c>
      <c r="B999" t="s">
        <v>57</v>
      </c>
      <c r="C999" s="1">
        <v>44270</v>
      </c>
      <c r="D999" t="s">
        <v>71</v>
      </c>
      <c r="E999">
        <v>0</v>
      </c>
      <c r="F999">
        <v>46</v>
      </c>
      <c r="G999" t="str">
        <f t="shared" si="23"/>
        <v>41-60</v>
      </c>
      <c r="H999" t="s">
        <v>23</v>
      </c>
      <c r="I999" t="s">
        <v>24</v>
      </c>
      <c r="J999" t="s">
        <v>25</v>
      </c>
      <c r="K999" t="s">
        <v>33</v>
      </c>
      <c r="L999">
        <v>1</v>
      </c>
      <c r="M999">
        <v>1</v>
      </c>
      <c r="N999">
        <v>4</v>
      </c>
      <c r="O999">
        <v>7.2</v>
      </c>
      <c r="P999">
        <v>5</v>
      </c>
      <c r="Q999">
        <v>4</v>
      </c>
      <c r="R999">
        <v>561206</v>
      </c>
      <c r="S999">
        <f>Table1[[#This Row],[Revenue]]-Table1[[#This Row],[Operating_Costs]]</f>
        <v>226291</v>
      </c>
      <c r="T999">
        <v>334915</v>
      </c>
      <c r="U999">
        <v>16</v>
      </c>
      <c r="V999">
        <v>61</v>
      </c>
      <c r="W999">
        <v>9.1</v>
      </c>
    </row>
    <row r="1000" spans="1:23" x14ac:dyDescent="0.25">
      <c r="A1000">
        <v>3</v>
      </c>
      <c r="B1000" t="s">
        <v>57</v>
      </c>
      <c r="C1000" s="1">
        <v>44316</v>
      </c>
      <c r="D1000" t="s">
        <v>71</v>
      </c>
      <c r="E1000">
        <v>0</v>
      </c>
      <c r="F1000">
        <v>87</v>
      </c>
      <c r="G1000" t="str">
        <f t="shared" si="23"/>
        <v>81+</v>
      </c>
      <c r="H1000" t="s">
        <v>23</v>
      </c>
      <c r="I1000" t="s">
        <v>50</v>
      </c>
      <c r="J1000" t="s">
        <v>51</v>
      </c>
      <c r="K1000" t="s">
        <v>42</v>
      </c>
      <c r="L1000">
        <v>1</v>
      </c>
      <c r="M1000">
        <v>1</v>
      </c>
      <c r="N1000">
        <v>4.4000000000000004</v>
      </c>
      <c r="O1000">
        <v>8.4</v>
      </c>
      <c r="P1000">
        <v>3</v>
      </c>
      <c r="Q1000">
        <v>7</v>
      </c>
      <c r="R1000">
        <v>533538</v>
      </c>
      <c r="S1000">
        <f>Table1[[#This Row],[Revenue]]-Table1[[#This Row],[Operating_Costs]]</f>
        <v>203285</v>
      </c>
      <c r="T1000">
        <v>330253</v>
      </c>
      <c r="U1000">
        <v>25</v>
      </c>
      <c r="V1000">
        <v>62</v>
      </c>
      <c r="W1000">
        <v>14.4</v>
      </c>
    </row>
    <row r="1001" spans="1:23" x14ac:dyDescent="0.25">
      <c r="A1001">
        <v>2</v>
      </c>
      <c r="B1001" t="s">
        <v>39</v>
      </c>
      <c r="C1001" s="1">
        <v>45038</v>
      </c>
      <c r="D1001" t="s">
        <v>71</v>
      </c>
      <c r="E1001">
        <v>0</v>
      </c>
      <c r="F1001">
        <v>90</v>
      </c>
      <c r="G1001" t="str">
        <f t="shared" si="23"/>
        <v>81+</v>
      </c>
      <c r="H1001" t="s">
        <v>23</v>
      </c>
      <c r="I1001" t="s">
        <v>24</v>
      </c>
      <c r="J1001" t="s">
        <v>25</v>
      </c>
      <c r="K1001" t="s">
        <v>38</v>
      </c>
      <c r="L1001">
        <v>1</v>
      </c>
      <c r="M1001">
        <v>1</v>
      </c>
      <c r="N1001">
        <v>6.9</v>
      </c>
      <c r="O1001">
        <v>9.9</v>
      </c>
      <c r="P1001">
        <v>5</v>
      </c>
      <c r="Q1001">
        <v>5</v>
      </c>
      <c r="R1001">
        <v>740082</v>
      </c>
      <c r="S1001">
        <f>Table1[[#This Row],[Revenue]]-Table1[[#This Row],[Operating_Costs]]</f>
        <v>100236</v>
      </c>
      <c r="T1001">
        <v>639846</v>
      </c>
      <c r="U1001">
        <v>33</v>
      </c>
      <c r="V1001">
        <v>66</v>
      </c>
      <c r="W1001">
        <v>8.1999999999999993</v>
      </c>
    </row>
    <row r="1002" spans="1:23" x14ac:dyDescent="0.25">
      <c r="A1002">
        <v>2</v>
      </c>
      <c r="B1002" t="s">
        <v>39</v>
      </c>
      <c r="C1002" s="1">
        <v>45050</v>
      </c>
      <c r="D1002" t="s">
        <v>71</v>
      </c>
      <c r="E1002">
        <v>0</v>
      </c>
      <c r="F1002">
        <v>28</v>
      </c>
      <c r="G1002" t="str">
        <f t="shared" si="23"/>
        <v>21-40</v>
      </c>
      <c r="H1002" t="s">
        <v>35</v>
      </c>
      <c r="I1002" t="s">
        <v>36</v>
      </c>
      <c r="J1002" t="s">
        <v>37</v>
      </c>
      <c r="K1002" t="s">
        <v>33</v>
      </c>
      <c r="L1002">
        <v>1</v>
      </c>
      <c r="M1002">
        <v>1</v>
      </c>
      <c r="N1002">
        <v>1.6</v>
      </c>
      <c r="O1002">
        <v>10</v>
      </c>
      <c r="P1002">
        <v>7</v>
      </c>
      <c r="Q1002">
        <v>3</v>
      </c>
      <c r="R1002">
        <v>716360</v>
      </c>
      <c r="S1002">
        <f>Table1[[#This Row],[Revenue]]-Table1[[#This Row],[Operating_Costs]]</f>
        <v>110760</v>
      </c>
      <c r="T1002">
        <v>605600</v>
      </c>
      <c r="U1002">
        <v>31</v>
      </c>
      <c r="V1002">
        <v>57</v>
      </c>
      <c r="W1002">
        <v>8.5</v>
      </c>
    </row>
    <row r="1003" spans="1:23" x14ac:dyDescent="0.25">
      <c r="A1003">
        <v>2</v>
      </c>
      <c r="B1003" t="s">
        <v>39</v>
      </c>
      <c r="C1003" s="1">
        <v>45478</v>
      </c>
      <c r="D1003" t="s">
        <v>71</v>
      </c>
      <c r="E1003">
        <v>0</v>
      </c>
      <c r="F1003">
        <v>56</v>
      </c>
      <c r="G1003" t="str">
        <f t="shared" si="23"/>
        <v>41-60</v>
      </c>
      <c r="H1003" t="s">
        <v>23</v>
      </c>
      <c r="I1003" t="s">
        <v>24</v>
      </c>
      <c r="J1003" t="s">
        <v>25</v>
      </c>
      <c r="K1003" t="s">
        <v>33</v>
      </c>
      <c r="L1003">
        <v>1</v>
      </c>
      <c r="M1003">
        <v>1</v>
      </c>
      <c r="N1003">
        <v>1.5</v>
      </c>
      <c r="O1003">
        <v>9.8000000000000007</v>
      </c>
      <c r="P1003">
        <v>3</v>
      </c>
      <c r="Q1003">
        <v>6</v>
      </c>
      <c r="R1003">
        <v>887310</v>
      </c>
      <c r="S1003">
        <f>Table1[[#This Row],[Revenue]]-Table1[[#This Row],[Operating_Costs]]</f>
        <v>322697</v>
      </c>
      <c r="T1003">
        <v>564613</v>
      </c>
      <c r="U1003">
        <v>31</v>
      </c>
      <c r="V1003">
        <v>61</v>
      </c>
      <c r="W1003">
        <v>7.9</v>
      </c>
    </row>
    <row r="1004" spans="1:23" x14ac:dyDescent="0.25">
      <c r="A1004">
        <v>2</v>
      </c>
      <c r="B1004" t="s">
        <v>39</v>
      </c>
      <c r="C1004" s="1">
        <v>44412</v>
      </c>
      <c r="D1004" t="s">
        <v>71</v>
      </c>
      <c r="E1004">
        <v>0</v>
      </c>
      <c r="F1004">
        <v>83</v>
      </c>
      <c r="G1004" t="str">
        <f t="shared" si="23"/>
        <v>81+</v>
      </c>
      <c r="H1004" t="s">
        <v>35</v>
      </c>
      <c r="I1004" t="s">
        <v>40</v>
      </c>
      <c r="J1004" t="s">
        <v>41</v>
      </c>
      <c r="K1004" t="s">
        <v>26</v>
      </c>
      <c r="L1004">
        <v>1</v>
      </c>
      <c r="M1004">
        <v>1</v>
      </c>
      <c r="N1004">
        <v>2.2000000000000002</v>
      </c>
      <c r="O1004">
        <v>8.6</v>
      </c>
      <c r="P1004">
        <v>4</v>
      </c>
      <c r="Q1004">
        <v>7</v>
      </c>
      <c r="R1004">
        <v>623439</v>
      </c>
      <c r="S1004">
        <f>Table1[[#This Row],[Revenue]]-Table1[[#This Row],[Operating_Costs]]</f>
        <v>-9733</v>
      </c>
      <c r="T1004">
        <v>633172</v>
      </c>
      <c r="U1004">
        <v>35</v>
      </c>
      <c r="V1004">
        <v>60</v>
      </c>
      <c r="W1004">
        <v>8.6999999999999993</v>
      </c>
    </row>
    <row r="1005" spans="1:23" x14ac:dyDescent="0.25">
      <c r="A1005">
        <v>2</v>
      </c>
      <c r="B1005" t="s">
        <v>39</v>
      </c>
      <c r="C1005" s="1">
        <v>44272</v>
      </c>
      <c r="D1005" t="s">
        <v>71</v>
      </c>
      <c r="E1005">
        <v>0</v>
      </c>
      <c r="F1005">
        <v>87</v>
      </c>
      <c r="G1005" t="str">
        <f t="shared" si="23"/>
        <v>81+</v>
      </c>
      <c r="H1005" t="s">
        <v>23</v>
      </c>
      <c r="I1005" t="s">
        <v>24</v>
      </c>
      <c r="J1005" t="s">
        <v>25</v>
      </c>
      <c r="K1005" t="s">
        <v>42</v>
      </c>
      <c r="L1005">
        <v>1</v>
      </c>
      <c r="M1005">
        <v>1</v>
      </c>
      <c r="N1005">
        <v>1.6</v>
      </c>
      <c r="O1005">
        <v>7.3</v>
      </c>
      <c r="P1005">
        <v>6</v>
      </c>
      <c r="Q1005">
        <v>7</v>
      </c>
      <c r="R1005">
        <v>820594</v>
      </c>
      <c r="S1005">
        <f>Table1[[#This Row],[Revenue]]-Table1[[#This Row],[Operating_Costs]]</f>
        <v>174316</v>
      </c>
      <c r="T1005">
        <v>646278</v>
      </c>
      <c r="U1005">
        <v>30</v>
      </c>
      <c r="V1005">
        <v>55</v>
      </c>
      <c r="W1005">
        <v>7</v>
      </c>
    </row>
    <row r="1006" spans="1:23" x14ac:dyDescent="0.25">
      <c r="A1006">
        <v>2</v>
      </c>
      <c r="B1006" t="s">
        <v>39</v>
      </c>
      <c r="C1006" s="1">
        <v>45198</v>
      </c>
      <c r="D1006" t="s">
        <v>71</v>
      </c>
      <c r="E1006">
        <v>0</v>
      </c>
      <c r="F1006">
        <v>60</v>
      </c>
      <c r="G1006" t="str">
        <f t="shared" si="23"/>
        <v>41-60</v>
      </c>
      <c r="H1006" t="s">
        <v>35</v>
      </c>
      <c r="I1006" t="s">
        <v>31</v>
      </c>
      <c r="J1006" t="s">
        <v>28</v>
      </c>
      <c r="K1006" t="s">
        <v>33</v>
      </c>
      <c r="L1006">
        <v>1</v>
      </c>
      <c r="M1006">
        <v>1</v>
      </c>
      <c r="N1006">
        <v>5.8</v>
      </c>
      <c r="O1006">
        <v>8</v>
      </c>
      <c r="P1006">
        <v>4</v>
      </c>
      <c r="Q1006">
        <v>5</v>
      </c>
      <c r="R1006">
        <v>669235</v>
      </c>
      <c r="S1006">
        <f>Table1[[#This Row],[Revenue]]-Table1[[#This Row],[Operating_Costs]]</f>
        <v>152012</v>
      </c>
      <c r="T1006">
        <v>517223</v>
      </c>
      <c r="U1006">
        <v>40</v>
      </c>
      <c r="V1006">
        <v>65</v>
      </c>
      <c r="W1006">
        <v>6.2</v>
      </c>
    </row>
    <row r="1007" spans="1:23" x14ac:dyDescent="0.25">
      <c r="A1007">
        <v>2</v>
      </c>
      <c r="B1007" t="s">
        <v>39</v>
      </c>
      <c r="C1007" s="1">
        <v>44692</v>
      </c>
      <c r="D1007" t="s">
        <v>71</v>
      </c>
      <c r="E1007">
        <v>0</v>
      </c>
      <c r="F1007">
        <v>56</v>
      </c>
      <c r="G1007" t="str">
        <f t="shared" si="23"/>
        <v>41-60</v>
      </c>
      <c r="H1007" t="s">
        <v>23</v>
      </c>
      <c r="I1007" t="s">
        <v>31</v>
      </c>
      <c r="J1007" t="s">
        <v>28</v>
      </c>
      <c r="K1007" t="s">
        <v>29</v>
      </c>
      <c r="L1007">
        <v>1</v>
      </c>
      <c r="M1007">
        <v>1</v>
      </c>
      <c r="N1007">
        <v>2.2999999999999998</v>
      </c>
      <c r="O1007">
        <v>9.1</v>
      </c>
      <c r="P1007">
        <v>3</v>
      </c>
      <c r="Q1007">
        <v>3</v>
      </c>
      <c r="R1007">
        <v>657867</v>
      </c>
      <c r="S1007">
        <f>Table1[[#This Row],[Revenue]]-Table1[[#This Row],[Operating_Costs]]</f>
        <v>156491</v>
      </c>
      <c r="T1007">
        <v>501376</v>
      </c>
      <c r="U1007">
        <v>36</v>
      </c>
      <c r="V1007">
        <v>60</v>
      </c>
      <c r="W1007">
        <v>12.6</v>
      </c>
    </row>
    <row r="1008" spans="1:23" x14ac:dyDescent="0.25">
      <c r="A1008">
        <v>2</v>
      </c>
      <c r="B1008" t="s">
        <v>39</v>
      </c>
      <c r="C1008" s="1">
        <v>45187</v>
      </c>
      <c r="D1008" t="s">
        <v>71</v>
      </c>
      <c r="E1008">
        <v>0</v>
      </c>
      <c r="F1008">
        <v>43</v>
      </c>
      <c r="G1008" t="str">
        <f t="shared" si="23"/>
        <v>41-60</v>
      </c>
      <c r="H1008" t="s">
        <v>35</v>
      </c>
      <c r="I1008" t="s">
        <v>61</v>
      </c>
      <c r="J1008" t="s">
        <v>62</v>
      </c>
      <c r="K1008" t="s">
        <v>42</v>
      </c>
      <c r="L1008">
        <v>1</v>
      </c>
      <c r="M1008">
        <v>1</v>
      </c>
      <c r="N1008">
        <v>2.7</v>
      </c>
      <c r="O1008">
        <v>8.9</v>
      </c>
      <c r="P1008">
        <v>3</v>
      </c>
      <c r="Q1008">
        <v>6</v>
      </c>
      <c r="R1008">
        <v>731558</v>
      </c>
      <c r="S1008">
        <f>Table1[[#This Row],[Revenue]]-Table1[[#This Row],[Operating_Costs]]</f>
        <v>201583</v>
      </c>
      <c r="T1008">
        <v>529975</v>
      </c>
      <c r="U1008">
        <v>40</v>
      </c>
      <c r="V1008">
        <v>60</v>
      </c>
      <c r="W1008">
        <v>10.7</v>
      </c>
    </row>
    <row r="1009" spans="1:23" x14ac:dyDescent="0.25">
      <c r="A1009">
        <v>2</v>
      </c>
      <c r="B1009" t="s">
        <v>39</v>
      </c>
      <c r="C1009" s="1">
        <v>45182</v>
      </c>
      <c r="D1009" t="s">
        <v>71</v>
      </c>
      <c r="E1009">
        <v>0</v>
      </c>
      <c r="F1009">
        <v>50</v>
      </c>
      <c r="G1009" t="str">
        <f t="shared" si="23"/>
        <v>41-60</v>
      </c>
      <c r="H1009" t="s">
        <v>23</v>
      </c>
      <c r="I1009" t="s">
        <v>24</v>
      </c>
      <c r="J1009" t="s">
        <v>25</v>
      </c>
      <c r="K1009" t="s">
        <v>38</v>
      </c>
      <c r="L1009">
        <v>1</v>
      </c>
      <c r="M1009">
        <v>1</v>
      </c>
      <c r="N1009">
        <v>4.4000000000000004</v>
      </c>
      <c r="O1009">
        <v>7.6</v>
      </c>
      <c r="P1009">
        <v>7</v>
      </c>
      <c r="Q1009">
        <v>7</v>
      </c>
      <c r="R1009">
        <v>872581</v>
      </c>
      <c r="S1009">
        <f>Table1[[#This Row],[Revenue]]-Table1[[#This Row],[Operating_Costs]]</f>
        <v>368218</v>
      </c>
      <c r="T1009">
        <v>504363</v>
      </c>
      <c r="U1009">
        <v>34</v>
      </c>
      <c r="V1009">
        <v>65</v>
      </c>
      <c r="W1009">
        <v>12</v>
      </c>
    </row>
    <row r="1010" spans="1:23" x14ac:dyDescent="0.25">
      <c r="A1010">
        <v>2</v>
      </c>
      <c r="B1010" t="s">
        <v>39</v>
      </c>
      <c r="C1010" s="1">
        <v>45195</v>
      </c>
      <c r="D1010" t="s">
        <v>71</v>
      </c>
      <c r="E1010">
        <v>0</v>
      </c>
      <c r="F1010">
        <v>57</v>
      </c>
      <c r="G1010" t="str">
        <f t="shared" si="23"/>
        <v>41-60</v>
      </c>
      <c r="H1010" t="s">
        <v>23</v>
      </c>
      <c r="I1010" t="s">
        <v>31</v>
      </c>
      <c r="J1010" t="s">
        <v>28</v>
      </c>
      <c r="K1010" t="s">
        <v>42</v>
      </c>
      <c r="L1010">
        <v>1</v>
      </c>
      <c r="M1010">
        <v>1</v>
      </c>
      <c r="N1010">
        <v>2.7</v>
      </c>
      <c r="O1010">
        <v>9.9</v>
      </c>
      <c r="P1010">
        <v>7</v>
      </c>
      <c r="Q1010">
        <v>3</v>
      </c>
      <c r="R1010">
        <v>635723</v>
      </c>
      <c r="S1010">
        <f>Table1[[#This Row],[Revenue]]-Table1[[#This Row],[Operating_Costs]]</f>
        <v>118785</v>
      </c>
      <c r="T1010">
        <v>516938</v>
      </c>
      <c r="U1010">
        <v>36</v>
      </c>
      <c r="V1010">
        <v>66</v>
      </c>
      <c r="W1010">
        <v>6.6</v>
      </c>
    </row>
    <row r="1011" spans="1:23" x14ac:dyDescent="0.25">
      <c r="A1011">
        <v>2</v>
      </c>
      <c r="B1011" t="s">
        <v>39</v>
      </c>
      <c r="C1011" s="1">
        <v>45349</v>
      </c>
      <c r="D1011" t="s">
        <v>71</v>
      </c>
      <c r="E1011">
        <v>0</v>
      </c>
      <c r="F1011">
        <v>73</v>
      </c>
      <c r="G1011" t="str">
        <f t="shared" si="23"/>
        <v>61-80</v>
      </c>
      <c r="H1011" t="s">
        <v>35</v>
      </c>
      <c r="I1011" t="s">
        <v>36</v>
      </c>
      <c r="J1011" t="s">
        <v>37</v>
      </c>
      <c r="K1011" t="s">
        <v>29</v>
      </c>
      <c r="L1011">
        <v>1</v>
      </c>
      <c r="M1011">
        <v>1</v>
      </c>
      <c r="N1011">
        <v>4.2</v>
      </c>
      <c r="O1011">
        <v>9</v>
      </c>
      <c r="P1011">
        <v>3</v>
      </c>
      <c r="Q1011">
        <v>5</v>
      </c>
      <c r="R1011">
        <v>820679</v>
      </c>
      <c r="S1011">
        <f>Table1[[#This Row],[Revenue]]-Table1[[#This Row],[Operating_Costs]]</f>
        <v>240896</v>
      </c>
      <c r="T1011">
        <v>579783</v>
      </c>
      <c r="U1011">
        <v>39</v>
      </c>
      <c r="V1011">
        <v>57</v>
      </c>
      <c r="W1011">
        <v>5.5</v>
      </c>
    </row>
    <row r="1012" spans="1:23" x14ac:dyDescent="0.25">
      <c r="A1012">
        <v>2</v>
      </c>
      <c r="B1012" t="s">
        <v>39</v>
      </c>
      <c r="C1012" s="1">
        <v>44557</v>
      </c>
      <c r="D1012" t="s">
        <v>71</v>
      </c>
      <c r="E1012">
        <v>0</v>
      </c>
      <c r="F1012">
        <v>46</v>
      </c>
      <c r="G1012" t="str">
        <f t="shared" si="23"/>
        <v>41-60</v>
      </c>
      <c r="H1012" t="s">
        <v>23</v>
      </c>
      <c r="I1012" t="s">
        <v>27</v>
      </c>
      <c r="J1012" t="s">
        <v>28</v>
      </c>
      <c r="K1012" t="s">
        <v>38</v>
      </c>
      <c r="L1012">
        <v>1</v>
      </c>
      <c r="M1012">
        <v>1</v>
      </c>
      <c r="N1012">
        <v>4.8</v>
      </c>
      <c r="O1012">
        <v>8.5</v>
      </c>
      <c r="P1012">
        <v>4</v>
      </c>
      <c r="Q1012">
        <v>4</v>
      </c>
      <c r="R1012">
        <v>881519</v>
      </c>
      <c r="S1012">
        <f>Table1[[#This Row],[Revenue]]-Table1[[#This Row],[Operating_Costs]]</f>
        <v>325143</v>
      </c>
      <c r="T1012">
        <v>556376</v>
      </c>
      <c r="U1012">
        <v>40</v>
      </c>
      <c r="V1012">
        <v>54</v>
      </c>
      <c r="W1012">
        <v>10.1</v>
      </c>
    </row>
    <row r="1013" spans="1:23" x14ac:dyDescent="0.25">
      <c r="A1013">
        <v>2</v>
      </c>
      <c r="B1013" t="s">
        <v>39</v>
      </c>
      <c r="C1013" s="1">
        <v>45369</v>
      </c>
      <c r="D1013" t="s">
        <v>71</v>
      </c>
      <c r="E1013">
        <v>0</v>
      </c>
      <c r="F1013">
        <v>62</v>
      </c>
      <c r="G1013" t="str">
        <f t="shared" si="23"/>
        <v>61-80</v>
      </c>
      <c r="H1013" t="s">
        <v>35</v>
      </c>
      <c r="I1013" t="s">
        <v>55</v>
      </c>
      <c r="J1013" t="s">
        <v>56</v>
      </c>
      <c r="K1013" t="s">
        <v>38</v>
      </c>
      <c r="L1013">
        <v>1</v>
      </c>
      <c r="M1013">
        <v>1</v>
      </c>
      <c r="N1013">
        <v>3.8</v>
      </c>
      <c r="O1013">
        <v>8.1</v>
      </c>
      <c r="P1013">
        <v>5</v>
      </c>
      <c r="Q1013">
        <v>6</v>
      </c>
      <c r="R1013">
        <v>851432</v>
      </c>
      <c r="S1013">
        <f>Table1[[#This Row],[Revenue]]-Table1[[#This Row],[Operating_Costs]]</f>
        <v>351144</v>
      </c>
      <c r="T1013">
        <v>500288</v>
      </c>
      <c r="U1013">
        <v>35</v>
      </c>
      <c r="V1013">
        <v>59</v>
      </c>
      <c r="W1013">
        <v>10.5</v>
      </c>
    </row>
    <row r="1014" spans="1:23" x14ac:dyDescent="0.25">
      <c r="A1014">
        <v>2</v>
      </c>
      <c r="B1014" t="s">
        <v>39</v>
      </c>
      <c r="C1014" s="1">
        <v>45320</v>
      </c>
      <c r="D1014" t="s">
        <v>71</v>
      </c>
      <c r="E1014">
        <v>0</v>
      </c>
      <c r="F1014">
        <v>33</v>
      </c>
      <c r="G1014" t="str">
        <f t="shared" si="23"/>
        <v>21-40</v>
      </c>
      <c r="H1014" t="s">
        <v>23</v>
      </c>
      <c r="I1014" t="s">
        <v>24</v>
      </c>
      <c r="J1014" t="s">
        <v>25</v>
      </c>
      <c r="K1014" t="s">
        <v>26</v>
      </c>
      <c r="L1014">
        <v>1</v>
      </c>
      <c r="M1014">
        <v>1</v>
      </c>
      <c r="N1014">
        <v>6.3</v>
      </c>
      <c r="O1014">
        <v>9</v>
      </c>
      <c r="P1014">
        <v>6</v>
      </c>
      <c r="Q1014">
        <v>3</v>
      </c>
      <c r="R1014">
        <v>678462</v>
      </c>
      <c r="S1014">
        <f>Table1[[#This Row],[Revenue]]-Table1[[#This Row],[Operating_Costs]]</f>
        <v>138288</v>
      </c>
      <c r="T1014">
        <v>540174</v>
      </c>
      <c r="U1014">
        <v>30</v>
      </c>
      <c r="V1014">
        <v>66</v>
      </c>
      <c r="W1014">
        <v>5.3</v>
      </c>
    </row>
    <row r="1015" spans="1:23" x14ac:dyDescent="0.25">
      <c r="A1015">
        <v>2</v>
      </c>
      <c r="B1015" t="s">
        <v>39</v>
      </c>
      <c r="C1015" s="1">
        <v>44773</v>
      </c>
      <c r="D1015" t="s">
        <v>71</v>
      </c>
      <c r="E1015">
        <v>0</v>
      </c>
      <c r="F1015">
        <v>28</v>
      </c>
      <c r="G1015" t="str">
        <f t="shared" si="23"/>
        <v>21-40</v>
      </c>
      <c r="H1015" t="s">
        <v>35</v>
      </c>
      <c r="I1015" t="s">
        <v>61</v>
      </c>
      <c r="J1015" t="s">
        <v>62</v>
      </c>
      <c r="K1015" t="s">
        <v>33</v>
      </c>
      <c r="L1015">
        <v>1</v>
      </c>
      <c r="M1015">
        <v>1</v>
      </c>
      <c r="N1015">
        <v>3</v>
      </c>
      <c r="O1015">
        <v>9.6</v>
      </c>
      <c r="P1015">
        <v>3</v>
      </c>
      <c r="Q1015">
        <v>7</v>
      </c>
      <c r="R1015">
        <v>794699</v>
      </c>
      <c r="S1015">
        <f>Table1[[#This Row],[Revenue]]-Table1[[#This Row],[Operating_Costs]]</f>
        <v>150490</v>
      </c>
      <c r="T1015">
        <v>644209</v>
      </c>
      <c r="U1015">
        <v>35</v>
      </c>
      <c r="V1015">
        <v>59</v>
      </c>
      <c r="W1015">
        <v>14.2</v>
      </c>
    </row>
    <row r="1016" spans="1:23" x14ac:dyDescent="0.25">
      <c r="A1016">
        <v>2</v>
      </c>
      <c r="B1016" t="s">
        <v>39</v>
      </c>
      <c r="C1016" s="1">
        <v>44743</v>
      </c>
      <c r="D1016" t="s">
        <v>71</v>
      </c>
      <c r="E1016">
        <v>0</v>
      </c>
      <c r="F1016">
        <v>81</v>
      </c>
      <c r="G1016" t="str">
        <f t="shared" si="23"/>
        <v>81+</v>
      </c>
      <c r="H1016" t="s">
        <v>23</v>
      </c>
      <c r="I1016" t="s">
        <v>40</v>
      </c>
      <c r="J1016" t="s">
        <v>41</v>
      </c>
      <c r="K1016" t="s">
        <v>38</v>
      </c>
      <c r="L1016">
        <v>1</v>
      </c>
      <c r="M1016">
        <v>1</v>
      </c>
      <c r="N1016">
        <v>4.8</v>
      </c>
      <c r="O1016">
        <v>9.6999999999999993</v>
      </c>
      <c r="P1016">
        <v>7</v>
      </c>
      <c r="Q1016">
        <v>7</v>
      </c>
      <c r="R1016">
        <v>783174</v>
      </c>
      <c r="S1016">
        <f>Table1[[#This Row],[Revenue]]-Table1[[#This Row],[Operating_Costs]]</f>
        <v>273801</v>
      </c>
      <c r="T1016">
        <v>509373</v>
      </c>
      <c r="U1016">
        <v>34</v>
      </c>
      <c r="V1016">
        <v>58</v>
      </c>
      <c r="W1016">
        <v>12.8</v>
      </c>
    </row>
    <row r="1017" spans="1:23" x14ac:dyDescent="0.25">
      <c r="A1017">
        <v>2</v>
      </c>
      <c r="B1017" t="s">
        <v>39</v>
      </c>
      <c r="C1017" s="1">
        <v>44971</v>
      </c>
      <c r="D1017" t="s">
        <v>71</v>
      </c>
      <c r="E1017">
        <v>0</v>
      </c>
      <c r="F1017">
        <v>34</v>
      </c>
      <c r="G1017" t="str">
        <f t="shared" si="23"/>
        <v>21-40</v>
      </c>
      <c r="H1017" t="s">
        <v>35</v>
      </c>
      <c r="I1017" t="s">
        <v>55</v>
      </c>
      <c r="J1017" t="s">
        <v>56</v>
      </c>
      <c r="K1017" t="s">
        <v>29</v>
      </c>
      <c r="L1017">
        <v>1</v>
      </c>
      <c r="M1017">
        <v>1</v>
      </c>
      <c r="N1017">
        <v>5.3</v>
      </c>
      <c r="O1017">
        <v>8.6999999999999993</v>
      </c>
      <c r="P1017">
        <v>4</v>
      </c>
      <c r="Q1017">
        <v>4</v>
      </c>
      <c r="R1017">
        <v>672368</v>
      </c>
      <c r="S1017">
        <f>Table1[[#This Row],[Revenue]]-Table1[[#This Row],[Operating_Costs]]</f>
        <v>33870</v>
      </c>
      <c r="T1017">
        <v>638498</v>
      </c>
      <c r="U1017">
        <v>33</v>
      </c>
      <c r="V1017">
        <v>61</v>
      </c>
      <c r="W1017">
        <v>12.9</v>
      </c>
    </row>
    <row r="1018" spans="1:23" x14ac:dyDescent="0.25">
      <c r="A1018">
        <v>2</v>
      </c>
      <c r="B1018" t="s">
        <v>39</v>
      </c>
      <c r="C1018" s="1">
        <v>45317</v>
      </c>
      <c r="D1018" t="s">
        <v>71</v>
      </c>
      <c r="E1018">
        <v>0</v>
      </c>
      <c r="F1018">
        <v>72</v>
      </c>
      <c r="G1018" t="str">
        <f t="shared" si="23"/>
        <v>61-80</v>
      </c>
      <c r="H1018" t="s">
        <v>23</v>
      </c>
      <c r="I1018" t="s">
        <v>43</v>
      </c>
      <c r="J1018" t="s">
        <v>25</v>
      </c>
      <c r="K1018" t="s">
        <v>38</v>
      </c>
      <c r="L1018">
        <v>1</v>
      </c>
      <c r="M1018">
        <v>1</v>
      </c>
      <c r="N1018">
        <v>7</v>
      </c>
      <c r="O1018">
        <v>8.1999999999999993</v>
      </c>
      <c r="P1018">
        <v>4</v>
      </c>
      <c r="Q1018">
        <v>7</v>
      </c>
      <c r="R1018">
        <v>889573</v>
      </c>
      <c r="S1018">
        <f>Table1[[#This Row],[Revenue]]-Table1[[#This Row],[Operating_Costs]]</f>
        <v>250567</v>
      </c>
      <c r="T1018">
        <v>639006</v>
      </c>
      <c r="U1018">
        <v>34</v>
      </c>
      <c r="V1018">
        <v>65</v>
      </c>
      <c r="W1018">
        <v>9.5</v>
      </c>
    </row>
    <row r="1019" spans="1:23" x14ac:dyDescent="0.25">
      <c r="A1019">
        <v>2</v>
      </c>
      <c r="B1019" t="s">
        <v>39</v>
      </c>
      <c r="C1019" s="1">
        <v>45175</v>
      </c>
      <c r="D1019" t="s">
        <v>71</v>
      </c>
      <c r="E1019">
        <v>0</v>
      </c>
      <c r="F1019">
        <v>24</v>
      </c>
      <c r="G1019" t="str">
        <f t="shared" si="23"/>
        <v>21-40</v>
      </c>
      <c r="H1019" t="s">
        <v>35</v>
      </c>
      <c r="I1019" t="s">
        <v>58</v>
      </c>
      <c r="J1019" t="s">
        <v>59</v>
      </c>
      <c r="K1019" t="s">
        <v>26</v>
      </c>
      <c r="L1019">
        <v>1</v>
      </c>
      <c r="M1019">
        <v>1</v>
      </c>
      <c r="N1019">
        <v>4.3</v>
      </c>
      <c r="O1019">
        <v>8.5</v>
      </c>
      <c r="P1019">
        <v>6</v>
      </c>
      <c r="Q1019">
        <v>3</v>
      </c>
      <c r="R1019">
        <v>650934</v>
      </c>
      <c r="S1019">
        <f>Table1[[#This Row],[Revenue]]-Table1[[#This Row],[Operating_Costs]]</f>
        <v>51498</v>
      </c>
      <c r="T1019">
        <v>599436</v>
      </c>
      <c r="U1019">
        <v>35</v>
      </c>
      <c r="V1019">
        <v>61</v>
      </c>
      <c r="W1019">
        <v>9.6999999999999993</v>
      </c>
    </row>
    <row r="1020" spans="1:23" x14ac:dyDescent="0.25">
      <c r="A1020">
        <v>2</v>
      </c>
      <c r="B1020" t="s">
        <v>39</v>
      </c>
      <c r="C1020" s="1">
        <v>45624</v>
      </c>
      <c r="D1020" t="s">
        <v>71</v>
      </c>
      <c r="E1020">
        <v>0</v>
      </c>
      <c r="F1020">
        <v>53</v>
      </c>
      <c r="G1020" t="str">
        <f t="shared" si="23"/>
        <v>41-60</v>
      </c>
      <c r="H1020" t="s">
        <v>23</v>
      </c>
      <c r="I1020" t="s">
        <v>40</v>
      </c>
      <c r="J1020" t="s">
        <v>41</v>
      </c>
      <c r="K1020" t="s">
        <v>33</v>
      </c>
      <c r="L1020">
        <v>1</v>
      </c>
      <c r="M1020">
        <v>1</v>
      </c>
      <c r="N1020">
        <v>5.3</v>
      </c>
      <c r="O1020">
        <v>7.4</v>
      </c>
      <c r="P1020">
        <v>7</v>
      </c>
      <c r="Q1020">
        <v>6</v>
      </c>
      <c r="R1020">
        <v>727509</v>
      </c>
      <c r="S1020">
        <f>Table1[[#This Row],[Revenue]]-Table1[[#This Row],[Operating_Costs]]</f>
        <v>104431</v>
      </c>
      <c r="T1020">
        <v>623078</v>
      </c>
      <c r="U1020">
        <v>35</v>
      </c>
      <c r="V1020">
        <v>57</v>
      </c>
      <c r="W1020">
        <v>36.6</v>
      </c>
    </row>
    <row r="1021" spans="1:23" x14ac:dyDescent="0.25">
      <c r="A1021">
        <v>2</v>
      </c>
      <c r="B1021" t="s">
        <v>39</v>
      </c>
      <c r="C1021" s="1">
        <v>45082</v>
      </c>
      <c r="D1021" t="s">
        <v>71</v>
      </c>
      <c r="E1021">
        <v>0</v>
      </c>
      <c r="F1021">
        <v>36</v>
      </c>
      <c r="G1021" t="str">
        <f t="shared" si="23"/>
        <v>21-40</v>
      </c>
      <c r="H1021" t="s">
        <v>23</v>
      </c>
      <c r="I1021" t="s">
        <v>31</v>
      </c>
      <c r="J1021" t="s">
        <v>28</v>
      </c>
      <c r="K1021" t="s">
        <v>33</v>
      </c>
      <c r="L1021">
        <v>1</v>
      </c>
      <c r="M1021">
        <v>1</v>
      </c>
      <c r="N1021">
        <v>2.2000000000000002</v>
      </c>
      <c r="O1021">
        <v>9.3000000000000007</v>
      </c>
      <c r="P1021">
        <v>4</v>
      </c>
      <c r="Q1021">
        <v>7</v>
      </c>
      <c r="R1021">
        <v>805390</v>
      </c>
      <c r="S1021">
        <f>Table1[[#This Row],[Revenue]]-Table1[[#This Row],[Operating_Costs]]</f>
        <v>222370</v>
      </c>
      <c r="T1021">
        <v>583020</v>
      </c>
      <c r="U1021">
        <v>32</v>
      </c>
      <c r="V1021">
        <v>56</v>
      </c>
      <c r="W1021">
        <v>7.3</v>
      </c>
    </row>
    <row r="1022" spans="1:23" x14ac:dyDescent="0.25">
      <c r="A1022">
        <v>2</v>
      </c>
      <c r="B1022" t="s">
        <v>39</v>
      </c>
      <c r="C1022" s="1">
        <v>45389</v>
      </c>
      <c r="D1022" t="s">
        <v>71</v>
      </c>
      <c r="E1022">
        <v>0</v>
      </c>
      <c r="F1022">
        <v>32</v>
      </c>
      <c r="G1022" t="str">
        <f t="shared" si="23"/>
        <v>21-40</v>
      </c>
      <c r="H1022" t="s">
        <v>35</v>
      </c>
      <c r="I1022" t="s">
        <v>58</v>
      </c>
      <c r="J1022" t="s">
        <v>59</v>
      </c>
      <c r="K1022" t="s">
        <v>33</v>
      </c>
      <c r="L1022">
        <v>1</v>
      </c>
      <c r="M1022">
        <v>1</v>
      </c>
      <c r="N1022">
        <v>1.9</v>
      </c>
      <c r="O1022">
        <v>7.1</v>
      </c>
      <c r="P1022">
        <v>4</v>
      </c>
      <c r="Q1022">
        <v>5</v>
      </c>
      <c r="R1022">
        <v>771875</v>
      </c>
      <c r="S1022">
        <f>Table1[[#This Row],[Revenue]]-Table1[[#This Row],[Operating_Costs]]</f>
        <v>250820</v>
      </c>
      <c r="T1022">
        <v>521055</v>
      </c>
      <c r="U1022">
        <v>33</v>
      </c>
      <c r="V1022">
        <v>62</v>
      </c>
      <c r="W1022">
        <v>8.8000000000000007</v>
      </c>
    </row>
    <row r="1023" spans="1:23" x14ac:dyDescent="0.25">
      <c r="A1023">
        <v>2</v>
      </c>
      <c r="B1023" t="s">
        <v>39</v>
      </c>
      <c r="C1023" s="1">
        <v>44406</v>
      </c>
      <c r="D1023" t="s">
        <v>71</v>
      </c>
      <c r="E1023">
        <v>0</v>
      </c>
      <c r="F1023">
        <v>70</v>
      </c>
      <c r="G1023" t="str">
        <f t="shared" si="23"/>
        <v>61-80</v>
      </c>
      <c r="H1023" t="s">
        <v>23</v>
      </c>
      <c r="I1023" t="s">
        <v>24</v>
      </c>
      <c r="J1023" t="s">
        <v>25</v>
      </c>
      <c r="K1023" t="s">
        <v>42</v>
      </c>
      <c r="L1023">
        <v>1</v>
      </c>
      <c r="M1023">
        <v>1</v>
      </c>
      <c r="N1023">
        <v>6.3</v>
      </c>
      <c r="O1023">
        <v>9.1999999999999993</v>
      </c>
      <c r="P1023">
        <v>3</v>
      </c>
      <c r="Q1023">
        <v>7</v>
      </c>
      <c r="R1023">
        <v>781423</v>
      </c>
      <c r="S1023">
        <f>Table1[[#This Row],[Revenue]]-Table1[[#This Row],[Operating_Costs]]</f>
        <v>164759</v>
      </c>
      <c r="T1023">
        <v>616664</v>
      </c>
      <c r="U1023">
        <v>34</v>
      </c>
      <c r="V1023">
        <v>55</v>
      </c>
      <c r="W1023">
        <v>13.7</v>
      </c>
    </row>
    <row r="1024" spans="1:23" x14ac:dyDescent="0.25">
      <c r="A1024">
        <v>2</v>
      </c>
      <c r="B1024" t="s">
        <v>39</v>
      </c>
      <c r="C1024" s="1">
        <v>44452</v>
      </c>
      <c r="D1024" t="s">
        <v>71</v>
      </c>
      <c r="E1024">
        <v>0</v>
      </c>
      <c r="F1024">
        <v>58</v>
      </c>
      <c r="G1024" t="str">
        <f t="shared" si="23"/>
        <v>41-60</v>
      </c>
      <c r="H1024" t="s">
        <v>23</v>
      </c>
      <c r="I1024" t="s">
        <v>43</v>
      </c>
      <c r="J1024" t="s">
        <v>25</v>
      </c>
      <c r="K1024" t="s">
        <v>29</v>
      </c>
      <c r="L1024">
        <v>1</v>
      </c>
      <c r="M1024">
        <v>1</v>
      </c>
      <c r="N1024">
        <v>3.4</v>
      </c>
      <c r="O1024">
        <v>9.8000000000000007</v>
      </c>
      <c r="P1024">
        <v>3</v>
      </c>
      <c r="Q1024">
        <v>6</v>
      </c>
      <c r="R1024">
        <v>654216</v>
      </c>
      <c r="S1024">
        <f>Table1[[#This Row],[Revenue]]-Table1[[#This Row],[Operating_Costs]]</f>
        <v>129443</v>
      </c>
      <c r="T1024">
        <v>524773</v>
      </c>
      <c r="U1024">
        <v>33</v>
      </c>
      <c r="V1024">
        <v>55</v>
      </c>
      <c r="W1024">
        <v>9.3000000000000007</v>
      </c>
    </row>
    <row r="1025" spans="1:23" x14ac:dyDescent="0.25">
      <c r="A1025">
        <v>2</v>
      </c>
      <c r="B1025" t="s">
        <v>39</v>
      </c>
      <c r="C1025" s="1">
        <v>44200</v>
      </c>
      <c r="D1025" t="s">
        <v>71</v>
      </c>
      <c r="E1025">
        <v>0</v>
      </c>
      <c r="F1025">
        <v>45</v>
      </c>
      <c r="G1025" t="str">
        <f t="shared" si="23"/>
        <v>41-60</v>
      </c>
      <c r="H1025" t="s">
        <v>35</v>
      </c>
      <c r="I1025" t="s">
        <v>36</v>
      </c>
      <c r="J1025" t="s">
        <v>37</v>
      </c>
      <c r="K1025" t="s">
        <v>33</v>
      </c>
      <c r="L1025">
        <v>1</v>
      </c>
      <c r="M1025">
        <v>1</v>
      </c>
      <c r="N1025">
        <v>6.3</v>
      </c>
      <c r="O1025">
        <v>8.1999999999999993</v>
      </c>
      <c r="P1025">
        <v>5</v>
      </c>
      <c r="Q1025">
        <v>4</v>
      </c>
      <c r="R1025">
        <v>603354</v>
      </c>
      <c r="S1025">
        <f>Table1[[#This Row],[Revenue]]-Table1[[#This Row],[Operating_Costs]]</f>
        <v>-16338</v>
      </c>
      <c r="T1025">
        <v>619692</v>
      </c>
      <c r="U1025">
        <v>32</v>
      </c>
      <c r="V1025">
        <v>64</v>
      </c>
      <c r="W1025">
        <v>12.6</v>
      </c>
    </row>
    <row r="1026" spans="1:23" x14ac:dyDescent="0.25">
      <c r="A1026">
        <v>2</v>
      </c>
      <c r="B1026" t="s">
        <v>39</v>
      </c>
      <c r="C1026" s="1">
        <v>44632</v>
      </c>
      <c r="D1026" t="s">
        <v>71</v>
      </c>
      <c r="E1026">
        <v>0</v>
      </c>
      <c r="F1026">
        <v>55</v>
      </c>
      <c r="G1026" t="str">
        <f t="shared" si="23"/>
        <v>41-60</v>
      </c>
      <c r="H1026" t="s">
        <v>35</v>
      </c>
      <c r="I1026" t="s">
        <v>31</v>
      </c>
      <c r="J1026" t="s">
        <v>28</v>
      </c>
      <c r="K1026" t="s">
        <v>29</v>
      </c>
      <c r="L1026">
        <v>1</v>
      </c>
      <c r="M1026">
        <v>1</v>
      </c>
      <c r="N1026">
        <v>6.4</v>
      </c>
      <c r="O1026">
        <v>8.1</v>
      </c>
      <c r="P1026">
        <v>7</v>
      </c>
      <c r="Q1026">
        <v>3</v>
      </c>
      <c r="R1026">
        <v>784962</v>
      </c>
      <c r="S1026">
        <f>Table1[[#This Row],[Revenue]]-Table1[[#This Row],[Operating_Costs]]</f>
        <v>260405</v>
      </c>
      <c r="T1026">
        <v>524557</v>
      </c>
      <c r="U1026">
        <v>36</v>
      </c>
      <c r="V1026">
        <v>62</v>
      </c>
      <c r="W1026">
        <v>9.6</v>
      </c>
    </row>
    <row r="1027" spans="1:23" x14ac:dyDescent="0.25">
      <c r="A1027">
        <v>2</v>
      </c>
      <c r="B1027" t="s">
        <v>39</v>
      </c>
      <c r="C1027" s="1">
        <v>45274</v>
      </c>
      <c r="D1027" t="s">
        <v>71</v>
      </c>
      <c r="E1027">
        <v>0</v>
      </c>
      <c r="F1027">
        <v>70</v>
      </c>
      <c r="G1027" t="str">
        <f t="shared" ref="G1027:G1090" si="24">IF(F1027&lt;=20,"0-20",IF(F1027&lt;=40,"21-40",IF(F1027&lt;=60,"41-60",IF(F1027&lt;=80,"61-80","81+"))))</f>
        <v>61-80</v>
      </c>
      <c r="H1027" t="s">
        <v>35</v>
      </c>
      <c r="I1027" t="s">
        <v>36</v>
      </c>
      <c r="J1027" t="s">
        <v>37</v>
      </c>
      <c r="K1027" t="s">
        <v>26</v>
      </c>
      <c r="L1027">
        <v>1</v>
      </c>
      <c r="M1027">
        <v>1</v>
      </c>
      <c r="N1027">
        <v>5.0999999999999996</v>
      </c>
      <c r="O1027">
        <v>8.1</v>
      </c>
      <c r="P1027">
        <v>3</v>
      </c>
      <c r="Q1027">
        <v>5</v>
      </c>
      <c r="R1027">
        <v>631049</v>
      </c>
      <c r="S1027">
        <f>Table1[[#This Row],[Revenue]]-Table1[[#This Row],[Operating_Costs]]</f>
        <v>11608</v>
      </c>
      <c r="T1027">
        <v>619441</v>
      </c>
      <c r="U1027">
        <v>34</v>
      </c>
      <c r="V1027">
        <v>54</v>
      </c>
      <c r="W1027">
        <v>6.9</v>
      </c>
    </row>
    <row r="1028" spans="1:23" x14ac:dyDescent="0.25">
      <c r="A1028">
        <v>2</v>
      </c>
      <c r="B1028" t="s">
        <v>39</v>
      </c>
      <c r="C1028" s="1">
        <v>45505</v>
      </c>
      <c r="D1028" t="s">
        <v>71</v>
      </c>
      <c r="E1028">
        <v>0</v>
      </c>
      <c r="F1028">
        <v>68</v>
      </c>
      <c r="G1028" t="str">
        <f t="shared" si="24"/>
        <v>61-80</v>
      </c>
      <c r="H1028" t="s">
        <v>23</v>
      </c>
      <c r="I1028" t="s">
        <v>24</v>
      </c>
      <c r="J1028" t="s">
        <v>25</v>
      </c>
      <c r="K1028" t="s">
        <v>26</v>
      </c>
      <c r="L1028">
        <v>1</v>
      </c>
      <c r="M1028">
        <v>1</v>
      </c>
      <c r="N1028">
        <v>6.2</v>
      </c>
      <c r="O1028">
        <v>7.8</v>
      </c>
      <c r="P1028">
        <v>5</v>
      </c>
      <c r="Q1028">
        <v>3</v>
      </c>
      <c r="R1028">
        <v>745773</v>
      </c>
      <c r="S1028">
        <f>Table1[[#This Row],[Revenue]]-Table1[[#This Row],[Operating_Costs]]</f>
        <v>201248</v>
      </c>
      <c r="T1028">
        <v>544525</v>
      </c>
      <c r="U1028">
        <v>39</v>
      </c>
      <c r="V1028">
        <v>62</v>
      </c>
      <c r="W1028">
        <v>8.8000000000000007</v>
      </c>
    </row>
    <row r="1029" spans="1:23" x14ac:dyDescent="0.25">
      <c r="A1029">
        <v>2</v>
      </c>
      <c r="B1029" t="s">
        <v>39</v>
      </c>
      <c r="C1029" s="1">
        <v>45049</v>
      </c>
      <c r="D1029" t="s">
        <v>71</v>
      </c>
      <c r="E1029">
        <v>0</v>
      </c>
      <c r="F1029">
        <v>23</v>
      </c>
      <c r="G1029" t="str">
        <f t="shared" si="24"/>
        <v>21-40</v>
      </c>
      <c r="H1029" t="s">
        <v>23</v>
      </c>
      <c r="I1029" t="s">
        <v>64</v>
      </c>
      <c r="J1029" t="s">
        <v>65</v>
      </c>
      <c r="K1029" t="s">
        <v>33</v>
      </c>
      <c r="L1029">
        <v>1</v>
      </c>
      <c r="M1029">
        <v>1</v>
      </c>
      <c r="N1029">
        <v>3.3</v>
      </c>
      <c r="O1029">
        <v>8.4</v>
      </c>
      <c r="P1029">
        <v>3</v>
      </c>
      <c r="Q1029">
        <v>5</v>
      </c>
      <c r="R1029">
        <v>867315</v>
      </c>
      <c r="S1029">
        <f>Table1[[#This Row],[Revenue]]-Table1[[#This Row],[Operating_Costs]]</f>
        <v>243769</v>
      </c>
      <c r="T1029">
        <v>623546</v>
      </c>
      <c r="U1029">
        <v>33</v>
      </c>
      <c r="V1029">
        <v>63</v>
      </c>
      <c r="W1029">
        <v>5.5</v>
      </c>
    </row>
    <row r="1030" spans="1:23" x14ac:dyDescent="0.25">
      <c r="A1030">
        <v>2</v>
      </c>
      <c r="B1030" t="s">
        <v>39</v>
      </c>
      <c r="C1030" s="1">
        <v>45512</v>
      </c>
      <c r="D1030" t="s">
        <v>71</v>
      </c>
      <c r="E1030">
        <v>0</v>
      </c>
      <c r="F1030">
        <v>44</v>
      </c>
      <c r="G1030" t="str">
        <f t="shared" si="24"/>
        <v>41-60</v>
      </c>
      <c r="H1030" t="s">
        <v>35</v>
      </c>
      <c r="I1030" t="s">
        <v>40</v>
      </c>
      <c r="J1030" t="s">
        <v>41</v>
      </c>
      <c r="K1030" t="s">
        <v>38</v>
      </c>
      <c r="L1030">
        <v>1</v>
      </c>
      <c r="M1030">
        <v>1</v>
      </c>
      <c r="N1030">
        <v>2.7</v>
      </c>
      <c r="O1030">
        <v>8.3000000000000007</v>
      </c>
      <c r="P1030">
        <v>5</v>
      </c>
      <c r="Q1030">
        <v>5</v>
      </c>
      <c r="R1030">
        <v>868406</v>
      </c>
      <c r="S1030">
        <f>Table1[[#This Row],[Revenue]]-Table1[[#This Row],[Operating_Costs]]</f>
        <v>332330</v>
      </c>
      <c r="T1030">
        <v>536076</v>
      </c>
      <c r="U1030">
        <v>30</v>
      </c>
      <c r="V1030">
        <v>61</v>
      </c>
      <c r="W1030">
        <v>12.1</v>
      </c>
    </row>
    <row r="1031" spans="1:23" x14ac:dyDescent="0.25">
      <c r="A1031">
        <v>2</v>
      </c>
      <c r="B1031" t="s">
        <v>39</v>
      </c>
      <c r="C1031" s="1">
        <v>44298</v>
      </c>
      <c r="D1031" t="s">
        <v>71</v>
      </c>
      <c r="E1031">
        <v>0</v>
      </c>
      <c r="F1031">
        <v>36</v>
      </c>
      <c r="G1031" t="str">
        <f t="shared" si="24"/>
        <v>21-40</v>
      </c>
      <c r="H1031" t="s">
        <v>23</v>
      </c>
      <c r="I1031" t="s">
        <v>43</v>
      </c>
      <c r="J1031" t="s">
        <v>25</v>
      </c>
      <c r="K1031" t="s">
        <v>42</v>
      </c>
      <c r="L1031">
        <v>1</v>
      </c>
      <c r="M1031">
        <v>1</v>
      </c>
      <c r="N1031">
        <v>4.4000000000000004</v>
      </c>
      <c r="O1031">
        <v>9.1999999999999993</v>
      </c>
      <c r="P1031">
        <v>5</v>
      </c>
      <c r="Q1031">
        <v>6</v>
      </c>
      <c r="R1031">
        <v>660161</v>
      </c>
      <c r="S1031">
        <f>Table1[[#This Row],[Revenue]]-Table1[[#This Row],[Operating_Costs]]</f>
        <v>134241</v>
      </c>
      <c r="T1031">
        <v>525920</v>
      </c>
      <c r="U1031">
        <v>33</v>
      </c>
      <c r="V1031">
        <v>66</v>
      </c>
      <c r="W1031">
        <v>12.1</v>
      </c>
    </row>
    <row r="1032" spans="1:23" x14ac:dyDescent="0.25">
      <c r="A1032">
        <v>2</v>
      </c>
      <c r="B1032" t="s">
        <v>39</v>
      </c>
      <c r="C1032" s="1">
        <v>45044</v>
      </c>
      <c r="D1032" t="s">
        <v>71</v>
      </c>
      <c r="E1032">
        <v>0</v>
      </c>
      <c r="F1032">
        <v>79</v>
      </c>
      <c r="G1032" t="str">
        <f t="shared" si="24"/>
        <v>61-80</v>
      </c>
      <c r="H1032" t="s">
        <v>23</v>
      </c>
      <c r="I1032" t="s">
        <v>24</v>
      </c>
      <c r="J1032" t="s">
        <v>25</v>
      </c>
      <c r="K1032" t="s">
        <v>42</v>
      </c>
      <c r="L1032">
        <v>1</v>
      </c>
      <c r="M1032">
        <v>1</v>
      </c>
      <c r="N1032">
        <v>2.9</v>
      </c>
      <c r="O1032">
        <v>7.8</v>
      </c>
      <c r="P1032">
        <v>4</v>
      </c>
      <c r="Q1032">
        <v>3</v>
      </c>
      <c r="R1032">
        <v>840435</v>
      </c>
      <c r="S1032">
        <f>Table1[[#This Row],[Revenue]]-Table1[[#This Row],[Operating_Costs]]</f>
        <v>206621</v>
      </c>
      <c r="T1032">
        <v>633814</v>
      </c>
      <c r="U1032">
        <v>32</v>
      </c>
      <c r="V1032">
        <v>66</v>
      </c>
      <c r="W1032">
        <v>8.8000000000000007</v>
      </c>
    </row>
    <row r="1033" spans="1:23" x14ac:dyDescent="0.25">
      <c r="A1033">
        <v>2</v>
      </c>
      <c r="B1033" t="s">
        <v>39</v>
      </c>
      <c r="C1033" s="1">
        <v>44424</v>
      </c>
      <c r="D1033" t="s">
        <v>71</v>
      </c>
      <c r="E1033">
        <v>0</v>
      </c>
      <c r="F1033">
        <v>62</v>
      </c>
      <c r="G1033" t="str">
        <f t="shared" si="24"/>
        <v>61-80</v>
      </c>
      <c r="H1033" t="s">
        <v>23</v>
      </c>
      <c r="I1033" t="s">
        <v>50</v>
      </c>
      <c r="J1033" t="s">
        <v>51</v>
      </c>
      <c r="K1033" t="s">
        <v>42</v>
      </c>
      <c r="L1033">
        <v>1</v>
      </c>
      <c r="M1033">
        <v>1</v>
      </c>
      <c r="N1033">
        <v>6.2</v>
      </c>
      <c r="O1033">
        <v>8.8000000000000007</v>
      </c>
      <c r="P1033">
        <v>7</v>
      </c>
      <c r="Q1033">
        <v>5</v>
      </c>
      <c r="R1033">
        <v>896884</v>
      </c>
      <c r="S1033">
        <f>Table1[[#This Row],[Revenue]]-Table1[[#This Row],[Operating_Costs]]</f>
        <v>323594</v>
      </c>
      <c r="T1033">
        <v>573290</v>
      </c>
      <c r="U1033">
        <v>30</v>
      </c>
      <c r="V1033">
        <v>62</v>
      </c>
      <c r="W1033">
        <v>7.2</v>
      </c>
    </row>
    <row r="1034" spans="1:23" x14ac:dyDescent="0.25">
      <c r="A1034">
        <v>2</v>
      </c>
      <c r="B1034" t="s">
        <v>39</v>
      </c>
      <c r="C1034" s="1">
        <v>44213</v>
      </c>
      <c r="D1034" t="s">
        <v>71</v>
      </c>
      <c r="E1034">
        <v>0</v>
      </c>
      <c r="F1034">
        <v>39</v>
      </c>
      <c r="G1034" t="str">
        <f t="shared" si="24"/>
        <v>21-40</v>
      </c>
      <c r="H1034" t="s">
        <v>35</v>
      </c>
      <c r="I1034" t="s">
        <v>46</v>
      </c>
      <c r="J1034" t="s">
        <v>47</v>
      </c>
      <c r="K1034" t="s">
        <v>26</v>
      </c>
      <c r="L1034">
        <v>1</v>
      </c>
      <c r="M1034">
        <v>1</v>
      </c>
      <c r="N1034">
        <v>3.9</v>
      </c>
      <c r="O1034">
        <v>7.1</v>
      </c>
      <c r="P1034">
        <v>4</v>
      </c>
      <c r="Q1034">
        <v>6</v>
      </c>
      <c r="R1034">
        <v>647304</v>
      </c>
      <c r="S1034">
        <f>Table1[[#This Row],[Revenue]]-Table1[[#This Row],[Operating_Costs]]</f>
        <v>64856</v>
      </c>
      <c r="T1034">
        <v>582448</v>
      </c>
      <c r="U1034">
        <v>38</v>
      </c>
      <c r="V1034">
        <v>62</v>
      </c>
      <c r="W1034">
        <v>14.8</v>
      </c>
    </row>
    <row r="1035" spans="1:23" x14ac:dyDescent="0.25">
      <c r="A1035">
        <v>3</v>
      </c>
      <c r="B1035" t="s">
        <v>57</v>
      </c>
      <c r="C1035" s="1">
        <v>45416</v>
      </c>
      <c r="D1035" t="s">
        <v>71</v>
      </c>
      <c r="E1035">
        <v>0</v>
      </c>
      <c r="F1035">
        <v>86</v>
      </c>
      <c r="G1035" t="str">
        <f t="shared" si="24"/>
        <v>81+</v>
      </c>
      <c r="H1035" t="s">
        <v>35</v>
      </c>
      <c r="I1035" t="s">
        <v>31</v>
      </c>
      <c r="J1035" t="s">
        <v>28</v>
      </c>
      <c r="K1035" t="s">
        <v>38</v>
      </c>
      <c r="L1035">
        <v>1</v>
      </c>
      <c r="M1035">
        <v>1</v>
      </c>
      <c r="N1035">
        <v>6.1</v>
      </c>
      <c r="O1035">
        <v>8.9</v>
      </c>
      <c r="P1035">
        <v>3</v>
      </c>
      <c r="Q1035">
        <v>6</v>
      </c>
      <c r="R1035">
        <v>541009</v>
      </c>
      <c r="S1035">
        <f>Table1[[#This Row],[Revenue]]-Table1[[#This Row],[Operating_Costs]]</f>
        <v>160786</v>
      </c>
      <c r="T1035">
        <v>380223</v>
      </c>
      <c r="U1035">
        <v>18</v>
      </c>
      <c r="V1035">
        <v>55</v>
      </c>
      <c r="W1035">
        <v>14.4</v>
      </c>
    </row>
    <row r="1036" spans="1:23" x14ac:dyDescent="0.25">
      <c r="A1036">
        <v>2</v>
      </c>
      <c r="B1036" t="s">
        <v>39</v>
      </c>
      <c r="C1036" s="1">
        <v>45595</v>
      </c>
      <c r="D1036" t="s">
        <v>71</v>
      </c>
      <c r="E1036">
        <v>0</v>
      </c>
      <c r="F1036">
        <v>50</v>
      </c>
      <c r="G1036" t="str">
        <f t="shared" si="24"/>
        <v>41-60</v>
      </c>
      <c r="H1036" t="s">
        <v>35</v>
      </c>
      <c r="I1036" t="s">
        <v>53</v>
      </c>
      <c r="J1036" t="s">
        <v>54</v>
      </c>
      <c r="K1036" t="s">
        <v>26</v>
      </c>
      <c r="L1036">
        <v>1</v>
      </c>
      <c r="M1036">
        <v>1</v>
      </c>
      <c r="N1036">
        <v>6.1</v>
      </c>
      <c r="O1036">
        <v>8.8000000000000007</v>
      </c>
      <c r="P1036">
        <v>4</v>
      </c>
      <c r="Q1036">
        <v>3</v>
      </c>
      <c r="R1036">
        <v>688466</v>
      </c>
      <c r="S1036">
        <f>Table1[[#This Row],[Revenue]]-Table1[[#This Row],[Operating_Costs]]</f>
        <v>112335</v>
      </c>
      <c r="T1036">
        <v>576131</v>
      </c>
      <c r="U1036">
        <v>38</v>
      </c>
      <c r="V1036">
        <v>55</v>
      </c>
      <c r="W1036">
        <v>10.5</v>
      </c>
    </row>
    <row r="1037" spans="1:23" x14ac:dyDescent="0.25">
      <c r="A1037">
        <v>3</v>
      </c>
      <c r="B1037" t="s">
        <v>57</v>
      </c>
      <c r="C1037" s="1">
        <v>44766</v>
      </c>
      <c r="D1037" t="s">
        <v>71</v>
      </c>
      <c r="E1037">
        <v>0</v>
      </c>
      <c r="F1037">
        <v>42</v>
      </c>
      <c r="G1037" t="str">
        <f t="shared" si="24"/>
        <v>41-60</v>
      </c>
      <c r="H1037" t="s">
        <v>35</v>
      </c>
      <c r="I1037" t="s">
        <v>40</v>
      </c>
      <c r="J1037" t="s">
        <v>41</v>
      </c>
      <c r="K1037" t="s">
        <v>33</v>
      </c>
      <c r="L1037">
        <v>1</v>
      </c>
      <c r="M1037">
        <v>1</v>
      </c>
      <c r="N1037">
        <v>2.1</v>
      </c>
      <c r="O1037">
        <v>9.4</v>
      </c>
      <c r="P1037">
        <v>3</v>
      </c>
      <c r="Q1037">
        <v>4</v>
      </c>
      <c r="R1037">
        <v>522859</v>
      </c>
      <c r="S1037">
        <f>Table1[[#This Row],[Revenue]]-Table1[[#This Row],[Operating_Costs]]</f>
        <v>134111</v>
      </c>
      <c r="T1037">
        <v>388748</v>
      </c>
      <c r="U1037">
        <v>21</v>
      </c>
      <c r="V1037">
        <v>55</v>
      </c>
      <c r="W1037">
        <v>13.3</v>
      </c>
    </row>
    <row r="1038" spans="1:23" x14ac:dyDescent="0.25">
      <c r="A1038">
        <v>2</v>
      </c>
      <c r="B1038" t="s">
        <v>39</v>
      </c>
      <c r="C1038" s="1">
        <v>45500</v>
      </c>
      <c r="D1038" t="s">
        <v>71</v>
      </c>
      <c r="E1038">
        <v>0</v>
      </c>
      <c r="F1038">
        <v>40</v>
      </c>
      <c r="G1038" t="str">
        <f t="shared" si="24"/>
        <v>21-40</v>
      </c>
      <c r="H1038" t="s">
        <v>35</v>
      </c>
      <c r="I1038" t="s">
        <v>36</v>
      </c>
      <c r="J1038" t="s">
        <v>37</v>
      </c>
      <c r="K1038" t="s">
        <v>38</v>
      </c>
      <c r="L1038">
        <v>1</v>
      </c>
      <c r="M1038">
        <v>1</v>
      </c>
      <c r="N1038">
        <v>2.5</v>
      </c>
      <c r="O1038">
        <v>9.9</v>
      </c>
      <c r="P1038">
        <v>7</v>
      </c>
      <c r="Q1038">
        <v>4</v>
      </c>
      <c r="R1038">
        <v>646756</v>
      </c>
      <c r="S1038">
        <f>Table1[[#This Row],[Revenue]]-Table1[[#This Row],[Operating_Costs]]</f>
        <v>15805</v>
      </c>
      <c r="T1038">
        <v>630951</v>
      </c>
      <c r="U1038">
        <v>30</v>
      </c>
      <c r="V1038">
        <v>59</v>
      </c>
      <c r="W1038">
        <v>6.4</v>
      </c>
    </row>
    <row r="1039" spans="1:23" x14ac:dyDescent="0.25">
      <c r="A1039">
        <v>3</v>
      </c>
      <c r="B1039" t="s">
        <v>57</v>
      </c>
      <c r="C1039" s="1">
        <v>44414</v>
      </c>
      <c r="D1039" t="s">
        <v>71</v>
      </c>
      <c r="E1039">
        <v>0</v>
      </c>
      <c r="F1039">
        <v>29</v>
      </c>
      <c r="G1039" t="str">
        <f t="shared" si="24"/>
        <v>21-40</v>
      </c>
      <c r="H1039" t="s">
        <v>23</v>
      </c>
      <c r="I1039" t="s">
        <v>43</v>
      </c>
      <c r="J1039" t="s">
        <v>25</v>
      </c>
      <c r="K1039" t="s">
        <v>26</v>
      </c>
      <c r="L1039">
        <v>1</v>
      </c>
      <c r="M1039">
        <v>1</v>
      </c>
      <c r="N1039">
        <v>3.4</v>
      </c>
      <c r="O1039">
        <v>9.5</v>
      </c>
      <c r="P1039">
        <v>7</v>
      </c>
      <c r="Q1039">
        <v>6</v>
      </c>
      <c r="R1039">
        <v>506750</v>
      </c>
      <c r="S1039">
        <f>Table1[[#This Row],[Revenue]]-Table1[[#This Row],[Operating_Costs]]</f>
        <v>206353</v>
      </c>
      <c r="T1039">
        <v>300397</v>
      </c>
      <c r="U1039">
        <v>17</v>
      </c>
      <c r="V1039">
        <v>59</v>
      </c>
      <c r="W1039">
        <v>36.700000000000003</v>
      </c>
    </row>
    <row r="1040" spans="1:23" x14ac:dyDescent="0.25">
      <c r="A1040">
        <v>3</v>
      </c>
      <c r="B1040" t="s">
        <v>57</v>
      </c>
      <c r="C1040" s="1">
        <v>44373</v>
      </c>
      <c r="D1040" t="s">
        <v>71</v>
      </c>
      <c r="E1040">
        <v>0</v>
      </c>
      <c r="F1040">
        <v>30</v>
      </c>
      <c r="G1040" t="str">
        <f t="shared" si="24"/>
        <v>21-40</v>
      </c>
      <c r="H1040" t="s">
        <v>23</v>
      </c>
      <c r="I1040" t="s">
        <v>24</v>
      </c>
      <c r="J1040" t="s">
        <v>25</v>
      </c>
      <c r="K1040" t="s">
        <v>29</v>
      </c>
      <c r="L1040">
        <v>1</v>
      </c>
      <c r="M1040">
        <v>1</v>
      </c>
      <c r="N1040">
        <v>4.5999999999999996</v>
      </c>
      <c r="O1040">
        <v>7.5</v>
      </c>
      <c r="P1040">
        <v>4</v>
      </c>
      <c r="Q1040">
        <v>6</v>
      </c>
      <c r="R1040">
        <v>573232</v>
      </c>
      <c r="S1040">
        <f>Table1[[#This Row],[Revenue]]-Table1[[#This Row],[Operating_Costs]]</f>
        <v>196687</v>
      </c>
      <c r="T1040">
        <v>376545</v>
      </c>
      <c r="U1040">
        <v>22</v>
      </c>
      <c r="V1040">
        <v>57</v>
      </c>
      <c r="W1040">
        <v>14.9</v>
      </c>
    </row>
    <row r="1041" spans="1:23" x14ac:dyDescent="0.25">
      <c r="A1041">
        <v>2</v>
      </c>
      <c r="B1041" t="s">
        <v>39</v>
      </c>
      <c r="C1041" s="1">
        <v>44895</v>
      </c>
      <c r="D1041" t="s">
        <v>71</v>
      </c>
      <c r="E1041">
        <v>0</v>
      </c>
      <c r="F1041">
        <v>71</v>
      </c>
      <c r="G1041" t="str">
        <f t="shared" si="24"/>
        <v>61-80</v>
      </c>
      <c r="H1041" t="s">
        <v>23</v>
      </c>
      <c r="I1041" t="s">
        <v>24</v>
      </c>
      <c r="J1041" t="s">
        <v>25</v>
      </c>
      <c r="K1041" t="s">
        <v>26</v>
      </c>
      <c r="L1041">
        <v>1</v>
      </c>
      <c r="M1041">
        <v>1</v>
      </c>
      <c r="N1041">
        <v>3.4</v>
      </c>
      <c r="O1041">
        <v>8</v>
      </c>
      <c r="P1041">
        <v>7</v>
      </c>
      <c r="Q1041">
        <v>5</v>
      </c>
      <c r="R1041">
        <v>798773</v>
      </c>
      <c r="S1041">
        <f>Table1[[#This Row],[Revenue]]-Table1[[#This Row],[Operating_Costs]]</f>
        <v>232321</v>
      </c>
      <c r="T1041">
        <v>566452</v>
      </c>
      <c r="U1041">
        <v>36</v>
      </c>
      <c r="V1041">
        <v>65</v>
      </c>
      <c r="W1041">
        <v>14.1</v>
      </c>
    </row>
    <row r="1042" spans="1:23" x14ac:dyDescent="0.25">
      <c r="A1042">
        <v>3</v>
      </c>
      <c r="B1042" t="s">
        <v>57</v>
      </c>
      <c r="C1042" s="1">
        <v>45562</v>
      </c>
      <c r="D1042" t="s">
        <v>71</v>
      </c>
      <c r="E1042">
        <v>0</v>
      </c>
      <c r="F1042">
        <v>37</v>
      </c>
      <c r="G1042" t="str">
        <f t="shared" si="24"/>
        <v>21-40</v>
      </c>
      <c r="H1042" t="s">
        <v>35</v>
      </c>
      <c r="I1042" t="s">
        <v>40</v>
      </c>
      <c r="J1042" t="s">
        <v>41</v>
      </c>
      <c r="K1042" t="s">
        <v>38</v>
      </c>
      <c r="L1042">
        <v>1</v>
      </c>
      <c r="M1042">
        <v>1</v>
      </c>
      <c r="N1042">
        <v>6.5</v>
      </c>
      <c r="O1042">
        <v>9.1999999999999993</v>
      </c>
      <c r="P1042">
        <v>6</v>
      </c>
      <c r="Q1042">
        <v>7</v>
      </c>
      <c r="R1042">
        <v>576599</v>
      </c>
      <c r="S1042">
        <f>Table1[[#This Row],[Revenue]]-Table1[[#This Row],[Operating_Costs]]</f>
        <v>260783</v>
      </c>
      <c r="T1042">
        <v>315816</v>
      </c>
      <c r="U1042">
        <v>23</v>
      </c>
      <c r="V1042">
        <v>64</v>
      </c>
      <c r="W1042">
        <v>14.1</v>
      </c>
    </row>
    <row r="1043" spans="1:23" x14ac:dyDescent="0.25">
      <c r="A1043">
        <v>2</v>
      </c>
      <c r="B1043" t="s">
        <v>39</v>
      </c>
      <c r="C1043" s="1">
        <v>45455</v>
      </c>
      <c r="D1043" t="s">
        <v>71</v>
      </c>
      <c r="E1043">
        <v>0</v>
      </c>
      <c r="F1043">
        <v>29</v>
      </c>
      <c r="G1043" t="str">
        <f t="shared" si="24"/>
        <v>21-40</v>
      </c>
      <c r="H1043" t="s">
        <v>23</v>
      </c>
      <c r="I1043" t="s">
        <v>50</v>
      </c>
      <c r="J1043" t="s">
        <v>51</v>
      </c>
      <c r="K1043" t="s">
        <v>26</v>
      </c>
      <c r="L1043">
        <v>1</v>
      </c>
      <c r="M1043">
        <v>1</v>
      </c>
      <c r="N1043">
        <v>5.8</v>
      </c>
      <c r="O1043">
        <v>7.8</v>
      </c>
      <c r="P1043">
        <v>6</v>
      </c>
      <c r="Q1043">
        <v>6</v>
      </c>
      <c r="R1043">
        <v>844085</v>
      </c>
      <c r="S1043">
        <f>Table1[[#This Row],[Revenue]]-Table1[[#This Row],[Operating_Costs]]</f>
        <v>239604</v>
      </c>
      <c r="T1043">
        <v>604481</v>
      </c>
      <c r="U1043">
        <v>37</v>
      </c>
      <c r="V1043">
        <v>64</v>
      </c>
      <c r="W1043">
        <v>13.6</v>
      </c>
    </row>
    <row r="1044" spans="1:23" x14ac:dyDescent="0.25">
      <c r="A1044">
        <v>3</v>
      </c>
      <c r="B1044" t="s">
        <v>57</v>
      </c>
      <c r="C1044" s="1">
        <v>45280</v>
      </c>
      <c r="D1044" t="s">
        <v>71</v>
      </c>
      <c r="E1044">
        <v>0</v>
      </c>
      <c r="F1044">
        <v>41</v>
      </c>
      <c r="G1044" t="str">
        <f t="shared" si="24"/>
        <v>41-60</v>
      </c>
      <c r="H1044" t="s">
        <v>35</v>
      </c>
      <c r="I1044" t="s">
        <v>36</v>
      </c>
      <c r="J1044" t="s">
        <v>37</v>
      </c>
      <c r="K1044" t="s">
        <v>29</v>
      </c>
      <c r="L1044">
        <v>1</v>
      </c>
      <c r="M1044">
        <v>1</v>
      </c>
      <c r="N1044">
        <v>3.3</v>
      </c>
      <c r="O1044">
        <v>7.2</v>
      </c>
      <c r="P1044">
        <v>5</v>
      </c>
      <c r="Q1044">
        <v>6</v>
      </c>
      <c r="R1044">
        <v>575159</v>
      </c>
      <c r="S1044">
        <f>Table1[[#This Row],[Revenue]]-Table1[[#This Row],[Operating_Costs]]</f>
        <v>230075</v>
      </c>
      <c r="T1044">
        <v>345084</v>
      </c>
      <c r="U1044">
        <v>19</v>
      </c>
      <c r="V1044">
        <v>61</v>
      </c>
      <c r="W1044">
        <v>14.1</v>
      </c>
    </row>
    <row r="1045" spans="1:23" x14ac:dyDescent="0.25">
      <c r="A1045">
        <v>3</v>
      </c>
      <c r="B1045" t="s">
        <v>57</v>
      </c>
      <c r="C1045" s="1">
        <v>44950</v>
      </c>
      <c r="D1045" t="s">
        <v>71</v>
      </c>
      <c r="E1045">
        <v>0</v>
      </c>
      <c r="F1045">
        <v>48</v>
      </c>
      <c r="G1045" t="str">
        <f t="shared" si="24"/>
        <v>41-60</v>
      </c>
      <c r="H1045" t="s">
        <v>35</v>
      </c>
      <c r="I1045" t="s">
        <v>58</v>
      </c>
      <c r="J1045" t="s">
        <v>59</v>
      </c>
      <c r="K1045" t="s">
        <v>42</v>
      </c>
      <c r="L1045">
        <v>1</v>
      </c>
      <c r="M1045">
        <v>1</v>
      </c>
      <c r="N1045">
        <v>3.3</v>
      </c>
      <c r="O1045">
        <v>9.3000000000000007</v>
      </c>
      <c r="P1045">
        <v>5</v>
      </c>
      <c r="Q1045">
        <v>4</v>
      </c>
      <c r="R1045">
        <v>579886</v>
      </c>
      <c r="S1045">
        <f>Table1[[#This Row],[Revenue]]-Table1[[#This Row],[Operating_Costs]]</f>
        <v>259166</v>
      </c>
      <c r="T1045">
        <v>320720</v>
      </c>
      <c r="U1045">
        <v>20</v>
      </c>
      <c r="V1045">
        <v>57</v>
      </c>
      <c r="W1045">
        <v>12.1</v>
      </c>
    </row>
    <row r="1046" spans="1:23" x14ac:dyDescent="0.25">
      <c r="A1046">
        <v>3</v>
      </c>
      <c r="B1046" t="s">
        <v>57</v>
      </c>
      <c r="C1046" s="1">
        <v>44545</v>
      </c>
      <c r="D1046" t="s">
        <v>71</v>
      </c>
      <c r="E1046">
        <v>0</v>
      </c>
      <c r="F1046">
        <v>39</v>
      </c>
      <c r="G1046" t="str">
        <f t="shared" si="24"/>
        <v>21-40</v>
      </c>
      <c r="H1046" t="s">
        <v>35</v>
      </c>
      <c r="I1046" t="s">
        <v>60</v>
      </c>
      <c r="J1046" t="s">
        <v>59</v>
      </c>
      <c r="K1046" t="s">
        <v>26</v>
      </c>
      <c r="L1046">
        <v>1</v>
      </c>
      <c r="M1046">
        <v>1</v>
      </c>
      <c r="N1046">
        <v>3.6</v>
      </c>
      <c r="O1046">
        <v>8.4</v>
      </c>
      <c r="P1046">
        <v>4</v>
      </c>
      <c r="Q1046">
        <v>6</v>
      </c>
      <c r="R1046">
        <v>554080</v>
      </c>
      <c r="S1046">
        <f>Table1[[#This Row],[Revenue]]-Table1[[#This Row],[Operating_Costs]]</f>
        <v>164198</v>
      </c>
      <c r="T1046">
        <v>389882</v>
      </c>
      <c r="U1046">
        <v>22</v>
      </c>
      <c r="V1046">
        <v>54</v>
      </c>
      <c r="W1046">
        <v>12.2</v>
      </c>
    </row>
    <row r="1047" spans="1:23" x14ac:dyDescent="0.25">
      <c r="A1047">
        <v>3</v>
      </c>
      <c r="B1047" t="s">
        <v>57</v>
      </c>
      <c r="C1047" s="1">
        <v>45522</v>
      </c>
      <c r="D1047" t="s">
        <v>71</v>
      </c>
      <c r="E1047">
        <v>0</v>
      </c>
      <c r="F1047">
        <v>23</v>
      </c>
      <c r="G1047" t="str">
        <f t="shared" si="24"/>
        <v>21-40</v>
      </c>
      <c r="H1047" t="s">
        <v>23</v>
      </c>
      <c r="I1047" t="s">
        <v>40</v>
      </c>
      <c r="J1047" t="s">
        <v>41</v>
      </c>
      <c r="K1047" t="s">
        <v>26</v>
      </c>
      <c r="L1047">
        <v>1</v>
      </c>
      <c r="M1047">
        <v>1</v>
      </c>
      <c r="N1047">
        <v>4.0999999999999996</v>
      </c>
      <c r="O1047">
        <v>9.1</v>
      </c>
      <c r="P1047">
        <v>5</v>
      </c>
      <c r="Q1047">
        <v>4</v>
      </c>
      <c r="R1047">
        <v>596612</v>
      </c>
      <c r="S1047">
        <f>Table1[[#This Row],[Revenue]]-Table1[[#This Row],[Operating_Costs]]</f>
        <v>272569</v>
      </c>
      <c r="T1047">
        <v>324043</v>
      </c>
      <c r="U1047">
        <v>18</v>
      </c>
      <c r="V1047">
        <v>54</v>
      </c>
      <c r="W1047">
        <v>8.3000000000000007</v>
      </c>
    </row>
    <row r="1048" spans="1:23" x14ac:dyDescent="0.25">
      <c r="A1048">
        <v>3</v>
      </c>
      <c r="B1048" t="s">
        <v>57</v>
      </c>
      <c r="C1048" s="1">
        <v>45118</v>
      </c>
      <c r="D1048" t="s">
        <v>71</v>
      </c>
      <c r="E1048">
        <v>0</v>
      </c>
      <c r="F1048">
        <v>40</v>
      </c>
      <c r="G1048" t="str">
        <f t="shared" si="24"/>
        <v>21-40</v>
      </c>
      <c r="H1048" t="s">
        <v>35</v>
      </c>
      <c r="I1048" t="s">
        <v>61</v>
      </c>
      <c r="J1048" t="s">
        <v>62</v>
      </c>
      <c r="K1048" t="s">
        <v>42</v>
      </c>
      <c r="L1048">
        <v>1</v>
      </c>
      <c r="M1048">
        <v>1</v>
      </c>
      <c r="N1048">
        <v>4.0999999999999996</v>
      </c>
      <c r="O1048">
        <v>7.2</v>
      </c>
      <c r="P1048">
        <v>5</v>
      </c>
      <c r="Q1048">
        <v>6</v>
      </c>
      <c r="R1048">
        <v>599310</v>
      </c>
      <c r="S1048">
        <f>Table1[[#This Row],[Revenue]]-Table1[[#This Row],[Operating_Costs]]</f>
        <v>235628</v>
      </c>
      <c r="T1048">
        <v>363682</v>
      </c>
      <c r="U1048">
        <v>21</v>
      </c>
      <c r="V1048">
        <v>57</v>
      </c>
      <c r="W1048">
        <v>8.6999999999999993</v>
      </c>
    </row>
    <row r="1049" spans="1:23" x14ac:dyDescent="0.25">
      <c r="A1049">
        <v>2</v>
      </c>
      <c r="B1049" t="s">
        <v>39</v>
      </c>
      <c r="C1049" s="1">
        <v>44378</v>
      </c>
      <c r="D1049" t="s">
        <v>71</v>
      </c>
      <c r="E1049">
        <v>0</v>
      </c>
      <c r="F1049">
        <v>58</v>
      </c>
      <c r="G1049" t="str">
        <f t="shared" si="24"/>
        <v>41-60</v>
      </c>
      <c r="H1049" t="s">
        <v>35</v>
      </c>
      <c r="I1049" t="s">
        <v>61</v>
      </c>
      <c r="J1049" t="s">
        <v>62</v>
      </c>
      <c r="K1049" t="s">
        <v>26</v>
      </c>
      <c r="L1049">
        <v>1</v>
      </c>
      <c r="M1049">
        <v>1</v>
      </c>
      <c r="N1049">
        <v>3.2</v>
      </c>
      <c r="O1049">
        <v>9.5</v>
      </c>
      <c r="P1049">
        <v>4</v>
      </c>
      <c r="Q1049">
        <v>3</v>
      </c>
      <c r="R1049">
        <v>871554</v>
      </c>
      <c r="S1049">
        <f>Table1[[#This Row],[Revenue]]-Table1[[#This Row],[Operating_Costs]]</f>
        <v>229613</v>
      </c>
      <c r="T1049">
        <v>641941</v>
      </c>
      <c r="U1049">
        <v>36</v>
      </c>
      <c r="V1049">
        <v>62</v>
      </c>
      <c r="W1049">
        <v>6.3</v>
      </c>
    </row>
    <row r="1050" spans="1:23" x14ac:dyDescent="0.25">
      <c r="A1050">
        <v>3</v>
      </c>
      <c r="B1050" t="s">
        <v>57</v>
      </c>
      <c r="C1050" s="1">
        <v>44214</v>
      </c>
      <c r="D1050" t="s">
        <v>71</v>
      </c>
      <c r="E1050">
        <v>0</v>
      </c>
      <c r="F1050">
        <v>37</v>
      </c>
      <c r="G1050" t="str">
        <f t="shared" si="24"/>
        <v>21-40</v>
      </c>
      <c r="H1050" t="s">
        <v>35</v>
      </c>
      <c r="I1050" t="s">
        <v>46</v>
      </c>
      <c r="J1050" t="s">
        <v>47</v>
      </c>
      <c r="K1050" t="s">
        <v>38</v>
      </c>
      <c r="L1050">
        <v>1</v>
      </c>
      <c r="M1050">
        <v>1</v>
      </c>
      <c r="N1050">
        <v>6.4</v>
      </c>
      <c r="O1050">
        <v>9.4</v>
      </c>
      <c r="P1050">
        <v>4</v>
      </c>
      <c r="Q1050">
        <v>4</v>
      </c>
      <c r="R1050">
        <v>593049</v>
      </c>
      <c r="S1050">
        <f>Table1[[#This Row],[Revenue]]-Table1[[#This Row],[Operating_Costs]]</f>
        <v>282271</v>
      </c>
      <c r="T1050">
        <v>310778</v>
      </c>
      <c r="U1050">
        <v>21</v>
      </c>
      <c r="V1050">
        <v>60</v>
      </c>
      <c r="W1050">
        <v>7.3</v>
      </c>
    </row>
    <row r="1051" spans="1:23" x14ac:dyDescent="0.25">
      <c r="A1051">
        <v>3</v>
      </c>
      <c r="B1051" t="s">
        <v>57</v>
      </c>
      <c r="C1051" s="1">
        <v>45506</v>
      </c>
      <c r="D1051" t="s">
        <v>71</v>
      </c>
      <c r="E1051">
        <v>0</v>
      </c>
      <c r="F1051">
        <v>45</v>
      </c>
      <c r="G1051" t="str">
        <f t="shared" si="24"/>
        <v>41-60</v>
      </c>
      <c r="H1051" t="s">
        <v>23</v>
      </c>
      <c r="I1051" t="s">
        <v>43</v>
      </c>
      <c r="J1051" t="s">
        <v>25</v>
      </c>
      <c r="K1051" t="s">
        <v>38</v>
      </c>
      <c r="L1051">
        <v>1</v>
      </c>
      <c r="M1051">
        <v>1</v>
      </c>
      <c r="N1051">
        <v>6.3</v>
      </c>
      <c r="O1051">
        <v>8.1999999999999993</v>
      </c>
      <c r="P1051">
        <v>5</v>
      </c>
      <c r="Q1051">
        <v>4</v>
      </c>
      <c r="R1051">
        <v>548960</v>
      </c>
      <c r="S1051">
        <f>Table1[[#This Row],[Revenue]]-Table1[[#This Row],[Operating_Costs]]</f>
        <v>175575</v>
      </c>
      <c r="T1051">
        <v>373385</v>
      </c>
      <c r="U1051">
        <v>15</v>
      </c>
      <c r="V1051">
        <v>63</v>
      </c>
      <c r="W1051">
        <v>6.7</v>
      </c>
    </row>
    <row r="1052" spans="1:23" x14ac:dyDescent="0.25">
      <c r="A1052">
        <v>3</v>
      </c>
      <c r="B1052" t="s">
        <v>57</v>
      </c>
      <c r="C1052" s="1">
        <v>45420</v>
      </c>
      <c r="D1052" t="s">
        <v>71</v>
      </c>
      <c r="E1052">
        <v>0</v>
      </c>
      <c r="F1052">
        <v>25</v>
      </c>
      <c r="G1052" t="str">
        <f t="shared" si="24"/>
        <v>21-40</v>
      </c>
      <c r="H1052" t="s">
        <v>35</v>
      </c>
      <c r="I1052" t="s">
        <v>46</v>
      </c>
      <c r="J1052" t="s">
        <v>47</v>
      </c>
      <c r="K1052" t="s">
        <v>29</v>
      </c>
      <c r="L1052">
        <v>1</v>
      </c>
      <c r="M1052">
        <v>1</v>
      </c>
      <c r="N1052">
        <v>4.5</v>
      </c>
      <c r="O1052">
        <v>9</v>
      </c>
      <c r="P1052">
        <v>5</v>
      </c>
      <c r="Q1052">
        <v>3</v>
      </c>
      <c r="R1052">
        <v>584512</v>
      </c>
      <c r="S1052">
        <f>Table1[[#This Row],[Revenue]]-Table1[[#This Row],[Operating_Costs]]</f>
        <v>269967</v>
      </c>
      <c r="T1052">
        <v>314545</v>
      </c>
      <c r="U1052">
        <v>21</v>
      </c>
      <c r="V1052">
        <v>54</v>
      </c>
      <c r="W1052">
        <v>14</v>
      </c>
    </row>
    <row r="1053" spans="1:23" x14ac:dyDescent="0.25">
      <c r="A1053">
        <v>3</v>
      </c>
      <c r="B1053" t="s">
        <v>57</v>
      </c>
      <c r="C1053" s="1">
        <v>45181</v>
      </c>
      <c r="D1053" t="s">
        <v>71</v>
      </c>
      <c r="E1053">
        <v>0</v>
      </c>
      <c r="F1053">
        <v>33</v>
      </c>
      <c r="G1053" t="str">
        <f t="shared" si="24"/>
        <v>21-40</v>
      </c>
      <c r="H1053" t="s">
        <v>23</v>
      </c>
      <c r="I1053" t="s">
        <v>24</v>
      </c>
      <c r="J1053" t="s">
        <v>25</v>
      </c>
      <c r="K1053" t="s">
        <v>33</v>
      </c>
      <c r="L1053">
        <v>1</v>
      </c>
      <c r="M1053">
        <v>1</v>
      </c>
      <c r="N1053">
        <v>5.7</v>
      </c>
      <c r="O1053">
        <v>8.5</v>
      </c>
      <c r="P1053">
        <v>6</v>
      </c>
      <c r="Q1053">
        <v>7</v>
      </c>
      <c r="R1053">
        <v>503047</v>
      </c>
      <c r="S1053">
        <f>Table1[[#This Row],[Revenue]]-Table1[[#This Row],[Operating_Costs]]</f>
        <v>148700</v>
      </c>
      <c r="T1053">
        <v>354347</v>
      </c>
      <c r="U1053">
        <v>19</v>
      </c>
      <c r="V1053">
        <v>64</v>
      </c>
      <c r="W1053">
        <v>9.5</v>
      </c>
    </row>
    <row r="1054" spans="1:23" x14ac:dyDescent="0.25">
      <c r="A1054">
        <v>3</v>
      </c>
      <c r="B1054" t="s">
        <v>57</v>
      </c>
      <c r="C1054" s="1">
        <v>45325</v>
      </c>
      <c r="D1054" t="s">
        <v>71</v>
      </c>
      <c r="E1054">
        <v>0</v>
      </c>
      <c r="F1054">
        <v>80</v>
      </c>
      <c r="G1054" t="str">
        <f t="shared" si="24"/>
        <v>61-80</v>
      </c>
      <c r="H1054" t="s">
        <v>23</v>
      </c>
      <c r="I1054" t="s">
        <v>46</v>
      </c>
      <c r="J1054" t="s">
        <v>47</v>
      </c>
      <c r="K1054" t="s">
        <v>42</v>
      </c>
      <c r="L1054">
        <v>1</v>
      </c>
      <c r="M1054">
        <v>1</v>
      </c>
      <c r="N1054">
        <v>1.2</v>
      </c>
      <c r="O1054">
        <v>7.7</v>
      </c>
      <c r="P1054">
        <v>7</v>
      </c>
      <c r="Q1054">
        <v>3</v>
      </c>
      <c r="R1054">
        <v>509736</v>
      </c>
      <c r="S1054">
        <f>Table1[[#This Row],[Revenue]]-Table1[[#This Row],[Operating_Costs]]</f>
        <v>161039</v>
      </c>
      <c r="T1054">
        <v>348697</v>
      </c>
      <c r="U1054">
        <v>24</v>
      </c>
      <c r="V1054">
        <v>62</v>
      </c>
      <c r="W1054">
        <v>8.3000000000000007</v>
      </c>
    </row>
    <row r="1055" spans="1:23" x14ac:dyDescent="0.25">
      <c r="A1055">
        <v>2</v>
      </c>
      <c r="B1055" t="s">
        <v>39</v>
      </c>
      <c r="C1055" s="1">
        <v>44350</v>
      </c>
      <c r="D1055" t="s">
        <v>71</v>
      </c>
      <c r="E1055">
        <v>0</v>
      </c>
      <c r="F1055">
        <v>88</v>
      </c>
      <c r="G1055" t="str">
        <f t="shared" si="24"/>
        <v>81+</v>
      </c>
      <c r="H1055" t="s">
        <v>23</v>
      </c>
      <c r="I1055" t="s">
        <v>31</v>
      </c>
      <c r="J1055" t="s">
        <v>28</v>
      </c>
      <c r="K1055" t="s">
        <v>29</v>
      </c>
      <c r="L1055">
        <v>1</v>
      </c>
      <c r="M1055">
        <v>1</v>
      </c>
      <c r="N1055">
        <v>4.5</v>
      </c>
      <c r="O1055">
        <v>8.6999999999999993</v>
      </c>
      <c r="P1055">
        <v>6</v>
      </c>
      <c r="Q1055">
        <v>4</v>
      </c>
      <c r="R1055">
        <v>862728</v>
      </c>
      <c r="S1055">
        <f>Table1[[#This Row],[Revenue]]-Table1[[#This Row],[Operating_Costs]]</f>
        <v>219349</v>
      </c>
      <c r="T1055">
        <v>643379</v>
      </c>
      <c r="U1055">
        <v>36</v>
      </c>
      <c r="V1055">
        <v>59</v>
      </c>
      <c r="W1055">
        <v>5.2</v>
      </c>
    </row>
    <row r="1056" spans="1:23" x14ac:dyDescent="0.25">
      <c r="A1056">
        <v>3</v>
      </c>
      <c r="B1056" t="s">
        <v>57</v>
      </c>
      <c r="C1056" s="1">
        <v>44203</v>
      </c>
      <c r="D1056" t="s">
        <v>71</v>
      </c>
      <c r="E1056">
        <v>0</v>
      </c>
      <c r="F1056">
        <v>62</v>
      </c>
      <c r="G1056" t="str">
        <f t="shared" si="24"/>
        <v>61-80</v>
      </c>
      <c r="H1056" t="s">
        <v>23</v>
      </c>
      <c r="I1056" t="s">
        <v>50</v>
      </c>
      <c r="J1056" t="s">
        <v>51</v>
      </c>
      <c r="K1056" t="s">
        <v>33</v>
      </c>
      <c r="L1056">
        <v>1</v>
      </c>
      <c r="M1056">
        <v>1</v>
      </c>
      <c r="N1056">
        <v>5.6</v>
      </c>
      <c r="O1056">
        <v>7</v>
      </c>
      <c r="P1056">
        <v>6</v>
      </c>
      <c r="Q1056">
        <v>5</v>
      </c>
      <c r="R1056">
        <v>593571</v>
      </c>
      <c r="S1056">
        <f>Table1[[#This Row],[Revenue]]-Table1[[#This Row],[Operating_Costs]]</f>
        <v>251523</v>
      </c>
      <c r="T1056">
        <v>342048</v>
      </c>
      <c r="U1056">
        <v>22</v>
      </c>
      <c r="V1056">
        <v>63</v>
      </c>
      <c r="W1056">
        <v>13.9</v>
      </c>
    </row>
    <row r="1057" spans="1:23" x14ac:dyDescent="0.25">
      <c r="A1057">
        <v>2</v>
      </c>
      <c r="B1057" t="s">
        <v>39</v>
      </c>
      <c r="C1057" s="1">
        <v>44527</v>
      </c>
      <c r="D1057" t="s">
        <v>71</v>
      </c>
      <c r="E1057">
        <v>0</v>
      </c>
      <c r="F1057">
        <v>72</v>
      </c>
      <c r="G1057" t="str">
        <f t="shared" si="24"/>
        <v>61-80</v>
      </c>
      <c r="H1057" t="s">
        <v>35</v>
      </c>
      <c r="I1057" t="s">
        <v>27</v>
      </c>
      <c r="J1057" t="s">
        <v>28</v>
      </c>
      <c r="K1057" t="s">
        <v>33</v>
      </c>
      <c r="L1057">
        <v>1</v>
      </c>
      <c r="M1057">
        <v>1</v>
      </c>
      <c r="N1057">
        <v>6</v>
      </c>
      <c r="O1057">
        <v>8.8000000000000007</v>
      </c>
      <c r="P1057">
        <v>3</v>
      </c>
      <c r="Q1057">
        <v>7</v>
      </c>
      <c r="R1057">
        <v>786708</v>
      </c>
      <c r="S1057">
        <f>Table1[[#This Row],[Revenue]]-Table1[[#This Row],[Operating_Costs]]</f>
        <v>220074</v>
      </c>
      <c r="T1057">
        <v>566634</v>
      </c>
      <c r="U1057">
        <v>31</v>
      </c>
      <c r="V1057">
        <v>66</v>
      </c>
      <c r="W1057">
        <v>12.7</v>
      </c>
    </row>
    <row r="1058" spans="1:23" x14ac:dyDescent="0.25">
      <c r="A1058">
        <v>2</v>
      </c>
      <c r="B1058" t="s">
        <v>39</v>
      </c>
      <c r="C1058" s="1">
        <v>44685</v>
      </c>
      <c r="D1058" t="s">
        <v>71</v>
      </c>
      <c r="E1058">
        <v>0</v>
      </c>
      <c r="F1058">
        <v>39</v>
      </c>
      <c r="G1058" t="str">
        <f t="shared" si="24"/>
        <v>21-40</v>
      </c>
      <c r="H1058" t="s">
        <v>23</v>
      </c>
      <c r="I1058" t="s">
        <v>27</v>
      </c>
      <c r="J1058" t="s">
        <v>28</v>
      </c>
      <c r="K1058" t="s">
        <v>29</v>
      </c>
      <c r="L1058">
        <v>1</v>
      </c>
      <c r="M1058">
        <v>1</v>
      </c>
      <c r="N1058">
        <v>2.7</v>
      </c>
      <c r="O1058">
        <v>9.1</v>
      </c>
      <c r="P1058">
        <v>5</v>
      </c>
      <c r="Q1058">
        <v>6</v>
      </c>
      <c r="R1058">
        <v>700622</v>
      </c>
      <c r="S1058">
        <f>Table1[[#This Row],[Revenue]]-Table1[[#This Row],[Operating_Costs]]</f>
        <v>110423</v>
      </c>
      <c r="T1058">
        <v>590199</v>
      </c>
      <c r="U1058">
        <v>30</v>
      </c>
      <c r="V1058">
        <v>61</v>
      </c>
      <c r="W1058">
        <v>7.1</v>
      </c>
    </row>
    <row r="1059" spans="1:23" x14ac:dyDescent="0.25">
      <c r="A1059">
        <v>2</v>
      </c>
      <c r="B1059" t="s">
        <v>39</v>
      </c>
      <c r="C1059" s="1">
        <v>45518</v>
      </c>
      <c r="D1059" t="s">
        <v>71</v>
      </c>
      <c r="E1059">
        <v>0</v>
      </c>
      <c r="F1059">
        <v>27</v>
      </c>
      <c r="G1059" t="str">
        <f t="shared" si="24"/>
        <v>21-40</v>
      </c>
      <c r="H1059" t="s">
        <v>35</v>
      </c>
      <c r="I1059" t="s">
        <v>61</v>
      </c>
      <c r="J1059" t="s">
        <v>62</v>
      </c>
      <c r="K1059" t="s">
        <v>26</v>
      </c>
      <c r="L1059">
        <v>1</v>
      </c>
      <c r="M1059">
        <v>1</v>
      </c>
      <c r="N1059">
        <v>4.4000000000000004</v>
      </c>
      <c r="O1059">
        <v>10</v>
      </c>
      <c r="P1059">
        <v>6</v>
      </c>
      <c r="Q1059">
        <v>4</v>
      </c>
      <c r="R1059">
        <v>720683</v>
      </c>
      <c r="S1059">
        <f>Table1[[#This Row],[Revenue]]-Table1[[#This Row],[Operating_Costs]]</f>
        <v>171429</v>
      </c>
      <c r="T1059">
        <v>549254</v>
      </c>
      <c r="U1059">
        <v>30</v>
      </c>
      <c r="V1059">
        <v>54</v>
      </c>
      <c r="W1059">
        <v>14.3</v>
      </c>
    </row>
    <row r="1060" spans="1:23" x14ac:dyDescent="0.25">
      <c r="A1060">
        <v>3</v>
      </c>
      <c r="B1060" t="s">
        <v>57</v>
      </c>
      <c r="C1060" s="1">
        <v>45331</v>
      </c>
      <c r="D1060" t="s">
        <v>71</v>
      </c>
      <c r="E1060">
        <v>0</v>
      </c>
      <c r="F1060">
        <v>44</v>
      </c>
      <c r="G1060" t="str">
        <f t="shared" si="24"/>
        <v>41-60</v>
      </c>
      <c r="H1060" t="s">
        <v>35</v>
      </c>
      <c r="I1060" t="s">
        <v>53</v>
      </c>
      <c r="J1060" t="s">
        <v>54</v>
      </c>
      <c r="K1060" t="s">
        <v>33</v>
      </c>
      <c r="L1060">
        <v>1</v>
      </c>
      <c r="M1060">
        <v>1</v>
      </c>
      <c r="N1060">
        <v>5.5</v>
      </c>
      <c r="O1060">
        <v>8.9</v>
      </c>
      <c r="P1060">
        <v>6</v>
      </c>
      <c r="Q1060">
        <v>7</v>
      </c>
      <c r="R1060">
        <v>595883</v>
      </c>
      <c r="S1060">
        <f>Table1[[#This Row],[Revenue]]-Table1[[#This Row],[Operating_Costs]]</f>
        <v>222219</v>
      </c>
      <c r="T1060">
        <v>373664</v>
      </c>
      <c r="U1060">
        <v>24</v>
      </c>
      <c r="V1060">
        <v>63</v>
      </c>
      <c r="W1060">
        <v>5.7</v>
      </c>
    </row>
    <row r="1061" spans="1:23" x14ac:dyDescent="0.25">
      <c r="A1061">
        <v>2</v>
      </c>
      <c r="B1061" t="s">
        <v>39</v>
      </c>
      <c r="C1061" s="1">
        <v>44640</v>
      </c>
      <c r="D1061" t="s">
        <v>71</v>
      </c>
      <c r="E1061">
        <v>0</v>
      </c>
      <c r="F1061">
        <v>61</v>
      </c>
      <c r="G1061" t="str">
        <f t="shared" si="24"/>
        <v>61-80</v>
      </c>
      <c r="H1061" t="s">
        <v>35</v>
      </c>
      <c r="I1061" t="s">
        <v>64</v>
      </c>
      <c r="J1061" t="s">
        <v>65</v>
      </c>
      <c r="K1061" t="s">
        <v>38</v>
      </c>
      <c r="L1061">
        <v>1</v>
      </c>
      <c r="M1061">
        <v>1</v>
      </c>
      <c r="N1061">
        <v>6.9</v>
      </c>
      <c r="O1061">
        <v>7.2</v>
      </c>
      <c r="P1061">
        <v>7</v>
      </c>
      <c r="Q1061">
        <v>3</v>
      </c>
      <c r="R1061">
        <v>759316</v>
      </c>
      <c r="S1061">
        <f>Table1[[#This Row],[Revenue]]-Table1[[#This Row],[Operating_Costs]]</f>
        <v>198969</v>
      </c>
      <c r="T1061">
        <v>560347</v>
      </c>
      <c r="U1061">
        <v>34</v>
      </c>
      <c r="V1061">
        <v>63</v>
      </c>
      <c r="W1061">
        <v>13.6</v>
      </c>
    </row>
    <row r="1062" spans="1:23" x14ac:dyDescent="0.25">
      <c r="A1062">
        <v>2</v>
      </c>
      <c r="B1062" t="s">
        <v>39</v>
      </c>
      <c r="C1062" s="1">
        <v>45543</v>
      </c>
      <c r="D1062" t="s">
        <v>71</v>
      </c>
      <c r="E1062">
        <v>0</v>
      </c>
      <c r="F1062">
        <v>47</v>
      </c>
      <c r="G1062" t="str">
        <f t="shared" si="24"/>
        <v>41-60</v>
      </c>
      <c r="H1062" t="s">
        <v>35</v>
      </c>
      <c r="I1062" t="s">
        <v>27</v>
      </c>
      <c r="J1062" t="s">
        <v>28</v>
      </c>
      <c r="K1062" t="s">
        <v>38</v>
      </c>
      <c r="L1062">
        <v>1</v>
      </c>
      <c r="M1062">
        <v>1</v>
      </c>
      <c r="N1062">
        <v>6.2</v>
      </c>
      <c r="O1062">
        <v>8</v>
      </c>
      <c r="P1062">
        <v>3</v>
      </c>
      <c r="Q1062">
        <v>3</v>
      </c>
      <c r="R1062">
        <v>799259</v>
      </c>
      <c r="S1062">
        <f>Table1[[#This Row],[Revenue]]-Table1[[#This Row],[Operating_Costs]]</f>
        <v>290791</v>
      </c>
      <c r="T1062">
        <v>508468</v>
      </c>
      <c r="U1062">
        <v>40</v>
      </c>
      <c r="V1062">
        <v>61</v>
      </c>
      <c r="W1062">
        <v>12.1</v>
      </c>
    </row>
    <row r="1063" spans="1:23" x14ac:dyDescent="0.25">
      <c r="A1063">
        <v>3</v>
      </c>
      <c r="B1063" t="s">
        <v>57</v>
      </c>
      <c r="C1063" s="1">
        <v>44973</v>
      </c>
      <c r="D1063" t="s">
        <v>71</v>
      </c>
      <c r="E1063">
        <v>0</v>
      </c>
      <c r="F1063">
        <v>43</v>
      </c>
      <c r="G1063" t="str">
        <f t="shared" si="24"/>
        <v>41-60</v>
      </c>
      <c r="H1063" t="s">
        <v>35</v>
      </c>
      <c r="I1063" t="s">
        <v>58</v>
      </c>
      <c r="J1063" t="s">
        <v>59</v>
      </c>
      <c r="K1063" t="s">
        <v>29</v>
      </c>
      <c r="L1063">
        <v>1</v>
      </c>
      <c r="M1063">
        <v>1</v>
      </c>
      <c r="N1063">
        <v>3.9</v>
      </c>
      <c r="O1063">
        <v>9.3000000000000007</v>
      </c>
      <c r="P1063">
        <v>5</v>
      </c>
      <c r="Q1063">
        <v>6</v>
      </c>
      <c r="R1063">
        <v>568497</v>
      </c>
      <c r="S1063">
        <f>Table1[[#This Row],[Revenue]]-Table1[[#This Row],[Operating_Costs]]</f>
        <v>198571</v>
      </c>
      <c r="T1063">
        <v>369926</v>
      </c>
      <c r="U1063">
        <v>25</v>
      </c>
      <c r="V1063">
        <v>62</v>
      </c>
      <c r="W1063">
        <v>8.3000000000000007</v>
      </c>
    </row>
    <row r="1064" spans="1:23" x14ac:dyDescent="0.25">
      <c r="A1064">
        <v>2</v>
      </c>
      <c r="B1064" t="s">
        <v>39</v>
      </c>
      <c r="C1064" s="1">
        <v>44853</v>
      </c>
      <c r="D1064" t="s">
        <v>71</v>
      </c>
      <c r="E1064">
        <v>0</v>
      </c>
      <c r="F1064">
        <v>72</v>
      </c>
      <c r="G1064" t="str">
        <f t="shared" si="24"/>
        <v>61-80</v>
      </c>
      <c r="H1064" t="s">
        <v>23</v>
      </c>
      <c r="I1064" t="s">
        <v>27</v>
      </c>
      <c r="J1064" t="s">
        <v>28</v>
      </c>
      <c r="K1064" t="s">
        <v>33</v>
      </c>
      <c r="L1064">
        <v>1</v>
      </c>
      <c r="M1064">
        <v>1</v>
      </c>
      <c r="N1064">
        <v>3.6</v>
      </c>
      <c r="O1064">
        <v>8.6999999999999993</v>
      </c>
      <c r="P1064">
        <v>5</v>
      </c>
      <c r="Q1064">
        <v>3</v>
      </c>
      <c r="R1064">
        <v>882452</v>
      </c>
      <c r="S1064">
        <f>Table1[[#This Row],[Revenue]]-Table1[[#This Row],[Operating_Costs]]</f>
        <v>303519</v>
      </c>
      <c r="T1064">
        <v>578933</v>
      </c>
      <c r="U1064">
        <v>38</v>
      </c>
      <c r="V1064">
        <v>55</v>
      </c>
      <c r="W1064">
        <v>36</v>
      </c>
    </row>
    <row r="1065" spans="1:23" x14ac:dyDescent="0.25">
      <c r="A1065">
        <v>2</v>
      </c>
      <c r="B1065" t="s">
        <v>39</v>
      </c>
      <c r="C1065" s="1">
        <v>45441</v>
      </c>
      <c r="D1065" t="s">
        <v>71</v>
      </c>
      <c r="E1065">
        <v>0</v>
      </c>
      <c r="F1065">
        <v>64</v>
      </c>
      <c r="G1065" t="str">
        <f t="shared" si="24"/>
        <v>61-80</v>
      </c>
      <c r="H1065" t="s">
        <v>23</v>
      </c>
      <c r="I1065" t="s">
        <v>46</v>
      </c>
      <c r="J1065" t="s">
        <v>47</v>
      </c>
      <c r="K1065" t="s">
        <v>29</v>
      </c>
      <c r="L1065">
        <v>1</v>
      </c>
      <c r="M1065">
        <v>1</v>
      </c>
      <c r="N1065">
        <v>1.5</v>
      </c>
      <c r="O1065">
        <v>8.1</v>
      </c>
      <c r="P1065">
        <v>5</v>
      </c>
      <c r="Q1065">
        <v>5</v>
      </c>
      <c r="R1065">
        <v>870551</v>
      </c>
      <c r="S1065">
        <f>Table1[[#This Row],[Revenue]]-Table1[[#This Row],[Operating_Costs]]</f>
        <v>318871</v>
      </c>
      <c r="T1065">
        <v>551680</v>
      </c>
      <c r="U1065">
        <v>33</v>
      </c>
      <c r="V1065">
        <v>60</v>
      </c>
      <c r="W1065">
        <v>36.9</v>
      </c>
    </row>
    <row r="1066" spans="1:23" x14ac:dyDescent="0.25">
      <c r="A1066">
        <v>2</v>
      </c>
      <c r="B1066" t="s">
        <v>39</v>
      </c>
      <c r="C1066" s="1">
        <v>45322</v>
      </c>
      <c r="D1066" t="s">
        <v>71</v>
      </c>
      <c r="E1066">
        <v>0</v>
      </c>
      <c r="F1066">
        <v>44</v>
      </c>
      <c r="G1066" t="str">
        <f t="shared" si="24"/>
        <v>41-60</v>
      </c>
      <c r="H1066" t="s">
        <v>23</v>
      </c>
      <c r="I1066" t="s">
        <v>46</v>
      </c>
      <c r="J1066" t="s">
        <v>47</v>
      </c>
      <c r="K1066" t="s">
        <v>38</v>
      </c>
      <c r="L1066">
        <v>1</v>
      </c>
      <c r="M1066">
        <v>1</v>
      </c>
      <c r="N1066">
        <v>1.9</v>
      </c>
      <c r="O1066">
        <v>8.5</v>
      </c>
      <c r="P1066">
        <v>5</v>
      </c>
      <c r="Q1066">
        <v>3</v>
      </c>
      <c r="R1066">
        <v>859851</v>
      </c>
      <c r="S1066">
        <f>Table1[[#This Row],[Revenue]]-Table1[[#This Row],[Operating_Costs]]</f>
        <v>340952</v>
      </c>
      <c r="T1066">
        <v>518899</v>
      </c>
      <c r="U1066">
        <v>30</v>
      </c>
      <c r="V1066">
        <v>65</v>
      </c>
      <c r="W1066">
        <v>7.6</v>
      </c>
    </row>
    <row r="1067" spans="1:23" x14ac:dyDescent="0.25">
      <c r="A1067">
        <v>3</v>
      </c>
      <c r="B1067" t="s">
        <v>57</v>
      </c>
      <c r="C1067" s="1">
        <v>45114</v>
      </c>
      <c r="D1067" t="s">
        <v>71</v>
      </c>
      <c r="E1067">
        <v>0</v>
      </c>
      <c r="F1067">
        <v>27</v>
      </c>
      <c r="G1067" t="str">
        <f t="shared" si="24"/>
        <v>21-40</v>
      </c>
      <c r="H1067" t="s">
        <v>23</v>
      </c>
      <c r="I1067" t="s">
        <v>58</v>
      </c>
      <c r="J1067" t="s">
        <v>59</v>
      </c>
      <c r="K1067" t="s">
        <v>29</v>
      </c>
      <c r="L1067">
        <v>1</v>
      </c>
      <c r="M1067">
        <v>1</v>
      </c>
      <c r="N1067">
        <v>2.4</v>
      </c>
      <c r="O1067">
        <v>9.1</v>
      </c>
      <c r="P1067">
        <v>6</v>
      </c>
      <c r="Q1067">
        <v>4</v>
      </c>
      <c r="R1067">
        <v>510365</v>
      </c>
      <c r="S1067">
        <f>Table1[[#This Row],[Revenue]]-Table1[[#This Row],[Operating_Costs]]</f>
        <v>178746</v>
      </c>
      <c r="T1067">
        <v>331619</v>
      </c>
      <c r="U1067">
        <v>23</v>
      </c>
      <c r="V1067">
        <v>58</v>
      </c>
      <c r="W1067">
        <v>13.9</v>
      </c>
    </row>
    <row r="1068" spans="1:23" x14ac:dyDescent="0.25">
      <c r="A1068">
        <v>2</v>
      </c>
      <c r="B1068" t="s">
        <v>39</v>
      </c>
      <c r="C1068" s="1">
        <v>44787</v>
      </c>
      <c r="D1068" t="s">
        <v>71</v>
      </c>
      <c r="E1068">
        <v>0</v>
      </c>
      <c r="F1068">
        <v>38</v>
      </c>
      <c r="G1068" t="str">
        <f t="shared" si="24"/>
        <v>21-40</v>
      </c>
      <c r="H1068" t="s">
        <v>23</v>
      </c>
      <c r="I1068" t="s">
        <v>24</v>
      </c>
      <c r="J1068" t="s">
        <v>25</v>
      </c>
      <c r="K1068" t="s">
        <v>26</v>
      </c>
      <c r="L1068">
        <v>1</v>
      </c>
      <c r="M1068">
        <v>1</v>
      </c>
      <c r="N1068">
        <v>5.4</v>
      </c>
      <c r="O1068">
        <v>9.8000000000000007</v>
      </c>
      <c r="P1068">
        <v>6</v>
      </c>
      <c r="Q1068">
        <v>4</v>
      </c>
      <c r="R1068">
        <v>647242</v>
      </c>
      <c r="S1068">
        <f>Table1[[#This Row],[Revenue]]-Table1[[#This Row],[Operating_Costs]]</f>
        <v>20192</v>
      </c>
      <c r="T1068">
        <v>627050</v>
      </c>
      <c r="U1068">
        <v>34</v>
      </c>
      <c r="V1068">
        <v>55</v>
      </c>
      <c r="W1068">
        <v>14</v>
      </c>
    </row>
    <row r="1069" spans="1:23" x14ac:dyDescent="0.25">
      <c r="A1069">
        <v>2</v>
      </c>
      <c r="B1069" t="s">
        <v>39</v>
      </c>
      <c r="C1069" s="1">
        <v>44781</v>
      </c>
      <c r="D1069" t="s">
        <v>71</v>
      </c>
      <c r="E1069">
        <v>0</v>
      </c>
      <c r="F1069">
        <v>28</v>
      </c>
      <c r="G1069" t="str">
        <f t="shared" si="24"/>
        <v>21-40</v>
      </c>
      <c r="H1069" t="s">
        <v>23</v>
      </c>
      <c r="I1069" t="s">
        <v>43</v>
      </c>
      <c r="J1069" t="s">
        <v>25</v>
      </c>
      <c r="K1069" t="s">
        <v>33</v>
      </c>
      <c r="L1069">
        <v>1</v>
      </c>
      <c r="M1069">
        <v>1</v>
      </c>
      <c r="N1069">
        <v>1</v>
      </c>
      <c r="O1069">
        <v>8.4</v>
      </c>
      <c r="P1069">
        <v>6</v>
      </c>
      <c r="Q1069">
        <v>4</v>
      </c>
      <c r="R1069">
        <v>652100</v>
      </c>
      <c r="S1069">
        <f>Table1[[#This Row],[Revenue]]-Table1[[#This Row],[Operating_Costs]]</f>
        <v>66213</v>
      </c>
      <c r="T1069">
        <v>585887</v>
      </c>
      <c r="U1069">
        <v>30</v>
      </c>
      <c r="V1069">
        <v>54</v>
      </c>
      <c r="W1069">
        <v>9.4</v>
      </c>
    </row>
    <row r="1070" spans="1:23" x14ac:dyDescent="0.25">
      <c r="A1070">
        <v>2</v>
      </c>
      <c r="B1070" t="s">
        <v>39</v>
      </c>
      <c r="C1070" s="1">
        <v>45583</v>
      </c>
      <c r="D1070" t="s">
        <v>71</v>
      </c>
      <c r="E1070">
        <v>0</v>
      </c>
      <c r="F1070">
        <v>81</v>
      </c>
      <c r="G1070" t="str">
        <f t="shared" si="24"/>
        <v>81+</v>
      </c>
      <c r="H1070" t="s">
        <v>35</v>
      </c>
      <c r="I1070" t="s">
        <v>27</v>
      </c>
      <c r="J1070" t="s">
        <v>28</v>
      </c>
      <c r="K1070" t="s">
        <v>26</v>
      </c>
      <c r="L1070">
        <v>1</v>
      </c>
      <c r="M1070">
        <v>1</v>
      </c>
      <c r="N1070">
        <v>5.0999999999999996</v>
      </c>
      <c r="O1070">
        <v>8.8000000000000007</v>
      </c>
      <c r="P1070">
        <v>4</v>
      </c>
      <c r="Q1070">
        <v>4</v>
      </c>
      <c r="R1070">
        <v>759882</v>
      </c>
      <c r="S1070">
        <f>Table1[[#This Row],[Revenue]]-Table1[[#This Row],[Operating_Costs]]</f>
        <v>180036</v>
      </c>
      <c r="T1070">
        <v>579846</v>
      </c>
      <c r="U1070">
        <v>40</v>
      </c>
      <c r="V1070">
        <v>61</v>
      </c>
      <c r="W1070">
        <v>5.8</v>
      </c>
    </row>
    <row r="1071" spans="1:23" x14ac:dyDescent="0.25">
      <c r="A1071">
        <v>2</v>
      </c>
      <c r="B1071" t="s">
        <v>39</v>
      </c>
      <c r="C1071" s="1">
        <v>45086</v>
      </c>
      <c r="D1071" t="s">
        <v>71</v>
      </c>
      <c r="E1071">
        <v>0</v>
      </c>
      <c r="F1071">
        <v>23</v>
      </c>
      <c r="G1071" t="str">
        <f t="shared" si="24"/>
        <v>21-40</v>
      </c>
      <c r="H1071" t="s">
        <v>23</v>
      </c>
      <c r="I1071" t="s">
        <v>24</v>
      </c>
      <c r="J1071" t="s">
        <v>25</v>
      </c>
      <c r="K1071" t="s">
        <v>38</v>
      </c>
      <c r="L1071">
        <v>1</v>
      </c>
      <c r="M1071">
        <v>1</v>
      </c>
      <c r="N1071">
        <v>1.2</v>
      </c>
      <c r="O1071">
        <v>7.3</v>
      </c>
      <c r="P1071">
        <v>5</v>
      </c>
      <c r="Q1071">
        <v>7</v>
      </c>
      <c r="R1071">
        <v>770938</v>
      </c>
      <c r="S1071">
        <f>Table1[[#This Row],[Revenue]]-Table1[[#This Row],[Operating_Costs]]</f>
        <v>181925</v>
      </c>
      <c r="T1071">
        <v>589013</v>
      </c>
      <c r="U1071">
        <v>35</v>
      </c>
      <c r="V1071">
        <v>66</v>
      </c>
      <c r="W1071">
        <v>9.3000000000000007</v>
      </c>
    </row>
    <row r="1072" spans="1:23" x14ac:dyDescent="0.25">
      <c r="A1072">
        <v>2</v>
      </c>
      <c r="B1072" t="s">
        <v>39</v>
      </c>
      <c r="C1072" s="1">
        <v>45138</v>
      </c>
      <c r="D1072" t="s">
        <v>71</v>
      </c>
      <c r="E1072">
        <v>0</v>
      </c>
      <c r="F1072">
        <v>25</v>
      </c>
      <c r="G1072" t="str">
        <f t="shared" si="24"/>
        <v>21-40</v>
      </c>
      <c r="H1072" t="s">
        <v>23</v>
      </c>
      <c r="I1072" t="s">
        <v>43</v>
      </c>
      <c r="J1072" t="s">
        <v>25</v>
      </c>
      <c r="K1072" t="s">
        <v>38</v>
      </c>
      <c r="L1072">
        <v>1</v>
      </c>
      <c r="M1072">
        <v>1</v>
      </c>
      <c r="N1072">
        <v>4.5</v>
      </c>
      <c r="O1072">
        <v>9.8000000000000007</v>
      </c>
      <c r="P1072">
        <v>6</v>
      </c>
      <c r="Q1072">
        <v>6</v>
      </c>
      <c r="R1072">
        <v>819995</v>
      </c>
      <c r="S1072">
        <f>Table1[[#This Row],[Revenue]]-Table1[[#This Row],[Operating_Costs]]</f>
        <v>227970</v>
      </c>
      <c r="T1072">
        <v>592025</v>
      </c>
      <c r="U1072">
        <v>38</v>
      </c>
      <c r="V1072">
        <v>63</v>
      </c>
      <c r="W1072">
        <v>6.5</v>
      </c>
    </row>
    <row r="1073" spans="1:23" x14ac:dyDescent="0.25">
      <c r="A1073">
        <v>2</v>
      </c>
      <c r="B1073" t="s">
        <v>39</v>
      </c>
      <c r="C1073" s="1">
        <v>44324</v>
      </c>
      <c r="D1073" t="s">
        <v>71</v>
      </c>
      <c r="E1073">
        <v>0</v>
      </c>
      <c r="F1073">
        <v>53</v>
      </c>
      <c r="G1073" t="str">
        <f t="shared" si="24"/>
        <v>41-60</v>
      </c>
      <c r="H1073" t="s">
        <v>23</v>
      </c>
      <c r="I1073" t="s">
        <v>24</v>
      </c>
      <c r="J1073" t="s">
        <v>25</v>
      </c>
      <c r="K1073" t="s">
        <v>33</v>
      </c>
      <c r="L1073">
        <v>1</v>
      </c>
      <c r="M1073">
        <v>1</v>
      </c>
      <c r="N1073">
        <v>6.6</v>
      </c>
      <c r="O1073">
        <v>7.7</v>
      </c>
      <c r="P1073">
        <v>7</v>
      </c>
      <c r="Q1073">
        <v>4</v>
      </c>
      <c r="R1073">
        <v>793785</v>
      </c>
      <c r="S1073">
        <f>Table1[[#This Row],[Revenue]]-Table1[[#This Row],[Operating_Costs]]</f>
        <v>248884</v>
      </c>
      <c r="T1073">
        <v>544901</v>
      </c>
      <c r="U1073">
        <v>37</v>
      </c>
      <c r="V1073">
        <v>65</v>
      </c>
      <c r="W1073">
        <v>12.8</v>
      </c>
    </row>
    <row r="1074" spans="1:23" x14ac:dyDescent="0.25">
      <c r="A1074">
        <v>2</v>
      </c>
      <c r="B1074" t="s">
        <v>39</v>
      </c>
      <c r="C1074" s="1">
        <v>45094</v>
      </c>
      <c r="D1074" t="s">
        <v>71</v>
      </c>
      <c r="E1074">
        <v>0</v>
      </c>
      <c r="F1074">
        <v>33</v>
      </c>
      <c r="G1074" t="str">
        <f t="shared" si="24"/>
        <v>21-40</v>
      </c>
      <c r="H1074" t="s">
        <v>23</v>
      </c>
      <c r="I1074" t="s">
        <v>58</v>
      </c>
      <c r="J1074" t="s">
        <v>59</v>
      </c>
      <c r="K1074" t="s">
        <v>29</v>
      </c>
      <c r="L1074">
        <v>1</v>
      </c>
      <c r="M1074">
        <v>1</v>
      </c>
      <c r="N1074">
        <v>6.6</v>
      </c>
      <c r="O1074">
        <v>9.1</v>
      </c>
      <c r="P1074">
        <v>4</v>
      </c>
      <c r="Q1074">
        <v>4</v>
      </c>
      <c r="R1074">
        <v>722819</v>
      </c>
      <c r="S1074">
        <f>Table1[[#This Row],[Revenue]]-Table1[[#This Row],[Operating_Costs]]</f>
        <v>139284</v>
      </c>
      <c r="T1074">
        <v>583535</v>
      </c>
      <c r="U1074">
        <v>39</v>
      </c>
      <c r="V1074">
        <v>55</v>
      </c>
      <c r="W1074">
        <v>7</v>
      </c>
    </row>
    <row r="1075" spans="1:23" x14ac:dyDescent="0.25">
      <c r="A1075">
        <v>2</v>
      </c>
      <c r="B1075" t="s">
        <v>39</v>
      </c>
      <c r="C1075" s="1">
        <v>44784</v>
      </c>
      <c r="D1075" t="s">
        <v>71</v>
      </c>
      <c r="E1075">
        <v>0</v>
      </c>
      <c r="F1075">
        <v>25</v>
      </c>
      <c r="G1075" t="str">
        <f t="shared" si="24"/>
        <v>21-40</v>
      </c>
      <c r="H1075" t="s">
        <v>23</v>
      </c>
      <c r="I1075" t="s">
        <v>46</v>
      </c>
      <c r="J1075" t="s">
        <v>47</v>
      </c>
      <c r="K1075" t="s">
        <v>33</v>
      </c>
      <c r="L1075">
        <v>1</v>
      </c>
      <c r="M1075">
        <v>1</v>
      </c>
      <c r="N1075">
        <v>2.2999999999999998</v>
      </c>
      <c r="O1075">
        <v>7.5</v>
      </c>
      <c r="P1075">
        <v>4</v>
      </c>
      <c r="Q1075">
        <v>6</v>
      </c>
      <c r="R1075">
        <v>853467</v>
      </c>
      <c r="S1075">
        <f>Table1[[#This Row],[Revenue]]-Table1[[#This Row],[Operating_Costs]]</f>
        <v>352198</v>
      </c>
      <c r="T1075">
        <v>501269</v>
      </c>
      <c r="U1075">
        <v>38</v>
      </c>
      <c r="V1075">
        <v>55</v>
      </c>
      <c r="W1075">
        <v>7.2</v>
      </c>
    </row>
    <row r="1076" spans="1:23" x14ac:dyDescent="0.25">
      <c r="A1076">
        <v>2</v>
      </c>
      <c r="B1076" t="s">
        <v>39</v>
      </c>
      <c r="C1076" s="1">
        <v>45090</v>
      </c>
      <c r="D1076" t="s">
        <v>71</v>
      </c>
      <c r="E1076">
        <v>0</v>
      </c>
      <c r="F1076">
        <v>47</v>
      </c>
      <c r="G1076" t="str">
        <f t="shared" si="24"/>
        <v>41-60</v>
      </c>
      <c r="H1076" t="s">
        <v>23</v>
      </c>
      <c r="I1076" t="s">
        <v>31</v>
      </c>
      <c r="J1076" t="s">
        <v>28</v>
      </c>
      <c r="K1076" t="s">
        <v>26</v>
      </c>
      <c r="L1076">
        <v>1</v>
      </c>
      <c r="M1076">
        <v>1</v>
      </c>
      <c r="N1076">
        <v>6.7</v>
      </c>
      <c r="O1076">
        <v>9.6</v>
      </c>
      <c r="P1076">
        <v>6</v>
      </c>
      <c r="Q1076">
        <v>3</v>
      </c>
      <c r="R1076">
        <v>606366</v>
      </c>
      <c r="S1076">
        <f>Table1[[#This Row],[Revenue]]-Table1[[#This Row],[Operating_Costs]]</f>
        <v>50840</v>
      </c>
      <c r="T1076">
        <v>555526</v>
      </c>
      <c r="U1076">
        <v>33</v>
      </c>
      <c r="V1076">
        <v>58</v>
      </c>
      <c r="W1076">
        <v>13.8</v>
      </c>
    </row>
    <row r="1077" spans="1:23" x14ac:dyDescent="0.25">
      <c r="A1077">
        <v>3</v>
      </c>
      <c r="B1077" t="s">
        <v>57</v>
      </c>
      <c r="C1077" s="1">
        <v>44875</v>
      </c>
      <c r="D1077" t="s">
        <v>71</v>
      </c>
      <c r="E1077">
        <v>0</v>
      </c>
      <c r="F1077">
        <v>21</v>
      </c>
      <c r="G1077" t="str">
        <f t="shared" si="24"/>
        <v>21-40</v>
      </c>
      <c r="H1077" t="s">
        <v>35</v>
      </c>
      <c r="I1077" t="s">
        <v>36</v>
      </c>
      <c r="J1077" t="s">
        <v>37</v>
      </c>
      <c r="K1077" t="s">
        <v>26</v>
      </c>
      <c r="L1077">
        <v>1</v>
      </c>
      <c r="M1077">
        <v>1</v>
      </c>
      <c r="N1077">
        <v>4.8</v>
      </c>
      <c r="O1077">
        <v>8</v>
      </c>
      <c r="P1077">
        <v>6</v>
      </c>
      <c r="Q1077">
        <v>4</v>
      </c>
      <c r="R1077">
        <v>521551</v>
      </c>
      <c r="S1077">
        <f>Table1[[#This Row],[Revenue]]-Table1[[#This Row],[Operating_Costs]]</f>
        <v>185990</v>
      </c>
      <c r="T1077">
        <v>335561</v>
      </c>
      <c r="U1077">
        <v>22</v>
      </c>
      <c r="V1077">
        <v>58</v>
      </c>
      <c r="W1077">
        <v>7.5</v>
      </c>
    </row>
    <row r="1078" spans="1:23" x14ac:dyDescent="0.25">
      <c r="A1078">
        <v>3</v>
      </c>
      <c r="B1078" t="s">
        <v>57</v>
      </c>
      <c r="C1078" s="1">
        <v>44543</v>
      </c>
      <c r="D1078" t="s">
        <v>71</v>
      </c>
      <c r="E1078">
        <v>0</v>
      </c>
      <c r="F1078">
        <v>47</v>
      </c>
      <c r="G1078" t="str">
        <f t="shared" si="24"/>
        <v>41-60</v>
      </c>
      <c r="H1078" t="s">
        <v>35</v>
      </c>
      <c r="I1078" t="s">
        <v>58</v>
      </c>
      <c r="J1078" t="s">
        <v>59</v>
      </c>
      <c r="K1078" t="s">
        <v>26</v>
      </c>
      <c r="L1078">
        <v>1</v>
      </c>
      <c r="M1078">
        <v>1</v>
      </c>
      <c r="N1078">
        <v>5.0999999999999996</v>
      </c>
      <c r="O1078">
        <v>7.1</v>
      </c>
      <c r="P1078">
        <v>4</v>
      </c>
      <c r="Q1078">
        <v>5</v>
      </c>
      <c r="R1078">
        <v>544144</v>
      </c>
      <c r="S1078">
        <f>Table1[[#This Row],[Revenue]]-Table1[[#This Row],[Operating_Costs]]</f>
        <v>223910</v>
      </c>
      <c r="T1078">
        <v>320234</v>
      </c>
      <c r="U1078">
        <v>20</v>
      </c>
      <c r="V1078">
        <v>62</v>
      </c>
      <c r="W1078">
        <v>6.4</v>
      </c>
    </row>
    <row r="1079" spans="1:23" x14ac:dyDescent="0.25">
      <c r="A1079">
        <v>2</v>
      </c>
      <c r="B1079" t="s">
        <v>39</v>
      </c>
      <c r="C1079" s="1">
        <v>44964</v>
      </c>
      <c r="D1079" t="s">
        <v>71</v>
      </c>
      <c r="E1079">
        <v>0</v>
      </c>
      <c r="F1079">
        <v>31</v>
      </c>
      <c r="G1079" t="str">
        <f t="shared" si="24"/>
        <v>21-40</v>
      </c>
      <c r="H1079" t="s">
        <v>23</v>
      </c>
      <c r="I1079" t="s">
        <v>31</v>
      </c>
      <c r="J1079" t="s">
        <v>28</v>
      </c>
      <c r="K1079" t="s">
        <v>29</v>
      </c>
      <c r="L1079">
        <v>1</v>
      </c>
      <c r="M1079">
        <v>1</v>
      </c>
      <c r="N1079">
        <v>4.8</v>
      </c>
      <c r="O1079">
        <v>7.6</v>
      </c>
      <c r="P1079">
        <v>4</v>
      </c>
      <c r="Q1079">
        <v>5</v>
      </c>
      <c r="R1079">
        <v>791091</v>
      </c>
      <c r="S1079">
        <f>Table1[[#This Row],[Revenue]]-Table1[[#This Row],[Operating_Costs]]</f>
        <v>152725</v>
      </c>
      <c r="T1079">
        <v>638366</v>
      </c>
      <c r="U1079">
        <v>36</v>
      </c>
      <c r="V1079">
        <v>56</v>
      </c>
      <c r="W1079">
        <v>13</v>
      </c>
    </row>
    <row r="1080" spans="1:23" x14ac:dyDescent="0.25">
      <c r="A1080">
        <v>2</v>
      </c>
      <c r="B1080" t="s">
        <v>39</v>
      </c>
      <c r="C1080" s="1">
        <v>44449</v>
      </c>
      <c r="D1080" t="s">
        <v>71</v>
      </c>
      <c r="E1080">
        <v>0</v>
      </c>
      <c r="F1080">
        <v>75</v>
      </c>
      <c r="G1080" t="str">
        <f t="shared" si="24"/>
        <v>61-80</v>
      </c>
      <c r="H1080" t="s">
        <v>35</v>
      </c>
      <c r="I1080" t="s">
        <v>58</v>
      </c>
      <c r="J1080" t="s">
        <v>59</v>
      </c>
      <c r="K1080" t="s">
        <v>29</v>
      </c>
      <c r="L1080">
        <v>1</v>
      </c>
      <c r="M1080">
        <v>1</v>
      </c>
      <c r="N1080">
        <v>2.1</v>
      </c>
      <c r="O1080">
        <v>9.6</v>
      </c>
      <c r="P1080">
        <v>5</v>
      </c>
      <c r="Q1080">
        <v>3</v>
      </c>
      <c r="R1080">
        <v>743916</v>
      </c>
      <c r="S1080">
        <f>Table1[[#This Row],[Revenue]]-Table1[[#This Row],[Operating_Costs]]</f>
        <v>123939</v>
      </c>
      <c r="T1080">
        <v>619977</v>
      </c>
      <c r="U1080">
        <v>39</v>
      </c>
      <c r="V1080">
        <v>59</v>
      </c>
      <c r="W1080">
        <v>13.5</v>
      </c>
    </row>
    <row r="1081" spans="1:23" x14ac:dyDescent="0.25">
      <c r="A1081">
        <v>3</v>
      </c>
      <c r="B1081" t="s">
        <v>57</v>
      </c>
      <c r="C1081" s="1">
        <v>44583</v>
      </c>
      <c r="D1081" t="s">
        <v>71</v>
      </c>
      <c r="E1081">
        <v>0</v>
      </c>
      <c r="F1081">
        <v>52</v>
      </c>
      <c r="G1081" t="str">
        <f t="shared" si="24"/>
        <v>41-60</v>
      </c>
      <c r="H1081" t="s">
        <v>23</v>
      </c>
      <c r="I1081" t="s">
        <v>31</v>
      </c>
      <c r="J1081" t="s">
        <v>28</v>
      </c>
      <c r="K1081" t="s">
        <v>29</v>
      </c>
      <c r="L1081">
        <v>1</v>
      </c>
      <c r="M1081">
        <v>1</v>
      </c>
      <c r="N1081">
        <v>4.9000000000000004</v>
      </c>
      <c r="O1081">
        <v>7.5</v>
      </c>
      <c r="P1081">
        <v>3</v>
      </c>
      <c r="Q1081">
        <v>3</v>
      </c>
      <c r="R1081">
        <v>580027</v>
      </c>
      <c r="S1081">
        <f>Table1[[#This Row],[Revenue]]-Table1[[#This Row],[Operating_Costs]]</f>
        <v>194124</v>
      </c>
      <c r="T1081">
        <v>385903</v>
      </c>
      <c r="U1081">
        <v>15</v>
      </c>
      <c r="V1081">
        <v>56</v>
      </c>
      <c r="W1081">
        <v>7.6</v>
      </c>
    </row>
    <row r="1082" spans="1:23" x14ac:dyDescent="0.25">
      <c r="A1082">
        <v>2</v>
      </c>
      <c r="B1082" t="s">
        <v>39</v>
      </c>
      <c r="C1082" s="1">
        <v>44592</v>
      </c>
      <c r="D1082" t="s">
        <v>71</v>
      </c>
      <c r="E1082">
        <v>0</v>
      </c>
      <c r="F1082">
        <v>84</v>
      </c>
      <c r="G1082" t="str">
        <f t="shared" si="24"/>
        <v>81+</v>
      </c>
      <c r="H1082" t="s">
        <v>23</v>
      </c>
      <c r="I1082" t="s">
        <v>24</v>
      </c>
      <c r="J1082" t="s">
        <v>25</v>
      </c>
      <c r="K1082" t="s">
        <v>38</v>
      </c>
      <c r="L1082">
        <v>1</v>
      </c>
      <c r="M1082">
        <v>1</v>
      </c>
      <c r="N1082">
        <v>3.9</v>
      </c>
      <c r="O1082">
        <v>9.6999999999999993</v>
      </c>
      <c r="P1082">
        <v>3</v>
      </c>
      <c r="Q1082">
        <v>6</v>
      </c>
      <c r="R1082">
        <v>886407</v>
      </c>
      <c r="S1082">
        <f>Table1[[#This Row],[Revenue]]-Table1[[#This Row],[Operating_Costs]]</f>
        <v>327700</v>
      </c>
      <c r="T1082">
        <v>558707</v>
      </c>
      <c r="U1082">
        <v>30</v>
      </c>
      <c r="V1082">
        <v>66</v>
      </c>
      <c r="W1082">
        <v>7.4</v>
      </c>
    </row>
    <row r="1083" spans="1:23" x14ac:dyDescent="0.25">
      <c r="A1083">
        <v>2</v>
      </c>
      <c r="B1083" t="s">
        <v>39</v>
      </c>
      <c r="C1083" s="1">
        <v>44696</v>
      </c>
      <c r="D1083" t="s">
        <v>71</v>
      </c>
      <c r="E1083">
        <v>0</v>
      </c>
      <c r="F1083">
        <v>34</v>
      </c>
      <c r="G1083" t="str">
        <f t="shared" si="24"/>
        <v>21-40</v>
      </c>
      <c r="H1083" t="s">
        <v>35</v>
      </c>
      <c r="I1083" t="s">
        <v>58</v>
      </c>
      <c r="J1083" t="s">
        <v>59</v>
      </c>
      <c r="K1083" t="s">
        <v>42</v>
      </c>
      <c r="L1083">
        <v>1</v>
      </c>
      <c r="M1083">
        <v>1</v>
      </c>
      <c r="N1083">
        <v>3.7</v>
      </c>
      <c r="O1083">
        <v>7.4</v>
      </c>
      <c r="P1083">
        <v>3</v>
      </c>
      <c r="Q1083">
        <v>6</v>
      </c>
      <c r="R1083">
        <v>702054</v>
      </c>
      <c r="S1083">
        <f>Table1[[#This Row],[Revenue]]-Table1[[#This Row],[Operating_Costs]]</f>
        <v>171085</v>
      </c>
      <c r="T1083">
        <v>530969</v>
      </c>
      <c r="U1083">
        <v>30</v>
      </c>
      <c r="V1083">
        <v>63</v>
      </c>
      <c r="W1083">
        <v>5.7</v>
      </c>
    </row>
    <row r="1084" spans="1:23" x14ac:dyDescent="0.25">
      <c r="A1084">
        <v>3</v>
      </c>
      <c r="B1084" t="s">
        <v>57</v>
      </c>
      <c r="C1084" s="1">
        <v>45630</v>
      </c>
      <c r="D1084" t="s">
        <v>71</v>
      </c>
      <c r="E1084">
        <v>0</v>
      </c>
      <c r="F1084">
        <v>45</v>
      </c>
      <c r="G1084" t="str">
        <f t="shared" si="24"/>
        <v>41-60</v>
      </c>
      <c r="H1084" t="s">
        <v>35</v>
      </c>
      <c r="I1084" t="s">
        <v>53</v>
      </c>
      <c r="J1084" t="s">
        <v>54</v>
      </c>
      <c r="K1084" t="s">
        <v>29</v>
      </c>
      <c r="L1084">
        <v>1</v>
      </c>
      <c r="M1084">
        <v>1</v>
      </c>
      <c r="N1084">
        <v>6.5</v>
      </c>
      <c r="O1084">
        <v>8.4</v>
      </c>
      <c r="P1084">
        <v>6</v>
      </c>
      <c r="Q1084">
        <v>7</v>
      </c>
      <c r="R1084">
        <v>505672</v>
      </c>
      <c r="S1084">
        <f>Table1[[#This Row],[Revenue]]-Table1[[#This Row],[Operating_Costs]]</f>
        <v>162105</v>
      </c>
      <c r="T1084">
        <v>343567</v>
      </c>
      <c r="U1084">
        <v>25</v>
      </c>
      <c r="V1084">
        <v>62</v>
      </c>
      <c r="W1084">
        <v>12.9</v>
      </c>
    </row>
    <row r="1085" spans="1:23" x14ac:dyDescent="0.25">
      <c r="A1085">
        <v>3</v>
      </c>
      <c r="B1085" t="s">
        <v>57</v>
      </c>
      <c r="C1085" s="1">
        <v>44405</v>
      </c>
      <c r="D1085" t="s">
        <v>71</v>
      </c>
      <c r="E1085">
        <v>0</v>
      </c>
      <c r="F1085">
        <v>36</v>
      </c>
      <c r="G1085" t="str">
        <f t="shared" si="24"/>
        <v>21-40</v>
      </c>
      <c r="H1085" t="s">
        <v>35</v>
      </c>
      <c r="I1085" t="s">
        <v>40</v>
      </c>
      <c r="J1085" t="s">
        <v>41</v>
      </c>
      <c r="K1085" t="s">
        <v>29</v>
      </c>
      <c r="L1085">
        <v>1</v>
      </c>
      <c r="M1085">
        <v>1</v>
      </c>
      <c r="N1085">
        <v>2.7</v>
      </c>
      <c r="O1085">
        <v>8.9</v>
      </c>
      <c r="P1085">
        <v>6</v>
      </c>
      <c r="Q1085">
        <v>5</v>
      </c>
      <c r="R1085">
        <v>538602</v>
      </c>
      <c r="S1085">
        <f>Table1[[#This Row],[Revenue]]-Table1[[#This Row],[Operating_Costs]]</f>
        <v>181922</v>
      </c>
      <c r="T1085">
        <v>356680</v>
      </c>
      <c r="U1085">
        <v>22</v>
      </c>
      <c r="V1085">
        <v>61</v>
      </c>
      <c r="W1085">
        <v>9</v>
      </c>
    </row>
    <row r="1086" spans="1:23" x14ac:dyDescent="0.25">
      <c r="A1086">
        <v>2</v>
      </c>
      <c r="B1086" t="s">
        <v>39</v>
      </c>
      <c r="C1086" s="1">
        <v>45088</v>
      </c>
      <c r="D1086" t="s">
        <v>71</v>
      </c>
      <c r="E1086">
        <v>0</v>
      </c>
      <c r="F1086">
        <v>56</v>
      </c>
      <c r="G1086" t="str">
        <f t="shared" si="24"/>
        <v>41-60</v>
      </c>
      <c r="H1086" t="s">
        <v>35</v>
      </c>
      <c r="I1086" t="s">
        <v>64</v>
      </c>
      <c r="J1086" t="s">
        <v>65</v>
      </c>
      <c r="K1086" t="s">
        <v>26</v>
      </c>
      <c r="L1086">
        <v>1</v>
      </c>
      <c r="M1086">
        <v>1</v>
      </c>
      <c r="N1086">
        <v>6.2</v>
      </c>
      <c r="O1086">
        <v>9.1999999999999993</v>
      </c>
      <c r="P1086">
        <v>5</v>
      </c>
      <c r="Q1086">
        <v>4</v>
      </c>
      <c r="R1086">
        <v>869040</v>
      </c>
      <c r="S1086">
        <f>Table1[[#This Row],[Revenue]]-Table1[[#This Row],[Operating_Costs]]</f>
        <v>268901</v>
      </c>
      <c r="T1086">
        <v>600139</v>
      </c>
      <c r="U1086">
        <v>33</v>
      </c>
      <c r="V1086">
        <v>59</v>
      </c>
      <c r="W1086">
        <v>14.6</v>
      </c>
    </row>
    <row r="1087" spans="1:23" x14ac:dyDescent="0.25">
      <c r="A1087">
        <v>2</v>
      </c>
      <c r="B1087" t="s">
        <v>39</v>
      </c>
      <c r="C1087" s="1">
        <v>44718</v>
      </c>
      <c r="D1087" t="s">
        <v>71</v>
      </c>
      <c r="E1087">
        <v>0</v>
      </c>
      <c r="F1087">
        <v>33</v>
      </c>
      <c r="G1087" t="str">
        <f t="shared" si="24"/>
        <v>21-40</v>
      </c>
      <c r="H1087" t="s">
        <v>35</v>
      </c>
      <c r="I1087" t="s">
        <v>36</v>
      </c>
      <c r="J1087" t="s">
        <v>37</v>
      </c>
      <c r="K1087" t="s">
        <v>38</v>
      </c>
      <c r="L1087">
        <v>1</v>
      </c>
      <c r="M1087">
        <v>1</v>
      </c>
      <c r="N1087">
        <v>6.5</v>
      </c>
      <c r="O1087">
        <v>9.8000000000000007</v>
      </c>
      <c r="P1087">
        <v>4</v>
      </c>
      <c r="Q1087">
        <v>4</v>
      </c>
      <c r="R1087">
        <v>723691</v>
      </c>
      <c r="S1087">
        <f>Table1[[#This Row],[Revenue]]-Table1[[#This Row],[Operating_Costs]]</f>
        <v>168587</v>
      </c>
      <c r="T1087">
        <v>555104</v>
      </c>
      <c r="U1087">
        <v>32</v>
      </c>
      <c r="V1087">
        <v>58</v>
      </c>
      <c r="W1087">
        <v>12.8</v>
      </c>
    </row>
    <row r="1088" spans="1:23" x14ac:dyDescent="0.25">
      <c r="A1088">
        <v>3</v>
      </c>
      <c r="B1088" t="s">
        <v>57</v>
      </c>
      <c r="C1088" s="1">
        <v>45132</v>
      </c>
      <c r="D1088" t="s">
        <v>71</v>
      </c>
      <c r="E1088">
        <v>0</v>
      </c>
      <c r="F1088">
        <v>55</v>
      </c>
      <c r="G1088" t="str">
        <f t="shared" si="24"/>
        <v>41-60</v>
      </c>
      <c r="H1088" t="s">
        <v>23</v>
      </c>
      <c r="I1088" t="s">
        <v>50</v>
      </c>
      <c r="J1088" t="s">
        <v>51</v>
      </c>
      <c r="K1088" t="s">
        <v>33</v>
      </c>
      <c r="L1088">
        <v>1</v>
      </c>
      <c r="M1088">
        <v>1</v>
      </c>
      <c r="N1088">
        <v>2.8</v>
      </c>
      <c r="O1088">
        <v>8.4</v>
      </c>
      <c r="P1088">
        <v>6</v>
      </c>
      <c r="Q1088">
        <v>6</v>
      </c>
      <c r="R1088">
        <v>589984</v>
      </c>
      <c r="S1088">
        <f>Table1[[#This Row],[Revenue]]-Table1[[#This Row],[Operating_Costs]]</f>
        <v>254025</v>
      </c>
      <c r="T1088">
        <v>335959</v>
      </c>
      <c r="U1088">
        <v>17</v>
      </c>
      <c r="V1088">
        <v>60</v>
      </c>
      <c r="W1088">
        <v>14.6</v>
      </c>
    </row>
    <row r="1089" spans="1:23" x14ac:dyDescent="0.25">
      <c r="A1089">
        <v>3</v>
      </c>
      <c r="B1089" t="s">
        <v>57</v>
      </c>
      <c r="C1089" s="1">
        <v>44432</v>
      </c>
      <c r="D1089" t="s">
        <v>71</v>
      </c>
      <c r="E1089">
        <v>0</v>
      </c>
      <c r="F1089">
        <v>64</v>
      </c>
      <c r="G1089" t="str">
        <f t="shared" si="24"/>
        <v>61-80</v>
      </c>
      <c r="H1089" t="s">
        <v>23</v>
      </c>
      <c r="I1089" t="s">
        <v>67</v>
      </c>
      <c r="J1089" t="s">
        <v>68</v>
      </c>
      <c r="K1089" t="s">
        <v>33</v>
      </c>
      <c r="L1089">
        <v>1</v>
      </c>
      <c r="M1089">
        <v>1</v>
      </c>
      <c r="N1089">
        <v>1.6</v>
      </c>
      <c r="O1089">
        <v>7.9</v>
      </c>
      <c r="P1089">
        <v>4</v>
      </c>
      <c r="Q1089">
        <v>5</v>
      </c>
      <c r="R1089">
        <v>578813</v>
      </c>
      <c r="S1089">
        <f>Table1[[#This Row],[Revenue]]-Table1[[#This Row],[Operating_Costs]]</f>
        <v>259545</v>
      </c>
      <c r="T1089">
        <v>319268</v>
      </c>
      <c r="U1089">
        <v>21</v>
      </c>
      <c r="V1089">
        <v>54</v>
      </c>
      <c r="W1089">
        <v>14.6</v>
      </c>
    </row>
    <row r="1090" spans="1:23" x14ac:dyDescent="0.25">
      <c r="A1090">
        <v>2</v>
      </c>
      <c r="B1090" t="s">
        <v>39</v>
      </c>
      <c r="C1090" s="1">
        <v>45502</v>
      </c>
      <c r="D1090" t="s">
        <v>71</v>
      </c>
      <c r="E1090">
        <v>0</v>
      </c>
      <c r="F1090">
        <v>69</v>
      </c>
      <c r="G1090" t="str">
        <f t="shared" si="24"/>
        <v>61-80</v>
      </c>
      <c r="H1090" t="s">
        <v>23</v>
      </c>
      <c r="I1090" t="s">
        <v>31</v>
      </c>
      <c r="J1090" t="s">
        <v>28</v>
      </c>
      <c r="K1090" t="s">
        <v>42</v>
      </c>
      <c r="L1090">
        <v>1</v>
      </c>
      <c r="M1090">
        <v>1</v>
      </c>
      <c r="N1090">
        <v>2.7</v>
      </c>
      <c r="O1090">
        <v>9.1999999999999993</v>
      </c>
      <c r="P1090">
        <v>7</v>
      </c>
      <c r="Q1090">
        <v>7</v>
      </c>
      <c r="R1090">
        <v>802367</v>
      </c>
      <c r="S1090">
        <f>Table1[[#This Row],[Revenue]]-Table1[[#This Row],[Operating_Costs]]</f>
        <v>155680</v>
      </c>
      <c r="T1090">
        <v>646687</v>
      </c>
      <c r="U1090">
        <v>36</v>
      </c>
      <c r="V1090">
        <v>57</v>
      </c>
      <c r="W1090">
        <v>10</v>
      </c>
    </row>
    <row r="1091" spans="1:23" x14ac:dyDescent="0.25">
      <c r="A1091">
        <v>2</v>
      </c>
      <c r="B1091" t="s">
        <v>39</v>
      </c>
      <c r="C1091" s="1">
        <v>44228</v>
      </c>
      <c r="D1091" t="s">
        <v>71</v>
      </c>
      <c r="E1091">
        <v>0</v>
      </c>
      <c r="F1091">
        <v>50</v>
      </c>
      <c r="G1091" t="str">
        <f t="shared" ref="G1091:G1154" si="25">IF(F1091&lt;=20,"0-20",IF(F1091&lt;=40,"21-40",IF(F1091&lt;=60,"41-60",IF(F1091&lt;=80,"61-80","81+"))))</f>
        <v>41-60</v>
      </c>
      <c r="H1091" t="s">
        <v>35</v>
      </c>
      <c r="I1091" t="s">
        <v>50</v>
      </c>
      <c r="J1091" t="s">
        <v>51</v>
      </c>
      <c r="K1091" t="s">
        <v>29</v>
      </c>
      <c r="L1091">
        <v>1</v>
      </c>
      <c r="M1091">
        <v>1</v>
      </c>
      <c r="N1091">
        <v>6.9</v>
      </c>
      <c r="O1091">
        <v>9.3000000000000007</v>
      </c>
      <c r="P1091">
        <v>3</v>
      </c>
      <c r="Q1091">
        <v>4</v>
      </c>
      <c r="R1091">
        <v>765399</v>
      </c>
      <c r="S1091">
        <f>Table1[[#This Row],[Revenue]]-Table1[[#This Row],[Operating_Costs]]</f>
        <v>264913</v>
      </c>
      <c r="T1091">
        <v>500486</v>
      </c>
      <c r="U1091">
        <v>36</v>
      </c>
      <c r="V1091">
        <v>57</v>
      </c>
      <c r="W1091">
        <v>10.5</v>
      </c>
    </row>
    <row r="1092" spans="1:23" x14ac:dyDescent="0.25">
      <c r="A1092">
        <v>2</v>
      </c>
      <c r="B1092" t="s">
        <v>39</v>
      </c>
      <c r="C1092" s="1">
        <v>45536</v>
      </c>
      <c r="D1092" t="s">
        <v>71</v>
      </c>
      <c r="E1092">
        <v>0</v>
      </c>
      <c r="F1092">
        <v>43</v>
      </c>
      <c r="G1092" t="str">
        <f t="shared" si="25"/>
        <v>41-60</v>
      </c>
      <c r="H1092" t="s">
        <v>35</v>
      </c>
      <c r="I1092" t="s">
        <v>50</v>
      </c>
      <c r="J1092" t="s">
        <v>51</v>
      </c>
      <c r="K1092" t="s">
        <v>29</v>
      </c>
      <c r="L1092">
        <v>1</v>
      </c>
      <c r="M1092">
        <v>1</v>
      </c>
      <c r="N1092">
        <v>1.1000000000000001</v>
      </c>
      <c r="O1092">
        <v>8.3000000000000007</v>
      </c>
      <c r="P1092">
        <v>4</v>
      </c>
      <c r="Q1092">
        <v>3</v>
      </c>
      <c r="R1092">
        <v>715677</v>
      </c>
      <c r="S1092">
        <f>Table1[[#This Row],[Revenue]]-Table1[[#This Row],[Operating_Costs]]</f>
        <v>157282</v>
      </c>
      <c r="T1092">
        <v>558395</v>
      </c>
      <c r="U1092">
        <v>37</v>
      </c>
      <c r="V1092">
        <v>54</v>
      </c>
      <c r="W1092">
        <v>6.8</v>
      </c>
    </row>
    <row r="1093" spans="1:23" x14ac:dyDescent="0.25">
      <c r="A1093">
        <v>2</v>
      </c>
      <c r="B1093" t="s">
        <v>39</v>
      </c>
      <c r="C1093" s="1">
        <v>44737</v>
      </c>
      <c r="D1093" t="s">
        <v>71</v>
      </c>
      <c r="E1093">
        <v>0</v>
      </c>
      <c r="F1093">
        <v>49</v>
      </c>
      <c r="G1093" t="str">
        <f t="shared" si="25"/>
        <v>41-60</v>
      </c>
      <c r="H1093" t="s">
        <v>35</v>
      </c>
      <c r="I1093" t="s">
        <v>27</v>
      </c>
      <c r="J1093" t="s">
        <v>28</v>
      </c>
      <c r="K1093" t="s">
        <v>42</v>
      </c>
      <c r="L1093">
        <v>1</v>
      </c>
      <c r="M1093">
        <v>1</v>
      </c>
      <c r="N1093">
        <v>5</v>
      </c>
      <c r="O1093">
        <v>9.9</v>
      </c>
      <c r="P1093">
        <v>6</v>
      </c>
      <c r="Q1093">
        <v>3</v>
      </c>
      <c r="R1093">
        <v>712703</v>
      </c>
      <c r="S1093">
        <f>Table1[[#This Row],[Revenue]]-Table1[[#This Row],[Operating_Costs]]</f>
        <v>168661</v>
      </c>
      <c r="T1093">
        <v>544042</v>
      </c>
      <c r="U1093">
        <v>35</v>
      </c>
      <c r="V1093">
        <v>56</v>
      </c>
      <c r="W1093">
        <v>5.6</v>
      </c>
    </row>
    <row r="1094" spans="1:23" x14ac:dyDescent="0.25">
      <c r="A1094">
        <v>2</v>
      </c>
      <c r="B1094" t="s">
        <v>39</v>
      </c>
      <c r="C1094" s="1">
        <v>44372</v>
      </c>
      <c r="D1094" t="s">
        <v>71</v>
      </c>
      <c r="E1094">
        <v>0</v>
      </c>
      <c r="F1094">
        <v>26</v>
      </c>
      <c r="G1094" t="str">
        <f t="shared" si="25"/>
        <v>21-40</v>
      </c>
      <c r="H1094" t="s">
        <v>35</v>
      </c>
      <c r="I1094" t="s">
        <v>40</v>
      </c>
      <c r="J1094" t="s">
        <v>41</v>
      </c>
      <c r="K1094" t="s">
        <v>42</v>
      </c>
      <c r="L1094">
        <v>1</v>
      </c>
      <c r="M1094">
        <v>1</v>
      </c>
      <c r="N1094">
        <v>4</v>
      </c>
      <c r="O1094">
        <v>8.1</v>
      </c>
      <c r="P1094">
        <v>5</v>
      </c>
      <c r="Q1094">
        <v>3</v>
      </c>
      <c r="R1094">
        <v>759454</v>
      </c>
      <c r="S1094">
        <f>Table1[[#This Row],[Revenue]]-Table1[[#This Row],[Operating_Costs]]</f>
        <v>147214</v>
      </c>
      <c r="T1094">
        <v>612240</v>
      </c>
      <c r="U1094">
        <v>34</v>
      </c>
      <c r="V1094">
        <v>65</v>
      </c>
      <c r="W1094">
        <v>5.6</v>
      </c>
    </row>
    <row r="1095" spans="1:23" x14ac:dyDescent="0.25">
      <c r="A1095">
        <v>2</v>
      </c>
      <c r="B1095" t="s">
        <v>39</v>
      </c>
      <c r="C1095" s="1">
        <v>44905</v>
      </c>
      <c r="D1095" t="s">
        <v>71</v>
      </c>
      <c r="E1095">
        <v>0</v>
      </c>
      <c r="F1095">
        <v>33</v>
      </c>
      <c r="G1095" t="str">
        <f t="shared" si="25"/>
        <v>21-40</v>
      </c>
      <c r="H1095" t="s">
        <v>23</v>
      </c>
      <c r="I1095" t="s">
        <v>50</v>
      </c>
      <c r="J1095" t="s">
        <v>51</v>
      </c>
      <c r="K1095" t="s">
        <v>33</v>
      </c>
      <c r="L1095">
        <v>1</v>
      </c>
      <c r="M1095">
        <v>1</v>
      </c>
      <c r="N1095">
        <v>1.8</v>
      </c>
      <c r="O1095">
        <v>8</v>
      </c>
      <c r="P1095">
        <v>7</v>
      </c>
      <c r="Q1095">
        <v>5</v>
      </c>
      <c r="R1095">
        <v>843006</v>
      </c>
      <c r="S1095">
        <f>Table1[[#This Row],[Revenue]]-Table1[[#This Row],[Operating_Costs]]</f>
        <v>253744</v>
      </c>
      <c r="T1095">
        <v>589262</v>
      </c>
      <c r="U1095">
        <v>34</v>
      </c>
      <c r="V1095">
        <v>64</v>
      </c>
      <c r="W1095">
        <v>9.1999999999999993</v>
      </c>
    </row>
    <row r="1096" spans="1:23" x14ac:dyDescent="0.25">
      <c r="A1096">
        <v>2</v>
      </c>
      <c r="B1096" t="s">
        <v>39</v>
      </c>
      <c r="C1096" s="1">
        <v>44924</v>
      </c>
      <c r="D1096" t="s">
        <v>71</v>
      </c>
      <c r="E1096">
        <v>0</v>
      </c>
      <c r="F1096">
        <v>78</v>
      </c>
      <c r="G1096" t="str">
        <f t="shared" si="25"/>
        <v>61-80</v>
      </c>
      <c r="H1096" t="s">
        <v>35</v>
      </c>
      <c r="I1096" t="s">
        <v>36</v>
      </c>
      <c r="J1096" t="s">
        <v>37</v>
      </c>
      <c r="K1096" t="s">
        <v>38</v>
      </c>
      <c r="L1096">
        <v>1</v>
      </c>
      <c r="M1096">
        <v>1</v>
      </c>
      <c r="N1096">
        <v>5</v>
      </c>
      <c r="O1096">
        <v>8.6999999999999993</v>
      </c>
      <c r="P1096">
        <v>5</v>
      </c>
      <c r="Q1096">
        <v>5</v>
      </c>
      <c r="R1096">
        <v>806748</v>
      </c>
      <c r="S1096">
        <f>Table1[[#This Row],[Revenue]]-Table1[[#This Row],[Operating_Costs]]</f>
        <v>167372</v>
      </c>
      <c r="T1096">
        <v>639376</v>
      </c>
      <c r="U1096">
        <v>36</v>
      </c>
      <c r="V1096">
        <v>56</v>
      </c>
      <c r="W1096">
        <v>13.2</v>
      </c>
    </row>
    <row r="1097" spans="1:23" x14ac:dyDescent="0.25">
      <c r="A1097">
        <v>2</v>
      </c>
      <c r="B1097" t="s">
        <v>39</v>
      </c>
      <c r="C1097" s="1">
        <v>45351</v>
      </c>
      <c r="D1097" t="s">
        <v>71</v>
      </c>
      <c r="E1097">
        <v>0</v>
      </c>
      <c r="F1097">
        <v>29</v>
      </c>
      <c r="G1097" t="str">
        <f t="shared" si="25"/>
        <v>21-40</v>
      </c>
      <c r="H1097" t="s">
        <v>23</v>
      </c>
      <c r="I1097" t="s">
        <v>50</v>
      </c>
      <c r="J1097" t="s">
        <v>51</v>
      </c>
      <c r="K1097" t="s">
        <v>33</v>
      </c>
      <c r="L1097">
        <v>1</v>
      </c>
      <c r="M1097">
        <v>1</v>
      </c>
      <c r="N1097">
        <v>1.5</v>
      </c>
      <c r="O1097">
        <v>7.9</v>
      </c>
      <c r="P1097">
        <v>6</v>
      </c>
      <c r="Q1097">
        <v>4</v>
      </c>
      <c r="R1097">
        <v>680195</v>
      </c>
      <c r="S1097">
        <f>Table1[[#This Row],[Revenue]]-Table1[[#This Row],[Operating_Costs]]</f>
        <v>38405</v>
      </c>
      <c r="T1097">
        <v>641790</v>
      </c>
      <c r="U1097">
        <v>33</v>
      </c>
      <c r="V1097">
        <v>66</v>
      </c>
      <c r="W1097">
        <v>9</v>
      </c>
    </row>
    <row r="1098" spans="1:23" x14ac:dyDescent="0.25">
      <c r="A1098">
        <v>3</v>
      </c>
      <c r="B1098" t="s">
        <v>57</v>
      </c>
      <c r="C1098" s="1">
        <v>44748</v>
      </c>
      <c r="D1098" t="s">
        <v>71</v>
      </c>
      <c r="E1098">
        <v>0</v>
      </c>
      <c r="F1098">
        <v>27</v>
      </c>
      <c r="G1098" t="str">
        <f t="shared" si="25"/>
        <v>21-40</v>
      </c>
      <c r="H1098" t="s">
        <v>35</v>
      </c>
      <c r="I1098" t="s">
        <v>46</v>
      </c>
      <c r="J1098" t="s">
        <v>47</v>
      </c>
      <c r="K1098" t="s">
        <v>42</v>
      </c>
      <c r="L1098">
        <v>1</v>
      </c>
      <c r="M1098">
        <v>1</v>
      </c>
      <c r="N1098">
        <v>6.8</v>
      </c>
      <c r="O1098">
        <v>9.9</v>
      </c>
      <c r="P1098">
        <v>7</v>
      </c>
      <c r="Q1098">
        <v>7</v>
      </c>
      <c r="R1098">
        <v>547425</v>
      </c>
      <c r="S1098">
        <f>Table1[[#This Row],[Revenue]]-Table1[[#This Row],[Operating_Costs]]</f>
        <v>195102</v>
      </c>
      <c r="T1098">
        <v>352323</v>
      </c>
      <c r="U1098">
        <v>18</v>
      </c>
      <c r="V1098">
        <v>54</v>
      </c>
      <c r="W1098">
        <v>6.9</v>
      </c>
    </row>
    <row r="1099" spans="1:23" x14ac:dyDescent="0.25">
      <c r="A1099">
        <v>2</v>
      </c>
      <c r="B1099" t="s">
        <v>39</v>
      </c>
      <c r="C1099" s="1">
        <v>44853</v>
      </c>
      <c r="D1099" t="s">
        <v>71</v>
      </c>
      <c r="E1099">
        <v>0</v>
      </c>
      <c r="F1099">
        <v>37</v>
      </c>
      <c r="G1099" t="str">
        <f t="shared" si="25"/>
        <v>21-40</v>
      </c>
      <c r="H1099" t="s">
        <v>23</v>
      </c>
      <c r="I1099" t="s">
        <v>24</v>
      </c>
      <c r="J1099" t="s">
        <v>25</v>
      </c>
      <c r="K1099" t="s">
        <v>26</v>
      </c>
      <c r="L1099">
        <v>1</v>
      </c>
      <c r="M1099">
        <v>1</v>
      </c>
      <c r="N1099">
        <v>5</v>
      </c>
      <c r="O1099">
        <v>7.5</v>
      </c>
      <c r="P1099">
        <v>4</v>
      </c>
      <c r="Q1099">
        <v>5</v>
      </c>
      <c r="R1099">
        <v>692907</v>
      </c>
      <c r="S1099">
        <f>Table1[[#This Row],[Revenue]]-Table1[[#This Row],[Operating_Costs]]</f>
        <v>143165</v>
      </c>
      <c r="T1099">
        <v>549742</v>
      </c>
      <c r="U1099">
        <v>30</v>
      </c>
      <c r="V1099">
        <v>64</v>
      </c>
      <c r="W1099">
        <v>5.9</v>
      </c>
    </row>
    <row r="1100" spans="1:23" x14ac:dyDescent="0.25">
      <c r="A1100">
        <v>2</v>
      </c>
      <c r="B1100" t="s">
        <v>39</v>
      </c>
      <c r="C1100" s="1">
        <v>45524</v>
      </c>
      <c r="D1100" t="s">
        <v>71</v>
      </c>
      <c r="E1100">
        <v>0</v>
      </c>
      <c r="F1100">
        <v>25</v>
      </c>
      <c r="G1100" t="str">
        <f t="shared" si="25"/>
        <v>21-40</v>
      </c>
      <c r="H1100" t="s">
        <v>23</v>
      </c>
      <c r="I1100" t="s">
        <v>67</v>
      </c>
      <c r="J1100" t="s">
        <v>68</v>
      </c>
      <c r="K1100" t="s">
        <v>29</v>
      </c>
      <c r="L1100">
        <v>1</v>
      </c>
      <c r="M1100">
        <v>1</v>
      </c>
      <c r="N1100">
        <v>2.5</v>
      </c>
      <c r="O1100">
        <v>9.8000000000000007</v>
      </c>
      <c r="P1100">
        <v>5</v>
      </c>
      <c r="Q1100">
        <v>4</v>
      </c>
      <c r="R1100">
        <v>749834</v>
      </c>
      <c r="S1100">
        <f>Table1[[#This Row],[Revenue]]-Table1[[#This Row],[Operating_Costs]]</f>
        <v>185742</v>
      </c>
      <c r="T1100">
        <v>564092</v>
      </c>
      <c r="U1100">
        <v>33</v>
      </c>
      <c r="V1100">
        <v>58</v>
      </c>
      <c r="W1100">
        <v>14.3</v>
      </c>
    </row>
    <row r="1101" spans="1:23" x14ac:dyDescent="0.25">
      <c r="A1101">
        <v>2</v>
      </c>
      <c r="B1101" t="s">
        <v>39</v>
      </c>
      <c r="C1101" s="1">
        <v>44816</v>
      </c>
      <c r="D1101" t="s">
        <v>71</v>
      </c>
      <c r="E1101">
        <v>0</v>
      </c>
      <c r="F1101">
        <v>68</v>
      </c>
      <c r="G1101" t="str">
        <f t="shared" si="25"/>
        <v>61-80</v>
      </c>
      <c r="H1101" t="s">
        <v>23</v>
      </c>
      <c r="I1101" t="s">
        <v>27</v>
      </c>
      <c r="J1101" t="s">
        <v>28</v>
      </c>
      <c r="K1101" t="s">
        <v>38</v>
      </c>
      <c r="L1101">
        <v>1</v>
      </c>
      <c r="M1101">
        <v>1</v>
      </c>
      <c r="N1101">
        <v>2</v>
      </c>
      <c r="O1101">
        <v>9</v>
      </c>
      <c r="P1101">
        <v>5</v>
      </c>
      <c r="Q1101">
        <v>7</v>
      </c>
      <c r="R1101">
        <v>845109</v>
      </c>
      <c r="S1101">
        <f>Table1[[#This Row],[Revenue]]-Table1[[#This Row],[Operating_Costs]]</f>
        <v>201783</v>
      </c>
      <c r="T1101">
        <v>643326</v>
      </c>
      <c r="U1101">
        <v>35</v>
      </c>
      <c r="V1101">
        <v>60</v>
      </c>
      <c r="W1101">
        <v>9.6999999999999993</v>
      </c>
    </row>
    <row r="1102" spans="1:23" x14ac:dyDescent="0.25">
      <c r="A1102">
        <v>2</v>
      </c>
      <c r="B1102" t="s">
        <v>39</v>
      </c>
      <c r="C1102" s="1">
        <v>44669</v>
      </c>
      <c r="D1102" t="s">
        <v>71</v>
      </c>
      <c r="E1102">
        <v>0</v>
      </c>
      <c r="F1102">
        <v>78</v>
      </c>
      <c r="G1102" t="str">
        <f t="shared" si="25"/>
        <v>61-80</v>
      </c>
      <c r="H1102" t="s">
        <v>35</v>
      </c>
      <c r="I1102" t="s">
        <v>58</v>
      </c>
      <c r="J1102" t="s">
        <v>59</v>
      </c>
      <c r="K1102" t="s">
        <v>29</v>
      </c>
      <c r="L1102">
        <v>1</v>
      </c>
      <c r="M1102">
        <v>1</v>
      </c>
      <c r="N1102">
        <v>5.5</v>
      </c>
      <c r="O1102">
        <v>7.5</v>
      </c>
      <c r="P1102">
        <v>3</v>
      </c>
      <c r="Q1102">
        <v>7</v>
      </c>
      <c r="R1102">
        <v>791738</v>
      </c>
      <c r="S1102">
        <f>Table1[[#This Row],[Revenue]]-Table1[[#This Row],[Operating_Costs]]</f>
        <v>189611</v>
      </c>
      <c r="T1102">
        <v>602127</v>
      </c>
      <c r="U1102">
        <v>34</v>
      </c>
      <c r="V1102">
        <v>65</v>
      </c>
      <c r="W1102">
        <v>36.4</v>
      </c>
    </row>
    <row r="1103" spans="1:23" x14ac:dyDescent="0.25">
      <c r="A1103">
        <v>2</v>
      </c>
      <c r="B1103" t="s">
        <v>39</v>
      </c>
      <c r="C1103" s="1">
        <v>44370</v>
      </c>
      <c r="D1103" t="s">
        <v>71</v>
      </c>
      <c r="E1103">
        <v>0</v>
      </c>
      <c r="F1103">
        <v>73</v>
      </c>
      <c r="G1103" t="str">
        <f t="shared" si="25"/>
        <v>61-80</v>
      </c>
      <c r="H1103" t="s">
        <v>35</v>
      </c>
      <c r="I1103" t="s">
        <v>53</v>
      </c>
      <c r="J1103" t="s">
        <v>54</v>
      </c>
      <c r="K1103" t="s">
        <v>38</v>
      </c>
      <c r="L1103">
        <v>1</v>
      </c>
      <c r="M1103">
        <v>1</v>
      </c>
      <c r="N1103">
        <v>1.6</v>
      </c>
      <c r="O1103">
        <v>7.7</v>
      </c>
      <c r="P1103">
        <v>7</v>
      </c>
      <c r="Q1103">
        <v>3</v>
      </c>
      <c r="R1103">
        <v>789465</v>
      </c>
      <c r="S1103">
        <f>Table1[[#This Row],[Revenue]]-Table1[[#This Row],[Operating_Costs]]</f>
        <v>144782</v>
      </c>
      <c r="T1103">
        <v>644683</v>
      </c>
      <c r="U1103">
        <v>33</v>
      </c>
      <c r="V1103">
        <v>64</v>
      </c>
      <c r="W1103">
        <v>7.7</v>
      </c>
    </row>
    <row r="1104" spans="1:23" x14ac:dyDescent="0.25">
      <c r="A1104">
        <v>2</v>
      </c>
      <c r="B1104" t="s">
        <v>39</v>
      </c>
      <c r="C1104" s="1">
        <v>44966</v>
      </c>
      <c r="D1104" t="s">
        <v>71</v>
      </c>
      <c r="E1104">
        <v>0</v>
      </c>
      <c r="F1104">
        <v>47</v>
      </c>
      <c r="G1104" t="str">
        <f t="shared" si="25"/>
        <v>41-60</v>
      </c>
      <c r="H1104" t="s">
        <v>23</v>
      </c>
      <c r="I1104" t="s">
        <v>24</v>
      </c>
      <c r="J1104" t="s">
        <v>25</v>
      </c>
      <c r="K1104" t="s">
        <v>26</v>
      </c>
      <c r="L1104">
        <v>1</v>
      </c>
      <c r="M1104">
        <v>1</v>
      </c>
      <c r="N1104">
        <v>3.5</v>
      </c>
      <c r="O1104">
        <v>7.1</v>
      </c>
      <c r="P1104">
        <v>6</v>
      </c>
      <c r="Q1104">
        <v>4</v>
      </c>
      <c r="R1104">
        <v>869393</v>
      </c>
      <c r="S1104">
        <f>Table1[[#This Row],[Revenue]]-Table1[[#This Row],[Operating_Costs]]</f>
        <v>256176</v>
      </c>
      <c r="T1104">
        <v>613217</v>
      </c>
      <c r="U1104">
        <v>33</v>
      </c>
      <c r="V1104">
        <v>64</v>
      </c>
      <c r="W1104">
        <v>7</v>
      </c>
    </row>
    <row r="1105" spans="1:23" x14ac:dyDescent="0.25">
      <c r="A1105">
        <v>2</v>
      </c>
      <c r="B1105" t="s">
        <v>39</v>
      </c>
      <c r="C1105" s="1">
        <v>44866</v>
      </c>
      <c r="D1105" t="s">
        <v>71</v>
      </c>
      <c r="E1105">
        <v>0</v>
      </c>
      <c r="F1105">
        <v>22</v>
      </c>
      <c r="G1105" t="str">
        <f t="shared" si="25"/>
        <v>21-40</v>
      </c>
      <c r="H1105" t="s">
        <v>35</v>
      </c>
      <c r="I1105" t="s">
        <v>61</v>
      </c>
      <c r="J1105" t="s">
        <v>62</v>
      </c>
      <c r="K1105" t="s">
        <v>42</v>
      </c>
      <c r="L1105">
        <v>1</v>
      </c>
      <c r="M1105">
        <v>1</v>
      </c>
      <c r="N1105">
        <v>1.9</v>
      </c>
      <c r="O1105">
        <v>8.6</v>
      </c>
      <c r="P1105">
        <v>6</v>
      </c>
      <c r="Q1105">
        <v>3</v>
      </c>
      <c r="R1105">
        <v>635814</v>
      </c>
      <c r="S1105">
        <f>Table1[[#This Row],[Revenue]]-Table1[[#This Row],[Operating_Costs]]</f>
        <v>57935</v>
      </c>
      <c r="T1105">
        <v>577879</v>
      </c>
      <c r="U1105">
        <v>35</v>
      </c>
      <c r="V1105">
        <v>56</v>
      </c>
      <c r="W1105">
        <v>8.5</v>
      </c>
    </row>
    <row r="1106" spans="1:23" x14ac:dyDescent="0.25">
      <c r="A1106">
        <v>2</v>
      </c>
      <c r="B1106" t="s">
        <v>39</v>
      </c>
      <c r="C1106" s="1">
        <v>45595</v>
      </c>
      <c r="D1106" t="s">
        <v>71</v>
      </c>
      <c r="E1106">
        <v>0</v>
      </c>
      <c r="F1106">
        <v>63</v>
      </c>
      <c r="G1106" t="str">
        <f t="shared" si="25"/>
        <v>61-80</v>
      </c>
      <c r="H1106" t="s">
        <v>23</v>
      </c>
      <c r="I1106" t="s">
        <v>43</v>
      </c>
      <c r="J1106" t="s">
        <v>25</v>
      </c>
      <c r="K1106" t="s">
        <v>29</v>
      </c>
      <c r="L1106">
        <v>1</v>
      </c>
      <c r="M1106">
        <v>1</v>
      </c>
      <c r="N1106">
        <v>2.5</v>
      </c>
      <c r="O1106">
        <v>7.8</v>
      </c>
      <c r="P1106">
        <v>5</v>
      </c>
      <c r="Q1106">
        <v>7</v>
      </c>
      <c r="R1106">
        <v>863277</v>
      </c>
      <c r="S1106">
        <f>Table1[[#This Row],[Revenue]]-Table1[[#This Row],[Operating_Costs]]</f>
        <v>346979</v>
      </c>
      <c r="T1106">
        <v>516298</v>
      </c>
      <c r="U1106">
        <v>38</v>
      </c>
      <c r="V1106">
        <v>59</v>
      </c>
      <c r="W1106">
        <v>10.199999999999999</v>
      </c>
    </row>
    <row r="1107" spans="1:23" x14ac:dyDescent="0.25">
      <c r="A1107">
        <v>2</v>
      </c>
      <c r="B1107" t="s">
        <v>39</v>
      </c>
      <c r="C1107" s="1">
        <v>44337</v>
      </c>
      <c r="D1107" t="s">
        <v>71</v>
      </c>
      <c r="E1107">
        <v>0</v>
      </c>
      <c r="F1107">
        <v>24</v>
      </c>
      <c r="G1107" t="str">
        <f t="shared" si="25"/>
        <v>21-40</v>
      </c>
      <c r="H1107" t="s">
        <v>23</v>
      </c>
      <c r="I1107" t="s">
        <v>50</v>
      </c>
      <c r="J1107" t="s">
        <v>51</v>
      </c>
      <c r="K1107" t="s">
        <v>42</v>
      </c>
      <c r="L1107">
        <v>1</v>
      </c>
      <c r="M1107">
        <v>1</v>
      </c>
      <c r="N1107">
        <v>1.2</v>
      </c>
      <c r="O1107">
        <v>8.6</v>
      </c>
      <c r="P1107">
        <v>4</v>
      </c>
      <c r="Q1107">
        <v>7</v>
      </c>
      <c r="R1107">
        <v>668594</v>
      </c>
      <c r="S1107">
        <f>Table1[[#This Row],[Revenue]]-Table1[[#This Row],[Operating_Costs]]</f>
        <v>71898</v>
      </c>
      <c r="T1107">
        <v>596696</v>
      </c>
      <c r="U1107">
        <v>37</v>
      </c>
      <c r="V1107">
        <v>54</v>
      </c>
      <c r="W1107">
        <v>14.6</v>
      </c>
    </row>
    <row r="1108" spans="1:23" x14ac:dyDescent="0.25">
      <c r="A1108">
        <v>2</v>
      </c>
      <c r="B1108" t="s">
        <v>39</v>
      </c>
      <c r="C1108" s="1">
        <v>44971</v>
      </c>
      <c r="D1108" t="s">
        <v>71</v>
      </c>
      <c r="E1108">
        <v>0</v>
      </c>
      <c r="F1108">
        <v>29</v>
      </c>
      <c r="G1108" t="str">
        <f t="shared" si="25"/>
        <v>21-40</v>
      </c>
      <c r="H1108" t="s">
        <v>35</v>
      </c>
      <c r="I1108" t="s">
        <v>58</v>
      </c>
      <c r="J1108" t="s">
        <v>59</v>
      </c>
      <c r="K1108" t="s">
        <v>38</v>
      </c>
      <c r="L1108">
        <v>1</v>
      </c>
      <c r="M1108">
        <v>1</v>
      </c>
      <c r="N1108">
        <v>2.5</v>
      </c>
      <c r="O1108">
        <v>7.4</v>
      </c>
      <c r="P1108">
        <v>3</v>
      </c>
      <c r="Q1108">
        <v>5</v>
      </c>
      <c r="R1108">
        <v>621291</v>
      </c>
      <c r="S1108">
        <f>Table1[[#This Row],[Revenue]]-Table1[[#This Row],[Operating_Costs]]</f>
        <v>57787</v>
      </c>
      <c r="T1108">
        <v>563504</v>
      </c>
      <c r="U1108">
        <v>36</v>
      </c>
      <c r="V1108">
        <v>55</v>
      </c>
      <c r="W1108">
        <v>7</v>
      </c>
    </row>
    <row r="1109" spans="1:23" x14ac:dyDescent="0.25">
      <c r="A1109">
        <v>2</v>
      </c>
      <c r="B1109" t="s">
        <v>39</v>
      </c>
      <c r="C1109" s="1">
        <v>45395</v>
      </c>
      <c r="D1109" t="s">
        <v>71</v>
      </c>
      <c r="E1109">
        <v>0</v>
      </c>
      <c r="F1109">
        <v>44</v>
      </c>
      <c r="G1109" t="str">
        <f t="shared" si="25"/>
        <v>41-60</v>
      </c>
      <c r="H1109" t="s">
        <v>23</v>
      </c>
      <c r="I1109" t="s">
        <v>46</v>
      </c>
      <c r="J1109" t="s">
        <v>47</v>
      </c>
      <c r="K1109" t="s">
        <v>29</v>
      </c>
      <c r="L1109">
        <v>1</v>
      </c>
      <c r="M1109">
        <v>1</v>
      </c>
      <c r="N1109">
        <v>1.3</v>
      </c>
      <c r="O1109">
        <v>7.1</v>
      </c>
      <c r="P1109">
        <v>5</v>
      </c>
      <c r="Q1109">
        <v>7</v>
      </c>
      <c r="R1109">
        <v>662293</v>
      </c>
      <c r="S1109">
        <f>Table1[[#This Row],[Revenue]]-Table1[[#This Row],[Operating_Costs]]</f>
        <v>142831</v>
      </c>
      <c r="T1109">
        <v>519462</v>
      </c>
      <c r="U1109">
        <v>32</v>
      </c>
      <c r="V1109">
        <v>62</v>
      </c>
      <c r="W1109">
        <v>14.8</v>
      </c>
    </row>
    <row r="1110" spans="1:23" x14ac:dyDescent="0.25">
      <c r="A1110">
        <v>2</v>
      </c>
      <c r="B1110" t="s">
        <v>39</v>
      </c>
      <c r="C1110" s="1">
        <v>45405</v>
      </c>
      <c r="D1110" t="s">
        <v>71</v>
      </c>
      <c r="E1110">
        <v>0</v>
      </c>
      <c r="F1110">
        <v>77</v>
      </c>
      <c r="G1110" t="str">
        <f t="shared" si="25"/>
        <v>61-80</v>
      </c>
      <c r="H1110" t="s">
        <v>35</v>
      </c>
      <c r="I1110" t="s">
        <v>61</v>
      </c>
      <c r="J1110" t="s">
        <v>62</v>
      </c>
      <c r="K1110" t="s">
        <v>26</v>
      </c>
      <c r="L1110">
        <v>1</v>
      </c>
      <c r="M1110">
        <v>1</v>
      </c>
      <c r="N1110">
        <v>3</v>
      </c>
      <c r="O1110">
        <v>8.3000000000000007</v>
      </c>
      <c r="P1110">
        <v>6</v>
      </c>
      <c r="Q1110">
        <v>6</v>
      </c>
      <c r="R1110">
        <v>764860</v>
      </c>
      <c r="S1110">
        <f>Table1[[#This Row],[Revenue]]-Table1[[#This Row],[Operating_Costs]]</f>
        <v>126837</v>
      </c>
      <c r="T1110">
        <v>638023</v>
      </c>
      <c r="U1110">
        <v>37</v>
      </c>
      <c r="V1110">
        <v>66</v>
      </c>
      <c r="W1110">
        <v>12.9</v>
      </c>
    </row>
    <row r="1111" spans="1:23" x14ac:dyDescent="0.25">
      <c r="A1111">
        <v>2</v>
      </c>
      <c r="B1111" t="s">
        <v>39</v>
      </c>
      <c r="C1111" s="1">
        <v>44545</v>
      </c>
      <c r="D1111" t="s">
        <v>71</v>
      </c>
      <c r="E1111">
        <v>0</v>
      </c>
      <c r="F1111">
        <v>39</v>
      </c>
      <c r="G1111" t="str">
        <f t="shared" si="25"/>
        <v>21-40</v>
      </c>
      <c r="H1111" t="s">
        <v>23</v>
      </c>
      <c r="I1111" t="s">
        <v>43</v>
      </c>
      <c r="J1111" t="s">
        <v>25</v>
      </c>
      <c r="K1111" t="s">
        <v>42</v>
      </c>
      <c r="L1111">
        <v>1</v>
      </c>
      <c r="M1111">
        <v>1</v>
      </c>
      <c r="N1111">
        <v>6.3</v>
      </c>
      <c r="O1111">
        <v>7.3</v>
      </c>
      <c r="P1111">
        <v>4</v>
      </c>
      <c r="Q1111">
        <v>6</v>
      </c>
      <c r="R1111">
        <v>609828</v>
      </c>
      <c r="S1111">
        <f>Table1[[#This Row],[Revenue]]-Table1[[#This Row],[Operating_Costs]]</f>
        <v>83580</v>
      </c>
      <c r="T1111">
        <v>526248</v>
      </c>
      <c r="U1111">
        <v>33</v>
      </c>
      <c r="V1111">
        <v>54</v>
      </c>
      <c r="W1111">
        <v>8.3000000000000007</v>
      </c>
    </row>
    <row r="1112" spans="1:23" x14ac:dyDescent="0.25">
      <c r="A1112">
        <v>2</v>
      </c>
      <c r="B1112" t="s">
        <v>39</v>
      </c>
      <c r="C1112" s="1">
        <v>44518</v>
      </c>
      <c r="D1112" t="s">
        <v>71</v>
      </c>
      <c r="E1112">
        <v>0</v>
      </c>
      <c r="F1112">
        <v>48</v>
      </c>
      <c r="G1112" t="str">
        <f t="shared" si="25"/>
        <v>41-60</v>
      </c>
      <c r="H1112" t="s">
        <v>23</v>
      </c>
      <c r="I1112" t="s">
        <v>31</v>
      </c>
      <c r="J1112" t="s">
        <v>28</v>
      </c>
      <c r="K1112" t="s">
        <v>33</v>
      </c>
      <c r="L1112">
        <v>1</v>
      </c>
      <c r="M1112">
        <v>1</v>
      </c>
      <c r="N1112">
        <v>2.8</v>
      </c>
      <c r="O1112">
        <v>9.3000000000000007</v>
      </c>
      <c r="P1112">
        <v>5</v>
      </c>
      <c r="Q1112">
        <v>7</v>
      </c>
      <c r="R1112">
        <v>800670</v>
      </c>
      <c r="S1112">
        <f>Table1[[#This Row],[Revenue]]-Table1[[#This Row],[Operating_Costs]]</f>
        <v>257110</v>
      </c>
      <c r="T1112">
        <v>543560</v>
      </c>
      <c r="U1112">
        <v>37</v>
      </c>
      <c r="V1112">
        <v>55</v>
      </c>
      <c r="W1112">
        <v>8.6</v>
      </c>
    </row>
    <row r="1113" spans="1:23" x14ac:dyDescent="0.25">
      <c r="A1113">
        <v>2</v>
      </c>
      <c r="B1113" t="s">
        <v>39</v>
      </c>
      <c r="C1113" s="1">
        <v>44322</v>
      </c>
      <c r="D1113" t="s">
        <v>71</v>
      </c>
      <c r="E1113">
        <v>0</v>
      </c>
      <c r="F1113">
        <v>35</v>
      </c>
      <c r="G1113" t="str">
        <f t="shared" si="25"/>
        <v>21-40</v>
      </c>
      <c r="H1113" t="s">
        <v>35</v>
      </c>
      <c r="I1113" t="s">
        <v>36</v>
      </c>
      <c r="J1113" t="s">
        <v>37</v>
      </c>
      <c r="K1113" t="s">
        <v>26</v>
      </c>
      <c r="L1113">
        <v>1</v>
      </c>
      <c r="M1113">
        <v>1</v>
      </c>
      <c r="N1113">
        <v>6.8</v>
      </c>
      <c r="O1113">
        <v>8.4</v>
      </c>
      <c r="P1113">
        <v>4</v>
      </c>
      <c r="Q1113">
        <v>4</v>
      </c>
      <c r="R1113">
        <v>854364</v>
      </c>
      <c r="S1113">
        <f>Table1[[#This Row],[Revenue]]-Table1[[#This Row],[Operating_Costs]]</f>
        <v>264101</v>
      </c>
      <c r="T1113">
        <v>590263</v>
      </c>
      <c r="U1113">
        <v>31</v>
      </c>
      <c r="V1113">
        <v>57</v>
      </c>
      <c r="W1113">
        <v>8.3000000000000007</v>
      </c>
    </row>
    <row r="1114" spans="1:23" x14ac:dyDescent="0.25">
      <c r="A1114">
        <v>2</v>
      </c>
      <c r="B1114" t="s">
        <v>39</v>
      </c>
      <c r="C1114" s="1">
        <v>44483</v>
      </c>
      <c r="D1114" t="s">
        <v>71</v>
      </c>
      <c r="E1114">
        <v>0</v>
      </c>
      <c r="F1114">
        <v>53</v>
      </c>
      <c r="G1114" t="str">
        <f t="shared" si="25"/>
        <v>41-60</v>
      </c>
      <c r="H1114" t="s">
        <v>23</v>
      </c>
      <c r="I1114" t="s">
        <v>64</v>
      </c>
      <c r="J1114" t="s">
        <v>65</v>
      </c>
      <c r="K1114" t="s">
        <v>26</v>
      </c>
      <c r="L1114">
        <v>1</v>
      </c>
      <c r="M1114">
        <v>1</v>
      </c>
      <c r="N1114">
        <v>2.1</v>
      </c>
      <c r="O1114">
        <v>7.6</v>
      </c>
      <c r="P1114">
        <v>7</v>
      </c>
      <c r="Q1114">
        <v>3</v>
      </c>
      <c r="R1114">
        <v>605604</v>
      </c>
      <c r="S1114">
        <f>Table1[[#This Row],[Revenue]]-Table1[[#This Row],[Operating_Costs]]</f>
        <v>4803</v>
      </c>
      <c r="T1114">
        <v>600801</v>
      </c>
      <c r="U1114">
        <v>32</v>
      </c>
      <c r="V1114">
        <v>55</v>
      </c>
      <c r="W1114">
        <v>12.7</v>
      </c>
    </row>
    <row r="1115" spans="1:23" x14ac:dyDescent="0.25">
      <c r="A1115">
        <v>2</v>
      </c>
      <c r="B1115" t="s">
        <v>39</v>
      </c>
      <c r="C1115" s="1">
        <v>45611</v>
      </c>
      <c r="D1115" t="s">
        <v>71</v>
      </c>
      <c r="E1115">
        <v>0</v>
      </c>
      <c r="F1115">
        <v>40</v>
      </c>
      <c r="G1115" t="str">
        <f t="shared" si="25"/>
        <v>21-40</v>
      </c>
      <c r="H1115" t="s">
        <v>35</v>
      </c>
      <c r="I1115" t="s">
        <v>40</v>
      </c>
      <c r="J1115" t="s">
        <v>41</v>
      </c>
      <c r="K1115" t="s">
        <v>38</v>
      </c>
      <c r="L1115">
        <v>1</v>
      </c>
      <c r="M1115">
        <v>1</v>
      </c>
      <c r="N1115">
        <v>3.7</v>
      </c>
      <c r="O1115">
        <v>9.6</v>
      </c>
      <c r="P1115">
        <v>3</v>
      </c>
      <c r="Q1115">
        <v>7</v>
      </c>
      <c r="R1115">
        <v>627751</v>
      </c>
      <c r="S1115">
        <f>Table1[[#This Row],[Revenue]]-Table1[[#This Row],[Operating_Costs]]</f>
        <v>-14222</v>
      </c>
      <c r="T1115">
        <v>641973</v>
      </c>
      <c r="U1115">
        <v>38</v>
      </c>
      <c r="V1115">
        <v>58</v>
      </c>
      <c r="W1115">
        <v>5.3</v>
      </c>
    </row>
    <row r="1116" spans="1:23" x14ac:dyDescent="0.25">
      <c r="A1116">
        <v>2</v>
      </c>
      <c r="B1116" t="s">
        <v>39</v>
      </c>
      <c r="C1116" s="1">
        <v>44527</v>
      </c>
      <c r="D1116" t="s">
        <v>71</v>
      </c>
      <c r="E1116">
        <v>0</v>
      </c>
      <c r="F1116">
        <v>69</v>
      </c>
      <c r="G1116" t="str">
        <f t="shared" si="25"/>
        <v>61-80</v>
      </c>
      <c r="H1116" t="s">
        <v>23</v>
      </c>
      <c r="I1116" t="s">
        <v>24</v>
      </c>
      <c r="J1116" t="s">
        <v>25</v>
      </c>
      <c r="K1116" t="s">
        <v>42</v>
      </c>
      <c r="L1116">
        <v>1</v>
      </c>
      <c r="M1116">
        <v>1</v>
      </c>
      <c r="N1116">
        <v>2.8</v>
      </c>
      <c r="O1116">
        <v>9.6</v>
      </c>
      <c r="P1116">
        <v>3</v>
      </c>
      <c r="Q1116">
        <v>6</v>
      </c>
      <c r="R1116">
        <v>746128</v>
      </c>
      <c r="S1116">
        <f>Table1[[#This Row],[Revenue]]-Table1[[#This Row],[Operating_Costs]]</f>
        <v>113294</v>
      </c>
      <c r="T1116">
        <v>632834</v>
      </c>
      <c r="U1116">
        <v>31</v>
      </c>
      <c r="V1116">
        <v>56</v>
      </c>
      <c r="W1116">
        <v>13.7</v>
      </c>
    </row>
    <row r="1117" spans="1:23" x14ac:dyDescent="0.25">
      <c r="A1117">
        <v>2</v>
      </c>
      <c r="B1117" t="s">
        <v>39</v>
      </c>
      <c r="C1117" s="1">
        <v>45628</v>
      </c>
      <c r="D1117" t="s">
        <v>71</v>
      </c>
      <c r="E1117">
        <v>0</v>
      </c>
      <c r="F1117">
        <v>39</v>
      </c>
      <c r="G1117" t="str">
        <f t="shared" si="25"/>
        <v>21-40</v>
      </c>
      <c r="H1117" t="s">
        <v>35</v>
      </c>
      <c r="I1117" t="s">
        <v>60</v>
      </c>
      <c r="J1117" t="s">
        <v>59</v>
      </c>
      <c r="K1117" t="s">
        <v>33</v>
      </c>
      <c r="L1117">
        <v>1</v>
      </c>
      <c r="M1117">
        <v>1</v>
      </c>
      <c r="N1117">
        <v>3.3</v>
      </c>
      <c r="O1117">
        <v>8.9</v>
      </c>
      <c r="P1117">
        <v>4</v>
      </c>
      <c r="Q1117">
        <v>4</v>
      </c>
      <c r="R1117">
        <v>644345</v>
      </c>
      <c r="S1117">
        <f>Table1[[#This Row],[Revenue]]-Table1[[#This Row],[Operating_Costs]]</f>
        <v>16242</v>
      </c>
      <c r="T1117">
        <v>628103</v>
      </c>
      <c r="U1117">
        <v>40</v>
      </c>
      <c r="V1117">
        <v>62</v>
      </c>
      <c r="W1117">
        <v>14.4</v>
      </c>
    </row>
    <row r="1118" spans="1:23" x14ac:dyDescent="0.25">
      <c r="A1118">
        <v>2</v>
      </c>
      <c r="B1118" t="s">
        <v>39</v>
      </c>
      <c r="C1118" s="1">
        <v>45075</v>
      </c>
      <c r="D1118" t="s">
        <v>71</v>
      </c>
      <c r="E1118">
        <v>0</v>
      </c>
      <c r="F1118">
        <v>83</v>
      </c>
      <c r="G1118" t="str">
        <f t="shared" si="25"/>
        <v>81+</v>
      </c>
      <c r="H1118" t="s">
        <v>35</v>
      </c>
      <c r="I1118" t="s">
        <v>53</v>
      </c>
      <c r="J1118" t="s">
        <v>54</v>
      </c>
      <c r="K1118" t="s">
        <v>38</v>
      </c>
      <c r="L1118">
        <v>1</v>
      </c>
      <c r="M1118">
        <v>1</v>
      </c>
      <c r="N1118">
        <v>1.7</v>
      </c>
      <c r="O1118">
        <v>9.9</v>
      </c>
      <c r="P1118">
        <v>7</v>
      </c>
      <c r="Q1118">
        <v>7</v>
      </c>
      <c r="R1118">
        <v>721255</v>
      </c>
      <c r="S1118">
        <f>Table1[[#This Row],[Revenue]]-Table1[[#This Row],[Operating_Costs]]</f>
        <v>153351</v>
      </c>
      <c r="T1118">
        <v>567904</v>
      </c>
      <c r="U1118">
        <v>40</v>
      </c>
      <c r="V1118">
        <v>63</v>
      </c>
      <c r="W1118">
        <v>6.5</v>
      </c>
    </row>
    <row r="1119" spans="1:23" x14ac:dyDescent="0.25">
      <c r="A1119">
        <v>2</v>
      </c>
      <c r="B1119" t="s">
        <v>39</v>
      </c>
      <c r="C1119" s="1">
        <v>45443</v>
      </c>
      <c r="D1119" t="s">
        <v>71</v>
      </c>
      <c r="E1119">
        <v>0</v>
      </c>
      <c r="F1119">
        <v>67</v>
      </c>
      <c r="G1119" t="str">
        <f t="shared" si="25"/>
        <v>61-80</v>
      </c>
      <c r="H1119" t="s">
        <v>23</v>
      </c>
      <c r="I1119" t="s">
        <v>31</v>
      </c>
      <c r="J1119" t="s">
        <v>28</v>
      </c>
      <c r="K1119" t="s">
        <v>42</v>
      </c>
      <c r="L1119">
        <v>1</v>
      </c>
      <c r="M1119">
        <v>1</v>
      </c>
      <c r="N1119">
        <v>6.7</v>
      </c>
      <c r="O1119">
        <v>8.4</v>
      </c>
      <c r="P1119">
        <v>7</v>
      </c>
      <c r="Q1119">
        <v>4</v>
      </c>
      <c r="R1119">
        <v>645814</v>
      </c>
      <c r="S1119">
        <f>Table1[[#This Row],[Revenue]]-Table1[[#This Row],[Operating_Costs]]</f>
        <v>143691</v>
      </c>
      <c r="T1119">
        <v>502123</v>
      </c>
      <c r="U1119">
        <v>35</v>
      </c>
      <c r="V1119">
        <v>63</v>
      </c>
      <c r="W1119">
        <v>13.2</v>
      </c>
    </row>
    <row r="1120" spans="1:23" x14ac:dyDescent="0.25">
      <c r="A1120">
        <v>2</v>
      </c>
      <c r="B1120" t="s">
        <v>39</v>
      </c>
      <c r="C1120" s="1">
        <v>44799</v>
      </c>
      <c r="D1120" t="s">
        <v>71</v>
      </c>
      <c r="E1120">
        <v>0</v>
      </c>
      <c r="F1120">
        <v>34</v>
      </c>
      <c r="G1120" t="str">
        <f t="shared" si="25"/>
        <v>21-40</v>
      </c>
      <c r="H1120" t="s">
        <v>35</v>
      </c>
      <c r="I1120" t="s">
        <v>53</v>
      </c>
      <c r="J1120" t="s">
        <v>54</v>
      </c>
      <c r="K1120" t="s">
        <v>33</v>
      </c>
      <c r="L1120">
        <v>1</v>
      </c>
      <c r="M1120">
        <v>1</v>
      </c>
      <c r="N1120">
        <v>6.8</v>
      </c>
      <c r="O1120">
        <v>9.1</v>
      </c>
      <c r="P1120">
        <v>6</v>
      </c>
      <c r="Q1120">
        <v>7</v>
      </c>
      <c r="R1120">
        <v>810931</v>
      </c>
      <c r="S1120">
        <f>Table1[[#This Row],[Revenue]]-Table1[[#This Row],[Operating_Costs]]</f>
        <v>209884</v>
      </c>
      <c r="T1120">
        <v>601047</v>
      </c>
      <c r="U1120">
        <v>38</v>
      </c>
      <c r="V1120">
        <v>55</v>
      </c>
      <c r="W1120">
        <v>8.6</v>
      </c>
    </row>
    <row r="1121" spans="1:23" x14ac:dyDescent="0.25">
      <c r="A1121">
        <v>2</v>
      </c>
      <c r="B1121" t="s">
        <v>39</v>
      </c>
      <c r="C1121" s="1">
        <v>45599</v>
      </c>
      <c r="D1121" t="s">
        <v>71</v>
      </c>
      <c r="E1121">
        <v>0</v>
      </c>
      <c r="F1121">
        <v>81</v>
      </c>
      <c r="G1121" t="str">
        <f t="shared" si="25"/>
        <v>81+</v>
      </c>
      <c r="H1121" t="s">
        <v>23</v>
      </c>
      <c r="I1121" t="s">
        <v>24</v>
      </c>
      <c r="J1121" t="s">
        <v>25</v>
      </c>
      <c r="K1121" t="s">
        <v>26</v>
      </c>
      <c r="L1121">
        <v>1</v>
      </c>
      <c r="M1121">
        <v>1</v>
      </c>
      <c r="N1121">
        <v>3.9</v>
      </c>
      <c r="O1121">
        <v>8.1</v>
      </c>
      <c r="P1121">
        <v>7</v>
      </c>
      <c r="Q1121">
        <v>4</v>
      </c>
      <c r="R1121">
        <v>894101</v>
      </c>
      <c r="S1121">
        <f>Table1[[#This Row],[Revenue]]-Table1[[#This Row],[Operating_Costs]]</f>
        <v>327949</v>
      </c>
      <c r="T1121">
        <v>566152</v>
      </c>
      <c r="U1121">
        <v>33</v>
      </c>
      <c r="V1121">
        <v>66</v>
      </c>
      <c r="W1121">
        <v>12.1</v>
      </c>
    </row>
    <row r="1122" spans="1:23" x14ac:dyDescent="0.25">
      <c r="A1122">
        <v>2</v>
      </c>
      <c r="B1122" t="s">
        <v>39</v>
      </c>
      <c r="C1122" s="1">
        <v>44245</v>
      </c>
      <c r="D1122" t="s">
        <v>71</v>
      </c>
      <c r="E1122">
        <v>0</v>
      </c>
      <c r="F1122">
        <v>55</v>
      </c>
      <c r="G1122" t="str">
        <f t="shared" si="25"/>
        <v>41-60</v>
      </c>
      <c r="H1122" t="s">
        <v>35</v>
      </c>
      <c r="I1122" t="s">
        <v>40</v>
      </c>
      <c r="J1122" t="s">
        <v>41</v>
      </c>
      <c r="K1122" t="s">
        <v>33</v>
      </c>
      <c r="L1122">
        <v>1</v>
      </c>
      <c r="M1122">
        <v>1</v>
      </c>
      <c r="N1122">
        <v>4.4000000000000004</v>
      </c>
      <c r="O1122">
        <v>9.5</v>
      </c>
      <c r="P1122">
        <v>6</v>
      </c>
      <c r="Q1122">
        <v>6</v>
      </c>
      <c r="R1122">
        <v>613481</v>
      </c>
      <c r="S1122">
        <f>Table1[[#This Row],[Revenue]]-Table1[[#This Row],[Operating_Costs]]</f>
        <v>24160</v>
      </c>
      <c r="T1122">
        <v>589321</v>
      </c>
      <c r="U1122">
        <v>35</v>
      </c>
      <c r="V1122">
        <v>63</v>
      </c>
      <c r="W1122">
        <v>10.4</v>
      </c>
    </row>
    <row r="1123" spans="1:23" x14ac:dyDescent="0.25">
      <c r="A1123">
        <v>2</v>
      </c>
      <c r="B1123" t="s">
        <v>39</v>
      </c>
      <c r="C1123" s="1">
        <v>44400</v>
      </c>
      <c r="D1123" t="s">
        <v>71</v>
      </c>
      <c r="E1123">
        <v>0</v>
      </c>
      <c r="F1123">
        <v>63</v>
      </c>
      <c r="G1123" t="str">
        <f t="shared" si="25"/>
        <v>61-80</v>
      </c>
      <c r="H1123" t="s">
        <v>23</v>
      </c>
      <c r="I1123" t="s">
        <v>31</v>
      </c>
      <c r="J1123" t="s">
        <v>28</v>
      </c>
      <c r="K1123" t="s">
        <v>29</v>
      </c>
      <c r="L1123">
        <v>1</v>
      </c>
      <c r="M1123">
        <v>1</v>
      </c>
      <c r="N1123">
        <v>4</v>
      </c>
      <c r="O1123">
        <v>9.5</v>
      </c>
      <c r="P1123">
        <v>3</v>
      </c>
      <c r="Q1123">
        <v>6</v>
      </c>
      <c r="R1123">
        <v>694232</v>
      </c>
      <c r="S1123">
        <f>Table1[[#This Row],[Revenue]]-Table1[[#This Row],[Operating_Costs]]</f>
        <v>104237</v>
      </c>
      <c r="T1123">
        <v>589995</v>
      </c>
      <c r="U1123">
        <v>30</v>
      </c>
      <c r="V1123">
        <v>57</v>
      </c>
      <c r="W1123">
        <v>9.1999999999999993</v>
      </c>
    </row>
    <row r="1124" spans="1:23" x14ac:dyDescent="0.25">
      <c r="A1124">
        <v>2</v>
      </c>
      <c r="B1124" t="s">
        <v>39</v>
      </c>
      <c r="C1124" s="1">
        <v>44660</v>
      </c>
      <c r="D1124" t="s">
        <v>71</v>
      </c>
      <c r="E1124">
        <v>0</v>
      </c>
      <c r="F1124">
        <v>37</v>
      </c>
      <c r="G1124" t="str">
        <f t="shared" si="25"/>
        <v>21-40</v>
      </c>
      <c r="H1124" t="s">
        <v>23</v>
      </c>
      <c r="I1124" t="s">
        <v>24</v>
      </c>
      <c r="J1124" t="s">
        <v>25</v>
      </c>
      <c r="K1124" t="s">
        <v>26</v>
      </c>
      <c r="L1124">
        <v>1</v>
      </c>
      <c r="M1124">
        <v>1</v>
      </c>
      <c r="N1124">
        <v>2.6</v>
      </c>
      <c r="O1124">
        <v>8.5</v>
      </c>
      <c r="P1124">
        <v>3</v>
      </c>
      <c r="Q1124">
        <v>3</v>
      </c>
      <c r="R1124">
        <v>681934</v>
      </c>
      <c r="S1124">
        <f>Table1[[#This Row],[Revenue]]-Table1[[#This Row],[Operating_Costs]]</f>
        <v>101195</v>
      </c>
      <c r="T1124">
        <v>580739</v>
      </c>
      <c r="U1124">
        <v>39</v>
      </c>
      <c r="V1124">
        <v>60</v>
      </c>
      <c r="W1124">
        <v>14.8</v>
      </c>
    </row>
    <row r="1125" spans="1:23" x14ac:dyDescent="0.25">
      <c r="A1125">
        <v>2</v>
      </c>
      <c r="B1125" t="s">
        <v>39</v>
      </c>
      <c r="C1125" s="1">
        <v>44717</v>
      </c>
      <c r="D1125" t="s">
        <v>71</v>
      </c>
      <c r="E1125">
        <v>0</v>
      </c>
      <c r="F1125">
        <v>50</v>
      </c>
      <c r="G1125" t="str">
        <f t="shared" si="25"/>
        <v>41-60</v>
      </c>
      <c r="H1125" t="s">
        <v>35</v>
      </c>
      <c r="I1125" t="s">
        <v>40</v>
      </c>
      <c r="J1125" t="s">
        <v>41</v>
      </c>
      <c r="K1125" t="s">
        <v>33</v>
      </c>
      <c r="L1125">
        <v>1</v>
      </c>
      <c r="M1125">
        <v>1</v>
      </c>
      <c r="N1125">
        <v>4.3</v>
      </c>
      <c r="O1125">
        <v>7.4</v>
      </c>
      <c r="P1125">
        <v>3</v>
      </c>
      <c r="Q1125">
        <v>5</v>
      </c>
      <c r="R1125">
        <v>667739</v>
      </c>
      <c r="S1125">
        <f>Table1[[#This Row],[Revenue]]-Table1[[#This Row],[Operating_Costs]]</f>
        <v>62979</v>
      </c>
      <c r="T1125">
        <v>604760</v>
      </c>
      <c r="U1125">
        <v>36</v>
      </c>
      <c r="V1125">
        <v>57</v>
      </c>
      <c r="W1125">
        <v>6.1</v>
      </c>
    </row>
    <row r="1126" spans="1:23" x14ac:dyDescent="0.25">
      <c r="A1126">
        <v>2</v>
      </c>
      <c r="B1126" t="s">
        <v>39</v>
      </c>
      <c r="C1126" s="1">
        <v>45028</v>
      </c>
      <c r="D1126" t="s">
        <v>71</v>
      </c>
      <c r="E1126">
        <v>0</v>
      </c>
      <c r="F1126">
        <v>29</v>
      </c>
      <c r="G1126" t="str">
        <f t="shared" si="25"/>
        <v>21-40</v>
      </c>
      <c r="H1126" t="s">
        <v>23</v>
      </c>
      <c r="I1126" t="s">
        <v>24</v>
      </c>
      <c r="J1126" t="s">
        <v>25</v>
      </c>
      <c r="K1126" t="s">
        <v>38</v>
      </c>
      <c r="L1126">
        <v>1</v>
      </c>
      <c r="M1126">
        <v>1</v>
      </c>
      <c r="N1126">
        <v>4.0999999999999996</v>
      </c>
      <c r="O1126">
        <v>9</v>
      </c>
      <c r="P1126">
        <v>5</v>
      </c>
      <c r="Q1126">
        <v>7</v>
      </c>
      <c r="R1126">
        <v>669106</v>
      </c>
      <c r="S1126">
        <f>Table1[[#This Row],[Revenue]]-Table1[[#This Row],[Operating_Costs]]</f>
        <v>116148</v>
      </c>
      <c r="T1126">
        <v>552958</v>
      </c>
      <c r="U1126">
        <v>35</v>
      </c>
      <c r="V1126">
        <v>66</v>
      </c>
      <c r="W1126">
        <v>10.8</v>
      </c>
    </row>
    <row r="1127" spans="1:23" x14ac:dyDescent="0.25">
      <c r="A1127">
        <v>2</v>
      </c>
      <c r="B1127" t="s">
        <v>39</v>
      </c>
      <c r="C1127" s="1">
        <v>44871</v>
      </c>
      <c r="D1127" t="s">
        <v>71</v>
      </c>
      <c r="E1127">
        <v>0</v>
      </c>
      <c r="F1127">
        <v>37</v>
      </c>
      <c r="G1127" t="str">
        <f t="shared" si="25"/>
        <v>21-40</v>
      </c>
      <c r="H1127" t="s">
        <v>23</v>
      </c>
      <c r="I1127" t="s">
        <v>31</v>
      </c>
      <c r="J1127" t="s">
        <v>28</v>
      </c>
      <c r="K1127" t="s">
        <v>29</v>
      </c>
      <c r="L1127">
        <v>1</v>
      </c>
      <c r="M1127">
        <v>1</v>
      </c>
      <c r="N1127">
        <v>5.3</v>
      </c>
      <c r="O1127">
        <v>8.9</v>
      </c>
      <c r="P1127">
        <v>3</v>
      </c>
      <c r="Q1127">
        <v>5</v>
      </c>
      <c r="R1127">
        <v>825798</v>
      </c>
      <c r="S1127">
        <f>Table1[[#This Row],[Revenue]]-Table1[[#This Row],[Operating_Costs]]</f>
        <v>240611</v>
      </c>
      <c r="T1127">
        <v>585187</v>
      </c>
      <c r="U1127">
        <v>32</v>
      </c>
      <c r="V1127">
        <v>61</v>
      </c>
      <c r="W1127">
        <v>6.4</v>
      </c>
    </row>
    <row r="1128" spans="1:23" x14ac:dyDescent="0.25">
      <c r="A1128">
        <v>2</v>
      </c>
      <c r="B1128" t="s">
        <v>39</v>
      </c>
      <c r="C1128" s="1">
        <v>45164</v>
      </c>
      <c r="D1128" t="s">
        <v>71</v>
      </c>
      <c r="E1128">
        <v>0</v>
      </c>
      <c r="F1128">
        <v>54</v>
      </c>
      <c r="G1128" t="str">
        <f t="shared" si="25"/>
        <v>41-60</v>
      </c>
      <c r="H1128" t="s">
        <v>23</v>
      </c>
      <c r="I1128" t="s">
        <v>24</v>
      </c>
      <c r="J1128" t="s">
        <v>25</v>
      </c>
      <c r="K1128" t="s">
        <v>42</v>
      </c>
      <c r="L1128">
        <v>1</v>
      </c>
      <c r="M1128">
        <v>1</v>
      </c>
      <c r="N1128">
        <v>2.9</v>
      </c>
      <c r="O1128">
        <v>8.8000000000000007</v>
      </c>
      <c r="P1128">
        <v>4</v>
      </c>
      <c r="Q1128">
        <v>7</v>
      </c>
      <c r="R1128">
        <v>656544</v>
      </c>
      <c r="S1128">
        <f>Table1[[#This Row],[Revenue]]-Table1[[#This Row],[Operating_Costs]]</f>
        <v>72292</v>
      </c>
      <c r="T1128">
        <v>584252</v>
      </c>
      <c r="U1128">
        <v>37</v>
      </c>
      <c r="V1128">
        <v>56</v>
      </c>
      <c r="W1128">
        <v>5.8</v>
      </c>
    </row>
    <row r="1129" spans="1:23" x14ac:dyDescent="0.25">
      <c r="A1129">
        <v>2</v>
      </c>
      <c r="B1129" t="s">
        <v>39</v>
      </c>
      <c r="C1129" s="1">
        <v>44549</v>
      </c>
      <c r="D1129" t="s">
        <v>71</v>
      </c>
      <c r="E1129">
        <v>0</v>
      </c>
      <c r="F1129">
        <v>35</v>
      </c>
      <c r="G1129" t="str">
        <f t="shared" si="25"/>
        <v>21-40</v>
      </c>
      <c r="H1129" t="s">
        <v>23</v>
      </c>
      <c r="I1129" t="s">
        <v>46</v>
      </c>
      <c r="J1129" t="s">
        <v>47</v>
      </c>
      <c r="K1129" t="s">
        <v>42</v>
      </c>
      <c r="L1129">
        <v>1</v>
      </c>
      <c r="M1129">
        <v>1</v>
      </c>
      <c r="N1129">
        <v>4</v>
      </c>
      <c r="O1129">
        <v>7.7</v>
      </c>
      <c r="P1129">
        <v>5</v>
      </c>
      <c r="Q1129">
        <v>7</v>
      </c>
      <c r="R1129">
        <v>760270</v>
      </c>
      <c r="S1129">
        <f>Table1[[#This Row],[Revenue]]-Table1[[#This Row],[Operating_Costs]]</f>
        <v>249330</v>
      </c>
      <c r="T1129">
        <v>510940</v>
      </c>
      <c r="U1129">
        <v>37</v>
      </c>
      <c r="V1129">
        <v>62</v>
      </c>
      <c r="W1129">
        <v>14.4</v>
      </c>
    </row>
    <row r="1130" spans="1:23" x14ac:dyDescent="0.25">
      <c r="A1130">
        <v>2</v>
      </c>
      <c r="B1130" t="s">
        <v>39</v>
      </c>
      <c r="C1130" s="1">
        <v>44981</v>
      </c>
      <c r="D1130" t="s">
        <v>71</v>
      </c>
      <c r="E1130">
        <v>0</v>
      </c>
      <c r="F1130">
        <v>50</v>
      </c>
      <c r="G1130" t="str">
        <f t="shared" si="25"/>
        <v>41-60</v>
      </c>
      <c r="H1130" t="s">
        <v>35</v>
      </c>
      <c r="I1130" t="s">
        <v>58</v>
      </c>
      <c r="J1130" t="s">
        <v>59</v>
      </c>
      <c r="K1130" t="s">
        <v>26</v>
      </c>
      <c r="L1130">
        <v>1</v>
      </c>
      <c r="M1130">
        <v>1</v>
      </c>
      <c r="N1130">
        <v>2</v>
      </c>
      <c r="O1130">
        <v>9.4</v>
      </c>
      <c r="P1130">
        <v>7</v>
      </c>
      <c r="Q1130">
        <v>4</v>
      </c>
      <c r="R1130">
        <v>752999</v>
      </c>
      <c r="S1130">
        <f>Table1[[#This Row],[Revenue]]-Table1[[#This Row],[Operating_Costs]]</f>
        <v>217907</v>
      </c>
      <c r="T1130">
        <v>535092</v>
      </c>
      <c r="U1130">
        <v>37</v>
      </c>
      <c r="V1130">
        <v>61</v>
      </c>
      <c r="W1130">
        <v>7.5</v>
      </c>
    </row>
    <row r="1131" spans="1:23" x14ac:dyDescent="0.25">
      <c r="A1131">
        <v>2</v>
      </c>
      <c r="B1131" t="s">
        <v>39</v>
      </c>
      <c r="C1131" s="1">
        <v>45053</v>
      </c>
      <c r="D1131" t="s">
        <v>71</v>
      </c>
      <c r="E1131">
        <v>0</v>
      </c>
      <c r="F1131">
        <v>80</v>
      </c>
      <c r="G1131" t="str">
        <f t="shared" si="25"/>
        <v>61-80</v>
      </c>
      <c r="H1131" t="s">
        <v>35</v>
      </c>
      <c r="I1131" t="s">
        <v>40</v>
      </c>
      <c r="J1131" t="s">
        <v>41</v>
      </c>
      <c r="K1131" t="s">
        <v>42</v>
      </c>
      <c r="L1131">
        <v>1</v>
      </c>
      <c r="M1131">
        <v>1</v>
      </c>
      <c r="N1131">
        <v>1.1000000000000001</v>
      </c>
      <c r="O1131">
        <v>7.7</v>
      </c>
      <c r="P1131">
        <v>4</v>
      </c>
      <c r="Q1131">
        <v>4</v>
      </c>
      <c r="R1131">
        <v>773491</v>
      </c>
      <c r="S1131">
        <f>Table1[[#This Row],[Revenue]]-Table1[[#This Row],[Operating_Costs]]</f>
        <v>251734</v>
      </c>
      <c r="T1131">
        <v>521757</v>
      </c>
      <c r="U1131">
        <v>37</v>
      </c>
      <c r="V1131">
        <v>61</v>
      </c>
      <c r="W1131">
        <v>7.9</v>
      </c>
    </row>
    <row r="1132" spans="1:23" x14ac:dyDescent="0.25">
      <c r="A1132">
        <v>2</v>
      </c>
      <c r="B1132" t="s">
        <v>39</v>
      </c>
      <c r="C1132" s="1">
        <v>45150</v>
      </c>
      <c r="D1132" t="s">
        <v>71</v>
      </c>
      <c r="E1132">
        <v>0</v>
      </c>
      <c r="F1132">
        <v>46</v>
      </c>
      <c r="G1132" t="str">
        <f t="shared" si="25"/>
        <v>41-60</v>
      </c>
      <c r="H1132" t="s">
        <v>23</v>
      </c>
      <c r="I1132" t="s">
        <v>24</v>
      </c>
      <c r="J1132" t="s">
        <v>25</v>
      </c>
      <c r="K1132" t="s">
        <v>26</v>
      </c>
      <c r="L1132">
        <v>1</v>
      </c>
      <c r="M1132">
        <v>1</v>
      </c>
      <c r="N1132">
        <v>6.1</v>
      </c>
      <c r="O1132">
        <v>9</v>
      </c>
      <c r="P1132">
        <v>7</v>
      </c>
      <c r="Q1132">
        <v>3</v>
      </c>
      <c r="R1132">
        <v>891919</v>
      </c>
      <c r="S1132">
        <f>Table1[[#This Row],[Revenue]]-Table1[[#This Row],[Operating_Costs]]</f>
        <v>320987</v>
      </c>
      <c r="T1132">
        <v>570932</v>
      </c>
      <c r="U1132">
        <v>40</v>
      </c>
      <c r="V1132">
        <v>63</v>
      </c>
      <c r="W1132">
        <v>6</v>
      </c>
    </row>
    <row r="1133" spans="1:23" x14ac:dyDescent="0.25">
      <c r="A1133">
        <v>2</v>
      </c>
      <c r="B1133" t="s">
        <v>39</v>
      </c>
      <c r="C1133" s="1">
        <v>44806</v>
      </c>
      <c r="D1133" t="s">
        <v>71</v>
      </c>
      <c r="E1133">
        <v>0</v>
      </c>
      <c r="F1133">
        <v>69</v>
      </c>
      <c r="G1133" t="str">
        <f t="shared" si="25"/>
        <v>61-80</v>
      </c>
      <c r="H1133" t="s">
        <v>23</v>
      </c>
      <c r="I1133" t="s">
        <v>24</v>
      </c>
      <c r="J1133" t="s">
        <v>25</v>
      </c>
      <c r="K1133" t="s">
        <v>29</v>
      </c>
      <c r="L1133">
        <v>1</v>
      </c>
      <c r="M1133">
        <v>1</v>
      </c>
      <c r="N1133">
        <v>5.9</v>
      </c>
      <c r="O1133">
        <v>9.9</v>
      </c>
      <c r="P1133">
        <v>3</v>
      </c>
      <c r="Q1133">
        <v>3</v>
      </c>
      <c r="R1133">
        <v>668558</v>
      </c>
      <c r="S1133">
        <f>Table1[[#This Row],[Revenue]]-Table1[[#This Row],[Operating_Costs]]</f>
        <v>51851</v>
      </c>
      <c r="T1133">
        <v>616707</v>
      </c>
      <c r="U1133">
        <v>40</v>
      </c>
      <c r="V1133">
        <v>59</v>
      </c>
      <c r="W1133">
        <v>9.1999999999999993</v>
      </c>
    </row>
    <row r="1134" spans="1:23" x14ac:dyDescent="0.25">
      <c r="A1134">
        <v>2</v>
      </c>
      <c r="B1134" t="s">
        <v>39</v>
      </c>
      <c r="C1134" s="1">
        <v>45135</v>
      </c>
      <c r="D1134" t="s">
        <v>71</v>
      </c>
      <c r="E1134">
        <v>0</v>
      </c>
      <c r="F1134">
        <v>60</v>
      </c>
      <c r="G1134" t="str">
        <f t="shared" si="25"/>
        <v>41-60</v>
      </c>
      <c r="H1134" t="s">
        <v>35</v>
      </c>
      <c r="I1134" t="s">
        <v>61</v>
      </c>
      <c r="J1134" t="s">
        <v>62</v>
      </c>
      <c r="K1134" t="s">
        <v>26</v>
      </c>
      <c r="L1134">
        <v>1</v>
      </c>
      <c r="M1134">
        <v>1</v>
      </c>
      <c r="N1134">
        <v>2.2999999999999998</v>
      </c>
      <c r="O1134">
        <v>8</v>
      </c>
      <c r="P1134">
        <v>3</v>
      </c>
      <c r="Q1134">
        <v>3</v>
      </c>
      <c r="R1134">
        <v>872372</v>
      </c>
      <c r="S1134">
        <f>Table1[[#This Row],[Revenue]]-Table1[[#This Row],[Operating_Costs]]</f>
        <v>316892</v>
      </c>
      <c r="T1134">
        <v>555480</v>
      </c>
      <c r="U1134">
        <v>40</v>
      </c>
      <c r="V1134">
        <v>64</v>
      </c>
      <c r="W1134">
        <v>7</v>
      </c>
    </row>
    <row r="1135" spans="1:23" x14ac:dyDescent="0.25">
      <c r="A1135">
        <v>2</v>
      </c>
      <c r="B1135" t="s">
        <v>39</v>
      </c>
      <c r="C1135" s="1">
        <v>45582</v>
      </c>
      <c r="D1135" t="s">
        <v>71</v>
      </c>
      <c r="E1135">
        <v>0</v>
      </c>
      <c r="F1135">
        <v>79</v>
      </c>
      <c r="G1135" t="str">
        <f t="shared" si="25"/>
        <v>61-80</v>
      </c>
      <c r="H1135" t="s">
        <v>35</v>
      </c>
      <c r="I1135" t="s">
        <v>58</v>
      </c>
      <c r="J1135" t="s">
        <v>59</v>
      </c>
      <c r="K1135" t="s">
        <v>42</v>
      </c>
      <c r="L1135">
        <v>1</v>
      </c>
      <c r="M1135">
        <v>1</v>
      </c>
      <c r="N1135">
        <v>4.5</v>
      </c>
      <c r="O1135">
        <v>9.1</v>
      </c>
      <c r="P1135">
        <v>4</v>
      </c>
      <c r="Q1135">
        <v>6</v>
      </c>
      <c r="R1135">
        <v>751689</v>
      </c>
      <c r="S1135">
        <f>Table1[[#This Row],[Revenue]]-Table1[[#This Row],[Operating_Costs]]</f>
        <v>138154</v>
      </c>
      <c r="T1135">
        <v>613535</v>
      </c>
      <c r="U1135">
        <v>36</v>
      </c>
      <c r="V1135">
        <v>65</v>
      </c>
      <c r="W1135">
        <v>12.1</v>
      </c>
    </row>
    <row r="1136" spans="1:23" x14ac:dyDescent="0.25">
      <c r="A1136">
        <v>2</v>
      </c>
      <c r="B1136" t="s">
        <v>39</v>
      </c>
      <c r="C1136" s="1">
        <v>45622</v>
      </c>
      <c r="D1136" t="s">
        <v>71</v>
      </c>
      <c r="E1136">
        <v>0</v>
      </c>
      <c r="F1136">
        <v>83</v>
      </c>
      <c r="G1136" t="str">
        <f t="shared" si="25"/>
        <v>81+</v>
      </c>
      <c r="H1136" t="s">
        <v>35</v>
      </c>
      <c r="I1136" t="s">
        <v>55</v>
      </c>
      <c r="J1136" t="s">
        <v>56</v>
      </c>
      <c r="K1136" t="s">
        <v>42</v>
      </c>
      <c r="L1136">
        <v>1</v>
      </c>
      <c r="M1136">
        <v>1</v>
      </c>
      <c r="N1136">
        <v>6.2</v>
      </c>
      <c r="O1136">
        <v>8.8000000000000007</v>
      </c>
      <c r="P1136">
        <v>5</v>
      </c>
      <c r="Q1136">
        <v>6</v>
      </c>
      <c r="R1136">
        <v>871750</v>
      </c>
      <c r="S1136">
        <f>Table1[[#This Row],[Revenue]]-Table1[[#This Row],[Operating_Costs]]</f>
        <v>248113</v>
      </c>
      <c r="T1136">
        <v>623637</v>
      </c>
      <c r="U1136">
        <v>39</v>
      </c>
      <c r="V1136">
        <v>54</v>
      </c>
      <c r="W1136">
        <v>5.9</v>
      </c>
    </row>
    <row r="1137" spans="1:23" x14ac:dyDescent="0.25">
      <c r="A1137">
        <v>2</v>
      </c>
      <c r="B1137" t="s">
        <v>39</v>
      </c>
      <c r="C1137" s="1">
        <v>45161</v>
      </c>
      <c r="D1137" t="s">
        <v>71</v>
      </c>
      <c r="E1137">
        <v>0</v>
      </c>
      <c r="F1137">
        <v>43</v>
      </c>
      <c r="G1137" t="str">
        <f t="shared" si="25"/>
        <v>41-60</v>
      </c>
      <c r="H1137" t="s">
        <v>35</v>
      </c>
      <c r="I1137" t="s">
        <v>60</v>
      </c>
      <c r="J1137" t="s">
        <v>59</v>
      </c>
      <c r="K1137" t="s">
        <v>29</v>
      </c>
      <c r="L1137">
        <v>1</v>
      </c>
      <c r="M1137">
        <v>1</v>
      </c>
      <c r="N1137">
        <v>3.1</v>
      </c>
      <c r="O1137">
        <v>9.8000000000000007</v>
      </c>
      <c r="P1137">
        <v>7</v>
      </c>
      <c r="Q1137">
        <v>7</v>
      </c>
      <c r="R1137">
        <v>744737</v>
      </c>
      <c r="S1137">
        <f>Table1[[#This Row],[Revenue]]-Table1[[#This Row],[Operating_Costs]]</f>
        <v>150557</v>
      </c>
      <c r="T1137">
        <v>594180</v>
      </c>
      <c r="U1137">
        <v>40</v>
      </c>
      <c r="V1137">
        <v>60</v>
      </c>
      <c r="W1137">
        <v>9.3000000000000007</v>
      </c>
    </row>
    <row r="1138" spans="1:23" x14ac:dyDescent="0.25">
      <c r="A1138">
        <v>2</v>
      </c>
      <c r="B1138" t="s">
        <v>39</v>
      </c>
      <c r="C1138" s="1">
        <v>44747</v>
      </c>
      <c r="D1138" t="s">
        <v>71</v>
      </c>
      <c r="E1138">
        <v>0</v>
      </c>
      <c r="F1138">
        <v>31</v>
      </c>
      <c r="G1138" t="str">
        <f t="shared" si="25"/>
        <v>21-40</v>
      </c>
      <c r="H1138" t="s">
        <v>23</v>
      </c>
      <c r="I1138" t="s">
        <v>67</v>
      </c>
      <c r="J1138" t="s">
        <v>68</v>
      </c>
      <c r="K1138" t="s">
        <v>29</v>
      </c>
      <c r="L1138">
        <v>1</v>
      </c>
      <c r="M1138">
        <v>1</v>
      </c>
      <c r="N1138">
        <v>5.5</v>
      </c>
      <c r="O1138">
        <v>9.1</v>
      </c>
      <c r="P1138">
        <v>6</v>
      </c>
      <c r="Q1138">
        <v>7</v>
      </c>
      <c r="R1138">
        <v>882453</v>
      </c>
      <c r="S1138">
        <f>Table1[[#This Row],[Revenue]]-Table1[[#This Row],[Operating_Costs]]</f>
        <v>255566</v>
      </c>
      <c r="T1138">
        <v>626887</v>
      </c>
      <c r="U1138">
        <v>34</v>
      </c>
      <c r="V1138">
        <v>63</v>
      </c>
      <c r="W1138">
        <v>8.4</v>
      </c>
    </row>
    <row r="1139" spans="1:23" x14ac:dyDescent="0.25">
      <c r="A1139">
        <v>2</v>
      </c>
      <c r="B1139" t="s">
        <v>39</v>
      </c>
      <c r="C1139" s="1">
        <v>45067</v>
      </c>
      <c r="D1139" t="s">
        <v>71</v>
      </c>
      <c r="E1139">
        <v>0</v>
      </c>
      <c r="F1139">
        <v>49</v>
      </c>
      <c r="G1139" t="str">
        <f t="shared" si="25"/>
        <v>41-60</v>
      </c>
      <c r="H1139" t="s">
        <v>23</v>
      </c>
      <c r="I1139" t="s">
        <v>24</v>
      </c>
      <c r="J1139" t="s">
        <v>25</v>
      </c>
      <c r="K1139" t="s">
        <v>26</v>
      </c>
      <c r="L1139">
        <v>1</v>
      </c>
      <c r="M1139">
        <v>1</v>
      </c>
      <c r="N1139">
        <v>5</v>
      </c>
      <c r="O1139">
        <v>9.5</v>
      </c>
      <c r="P1139">
        <v>7</v>
      </c>
      <c r="Q1139">
        <v>7</v>
      </c>
      <c r="R1139">
        <v>768914</v>
      </c>
      <c r="S1139">
        <f>Table1[[#This Row],[Revenue]]-Table1[[#This Row],[Operating_Costs]]</f>
        <v>138086</v>
      </c>
      <c r="T1139">
        <v>630828</v>
      </c>
      <c r="U1139">
        <v>37</v>
      </c>
      <c r="V1139">
        <v>55</v>
      </c>
      <c r="W1139">
        <v>6.9</v>
      </c>
    </row>
    <row r="1140" spans="1:23" x14ac:dyDescent="0.25">
      <c r="A1140">
        <v>2</v>
      </c>
      <c r="B1140" t="s">
        <v>39</v>
      </c>
      <c r="C1140" s="1">
        <v>44548</v>
      </c>
      <c r="D1140" t="s">
        <v>71</v>
      </c>
      <c r="E1140">
        <v>0</v>
      </c>
      <c r="F1140">
        <v>82</v>
      </c>
      <c r="G1140" t="str">
        <f t="shared" si="25"/>
        <v>81+</v>
      </c>
      <c r="H1140" t="s">
        <v>35</v>
      </c>
      <c r="I1140" t="s">
        <v>64</v>
      </c>
      <c r="J1140" t="s">
        <v>65</v>
      </c>
      <c r="K1140" t="s">
        <v>26</v>
      </c>
      <c r="L1140">
        <v>1</v>
      </c>
      <c r="M1140">
        <v>1</v>
      </c>
      <c r="N1140">
        <v>2.8</v>
      </c>
      <c r="O1140">
        <v>8.8000000000000007</v>
      </c>
      <c r="P1140">
        <v>6</v>
      </c>
      <c r="Q1140">
        <v>3</v>
      </c>
      <c r="R1140">
        <v>622907</v>
      </c>
      <c r="S1140">
        <f>Table1[[#This Row],[Revenue]]-Table1[[#This Row],[Operating_Costs]]</f>
        <v>78824</v>
      </c>
      <c r="T1140">
        <v>544083</v>
      </c>
      <c r="U1140">
        <v>30</v>
      </c>
      <c r="V1140">
        <v>55</v>
      </c>
      <c r="W1140">
        <v>7.1</v>
      </c>
    </row>
    <row r="1141" spans="1:23" x14ac:dyDescent="0.25">
      <c r="A1141">
        <v>2</v>
      </c>
      <c r="B1141" t="s">
        <v>39</v>
      </c>
      <c r="C1141" s="1">
        <v>44827</v>
      </c>
      <c r="D1141" t="s">
        <v>71</v>
      </c>
      <c r="E1141">
        <v>0</v>
      </c>
      <c r="F1141">
        <v>32</v>
      </c>
      <c r="G1141" t="str">
        <f t="shared" si="25"/>
        <v>21-40</v>
      </c>
      <c r="H1141" t="s">
        <v>35</v>
      </c>
      <c r="I1141" t="s">
        <v>61</v>
      </c>
      <c r="J1141" t="s">
        <v>62</v>
      </c>
      <c r="K1141" t="s">
        <v>26</v>
      </c>
      <c r="L1141">
        <v>1</v>
      </c>
      <c r="M1141">
        <v>1</v>
      </c>
      <c r="N1141">
        <v>1.1000000000000001</v>
      </c>
      <c r="O1141">
        <v>8.9</v>
      </c>
      <c r="P1141">
        <v>7</v>
      </c>
      <c r="Q1141">
        <v>5</v>
      </c>
      <c r="R1141">
        <v>713692</v>
      </c>
      <c r="S1141">
        <f>Table1[[#This Row],[Revenue]]-Table1[[#This Row],[Operating_Costs]]</f>
        <v>111811</v>
      </c>
      <c r="T1141">
        <v>601881</v>
      </c>
      <c r="U1141">
        <v>33</v>
      </c>
      <c r="V1141">
        <v>62</v>
      </c>
      <c r="W1141">
        <v>12.7</v>
      </c>
    </row>
    <row r="1142" spans="1:23" x14ac:dyDescent="0.25">
      <c r="A1142">
        <v>2</v>
      </c>
      <c r="B1142" t="s">
        <v>39</v>
      </c>
      <c r="C1142" s="1">
        <v>44262</v>
      </c>
      <c r="D1142" t="s">
        <v>71</v>
      </c>
      <c r="E1142">
        <v>0</v>
      </c>
      <c r="F1142">
        <v>64</v>
      </c>
      <c r="G1142" t="str">
        <f t="shared" si="25"/>
        <v>61-80</v>
      </c>
      <c r="H1142" t="s">
        <v>35</v>
      </c>
      <c r="I1142" t="s">
        <v>55</v>
      </c>
      <c r="J1142" t="s">
        <v>56</v>
      </c>
      <c r="K1142" t="s">
        <v>26</v>
      </c>
      <c r="L1142">
        <v>1</v>
      </c>
      <c r="M1142">
        <v>1</v>
      </c>
      <c r="N1142">
        <v>1.8</v>
      </c>
      <c r="O1142">
        <v>9.5</v>
      </c>
      <c r="P1142">
        <v>6</v>
      </c>
      <c r="Q1142">
        <v>7</v>
      </c>
      <c r="R1142">
        <v>664298</v>
      </c>
      <c r="S1142">
        <f>Table1[[#This Row],[Revenue]]-Table1[[#This Row],[Operating_Costs]]</f>
        <v>106830</v>
      </c>
      <c r="T1142">
        <v>557468</v>
      </c>
      <c r="U1142">
        <v>38</v>
      </c>
      <c r="V1142">
        <v>64</v>
      </c>
      <c r="W1142">
        <v>13.9</v>
      </c>
    </row>
    <row r="1143" spans="1:23" x14ac:dyDescent="0.25">
      <c r="A1143">
        <v>2</v>
      </c>
      <c r="B1143" t="s">
        <v>39</v>
      </c>
      <c r="C1143" s="1">
        <v>44222</v>
      </c>
      <c r="D1143" t="s">
        <v>71</v>
      </c>
      <c r="E1143">
        <v>0</v>
      </c>
      <c r="F1143">
        <v>51</v>
      </c>
      <c r="G1143" t="str">
        <f t="shared" si="25"/>
        <v>41-60</v>
      </c>
      <c r="H1143" t="s">
        <v>23</v>
      </c>
      <c r="I1143" t="s">
        <v>40</v>
      </c>
      <c r="J1143" t="s">
        <v>41</v>
      </c>
      <c r="K1143" t="s">
        <v>42</v>
      </c>
      <c r="L1143">
        <v>1</v>
      </c>
      <c r="M1143">
        <v>1</v>
      </c>
      <c r="N1143">
        <v>5.3</v>
      </c>
      <c r="O1143">
        <v>10</v>
      </c>
      <c r="P1143">
        <v>3</v>
      </c>
      <c r="Q1143">
        <v>5</v>
      </c>
      <c r="R1143">
        <v>839013</v>
      </c>
      <c r="S1143">
        <f>Table1[[#This Row],[Revenue]]-Table1[[#This Row],[Operating_Costs]]</f>
        <v>318369</v>
      </c>
      <c r="T1143">
        <v>520644</v>
      </c>
      <c r="U1143">
        <v>40</v>
      </c>
      <c r="V1143">
        <v>64</v>
      </c>
      <c r="W1143">
        <v>5</v>
      </c>
    </row>
    <row r="1144" spans="1:23" x14ac:dyDescent="0.25">
      <c r="A1144">
        <v>3</v>
      </c>
      <c r="B1144" t="s">
        <v>57</v>
      </c>
      <c r="C1144" s="1">
        <v>45072</v>
      </c>
      <c r="D1144" t="s">
        <v>71</v>
      </c>
      <c r="E1144">
        <v>0</v>
      </c>
      <c r="F1144">
        <v>83</v>
      </c>
      <c r="G1144" t="str">
        <f t="shared" si="25"/>
        <v>81+</v>
      </c>
      <c r="H1144" t="s">
        <v>23</v>
      </c>
      <c r="I1144" t="s">
        <v>40</v>
      </c>
      <c r="J1144" t="s">
        <v>41</v>
      </c>
      <c r="K1144" t="s">
        <v>42</v>
      </c>
      <c r="L1144">
        <v>1</v>
      </c>
      <c r="M1144">
        <v>1</v>
      </c>
      <c r="N1144">
        <v>5.2</v>
      </c>
      <c r="O1144">
        <v>8.6999999999999993</v>
      </c>
      <c r="P1144">
        <v>5</v>
      </c>
      <c r="Q1144">
        <v>7</v>
      </c>
      <c r="R1144">
        <v>562370</v>
      </c>
      <c r="S1144">
        <f>Table1[[#This Row],[Revenue]]-Table1[[#This Row],[Operating_Costs]]</f>
        <v>198829</v>
      </c>
      <c r="T1144">
        <v>363541</v>
      </c>
      <c r="U1144">
        <v>21</v>
      </c>
      <c r="V1144">
        <v>56</v>
      </c>
      <c r="W1144">
        <v>9.9</v>
      </c>
    </row>
    <row r="1145" spans="1:23" x14ac:dyDescent="0.25">
      <c r="A1145">
        <v>3</v>
      </c>
      <c r="B1145" t="s">
        <v>57</v>
      </c>
      <c r="C1145" s="1">
        <v>44758</v>
      </c>
      <c r="D1145" t="s">
        <v>71</v>
      </c>
      <c r="E1145">
        <v>0</v>
      </c>
      <c r="F1145">
        <v>32</v>
      </c>
      <c r="G1145" t="str">
        <f t="shared" si="25"/>
        <v>21-40</v>
      </c>
      <c r="H1145" t="s">
        <v>35</v>
      </c>
      <c r="I1145" t="s">
        <v>58</v>
      </c>
      <c r="J1145" t="s">
        <v>59</v>
      </c>
      <c r="K1145" t="s">
        <v>29</v>
      </c>
      <c r="L1145">
        <v>1</v>
      </c>
      <c r="M1145">
        <v>1</v>
      </c>
      <c r="N1145">
        <v>1.4</v>
      </c>
      <c r="O1145">
        <v>9.1999999999999993</v>
      </c>
      <c r="P1145">
        <v>5</v>
      </c>
      <c r="Q1145">
        <v>5</v>
      </c>
      <c r="R1145">
        <v>520412</v>
      </c>
      <c r="S1145">
        <f>Table1[[#This Row],[Revenue]]-Table1[[#This Row],[Operating_Costs]]</f>
        <v>121175</v>
      </c>
      <c r="T1145">
        <v>399237</v>
      </c>
      <c r="U1145">
        <v>18</v>
      </c>
      <c r="V1145">
        <v>64</v>
      </c>
      <c r="W1145">
        <v>14.9</v>
      </c>
    </row>
    <row r="1146" spans="1:23" x14ac:dyDescent="0.25">
      <c r="A1146">
        <v>2</v>
      </c>
      <c r="B1146" t="s">
        <v>39</v>
      </c>
      <c r="C1146" s="1">
        <v>44447</v>
      </c>
      <c r="D1146" t="s">
        <v>71</v>
      </c>
      <c r="E1146">
        <v>0</v>
      </c>
      <c r="F1146">
        <v>67</v>
      </c>
      <c r="G1146" t="str">
        <f t="shared" si="25"/>
        <v>61-80</v>
      </c>
      <c r="H1146" t="s">
        <v>23</v>
      </c>
      <c r="I1146" t="s">
        <v>43</v>
      </c>
      <c r="J1146" t="s">
        <v>25</v>
      </c>
      <c r="K1146" t="s">
        <v>38</v>
      </c>
      <c r="L1146">
        <v>1</v>
      </c>
      <c r="M1146">
        <v>1</v>
      </c>
      <c r="N1146">
        <v>2.1</v>
      </c>
      <c r="O1146">
        <v>9</v>
      </c>
      <c r="P1146">
        <v>7</v>
      </c>
      <c r="Q1146">
        <v>4</v>
      </c>
      <c r="R1146">
        <v>855498</v>
      </c>
      <c r="S1146">
        <f>Table1[[#This Row],[Revenue]]-Table1[[#This Row],[Operating_Costs]]</f>
        <v>329329</v>
      </c>
      <c r="T1146">
        <v>526169</v>
      </c>
      <c r="U1146">
        <v>31</v>
      </c>
      <c r="V1146">
        <v>65</v>
      </c>
      <c r="W1146">
        <v>5</v>
      </c>
    </row>
    <row r="1147" spans="1:23" x14ac:dyDescent="0.25">
      <c r="A1147">
        <v>2</v>
      </c>
      <c r="B1147" t="s">
        <v>39</v>
      </c>
      <c r="C1147" s="1">
        <v>45185</v>
      </c>
      <c r="D1147" t="s">
        <v>71</v>
      </c>
      <c r="E1147">
        <v>0</v>
      </c>
      <c r="F1147">
        <v>51</v>
      </c>
      <c r="G1147" t="str">
        <f t="shared" si="25"/>
        <v>41-60</v>
      </c>
      <c r="H1147" t="s">
        <v>23</v>
      </c>
      <c r="I1147" t="s">
        <v>24</v>
      </c>
      <c r="J1147" t="s">
        <v>25</v>
      </c>
      <c r="K1147" t="s">
        <v>38</v>
      </c>
      <c r="L1147">
        <v>1</v>
      </c>
      <c r="M1147">
        <v>1</v>
      </c>
      <c r="N1147">
        <v>3.7</v>
      </c>
      <c r="O1147">
        <v>8.5</v>
      </c>
      <c r="P1147">
        <v>6</v>
      </c>
      <c r="Q1147">
        <v>3</v>
      </c>
      <c r="R1147">
        <v>628744</v>
      </c>
      <c r="S1147">
        <f>Table1[[#This Row],[Revenue]]-Table1[[#This Row],[Operating_Costs]]</f>
        <v>23450</v>
      </c>
      <c r="T1147">
        <v>605294</v>
      </c>
      <c r="U1147">
        <v>35</v>
      </c>
      <c r="V1147">
        <v>55</v>
      </c>
      <c r="W1147">
        <v>36.700000000000003</v>
      </c>
    </row>
    <row r="1148" spans="1:23" x14ac:dyDescent="0.25">
      <c r="A1148">
        <v>2</v>
      </c>
      <c r="B1148" t="s">
        <v>39</v>
      </c>
      <c r="C1148" s="1">
        <v>45352</v>
      </c>
      <c r="D1148" t="s">
        <v>71</v>
      </c>
      <c r="E1148">
        <v>0</v>
      </c>
      <c r="F1148">
        <v>81</v>
      </c>
      <c r="G1148" t="str">
        <f t="shared" si="25"/>
        <v>81+</v>
      </c>
      <c r="H1148" t="s">
        <v>35</v>
      </c>
      <c r="I1148" t="s">
        <v>36</v>
      </c>
      <c r="J1148" t="s">
        <v>37</v>
      </c>
      <c r="K1148" t="s">
        <v>29</v>
      </c>
      <c r="L1148">
        <v>1</v>
      </c>
      <c r="M1148">
        <v>1</v>
      </c>
      <c r="N1148">
        <v>6.1</v>
      </c>
      <c r="O1148">
        <v>7.5</v>
      </c>
      <c r="P1148">
        <v>7</v>
      </c>
      <c r="Q1148">
        <v>6</v>
      </c>
      <c r="R1148">
        <v>702847</v>
      </c>
      <c r="S1148">
        <f>Table1[[#This Row],[Revenue]]-Table1[[#This Row],[Operating_Costs]]</f>
        <v>160255</v>
      </c>
      <c r="T1148">
        <v>542592</v>
      </c>
      <c r="U1148">
        <v>40</v>
      </c>
      <c r="V1148">
        <v>54</v>
      </c>
      <c r="W1148">
        <v>9</v>
      </c>
    </row>
    <row r="1149" spans="1:23" x14ac:dyDescent="0.25">
      <c r="A1149">
        <v>2</v>
      </c>
      <c r="B1149" t="s">
        <v>39</v>
      </c>
      <c r="C1149" s="1">
        <v>45544</v>
      </c>
      <c r="D1149" t="s">
        <v>71</v>
      </c>
      <c r="E1149">
        <v>0</v>
      </c>
      <c r="F1149">
        <v>26</v>
      </c>
      <c r="G1149" t="str">
        <f t="shared" si="25"/>
        <v>21-40</v>
      </c>
      <c r="H1149" t="s">
        <v>23</v>
      </c>
      <c r="I1149" t="s">
        <v>64</v>
      </c>
      <c r="J1149" t="s">
        <v>65</v>
      </c>
      <c r="K1149" t="s">
        <v>29</v>
      </c>
      <c r="L1149">
        <v>1</v>
      </c>
      <c r="M1149">
        <v>1</v>
      </c>
      <c r="N1149">
        <v>5.2</v>
      </c>
      <c r="O1149">
        <v>8.9</v>
      </c>
      <c r="P1149">
        <v>5</v>
      </c>
      <c r="Q1149">
        <v>4</v>
      </c>
      <c r="R1149">
        <v>756892</v>
      </c>
      <c r="S1149">
        <f>Table1[[#This Row],[Revenue]]-Table1[[#This Row],[Operating_Costs]]</f>
        <v>198163</v>
      </c>
      <c r="T1149">
        <v>558729</v>
      </c>
      <c r="U1149">
        <v>31</v>
      </c>
      <c r="V1149">
        <v>57</v>
      </c>
      <c r="W1149">
        <v>7</v>
      </c>
    </row>
    <row r="1150" spans="1:23" x14ac:dyDescent="0.25">
      <c r="A1150">
        <v>3</v>
      </c>
      <c r="B1150" t="s">
        <v>57</v>
      </c>
      <c r="C1150" s="1">
        <v>44456</v>
      </c>
      <c r="D1150" t="s">
        <v>71</v>
      </c>
      <c r="E1150">
        <v>0</v>
      </c>
      <c r="F1150">
        <v>37</v>
      </c>
      <c r="G1150" t="str">
        <f t="shared" si="25"/>
        <v>21-40</v>
      </c>
      <c r="H1150" t="s">
        <v>35</v>
      </c>
      <c r="I1150" t="s">
        <v>60</v>
      </c>
      <c r="J1150" t="s">
        <v>59</v>
      </c>
      <c r="K1150" t="s">
        <v>42</v>
      </c>
      <c r="L1150">
        <v>1</v>
      </c>
      <c r="M1150">
        <v>1</v>
      </c>
      <c r="N1150">
        <v>3.4</v>
      </c>
      <c r="O1150">
        <v>7.2</v>
      </c>
      <c r="P1150">
        <v>5</v>
      </c>
      <c r="Q1150">
        <v>6</v>
      </c>
      <c r="R1150">
        <v>504006</v>
      </c>
      <c r="S1150">
        <f>Table1[[#This Row],[Revenue]]-Table1[[#This Row],[Operating_Costs]]</f>
        <v>191624</v>
      </c>
      <c r="T1150">
        <v>312382</v>
      </c>
      <c r="U1150">
        <v>18</v>
      </c>
      <c r="V1150">
        <v>57</v>
      </c>
      <c r="W1150">
        <v>6.2</v>
      </c>
    </row>
    <row r="1151" spans="1:23" x14ac:dyDescent="0.25">
      <c r="A1151">
        <v>2</v>
      </c>
      <c r="B1151" t="s">
        <v>39</v>
      </c>
      <c r="C1151" s="1">
        <v>44482</v>
      </c>
      <c r="D1151" t="s">
        <v>71</v>
      </c>
      <c r="E1151">
        <v>0</v>
      </c>
      <c r="F1151">
        <v>35</v>
      </c>
      <c r="G1151" t="str">
        <f t="shared" si="25"/>
        <v>21-40</v>
      </c>
      <c r="H1151" t="s">
        <v>23</v>
      </c>
      <c r="I1151" t="s">
        <v>40</v>
      </c>
      <c r="J1151" t="s">
        <v>41</v>
      </c>
      <c r="K1151" t="s">
        <v>26</v>
      </c>
      <c r="L1151">
        <v>1</v>
      </c>
      <c r="M1151">
        <v>1</v>
      </c>
      <c r="N1151">
        <v>6.2</v>
      </c>
      <c r="O1151">
        <v>9.6</v>
      </c>
      <c r="P1151">
        <v>5</v>
      </c>
      <c r="Q1151">
        <v>4</v>
      </c>
      <c r="R1151">
        <v>840700</v>
      </c>
      <c r="S1151">
        <f>Table1[[#This Row],[Revenue]]-Table1[[#This Row],[Operating_Costs]]</f>
        <v>315794</v>
      </c>
      <c r="T1151">
        <v>524906</v>
      </c>
      <c r="U1151">
        <v>33</v>
      </c>
      <c r="V1151">
        <v>62</v>
      </c>
      <c r="W1151">
        <v>7.5</v>
      </c>
    </row>
    <row r="1152" spans="1:23" x14ac:dyDescent="0.25">
      <c r="A1152">
        <v>2</v>
      </c>
      <c r="B1152" t="s">
        <v>39</v>
      </c>
      <c r="C1152" s="1">
        <v>45408</v>
      </c>
      <c r="D1152" t="s">
        <v>71</v>
      </c>
      <c r="E1152">
        <v>0</v>
      </c>
      <c r="F1152">
        <v>25</v>
      </c>
      <c r="G1152" t="str">
        <f t="shared" si="25"/>
        <v>21-40</v>
      </c>
      <c r="H1152" t="s">
        <v>23</v>
      </c>
      <c r="I1152" t="s">
        <v>27</v>
      </c>
      <c r="J1152" t="s">
        <v>28</v>
      </c>
      <c r="K1152" t="s">
        <v>38</v>
      </c>
      <c r="L1152">
        <v>1</v>
      </c>
      <c r="M1152">
        <v>1</v>
      </c>
      <c r="N1152">
        <v>4.5999999999999996</v>
      </c>
      <c r="O1152">
        <v>8.5</v>
      </c>
      <c r="P1152">
        <v>5</v>
      </c>
      <c r="Q1152">
        <v>6</v>
      </c>
      <c r="R1152">
        <v>699801</v>
      </c>
      <c r="S1152">
        <f>Table1[[#This Row],[Revenue]]-Table1[[#This Row],[Operating_Costs]]</f>
        <v>88898</v>
      </c>
      <c r="T1152">
        <v>610903</v>
      </c>
      <c r="U1152">
        <v>39</v>
      </c>
      <c r="V1152">
        <v>60</v>
      </c>
      <c r="W1152">
        <v>5.7</v>
      </c>
    </row>
    <row r="1153" spans="1:23" x14ac:dyDescent="0.25">
      <c r="A1153">
        <v>3</v>
      </c>
      <c r="B1153" t="s">
        <v>57</v>
      </c>
      <c r="C1153" s="1">
        <v>45501</v>
      </c>
      <c r="D1153" t="s">
        <v>71</v>
      </c>
      <c r="E1153">
        <v>0</v>
      </c>
      <c r="F1153">
        <v>62</v>
      </c>
      <c r="G1153" t="str">
        <f t="shared" si="25"/>
        <v>61-80</v>
      </c>
      <c r="H1153" t="s">
        <v>35</v>
      </c>
      <c r="I1153" t="s">
        <v>36</v>
      </c>
      <c r="J1153" t="s">
        <v>37</v>
      </c>
      <c r="K1153" t="s">
        <v>29</v>
      </c>
      <c r="L1153">
        <v>1</v>
      </c>
      <c r="M1153">
        <v>1</v>
      </c>
      <c r="N1153">
        <v>6.6</v>
      </c>
      <c r="O1153">
        <v>7.1</v>
      </c>
      <c r="P1153">
        <v>5</v>
      </c>
      <c r="Q1153">
        <v>5</v>
      </c>
      <c r="R1153">
        <v>590423</v>
      </c>
      <c r="S1153">
        <f>Table1[[#This Row],[Revenue]]-Table1[[#This Row],[Operating_Costs]]</f>
        <v>200506</v>
      </c>
      <c r="T1153">
        <v>389917</v>
      </c>
      <c r="U1153">
        <v>21</v>
      </c>
      <c r="V1153">
        <v>58</v>
      </c>
      <c r="W1153">
        <v>9.1999999999999993</v>
      </c>
    </row>
    <row r="1154" spans="1:23" x14ac:dyDescent="0.25">
      <c r="A1154">
        <v>2</v>
      </c>
      <c r="B1154" t="s">
        <v>39</v>
      </c>
      <c r="C1154" s="1">
        <v>44942</v>
      </c>
      <c r="D1154" t="s">
        <v>71</v>
      </c>
      <c r="E1154">
        <v>0</v>
      </c>
      <c r="F1154">
        <v>76</v>
      </c>
      <c r="G1154" t="str">
        <f t="shared" si="25"/>
        <v>61-80</v>
      </c>
      <c r="H1154" t="s">
        <v>23</v>
      </c>
      <c r="I1154" t="s">
        <v>24</v>
      </c>
      <c r="J1154" t="s">
        <v>25</v>
      </c>
      <c r="K1154" t="s">
        <v>26</v>
      </c>
      <c r="L1154">
        <v>1</v>
      </c>
      <c r="M1154">
        <v>1</v>
      </c>
      <c r="N1154">
        <v>4.0999999999999996</v>
      </c>
      <c r="O1154">
        <v>7.8</v>
      </c>
      <c r="P1154">
        <v>4</v>
      </c>
      <c r="Q1154">
        <v>7</v>
      </c>
      <c r="R1154">
        <v>673703</v>
      </c>
      <c r="S1154">
        <f>Table1[[#This Row],[Revenue]]-Table1[[#This Row],[Operating_Costs]]</f>
        <v>110134</v>
      </c>
      <c r="T1154">
        <v>563569</v>
      </c>
      <c r="U1154">
        <v>37</v>
      </c>
      <c r="V1154">
        <v>60</v>
      </c>
      <c r="W1154">
        <v>14.3</v>
      </c>
    </row>
    <row r="1155" spans="1:23" x14ac:dyDescent="0.25">
      <c r="A1155">
        <v>3</v>
      </c>
      <c r="B1155" t="s">
        <v>57</v>
      </c>
      <c r="C1155" s="1">
        <v>45146</v>
      </c>
      <c r="D1155" t="s">
        <v>71</v>
      </c>
      <c r="E1155">
        <v>0</v>
      </c>
      <c r="F1155">
        <v>79</v>
      </c>
      <c r="G1155" t="str">
        <f t="shared" ref="G1155:G1218" si="26">IF(F1155&lt;=20,"0-20",IF(F1155&lt;=40,"21-40",IF(F1155&lt;=60,"41-60",IF(F1155&lt;=80,"61-80","81+"))))</f>
        <v>61-80</v>
      </c>
      <c r="H1155" t="s">
        <v>35</v>
      </c>
      <c r="I1155" t="s">
        <v>60</v>
      </c>
      <c r="J1155" t="s">
        <v>59</v>
      </c>
      <c r="K1155" t="s">
        <v>29</v>
      </c>
      <c r="L1155">
        <v>1</v>
      </c>
      <c r="M1155">
        <v>1</v>
      </c>
      <c r="N1155">
        <v>1.9</v>
      </c>
      <c r="O1155">
        <v>8.6999999999999993</v>
      </c>
      <c r="P1155">
        <v>6</v>
      </c>
      <c r="Q1155">
        <v>6</v>
      </c>
      <c r="R1155">
        <v>514874</v>
      </c>
      <c r="S1155">
        <f>Table1[[#This Row],[Revenue]]-Table1[[#This Row],[Operating_Costs]]</f>
        <v>200785</v>
      </c>
      <c r="T1155">
        <v>314089</v>
      </c>
      <c r="U1155">
        <v>22</v>
      </c>
      <c r="V1155">
        <v>63</v>
      </c>
      <c r="W1155">
        <v>10.5</v>
      </c>
    </row>
    <row r="1156" spans="1:23" x14ac:dyDescent="0.25">
      <c r="A1156">
        <v>2</v>
      </c>
      <c r="B1156" t="s">
        <v>39</v>
      </c>
      <c r="C1156" s="1">
        <v>45097</v>
      </c>
      <c r="D1156" t="s">
        <v>71</v>
      </c>
      <c r="E1156">
        <v>0</v>
      </c>
      <c r="F1156">
        <v>43</v>
      </c>
      <c r="G1156" t="str">
        <f t="shared" si="26"/>
        <v>41-60</v>
      </c>
      <c r="H1156" t="s">
        <v>35</v>
      </c>
      <c r="I1156" t="s">
        <v>36</v>
      </c>
      <c r="J1156" t="s">
        <v>37</v>
      </c>
      <c r="K1156" t="s">
        <v>42</v>
      </c>
      <c r="L1156">
        <v>1</v>
      </c>
      <c r="M1156">
        <v>1</v>
      </c>
      <c r="N1156">
        <v>5.5</v>
      </c>
      <c r="O1156">
        <v>7.2</v>
      </c>
      <c r="P1156">
        <v>3</v>
      </c>
      <c r="Q1156">
        <v>3</v>
      </c>
      <c r="R1156">
        <v>709782</v>
      </c>
      <c r="S1156">
        <f>Table1[[#This Row],[Revenue]]-Table1[[#This Row],[Operating_Costs]]</f>
        <v>197316</v>
      </c>
      <c r="T1156">
        <v>512466</v>
      </c>
      <c r="U1156">
        <v>39</v>
      </c>
      <c r="V1156">
        <v>61</v>
      </c>
      <c r="W1156">
        <v>36.5</v>
      </c>
    </row>
    <row r="1157" spans="1:23" x14ac:dyDescent="0.25">
      <c r="A1157">
        <v>2</v>
      </c>
      <c r="B1157" t="s">
        <v>39</v>
      </c>
      <c r="C1157" s="1">
        <v>45027</v>
      </c>
      <c r="D1157" t="s">
        <v>71</v>
      </c>
      <c r="E1157">
        <v>0</v>
      </c>
      <c r="F1157">
        <v>37</v>
      </c>
      <c r="G1157" t="str">
        <f t="shared" si="26"/>
        <v>21-40</v>
      </c>
      <c r="H1157" t="s">
        <v>35</v>
      </c>
      <c r="I1157" t="s">
        <v>60</v>
      </c>
      <c r="J1157" t="s">
        <v>59</v>
      </c>
      <c r="K1157" t="s">
        <v>26</v>
      </c>
      <c r="L1157">
        <v>1</v>
      </c>
      <c r="M1157">
        <v>1</v>
      </c>
      <c r="N1157">
        <v>5.8</v>
      </c>
      <c r="O1157">
        <v>9.4</v>
      </c>
      <c r="P1157">
        <v>7</v>
      </c>
      <c r="Q1157">
        <v>7</v>
      </c>
      <c r="R1157">
        <v>648058</v>
      </c>
      <c r="S1157">
        <f>Table1[[#This Row],[Revenue]]-Table1[[#This Row],[Operating_Costs]]</f>
        <v>76559</v>
      </c>
      <c r="T1157">
        <v>571499</v>
      </c>
      <c r="U1157">
        <v>30</v>
      </c>
      <c r="V1157">
        <v>66</v>
      </c>
      <c r="W1157">
        <v>7.4</v>
      </c>
    </row>
    <row r="1158" spans="1:23" x14ac:dyDescent="0.25">
      <c r="A1158">
        <v>2</v>
      </c>
      <c r="B1158" t="s">
        <v>39</v>
      </c>
      <c r="C1158" s="1">
        <v>45391</v>
      </c>
      <c r="D1158" t="s">
        <v>71</v>
      </c>
      <c r="E1158">
        <v>0</v>
      </c>
      <c r="F1158">
        <v>31</v>
      </c>
      <c r="G1158" t="str">
        <f t="shared" si="26"/>
        <v>21-40</v>
      </c>
      <c r="H1158" t="s">
        <v>35</v>
      </c>
      <c r="I1158" t="s">
        <v>40</v>
      </c>
      <c r="J1158" t="s">
        <v>41</v>
      </c>
      <c r="K1158" t="s">
        <v>26</v>
      </c>
      <c r="L1158">
        <v>1</v>
      </c>
      <c r="M1158">
        <v>1</v>
      </c>
      <c r="N1158">
        <v>1.6</v>
      </c>
      <c r="O1158">
        <v>7.1</v>
      </c>
      <c r="P1158">
        <v>6</v>
      </c>
      <c r="Q1158">
        <v>7</v>
      </c>
      <c r="R1158">
        <v>751973</v>
      </c>
      <c r="S1158">
        <f>Table1[[#This Row],[Revenue]]-Table1[[#This Row],[Operating_Costs]]</f>
        <v>242237</v>
      </c>
      <c r="T1158">
        <v>509736</v>
      </c>
      <c r="U1158">
        <v>40</v>
      </c>
      <c r="V1158">
        <v>54</v>
      </c>
      <c r="W1158">
        <v>9.1999999999999993</v>
      </c>
    </row>
    <row r="1159" spans="1:23" x14ac:dyDescent="0.25">
      <c r="A1159">
        <v>2</v>
      </c>
      <c r="B1159" t="s">
        <v>39</v>
      </c>
      <c r="C1159" s="1">
        <v>45312</v>
      </c>
      <c r="D1159" t="s">
        <v>71</v>
      </c>
      <c r="E1159">
        <v>0</v>
      </c>
      <c r="F1159">
        <v>36</v>
      </c>
      <c r="G1159" t="str">
        <f t="shared" si="26"/>
        <v>21-40</v>
      </c>
      <c r="H1159" t="s">
        <v>35</v>
      </c>
      <c r="I1159" t="s">
        <v>50</v>
      </c>
      <c r="J1159" t="s">
        <v>51</v>
      </c>
      <c r="K1159" t="s">
        <v>42</v>
      </c>
      <c r="L1159">
        <v>1</v>
      </c>
      <c r="M1159">
        <v>1</v>
      </c>
      <c r="N1159">
        <v>3.7</v>
      </c>
      <c r="O1159">
        <v>9.6</v>
      </c>
      <c r="P1159">
        <v>4</v>
      </c>
      <c r="Q1159">
        <v>6</v>
      </c>
      <c r="R1159">
        <v>752334</v>
      </c>
      <c r="S1159">
        <f>Table1[[#This Row],[Revenue]]-Table1[[#This Row],[Operating_Costs]]</f>
        <v>227107</v>
      </c>
      <c r="T1159">
        <v>525227</v>
      </c>
      <c r="U1159">
        <v>30</v>
      </c>
      <c r="V1159">
        <v>57</v>
      </c>
      <c r="W1159">
        <v>36</v>
      </c>
    </row>
    <row r="1160" spans="1:23" x14ac:dyDescent="0.25">
      <c r="A1160">
        <v>3</v>
      </c>
      <c r="B1160" t="s">
        <v>57</v>
      </c>
      <c r="C1160" s="1">
        <v>44861</v>
      </c>
      <c r="D1160" t="s">
        <v>71</v>
      </c>
      <c r="E1160">
        <v>0</v>
      </c>
      <c r="F1160">
        <v>33</v>
      </c>
      <c r="G1160" t="str">
        <f t="shared" si="26"/>
        <v>21-40</v>
      </c>
      <c r="H1160" t="s">
        <v>23</v>
      </c>
      <c r="I1160" t="s">
        <v>40</v>
      </c>
      <c r="J1160" t="s">
        <v>41</v>
      </c>
      <c r="K1160" t="s">
        <v>38</v>
      </c>
      <c r="L1160">
        <v>1</v>
      </c>
      <c r="M1160">
        <v>1</v>
      </c>
      <c r="N1160">
        <v>2.2999999999999998</v>
      </c>
      <c r="O1160">
        <v>7.8</v>
      </c>
      <c r="P1160">
        <v>4</v>
      </c>
      <c r="Q1160">
        <v>6</v>
      </c>
      <c r="R1160">
        <v>566897</v>
      </c>
      <c r="S1160">
        <f>Table1[[#This Row],[Revenue]]-Table1[[#This Row],[Operating_Costs]]</f>
        <v>169915</v>
      </c>
      <c r="T1160">
        <v>396982</v>
      </c>
      <c r="U1160">
        <v>20</v>
      </c>
      <c r="V1160">
        <v>54</v>
      </c>
      <c r="W1160">
        <v>6.2</v>
      </c>
    </row>
    <row r="1161" spans="1:23" x14ac:dyDescent="0.25">
      <c r="A1161">
        <v>2</v>
      </c>
      <c r="B1161" t="s">
        <v>39</v>
      </c>
      <c r="C1161" s="1">
        <v>45569</v>
      </c>
      <c r="D1161" t="s">
        <v>71</v>
      </c>
      <c r="E1161">
        <v>0</v>
      </c>
      <c r="F1161">
        <v>39</v>
      </c>
      <c r="G1161" t="str">
        <f t="shared" si="26"/>
        <v>21-40</v>
      </c>
      <c r="H1161" t="s">
        <v>35</v>
      </c>
      <c r="I1161" t="s">
        <v>50</v>
      </c>
      <c r="J1161" t="s">
        <v>51</v>
      </c>
      <c r="K1161" t="s">
        <v>29</v>
      </c>
      <c r="L1161">
        <v>1</v>
      </c>
      <c r="M1161">
        <v>1</v>
      </c>
      <c r="N1161">
        <v>3.9</v>
      </c>
      <c r="O1161">
        <v>7.4</v>
      </c>
      <c r="P1161">
        <v>3</v>
      </c>
      <c r="Q1161">
        <v>4</v>
      </c>
      <c r="R1161">
        <v>660820</v>
      </c>
      <c r="S1161">
        <f>Table1[[#This Row],[Revenue]]-Table1[[#This Row],[Operating_Costs]]</f>
        <v>112334</v>
      </c>
      <c r="T1161">
        <v>548486</v>
      </c>
      <c r="U1161">
        <v>30</v>
      </c>
      <c r="V1161">
        <v>65</v>
      </c>
      <c r="W1161">
        <v>12.8</v>
      </c>
    </row>
    <row r="1162" spans="1:23" x14ac:dyDescent="0.25">
      <c r="A1162">
        <v>3</v>
      </c>
      <c r="B1162" t="s">
        <v>57</v>
      </c>
      <c r="C1162" s="1">
        <v>44648</v>
      </c>
      <c r="D1162" t="s">
        <v>71</v>
      </c>
      <c r="E1162">
        <v>0</v>
      </c>
      <c r="F1162">
        <v>58</v>
      </c>
      <c r="G1162" t="str">
        <f t="shared" si="26"/>
        <v>41-60</v>
      </c>
      <c r="H1162" t="s">
        <v>35</v>
      </c>
      <c r="I1162" t="s">
        <v>60</v>
      </c>
      <c r="J1162" t="s">
        <v>59</v>
      </c>
      <c r="K1162" t="s">
        <v>26</v>
      </c>
      <c r="L1162">
        <v>1</v>
      </c>
      <c r="M1162">
        <v>1</v>
      </c>
      <c r="N1162">
        <v>5.6</v>
      </c>
      <c r="O1162">
        <v>8.1</v>
      </c>
      <c r="P1162">
        <v>6</v>
      </c>
      <c r="Q1162">
        <v>5</v>
      </c>
      <c r="R1162">
        <v>538760</v>
      </c>
      <c r="S1162">
        <f>Table1[[#This Row],[Revenue]]-Table1[[#This Row],[Operating_Costs]]</f>
        <v>195738</v>
      </c>
      <c r="T1162">
        <v>343022</v>
      </c>
      <c r="U1162">
        <v>22</v>
      </c>
      <c r="V1162">
        <v>62</v>
      </c>
      <c r="W1162">
        <v>14.4</v>
      </c>
    </row>
    <row r="1163" spans="1:23" x14ac:dyDescent="0.25">
      <c r="A1163">
        <v>2</v>
      </c>
      <c r="B1163" t="s">
        <v>39</v>
      </c>
      <c r="C1163" s="1">
        <v>45335</v>
      </c>
      <c r="D1163" t="s">
        <v>71</v>
      </c>
      <c r="E1163">
        <v>0</v>
      </c>
      <c r="F1163">
        <v>49</v>
      </c>
      <c r="G1163" t="str">
        <f t="shared" si="26"/>
        <v>41-60</v>
      </c>
      <c r="H1163" t="s">
        <v>35</v>
      </c>
      <c r="I1163" t="s">
        <v>31</v>
      </c>
      <c r="J1163" t="s">
        <v>28</v>
      </c>
      <c r="K1163" t="s">
        <v>38</v>
      </c>
      <c r="L1163">
        <v>1</v>
      </c>
      <c r="M1163">
        <v>1</v>
      </c>
      <c r="N1163">
        <v>2</v>
      </c>
      <c r="O1163">
        <v>7.3</v>
      </c>
      <c r="P1163">
        <v>4</v>
      </c>
      <c r="Q1163">
        <v>4</v>
      </c>
      <c r="R1163">
        <v>638574</v>
      </c>
      <c r="S1163">
        <f>Table1[[#This Row],[Revenue]]-Table1[[#This Row],[Operating_Costs]]</f>
        <v>111404</v>
      </c>
      <c r="T1163">
        <v>527170</v>
      </c>
      <c r="U1163">
        <v>36</v>
      </c>
      <c r="V1163">
        <v>64</v>
      </c>
      <c r="W1163">
        <v>10.4</v>
      </c>
    </row>
    <row r="1164" spans="1:23" x14ac:dyDescent="0.25">
      <c r="A1164">
        <v>2</v>
      </c>
      <c r="B1164" t="s">
        <v>39</v>
      </c>
      <c r="C1164" s="1">
        <v>44445</v>
      </c>
      <c r="D1164" t="s">
        <v>71</v>
      </c>
      <c r="E1164">
        <v>0</v>
      </c>
      <c r="F1164">
        <v>29</v>
      </c>
      <c r="G1164" t="str">
        <f t="shared" si="26"/>
        <v>21-40</v>
      </c>
      <c r="H1164" t="s">
        <v>23</v>
      </c>
      <c r="I1164" t="s">
        <v>50</v>
      </c>
      <c r="J1164" t="s">
        <v>51</v>
      </c>
      <c r="K1164" t="s">
        <v>26</v>
      </c>
      <c r="L1164">
        <v>1</v>
      </c>
      <c r="M1164">
        <v>1</v>
      </c>
      <c r="N1164">
        <v>6.4</v>
      </c>
      <c r="O1164">
        <v>9.5</v>
      </c>
      <c r="P1164">
        <v>3</v>
      </c>
      <c r="Q1164">
        <v>3</v>
      </c>
      <c r="R1164">
        <v>865478</v>
      </c>
      <c r="S1164">
        <f>Table1[[#This Row],[Revenue]]-Table1[[#This Row],[Operating_Costs]]</f>
        <v>232061</v>
      </c>
      <c r="T1164">
        <v>633417</v>
      </c>
      <c r="U1164">
        <v>30</v>
      </c>
      <c r="V1164">
        <v>66</v>
      </c>
      <c r="W1164">
        <v>9.1</v>
      </c>
    </row>
    <row r="1165" spans="1:23" x14ac:dyDescent="0.25">
      <c r="A1165">
        <v>2</v>
      </c>
      <c r="B1165" t="s">
        <v>39</v>
      </c>
      <c r="C1165" s="1">
        <v>45208</v>
      </c>
      <c r="D1165" t="s">
        <v>71</v>
      </c>
      <c r="E1165">
        <v>0</v>
      </c>
      <c r="F1165">
        <v>37</v>
      </c>
      <c r="G1165" t="str">
        <f t="shared" si="26"/>
        <v>21-40</v>
      </c>
      <c r="H1165" t="s">
        <v>35</v>
      </c>
      <c r="I1165" t="s">
        <v>36</v>
      </c>
      <c r="J1165" t="s">
        <v>37</v>
      </c>
      <c r="K1165" t="s">
        <v>33</v>
      </c>
      <c r="L1165">
        <v>1</v>
      </c>
      <c r="M1165">
        <v>1</v>
      </c>
      <c r="N1165">
        <v>6</v>
      </c>
      <c r="O1165">
        <v>10</v>
      </c>
      <c r="P1165">
        <v>4</v>
      </c>
      <c r="Q1165">
        <v>4</v>
      </c>
      <c r="R1165">
        <v>706539</v>
      </c>
      <c r="S1165">
        <f>Table1[[#This Row],[Revenue]]-Table1[[#This Row],[Operating_Costs]]</f>
        <v>162857</v>
      </c>
      <c r="T1165">
        <v>543682</v>
      </c>
      <c r="U1165">
        <v>39</v>
      </c>
      <c r="V1165">
        <v>66</v>
      </c>
      <c r="W1165">
        <v>10.1</v>
      </c>
    </row>
    <row r="1166" spans="1:23" x14ac:dyDescent="0.25">
      <c r="A1166">
        <v>2</v>
      </c>
      <c r="B1166" t="s">
        <v>39</v>
      </c>
      <c r="C1166" s="1">
        <v>44996</v>
      </c>
      <c r="D1166" t="s">
        <v>71</v>
      </c>
      <c r="E1166">
        <v>0</v>
      </c>
      <c r="F1166">
        <v>39</v>
      </c>
      <c r="G1166" t="str">
        <f t="shared" si="26"/>
        <v>21-40</v>
      </c>
      <c r="H1166" t="s">
        <v>23</v>
      </c>
      <c r="I1166" t="s">
        <v>24</v>
      </c>
      <c r="J1166" t="s">
        <v>25</v>
      </c>
      <c r="K1166" t="s">
        <v>42</v>
      </c>
      <c r="L1166">
        <v>1</v>
      </c>
      <c r="M1166">
        <v>1</v>
      </c>
      <c r="N1166">
        <v>1.6</v>
      </c>
      <c r="O1166">
        <v>7.4</v>
      </c>
      <c r="P1166">
        <v>6</v>
      </c>
      <c r="Q1166">
        <v>3</v>
      </c>
      <c r="R1166">
        <v>861373</v>
      </c>
      <c r="S1166">
        <f>Table1[[#This Row],[Revenue]]-Table1[[#This Row],[Operating_Costs]]</f>
        <v>225461</v>
      </c>
      <c r="T1166">
        <v>635912</v>
      </c>
      <c r="U1166">
        <v>37</v>
      </c>
      <c r="V1166">
        <v>57</v>
      </c>
      <c r="W1166">
        <v>8.4</v>
      </c>
    </row>
    <row r="1167" spans="1:23" x14ac:dyDescent="0.25">
      <c r="A1167">
        <v>2</v>
      </c>
      <c r="B1167" t="s">
        <v>39</v>
      </c>
      <c r="C1167" s="1">
        <v>45255</v>
      </c>
      <c r="D1167" t="s">
        <v>71</v>
      </c>
      <c r="E1167">
        <v>0</v>
      </c>
      <c r="F1167">
        <v>28</v>
      </c>
      <c r="G1167" t="str">
        <f t="shared" si="26"/>
        <v>21-40</v>
      </c>
      <c r="H1167" t="s">
        <v>35</v>
      </c>
      <c r="I1167" t="s">
        <v>36</v>
      </c>
      <c r="J1167" t="s">
        <v>37</v>
      </c>
      <c r="K1167" t="s">
        <v>42</v>
      </c>
      <c r="L1167">
        <v>1</v>
      </c>
      <c r="M1167">
        <v>1</v>
      </c>
      <c r="N1167">
        <v>5.5</v>
      </c>
      <c r="O1167">
        <v>8</v>
      </c>
      <c r="P1167">
        <v>6</v>
      </c>
      <c r="Q1167">
        <v>4</v>
      </c>
      <c r="R1167">
        <v>781837</v>
      </c>
      <c r="S1167">
        <f>Table1[[#This Row],[Revenue]]-Table1[[#This Row],[Operating_Costs]]</f>
        <v>145696</v>
      </c>
      <c r="T1167">
        <v>636141</v>
      </c>
      <c r="U1167">
        <v>30</v>
      </c>
      <c r="V1167">
        <v>59</v>
      </c>
      <c r="W1167">
        <v>10.6</v>
      </c>
    </row>
    <row r="1168" spans="1:23" x14ac:dyDescent="0.25">
      <c r="A1168">
        <v>2</v>
      </c>
      <c r="B1168" t="s">
        <v>39</v>
      </c>
      <c r="C1168" s="1">
        <v>44725</v>
      </c>
      <c r="D1168" t="s">
        <v>71</v>
      </c>
      <c r="E1168">
        <v>0</v>
      </c>
      <c r="F1168">
        <v>28</v>
      </c>
      <c r="G1168" t="str">
        <f t="shared" si="26"/>
        <v>21-40</v>
      </c>
      <c r="H1168" t="s">
        <v>35</v>
      </c>
      <c r="I1168" t="s">
        <v>50</v>
      </c>
      <c r="J1168" t="s">
        <v>51</v>
      </c>
      <c r="K1168" t="s">
        <v>38</v>
      </c>
      <c r="L1168">
        <v>1</v>
      </c>
      <c r="M1168">
        <v>1</v>
      </c>
      <c r="N1168">
        <v>4.9000000000000004</v>
      </c>
      <c r="O1168">
        <v>8.1</v>
      </c>
      <c r="P1168">
        <v>4</v>
      </c>
      <c r="Q1168">
        <v>3</v>
      </c>
      <c r="R1168">
        <v>829448</v>
      </c>
      <c r="S1168">
        <f>Table1[[#This Row],[Revenue]]-Table1[[#This Row],[Operating_Costs]]</f>
        <v>276138</v>
      </c>
      <c r="T1168">
        <v>553310</v>
      </c>
      <c r="U1168">
        <v>40</v>
      </c>
      <c r="V1168">
        <v>57</v>
      </c>
      <c r="W1168">
        <v>15</v>
      </c>
    </row>
    <row r="1169" spans="1:23" x14ac:dyDescent="0.25">
      <c r="A1169">
        <v>2</v>
      </c>
      <c r="B1169" t="s">
        <v>39</v>
      </c>
      <c r="C1169" s="1">
        <v>44473</v>
      </c>
      <c r="D1169" t="s">
        <v>71</v>
      </c>
      <c r="E1169">
        <v>0</v>
      </c>
      <c r="F1169">
        <v>46</v>
      </c>
      <c r="G1169" t="str">
        <f t="shared" si="26"/>
        <v>41-60</v>
      </c>
      <c r="H1169" t="s">
        <v>35</v>
      </c>
      <c r="I1169" t="s">
        <v>53</v>
      </c>
      <c r="J1169" t="s">
        <v>54</v>
      </c>
      <c r="K1169" t="s">
        <v>42</v>
      </c>
      <c r="L1169">
        <v>1</v>
      </c>
      <c r="M1169">
        <v>1</v>
      </c>
      <c r="N1169">
        <v>3.5</v>
      </c>
      <c r="O1169">
        <v>9.1</v>
      </c>
      <c r="P1169">
        <v>3</v>
      </c>
      <c r="Q1169">
        <v>3</v>
      </c>
      <c r="R1169">
        <v>724731</v>
      </c>
      <c r="S1169">
        <f>Table1[[#This Row],[Revenue]]-Table1[[#This Row],[Operating_Costs]]</f>
        <v>218453</v>
      </c>
      <c r="T1169">
        <v>506278</v>
      </c>
      <c r="U1169">
        <v>36</v>
      </c>
      <c r="V1169">
        <v>58</v>
      </c>
      <c r="W1169">
        <v>7.6</v>
      </c>
    </row>
    <row r="1170" spans="1:23" x14ac:dyDescent="0.25">
      <c r="A1170">
        <v>2</v>
      </c>
      <c r="B1170" t="s">
        <v>39</v>
      </c>
      <c r="C1170" s="1">
        <v>44859</v>
      </c>
      <c r="D1170" t="s">
        <v>71</v>
      </c>
      <c r="E1170">
        <v>0</v>
      </c>
      <c r="F1170">
        <v>27</v>
      </c>
      <c r="G1170" t="str">
        <f t="shared" si="26"/>
        <v>21-40</v>
      </c>
      <c r="H1170" t="s">
        <v>35</v>
      </c>
      <c r="I1170" t="s">
        <v>61</v>
      </c>
      <c r="J1170" t="s">
        <v>62</v>
      </c>
      <c r="K1170" t="s">
        <v>38</v>
      </c>
      <c r="L1170">
        <v>1</v>
      </c>
      <c r="M1170">
        <v>1</v>
      </c>
      <c r="N1170">
        <v>2.9</v>
      </c>
      <c r="O1170">
        <v>7.7</v>
      </c>
      <c r="P1170">
        <v>3</v>
      </c>
      <c r="Q1170">
        <v>7</v>
      </c>
      <c r="R1170">
        <v>760467</v>
      </c>
      <c r="S1170">
        <f>Table1[[#This Row],[Revenue]]-Table1[[#This Row],[Operating_Costs]]</f>
        <v>218648</v>
      </c>
      <c r="T1170">
        <v>541819</v>
      </c>
      <c r="U1170">
        <v>40</v>
      </c>
      <c r="V1170">
        <v>58</v>
      </c>
      <c r="W1170">
        <v>13.3</v>
      </c>
    </row>
    <row r="1171" spans="1:23" x14ac:dyDescent="0.25">
      <c r="A1171">
        <v>2</v>
      </c>
      <c r="B1171" t="s">
        <v>39</v>
      </c>
      <c r="C1171" s="1">
        <v>45224</v>
      </c>
      <c r="D1171" t="s">
        <v>71</v>
      </c>
      <c r="E1171">
        <v>0</v>
      </c>
      <c r="F1171">
        <v>38</v>
      </c>
      <c r="G1171" t="str">
        <f t="shared" si="26"/>
        <v>21-40</v>
      </c>
      <c r="H1171" t="s">
        <v>23</v>
      </c>
      <c r="I1171" t="s">
        <v>24</v>
      </c>
      <c r="J1171" t="s">
        <v>25</v>
      </c>
      <c r="K1171" t="s">
        <v>38</v>
      </c>
      <c r="L1171">
        <v>1</v>
      </c>
      <c r="M1171">
        <v>1</v>
      </c>
      <c r="N1171">
        <v>6.2</v>
      </c>
      <c r="O1171">
        <v>9.6999999999999993</v>
      </c>
      <c r="P1171">
        <v>5</v>
      </c>
      <c r="Q1171">
        <v>7</v>
      </c>
      <c r="R1171">
        <v>873209</v>
      </c>
      <c r="S1171">
        <f>Table1[[#This Row],[Revenue]]-Table1[[#This Row],[Operating_Costs]]</f>
        <v>309729</v>
      </c>
      <c r="T1171">
        <v>563480</v>
      </c>
      <c r="U1171">
        <v>30</v>
      </c>
      <c r="V1171">
        <v>55</v>
      </c>
      <c r="W1171">
        <v>5.8</v>
      </c>
    </row>
    <row r="1172" spans="1:23" x14ac:dyDescent="0.25">
      <c r="A1172">
        <v>2</v>
      </c>
      <c r="B1172" t="s">
        <v>39</v>
      </c>
      <c r="C1172" s="1">
        <v>44703</v>
      </c>
      <c r="D1172" t="s">
        <v>71</v>
      </c>
      <c r="E1172">
        <v>0</v>
      </c>
      <c r="F1172">
        <v>34</v>
      </c>
      <c r="G1172" t="str">
        <f t="shared" si="26"/>
        <v>21-40</v>
      </c>
      <c r="H1172" t="s">
        <v>35</v>
      </c>
      <c r="I1172" t="s">
        <v>46</v>
      </c>
      <c r="J1172" t="s">
        <v>47</v>
      </c>
      <c r="K1172" t="s">
        <v>42</v>
      </c>
      <c r="L1172">
        <v>1</v>
      </c>
      <c r="M1172">
        <v>1</v>
      </c>
      <c r="N1172">
        <v>3.3</v>
      </c>
      <c r="O1172">
        <v>7.8</v>
      </c>
      <c r="P1172">
        <v>3</v>
      </c>
      <c r="Q1172">
        <v>4</v>
      </c>
      <c r="R1172">
        <v>832121</v>
      </c>
      <c r="S1172">
        <f>Table1[[#This Row],[Revenue]]-Table1[[#This Row],[Operating_Costs]]</f>
        <v>222083</v>
      </c>
      <c r="T1172">
        <v>610038</v>
      </c>
      <c r="U1172">
        <v>31</v>
      </c>
      <c r="V1172">
        <v>61</v>
      </c>
      <c r="W1172">
        <v>10.9</v>
      </c>
    </row>
    <row r="1173" spans="1:23" x14ac:dyDescent="0.25">
      <c r="A1173">
        <v>2</v>
      </c>
      <c r="B1173" t="s">
        <v>39</v>
      </c>
      <c r="C1173" s="1">
        <v>44700</v>
      </c>
      <c r="D1173" t="s">
        <v>71</v>
      </c>
      <c r="E1173">
        <v>0</v>
      </c>
      <c r="F1173">
        <v>65</v>
      </c>
      <c r="G1173" t="str">
        <f t="shared" si="26"/>
        <v>61-80</v>
      </c>
      <c r="H1173" t="s">
        <v>35</v>
      </c>
      <c r="I1173" t="s">
        <v>61</v>
      </c>
      <c r="J1173" t="s">
        <v>62</v>
      </c>
      <c r="K1173" t="s">
        <v>26</v>
      </c>
      <c r="L1173">
        <v>1</v>
      </c>
      <c r="M1173">
        <v>1</v>
      </c>
      <c r="N1173">
        <v>5.5</v>
      </c>
      <c r="O1173">
        <v>7.4</v>
      </c>
      <c r="P1173">
        <v>5</v>
      </c>
      <c r="Q1173">
        <v>5</v>
      </c>
      <c r="R1173">
        <v>672208</v>
      </c>
      <c r="S1173">
        <f>Table1[[#This Row],[Revenue]]-Table1[[#This Row],[Operating_Costs]]</f>
        <v>162662</v>
      </c>
      <c r="T1173">
        <v>509546</v>
      </c>
      <c r="U1173">
        <v>35</v>
      </c>
      <c r="V1173">
        <v>54</v>
      </c>
      <c r="W1173">
        <v>12.9</v>
      </c>
    </row>
    <row r="1174" spans="1:23" x14ac:dyDescent="0.25">
      <c r="A1174">
        <v>2</v>
      </c>
      <c r="B1174" t="s">
        <v>39</v>
      </c>
      <c r="C1174" s="1">
        <v>45387</v>
      </c>
      <c r="D1174" t="s">
        <v>71</v>
      </c>
      <c r="E1174">
        <v>0</v>
      </c>
      <c r="F1174">
        <v>41</v>
      </c>
      <c r="G1174" t="str">
        <f t="shared" si="26"/>
        <v>41-60</v>
      </c>
      <c r="H1174" t="s">
        <v>23</v>
      </c>
      <c r="I1174" t="s">
        <v>24</v>
      </c>
      <c r="J1174" t="s">
        <v>25</v>
      </c>
      <c r="K1174" t="s">
        <v>38</v>
      </c>
      <c r="L1174">
        <v>1</v>
      </c>
      <c r="M1174">
        <v>1</v>
      </c>
      <c r="N1174">
        <v>3.8</v>
      </c>
      <c r="O1174">
        <v>7.1</v>
      </c>
      <c r="P1174">
        <v>6</v>
      </c>
      <c r="Q1174">
        <v>7</v>
      </c>
      <c r="R1174">
        <v>675253</v>
      </c>
      <c r="S1174">
        <f>Table1[[#This Row],[Revenue]]-Table1[[#This Row],[Operating_Costs]]</f>
        <v>147003</v>
      </c>
      <c r="T1174">
        <v>528250</v>
      </c>
      <c r="U1174">
        <v>39</v>
      </c>
      <c r="V1174">
        <v>55</v>
      </c>
      <c r="W1174">
        <v>36.5</v>
      </c>
    </row>
    <row r="1175" spans="1:23" x14ac:dyDescent="0.25">
      <c r="A1175">
        <v>2</v>
      </c>
      <c r="B1175" t="s">
        <v>39</v>
      </c>
      <c r="C1175" s="1">
        <v>45461</v>
      </c>
      <c r="D1175" t="s">
        <v>71</v>
      </c>
      <c r="E1175">
        <v>0</v>
      </c>
      <c r="F1175">
        <v>29</v>
      </c>
      <c r="G1175" t="str">
        <f t="shared" si="26"/>
        <v>21-40</v>
      </c>
      <c r="H1175" t="s">
        <v>35</v>
      </c>
      <c r="I1175" t="s">
        <v>36</v>
      </c>
      <c r="J1175" t="s">
        <v>37</v>
      </c>
      <c r="K1175" t="s">
        <v>26</v>
      </c>
      <c r="L1175">
        <v>1</v>
      </c>
      <c r="M1175">
        <v>1</v>
      </c>
      <c r="N1175">
        <v>1</v>
      </c>
      <c r="O1175">
        <v>7</v>
      </c>
      <c r="P1175">
        <v>6</v>
      </c>
      <c r="Q1175">
        <v>4</v>
      </c>
      <c r="R1175">
        <v>786493</v>
      </c>
      <c r="S1175">
        <f>Table1[[#This Row],[Revenue]]-Table1[[#This Row],[Operating_Costs]]</f>
        <v>217679</v>
      </c>
      <c r="T1175">
        <v>568814</v>
      </c>
      <c r="U1175">
        <v>37</v>
      </c>
      <c r="V1175">
        <v>58</v>
      </c>
      <c r="W1175">
        <v>9.4</v>
      </c>
    </row>
    <row r="1176" spans="1:23" x14ac:dyDescent="0.25">
      <c r="A1176">
        <v>2</v>
      </c>
      <c r="B1176" t="s">
        <v>39</v>
      </c>
      <c r="C1176" s="1">
        <v>45185</v>
      </c>
      <c r="D1176" t="s">
        <v>71</v>
      </c>
      <c r="E1176">
        <v>0</v>
      </c>
      <c r="F1176">
        <v>74</v>
      </c>
      <c r="G1176" t="str">
        <f t="shared" si="26"/>
        <v>61-80</v>
      </c>
      <c r="H1176" t="s">
        <v>35</v>
      </c>
      <c r="I1176" t="s">
        <v>61</v>
      </c>
      <c r="J1176" t="s">
        <v>62</v>
      </c>
      <c r="K1176" t="s">
        <v>26</v>
      </c>
      <c r="L1176">
        <v>1</v>
      </c>
      <c r="M1176">
        <v>1</v>
      </c>
      <c r="N1176">
        <v>2.5</v>
      </c>
      <c r="O1176">
        <v>7.7</v>
      </c>
      <c r="P1176">
        <v>4</v>
      </c>
      <c r="Q1176">
        <v>4</v>
      </c>
      <c r="R1176">
        <v>639819</v>
      </c>
      <c r="S1176">
        <f>Table1[[#This Row],[Revenue]]-Table1[[#This Row],[Operating_Costs]]</f>
        <v>44239</v>
      </c>
      <c r="T1176">
        <v>595580</v>
      </c>
      <c r="U1176">
        <v>36</v>
      </c>
      <c r="V1176">
        <v>63</v>
      </c>
      <c r="W1176">
        <v>6</v>
      </c>
    </row>
    <row r="1177" spans="1:23" x14ac:dyDescent="0.25">
      <c r="A1177">
        <v>3</v>
      </c>
      <c r="B1177" t="s">
        <v>57</v>
      </c>
      <c r="C1177" s="1">
        <v>45384</v>
      </c>
      <c r="D1177" t="s">
        <v>71</v>
      </c>
      <c r="E1177">
        <v>0</v>
      </c>
      <c r="F1177">
        <v>78</v>
      </c>
      <c r="G1177" t="str">
        <f t="shared" si="26"/>
        <v>61-80</v>
      </c>
      <c r="H1177" t="s">
        <v>35</v>
      </c>
      <c r="I1177" t="s">
        <v>46</v>
      </c>
      <c r="J1177" t="s">
        <v>47</v>
      </c>
      <c r="K1177" t="s">
        <v>29</v>
      </c>
      <c r="L1177">
        <v>1</v>
      </c>
      <c r="M1177">
        <v>1</v>
      </c>
      <c r="N1177">
        <v>2.4</v>
      </c>
      <c r="O1177">
        <v>8.6999999999999993</v>
      </c>
      <c r="P1177">
        <v>7</v>
      </c>
      <c r="Q1177">
        <v>4</v>
      </c>
      <c r="R1177">
        <v>596716</v>
      </c>
      <c r="S1177">
        <f>Table1[[#This Row],[Revenue]]-Table1[[#This Row],[Operating_Costs]]</f>
        <v>211291</v>
      </c>
      <c r="T1177">
        <v>385425</v>
      </c>
      <c r="U1177">
        <v>25</v>
      </c>
      <c r="V1177">
        <v>65</v>
      </c>
      <c r="W1177">
        <v>13.2</v>
      </c>
    </row>
    <row r="1178" spans="1:23" x14ac:dyDescent="0.25">
      <c r="A1178">
        <v>3</v>
      </c>
      <c r="B1178" t="s">
        <v>57</v>
      </c>
      <c r="C1178" s="1">
        <v>45358</v>
      </c>
      <c r="D1178" t="s">
        <v>71</v>
      </c>
      <c r="E1178">
        <v>0</v>
      </c>
      <c r="F1178">
        <v>24</v>
      </c>
      <c r="G1178" t="str">
        <f t="shared" si="26"/>
        <v>21-40</v>
      </c>
      <c r="H1178" t="s">
        <v>35</v>
      </c>
      <c r="I1178" t="s">
        <v>36</v>
      </c>
      <c r="J1178" t="s">
        <v>37</v>
      </c>
      <c r="K1178" t="s">
        <v>26</v>
      </c>
      <c r="L1178">
        <v>1</v>
      </c>
      <c r="M1178">
        <v>1</v>
      </c>
      <c r="N1178">
        <v>5.5</v>
      </c>
      <c r="O1178">
        <v>9.6999999999999993</v>
      </c>
      <c r="P1178">
        <v>5</v>
      </c>
      <c r="Q1178">
        <v>4</v>
      </c>
      <c r="R1178">
        <v>555558</v>
      </c>
      <c r="S1178">
        <f>Table1[[#This Row],[Revenue]]-Table1[[#This Row],[Operating_Costs]]</f>
        <v>215889</v>
      </c>
      <c r="T1178">
        <v>339669</v>
      </c>
      <c r="U1178">
        <v>22</v>
      </c>
      <c r="V1178">
        <v>60</v>
      </c>
      <c r="W1178">
        <v>14.7</v>
      </c>
    </row>
    <row r="1179" spans="1:23" x14ac:dyDescent="0.25">
      <c r="A1179">
        <v>3</v>
      </c>
      <c r="B1179" t="s">
        <v>57</v>
      </c>
      <c r="C1179" s="1">
        <v>44991</v>
      </c>
      <c r="D1179" t="s">
        <v>71</v>
      </c>
      <c r="E1179">
        <v>0</v>
      </c>
      <c r="F1179">
        <v>51</v>
      </c>
      <c r="G1179" t="str">
        <f t="shared" si="26"/>
        <v>41-60</v>
      </c>
      <c r="H1179" t="s">
        <v>23</v>
      </c>
      <c r="I1179" t="s">
        <v>40</v>
      </c>
      <c r="J1179" t="s">
        <v>41</v>
      </c>
      <c r="K1179" t="s">
        <v>33</v>
      </c>
      <c r="L1179">
        <v>1</v>
      </c>
      <c r="M1179">
        <v>1</v>
      </c>
      <c r="N1179">
        <v>4.3</v>
      </c>
      <c r="O1179">
        <v>9.5</v>
      </c>
      <c r="P1179">
        <v>5</v>
      </c>
      <c r="Q1179">
        <v>3</v>
      </c>
      <c r="R1179">
        <v>561385</v>
      </c>
      <c r="S1179">
        <f>Table1[[#This Row],[Revenue]]-Table1[[#This Row],[Operating_Costs]]</f>
        <v>210484</v>
      </c>
      <c r="T1179">
        <v>350901</v>
      </c>
      <c r="U1179">
        <v>24</v>
      </c>
      <c r="V1179">
        <v>66</v>
      </c>
      <c r="W1179">
        <v>7.4</v>
      </c>
    </row>
    <row r="1180" spans="1:23" x14ac:dyDescent="0.25">
      <c r="A1180">
        <v>3</v>
      </c>
      <c r="B1180" t="s">
        <v>57</v>
      </c>
      <c r="C1180" s="1">
        <v>45340</v>
      </c>
      <c r="D1180" t="s">
        <v>71</v>
      </c>
      <c r="E1180">
        <v>0</v>
      </c>
      <c r="F1180">
        <v>81</v>
      </c>
      <c r="G1180" t="str">
        <f t="shared" si="26"/>
        <v>81+</v>
      </c>
      <c r="H1180" t="s">
        <v>23</v>
      </c>
      <c r="I1180" t="s">
        <v>43</v>
      </c>
      <c r="J1180" t="s">
        <v>25</v>
      </c>
      <c r="K1180" t="s">
        <v>26</v>
      </c>
      <c r="L1180">
        <v>1</v>
      </c>
      <c r="M1180">
        <v>1</v>
      </c>
      <c r="N1180">
        <v>1</v>
      </c>
      <c r="O1180">
        <v>7.3</v>
      </c>
      <c r="P1180">
        <v>5</v>
      </c>
      <c r="Q1180">
        <v>5</v>
      </c>
      <c r="R1180">
        <v>519958</v>
      </c>
      <c r="S1180">
        <f>Table1[[#This Row],[Revenue]]-Table1[[#This Row],[Operating_Costs]]</f>
        <v>215036</v>
      </c>
      <c r="T1180">
        <v>304922</v>
      </c>
      <c r="U1180">
        <v>23</v>
      </c>
      <c r="V1180">
        <v>60</v>
      </c>
      <c r="W1180">
        <v>7.7</v>
      </c>
    </row>
    <row r="1181" spans="1:23" x14ac:dyDescent="0.25">
      <c r="A1181">
        <v>3</v>
      </c>
      <c r="B1181" t="s">
        <v>57</v>
      </c>
      <c r="C1181" s="1">
        <v>45301</v>
      </c>
      <c r="D1181" t="s">
        <v>71</v>
      </c>
      <c r="E1181">
        <v>0</v>
      </c>
      <c r="F1181">
        <v>36</v>
      </c>
      <c r="G1181" t="str">
        <f t="shared" si="26"/>
        <v>21-40</v>
      </c>
      <c r="H1181" t="s">
        <v>35</v>
      </c>
      <c r="I1181" t="s">
        <v>53</v>
      </c>
      <c r="J1181" t="s">
        <v>54</v>
      </c>
      <c r="K1181" t="s">
        <v>33</v>
      </c>
      <c r="L1181">
        <v>1</v>
      </c>
      <c r="M1181">
        <v>1</v>
      </c>
      <c r="N1181">
        <v>5.4</v>
      </c>
      <c r="O1181">
        <v>7.1</v>
      </c>
      <c r="P1181">
        <v>4</v>
      </c>
      <c r="Q1181">
        <v>3</v>
      </c>
      <c r="R1181">
        <v>508916</v>
      </c>
      <c r="S1181">
        <f>Table1[[#This Row],[Revenue]]-Table1[[#This Row],[Operating_Costs]]</f>
        <v>206320</v>
      </c>
      <c r="T1181">
        <v>302596</v>
      </c>
      <c r="U1181">
        <v>25</v>
      </c>
      <c r="V1181">
        <v>59</v>
      </c>
      <c r="W1181">
        <v>9.8000000000000007</v>
      </c>
    </row>
    <row r="1182" spans="1:23" x14ac:dyDescent="0.25">
      <c r="A1182">
        <v>3</v>
      </c>
      <c r="B1182" t="s">
        <v>57</v>
      </c>
      <c r="C1182" s="1">
        <v>45092</v>
      </c>
      <c r="D1182" t="s">
        <v>71</v>
      </c>
      <c r="E1182">
        <v>0</v>
      </c>
      <c r="F1182">
        <v>84</v>
      </c>
      <c r="G1182" t="str">
        <f t="shared" si="26"/>
        <v>81+</v>
      </c>
      <c r="H1182" t="s">
        <v>35</v>
      </c>
      <c r="I1182" t="s">
        <v>36</v>
      </c>
      <c r="J1182" t="s">
        <v>37</v>
      </c>
      <c r="K1182" t="s">
        <v>26</v>
      </c>
      <c r="L1182">
        <v>1</v>
      </c>
      <c r="M1182">
        <v>1</v>
      </c>
      <c r="N1182">
        <v>2.1</v>
      </c>
      <c r="O1182">
        <v>9.5</v>
      </c>
      <c r="P1182">
        <v>4</v>
      </c>
      <c r="Q1182">
        <v>5</v>
      </c>
      <c r="R1182">
        <v>569401</v>
      </c>
      <c r="S1182">
        <f>Table1[[#This Row],[Revenue]]-Table1[[#This Row],[Operating_Costs]]</f>
        <v>238469</v>
      </c>
      <c r="T1182">
        <v>330932</v>
      </c>
      <c r="U1182">
        <v>15</v>
      </c>
      <c r="V1182">
        <v>60</v>
      </c>
      <c r="W1182">
        <v>5.3</v>
      </c>
    </row>
    <row r="1183" spans="1:23" x14ac:dyDescent="0.25">
      <c r="A1183">
        <v>3</v>
      </c>
      <c r="B1183" t="s">
        <v>57</v>
      </c>
      <c r="C1183" s="1">
        <v>45620</v>
      </c>
      <c r="D1183" t="s">
        <v>71</v>
      </c>
      <c r="E1183">
        <v>0</v>
      </c>
      <c r="F1183">
        <v>28</v>
      </c>
      <c r="G1183" t="str">
        <f t="shared" si="26"/>
        <v>21-40</v>
      </c>
      <c r="H1183" t="s">
        <v>23</v>
      </c>
      <c r="I1183" t="s">
        <v>40</v>
      </c>
      <c r="J1183" t="s">
        <v>41</v>
      </c>
      <c r="K1183" t="s">
        <v>29</v>
      </c>
      <c r="L1183">
        <v>1</v>
      </c>
      <c r="M1183">
        <v>1</v>
      </c>
      <c r="N1183">
        <v>5.4</v>
      </c>
      <c r="O1183">
        <v>7.9</v>
      </c>
      <c r="P1183">
        <v>6</v>
      </c>
      <c r="Q1183">
        <v>4</v>
      </c>
      <c r="R1183">
        <v>521665</v>
      </c>
      <c r="S1183">
        <f>Table1[[#This Row],[Revenue]]-Table1[[#This Row],[Operating_Costs]]</f>
        <v>192743</v>
      </c>
      <c r="T1183">
        <v>328922</v>
      </c>
      <c r="U1183">
        <v>25</v>
      </c>
      <c r="V1183">
        <v>56</v>
      </c>
      <c r="W1183">
        <v>5.3</v>
      </c>
    </row>
    <row r="1184" spans="1:23" x14ac:dyDescent="0.25">
      <c r="A1184">
        <v>3</v>
      </c>
      <c r="B1184" t="s">
        <v>57</v>
      </c>
      <c r="C1184" s="1">
        <v>45629</v>
      </c>
      <c r="D1184" t="s">
        <v>71</v>
      </c>
      <c r="E1184">
        <v>0</v>
      </c>
      <c r="F1184">
        <v>90</v>
      </c>
      <c r="G1184" t="str">
        <f t="shared" si="26"/>
        <v>81+</v>
      </c>
      <c r="H1184" t="s">
        <v>23</v>
      </c>
      <c r="I1184" t="s">
        <v>24</v>
      </c>
      <c r="J1184" t="s">
        <v>25</v>
      </c>
      <c r="K1184" t="s">
        <v>42</v>
      </c>
      <c r="L1184">
        <v>1</v>
      </c>
      <c r="M1184">
        <v>1</v>
      </c>
      <c r="N1184">
        <v>2.8</v>
      </c>
      <c r="O1184">
        <v>8.6999999999999993</v>
      </c>
      <c r="P1184">
        <v>7</v>
      </c>
      <c r="Q1184">
        <v>6</v>
      </c>
      <c r="R1184">
        <v>591957</v>
      </c>
      <c r="S1184">
        <f>Table1[[#This Row],[Revenue]]-Table1[[#This Row],[Operating_Costs]]</f>
        <v>266024</v>
      </c>
      <c r="T1184">
        <v>325933</v>
      </c>
      <c r="U1184">
        <v>25</v>
      </c>
      <c r="V1184">
        <v>65</v>
      </c>
      <c r="W1184">
        <v>36.200000000000003</v>
      </c>
    </row>
    <row r="1185" spans="1:23" x14ac:dyDescent="0.25">
      <c r="A1185">
        <v>3</v>
      </c>
      <c r="B1185" t="s">
        <v>57</v>
      </c>
      <c r="C1185" s="1">
        <v>44795</v>
      </c>
      <c r="D1185" t="s">
        <v>71</v>
      </c>
      <c r="E1185">
        <v>0</v>
      </c>
      <c r="F1185">
        <v>48</v>
      </c>
      <c r="G1185" t="str">
        <f t="shared" si="26"/>
        <v>41-60</v>
      </c>
      <c r="H1185" t="s">
        <v>23</v>
      </c>
      <c r="I1185" t="s">
        <v>24</v>
      </c>
      <c r="J1185" t="s">
        <v>25</v>
      </c>
      <c r="K1185" t="s">
        <v>42</v>
      </c>
      <c r="L1185">
        <v>1</v>
      </c>
      <c r="M1185">
        <v>1</v>
      </c>
      <c r="N1185">
        <v>1.5</v>
      </c>
      <c r="O1185">
        <v>8.6999999999999993</v>
      </c>
      <c r="P1185">
        <v>5</v>
      </c>
      <c r="Q1185">
        <v>5</v>
      </c>
      <c r="R1185">
        <v>554405</v>
      </c>
      <c r="S1185">
        <f>Table1[[#This Row],[Revenue]]-Table1[[#This Row],[Operating_Costs]]</f>
        <v>231393</v>
      </c>
      <c r="T1185">
        <v>323012</v>
      </c>
      <c r="U1185">
        <v>19</v>
      </c>
      <c r="V1185">
        <v>66</v>
      </c>
      <c r="W1185">
        <v>13</v>
      </c>
    </row>
    <row r="1186" spans="1:23" x14ac:dyDescent="0.25">
      <c r="A1186">
        <v>3</v>
      </c>
      <c r="B1186" t="s">
        <v>57</v>
      </c>
      <c r="C1186" s="1">
        <v>44876</v>
      </c>
      <c r="D1186" t="s">
        <v>71</v>
      </c>
      <c r="E1186">
        <v>0</v>
      </c>
      <c r="F1186">
        <v>46</v>
      </c>
      <c r="G1186" t="str">
        <f t="shared" si="26"/>
        <v>41-60</v>
      </c>
      <c r="H1186" t="s">
        <v>35</v>
      </c>
      <c r="I1186" t="s">
        <v>36</v>
      </c>
      <c r="J1186" t="s">
        <v>37</v>
      </c>
      <c r="K1186" t="s">
        <v>38</v>
      </c>
      <c r="L1186">
        <v>1</v>
      </c>
      <c r="M1186">
        <v>1</v>
      </c>
      <c r="N1186">
        <v>2.7</v>
      </c>
      <c r="O1186">
        <v>9.5</v>
      </c>
      <c r="P1186">
        <v>3</v>
      </c>
      <c r="Q1186">
        <v>4</v>
      </c>
      <c r="R1186">
        <v>547645</v>
      </c>
      <c r="S1186">
        <f>Table1[[#This Row],[Revenue]]-Table1[[#This Row],[Operating_Costs]]</f>
        <v>185432</v>
      </c>
      <c r="T1186">
        <v>362213</v>
      </c>
      <c r="U1186">
        <v>15</v>
      </c>
      <c r="V1186">
        <v>58</v>
      </c>
      <c r="W1186">
        <v>6.1</v>
      </c>
    </row>
    <row r="1187" spans="1:23" x14ac:dyDescent="0.25">
      <c r="A1187">
        <v>3</v>
      </c>
      <c r="B1187" t="s">
        <v>57</v>
      </c>
      <c r="C1187" s="1">
        <v>44810</v>
      </c>
      <c r="D1187" t="s">
        <v>71</v>
      </c>
      <c r="E1187">
        <v>0</v>
      </c>
      <c r="F1187">
        <v>35</v>
      </c>
      <c r="G1187" t="str">
        <f t="shared" si="26"/>
        <v>21-40</v>
      </c>
      <c r="H1187" t="s">
        <v>23</v>
      </c>
      <c r="I1187" t="s">
        <v>64</v>
      </c>
      <c r="J1187" t="s">
        <v>65</v>
      </c>
      <c r="K1187" t="s">
        <v>42</v>
      </c>
      <c r="L1187">
        <v>1</v>
      </c>
      <c r="M1187">
        <v>1</v>
      </c>
      <c r="N1187">
        <v>3.1</v>
      </c>
      <c r="O1187">
        <v>7.5</v>
      </c>
      <c r="P1187">
        <v>4</v>
      </c>
      <c r="Q1187">
        <v>4</v>
      </c>
      <c r="R1187">
        <v>534220</v>
      </c>
      <c r="S1187">
        <f>Table1[[#This Row],[Revenue]]-Table1[[#This Row],[Operating_Costs]]</f>
        <v>218617</v>
      </c>
      <c r="T1187">
        <v>315603</v>
      </c>
      <c r="U1187">
        <v>16</v>
      </c>
      <c r="V1187">
        <v>57</v>
      </c>
      <c r="W1187">
        <v>12.4</v>
      </c>
    </row>
    <row r="1188" spans="1:23" x14ac:dyDescent="0.25">
      <c r="A1188">
        <v>3</v>
      </c>
      <c r="B1188" t="s">
        <v>57</v>
      </c>
      <c r="C1188" s="1">
        <v>45208</v>
      </c>
      <c r="D1188" t="s">
        <v>71</v>
      </c>
      <c r="E1188">
        <v>0</v>
      </c>
      <c r="F1188">
        <v>81</v>
      </c>
      <c r="G1188" t="str">
        <f t="shared" si="26"/>
        <v>81+</v>
      </c>
      <c r="H1188" t="s">
        <v>35</v>
      </c>
      <c r="I1188" t="s">
        <v>46</v>
      </c>
      <c r="J1188" t="s">
        <v>47</v>
      </c>
      <c r="K1188" t="s">
        <v>42</v>
      </c>
      <c r="L1188">
        <v>1</v>
      </c>
      <c r="M1188">
        <v>1</v>
      </c>
      <c r="N1188">
        <v>3.6</v>
      </c>
      <c r="O1188">
        <v>7.7</v>
      </c>
      <c r="P1188">
        <v>3</v>
      </c>
      <c r="Q1188">
        <v>5</v>
      </c>
      <c r="R1188">
        <v>588938</v>
      </c>
      <c r="S1188">
        <f>Table1[[#This Row],[Revenue]]-Table1[[#This Row],[Operating_Costs]]</f>
        <v>196639</v>
      </c>
      <c r="T1188">
        <v>392299</v>
      </c>
      <c r="U1188">
        <v>20</v>
      </c>
      <c r="V1188">
        <v>64</v>
      </c>
      <c r="W1188">
        <v>12.5</v>
      </c>
    </row>
    <row r="1189" spans="1:23" x14ac:dyDescent="0.25">
      <c r="A1189">
        <v>3</v>
      </c>
      <c r="B1189" t="s">
        <v>57</v>
      </c>
      <c r="C1189" s="1">
        <v>45503</v>
      </c>
      <c r="D1189" t="s">
        <v>71</v>
      </c>
      <c r="E1189">
        <v>0</v>
      </c>
      <c r="F1189">
        <v>43</v>
      </c>
      <c r="G1189" t="str">
        <f t="shared" si="26"/>
        <v>41-60</v>
      </c>
      <c r="H1189" t="s">
        <v>35</v>
      </c>
      <c r="I1189" t="s">
        <v>58</v>
      </c>
      <c r="J1189" t="s">
        <v>59</v>
      </c>
      <c r="K1189" t="s">
        <v>26</v>
      </c>
      <c r="L1189">
        <v>1</v>
      </c>
      <c r="M1189">
        <v>1</v>
      </c>
      <c r="N1189">
        <v>3.2</v>
      </c>
      <c r="O1189">
        <v>9.5</v>
      </c>
      <c r="P1189">
        <v>7</v>
      </c>
      <c r="Q1189">
        <v>6</v>
      </c>
      <c r="R1189">
        <v>555848</v>
      </c>
      <c r="S1189">
        <f>Table1[[#This Row],[Revenue]]-Table1[[#This Row],[Operating_Costs]]</f>
        <v>160922</v>
      </c>
      <c r="T1189">
        <v>394926</v>
      </c>
      <c r="U1189">
        <v>16</v>
      </c>
      <c r="V1189">
        <v>56</v>
      </c>
      <c r="W1189">
        <v>12</v>
      </c>
    </row>
    <row r="1190" spans="1:23" x14ac:dyDescent="0.25">
      <c r="A1190">
        <v>3</v>
      </c>
      <c r="B1190" t="s">
        <v>57</v>
      </c>
      <c r="C1190" s="1">
        <v>44564</v>
      </c>
      <c r="D1190" t="s">
        <v>71</v>
      </c>
      <c r="E1190">
        <v>0</v>
      </c>
      <c r="F1190">
        <v>28</v>
      </c>
      <c r="G1190" t="str">
        <f t="shared" si="26"/>
        <v>21-40</v>
      </c>
      <c r="H1190" t="s">
        <v>23</v>
      </c>
      <c r="I1190" t="s">
        <v>43</v>
      </c>
      <c r="J1190" t="s">
        <v>25</v>
      </c>
      <c r="K1190" t="s">
        <v>29</v>
      </c>
      <c r="L1190">
        <v>1</v>
      </c>
      <c r="M1190">
        <v>1</v>
      </c>
      <c r="N1190">
        <v>3.8</v>
      </c>
      <c r="O1190">
        <v>8.8000000000000007</v>
      </c>
      <c r="P1190">
        <v>7</v>
      </c>
      <c r="Q1190">
        <v>7</v>
      </c>
      <c r="R1190">
        <v>586958</v>
      </c>
      <c r="S1190">
        <f>Table1[[#This Row],[Revenue]]-Table1[[#This Row],[Operating_Costs]]</f>
        <v>223308</v>
      </c>
      <c r="T1190">
        <v>363650</v>
      </c>
      <c r="U1190">
        <v>23</v>
      </c>
      <c r="V1190">
        <v>54</v>
      </c>
      <c r="W1190">
        <v>14.6</v>
      </c>
    </row>
    <row r="1191" spans="1:23" x14ac:dyDescent="0.25">
      <c r="A1191">
        <v>3</v>
      </c>
      <c r="B1191" t="s">
        <v>57</v>
      </c>
      <c r="C1191" s="1">
        <v>45216</v>
      </c>
      <c r="D1191" t="s">
        <v>71</v>
      </c>
      <c r="E1191">
        <v>0</v>
      </c>
      <c r="F1191">
        <v>35</v>
      </c>
      <c r="G1191" t="str">
        <f t="shared" si="26"/>
        <v>21-40</v>
      </c>
      <c r="H1191" t="s">
        <v>35</v>
      </c>
      <c r="I1191" t="s">
        <v>27</v>
      </c>
      <c r="J1191" t="s">
        <v>28</v>
      </c>
      <c r="K1191" t="s">
        <v>26</v>
      </c>
      <c r="L1191">
        <v>1</v>
      </c>
      <c r="M1191">
        <v>1</v>
      </c>
      <c r="N1191">
        <v>5</v>
      </c>
      <c r="O1191">
        <v>9.5</v>
      </c>
      <c r="P1191">
        <v>3</v>
      </c>
      <c r="Q1191">
        <v>7</v>
      </c>
      <c r="R1191">
        <v>534952</v>
      </c>
      <c r="S1191">
        <f>Table1[[#This Row],[Revenue]]-Table1[[#This Row],[Operating_Costs]]</f>
        <v>161557</v>
      </c>
      <c r="T1191">
        <v>373395</v>
      </c>
      <c r="U1191">
        <v>24</v>
      </c>
      <c r="V1191">
        <v>63</v>
      </c>
      <c r="W1191">
        <v>7.1</v>
      </c>
    </row>
    <row r="1192" spans="1:23" x14ac:dyDescent="0.25">
      <c r="A1192">
        <v>3</v>
      </c>
      <c r="B1192" t="s">
        <v>57</v>
      </c>
      <c r="C1192" s="1">
        <v>44391</v>
      </c>
      <c r="D1192" t="s">
        <v>71</v>
      </c>
      <c r="E1192">
        <v>0</v>
      </c>
      <c r="F1192">
        <v>62</v>
      </c>
      <c r="G1192" t="str">
        <f t="shared" si="26"/>
        <v>61-80</v>
      </c>
      <c r="H1192" t="s">
        <v>35</v>
      </c>
      <c r="I1192" t="s">
        <v>31</v>
      </c>
      <c r="J1192" t="s">
        <v>28</v>
      </c>
      <c r="K1192" t="s">
        <v>29</v>
      </c>
      <c r="L1192">
        <v>1</v>
      </c>
      <c r="M1192">
        <v>1</v>
      </c>
      <c r="N1192">
        <v>6.6</v>
      </c>
      <c r="O1192">
        <v>7.4</v>
      </c>
      <c r="P1192">
        <v>4</v>
      </c>
      <c r="Q1192">
        <v>4</v>
      </c>
      <c r="R1192">
        <v>548226</v>
      </c>
      <c r="S1192">
        <f>Table1[[#This Row],[Revenue]]-Table1[[#This Row],[Operating_Costs]]</f>
        <v>213280</v>
      </c>
      <c r="T1192">
        <v>334946</v>
      </c>
      <c r="U1192">
        <v>15</v>
      </c>
      <c r="V1192">
        <v>56</v>
      </c>
      <c r="W1192">
        <v>5.4</v>
      </c>
    </row>
    <row r="1193" spans="1:23" x14ac:dyDescent="0.25">
      <c r="A1193">
        <v>3</v>
      </c>
      <c r="B1193" t="s">
        <v>57</v>
      </c>
      <c r="C1193" s="1">
        <v>44733</v>
      </c>
      <c r="D1193" t="s">
        <v>71</v>
      </c>
      <c r="E1193">
        <v>0</v>
      </c>
      <c r="F1193">
        <v>29</v>
      </c>
      <c r="G1193" t="str">
        <f t="shared" si="26"/>
        <v>21-40</v>
      </c>
      <c r="H1193" t="s">
        <v>35</v>
      </c>
      <c r="I1193" t="s">
        <v>27</v>
      </c>
      <c r="J1193" t="s">
        <v>28</v>
      </c>
      <c r="K1193" t="s">
        <v>38</v>
      </c>
      <c r="L1193">
        <v>1</v>
      </c>
      <c r="M1193">
        <v>1</v>
      </c>
      <c r="N1193">
        <v>6.4</v>
      </c>
      <c r="O1193">
        <v>7.7</v>
      </c>
      <c r="P1193">
        <v>7</v>
      </c>
      <c r="Q1193">
        <v>6</v>
      </c>
      <c r="R1193">
        <v>551537</v>
      </c>
      <c r="S1193">
        <f>Table1[[#This Row],[Revenue]]-Table1[[#This Row],[Operating_Costs]]</f>
        <v>166055</v>
      </c>
      <c r="T1193">
        <v>385482</v>
      </c>
      <c r="U1193">
        <v>23</v>
      </c>
      <c r="V1193">
        <v>58</v>
      </c>
      <c r="W1193">
        <v>6.2</v>
      </c>
    </row>
    <row r="1194" spans="1:23" x14ac:dyDescent="0.25">
      <c r="A1194">
        <v>3</v>
      </c>
      <c r="B1194" t="s">
        <v>57</v>
      </c>
      <c r="C1194" s="1">
        <v>44799</v>
      </c>
      <c r="D1194" t="s">
        <v>71</v>
      </c>
      <c r="E1194">
        <v>0</v>
      </c>
      <c r="F1194">
        <v>62</v>
      </c>
      <c r="G1194" t="str">
        <f t="shared" si="26"/>
        <v>61-80</v>
      </c>
      <c r="H1194" t="s">
        <v>35</v>
      </c>
      <c r="I1194" t="s">
        <v>61</v>
      </c>
      <c r="J1194" t="s">
        <v>62</v>
      </c>
      <c r="K1194" t="s">
        <v>38</v>
      </c>
      <c r="L1194">
        <v>1</v>
      </c>
      <c r="M1194">
        <v>1</v>
      </c>
      <c r="N1194">
        <v>2.1</v>
      </c>
      <c r="O1194">
        <v>9.6</v>
      </c>
      <c r="P1194">
        <v>7</v>
      </c>
      <c r="Q1194">
        <v>6</v>
      </c>
      <c r="R1194">
        <v>589128</v>
      </c>
      <c r="S1194">
        <f>Table1[[#This Row],[Revenue]]-Table1[[#This Row],[Operating_Costs]]</f>
        <v>222208</v>
      </c>
      <c r="T1194">
        <v>366920</v>
      </c>
      <c r="U1194">
        <v>18</v>
      </c>
      <c r="V1194">
        <v>59</v>
      </c>
      <c r="W1194">
        <v>10.7</v>
      </c>
    </row>
    <row r="1195" spans="1:23" x14ac:dyDescent="0.25">
      <c r="A1195">
        <v>3</v>
      </c>
      <c r="B1195" t="s">
        <v>57</v>
      </c>
      <c r="C1195" s="1">
        <v>45098</v>
      </c>
      <c r="D1195" t="s">
        <v>71</v>
      </c>
      <c r="E1195">
        <v>0</v>
      </c>
      <c r="F1195">
        <v>44</v>
      </c>
      <c r="G1195" t="str">
        <f t="shared" si="26"/>
        <v>41-60</v>
      </c>
      <c r="H1195" t="s">
        <v>35</v>
      </c>
      <c r="I1195" t="s">
        <v>60</v>
      </c>
      <c r="J1195" t="s">
        <v>59</v>
      </c>
      <c r="K1195" t="s">
        <v>29</v>
      </c>
      <c r="L1195">
        <v>1</v>
      </c>
      <c r="M1195">
        <v>1</v>
      </c>
      <c r="N1195">
        <v>2.7</v>
      </c>
      <c r="O1195">
        <v>8.5</v>
      </c>
      <c r="P1195">
        <v>3</v>
      </c>
      <c r="Q1195">
        <v>5</v>
      </c>
      <c r="R1195">
        <v>576999</v>
      </c>
      <c r="S1195">
        <f>Table1[[#This Row],[Revenue]]-Table1[[#This Row],[Operating_Costs]]</f>
        <v>253827</v>
      </c>
      <c r="T1195">
        <v>323172</v>
      </c>
      <c r="U1195">
        <v>18</v>
      </c>
      <c r="V1195">
        <v>59</v>
      </c>
      <c r="W1195">
        <v>7</v>
      </c>
    </row>
    <row r="1196" spans="1:23" x14ac:dyDescent="0.25">
      <c r="A1196">
        <v>3</v>
      </c>
      <c r="B1196" t="s">
        <v>57</v>
      </c>
      <c r="C1196" s="1">
        <v>44586</v>
      </c>
      <c r="D1196" t="s">
        <v>71</v>
      </c>
      <c r="E1196">
        <v>0</v>
      </c>
      <c r="F1196">
        <v>68</v>
      </c>
      <c r="G1196" t="str">
        <f t="shared" si="26"/>
        <v>61-80</v>
      </c>
      <c r="H1196" t="s">
        <v>23</v>
      </c>
      <c r="I1196" t="s">
        <v>50</v>
      </c>
      <c r="J1196" t="s">
        <v>51</v>
      </c>
      <c r="K1196" t="s">
        <v>42</v>
      </c>
      <c r="L1196">
        <v>1</v>
      </c>
      <c r="M1196">
        <v>1</v>
      </c>
      <c r="N1196">
        <v>5.7</v>
      </c>
      <c r="O1196">
        <v>9.1</v>
      </c>
      <c r="P1196">
        <v>3</v>
      </c>
      <c r="Q1196">
        <v>3</v>
      </c>
      <c r="R1196">
        <v>547488</v>
      </c>
      <c r="S1196">
        <f>Table1[[#This Row],[Revenue]]-Table1[[#This Row],[Operating_Costs]]</f>
        <v>218943</v>
      </c>
      <c r="T1196">
        <v>328545</v>
      </c>
      <c r="U1196">
        <v>20</v>
      </c>
      <c r="V1196">
        <v>54</v>
      </c>
      <c r="W1196">
        <v>36.299999999999997</v>
      </c>
    </row>
    <row r="1197" spans="1:23" x14ac:dyDescent="0.25">
      <c r="A1197">
        <v>3</v>
      </c>
      <c r="B1197" t="s">
        <v>57</v>
      </c>
      <c r="C1197" s="1">
        <v>44653</v>
      </c>
      <c r="D1197" t="s">
        <v>71</v>
      </c>
      <c r="E1197">
        <v>0</v>
      </c>
      <c r="F1197">
        <v>81</v>
      </c>
      <c r="G1197" t="str">
        <f t="shared" si="26"/>
        <v>81+</v>
      </c>
      <c r="H1197" t="s">
        <v>23</v>
      </c>
      <c r="I1197" t="s">
        <v>67</v>
      </c>
      <c r="J1197" t="s">
        <v>68</v>
      </c>
      <c r="K1197" t="s">
        <v>26</v>
      </c>
      <c r="L1197">
        <v>1</v>
      </c>
      <c r="M1197">
        <v>1</v>
      </c>
      <c r="N1197">
        <v>5.2</v>
      </c>
      <c r="O1197">
        <v>8.1999999999999993</v>
      </c>
      <c r="P1197">
        <v>3</v>
      </c>
      <c r="Q1197">
        <v>7</v>
      </c>
      <c r="R1197">
        <v>567935</v>
      </c>
      <c r="S1197">
        <f>Table1[[#This Row],[Revenue]]-Table1[[#This Row],[Operating_Costs]]</f>
        <v>220234</v>
      </c>
      <c r="T1197">
        <v>347701</v>
      </c>
      <c r="U1197">
        <v>15</v>
      </c>
      <c r="V1197">
        <v>63</v>
      </c>
      <c r="W1197">
        <v>5.2</v>
      </c>
    </row>
    <row r="1198" spans="1:23" x14ac:dyDescent="0.25">
      <c r="A1198">
        <v>3</v>
      </c>
      <c r="B1198" t="s">
        <v>57</v>
      </c>
      <c r="C1198" s="1">
        <v>44956</v>
      </c>
      <c r="D1198" t="s">
        <v>71</v>
      </c>
      <c r="E1198">
        <v>0</v>
      </c>
      <c r="F1198">
        <v>66</v>
      </c>
      <c r="G1198" t="str">
        <f t="shared" si="26"/>
        <v>61-80</v>
      </c>
      <c r="H1198" t="s">
        <v>35</v>
      </c>
      <c r="I1198" t="s">
        <v>40</v>
      </c>
      <c r="J1198" t="s">
        <v>41</v>
      </c>
      <c r="K1198" t="s">
        <v>29</v>
      </c>
      <c r="L1198">
        <v>1</v>
      </c>
      <c r="M1198">
        <v>1</v>
      </c>
      <c r="N1198">
        <v>5.5</v>
      </c>
      <c r="O1198">
        <v>9.1999999999999993</v>
      </c>
      <c r="P1198">
        <v>6</v>
      </c>
      <c r="Q1198">
        <v>6</v>
      </c>
      <c r="R1198">
        <v>573954</v>
      </c>
      <c r="S1198">
        <f>Table1[[#This Row],[Revenue]]-Table1[[#This Row],[Operating_Costs]]</f>
        <v>192570</v>
      </c>
      <c r="T1198">
        <v>381384</v>
      </c>
      <c r="U1198">
        <v>22</v>
      </c>
      <c r="V1198">
        <v>59</v>
      </c>
      <c r="W1198">
        <v>13.2</v>
      </c>
    </row>
    <row r="1199" spans="1:23" x14ac:dyDescent="0.25">
      <c r="A1199">
        <v>3</v>
      </c>
      <c r="B1199" t="s">
        <v>57</v>
      </c>
      <c r="C1199" s="1">
        <v>44742</v>
      </c>
      <c r="D1199" t="s">
        <v>71</v>
      </c>
      <c r="E1199">
        <v>0</v>
      </c>
      <c r="F1199">
        <v>39</v>
      </c>
      <c r="G1199" t="str">
        <f t="shared" si="26"/>
        <v>21-40</v>
      </c>
      <c r="H1199" t="s">
        <v>35</v>
      </c>
      <c r="I1199" t="s">
        <v>61</v>
      </c>
      <c r="J1199" t="s">
        <v>62</v>
      </c>
      <c r="K1199" t="s">
        <v>29</v>
      </c>
      <c r="L1199">
        <v>1</v>
      </c>
      <c r="M1199">
        <v>1</v>
      </c>
      <c r="N1199">
        <v>3.9</v>
      </c>
      <c r="O1199">
        <v>9.6999999999999993</v>
      </c>
      <c r="P1199">
        <v>6</v>
      </c>
      <c r="Q1199">
        <v>5</v>
      </c>
      <c r="R1199">
        <v>562540</v>
      </c>
      <c r="S1199">
        <f>Table1[[#This Row],[Revenue]]-Table1[[#This Row],[Operating_Costs]]</f>
        <v>188501</v>
      </c>
      <c r="T1199">
        <v>374039</v>
      </c>
      <c r="U1199">
        <v>21</v>
      </c>
      <c r="V1199">
        <v>62</v>
      </c>
      <c r="W1199">
        <v>6.7</v>
      </c>
    </row>
    <row r="1200" spans="1:23" x14ac:dyDescent="0.25">
      <c r="A1200">
        <v>3</v>
      </c>
      <c r="B1200" t="s">
        <v>57</v>
      </c>
      <c r="C1200" s="1">
        <v>44583</v>
      </c>
      <c r="D1200" t="s">
        <v>71</v>
      </c>
      <c r="E1200">
        <v>0</v>
      </c>
      <c r="F1200">
        <v>66</v>
      </c>
      <c r="G1200" t="str">
        <f t="shared" si="26"/>
        <v>61-80</v>
      </c>
      <c r="H1200" t="s">
        <v>35</v>
      </c>
      <c r="I1200" t="s">
        <v>40</v>
      </c>
      <c r="J1200" t="s">
        <v>41</v>
      </c>
      <c r="K1200" t="s">
        <v>26</v>
      </c>
      <c r="L1200">
        <v>1</v>
      </c>
      <c r="M1200">
        <v>1</v>
      </c>
      <c r="N1200">
        <v>6.2</v>
      </c>
      <c r="O1200">
        <v>9.6</v>
      </c>
      <c r="P1200">
        <v>6</v>
      </c>
      <c r="Q1200">
        <v>5</v>
      </c>
      <c r="R1200">
        <v>575123</v>
      </c>
      <c r="S1200">
        <f>Table1[[#This Row],[Revenue]]-Table1[[#This Row],[Operating_Costs]]</f>
        <v>268846</v>
      </c>
      <c r="T1200">
        <v>306277</v>
      </c>
      <c r="U1200">
        <v>24</v>
      </c>
      <c r="V1200">
        <v>61</v>
      </c>
      <c r="W1200">
        <v>8.6999999999999993</v>
      </c>
    </row>
    <row r="1201" spans="1:23" x14ac:dyDescent="0.25">
      <c r="A1201">
        <v>3</v>
      </c>
      <c r="B1201" t="s">
        <v>57</v>
      </c>
      <c r="C1201" s="1">
        <v>44775</v>
      </c>
      <c r="D1201" t="s">
        <v>71</v>
      </c>
      <c r="E1201">
        <v>0</v>
      </c>
      <c r="F1201">
        <v>29</v>
      </c>
      <c r="G1201" t="str">
        <f t="shared" si="26"/>
        <v>21-40</v>
      </c>
      <c r="H1201" t="s">
        <v>23</v>
      </c>
      <c r="I1201" t="s">
        <v>24</v>
      </c>
      <c r="J1201" t="s">
        <v>25</v>
      </c>
      <c r="K1201" t="s">
        <v>38</v>
      </c>
      <c r="L1201">
        <v>1</v>
      </c>
      <c r="M1201">
        <v>1</v>
      </c>
      <c r="N1201">
        <v>2.2999999999999998</v>
      </c>
      <c r="O1201">
        <v>8</v>
      </c>
      <c r="P1201">
        <v>4</v>
      </c>
      <c r="Q1201">
        <v>6</v>
      </c>
      <c r="R1201">
        <v>523775</v>
      </c>
      <c r="S1201">
        <f>Table1[[#This Row],[Revenue]]-Table1[[#This Row],[Operating_Costs]]</f>
        <v>172696</v>
      </c>
      <c r="T1201">
        <v>351079</v>
      </c>
      <c r="U1201">
        <v>23</v>
      </c>
      <c r="V1201">
        <v>55</v>
      </c>
      <c r="W1201">
        <v>13.2</v>
      </c>
    </row>
    <row r="1202" spans="1:23" x14ac:dyDescent="0.25">
      <c r="A1202">
        <v>3</v>
      </c>
      <c r="B1202" t="s">
        <v>57</v>
      </c>
      <c r="C1202" s="1">
        <v>45351</v>
      </c>
      <c r="D1202" t="s">
        <v>71</v>
      </c>
      <c r="E1202">
        <v>0</v>
      </c>
      <c r="F1202">
        <v>44</v>
      </c>
      <c r="G1202" t="str">
        <f t="shared" si="26"/>
        <v>41-60</v>
      </c>
      <c r="H1202" t="s">
        <v>23</v>
      </c>
      <c r="I1202" t="s">
        <v>24</v>
      </c>
      <c r="J1202" t="s">
        <v>25</v>
      </c>
      <c r="K1202" t="s">
        <v>26</v>
      </c>
      <c r="L1202">
        <v>1</v>
      </c>
      <c r="M1202">
        <v>1</v>
      </c>
      <c r="N1202">
        <v>2.6</v>
      </c>
      <c r="O1202">
        <v>8.9</v>
      </c>
      <c r="P1202">
        <v>4</v>
      </c>
      <c r="Q1202">
        <v>5</v>
      </c>
      <c r="R1202">
        <v>542433</v>
      </c>
      <c r="S1202">
        <f>Table1[[#This Row],[Revenue]]-Table1[[#This Row],[Operating_Costs]]</f>
        <v>174686</v>
      </c>
      <c r="T1202">
        <v>367747</v>
      </c>
      <c r="U1202">
        <v>16</v>
      </c>
      <c r="V1202">
        <v>58</v>
      </c>
      <c r="W1202">
        <v>8.6</v>
      </c>
    </row>
    <row r="1203" spans="1:23" x14ac:dyDescent="0.25">
      <c r="A1203">
        <v>3</v>
      </c>
      <c r="B1203" t="s">
        <v>57</v>
      </c>
      <c r="C1203" s="1">
        <v>44683</v>
      </c>
      <c r="D1203" t="s">
        <v>71</v>
      </c>
      <c r="E1203">
        <v>0</v>
      </c>
      <c r="F1203">
        <v>70</v>
      </c>
      <c r="G1203" t="str">
        <f t="shared" si="26"/>
        <v>61-80</v>
      </c>
      <c r="H1203" t="s">
        <v>35</v>
      </c>
      <c r="I1203" t="s">
        <v>36</v>
      </c>
      <c r="J1203" t="s">
        <v>37</v>
      </c>
      <c r="K1203" t="s">
        <v>38</v>
      </c>
      <c r="L1203">
        <v>1</v>
      </c>
      <c r="M1203">
        <v>1</v>
      </c>
      <c r="N1203">
        <v>6.2</v>
      </c>
      <c r="O1203">
        <v>8.1999999999999993</v>
      </c>
      <c r="P1203">
        <v>7</v>
      </c>
      <c r="Q1203">
        <v>3</v>
      </c>
      <c r="R1203">
        <v>579684</v>
      </c>
      <c r="S1203">
        <f>Table1[[#This Row],[Revenue]]-Table1[[#This Row],[Operating_Costs]]</f>
        <v>192349</v>
      </c>
      <c r="T1203">
        <v>387335</v>
      </c>
      <c r="U1203">
        <v>24</v>
      </c>
      <c r="V1203">
        <v>54</v>
      </c>
      <c r="W1203">
        <v>13.5</v>
      </c>
    </row>
    <row r="1204" spans="1:23" x14ac:dyDescent="0.25">
      <c r="A1204">
        <v>3</v>
      </c>
      <c r="B1204" t="s">
        <v>57</v>
      </c>
      <c r="C1204" s="1">
        <v>44615</v>
      </c>
      <c r="D1204" t="s">
        <v>71</v>
      </c>
      <c r="E1204">
        <v>0</v>
      </c>
      <c r="F1204">
        <v>69</v>
      </c>
      <c r="G1204" t="str">
        <f t="shared" si="26"/>
        <v>61-80</v>
      </c>
      <c r="H1204" t="s">
        <v>35</v>
      </c>
      <c r="I1204" t="s">
        <v>36</v>
      </c>
      <c r="J1204" t="s">
        <v>37</v>
      </c>
      <c r="K1204" t="s">
        <v>33</v>
      </c>
      <c r="L1204">
        <v>1</v>
      </c>
      <c r="M1204">
        <v>1</v>
      </c>
      <c r="N1204">
        <v>6.7</v>
      </c>
      <c r="O1204">
        <v>7.5</v>
      </c>
      <c r="P1204">
        <v>6</v>
      </c>
      <c r="Q1204">
        <v>3</v>
      </c>
      <c r="R1204">
        <v>560645</v>
      </c>
      <c r="S1204">
        <f>Table1[[#This Row],[Revenue]]-Table1[[#This Row],[Operating_Costs]]</f>
        <v>252909</v>
      </c>
      <c r="T1204">
        <v>307736</v>
      </c>
      <c r="U1204">
        <v>22</v>
      </c>
      <c r="V1204">
        <v>57</v>
      </c>
      <c r="W1204">
        <v>14.7</v>
      </c>
    </row>
    <row r="1205" spans="1:23" x14ac:dyDescent="0.25">
      <c r="A1205">
        <v>3</v>
      </c>
      <c r="B1205" t="s">
        <v>57</v>
      </c>
      <c r="C1205" s="1">
        <v>44969</v>
      </c>
      <c r="D1205" t="s">
        <v>71</v>
      </c>
      <c r="E1205">
        <v>0</v>
      </c>
      <c r="F1205">
        <v>67</v>
      </c>
      <c r="G1205" t="str">
        <f t="shared" si="26"/>
        <v>61-80</v>
      </c>
      <c r="H1205" t="s">
        <v>35</v>
      </c>
      <c r="I1205" t="s">
        <v>36</v>
      </c>
      <c r="J1205" t="s">
        <v>37</v>
      </c>
      <c r="K1205" t="s">
        <v>26</v>
      </c>
      <c r="L1205">
        <v>1</v>
      </c>
      <c r="M1205">
        <v>1</v>
      </c>
      <c r="N1205">
        <v>4.9000000000000004</v>
      </c>
      <c r="O1205">
        <v>9.9</v>
      </c>
      <c r="P1205">
        <v>5</v>
      </c>
      <c r="Q1205">
        <v>4</v>
      </c>
      <c r="R1205">
        <v>587506</v>
      </c>
      <c r="S1205">
        <f>Table1[[#This Row],[Revenue]]-Table1[[#This Row],[Operating_Costs]]</f>
        <v>199449</v>
      </c>
      <c r="T1205">
        <v>388057</v>
      </c>
      <c r="U1205">
        <v>24</v>
      </c>
      <c r="V1205">
        <v>60</v>
      </c>
      <c r="W1205">
        <v>7.9</v>
      </c>
    </row>
    <row r="1206" spans="1:23" x14ac:dyDescent="0.25">
      <c r="A1206">
        <v>3</v>
      </c>
      <c r="B1206" t="s">
        <v>57</v>
      </c>
      <c r="C1206" s="1">
        <v>45637</v>
      </c>
      <c r="D1206" t="s">
        <v>71</v>
      </c>
      <c r="E1206">
        <v>0</v>
      </c>
      <c r="F1206">
        <v>87</v>
      </c>
      <c r="G1206" t="str">
        <f t="shared" si="26"/>
        <v>81+</v>
      </c>
      <c r="H1206" t="s">
        <v>35</v>
      </c>
      <c r="I1206" t="s">
        <v>46</v>
      </c>
      <c r="J1206" t="s">
        <v>47</v>
      </c>
      <c r="K1206" t="s">
        <v>42</v>
      </c>
      <c r="L1206">
        <v>1</v>
      </c>
      <c r="M1206">
        <v>1</v>
      </c>
      <c r="N1206">
        <v>4.4000000000000004</v>
      </c>
      <c r="O1206">
        <v>8.1</v>
      </c>
      <c r="P1206">
        <v>3</v>
      </c>
      <c r="Q1206">
        <v>4</v>
      </c>
      <c r="R1206">
        <v>506603</v>
      </c>
      <c r="S1206">
        <f>Table1[[#This Row],[Revenue]]-Table1[[#This Row],[Operating_Costs]]</f>
        <v>132241</v>
      </c>
      <c r="T1206">
        <v>374362</v>
      </c>
      <c r="U1206">
        <v>23</v>
      </c>
      <c r="V1206">
        <v>63</v>
      </c>
      <c r="W1206">
        <v>5.4</v>
      </c>
    </row>
    <row r="1207" spans="1:23" x14ac:dyDescent="0.25">
      <c r="A1207">
        <v>3</v>
      </c>
      <c r="B1207" t="s">
        <v>57</v>
      </c>
      <c r="C1207" s="1">
        <v>45253</v>
      </c>
      <c r="D1207" t="s">
        <v>71</v>
      </c>
      <c r="E1207">
        <v>0</v>
      </c>
      <c r="F1207">
        <v>46</v>
      </c>
      <c r="G1207" t="str">
        <f t="shared" si="26"/>
        <v>41-60</v>
      </c>
      <c r="H1207" t="s">
        <v>35</v>
      </c>
      <c r="I1207" t="s">
        <v>46</v>
      </c>
      <c r="J1207" t="s">
        <v>47</v>
      </c>
      <c r="K1207" t="s">
        <v>33</v>
      </c>
      <c r="L1207">
        <v>1</v>
      </c>
      <c r="M1207">
        <v>1</v>
      </c>
      <c r="N1207">
        <v>6.5</v>
      </c>
      <c r="O1207">
        <v>9.8000000000000007</v>
      </c>
      <c r="P1207">
        <v>5</v>
      </c>
      <c r="Q1207">
        <v>3</v>
      </c>
      <c r="R1207">
        <v>536329</v>
      </c>
      <c r="S1207">
        <f>Table1[[#This Row],[Revenue]]-Table1[[#This Row],[Operating_Costs]]</f>
        <v>232707</v>
      </c>
      <c r="T1207">
        <v>303622</v>
      </c>
      <c r="U1207">
        <v>25</v>
      </c>
      <c r="V1207">
        <v>54</v>
      </c>
      <c r="W1207">
        <v>10.199999999999999</v>
      </c>
    </row>
    <row r="1208" spans="1:23" x14ac:dyDescent="0.25">
      <c r="A1208">
        <v>3</v>
      </c>
      <c r="B1208" t="s">
        <v>57</v>
      </c>
      <c r="C1208" s="1">
        <v>45480</v>
      </c>
      <c r="D1208" t="s">
        <v>71</v>
      </c>
      <c r="E1208">
        <v>0</v>
      </c>
      <c r="F1208">
        <v>82</v>
      </c>
      <c r="G1208" t="str">
        <f t="shared" si="26"/>
        <v>81+</v>
      </c>
      <c r="H1208" t="s">
        <v>35</v>
      </c>
      <c r="I1208" t="s">
        <v>50</v>
      </c>
      <c r="J1208" t="s">
        <v>51</v>
      </c>
      <c r="K1208" t="s">
        <v>29</v>
      </c>
      <c r="L1208">
        <v>1</v>
      </c>
      <c r="M1208">
        <v>1</v>
      </c>
      <c r="N1208">
        <v>5.0999999999999996</v>
      </c>
      <c r="O1208">
        <v>7.2</v>
      </c>
      <c r="P1208">
        <v>7</v>
      </c>
      <c r="Q1208">
        <v>6</v>
      </c>
      <c r="R1208">
        <v>552735</v>
      </c>
      <c r="S1208">
        <f>Table1[[#This Row],[Revenue]]-Table1[[#This Row],[Operating_Costs]]</f>
        <v>238594</v>
      </c>
      <c r="T1208">
        <v>314141</v>
      </c>
      <c r="U1208">
        <v>25</v>
      </c>
      <c r="V1208">
        <v>62</v>
      </c>
      <c r="W1208">
        <v>14.9</v>
      </c>
    </row>
    <row r="1209" spans="1:23" x14ac:dyDescent="0.25">
      <c r="A1209">
        <v>3</v>
      </c>
      <c r="B1209" t="s">
        <v>57</v>
      </c>
      <c r="C1209" s="1">
        <v>44796</v>
      </c>
      <c r="D1209" t="s">
        <v>71</v>
      </c>
      <c r="E1209">
        <v>0</v>
      </c>
      <c r="F1209">
        <v>82</v>
      </c>
      <c r="G1209" t="str">
        <f t="shared" si="26"/>
        <v>81+</v>
      </c>
      <c r="H1209" t="s">
        <v>23</v>
      </c>
      <c r="I1209" t="s">
        <v>31</v>
      </c>
      <c r="J1209" t="s">
        <v>28</v>
      </c>
      <c r="K1209" t="s">
        <v>33</v>
      </c>
      <c r="L1209">
        <v>1</v>
      </c>
      <c r="M1209">
        <v>1</v>
      </c>
      <c r="N1209">
        <v>2.2999999999999998</v>
      </c>
      <c r="O1209">
        <v>7.9</v>
      </c>
      <c r="P1209">
        <v>3</v>
      </c>
      <c r="Q1209">
        <v>7</v>
      </c>
      <c r="R1209">
        <v>517246</v>
      </c>
      <c r="S1209">
        <f>Table1[[#This Row],[Revenue]]-Table1[[#This Row],[Operating_Costs]]</f>
        <v>129469</v>
      </c>
      <c r="T1209">
        <v>387777</v>
      </c>
      <c r="U1209">
        <v>25</v>
      </c>
      <c r="V1209">
        <v>63</v>
      </c>
      <c r="W1209">
        <v>7.3</v>
      </c>
    </row>
    <row r="1210" spans="1:23" x14ac:dyDescent="0.25">
      <c r="A1210">
        <v>3</v>
      </c>
      <c r="B1210" t="s">
        <v>57</v>
      </c>
      <c r="C1210" s="1">
        <v>45631</v>
      </c>
      <c r="D1210" t="s">
        <v>71</v>
      </c>
      <c r="E1210">
        <v>0</v>
      </c>
      <c r="F1210">
        <v>49</v>
      </c>
      <c r="G1210" t="str">
        <f t="shared" si="26"/>
        <v>41-60</v>
      </c>
      <c r="H1210" t="s">
        <v>23</v>
      </c>
      <c r="I1210" t="s">
        <v>40</v>
      </c>
      <c r="J1210" t="s">
        <v>41</v>
      </c>
      <c r="K1210" t="s">
        <v>33</v>
      </c>
      <c r="L1210">
        <v>1</v>
      </c>
      <c r="M1210">
        <v>1</v>
      </c>
      <c r="N1210">
        <v>4.9000000000000004</v>
      </c>
      <c r="O1210">
        <v>8.8000000000000007</v>
      </c>
      <c r="P1210">
        <v>4</v>
      </c>
      <c r="Q1210">
        <v>7</v>
      </c>
      <c r="R1210">
        <v>512227</v>
      </c>
      <c r="S1210">
        <f>Table1[[#This Row],[Revenue]]-Table1[[#This Row],[Operating_Costs]]</f>
        <v>168087</v>
      </c>
      <c r="T1210">
        <v>344140</v>
      </c>
      <c r="U1210">
        <v>15</v>
      </c>
      <c r="V1210">
        <v>54</v>
      </c>
      <c r="W1210">
        <v>10.4</v>
      </c>
    </row>
    <row r="1211" spans="1:23" x14ac:dyDescent="0.25">
      <c r="A1211">
        <v>3</v>
      </c>
      <c r="B1211" t="s">
        <v>57</v>
      </c>
      <c r="C1211" s="1">
        <v>45269</v>
      </c>
      <c r="D1211" t="s">
        <v>71</v>
      </c>
      <c r="E1211">
        <v>0</v>
      </c>
      <c r="F1211">
        <v>81</v>
      </c>
      <c r="G1211" t="str">
        <f t="shared" si="26"/>
        <v>81+</v>
      </c>
      <c r="H1211" t="s">
        <v>23</v>
      </c>
      <c r="I1211" t="s">
        <v>46</v>
      </c>
      <c r="J1211" t="s">
        <v>47</v>
      </c>
      <c r="K1211" t="s">
        <v>38</v>
      </c>
      <c r="L1211">
        <v>1</v>
      </c>
      <c r="M1211">
        <v>1</v>
      </c>
      <c r="N1211">
        <v>6.5</v>
      </c>
      <c r="O1211">
        <v>9.5</v>
      </c>
      <c r="P1211">
        <v>3</v>
      </c>
      <c r="Q1211">
        <v>4</v>
      </c>
      <c r="R1211">
        <v>541821</v>
      </c>
      <c r="S1211">
        <f>Table1[[#This Row],[Revenue]]-Table1[[#This Row],[Operating_Costs]]</f>
        <v>150797</v>
      </c>
      <c r="T1211">
        <v>391024</v>
      </c>
      <c r="U1211">
        <v>18</v>
      </c>
      <c r="V1211">
        <v>57</v>
      </c>
      <c r="W1211">
        <v>6.3</v>
      </c>
    </row>
    <row r="1212" spans="1:23" x14ac:dyDescent="0.25">
      <c r="A1212">
        <v>3</v>
      </c>
      <c r="B1212" t="s">
        <v>57</v>
      </c>
      <c r="C1212" s="1">
        <v>45223</v>
      </c>
      <c r="D1212" t="s">
        <v>71</v>
      </c>
      <c r="E1212">
        <v>0</v>
      </c>
      <c r="F1212">
        <v>87</v>
      </c>
      <c r="G1212" t="str">
        <f t="shared" si="26"/>
        <v>81+</v>
      </c>
      <c r="H1212" t="s">
        <v>23</v>
      </c>
      <c r="I1212" t="s">
        <v>24</v>
      </c>
      <c r="J1212" t="s">
        <v>25</v>
      </c>
      <c r="K1212" t="s">
        <v>26</v>
      </c>
      <c r="L1212">
        <v>1</v>
      </c>
      <c r="M1212">
        <v>1</v>
      </c>
      <c r="N1212">
        <v>3.3</v>
      </c>
      <c r="O1212">
        <v>7.3</v>
      </c>
      <c r="P1212">
        <v>4</v>
      </c>
      <c r="Q1212">
        <v>6</v>
      </c>
      <c r="R1212">
        <v>558736</v>
      </c>
      <c r="S1212">
        <f>Table1[[#This Row],[Revenue]]-Table1[[#This Row],[Operating_Costs]]</f>
        <v>213249</v>
      </c>
      <c r="T1212">
        <v>345487</v>
      </c>
      <c r="U1212">
        <v>23</v>
      </c>
      <c r="V1212">
        <v>59</v>
      </c>
      <c r="W1212">
        <v>13.8</v>
      </c>
    </row>
    <row r="1213" spans="1:23" x14ac:dyDescent="0.25">
      <c r="A1213">
        <v>3</v>
      </c>
      <c r="B1213" t="s">
        <v>57</v>
      </c>
      <c r="C1213" s="1">
        <v>44816</v>
      </c>
      <c r="D1213" t="s">
        <v>71</v>
      </c>
      <c r="E1213">
        <v>0</v>
      </c>
      <c r="F1213">
        <v>27</v>
      </c>
      <c r="G1213" t="str">
        <f t="shared" si="26"/>
        <v>21-40</v>
      </c>
      <c r="H1213" t="s">
        <v>35</v>
      </c>
      <c r="I1213" t="s">
        <v>46</v>
      </c>
      <c r="J1213" t="s">
        <v>47</v>
      </c>
      <c r="K1213" t="s">
        <v>26</v>
      </c>
      <c r="L1213">
        <v>1</v>
      </c>
      <c r="M1213">
        <v>1</v>
      </c>
      <c r="N1213">
        <v>4.0999999999999996</v>
      </c>
      <c r="O1213">
        <v>7.7</v>
      </c>
      <c r="P1213">
        <v>3</v>
      </c>
      <c r="Q1213">
        <v>6</v>
      </c>
      <c r="R1213">
        <v>565637</v>
      </c>
      <c r="S1213">
        <f>Table1[[#This Row],[Revenue]]-Table1[[#This Row],[Operating_Costs]]</f>
        <v>168478</v>
      </c>
      <c r="T1213">
        <v>397159</v>
      </c>
      <c r="U1213">
        <v>19</v>
      </c>
      <c r="V1213">
        <v>57</v>
      </c>
      <c r="W1213">
        <v>5.5</v>
      </c>
    </row>
    <row r="1214" spans="1:23" x14ac:dyDescent="0.25">
      <c r="A1214">
        <v>3</v>
      </c>
      <c r="B1214" t="s">
        <v>57</v>
      </c>
      <c r="C1214" s="1">
        <v>44763</v>
      </c>
      <c r="D1214" t="s">
        <v>71</v>
      </c>
      <c r="E1214">
        <v>0</v>
      </c>
      <c r="F1214">
        <v>33</v>
      </c>
      <c r="G1214" t="str">
        <f t="shared" si="26"/>
        <v>21-40</v>
      </c>
      <c r="H1214" t="s">
        <v>23</v>
      </c>
      <c r="I1214" t="s">
        <v>27</v>
      </c>
      <c r="J1214" t="s">
        <v>28</v>
      </c>
      <c r="K1214" t="s">
        <v>33</v>
      </c>
      <c r="L1214">
        <v>1</v>
      </c>
      <c r="M1214">
        <v>1</v>
      </c>
      <c r="N1214">
        <v>6.6</v>
      </c>
      <c r="O1214">
        <v>8.3000000000000007</v>
      </c>
      <c r="P1214">
        <v>7</v>
      </c>
      <c r="Q1214">
        <v>7</v>
      </c>
      <c r="R1214">
        <v>596054</v>
      </c>
      <c r="S1214">
        <f>Table1[[#This Row],[Revenue]]-Table1[[#This Row],[Operating_Costs]]</f>
        <v>276473</v>
      </c>
      <c r="T1214">
        <v>319581</v>
      </c>
      <c r="U1214">
        <v>24</v>
      </c>
      <c r="V1214">
        <v>62</v>
      </c>
      <c r="W1214">
        <v>12.9</v>
      </c>
    </row>
    <row r="1215" spans="1:23" x14ac:dyDescent="0.25">
      <c r="A1215">
        <v>3</v>
      </c>
      <c r="B1215" t="s">
        <v>57</v>
      </c>
      <c r="C1215" s="1">
        <v>44969</v>
      </c>
      <c r="D1215" t="s">
        <v>71</v>
      </c>
      <c r="E1215">
        <v>0</v>
      </c>
      <c r="F1215">
        <v>24</v>
      </c>
      <c r="G1215" t="str">
        <f t="shared" si="26"/>
        <v>21-40</v>
      </c>
      <c r="H1215" t="s">
        <v>35</v>
      </c>
      <c r="I1215" t="s">
        <v>31</v>
      </c>
      <c r="J1215" t="s">
        <v>28</v>
      </c>
      <c r="K1215" t="s">
        <v>42</v>
      </c>
      <c r="L1215">
        <v>1</v>
      </c>
      <c r="M1215">
        <v>1</v>
      </c>
      <c r="N1215">
        <v>5.7</v>
      </c>
      <c r="O1215">
        <v>8.3000000000000007</v>
      </c>
      <c r="P1215">
        <v>7</v>
      </c>
      <c r="Q1215">
        <v>7</v>
      </c>
      <c r="R1215">
        <v>558521</v>
      </c>
      <c r="S1215">
        <f>Table1[[#This Row],[Revenue]]-Table1[[#This Row],[Operating_Costs]]</f>
        <v>177463</v>
      </c>
      <c r="T1215">
        <v>381058</v>
      </c>
      <c r="U1215">
        <v>25</v>
      </c>
      <c r="V1215">
        <v>60</v>
      </c>
      <c r="W1215">
        <v>5.0999999999999996</v>
      </c>
    </row>
    <row r="1216" spans="1:23" x14ac:dyDescent="0.25">
      <c r="A1216">
        <v>3</v>
      </c>
      <c r="B1216" t="s">
        <v>57</v>
      </c>
      <c r="C1216" s="1">
        <v>44930</v>
      </c>
      <c r="D1216" t="s">
        <v>71</v>
      </c>
      <c r="E1216">
        <v>0</v>
      </c>
      <c r="F1216">
        <v>39</v>
      </c>
      <c r="G1216" t="str">
        <f t="shared" si="26"/>
        <v>21-40</v>
      </c>
      <c r="H1216" t="s">
        <v>23</v>
      </c>
      <c r="I1216" t="s">
        <v>40</v>
      </c>
      <c r="J1216" t="s">
        <v>41</v>
      </c>
      <c r="K1216" t="s">
        <v>26</v>
      </c>
      <c r="L1216">
        <v>1</v>
      </c>
      <c r="M1216">
        <v>1</v>
      </c>
      <c r="N1216">
        <v>6.3</v>
      </c>
      <c r="O1216">
        <v>8.9</v>
      </c>
      <c r="P1216">
        <v>6</v>
      </c>
      <c r="Q1216">
        <v>6</v>
      </c>
      <c r="R1216">
        <v>541593</v>
      </c>
      <c r="S1216">
        <f>Table1[[#This Row],[Revenue]]-Table1[[#This Row],[Operating_Costs]]</f>
        <v>240043</v>
      </c>
      <c r="T1216">
        <v>301550</v>
      </c>
      <c r="U1216">
        <v>18</v>
      </c>
      <c r="V1216">
        <v>59</v>
      </c>
      <c r="W1216">
        <v>13.2</v>
      </c>
    </row>
    <row r="1217" spans="1:23" x14ac:dyDescent="0.25">
      <c r="A1217">
        <v>3</v>
      </c>
      <c r="B1217" t="s">
        <v>57</v>
      </c>
      <c r="C1217" s="1">
        <v>44937</v>
      </c>
      <c r="D1217" t="s">
        <v>71</v>
      </c>
      <c r="E1217">
        <v>0</v>
      </c>
      <c r="F1217">
        <v>26</v>
      </c>
      <c r="G1217" t="str">
        <f t="shared" si="26"/>
        <v>21-40</v>
      </c>
      <c r="H1217" t="s">
        <v>23</v>
      </c>
      <c r="I1217" t="s">
        <v>58</v>
      </c>
      <c r="J1217" t="s">
        <v>59</v>
      </c>
      <c r="K1217" t="s">
        <v>33</v>
      </c>
      <c r="L1217">
        <v>1</v>
      </c>
      <c r="M1217">
        <v>1</v>
      </c>
      <c r="N1217">
        <v>6.2</v>
      </c>
      <c r="O1217">
        <v>8.8000000000000007</v>
      </c>
      <c r="P1217">
        <v>6</v>
      </c>
      <c r="Q1217">
        <v>3</v>
      </c>
      <c r="R1217">
        <v>501519</v>
      </c>
      <c r="S1217">
        <f>Table1[[#This Row],[Revenue]]-Table1[[#This Row],[Operating_Costs]]</f>
        <v>153016</v>
      </c>
      <c r="T1217">
        <v>348503</v>
      </c>
      <c r="U1217">
        <v>24</v>
      </c>
      <c r="V1217">
        <v>63</v>
      </c>
      <c r="W1217">
        <v>5.9</v>
      </c>
    </row>
    <row r="1218" spans="1:23" x14ac:dyDescent="0.25">
      <c r="A1218">
        <v>3</v>
      </c>
      <c r="B1218" t="s">
        <v>57</v>
      </c>
      <c r="C1218" s="1">
        <v>45104</v>
      </c>
      <c r="D1218" t="s">
        <v>71</v>
      </c>
      <c r="E1218">
        <v>0</v>
      </c>
      <c r="F1218">
        <v>66</v>
      </c>
      <c r="G1218" t="str">
        <f t="shared" si="26"/>
        <v>61-80</v>
      </c>
      <c r="H1218" t="s">
        <v>23</v>
      </c>
      <c r="I1218" t="s">
        <v>31</v>
      </c>
      <c r="J1218" t="s">
        <v>28</v>
      </c>
      <c r="K1218" t="s">
        <v>26</v>
      </c>
      <c r="L1218">
        <v>1</v>
      </c>
      <c r="M1218">
        <v>1</v>
      </c>
      <c r="N1218">
        <v>2.9</v>
      </c>
      <c r="O1218">
        <v>9.1</v>
      </c>
      <c r="P1218">
        <v>3</v>
      </c>
      <c r="Q1218">
        <v>4</v>
      </c>
      <c r="R1218">
        <v>532567</v>
      </c>
      <c r="S1218">
        <f>Table1[[#This Row],[Revenue]]-Table1[[#This Row],[Operating_Costs]]</f>
        <v>217038</v>
      </c>
      <c r="T1218">
        <v>315529</v>
      </c>
      <c r="U1218">
        <v>17</v>
      </c>
      <c r="V1218">
        <v>55</v>
      </c>
      <c r="W1218">
        <v>7</v>
      </c>
    </row>
    <row r="1219" spans="1:23" x14ac:dyDescent="0.25">
      <c r="A1219">
        <v>3</v>
      </c>
      <c r="B1219" t="s">
        <v>57</v>
      </c>
      <c r="C1219" s="1">
        <v>45176</v>
      </c>
      <c r="D1219" t="s">
        <v>71</v>
      </c>
      <c r="E1219">
        <v>0</v>
      </c>
      <c r="F1219">
        <v>39</v>
      </c>
      <c r="G1219" t="str">
        <f t="shared" ref="G1219:G1282" si="27">IF(F1219&lt;=20,"0-20",IF(F1219&lt;=40,"21-40",IF(F1219&lt;=60,"41-60",IF(F1219&lt;=80,"61-80","81+"))))</f>
        <v>21-40</v>
      </c>
      <c r="H1219" t="s">
        <v>23</v>
      </c>
      <c r="I1219" t="s">
        <v>24</v>
      </c>
      <c r="J1219" t="s">
        <v>25</v>
      </c>
      <c r="K1219" t="s">
        <v>33</v>
      </c>
      <c r="L1219">
        <v>1</v>
      </c>
      <c r="M1219">
        <v>1</v>
      </c>
      <c r="N1219">
        <v>4.0999999999999996</v>
      </c>
      <c r="O1219">
        <v>9.6999999999999993</v>
      </c>
      <c r="P1219">
        <v>3</v>
      </c>
      <c r="Q1219">
        <v>7</v>
      </c>
      <c r="R1219">
        <v>573868</v>
      </c>
      <c r="S1219">
        <f>Table1[[#This Row],[Revenue]]-Table1[[#This Row],[Operating_Costs]]</f>
        <v>190688</v>
      </c>
      <c r="T1219">
        <v>383180</v>
      </c>
      <c r="U1219">
        <v>21</v>
      </c>
      <c r="V1219">
        <v>62</v>
      </c>
      <c r="W1219">
        <v>14.3</v>
      </c>
    </row>
    <row r="1220" spans="1:23" x14ac:dyDescent="0.25">
      <c r="A1220">
        <v>3</v>
      </c>
      <c r="B1220" t="s">
        <v>57</v>
      </c>
      <c r="C1220" s="1">
        <v>44810</v>
      </c>
      <c r="D1220" t="s">
        <v>71</v>
      </c>
      <c r="E1220">
        <v>0</v>
      </c>
      <c r="F1220">
        <v>46</v>
      </c>
      <c r="G1220" t="str">
        <f t="shared" si="27"/>
        <v>41-60</v>
      </c>
      <c r="H1220" t="s">
        <v>23</v>
      </c>
      <c r="I1220" t="s">
        <v>24</v>
      </c>
      <c r="J1220" t="s">
        <v>25</v>
      </c>
      <c r="K1220" t="s">
        <v>29</v>
      </c>
      <c r="L1220">
        <v>1</v>
      </c>
      <c r="M1220">
        <v>1</v>
      </c>
      <c r="N1220">
        <v>1.8</v>
      </c>
      <c r="O1220">
        <v>7.6</v>
      </c>
      <c r="P1220">
        <v>6</v>
      </c>
      <c r="Q1220">
        <v>6</v>
      </c>
      <c r="R1220">
        <v>522281</v>
      </c>
      <c r="S1220">
        <f>Table1[[#This Row],[Revenue]]-Table1[[#This Row],[Operating_Costs]]</f>
        <v>124750</v>
      </c>
      <c r="T1220">
        <v>397531</v>
      </c>
      <c r="U1220">
        <v>17</v>
      </c>
      <c r="V1220">
        <v>57</v>
      </c>
      <c r="W1220">
        <v>10.3</v>
      </c>
    </row>
    <row r="1221" spans="1:23" x14ac:dyDescent="0.25">
      <c r="A1221">
        <v>3</v>
      </c>
      <c r="B1221" t="s">
        <v>57</v>
      </c>
      <c r="C1221" s="1">
        <v>45108</v>
      </c>
      <c r="D1221" t="s">
        <v>71</v>
      </c>
      <c r="E1221">
        <v>0</v>
      </c>
      <c r="F1221">
        <v>36</v>
      </c>
      <c r="G1221" t="str">
        <f t="shared" si="27"/>
        <v>21-40</v>
      </c>
      <c r="H1221" t="s">
        <v>35</v>
      </c>
      <c r="I1221" t="s">
        <v>40</v>
      </c>
      <c r="J1221" t="s">
        <v>41</v>
      </c>
      <c r="K1221" t="s">
        <v>33</v>
      </c>
      <c r="L1221">
        <v>1</v>
      </c>
      <c r="M1221">
        <v>1</v>
      </c>
      <c r="N1221">
        <v>6.6</v>
      </c>
      <c r="O1221">
        <v>7</v>
      </c>
      <c r="P1221">
        <v>6</v>
      </c>
      <c r="Q1221">
        <v>5</v>
      </c>
      <c r="R1221">
        <v>548269</v>
      </c>
      <c r="S1221">
        <f>Table1[[#This Row],[Revenue]]-Table1[[#This Row],[Operating_Costs]]</f>
        <v>216106</v>
      </c>
      <c r="T1221">
        <v>332163</v>
      </c>
      <c r="U1221">
        <v>20</v>
      </c>
      <c r="V1221">
        <v>60</v>
      </c>
      <c r="W1221">
        <v>7.2</v>
      </c>
    </row>
    <row r="1222" spans="1:23" x14ac:dyDescent="0.25">
      <c r="A1222">
        <v>3</v>
      </c>
      <c r="B1222" t="s">
        <v>57</v>
      </c>
      <c r="C1222" s="1">
        <v>44634</v>
      </c>
      <c r="D1222" t="s">
        <v>71</v>
      </c>
      <c r="E1222">
        <v>0</v>
      </c>
      <c r="F1222">
        <v>36</v>
      </c>
      <c r="G1222" t="str">
        <f t="shared" si="27"/>
        <v>21-40</v>
      </c>
      <c r="H1222" t="s">
        <v>35</v>
      </c>
      <c r="I1222" t="s">
        <v>31</v>
      </c>
      <c r="J1222" t="s">
        <v>28</v>
      </c>
      <c r="K1222" t="s">
        <v>42</v>
      </c>
      <c r="L1222">
        <v>1</v>
      </c>
      <c r="M1222">
        <v>1</v>
      </c>
      <c r="N1222">
        <v>3.4</v>
      </c>
      <c r="O1222">
        <v>8.1</v>
      </c>
      <c r="P1222">
        <v>7</v>
      </c>
      <c r="Q1222">
        <v>5</v>
      </c>
      <c r="R1222">
        <v>550786</v>
      </c>
      <c r="S1222">
        <f>Table1[[#This Row],[Revenue]]-Table1[[#This Row],[Operating_Costs]]</f>
        <v>208043</v>
      </c>
      <c r="T1222">
        <v>342743</v>
      </c>
      <c r="U1222">
        <v>21</v>
      </c>
      <c r="V1222">
        <v>59</v>
      </c>
      <c r="W1222">
        <v>7.1</v>
      </c>
    </row>
    <row r="1223" spans="1:23" x14ac:dyDescent="0.25">
      <c r="A1223">
        <v>3</v>
      </c>
      <c r="B1223" t="s">
        <v>57</v>
      </c>
      <c r="C1223" s="1">
        <v>44855</v>
      </c>
      <c r="D1223" t="s">
        <v>71</v>
      </c>
      <c r="E1223">
        <v>0</v>
      </c>
      <c r="F1223">
        <v>44</v>
      </c>
      <c r="G1223" t="str">
        <f t="shared" si="27"/>
        <v>41-60</v>
      </c>
      <c r="H1223" t="s">
        <v>23</v>
      </c>
      <c r="I1223" t="s">
        <v>24</v>
      </c>
      <c r="J1223" t="s">
        <v>25</v>
      </c>
      <c r="K1223" t="s">
        <v>29</v>
      </c>
      <c r="L1223">
        <v>1</v>
      </c>
      <c r="M1223">
        <v>1</v>
      </c>
      <c r="N1223">
        <v>6.5</v>
      </c>
      <c r="O1223">
        <v>7.7</v>
      </c>
      <c r="P1223">
        <v>4</v>
      </c>
      <c r="Q1223">
        <v>5</v>
      </c>
      <c r="R1223">
        <v>544778</v>
      </c>
      <c r="S1223">
        <f>Table1[[#This Row],[Revenue]]-Table1[[#This Row],[Operating_Costs]]</f>
        <v>244415</v>
      </c>
      <c r="T1223">
        <v>300363</v>
      </c>
      <c r="U1223">
        <v>15</v>
      </c>
      <c r="V1223">
        <v>57</v>
      </c>
      <c r="W1223">
        <v>36.1</v>
      </c>
    </row>
    <row r="1224" spans="1:23" x14ac:dyDescent="0.25">
      <c r="A1224">
        <v>3</v>
      </c>
      <c r="B1224" t="s">
        <v>57</v>
      </c>
      <c r="C1224" s="1">
        <v>44423</v>
      </c>
      <c r="D1224" t="s">
        <v>71</v>
      </c>
      <c r="E1224">
        <v>0</v>
      </c>
      <c r="F1224">
        <v>55</v>
      </c>
      <c r="G1224" t="str">
        <f t="shared" si="27"/>
        <v>41-60</v>
      </c>
      <c r="H1224" t="s">
        <v>35</v>
      </c>
      <c r="I1224" t="s">
        <v>40</v>
      </c>
      <c r="J1224" t="s">
        <v>41</v>
      </c>
      <c r="K1224" t="s">
        <v>29</v>
      </c>
      <c r="L1224">
        <v>1</v>
      </c>
      <c r="M1224">
        <v>1</v>
      </c>
      <c r="N1224">
        <v>4.9000000000000004</v>
      </c>
      <c r="O1224">
        <v>7.6</v>
      </c>
      <c r="P1224">
        <v>4</v>
      </c>
      <c r="Q1224">
        <v>4</v>
      </c>
      <c r="R1224">
        <v>534380</v>
      </c>
      <c r="S1224">
        <f>Table1[[#This Row],[Revenue]]-Table1[[#This Row],[Operating_Costs]]</f>
        <v>214244</v>
      </c>
      <c r="T1224">
        <v>320136</v>
      </c>
      <c r="U1224">
        <v>16</v>
      </c>
      <c r="V1224">
        <v>64</v>
      </c>
      <c r="W1224">
        <v>36.200000000000003</v>
      </c>
    </row>
    <row r="1225" spans="1:23" x14ac:dyDescent="0.25">
      <c r="A1225">
        <v>2</v>
      </c>
      <c r="B1225" t="s">
        <v>39</v>
      </c>
      <c r="C1225" s="1">
        <v>45565</v>
      </c>
      <c r="D1225" t="s">
        <v>71</v>
      </c>
      <c r="E1225">
        <v>0</v>
      </c>
      <c r="F1225">
        <v>72</v>
      </c>
      <c r="G1225" t="str">
        <f t="shared" si="27"/>
        <v>61-80</v>
      </c>
      <c r="H1225" t="s">
        <v>23</v>
      </c>
      <c r="I1225" t="s">
        <v>24</v>
      </c>
      <c r="J1225" t="s">
        <v>25</v>
      </c>
      <c r="K1225" t="s">
        <v>26</v>
      </c>
      <c r="L1225">
        <v>1</v>
      </c>
      <c r="M1225">
        <v>1</v>
      </c>
      <c r="N1225">
        <v>4.2</v>
      </c>
      <c r="O1225">
        <v>9.6999999999999993</v>
      </c>
      <c r="P1225">
        <v>7</v>
      </c>
      <c r="Q1225">
        <v>5</v>
      </c>
      <c r="R1225">
        <v>808095</v>
      </c>
      <c r="S1225">
        <f>Table1[[#This Row],[Revenue]]-Table1[[#This Row],[Operating_Costs]]</f>
        <v>263065</v>
      </c>
      <c r="T1225">
        <v>545030</v>
      </c>
      <c r="U1225">
        <v>37</v>
      </c>
      <c r="V1225">
        <v>65</v>
      </c>
      <c r="W1225">
        <v>10.7</v>
      </c>
    </row>
    <row r="1226" spans="1:23" x14ac:dyDescent="0.25">
      <c r="A1226">
        <v>3</v>
      </c>
      <c r="B1226" t="s">
        <v>57</v>
      </c>
      <c r="C1226" s="1">
        <v>45200</v>
      </c>
      <c r="D1226" t="s">
        <v>71</v>
      </c>
      <c r="E1226">
        <v>0</v>
      </c>
      <c r="F1226">
        <v>78</v>
      </c>
      <c r="G1226" t="str">
        <f t="shared" si="27"/>
        <v>61-80</v>
      </c>
      <c r="H1226" t="s">
        <v>23</v>
      </c>
      <c r="I1226" t="s">
        <v>24</v>
      </c>
      <c r="J1226" t="s">
        <v>25</v>
      </c>
      <c r="K1226" t="s">
        <v>29</v>
      </c>
      <c r="L1226">
        <v>1</v>
      </c>
      <c r="M1226">
        <v>1</v>
      </c>
      <c r="N1226">
        <v>4</v>
      </c>
      <c r="O1226">
        <v>7.4</v>
      </c>
      <c r="P1226">
        <v>5</v>
      </c>
      <c r="Q1226">
        <v>6</v>
      </c>
      <c r="R1226">
        <v>598144</v>
      </c>
      <c r="S1226">
        <f>Table1[[#This Row],[Revenue]]-Table1[[#This Row],[Operating_Costs]]</f>
        <v>222873</v>
      </c>
      <c r="T1226">
        <v>375271</v>
      </c>
      <c r="U1226">
        <v>17</v>
      </c>
      <c r="V1226">
        <v>63</v>
      </c>
      <c r="W1226">
        <v>9.1999999999999993</v>
      </c>
    </row>
    <row r="1227" spans="1:23" x14ac:dyDescent="0.25">
      <c r="A1227">
        <v>3</v>
      </c>
      <c r="B1227" t="s">
        <v>57</v>
      </c>
      <c r="C1227" s="1">
        <v>44489</v>
      </c>
      <c r="D1227" t="s">
        <v>71</v>
      </c>
      <c r="E1227">
        <v>0</v>
      </c>
      <c r="F1227">
        <v>24</v>
      </c>
      <c r="G1227" t="str">
        <f t="shared" si="27"/>
        <v>21-40</v>
      </c>
      <c r="H1227" t="s">
        <v>23</v>
      </c>
      <c r="I1227" t="s">
        <v>27</v>
      </c>
      <c r="J1227" t="s">
        <v>28</v>
      </c>
      <c r="K1227" t="s">
        <v>29</v>
      </c>
      <c r="L1227">
        <v>1</v>
      </c>
      <c r="M1227">
        <v>1</v>
      </c>
      <c r="N1227">
        <v>2.9</v>
      </c>
      <c r="O1227">
        <v>8.6999999999999993</v>
      </c>
      <c r="P1227">
        <v>6</v>
      </c>
      <c r="Q1227">
        <v>3</v>
      </c>
      <c r="R1227">
        <v>523623</v>
      </c>
      <c r="S1227">
        <f>Table1[[#This Row],[Revenue]]-Table1[[#This Row],[Operating_Costs]]</f>
        <v>130744</v>
      </c>
      <c r="T1227">
        <v>392879</v>
      </c>
      <c r="U1227">
        <v>22</v>
      </c>
      <c r="V1227">
        <v>56</v>
      </c>
      <c r="W1227">
        <v>7</v>
      </c>
    </row>
    <row r="1228" spans="1:23" x14ac:dyDescent="0.25">
      <c r="A1228">
        <v>3</v>
      </c>
      <c r="B1228" t="s">
        <v>57</v>
      </c>
      <c r="C1228" s="1">
        <v>45380</v>
      </c>
      <c r="D1228" t="s">
        <v>71</v>
      </c>
      <c r="E1228">
        <v>0</v>
      </c>
      <c r="F1228">
        <v>27</v>
      </c>
      <c r="G1228" t="str">
        <f t="shared" si="27"/>
        <v>21-40</v>
      </c>
      <c r="H1228" t="s">
        <v>35</v>
      </c>
      <c r="I1228" t="s">
        <v>64</v>
      </c>
      <c r="J1228" t="s">
        <v>65</v>
      </c>
      <c r="K1228" t="s">
        <v>38</v>
      </c>
      <c r="L1228">
        <v>1</v>
      </c>
      <c r="M1228">
        <v>1</v>
      </c>
      <c r="N1228">
        <v>2.8</v>
      </c>
      <c r="O1228">
        <v>8.6999999999999993</v>
      </c>
      <c r="P1228">
        <v>4</v>
      </c>
      <c r="Q1228">
        <v>7</v>
      </c>
      <c r="R1228">
        <v>515963</v>
      </c>
      <c r="S1228">
        <f>Table1[[#This Row],[Revenue]]-Table1[[#This Row],[Operating_Costs]]</f>
        <v>151589</v>
      </c>
      <c r="T1228">
        <v>364374</v>
      </c>
      <c r="U1228">
        <v>21</v>
      </c>
      <c r="V1228">
        <v>61</v>
      </c>
      <c r="W1228">
        <v>7.7</v>
      </c>
    </row>
    <row r="1229" spans="1:23" x14ac:dyDescent="0.25">
      <c r="A1229">
        <v>2</v>
      </c>
      <c r="B1229" t="s">
        <v>39</v>
      </c>
      <c r="C1229" s="1">
        <v>45312</v>
      </c>
      <c r="D1229" t="s">
        <v>71</v>
      </c>
      <c r="E1229">
        <v>0</v>
      </c>
      <c r="F1229">
        <v>61</v>
      </c>
      <c r="G1229" t="str">
        <f t="shared" si="27"/>
        <v>61-80</v>
      </c>
      <c r="H1229" t="s">
        <v>23</v>
      </c>
      <c r="I1229" t="s">
        <v>58</v>
      </c>
      <c r="J1229" t="s">
        <v>59</v>
      </c>
      <c r="K1229" t="s">
        <v>42</v>
      </c>
      <c r="L1229">
        <v>1</v>
      </c>
      <c r="M1229">
        <v>1</v>
      </c>
      <c r="N1229">
        <v>1.5</v>
      </c>
      <c r="O1229">
        <v>8.3000000000000007</v>
      </c>
      <c r="P1229">
        <v>5</v>
      </c>
      <c r="Q1229">
        <v>5</v>
      </c>
      <c r="R1229">
        <v>857092</v>
      </c>
      <c r="S1229">
        <f>Table1[[#This Row],[Revenue]]-Table1[[#This Row],[Operating_Costs]]</f>
        <v>314030</v>
      </c>
      <c r="T1229">
        <v>543062</v>
      </c>
      <c r="U1229">
        <v>38</v>
      </c>
      <c r="V1229">
        <v>54</v>
      </c>
      <c r="W1229">
        <v>10</v>
      </c>
    </row>
    <row r="1230" spans="1:23" x14ac:dyDescent="0.25">
      <c r="A1230">
        <v>3</v>
      </c>
      <c r="B1230" t="s">
        <v>57</v>
      </c>
      <c r="C1230" s="1">
        <v>44687</v>
      </c>
      <c r="D1230" t="s">
        <v>71</v>
      </c>
      <c r="E1230">
        <v>0</v>
      </c>
      <c r="F1230">
        <v>54</v>
      </c>
      <c r="G1230" t="str">
        <f t="shared" si="27"/>
        <v>41-60</v>
      </c>
      <c r="H1230" t="s">
        <v>23</v>
      </c>
      <c r="I1230" t="s">
        <v>50</v>
      </c>
      <c r="J1230" t="s">
        <v>51</v>
      </c>
      <c r="K1230" t="s">
        <v>38</v>
      </c>
      <c r="L1230">
        <v>1</v>
      </c>
      <c r="M1230">
        <v>1</v>
      </c>
      <c r="N1230">
        <v>2.1</v>
      </c>
      <c r="O1230">
        <v>7.8</v>
      </c>
      <c r="P1230">
        <v>4</v>
      </c>
      <c r="Q1230">
        <v>5</v>
      </c>
      <c r="R1230">
        <v>579782</v>
      </c>
      <c r="S1230">
        <f>Table1[[#This Row],[Revenue]]-Table1[[#This Row],[Operating_Costs]]</f>
        <v>193852</v>
      </c>
      <c r="T1230">
        <v>385930</v>
      </c>
      <c r="U1230">
        <v>20</v>
      </c>
      <c r="V1230">
        <v>54</v>
      </c>
      <c r="W1230">
        <v>7.5</v>
      </c>
    </row>
    <row r="1231" spans="1:23" x14ac:dyDescent="0.25">
      <c r="A1231">
        <v>3</v>
      </c>
      <c r="B1231" t="s">
        <v>57</v>
      </c>
      <c r="C1231" s="1">
        <v>44522</v>
      </c>
      <c r="D1231" t="s">
        <v>71</v>
      </c>
      <c r="E1231">
        <v>0</v>
      </c>
      <c r="F1231">
        <v>23</v>
      </c>
      <c r="G1231" t="str">
        <f t="shared" si="27"/>
        <v>21-40</v>
      </c>
      <c r="H1231" t="s">
        <v>35</v>
      </c>
      <c r="I1231" t="s">
        <v>58</v>
      </c>
      <c r="J1231" t="s">
        <v>59</v>
      </c>
      <c r="K1231" t="s">
        <v>38</v>
      </c>
      <c r="L1231">
        <v>1</v>
      </c>
      <c r="M1231">
        <v>1</v>
      </c>
      <c r="N1231">
        <v>5.4</v>
      </c>
      <c r="O1231">
        <v>7.3</v>
      </c>
      <c r="P1231">
        <v>6</v>
      </c>
      <c r="Q1231">
        <v>4</v>
      </c>
      <c r="R1231">
        <v>587056</v>
      </c>
      <c r="S1231">
        <f>Table1[[#This Row],[Revenue]]-Table1[[#This Row],[Operating_Costs]]</f>
        <v>255593</v>
      </c>
      <c r="T1231">
        <v>331463</v>
      </c>
      <c r="U1231">
        <v>21</v>
      </c>
      <c r="V1231">
        <v>58</v>
      </c>
      <c r="W1231">
        <v>13.2</v>
      </c>
    </row>
    <row r="1232" spans="1:23" x14ac:dyDescent="0.25">
      <c r="A1232">
        <v>3</v>
      </c>
      <c r="B1232" t="s">
        <v>57</v>
      </c>
      <c r="C1232" s="1">
        <v>45349</v>
      </c>
      <c r="D1232" t="s">
        <v>71</v>
      </c>
      <c r="E1232">
        <v>0</v>
      </c>
      <c r="F1232">
        <v>63</v>
      </c>
      <c r="G1232" t="str">
        <f t="shared" si="27"/>
        <v>61-80</v>
      </c>
      <c r="H1232" t="s">
        <v>35</v>
      </c>
      <c r="I1232" t="s">
        <v>60</v>
      </c>
      <c r="J1232" t="s">
        <v>59</v>
      </c>
      <c r="K1232" t="s">
        <v>38</v>
      </c>
      <c r="L1232">
        <v>1</v>
      </c>
      <c r="M1232">
        <v>1</v>
      </c>
      <c r="N1232">
        <v>5.7</v>
      </c>
      <c r="O1232">
        <v>8.6</v>
      </c>
      <c r="P1232">
        <v>3</v>
      </c>
      <c r="Q1232">
        <v>7</v>
      </c>
      <c r="R1232">
        <v>556009</v>
      </c>
      <c r="S1232">
        <f>Table1[[#This Row],[Revenue]]-Table1[[#This Row],[Operating_Costs]]</f>
        <v>202625</v>
      </c>
      <c r="T1232">
        <v>353384</v>
      </c>
      <c r="U1232">
        <v>23</v>
      </c>
      <c r="V1232">
        <v>54</v>
      </c>
      <c r="W1232">
        <v>7.9</v>
      </c>
    </row>
    <row r="1233" spans="1:23" x14ac:dyDescent="0.25">
      <c r="A1233">
        <v>3</v>
      </c>
      <c r="B1233" t="s">
        <v>57</v>
      </c>
      <c r="C1233" s="1">
        <v>45302</v>
      </c>
      <c r="D1233" t="s">
        <v>71</v>
      </c>
      <c r="E1233">
        <v>0</v>
      </c>
      <c r="F1233">
        <v>85</v>
      </c>
      <c r="G1233" t="str">
        <f t="shared" si="27"/>
        <v>81+</v>
      </c>
      <c r="H1233" t="s">
        <v>23</v>
      </c>
      <c r="I1233" t="s">
        <v>24</v>
      </c>
      <c r="J1233" t="s">
        <v>25</v>
      </c>
      <c r="K1233" t="s">
        <v>33</v>
      </c>
      <c r="L1233">
        <v>1</v>
      </c>
      <c r="M1233">
        <v>1</v>
      </c>
      <c r="N1233">
        <v>1.2</v>
      </c>
      <c r="O1233">
        <v>8.9</v>
      </c>
      <c r="P1233">
        <v>7</v>
      </c>
      <c r="Q1233">
        <v>6</v>
      </c>
      <c r="R1233">
        <v>562790</v>
      </c>
      <c r="S1233">
        <f>Table1[[#This Row],[Revenue]]-Table1[[#This Row],[Operating_Costs]]</f>
        <v>194572</v>
      </c>
      <c r="T1233">
        <v>368218</v>
      </c>
      <c r="U1233">
        <v>25</v>
      </c>
      <c r="V1233">
        <v>66</v>
      </c>
      <c r="W1233">
        <v>12.9</v>
      </c>
    </row>
    <row r="1234" spans="1:23" x14ac:dyDescent="0.25">
      <c r="A1234">
        <v>3</v>
      </c>
      <c r="B1234" t="s">
        <v>57</v>
      </c>
      <c r="C1234" s="1">
        <v>44590</v>
      </c>
      <c r="D1234" t="s">
        <v>71</v>
      </c>
      <c r="E1234">
        <v>0</v>
      </c>
      <c r="F1234">
        <v>43</v>
      </c>
      <c r="G1234" t="str">
        <f t="shared" si="27"/>
        <v>41-60</v>
      </c>
      <c r="H1234" t="s">
        <v>35</v>
      </c>
      <c r="I1234" t="s">
        <v>55</v>
      </c>
      <c r="J1234" t="s">
        <v>56</v>
      </c>
      <c r="K1234" t="s">
        <v>26</v>
      </c>
      <c r="L1234">
        <v>1</v>
      </c>
      <c r="M1234">
        <v>1</v>
      </c>
      <c r="N1234">
        <v>2.2999999999999998</v>
      </c>
      <c r="O1234">
        <v>8.8000000000000007</v>
      </c>
      <c r="P1234">
        <v>6</v>
      </c>
      <c r="Q1234">
        <v>6</v>
      </c>
      <c r="R1234">
        <v>595431</v>
      </c>
      <c r="S1234">
        <f>Table1[[#This Row],[Revenue]]-Table1[[#This Row],[Operating_Costs]]</f>
        <v>235570</v>
      </c>
      <c r="T1234">
        <v>359861</v>
      </c>
      <c r="U1234">
        <v>25</v>
      </c>
      <c r="V1234">
        <v>66</v>
      </c>
      <c r="W1234">
        <v>36.200000000000003</v>
      </c>
    </row>
    <row r="1235" spans="1:23" x14ac:dyDescent="0.25">
      <c r="A1235">
        <v>3</v>
      </c>
      <c r="B1235" t="s">
        <v>57</v>
      </c>
      <c r="C1235" s="1">
        <v>45554</v>
      </c>
      <c r="D1235" t="s">
        <v>71</v>
      </c>
      <c r="E1235">
        <v>0</v>
      </c>
      <c r="F1235">
        <v>33</v>
      </c>
      <c r="G1235" t="str">
        <f t="shared" si="27"/>
        <v>21-40</v>
      </c>
      <c r="H1235" t="s">
        <v>23</v>
      </c>
      <c r="I1235" t="s">
        <v>24</v>
      </c>
      <c r="J1235" t="s">
        <v>25</v>
      </c>
      <c r="K1235" t="s">
        <v>29</v>
      </c>
      <c r="L1235">
        <v>1</v>
      </c>
      <c r="M1235">
        <v>1</v>
      </c>
      <c r="N1235">
        <v>2.2999999999999998</v>
      </c>
      <c r="O1235">
        <v>9.9</v>
      </c>
      <c r="P1235">
        <v>6</v>
      </c>
      <c r="Q1235">
        <v>6</v>
      </c>
      <c r="R1235">
        <v>567650</v>
      </c>
      <c r="S1235">
        <f>Table1[[#This Row],[Revenue]]-Table1[[#This Row],[Operating_Costs]]</f>
        <v>262555</v>
      </c>
      <c r="T1235">
        <v>305095</v>
      </c>
      <c r="U1235">
        <v>20</v>
      </c>
      <c r="V1235">
        <v>58</v>
      </c>
      <c r="W1235">
        <v>5.7</v>
      </c>
    </row>
    <row r="1236" spans="1:23" x14ac:dyDescent="0.25">
      <c r="A1236">
        <v>3</v>
      </c>
      <c r="B1236" t="s">
        <v>57</v>
      </c>
      <c r="C1236" s="1">
        <v>45560</v>
      </c>
      <c r="D1236" t="s">
        <v>71</v>
      </c>
      <c r="E1236">
        <v>0</v>
      </c>
      <c r="F1236">
        <v>64</v>
      </c>
      <c r="G1236" t="str">
        <f t="shared" si="27"/>
        <v>61-80</v>
      </c>
      <c r="H1236" t="s">
        <v>35</v>
      </c>
      <c r="I1236" t="s">
        <v>31</v>
      </c>
      <c r="J1236" t="s">
        <v>28</v>
      </c>
      <c r="K1236" t="s">
        <v>26</v>
      </c>
      <c r="L1236">
        <v>1</v>
      </c>
      <c r="M1236">
        <v>1</v>
      </c>
      <c r="N1236">
        <v>2.2999999999999998</v>
      </c>
      <c r="O1236">
        <v>7.1</v>
      </c>
      <c r="P1236">
        <v>7</v>
      </c>
      <c r="Q1236">
        <v>6</v>
      </c>
      <c r="R1236">
        <v>500008</v>
      </c>
      <c r="S1236">
        <f>Table1[[#This Row],[Revenue]]-Table1[[#This Row],[Operating_Costs]]</f>
        <v>174532</v>
      </c>
      <c r="T1236">
        <v>325476</v>
      </c>
      <c r="U1236">
        <v>16</v>
      </c>
      <c r="V1236">
        <v>59</v>
      </c>
      <c r="W1236">
        <v>9.5</v>
      </c>
    </row>
    <row r="1237" spans="1:23" x14ac:dyDescent="0.25">
      <c r="A1237">
        <v>3</v>
      </c>
      <c r="B1237" t="s">
        <v>57</v>
      </c>
      <c r="C1237" s="1">
        <v>45453</v>
      </c>
      <c r="D1237" t="s">
        <v>71</v>
      </c>
      <c r="E1237">
        <v>0</v>
      </c>
      <c r="F1237">
        <v>23</v>
      </c>
      <c r="G1237" t="str">
        <f t="shared" si="27"/>
        <v>21-40</v>
      </c>
      <c r="H1237" t="s">
        <v>23</v>
      </c>
      <c r="I1237" t="s">
        <v>50</v>
      </c>
      <c r="J1237" t="s">
        <v>51</v>
      </c>
      <c r="K1237" t="s">
        <v>33</v>
      </c>
      <c r="L1237">
        <v>1</v>
      </c>
      <c r="M1237">
        <v>1</v>
      </c>
      <c r="N1237">
        <v>3.8</v>
      </c>
      <c r="O1237">
        <v>9.1</v>
      </c>
      <c r="P1237">
        <v>4</v>
      </c>
      <c r="Q1237">
        <v>4</v>
      </c>
      <c r="R1237">
        <v>503820</v>
      </c>
      <c r="S1237">
        <f>Table1[[#This Row],[Revenue]]-Table1[[#This Row],[Operating_Costs]]</f>
        <v>106630</v>
      </c>
      <c r="T1237">
        <v>397190</v>
      </c>
      <c r="U1237">
        <v>24</v>
      </c>
      <c r="V1237">
        <v>54</v>
      </c>
      <c r="W1237">
        <v>10.199999999999999</v>
      </c>
    </row>
    <row r="1238" spans="1:23" x14ac:dyDescent="0.25">
      <c r="A1238">
        <v>3</v>
      </c>
      <c r="B1238" t="s">
        <v>57</v>
      </c>
      <c r="C1238" s="1">
        <v>44336</v>
      </c>
      <c r="D1238" t="s">
        <v>71</v>
      </c>
      <c r="E1238">
        <v>0</v>
      </c>
      <c r="F1238">
        <v>43</v>
      </c>
      <c r="G1238" t="str">
        <f t="shared" si="27"/>
        <v>41-60</v>
      </c>
      <c r="H1238" t="s">
        <v>35</v>
      </c>
      <c r="I1238" t="s">
        <v>36</v>
      </c>
      <c r="J1238" t="s">
        <v>37</v>
      </c>
      <c r="K1238" t="s">
        <v>26</v>
      </c>
      <c r="L1238">
        <v>1</v>
      </c>
      <c r="M1238">
        <v>1</v>
      </c>
      <c r="N1238">
        <v>6.9</v>
      </c>
      <c r="O1238">
        <v>9.6</v>
      </c>
      <c r="P1238">
        <v>5</v>
      </c>
      <c r="Q1238">
        <v>3</v>
      </c>
      <c r="R1238">
        <v>565572</v>
      </c>
      <c r="S1238">
        <f>Table1[[#This Row],[Revenue]]-Table1[[#This Row],[Operating_Costs]]</f>
        <v>199208</v>
      </c>
      <c r="T1238">
        <v>366364</v>
      </c>
      <c r="U1238">
        <v>21</v>
      </c>
      <c r="V1238">
        <v>61</v>
      </c>
      <c r="W1238">
        <v>12.5</v>
      </c>
    </row>
    <row r="1239" spans="1:23" x14ac:dyDescent="0.25">
      <c r="A1239">
        <v>2</v>
      </c>
      <c r="B1239" t="s">
        <v>39</v>
      </c>
      <c r="C1239" s="1">
        <v>44309</v>
      </c>
      <c r="D1239" t="s">
        <v>71</v>
      </c>
      <c r="E1239">
        <v>0</v>
      </c>
      <c r="F1239">
        <v>83</v>
      </c>
      <c r="G1239" t="str">
        <f t="shared" si="27"/>
        <v>81+</v>
      </c>
      <c r="H1239" t="s">
        <v>35</v>
      </c>
      <c r="I1239" t="s">
        <v>46</v>
      </c>
      <c r="J1239" t="s">
        <v>47</v>
      </c>
      <c r="K1239" t="s">
        <v>33</v>
      </c>
      <c r="L1239">
        <v>1</v>
      </c>
      <c r="M1239">
        <v>1</v>
      </c>
      <c r="N1239">
        <v>5.0999999999999996</v>
      </c>
      <c r="O1239">
        <v>9.1999999999999993</v>
      </c>
      <c r="P1239">
        <v>4</v>
      </c>
      <c r="Q1239">
        <v>6</v>
      </c>
      <c r="R1239">
        <v>627043</v>
      </c>
      <c r="S1239">
        <f>Table1[[#This Row],[Revenue]]-Table1[[#This Row],[Operating_Costs]]</f>
        <v>19091</v>
      </c>
      <c r="T1239">
        <v>607952</v>
      </c>
      <c r="U1239">
        <v>34</v>
      </c>
      <c r="V1239">
        <v>64</v>
      </c>
      <c r="W1239">
        <v>6.3</v>
      </c>
    </row>
    <row r="1240" spans="1:23" x14ac:dyDescent="0.25">
      <c r="A1240">
        <v>3</v>
      </c>
      <c r="B1240" t="s">
        <v>57</v>
      </c>
      <c r="C1240" s="1">
        <v>44237</v>
      </c>
      <c r="D1240" t="s">
        <v>71</v>
      </c>
      <c r="E1240">
        <v>0</v>
      </c>
      <c r="F1240">
        <v>32</v>
      </c>
      <c r="G1240" t="str">
        <f t="shared" si="27"/>
        <v>21-40</v>
      </c>
      <c r="H1240" t="s">
        <v>23</v>
      </c>
      <c r="I1240" t="s">
        <v>43</v>
      </c>
      <c r="J1240" t="s">
        <v>25</v>
      </c>
      <c r="K1240" t="s">
        <v>42</v>
      </c>
      <c r="L1240">
        <v>1</v>
      </c>
      <c r="M1240">
        <v>1</v>
      </c>
      <c r="N1240">
        <v>3.1</v>
      </c>
      <c r="O1240">
        <v>8.6</v>
      </c>
      <c r="P1240">
        <v>4</v>
      </c>
      <c r="Q1240">
        <v>7</v>
      </c>
      <c r="R1240">
        <v>543502</v>
      </c>
      <c r="S1240">
        <f>Table1[[#This Row],[Revenue]]-Table1[[#This Row],[Operating_Costs]]</f>
        <v>242427</v>
      </c>
      <c r="T1240">
        <v>301075</v>
      </c>
      <c r="U1240">
        <v>18</v>
      </c>
      <c r="V1240">
        <v>64</v>
      </c>
      <c r="W1240">
        <v>8.6999999999999993</v>
      </c>
    </row>
    <row r="1241" spans="1:23" x14ac:dyDescent="0.25">
      <c r="A1241">
        <v>3</v>
      </c>
      <c r="B1241" t="s">
        <v>57</v>
      </c>
      <c r="C1241" s="1">
        <v>44531</v>
      </c>
      <c r="D1241" t="s">
        <v>71</v>
      </c>
      <c r="E1241">
        <v>0</v>
      </c>
      <c r="F1241">
        <v>25</v>
      </c>
      <c r="G1241" t="str">
        <f t="shared" si="27"/>
        <v>21-40</v>
      </c>
      <c r="H1241" t="s">
        <v>23</v>
      </c>
      <c r="I1241" t="s">
        <v>24</v>
      </c>
      <c r="J1241" t="s">
        <v>25</v>
      </c>
      <c r="K1241" t="s">
        <v>38</v>
      </c>
      <c r="L1241">
        <v>1</v>
      </c>
      <c r="M1241">
        <v>1</v>
      </c>
      <c r="N1241">
        <v>4.5999999999999996</v>
      </c>
      <c r="O1241">
        <v>7.6</v>
      </c>
      <c r="P1241">
        <v>7</v>
      </c>
      <c r="Q1241">
        <v>4</v>
      </c>
      <c r="R1241">
        <v>599544</v>
      </c>
      <c r="S1241">
        <f>Table1[[#This Row],[Revenue]]-Table1[[#This Row],[Operating_Costs]]</f>
        <v>263461</v>
      </c>
      <c r="T1241">
        <v>336083</v>
      </c>
      <c r="U1241">
        <v>16</v>
      </c>
      <c r="V1241">
        <v>57</v>
      </c>
      <c r="W1241">
        <v>14.6</v>
      </c>
    </row>
    <row r="1242" spans="1:23" x14ac:dyDescent="0.25">
      <c r="A1242">
        <v>2</v>
      </c>
      <c r="B1242" t="s">
        <v>39</v>
      </c>
      <c r="C1242" s="1">
        <v>45464</v>
      </c>
      <c r="D1242" t="s">
        <v>71</v>
      </c>
      <c r="E1242">
        <v>0</v>
      </c>
      <c r="F1242">
        <v>82</v>
      </c>
      <c r="G1242" t="str">
        <f t="shared" si="27"/>
        <v>81+</v>
      </c>
      <c r="H1242" t="s">
        <v>23</v>
      </c>
      <c r="I1242" t="s">
        <v>24</v>
      </c>
      <c r="J1242" t="s">
        <v>25</v>
      </c>
      <c r="K1242" t="s">
        <v>42</v>
      </c>
      <c r="L1242">
        <v>1</v>
      </c>
      <c r="M1242">
        <v>1</v>
      </c>
      <c r="N1242">
        <v>2.4</v>
      </c>
      <c r="O1242">
        <v>9.6</v>
      </c>
      <c r="P1242">
        <v>4</v>
      </c>
      <c r="Q1242">
        <v>5</v>
      </c>
      <c r="R1242">
        <v>761590</v>
      </c>
      <c r="S1242">
        <f>Table1[[#This Row],[Revenue]]-Table1[[#This Row],[Operating_Costs]]</f>
        <v>156537</v>
      </c>
      <c r="T1242">
        <v>605053</v>
      </c>
      <c r="U1242">
        <v>31</v>
      </c>
      <c r="V1242">
        <v>54</v>
      </c>
      <c r="W1242">
        <v>6.3</v>
      </c>
    </row>
    <row r="1243" spans="1:23" x14ac:dyDescent="0.25">
      <c r="A1243">
        <v>3</v>
      </c>
      <c r="B1243" t="s">
        <v>57</v>
      </c>
      <c r="C1243" s="1">
        <v>44306</v>
      </c>
      <c r="D1243" t="s">
        <v>71</v>
      </c>
      <c r="E1243">
        <v>0</v>
      </c>
      <c r="F1243">
        <v>35</v>
      </c>
      <c r="G1243" t="str">
        <f t="shared" si="27"/>
        <v>21-40</v>
      </c>
      <c r="H1243" t="s">
        <v>35</v>
      </c>
      <c r="I1243" t="s">
        <v>36</v>
      </c>
      <c r="J1243" t="s">
        <v>37</v>
      </c>
      <c r="K1243" t="s">
        <v>42</v>
      </c>
      <c r="L1243">
        <v>1</v>
      </c>
      <c r="M1243">
        <v>1</v>
      </c>
      <c r="N1243">
        <v>1.9</v>
      </c>
      <c r="O1243">
        <v>7.8</v>
      </c>
      <c r="P1243">
        <v>5</v>
      </c>
      <c r="Q1243">
        <v>4</v>
      </c>
      <c r="R1243">
        <v>592521</v>
      </c>
      <c r="S1243">
        <f>Table1[[#This Row],[Revenue]]-Table1[[#This Row],[Operating_Costs]]</f>
        <v>205968</v>
      </c>
      <c r="T1243">
        <v>386553</v>
      </c>
      <c r="U1243">
        <v>18</v>
      </c>
      <c r="V1243">
        <v>66</v>
      </c>
      <c r="W1243">
        <v>7.1</v>
      </c>
    </row>
    <row r="1244" spans="1:23" x14ac:dyDescent="0.25">
      <c r="A1244">
        <v>3</v>
      </c>
      <c r="B1244" t="s">
        <v>57</v>
      </c>
      <c r="C1244" s="1">
        <v>44456</v>
      </c>
      <c r="D1244" t="s">
        <v>71</v>
      </c>
      <c r="E1244">
        <v>0</v>
      </c>
      <c r="F1244">
        <v>43</v>
      </c>
      <c r="G1244" t="str">
        <f t="shared" si="27"/>
        <v>41-60</v>
      </c>
      <c r="H1244" t="s">
        <v>23</v>
      </c>
      <c r="I1244" t="s">
        <v>24</v>
      </c>
      <c r="J1244" t="s">
        <v>25</v>
      </c>
      <c r="K1244" t="s">
        <v>42</v>
      </c>
      <c r="L1244">
        <v>1</v>
      </c>
      <c r="M1244">
        <v>1</v>
      </c>
      <c r="N1244">
        <v>3.8</v>
      </c>
      <c r="O1244">
        <v>9.6</v>
      </c>
      <c r="P1244">
        <v>3</v>
      </c>
      <c r="Q1244">
        <v>6</v>
      </c>
      <c r="R1244">
        <v>576254</v>
      </c>
      <c r="S1244">
        <f>Table1[[#This Row],[Revenue]]-Table1[[#This Row],[Operating_Costs]]</f>
        <v>260894</v>
      </c>
      <c r="T1244">
        <v>315360</v>
      </c>
      <c r="U1244">
        <v>23</v>
      </c>
      <c r="V1244">
        <v>57</v>
      </c>
      <c r="W1244">
        <v>14.8</v>
      </c>
    </row>
    <row r="1245" spans="1:23" x14ac:dyDescent="0.25">
      <c r="A1245">
        <v>3</v>
      </c>
      <c r="B1245" t="s">
        <v>57</v>
      </c>
      <c r="C1245" s="1">
        <v>44606</v>
      </c>
      <c r="D1245" t="s">
        <v>71</v>
      </c>
      <c r="E1245">
        <v>0</v>
      </c>
      <c r="F1245">
        <v>48</v>
      </c>
      <c r="G1245" t="str">
        <f t="shared" si="27"/>
        <v>41-60</v>
      </c>
      <c r="H1245" t="s">
        <v>23</v>
      </c>
      <c r="I1245" t="s">
        <v>27</v>
      </c>
      <c r="J1245" t="s">
        <v>28</v>
      </c>
      <c r="K1245" t="s">
        <v>33</v>
      </c>
      <c r="L1245">
        <v>1</v>
      </c>
      <c r="M1245">
        <v>1</v>
      </c>
      <c r="N1245">
        <v>5.2</v>
      </c>
      <c r="O1245">
        <v>7.9</v>
      </c>
      <c r="P1245">
        <v>3</v>
      </c>
      <c r="Q1245">
        <v>5</v>
      </c>
      <c r="R1245">
        <v>583628</v>
      </c>
      <c r="S1245">
        <f>Table1[[#This Row],[Revenue]]-Table1[[#This Row],[Operating_Costs]]</f>
        <v>247480</v>
      </c>
      <c r="T1245">
        <v>336148</v>
      </c>
      <c r="U1245">
        <v>17</v>
      </c>
      <c r="V1245">
        <v>58</v>
      </c>
      <c r="W1245">
        <v>36.200000000000003</v>
      </c>
    </row>
    <row r="1246" spans="1:23" x14ac:dyDescent="0.25">
      <c r="A1246">
        <v>2</v>
      </c>
      <c r="B1246" t="s">
        <v>39</v>
      </c>
      <c r="C1246" s="1">
        <v>45153</v>
      </c>
      <c r="D1246" t="s">
        <v>71</v>
      </c>
      <c r="E1246">
        <v>0</v>
      </c>
      <c r="F1246">
        <v>54</v>
      </c>
      <c r="G1246" t="str">
        <f t="shared" si="27"/>
        <v>41-60</v>
      </c>
      <c r="H1246" t="s">
        <v>23</v>
      </c>
      <c r="I1246" t="s">
        <v>58</v>
      </c>
      <c r="J1246" t="s">
        <v>59</v>
      </c>
      <c r="K1246" t="s">
        <v>29</v>
      </c>
      <c r="L1246">
        <v>1</v>
      </c>
      <c r="M1246">
        <v>1</v>
      </c>
      <c r="N1246">
        <v>4.2</v>
      </c>
      <c r="O1246">
        <v>7.9</v>
      </c>
      <c r="P1246">
        <v>5</v>
      </c>
      <c r="Q1246">
        <v>5</v>
      </c>
      <c r="R1246">
        <v>742092</v>
      </c>
      <c r="S1246">
        <f>Table1[[#This Row],[Revenue]]-Table1[[#This Row],[Operating_Costs]]</f>
        <v>113059</v>
      </c>
      <c r="T1246">
        <v>629033</v>
      </c>
      <c r="U1246">
        <v>33</v>
      </c>
      <c r="V1246">
        <v>66</v>
      </c>
      <c r="W1246">
        <v>9.6999999999999993</v>
      </c>
    </row>
    <row r="1247" spans="1:23" x14ac:dyDescent="0.25">
      <c r="A1247">
        <v>3</v>
      </c>
      <c r="B1247" t="s">
        <v>57</v>
      </c>
      <c r="C1247" s="1">
        <v>45232</v>
      </c>
      <c r="D1247" t="s">
        <v>71</v>
      </c>
      <c r="E1247">
        <v>0</v>
      </c>
      <c r="F1247">
        <v>29</v>
      </c>
      <c r="G1247" t="str">
        <f t="shared" si="27"/>
        <v>21-40</v>
      </c>
      <c r="H1247" t="s">
        <v>35</v>
      </c>
      <c r="I1247" t="s">
        <v>50</v>
      </c>
      <c r="J1247" t="s">
        <v>51</v>
      </c>
      <c r="K1247" t="s">
        <v>33</v>
      </c>
      <c r="L1247">
        <v>1</v>
      </c>
      <c r="M1247">
        <v>1</v>
      </c>
      <c r="N1247">
        <v>1.4</v>
      </c>
      <c r="O1247">
        <v>7.3</v>
      </c>
      <c r="P1247">
        <v>4</v>
      </c>
      <c r="Q1247">
        <v>5</v>
      </c>
      <c r="R1247">
        <v>579251</v>
      </c>
      <c r="S1247">
        <f>Table1[[#This Row],[Revenue]]-Table1[[#This Row],[Operating_Costs]]</f>
        <v>239330</v>
      </c>
      <c r="T1247">
        <v>339921</v>
      </c>
      <c r="U1247">
        <v>24</v>
      </c>
      <c r="V1247">
        <v>60</v>
      </c>
      <c r="W1247">
        <v>14.2</v>
      </c>
    </row>
    <row r="1248" spans="1:23" x14ac:dyDescent="0.25">
      <c r="A1248">
        <v>3</v>
      </c>
      <c r="B1248" t="s">
        <v>57</v>
      </c>
      <c r="C1248" s="1">
        <v>44929</v>
      </c>
      <c r="D1248" t="s">
        <v>71</v>
      </c>
      <c r="E1248">
        <v>0</v>
      </c>
      <c r="F1248">
        <v>47</v>
      </c>
      <c r="G1248" t="str">
        <f t="shared" si="27"/>
        <v>41-60</v>
      </c>
      <c r="H1248" t="s">
        <v>35</v>
      </c>
      <c r="I1248" t="s">
        <v>58</v>
      </c>
      <c r="J1248" t="s">
        <v>59</v>
      </c>
      <c r="K1248" t="s">
        <v>33</v>
      </c>
      <c r="L1248">
        <v>1</v>
      </c>
      <c r="M1248">
        <v>1</v>
      </c>
      <c r="N1248">
        <v>4.0999999999999996</v>
      </c>
      <c r="O1248">
        <v>7.5</v>
      </c>
      <c r="P1248">
        <v>4</v>
      </c>
      <c r="Q1248">
        <v>3</v>
      </c>
      <c r="R1248">
        <v>545834</v>
      </c>
      <c r="S1248">
        <f>Table1[[#This Row],[Revenue]]-Table1[[#This Row],[Operating_Costs]]</f>
        <v>224066</v>
      </c>
      <c r="T1248">
        <v>321768</v>
      </c>
      <c r="U1248">
        <v>24</v>
      </c>
      <c r="V1248">
        <v>62</v>
      </c>
      <c r="W1248">
        <v>14.3</v>
      </c>
    </row>
    <row r="1249" spans="1:23" x14ac:dyDescent="0.25">
      <c r="A1249">
        <v>2</v>
      </c>
      <c r="B1249" t="s">
        <v>39</v>
      </c>
      <c r="C1249" s="1">
        <v>44919</v>
      </c>
      <c r="D1249" t="s">
        <v>71</v>
      </c>
      <c r="E1249">
        <v>0</v>
      </c>
      <c r="F1249">
        <v>48</v>
      </c>
      <c r="G1249" t="str">
        <f t="shared" si="27"/>
        <v>41-60</v>
      </c>
      <c r="H1249" t="s">
        <v>23</v>
      </c>
      <c r="I1249" t="s">
        <v>24</v>
      </c>
      <c r="J1249" t="s">
        <v>25</v>
      </c>
      <c r="K1249" t="s">
        <v>29</v>
      </c>
      <c r="L1249">
        <v>1</v>
      </c>
      <c r="M1249">
        <v>1</v>
      </c>
      <c r="N1249">
        <v>3.3</v>
      </c>
      <c r="O1249">
        <v>9.6999999999999993</v>
      </c>
      <c r="P1249">
        <v>7</v>
      </c>
      <c r="Q1249">
        <v>6</v>
      </c>
      <c r="R1249">
        <v>857090</v>
      </c>
      <c r="S1249">
        <f>Table1[[#This Row],[Revenue]]-Table1[[#This Row],[Operating_Costs]]</f>
        <v>330398</v>
      </c>
      <c r="T1249">
        <v>526692</v>
      </c>
      <c r="U1249">
        <v>30</v>
      </c>
      <c r="V1249">
        <v>64</v>
      </c>
      <c r="W1249">
        <v>8.4</v>
      </c>
    </row>
    <row r="1250" spans="1:23" x14ac:dyDescent="0.25">
      <c r="A1250">
        <v>2</v>
      </c>
      <c r="B1250" t="s">
        <v>39</v>
      </c>
      <c r="C1250" s="1">
        <v>45447</v>
      </c>
      <c r="D1250" t="s">
        <v>71</v>
      </c>
      <c r="E1250">
        <v>0</v>
      </c>
      <c r="F1250">
        <v>60</v>
      </c>
      <c r="G1250" t="str">
        <f t="shared" si="27"/>
        <v>41-60</v>
      </c>
      <c r="H1250" t="s">
        <v>35</v>
      </c>
      <c r="I1250" t="s">
        <v>36</v>
      </c>
      <c r="J1250" t="s">
        <v>37</v>
      </c>
      <c r="K1250" t="s">
        <v>29</v>
      </c>
      <c r="L1250">
        <v>1</v>
      </c>
      <c r="M1250">
        <v>1</v>
      </c>
      <c r="N1250">
        <v>2.7</v>
      </c>
      <c r="O1250">
        <v>7.8</v>
      </c>
      <c r="P1250">
        <v>7</v>
      </c>
      <c r="Q1250">
        <v>3</v>
      </c>
      <c r="R1250">
        <v>762236</v>
      </c>
      <c r="S1250">
        <f>Table1[[#This Row],[Revenue]]-Table1[[#This Row],[Operating_Costs]]</f>
        <v>134585</v>
      </c>
      <c r="T1250">
        <v>627651</v>
      </c>
      <c r="U1250">
        <v>36</v>
      </c>
      <c r="V1250">
        <v>63</v>
      </c>
      <c r="W1250">
        <v>36.799999999999997</v>
      </c>
    </row>
    <row r="1251" spans="1:23" x14ac:dyDescent="0.25">
      <c r="A1251">
        <v>3</v>
      </c>
      <c r="B1251" t="s">
        <v>57</v>
      </c>
      <c r="C1251" s="1">
        <v>44845</v>
      </c>
      <c r="D1251" t="s">
        <v>71</v>
      </c>
      <c r="E1251">
        <v>0</v>
      </c>
      <c r="F1251">
        <v>90</v>
      </c>
      <c r="G1251" t="str">
        <f t="shared" si="27"/>
        <v>81+</v>
      </c>
      <c r="H1251" t="s">
        <v>35</v>
      </c>
      <c r="I1251" t="s">
        <v>36</v>
      </c>
      <c r="J1251" t="s">
        <v>37</v>
      </c>
      <c r="K1251" t="s">
        <v>26</v>
      </c>
      <c r="L1251">
        <v>1</v>
      </c>
      <c r="M1251">
        <v>1</v>
      </c>
      <c r="N1251">
        <v>4.5999999999999996</v>
      </c>
      <c r="O1251">
        <v>9.5</v>
      </c>
      <c r="P1251">
        <v>3</v>
      </c>
      <c r="Q1251">
        <v>7</v>
      </c>
      <c r="R1251">
        <v>570538</v>
      </c>
      <c r="S1251">
        <f>Table1[[#This Row],[Revenue]]-Table1[[#This Row],[Operating_Costs]]</f>
        <v>216858</v>
      </c>
      <c r="T1251">
        <v>353680</v>
      </c>
      <c r="U1251">
        <v>20</v>
      </c>
      <c r="V1251">
        <v>60</v>
      </c>
      <c r="W1251">
        <v>8.1</v>
      </c>
    </row>
    <row r="1252" spans="1:23" x14ac:dyDescent="0.25">
      <c r="A1252">
        <v>3</v>
      </c>
      <c r="B1252" t="s">
        <v>57</v>
      </c>
      <c r="C1252" s="1">
        <v>45182</v>
      </c>
      <c r="D1252" t="s">
        <v>71</v>
      </c>
      <c r="E1252">
        <v>0</v>
      </c>
      <c r="F1252">
        <v>70</v>
      </c>
      <c r="G1252" t="str">
        <f t="shared" si="27"/>
        <v>61-80</v>
      </c>
      <c r="H1252" t="s">
        <v>23</v>
      </c>
      <c r="I1252" t="s">
        <v>46</v>
      </c>
      <c r="J1252" t="s">
        <v>47</v>
      </c>
      <c r="K1252" t="s">
        <v>29</v>
      </c>
      <c r="L1252">
        <v>1</v>
      </c>
      <c r="M1252">
        <v>1</v>
      </c>
      <c r="N1252">
        <v>6.3</v>
      </c>
      <c r="O1252">
        <v>7.7</v>
      </c>
      <c r="P1252">
        <v>3</v>
      </c>
      <c r="Q1252">
        <v>4</v>
      </c>
      <c r="R1252">
        <v>508987</v>
      </c>
      <c r="S1252">
        <f>Table1[[#This Row],[Revenue]]-Table1[[#This Row],[Operating_Costs]]</f>
        <v>132540</v>
      </c>
      <c r="T1252">
        <v>376447</v>
      </c>
      <c r="U1252">
        <v>20</v>
      </c>
      <c r="V1252">
        <v>55</v>
      </c>
      <c r="W1252">
        <v>13.1</v>
      </c>
    </row>
    <row r="1253" spans="1:23" x14ac:dyDescent="0.25">
      <c r="A1253">
        <v>2</v>
      </c>
      <c r="B1253" t="s">
        <v>39</v>
      </c>
      <c r="C1253" s="1">
        <v>44669</v>
      </c>
      <c r="D1253" t="s">
        <v>71</v>
      </c>
      <c r="E1253">
        <v>0</v>
      </c>
      <c r="F1253">
        <v>22</v>
      </c>
      <c r="G1253" t="str">
        <f t="shared" si="27"/>
        <v>21-40</v>
      </c>
      <c r="H1253" t="s">
        <v>23</v>
      </c>
      <c r="I1253" t="s">
        <v>24</v>
      </c>
      <c r="J1253" t="s">
        <v>25</v>
      </c>
      <c r="K1253" t="s">
        <v>29</v>
      </c>
      <c r="L1253">
        <v>1</v>
      </c>
      <c r="M1253">
        <v>1</v>
      </c>
      <c r="N1253">
        <v>2.2000000000000002</v>
      </c>
      <c r="O1253">
        <v>9.8000000000000007</v>
      </c>
      <c r="P1253">
        <v>7</v>
      </c>
      <c r="Q1253">
        <v>5</v>
      </c>
      <c r="R1253">
        <v>895328</v>
      </c>
      <c r="S1253">
        <f>Table1[[#This Row],[Revenue]]-Table1[[#This Row],[Operating_Costs]]</f>
        <v>367991</v>
      </c>
      <c r="T1253">
        <v>527337</v>
      </c>
      <c r="U1253">
        <v>39</v>
      </c>
      <c r="V1253">
        <v>64</v>
      </c>
      <c r="W1253">
        <v>7.3</v>
      </c>
    </row>
    <row r="1254" spans="1:23" x14ac:dyDescent="0.25">
      <c r="A1254">
        <v>3</v>
      </c>
      <c r="B1254" t="s">
        <v>57</v>
      </c>
      <c r="C1254" s="1">
        <v>45043</v>
      </c>
      <c r="D1254" t="s">
        <v>71</v>
      </c>
      <c r="E1254">
        <v>0</v>
      </c>
      <c r="F1254">
        <v>90</v>
      </c>
      <c r="G1254" t="str">
        <f t="shared" si="27"/>
        <v>81+</v>
      </c>
      <c r="H1254" t="s">
        <v>23</v>
      </c>
      <c r="I1254" t="s">
        <v>50</v>
      </c>
      <c r="J1254" t="s">
        <v>51</v>
      </c>
      <c r="K1254" t="s">
        <v>29</v>
      </c>
      <c r="L1254">
        <v>1</v>
      </c>
      <c r="M1254">
        <v>1</v>
      </c>
      <c r="N1254">
        <v>5.2</v>
      </c>
      <c r="O1254">
        <v>7.9</v>
      </c>
      <c r="P1254">
        <v>5</v>
      </c>
      <c r="Q1254">
        <v>4</v>
      </c>
      <c r="R1254">
        <v>508656</v>
      </c>
      <c r="S1254">
        <f>Table1[[#This Row],[Revenue]]-Table1[[#This Row],[Operating_Costs]]</f>
        <v>156809</v>
      </c>
      <c r="T1254">
        <v>351847</v>
      </c>
      <c r="U1254">
        <v>19</v>
      </c>
      <c r="V1254">
        <v>65</v>
      </c>
      <c r="W1254">
        <v>6.2</v>
      </c>
    </row>
    <row r="1255" spans="1:23" x14ac:dyDescent="0.25">
      <c r="A1255">
        <v>3</v>
      </c>
      <c r="B1255" t="s">
        <v>57</v>
      </c>
      <c r="C1255" s="1">
        <v>45298</v>
      </c>
      <c r="D1255" t="s">
        <v>71</v>
      </c>
      <c r="E1255">
        <v>0</v>
      </c>
      <c r="F1255">
        <v>69</v>
      </c>
      <c r="G1255" t="str">
        <f t="shared" si="27"/>
        <v>61-80</v>
      </c>
      <c r="H1255" t="s">
        <v>23</v>
      </c>
      <c r="I1255" t="s">
        <v>31</v>
      </c>
      <c r="J1255" t="s">
        <v>28</v>
      </c>
      <c r="K1255" t="s">
        <v>33</v>
      </c>
      <c r="L1255">
        <v>1</v>
      </c>
      <c r="M1255">
        <v>1</v>
      </c>
      <c r="N1255">
        <v>2.7</v>
      </c>
      <c r="O1255">
        <v>7.9</v>
      </c>
      <c r="P1255">
        <v>3</v>
      </c>
      <c r="Q1255">
        <v>4</v>
      </c>
      <c r="R1255">
        <v>565470</v>
      </c>
      <c r="S1255">
        <f>Table1[[#This Row],[Revenue]]-Table1[[#This Row],[Operating_Costs]]</f>
        <v>225293</v>
      </c>
      <c r="T1255">
        <v>340177</v>
      </c>
      <c r="U1255">
        <v>17</v>
      </c>
      <c r="V1255">
        <v>60</v>
      </c>
      <c r="W1255">
        <v>9.1999999999999993</v>
      </c>
    </row>
    <row r="1256" spans="1:23" x14ac:dyDescent="0.25">
      <c r="A1256">
        <v>2</v>
      </c>
      <c r="B1256" t="s">
        <v>39</v>
      </c>
      <c r="C1256" s="1">
        <v>44565</v>
      </c>
      <c r="D1256" t="s">
        <v>71</v>
      </c>
      <c r="E1256">
        <v>0</v>
      </c>
      <c r="F1256">
        <v>31</v>
      </c>
      <c r="G1256" t="str">
        <f t="shared" si="27"/>
        <v>21-40</v>
      </c>
      <c r="H1256" t="s">
        <v>35</v>
      </c>
      <c r="I1256" t="s">
        <v>27</v>
      </c>
      <c r="J1256" t="s">
        <v>28</v>
      </c>
      <c r="K1256" t="s">
        <v>26</v>
      </c>
      <c r="L1256">
        <v>1</v>
      </c>
      <c r="M1256">
        <v>1</v>
      </c>
      <c r="N1256">
        <v>3.5</v>
      </c>
      <c r="O1256">
        <v>7.8</v>
      </c>
      <c r="P1256">
        <v>6</v>
      </c>
      <c r="Q1256">
        <v>6</v>
      </c>
      <c r="R1256">
        <v>623331</v>
      </c>
      <c r="S1256">
        <f>Table1[[#This Row],[Revenue]]-Table1[[#This Row],[Operating_Costs]]</f>
        <v>65316</v>
      </c>
      <c r="T1256">
        <v>558015</v>
      </c>
      <c r="U1256">
        <v>33</v>
      </c>
      <c r="V1256">
        <v>55</v>
      </c>
      <c r="W1256">
        <v>7.9</v>
      </c>
    </row>
    <row r="1257" spans="1:23" x14ac:dyDescent="0.25">
      <c r="A1257">
        <v>2</v>
      </c>
      <c r="B1257" t="s">
        <v>39</v>
      </c>
      <c r="C1257" s="1">
        <v>44313</v>
      </c>
      <c r="D1257" t="s">
        <v>71</v>
      </c>
      <c r="E1257">
        <v>0</v>
      </c>
      <c r="F1257">
        <v>65</v>
      </c>
      <c r="G1257" t="str">
        <f t="shared" si="27"/>
        <v>61-80</v>
      </c>
      <c r="H1257" t="s">
        <v>23</v>
      </c>
      <c r="I1257" t="s">
        <v>31</v>
      </c>
      <c r="J1257" t="s">
        <v>28</v>
      </c>
      <c r="K1257" t="s">
        <v>29</v>
      </c>
      <c r="L1257">
        <v>1</v>
      </c>
      <c r="M1257">
        <v>1</v>
      </c>
      <c r="N1257">
        <v>5.0999999999999996</v>
      </c>
      <c r="O1257">
        <v>8.1</v>
      </c>
      <c r="P1257">
        <v>6</v>
      </c>
      <c r="Q1257">
        <v>7</v>
      </c>
      <c r="R1257">
        <v>781789</v>
      </c>
      <c r="S1257">
        <f>Table1[[#This Row],[Revenue]]-Table1[[#This Row],[Operating_Costs]]</f>
        <v>145845</v>
      </c>
      <c r="T1257">
        <v>635944</v>
      </c>
      <c r="U1257">
        <v>30</v>
      </c>
      <c r="V1257">
        <v>61</v>
      </c>
      <c r="W1257">
        <v>10.4</v>
      </c>
    </row>
    <row r="1258" spans="1:23" x14ac:dyDescent="0.25">
      <c r="A1258">
        <v>2</v>
      </c>
      <c r="B1258" t="s">
        <v>39</v>
      </c>
      <c r="C1258" s="1">
        <v>44951</v>
      </c>
      <c r="D1258" t="s">
        <v>71</v>
      </c>
      <c r="E1258">
        <v>0</v>
      </c>
      <c r="F1258">
        <v>29</v>
      </c>
      <c r="G1258" t="str">
        <f t="shared" si="27"/>
        <v>21-40</v>
      </c>
      <c r="H1258" t="s">
        <v>23</v>
      </c>
      <c r="I1258" t="s">
        <v>58</v>
      </c>
      <c r="J1258" t="s">
        <v>59</v>
      </c>
      <c r="K1258" t="s">
        <v>26</v>
      </c>
      <c r="L1258">
        <v>1</v>
      </c>
      <c r="M1258">
        <v>1</v>
      </c>
      <c r="N1258">
        <v>5.5</v>
      </c>
      <c r="O1258">
        <v>9.8000000000000007</v>
      </c>
      <c r="P1258">
        <v>5</v>
      </c>
      <c r="Q1258">
        <v>7</v>
      </c>
      <c r="R1258">
        <v>837522</v>
      </c>
      <c r="S1258">
        <f>Table1[[#This Row],[Revenue]]-Table1[[#This Row],[Operating_Costs]]</f>
        <v>290356</v>
      </c>
      <c r="T1258">
        <v>547166</v>
      </c>
      <c r="U1258">
        <v>31</v>
      </c>
      <c r="V1258">
        <v>56</v>
      </c>
      <c r="W1258">
        <v>12.6</v>
      </c>
    </row>
    <row r="1259" spans="1:23" x14ac:dyDescent="0.25">
      <c r="A1259">
        <v>2</v>
      </c>
      <c r="B1259" t="s">
        <v>39</v>
      </c>
      <c r="C1259" s="1">
        <v>45561</v>
      </c>
      <c r="D1259" t="s">
        <v>71</v>
      </c>
      <c r="E1259">
        <v>0</v>
      </c>
      <c r="F1259">
        <v>80</v>
      </c>
      <c r="G1259" t="str">
        <f t="shared" si="27"/>
        <v>61-80</v>
      </c>
      <c r="H1259" t="s">
        <v>35</v>
      </c>
      <c r="I1259" t="s">
        <v>27</v>
      </c>
      <c r="J1259" t="s">
        <v>28</v>
      </c>
      <c r="K1259" t="s">
        <v>33</v>
      </c>
      <c r="L1259">
        <v>1</v>
      </c>
      <c r="M1259">
        <v>1</v>
      </c>
      <c r="N1259">
        <v>5.6</v>
      </c>
      <c r="O1259">
        <v>9.1</v>
      </c>
      <c r="P1259">
        <v>3</v>
      </c>
      <c r="Q1259">
        <v>6</v>
      </c>
      <c r="R1259">
        <v>708502</v>
      </c>
      <c r="S1259">
        <f>Table1[[#This Row],[Revenue]]-Table1[[#This Row],[Operating_Costs]]</f>
        <v>104359</v>
      </c>
      <c r="T1259">
        <v>604143</v>
      </c>
      <c r="U1259">
        <v>33</v>
      </c>
      <c r="V1259">
        <v>57</v>
      </c>
      <c r="W1259">
        <v>10.5</v>
      </c>
    </row>
    <row r="1260" spans="1:23" x14ac:dyDescent="0.25">
      <c r="A1260">
        <v>2</v>
      </c>
      <c r="B1260" t="s">
        <v>39</v>
      </c>
      <c r="C1260" s="1">
        <v>44906</v>
      </c>
      <c r="D1260" t="s">
        <v>71</v>
      </c>
      <c r="E1260">
        <v>0</v>
      </c>
      <c r="F1260">
        <v>48</v>
      </c>
      <c r="G1260" t="str">
        <f t="shared" si="27"/>
        <v>41-60</v>
      </c>
      <c r="H1260" t="s">
        <v>35</v>
      </c>
      <c r="I1260" t="s">
        <v>46</v>
      </c>
      <c r="J1260" t="s">
        <v>47</v>
      </c>
      <c r="K1260" t="s">
        <v>42</v>
      </c>
      <c r="L1260">
        <v>1</v>
      </c>
      <c r="M1260">
        <v>1</v>
      </c>
      <c r="N1260">
        <v>3.9</v>
      </c>
      <c r="O1260">
        <v>9.4</v>
      </c>
      <c r="P1260">
        <v>3</v>
      </c>
      <c r="Q1260">
        <v>4</v>
      </c>
      <c r="R1260">
        <v>653213</v>
      </c>
      <c r="S1260">
        <f>Table1[[#This Row],[Revenue]]-Table1[[#This Row],[Operating_Costs]]</f>
        <v>36897</v>
      </c>
      <c r="T1260">
        <v>616316</v>
      </c>
      <c r="U1260">
        <v>36</v>
      </c>
      <c r="V1260">
        <v>60</v>
      </c>
      <c r="W1260">
        <v>10</v>
      </c>
    </row>
    <row r="1261" spans="1:23" x14ac:dyDescent="0.25">
      <c r="A1261">
        <v>4</v>
      </c>
      <c r="B1261" t="s">
        <v>69</v>
      </c>
      <c r="C1261" s="1">
        <v>45173</v>
      </c>
      <c r="D1261" t="s">
        <v>71</v>
      </c>
      <c r="E1261">
        <v>0</v>
      </c>
      <c r="F1261">
        <v>33</v>
      </c>
      <c r="G1261" t="str">
        <f t="shared" si="27"/>
        <v>21-40</v>
      </c>
      <c r="H1261" t="s">
        <v>23</v>
      </c>
      <c r="I1261" t="s">
        <v>24</v>
      </c>
      <c r="J1261" t="s">
        <v>25</v>
      </c>
      <c r="K1261" t="s">
        <v>38</v>
      </c>
      <c r="L1261">
        <v>1</v>
      </c>
      <c r="M1261">
        <v>1</v>
      </c>
      <c r="N1261">
        <v>1.9</v>
      </c>
      <c r="O1261">
        <v>9.8000000000000007</v>
      </c>
      <c r="P1261">
        <v>3</v>
      </c>
      <c r="Q1261">
        <v>3</v>
      </c>
      <c r="R1261">
        <v>908020</v>
      </c>
      <c r="S1261">
        <f>Table1[[#This Row],[Revenue]]-Table1[[#This Row],[Operating_Costs]]</f>
        <v>364336</v>
      </c>
      <c r="T1261">
        <v>543684</v>
      </c>
      <c r="U1261">
        <v>37</v>
      </c>
      <c r="V1261">
        <v>58</v>
      </c>
      <c r="W1261">
        <v>10</v>
      </c>
    </row>
    <row r="1262" spans="1:23" x14ac:dyDescent="0.25">
      <c r="A1262">
        <v>4</v>
      </c>
      <c r="B1262" t="s">
        <v>69</v>
      </c>
      <c r="C1262" s="1">
        <v>45613</v>
      </c>
      <c r="D1262" t="s">
        <v>71</v>
      </c>
      <c r="E1262">
        <v>0</v>
      </c>
      <c r="F1262">
        <v>41</v>
      </c>
      <c r="G1262" t="str">
        <f t="shared" si="27"/>
        <v>41-60</v>
      </c>
      <c r="H1262" t="s">
        <v>35</v>
      </c>
      <c r="I1262" t="s">
        <v>61</v>
      </c>
      <c r="J1262" t="s">
        <v>62</v>
      </c>
      <c r="K1262" t="s">
        <v>33</v>
      </c>
      <c r="L1262">
        <v>1</v>
      </c>
      <c r="M1262">
        <v>1</v>
      </c>
      <c r="N1262">
        <v>1.2</v>
      </c>
      <c r="O1262">
        <v>8.6</v>
      </c>
      <c r="P1262">
        <v>7</v>
      </c>
      <c r="Q1262">
        <v>7</v>
      </c>
      <c r="R1262">
        <v>907541</v>
      </c>
      <c r="S1262">
        <f>Table1[[#This Row],[Revenue]]-Table1[[#This Row],[Operating_Costs]]</f>
        <v>365874</v>
      </c>
      <c r="T1262">
        <v>541667</v>
      </c>
      <c r="U1262">
        <v>53</v>
      </c>
      <c r="V1262">
        <v>54</v>
      </c>
      <c r="W1262">
        <v>36.1</v>
      </c>
    </row>
    <row r="1263" spans="1:23" x14ac:dyDescent="0.25">
      <c r="A1263">
        <v>4</v>
      </c>
      <c r="B1263" t="s">
        <v>69</v>
      </c>
      <c r="C1263" s="1">
        <v>44314</v>
      </c>
      <c r="D1263" t="s">
        <v>71</v>
      </c>
      <c r="E1263">
        <v>0</v>
      </c>
      <c r="F1263">
        <v>45</v>
      </c>
      <c r="G1263" t="str">
        <f t="shared" si="27"/>
        <v>41-60</v>
      </c>
      <c r="H1263" t="s">
        <v>35</v>
      </c>
      <c r="I1263" t="s">
        <v>55</v>
      </c>
      <c r="J1263" t="s">
        <v>56</v>
      </c>
      <c r="K1263" t="s">
        <v>29</v>
      </c>
      <c r="L1263">
        <v>1</v>
      </c>
      <c r="M1263">
        <v>1</v>
      </c>
      <c r="N1263">
        <v>3.3</v>
      </c>
      <c r="O1263">
        <v>7.7</v>
      </c>
      <c r="P1263">
        <v>6</v>
      </c>
      <c r="Q1263">
        <v>6</v>
      </c>
      <c r="R1263">
        <v>803907</v>
      </c>
      <c r="S1263">
        <f>Table1[[#This Row],[Revenue]]-Table1[[#This Row],[Operating_Costs]]</f>
        <v>291387</v>
      </c>
      <c r="T1263">
        <v>512520</v>
      </c>
      <c r="U1263">
        <v>42</v>
      </c>
      <c r="V1263">
        <v>66</v>
      </c>
      <c r="W1263">
        <v>14.1</v>
      </c>
    </row>
    <row r="1264" spans="1:23" x14ac:dyDescent="0.25">
      <c r="A1264">
        <v>4</v>
      </c>
      <c r="B1264" t="s">
        <v>69</v>
      </c>
      <c r="C1264" s="1">
        <v>44366</v>
      </c>
      <c r="D1264" t="s">
        <v>71</v>
      </c>
      <c r="E1264">
        <v>0</v>
      </c>
      <c r="F1264">
        <v>33</v>
      </c>
      <c r="G1264" t="str">
        <f t="shared" si="27"/>
        <v>21-40</v>
      </c>
      <c r="H1264" t="s">
        <v>23</v>
      </c>
      <c r="I1264" t="s">
        <v>50</v>
      </c>
      <c r="J1264" t="s">
        <v>51</v>
      </c>
      <c r="K1264" t="s">
        <v>29</v>
      </c>
      <c r="L1264">
        <v>1</v>
      </c>
      <c r="M1264">
        <v>1</v>
      </c>
      <c r="N1264">
        <v>3.5</v>
      </c>
      <c r="O1264">
        <v>9.6</v>
      </c>
      <c r="P1264">
        <v>4</v>
      </c>
      <c r="Q1264">
        <v>5</v>
      </c>
      <c r="R1264">
        <v>808988</v>
      </c>
      <c r="S1264">
        <f>Table1[[#This Row],[Revenue]]-Table1[[#This Row],[Operating_Costs]]</f>
        <v>127253</v>
      </c>
      <c r="T1264">
        <v>681735</v>
      </c>
      <c r="U1264">
        <v>33</v>
      </c>
      <c r="V1264">
        <v>59</v>
      </c>
      <c r="W1264">
        <v>10.6</v>
      </c>
    </row>
    <row r="1265" spans="1:23" x14ac:dyDescent="0.25">
      <c r="A1265">
        <v>4</v>
      </c>
      <c r="B1265" t="s">
        <v>69</v>
      </c>
      <c r="C1265" s="1">
        <v>44904</v>
      </c>
      <c r="D1265" t="s">
        <v>71</v>
      </c>
      <c r="E1265">
        <v>0</v>
      </c>
      <c r="F1265">
        <v>84</v>
      </c>
      <c r="G1265" t="str">
        <f t="shared" si="27"/>
        <v>81+</v>
      </c>
      <c r="H1265" t="s">
        <v>35</v>
      </c>
      <c r="I1265" t="s">
        <v>61</v>
      </c>
      <c r="J1265" t="s">
        <v>62</v>
      </c>
      <c r="K1265" t="s">
        <v>38</v>
      </c>
      <c r="L1265">
        <v>1</v>
      </c>
      <c r="M1265">
        <v>1</v>
      </c>
      <c r="N1265">
        <v>3.5</v>
      </c>
      <c r="O1265">
        <v>8.6999999999999993</v>
      </c>
      <c r="P1265">
        <v>5</v>
      </c>
      <c r="Q1265">
        <v>7</v>
      </c>
      <c r="R1265">
        <v>854757</v>
      </c>
      <c r="S1265">
        <f>Table1[[#This Row],[Revenue]]-Table1[[#This Row],[Operating_Costs]]</f>
        <v>217961</v>
      </c>
      <c r="T1265">
        <v>636796</v>
      </c>
      <c r="U1265">
        <v>42</v>
      </c>
      <c r="V1265">
        <v>61</v>
      </c>
      <c r="W1265">
        <v>13</v>
      </c>
    </row>
    <row r="1266" spans="1:23" x14ac:dyDescent="0.25">
      <c r="A1266">
        <v>4</v>
      </c>
      <c r="B1266" t="s">
        <v>69</v>
      </c>
      <c r="C1266" s="1">
        <v>44860</v>
      </c>
      <c r="D1266" t="s">
        <v>71</v>
      </c>
      <c r="E1266">
        <v>0</v>
      </c>
      <c r="F1266">
        <v>40</v>
      </c>
      <c r="G1266" t="str">
        <f t="shared" si="27"/>
        <v>21-40</v>
      </c>
      <c r="H1266" t="s">
        <v>35</v>
      </c>
      <c r="I1266" t="s">
        <v>58</v>
      </c>
      <c r="J1266" t="s">
        <v>59</v>
      </c>
      <c r="K1266" t="s">
        <v>38</v>
      </c>
      <c r="L1266">
        <v>1</v>
      </c>
      <c r="M1266">
        <v>1</v>
      </c>
      <c r="N1266">
        <v>6.1</v>
      </c>
      <c r="O1266">
        <v>8.6999999999999993</v>
      </c>
      <c r="P1266">
        <v>7</v>
      </c>
      <c r="Q1266">
        <v>7</v>
      </c>
      <c r="R1266">
        <v>823631</v>
      </c>
      <c r="S1266">
        <f>Table1[[#This Row],[Revenue]]-Table1[[#This Row],[Operating_Costs]]</f>
        <v>266150</v>
      </c>
      <c r="T1266">
        <v>557481</v>
      </c>
      <c r="U1266">
        <v>40</v>
      </c>
      <c r="V1266">
        <v>63</v>
      </c>
      <c r="W1266">
        <v>36.6</v>
      </c>
    </row>
    <row r="1267" spans="1:23" x14ac:dyDescent="0.25">
      <c r="A1267">
        <v>4</v>
      </c>
      <c r="B1267" t="s">
        <v>69</v>
      </c>
      <c r="C1267" s="1">
        <v>45542</v>
      </c>
      <c r="D1267" t="s">
        <v>71</v>
      </c>
      <c r="E1267">
        <v>0</v>
      </c>
      <c r="F1267">
        <v>35</v>
      </c>
      <c r="G1267" t="str">
        <f t="shared" si="27"/>
        <v>21-40</v>
      </c>
      <c r="H1267" t="s">
        <v>23</v>
      </c>
      <c r="I1267" t="s">
        <v>67</v>
      </c>
      <c r="J1267" t="s">
        <v>68</v>
      </c>
      <c r="K1267" t="s">
        <v>26</v>
      </c>
      <c r="L1267">
        <v>1</v>
      </c>
      <c r="M1267">
        <v>1</v>
      </c>
      <c r="N1267">
        <v>1.2</v>
      </c>
      <c r="O1267">
        <v>8.8000000000000007</v>
      </c>
      <c r="P1267">
        <v>6</v>
      </c>
      <c r="Q1267">
        <v>5</v>
      </c>
      <c r="R1267">
        <v>895476</v>
      </c>
      <c r="S1267">
        <f>Table1[[#This Row],[Revenue]]-Table1[[#This Row],[Operating_Costs]]</f>
        <v>308812</v>
      </c>
      <c r="T1267">
        <v>586664</v>
      </c>
      <c r="U1267">
        <v>47</v>
      </c>
      <c r="V1267">
        <v>58</v>
      </c>
      <c r="W1267">
        <v>5.9</v>
      </c>
    </row>
    <row r="1268" spans="1:23" x14ac:dyDescent="0.25">
      <c r="A1268">
        <v>4</v>
      </c>
      <c r="B1268" t="s">
        <v>69</v>
      </c>
      <c r="C1268" s="1">
        <v>45006</v>
      </c>
      <c r="D1268" t="s">
        <v>71</v>
      </c>
      <c r="E1268">
        <v>0</v>
      </c>
      <c r="F1268">
        <v>67</v>
      </c>
      <c r="G1268" t="str">
        <f t="shared" si="27"/>
        <v>61-80</v>
      </c>
      <c r="H1268" t="s">
        <v>35</v>
      </c>
      <c r="I1268" t="s">
        <v>36</v>
      </c>
      <c r="J1268" t="s">
        <v>37</v>
      </c>
      <c r="K1268" t="s">
        <v>29</v>
      </c>
      <c r="L1268">
        <v>1</v>
      </c>
      <c r="M1268">
        <v>1</v>
      </c>
      <c r="N1268">
        <v>4.0999999999999996</v>
      </c>
      <c r="O1268">
        <v>8.1</v>
      </c>
      <c r="P1268">
        <v>3</v>
      </c>
      <c r="Q1268">
        <v>6</v>
      </c>
      <c r="R1268">
        <v>866335</v>
      </c>
      <c r="S1268">
        <f>Table1[[#This Row],[Revenue]]-Table1[[#This Row],[Operating_Costs]]</f>
        <v>252517</v>
      </c>
      <c r="T1268">
        <v>613818</v>
      </c>
      <c r="U1268">
        <v>31</v>
      </c>
      <c r="V1268">
        <v>59</v>
      </c>
      <c r="W1268">
        <v>10.199999999999999</v>
      </c>
    </row>
    <row r="1269" spans="1:23" x14ac:dyDescent="0.25">
      <c r="A1269">
        <v>4</v>
      </c>
      <c r="B1269" t="s">
        <v>69</v>
      </c>
      <c r="C1269" s="1">
        <v>44931</v>
      </c>
      <c r="D1269" t="s">
        <v>71</v>
      </c>
      <c r="E1269">
        <v>0</v>
      </c>
      <c r="F1269">
        <v>71</v>
      </c>
      <c r="G1269" t="str">
        <f t="shared" si="27"/>
        <v>61-80</v>
      </c>
      <c r="H1269" t="s">
        <v>23</v>
      </c>
      <c r="I1269" t="s">
        <v>43</v>
      </c>
      <c r="J1269" t="s">
        <v>25</v>
      </c>
      <c r="K1269" t="s">
        <v>26</v>
      </c>
      <c r="L1269">
        <v>1</v>
      </c>
      <c r="M1269">
        <v>1</v>
      </c>
      <c r="N1269">
        <v>2</v>
      </c>
      <c r="O1269">
        <v>9</v>
      </c>
      <c r="P1269">
        <v>5</v>
      </c>
      <c r="Q1269">
        <v>6</v>
      </c>
      <c r="R1269">
        <v>889888</v>
      </c>
      <c r="S1269">
        <f>Table1[[#This Row],[Revenue]]-Table1[[#This Row],[Operating_Costs]]</f>
        <v>205804</v>
      </c>
      <c r="T1269">
        <v>684084</v>
      </c>
      <c r="U1269">
        <v>60</v>
      </c>
      <c r="V1269">
        <v>59</v>
      </c>
      <c r="W1269">
        <v>13.4</v>
      </c>
    </row>
    <row r="1270" spans="1:23" x14ac:dyDescent="0.25">
      <c r="A1270">
        <v>4</v>
      </c>
      <c r="B1270" t="s">
        <v>69</v>
      </c>
      <c r="C1270" s="1">
        <v>44718</v>
      </c>
      <c r="D1270" t="s">
        <v>71</v>
      </c>
      <c r="E1270">
        <v>0</v>
      </c>
      <c r="F1270">
        <v>40</v>
      </c>
      <c r="G1270" t="str">
        <f t="shared" si="27"/>
        <v>21-40</v>
      </c>
      <c r="H1270" t="s">
        <v>35</v>
      </c>
      <c r="I1270" t="s">
        <v>36</v>
      </c>
      <c r="J1270" t="s">
        <v>37</v>
      </c>
      <c r="K1270" t="s">
        <v>42</v>
      </c>
      <c r="L1270">
        <v>1</v>
      </c>
      <c r="M1270">
        <v>1</v>
      </c>
      <c r="N1270">
        <v>3.8</v>
      </c>
      <c r="O1270">
        <v>9.6</v>
      </c>
      <c r="P1270">
        <v>6</v>
      </c>
      <c r="Q1270">
        <v>6</v>
      </c>
      <c r="R1270">
        <v>937233</v>
      </c>
      <c r="S1270">
        <f>Table1[[#This Row],[Revenue]]-Table1[[#This Row],[Operating_Costs]]</f>
        <v>359799</v>
      </c>
      <c r="T1270">
        <v>577434</v>
      </c>
      <c r="U1270">
        <v>37</v>
      </c>
      <c r="V1270">
        <v>59</v>
      </c>
      <c r="W1270">
        <v>6.1</v>
      </c>
    </row>
    <row r="1271" spans="1:23" x14ac:dyDescent="0.25">
      <c r="A1271">
        <v>4</v>
      </c>
      <c r="B1271" t="s">
        <v>69</v>
      </c>
      <c r="C1271" s="1">
        <v>44982</v>
      </c>
      <c r="D1271" t="s">
        <v>71</v>
      </c>
      <c r="E1271">
        <v>0</v>
      </c>
      <c r="F1271">
        <v>48</v>
      </c>
      <c r="G1271" t="str">
        <f t="shared" si="27"/>
        <v>41-60</v>
      </c>
      <c r="H1271" t="s">
        <v>35</v>
      </c>
      <c r="I1271" t="s">
        <v>27</v>
      </c>
      <c r="J1271" t="s">
        <v>28</v>
      </c>
      <c r="K1271" t="s">
        <v>33</v>
      </c>
      <c r="L1271">
        <v>1</v>
      </c>
      <c r="M1271">
        <v>1</v>
      </c>
      <c r="N1271">
        <v>3.3</v>
      </c>
      <c r="O1271">
        <v>9.1</v>
      </c>
      <c r="P1271">
        <v>4</v>
      </c>
      <c r="Q1271">
        <v>4</v>
      </c>
      <c r="R1271">
        <v>866258</v>
      </c>
      <c r="S1271">
        <f>Table1[[#This Row],[Revenue]]-Table1[[#This Row],[Operating_Costs]]</f>
        <v>240160</v>
      </c>
      <c r="T1271">
        <v>626098</v>
      </c>
      <c r="U1271">
        <v>60</v>
      </c>
      <c r="V1271">
        <v>60</v>
      </c>
      <c r="W1271">
        <v>5.5</v>
      </c>
    </row>
    <row r="1272" spans="1:23" x14ac:dyDescent="0.25">
      <c r="A1272">
        <v>4</v>
      </c>
      <c r="B1272" t="s">
        <v>69</v>
      </c>
      <c r="C1272" s="1">
        <v>44599</v>
      </c>
      <c r="D1272" t="s">
        <v>71</v>
      </c>
      <c r="E1272">
        <v>0</v>
      </c>
      <c r="F1272">
        <v>43</v>
      </c>
      <c r="G1272" t="str">
        <f t="shared" si="27"/>
        <v>41-60</v>
      </c>
      <c r="H1272" t="s">
        <v>23</v>
      </c>
      <c r="I1272" t="s">
        <v>50</v>
      </c>
      <c r="J1272" t="s">
        <v>51</v>
      </c>
      <c r="K1272" t="s">
        <v>33</v>
      </c>
      <c r="L1272">
        <v>1</v>
      </c>
      <c r="M1272">
        <v>1</v>
      </c>
      <c r="N1272">
        <v>3.8</v>
      </c>
      <c r="O1272">
        <v>8.1</v>
      </c>
      <c r="P1272">
        <v>7</v>
      </c>
      <c r="Q1272">
        <v>3</v>
      </c>
      <c r="R1272">
        <v>942994</v>
      </c>
      <c r="S1272">
        <f>Table1[[#This Row],[Revenue]]-Table1[[#This Row],[Operating_Costs]]</f>
        <v>354467</v>
      </c>
      <c r="T1272">
        <v>588527</v>
      </c>
      <c r="U1272">
        <v>34</v>
      </c>
      <c r="V1272">
        <v>61</v>
      </c>
      <c r="W1272">
        <v>13.1</v>
      </c>
    </row>
    <row r="1273" spans="1:23" x14ac:dyDescent="0.25">
      <c r="A1273">
        <v>4</v>
      </c>
      <c r="B1273" t="s">
        <v>69</v>
      </c>
      <c r="C1273" s="1">
        <v>45656</v>
      </c>
      <c r="D1273" t="s">
        <v>71</v>
      </c>
      <c r="E1273">
        <v>0</v>
      </c>
      <c r="F1273">
        <v>55</v>
      </c>
      <c r="G1273" t="str">
        <f t="shared" si="27"/>
        <v>41-60</v>
      </c>
      <c r="H1273" t="s">
        <v>35</v>
      </c>
      <c r="I1273" t="s">
        <v>50</v>
      </c>
      <c r="J1273" t="s">
        <v>51</v>
      </c>
      <c r="K1273" t="s">
        <v>33</v>
      </c>
      <c r="L1273">
        <v>1</v>
      </c>
      <c r="M1273">
        <v>1</v>
      </c>
      <c r="N1273">
        <v>3.4</v>
      </c>
      <c r="O1273">
        <v>9</v>
      </c>
      <c r="P1273">
        <v>7</v>
      </c>
      <c r="Q1273">
        <v>4</v>
      </c>
      <c r="R1273">
        <v>801890</v>
      </c>
      <c r="S1273">
        <f>Table1[[#This Row],[Revenue]]-Table1[[#This Row],[Operating_Costs]]</f>
        <v>226604</v>
      </c>
      <c r="T1273">
        <v>575286</v>
      </c>
      <c r="U1273">
        <v>52</v>
      </c>
      <c r="V1273">
        <v>65</v>
      </c>
      <c r="W1273">
        <v>10</v>
      </c>
    </row>
    <row r="1274" spans="1:23" x14ac:dyDescent="0.25">
      <c r="A1274">
        <v>4</v>
      </c>
      <c r="B1274" t="s">
        <v>69</v>
      </c>
      <c r="C1274" s="1">
        <v>44884</v>
      </c>
      <c r="D1274" t="s">
        <v>71</v>
      </c>
      <c r="E1274">
        <v>0</v>
      </c>
      <c r="F1274">
        <v>54</v>
      </c>
      <c r="G1274" t="str">
        <f t="shared" si="27"/>
        <v>41-60</v>
      </c>
      <c r="H1274" t="s">
        <v>23</v>
      </c>
      <c r="I1274" t="s">
        <v>43</v>
      </c>
      <c r="J1274" t="s">
        <v>25</v>
      </c>
      <c r="K1274" t="s">
        <v>38</v>
      </c>
      <c r="L1274">
        <v>1</v>
      </c>
      <c r="M1274">
        <v>1</v>
      </c>
      <c r="N1274">
        <v>5.6</v>
      </c>
      <c r="O1274">
        <v>7.9</v>
      </c>
      <c r="P1274">
        <v>7</v>
      </c>
      <c r="Q1274">
        <v>7</v>
      </c>
      <c r="R1274">
        <v>812383</v>
      </c>
      <c r="S1274">
        <f>Table1[[#This Row],[Revenue]]-Table1[[#This Row],[Operating_Costs]]</f>
        <v>169901</v>
      </c>
      <c r="T1274">
        <v>642482</v>
      </c>
      <c r="U1274">
        <v>46</v>
      </c>
      <c r="V1274">
        <v>65</v>
      </c>
      <c r="W1274">
        <v>12</v>
      </c>
    </row>
    <row r="1275" spans="1:23" x14ac:dyDescent="0.25">
      <c r="A1275">
        <v>4</v>
      </c>
      <c r="B1275" t="s">
        <v>69</v>
      </c>
      <c r="C1275" s="1">
        <v>45584</v>
      </c>
      <c r="D1275" t="s">
        <v>71</v>
      </c>
      <c r="E1275">
        <v>0</v>
      </c>
      <c r="F1275">
        <v>90</v>
      </c>
      <c r="G1275" t="str">
        <f t="shared" si="27"/>
        <v>81+</v>
      </c>
      <c r="H1275" t="s">
        <v>35</v>
      </c>
      <c r="I1275" t="s">
        <v>50</v>
      </c>
      <c r="J1275" t="s">
        <v>51</v>
      </c>
      <c r="K1275" t="s">
        <v>33</v>
      </c>
      <c r="L1275">
        <v>1</v>
      </c>
      <c r="M1275">
        <v>1</v>
      </c>
      <c r="N1275">
        <v>1.5</v>
      </c>
      <c r="O1275">
        <v>9.6</v>
      </c>
      <c r="P1275">
        <v>4</v>
      </c>
      <c r="Q1275">
        <v>6</v>
      </c>
      <c r="R1275">
        <v>820736</v>
      </c>
      <c r="S1275">
        <f>Table1[[#This Row],[Revenue]]-Table1[[#This Row],[Operating_Costs]]</f>
        <v>268329</v>
      </c>
      <c r="T1275">
        <v>552407</v>
      </c>
      <c r="U1275">
        <v>51</v>
      </c>
      <c r="V1275">
        <v>62</v>
      </c>
      <c r="W1275">
        <v>14.2</v>
      </c>
    </row>
    <row r="1276" spans="1:23" x14ac:dyDescent="0.25">
      <c r="A1276">
        <v>4</v>
      </c>
      <c r="B1276" t="s">
        <v>69</v>
      </c>
      <c r="C1276" s="1">
        <v>45321</v>
      </c>
      <c r="D1276" t="s">
        <v>71</v>
      </c>
      <c r="E1276">
        <v>0</v>
      </c>
      <c r="F1276">
        <v>79</v>
      </c>
      <c r="G1276" t="str">
        <f t="shared" si="27"/>
        <v>61-80</v>
      </c>
      <c r="H1276" t="s">
        <v>23</v>
      </c>
      <c r="I1276" t="s">
        <v>43</v>
      </c>
      <c r="J1276" t="s">
        <v>25</v>
      </c>
      <c r="K1276" t="s">
        <v>38</v>
      </c>
      <c r="L1276">
        <v>1</v>
      </c>
      <c r="M1276">
        <v>1</v>
      </c>
      <c r="N1276">
        <v>4.0999999999999996</v>
      </c>
      <c r="O1276">
        <v>9.1</v>
      </c>
      <c r="P1276">
        <v>7</v>
      </c>
      <c r="Q1276">
        <v>7</v>
      </c>
      <c r="R1276">
        <v>900772</v>
      </c>
      <c r="S1276">
        <f>Table1[[#This Row],[Revenue]]-Table1[[#This Row],[Operating_Costs]]</f>
        <v>234108</v>
      </c>
      <c r="T1276">
        <v>666664</v>
      </c>
      <c r="U1276">
        <v>43</v>
      </c>
      <c r="V1276">
        <v>62</v>
      </c>
      <c r="W1276">
        <v>10.5</v>
      </c>
    </row>
    <row r="1277" spans="1:23" x14ac:dyDescent="0.25">
      <c r="A1277">
        <v>4</v>
      </c>
      <c r="B1277" t="s">
        <v>69</v>
      </c>
      <c r="C1277" s="1">
        <v>45109</v>
      </c>
      <c r="D1277" t="s">
        <v>71</v>
      </c>
      <c r="E1277">
        <v>0</v>
      </c>
      <c r="F1277">
        <v>78</v>
      </c>
      <c r="G1277" t="str">
        <f t="shared" si="27"/>
        <v>61-80</v>
      </c>
      <c r="H1277" t="s">
        <v>35</v>
      </c>
      <c r="I1277" t="s">
        <v>64</v>
      </c>
      <c r="J1277" t="s">
        <v>65</v>
      </c>
      <c r="K1277" t="s">
        <v>42</v>
      </c>
      <c r="L1277">
        <v>1</v>
      </c>
      <c r="M1277">
        <v>1</v>
      </c>
      <c r="N1277">
        <v>3.9</v>
      </c>
      <c r="O1277">
        <v>8.4</v>
      </c>
      <c r="P1277">
        <v>3</v>
      </c>
      <c r="Q1277">
        <v>6</v>
      </c>
      <c r="R1277">
        <v>872871</v>
      </c>
      <c r="S1277">
        <f>Table1[[#This Row],[Revenue]]-Table1[[#This Row],[Operating_Costs]]</f>
        <v>278898</v>
      </c>
      <c r="T1277">
        <v>593973</v>
      </c>
      <c r="U1277">
        <v>54</v>
      </c>
      <c r="V1277">
        <v>66</v>
      </c>
      <c r="W1277">
        <v>9</v>
      </c>
    </row>
    <row r="1278" spans="1:23" x14ac:dyDescent="0.25">
      <c r="A1278">
        <v>4</v>
      </c>
      <c r="B1278" t="s">
        <v>69</v>
      </c>
      <c r="C1278" s="1">
        <v>45090</v>
      </c>
      <c r="D1278" t="s">
        <v>71</v>
      </c>
      <c r="E1278">
        <v>0</v>
      </c>
      <c r="F1278">
        <v>27</v>
      </c>
      <c r="G1278" t="str">
        <f t="shared" si="27"/>
        <v>21-40</v>
      </c>
      <c r="H1278" t="s">
        <v>35</v>
      </c>
      <c r="I1278" t="s">
        <v>31</v>
      </c>
      <c r="J1278" t="s">
        <v>28</v>
      </c>
      <c r="K1278" t="s">
        <v>38</v>
      </c>
      <c r="L1278">
        <v>1</v>
      </c>
      <c r="M1278">
        <v>1</v>
      </c>
      <c r="N1278">
        <v>5.0999999999999996</v>
      </c>
      <c r="O1278">
        <v>8</v>
      </c>
      <c r="P1278">
        <v>4</v>
      </c>
      <c r="Q1278">
        <v>7</v>
      </c>
      <c r="R1278">
        <v>822043</v>
      </c>
      <c r="S1278">
        <f>Table1[[#This Row],[Revenue]]-Table1[[#This Row],[Operating_Costs]]</f>
        <v>186312</v>
      </c>
      <c r="T1278">
        <v>635731</v>
      </c>
      <c r="U1278">
        <v>39</v>
      </c>
      <c r="V1278">
        <v>59</v>
      </c>
      <c r="W1278">
        <v>10.8</v>
      </c>
    </row>
    <row r="1279" spans="1:23" x14ac:dyDescent="0.25">
      <c r="A1279">
        <v>4</v>
      </c>
      <c r="B1279" t="s">
        <v>69</v>
      </c>
      <c r="C1279" s="1">
        <v>44473</v>
      </c>
      <c r="D1279" t="s">
        <v>71</v>
      </c>
      <c r="E1279">
        <v>0</v>
      </c>
      <c r="F1279">
        <v>28</v>
      </c>
      <c r="G1279" t="str">
        <f t="shared" si="27"/>
        <v>21-40</v>
      </c>
      <c r="H1279" t="s">
        <v>35</v>
      </c>
      <c r="I1279" t="s">
        <v>61</v>
      </c>
      <c r="J1279" t="s">
        <v>62</v>
      </c>
      <c r="K1279" t="s">
        <v>33</v>
      </c>
      <c r="L1279">
        <v>1</v>
      </c>
      <c r="M1279">
        <v>1</v>
      </c>
      <c r="N1279">
        <v>5.7</v>
      </c>
      <c r="O1279">
        <v>8.3000000000000007</v>
      </c>
      <c r="P1279">
        <v>5</v>
      </c>
      <c r="Q1279">
        <v>4</v>
      </c>
      <c r="R1279">
        <v>836582</v>
      </c>
      <c r="S1279">
        <f>Table1[[#This Row],[Revenue]]-Table1[[#This Row],[Operating_Costs]]</f>
        <v>219457</v>
      </c>
      <c r="T1279">
        <v>617125</v>
      </c>
      <c r="U1279">
        <v>37</v>
      </c>
      <c r="V1279">
        <v>56</v>
      </c>
      <c r="W1279">
        <v>6.6</v>
      </c>
    </row>
    <row r="1280" spans="1:23" x14ac:dyDescent="0.25">
      <c r="A1280">
        <v>4</v>
      </c>
      <c r="B1280" t="s">
        <v>69</v>
      </c>
      <c r="C1280" s="1">
        <v>44506</v>
      </c>
      <c r="D1280" t="s">
        <v>71</v>
      </c>
      <c r="E1280">
        <v>0</v>
      </c>
      <c r="F1280">
        <v>44</v>
      </c>
      <c r="G1280" t="str">
        <f t="shared" si="27"/>
        <v>41-60</v>
      </c>
      <c r="H1280" t="s">
        <v>23</v>
      </c>
      <c r="I1280" t="s">
        <v>31</v>
      </c>
      <c r="J1280" t="s">
        <v>28</v>
      </c>
      <c r="K1280" t="s">
        <v>42</v>
      </c>
      <c r="L1280">
        <v>1</v>
      </c>
      <c r="M1280">
        <v>1</v>
      </c>
      <c r="N1280">
        <v>6.3</v>
      </c>
      <c r="O1280">
        <v>7</v>
      </c>
      <c r="P1280">
        <v>7</v>
      </c>
      <c r="Q1280">
        <v>4</v>
      </c>
      <c r="R1280">
        <v>943478</v>
      </c>
      <c r="S1280">
        <f>Table1[[#This Row],[Revenue]]-Table1[[#This Row],[Operating_Costs]]</f>
        <v>419206</v>
      </c>
      <c r="T1280">
        <v>524272</v>
      </c>
      <c r="U1280">
        <v>42</v>
      </c>
      <c r="V1280">
        <v>62</v>
      </c>
      <c r="W1280">
        <v>7.5</v>
      </c>
    </row>
    <row r="1281" spans="1:23" x14ac:dyDescent="0.25">
      <c r="A1281">
        <v>4</v>
      </c>
      <c r="B1281" t="s">
        <v>69</v>
      </c>
      <c r="C1281" s="1">
        <v>44529</v>
      </c>
      <c r="D1281" t="s">
        <v>71</v>
      </c>
      <c r="E1281">
        <v>0</v>
      </c>
      <c r="F1281">
        <v>35</v>
      </c>
      <c r="G1281" t="str">
        <f t="shared" si="27"/>
        <v>21-40</v>
      </c>
      <c r="H1281" t="s">
        <v>35</v>
      </c>
      <c r="I1281" t="s">
        <v>40</v>
      </c>
      <c r="J1281" t="s">
        <v>41</v>
      </c>
      <c r="K1281" t="s">
        <v>26</v>
      </c>
      <c r="L1281">
        <v>1</v>
      </c>
      <c r="M1281">
        <v>1</v>
      </c>
      <c r="N1281">
        <v>4.4000000000000004</v>
      </c>
      <c r="O1281">
        <v>8.8000000000000007</v>
      </c>
      <c r="P1281">
        <v>6</v>
      </c>
      <c r="Q1281">
        <v>6</v>
      </c>
      <c r="R1281">
        <v>943584</v>
      </c>
      <c r="S1281">
        <f>Table1[[#This Row],[Revenue]]-Table1[[#This Row],[Operating_Costs]]</f>
        <v>383920</v>
      </c>
      <c r="T1281">
        <v>559664</v>
      </c>
      <c r="U1281">
        <v>59</v>
      </c>
      <c r="V1281">
        <v>59</v>
      </c>
      <c r="W1281">
        <v>6</v>
      </c>
    </row>
    <row r="1282" spans="1:23" x14ac:dyDescent="0.25">
      <c r="A1282">
        <v>4</v>
      </c>
      <c r="B1282" t="s">
        <v>69</v>
      </c>
      <c r="C1282" s="1">
        <v>45557</v>
      </c>
      <c r="D1282" t="s">
        <v>71</v>
      </c>
      <c r="E1282">
        <v>0</v>
      </c>
      <c r="F1282">
        <v>85</v>
      </c>
      <c r="G1282" t="str">
        <f t="shared" si="27"/>
        <v>81+</v>
      </c>
      <c r="H1282" t="s">
        <v>35</v>
      </c>
      <c r="I1282" t="s">
        <v>60</v>
      </c>
      <c r="J1282" t="s">
        <v>59</v>
      </c>
      <c r="K1282" t="s">
        <v>26</v>
      </c>
      <c r="L1282">
        <v>1</v>
      </c>
      <c r="M1282">
        <v>1</v>
      </c>
      <c r="N1282">
        <v>3.2</v>
      </c>
      <c r="O1282">
        <v>7.3</v>
      </c>
      <c r="P1282">
        <v>7</v>
      </c>
      <c r="Q1282">
        <v>4</v>
      </c>
      <c r="R1282">
        <v>855144</v>
      </c>
      <c r="S1282">
        <f>Table1[[#This Row],[Revenue]]-Table1[[#This Row],[Operating_Costs]]</f>
        <v>352058</v>
      </c>
      <c r="T1282">
        <v>503086</v>
      </c>
      <c r="U1282">
        <v>35</v>
      </c>
      <c r="V1282">
        <v>54</v>
      </c>
      <c r="W1282">
        <v>5</v>
      </c>
    </row>
    <row r="1283" spans="1:23" x14ac:dyDescent="0.25">
      <c r="A1283">
        <v>4</v>
      </c>
      <c r="B1283" t="s">
        <v>69</v>
      </c>
      <c r="C1283" s="1">
        <v>44987</v>
      </c>
      <c r="D1283" t="s">
        <v>71</v>
      </c>
      <c r="E1283">
        <v>0</v>
      </c>
      <c r="F1283">
        <v>29</v>
      </c>
      <c r="G1283" t="str">
        <f t="shared" ref="G1283:G1346" si="28">IF(F1283&lt;=20,"0-20",IF(F1283&lt;=40,"21-40",IF(F1283&lt;=60,"41-60",IF(F1283&lt;=80,"61-80","81+"))))</f>
        <v>21-40</v>
      </c>
      <c r="H1283" t="s">
        <v>35</v>
      </c>
      <c r="I1283" t="s">
        <v>46</v>
      </c>
      <c r="J1283" t="s">
        <v>47</v>
      </c>
      <c r="K1283" t="s">
        <v>42</v>
      </c>
      <c r="L1283">
        <v>1</v>
      </c>
      <c r="M1283">
        <v>1</v>
      </c>
      <c r="N1283">
        <v>2.9</v>
      </c>
      <c r="O1283">
        <v>8.6</v>
      </c>
      <c r="P1283">
        <v>4</v>
      </c>
      <c r="Q1283">
        <v>7</v>
      </c>
      <c r="R1283">
        <v>926827</v>
      </c>
      <c r="S1283">
        <f>Table1[[#This Row],[Revenue]]-Table1[[#This Row],[Operating_Costs]]</f>
        <v>332607</v>
      </c>
      <c r="T1283">
        <v>594220</v>
      </c>
      <c r="U1283">
        <v>60</v>
      </c>
      <c r="V1283">
        <v>55</v>
      </c>
      <c r="W1283">
        <v>13.9</v>
      </c>
    </row>
    <row r="1284" spans="1:23" x14ac:dyDescent="0.25">
      <c r="A1284">
        <v>4</v>
      </c>
      <c r="B1284" t="s">
        <v>69</v>
      </c>
      <c r="C1284" s="1">
        <v>45244</v>
      </c>
      <c r="D1284" t="s">
        <v>71</v>
      </c>
      <c r="E1284">
        <v>0</v>
      </c>
      <c r="F1284">
        <v>34</v>
      </c>
      <c r="G1284" t="str">
        <f t="shared" si="28"/>
        <v>21-40</v>
      </c>
      <c r="H1284" t="s">
        <v>23</v>
      </c>
      <c r="I1284" t="s">
        <v>24</v>
      </c>
      <c r="J1284" t="s">
        <v>25</v>
      </c>
      <c r="K1284" t="s">
        <v>33</v>
      </c>
      <c r="L1284">
        <v>1</v>
      </c>
      <c r="M1284">
        <v>1</v>
      </c>
      <c r="N1284">
        <v>2.5</v>
      </c>
      <c r="O1284">
        <v>8.4</v>
      </c>
      <c r="P1284">
        <v>6</v>
      </c>
      <c r="Q1284">
        <v>3</v>
      </c>
      <c r="R1284">
        <v>846931</v>
      </c>
      <c r="S1284">
        <f>Table1[[#This Row],[Revenue]]-Table1[[#This Row],[Operating_Costs]]</f>
        <v>337128</v>
      </c>
      <c r="T1284">
        <v>509803</v>
      </c>
      <c r="U1284">
        <v>45</v>
      </c>
      <c r="V1284">
        <v>56</v>
      </c>
      <c r="W1284">
        <v>14.6</v>
      </c>
    </row>
    <row r="1285" spans="1:23" x14ac:dyDescent="0.25">
      <c r="A1285">
        <v>4</v>
      </c>
      <c r="B1285" t="s">
        <v>69</v>
      </c>
      <c r="C1285" s="1">
        <v>44386</v>
      </c>
      <c r="D1285" t="s">
        <v>71</v>
      </c>
      <c r="E1285">
        <v>0</v>
      </c>
      <c r="F1285">
        <v>49</v>
      </c>
      <c r="G1285" t="str">
        <f t="shared" si="28"/>
        <v>41-60</v>
      </c>
      <c r="H1285" t="s">
        <v>23</v>
      </c>
      <c r="I1285" t="s">
        <v>27</v>
      </c>
      <c r="J1285" t="s">
        <v>28</v>
      </c>
      <c r="K1285" t="s">
        <v>42</v>
      </c>
      <c r="L1285">
        <v>1</v>
      </c>
      <c r="M1285">
        <v>1</v>
      </c>
      <c r="N1285">
        <v>6.9</v>
      </c>
      <c r="O1285">
        <v>7.9</v>
      </c>
      <c r="P1285">
        <v>7</v>
      </c>
      <c r="Q1285">
        <v>7</v>
      </c>
      <c r="R1285">
        <v>815156</v>
      </c>
      <c r="S1285">
        <f>Table1[[#This Row],[Revenue]]-Table1[[#This Row],[Operating_Costs]]</f>
        <v>129137</v>
      </c>
      <c r="T1285">
        <v>686019</v>
      </c>
      <c r="U1285">
        <v>56</v>
      </c>
      <c r="V1285">
        <v>54</v>
      </c>
      <c r="W1285">
        <v>36</v>
      </c>
    </row>
    <row r="1286" spans="1:23" x14ac:dyDescent="0.25">
      <c r="A1286">
        <v>4</v>
      </c>
      <c r="B1286" t="s">
        <v>69</v>
      </c>
      <c r="C1286" s="1">
        <v>45443</v>
      </c>
      <c r="D1286" t="s">
        <v>71</v>
      </c>
      <c r="E1286">
        <v>0</v>
      </c>
      <c r="F1286">
        <v>30</v>
      </c>
      <c r="G1286" t="str">
        <f t="shared" si="28"/>
        <v>21-40</v>
      </c>
      <c r="H1286" t="s">
        <v>23</v>
      </c>
      <c r="I1286" t="s">
        <v>64</v>
      </c>
      <c r="J1286" t="s">
        <v>65</v>
      </c>
      <c r="K1286" t="s">
        <v>42</v>
      </c>
      <c r="L1286">
        <v>1</v>
      </c>
      <c r="M1286">
        <v>1</v>
      </c>
      <c r="N1286">
        <v>6.4</v>
      </c>
      <c r="O1286">
        <v>7.6</v>
      </c>
      <c r="P1286">
        <v>3</v>
      </c>
      <c r="Q1286">
        <v>6</v>
      </c>
      <c r="R1286">
        <v>950752</v>
      </c>
      <c r="S1286">
        <f>Table1[[#This Row],[Revenue]]-Table1[[#This Row],[Operating_Costs]]</f>
        <v>271745</v>
      </c>
      <c r="T1286">
        <v>679007</v>
      </c>
      <c r="U1286">
        <v>38</v>
      </c>
      <c r="V1286">
        <v>65</v>
      </c>
      <c r="W1286">
        <v>10.199999999999999</v>
      </c>
    </row>
    <row r="1287" spans="1:23" x14ac:dyDescent="0.25">
      <c r="A1287">
        <v>4</v>
      </c>
      <c r="B1287" t="s">
        <v>69</v>
      </c>
      <c r="C1287" s="1">
        <v>44832</v>
      </c>
      <c r="D1287" t="s">
        <v>71</v>
      </c>
      <c r="E1287">
        <v>0</v>
      </c>
      <c r="F1287">
        <v>27</v>
      </c>
      <c r="G1287" t="str">
        <f t="shared" si="28"/>
        <v>21-40</v>
      </c>
      <c r="H1287" t="s">
        <v>35</v>
      </c>
      <c r="I1287" t="s">
        <v>61</v>
      </c>
      <c r="J1287" t="s">
        <v>62</v>
      </c>
      <c r="K1287" t="s">
        <v>33</v>
      </c>
      <c r="L1287">
        <v>1</v>
      </c>
      <c r="M1287">
        <v>1</v>
      </c>
      <c r="N1287">
        <v>3.7</v>
      </c>
      <c r="O1287">
        <v>9</v>
      </c>
      <c r="P1287">
        <v>7</v>
      </c>
      <c r="Q1287">
        <v>7</v>
      </c>
      <c r="R1287">
        <v>877403</v>
      </c>
      <c r="S1287">
        <f>Table1[[#This Row],[Revenue]]-Table1[[#This Row],[Operating_Costs]]</f>
        <v>335929</v>
      </c>
      <c r="T1287">
        <v>541474</v>
      </c>
      <c r="U1287">
        <v>46</v>
      </c>
      <c r="V1287">
        <v>58</v>
      </c>
      <c r="W1287">
        <v>13.8</v>
      </c>
    </row>
    <row r="1288" spans="1:23" x14ac:dyDescent="0.25">
      <c r="A1288">
        <v>4</v>
      </c>
      <c r="B1288" t="s">
        <v>69</v>
      </c>
      <c r="C1288" s="1">
        <v>45633</v>
      </c>
      <c r="D1288" t="s">
        <v>71</v>
      </c>
      <c r="E1288">
        <v>0</v>
      </c>
      <c r="F1288">
        <v>23</v>
      </c>
      <c r="G1288" t="str">
        <f t="shared" si="28"/>
        <v>21-40</v>
      </c>
      <c r="H1288" t="s">
        <v>23</v>
      </c>
      <c r="I1288" t="s">
        <v>43</v>
      </c>
      <c r="J1288" t="s">
        <v>25</v>
      </c>
      <c r="K1288" t="s">
        <v>29</v>
      </c>
      <c r="L1288">
        <v>1</v>
      </c>
      <c r="M1288">
        <v>1</v>
      </c>
      <c r="N1288">
        <v>5</v>
      </c>
      <c r="O1288">
        <v>8.4</v>
      </c>
      <c r="P1288">
        <v>7</v>
      </c>
      <c r="Q1288">
        <v>6</v>
      </c>
      <c r="R1288">
        <v>868992</v>
      </c>
      <c r="S1288">
        <f>Table1[[#This Row],[Revenue]]-Table1[[#This Row],[Operating_Costs]]</f>
        <v>179773</v>
      </c>
      <c r="T1288">
        <v>689219</v>
      </c>
      <c r="U1288">
        <v>50</v>
      </c>
      <c r="V1288">
        <v>61</v>
      </c>
      <c r="W1288">
        <v>6.4</v>
      </c>
    </row>
    <row r="1289" spans="1:23" x14ac:dyDescent="0.25">
      <c r="A1289">
        <v>4</v>
      </c>
      <c r="B1289" t="s">
        <v>69</v>
      </c>
      <c r="C1289" s="1">
        <v>44655</v>
      </c>
      <c r="D1289" t="s">
        <v>71</v>
      </c>
      <c r="E1289">
        <v>0</v>
      </c>
      <c r="F1289">
        <v>70</v>
      </c>
      <c r="G1289" t="str">
        <f t="shared" si="28"/>
        <v>61-80</v>
      </c>
      <c r="H1289" t="s">
        <v>35</v>
      </c>
      <c r="I1289" t="s">
        <v>36</v>
      </c>
      <c r="J1289" t="s">
        <v>37</v>
      </c>
      <c r="K1289" t="s">
        <v>33</v>
      </c>
      <c r="L1289">
        <v>1</v>
      </c>
      <c r="M1289">
        <v>1</v>
      </c>
      <c r="N1289">
        <v>5.4</v>
      </c>
      <c r="O1289">
        <v>7.9</v>
      </c>
      <c r="P1289">
        <v>3</v>
      </c>
      <c r="Q1289">
        <v>5</v>
      </c>
      <c r="R1289">
        <v>977130</v>
      </c>
      <c r="S1289">
        <f>Table1[[#This Row],[Revenue]]-Table1[[#This Row],[Operating_Costs]]</f>
        <v>441350</v>
      </c>
      <c r="T1289">
        <v>535780</v>
      </c>
      <c r="U1289">
        <v>33</v>
      </c>
      <c r="V1289">
        <v>65</v>
      </c>
      <c r="W1289">
        <v>36.6</v>
      </c>
    </row>
    <row r="1290" spans="1:23" x14ac:dyDescent="0.25">
      <c r="A1290">
        <v>4</v>
      </c>
      <c r="B1290" t="s">
        <v>69</v>
      </c>
      <c r="C1290" s="1">
        <v>44371</v>
      </c>
      <c r="D1290" t="s">
        <v>71</v>
      </c>
      <c r="E1290">
        <v>0</v>
      </c>
      <c r="F1290">
        <v>54</v>
      </c>
      <c r="G1290" t="str">
        <f t="shared" si="28"/>
        <v>41-60</v>
      </c>
      <c r="H1290" t="s">
        <v>35</v>
      </c>
      <c r="I1290" t="s">
        <v>36</v>
      </c>
      <c r="J1290" t="s">
        <v>37</v>
      </c>
      <c r="K1290" t="s">
        <v>38</v>
      </c>
      <c r="L1290">
        <v>1</v>
      </c>
      <c r="M1290">
        <v>1</v>
      </c>
      <c r="N1290">
        <v>4.7</v>
      </c>
      <c r="O1290">
        <v>9.5</v>
      </c>
      <c r="P1290">
        <v>4</v>
      </c>
      <c r="Q1290">
        <v>3</v>
      </c>
      <c r="R1290">
        <v>868946</v>
      </c>
      <c r="S1290">
        <f>Table1[[#This Row],[Revenue]]-Table1[[#This Row],[Operating_Costs]]</f>
        <v>302521</v>
      </c>
      <c r="T1290">
        <v>566425</v>
      </c>
      <c r="U1290">
        <v>54</v>
      </c>
      <c r="V1290">
        <v>54</v>
      </c>
      <c r="W1290">
        <v>10.7</v>
      </c>
    </row>
    <row r="1291" spans="1:23" x14ac:dyDescent="0.25">
      <c r="A1291">
        <v>4</v>
      </c>
      <c r="B1291" t="s">
        <v>69</v>
      </c>
      <c r="C1291" s="1">
        <v>44232</v>
      </c>
      <c r="D1291" t="s">
        <v>71</v>
      </c>
      <c r="E1291">
        <v>0</v>
      </c>
      <c r="F1291">
        <v>28</v>
      </c>
      <c r="G1291" t="str">
        <f t="shared" si="28"/>
        <v>21-40</v>
      </c>
      <c r="H1291" t="s">
        <v>35</v>
      </c>
      <c r="I1291" t="s">
        <v>31</v>
      </c>
      <c r="J1291" t="s">
        <v>28</v>
      </c>
      <c r="K1291" t="s">
        <v>38</v>
      </c>
      <c r="L1291">
        <v>1</v>
      </c>
      <c r="M1291">
        <v>1</v>
      </c>
      <c r="N1291">
        <v>6.6</v>
      </c>
      <c r="O1291">
        <v>7.7</v>
      </c>
      <c r="P1291">
        <v>3</v>
      </c>
      <c r="Q1291">
        <v>7</v>
      </c>
      <c r="R1291">
        <v>928636</v>
      </c>
      <c r="S1291">
        <f>Table1[[#This Row],[Revenue]]-Table1[[#This Row],[Operating_Costs]]</f>
        <v>274164</v>
      </c>
      <c r="T1291">
        <v>654472</v>
      </c>
      <c r="U1291">
        <v>53</v>
      </c>
      <c r="V1291">
        <v>62</v>
      </c>
      <c r="W1291">
        <v>8.3000000000000007</v>
      </c>
    </row>
    <row r="1292" spans="1:23" x14ac:dyDescent="0.25">
      <c r="A1292">
        <v>4</v>
      </c>
      <c r="B1292" t="s">
        <v>69</v>
      </c>
      <c r="C1292" s="1">
        <v>45397</v>
      </c>
      <c r="D1292" t="s">
        <v>71</v>
      </c>
      <c r="E1292">
        <v>0</v>
      </c>
      <c r="F1292">
        <v>86</v>
      </c>
      <c r="G1292" t="str">
        <f t="shared" si="28"/>
        <v>81+</v>
      </c>
      <c r="H1292" t="s">
        <v>23</v>
      </c>
      <c r="I1292" t="s">
        <v>24</v>
      </c>
      <c r="J1292" t="s">
        <v>25</v>
      </c>
      <c r="K1292" t="s">
        <v>26</v>
      </c>
      <c r="L1292">
        <v>1</v>
      </c>
      <c r="M1292">
        <v>1</v>
      </c>
      <c r="N1292">
        <v>3.8</v>
      </c>
      <c r="O1292">
        <v>7.7</v>
      </c>
      <c r="P1292">
        <v>7</v>
      </c>
      <c r="Q1292">
        <v>7</v>
      </c>
      <c r="R1292">
        <v>807575</v>
      </c>
      <c r="S1292">
        <f>Table1[[#This Row],[Revenue]]-Table1[[#This Row],[Operating_Costs]]</f>
        <v>138105</v>
      </c>
      <c r="T1292">
        <v>669470</v>
      </c>
      <c r="U1292">
        <v>59</v>
      </c>
      <c r="V1292">
        <v>65</v>
      </c>
      <c r="W1292">
        <v>10.5</v>
      </c>
    </row>
    <row r="1293" spans="1:23" x14ac:dyDescent="0.25">
      <c r="A1293">
        <v>4</v>
      </c>
      <c r="B1293" t="s">
        <v>69</v>
      </c>
      <c r="C1293" s="1">
        <v>44788</v>
      </c>
      <c r="D1293" t="s">
        <v>71</v>
      </c>
      <c r="E1293">
        <v>0</v>
      </c>
      <c r="F1293">
        <v>45</v>
      </c>
      <c r="G1293" t="str">
        <f t="shared" si="28"/>
        <v>41-60</v>
      </c>
      <c r="H1293" t="s">
        <v>23</v>
      </c>
      <c r="I1293" t="s">
        <v>24</v>
      </c>
      <c r="J1293" t="s">
        <v>25</v>
      </c>
      <c r="K1293" t="s">
        <v>33</v>
      </c>
      <c r="L1293">
        <v>1</v>
      </c>
      <c r="M1293">
        <v>1</v>
      </c>
      <c r="N1293">
        <v>1.8</v>
      </c>
      <c r="O1293">
        <v>8.1</v>
      </c>
      <c r="P1293">
        <v>4</v>
      </c>
      <c r="Q1293">
        <v>4</v>
      </c>
      <c r="R1293">
        <v>990291</v>
      </c>
      <c r="S1293">
        <f>Table1[[#This Row],[Revenue]]-Table1[[#This Row],[Operating_Costs]]</f>
        <v>386620</v>
      </c>
      <c r="T1293">
        <v>603671</v>
      </c>
      <c r="U1293">
        <v>33</v>
      </c>
      <c r="V1293">
        <v>65</v>
      </c>
      <c r="W1293">
        <v>7.9</v>
      </c>
    </row>
    <row r="1294" spans="1:23" x14ac:dyDescent="0.25">
      <c r="A1294">
        <v>4</v>
      </c>
      <c r="B1294" t="s">
        <v>69</v>
      </c>
      <c r="C1294" s="1">
        <v>45371</v>
      </c>
      <c r="D1294" t="s">
        <v>71</v>
      </c>
      <c r="E1294">
        <v>0</v>
      </c>
      <c r="F1294">
        <v>46</v>
      </c>
      <c r="G1294" t="str">
        <f t="shared" si="28"/>
        <v>41-60</v>
      </c>
      <c r="H1294" t="s">
        <v>23</v>
      </c>
      <c r="I1294" t="s">
        <v>46</v>
      </c>
      <c r="J1294" t="s">
        <v>47</v>
      </c>
      <c r="K1294" t="s">
        <v>42</v>
      </c>
      <c r="L1294">
        <v>1</v>
      </c>
      <c r="M1294">
        <v>1</v>
      </c>
      <c r="N1294">
        <v>3</v>
      </c>
      <c r="O1294">
        <v>9.1</v>
      </c>
      <c r="P1294">
        <v>6</v>
      </c>
      <c r="Q1294">
        <v>7</v>
      </c>
      <c r="R1294">
        <v>960570</v>
      </c>
      <c r="S1294">
        <f>Table1[[#This Row],[Revenue]]-Table1[[#This Row],[Operating_Costs]]</f>
        <v>353999</v>
      </c>
      <c r="T1294">
        <v>606571</v>
      </c>
      <c r="U1294">
        <v>36</v>
      </c>
      <c r="V1294">
        <v>64</v>
      </c>
      <c r="W1294">
        <v>8.8000000000000007</v>
      </c>
    </row>
    <row r="1295" spans="1:23" x14ac:dyDescent="0.25">
      <c r="A1295">
        <v>4</v>
      </c>
      <c r="B1295" t="s">
        <v>69</v>
      </c>
      <c r="C1295" s="1">
        <v>44470</v>
      </c>
      <c r="D1295" t="s">
        <v>71</v>
      </c>
      <c r="E1295">
        <v>0</v>
      </c>
      <c r="F1295">
        <v>51</v>
      </c>
      <c r="G1295" t="str">
        <f t="shared" si="28"/>
        <v>41-60</v>
      </c>
      <c r="H1295" t="s">
        <v>35</v>
      </c>
      <c r="I1295" t="s">
        <v>31</v>
      </c>
      <c r="J1295" t="s">
        <v>28</v>
      </c>
      <c r="K1295" t="s">
        <v>42</v>
      </c>
      <c r="L1295">
        <v>1</v>
      </c>
      <c r="M1295">
        <v>1</v>
      </c>
      <c r="N1295">
        <v>2.9</v>
      </c>
      <c r="O1295">
        <v>8.1999999999999993</v>
      </c>
      <c r="P1295">
        <v>3</v>
      </c>
      <c r="Q1295">
        <v>5</v>
      </c>
      <c r="R1295">
        <v>819991</v>
      </c>
      <c r="S1295">
        <f>Table1[[#This Row],[Revenue]]-Table1[[#This Row],[Operating_Costs]]</f>
        <v>191589</v>
      </c>
      <c r="T1295">
        <v>628402</v>
      </c>
      <c r="U1295">
        <v>36</v>
      </c>
      <c r="V1295">
        <v>66</v>
      </c>
      <c r="W1295">
        <v>10.1</v>
      </c>
    </row>
    <row r="1296" spans="1:23" x14ac:dyDescent="0.25">
      <c r="A1296">
        <v>4</v>
      </c>
      <c r="B1296" t="s">
        <v>69</v>
      </c>
      <c r="C1296" s="1">
        <v>44755</v>
      </c>
      <c r="D1296" t="s">
        <v>71</v>
      </c>
      <c r="E1296">
        <v>0</v>
      </c>
      <c r="F1296">
        <v>34</v>
      </c>
      <c r="G1296" t="str">
        <f t="shared" si="28"/>
        <v>21-40</v>
      </c>
      <c r="H1296" t="s">
        <v>35</v>
      </c>
      <c r="I1296" t="s">
        <v>53</v>
      </c>
      <c r="J1296" t="s">
        <v>54</v>
      </c>
      <c r="K1296" t="s">
        <v>26</v>
      </c>
      <c r="L1296">
        <v>1</v>
      </c>
      <c r="M1296">
        <v>1</v>
      </c>
      <c r="N1296">
        <v>3</v>
      </c>
      <c r="O1296">
        <v>9.5</v>
      </c>
      <c r="P1296">
        <v>4</v>
      </c>
      <c r="Q1296">
        <v>5</v>
      </c>
      <c r="R1296">
        <v>995130</v>
      </c>
      <c r="S1296">
        <f>Table1[[#This Row],[Revenue]]-Table1[[#This Row],[Operating_Costs]]</f>
        <v>423365</v>
      </c>
      <c r="T1296">
        <v>571765</v>
      </c>
      <c r="U1296">
        <v>44</v>
      </c>
      <c r="V1296">
        <v>57</v>
      </c>
      <c r="W1296">
        <v>9.6</v>
      </c>
    </row>
    <row r="1297" spans="1:23" x14ac:dyDescent="0.25">
      <c r="A1297">
        <v>4</v>
      </c>
      <c r="B1297" t="s">
        <v>69</v>
      </c>
      <c r="C1297" s="1">
        <v>45618</v>
      </c>
      <c r="D1297" t="s">
        <v>71</v>
      </c>
      <c r="E1297">
        <v>0</v>
      </c>
      <c r="F1297">
        <v>81</v>
      </c>
      <c r="G1297" t="str">
        <f t="shared" si="28"/>
        <v>81+</v>
      </c>
      <c r="H1297" t="s">
        <v>23</v>
      </c>
      <c r="I1297" t="s">
        <v>27</v>
      </c>
      <c r="J1297" t="s">
        <v>28</v>
      </c>
      <c r="K1297" t="s">
        <v>26</v>
      </c>
      <c r="L1297">
        <v>1</v>
      </c>
      <c r="M1297">
        <v>1</v>
      </c>
      <c r="N1297">
        <v>3.3</v>
      </c>
      <c r="O1297">
        <v>9.8000000000000007</v>
      </c>
      <c r="P1297">
        <v>5</v>
      </c>
      <c r="Q1297">
        <v>4</v>
      </c>
      <c r="R1297">
        <v>875377</v>
      </c>
      <c r="S1297">
        <f>Table1[[#This Row],[Revenue]]-Table1[[#This Row],[Operating_Costs]]</f>
        <v>277285</v>
      </c>
      <c r="T1297">
        <v>598092</v>
      </c>
      <c r="U1297">
        <v>44</v>
      </c>
      <c r="V1297">
        <v>63</v>
      </c>
      <c r="W1297">
        <v>13.4</v>
      </c>
    </row>
    <row r="1298" spans="1:23" x14ac:dyDescent="0.25">
      <c r="A1298">
        <v>4</v>
      </c>
      <c r="B1298" t="s">
        <v>69</v>
      </c>
      <c r="C1298" s="1">
        <v>44199</v>
      </c>
      <c r="D1298" t="s">
        <v>71</v>
      </c>
      <c r="E1298">
        <v>0</v>
      </c>
      <c r="F1298">
        <v>73</v>
      </c>
      <c r="G1298" t="str">
        <f t="shared" si="28"/>
        <v>61-80</v>
      </c>
      <c r="H1298" t="s">
        <v>35</v>
      </c>
      <c r="I1298" t="s">
        <v>58</v>
      </c>
      <c r="J1298" t="s">
        <v>59</v>
      </c>
      <c r="K1298" t="s">
        <v>38</v>
      </c>
      <c r="L1298">
        <v>1</v>
      </c>
      <c r="M1298">
        <v>1</v>
      </c>
      <c r="N1298">
        <v>3.4</v>
      </c>
      <c r="O1298">
        <v>9.4</v>
      </c>
      <c r="P1298">
        <v>7</v>
      </c>
      <c r="Q1298">
        <v>3</v>
      </c>
      <c r="R1298">
        <v>915936</v>
      </c>
      <c r="S1298">
        <f>Table1[[#This Row],[Revenue]]-Table1[[#This Row],[Operating_Costs]]</f>
        <v>380665</v>
      </c>
      <c r="T1298">
        <v>535271</v>
      </c>
      <c r="U1298">
        <v>43</v>
      </c>
      <c r="V1298">
        <v>62</v>
      </c>
      <c r="W1298">
        <v>7</v>
      </c>
    </row>
    <row r="1299" spans="1:23" x14ac:dyDescent="0.25">
      <c r="A1299">
        <v>4</v>
      </c>
      <c r="B1299" t="s">
        <v>69</v>
      </c>
      <c r="C1299" s="1">
        <v>45641</v>
      </c>
      <c r="D1299" t="s">
        <v>71</v>
      </c>
      <c r="E1299">
        <v>0</v>
      </c>
      <c r="F1299">
        <v>33</v>
      </c>
      <c r="G1299" t="str">
        <f t="shared" si="28"/>
        <v>21-40</v>
      </c>
      <c r="H1299" t="s">
        <v>35</v>
      </c>
      <c r="I1299" t="s">
        <v>36</v>
      </c>
      <c r="J1299" t="s">
        <v>37</v>
      </c>
      <c r="K1299" t="s">
        <v>26</v>
      </c>
      <c r="L1299">
        <v>1</v>
      </c>
      <c r="M1299">
        <v>1</v>
      </c>
      <c r="N1299">
        <v>5.0999999999999996</v>
      </c>
      <c r="O1299">
        <v>9.8000000000000007</v>
      </c>
      <c r="P1299">
        <v>5</v>
      </c>
      <c r="Q1299">
        <v>3</v>
      </c>
      <c r="R1299">
        <v>961881</v>
      </c>
      <c r="S1299">
        <f>Table1[[#This Row],[Revenue]]-Table1[[#This Row],[Operating_Costs]]</f>
        <v>329978</v>
      </c>
      <c r="T1299">
        <v>631903</v>
      </c>
      <c r="U1299">
        <v>42</v>
      </c>
      <c r="V1299">
        <v>66</v>
      </c>
      <c r="W1299">
        <v>8.5</v>
      </c>
    </row>
    <row r="1300" spans="1:23" x14ac:dyDescent="0.25">
      <c r="A1300">
        <v>4</v>
      </c>
      <c r="B1300" t="s">
        <v>69</v>
      </c>
      <c r="C1300" s="1">
        <v>44398</v>
      </c>
      <c r="D1300" t="s">
        <v>71</v>
      </c>
      <c r="E1300">
        <v>0</v>
      </c>
      <c r="F1300">
        <v>79</v>
      </c>
      <c r="G1300" t="str">
        <f t="shared" si="28"/>
        <v>61-80</v>
      </c>
      <c r="H1300" t="s">
        <v>35</v>
      </c>
      <c r="I1300" t="s">
        <v>46</v>
      </c>
      <c r="J1300" t="s">
        <v>47</v>
      </c>
      <c r="K1300" t="s">
        <v>38</v>
      </c>
      <c r="L1300">
        <v>1</v>
      </c>
      <c r="M1300">
        <v>1</v>
      </c>
      <c r="N1300">
        <v>3.3</v>
      </c>
      <c r="O1300">
        <v>9.6999999999999993</v>
      </c>
      <c r="P1300">
        <v>6</v>
      </c>
      <c r="Q1300">
        <v>6</v>
      </c>
      <c r="R1300">
        <v>809464</v>
      </c>
      <c r="S1300">
        <f>Table1[[#This Row],[Revenue]]-Table1[[#This Row],[Operating_Costs]]</f>
        <v>131941</v>
      </c>
      <c r="T1300">
        <v>677523</v>
      </c>
      <c r="U1300">
        <v>52</v>
      </c>
      <c r="V1300">
        <v>64</v>
      </c>
      <c r="W1300">
        <v>6.4</v>
      </c>
    </row>
    <row r="1301" spans="1:23" x14ac:dyDescent="0.25">
      <c r="A1301">
        <v>4</v>
      </c>
      <c r="B1301" t="s">
        <v>69</v>
      </c>
      <c r="C1301" s="1">
        <v>45291</v>
      </c>
      <c r="D1301" t="s">
        <v>71</v>
      </c>
      <c r="E1301">
        <v>0</v>
      </c>
      <c r="F1301">
        <v>43</v>
      </c>
      <c r="G1301" t="str">
        <f t="shared" si="28"/>
        <v>41-60</v>
      </c>
      <c r="H1301" t="s">
        <v>23</v>
      </c>
      <c r="I1301" t="s">
        <v>43</v>
      </c>
      <c r="J1301" t="s">
        <v>25</v>
      </c>
      <c r="K1301" t="s">
        <v>38</v>
      </c>
      <c r="L1301">
        <v>1</v>
      </c>
      <c r="M1301">
        <v>1</v>
      </c>
      <c r="N1301">
        <v>1.8</v>
      </c>
      <c r="O1301">
        <v>7.2</v>
      </c>
      <c r="P1301">
        <v>6</v>
      </c>
      <c r="Q1301">
        <v>5</v>
      </c>
      <c r="R1301">
        <v>882427</v>
      </c>
      <c r="S1301">
        <f>Table1[[#This Row],[Revenue]]-Table1[[#This Row],[Operating_Costs]]</f>
        <v>311942</v>
      </c>
      <c r="T1301">
        <v>570485</v>
      </c>
      <c r="U1301">
        <v>44</v>
      </c>
      <c r="V1301">
        <v>59</v>
      </c>
      <c r="W1301">
        <v>14.4</v>
      </c>
    </row>
    <row r="1302" spans="1:23" x14ac:dyDescent="0.25">
      <c r="A1302">
        <v>4</v>
      </c>
      <c r="B1302" t="s">
        <v>69</v>
      </c>
      <c r="C1302" s="1">
        <v>44405</v>
      </c>
      <c r="D1302" t="s">
        <v>71</v>
      </c>
      <c r="E1302">
        <v>0</v>
      </c>
      <c r="F1302">
        <v>29</v>
      </c>
      <c r="G1302" t="str">
        <f t="shared" si="28"/>
        <v>21-40</v>
      </c>
      <c r="H1302" t="s">
        <v>35</v>
      </c>
      <c r="I1302" t="s">
        <v>36</v>
      </c>
      <c r="J1302" t="s">
        <v>37</v>
      </c>
      <c r="K1302" t="s">
        <v>33</v>
      </c>
      <c r="L1302">
        <v>1</v>
      </c>
      <c r="M1302">
        <v>1</v>
      </c>
      <c r="N1302">
        <v>3.9</v>
      </c>
      <c r="O1302">
        <v>9.9</v>
      </c>
      <c r="P1302">
        <v>7</v>
      </c>
      <c r="Q1302">
        <v>6</v>
      </c>
      <c r="R1302">
        <v>850492</v>
      </c>
      <c r="S1302">
        <f>Table1[[#This Row],[Revenue]]-Table1[[#This Row],[Operating_Costs]]</f>
        <v>228593</v>
      </c>
      <c r="T1302">
        <v>621899</v>
      </c>
      <c r="U1302">
        <v>55</v>
      </c>
      <c r="V1302">
        <v>55</v>
      </c>
      <c r="W1302">
        <v>36.200000000000003</v>
      </c>
    </row>
    <row r="1303" spans="1:23" x14ac:dyDescent="0.25">
      <c r="A1303">
        <v>4</v>
      </c>
      <c r="B1303" t="s">
        <v>69</v>
      </c>
      <c r="C1303" s="1">
        <v>44270</v>
      </c>
      <c r="D1303" t="s">
        <v>71</v>
      </c>
      <c r="E1303">
        <v>0</v>
      </c>
      <c r="F1303">
        <v>35</v>
      </c>
      <c r="G1303" t="str">
        <f t="shared" si="28"/>
        <v>21-40</v>
      </c>
      <c r="H1303" t="s">
        <v>35</v>
      </c>
      <c r="I1303" t="s">
        <v>31</v>
      </c>
      <c r="J1303" t="s">
        <v>28</v>
      </c>
      <c r="K1303" t="s">
        <v>38</v>
      </c>
      <c r="L1303">
        <v>1</v>
      </c>
      <c r="M1303">
        <v>1</v>
      </c>
      <c r="N1303">
        <v>6.7</v>
      </c>
      <c r="O1303">
        <v>9.6999999999999993</v>
      </c>
      <c r="P1303">
        <v>4</v>
      </c>
      <c r="Q1303">
        <v>4</v>
      </c>
      <c r="R1303">
        <v>945214</v>
      </c>
      <c r="S1303">
        <f>Table1[[#This Row],[Revenue]]-Table1[[#This Row],[Operating_Costs]]</f>
        <v>313062</v>
      </c>
      <c r="T1303">
        <v>632152</v>
      </c>
      <c r="U1303">
        <v>48</v>
      </c>
      <c r="V1303">
        <v>59</v>
      </c>
      <c r="W1303">
        <v>8.5</v>
      </c>
    </row>
    <row r="1304" spans="1:23" x14ac:dyDescent="0.25">
      <c r="A1304">
        <v>3</v>
      </c>
      <c r="B1304" t="s">
        <v>57</v>
      </c>
      <c r="C1304" s="1">
        <v>45119</v>
      </c>
      <c r="D1304" t="s">
        <v>71</v>
      </c>
      <c r="E1304">
        <v>0</v>
      </c>
      <c r="F1304">
        <v>60</v>
      </c>
      <c r="G1304" t="str">
        <f t="shared" si="28"/>
        <v>41-60</v>
      </c>
      <c r="H1304" t="s">
        <v>23</v>
      </c>
      <c r="I1304" t="s">
        <v>24</v>
      </c>
      <c r="J1304" t="s">
        <v>25</v>
      </c>
      <c r="K1304" t="s">
        <v>38</v>
      </c>
      <c r="L1304">
        <v>1</v>
      </c>
      <c r="M1304">
        <v>1</v>
      </c>
      <c r="N1304">
        <v>4.5</v>
      </c>
      <c r="O1304">
        <v>9.6</v>
      </c>
      <c r="P1304">
        <v>4</v>
      </c>
      <c r="Q1304">
        <v>7</v>
      </c>
      <c r="R1304">
        <v>553645</v>
      </c>
      <c r="S1304">
        <f>Table1[[#This Row],[Revenue]]-Table1[[#This Row],[Operating_Costs]]</f>
        <v>199791</v>
      </c>
      <c r="T1304">
        <v>353854</v>
      </c>
      <c r="U1304">
        <v>17</v>
      </c>
      <c r="V1304">
        <v>60</v>
      </c>
      <c r="W1304">
        <v>10.3</v>
      </c>
    </row>
    <row r="1305" spans="1:23" x14ac:dyDescent="0.25">
      <c r="A1305">
        <v>3</v>
      </c>
      <c r="B1305" t="s">
        <v>57</v>
      </c>
      <c r="C1305" s="1">
        <v>45097</v>
      </c>
      <c r="D1305" t="s">
        <v>71</v>
      </c>
      <c r="E1305">
        <v>0</v>
      </c>
      <c r="F1305">
        <v>75</v>
      </c>
      <c r="G1305" t="str">
        <f t="shared" si="28"/>
        <v>61-80</v>
      </c>
      <c r="H1305" t="s">
        <v>35</v>
      </c>
      <c r="I1305" t="s">
        <v>31</v>
      </c>
      <c r="J1305" t="s">
        <v>28</v>
      </c>
      <c r="K1305" t="s">
        <v>33</v>
      </c>
      <c r="L1305">
        <v>1</v>
      </c>
      <c r="M1305">
        <v>1</v>
      </c>
      <c r="N1305">
        <v>1.5</v>
      </c>
      <c r="O1305">
        <v>9.9</v>
      </c>
      <c r="P1305">
        <v>3</v>
      </c>
      <c r="Q1305">
        <v>6</v>
      </c>
      <c r="R1305">
        <v>590875</v>
      </c>
      <c r="S1305">
        <f>Table1[[#This Row],[Revenue]]-Table1[[#This Row],[Operating_Costs]]</f>
        <v>283906</v>
      </c>
      <c r="T1305">
        <v>306969</v>
      </c>
      <c r="U1305">
        <v>15</v>
      </c>
      <c r="V1305">
        <v>54</v>
      </c>
      <c r="W1305">
        <v>8.5</v>
      </c>
    </row>
    <row r="1306" spans="1:23" x14ac:dyDescent="0.25">
      <c r="A1306">
        <v>3</v>
      </c>
      <c r="B1306" t="s">
        <v>57</v>
      </c>
      <c r="C1306" s="1">
        <v>45293</v>
      </c>
      <c r="D1306" t="s">
        <v>71</v>
      </c>
      <c r="E1306">
        <v>0</v>
      </c>
      <c r="F1306">
        <v>48</v>
      </c>
      <c r="G1306" t="str">
        <f t="shared" si="28"/>
        <v>41-60</v>
      </c>
      <c r="H1306" t="s">
        <v>35</v>
      </c>
      <c r="I1306" t="s">
        <v>58</v>
      </c>
      <c r="J1306" t="s">
        <v>59</v>
      </c>
      <c r="K1306" t="s">
        <v>42</v>
      </c>
      <c r="L1306">
        <v>1</v>
      </c>
      <c r="M1306">
        <v>1</v>
      </c>
      <c r="N1306">
        <v>1.9</v>
      </c>
      <c r="O1306">
        <v>7.7</v>
      </c>
      <c r="P1306">
        <v>6</v>
      </c>
      <c r="Q1306">
        <v>5</v>
      </c>
      <c r="R1306">
        <v>529180</v>
      </c>
      <c r="S1306">
        <f>Table1[[#This Row],[Revenue]]-Table1[[#This Row],[Operating_Costs]]</f>
        <v>184547</v>
      </c>
      <c r="T1306">
        <v>344633</v>
      </c>
      <c r="U1306">
        <v>19</v>
      </c>
      <c r="V1306">
        <v>65</v>
      </c>
      <c r="W1306">
        <v>14.1</v>
      </c>
    </row>
    <row r="1307" spans="1:23" x14ac:dyDescent="0.25">
      <c r="A1307">
        <v>3</v>
      </c>
      <c r="B1307" t="s">
        <v>57</v>
      </c>
      <c r="C1307" s="1">
        <v>44883</v>
      </c>
      <c r="D1307" t="s">
        <v>71</v>
      </c>
      <c r="E1307">
        <v>0</v>
      </c>
      <c r="F1307">
        <v>31</v>
      </c>
      <c r="G1307" t="str">
        <f t="shared" si="28"/>
        <v>21-40</v>
      </c>
      <c r="H1307" t="s">
        <v>23</v>
      </c>
      <c r="I1307" t="s">
        <v>46</v>
      </c>
      <c r="J1307" t="s">
        <v>47</v>
      </c>
      <c r="K1307" t="s">
        <v>26</v>
      </c>
      <c r="L1307">
        <v>1</v>
      </c>
      <c r="M1307">
        <v>1</v>
      </c>
      <c r="N1307">
        <v>4</v>
      </c>
      <c r="O1307">
        <v>7.5</v>
      </c>
      <c r="P1307">
        <v>5</v>
      </c>
      <c r="Q1307">
        <v>5</v>
      </c>
      <c r="R1307">
        <v>512356</v>
      </c>
      <c r="S1307">
        <f>Table1[[#This Row],[Revenue]]-Table1[[#This Row],[Operating_Costs]]</f>
        <v>159006</v>
      </c>
      <c r="T1307">
        <v>353350</v>
      </c>
      <c r="U1307">
        <v>23</v>
      </c>
      <c r="V1307">
        <v>61</v>
      </c>
      <c r="W1307">
        <v>13.8</v>
      </c>
    </row>
    <row r="1308" spans="1:23" x14ac:dyDescent="0.25">
      <c r="A1308">
        <v>4</v>
      </c>
      <c r="B1308" t="s">
        <v>69</v>
      </c>
      <c r="C1308" s="1">
        <v>44365</v>
      </c>
      <c r="D1308" t="s">
        <v>71</v>
      </c>
      <c r="E1308">
        <v>0</v>
      </c>
      <c r="F1308">
        <v>71</v>
      </c>
      <c r="G1308" t="str">
        <f t="shared" si="28"/>
        <v>61-80</v>
      </c>
      <c r="H1308" t="s">
        <v>23</v>
      </c>
      <c r="I1308" t="s">
        <v>31</v>
      </c>
      <c r="J1308" t="s">
        <v>28</v>
      </c>
      <c r="K1308" t="s">
        <v>42</v>
      </c>
      <c r="L1308">
        <v>1</v>
      </c>
      <c r="M1308">
        <v>1</v>
      </c>
      <c r="N1308">
        <v>4.0999999999999996</v>
      </c>
      <c r="O1308">
        <v>7.7</v>
      </c>
      <c r="P1308">
        <v>6</v>
      </c>
      <c r="Q1308">
        <v>7</v>
      </c>
      <c r="R1308">
        <v>979328</v>
      </c>
      <c r="S1308">
        <f>Table1[[#This Row],[Revenue]]-Table1[[#This Row],[Operating_Costs]]</f>
        <v>418960</v>
      </c>
      <c r="T1308">
        <v>560368</v>
      </c>
      <c r="U1308">
        <v>48</v>
      </c>
      <c r="V1308">
        <v>57</v>
      </c>
      <c r="W1308">
        <v>5.2</v>
      </c>
    </row>
    <row r="1309" spans="1:23" x14ac:dyDescent="0.25">
      <c r="A1309">
        <v>3</v>
      </c>
      <c r="B1309" t="s">
        <v>57</v>
      </c>
      <c r="C1309" s="1">
        <v>45468</v>
      </c>
      <c r="D1309" t="s">
        <v>71</v>
      </c>
      <c r="E1309">
        <v>0</v>
      </c>
      <c r="F1309">
        <v>56</v>
      </c>
      <c r="G1309" t="str">
        <f t="shared" si="28"/>
        <v>41-60</v>
      </c>
      <c r="H1309" t="s">
        <v>23</v>
      </c>
      <c r="I1309" t="s">
        <v>40</v>
      </c>
      <c r="J1309" t="s">
        <v>41</v>
      </c>
      <c r="K1309" t="s">
        <v>33</v>
      </c>
      <c r="L1309">
        <v>1</v>
      </c>
      <c r="M1309">
        <v>1</v>
      </c>
      <c r="N1309">
        <v>1.2</v>
      </c>
      <c r="O1309">
        <v>7.3</v>
      </c>
      <c r="P1309">
        <v>7</v>
      </c>
      <c r="Q1309">
        <v>6</v>
      </c>
      <c r="R1309">
        <v>542456</v>
      </c>
      <c r="S1309">
        <f>Table1[[#This Row],[Revenue]]-Table1[[#This Row],[Operating_Costs]]</f>
        <v>202493</v>
      </c>
      <c r="T1309">
        <v>339963</v>
      </c>
      <c r="U1309">
        <v>23</v>
      </c>
      <c r="V1309">
        <v>54</v>
      </c>
      <c r="W1309">
        <v>5.2</v>
      </c>
    </row>
    <row r="1310" spans="1:23" x14ac:dyDescent="0.25">
      <c r="A1310">
        <v>4</v>
      </c>
      <c r="B1310" t="s">
        <v>69</v>
      </c>
      <c r="C1310" s="1">
        <v>44248</v>
      </c>
      <c r="D1310" t="s">
        <v>71</v>
      </c>
      <c r="E1310">
        <v>0</v>
      </c>
      <c r="F1310">
        <v>71</v>
      </c>
      <c r="G1310" t="str">
        <f t="shared" si="28"/>
        <v>61-80</v>
      </c>
      <c r="H1310" t="s">
        <v>35</v>
      </c>
      <c r="I1310" t="s">
        <v>36</v>
      </c>
      <c r="J1310" t="s">
        <v>37</v>
      </c>
      <c r="K1310" t="s">
        <v>42</v>
      </c>
      <c r="L1310">
        <v>1</v>
      </c>
      <c r="M1310">
        <v>1</v>
      </c>
      <c r="N1310">
        <v>2.4</v>
      </c>
      <c r="O1310">
        <v>7.1</v>
      </c>
      <c r="P1310">
        <v>5</v>
      </c>
      <c r="Q1310">
        <v>3</v>
      </c>
      <c r="R1310">
        <v>889966</v>
      </c>
      <c r="S1310">
        <f>Table1[[#This Row],[Revenue]]-Table1[[#This Row],[Operating_Costs]]</f>
        <v>320459</v>
      </c>
      <c r="T1310">
        <v>569507</v>
      </c>
      <c r="U1310">
        <v>49</v>
      </c>
      <c r="V1310">
        <v>66</v>
      </c>
      <c r="W1310">
        <v>13.9</v>
      </c>
    </row>
    <row r="1311" spans="1:23" x14ac:dyDescent="0.25">
      <c r="A1311">
        <v>3</v>
      </c>
      <c r="B1311" t="s">
        <v>57</v>
      </c>
      <c r="C1311" s="1">
        <v>45018</v>
      </c>
      <c r="D1311" t="s">
        <v>71</v>
      </c>
      <c r="E1311">
        <v>0</v>
      </c>
      <c r="F1311">
        <v>47</v>
      </c>
      <c r="G1311" t="str">
        <f t="shared" si="28"/>
        <v>41-60</v>
      </c>
      <c r="H1311" t="s">
        <v>35</v>
      </c>
      <c r="I1311" t="s">
        <v>46</v>
      </c>
      <c r="J1311" t="s">
        <v>47</v>
      </c>
      <c r="K1311" t="s">
        <v>29</v>
      </c>
      <c r="L1311">
        <v>1</v>
      </c>
      <c r="M1311">
        <v>1</v>
      </c>
      <c r="N1311">
        <v>6.9</v>
      </c>
      <c r="O1311">
        <v>7.8</v>
      </c>
      <c r="P1311">
        <v>6</v>
      </c>
      <c r="Q1311">
        <v>7</v>
      </c>
      <c r="R1311">
        <v>513356</v>
      </c>
      <c r="S1311">
        <f>Table1[[#This Row],[Revenue]]-Table1[[#This Row],[Operating_Costs]]</f>
        <v>125770</v>
      </c>
      <c r="T1311">
        <v>387586</v>
      </c>
      <c r="U1311">
        <v>20</v>
      </c>
      <c r="V1311">
        <v>66</v>
      </c>
      <c r="W1311">
        <v>14.7</v>
      </c>
    </row>
    <row r="1312" spans="1:23" x14ac:dyDescent="0.25">
      <c r="A1312">
        <v>3</v>
      </c>
      <c r="B1312" t="s">
        <v>57</v>
      </c>
      <c r="C1312" s="1">
        <v>44843</v>
      </c>
      <c r="D1312" t="s">
        <v>71</v>
      </c>
      <c r="E1312">
        <v>0</v>
      </c>
      <c r="F1312">
        <v>27</v>
      </c>
      <c r="G1312" t="str">
        <f t="shared" si="28"/>
        <v>21-40</v>
      </c>
      <c r="H1312" t="s">
        <v>35</v>
      </c>
      <c r="I1312" t="s">
        <v>61</v>
      </c>
      <c r="J1312" t="s">
        <v>62</v>
      </c>
      <c r="K1312" t="s">
        <v>29</v>
      </c>
      <c r="L1312">
        <v>1</v>
      </c>
      <c r="M1312">
        <v>1</v>
      </c>
      <c r="N1312">
        <v>1.2</v>
      </c>
      <c r="O1312">
        <v>9.3000000000000007</v>
      </c>
      <c r="P1312">
        <v>7</v>
      </c>
      <c r="Q1312">
        <v>6</v>
      </c>
      <c r="R1312">
        <v>582499</v>
      </c>
      <c r="S1312">
        <f>Table1[[#This Row],[Revenue]]-Table1[[#This Row],[Operating_Costs]]</f>
        <v>251618</v>
      </c>
      <c r="T1312">
        <v>330881</v>
      </c>
      <c r="U1312">
        <v>24</v>
      </c>
      <c r="V1312">
        <v>61</v>
      </c>
      <c r="W1312">
        <v>12.3</v>
      </c>
    </row>
    <row r="1313" spans="1:23" x14ac:dyDescent="0.25">
      <c r="A1313">
        <v>4</v>
      </c>
      <c r="B1313" t="s">
        <v>69</v>
      </c>
      <c r="C1313" s="1">
        <v>44497</v>
      </c>
      <c r="D1313" t="s">
        <v>71</v>
      </c>
      <c r="E1313">
        <v>0</v>
      </c>
      <c r="F1313">
        <v>51</v>
      </c>
      <c r="G1313" t="str">
        <f t="shared" si="28"/>
        <v>41-60</v>
      </c>
      <c r="H1313" t="s">
        <v>23</v>
      </c>
      <c r="I1313" t="s">
        <v>24</v>
      </c>
      <c r="J1313" t="s">
        <v>25</v>
      </c>
      <c r="K1313" t="s">
        <v>33</v>
      </c>
      <c r="L1313">
        <v>1</v>
      </c>
      <c r="M1313">
        <v>1</v>
      </c>
      <c r="N1313">
        <v>5</v>
      </c>
      <c r="O1313">
        <v>9.3000000000000007</v>
      </c>
      <c r="P1313">
        <v>3</v>
      </c>
      <c r="Q1313">
        <v>5</v>
      </c>
      <c r="R1313">
        <v>866677</v>
      </c>
      <c r="S1313">
        <f>Table1[[#This Row],[Revenue]]-Table1[[#This Row],[Operating_Costs]]</f>
        <v>198703</v>
      </c>
      <c r="T1313">
        <v>667974</v>
      </c>
      <c r="U1313">
        <v>47</v>
      </c>
      <c r="V1313">
        <v>64</v>
      </c>
      <c r="W1313">
        <v>9.6</v>
      </c>
    </row>
    <row r="1314" spans="1:23" x14ac:dyDescent="0.25">
      <c r="A1314">
        <v>3</v>
      </c>
      <c r="B1314" t="s">
        <v>57</v>
      </c>
      <c r="C1314" s="1">
        <v>44369</v>
      </c>
      <c r="D1314" t="s">
        <v>71</v>
      </c>
      <c r="E1314">
        <v>0</v>
      </c>
      <c r="F1314">
        <v>84</v>
      </c>
      <c r="G1314" t="str">
        <f t="shared" si="28"/>
        <v>81+</v>
      </c>
      <c r="H1314" t="s">
        <v>35</v>
      </c>
      <c r="I1314" t="s">
        <v>55</v>
      </c>
      <c r="J1314" t="s">
        <v>56</v>
      </c>
      <c r="K1314" t="s">
        <v>33</v>
      </c>
      <c r="L1314">
        <v>1</v>
      </c>
      <c r="M1314">
        <v>1</v>
      </c>
      <c r="N1314">
        <v>1.5</v>
      </c>
      <c r="O1314">
        <v>7.9</v>
      </c>
      <c r="P1314">
        <v>6</v>
      </c>
      <c r="Q1314">
        <v>5</v>
      </c>
      <c r="R1314">
        <v>598487</v>
      </c>
      <c r="S1314">
        <f>Table1[[#This Row],[Revenue]]-Table1[[#This Row],[Operating_Costs]]</f>
        <v>283090</v>
      </c>
      <c r="T1314">
        <v>315397</v>
      </c>
      <c r="U1314">
        <v>17</v>
      </c>
      <c r="V1314">
        <v>55</v>
      </c>
      <c r="W1314">
        <v>6.6</v>
      </c>
    </row>
    <row r="1315" spans="1:23" x14ac:dyDescent="0.25">
      <c r="A1315">
        <v>4</v>
      </c>
      <c r="B1315" t="s">
        <v>69</v>
      </c>
      <c r="C1315" s="1">
        <v>45574</v>
      </c>
      <c r="D1315" t="s">
        <v>71</v>
      </c>
      <c r="E1315">
        <v>0</v>
      </c>
      <c r="F1315">
        <v>30</v>
      </c>
      <c r="G1315" t="str">
        <f t="shared" si="28"/>
        <v>21-40</v>
      </c>
      <c r="H1315" t="s">
        <v>35</v>
      </c>
      <c r="I1315" t="s">
        <v>27</v>
      </c>
      <c r="J1315" t="s">
        <v>28</v>
      </c>
      <c r="K1315" t="s">
        <v>42</v>
      </c>
      <c r="L1315">
        <v>1</v>
      </c>
      <c r="M1315">
        <v>1</v>
      </c>
      <c r="N1315">
        <v>5.6</v>
      </c>
      <c r="O1315">
        <v>7.2</v>
      </c>
      <c r="P1315">
        <v>5</v>
      </c>
      <c r="Q1315">
        <v>5</v>
      </c>
      <c r="R1315">
        <v>896494</v>
      </c>
      <c r="S1315">
        <f>Table1[[#This Row],[Revenue]]-Table1[[#This Row],[Operating_Costs]]</f>
        <v>197464</v>
      </c>
      <c r="T1315">
        <v>699030</v>
      </c>
      <c r="U1315">
        <v>59</v>
      </c>
      <c r="V1315">
        <v>59</v>
      </c>
      <c r="W1315">
        <v>13.8</v>
      </c>
    </row>
    <row r="1316" spans="1:23" x14ac:dyDescent="0.25">
      <c r="A1316">
        <v>3</v>
      </c>
      <c r="B1316" t="s">
        <v>57</v>
      </c>
      <c r="C1316" s="1">
        <v>44693</v>
      </c>
      <c r="D1316" t="s">
        <v>71</v>
      </c>
      <c r="E1316">
        <v>0</v>
      </c>
      <c r="F1316">
        <v>88</v>
      </c>
      <c r="G1316" t="str">
        <f t="shared" si="28"/>
        <v>81+</v>
      </c>
      <c r="H1316" t="s">
        <v>35</v>
      </c>
      <c r="I1316" t="s">
        <v>46</v>
      </c>
      <c r="J1316" t="s">
        <v>47</v>
      </c>
      <c r="K1316" t="s">
        <v>29</v>
      </c>
      <c r="L1316">
        <v>1</v>
      </c>
      <c r="M1316">
        <v>1</v>
      </c>
      <c r="N1316">
        <v>6.5</v>
      </c>
      <c r="O1316">
        <v>9.8000000000000007</v>
      </c>
      <c r="P1316">
        <v>3</v>
      </c>
      <c r="Q1316">
        <v>6</v>
      </c>
      <c r="R1316">
        <v>509499</v>
      </c>
      <c r="S1316">
        <f>Table1[[#This Row],[Revenue]]-Table1[[#This Row],[Operating_Costs]]</f>
        <v>203322</v>
      </c>
      <c r="T1316">
        <v>306177</v>
      </c>
      <c r="U1316">
        <v>18</v>
      </c>
      <c r="V1316">
        <v>55</v>
      </c>
      <c r="W1316">
        <v>14.5</v>
      </c>
    </row>
    <row r="1317" spans="1:23" x14ac:dyDescent="0.25">
      <c r="A1317">
        <v>4</v>
      </c>
      <c r="B1317" t="s">
        <v>69</v>
      </c>
      <c r="C1317" s="1">
        <v>45111</v>
      </c>
      <c r="D1317" t="s">
        <v>71</v>
      </c>
      <c r="E1317">
        <v>0</v>
      </c>
      <c r="F1317">
        <v>70</v>
      </c>
      <c r="G1317" t="str">
        <f t="shared" si="28"/>
        <v>61-80</v>
      </c>
      <c r="H1317" t="s">
        <v>35</v>
      </c>
      <c r="I1317" t="s">
        <v>58</v>
      </c>
      <c r="J1317" t="s">
        <v>59</v>
      </c>
      <c r="K1317" t="s">
        <v>29</v>
      </c>
      <c r="L1317">
        <v>1</v>
      </c>
      <c r="M1317">
        <v>1</v>
      </c>
      <c r="N1317">
        <v>3.8</v>
      </c>
      <c r="O1317">
        <v>7.7</v>
      </c>
      <c r="P1317">
        <v>4</v>
      </c>
      <c r="Q1317">
        <v>6</v>
      </c>
      <c r="R1317">
        <v>902993</v>
      </c>
      <c r="S1317">
        <f>Table1[[#This Row],[Revenue]]-Table1[[#This Row],[Operating_Costs]]</f>
        <v>263123</v>
      </c>
      <c r="T1317">
        <v>639870</v>
      </c>
      <c r="U1317">
        <v>41</v>
      </c>
      <c r="V1317">
        <v>60</v>
      </c>
      <c r="W1317">
        <v>36.1</v>
      </c>
    </row>
    <row r="1318" spans="1:23" x14ac:dyDescent="0.25">
      <c r="A1318">
        <v>4</v>
      </c>
      <c r="B1318" t="s">
        <v>69</v>
      </c>
      <c r="C1318" s="1">
        <v>44772</v>
      </c>
      <c r="D1318" t="s">
        <v>71</v>
      </c>
      <c r="E1318">
        <v>0</v>
      </c>
      <c r="F1318">
        <v>90</v>
      </c>
      <c r="G1318" t="str">
        <f t="shared" si="28"/>
        <v>81+</v>
      </c>
      <c r="H1318" t="s">
        <v>35</v>
      </c>
      <c r="I1318" t="s">
        <v>60</v>
      </c>
      <c r="J1318" t="s">
        <v>59</v>
      </c>
      <c r="K1318" t="s">
        <v>42</v>
      </c>
      <c r="L1318">
        <v>1</v>
      </c>
      <c r="M1318">
        <v>1</v>
      </c>
      <c r="N1318">
        <v>5.6</v>
      </c>
      <c r="O1318">
        <v>7.8</v>
      </c>
      <c r="P1318">
        <v>5</v>
      </c>
      <c r="Q1318">
        <v>4</v>
      </c>
      <c r="R1318">
        <v>846902</v>
      </c>
      <c r="S1318">
        <f>Table1[[#This Row],[Revenue]]-Table1[[#This Row],[Operating_Costs]]</f>
        <v>279225</v>
      </c>
      <c r="T1318">
        <v>567677</v>
      </c>
      <c r="U1318">
        <v>55</v>
      </c>
      <c r="V1318">
        <v>65</v>
      </c>
      <c r="W1318">
        <v>13</v>
      </c>
    </row>
    <row r="1319" spans="1:23" x14ac:dyDescent="0.25">
      <c r="A1319">
        <v>3</v>
      </c>
      <c r="B1319" t="s">
        <v>57</v>
      </c>
      <c r="C1319" s="1">
        <v>44951</v>
      </c>
      <c r="D1319" t="s">
        <v>71</v>
      </c>
      <c r="E1319">
        <v>0</v>
      </c>
      <c r="F1319">
        <v>27</v>
      </c>
      <c r="G1319" t="str">
        <f t="shared" si="28"/>
        <v>21-40</v>
      </c>
      <c r="H1319" t="s">
        <v>35</v>
      </c>
      <c r="I1319" t="s">
        <v>36</v>
      </c>
      <c r="J1319" t="s">
        <v>37</v>
      </c>
      <c r="K1319" t="s">
        <v>26</v>
      </c>
      <c r="L1319">
        <v>1</v>
      </c>
      <c r="M1319">
        <v>1</v>
      </c>
      <c r="N1319">
        <v>4.8</v>
      </c>
      <c r="O1319">
        <v>7.1</v>
      </c>
      <c r="P1319">
        <v>3</v>
      </c>
      <c r="Q1319">
        <v>4</v>
      </c>
      <c r="R1319">
        <v>567135</v>
      </c>
      <c r="S1319">
        <f>Table1[[#This Row],[Revenue]]-Table1[[#This Row],[Operating_Costs]]</f>
        <v>234136</v>
      </c>
      <c r="T1319">
        <v>332999</v>
      </c>
      <c r="U1319">
        <v>18</v>
      </c>
      <c r="V1319">
        <v>65</v>
      </c>
      <c r="W1319">
        <v>36.5</v>
      </c>
    </row>
    <row r="1320" spans="1:23" x14ac:dyDescent="0.25">
      <c r="A1320">
        <v>3</v>
      </c>
      <c r="B1320" t="s">
        <v>57</v>
      </c>
      <c r="C1320" s="1">
        <v>44965</v>
      </c>
      <c r="D1320" t="s">
        <v>71</v>
      </c>
      <c r="E1320">
        <v>0</v>
      </c>
      <c r="F1320">
        <v>49</v>
      </c>
      <c r="G1320" t="str">
        <f t="shared" si="28"/>
        <v>41-60</v>
      </c>
      <c r="H1320" t="s">
        <v>35</v>
      </c>
      <c r="I1320" t="s">
        <v>31</v>
      </c>
      <c r="J1320" t="s">
        <v>28</v>
      </c>
      <c r="K1320" t="s">
        <v>33</v>
      </c>
      <c r="L1320">
        <v>1</v>
      </c>
      <c r="M1320">
        <v>1</v>
      </c>
      <c r="N1320">
        <v>2.4</v>
      </c>
      <c r="O1320">
        <v>8.5</v>
      </c>
      <c r="P1320">
        <v>4</v>
      </c>
      <c r="Q1320">
        <v>7</v>
      </c>
      <c r="R1320">
        <v>507293</v>
      </c>
      <c r="S1320">
        <f>Table1[[#This Row],[Revenue]]-Table1[[#This Row],[Operating_Costs]]</f>
        <v>109849</v>
      </c>
      <c r="T1320">
        <v>397444</v>
      </c>
      <c r="U1320">
        <v>21</v>
      </c>
      <c r="V1320">
        <v>59</v>
      </c>
      <c r="W1320">
        <v>13.6</v>
      </c>
    </row>
    <row r="1321" spans="1:23" x14ac:dyDescent="0.25">
      <c r="A1321">
        <v>3</v>
      </c>
      <c r="B1321" t="s">
        <v>57</v>
      </c>
      <c r="C1321" s="1">
        <v>45385</v>
      </c>
      <c r="D1321" t="s">
        <v>71</v>
      </c>
      <c r="E1321">
        <v>0</v>
      </c>
      <c r="F1321">
        <v>46</v>
      </c>
      <c r="G1321" t="str">
        <f t="shared" si="28"/>
        <v>41-60</v>
      </c>
      <c r="H1321" t="s">
        <v>35</v>
      </c>
      <c r="I1321" t="s">
        <v>46</v>
      </c>
      <c r="J1321" t="s">
        <v>47</v>
      </c>
      <c r="K1321" t="s">
        <v>38</v>
      </c>
      <c r="L1321">
        <v>1</v>
      </c>
      <c r="M1321">
        <v>1</v>
      </c>
      <c r="N1321">
        <v>5.4</v>
      </c>
      <c r="O1321">
        <v>7.9</v>
      </c>
      <c r="P1321">
        <v>5</v>
      </c>
      <c r="Q1321">
        <v>7</v>
      </c>
      <c r="R1321">
        <v>569171</v>
      </c>
      <c r="S1321">
        <f>Table1[[#This Row],[Revenue]]-Table1[[#This Row],[Operating_Costs]]</f>
        <v>232635</v>
      </c>
      <c r="T1321">
        <v>336536</v>
      </c>
      <c r="U1321">
        <v>18</v>
      </c>
      <c r="V1321">
        <v>57</v>
      </c>
      <c r="W1321">
        <v>12.4</v>
      </c>
    </row>
    <row r="1322" spans="1:23" x14ac:dyDescent="0.25">
      <c r="A1322">
        <v>3</v>
      </c>
      <c r="B1322" t="s">
        <v>57</v>
      </c>
      <c r="C1322" s="1">
        <v>45577</v>
      </c>
      <c r="D1322" t="s">
        <v>71</v>
      </c>
      <c r="E1322">
        <v>0</v>
      </c>
      <c r="F1322">
        <v>28</v>
      </c>
      <c r="G1322" t="str">
        <f t="shared" si="28"/>
        <v>21-40</v>
      </c>
      <c r="H1322" t="s">
        <v>35</v>
      </c>
      <c r="I1322" t="s">
        <v>61</v>
      </c>
      <c r="J1322" t="s">
        <v>62</v>
      </c>
      <c r="K1322" t="s">
        <v>29</v>
      </c>
      <c r="L1322">
        <v>1</v>
      </c>
      <c r="M1322">
        <v>1</v>
      </c>
      <c r="N1322">
        <v>4.9000000000000004</v>
      </c>
      <c r="O1322">
        <v>9.9</v>
      </c>
      <c r="P1322">
        <v>7</v>
      </c>
      <c r="Q1322">
        <v>7</v>
      </c>
      <c r="R1322">
        <v>529821</v>
      </c>
      <c r="S1322">
        <f>Table1[[#This Row],[Revenue]]-Table1[[#This Row],[Operating_Costs]]</f>
        <v>196569</v>
      </c>
      <c r="T1322">
        <v>333252</v>
      </c>
      <c r="U1322">
        <v>25</v>
      </c>
      <c r="V1322">
        <v>62</v>
      </c>
      <c r="W1322">
        <v>10.9</v>
      </c>
    </row>
    <row r="1323" spans="1:23" x14ac:dyDescent="0.25">
      <c r="A1323">
        <v>3</v>
      </c>
      <c r="B1323" t="s">
        <v>57</v>
      </c>
      <c r="C1323" s="1">
        <v>44503</v>
      </c>
      <c r="D1323" t="s">
        <v>71</v>
      </c>
      <c r="E1323">
        <v>0</v>
      </c>
      <c r="F1323">
        <v>22</v>
      </c>
      <c r="G1323" t="str">
        <f t="shared" si="28"/>
        <v>21-40</v>
      </c>
      <c r="H1323" t="s">
        <v>35</v>
      </c>
      <c r="I1323" t="s">
        <v>40</v>
      </c>
      <c r="J1323" t="s">
        <v>41</v>
      </c>
      <c r="K1323" t="s">
        <v>26</v>
      </c>
      <c r="L1323">
        <v>1</v>
      </c>
      <c r="M1323">
        <v>1</v>
      </c>
      <c r="N1323">
        <v>3.8</v>
      </c>
      <c r="O1323">
        <v>8.4</v>
      </c>
      <c r="P1323">
        <v>5</v>
      </c>
      <c r="Q1323">
        <v>6</v>
      </c>
      <c r="R1323">
        <v>537588</v>
      </c>
      <c r="S1323">
        <f>Table1[[#This Row],[Revenue]]-Table1[[#This Row],[Operating_Costs]]</f>
        <v>222899</v>
      </c>
      <c r="T1323">
        <v>314689</v>
      </c>
      <c r="U1323">
        <v>15</v>
      </c>
      <c r="V1323">
        <v>56</v>
      </c>
      <c r="W1323">
        <v>12.9</v>
      </c>
    </row>
    <row r="1324" spans="1:23" x14ac:dyDescent="0.25">
      <c r="A1324">
        <v>4</v>
      </c>
      <c r="B1324" t="s">
        <v>69</v>
      </c>
      <c r="C1324" s="1">
        <v>45014</v>
      </c>
      <c r="D1324" t="s">
        <v>71</v>
      </c>
      <c r="E1324">
        <v>0</v>
      </c>
      <c r="F1324">
        <v>89</v>
      </c>
      <c r="G1324" t="str">
        <f t="shared" si="28"/>
        <v>81+</v>
      </c>
      <c r="H1324" t="s">
        <v>35</v>
      </c>
      <c r="I1324" t="s">
        <v>40</v>
      </c>
      <c r="J1324" t="s">
        <v>41</v>
      </c>
      <c r="K1324" t="s">
        <v>29</v>
      </c>
      <c r="L1324">
        <v>1</v>
      </c>
      <c r="M1324">
        <v>1</v>
      </c>
      <c r="N1324">
        <v>2.8</v>
      </c>
      <c r="O1324">
        <v>8.3000000000000007</v>
      </c>
      <c r="P1324">
        <v>6</v>
      </c>
      <c r="Q1324">
        <v>7</v>
      </c>
      <c r="R1324">
        <v>854731</v>
      </c>
      <c r="S1324">
        <f>Table1[[#This Row],[Revenue]]-Table1[[#This Row],[Operating_Costs]]</f>
        <v>200265</v>
      </c>
      <c r="T1324">
        <v>654466</v>
      </c>
      <c r="U1324">
        <v>39</v>
      </c>
      <c r="V1324">
        <v>59</v>
      </c>
      <c r="W1324">
        <v>6.8</v>
      </c>
    </row>
    <row r="1325" spans="1:23" x14ac:dyDescent="0.25">
      <c r="A1325">
        <v>3</v>
      </c>
      <c r="B1325" t="s">
        <v>57</v>
      </c>
      <c r="C1325" s="1">
        <v>44316</v>
      </c>
      <c r="D1325" t="s">
        <v>71</v>
      </c>
      <c r="E1325">
        <v>0</v>
      </c>
      <c r="F1325">
        <v>49</v>
      </c>
      <c r="G1325" t="str">
        <f t="shared" si="28"/>
        <v>41-60</v>
      </c>
      <c r="H1325" t="s">
        <v>35</v>
      </c>
      <c r="I1325" t="s">
        <v>64</v>
      </c>
      <c r="J1325" t="s">
        <v>65</v>
      </c>
      <c r="K1325" t="s">
        <v>29</v>
      </c>
      <c r="L1325">
        <v>1</v>
      </c>
      <c r="M1325">
        <v>1</v>
      </c>
      <c r="N1325">
        <v>1.3</v>
      </c>
      <c r="O1325">
        <v>9.6</v>
      </c>
      <c r="P1325">
        <v>3</v>
      </c>
      <c r="Q1325">
        <v>6</v>
      </c>
      <c r="R1325">
        <v>592436</v>
      </c>
      <c r="S1325">
        <f>Table1[[#This Row],[Revenue]]-Table1[[#This Row],[Operating_Costs]]</f>
        <v>247472</v>
      </c>
      <c r="T1325">
        <v>344964</v>
      </c>
      <c r="U1325">
        <v>24</v>
      </c>
      <c r="V1325">
        <v>55</v>
      </c>
      <c r="W1325">
        <v>9.1</v>
      </c>
    </row>
    <row r="1326" spans="1:23" x14ac:dyDescent="0.25">
      <c r="A1326">
        <v>4</v>
      </c>
      <c r="B1326" t="s">
        <v>69</v>
      </c>
      <c r="C1326" s="1">
        <v>44529</v>
      </c>
      <c r="D1326" t="s">
        <v>71</v>
      </c>
      <c r="E1326">
        <v>0</v>
      </c>
      <c r="F1326">
        <v>41</v>
      </c>
      <c r="G1326" t="str">
        <f t="shared" si="28"/>
        <v>41-60</v>
      </c>
      <c r="H1326" t="s">
        <v>23</v>
      </c>
      <c r="I1326" t="s">
        <v>24</v>
      </c>
      <c r="J1326" t="s">
        <v>25</v>
      </c>
      <c r="K1326" t="s">
        <v>26</v>
      </c>
      <c r="L1326">
        <v>1</v>
      </c>
      <c r="M1326">
        <v>1</v>
      </c>
      <c r="N1326">
        <v>6.9</v>
      </c>
      <c r="O1326">
        <v>7.6</v>
      </c>
      <c r="P1326">
        <v>4</v>
      </c>
      <c r="Q1326">
        <v>3</v>
      </c>
      <c r="R1326">
        <v>824852</v>
      </c>
      <c r="S1326">
        <f>Table1[[#This Row],[Revenue]]-Table1[[#This Row],[Operating_Costs]]</f>
        <v>195668</v>
      </c>
      <c r="T1326">
        <v>629184</v>
      </c>
      <c r="U1326">
        <v>60</v>
      </c>
      <c r="V1326">
        <v>58</v>
      </c>
      <c r="W1326">
        <v>36.9</v>
      </c>
    </row>
    <row r="1327" spans="1:23" x14ac:dyDescent="0.25">
      <c r="A1327">
        <v>3</v>
      </c>
      <c r="B1327" t="s">
        <v>57</v>
      </c>
      <c r="C1327" s="1">
        <v>44282</v>
      </c>
      <c r="D1327" t="s">
        <v>71</v>
      </c>
      <c r="E1327">
        <v>0</v>
      </c>
      <c r="F1327">
        <v>47</v>
      </c>
      <c r="G1327" t="str">
        <f t="shared" si="28"/>
        <v>41-60</v>
      </c>
      <c r="H1327" t="s">
        <v>35</v>
      </c>
      <c r="I1327" t="s">
        <v>55</v>
      </c>
      <c r="J1327" t="s">
        <v>56</v>
      </c>
      <c r="K1327" t="s">
        <v>33</v>
      </c>
      <c r="L1327">
        <v>1</v>
      </c>
      <c r="M1327">
        <v>1</v>
      </c>
      <c r="N1327">
        <v>4.8</v>
      </c>
      <c r="O1327">
        <v>7.4</v>
      </c>
      <c r="P1327">
        <v>7</v>
      </c>
      <c r="Q1327">
        <v>6</v>
      </c>
      <c r="R1327">
        <v>587960</v>
      </c>
      <c r="S1327">
        <f>Table1[[#This Row],[Revenue]]-Table1[[#This Row],[Operating_Costs]]</f>
        <v>199537</v>
      </c>
      <c r="T1327">
        <v>388423</v>
      </c>
      <c r="U1327">
        <v>15</v>
      </c>
      <c r="V1327">
        <v>62</v>
      </c>
      <c r="W1327">
        <v>13.9</v>
      </c>
    </row>
    <row r="1328" spans="1:23" x14ac:dyDescent="0.25">
      <c r="A1328">
        <v>3</v>
      </c>
      <c r="B1328" t="s">
        <v>57</v>
      </c>
      <c r="C1328" s="1">
        <v>45030</v>
      </c>
      <c r="D1328" t="s">
        <v>71</v>
      </c>
      <c r="E1328">
        <v>0</v>
      </c>
      <c r="F1328">
        <v>43</v>
      </c>
      <c r="G1328" t="str">
        <f t="shared" si="28"/>
        <v>41-60</v>
      </c>
      <c r="H1328" t="s">
        <v>23</v>
      </c>
      <c r="I1328" t="s">
        <v>24</v>
      </c>
      <c r="J1328" t="s">
        <v>25</v>
      </c>
      <c r="K1328" t="s">
        <v>26</v>
      </c>
      <c r="L1328">
        <v>1</v>
      </c>
      <c r="M1328">
        <v>1</v>
      </c>
      <c r="N1328">
        <v>1.6</v>
      </c>
      <c r="O1328">
        <v>8.5</v>
      </c>
      <c r="P1328">
        <v>7</v>
      </c>
      <c r="Q1328">
        <v>6</v>
      </c>
      <c r="R1328">
        <v>567065</v>
      </c>
      <c r="S1328">
        <f>Table1[[#This Row],[Revenue]]-Table1[[#This Row],[Operating_Costs]]</f>
        <v>233872</v>
      </c>
      <c r="T1328">
        <v>333193</v>
      </c>
      <c r="U1328">
        <v>16</v>
      </c>
      <c r="V1328">
        <v>63</v>
      </c>
      <c r="W1328">
        <v>8.3000000000000007</v>
      </c>
    </row>
    <row r="1329" spans="1:23" x14ac:dyDescent="0.25">
      <c r="A1329">
        <v>3</v>
      </c>
      <c r="B1329" t="s">
        <v>57</v>
      </c>
      <c r="C1329" s="1">
        <v>45483</v>
      </c>
      <c r="D1329" t="s">
        <v>71</v>
      </c>
      <c r="E1329">
        <v>0</v>
      </c>
      <c r="F1329">
        <v>84</v>
      </c>
      <c r="G1329" t="str">
        <f t="shared" si="28"/>
        <v>81+</v>
      </c>
      <c r="H1329" t="s">
        <v>35</v>
      </c>
      <c r="I1329" t="s">
        <v>27</v>
      </c>
      <c r="J1329" t="s">
        <v>28</v>
      </c>
      <c r="K1329" t="s">
        <v>33</v>
      </c>
      <c r="L1329">
        <v>1</v>
      </c>
      <c r="M1329">
        <v>1</v>
      </c>
      <c r="N1329">
        <v>5.9</v>
      </c>
      <c r="O1329">
        <v>7.9</v>
      </c>
      <c r="P1329">
        <v>3</v>
      </c>
      <c r="Q1329">
        <v>3</v>
      </c>
      <c r="R1329">
        <v>553139</v>
      </c>
      <c r="S1329">
        <f>Table1[[#This Row],[Revenue]]-Table1[[#This Row],[Operating_Costs]]</f>
        <v>182837</v>
      </c>
      <c r="T1329">
        <v>370302</v>
      </c>
      <c r="U1329">
        <v>24</v>
      </c>
      <c r="V1329">
        <v>60</v>
      </c>
      <c r="W1329">
        <v>8.6999999999999993</v>
      </c>
    </row>
    <row r="1330" spans="1:23" x14ac:dyDescent="0.25">
      <c r="A1330">
        <v>3</v>
      </c>
      <c r="B1330" t="s">
        <v>57</v>
      </c>
      <c r="C1330" s="1">
        <v>44334</v>
      </c>
      <c r="D1330" t="s">
        <v>71</v>
      </c>
      <c r="E1330">
        <v>0</v>
      </c>
      <c r="F1330">
        <v>38</v>
      </c>
      <c r="G1330" t="str">
        <f t="shared" si="28"/>
        <v>21-40</v>
      </c>
      <c r="H1330" t="s">
        <v>35</v>
      </c>
      <c r="I1330" t="s">
        <v>61</v>
      </c>
      <c r="J1330" t="s">
        <v>62</v>
      </c>
      <c r="K1330" t="s">
        <v>26</v>
      </c>
      <c r="L1330">
        <v>1</v>
      </c>
      <c r="M1330">
        <v>1</v>
      </c>
      <c r="N1330">
        <v>4.4000000000000004</v>
      </c>
      <c r="O1330">
        <v>7.2</v>
      </c>
      <c r="P1330">
        <v>4</v>
      </c>
      <c r="Q1330">
        <v>7</v>
      </c>
      <c r="R1330">
        <v>592752</v>
      </c>
      <c r="S1330">
        <f>Table1[[#This Row],[Revenue]]-Table1[[#This Row],[Operating_Costs]]</f>
        <v>209738</v>
      </c>
      <c r="T1330">
        <v>383014</v>
      </c>
      <c r="U1330">
        <v>15</v>
      </c>
      <c r="V1330">
        <v>61</v>
      </c>
      <c r="W1330">
        <v>12.1</v>
      </c>
    </row>
    <row r="1331" spans="1:23" x14ac:dyDescent="0.25">
      <c r="A1331">
        <v>4</v>
      </c>
      <c r="B1331" t="s">
        <v>69</v>
      </c>
      <c r="C1331" s="1">
        <v>44792</v>
      </c>
      <c r="D1331" t="s">
        <v>71</v>
      </c>
      <c r="E1331">
        <v>0</v>
      </c>
      <c r="F1331">
        <v>62</v>
      </c>
      <c r="G1331" t="str">
        <f t="shared" si="28"/>
        <v>61-80</v>
      </c>
      <c r="H1331" t="s">
        <v>35</v>
      </c>
      <c r="I1331" t="s">
        <v>40</v>
      </c>
      <c r="J1331" t="s">
        <v>41</v>
      </c>
      <c r="K1331" t="s">
        <v>38</v>
      </c>
      <c r="L1331">
        <v>1</v>
      </c>
      <c r="M1331">
        <v>1</v>
      </c>
      <c r="N1331">
        <v>2.7</v>
      </c>
      <c r="O1331">
        <v>7.1</v>
      </c>
      <c r="P1331">
        <v>5</v>
      </c>
      <c r="Q1331">
        <v>5</v>
      </c>
      <c r="R1331">
        <v>905484</v>
      </c>
      <c r="S1331">
        <f>Table1[[#This Row],[Revenue]]-Table1[[#This Row],[Operating_Costs]]</f>
        <v>346119</v>
      </c>
      <c r="T1331">
        <v>559365</v>
      </c>
      <c r="U1331">
        <v>35</v>
      </c>
      <c r="V1331">
        <v>66</v>
      </c>
      <c r="W1331">
        <v>8.9</v>
      </c>
    </row>
    <row r="1332" spans="1:23" x14ac:dyDescent="0.25">
      <c r="A1332">
        <v>3</v>
      </c>
      <c r="B1332" t="s">
        <v>57</v>
      </c>
      <c r="C1332" s="1">
        <v>44342</v>
      </c>
      <c r="D1332" t="s">
        <v>71</v>
      </c>
      <c r="E1332">
        <v>0</v>
      </c>
      <c r="F1332">
        <v>67</v>
      </c>
      <c r="G1332" t="str">
        <f t="shared" si="28"/>
        <v>61-80</v>
      </c>
      <c r="H1332" t="s">
        <v>23</v>
      </c>
      <c r="I1332" t="s">
        <v>24</v>
      </c>
      <c r="J1332" t="s">
        <v>25</v>
      </c>
      <c r="K1332" t="s">
        <v>38</v>
      </c>
      <c r="L1332">
        <v>1</v>
      </c>
      <c r="M1332">
        <v>1</v>
      </c>
      <c r="N1332">
        <v>5</v>
      </c>
      <c r="O1332">
        <v>9.8000000000000007</v>
      </c>
      <c r="P1332">
        <v>3</v>
      </c>
      <c r="Q1332">
        <v>5</v>
      </c>
      <c r="R1332">
        <v>583647</v>
      </c>
      <c r="S1332">
        <f>Table1[[#This Row],[Revenue]]-Table1[[#This Row],[Operating_Costs]]</f>
        <v>185563</v>
      </c>
      <c r="T1332">
        <v>398084</v>
      </c>
      <c r="U1332">
        <v>20</v>
      </c>
      <c r="V1332">
        <v>60</v>
      </c>
      <c r="W1332">
        <v>10.5</v>
      </c>
    </row>
    <row r="1333" spans="1:23" x14ac:dyDescent="0.25">
      <c r="A1333">
        <v>3</v>
      </c>
      <c r="B1333" t="s">
        <v>57</v>
      </c>
      <c r="C1333" s="1">
        <v>44675</v>
      </c>
      <c r="D1333" t="s">
        <v>71</v>
      </c>
      <c r="E1333">
        <v>0</v>
      </c>
      <c r="F1333">
        <v>47</v>
      </c>
      <c r="G1333" t="str">
        <f t="shared" si="28"/>
        <v>41-60</v>
      </c>
      <c r="H1333" t="s">
        <v>23</v>
      </c>
      <c r="I1333" t="s">
        <v>67</v>
      </c>
      <c r="J1333" t="s">
        <v>68</v>
      </c>
      <c r="K1333" t="s">
        <v>33</v>
      </c>
      <c r="L1333">
        <v>1</v>
      </c>
      <c r="M1333">
        <v>1</v>
      </c>
      <c r="N1333">
        <v>2.8</v>
      </c>
      <c r="O1333">
        <v>9.4</v>
      </c>
      <c r="P1333">
        <v>7</v>
      </c>
      <c r="Q1333">
        <v>6</v>
      </c>
      <c r="R1333">
        <v>503865</v>
      </c>
      <c r="S1333">
        <f>Table1[[#This Row],[Revenue]]-Table1[[#This Row],[Operating_Costs]]</f>
        <v>173945</v>
      </c>
      <c r="T1333">
        <v>329920</v>
      </c>
      <c r="U1333">
        <v>22</v>
      </c>
      <c r="V1333">
        <v>56</v>
      </c>
      <c r="W1333">
        <v>9</v>
      </c>
    </row>
    <row r="1334" spans="1:23" x14ac:dyDescent="0.25">
      <c r="A1334">
        <v>3</v>
      </c>
      <c r="B1334" t="s">
        <v>57</v>
      </c>
      <c r="C1334" s="1">
        <v>44943</v>
      </c>
      <c r="D1334" t="s">
        <v>71</v>
      </c>
      <c r="E1334">
        <v>0</v>
      </c>
      <c r="F1334">
        <v>38</v>
      </c>
      <c r="G1334" t="str">
        <f t="shared" si="28"/>
        <v>21-40</v>
      </c>
      <c r="H1334" t="s">
        <v>35</v>
      </c>
      <c r="I1334" t="s">
        <v>36</v>
      </c>
      <c r="J1334" t="s">
        <v>37</v>
      </c>
      <c r="K1334" t="s">
        <v>26</v>
      </c>
      <c r="L1334">
        <v>1</v>
      </c>
      <c r="M1334">
        <v>1</v>
      </c>
      <c r="N1334">
        <v>3.7</v>
      </c>
      <c r="O1334">
        <v>9.6999999999999993</v>
      </c>
      <c r="P1334">
        <v>6</v>
      </c>
      <c r="Q1334">
        <v>4</v>
      </c>
      <c r="R1334">
        <v>554090</v>
      </c>
      <c r="S1334">
        <f>Table1[[#This Row],[Revenue]]-Table1[[#This Row],[Operating_Costs]]</f>
        <v>217613</v>
      </c>
      <c r="T1334">
        <v>336477</v>
      </c>
      <c r="U1334">
        <v>25</v>
      </c>
      <c r="V1334">
        <v>58</v>
      </c>
      <c r="W1334">
        <v>8.3000000000000007</v>
      </c>
    </row>
    <row r="1335" spans="1:23" x14ac:dyDescent="0.25">
      <c r="A1335">
        <v>3</v>
      </c>
      <c r="B1335" t="s">
        <v>57</v>
      </c>
      <c r="C1335" s="1">
        <v>45013</v>
      </c>
      <c r="D1335" t="s">
        <v>71</v>
      </c>
      <c r="E1335">
        <v>0</v>
      </c>
      <c r="F1335">
        <v>34</v>
      </c>
      <c r="G1335" t="str">
        <f t="shared" si="28"/>
        <v>21-40</v>
      </c>
      <c r="H1335" t="s">
        <v>23</v>
      </c>
      <c r="I1335" t="s">
        <v>31</v>
      </c>
      <c r="J1335" t="s">
        <v>28</v>
      </c>
      <c r="K1335" t="s">
        <v>38</v>
      </c>
      <c r="L1335">
        <v>1</v>
      </c>
      <c r="M1335">
        <v>1</v>
      </c>
      <c r="N1335">
        <v>1.6</v>
      </c>
      <c r="O1335">
        <v>8.4</v>
      </c>
      <c r="P1335">
        <v>3</v>
      </c>
      <c r="Q1335">
        <v>7</v>
      </c>
      <c r="R1335">
        <v>542838</v>
      </c>
      <c r="S1335">
        <f>Table1[[#This Row],[Revenue]]-Table1[[#This Row],[Operating_Costs]]</f>
        <v>176256</v>
      </c>
      <c r="T1335">
        <v>366582</v>
      </c>
      <c r="U1335">
        <v>16</v>
      </c>
      <c r="V1335">
        <v>57</v>
      </c>
      <c r="W1335">
        <v>9.4</v>
      </c>
    </row>
    <row r="1336" spans="1:23" x14ac:dyDescent="0.25">
      <c r="A1336">
        <v>3</v>
      </c>
      <c r="B1336" t="s">
        <v>57</v>
      </c>
      <c r="C1336" s="1">
        <v>45193</v>
      </c>
      <c r="D1336" t="s">
        <v>71</v>
      </c>
      <c r="E1336">
        <v>0</v>
      </c>
      <c r="F1336">
        <v>49</v>
      </c>
      <c r="G1336" t="str">
        <f t="shared" si="28"/>
        <v>41-60</v>
      </c>
      <c r="H1336" t="s">
        <v>23</v>
      </c>
      <c r="I1336" t="s">
        <v>31</v>
      </c>
      <c r="J1336" t="s">
        <v>28</v>
      </c>
      <c r="K1336" t="s">
        <v>29</v>
      </c>
      <c r="L1336">
        <v>1</v>
      </c>
      <c r="M1336">
        <v>1</v>
      </c>
      <c r="N1336">
        <v>1.8</v>
      </c>
      <c r="O1336">
        <v>9.1999999999999993</v>
      </c>
      <c r="P1336">
        <v>4</v>
      </c>
      <c r="Q1336">
        <v>4</v>
      </c>
      <c r="R1336">
        <v>579498</v>
      </c>
      <c r="S1336">
        <f>Table1[[#This Row],[Revenue]]-Table1[[#This Row],[Operating_Costs]]</f>
        <v>256844</v>
      </c>
      <c r="T1336">
        <v>322654</v>
      </c>
      <c r="U1336">
        <v>16</v>
      </c>
      <c r="V1336">
        <v>64</v>
      </c>
      <c r="W1336">
        <v>13.4</v>
      </c>
    </row>
    <row r="1337" spans="1:23" x14ac:dyDescent="0.25">
      <c r="A1337">
        <v>3</v>
      </c>
      <c r="B1337" t="s">
        <v>57</v>
      </c>
      <c r="C1337" s="1">
        <v>44401</v>
      </c>
      <c r="D1337" t="s">
        <v>71</v>
      </c>
      <c r="E1337">
        <v>0</v>
      </c>
      <c r="F1337">
        <v>54</v>
      </c>
      <c r="G1337" t="str">
        <f t="shared" si="28"/>
        <v>41-60</v>
      </c>
      <c r="H1337" t="s">
        <v>35</v>
      </c>
      <c r="I1337" t="s">
        <v>40</v>
      </c>
      <c r="J1337" t="s">
        <v>41</v>
      </c>
      <c r="K1337" t="s">
        <v>42</v>
      </c>
      <c r="L1337">
        <v>1</v>
      </c>
      <c r="M1337">
        <v>1</v>
      </c>
      <c r="N1337">
        <v>1.3</v>
      </c>
      <c r="O1337">
        <v>9.6999999999999993</v>
      </c>
      <c r="P1337">
        <v>7</v>
      </c>
      <c r="Q1337">
        <v>6</v>
      </c>
      <c r="R1337">
        <v>503533</v>
      </c>
      <c r="S1337">
        <f>Table1[[#This Row],[Revenue]]-Table1[[#This Row],[Operating_Costs]]</f>
        <v>114811</v>
      </c>
      <c r="T1337">
        <v>388722</v>
      </c>
      <c r="U1337">
        <v>16</v>
      </c>
      <c r="V1337">
        <v>59</v>
      </c>
      <c r="W1337">
        <v>5.2</v>
      </c>
    </row>
    <row r="1338" spans="1:23" x14ac:dyDescent="0.25">
      <c r="A1338">
        <v>4</v>
      </c>
      <c r="B1338" t="s">
        <v>69</v>
      </c>
      <c r="C1338" s="1">
        <v>44747</v>
      </c>
      <c r="D1338" t="s">
        <v>71</v>
      </c>
      <c r="E1338">
        <v>0</v>
      </c>
      <c r="F1338">
        <v>23</v>
      </c>
      <c r="G1338" t="str">
        <f t="shared" si="28"/>
        <v>21-40</v>
      </c>
      <c r="H1338" t="s">
        <v>35</v>
      </c>
      <c r="I1338" t="s">
        <v>58</v>
      </c>
      <c r="J1338" t="s">
        <v>59</v>
      </c>
      <c r="K1338" t="s">
        <v>29</v>
      </c>
      <c r="L1338">
        <v>1</v>
      </c>
      <c r="M1338">
        <v>1</v>
      </c>
      <c r="N1338">
        <v>3.8</v>
      </c>
      <c r="O1338">
        <v>9.6999999999999993</v>
      </c>
      <c r="P1338">
        <v>3</v>
      </c>
      <c r="Q1338">
        <v>5</v>
      </c>
      <c r="R1338">
        <v>960719</v>
      </c>
      <c r="S1338">
        <f>Table1[[#This Row],[Revenue]]-Table1[[#This Row],[Operating_Costs]]</f>
        <v>429984</v>
      </c>
      <c r="T1338">
        <v>530735</v>
      </c>
      <c r="U1338">
        <v>55</v>
      </c>
      <c r="V1338">
        <v>60</v>
      </c>
      <c r="W1338">
        <v>36</v>
      </c>
    </row>
    <row r="1339" spans="1:23" x14ac:dyDescent="0.25">
      <c r="A1339">
        <v>4</v>
      </c>
      <c r="B1339" t="s">
        <v>69</v>
      </c>
      <c r="C1339" s="1">
        <v>44844</v>
      </c>
      <c r="D1339" t="s">
        <v>71</v>
      </c>
      <c r="E1339">
        <v>0</v>
      </c>
      <c r="F1339">
        <v>57</v>
      </c>
      <c r="G1339" t="str">
        <f t="shared" si="28"/>
        <v>41-60</v>
      </c>
      <c r="H1339" t="s">
        <v>35</v>
      </c>
      <c r="I1339" t="s">
        <v>27</v>
      </c>
      <c r="J1339" t="s">
        <v>28</v>
      </c>
      <c r="K1339" t="s">
        <v>33</v>
      </c>
      <c r="L1339">
        <v>1</v>
      </c>
      <c r="M1339">
        <v>1</v>
      </c>
      <c r="N1339">
        <v>5.5</v>
      </c>
      <c r="O1339">
        <v>8.5</v>
      </c>
      <c r="P1339">
        <v>3</v>
      </c>
      <c r="Q1339">
        <v>6</v>
      </c>
      <c r="R1339">
        <v>832736</v>
      </c>
      <c r="S1339">
        <f>Table1[[#This Row],[Revenue]]-Table1[[#This Row],[Operating_Costs]]</f>
        <v>247448</v>
      </c>
      <c r="T1339">
        <v>585288</v>
      </c>
      <c r="U1339">
        <v>47</v>
      </c>
      <c r="V1339">
        <v>60</v>
      </c>
      <c r="W1339">
        <v>7.4</v>
      </c>
    </row>
    <row r="1340" spans="1:23" x14ac:dyDescent="0.25">
      <c r="A1340">
        <v>3</v>
      </c>
      <c r="B1340" t="s">
        <v>57</v>
      </c>
      <c r="C1340" s="1">
        <v>44206</v>
      </c>
      <c r="D1340" t="s">
        <v>71</v>
      </c>
      <c r="E1340">
        <v>0</v>
      </c>
      <c r="F1340">
        <v>28</v>
      </c>
      <c r="G1340" t="str">
        <f t="shared" si="28"/>
        <v>21-40</v>
      </c>
      <c r="H1340" t="s">
        <v>35</v>
      </c>
      <c r="I1340" t="s">
        <v>61</v>
      </c>
      <c r="J1340" t="s">
        <v>62</v>
      </c>
      <c r="K1340" t="s">
        <v>38</v>
      </c>
      <c r="L1340">
        <v>1</v>
      </c>
      <c r="M1340">
        <v>1</v>
      </c>
      <c r="N1340">
        <v>3.2</v>
      </c>
      <c r="O1340">
        <v>9.9</v>
      </c>
      <c r="P1340">
        <v>5</v>
      </c>
      <c r="Q1340">
        <v>5</v>
      </c>
      <c r="R1340">
        <v>519765</v>
      </c>
      <c r="S1340">
        <f>Table1[[#This Row],[Revenue]]-Table1[[#This Row],[Operating_Costs]]</f>
        <v>182977</v>
      </c>
      <c r="T1340">
        <v>336788</v>
      </c>
      <c r="U1340">
        <v>22</v>
      </c>
      <c r="V1340">
        <v>60</v>
      </c>
      <c r="W1340">
        <v>6.5</v>
      </c>
    </row>
    <row r="1341" spans="1:23" x14ac:dyDescent="0.25">
      <c r="A1341">
        <v>3</v>
      </c>
      <c r="B1341" t="s">
        <v>57</v>
      </c>
      <c r="C1341" s="1">
        <v>45311</v>
      </c>
      <c r="D1341" t="s">
        <v>71</v>
      </c>
      <c r="E1341">
        <v>0</v>
      </c>
      <c r="F1341">
        <v>62</v>
      </c>
      <c r="G1341" t="str">
        <f t="shared" si="28"/>
        <v>61-80</v>
      </c>
      <c r="H1341" t="s">
        <v>35</v>
      </c>
      <c r="I1341" t="s">
        <v>61</v>
      </c>
      <c r="J1341" t="s">
        <v>62</v>
      </c>
      <c r="K1341" t="s">
        <v>33</v>
      </c>
      <c r="L1341">
        <v>1</v>
      </c>
      <c r="M1341">
        <v>1</v>
      </c>
      <c r="N1341">
        <v>3.4</v>
      </c>
      <c r="O1341">
        <v>9.6</v>
      </c>
      <c r="P1341">
        <v>4</v>
      </c>
      <c r="Q1341">
        <v>5</v>
      </c>
      <c r="R1341">
        <v>533964</v>
      </c>
      <c r="S1341">
        <f>Table1[[#This Row],[Revenue]]-Table1[[#This Row],[Operating_Costs]]</f>
        <v>146781</v>
      </c>
      <c r="T1341">
        <v>387183</v>
      </c>
      <c r="U1341">
        <v>23</v>
      </c>
      <c r="V1341">
        <v>58</v>
      </c>
      <c r="W1341">
        <v>5.0999999999999996</v>
      </c>
    </row>
    <row r="1342" spans="1:23" x14ac:dyDescent="0.25">
      <c r="A1342">
        <v>4</v>
      </c>
      <c r="B1342" t="s">
        <v>69</v>
      </c>
      <c r="C1342" s="1">
        <v>44866</v>
      </c>
      <c r="D1342" t="s">
        <v>71</v>
      </c>
      <c r="E1342">
        <v>0</v>
      </c>
      <c r="F1342">
        <v>49</v>
      </c>
      <c r="G1342" t="str">
        <f t="shared" si="28"/>
        <v>41-60</v>
      </c>
      <c r="H1342" t="s">
        <v>23</v>
      </c>
      <c r="I1342" t="s">
        <v>24</v>
      </c>
      <c r="J1342" t="s">
        <v>25</v>
      </c>
      <c r="K1342" t="s">
        <v>29</v>
      </c>
      <c r="L1342">
        <v>1</v>
      </c>
      <c r="M1342">
        <v>1</v>
      </c>
      <c r="N1342">
        <v>6.4</v>
      </c>
      <c r="O1342">
        <v>9.1</v>
      </c>
      <c r="P1342">
        <v>6</v>
      </c>
      <c r="Q1342">
        <v>6</v>
      </c>
      <c r="R1342">
        <v>836512</v>
      </c>
      <c r="S1342">
        <f>Table1[[#This Row],[Revenue]]-Table1[[#This Row],[Operating_Costs]]</f>
        <v>256115</v>
      </c>
      <c r="T1342">
        <v>580397</v>
      </c>
      <c r="U1342">
        <v>36</v>
      </c>
      <c r="V1342">
        <v>66</v>
      </c>
      <c r="W1342">
        <v>36.799999999999997</v>
      </c>
    </row>
    <row r="1343" spans="1:23" x14ac:dyDescent="0.25">
      <c r="A1343">
        <v>3</v>
      </c>
      <c r="B1343" t="s">
        <v>57</v>
      </c>
      <c r="C1343" s="1">
        <v>45271</v>
      </c>
      <c r="D1343" t="s">
        <v>71</v>
      </c>
      <c r="E1343">
        <v>0</v>
      </c>
      <c r="F1343">
        <v>34</v>
      </c>
      <c r="G1343" t="str">
        <f t="shared" si="28"/>
        <v>21-40</v>
      </c>
      <c r="H1343" t="s">
        <v>23</v>
      </c>
      <c r="I1343" t="s">
        <v>24</v>
      </c>
      <c r="J1343" t="s">
        <v>25</v>
      </c>
      <c r="K1343" t="s">
        <v>33</v>
      </c>
      <c r="L1343">
        <v>1</v>
      </c>
      <c r="M1343">
        <v>1</v>
      </c>
      <c r="N1343">
        <v>2.6</v>
      </c>
      <c r="O1343">
        <v>9.4</v>
      </c>
      <c r="P1343">
        <v>3</v>
      </c>
      <c r="Q1343">
        <v>5</v>
      </c>
      <c r="R1343">
        <v>599373</v>
      </c>
      <c r="S1343">
        <f>Table1[[#This Row],[Revenue]]-Table1[[#This Row],[Operating_Costs]]</f>
        <v>294184</v>
      </c>
      <c r="T1343">
        <v>305189</v>
      </c>
      <c r="U1343">
        <v>20</v>
      </c>
      <c r="V1343">
        <v>57</v>
      </c>
      <c r="W1343">
        <v>6.8</v>
      </c>
    </row>
    <row r="1344" spans="1:23" x14ac:dyDescent="0.25">
      <c r="A1344">
        <v>3</v>
      </c>
      <c r="B1344" t="s">
        <v>57</v>
      </c>
      <c r="C1344" s="1">
        <v>44684</v>
      </c>
      <c r="D1344" t="s">
        <v>71</v>
      </c>
      <c r="E1344">
        <v>0</v>
      </c>
      <c r="F1344">
        <v>88</v>
      </c>
      <c r="G1344" t="str">
        <f t="shared" si="28"/>
        <v>81+</v>
      </c>
      <c r="H1344" t="s">
        <v>23</v>
      </c>
      <c r="I1344" t="s">
        <v>31</v>
      </c>
      <c r="J1344" t="s">
        <v>28</v>
      </c>
      <c r="K1344" t="s">
        <v>42</v>
      </c>
      <c r="L1344">
        <v>1</v>
      </c>
      <c r="M1344">
        <v>1</v>
      </c>
      <c r="N1344">
        <v>5.5</v>
      </c>
      <c r="O1344">
        <v>9.6</v>
      </c>
      <c r="P1344">
        <v>6</v>
      </c>
      <c r="Q1344">
        <v>4</v>
      </c>
      <c r="R1344">
        <v>547817</v>
      </c>
      <c r="S1344">
        <f>Table1[[#This Row],[Revenue]]-Table1[[#This Row],[Operating_Costs]]</f>
        <v>165861</v>
      </c>
      <c r="T1344">
        <v>381956</v>
      </c>
      <c r="U1344">
        <v>25</v>
      </c>
      <c r="V1344">
        <v>58</v>
      </c>
      <c r="W1344">
        <v>12.7</v>
      </c>
    </row>
    <row r="1345" spans="1:23" x14ac:dyDescent="0.25">
      <c r="A1345">
        <v>3</v>
      </c>
      <c r="B1345" t="s">
        <v>57</v>
      </c>
      <c r="C1345" s="1">
        <v>44674</v>
      </c>
      <c r="D1345" t="s">
        <v>71</v>
      </c>
      <c r="E1345">
        <v>0</v>
      </c>
      <c r="F1345">
        <v>25</v>
      </c>
      <c r="G1345" t="str">
        <f t="shared" si="28"/>
        <v>21-40</v>
      </c>
      <c r="H1345" t="s">
        <v>23</v>
      </c>
      <c r="I1345" t="s">
        <v>64</v>
      </c>
      <c r="J1345" t="s">
        <v>65</v>
      </c>
      <c r="K1345" t="s">
        <v>42</v>
      </c>
      <c r="L1345">
        <v>1</v>
      </c>
      <c r="M1345">
        <v>1</v>
      </c>
      <c r="N1345">
        <v>2.1</v>
      </c>
      <c r="O1345">
        <v>7.3</v>
      </c>
      <c r="P1345">
        <v>5</v>
      </c>
      <c r="Q1345">
        <v>6</v>
      </c>
      <c r="R1345">
        <v>578933</v>
      </c>
      <c r="S1345">
        <f>Table1[[#This Row],[Revenue]]-Table1[[#This Row],[Operating_Costs]]</f>
        <v>186409</v>
      </c>
      <c r="T1345">
        <v>392524</v>
      </c>
      <c r="U1345">
        <v>25</v>
      </c>
      <c r="V1345">
        <v>65</v>
      </c>
      <c r="W1345">
        <v>8.4</v>
      </c>
    </row>
    <row r="1346" spans="1:23" x14ac:dyDescent="0.25">
      <c r="A1346">
        <v>3</v>
      </c>
      <c r="B1346" t="s">
        <v>57</v>
      </c>
      <c r="C1346" s="1">
        <v>44360</v>
      </c>
      <c r="D1346" t="s">
        <v>71</v>
      </c>
      <c r="E1346">
        <v>0</v>
      </c>
      <c r="F1346">
        <v>47</v>
      </c>
      <c r="G1346" t="str">
        <f t="shared" si="28"/>
        <v>41-60</v>
      </c>
      <c r="H1346" t="s">
        <v>35</v>
      </c>
      <c r="I1346" t="s">
        <v>36</v>
      </c>
      <c r="J1346" t="s">
        <v>37</v>
      </c>
      <c r="K1346" t="s">
        <v>42</v>
      </c>
      <c r="L1346">
        <v>1</v>
      </c>
      <c r="M1346">
        <v>1</v>
      </c>
      <c r="N1346">
        <v>1.5</v>
      </c>
      <c r="O1346">
        <v>9.3000000000000007</v>
      </c>
      <c r="P1346">
        <v>4</v>
      </c>
      <c r="Q1346">
        <v>3</v>
      </c>
      <c r="R1346">
        <v>595439</v>
      </c>
      <c r="S1346">
        <f>Table1[[#This Row],[Revenue]]-Table1[[#This Row],[Operating_Costs]]</f>
        <v>256336</v>
      </c>
      <c r="T1346">
        <v>339103</v>
      </c>
      <c r="U1346">
        <v>25</v>
      </c>
      <c r="V1346">
        <v>54</v>
      </c>
      <c r="W1346">
        <v>36.799999999999997</v>
      </c>
    </row>
    <row r="1347" spans="1:23" x14ac:dyDescent="0.25">
      <c r="A1347">
        <v>3</v>
      </c>
      <c r="B1347" t="s">
        <v>57</v>
      </c>
      <c r="C1347" s="1">
        <v>45408</v>
      </c>
      <c r="D1347" t="s">
        <v>71</v>
      </c>
      <c r="E1347">
        <v>0</v>
      </c>
      <c r="F1347">
        <v>84</v>
      </c>
      <c r="G1347" t="str">
        <f t="shared" ref="G1347:G1410" si="29">IF(F1347&lt;=20,"0-20",IF(F1347&lt;=40,"21-40",IF(F1347&lt;=60,"41-60",IF(F1347&lt;=80,"61-80","81+"))))</f>
        <v>81+</v>
      </c>
      <c r="H1347" t="s">
        <v>35</v>
      </c>
      <c r="I1347" t="s">
        <v>46</v>
      </c>
      <c r="J1347" t="s">
        <v>47</v>
      </c>
      <c r="K1347" t="s">
        <v>38</v>
      </c>
      <c r="L1347">
        <v>1</v>
      </c>
      <c r="M1347">
        <v>1</v>
      </c>
      <c r="N1347">
        <v>1.5</v>
      </c>
      <c r="O1347">
        <v>8.3000000000000007</v>
      </c>
      <c r="P1347">
        <v>7</v>
      </c>
      <c r="Q1347">
        <v>3</v>
      </c>
      <c r="R1347">
        <v>524148</v>
      </c>
      <c r="S1347">
        <f>Table1[[#This Row],[Revenue]]-Table1[[#This Row],[Operating_Costs]]</f>
        <v>186643</v>
      </c>
      <c r="T1347">
        <v>337505</v>
      </c>
      <c r="U1347">
        <v>21</v>
      </c>
      <c r="V1347">
        <v>55</v>
      </c>
      <c r="W1347">
        <v>36.299999999999997</v>
      </c>
    </row>
    <row r="1348" spans="1:23" x14ac:dyDescent="0.25">
      <c r="A1348">
        <v>4</v>
      </c>
      <c r="B1348" t="s">
        <v>69</v>
      </c>
      <c r="C1348" s="1">
        <v>44274</v>
      </c>
      <c r="D1348" t="s">
        <v>71</v>
      </c>
      <c r="E1348">
        <v>0</v>
      </c>
      <c r="F1348">
        <v>75</v>
      </c>
      <c r="G1348" t="str">
        <f t="shared" si="29"/>
        <v>61-80</v>
      </c>
      <c r="H1348" t="s">
        <v>23</v>
      </c>
      <c r="I1348" t="s">
        <v>43</v>
      </c>
      <c r="J1348" t="s">
        <v>25</v>
      </c>
      <c r="K1348" t="s">
        <v>33</v>
      </c>
      <c r="L1348">
        <v>1</v>
      </c>
      <c r="M1348">
        <v>1</v>
      </c>
      <c r="N1348">
        <v>4.5</v>
      </c>
      <c r="O1348">
        <v>8.4</v>
      </c>
      <c r="P1348">
        <v>3</v>
      </c>
      <c r="Q1348">
        <v>5</v>
      </c>
      <c r="R1348">
        <v>965267</v>
      </c>
      <c r="S1348">
        <f>Table1[[#This Row],[Revenue]]-Table1[[#This Row],[Operating_Costs]]</f>
        <v>349811</v>
      </c>
      <c r="T1348">
        <v>615456</v>
      </c>
      <c r="U1348">
        <v>46</v>
      </c>
      <c r="V1348">
        <v>55</v>
      </c>
      <c r="W1348">
        <v>12.6</v>
      </c>
    </row>
    <row r="1349" spans="1:23" x14ac:dyDescent="0.25">
      <c r="A1349">
        <v>3</v>
      </c>
      <c r="B1349" t="s">
        <v>57</v>
      </c>
      <c r="C1349" s="1">
        <v>45292</v>
      </c>
      <c r="D1349" t="s">
        <v>71</v>
      </c>
      <c r="E1349">
        <v>0</v>
      </c>
      <c r="F1349">
        <v>29</v>
      </c>
      <c r="G1349" t="str">
        <f t="shared" si="29"/>
        <v>21-40</v>
      </c>
      <c r="H1349" t="s">
        <v>35</v>
      </c>
      <c r="I1349" t="s">
        <v>64</v>
      </c>
      <c r="J1349" t="s">
        <v>65</v>
      </c>
      <c r="K1349" t="s">
        <v>29</v>
      </c>
      <c r="L1349">
        <v>1</v>
      </c>
      <c r="M1349">
        <v>1</v>
      </c>
      <c r="N1349">
        <v>4.9000000000000004</v>
      </c>
      <c r="O1349">
        <v>7.5</v>
      </c>
      <c r="P1349">
        <v>3</v>
      </c>
      <c r="Q1349">
        <v>4</v>
      </c>
      <c r="R1349">
        <v>531043</v>
      </c>
      <c r="S1349">
        <f>Table1[[#This Row],[Revenue]]-Table1[[#This Row],[Operating_Costs]]</f>
        <v>162821</v>
      </c>
      <c r="T1349">
        <v>368222</v>
      </c>
      <c r="U1349">
        <v>20</v>
      </c>
      <c r="V1349">
        <v>58</v>
      </c>
      <c r="W1349">
        <v>13.1</v>
      </c>
    </row>
    <row r="1350" spans="1:23" x14ac:dyDescent="0.25">
      <c r="A1350">
        <v>3</v>
      </c>
      <c r="B1350" t="s">
        <v>57</v>
      </c>
      <c r="C1350" s="1">
        <v>45357</v>
      </c>
      <c r="D1350" t="s">
        <v>71</v>
      </c>
      <c r="E1350">
        <v>0</v>
      </c>
      <c r="F1350">
        <v>86</v>
      </c>
      <c r="G1350" t="str">
        <f t="shared" si="29"/>
        <v>81+</v>
      </c>
      <c r="H1350" t="s">
        <v>23</v>
      </c>
      <c r="I1350" t="s">
        <v>40</v>
      </c>
      <c r="J1350" t="s">
        <v>41</v>
      </c>
      <c r="K1350" t="s">
        <v>33</v>
      </c>
      <c r="L1350">
        <v>1</v>
      </c>
      <c r="M1350">
        <v>1</v>
      </c>
      <c r="N1350">
        <v>4.7</v>
      </c>
      <c r="O1350">
        <v>9.3000000000000007</v>
      </c>
      <c r="P1350">
        <v>3</v>
      </c>
      <c r="Q1350">
        <v>5</v>
      </c>
      <c r="R1350">
        <v>529148</v>
      </c>
      <c r="S1350">
        <f>Table1[[#This Row],[Revenue]]-Table1[[#This Row],[Operating_Costs]]</f>
        <v>161052</v>
      </c>
      <c r="T1350">
        <v>368096</v>
      </c>
      <c r="U1350">
        <v>16</v>
      </c>
      <c r="V1350">
        <v>66</v>
      </c>
      <c r="W1350">
        <v>7.9</v>
      </c>
    </row>
    <row r="1351" spans="1:23" x14ac:dyDescent="0.25">
      <c r="A1351">
        <v>4</v>
      </c>
      <c r="B1351" t="s">
        <v>69</v>
      </c>
      <c r="C1351" s="1">
        <v>45415</v>
      </c>
      <c r="D1351" t="s">
        <v>71</v>
      </c>
      <c r="E1351">
        <v>0</v>
      </c>
      <c r="F1351">
        <v>26</v>
      </c>
      <c r="G1351" t="str">
        <f t="shared" si="29"/>
        <v>21-40</v>
      </c>
      <c r="H1351" t="s">
        <v>23</v>
      </c>
      <c r="I1351" t="s">
        <v>24</v>
      </c>
      <c r="J1351" t="s">
        <v>25</v>
      </c>
      <c r="K1351" t="s">
        <v>29</v>
      </c>
      <c r="L1351">
        <v>1</v>
      </c>
      <c r="M1351">
        <v>1</v>
      </c>
      <c r="N1351">
        <v>6.5</v>
      </c>
      <c r="O1351">
        <v>7.5</v>
      </c>
      <c r="P1351">
        <v>5</v>
      </c>
      <c r="Q1351">
        <v>5</v>
      </c>
      <c r="R1351">
        <v>805491</v>
      </c>
      <c r="S1351">
        <f>Table1[[#This Row],[Revenue]]-Table1[[#This Row],[Operating_Costs]]</f>
        <v>109002</v>
      </c>
      <c r="T1351">
        <v>696489</v>
      </c>
      <c r="U1351">
        <v>48</v>
      </c>
      <c r="V1351">
        <v>61</v>
      </c>
      <c r="W1351">
        <v>13</v>
      </c>
    </row>
    <row r="1352" spans="1:23" x14ac:dyDescent="0.25">
      <c r="A1352">
        <v>3</v>
      </c>
      <c r="B1352" t="s">
        <v>57</v>
      </c>
      <c r="C1352" s="1">
        <v>44577</v>
      </c>
      <c r="D1352" t="s">
        <v>71</v>
      </c>
      <c r="E1352">
        <v>0</v>
      </c>
      <c r="F1352">
        <v>24</v>
      </c>
      <c r="G1352" t="str">
        <f t="shared" si="29"/>
        <v>21-40</v>
      </c>
      <c r="H1352" t="s">
        <v>35</v>
      </c>
      <c r="I1352" t="s">
        <v>27</v>
      </c>
      <c r="J1352" t="s">
        <v>28</v>
      </c>
      <c r="K1352" t="s">
        <v>26</v>
      </c>
      <c r="L1352">
        <v>1</v>
      </c>
      <c r="M1352">
        <v>1</v>
      </c>
      <c r="N1352">
        <v>6.4</v>
      </c>
      <c r="O1352">
        <v>7.6</v>
      </c>
      <c r="P1352">
        <v>3</v>
      </c>
      <c r="Q1352">
        <v>5</v>
      </c>
      <c r="R1352">
        <v>538439</v>
      </c>
      <c r="S1352">
        <f>Table1[[#This Row],[Revenue]]-Table1[[#This Row],[Operating_Costs]]</f>
        <v>224409</v>
      </c>
      <c r="T1352">
        <v>314030</v>
      </c>
      <c r="U1352">
        <v>20</v>
      </c>
      <c r="V1352">
        <v>58</v>
      </c>
      <c r="W1352">
        <v>36.6</v>
      </c>
    </row>
    <row r="1353" spans="1:23" x14ac:dyDescent="0.25">
      <c r="A1353">
        <v>3</v>
      </c>
      <c r="B1353" t="s">
        <v>57</v>
      </c>
      <c r="C1353" s="1">
        <v>45331</v>
      </c>
      <c r="D1353" t="s">
        <v>71</v>
      </c>
      <c r="E1353">
        <v>0</v>
      </c>
      <c r="F1353">
        <v>43</v>
      </c>
      <c r="G1353" t="str">
        <f t="shared" si="29"/>
        <v>41-60</v>
      </c>
      <c r="H1353" t="s">
        <v>35</v>
      </c>
      <c r="I1353" t="s">
        <v>46</v>
      </c>
      <c r="J1353" t="s">
        <v>47</v>
      </c>
      <c r="K1353" t="s">
        <v>38</v>
      </c>
      <c r="L1353">
        <v>1</v>
      </c>
      <c r="M1353">
        <v>1</v>
      </c>
      <c r="N1353">
        <v>4</v>
      </c>
      <c r="O1353">
        <v>8.8000000000000007</v>
      </c>
      <c r="P1353">
        <v>5</v>
      </c>
      <c r="Q1353">
        <v>6</v>
      </c>
      <c r="R1353">
        <v>532654</v>
      </c>
      <c r="S1353">
        <f>Table1[[#This Row],[Revenue]]-Table1[[#This Row],[Operating_Costs]]</f>
        <v>213363</v>
      </c>
      <c r="T1353">
        <v>319291</v>
      </c>
      <c r="U1353">
        <v>15</v>
      </c>
      <c r="V1353">
        <v>55</v>
      </c>
      <c r="W1353">
        <v>7.5</v>
      </c>
    </row>
    <row r="1354" spans="1:23" x14ac:dyDescent="0.25">
      <c r="A1354">
        <v>3</v>
      </c>
      <c r="B1354" t="s">
        <v>57</v>
      </c>
      <c r="C1354" s="1">
        <v>45393</v>
      </c>
      <c r="D1354" t="s">
        <v>71</v>
      </c>
      <c r="E1354">
        <v>0</v>
      </c>
      <c r="F1354">
        <v>23</v>
      </c>
      <c r="G1354" t="str">
        <f t="shared" si="29"/>
        <v>21-40</v>
      </c>
      <c r="H1354" t="s">
        <v>23</v>
      </c>
      <c r="I1354" t="s">
        <v>64</v>
      </c>
      <c r="J1354" t="s">
        <v>65</v>
      </c>
      <c r="K1354" t="s">
        <v>33</v>
      </c>
      <c r="L1354">
        <v>1</v>
      </c>
      <c r="M1354">
        <v>1</v>
      </c>
      <c r="N1354">
        <v>5.8</v>
      </c>
      <c r="O1354">
        <v>9.5</v>
      </c>
      <c r="P1354">
        <v>5</v>
      </c>
      <c r="Q1354">
        <v>3</v>
      </c>
      <c r="R1354">
        <v>517183</v>
      </c>
      <c r="S1354">
        <f>Table1[[#This Row],[Revenue]]-Table1[[#This Row],[Operating_Costs]]</f>
        <v>174262</v>
      </c>
      <c r="T1354">
        <v>342921</v>
      </c>
      <c r="U1354">
        <v>19</v>
      </c>
      <c r="V1354">
        <v>55</v>
      </c>
      <c r="W1354">
        <v>9</v>
      </c>
    </row>
    <row r="1355" spans="1:23" x14ac:dyDescent="0.25">
      <c r="A1355">
        <v>3</v>
      </c>
      <c r="B1355" t="s">
        <v>57</v>
      </c>
      <c r="C1355" s="1">
        <v>44601</v>
      </c>
      <c r="D1355" t="s">
        <v>71</v>
      </c>
      <c r="E1355">
        <v>0</v>
      </c>
      <c r="F1355">
        <v>22</v>
      </c>
      <c r="G1355" t="str">
        <f t="shared" si="29"/>
        <v>21-40</v>
      </c>
      <c r="H1355" t="s">
        <v>35</v>
      </c>
      <c r="I1355" t="s">
        <v>46</v>
      </c>
      <c r="J1355" t="s">
        <v>47</v>
      </c>
      <c r="K1355" t="s">
        <v>26</v>
      </c>
      <c r="L1355">
        <v>1</v>
      </c>
      <c r="M1355">
        <v>1</v>
      </c>
      <c r="N1355">
        <v>3.1</v>
      </c>
      <c r="O1355">
        <v>7.3</v>
      </c>
      <c r="P1355">
        <v>4</v>
      </c>
      <c r="Q1355">
        <v>6</v>
      </c>
      <c r="R1355">
        <v>572965</v>
      </c>
      <c r="S1355">
        <f>Table1[[#This Row],[Revenue]]-Table1[[#This Row],[Operating_Costs]]</f>
        <v>254460</v>
      </c>
      <c r="T1355">
        <v>318505</v>
      </c>
      <c r="U1355">
        <v>17</v>
      </c>
      <c r="V1355">
        <v>65</v>
      </c>
      <c r="W1355">
        <v>12.1</v>
      </c>
    </row>
    <row r="1356" spans="1:23" x14ac:dyDescent="0.25">
      <c r="A1356">
        <v>3</v>
      </c>
      <c r="B1356" t="s">
        <v>57</v>
      </c>
      <c r="C1356" s="1">
        <v>45563</v>
      </c>
      <c r="D1356" t="s">
        <v>71</v>
      </c>
      <c r="E1356">
        <v>0</v>
      </c>
      <c r="F1356">
        <v>49</v>
      </c>
      <c r="G1356" t="str">
        <f t="shared" si="29"/>
        <v>41-60</v>
      </c>
      <c r="H1356" t="s">
        <v>35</v>
      </c>
      <c r="I1356" t="s">
        <v>36</v>
      </c>
      <c r="J1356" t="s">
        <v>37</v>
      </c>
      <c r="K1356" t="s">
        <v>42</v>
      </c>
      <c r="L1356">
        <v>1</v>
      </c>
      <c r="M1356">
        <v>1</v>
      </c>
      <c r="N1356">
        <v>2.6</v>
      </c>
      <c r="O1356">
        <v>7.8</v>
      </c>
      <c r="P1356">
        <v>3</v>
      </c>
      <c r="Q1356">
        <v>7</v>
      </c>
      <c r="R1356">
        <v>559015</v>
      </c>
      <c r="S1356">
        <f>Table1[[#This Row],[Revenue]]-Table1[[#This Row],[Operating_Costs]]</f>
        <v>202749</v>
      </c>
      <c r="T1356">
        <v>356266</v>
      </c>
      <c r="U1356">
        <v>22</v>
      </c>
      <c r="V1356">
        <v>65</v>
      </c>
      <c r="W1356">
        <v>10.7</v>
      </c>
    </row>
    <row r="1357" spans="1:23" x14ac:dyDescent="0.25">
      <c r="A1357">
        <v>3</v>
      </c>
      <c r="B1357" t="s">
        <v>57</v>
      </c>
      <c r="C1357" s="1">
        <v>44554</v>
      </c>
      <c r="D1357" t="s">
        <v>71</v>
      </c>
      <c r="E1357">
        <v>0</v>
      </c>
      <c r="F1357">
        <v>60</v>
      </c>
      <c r="G1357" t="str">
        <f t="shared" si="29"/>
        <v>41-60</v>
      </c>
      <c r="H1357" t="s">
        <v>23</v>
      </c>
      <c r="I1357" t="s">
        <v>24</v>
      </c>
      <c r="J1357" t="s">
        <v>25</v>
      </c>
      <c r="K1357" t="s">
        <v>26</v>
      </c>
      <c r="L1357">
        <v>1</v>
      </c>
      <c r="M1357">
        <v>1</v>
      </c>
      <c r="N1357">
        <v>3.9</v>
      </c>
      <c r="O1357">
        <v>9.5</v>
      </c>
      <c r="P1357">
        <v>6</v>
      </c>
      <c r="Q1357">
        <v>4</v>
      </c>
      <c r="R1357">
        <v>576680</v>
      </c>
      <c r="S1357">
        <f>Table1[[#This Row],[Revenue]]-Table1[[#This Row],[Operating_Costs]]</f>
        <v>225965</v>
      </c>
      <c r="T1357">
        <v>350715</v>
      </c>
      <c r="U1357">
        <v>22</v>
      </c>
      <c r="V1357">
        <v>54</v>
      </c>
      <c r="W1357">
        <v>7.4</v>
      </c>
    </row>
    <row r="1358" spans="1:23" x14ac:dyDescent="0.25">
      <c r="A1358">
        <v>3</v>
      </c>
      <c r="B1358" t="s">
        <v>57</v>
      </c>
      <c r="C1358" s="1">
        <v>45431</v>
      </c>
      <c r="D1358" t="s">
        <v>71</v>
      </c>
      <c r="E1358">
        <v>0</v>
      </c>
      <c r="F1358">
        <v>78</v>
      </c>
      <c r="G1358" t="str">
        <f t="shared" si="29"/>
        <v>61-80</v>
      </c>
      <c r="H1358" t="s">
        <v>35</v>
      </c>
      <c r="I1358" t="s">
        <v>64</v>
      </c>
      <c r="J1358" t="s">
        <v>65</v>
      </c>
      <c r="K1358" t="s">
        <v>26</v>
      </c>
      <c r="L1358">
        <v>1</v>
      </c>
      <c r="M1358">
        <v>1</v>
      </c>
      <c r="N1358">
        <v>3.5</v>
      </c>
      <c r="O1358">
        <v>10</v>
      </c>
      <c r="P1358">
        <v>7</v>
      </c>
      <c r="Q1358">
        <v>4</v>
      </c>
      <c r="R1358">
        <v>592203</v>
      </c>
      <c r="S1358">
        <f>Table1[[#This Row],[Revenue]]-Table1[[#This Row],[Operating_Costs]]</f>
        <v>230818</v>
      </c>
      <c r="T1358">
        <v>361385</v>
      </c>
      <c r="U1358">
        <v>22</v>
      </c>
      <c r="V1358">
        <v>59</v>
      </c>
      <c r="W1358">
        <v>12.2</v>
      </c>
    </row>
    <row r="1359" spans="1:23" x14ac:dyDescent="0.25">
      <c r="A1359">
        <v>3</v>
      </c>
      <c r="B1359" t="s">
        <v>57</v>
      </c>
      <c r="C1359" s="1">
        <v>45098</v>
      </c>
      <c r="D1359" t="s">
        <v>71</v>
      </c>
      <c r="E1359">
        <v>0</v>
      </c>
      <c r="F1359">
        <v>78</v>
      </c>
      <c r="G1359" t="str">
        <f t="shared" si="29"/>
        <v>61-80</v>
      </c>
      <c r="H1359" t="s">
        <v>35</v>
      </c>
      <c r="I1359" t="s">
        <v>53</v>
      </c>
      <c r="J1359" t="s">
        <v>54</v>
      </c>
      <c r="K1359" t="s">
        <v>26</v>
      </c>
      <c r="L1359">
        <v>1</v>
      </c>
      <c r="M1359">
        <v>1</v>
      </c>
      <c r="N1359">
        <v>5.7</v>
      </c>
      <c r="O1359">
        <v>7.2</v>
      </c>
      <c r="P1359">
        <v>7</v>
      </c>
      <c r="Q1359">
        <v>4</v>
      </c>
      <c r="R1359">
        <v>556591</v>
      </c>
      <c r="S1359">
        <f>Table1[[#This Row],[Revenue]]-Table1[[#This Row],[Operating_Costs]]</f>
        <v>168091</v>
      </c>
      <c r="T1359">
        <v>388500</v>
      </c>
      <c r="U1359">
        <v>23</v>
      </c>
      <c r="V1359">
        <v>62</v>
      </c>
      <c r="W1359">
        <v>12</v>
      </c>
    </row>
    <row r="1360" spans="1:23" x14ac:dyDescent="0.25">
      <c r="A1360">
        <v>3</v>
      </c>
      <c r="B1360" t="s">
        <v>57</v>
      </c>
      <c r="C1360" s="1">
        <v>44326</v>
      </c>
      <c r="D1360" t="s">
        <v>71</v>
      </c>
      <c r="E1360">
        <v>0</v>
      </c>
      <c r="F1360">
        <v>82</v>
      </c>
      <c r="G1360" t="str">
        <f t="shared" si="29"/>
        <v>81+</v>
      </c>
      <c r="H1360" t="s">
        <v>35</v>
      </c>
      <c r="I1360" t="s">
        <v>53</v>
      </c>
      <c r="J1360" t="s">
        <v>54</v>
      </c>
      <c r="K1360" t="s">
        <v>33</v>
      </c>
      <c r="L1360">
        <v>1</v>
      </c>
      <c r="M1360">
        <v>1</v>
      </c>
      <c r="N1360">
        <v>3</v>
      </c>
      <c r="O1360">
        <v>7.5</v>
      </c>
      <c r="P1360">
        <v>7</v>
      </c>
      <c r="Q1360">
        <v>6</v>
      </c>
      <c r="R1360">
        <v>571552</v>
      </c>
      <c r="S1360">
        <f>Table1[[#This Row],[Revenue]]-Table1[[#This Row],[Operating_Costs]]</f>
        <v>191459</v>
      </c>
      <c r="T1360">
        <v>380093</v>
      </c>
      <c r="U1360">
        <v>23</v>
      </c>
      <c r="V1360">
        <v>64</v>
      </c>
      <c r="W1360">
        <v>10.5</v>
      </c>
    </row>
    <row r="1361" spans="1:23" x14ac:dyDescent="0.25">
      <c r="A1361">
        <v>3</v>
      </c>
      <c r="B1361" t="s">
        <v>57</v>
      </c>
      <c r="C1361" s="1">
        <v>45077</v>
      </c>
      <c r="D1361" t="s">
        <v>71</v>
      </c>
      <c r="E1361">
        <v>0</v>
      </c>
      <c r="F1361">
        <v>55</v>
      </c>
      <c r="G1361" t="str">
        <f t="shared" si="29"/>
        <v>41-60</v>
      </c>
      <c r="H1361" t="s">
        <v>35</v>
      </c>
      <c r="I1361" t="s">
        <v>46</v>
      </c>
      <c r="J1361" t="s">
        <v>47</v>
      </c>
      <c r="K1361" t="s">
        <v>42</v>
      </c>
      <c r="L1361">
        <v>1</v>
      </c>
      <c r="M1361">
        <v>1</v>
      </c>
      <c r="N1361">
        <v>6.9</v>
      </c>
      <c r="O1361">
        <v>9.5</v>
      </c>
      <c r="P1361">
        <v>7</v>
      </c>
      <c r="Q1361">
        <v>3</v>
      </c>
      <c r="R1361">
        <v>595872</v>
      </c>
      <c r="S1361">
        <f>Table1[[#This Row],[Revenue]]-Table1[[#This Row],[Operating_Costs]]</f>
        <v>200392</v>
      </c>
      <c r="T1361">
        <v>395480</v>
      </c>
      <c r="U1361">
        <v>25</v>
      </c>
      <c r="V1361">
        <v>66</v>
      </c>
      <c r="W1361">
        <v>9.9</v>
      </c>
    </row>
    <row r="1362" spans="1:23" x14ac:dyDescent="0.25">
      <c r="A1362">
        <v>4</v>
      </c>
      <c r="B1362" t="s">
        <v>69</v>
      </c>
      <c r="C1362" s="1">
        <v>45060</v>
      </c>
      <c r="D1362" t="s">
        <v>71</v>
      </c>
      <c r="E1362">
        <v>0</v>
      </c>
      <c r="F1362">
        <v>49</v>
      </c>
      <c r="G1362" t="str">
        <f t="shared" si="29"/>
        <v>41-60</v>
      </c>
      <c r="H1362" t="s">
        <v>35</v>
      </c>
      <c r="I1362" t="s">
        <v>58</v>
      </c>
      <c r="J1362" t="s">
        <v>59</v>
      </c>
      <c r="K1362" t="s">
        <v>29</v>
      </c>
      <c r="L1362">
        <v>1</v>
      </c>
      <c r="M1362">
        <v>1</v>
      </c>
      <c r="N1362">
        <v>5.6</v>
      </c>
      <c r="O1362">
        <v>9.8000000000000007</v>
      </c>
      <c r="P1362">
        <v>4</v>
      </c>
      <c r="Q1362">
        <v>4</v>
      </c>
      <c r="R1362">
        <v>967551</v>
      </c>
      <c r="S1362">
        <f>Table1[[#This Row],[Revenue]]-Table1[[#This Row],[Operating_Costs]]</f>
        <v>434601</v>
      </c>
      <c r="T1362">
        <v>532950</v>
      </c>
      <c r="U1362">
        <v>56</v>
      </c>
      <c r="V1362">
        <v>60</v>
      </c>
      <c r="W1362">
        <v>12.2</v>
      </c>
    </row>
    <row r="1363" spans="1:23" x14ac:dyDescent="0.25">
      <c r="A1363">
        <v>2</v>
      </c>
      <c r="B1363" t="s">
        <v>39</v>
      </c>
      <c r="C1363" s="1">
        <v>45371</v>
      </c>
      <c r="D1363" t="s">
        <v>71</v>
      </c>
      <c r="E1363">
        <v>0</v>
      </c>
      <c r="F1363">
        <v>70</v>
      </c>
      <c r="G1363" t="str">
        <f t="shared" si="29"/>
        <v>61-80</v>
      </c>
      <c r="H1363" t="s">
        <v>35</v>
      </c>
      <c r="I1363" t="s">
        <v>27</v>
      </c>
      <c r="J1363" t="s">
        <v>28</v>
      </c>
      <c r="K1363" t="s">
        <v>26</v>
      </c>
      <c r="L1363">
        <v>1</v>
      </c>
      <c r="M1363">
        <v>1</v>
      </c>
      <c r="N1363">
        <v>3.6</v>
      </c>
      <c r="O1363">
        <v>7.5</v>
      </c>
      <c r="P1363">
        <v>5</v>
      </c>
      <c r="Q1363">
        <v>7</v>
      </c>
      <c r="R1363">
        <v>853835</v>
      </c>
      <c r="S1363">
        <f>Table1[[#This Row],[Revenue]]-Table1[[#This Row],[Operating_Costs]]</f>
        <v>350136</v>
      </c>
      <c r="T1363">
        <v>503699</v>
      </c>
      <c r="U1363">
        <v>32</v>
      </c>
      <c r="V1363">
        <v>58</v>
      </c>
      <c r="W1363">
        <v>5.6</v>
      </c>
    </row>
    <row r="1364" spans="1:23" x14ac:dyDescent="0.25">
      <c r="A1364">
        <v>3</v>
      </c>
      <c r="B1364" t="s">
        <v>57</v>
      </c>
      <c r="C1364" s="1">
        <v>44838</v>
      </c>
      <c r="D1364" t="s">
        <v>71</v>
      </c>
      <c r="E1364">
        <v>0</v>
      </c>
      <c r="F1364">
        <v>29</v>
      </c>
      <c r="G1364" t="str">
        <f t="shared" si="29"/>
        <v>21-40</v>
      </c>
      <c r="H1364" t="s">
        <v>35</v>
      </c>
      <c r="I1364" t="s">
        <v>61</v>
      </c>
      <c r="J1364" t="s">
        <v>62</v>
      </c>
      <c r="K1364" t="s">
        <v>38</v>
      </c>
      <c r="L1364">
        <v>1</v>
      </c>
      <c r="M1364">
        <v>1</v>
      </c>
      <c r="N1364">
        <v>3.7</v>
      </c>
      <c r="O1364">
        <v>7.5</v>
      </c>
      <c r="P1364">
        <v>4</v>
      </c>
      <c r="Q1364">
        <v>5</v>
      </c>
      <c r="R1364">
        <v>576752</v>
      </c>
      <c r="S1364">
        <f>Table1[[#This Row],[Revenue]]-Table1[[#This Row],[Operating_Costs]]</f>
        <v>189120</v>
      </c>
      <c r="T1364">
        <v>387632</v>
      </c>
      <c r="U1364">
        <v>18</v>
      </c>
      <c r="V1364">
        <v>55</v>
      </c>
      <c r="W1364">
        <v>8.3000000000000007</v>
      </c>
    </row>
    <row r="1365" spans="1:23" x14ac:dyDescent="0.25">
      <c r="A1365">
        <v>3</v>
      </c>
      <c r="B1365" t="s">
        <v>57</v>
      </c>
      <c r="C1365" s="1">
        <v>45305</v>
      </c>
      <c r="D1365" t="s">
        <v>71</v>
      </c>
      <c r="E1365">
        <v>0</v>
      </c>
      <c r="F1365">
        <v>42</v>
      </c>
      <c r="G1365" t="str">
        <f t="shared" si="29"/>
        <v>41-60</v>
      </c>
      <c r="H1365" t="s">
        <v>23</v>
      </c>
      <c r="I1365" t="s">
        <v>43</v>
      </c>
      <c r="J1365" t="s">
        <v>25</v>
      </c>
      <c r="K1365" t="s">
        <v>33</v>
      </c>
      <c r="L1365">
        <v>1</v>
      </c>
      <c r="M1365">
        <v>1</v>
      </c>
      <c r="N1365">
        <v>5.4</v>
      </c>
      <c r="O1365">
        <v>9.1999999999999993</v>
      </c>
      <c r="P1365">
        <v>7</v>
      </c>
      <c r="Q1365">
        <v>4</v>
      </c>
      <c r="R1365">
        <v>583628</v>
      </c>
      <c r="S1365">
        <f>Table1[[#This Row],[Revenue]]-Table1[[#This Row],[Operating_Costs]]</f>
        <v>260639</v>
      </c>
      <c r="T1365">
        <v>322989</v>
      </c>
      <c r="U1365">
        <v>23</v>
      </c>
      <c r="V1365">
        <v>59</v>
      </c>
      <c r="W1365">
        <v>13.7</v>
      </c>
    </row>
    <row r="1366" spans="1:23" x14ac:dyDescent="0.25">
      <c r="A1366">
        <v>3</v>
      </c>
      <c r="B1366" t="s">
        <v>57</v>
      </c>
      <c r="C1366" s="1">
        <v>44821</v>
      </c>
      <c r="D1366" t="s">
        <v>71</v>
      </c>
      <c r="E1366">
        <v>0</v>
      </c>
      <c r="F1366">
        <v>39</v>
      </c>
      <c r="G1366" t="str">
        <f t="shared" si="29"/>
        <v>21-40</v>
      </c>
      <c r="H1366" t="s">
        <v>23</v>
      </c>
      <c r="I1366" t="s">
        <v>46</v>
      </c>
      <c r="J1366" t="s">
        <v>47</v>
      </c>
      <c r="K1366" t="s">
        <v>42</v>
      </c>
      <c r="L1366">
        <v>1</v>
      </c>
      <c r="M1366">
        <v>1</v>
      </c>
      <c r="N1366">
        <v>3.4</v>
      </c>
      <c r="O1366">
        <v>8.6</v>
      </c>
      <c r="P1366">
        <v>5</v>
      </c>
      <c r="Q1366">
        <v>6</v>
      </c>
      <c r="R1366">
        <v>580290</v>
      </c>
      <c r="S1366">
        <f>Table1[[#This Row],[Revenue]]-Table1[[#This Row],[Operating_Costs]]</f>
        <v>271450</v>
      </c>
      <c r="T1366">
        <v>308840</v>
      </c>
      <c r="U1366">
        <v>23</v>
      </c>
      <c r="V1366">
        <v>63</v>
      </c>
      <c r="W1366">
        <v>12.1</v>
      </c>
    </row>
    <row r="1367" spans="1:23" x14ac:dyDescent="0.25">
      <c r="A1367">
        <v>3</v>
      </c>
      <c r="B1367" t="s">
        <v>57</v>
      </c>
      <c r="C1367" s="1">
        <v>44415</v>
      </c>
      <c r="D1367" t="s">
        <v>71</v>
      </c>
      <c r="E1367">
        <v>0</v>
      </c>
      <c r="F1367">
        <v>88</v>
      </c>
      <c r="G1367" t="str">
        <f t="shared" si="29"/>
        <v>81+</v>
      </c>
      <c r="H1367" t="s">
        <v>35</v>
      </c>
      <c r="I1367" t="s">
        <v>36</v>
      </c>
      <c r="J1367" t="s">
        <v>37</v>
      </c>
      <c r="K1367" t="s">
        <v>29</v>
      </c>
      <c r="L1367">
        <v>1</v>
      </c>
      <c r="M1367">
        <v>1</v>
      </c>
      <c r="N1367">
        <v>5.9</v>
      </c>
      <c r="O1367">
        <v>8.4</v>
      </c>
      <c r="P1367">
        <v>3</v>
      </c>
      <c r="Q1367">
        <v>5</v>
      </c>
      <c r="R1367">
        <v>535431</v>
      </c>
      <c r="S1367">
        <f>Table1[[#This Row],[Revenue]]-Table1[[#This Row],[Operating_Costs]]</f>
        <v>202615</v>
      </c>
      <c r="T1367">
        <v>332816</v>
      </c>
      <c r="U1367">
        <v>25</v>
      </c>
      <c r="V1367">
        <v>62</v>
      </c>
      <c r="W1367">
        <v>36.6</v>
      </c>
    </row>
    <row r="1368" spans="1:23" x14ac:dyDescent="0.25">
      <c r="A1368">
        <v>4</v>
      </c>
      <c r="B1368" t="s">
        <v>69</v>
      </c>
      <c r="C1368" s="1">
        <v>45489</v>
      </c>
      <c r="D1368" t="s">
        <v>71</v>
      </c>
      <c r="E1368">
        <v>0</v>
      </c>
      <c r="F1368">
        <v>62</v>
      </c>
      <c r="G1368" t="str">
        <f t="shared" si="29"/>
        <v>61-80</v>
      </c>
      <c r="H1368" t="s">
        <v>35</v>
      </c>
      <c r="I1368" t="s">
        <v>36</v>
      </c>
      <c r="J1368" t="s">
        <v>37</v>
      </c>
      <c r="K1368" t="s">
        <v>42</v>
      </c>
      <c r="L1368">
        <v>1</v>
      </c>
      <c r="M1368">
        <v>1</v>
      </c>
      <c r="N1368">
        <v>3.3</v>
      </c>
      <c r="O1368">
        <v>7.1</v>
      </c>
      <c r="P1368">
        <v>5</v>
      </c>
      <c r="Q1368">
        <v>6</v>
      </c>
      <c r="R1368">
        <v>894312</v>
      </c>
      <c r="S1368">
        <f>Table1[[#This Row],[Revenue]]-Table1[[#This Row],[Operating_Costs]]</f>
        <v>255688</v>
      </c>
      <c r="T1368">
        <v>638624</v>
      </c>
      <c r="U1368">
        <v>37</v>
      </c>
      <c r="V1368">
        <v>64</v>
      </c>
      <c r="W1368">
        <v>9.5</v>
      </c>
    </row>
    <row r="1369" spans="1:23" x14ac:dyDescent="0.25">
      <c r="A1369">
        <v>3</v>
      </c>
      <c r="B1369" t="s">
        <v>57</v>
      </c>
      <c r="C1369" s="1">
        <v>45579</v>
      </c>
      <c r="D1369" t="s">
        <v>71</v>
      </c>
      <c r="E1369">
        <v>0</v>
      </c>
      <c r="F1369">
        <v>48</v>
      </c>
      <c r="G1369" t="str">
        <f t="shared" si="29"/>
        <v>41-60</v>
      </c>
      <c r="H1369" t="s">
        <v>35</v>
      </c>
      <c r="I1369" t="s">
        <v>36</v>
      </c>
      <c r="J1369" t="s">
        <v>37</v>
      </c>
      <c r="K1369" t="s">
        <v>26</v>
      </c>
      <c r="L1369">
        <v>1</v>
      </c>
      <c r="M1369">
        <v>1</v>
      </c>
      <c r="N1369">
        <v>3.3</v>
      </c>
      <c r="O1369">
        <v>9.4</v>
      </c>
      <c r="P1369">
        <v>6</v>
      </c>
      <c r="Q1369">
        <v>7</v>
      </c>
      <c r="R1369">
        <v>587629</v>
      </c>
      <c r="S1369">
        <f>Table1[[#This Row],[Revenue]]-Table1[[#This Row],[Operating_Costs]]</f>
        <v>204535</v>
      </c>
      <c r="T1369">
        <v>383094</v>
      </c>
      <c r="U1369">
        <v>20</v>
      </c>
      <c r="V1369">
        <v>64</v>
      </c>
      <c r="W1369">
        <v>14.4</v>
      </c>
    </row>
    <row r="1370" spans="1:23" x14ac:dyDescent="0.25">
      <c r="A1370">
        <v>3</v>
      </c>
      <c r="B1370" t="s">
        <v>57</v>
      </c>
      <c r="C1370" s="1">
        <v>44855</v>
      </c>
      <c r="D1370" t="s">
        <v>71</v>
      </c>
      <c r="E1370">
        <v>0</v>
      </c>
      <c r="F1370">
        <v>71</v>
      </c>
      <c r="G1370" t="str">
        <f t="shared" si="29"/>
        <v>61-80</v>
      </c>
      <c r="H1370" t="s">
        <v>35</v>
      </c>
      <c r="I1370" t="s">
        <v>36</v>
      </c>
      <c r="J1370" t="s">
        <v>37</v>
      </c>
      <c r="K1370" t="s">
        <v>26</v>
      </c>
      <c r="L1370">
        <v>1</v>
      </c>
      <c r="M1370">
        <v>1</v>
      </c>
      <c r="N1370">
        <v>4.2</v>
      </c>
      <c r="O1370">
        <v>9.5</v>
      </c>
      <c r="P1370">
        <v>5</v>
      </c>
      <c r="Q1370">
        <v>3</v>
      </c>
      <c r="R1370">
        <v>539965</v>
      </c>
      <c r="S1370">
        <f>Table1[[#This Row],[Revenue]]-Table1[[#This Row],[Operating_Costs]]</f>
        <v>235219</v>
      </c>
      <c r="T1370">
        <v>304746</v>
      </c>
      <c r="U1370">
        <v>24</v>
      </c>
      <c r="V1370">
        <v>65</v>
      </c>
      <c r="W1370">
        <v>9.1</v>
      </c>
    </row>
    <row r="1371" spans="1:23" x14ac:dyDescent="0.25">
      <c r="A1371">
        <v>3</v>
      </c>
      <c r="B1371" t="s">
        <v>57</v>
      </c>
      <c r="C1371" s="1">
        <v>44712</v>
      </c>
      <c r="D1371" t="s">
        <v>71</v>
      </c>
      <c r="E1371">
        <v>0</v>
      </c>
      <c r="F1371">
        <v>31</v>
      </c>
      <c r="G1371" t="str">
        <f t="shared" si="29"/>
        <v>21-40</v>
      </c>
      <c r="H1371" t="s">
        <v>23</v>
      </c>
      <c r="I1371" t="s">
        <v>24</v>
      </c>
      <c r="J1371" t="s">
        <v>25</v>
      </c>
      <c r="K1371" t="s">
        <v>26</v>
      </c>
      <c r="L1371">
        <v>1</v>
      </c>
      <c r="M1371">
        <v>1</v>
      </c>
      <c r="N1371">
        <v>1.9</v>
      </c>
      <c r="O1371">
        <v>9.8000000000000007</v>
      </c>
      <c r="P1371">
        <v>6</v>
      </c>
      <c r="Q1371">
        <v>6</v>
      </c>
      <c r="R1371">
        <v>517194</v>
      </c>
      <c r="S1371">
        <f>Table1[[#This Row],[Revenue]]-Table1[[#This Row],[Operating_Costs]]</f>
        <v>208000</v>
      </c>
      <c r="T1371">
        <v>309194</v>
      </c>
      <c r="U1371">
        <v>25</v>
      </c>
      <c r="V1371">
        <v>65</v>
      </c>
      <c r="W1371">
        <v>13</v>
      </c>
    </row>
    <row r="1372" spans="1:23" x14ac:dyDescent="0.25">
      <c r="A1372">
        <v>4</v>
      </c>
      <c r="B1372" t="s">
        <v>69</v>
      </c>
      <c r="C1372" s="1">
        <v>45538</v>
      </c>
      <c r="D1372" t="s">
        <v>71</v>
      </c>
      <c r="E1372">
        <v>0</v>
      </c>
      <c r="F1372">
        <v>88</v>
      </c>
      <c r="G1372" t="str">
        <f t="shared" si="29"/>
        <v>81+</v>
      </c>
      <c r="H1372" t="s">
        <v>23</v>
      </c>
      <c r="I1372" t="s">
        <v>24</v>
      </c>
      <c r="J1372" t="s">
        <v>25</v>
      </c>
      <c r="K1372" t="s">
        <v>29</v>
      </c>
      <c r="L1372">
        <v>1</v>
      </c>
      <c r="M1372">
        <v>1</v>
      </c>
      <c r="N1372">
        <v>2.9</v>
      </c>
      <c r="O1372">
        <v>7.1</v>
      </c>
      <c r="P1372">
        <v>4</v>
      </c>
      <c r="Q1372">
        <v>6</v>
      </c>
      <c r="R1372">
        <v>823710</v>
      </c>
      <c r="S1372">
        <f>Table1[[#This Row],[Revenue]]-Table1[[#This Row],[Operating_Costs]]</f>
        <v>175472</v>
      </c>
      <c r="T1372">
        <v>648238</v>
      </c>
      <c r="U1372">
        <v>32</v>
      </c>
      <c r="V1372">
        <v>66</v>
      </c>
      <c r="W1372">
        <v>9.9</v>
      </c>
    </row>
    <row r="1373" spans="1:23" x14ac:dyDescent="0.25">
      <c r="A1373">
        <v>3</v>
      </c>
      <c r="B1373" t="s">
        <v>57</v>
      </c>
      <c r="C1373" s="1">
        <v>44513</v>
      </c>
      <c r="D1373" t="s">
        <v>71</v>
      </c>
      <c r="E1373">
        <v>0</v>
      </c>
      <c r="F1373">
        <v>75</v>
      </c>
      <c r="G1373" t="str">
        <f t="shared" si="29"/>
        <v>61-80</v>
      </c>
      <c r="H1373" t="s">
        <v>35</v>
      </c>
      <c r="I1373" t="s">
        <v>27</v>
      </c>
      <c r="J1373" t="s">
        <v>28</v>
      </c>
      <c r="K1373" t="s">
        <v>42</v>
      </c>
      <c r="L1373">
        <v>1</v>
      </c>
      <c r="M1373">
        <v>1</v>
      </c>
      <c r="N1373">
        <v>5.2</v>
      </c>
      <c r="O1373">
        <v>7.2</v>
      </c>
      <c r="P1373">
        <v>4</v>
      </c>
      <c r="Q1373">
        <v>4</v>
      </c>
      <c r="R1373">
        <v>536520</v>
      </c>
      <c r="S1373">
        <f>Table1[[#This Row],[Revenue]]-Table1[[#This Row],[Operating_Costs]]</f>
        <v>147339</v>
      </c>
      <c r="T1373">
        <v>389181</v>
      </c>
      <c r="U1373">
        <v>17</v>
      </c>
      <c r="V1373">
        <v>54</v>
      </c>
      <c r="W1373">
        <v>36.299999999999997</v>
      </c>
    </row>
    <row r="1374" spans="1:23" x14ac:dyDescent="0.25">
      <c r="A1374">
        <v>3</v>
      </c>
      <c r="B1374" t="s">
        <v>57</v>
      </c>
      <c r="C1374" s="1">
        <v>44349</v>
      </c>
      <c r="D1374" t="s">
        <v>71</v>
      </c>
      <c r="E1374">
        <v>0</v>
      </c>
      <c r="F1374">
        <v>82</v>
      </c>
      <c r="G1374" t="str">
        <f t="shared" si="29"/>
        <v>81+</v>
      </c>
      <c r="H1374" t="s">
        <v>23</v>
      </c>
      <c r="I1374" t="s">
        <v>64</v>
      </c>
      <c r="J1374" t="s">
        <v>65</v>
      </c>
      <c r="K1374" t="s">
        <v>38</v>
      </c>
      <c r="L1374">
        <v>1</v>
      </c>
      <c r="M1374">
        <v>1</v>
      </c>
      <c r="N1374">
        <v>3.3</v>
      </c>
      <c r="O1374">
        <v>9.9</v>
      </c>
      <c r="P1374">
        <v>5</v>
      </c>
      <c r="Q1374">
        <v>6</v>
      </c>
      <c r="R1374">
        <v>586409</v>
      </c>
      <c r="S1374">
        <f>Table1[[#This Row],[Revenue]]-Table1[[#This Row],[Operating_Costs]]</f>
        <v>215090</v>
      </c>
      <c r="T1374">
        <v>371319</v>
      </c>
      <c r="U1374">
        <v>25</v>
      </c>
      <c r="V1374">
        <v>56</v>
      </c>
      <c r="W1374">
        <v>12.2</v>
      </c>
    </row>
    <row r="1375" spans="1:23" x14ac:dyDescent="0.25">
      <c r="A1375">
        <v>3</v>
      </c>
      <c r="B1375" t="s">
        <v>57</v>
      </c>
      <c r="C1375" s="1">
        <v>45137</v>
      </c>
      <c r="D1375" t="s">
        <v>71</v>
      </c>
      <c r="E1375">
        <v>0</v>
      </c>
      <c r="F1375">
        <v>64</v>
      </c>
      <c r="G1375" t="str">
        <f t="shared" si="29"/>
        <v>61-80</v>
      </c>
      <c r="H1375" t="s">
        <v>35</v>
      </c>
      <c r="I1375" t="s">
        <v>36</v>
      </c>
      <c r="J1375" t="s">
        <v>37</v>
      </c>
      <c r="K1375" t="s">
        <v>26</v>
      </c>
      <c r="L1375">
        <v>1</v>
      </c>
      <c r="M1375">
        <v>1</v>
      </c>
      <c r="N1375">
        <v>3.7</v>
      </c>
      <c r="O1375">
        <v>7.4</v>
      </c>
      <c r="P1375">
        <v>7</v>
      </c>
      <c r="Q1375">
        <v>3</v>
      </c>
      <c r="R1375">
        <v>551825</v>
      </c>
      <c r="S1375">
        <f>Table1[[#This Row],[Revenue]]-Table1[[#This Row],[Operating_Costs]]</f>
        <v>225525</v>
      </c>
      <c r="T1375">
        <v>326300</v>
      </c>
      <c r="U1375">
        <v>17</v>
      </c>
      <c r="V1375">
        <v>54</v>
      </c>
      <c r="W1375">
        <v>14.9</v>
      </c>
    </row>
    <row r="1376" spans="1:23" x14ac:dyDescent="0.25">
      <c r="A1376">
        <v>3</v>
      </c>
      <c r="B1376" t="s">
        <v>57</v>
      </c>
      <c r="C1376" s="1">
        <v>44465</v>
      </c>
      <c r="D1376" t="s">
        <v>71</v>
      </c>
      <c r="E1376">
        <v>0</v>
      </c>
      <c r="F1376">
        <v>40</v>
      </c>
      <c r="G1376" t="str">
        <f t="shared" si="29"/>
        <v>21-40</v>
      </c>
      <c r="H1376" t="s">
        <v>23</v>
      </c>
      <c r="I1376" t="s">
        <v>27</v>
      </c>
      <c r="J1376" t="s">
        <v>28</v>
      </c>
      <c r="K1376" t="s">
        <v>38</v>
      </c>
      <c r="L1376">
        <v>1</v>
      </c>
      <c r="M1376">
        <v>1</v>
      </c>
      <c r="N1376">
        <v>6.6</v>
      </c>
      <c r="O1376">
        <v>7.8</v>
      </c>
      <c r="P1376">
        <v>4</v>
      </c>
      <c r="Q1376">
        <v>3</v>
      </c>
      <c r="R1376">
        <v>597673</v>
      </c>
      <c r="S1376">
        <f>Table1[[#This Row],[Revenue]]-Table1[[#This Row],[Operating_Costs]]</f>
        <v>257156</v>
      </c>
      <c r="T1376">
        <v>340517</v>
      </c>
      <c r="U1376">
        <v>20</v>
      </c>
      <c r="V1376">
        <v>54</v>
      </c>
      <c r="W1376">
        <v>13.6</v>
      </c>
    </row>
    <row r="1377" spans="1:23" x14ac:dyDescent="0.25">
      <c r="A1377">
        <v>4</v>
      </c>
      <c r="B1377" t="s">
        <v>69</v>
      </c>
      <c r="C1377" s="1">
        <v>44358</v>
      </c>
      <c r="D1377" t="s">
        <v>71</v>
      </c>
      <c r="E1377">
        <v>0</v>
      </c>
      <c r="F1377">
        <v>83</v>
      </c>
      <c r="G1377" t="str">
        <f t="shared" si="29"/>
        <v>81+</v>
      </c>
      <c r="H1377" t="s">
        <v>35</v>
      </c>
      <c r="I1377" t="s">
        <v>31</v>
      </c>
      <c r="J1377" t="s">
        <v>28</v>
      </c>
      <c r="K1377" t="s">
        <v>26</v>
      </c>
      <c r="L1377">
        <v>1</v>
      </c>
      <c r="M1377">
        <v>1</v>
      </c>
      <c r="N1377">
        <v>6.1</v>
      </c>
      <c r="O1377">
        <v>7.6</v>
      </c>
      <c r="P1377">
        <v>7</v>
      </c>
      <c r="Q1377">
        <v>7</v>
      </c>
      <c r="R1377">
        <v>921388</v>
      </c>
      <c r="S1377">
        <f>Table1[[#This Row],[Revenue]]-Table1[[#This Row],[Operating_Costs]]</f>
        <v>228707</v>
      </c>
      <c r="T1377">
        <v>692681</v>
      </c>
      <c r="U1377">
        <v>34</v>
      </c>
      <c r="V1377">
        <v>59</v>
      </c>
      <c r="W1377">
        <v>13.4</v>
      </c>
    </row>
    <row r="1378" spans="1:23" x14ac:dyDescent="0.25">
      <c r="A1378">
        <v>3</v>
      </c>
      <c r="B1378" t="s">
        <v>57</v>
      </c>
      <c r="C1378" s="1">
        <v>44235</v>
      </c>
      <c r="D1378" t="s">
        <v>71</v>
      </c>
      <c r="E1378">
        <v>0</v>
      </c>
      <c r="F1378">
        <v>50</v>
      </c>
      <c r="G1378" t="str">
        <f t="shared" si="29"/>
        <v>41-60</v>
      </c>
      <c r="H1378" t="s">
        <v>35</v>
      </c>
      <c r="I1378" t="s">
        <v>55</v>
      </c>
      <c r="J1378" t="s">
        <v>56</v>
      </c>
      <c r="K1378" t="s">
        <v>42</v>
      </c>
      <c r="L1378">
        <v>1</v>
      </c>
      <c r="M1378">
        <v>1</v>
      </c>
      <c r="N1378">
        <v>6.6</v>
      </c>
      <c r="O1378">
        <v>9.3000000000000007</v>
      </c>
      <c r="P1378">
        <v>6</v>
      </c>
      <c r="Q1378">
        <v>7</v>
      </c>
      <c r="R1378">
        <v>543802</v>
      </c>
      <c r="S1378">
        <f>Table1[[#This Row],[Revenue]]-Table1[[#This Row],[Operating_Costs]]</f>
        <v>164919</v>
      </c>
      <c r="T1378">
        <v>378883</v>
      </c>
      <c r="U1378">
        <v>16</v>
      </c>
      <c r="V1378">
        <v>62</v>
      </c>
      <c r="W1378">
        <v>12</v>
      </c>
    </row>
    <row r="1379" spans="1:23" x14ac:dyDescent="0.25">
      <c r="A1379">
        <v>3</v>
      </c>
      <c r="B1379" t="s">
        <v>57</v>
      </c>
      <c r="C1379" s="1">
        <v>45079</v>
      </c>
      <c r="D1379" t="s">
        <v>71</v>
      </c>
      <c r="E1379">
        <v>0</v>
      </c>
      <c r="F1379">
        <v>74</v>
      </c>
      <c r="G1379" t="str">
        <f t="shared" si="29"/>
        <v>61-80</v>
      </c>
      <c r="H1379" t="s">
        <v>35</v>
      </c>
      <c r="I1379" t="s">
        <v>36</v>
      </c>
      <c r="J1379" t="s">
        <v>37</v>
      </c>
      <c r="K1379" t="s">
        <v>38</v>
      </c>
      <c r="L1379">
        <v>1</v>
      </c>
      <c r="M1379">
        <v>1</v>
      </c>
      <c r="N1379">
        <v>5.5</v>
      </c>
      <c r="O1379">
        <v>7.8</v>
      </c>
      <c r="P1379">
        <v>4</v>
      </c>
      <c r="Q1379">
        <v>3</v>
      </c>
      <c r="R1379">
        <v>521090</v>
      </c>
      <c r="S1379">
        <f>Table1[[#This Row],[Revenue]]-Table1[[#This Row],[Operating_Costs]]</f>
        <v>123578</v>
      </c>
      <c r="T1379">
        <v>397512</v>
      </c>
      <c r="U1379">
        <v>23</v>
      </c>
      <c r="V1379">
        <v>59</v>
      </c>
      <c r="W1379">
        <v>9.8000000000000007</v>
      </c>
    </row>
    <row r="1380" spans="1:23" x14ac:dyDescent="0.25">
      <c r="A1380">
        <v>3</v>
      </c>
      <c r="B1380" t="s">
        <v>57</v>
      </c>
      <c r="C1380" s="1">
        <v>44375</v>
      </c>
      <c r="D1380" t="s">
        <v>71</v>
      </c>
      <c r="E1380">
        <v>0</v>
      </c>
      <c r="F1380">
        <v>33</v>
      </c>
      <c r="G1380" t="str">
        <f t="shared" si="29"/>
        <v>21-40</v>
      </c>
      <c r="H1380" t="s">
        <v>35</v>
      </c>
      <c r="I1380" t="s">
        <v>64</v>
      </c>
      <c r="J1380" t="s">
        <v>65</v>
      </c>
      <c r="K1380" t="s">
        <v>26</v>
      </c>
      <c r="L1380">
        <v>1</v>
      </c>
      <c r="M1380">
        <v>1</v>
      </c>
      <c r="N1380">
        <v>2.6</v>
      </c>
      <c r="O1380">
        <v>8.8000000000000007</v>
      </c>
      <c r="P1380">
        <v>5</v>
      </c>
      <c r="Q1380">
        <v>5</v>
      </c>
      <c r="R1380">
        <v>500836</v>
      </c>
      <c r="S1380">
        <f>Table1[[#This Row],[Revenue]]-Table1[[#This Row],[Operating_Costs]]</f>
        <v>181767</v>
      </c>
      <c r="T1380">
        <v>319069</v>
      </c>
      <c r="U1380">
        <v>16</v>
      </c>
      <c r="V1380">
        <v>59</v>
      </c>
      <c r="W1380">
        <v>9.1999999999999993</v>
      </c>
    </row>
    <row r="1381" spans="1:23" x14ac:dyDescent="0.25">
      <c r="A1381">
        <v>3</v>
      </c>
      <c r="B1381" t="s">
        <v>57</v>
      </c>
      <c r="C1381" s="1">
        <v>45228</v>
      </c>
      <c r="D1381" t="s">
        <v>71</v>
      </c>
      <c r="E1381">
        <v>0</v>
      </c>
      <c r="F1381">
        <v>26</v>
      </c>
      <c r="G1381" t="str">
        <f t="shared" si="29"/>
        <v>21-40</v>
      </c>
      <c r="H1381" t="s">
        <v>23</v>
      </c>
      <c r="I1381" t="s">
        <v>64</v>
      </c>
      <c r="J1381" t="s">
        <v>65</v>
      </c>
      <c r="K1381" t="s">
        <v>38</v>
      </c>
      <c r="L1381">
        <v>1</v>
      </c>
      <c r="M1381">
        <v>1</v>
      </c>
      <c r="N1381">
        <v>2.5</v>
      </c>
      <c r="O1381">
        <v>7.5</v>
      </c>
      <c r="P1381">
        <v>3</v>
      </c>
      <c r="Q1381">
        <v>5</v>
      </c>
      <c r="R1381">
        <v>563305</v>
      </c>
      <c r="S1381">
        <f>Table1[[#This Row],[Revenue]]-Table1[[#This Row],[Operating_Costs]]</f>
        <v>241113</v>
      </c>
      <c r="T1381">
        <v>322192</v>
      </c>
      <c r="U1381">
        <v>24</v>
      </c>
      <c r="V1381">
        <v>58</v>
      </c>
      <c r="W1381">
        <v>14.2</v>
      </c>
    </row>
    <row r="1382" spans="1:23" x14ac:dyDescent="0.25">
      <c r="A1382">
        <v>3</v>
      </c>
      <c r="B1382" t="s">
        <v>57</v>
      </c>
      <c r="C1382" s="1">
        <v>44302</v>
      </c>
      <c r="D1382" t="s">
        <v>71</v>
      </c>
      <c r="E1382">
        <v>0</v>
      </c>
      <c r="F1382">
        <v>38</v>
      </c>
      <c r="G1382" t="str">
        <f t="shared" si="29"/>
        <v>21-40</v>
      </c>
      <c r="H1382" t="s">
        <v>35</v>
      </c>
      <c r="I1382" t="s">
        <v>64</v>
      </c>
      <c r="J1382" t="s">
        <v>65</v>
      </c>
      <c r="K1382" t="s">
        <v>26</v>
      </c>
      <c r="L1382">
        <v>1</v>
      </c>
      <c r="M1382">
        <v>1</v>
      </c>
      <c r="N1382">
        <v>1.4</v>
      </c>
      <c r="O1382">
        <v>8.9</v>
      </c>
      <c r="P1382">
        <v>7</v>
      </c>
      <c r="Q1382">
        <v>7</v>
      </c>
      <c r="R1382">
        <v>587003</v>
      </c>
      <c r="S1382">
        <f>Table1[[#This Row],[Revenue]]-Table1[[#This Row],[Operating_Costs]]</f>
        <v>218521</v>
      </c>
      <c r="T1382">
        <v>368482</v>
      </c>
      <c r="U1382">
        <v>16</v>
      </c>
      <c r="V1382">
        <v>66</v>
      </c>
      <c r="W1382">
        <v>9.9</v>
      </c>
    </row>
    <row r="1383" spans="1:23" x14ac:dyDescent="0.25">
      <c r="A1383">
        <v>3</v>
      </c>
      <c r="B1383" t="s">
        <v>57</v>
      </c>
      <c r="C1383" s="1">
        <v>45256</v>
      </c>
      <c r="D1383" t="s">
        <v>71</v>
      </c>
      <c r="E1383">
        <v>0</v>
      </c>
      <c r="F1383">
        <v>50</v>
      </c>
      <c r="G1383" t="str">
        <f t="shared" si="29"/>
        <v>41-60</v>
      </c>
      <c r="H1383" t="s">
        <v>35</v>
      </c>
      <c r="I1383" t="s">
        <v>46</v>
      </c>
      <c r="J1383" t="s">
        <v>47</v>
      </c>
      <c r="K1383" t="s">
        <v>26</v>
      </c>
      <c r="L1383">
        <v>1</v>
      </c>
      <c r="M1383">
        <v>1</v>
      </c>
      <c r="N1383">
        <v>1.8</v>
      </c>
      <c r="O1383">
        <v>9</v>
      </c>
      <c r="P1383">
        <v>6</v>
      </c>
      <c r="Q1383">
        <v>4</v>
      </c>
      <c r="R1383">
        <v>560137</v>
      </c>
      <c r="S1383">
        <f>Table1[[#This Row],[Revenue]]-Table1[[#This Row],[Operating_Costs]]</f>
        <v>193401</v>
      </c>
      <c r="T1383">
        <v>366736</v>
      </c>
      <c r="U1383">
        <v>21</v>
      </c>
      <c r="V1383">
        <v>57</v>
      </c>
      <c r="W1383">
        <v>13.9</v>
      </c>
    </row>
    <row r="1384" spans="1:23" x14ac:dyDescent="0.25">
      <c r="A1384">
        <v>3</v>
      </c>
      <c r="B1384" t="s">
        <v>57</v>
      </c>
      <c r="C1384" s="1">
        <v>45343</v>
      </c>
      <c r="D1384" t="s">
        <v>71</v>
      </c>
      <c r="E1384">
        <v>0</v>
      </c>
      <c r="F1384">
        <v>30</v>
      </c>
      <c r="G1384" t="str">
        <f t="shared" si="29"/>
        <v>21-40</v>
      </c>
      <c r="H1384" t="s">
        <v>35</v>
      </c>
      <c r="I1384" t="s">
        <v>27</v>
      </c>
      <c r="J1384" t="s">
        <v>28</v>
      </c>
      <c r="K1384" t="s">
        <v>42</v>
      </c>
      <c r="L1384">
        <v>1</v>
      </c>
      <c r="M1384">
        <v>1</v>
      </c>
      <c r="N1384">
        <v>6.2</v>
      </c>
      <c r="O1384">
        <v>9</v>
      </c>
      <c r="P1384">
        <v>4</v>
      </c>
      <c r="Q1384">
        <v>4</v>
      </c>
      <c r="R1384">
        <v>569234</v>
      </c>
      <c r="S1384">
        <f>Table1[[#This Row],[Revenue]]-Table1[[#This Row],[Operating_Costs]]</f>
        <v>179980</v>
      </c>
      <c r="T1384">
        <v>389254</v>
      </c>
      <c r="U1384">
        <v>25</v>
      </c>
      <c r="V1384">
        <v>64</v>
      </c>
      <c r="W1384">
        <v>13.1</v>
      </c>
    </row>
    <row r="1385" spans="1:23" x14ac:dyDescent="0.25">
      <c r="A1385">
        <v>3</v>
      </c>
      <c r="B1385" t="s">
        <v>57</v>
      </c>
      <c r="C1385" s="1">
        <v>44252</v>
      </c>
      <c r="D1385" t="s">
        <v>71</v>
      </c>
      <c r="E1385">
        <v>0</v>
      </c>
      <c r="F1385">
        <v>53</v>
      </c>
      <c r="G1385" t="str">
        <f t="shared" si="29"/>
        <v>41-60</v>
      </c>
      <c r="H1385" t="s">
        <v>23</v>
      </c>
      <c r="I1385" t="s">
        <v>58</v>
      </c>
      <c r="J1385" t="s">
        <v>59</v>
      </c>
      <c r="K1385" t="s">
        <v>33</v>
      </c>
      <c r="L1385">
        <v>1</v>
      </c>
      <c r="M1385">
        <v>1</v>
      </c>
      <c r="N1385">
        <v>1.1000000000000001</v>
      </c>
      <c r="O1385">
        <v>9.9</v>
      </c>
      <c r="P1385">
        <v>4</v>
      </c>
      <c r="Q1385">
        <v>7</v>
      </c>
      <c r="R1385">
        <v>540861</v>
      </c>
      <c r="S1385">
        <f>Table1[[#This Row],[Revenue]]-Table1[[#This Row],[Operating_Costs]]</f>
        <v>218518</v>
      </c>
      <c r="T1385">
        <v>322343</v>
      </c>
      <c r="U1385">
        <v>23</v>
      </c>
      <c r="V1385">
        <v>60</v>
      </c>
      <c r="W1385">
        <v>5.5</v>
      </c>
    </row>
    <row r="1386" spans="1:23" x14ac:dyDescent="0.25">
      <c r="A1386">
        <v>3</v>
      </c>
      <c r="B1386" t="s">
        <v>57</v>
      </c>
      <c r="C1386" s="1">
        <v>44515</v>
      </c>
      <c r="D1386" t="s">
        <v>71</v>
      </c>
      <c r="E1386">
        <v>0</v>
      </c>
      <c r="F1386">
        <v>25</v>
      </c>
      <c r="G1386" t="str">
        <f t="shared" si="29"/>
        <v>21-40</v>
      </c>
      <c r="H1386" t="s">
        <v>23</v>
      </c>
      <c r="I1386" t="s">
        <v>24</v>
      </c>
      <c r="J1386" t="s">
        <v>25</v>
      </c>
      <c r="K1386" t="s">
        <v>29</v>
      </c>
      <c r="L1386">
        <v>1</v>
      </c>
      <c r="M1386">
        <v>1</v>
      </c>
      <c r="N1386">
        <v>1</v>
      </c>
      <c r="O1386">
        <v>7</v>
      </c>
      <c r="P1386">
        <v>5</v>
      </c>
      <c r="Q1386">
        <v>6</v>
      </c>
      <c r="R1386">
        <v>512301</v>
      </c>
      <c r="S1386">
        <f>Table1[[#This Row],[Revenue]]-Table1[[#This Row],[Operating_Costs]]</f>
        <v>176597</v>
      </c>
      <c r="T1386">
        <v>335704</v>
      </c>
      <c r="U1386">
        <v>21</v>
      </c>
      <c r="V1386">
        <v>63</v>
      </c>
      <c r="W1386">
        <v>12.1</v>
      </c>
    </row>
    <row r="1387" spans="1:23" x14ac:dyDescent="0.25">
      <c r="A1387">
        <v>3</v>
      </c>
      <c r="B1387" t="s">
        <v>57</v>
      </c>
      <c r="C1387" s="1">
        <v>44852</v>
      </c>
      <c r="D1387" t="s">
        <v>71</v>
      </c>
      <c r="E1387">
        <v>0</v>
      </c>
      <c r="F1387">
        <v>84</v>
      </c>
      <c r="G1387" t="str">
        <f t="shared" si="29"/>
        <v>81+</v>
      </c>
      <c r="H1387" t="s">
        <v>35</v>
      </c>
      <c r="I1387" t="s">
        <v>27</v>
      </c>
      <c r="J1387" t="s">
        <v>28</v>
      </c>
      <c r="K1387" t="s">
        <v>26</v>
      </c>
      <c r="L1387">
        <v>1</v>
      </c>
      <c r="M1387">
        <v>1</v>
      </c>
      <c r="N1387">
        <v>5.2</v>
      </c>
      <c r="O1387">
        <v>9.6999999999999993</v>
      </c>
      <c r="P1387">
        <v>7</v>
      </c>
      <c r="Q1387">
        <v>4</v>
      </c>
      <c r="R1387">
        <v>523584</v>
      </c>
      <c r="S1387">
        <f>Table1[[#This Row],[Revenue]]-Table1[[#This Row],[Operating_Costs]]</f>
        <v>203531</v>
      </c>
      <c r="T1387">
        <v>320053</v>
      </c>
      <c r="U1387">
        <v>24</v>
      </c>
      <c r="V1387">
        <v>65</v>
      </c>
      <c r="W1387">
        <v>12.1</v>
      </c>
    </row>
    <row r="1388" spans="1:23" x14ac:dyDescent="0.25">
      <c r="A1388">
        <v>3</v>
      </c>
      <c r="B1388" t="s">
        <v>57</v>
      </c>
      <c r="C1388" s="1">
        <v>45551</v>
      </c>
      <c r="D1388" t="s">
        <v>71</v>
      </c>
      <c r="E1388">
        <v>0</v>
      </c>
      <c r="F1388">
        <v>47</v>
      </c>
      <c r="G1388" t="str">
        <f t="shared" si="29"/>
        <v>41-60</v>
      </c>
      <c r="H1388" t="s">
        <v>35</v>
      </c>
      <c r="I1388" t="s">
        <v>46</v>
      </c>
      <c r="J1388" t="s">
        <v>47</v>
      </c>
      <c r="K1388" t="s">
        <v>42</v>
      </c>
      <c r="L1388">
        <v>1</v>
      </c>
      <c r="M1388">
        <v>1</v>
      </c>
      <c r="N1388">
        <v>5.5</v>
      </c>
      <c r="O1388">
        <v>9</v>
      </c>
      <c r="P1388">
        <v>5</v>
      </c>
      <c r="Q1388">
        <v>7</v>
      </c>
      <c r="R1388">
        <v>564408</v>
      </c>
      <c r="S1388">
        <f>Table1[[#This Row],[Revenue]]-Table1[[#This Row],[Operating_Costs]]</f>
        <v>208973</v>
      </c>
      <c r="T1388">
        <v>355435</v>
      </c>
      <c r="U1388">
        <v>15</v>
      </c>
      <c r="V1388">
        <v>64</v>
      </c>
      <c r="W1388">
        <v>14.4</v>
      </c>
    </row>
    <row r="1389" spans="1:23" x14ac:dyDescent="0.25">
      <c r="A1389">
        <v>3</v>
      </c>
      <c r="B1389" t="s">
        <v>57</v>
      </c>
      <c r="C1389" s="1">
        <v>45154</v>
      </c>
      <c r="D1389" t="s">
        <v>71</v>
      </c>
      <c r="E1389">
        <v>0</v>
      </c>
      <c r="F1389">
        <v>85</v>
      </c>
      <c r="G1389" t="str">
        <f t="shared" si="29"/>
        <v>81+</v>
      </c>
      <c r="H1389" t="s">
        <v>35</v>
      </c>
      <c r="I1389" t="s">
        <v>64</v>
      </c>
      <c r="J1389" t="s">
        <v>65</v>
      </c>
      <c r="K1389" t="s">
        <v>33</v>
      </c>
      <c r="L1389">
        <v>1</v>
      </c>
      <c r="M1389">
        <v>1</v>
      </c>
      <c r="N1389">
        <v>1.3</v>
      </c>
      <c r="O1389">
        <v>7.4</v>
      </c>
      <c r="P1389">
        <v>4</v>
      </c>
      <c r="Q1389">
        <v>4</v>
      </c>
      <c r="R1389">
        <v>519749</v>
      </c>
      <c r="S1389">
        <f>Table1[[#This Row],[Revenue]]-Table1[[#This Row],[Operating_Costs]]</f>
        <v>146483</v>
      </c>
      <c r="T1389">
        <v>373266</v>
      </c>
      <c r="U1389">
        <v>22</v>
      </c>
      <c r="V1389">
        <v>58</v>
      </c>
      <c r="W1389">
        <v>10.1</v>
      </c>
    </row>
    <row r="1390" spans="1:23" x14ac:dyDescent="0.25">
      <c r="A1390">
        <v>3</v>
      </c>
      <c r="B1390" t="s">
        <v>57</v>
      </c>
      <c r="C1390" s="1">
        <v>45469</v>
      </c>
      <c r="D1390" t="s">
        <v>71</v>
      </c>
      <c r="E1390">
        <v>0</v>
      </c>
      <c r="F1390">
        <v>50</v>
      </c>
      <c r="G1390" t="str">
        <f t="shared" si="29"/>
        <v>41-60</v>
      </c>
      <c r="H1390" t="s">
        <v>35</v>
      </c>
      <c r="I1390" t="s">
        <v>50</v>
      </c>
      <c r="J1390" t="s">
        <v>51</v>
      </c>
      <c r="K1390" t="s">
        <v>33</v>
      </c>
      <c r="L1390">
        <v>1</v>
      </c>
      <c r="M1390">
        <v>1</v>
      </c>
      <c r="N1390">
        <v>3.7</v>
      </c>
      <c r="O1390">
        <v>8.9</v>
      </c>
      <c r="P1390">
        <v>6</v>
      </c>
      <c r="Q1390">
        <v>4</v>
      </c>
      <c r="R1390">
        <v>545627</v>
      </c>
      <c r="S1390">
        <f>Table1[[#This Row],[Revenue]]-Table1[[#This Row],[Operating_Costs]]</f>
        <v>210646</v>
      </c>
      <c r="T1390">
        <v>334981</v>
      </c>
      <c r="U1390">
        <v>20</v>
      </c>
      <c r="V1390">
        <v>54</v>
      </c>
      <c r="W1390">
        <v>13</v>
      </c>
    </row>
    <row r="1391" spans="1:23" x14ac:dyDescent="0.25">
      <c r="A1391">
        <v>3</v>
      </c>
      <c r="B1391" t="s">
        <v>57</v>
      </c>
      <c r="C1391" s="1">
        <v>44911</v>
      </c>
      <c r="D1391" t="s">
        <v>71</v>
      </c>
      <c r="E1391">
        <v>0</v>
      </c>
      <c r="F1391">
        <v>62</v>
      </c>
      <c r="G1391" t="str">
        <f t="shared" si="29"/>
        <v>61-80</v>
      </c>
      <c r="H1391" t="s">
        <v>23</v>
      </c>
      <c r="I1391" t="s">
        <v>64</v>
      </c>
      <c r="J1391" t="s">
        <v>65</v>
      </c>
      <c r="K1391" t="s">
        <v>38</v>
      </c>
      <c r="L1391">
        <v>1</v>
      </c>
      <c r="M1391">
        <v>1</v>
      </c>
      <c r="N1391">
        <v>1.7</v>
      </c>
      <c r="O1391">
        <v>9.4</v>
      </c>
      <c r="P1391">
        <v>5</v>
      </c>
      <c r="Q1391">
        <v>7</v>
      </c>
      <c r="R1391">
        <v>515700</v>
      </c>
      <c r="S1391">
        <f>Table1[[#This Row],[Revenue]]-Table1[[#This Row],[Operating_Costs]]</f>
        <v>118276</v>
      </c>
      <c r="T1391">
        <v>397424</v>
      </c>
      <c r="U1391">
        <v>15</v>
      </c>
      <c r="V1391">
        <v>55</v>
      </c>
      <c r="W1391">
        <v>14.4</v>
      </c>
    </row>
    <row r="1392" spans="1:23" x14ac:dyDescent="0.25">
      <c r="A1392">
        <v>3</v>
      </c>
      <c r="B1392" t="s">
        <v>57</v>
      </c>
      <c r="C1392" s="1">
        <v>44312</v>
      </c>
      <c r="D1392" t="s">
        <v>71</v>
      </c>
      <c r="E1392">
        <v>0</v>
      </c>
      <c r="F1392">
        <v>39</v>
      </c>
      <c r="G1392" t="str">
        <f t="shared" si="29"/>
        <v>21-40</v>
      </c>
      <c r="H1392" t="s">
        <v>23</v>
      </c>
      <c r="I1392" t="s">
        <v>58</v>
      </c>
      <c r="J1392" t="s">
        <v>59</v>
      </c>
      <c r="K1392" t="s">
        <v>29</v>
      </c>
      <c r="L1392">
        <v>1</v>
      </c>
      <c r="M1392">
        <v>1</v>
      </c>
      <c r="N1392">
        <v>1.3</v>
      </c>
      <c r="O1392">
        <v>7.3</v>
      </c>
      <c r="P1392">
        <v>5</v>
      </c>
      <c r="Q1392">
        <v>3</v>
      </c>
      <c r="R1392">
        <v>539995</v>
      </c>
      <c r="S1392">
        <f>Table1[[#This Row],[Revenue]]-Table1[[#This Row],[Operating_Costs]]</f>
        <v>238183</v>
      </c>
      <c r="T1392">
        <v>301812</v>
      </c>
      <c r="U1392">
        <v>24</v>
      </c>
      <c r="V1392">
        <v>55</v>
      </c>
      <c r="W1392">
        <v>6.7</v>
      </c>
    </row>
    <row r="1393" spans="1:23" x14ac:dyDescent="0.25">
      <c r="A1393">
        <v>3</v>
      </c>
      <c r="B1393" t="s">
        <v>57</v>
      </c>
      <c r="C1393" s="1">
        <v>44610</v>
      </c>
      <c r="D1393" t="s">
        <v>71</v>
      </c>
      <c r="E1393">
        <v>0</v>
      </c>
      <c r="F1393">
        <v>85</v>
      </c>
      <c r="G1393" t="str">
        <f t="shared" si="29"/>
        <v>81+</v>
      </c>
      <c r="H1393" t="s">
        <v>23</v>
      </c>
      <c r="I1393" t="s">
        <v>24</v>
      </c>
      <c r="J1393" t="s">
        <v>25</v>
      </c>
      <c r="K1393" t="s">
        <v>38</v>
      </c>
      <c r="L1393">
        <v>1</v>
      </c>
      <c r="M1393">
        <v>1</v>
      </c>
      <c r="N1393">
        <v>3.1</v>
      </c>
      <c r="O1393">
        <v>8.1999999999999993</v>
      </c>
      <c r="P1393">
        <v>3</v>
      </c>
      <c r="Q1393">
        <v>6</v>
      </c>
      <c r="R1393">
        <v>570149</v>
      </c>
      <c r="S1393">
        <f>Table1[[#This Row],[Revenue]]-Table1[[#This Row],[Operating_Costs]]</f>
        <v>237542</v>
      </c>
      <c r="T1393">
        <v>332607</v>
      </c>
      <c r="U1393">
        <v>23</v>
      </c>
      <c r="V1393">
        <v>66</v>
      </c>
      <c r="W1393">
        <v>14.7</v>
      </c>
    </row>
    <row r="1394" spans="1:23" x14ac:dyDescent="0.25">
      <c r="A1394">
        <v>3</v>
      </c>
      <c r="B1394" t="s">
        <v>57</v>
      </c>
      <c r="C1394" s="1">
        <v>44316</v>
      </c>
      <c r="D1394" t="s">
        <v>71</v>
      </c>
      <c r="E1394">
        <v>0</v>
      </c>
      <c r="F1394">
        <v>41</v>
      </c>
      <c r="G1394" t="str">
        <f t="shared" si="29"/>
        <v>41-60</v>
      </c>
      <c r="H1394" t="s">
        <v>35</v>
      </c>
      <c r="I1394" t="s">
        <v>53</v>
      </c>
      <c r="J1394" t="s">
        <v>54</v>
      </c>
      <c r="K1394" t="s">
        <v>29</v>
      </c>
      <c r="L1394">
        <v>1</v>
      </c>
      <c r="M1394">
        <v>1</v>
      </c>
      <c r="N1394">
        <v>2.8</v>
      </c>
      <c r="O1394">
        <v>7.6</v>
      </c>
      <c r="P1394">
        <v>4</v>
      </c>
      <c r="Q1394">
        <v>3</v>
      </c>
      <c r="R1394">
        <v>541529</v>
      </c>
      <c r="S1394">
        <f>Table1[[#This Row],[Revenue]]-Table1[[#This Row],[Operating_Costs]]</f>
        <v>185463</v>
      </c>
      <c r="T1394">
        <v>356066</v>
      </c>
      <c r="U1394">
        <v>23</v>
      </c>
      <c r="V1394">
        <v>58</v>
      </c>
      <c r="W1394">
        <v>13.4</v>
      </c>
    </row>
    <row r="1395" spans="1:23" x14ac:dyDescent="0.25">
      <c r="A1395">
        <v>3</v>
      </c>
      <c r="B1395" t="s">
        <v>57</v>
      </c>
      <c r="C1395" s="1">
        <v>45486</v>
      </c>
      <c r="D1395" t="s">
        <v>71</v>
      </c>
      <c r="E1395">
        <v>0</v>
      </c>
      <c r="F1395">
        <v>31</v>
      </c>
      <c r="G1395" t="str">
        <f t="shared" si="29"/>
        <v>21-40</v>
      </c>
      <c r="H1395" t="s">
        <v>35</v>
      </c>
      <c r="I1395" t="s">
        <v>31</v>
      </c>
      <c r="J1395" t="s">
        <v>28</v>
      </c>
      <c r="K1395" t="s">
        <v>33</v>
      </c>
      <c r="L1395">
        <v>1</v>
      </c>
      <c r="M1395">
        <v>1</v>
      </c>
      <c r="N1395">
        <v>6.3</v>
      </c>
      <c r="O1395">
        <v>8.3000000000000007</v>
      </c>
      <c r="P1395">
        <v>6</v>
      </c>
      <c r="Q1395">
        <v>6</v>
      </c>
      <c r="R1395">
        <v>548717</v>
      </c>
      <c r="S1395">
        <f>Table1[[#This Row],[Revenue]]-Table1[[#This Row],[Operating_Costs]]</f>
        <v>244929</v>
      </c>
      <c r="T1395">
        <v>303788</v>
      </c>
      <c r="U1395">
        <v>16</v>
      </c>
      <c r="V1395">
        <v>62</v>
      </c>
      <c r="W1395">
        <v>9.4</v>
      </c>
    </row>
    <row r="1396" spans="1:23" x14ac:dyDescent="0.25">
      <c r="A1396">
        <v>3</v>
      </c>
      <c r="B1396" t="s">
        <v>57</v>
      </c>
      <c r="C1396" s="1">
        <v>44505</v>
      </c>
      <c r="D1396" t="s">
        <v>71</v>
      </c>
      <c r="E1396">
        <v>0</v>
      </c>
      <c r="F1396">
        <v>28</v>
      </c>
      <c r="G1396" t="str">
        <f t="shared" si="29"/>
        <v>21-40</v>
      </c>
      <c r="H1396" t="s">
        <v>35</v>
      </c>
      <c r="I1396" t="s">
        <v>36</v>
      </c>
      <c r="J1396" t="s">
        <v>37</v>
      </c>
      <c r="K1396" t="s">
        <v>26</v>
      </c>
      <c r="L1396">
        <v>1</v>
      </c>
      <c r="M1396">
        <v>1</v>
      </c>
      <c r="N1396">
        <v>3.3</v>
      </c>
      <c r="O1396">
        <v>9.4</v>
      </c>
      <c r="P1396">
        <v>5</v>
      </c>
      <c r="Q1396">
        <v>5</v>
      </c>
      <c r="R1396">
        <v>523930</v>
      </c>
      <c r="S1396">
        <f>Table1[[#This Row],[Revenue]]-Table1[[#This Row],[Operating_Costs]]</f>
        <v>214907</v>
      </c>
      <c r="T1396">
        <v>309023</v>
      </c>
      <c r="U1396">
        <v>25</v>
      </c>
      <c r="V1396">
        <v>57</v>
      </c>
      <c r="W1396">
        <v>5.4</v>
      </c>
    </row>
    <row r="1397" spans="1:23" x14ac:dyDescent="0.25">
      <c r="A1397">
        <v>3</v>
      </c>
      <c r="B1397" t="s">
        <v>57</v>
      </c>
      <c r="C1397" s="1">
        <v>45156</v>
      </c>
      <c r="D1397" t="s">
        <v>71</v>
      </c>
      <c r="E1397">
        <v>0</v>
      </c>
      <c r="F1397">
        <v>60</v>
      </c>
      <c r="G1397" t="str">
        <f t="shared" si="29"/>
        <v>41-60</v>
      </c>
      <c r="H1397" t="s">
        <v>35</v>
      </c>
      <c r="I1397" t="s">
        <v>61</v>
      </c>
      <c r="J1397" t="s">
        <v>62</v>
      </c>
      <c r="K1397" t="s">
        <v>33</v>
      </c>
      <c r="L1397">
        <v>1</v>
      </c>
      <c r="M1397">
        <v>1</v>
      </c>
      <c r="N1397">
        <v>4.7</v>
      </c>
      <c r="O1397">
        <v>9.6</v>
      </c>
      <c r="P1397">
        <v>6</v>
      </c>
      <c r="Q1397">
        <v>7</v>
      </c>
      <c r="R1397">
        <v>514549</v>
      </c>
      <c r="S1397">
        <f>Table1[[#This Row],[Revenue]]-Table1[[#This Row],[Operating_Costs]]</f>
        <v>178001</v>
      </c>
      <c r="T1397">
        <v>336548</v>
      </c>
      <c r="U1397">
        <v>25</v>
      </c>
      <c r="V1397">
        <v>59</v>
      </c>
      <c r="W1397">
        <v>9</v>
      </c>
    </row>
    <row r="1398" spans="1:23" x14ac:dyDescent="0.25">
      <c r="A1398">
        <v>3</v>
      </c>
      <c r="B1398" t="s">
        <v>57</v>
      </c>
      <c r="C1398" s="1">
        <v>45290</v>
      </c>
      <c r="D1398" t="s">
        <v>71</v>
      </c>
      <c r="E1398">
        <v>0</v>
      </c>
      <c r="F1398">
        <v>66</v>
      </c>
      <c r="G1398" t="str">
        <f t="shared" si="29"/>
        <v>61-80</v>
      </c>
      <c r="H1398" t="s">
        <v>35</v>
      </c>
      <c r="I1398" t="s">
        <v>53</v>
      </c>
      <c r="J1398" t="s">
        <v>54</v>
      </c>
      <c r="K1398" t="s">
        <v>33</v>
      </c>
      <c r="L1398">
        <v>1</v>
      </c>
      <c r="M1398">
        <v>1</v>
      </c>
      <c r="N1398">
        <v>4.5</v>
      </c>
      <c r="O1398">
        <v>8.8000000000000007</v>
      </c>
      <c r="P1398">
        <v>4</v>
      </c>
      <c r="Q1398">
        <v>7</v>
      </c>
      <c r="R1398">
        <v>521020</v>
      </c>
      <c r="S1398">
        <f>Table1[[#This Row],[Revenue]]-Table1[[#This Row],[Operating_Costs]]</f>
        <v>215950</v>
      </c>
      <c r="T1398">
        <v>305070</v>
      </c>
      <c r="U1398">
        <v>22</v>
      </c>
      <c r="V1398">
        <v>59</v>
      </c>
      <c r="W1398">
        <v>5.5</v>
      </c>
    </row>
    <row r="1399" spans="1:23" x14ac:dyDescent="0.25">
      <c r="A1399">
        <v>3</v>
      </c>
      <c r="B1399" t="s">
        <v>57</v>
      </c>
      <c r="C1399" s="1">
        <v>44576</v>
      </c>
      <c r="D1399" t="s">
        <v>71</v>
      </c>
      <c r="E1399">
        <v>0</v>
      </c>
      <c r="F1399">
        <v>57</v>
      </c>
      <c r="G1399" t="str">
        <f t="shared" si="29"/>
        <v>41-60</v>
      </c>
      <c r="H1399" t="s">
        <v>23</v>
      </c>
      <c r="I1399" t="s">
        <v>31</v>
      </c>
      <c r="J1399" t="s">
        <v>28</v>
      </c>
      <c r="K1399" t="s">
        <v>42</v>
      </c>
      <c r="L1399">
        <v>1</v>
      </c>
      <c r="M1399">
        <v>1</v>
      </c>
      <c r="N1399">
        <v>3.7</v>
      </c>
      <c r="O1399">
        <v>7.8</v>
      </c>
      <c r="P1399">
        <v>7</v>
      </c>
      <c r="Q1399">
        <v>3</v>
      </c>
      <c r="R1399">
        <v>574695</v>
      </c>
      <c r="S1399">
        <f>Table1[[#This Row],[Revenue]]-Table1[[#This Row],[Operating_Costs]]</f>
        <v>181694</v>
      </c>
      <c r="T1399">
        <v>393001</v>
      </c>
      <c r="U1399">
        <v>17</v>
      </c>
      <c r="V1399">
        <v>63</v>
      </c>
      <c r="W1399">
        <v>13.2</v>
      </c>
    </row>
    <row r="1400" spans="1:23" x14ac:dyDescent="0.25">
      <c r="A1400">
        <v>3</v>
      </c>
      <c r="B1400" t="s">
        <v>57</v>
      </c>
      <c r="C1400" s="1">
        <v>44286</v>
      </c>
      <c r="D1400" t="s">
        <v>71</v>
      </c>
      <c r="E1400">
        <v>0</v>
      </c>
      <c r="F1400">
        <v>80</v>
      </c>
      <c r="G1400" t="str">
        <f t="shared" si="29"/>
        <v>61-80</v>
      </c>
      <c r="H1400" t="s">
        <v>35</v>
      </c>
      <c r="I1400" t="s">
        <v>64</v>
      </c>
      <c r="J1400" t="s">
        <v>65</v>
      </c>
      <c r="K1400" t="s">
        <v>38</v>
      </c>
      <c r="L1400">
        <v>1</v>
      </c>
      <c r="M1400">
        <v>1</v>
      </c>
      <c r="N1400">
        <v>2.6</v>
      </c>
      <c r="O1400">
        <v>8.4</v>
      </c>
      <c r="P1400">
        <v>5</v>
      </c>
      <c r="Q1400">
        <v>4</v>
      </c>
      <c r="R1400">
        <v>547133</v>
      </c>
      <c r="S1400">
        <f>Table1[[#This Row],[Revenue]]-Table1[[#This Row],[Operating_Costs]]</f>
        <v>212359</v>
      </c>
      <c r="T1400">
        <v>334774</v>
      </c>
      <c r="U1400">
        <v>15</v>
      </c>
      <c r="V1400">
        <v>59</v>
      </c>
      <c r="W1400">
        <v>12.9</v>
      </c>
    </row>
    <row r="1401" spans="1:23" x14ac:dyDescent="0.25">
      <c r="A1401">
        <v>3</v>
      </c>
      <c r="B1401" t="s">
        <v>57</v>
      </c>
      <c r="C1401" s="1">
        <v>44676</v>
      </c>
      <c r="D1401" t="s">
        <v>71</v>
      </c>
      <c r="E1401">
        <v>0</v>
      </c>
      <c r="F1401">
        <v>58</v>
      </c>
      <c r="G1401" t="str">
        <f t="shared" si="29"/>
        <v>41-60</v>
      </c>
      <c r="H1401" t="s">
        <v>35</v>
      </c>
      <c r="I1401" t="s">
        <v>36</v>
      </c>
      <c r="J1401" t="s">
        <v>37</v>
      </c>
      <c r="K1401" t="s">
        <v>42</v>
      </c>
      <c r="L1401">
        <v>1</v>
      </c>
      <c r="M1401">
        <v>1</v>
      </c>
      <c r="N1401">
        <v>3.7</v>
      </c>
      <c r="O1401">
        <v>7.6</v>
      </c>
      <c r="P1401">
        <v>4</v>
      </c>
      <c r="Q1401">
        <v>4</v>
      </c>
      <c r="R1401">
        <v>563586</v>
      </c>
      <c r="S1401">
        <f>Table1[[#This Row],[Revenue]]-Table1[[#This Row],[Operating_Costs]]</f>
        <v>220914</v>
      </c>
      <c r="T1401">
        <v>342672</v>
      </c>
      <c r="U1401">
        <v>25</v>
      </c>
      <c r="V1401">
        <v>56</v>
      </c>
      <c r="W1401">
        <v>36.299999999999997</v>
      </c>
    </row>
    <row r="1402" spans="1:23" x14ac:dyDescent="0.25">
      <c r="A1402">
        <v>3</v>
      </c>
      <c r="B1402" t="s">
        <v>57</v>
      </c>
      <c r="C1402" s="1">
        <v>44485</v>
      </c>
      <c r="D1402" t="s">
        <v>71</v>
      </c>
      <c r="E1402">
        <v>0</v>
      </c>
      <c r="F1402">
        <v>49</v>
      </c>
      <c r="G1402" t="str">
        <f t="shared" si="29"/>
        <v>41-60</v>
      </c>
      <c r="H1402" t="s">
        <v>35</v>
      </c>
      <c r="I1402" t="s">
        <v>60</v>
      </c>
      <c r="J1402" t="s">
        <v>59</v>
      </c>
      <c r="K1402" t="s">
        <v>26</v>
      </c>
      <c r="L1402">
        <v>1</v>
      </c>
      <c r="M1402">
        <v>1</v>
      </c>
      <c r="N1402">
        <v>5.7</v>
      </c>
      <c r="O1402">
        <v>7.2</v>
      </c>
      <c r="P1402">
        <v>6</v>
      </c>
      <c r="Q1402">
        <v>3</v>
      </c>
      <c r="R1402">
        <v>566636</v>
      </c>
      <c r="S1402">
        <f>Table1[[#This Row],[Revenue]]-Table1[[#This Row],[Operating_Costs]]</f>
        <v>233446</v>
      </c>
      <c r="T1402">
        <v>333190</v>
      </c>
      <c r="U1402">
        <v>15</v>
      </c>
      <c r="V1402">
        <v>61</v>
      </c>
      <c r="W1402">
        <v>9.1</v>
      </c>
    </row>
    <row r="1403" spans="1:23" x14ac:dyDescent="0.25">
      <c r="A1403">
        <v>4</v>
      </c>
      <c r="B1403" t="s">
        <v>69</v>
      </c>
      <c r="C1403" s="1">
        <v>44740</v>
      </c>
      <c r="D1403" t="s">
        <v>71</v>
      </c>
      <c r="E1403">
        <v>0</v>
      </c>
      <c r="F1403">
        <v>67</v>
      </c>
      <c r="G1403" t="str">
        <f t="shared" si="29"/>
        <v>61-80</v>
      </c>
      <c r="H1403" t="s">
        <v>23</v>
      </c>
      <c r="I1403" t="s">
        <v>24</v>
      </c>
      <c r="J1403" t="s">
        <v>25</v>
      </c>
      <c r="K1403" t="s">
        <v>33</v>
      </c>
      <c r="L1403">
        <v>1</v>
      </c>
      <c r="M1403">
        <v>1</v>
      </c>
      <c r="N1403">
        <v>3</v>
      </c>
      <c r="O1403">
        <v>8.4</v>
      </c>
      <c r="P1403">
        <v>7</v>
      </c>
      <c r="Q1403">
        <v>3</v>
      </c>
      <c r="R1403">
        <v>852244</v>
      </c>
      <c r="S1403">
        <f>Table1[[#This Row],[Revenue]]-Table1[[#This Row],[Operating_Costs]]</f>
        <v>246669</v>
      </c>
      <c r="T1403">
        <v>605575</v>
      </c>
      <c r="U1403">
        <v>43</v>
      </c>
      <c r="V1403">
        <v>54</v>
      </c>
      <c r="W1403">
        <v>6</v>
      </c>
    </row>
    <row r="1404" spans="1:23" x14ac:dyDescent="0.25">
      <c r="A1404">
        <v>3</v>
      </c>
      <c r="B1404" t="s">
        <v>57</v>
      </c>
      <c r="C1404" s="1">
        <v>44208</v>
      </c>
      <c r="D1404" t="s">
        <v>71</v>
      </c>
      <c r="E1404">
        <v>0</v>
      </c>
      <c r="F1404">
        <v>38</v>
      </c>
      <c r="G1404" t="str">
        <f t="shared" si="29"/>
        <v>21-40</v>
      </c>
      <c r="H1404" t="s">
        <v>23</v>
      </c>
      <c r="I1404" t="s">
        <v>31</v>
      </c>
      <c r="J1404" t="s">
        <v>28</v>
      </c>
      <c r="K1404" t="s">
        <v>29</v>
      </c>
      <c r="L1404">
        <v>1</v>
      </c>
      <c r="M1404">
        <v>1</v>
      </c>
      <c r="N1404">
        <v>3.3</v>
      </c>
      <c r="O1404">
        <v>8.1</v>
      </c>
      <c r="P1404">
        <v>5</v>
      </c>
      <c r="Q1404">
        <v>6</v>
      </c>
      <c r="R1404">
        <v>587109</v>
      </c>
      <c r="S1404">
        <f>Table1[[#This Row],[Revenue]]-Table1[[#This Row],[Operating_Costs]]</f>
        <v>279521</v>
      </c>
      <c r="T1404">
        <v>307588</v>
      </c>
      <c r="U1404">
        <v>25</v>
      </c>
      <c r="V1404">
        <v>58</v>
      </c>
      <c r="W1404">
        <v>7.7</v>
      </c>
    </row>
    <row r="1405" spans="1:23" x14ac:dyDescent="0.25">
      <c r="A1405">
        <v>3</v>
      </c>
      <c r="B1405" t="s">
        <v>57</v>
      </c>
      <c r="C1405" s="1">
        <v>44707</v>
      </c>
      <c r="D1405" t="s">
        <v>71</v>
      </c>
      <c r="E1405">
        <v>0</v>
      </c>
      <c r="F1405">
        <v>34</v>
      </c>
      <c r="G1405" t="str">
        <f t="shared" si="29"/>
        <v>21-40</v>
      </c>
      <c r="H1405" t="s">
        <v>23</v>
      </c>
      <c r="I1405" t="s">
        <v>50</v>
      </c>
      <c r="J1405" t="s">
        <v>51</v>
      </c>
      <c r="K1405" t="s">
        <v>26</v>
      </c>
      <c r="L1405">
        <v>1</v>
      </c>
      <c r="M1405">
        <v>1</v>
      </c>
      <c r="N1405">
        <v>4.7</v>
      </c>
      <c r="O1405">
        <v>8.5</v>
      </c>
      <c r="P1405">
        <v>5</v>
      </c>
      <c r="Q1405">
        <v>3</v>
      </c>
      <c r="R1405">
        <v>569653</v>
      </c>
      <c r="S1405">
        <f>Table1[[#This Row],[Revenue]]-Table1[[#This Row],[Operating_Costs]]</f>
        <v>228072</v>
      </c>
      <c r="T1405">
        <v>341581</v>
      </c>
      <c r="U1405">
        <v>25</v>
      </c>
      <c r="V1405">
        <v>56</v>
      </c>
      <c r="W1405">
        <v>6.8</v>
      </c>
    </row>
    <row r="1406" spans="1:23" x14ac:dyDescent="0.25">
      <c r="A1406">
        <v>3</v>
      </c>
      <c r="B1406" t="s">
        <v>57</v>
      </c>
      <c r="C1406" s="1">
        <v>45540</v>
      </c>
      <c r="D1406" t="s">
        <v>71</v>
      </c>
      <c r="E1406">
        <v>0</v>
      </c>
      <c r="F1406">
        <v>41</v>
      </c>
      <c r="G1406" t="str">
        <f t="shared" si="29"/>
        <v>41-60</v>
      </c>
      <c r="H1406" t="s">
        <v>35</v>
      </c>
      <c r="I1406" t="s">
        <v>46</v>
      </c>
      <c r="J1406" t="s">
        <v>47</v>
      </c>
      <c r="K1406" t="s">
        <v>33</v>
      </c>
      <c r="L1406">
        <v>1</v>
      </c>
      <c r="M1406">
        <v>1</v>
      </c>
      <c r="N1406">
        <v>4.5</v>
      </c>
      <c r="O1406">
        <v>8.3000000000000007</v>
      </c>
      <c r="P1406">
        <v>7</v>
      </c>
      <c r="Q1406">
        <v>6</v>
      </c>
      <c r="R1406">
        <v>552316</v>
      </c>
      <c r="S1406">
        <f>Table1[[#This Row],[Revenue]]-Table1[[#This Row],[Operating_Costs]]</f>
        <v>161926</v>
      </c>
      <c r="T1406">
        <v>390390</v>
      </c>
      <c r="U1406">
        <v>19</v>
      </c>
      <c r="V1406">
        <v>62</v>
      </c>
      <c r="W1406">
        <v>7</v>
      </c>
    </row>
    <row r="1407" spans="1:23" x14ac:dyDescent="0.25">
      <c r="A1407">
        <v>4</v>
      </c>
      <c r="B1407" t="s">
        <v>69</v>
      </c>
      <c r="C1407" s="1">
        <v>44721</v>
      </c>
      <c r="D1407" t="s">
        <v>71</v>
      </c>
      <c r="E1407">
        <v>0</v>
      </c>
      <c r="F1407">
        <v>79</v>
      </c>
      <c r="G1407" t="str">
        <f t="shared" si="29"/>
        <v>61-80</v>
      </c>
      <c r="H1407" t="s">
        <v>23</v>
      </c>
      <c r="I1407" t="s">
        <v>24</v>
      </c>
      <c r="J1407" t="s">
        <v>25</v>
      </c>
      <c r="K1407" t="s">
        <v>29</v>
      </c>
      <c r="L1407">
        <v>1</v>
      </c>
      <c r="M1407">
        <v>1</v>
      </c>
      <c r="N1407">
        <v>5.6</v>
      </c>
      <c r="O1407">
        <v>7.9</v>
      </c>
      <c r="P1407">
        <v>5</v>
      </c>
      <c r="Q1407">
        <v>3</v>
      </c>
      <c r="R1407">
        <v>992097</v>
      </c>
      <c r="S1407">
        <f>Table1[[#This Row],[Revenue]]-Table1[[#This Row],[Operating_Costs]]</f>
        <v>328816</v>
      </c>
      <c r="T1407">
        <v>663281</v>
      </c>
      <c r="U1407">
        <v>31</v>
      </c>
      <c r="V1407">
        <v>55</v>
      </c>
      <c r="W1407">
        <v>14</v>
      </c>
    </row>
    <row r="1408" spans="1:23" x14ac:dyDescent="0.25">
      <c r="A1408">
        <v>3</v>
      </c>
      <c r="B1408" t="s">
        <v>57</v>
      </c>
      <c r="C1408" s="1">
        <v>45122</v>
      </c>
      <c r="D1408" t="s">
        <v>71</v>
      </c>
      <c r="E1408">
        <v>0</v>
      </c>
      <c r="F1408">
        <v>31</v>
      </c>
      <c r="G1408" t="str">
        <f t="shared" si="29"/>
        <v>21-40</v>
      </c>
      <c r="H1408" t="s">
        <v>35</v>
      </c>
      <c r="I1408" t="s">
        <v>60</v>
      </c>
      <c r="J1408" t="s">
        <v>59</v>
      </c>
      <c r="K1408" t="s">
        <v>26</v>
      </c>
      <c r="L1408">
        <v>1</v>
      </c>
      <c r="M1408">
        <v>1</v>
      </c>
      <c r="N1408">
        <v>3.1</v>
      </c>
      <c r="O1408">
        <v>7.7</v>
      </c>
      <c r="P1408">
        <v>3</v>
      </c>
      <c r="Q1408">
        <v>5</v>
      </c>
      <c r="R1408">
        <v>539389</v>
      </c>
      <c r="S1408">
        <f>Table1[[#This Row],[Revenue]]-Table1[[#This Row],[Operating_Costs]]</f>
        <v>214540</v>
      </c>
      <c r="T1408">
        <v>324849</v>
      </c>
      <c r="U1408">
        <v>22</v>
      </c>
      <c r="V1408">
        <v>54</v>
      </c>
      <c r="W1408">
        <v>6.2</v>
      </c>
    </row>
    <row r="1409" spans="1:23" x14ac:dyDescent="0.25">
      <c r="A1409">
        <v>3</v>
      </c>
      <c r="B1409" t="s">
        <v>57</v>
      </c>
      <c r="C1409" s="1">
        <v>44528</v>
      </c>
      <c r="D1409" t="s">
        <v>71</v>
      </c>
      <c r="E1409">
        <v>0</v>
      </c>
      <c r="F1409">
        <v>66</v>
      </c>
      <c r="G1409" t="str">
        <f t="shared" si="29"/>
        <v>61-80</v>
      </c>
      <c r="H1409" t="s">
        <v>23</v>
      </c>
      <c r="I1409" t="s">
        <v>40</v>
      </c>
      <c r="J1409" t="s">
        <v>41</v>
      </c>
      <c r="K1409" t="s">
        <v>38</v>
      </c>
      <c r="L1409">
        <v>1</v>
      </c>
      <c r="M1409">
        <v>1</v>
      </c>
      <c r="N1409">
        <v>2.6</v>
      </c>
      <c r="O1409">
        <v>10</v>
      </c>
      <c r="P1409">
        <v>6</v>
      </c>
      <c r="Q1409">
        <v>3</v>
      </c>
      <c r="R1409">
        <v>547890</v>
      </c>
      <c r="S1409">
        <f>Table1[[#This Row],[Revenue]]-Table1[[#This Row],[Operating_Costs]]</f>
        <v>210348</v>
      </c>
      <c r="T1409">
        <v>337542</v>
      </c>
      <c r="U1409">
        <v>23</v>
      </c>
      <c r="V1409">
        <v>66</v>
      </c>
      <c r="W1409">
        <v>7.9</v>
      </c>
    </row>
    <row r="1410" spans="1:23" x14ac:dyDescent="0.25">
      <c r="A1410">
        <v>3</v>
      </c>
      <c r="B1410" t="s">
        <v>57</v>
      </c>
      <c r="C1410" s="1">
        <v>44777</v>
      </c>
      <c r="D1410" t="s">
        <v>71</v>
      </c>
      <c r="E1410">
        <v>0</v>
      </c>
      <c r="F1410">
        <v>24</v>
      </c>
      <c r="G1410" t="str">
        <f t="shared" si="29"/>
        <v>21-40</v>
      </c>
      <c r="H1410" t="s">
        <v>35</v>
      </c>
      <c r="I1410" t="s">
        <v>58</v>
      </c>
      <c r="J1410" t="s">
        <v>59</v>
      </c>
      <c r="K1410" t="s">
        <v>29</v>
      </c>
      <c r="L1410">
        <v>1</v>
      </c>
      <c r="M1410">
        <v>1</v>
      </c>
      <c r="N1410">
        <v>4.5</v>
      </c>
      <c r="O1410">
        <v>8</v>
      </c>
      <c r="P1410">
        <v>7</v>
      </c>
      <c r="Q1410">
        <v>5</v>
      </c>
      <c r="R1410">
        <v>592615</v>
      </c>
      <c r="S1410">
        <f>Table1[[#This Row],[Revenue]]-Table1[[#This Row],[Operating_Costs]]</f>
        <v>237702</v>
      </c>
      <c r="T1410">
        <v>354913</v>
      </c>
      <c r="U1410">
        <v>21</v>
      </c>
      <c r="V1410">
        <v>61</v>
      </c>
      <c r="W1410">
        <v>36.799999999999997</v>
      </c>
    </row>
    <row r="1411" spans="1:23" x14ac:dyDescent="0.25">
      <c r="A1411">
        <v>3</v>
      </c>
      <c r="B1411" t="s">
        <v>57</v>
      </c>
      <c r="C1411" s="1">
        <v>44856</v>
      </c>
      <c r="D1411" t="s">
        <v>71</v>
      </c>
      <c r="E1411">
        <v>0</v>
      </c>
      <c r="F1411">
        <v>35</v>
      </c>
      <c r="G1411" t="str">
        <f t="shared" ref="G1411:G1474" si="30">IF(F1411&lt;=20,"0-20",IF(F1411&lt;=40,"21-40",IF(F1411&lt;=60,"41-60",IF(F1411&lt;=80,"61-80","81+"))))</f>
        <v>21-40</v>
      </c>
      <c r="H1411" t="s">
        <v>35</v>
      </c>
      <c r="I1411" t="s">
        <v>31</v>
      </c>
      <c r="J1411" t="s">
        <v>28</v>
      </c>
      <c r="K1411" t="s">
        <v>29</v>
      </c>
      <c r="L1411">
        <v>1</v>
      </c>
      <c r="M1411">
        <v>1</v>
      </c>
      <c r="N1411">
        <v>3.5</v>
      </c>
      <c r="O1411">
        <v>8.8000000000000007</v>
      </c>
      <c r="P1411">
        <v>5</v>
      </c>
      <c r="Q1411">
        <v>4</v>
      </c>
      <c r="R1411">
        <v>500639</v>
      </c>
      <c r="S1411">
        <f>Table1[[#This Row],[Revenue]]-Table1[[#This Row],[Operating_Costs]]</f>
        <v>102399</v>
      </c>
      <c r="T1411">
        <v>398240</v>
      </c>
      <c r="U1411">
        <v>20</v>
      </c>
      <c r="V1411">
        <v>64</v>
      </c>
      <c r="W1411">
        <v>36.700000000000003</v>
      </c>
    </row>
    <row r="1412" spans="1:23" x14ac:dyDescent="0.25">
      <c r="A1412">
        <v>3</v>
      </c>
      <c r="B1412" t="s">
        <v>57</v>
      </c>
      <c r="C1412" s="1">
        <v>44525</v>
      </c>
      <c r="D1412" t="s">
        <v>71</v>
      </c>
      <c r="E1412">
        <v>0</v>
      </c>
      <c r="F1412">
        <v>39</v>
      </c>
      <c r="G1412" t="str">
        <f t="shared" si="30"/>
        <v>21-40</v>
      </c>
      <c r="H1412" t="s">
        <v>23</v>
      </c>
      <c r="I1412" t="s">
        <v>24</v>
      </c>
      <c r="J1412" t="s">
        <v>25</v>
      </c>
      <c r="K1412" t="s">
        <v>38</v>
      </c>
      <c r="L1412">
        <v>1</v>
      </c>
      <c r="M1412">
        <v>1</v>
      </c>
      <c r="N1412">
        <v>6.4</v>
      </c>
      <c r="O1412">
        <v>9.4</v>
      </c>
      <c r="P1412">
        <v>3</v>
      </c>
      <c r="Q1412">
        <v>7</v>
      </c>
      <c r="R1412">
        <v>527908</v>
      </c>
      <c r="S1412">
        <f>Table1[[#This Row],[Revenue]]-Table1[[#This Row],[Operating_Costs]]</f>
        <v>190845</v>
      </c>
      <c r="T1412">
        <v>337063</v>
      </c>
      <c r="U1412">
        <v>25</v>
      </c>
      <c r="V1412">
        <v>64</v>
      </c>
      <c r="W1412">
        <v>8.3000000000000007</v>
      </c>
    </row>
    <row r="1413" spans="1:23" x14ac:dyDescent="0.25">
      <c r="A1413">
        <v>3</v>
      </c>
      <c r="B1413" t="s">
        <v>57</v>
      </c>
      <c r="C1413" s="1">
        <v>45437</v>
      </c>
      <c r="D1413" t="s">
        <v>71</v>
      </c>
      <c r="E1413">
        <v>0</v>
      </c>
      <c r="F1413">
        <v>59</v>
      </c>
      <c r="G1413" t="str">
        <f t="shared" si="30"/>
        <v>41-60</v>
      </c>
      <c r="H1413" t="s">
        <v>23</v>
      </c>
      <c r="I1413" t="s">
        <v>24</v>
      </c>
      <c r="J1413" t="s">
        <v>25</v>
      </c>
      <c r="K1413" t="s">
        <v>26</v>
      </c>
      <c r="L1413">
        <v>1</v>
      </c>
      <c r="M1413">
        <v>1</v>
      </c>
      <c r="N1413">
        <v>5.7</v>
      </c>
      <c r="O1413">
        <v>8.8000000000000007</v>
      </c>
      <c r="P1413">
        <v>7</v>
      </c>
      <c r="Q1413">
        <v>7</v>
      </c>
      <c r="R1413">
        <v>559015</v>
      </c>
      <c r="S1413">
        <f>Table1[[#This Row],[Revenue]]-Table1[[#This Row],[Operating_Costs]]</f>
        <v>256033</v>
      </c>
      <c r="T1413">
        <v>302982</v>
      </c>
      <c r="U1413">
        <v>20</v>
      </c>
      <c r="V1413">
        <v>60</v>
      </c>
      <c r="W1413">
        <v>36.5</v>
      </c>
    </row>
    <row r="1414" spans="1:23" x14ac:dyDescent="0.25">
      <c r="A1414">
        <v>3</v>
      </c>
      <c r="B1414" t="s">
        <v>57</v>
      </c>
      <c r="C1414" s="1">
        <v>44770</v>
      </c>
      <c r="D1414" t="s">
        <v>71</v>
      </c>
      <c r="E1414">
        <v>0</v>
      </c>
      <c r="F1414">
        <v>57</v>
      </c>
      <c r="G1414" t="str">
        <f t="shared" si="30"/>
        <v>41-60</v>
      </c>
      <c r="H1414" t="s">
        <v>35</v>
      </c>
      <c r="I1414" t="s">
        <v>58</v>
      </c>
      <c r="J1414" t="s">
        <v>59</v>
      </c>
      <c r="K1414" t="s">
        <v>33</v>
      </c>
      <c r="L1414">
        <v>1</v>
      </c>
      <c r="M1414">
        <v>1</v>
      </c>
      <c r="N1414">
        <v>5.0999999999999996</v>
      </c>
      <c r="O1414">
        <v>7.5</v>
      </c>
      <c r="P1414">
        <v>6</v>
      </c>
      <c r="Q1414">
        <v>7</v>
      </c>
      <c r="R1414">
        <v>522501</v>
      </c>
      <c r="S1414">
        <f>Table1[[#This Row],[Revenue]]-Table1[[#This Row],[Operating_Costs]]</f>
        <v>130249</v>
      </c>
      <c r="T1414">
        <v>392252</v>
      </c>
      <c r="U1414">
        <v>19</v>
      </c>
      <c r="V1414">
        <v>64</v>
      </c>
      <c r="W1414">
        <v>12.6</v>
      </c>
    </row>
    <row r="1415" spans="1:23" x14ac:dyDescent="0.25">
      <c r="A1415">
        <v>3</v>
      </c>
      <c r="B1415" t="s">
        <v>57</v>
      </c>
      <c r="C1415" s="1">
        <v>45560</v>
      </c>
      <c r="D1415" t="s">
        <v>71</v>
      </c>
      <c r="E1415">
        <v>0</v>
      </c>
      <c r="F1415">
        <v>47</v>
      </c>
      <c r="G1415" t="str">
        <f t="shared" si="30"/>
        <v>41-60</v>
      </c>
      <c r="H1415" t="s">
        <v>23</v>
      </c>
      <c r="I1415" t="s">
        <v>46</v>
      </c>
      <c r="J1415" t="s">
        <v>47</v>
      </c>
      <c r="K1415" t="s">
        <v>38</v>
      </c>
      <c r="L1415">
        <v>1</v>
      </c>
      <c r="M1415">
        <v>1</v>
      </c>
      <c r="N1415">
        <v>3.1</v>
      </c>
      <c r="O1415">
        <v>8.1</v>
      </c>
      <c r="P1415">
        <v>4</v>
      </c>
      <c r="Q1415">
        <v>3</v>
      </c>
      <c r="R1415">
        <v>532534</v>
      </c>
      <c r="S1415">
        <f>Table1[[#This Row],[Revenue]]-Table1[[#This Row],[Operating_Costs]]</f>
        <v>222549</v>
      </c>
      <c r="T1415">
        <v>309985</v>
      </c>
      <c r="U1415">
        <v>23</v>
      </c>
      <c r="V1415">
        <v>66</v>
      </c>
      <c r="W1415">
        <v>9.3000000000000007</v>
      </c>
    </row>
    <row r="1416" spans="1:23" x14ac:dyDescent="0.25">
      <c r="A1416">
        <v>3</v>
      </c>
      <c r="B1416" t="s">
        <v>57</v>
      </c>
      <c r="C1416" s="1">
        <v>44937</v>
      </c>
      <c r="D1416" t="s">
        <v>71</v>
      </c>
      <c r="E1416">
        <v>0</v>
      </c>
      <c r="F1416">
        <v>48</v>
      </c>
      <c r="G1416" t="str">
        <f t="shared" si="30"/>
        <v>41-60</v>
      </c>
      <c r="H1416" t="s">
        <v>35</v>
      </c>
      <c r="I1416" t="s">
        <v>58</v>
      </c>
      <c r="J1416" t="s">
        <v>59</v>
      </c>
      <c r="K1416" t="s">
        <v>33</v>
      </c>
      <c r="L1416">
        <v>1</v>
      </c>
      <c r="M1416">
        <v>1</v>
      </c>
      <c r="N1416">
        <v>5</v>
      </c>
      <c r="O1416">
        <v>9.5</v>
      </c>
      <c r="P1416">
        <v>6</v>
      </c>
      <c r="Q1416">
        <v>5</v>
      </c>
      <c r="R1416">
        <v>523626</v>
      </c>
      <c r="S1416">
        <f>Table1[[#This Row],[Revenue]]-Table1[[#This Row],[Operating_Costs]]</f>
        <v>191424</v>
      </c>
      <c r="T1416">
        <v>332202</v>
      </c>
      <c r="U1416">
        <v>19</v>
      </c>
      <c r="V1416">
        <v>65</v>
      </c>
      <c r="W1416">
        <v>5.4</v>
      </c>
    </row>
    <row r="1417" spans="1:23" x14ac:dyDescent="0.25">
      <c r="A1417">
        <v>4</v>
      </c>
      <c r="B1417" t="s">
        <v>69</v>
      </c>
      <c r="C1417" s="1">
        <v>44565</v>
      </c>
      <c r="D1417" t="s">
        <v>71</v>
      </c>
      <c r="E1417">
        <v>0</v>
      </c>
      <c r="F1417">
        <v>43</v>
      </c>
      <c r="G1417" t="str">
        <f t="shared" si="30"/>
        <v>41-60</v>
      </c>
      <c r="H1417" t="s">
        <v>35</v>
      </c>
      <c r="I1417" t="s">
        <v>61</v>
      </c>
      <c r="J1417" t="s">
        <v>62</v>
      </c>
      <c r="K1417" t="s">
        <v>26</v>
      </c>
      <c r="L1417">
        <v>1</v>
      </c>
      <c r="M1417">
        <v>1</v>
      </c>
      <c r="N1417">
        <v>2.9</v>
      </c>
      <c r="O1417">
        <v>7.1</v>
      </c>
      <c r="P1417">
        <v>4</v>
      </c>
      <c r="Q1417">
        <v>3</v>
      </c>
      <c r="R1417">
        <v>849960</v>
      </c>
      <c r="S1417">
        <f>Table1[[#This Row],[Revenue]]-Table1[[#This Row],[Operating_Costs]]</f>
        <v>212097</v>
      </c>
      <c r="T1417">
        <v>637863</v>
      </c>
      <c r="U1417">
        <v>44</v>
      </c>
      <c r="V1417">
        <v>60</v>
      </c>
      <c r="W1417">
        <v>36.5</v>
      </c>
    </row>
    <row r="1418" spans="1:23" x14ac:dyDescent="0.25">
      <c r="A1418">
        <v>4</v>
      </c>
      <c r="B1418" t="s">
        <v>69</v>
      </c>
      <c r="C1418" s="1">
        <v>44573</v>
      </c>
      <c r="D1418" t="s">
        <v>71</v>
      </c>
      <c r="E1418">
        <v>0</v>
      </c>
      <c r="F1418">
        <v>37</v>
      </c>
      <c r="G1418" t="str">
        <f t="shared" si="30"/>
        <v>21-40</v>
      </c>
      <c r="H1418" t="s">
        <v>23</v>
      </c>
      <c r="I1418" t="s">
        <v>67</v>
      </c>
      <c r="J1418" t="s">
        <v>68</v>
      </c>
      <c r="K1418" t="s">
        <v>42</v>
      </c>
      <c r="L1418">
        <v>1</v>
      </c>
      <c r="M1418">
        <v>1</v>
      </c>
      <c r="N1418">
        <v>2.5</v>
      </c>
      <c r="O1418">
        <v>7.6</v>
      </c>
      <c r="P1418">
        <v>6</v>
      </c>
      <c r="Q1418">
        <v>3</v>
      </c>
      <c r="R1418">
        <v>843317</v>
      </c>
      <c r="S1418">
        <f>Table1[[#This Row],[Revenue]]-Table1[[#This Row],[Operating_Costs]]</f>
        <v>235669</v>
      </c>
      <c r="T1418">
        <v>607648</v>
      </c>
      <c r="U1418">
        <v>34</v>
      </c>
      <c r="V1418">
        <v>64</v>
      </c>
      <c r="W1418">
        <v>14.2</v>
      </c>
    </row>
    <row r="1419" spans="1:23" x14ac:dyDescent="0.25">
      <c r="A1419">
        <v>3</v>
      </c>
      <c r="B1419" t="s">
        <v>57</v>
      </c>
      <c r="C1419" s="1">
        <v>44797</v>
      </c>
      <c r="D1419" t="s">
        <v>71</v>
      </c>
      <c r="E1419">
        <v>0</v>
      </c>
      <c r="F1419">
        <v>64</v>
      </c>
      <c r="G1419" t="str">
        <f t="shared" si="30"/>
        <v>61-80</v>
      </c>
      <c r="H1419" t="s">
        <v>23</v>
      </c>
      <c r="I1419" t="s">
        <v>24</v>
      </c>
      <c r="J1419" t="s">
        <v>25</v>
      </c>
      <c r="K1419" t="s">
        <v>38</v>
      </c>
      <c r="L1419">
        <v>1</v>
      </c>
      <c r="M1419">
        <v>1</v>
      </c>
      <c r="N1419">
        <v>3.7</v>
      </c>
      <c r="O1419">
        <v>8.3000000000000007</v>
      </c>
      <c r="P1419">
        <v>7</v>
      </c>
      <c r="Q1419">
        <v>4</v>
      </c>
      <c r="R1419">
        <v>509858</v>
      </c>
      <c r="S1419">
        <f>Table1[[#This Row],[Revenue]]-Table1[[#This Row],[Operating_Costs]]</f>
        <v>177495</v>
      </c>
      <c r="T1419">
        <v>332363</v>
      </c>
      <c r="U1419">
        <v>23</v>
      </c>
      <c r="V1419">
        <v>59</v>
      </c>
      <c r="W1419">
        <v>14</v>
      </c>
    </row>
    <row r="1420" spans="1:23" x14ac:dyDescent="0.25">
      <c r="A1420">
        <v>3</v>
      </c>
      <c r="B1420" t="s">
        <v>57</v>
      </c>
      <c r="C1420" s="1">
        <v>45582</v>
      </c>
      <c r="D1420" t="s">
        <v>71</v>
      </c>
      <c r="E1420">
        <v>0</v>
      </c>
      <c r="F1420">
        <v>23</v>
      </c>
      <c r="G1420" t="str">
        <f t="shared" si="30"/>
        <v>21-40</v>
      </c>
      <c r="H1420" t="s">
        <v>23</v>
      </c>
      <c r="I1420" t="s">
        <v>67</v>
      </c>
      <c r="J1420" t="s">
        <v>68</v>
      </c>
      <c r="K1420" t="s">
        <v>38</v>
      </c>
      <c r="L1420">
        <v>1</v>
      </c>
      <c r="M1420">
        <v>1</v>
      </c>
      <c r="N1420">
        <v>2.9</v>
      </c>
      <c r="O1420">
        <v>8.1</v>
      </c>
      <c r="P1420">
        <v>3</v>
      </c>
      <c r="Q1420">
        <v>6</v>
      </c>
      <c r="R1420">
        <v>594171</v>
      </c>
      <c r="S1420">
        <f>Table1[[#This Row],[Revenue]]-Table1[[#This Row],[Operating_Costs]]</f>
        <v>202735</v>
      </c>
      <c r="T1420">
        <v>391436</v>
      </c>
      <c r="U1420">
        <v>16</v>
      </c>
      <c r="V1420">
        <v>54</v>
      </c>
      <c r="W1420">
        <v>9.1</v>
      </c>
    </row>
    <row r="1421" spans="1:23" x14ac:dyDescent="0.25">
      <c r="A1421">
        <v>4</v>
      </c>
      <c r="B1421" t="s">
        <v>69</v>
      </c>
      <c r="C1421" s="1">
        <v>44672</v>
      </c>
      <c r="D1421" t="s">
        <v>71</v>
      </c>
      <c r="E1421">
        <v>0</v>
      </c>
      <c r="F1421">
        <v>37</v>
      </c>
      <c r="G1421" t="str">
        <f t="shared" si="30"/>
        <v>21-40</v>
      </c>
      <c r="H1421" t="s">
        <v>23</v>
      </c>
      <c r="I1421" t="s">
        <v>50</v>
      </c>
      <c r="J1421" t="s">
        <v>51</v>
      </c>
      <c r="K1421" t="s">
        <v>29</v>
      </c>
      <c r="L1421">
        <v>1</v>
      </c>
      <c r="M1421">
        <v>1</v>
      </c>
      <c r="N1421">
        <v>6</v>
      </c>
      <c r="O1421">
        <v>9.1999999999999993</v>
      </c>
      <c r="P1421">
        <v>5</v>
      </c>
      <c r="Q1421">
        <v>6</v>
      </c>
      <c r="R1421">
        <v>904645</v>
      </c>
      <c r="S1421">
        <f>Table1[[#This Row],[Revenue]]-Table1[[#This Row],[Operating_Costs]]</f>
        <v>395833</v>
      </c>
      <c r="T1421">
        <v>508812</v>
      </c>
      <c r="U1421">
        <v>50</v>
      </c>
      <c r="V1421">
        <v>63</v>
      </c>
      <c r="W1421">
        <v>5.5</v>
      </c>
    </row>
    <row r="1422" spans="1:23" x14ac:dyDescent="0.25">
      <c r="A1422">
        <v>3</v>
      </c>
      <c r="B1422" t="s">
        <v>57</v>
      </c>
      <c r="C1422" s="1">
        <v>44560</v>
      </c>
      <c r="D1422" t="s">
        <v>71</v>
      </c>
      <c r="E1422">
        <v>0</v>
      </c>
      <c r="F1422">
        <v>75</v>
      </c>
      <c r="G1422" t="str">
        <f t="shared" si="30"/>
        <v>61-80</v>
      </c>
      <c r="H1422" t="s">
        <v>35</v>
      </c>
      <c r="I1422" t="s">
        <v>64</v>
      </c>
      <c r="J1422" t="s">
        <v>65</v>
      </c>
      <c r="K1422" t="s">
        <v>29</v>
      </c>
      <c r="L1422">
        <v>1</v>
      </c>
      <c r="M1422">
        <v>1</v>
      </c>
      <c r="N1422">
        <v>1.2</v>
      </c>
      <c r="O1422">
        <v>8.5</v>
      </c>
      <c r="P1422">
        <v>3</v>
      </c>
      <c r="Q1422">
        <v>7</v>
      </c>
      <c r="R1422">
        <v>596709</v>
      </c>
      <c r="S1422">
        <f>Table1[[#This Row],[Revenue]]-Table1[[#This Row],[Operating_Costs]]</f>
        <v>268724</v>
      </c>
      <c r="T1422">
        <v>327985</v>
      </c>
      <c r="U1422">
        <v>18</v>
      </c>
      <c r="V1422">
        <v>59</v>
      </c>
      <c r="W1422">
        <v>8.6999999999999993</v>
      </c>
    </row>
    <row r="1423" spans="1:23" x14ac:dyDescent="0.25">
      <c r="A1423">
        <v>3</v>
      </c>
      <c r="B1423" t="s">
        <v>57</v>
      </c>
      <c r="C1423" s="1">
        <v>44369</v>
      </c>
      <c r="D1423" t="s">
        <v>71</v>
      </c>
      <c r="E1423">
        <v>0</v>
      </c>
      <c r="F1423">
        <v>28</v>
      </c>
      <c r="G1423" t="str">
        <f t="shared" si="30"/>
        <v>21-40</v>
      </c>
      <c r="H1423" t="s">
        <v>35</v>
      </c>
      <c r="I1423" t="s">
        <v>36</v>
      </c>
      <c r="J1423" t="s">
        <v>37</v>
      </c>
      <c r="K1423" t="s">
        <v>29</v>
      </c>
      <c r="L1423">
        <v>1</v>
      </c>
      <c r="M1423">
        <v>1</v>
      </c>
      <c r="N1423">
        <v>3.7</v>
      </c>
      <c r="O1423">
        <v>9.8000000000000007</v>
      </c>
      <c r="P1423">
        <v>7</v>
      </c>
      <c r="Q1423">
        <v>3</v>
      </c>
      <c r="R1423">
        <v>515471</v>
      </c>
      <c r="S1423">
        <f>Table1[[#This Row],[Revenue]]-Table1[[#This Row],[Operating_Costs]]</f>
        <v>185938</v>
      </c>
      <c r="T1423">
        <v>329533</v>
      </c>
      <c r="U1423">
        <v>21</v>
      </c>
      <c r="V1423">
        <v>54</v>
      </c>
      <c r="W1423">
        <v>12.9</v>
      </c>
    </row>
    <row r="1424" spans="1:23" x14ac:dyDescent="0.25">
      <c r="A1424">
        <v>3</v>
      </c>
      <c r="B1424" t="s">
        <v>57</v>
      </c>
      <c r="C1424" s="1">
        <v>44619</v>
      </c>
      <c r="D1424" t="s">
        <v>71</v>
      </c>
      <c r="E1424">
        <v>0</v>
      </c>
      <c r="F1424">
        <v>28</v>
      </c>
      <c r="G1424" t="str">
        <f t="shared" si="30"/>
        <v>21-40</v>
      </c>
      <c r="H1424" t="s">
        <v>23</v>
      </c>
      <c r="I1424" t="s">
        <v>40</v>
      </c>
      <c r="J1424" t="s">
        <v>41</v>
      </c>
      <c r="K1424" t="s">
        <v>26</v>
      </c>
      <c r="L1424">
        <v>1</v>
      </c>
      <c r="M1424">
        <v>1</v>
      </c>
      <c r="N1424">
        <v>1.2</v>
      </c>
      <c r="O1424">
        <v>7.6</v>
      </c>
      <c r="P1424">
        <v>6</v>
      </c>
      <c r="Q1424">
        <v>3</v>
      </c>
      <c r="R1424">
        <v>580748</v>
      </c>
      <c r="S1424">
        <f>Table1[[#This Row],[Revenue]]-Table1[[#This Row],[Operating_Costs]]</f>
        <v>191471</v>
      </c>
      <c r="T1424">
        <v>389277</v>
      </c>
      <c r="U1424">
        <v>15</v>
      </c>
      <c r="V1424">
        <v>66</v>
      </c>
      <c r="W1424">
        <v>36.700000000000003</v>
      </c>
    </row>
    <row r="1425" spans="1:23" x14ac:dyDescent="0.25">
      <c r="A1425">
        <v>3</v>
      </c>
      <c r="B1425" t="s">
        <v>57</v>
      </c>
      <c r="C1425" s="1">
        <v>45174</v>
      </c>
      <c r="D1425" t="s">
        <v>71</v>
      </c>
      <c r="E1425">
        <v>0</v>
      </c>
      <c r="F1425">
        <v>25</v>
      </c>
      <c r="G1425" t="str">
        <f t="shared" si="30"/>
        <v>21-40</v>
      </c>
      <c r="H1425" t="s">
        <v>23</v>
      </c>
      <c r="I1425" t="s">
        <v>24</v>
      </c>
      <c r="J1425" t="s">
        <v>25</v>
      </c>
      <c r="K1425" t="s">
        <v>42</v>
      </c>
      <c r="L1425">
        <v>1</v>
      </c>
      <c r="M1425">
        <v>1</v>
      </c>
      <c r="N1425">
        <v>5.5</v>
      </c>
      <c r="O1425">
        <v>8</v>
      </c>
      <c r="P1425">
        <v>7</v>
      </c>
      <c r="Q1425">
        <v>7</v>
      </c>
      <c r="R1425">
        <v>544310</v>
      </c>
      <c r="S1425">
        <f>Table1[[#This Row],[Revenue]]-Table1[[#This Row],[Operating_Costs]]</f>
        <v>219363</v>
      </c>
      <c r="T1425">
        <v>324947</v>
      </c>
      <c r="U1425">
        <v>24</v>
      </c>
      <c r="V1425">
        <v>63</v>
      </c>
      <c r="W1425">
        <v>12.8</v>
      </c>
    </row>
    <row r="1426" spans="1:23" x14ac:dyDescent="0.25">
      <c r="A1426">
        <v>3</v>
      </c>
      <c r="B1426" t="s">
        <v>57</v>
      </c>
      <c r="C1426" s="1">
        <v>45448</v>
      </c>
      <c r="D1426" t="s">
        <v>71</v>
      </c>
      <c r="E1426">
        <v>0</v>
      </c>
      <c r="F1426">
        <v>46</v>
      </c>
      <c r="G1426" t="str">
        <f t="shared" si="30"/>
        <v>41-60</v>
      </c>
      <c r="H1426" t="s">
        <v>23</v>
      </c>
      <c r="I1426" t="s">
        <v>24</v>
      </c>
      <c r="J1426" t="s">
        <v>25</v>
      </c>
      <c r="K1426" t="s">
        <v>38</v>
      </c>
      <c r="L1426">
        <v>1</v>
      </c>
      <c r="M1426">
        <v>1</v>
      </c>
      <c r="N1426">
        <v>7</v>
      </c>
      <c r="O1426">
        <v>7.2</v>
      </c>
      <c r="P1426">
        <v>3</v>
      </c>
      <c r="Q1426">
        <v>7</v>
      </c>
      <c r="R1426">
        <v>580051</v>
      </c>
      <c r="S1426">
        <f>Table1[[#This Row],[Revenue]]-Table1[[#This Row],[Operating_Costs]]</f>
        <v>252539</v>
      </c>
      <c r="T1426">
        <v>327512</v>
      </c>
      <c r="U1426">
        <v>16</v>
      </c>
      <c r="V1426">
        <v>63</v>
      </c>
      <c r="W1426">
        <v>15</v>
      </c>
    </row>
    <row r="1427" spans="1:23" x14ac:dyDescent="0.25">
      <c r="A1427">
        <v>3</v>
      </c>
      <c r="B1427" t="s">
        <v>57</v>
      </c>
      <c r="C1427" s="1">
        <v>44568</v>
      </c>
      <c r="D1427" t="s">
        <v>71</v>
      </c>
      <c r="E1427">
        <v>0</v>
      </c>
      <c r="F1427">
        <v>29</v>
      </c>
      <c r="G1427" t="str">
        <f t="shared" si="30"/>
        <v>21-40</v>
      </c>
      <c r="H1427" t="s">
        <v>35</v>
      </c>
      <c r="I1427" t="s">
        <v>64</v>
      </c>
      <c r="J1427" t="s">
        <v>65</v>
      </c>
      <c r="K1427" t="s">
        <v>29</v>
      </c>
      <c r="L1427">
        <v>1</v>
      </c>
      <c r="M1427">
        <v>1</v>
      </c>
      <c r="N1427">
        <v>5.3</v>
      </c>
      <c r="O1427">
        <v>8.1999999999999993</v>
      </c>
      <c r="P1427">
        <v>7</v>
      </c>
      <c r="Q1427">
        <v>7</v>
      </c>
      <c r="R1427">
        <v>589359</v>
      </c>
      <c r="S1427">
        <f>Table1[[#This Row],[Revenue]]-Table1[[#This Row],[Operating_Costs]]</f>
        <v>218613</v>
      </c>
      <c r="T1427">
        <v>370746</v>
      </c>
      <c r="U1427">
        <v>17</v>
      </c>
      <c r="V1427">
        <v>54</v>
      </c>
      <c r="W1427">
        <v>10.3</v>
      </c>
    </row>
    <row r="1428" spans="1:23" x14ac:dyDescent="0.25">
      <c r="A1428">
        <v>3</v>
      </c>
      <c r="B1428" t="s">
        <v>57</v>
      </c>
      <c r="C1428" s="1">
        <v>44705</v>
      </c>
      <c r="D1428" t="s">
        <v>71</v>
      </c>
      <c r="E1428">
        <v>0</v>
      </c>
      <c r="F1428">
        <v>86</v>
      </c>
      <c r="G1428" t="str">
        <f t="shared" si="30"/>
        <v>81+</v>
      </c>
      <c r="H1428" t="s">
        <v>23</v>
      </c>
      <c r="I1428" t="s">
        <v>67</v>
      </c>
      <c r="J1428" t="s">
        <v>68</v>
      </c>
      <c r="K1428" t="s">
        <v>33</v>
      </c>
      <c r="L1428">
        <v>1</v>
      </c>
      <c r="M1428">
        <v>1</v>
      </c>
      <c r="N1428">
        <v>4.7</v>
      </c>
      <c r="O1428">
        <v>9.8000000000000007</v>
      </c>
      <c r="P1428">
        <v>4</v>
      </c>
      <c r="Q1428">
        <v>4</v>
      </c>
      <c r="R1428">
        <v>557376</v>
      </c>
      <c r="S1428">
        <f>Table1[[#This Row],[Revenue]]-Table1[[#This Row],[Operating_Costs]]</f>
        <v>214784</v>
      </c>
      <c r="T1428">
        <v>342592</v>
      </c>
      <c r="U1428">
        <v>24</v>
      </c>
      <c r="V1428">
        <v>60</v>
      </c>
      <c r="W1428">
        <v>36.299999999999997</v>
      </c>
    </row>
    <row r="1429" spans="1:23" x14ac:dyDescent="0.25">
      <c r="A1429">
        <v>3</v>
      </c>
      <c r="B1429" t="s">
        <v>57</v>
      </c>
      <c r="C1429" s="1">
        <v>45226</v>
      </c>
      <c r="D1429" t="s">
        <v>71</v>
      </c>
      <c r="E1429">
        <v>0</v>
      </c>
      <c r="F1429">
        <v>36</v>
      </c>
      <c r="G1429" t="str">
        <f t="shared" si="30"/>
        <v>21-40</v>
      </c>
      <c r="H1429" t="s">
        <v>35</v>
      </c>
      <c r="I1429" t="s">
        <v>58</v>
      </c>
      <c r="J1429" t="s">
        <v>59</v>
      </c>
      <c r="K1429" t="s">
        <v>42</v>
      </c>
      <c r="L1429">
        <v>1</v>
      </c>
      <c r="M1429">
        <v>1</v>
      </c>
      <c r="N1429">
        <v>6.1</v>
      </c>
      <c r="O1429">
        <v>9.8000000000000007</v>
      </c>
      <c r="P1429">
        <v>3</v>
      </c>
      <c r="Q1429">
        <v>3</v>
      </c>
      <c r="R1429">
        <v>505438</v>
      </c>
      <c r="S1429">
        <f>Table1[[#This Row],[Revenue]]-Table1[[#This Row],[Operating_Costs]]</f>
        <v>156160</v>
      </c>
      <c r="T1429">
        <v>349278</v>
      </c>
      <c r="U1429">
        <v>19</v>
      </c>
      <c r="V1429">
        <v>61</v>
      </c>
      <c r="W1429">
        <v>10</v>
      </c>
    </row>
    <row r="1430" spans="1:23" x14ac:dyDescent="0.25">
      <c r="A1430">
        <v>4</v>
      </c>
      <c r="B1430" t="s">
        <v>69</v>
      </c>
      <c r="C1430" s="1">
        <v>45456</v>
      </c>
      <c r="D1430" t="s">
        <v>71</v>
      </c>
      <c r="E1430">
        <v>0</v>
      </c>
      <c r="F1430">
        <v>39</v>
      </c>
      <c r="G1430" t="str">
        <f t="shared" si="30"/>
        <v>21-40</v>
      </c>
      <c r="H1430" t="s">
        <v>23</v>
      </c>
      <c r="I1430" t="s">
        <v>24</v>
      </c>
      <c r="J1430" t="s">
        <v>25</v>
      </c>
      <c r="K1430" t="s">
        <v>38</v>
      </c>
      <c r="L1430">
        <v>1</v>
      </c>
      <c r="M1430">
        <v>1</v>
      </c>
      <c r="N1430">
        <v>3.6</v>
      </c>
      <c r="O1430">
        <v>7.5</v>
      </c>
      <c r="P1430">
        <v>6</v>
      </c>
      <c r="Q1430">
        <v>6</v>
      </c>
      <c r="R1430">
        <v>834841</v>
      </c>
      <c r="S1430">
        <f>Table1[[#This Row],[Revenue]]-Table1[[#This Row],[Operating_Costs]]</f>
        <v>221121</v>
      </c>
      <c r="T1430">
        <v>613720</v>
      </c>
      <c r="U1430">
        <v>35</v>
      </c>
      <c r="V1430">
        <v>66</v>
      </c>
      <c r="W1430">
        <v>14.9</v>
      </c>
    </row>
    <row r="1431" spans="1:23" x14ac:dyDescent="0.25">
      <c r="A1431">
        <v>3</v>
      </c>
      <c r="B1431" t="s">
        <v>57</v>
      </c>
      <c r="C1431" s="1">
        <v>44386</v>
      </c>
      <c r="D1431" t="s">
        <v>71</v>
      </c>
      <c r="E1431">
        <v>0</v>
      </c>
      <c r="F1431">
        <v>44</v>
      </c>
      <c r="G1431" t="str">
        <f t="shared" si="30"/>
        <v>41-60</v>
      </c>
      <c r="H1431" t="s">
        <v>23</v>
      </c>
      <c r="I1431" t="s">
        <v>24</v>
      </c>
      <c r="J1431" t="s">
        <v>25</v>
      </c>
      <c r="K1431" t="s">
        <v>29</v>
      </c>
      <c r="L1431">
        <v>1</v>
      </c>
      <c r="M1431">
        <v>1</v>
      </c>
      <c r="N1431">
        <v>1.3</v>
      </c>
      <c r="O1431">
        <v>8.6999999999999993</v>
      </c>
      <c r="P1431">
        <v>7</v>
      </c>
      <c r="Q1431">
        <v>7</v>
      </c>
      <c r="R1431">
        <v>561846</v>
      </c>
      <c r="S1431">
        <f>Table1[[#This Row],[Revenue]]-Table1[[#This Row],[Operating_Costs]]</f>
        <v>221453</v>
      </c>
      <c r="T1431">
        <v>340393</v>
      </c>
      <c r="U1431">
        <v>22</v>
      </c>
      <c r="V1431">
        <v>55</v>
      </c>
      <c r="W1431">
        <v>13.3</v>
      </c>
    </row>
    <row r="1432" spans="1:23" x14ac:dyDescent="0.25">
      <c r="A1432">
        <v>3</v>
      </c>
      <c r="B1432" t="s">
        <v>57</v>
      </c>
      <c r="C1432" s="1">
        <v>44811</v>
      </c>
      <c r="D1432" t="s">
        <v>71</v>
      </c>
      <c r="E1432">
        <v>0</v>
      </c>
      <c r="F1432">
        <v>73</v>
      </c>
      <c r="G1432" t="str">
        <f t="shared" si="30"/>
        <v>61-80</v>
      </c>
      <c r="H1432" t="s">
        <v>23</v>
      </c>
      <c r="I1432" t="s">
        <v>24</v>
      </c>
      <c r="J1432" t="s">
        <v>25</v>
      </c>
      <c r="K1432" t="s">
        <v>29</v>
      </c>
      <c r="L1432">
        <v>1</v>
      </c>
      <c r="M1432">
        <v>1</v>
      </c>
      <c r="N1432">
        <v>4.2</v>
      </c>
      <c r="O1432">
        <v>7.1</v>
      </c>
      <c r="P1432">
        <v>4</v>
      </c>
      <c r="Q1432">
        <v>7</v>
      </c>
      <c r="R1432">
        <v>592673</v>
      </c>
      <c r="S1432">
        <f>Table1[[#This Row],[Revenue]]-Table1[[#This Row],[Operating_Costs]]</f>
        <v>261898</v>
      </c>
      <c r="T1432">
        <v>330775</v>
      </c>
      <c r="U1432">
        <v>25</v>
      </c>
      <c r="V1432">
        <v>65</v>
      </c>
      <c r="W1432">
        <v>9.6999999999999993</v>
      </c>
    </row>
    <row r="1433" spans="1:23" x14ac:dyDescent="0.25">
      <c r="A1433">
        <v>3</v>
      </c>
      <c r="B1433" t="s">
        <v>57</v>
      </c>
      <c r="C1433" s="1">
        <v>45241</v>
      </c>
      <c r="D1433" t="s">
        <v>71</v>
      </c>
      <c r="E1433">
        <v>0</v>
      </c>
      <c r="F1433">
        <v>60</v>
      </c>
      <c r="G1433" t="str">
        <f t="shared" si="30"/>
        <v>41-60</v>
      </c>
      <c r="H1433" t="s">
        <v>23</v>
      </c>
      <c r="I1433" t="s">
        <v>24</v>
      </c>
      <c r="J1433" t="s">
        <v>25</v>
      </c>
      <c r="K1433" t="s">
        <v>42</v>
      </c>
      <c r="L1433">
        <v>1</v>
      </c>
      <c r="M1433">
        <v>1</v>
      </c>
      <c r="N1433">
        <v>5.0999999999999996</v>
      </c>
      <c r="O1433">
        <v>7.7</v>
      </c>
      <c r="P1433">
        <v>5</v>
      </c>
      <c r="Q1433">
        <v>4</v>
      </c>
      <c r="R1433">
        <v>556028</v>
      </c>
      <c r="S1433">
        <f>Table1[[#This Row],[Revenue]]-Table1[[#This Row],[Operating_Costs]]</f>
        <v>205584</v>
      </c>
      <c r="T1433">
        <v>350444</v>
      </c>
      <c r="U1433">
        <v>23</v>
      </c>
      <c r="V1433">
        <v>54</v>
      </c>
      <c r="W1433">
        <v>12.5</v>
      </c>
    </row>
    <row r="1434" spans="1:23" x14ac:dyDescent="0.25">
      <c r="A1434">
        <v>3</v>
      </c>
      <c r="B1434" t="s">
        <v>57</v>
      </c>
      <c r="C1434" s="1">
        <v>44545</v>
      </c>
      <c r="D1434" t="s">
        <v>71</v>
      </c>
      <c r="E1434">
        <v>0</v>
      </c>
      <c r="F1434">
        <v>40</v>
      </c>
      <c r="G1434" t="str">
        <f t="shared" si="30"/>
        <v>21-40</v>
      </c>
      <c r="H1434" t="s">
        <v>35</v>
      </c>
      <c r="I1434" t="s">
        <v>53</v>
      </c>
      <c r="J1434" t="s">
        <v>54</v>
      </c>
      <c r="K1434" t="s">
        <v>26</v>
      </c>
      <c r="L1434">
        <v>1</v>
      </c>
      <c r="M1434">
        <v>1</v>
      </c>
      <c r="N1434">
        <v>3</v>
      </c>
      <c r="O1434">
        <v>7.3</v>
      </c>
      <c r="P1434">
        <v>7</v>
      </c>
      <c r="Q1434">
        <v>5</v>
      </c>
      <c r="R1434">
        <v>561765</v>
      </c>
      <c r="S1434">
        <f>Table1[[#This Row],[Revenue]]-Table1[[#This Row],[Operating_Costs]]</f>
        <v>254826</v>
      </c>
      <c r="T1434">
        <v>306939</v>
      </c>
      <c r="U1434">
        <v>19</v>
      </c>
      <c r="V1434">
        <v>66</v>
      </c>
      <c r="W1434">
        <v>7</v>
      </c>
    </row>
    <row r="1435" spans="1:23" x14ac:dyDescent="0.25">
      <c r="A1435">
        <v>3</v>
      </c>
      <c r="B1435" t="s">
        <v>57</v>
      </c>
      <c r="C1435" s="1">
        <v>44900</v>
      </c>
      <c r="D1435" t="s">
        <v>71</v>
      </c>
      <c r="E1435">
        <v>0</v>
      </c>
      <c r="F1435">
        <v>80</v>
      </c>
      <c r="G1435" t="str">
        <f t="shared" si="30"/>
        <v>61-80</v>
      </c>
      <c r="H1435" t="s">
        <v>35</v>
      </c>
      <c r="I1435" t="s">
        <v>55</v>
      </c>
      <c r="J1435" t="s">
        <v>56</v>
      </c>
      <c r="K1435" t="s">
        <v>38</v>
      </c>
      <c r="L1435">
        <v>1</v>
      </c>
      <c r="M1435">
        <v>1</v>
      </c>
      <c r="N1435">
        <v>5.7</v>
      </c>
      <c r="O1435">
        <v>10</v>
      </c>
      <c r="P1435">
        <v>6</v>
      </c>
      <c r="Q1435">
        <v>5</v>
      </c>
      <c r="R1435">
        <v>507464</v>
      </c>
      <c r="S1435">
        <f>Table1[[#This Row],[Revenue]]-Table1[[#This Row],[Operating_Costs]]</f>
        <v>146458</v>
      </c>
      <c r="T1435">
        <v>361006</v>
      </c>
      <c r="U1435">
        <v>21</v>
      </c>
      <c r="V1435">
        <v>66</v>
      </c>
      <c r="W1435">
        <v>13.6</v>
      </c>
    </row>
    <row r="1436" spans="1:23" x14ac:dyDescent="0.25">
      <c r="A1436">
        <v>3</v>
      </c>
      <c r="B1436" t="s">
        <v>57</v>
      </c>
      <c r="C1436" s="1">
        <v>44207</v>
      </c>
      <c r="D1436" t="s">
        <v>71</v>
      </c>
      <c r="E1436">
        <v>0</v>
      </c>
      <c r="F1436">
        <v>39</v>
      </c>
      <c r="G1436" t="str">
        <f t="shared" si="30"/>
        <v>21-40</v>
      </c>
      <c r="H1436" t="s">
        <v>35</v>
      </c>
      <c r="I1436" t="s">
        <v>58</v>
      </c>
      <c r="J1436" t="s">
        <v>59</v>
      </c>
      <c r="K1436" t="s">
        <v>29</v>
      </c>
      <c r="L1436">
        <v>1</v>
      </c>
      <c r="M1436">
        <v>1</v>
      </c>
      <c r="N1436">
        <v>2.2000000000000002</v>
      </c>
      <c r="O1436">
        <v>7.9</v>
      </c>
      <c r="P1436">
        <v>3</v>
      </c>
      <c r="Q1436">
        <v>5</v>
      </c>
      <c r="R1436">
        <v>522742</v>
      </c>
      <c r="S1436">
        <f>Table1[[#This Row],[Revenue]]-Table1[[#This Row],[Operating_Costs]]</f>
        <v>199566</v>
      </c>
      <c r="T1436">
        <v>323176</v>
      </c>
      <c r="U1436">
        <v>20</v>
      </c>
      <c r="V1436">
        <v>54</v>
      </c>
      <c r="W1436">
        <v>5.0999999999999996</v>
      </c>
    </row>
    <row r="1437" spans="1:23" x14ac:dyDescent="0.25">
      <c r="A1437">
        <v>3</v>
      </c>
      <c r="B1437" t="s">
        <v>57</v>
      </c>
      <c r="C1437" s="1">
        <v>44696</v>
      </c>
      <c r="D1437" t="s">
        <v>71</v>
      </c>
      <c r="E1437">
        <v>0</v>
      </c>
      <c r="F1437">
        <v>80</v>
      </c>
      <c r="G1437" t="str">
        <f t="shared" si="30"/>
        <v>61-80</v>
      </c>
      <c r="H1437" t="s">
        <v>23</v>
      </c>
      <c r="I1437" t="s">
        <v>24</v>
      </c>
      <c r="J1437" t="s">
        <v>25</v>
      </c>
      <c r="K1437" t="s">
        <v>29</v>
      </c>
      <c r="L1437">
        <v>1</v>
      </c>
      <c r="M1437">
        <v>1</v>
      </c>
      <c r="N1437">
        <v>2.2999999999999998</v>
      </c>
      <c r="O1437">
        <v>8.6999999999999993</v>
      </c>
      <c r="P1437">
        <v>6</v>
      </c>
      <c r="Q1437">
        <v>7</v>
      </c>
      <c r="R1437">
        <v>532958</v>
      </c>
      <c r="S1437">
        <f>Table1[[#This Row],[Revenue]]-Table1[[#This Row],[Operating_Costs]]</f>
        <v>141962</v>
      </c>
      <c r="T1437">
        <v>390996</v>
      </c>
      <c r="U1437">
        <v>22</v>
      </c>
      <c r="V1437">
        <v>60</v>
      </c>
      <c r="W1437">
        <v>14.8</v>
      </c>
    </row>
    <row r="1438" spans="1:23" x14ac:dyDescent="0.25">
      <c r="A1438">
        <v>3</v>
      </c>
      <c r="B1438" t="s">
        <v>57</v>
      </c>
      <c r="C1438" s="1">
        <v>44560</v>
      </c>
      <c r="D1438" t="s">
        <v>71</v>
      </c>
      <c r="E1438">
        <v>0</v>
      </c>
      <c r="F1438">
        <v>70</v>
      </c>
      <c r="G1438" t="str">
        <f t="shared" si="30"/>
        <v>61-80</v>
      </c>
      <c r="H1438" t="s">
        <v>23</v>
      </c>
      <c r="I1438" t="s">
        <v>46</v>
      </c>
      <c r="J1438" t="s">
        <v>47</v>
      </c>
      <c r="K1438" t="s">
        <v>33</v>
      </c>
      <c r="L1438">
        <v>1</v>
      </c>
      <c r="M1438">
        <v>1</v>
      </c>
      <c r="N1438">
        <v>4.9000000000000004</v>
      </c>
      <c r="O1438">
        <v>9.3000000000000007</v>
      </c>
      <c r="P1438">
        <v>6</v>
      </c>
      <c r="Q1438">
        <v>4</v>
      </c>
      <c r="R1438">
        <v>568429</v>
      </c>
      <c r="S1438">
        <f>Table1[[#This Row],[Revenue]]-Table1[[#This Row],[Operating_Costs]]</f>
        <v>190261</v>
      </c>
      <c r="T1438">
        <v>378168</v>
      </c>
      <c r="U1438">
        <v>22</v>
      </c>
      <c r="V1438">
        <v>63</v>
      </c>
      <c r="W1438">
        <v>8.1</v>
      </c>
    </row>
    <row r="1439" spans="1:23" x14ac:dyDescent="0.25">
      <c r="A1439">
        <v>3</v>
      </c>
      <c r="B1439" t="s">
        <v>57</v>
      </c>
      <c r="C1439" s="1">
        <v>45030</v>
      </c>
      <c r="D1439" t="s">
        <v>71</v>
      </c>
      <c r="E1439">
        <v>0</v>
      </c>
      <c r="F1439">
        <v>21</v>
      </c>
      <c r="G1439" t="str">
        <f t="shared" si="30"/>
        <v>21-40</v>
      </c>
      <c r="H1439" t="s">
        <v>35</v>
      </c>
      <c r="I1439" t="s">
        <v>46</v>
      </c>
      <c r="J1439" t="s">
        <v>47</v>
      </c>
      <c r="K1439" t="s">
        <v>38</v>
      </c>
      <c r="L1439">
        <v>1</v>
      </c>
      <c r="M1439">
        <v>1</v>
      </c>
      <c r="N1439">
        <v>4.2</v>
      </c>
      <c r="O1439">
        <v>8.3000000000000007</v>
      </c>
      <c r="P1439">
        <v>4</v>
      </c>
      <c r="Q1439">
        <v>6</v>
      </c>
      <c r="R1439">
        <v>560692</v>
      </c>
      <c r="S1439">
        <f>Table1[[#This Row],[Revenue]]-Table1[[#This Row],[Operating_Costs]]</f>
        <v>225858</v>
      </c>
      <c r="T1439">
        <v>334834</v>
      </c>
      <c r="U1439">
        <v>18</v>
      </c>
      <c r="V1439">
        <v>59</v>
      </c>
      <c r="W1439">
        <v>5</v>
      </c>
    </row>
    <row r="1440" spans="1:23" x14ac:dyDescent="0.25">
      <c r="A1440">
        <v>3</v>
      </c>
      <c r="B1440" t="s">
        <v>57</v>
      </c>
      <c r="C1440" s="1">
        <v>44235</v>
      </c>
      <c r="D1440" t="s">
        <v>71</v>
      </c>
      <c r="E1440">
        <v>0</v>
      </c>
      <c r="F1440">
        <v>24</v>
      </c>
      <c r="G1440" t="str">
        <f t="shared" si="30"/>
        <v>21-40</v>
      </c>
      <c r="H1440" t="s">
        <v>23</v>
      </c>
      <c r="I1440" t="s">
        <v>24</v>
      </c>
      <c r="J1440" t="s">
        <v>25</v>
      </c>
      <c r="K1440" t="s">
        <v>42</v>
      </c>
      <c r="L1440">
        <v>1</v>
      </c>
      <c r="M1440">
        <v>1</v>
      </c>
      <c r="N1440">
        <v>3.5</v>
      </c>
      <c r="O1440">
        <v>8.8000000000000007</v>
      </c>
      <c r="P1440">
        <v>5</v>
      </c>
      <c r="Q1440">
        <v>5</v>
      </c>
      <c r="R1440">
        <v>502704</v>
      </c>
      <c r="S1440">
        <f>Table1[[#This Row],[Revenue]]-Table1[[#This Row],[Operating_Costs]]</f>
        <v>110168</v>
      </c>
      <c r="T1440">
        <v>392536</v>
      </c>
      <c r="U1440">
        <v>25</v>
      </c>
      <c r="V1440">
        <v>60</v>
      </c>
      <c r="W1440">
        <v>14.6</v>
      </c>
    </row>
    <row r="1441" spans="1:23" x14ac:dyDescent="0.25">
      <c r="A1441">
        <v>3</v>
      </c>
      <c r="B1441" t="s">
        <v>57</v>
      </c>
      <c r="C1441" s="1">
        <v>44498</v>
      </c>
      <c r="D1441" t="s">
        <v>71</v>
      </c>
      <c r="E1441">
        <v>0</v>
      </c>
      <c r="F1441">
        <v>37</v>
      </c>
      <c r="G1441" t="str">
        <f t="shared" si="30"/>
        <v>21-40</v>
      </c>
      <c r="H1441" t="s">
        <v>35</v>
      </c>
      <c r="I1441" t="s">
        <v>61</v>
      </c>
      <c r="J1441" t="s">
        <v>62</v>
      </c>
      <c r="K1441" t="s">
        <v>38</v>
      </c>
      <c r="L1441">
        <v>1</v>
      </c>
      <c r="M1441">
        <v>1</v>
      </c>
      <c r="N1441">
        <v>5.4</v>
      </c>
      <c r="O1441">
        <v>9.1</v>
      </c>
      <c r="P1441">
        <v>6</v>
      </c>
      <c r="Q1441">
        <v>6</v>
      </c>
      <c r="R1441">
        <v>504835</v>
      </c>
      <c r="S1441">
        <f>Table1[[#This Row],[Revenue]]-Table1[[#This Row],[Operating_Costs]]</f>
        <v>167325</v>
      </c>
      <c r="T1441">
        <v>337510</v>
      </c>
      <c r="U1441">
        <v>18</v>
      </c>
      <c r="V1441">
        <v>63</v>
      </c>
      <c r="W1441">
        <v>14</v>
      </c>
    </row>
    <row r="1442" spans="1:23" x14ac:dyDescent="0.25">
      <c r="A1442">
        <v>3</v>
      </c>
      <c r="B1442" t="s">
        <v>57</v>
      </c>
      <c r="C1442" s="1">
        <v>44345</v>
      </c>
      <c r="D1442" t="s">
        <v>71</v>
      </c>
      <c r="E1442">
        <v>0</v>
      </c>
      <c r="F1442">
        <v>44</v>
      </c>
      <c r="G1442" t="str">
        <f t="shared" si="30"/>
        <v>41-60</v>
      </c>
      <c r="H1442" t="s">
        <v>23</v>
      </c>
      <c r="I1442" t="s">
        <v>24</v>
      </c>
      <c r="J1442" t="s">
        <v>25</v>
      </c>
      <c r="K1442" t="s">
        <v>26</v>
      </c>
      <c r="L1442">
        <v>1</v>
      </c>
      <c r="M1442">
        <v>1</v>
      </c>
      <c r="N1442">
        <v>6</v>
      </c>
      <c r="O1442">
        <v>7.7</v>
      </c>
      <c r="P1442">
        <v>6</v>
      </c>
      <c r="Q1442">
        <v>3</v>
      </c>
      <c r="R1442">
        <v>565438</v>
      </c>
      <c r="S1442">
        <f>Table1[[#This Row],[Revenue]]-Table1[[#This Row],[Operating_Costs]]</f>
        <v>259053</v>
      </c>
      <c r="T1442">
        <v>306385</v>
      </c>
      <c r="U1442">
        <v>18</v>
      </c>
      <c r="V1442">
        <v>61</v>
      </c>
      <c r="W1442">
        <v>13.9</v>
      </c>
    </row>
    <row r="1443" spans="1:23" x14ac:dyDescent="0.25">
      <c r="A1443">
        <v>3</v>
      </c>
      <c r="B1443" t="s">
        <v>57</v>
      </c>
      <c r="C1443" s="1">
        <v>45078</v>
      </c>
      <c r="D1443" t="s">
        <v>71</v>
      </c>
      <c r="E1443">
        <v>0</v>
      </c>
      <c r="F1443">
        <v>38</v>
      </c>
      <c r="G1443" t="str">
        <f t="shared" si="30"/>
        <v>21-40</v>
      </c>
      <c r="H1443" t="s">
        <v>23</v>
      </c>
      <c r="I1443" t="s">
        <v>24</v>
      </c>
      <c r="J1443" t="s">
        <v>25</v>
      </c>
      <c r="K1443" t="s">
        <v>42</v>
      </c>
      <c r="L1443">
        <v>1</v>
      </c>
      <c r="M1443">
        <v>1</v>
      </c>
      <c r="N1443">
        <v>6.1</v>
      </c>
      <c r="O1443">
        <v>7.2</v>
      </c>
      <c r="P1443">
        <v>4</v>
      </c>
      <c r="Q1443">
        <v>6</v>
      </c>
      <c r="R1443">
        <v>529633</v>
      </c>
      <c r="S1443">
        <f>Table1[[#This Row],[Revenue]]-Table1[[#This Row],[Operating_Costs]]</f>
        <v>221123</v>
      </c>
      <c r="T1443">
        <v>308510</v>
      </c>
      <c r="U1443">
        <v>24</v>
      </c>
      <c r="V1443">
        <v>61</v>
      </c>
      <c r="W1443">
        <v>13</v>
      </c>
    </row>
    <row r="1444" spans="1:23" x14ac:dyDescent="0.25">
      <c r="A1444">
        <v>3</v>
      </c>
      <c r="B1444" t="s">
        <v>57</v>
      </c>
      <c r="C1444" s="1">
        <v>44381</v>
      </c>
      <c r="D1444" t="s">
        <v>71</v>
      </c>
      <c r="E1444">
        <v>0</v>
      </c>
      <c r="F1444">
        <v>59</v>
      </c>
      <c r="G1444" t="str">
        <f t="shared" si="30"/>
        <v>41-60</v>
      </c>
      <c r="H1444" t="s">
        <v>35</v>
      </c>
      <c r="I1444" t="s">
        <v>36</v>
      </c>
      <c r="J1444" t="s">
        <v>37</v>
      </c>
      <c r="K1444" t="s">
        <v>26</v>
      </c>
      <c r="L1444">
        <v>1</v>
      </c>
      <c r="M1444">
        <v>1</v>
      </c>
      <c r="N1444">
        <v>5.6</v>
      </c>
      <c r="O1444">
        <v>9.4</v>
      </c>
      <c r="P1444">
        <v>4</v>
      </c>
      <c r="Q1444">
        <v>4</v>
      </c>
      <c r="R1444">
        <v>569573</v>
      </c>
      <c r="S1444">
        <f>Table1[[#This Row],[Revenue]]-Table1[[#This Row],[Operating_Costs]]</f>
        <v>206004</v>
      </c>
      <c r="T1444">
        <v>363569</v>
      </c>
      <c r="U1444">
        <v>21</v>
      </c>
      <c r="V1444">
        <v>57</v>
      </c>
      <c r="W1444">
        <v>12.5</v>
      </c>
    </row>
    <row r="1445" spans="1:23" x14ac:dyDescent="0.25">
      <c r="A1445">
        <v>3</v>
      </c>
      <c r="B1445" t="s">
        <v>57</v>
      </c>
      <c r="C1445" s="1">
        <v>44472</v>
      </c>
      <c r="D1445" t="s">
        <v>71</v>
      </c>
      <c r="E1445">
        <v>0</v>
      </c>
      <c r="F1445">
        <v>87</v>
      </c>
      <c r="G1445" t="str">
        <f t="shared" si="30"/>
        <v>81+</v>
      </c>
      <c r="H1445" t="s">
        <v>35</v>
      </c>
      <c r="I1445" t="s">
        <v>46</v>
      </c>
      <c r="J1445" t="s">
        <v>47</v>
      </c>
      <c r="K1445" t="s">
        <v>38</v>
      </c>
      <c r="L1445">
        <v>1</v>
      </c>
      <c r="M1445">
        <v>1</v>
      </c>
      <c r="N1445">
        <v>2.2000000000000002</v>
      </c>
      <c r="O1445">
        <v>9.8000000000000007</v>
      </c>
      <c r="P1445">
        <v>3</v>
      </c>
      <c r="Q1445">
        <v>4</v>
      </c>
      <c r="R1445">
        <v>508617</v>
      </c>
      <c r="S1445">
        <f>Table1[[#This Row],[Revenue]]-Table1[[#This Row],[Operating_Costs]]</f>
        <v>148051</v>
      </c>
      <c r="T1445">
        <v>360566</v>
      </c>
      <c r="U1445">
        <v>17</v>
      </c>
      <c r="V1445">
        <v>55</v>
      </c>
      <c r="W1445">
        <v>12.9</v>
      </c>
    </row>
    <row r="1446" spans="1:23" x14ac:dyDescent="0.25">
      <c r="A1446">
        <v>3</v>
      </c>
      <c r="B1446" t="s">
        <v>57</v>
      </c>
      <c r="C1446" s="1">
        <v>44466</v>
      </c>
      <c r="D1446" t="s">
        <v>71</v>
      </c>
      <c r="E1446">
        <v>0</v>
      </c>
      <c r="F1446">
        <v>39</v>
      </c>
      <c r="G1446" t="str">
        <f t="shared" si="30"/>
        <v>21-40</v>
      </c>
      <c r="H1446" t="s">
        <v>35</v>
      </c>
      <c r="I1446" t="s">
        <v>46</v>
      </c>
      <c r="J1446" t="s">
        <v>47</v>
      </c>
      <c r="K1446" t="s">
        <v>29</v>
      </c>
      <c r="L1446">
        <v>1</v>
      </c>
      <c r="M1446">
        <v>1</v>
      </c>
      <c r="N1446">
        <v>1.5</v>
      </c>
      <c r="O1446">
        <v>8.1999999999999993</v>
      </c>
      <c r="P1446">
        <v>6</v>
      </c>
      <c r="Q1446">
        <v>3</v>
      </c>
      <c r="R1446">
        <v>591343</v>
      </c>
      <c r="S1446">
        <f>Table1[[#This Row],[Revenue]]-Table1[[#This Row],[Operating_Costs]]</f>
        <v>219754</v>
      </c>
      <c r="T1446">
        <v>371589</v>
      </c>
      <c r="U1446">
        <v>15</v>
      </c>
      <c r="V1446">
        <v>66</v>
      </c>
      <c r="W1446">
        <v>8</v>
      </c>
    </row>
    <row r="1447" spans="1:23" x14ac:dyDescent="0.25">
      <c r="A1447">
        <v>3</v>
      </c>
      <c r="B1447" t="s">
        <v>57</v>
      </c>
      <c r="C1447" s="1">
        <v>44252</v>
      </c>
      <c r="D1447" t="s">
        <v>71</v>
      </c>
      <c r="E1447">
        <v>0</v>
      </c>
      <c r="F1447">
        <v>27</v>
      </c>
      <c r="G1447" t="str">
        <f t="shared" si="30"/>
        <v>21-40</v>
      </c>
      <c r="H1447" t="s">
        <v>35</v>
      </c>
      <c r="I1447" t="s">
        <v>31</v>
      </c>
      <c r="J1447" t="s">
        <v>28</v>
      </c>
      <c r="K1447" t="s">
        <v>29</v>
      </c>
      <c r="L1447">
        <v>1</v>
      </c>
      <c r="M1447">
        <v>1</v>
      </c>
      <c r="N1447">
        <v>1.9</v>
      </c>
      <c r="O1447">
        <v>9.5</v>
      </c>
      <c r="P1447">
        <v>4</v>
      </c>
      <c r="Q1447">
        <v>3</v>
      </c>
      <c r="R1447">
        <v>561826</v>
      </c>
      <c r="S1447">
        <f>Table1[[#This Row],[Revenue]]-Table1[[#This Row],[Operating_Costs]]</f>
        <v>229748</v>
      </c>
      <c r="T1447">
        <v>332078</v>
      </c>
      <c r="U1447">
        <v>18</v>
      </c>
      <c r="V1447">
        <v>58</v>
      </c>
      <c r="W1447">
        <v>7.3</v>
      </c>
    </row>
    <row r="1448" spans="1:23" x14ac:dyDescent="0.25">
      <c r="A1448">
        <v>3</v>
      </c>
      <c r="B1448" t="s">
        <v>57</v>
      </c>
      <c r="C1448" s="1">
        <v>45494</v>
      </c>
      <c r="D1448" t="s">
        <v>71</v>
      </c>
      <c r="E1448">
        <v>0</v>
      </c>
      <c r="F1448">
        <v>23</v>
      </c>
      <c r="G1448" t="str">
        <f t="shared" si="30"/>
        <v>21-40</v>
      </c>
      <c r="H1448" t="s">
        <v>35</v>
      </c>
      <c r="I1448" t="s">
        <v>40</v>
      </c>
      <c r="J1448" t="s">
        <v>41</v>
      </c>
      <c r="K1448" t="s">
        <v>38</v>
      </c>
      <c r="L1448">
        <v>1</v>
      </c>
      <c r="M1448">
        <v>1</v>
      </c>
      <c r="N1448">
        <v>6.9</v>
      </c>
      <c r="O1448">
        <v>8.5</v>
      </c>
      <c r="P1448">
        <v>7</v>
      </c>
      <c r="Q1448">
        <v>3</v>
      </c>
      <c r="R1448">
        <v>532760</v>
      </c>
      <c r="S1448">
        <f>Table1[[#This Row],[Revenue]]-Table1[[#This Row],[Operating_Costs]]</f>
        <v>210998</v>
      </c>
      <c r="T1448">
        <v>321762</v>
      </c>
      <c r="U1448">
        <v>23</v>
      </c>
      <c r="V1448">
        <v>60</v>
      </c>
      <c r="W1448">
        <v>7.2</v>
      </c>
    </row>
    <row r="1449" spans="1:23" x14ac:dyDescent="0.25">
      <c r="A1449">
        <v>3</v>
      </c>
      <c r="B1449" t="s">
        <v>57</v>
      </c>
      <c r="C1449" s="1">
        <v>44947</v>
      </c>
      <c r="D1449" t="s">
        <v>71</v>
      </c>
      <c r="E1449">
        <v>0</v>
      </c>
      <c r="F1449">
        <v>67</v>
      </c>
      <c r="G1449" t="str">
        <f t="shared" si="30"/>
        <v>61-80</v>
      </c>
      <c r="H1449" t="s">
        <v>35</v>
      </c>
      <c r="I1449" t="s">
        <v>61</v>
      </c>
      <c r="J1449" t="s">
        <v>62</v>
      </c>
      <c r="K1449" t="s">
        <v>38</v>
      </c>
      <c r="L1449">
        <v>1</v>
      </c>
      <c r="M1449">
        <v>1</v>
      </c>
      <c r="N1449">
        <v>5.3</v>
      </c>
      <c r="O1449">
        <v>9.8000000000000007</v>
      </c>
      <c r="P1449">
        <v>7</v>
      </c>
      <c r="Q1449">
        <v>4</v>
      </c>
      <c r="R1449">
        <v>549431</v>
      </c>
      <c r="S1449">
        <f>Table1[[#This Row],[Revenue]]-Table1[[#This Row],[Operating_Costs]]</f>
        <v>176492</v>
      </c>
      <c r="T1449">
        <v>372939</v>
      </c>
      <c r="U1449">
        <v>19</v>
      </c>
      <c r="V1449">
        <v>65</v>
      </c>
      <c r="W1449">
        <v>12.7</v>
      </c>
    </row>
    <row r="1450" spans="1:23" x14ac:dyDescent="0.25">
      <c r="A1450">
        <v>3</v>
      </c>
      <c r="B1450" t="s">
        <v>57</v>
      </c>
      <c r="C1450" s="1">
        <v>44869</v>
      </c>
      <c r="D1450" t="s">
        <v>71</v>
      </c>
      <c r="E1450">
        <v>0</v>
      </c>
      <c r="F1450">
        <v>33</v>
      </c>
      <c r="G1450" t="str">
        <f t="shared" si="30"/>
        <v>21-40</v>
      </c>
      <c r="H1450" t="s">
        <v>23</v>
      </c>
      <c r="I1450" t="s">
        <v>50</v>
      </c>
      <c r="J1450" t="s">
        <v>51</v>
      </c>
      <c r="K1450" t="s">
        <v>42</v>
      </c>
      <c r="L1450">
        <v>1</v>
      </c>
      <c r="M1450">
        <v>1</v>
      </c>
      <c r="N1450">
        <v>1.2</v>
      </c>
      <c r="O1450">
        <v>8.6999999999999993</v>
      </c>
      <c r="P1450">
        <v>3</v>
      </c>
      <c r="Q1450">
        <v>7</v>
      </c>
      <c r="R1450">
        <v>521700</v>
      </c>
      <c r="S1450">
        <f>Table1[[#This Row],[Revenue]]-Table1[[#This Row],[Operating_Costs]]</f>
        <v>185622</v>
      </c>
      <c r="T1450">
        <v>336078</v>
      </c>
      <c r="U1450">
        <v>22</v>
      </c>
      <c r="V1450">
        <v>56</v>
      </c>
      <c r="W1450">
        <v>10.5</v>
      </c>
    </row>
    <row r="1451" spans="1:23" x14ac:dyDescent="0.25">
      <c r="A1451">
        <v>3</v>
      </c>
      <c r="B1451" t="s">
        <v>57</v>
      </c>
      <c r="C1451" s="1">
        <v>45252</v>
      </c>
      <c r="D1451" t="s">
        <v>71</v>
      </c>
      <c r="E1451">
        <v>0</v>
      </c>
      <c r="F1451">
        <v>71</v>
      </c>
      <c r="G1451" t="str">
        <f t="shared" si="30"/>
        <v>61-80</v>
      </c>
      <c r="H1451" t="s">
        <v>23</v>
      </c>
      <c r="I1451" t="s">
        <v>24</v>
      </c>
      <c r="J1451" t="s">
        <v>25</v>
      </c>
      <c r="K1451" t="s">
        <v>42</v>
      </c>
      <c r="L1451">
        <v>1</v>
      </c>
      <c r="M1451">
        <v>1</v>
      </c>
      <c r="N1451">
        <v>5.3</v>
      </c>
      <c r="O1451">
        <v>8.9</v>
      </c>
      <c r="P1451">
        <v>4</v>
      </c>
      <c r="Q1451">
        <v>3</v>
      </c>
      <c r="R1451">
        <v>596702</v>
      </c>
      <c r="S1451">
        <f>Table1[[#This Row],[Revenue]]-Table1[[#This Row],[Operating_Costs]]</f>
        <v>286412</v>
      </c>
      <c r="T1451">
        <v>310290</v>
      </c>
      <c r="U1451">
        <v>21</v>
      </c>
      <c r="V1451">
        <v>65</v>
      </c>
      <c r="W1451">
        <v>12.6</v>
      </c>
    </row>
    <row r="1452" spans="1:23" x14ac:dyDescent="0.25">
      <c r="A1452">
        <v>3</v>
      </c>
      <c r="B1452" t="s">
        <v>57</v>
      </c>
      <c r="C1452" s="1">
        <v>44763</v>
      </c>
      <c r="D1452" t="s">
        <v>71</v>
      </c>
      <c r="E1452">
        <v>0</v>
      </c>
      <c r="F1452">
        <v>36</v>
      </c>
      <c r="G1452" t="str">
        <f t="shared" si="30"/>
        <v>21-40</v>
      </c>
      <c r="H1452" t="s">
        <v>35</v>
      </c>
      <c r="I1452" t="s">
        <v>64</v>
      </c>
      <c r="J1452" t="s">
        <v>65</v>
      </c>
      <c r="K1452" t="s">
        <v>26</v>
      </c>
      <c r="L1452">
        <v>1</v>
      </c>
      <c r="M1452">
        <v>1</v>
      </c>
      <c r="N1452">
        <v>5.2</v>
      </c>
      <c r="O1452">
        <v>9.9</v>
      </c>
      <c r="P1452">
        <v>4</v>
      </c>
      <c r="Q1452">
        <v>6</v>
      </c>
      <c r="R1452">
        <v>514246</v>
      </c>
      <c r="S1452">
        <f>Table1[[#This Row],[Revenue]]-Table1[[#This Row],[Operating_Costs]]</f>
        <v>123617</v>
      </c>
      <c r="T1452">
        <v>390629</v>
      </c>
      <c r="U1452">
        <v>24</v>
      </c>
      <c r="V1452">
        <v>59</v>
      </c>
      <c r="W1452">
        <v>6.9</v>
      </c>
    </row>
    <row r="1453" spans="1:23" x14ac:dyDescent="0.25">
      <c r="A1453">
        <v>3</v>
      </c>
      <c r="B1453" t="s">
        <v>57</v>
      </c>
      <c r="C1453" s="1">
        <v>45386</v>
      </c>
      <c r="D1453" t="s">
        <v>71</v>
      </c>
      <c r="E1453">
        <v>0</v>
      </c>
      <c r="F1453">
        <v>36</v>
      </c>
      <c r="G1453" t="str">
        <f t="shared" si="30"/>
        <v>21-40</v>
      </c>
      <c r="H1453" t="s">
        <v>35</v>
      </c>
      <c r="I1453" t="s">
        <v>61</v>
      </c>
      <c r="J1453" t="s">
        <v>62</v>
      </c>
      <c r="K1453" t="s">
        <v>33</v>
      </c>
      <c r="L1453">
        <v>1</v>
      </c>
      <c r="M1453">
        <v>1</v>
      </c>
      <c r="N1453">
        <v>3.9</v>
      </c>
      <c r="O1453">
        <v>8.9</v>
      </c>
      <c r="P1453">
        <v>4</v>
      </c>
      <c r="Q1453">
        <v>6</v>
      </c>
      <c r="R1453">
        <v>572747</v>
      </c>
      <c r="S1453">
        <f>Table1[[#This Row],[Revenue]]-Table1[[#This Row],[Operating_Costs]]</f>
        <v>270593</v>
      </c>
      <c r="T1453">
        <v>302154</v>
      </c>
      <c r="U1453">
        <v>23</v>
      </c>
      <c r="V1453">
        <v>66</v>
      </c>
      <c r="W1453">
        <v>8</v>
      </c>
    </row>
    <row r="1454" spans="1:23" x14ac:dyDescent="0.25">
      <c r="A1454">
        <v>3</v>
      </c>
      <c r="B1454" t="s">
        <v>57</v>
      </c>
      <c r="C1454" s="1">
        <v>45029</v>
      </c>
      <c r="D1454" t="s">
        <v>71</v>
      </c>
      <c r="E1454">
        <v>0</v>
      </c>
      <c r="F1454">
        <v>83</v>
      </c>
      <c r="G1454" t="str">
        <f t="shared" si="30"/>
        <v>81+</v>
      </c>
      <c r="H1454" t="s">
        <v>35</v>
      </c>
      <c r="I1454" t="s">
        <v>64</v>
      </c>
      <c r="J1454" t="s">
        <v>65</v>
      </c>
      <c r="K1454" t="s">
        <v>42</v>
      </c>
      <c r="L1454">
        <v>1</v>
      </c>
      <c r="M1454">
        <v>1</v>
      </c>
      <c r="N1454">
        <v>2.2000000000000002</v>
      </c>
      <c r="O1454">
        <v>9.9</v>
      </c>
      <c r="P1454">
        <v>5</v>
      </c>
      <c r="Q1454">
        <v>4</v>
      </c>
      <c r="R1454">
        <v>584758</v>
      </c>
      <c r="S1454">
        <f>Table1[[#This Row],[Revenue]]-Table1[[#This Row],[Operating_Costs]]</f>
        <v>220312</v>
      </c>
      <c r="T1454">
        <v>364446</v>
      </c>
      <c r="U1454">
        <v>25</v>
      </c>
      <c r="V1454">
        <v>60</v>
      </c>
      <c r="W1454">
        <v>8.6</v>
      </c>
    </row>
    <row r="1455" spans="1:23" x14ac:dyDescent="0.25">
      <c r="A1455">
        <v>3</v>
      </c>
      <c r="B1455" t="s">
        <v>57</v>
      </c>
      <c r="C1455" s="1">
        <v>44666</v>
      </c>
      <c r="D1455" t="s">
        <v>71</v>
      </c>
      <c r="E1455">
        <v>0</v>
      </c>
      <c r="F1455">
        <v>24</v>
      </c>
      <c r="G1455" t="str">
        <f t="shared" si="30"/>
        <v>21-40</v>
      </c>
      <c r="H1455" t="s">
        <v>23</v>
      </c>
      <c r="I1455" t="s">
        <v>50</v>
      </c>
      <c r="J1455" t="s">
        <v>51</v>
      </c>
      <c r="K1455" t="s">
        <v>33</v>
      </c>
      <c r="L1455">
        <v>1</v>
      </c>
      <c r="M1455">
        <v>1</v>
      </c>
      <c r="N1455">
        <v>5.7</v>
      </c>
      <c r="O1455">
        <v>7.1</v>
      </c>
      <c r="P1455">
        <v>4</v>
      </c>
      <c r="Q1455">
        <v>5</v>
      </c>
      <c r="R1455">
        <v>585280</v>
      </c>
      <c r="S1455">
        <f>Table1[[#This Row],[Revenue]]-Table1[[#This Row],[Operating_Costs]]</f>
        <v>199637</v>
      </c>
      <c r="T1455">
        <v>385643</v>
      </c>
      <c r="U1455">
        <v>21</v>
      </c>
      <c r="V1455">
        <v>63</v>
      </c>
      <c r="W1455">
        <v>12.2</v>
      </c>
    </row>
    <row r="1456" spans="1:23" x14ac:dyDescent="0.25">
      <c r="A1456">
        <v>3</v>
      </c>
      <c r="B1456" t="s">
        <v>57</v>
      </c>
      <c r="C1456" s="1">
        <v>45161</v>
      </c>
      <c r="D1456" t="s">
        <v>71</v>
      </c>
      <c r="E1456">
        <v>0</v>
      </c>
      <c r="F1456">
        <v>77</v>
      </c>
      <c r="G1456" t="str">
        <f t="shared" si="30"/>
        <v>61-80</v>
      </c>
      <c r="H1456" t="s">
        <v>35</v>
      </c>
      <c r="I1456" t="s">
        <v>40</v>
      </c>
      <c r="J1456" t="s">
        <v>41</v>
      </c>
      <c r="K1456" t="s">
        <v>33</v>
      </c>
      <c r="L1456">
        <v>1</v>
      </c>
      <c r="M1456">
        <v>1</v>
      </c>
      <c r="N1456">
        <v>1</v>
      </c>
      <c r="O1456">
        <v>9.1</v>
      </c>
      <c r="P1456">
        <v>7</v>
      </c>
      <c r="Q1456">
        <v>7</v>
      </c>
      <c r="R1456">
        <v>574826</v>
      </c>
      <c r="S1456">
        <f>Table1[[#This Row],[Revenue]]-Table1[[#This Row],[Operating_Costs]]</f>
        <v>223904</v>
      </c>
      <c r="T1456">
        <v>350922</v>
      </c>
      <c r="U1456">
        <v>15</v>
      </c>
      <c r="V1456">
        <v>56</v>
      </c>
      <c r="W1456">
        <v>8.4</v>
      </c>
    </row>
    <row r="1457" spans="1:23" x14ac:dyDescent="0.25">
      <c r="A1457">
        <v>3</v>
      </c>
      <c r="B1457" t="s">
        <v>57</v>
      </c>
      <c r="C1457" s="1">
        <v>45438</v>
      </c>
      <c r="D1457" t="s">
        <v>71</v>
      </c>
      <c r="E1457">
        <v>0</v>
      </c>
      <c r="F1457">
        <v>49</v>
      </c>
      <c r="G1457" t="str">
        <f t="shared" si="30"/>
        <v>41-60</v>
      </c>
      <c r="H1457" t="s">
        <v>35</v>
      </c>
      <c r="I1457" t="s">
        <v>27</v>
      </c>
      <c r="J1457" t="s">
        <v>28</v>
      </c>
      <c r="K1457" t="s">
        <v>29</v>
      </c>
      <c r="L1457">
        <v>1</v>
      </c>
      <c r="M1457">
        <v>1</v>
      </c>
      <c r="N1457">
        <v>4.5</v>
      </c>
      <c r="O1457">
        <v>8.9</v>
      </c>
      <c r="P1457">
        <v>7</v>
      </c>
      <c r="Q1457">
        <v>4</v>
      </c>
      <c r="R1457">
        <v>568597</v>
      </c>
      <c r="S1457">
        <f>Table1[[#This Row],[Revenue]]-Table1[[#This Row],[Operating_Costs]]</f>
        <v>184426</v>
      </c>
      <c r="T1457">
        <v>384171</v>
      </c>
      <c r="U1457">
        <v>24</v>
      </c>
      <c r="V1457">
        <v>62</v>
      </c>
      <c r="W1457">
        <v>7.3</v>
      </c>
    </row>
    <row r="1458" spans="1:23" x14ac:dyDescent="0.25">
      <c r="A1458">
        <v>3</v>
      </c>
      <c r="B1458" t="s">
        <v>57</v>
      </c>
      <c r="C1458" s="1">
        <v>45041</v>
      </c>
      <c r="D1458" t="s">
        <v>71</v>
      </c>
      <c r="E1458">
        <v>0</v>
      </c>
      <c r="F1458">
        <v>42</v>
      </c>
      <c r="G1458" t="str">
        <f t="shared" si="30"/>
        <v>41-60</v>
      </c>
      <c r="H1458" t="s">
        <v>35</v>
      </c>
      <c r="I1458" t="s">
        <v>36</v>
      </c>
      <c r="J1458" t="s">
        <v>37</v>
      </c>
      <c r="K1458" t="s">
        <v>38</v>
      </c>
      <c r="L1458">
        <v>1</v>
      </c>
      <c r="M1458">
        <v>1</v>
      </c>
      <c r="N1458">
        <v>5</v>
      </c>
      <c r="O1458">
        <v>9.8000000000000007</v>
      </c>
      <c r="P1458">
        <v>4</v>
      </c>
      <c r="Q1458">
        <v>4</v>
      </c>
      <c r="R1458">
        <v>517837</v>
      </c>
      <c r="S1458">
        <f>Table1[[#This Row],[Revenue]]-Table1[[#This Row],[Operating_Costs]]</f>
        <v>165903</v>
      </c>
      <c r="T1458">
        <v>351934</v>
      </c>
      <c r="U1458">
        <v>19</v>
      </c>
      <c r="V1458">
        <v>62</v>
      </c>
      <c r="W1458">
        <v>9.3000000000000007</v>
      </c>
    </row>
    <row r="1459" spans="1:23" x14ac:dyDescent="0.25">
      <c r="A1459">
        <v>3</v>
      </c>
      <c r="B1459" t="s">
        <v>57</v>
      </c>
      <c r="C1459" s="1">
        <v>45504</v>
      </c>
      <c r="D1459" t="s">
        <v>71</v>
      </c>
      <c r="E1459">
        <v>0</v>
      </c>
      <c r="F1459">
        <v>75</v>
      </c>
      <c r="G1459" t="str">
        <f t="shared" si="30"/>
        <v>61-80</v>
      </c>
      <c r="H1459" t="s">
        <v>23</v>
      </c>
      <c r="I1459" t="s">
        <v>24</v>
      </c>
      <c r="J1459" t="s">
        <v>25</v>
      </c>
      <c r="K1459" t="s">
        <v>42</v>
      </c>
      <c r="L1459">
        <v>1</v>
      </c>
      <c r="M1459">
        <v>1</v>
      </c>
      <c r="N1459">
        <v>2</v>
      </c>
      <c r="O1459">
        <v>7.9</v>
      </c>
      <c r="P1459">
        <v>5</v>
      </c>
      <c r="Q1459">
        <v>3</v>
      </c>
      <c r="R1459">
        <v>544971</v>
      </c>
      <c r="S1459">
        <f>Table1[[#This Row],[Revenue]]-Table1[[#This Row],[Operating_Costs]]</f>
        <v>202119</v>
      </c>
      <c r="T1459">
        <v>342852</v>
      </c>
      <c r="U1459">
        <v>17</v>
      </c>
      <c r="V1459">
        <v>62</v>
      </c>
      <c r="W1459">
        <v>6.9</v>
      </c>
    </row>
    <row r="1460" spans="1:23" x14ac:dyDescent="0.25">
      <c r="A1460">
        <v>3</v>
      </c>
      <c r="B1460" t="s">
        <v>57</v>
      </c>
      <c r="C1460" s="1">
        <v>45559</v>
      </c>
      <c r="D1460" t="s">
        <v>71</v>
      </c>
      <c r="E1460">
        <v>0</v>
      </c>
      <c r="F1460">
        <v>76</v>
      </c>
      <c r="G1460" t="str">
        <f t="shared" si="30"/>
        <v>61-80</v>
      </c>
      <c r="H1460" t="s">
        <v>23</v>
      </c>
      <c r="I1460" t="s">
        <v>24</v>
      </c>
      <c r="J1460" t="s">
        <v>25</v>
      </c>
      <c r="K1460" t="s">
        <v>26</v>
      </c>
      <c r="L1460">
        <v>1</v>
      </c>
      <c r="M1460">
        <v>1</v>
      </c>
      <c r="N1460">
        <v>3.3</v>
      </c>
      <c r="O1460">
        <v>9.3000000000000007</v>
      </c>
      <c r="P1460">
        <v>6</v>
      </c>
      <c r="Q1460">
        <v>4</v>
      </c>
      <c r="R1460">
        <v>506334</v>
      </c>
      <c r="S1460">
        <f>Table1[[#This Row],[Revenue]]-Table1[[#This Row],[Operating_Costs]]</f>
        <v>169714</v>
      </c>
      <c r="T1460">
        <v>336620</v>
      </c>
      <c r="U1460">
        <v>25</v>
      </c>
      <c r="V1460">
        <v>63</v>
      </c>
      <c r="W1460">
        <v>8.1</v>
      </c>
    </row>
    <row r="1461" spans="1:23" x14ac:dyDescent="0.25">
      <c r="A1461">
        <v>3</v>
      </c>
      <c r="B1461" t="s">
        <v>57</v>
      </c>
      <c r="C1461" s="1">
        <v>44886</v>
      </c>
      <c r="D1461" t="s">
        <v>71</v>
      </c>
      <c r="E1461">
        <v>0</v>
      </c>
      <c r="F1461">
        <v>49</v>
      </c>
      <c r="G1461" t="str">
        <f t="shared" si="30"/>
        <v>41-60</v>
      </c>
      <c r="H1461" t="s">
        <v>35</v>
      </c>
      <c r="I1461" t="s">
        <v>50</v>
      </c>
      <c r="J1461" t="s">
        <v>51</v>
      </c>
      <c r="K1461" t="s">
        <v>26</v>
      </c>
      <c r="L1461">
        <v>1</v>
      </c>
      <c r="M1461">
        <v>1</v>
      </c>
      <c r="N1461">
        <v>3.7</v>
      </c>
      <c r="O1461">
        <v>8.3000000000000007</v>
      </c>
      <c r="P1461">
        <v>7</v>
      </c>
      <c r="Q1461">
        <v>5</v>
      </c>
      <c r="R1461">
        <v>593061</v>
      </c>
      <c r="S1461">
        <f>Table1[[#This Row],[Revenue]]-Table1[[#This Row],[Operating_Costs]]</f>
        <v>277419</v>
      </c>
      <c r="T1461">
        <v>315642</v>
      </c>
      <c r="U1461">
        <v>16</v>
      </c>
      <c r="V1461">
        <v>59</v>
      </c>
      <c r="W1461">
        <v>8.1</v>
      </c>
    </row>
    <row r="1462" spans="1:23" x14ac:dyDescent="0.25">
      <c r="A1462">
        <v>3</v>
      </c>
      <c r="B1462" t="s">
        <v>57</v>
      </c>
      <c r="C1462" s="1">
        <v>44223</v>
      </c>
      <c r="D1462" t="s">
        <v>71</v>
      </c>
      <c r="E1462">
        <v>0</v>
      </c>
      <c r="F1462">
        <v>34</v>
      </c>
      <c r="G1462" t="str">
        <f t="shared" si="30"/>
        <v>21-40</v>
      </c>
      <c r="H1462" t="s">
        <v>35</v>
      </c>
      <c r="I1462" t="s">
        <v>60</v>
      </c>
      <c r="J1462" t="s">
        <v>59</v>
      </c>
      <c r="K1462" t="s">
        <v>42</v>
      </c>
      <c r="L1462">
        <v>1</v>
      </c>
      <c r="M1462">
        <v>1</v>
      </c>
      <c r="N1462">
        <v>1.9</v>
      </c>
      <c r="O1462">
        <v>9.1</v>
      </c>
      <c r="P1462">
        <v>4</v>
      </c>
      <c r="Q1462">
        <v>4</v>
      </c>
      <c r="R1462">
        <v>513620</v>
      </c>
      <c r="S1462">
        <f>Table1[[#This Row],[Revenue]]-Table1[[#This Row],[Operating_Costs]]</f>
        <v>135077</v>
      </c>
      <c r="T1462">
        <v>378543</v>
      </c>
      <c r="U1462">
        <v>16</v>
      </c>
      <c r="V1462">
        <v>55</v>
      </c>
      <c r="W1462">
        <v>10.5</v>
      </c>
    </row>
    <row r="1463" spans="1:23" x14ac:dyDescent="0.25">
      <c r="A1463">
        <v>3</v>
      </c>
      <c r="B1463" t="s">
        <v>57</v>
      </c>
      <c r="C1463" s="1">
        <v>44545</v>
      </c>
      <c r="D1463" t="s">
        <v>71</v>
      </c>
      <c r="E1463">
        <v>0</v>
      </c>
      <c r="F1463">
        <v>39</v>
      </c>
      <c r="G1463" t="str">
        <f t="shared" si="30"/>
        <v>21-40</v>
      </c>
      <c r="H1463" t="s">
        <v>23</v>
      </c>
      <c r="I1463" t="s">
        <v>24</v>
      </c>
      <c r="J1463" t="s">
        <v>25</v>
      </c>
      <c r="K1463" t="s">
        <v>42</v>
      </c>
      <c r="L1463">
        <v>1</v>
      </c>
      <c r="M1463">
        <v>1</v>
      </c>
      <c r="N1463">
        <v>1.3</v>
      </c>
      <c r="O1463">
        <v>9.9</v>
      </c>
      <c r="P1463">
        <v>3</v>
      </c>
      <c r="Q1463">
        <v>3</v>
      </c>
      <c r="R1463">
        <v>556900</v>
      </c>
      <c r="S1463">
        <f>Table1[[#This Row],[Revenue]]-Table1[[#This Row],[Operating_Costs]]</f>
        <v>166263</v>
      </c>
      <c r="T1463">
        <v>390637</v>
      </c>
      <c r="U1463">
        <v>25</v>
      </c>
      <c r="V1463">
        <v>64</v>
      </c>
      <c r="W1463">
        <v>8.1</v>
      </c>
    </row>
    <row r="1464" spans="1:23" x14ac:dyDescent="0.25">
      <c r="A1464">
        <v>3</v>
      </c>
      <c r="B1464" t="s">
        <v>57</v>
      </c>
      <c r="C1464" s="1">
        <v>44533</v>
      </c>
      <c r="D1464" t="s">
        <v>71</v>
      </c>
      <c r="E1464">
        <v>0</v>
      </c>
      <c r="F1464">
        <v>86</v>
      </c>
      <c r="G1464" t="str">
        <f t="shared" si="30"/>
        <v>81+</v>
      </c>
      <c r="H1464" t="s">
        <v>35</v>
      </c>
      <c r="I1464" t="s">
        <v>64</v>
      </c>
      <c r="J1464" t="s">
        <v>65</v>
      </c>
      <c r="K1464" t="s">
        <v>29</v>
      </c>
      <c r="L1464">
        <v>1</v>
      </c>
      <c r="M1464">
        <v>1</v>
      </c>
      <c r="N1464">
        <v>2.1</v>
      </c>
      <c r="O1464">
        <v>9.1999999999999993</v>
      </c>
      <c r="P1464">
        <v>5</v>
      </c>
      <c r="Q1464">
        <v>4</v>
      </c>
      <c r="R1464">
        <v>532894</v>
      </c>
      <c r="S1464">
        <f>Table1[[#This Row],[Revenue]]-Table1[[#This Row],[Operating_Costs]]</f>
        <v>162417</v>
      </c>
      <c r="T1464">
        <v>370477</v>
      </c>
      <c r="U1464">
        <v>24</v>
      </c>
      <c r="V1464">
        <v>59</v>
      </c>
      <c r="W1464">
        <v>7.4</v>
      </c>
    </row>
    <row r="1465" spans="1:23" x14ac:dyDescent="0.25">
      <c r="A1465">
        <v>3</v>
      </c>
      <c r="B1465" t="s">
        <v>57</v>
      </c>
      <c r="C1465" s="1">
        <v>44605</v>
      </c>
      <c r="D1465" t="s">
        <v>71</v>
      </c>
      <c r="E1465">
        <v>0</v>
      </c>
      <c r="F1465">
        <v>47</v>
      </c>
      <c r="G1465" t="str">
        <f t="shared" si="30"/>
        <v>41-60</v>
      </c>
      <c r="H1465" t="s">
        <v>35</v>
      </c>
      <c r="I1465" t="s">
        <v>60</v>
      </c>
      <c r="J1465" t="s">
        <v>59</v>
      </c>
      <c r="K1465" t="s">
        <v>42</v>
      </c>
      <c r="L1465">
        <v>1</v>
      </c>
      <c r="M1465">
        <v>1</v>
      </c>
      <c r="N1465">
        <v>1.4</v>
      </c>
      <c r="O1465">
        <v>7.4</v>
      </c>
      <c r="P1465">
        <v>7</v>
      </c>
      <c r="Q1465">
        <v>5</v>
      </c>
      <c r="R1465">
        <v>542917</v>
      </c>
      <c r="S1465">
        <f>Table1[[#This Row],[Revenue]]-Table1[[#This Row],[Operating_Costs]]</f>
        <v>235112</v>
      </c>
      <c r="T1465">
        <v>307805</v>
      </c>
      <c r="U1465">
        <v>19</v>
      </c>
      <c r="V1465">
        <v>65</v>
      </c>
      <c r="W1465">
        <v>5.9</v>
      </c>
    </row>
    <row r="1466" spans="1:23" x14ac:dyDescent="0.25">
      <c r="A1466">
        <v>3</v>
      </c>
      <c r="B1466" t="s">
        <v>57</v>
      </c>
      <c r="C1466" s="1">
        <v>44333</v>
      </c>
      <c r="D1466" t="s">
        <v>71</v>
      </c>
      <c r="E1466">
        <v>0</v>
      </c>
      <c r="F1466">
        <v>34</v>
      </c>
      <c r="G1466" t="str">
        <f t="shared" si="30"/>
        <v>21-40</v>
      </c>
      <c r="H1466" t="s">
        <v>35</v>
      </c>
      <c r="I1466" t="s">
        <v>61</v>
      </c>
      <c r="J1466" t="s">
        <v>62</v>
      </c>
      <c r="K1466" t="s">
        <v>29</v>
      </c>
      <c r="L1466">
        <v>1</v>
      </c>
      <c r="M1466">
        <v>1</v>
      </c>
      <c r="N1466">
        <v>1.9</v>
      </c>
      <c r="O1466">
        <v>8.1</v>
      </c>
      <c r="P1466">
        <v>6</v>
      </c>
      <c r="Q1466">
        <v>5</v>
      </c>
      <c r="R1466">
        <v>585344</v>
      </c>
      <c r="S1466">
        <f>Table1[[#This Row],[Revenue]]-Table1[[#This Row],[Operating_Costs]]</f>
        <v>231711</v>
      </c>
      <c r="T1466">
        <v>353633</v>
      </c>
      <c r="U1466">
        <v>18</v>
      </c>
      <c r="V1466">
        <v>57</v>
      </c>
      <c r="W1466">
        <v>12.9</v>
      </c>
    </row>
    <row r="1467" spans="1:23" x14ac:dyDescent="0.25">
      <c r="A1467">
        <v>3</v>
      </c>
      <c r="B1467" t="s">
        <v>57</v>
      </c>
      <c r="C1467" s="1">
        <v>44753</v>
      </c>
      <c r="D1467" t="s">
        <v>71</v>
      </c>
      <c r="E1467">
        <v>0</v>
      </c>
      <c r="F1467">
        <v>70</v>
      </c>
      <c r="G1467" t="str">
        <f t="shared" si="30"/>
        <v>61-80</v>
      </c>
      <c r="H1467" t="s">
        <v>23</v>
      </c>
      <c r="I1467" t="s">
        <v>46</v>
      </c>
      <c r="J1467" t="s">
        <v>47</v>
      </c>
      <c r="K1467" t="s">
        <v>33</v>
      </c>
      <c r="L1467">
        <v>1</v>
      </c>
      <c r="M1467">
        <v>1</v>
      </c>
      <c r="N1467">
        <v>1.4</v>
      </c>
      <c r="O1467">
        <v>8.4</v>
      </c>
      <c r="P1467">
        <v>6</v>
      </c>
      <c r="Q1467">
        <v>3</v>
      </c>
      <c r="R1467">
        <v>521427</v>
      </c>
      <c r="S1467">
        <f>Table1[[#This Row],[Revenue]]-Table1[[#This Row],[Operating_Costs]]</f>
        <v>163104</v>
      </c>
      <c r="T1467">
        <v>358323</v>
      </c>
      <c r="U1467">
        <v>17</v>
      </c>
      <c r="V1467">
        <v>54</v>
      </c>
      <c r="W1467">
        <v>13.7</v>
      </c>
    </row>
    <row r="1468" spans="1:23" x14ac:dyDescent="0.25">
      <c r="A1468">
        <v>3</v>
      </c>
      <c r="B1468" t="s">
        <v>57</v>
      </c>
      <c r="C1468" s="1">
        <v>44958</v>
      </c>
      <c r="D1468" t="s">
        <v>71</v>
      </c>
      <c r="E1468">
        <v>0</v>
      </c>
      <c r="F1468">
        <v>88</v>
      </c>
      <c r="G1468" t="str">
        <f t="shared" si="30"/>
        <v>81+</v>
      </c>
      <c r="H1468" t="s">
        <v>23</v>
      </c>
      <c r="I1468" t="s">
        <v>58</v>
      </c>
      <c r="J1468" t="s">
        <v>59</v>
      </c>
      <c r="K1468" t="s">
        <v>38</v>
      </c>
      <c r="L1468">
        <v>1</v>
      </c>
      <c r="M1468">
        <v>1</v>
      </c>
      <c r="N1468">
        <v>5.9</v>
      </c>
      <c r="O1468">
        <v>9.6999999999999993</v>
      </c>
      <c r="P1468">
        <v>4</v>
      </c>
      <c r="Q1468">
        <v>4</v>
      </c>
      <c r="R1468">
        <v>599267</v>
      </c>
      <c r="S1468">
        <f>Table1[[#This Row],[Revenue]]-Table1[[#This Row],[Operating_Costs]]</f>
        <v>273236</v>
      </c>
      <c r="T1468">
        <v>326031</v>
      </c>
      <c r="U1468">
        <v>22</v>
      </c>
      <c r="V1468">
        <v>57</v>
      </c>
      <c r="W1468">
        <v>12.3</v>
      </c>
    </row>
    <row r="1469" spans="1:23" x14ac:dyDescent="0.25">
      <c r="A1469">
        <v>3</v>
      </c>
      <c r="B1469" t="s">
        <v>57</v>
      </c>
      <c r="C1469" s="1">
        <v>45420</v>
      </c>
      <c r="D1469" t="s">
        <v>71</v>
      </c>
      <c r="E1469">
        <v>0</v>
      </c>
      <c r="F1469">
        <v>36</v>
      </c>
      <c r="G1469" t="str">
        <f t="shared" si="30"/>
        <v>21-40</v>
      </c>
      <c r="H1469" t="s">
        <v>23</v>
      </c>
      <c r="I1469" t="s">
        <v>40</v>
      </c>
      <c r="J1469" t="s">
        <v>41</v>
      </c>
      <c r="K1469" t="s">
        <v>33</v>
      </c>
      <c r="L1469">
        <v>1</v>
      </c>
      <c r="M1469">
        <v>1</v>
      </c>
      <c r="N1469">
        <v>6.6</v>
      </c>
      <c r="O1469">
        <v>7</v>
      </c>
      <c r="P1469">
        <v>5</v>
      </c>
      <c r="Q1469">
        <v>4</v>
      </c>
      <c r="R1469">
        <v>568879</v>
      </c>
      <c r="S1469">
        <f>Table1[[#This Row],[Revenue]]-Table1[[#This Row],[Operating_Costs]]</f>
        <v>183501</v>
      </c>
      <c r="T1469">
        <v>385378</v>
      </c>
      <c r="U1469">
        <v>17</v>
      </c>
      <c r="V1469">
        <v>61</v>
      </c>
      <c r="W1469">
        <v>6.4</v>
      </c>
    </row>
    <row r="1470" spans="1:23" x14ac:dyDescent="0.25">
      <c r="A1470">
        <v>3</v>
      </c>
      <c r="B1470" t="s">
        <v>57</v>
      </c>
      <c r="C1470" s="1">
        <v>45108</v>
      </c>
      <c r="D1470" t="s">
        <v>71</v>
      </c>
      <c r="E1470">
        <v>0</v>
      </c>
      <c r="F1470">
        <v>59</v>
      </c>
      <c r="G1470" t="str">
        <f t="shared" si="30"/>
        <v>41-60</v>
      </c>
      <c r="H1470" t="s">
        <v>23</v>
      </c>
      <c r="I1470" t="s">
        <v>58</v>
      </c>
      <c r="J1470" t="s">
        <v>59</v>
      </c>
      <c r="K1470" t="s">
        <v>42</v>
      </c>
      <c r="L1470">
        <v>1</v>
      </c>
      <c r="M1470">
        <v>1</v>
      </c>
      <c r="N1470">
        <v>3.2</v>
      </c>
      <c r="O1470">
        <v>8.4</v>
      </c>
      <c r="P1470">
        <v>4</v>
      </c>
      <c r="Q1470">
        <v>6</v>
      </c>
      <c r="R1470">
        <v>558991</v>
      </c>
      <c r="S1470">
        <f>Table1[[#This Row],[Revenue]]-Table1[[#This Row],[Operating_Costs]]</f>
        <v>188525</v>
      </c>
      <c r="T1470">
        <v>370466</v>
      </c>
      <c r="U1470">
        <v>18</v>
      </c>
      <c r="V1470">
        <v>57</v>
      </c>
      <c r="W1470">
        <v>12.5</v>
      </c>
    </row>
    <row r="1471" spans="1:23" x14ac:dyDescent="0.25">
      <c r="A1471">
        <v>3</v>
      </c>
      <c r="B1471" t="s">
        <v>57</v>
      </c>
      <c r="C1471" s="1">
        <v>45649</v>
      </c>
      <c r="D1471" t="s">
        <v>71</v>
      </c>
      <c r="E1471">
        <v>0</v>
      </c>
      <c r="F1471">
        <v>28</v>
      </c>
      <c r="G1471" t="str">
        <f t="shared" si="30"/>
        <v>21-40</v>
      </c>
      <c r="H1471" t="s">
        <v>35</v>
      </c>
      <c r="I1471" t="s">
        <v>58</v>
      </c>
      <c r="J1471" t="s">
        <v>59</v>
      </c>
      <c r="K1471" t="s">
        <v>33</v>
      </c>
      <c r="L1471">
        <v>1</v>
      </c>
      <c r="M1471">
        <v>1</v>
      </c>
      <c r="N1471">
        <v>4.7</v>
      </c>
      <c r="O1471">
        <v>9.3000000000000007</v>
      </c>
      <c r="P1471">
        <v>3</v>
      </c>
      <c r="Q1471">
        <v>7</v>
      </c>
      <c r="R1471">
        <v>512207</v>
      </c>
      <c r="S1471">
        <f>Table1[[#This Row],[Revenue]]-Table1[[#This Row],[Operating_Costs]]</f>
        <v>112461</v>
      </c>
      <c r="T1471">
        <v>399746</v>
      </c>
      <c r="U1471">
        <v>15</v>
      </c>
      <c r="V1471">
        <v>56</v>
      </c>
      <c r="W1471">
        <v>6</v>
      </c>
    </row>
    <row r="1472" spans="1:23" x14ac:dyDescent="0.25">
      <c r="A1472">
        <v>3</v>
      </c>
      <c r="B1472" t="s">
        <v>57</v>
      </c>
      <c r="C1472" s="1">
        <v>44680</v>
      </c>
      <c r="D1472" t="s">
        <v>71</v>
      </c>
      <c r="E1472">
        <v>0</v>
      </c>
      <c r="F1472">
        <v>47</v>
      </c>
      <c r="G1472" t="str">
        <f t="shared" si="30"/>
        <v>41-60</v>
      </c>
      <c r="H1472" t="s">
        <v>23</v>
      </c>
      <c r="I1472" t="s">
        <v>24</v>
      </c>
      <c r="J1472" t="s">
        <v>25</v>
      </c>
      <c r="K1472" t="s">
        <v>33</v>
      </c>
      <c r="L1472">
        <v>1</v>
      </c>
      <c r="M1472">
        <v>1</v>
      </c>
      <c r="N1472">
        <v>5.0999999999999996</v>
      </c>
      <c r="O1472">
        <v>9.1999999999999993</v>
      </c>
      <c r="P1472">
        <v>4</v>
      </c>
      <c r="Q1472">
        <v>7</v>
      </c>
      <c r="R1472">
        <v>562012</v>
      </c>
      <c r="S1472">
        <f>Table1[[#This Row],[Revenue]]-Table1[[#This Row],[Operating_Costs]]</f>
        <v>238257</v>
      </c>
      <c r="T1472">
        <v>323755</v>
      </c>
      <c r="U1472">
        <v>21</v>
      </c>
      <c r="V1472">
        <v>60</v>
      </c>
      <c r="W1472">
        <v>8</v>
      </c>
    </row>
    <row r="1473" spans="1:23" x14ac:dyDescent="0.25">
      <c r="A1473">
        <v>3</v>
      </c>
      <c r="B1473" t="s">
        <v>57</v>
      </c>
      <c r="C1473" s="1">
        <v>44883</v>
      </c>
      <c r="D1473" t="s">
        <v>71</v>
      </c>
      <c r="E1473">
        <v>0</v>
      </c>
      <c r="F1473">
        <v>88</v>
      </c>
      <c r="G1473" t="str">
        <f t="shared" si="30"/>
        <v>81+</v>
      </c>
      <c r="H1473" t="s">
        <v>23</v>
      </c>
      <c r="I1473" t="s">
        <v>31</v>
      </c>
      <c r="J1473" t="s">
        <v>28</v>
      </c>
      <c r="K1473" t="s">
        <v>29</v>
      </c>
      <c r="L1473">
        <v>1</v>
      </c>
      <c r="M1473">
        <v>1</v>
      </c>
      <c r="N1473">
        <v>5.8</v>
      </c>
      <c r="O1473">
        <v>8.1999999999999993</v>
      </c>
      <c r="P1473">
        <v>7</v>
      </c>
      <c r="Q1473">
        <v>6</v>
      </c>
      <c r="R1473">
        <v>597045</v>
      </c>
      <c r="S1473">
        <f>Table1[[#This Row],[Revenue]]-Table1[[#This Row],[Operating_Costs]]</f>
        <v>253378</v>
      </c>
      <c r="T1473">
        <v>343667</v>
      </c>
      <c r="U1473">
        <v>18</v>
      </c>
      <c r="V1473">
        <v>59</v>
      </c>
      <c r="W1473">
        <v>7.2</v>
      </c>
    </row>
    <row r="1474" spans="1:23" x14ac:dyDescent="0.25">
      <c r="A1474">
        <v>3</v>
      </c>
      <c r="B1474" t="s">
        <v>57</v>
      </c>
      <c r="C1474" s="1">
        <v>45421</v>
      </c>
      <c r="D1474" t="s">
        <v>71</v>
      </c>
      <c r="E1474">
        <v>0</v>
      </c>
      <c r="F1474">
        <v>44</v>
      </c>
      <c r="G1474" t="str">
        <f t="shared" si="30"/>
        <v>41-60</v>
      </c>
      <c r="H1474" t="s">
        <v>35</v>
      </c>
      <c r="I1474" t="s">
        <v>36</v>
      </c>
      <c r="J1474" t="s">
        <v>37</v>
      </c>
      <c r="K1474" t="s">
        <v>26</v>
      </c>
      <c r="L1474">
        <v>1</v>
      </c>
      <c r="M1474">
        <v>1</v>
      </c>
      <c r="N1474">
        <v>2</v>
      </c>
      <c r="O1474">
        <v>9.5</v>
      </c>
      <c r="P1474">
        <v>5</v>
      </c>
      <c r="Q1474">
        <v>5</v>
      </c>
      <c r="R1474">
        <v>554246</v>
      </c>
      <c r="S1474">
        <f>Table1[[#This Row],[Revenue]]-Table1[[#This Row],[Operating_Costs]]</f>
        <v>184893</v>
      </c>
      <c r="T1474">
        <v>369353</v>
      </c>
      <c r="U1474">
        <v>19</v>
      </c>
      <c r="V1474">
        <v>55</v>
      </c>
      <c r="W1474">
        <v>14.3</v>
      </c>
    </row>
    <row r="1475" spans="1:23" x14ac:dyDescent="0.25">
      <c r="A1475">
        <v>3</v>
      </c>
      <c r="B1475" t="s">
        <v>57</v>
      </c>
      <c r="C1475" s="1">
        <v>44392</v>
      </c>
      <c r="D1475" t="s">
        <v>71</v>
      </c>
      <c r="E1475">
        <v>0</v>
      </c>
      <c r="F1475">
        <v>87</v>
      </c>
      <c r="G1475" t="str">
        <f t="shared" ref="G1475:G1538" si="31">IF(F1475&lt;=20,"0-20",IF(F1475&lt;=40,"21-40",IF(F1475&lt;=60,"41-60",IF(F1475&lt;=80,"61-80","81+"))))</f>
        <v>81+</v>
      </c>
      <c r="H1475" t="s">
        <v>23</v>
      </c>
      <c r="I1475" t="s">
        <v>24</v>
      </c>
      <c r="J1475" t="s">
        <v>25</v>
      </c>
      <c r="K1475" t="s">
        <v>26</v>
      </c>
      <c r="L1475">
        <v>1</v>
      </c>
      <c r="M1475">
        <v>1</v>
      </c>
      <c r="N1475">
        <v>5</v>
      </c>
      <c r="O1475">
        <v>7.1</v>
      </c>
      <c r="P1475">
        <v>3</v>
      </c>
      <c r="Q1475">
        <v>3</v>
      </c>
      <c r="R1475">
        <v>578370</v>
      </c>
      <c r="S1475">
        <f>Table1[[#This Row],[Revenue]]-Table1[[#This Row],[Operating_Costs]]</f>
        <v>214190</v>
      </c>
      <c r="T1475">
        <v>364180</v>
      </c>
      <c r="U1475">
        <v>22</v>
      </c>
      <c r="V1475">
        <v>55</v>
      </c>
      <c r="W1475">
        <v>13.1</v>
      </c>
    </row>
    <row r="1476" spans="1:23" x14ac:dyDescent="0.25">
      <c r="A1476">
        <v>3</v>
      </c>
      <c r="B1476" t="s">
        <v>57</v>
      </c>
      <c r="C1476" s="1">
        <v>44929</v>
      </c>
      <c r="D1476" t="s">
        <v>71</v>
      </c>
      <c r="E1476">
        <v>0</v>
      </c>
      <c r="F1476">
        <v>77</v>
      </c>
      <c r="G1476" t="str">
        <f t="shared" si="31"/>
        <v>61-80</v>
      </c>
      <c r="H1476" t="s">
        <v>35</v>
      </c>
      <c r="I1476" t="s">
        <v>27</v>
      </c>
      <c r="J1476" t="s">
        <v>28</v>
      </c>
      <c r="K1476" t="s">
        <v>26</v>
      </c>
      <c r="L1476">
        <v>1</v>
      </c>
      <c r="M1476">
        <v>1</v>
      </c>
      <c r="N1476">
        <v>4.2</v>
      </c>
      <c r="O1476">
        <v>7</v>
      </c>
      <c r="P1476">
        <v>7</v>
      </c>
      <c r="Q1476">
        <v>7</v>
      </c>
      <c r="R1476">
        <v>503759</v>
      </c>
      <c r="S1476">
        <f>Table1[[#This Row],[Revenue]]-Table1[[#This Row],[Operating_Costs]]</f>
        <v>167713</v>
      </c>
      <c r="T1476">
        <v>336046</v>
      </c>
      <c r="U1476">
        <v>19</v>
      </c>
      <c r="V1476">
        <v>59</v>
      </c>
      <c r="W1476">
        <v>12.3</v>
      </c>
    </row>
    <row r="1477" spans="1:23" x14ac:dyDescent="0.25">
      <c r="A1477">
        <v>3</v>
      </c>
      <c r="B1477" t="s">
        <v>57</v>
      </c>
      <c r="C1477" s="1">
        <v>45160</v>
      </c>
      <c r="D1477" t="s">
        <v>71</v>
      </c>
      <c r="E1477">
        <v>0</v>
      </c>
      <c r="F1477">
        <v>49</v>
      </c>
      <c r="G1477" t="str">
        <f t="shared" si="31"/>
        <v>41-60</v>
      </c>
      <c r="H1477" t="s">
        <v>35</v>
      </c>
      <c r="I1477" t="s">
        <v>40</v>
      </c>
      <c r="J1477" t="s">
        <v>41</v>
      </c>
      <c r="K1477" t="s">
        <v>38</v>
      </c>
      <c r="L1477">
        <v>1</v>
      </c>
      <c r="M1477">
        <v>1</v>
      </c>
      <c r="N1477">
        <v>5.9</v>
      </c>
      <c r="O1477">
        <v>7.6</v>
      </c>
      <c r="P1477">
        <v>6</v>
      </c>
      <c r="Q1477">
        <v>6</v>
      </c>
      <c r="R1477">
        <v>507431</v>
      </c>
      <c r="S1477">
        <f>Table1[[#This Row],[Revenue]]-Table1[[#This Row],[Operating_Costs]]</f>
        <v>187960</v>
      </c>
      <c r="T1477">
        <v>319471</v>
      </c>
      <c r="U1477">
        <v>17</v>
      </c>
      <c r="V1477">
        <v>57</v>
      </c>
      <c r="W1477">
        <v>14.7</v>
      </c>
    </row>
    <row r="1478" spans="1:23" x14ac:dyDescent="0.25">
      <c r="A1478">
        <v>3</v>
      </c>
      <c r="B1478" t="s">
        <v>57</v>
      </c>
      <c r="C1478" s="1">
        <v>45270</v>
      </c>
      <c r="D1478" t="s">
        <v>71</v>
      </c>
      <c r="E1478">
        <v>0</v>
      </c>
      <c r="F1478">
        <v>31</v>
      </c>
      <c r="G1478" t="str">
        <f t="shared" si="31"/>
        <v>21-40</v>
      </c>
      <c r="H1478" t="s">
        <v>35</v>
      </c>
      <c r="I1478" t="s">
        <v>31</v>
      </c>
      <c r="J1478" t="s">
        <v>28</v>
      </c>
      <c r="K1478" t="s">
        <v>33</v>
      </c>
      <c r="L1478">
        <v>1</v>
      </c>
      <c r="M1478">
        <v>1</v>
      </c>
      <c r="N1478">
        <v>5.9</v>
      </c>
      <c r="O1478">
        <v>9</v>
      </c>
      <c r="P1478">
        <v>4</v>
      </c>
      <c r="Q1478">
        <v>4</v>
      </c>
      <c r="R1478">
        <v>574353</v>
      </c>
      <c r="S1478">
        <f>Table1[[#This Row],[Revenue]]-Table1[[#This Row],[Operating_Costs]]</f>
        <v>216959</v>
      </c>
      <c r="T1478">
        <v>357394</v>
      </c>
      <c r="U1478">
        <v>15</v>
      </c>
      <c r="V1478">
        <v>57</v>
      </c>
      <c r="W1478">
        <v>6.4</v>
      </c>
    </row>
    <row r="1479" spans="1:23" x14ac:dyDescent="0.25">
      <c r="A1479">
        <v>4</v>
      </c>
      <c r="B1479" t="s">
        <v>69</v>
      </c>
      <c r="C1479" s="1">
        <v>45542</v>
      </c>
      <c r="D1479" t="s">
        <v>71</v>
      </c>
      <c r="E1479">
        <v>0</v>
      </c>
      <c r="F1479">
        <v>49</v>
      </c>
      <c r="G1479" t="str">
        <f t="shared" si="31"/>
        <v>41-60</v>
      </c>
      <c r="H1479" t="s">
        <v>23</v>
      </c>
      <c r="I1479" t="s">
        <v>31</v>
      </c>
      <c r="J1479" t="s">
        <v>28</v>
      </c>
      <c r="K1479" t="s">
        <v>26</v>
      </c>
      <c r="L1479">
        <v>1</v>
      </c>
      <c r="M1479">
        <v>1</v>
      </c>
      <c r="N1479">
        <v>2.6</v>
      </c>
      <c r="O1479">
        <v>7.5</v>
      </c>
      <c r="P1479">
        <v>4</v>
      </c>
      <c r="Q1479">
        <v>6</v>
      </c>
      <c r="R1479">
        <v>856881</v>
      </c>
      <c r="S1479">
        <f>Table1[[#This Row],[Revenue]]-Table1[[#This Row],[Operating_Costs]]</f>
        <v>314916</v>
      </c>
      <c r="T1479">
        <v>541965</v>
      </c>
      <c r="U1479">
        <v>59</v>
      </c>
      <c r="V1479">
        <v>56</v>
      </c>
      <c r="W1479">
        <v>14.7</v>
      </c>
    </row>
    <row r="1480" spans="1:23" x14ac:dyDescent="0.25">
      <c r="A1480">
        <v>4</v>
      </c>
      <c r="B1480" t="s">
        <v>69</v>
      </c>
      <c r="C1480" s="1">
        <v>44811</v>
      </c>
      <c r="D1480" t="s">
        <v>71</v>
      </c>
      <c r="E1480">
        <v>0</v>
      </c>
      <c r="F1480">
        <v>31</v>
      </c>
      <c r="G1480" t="str">
        <f t="shared" si="31"/>
        <v>21-40</v>
      </c>
      <c r="H1480" t="s">
        <v>35</v>
      </c>
      <c r="I1480" t="s">
        <v>50</v>
      </c>
      <c r="J1480" t="s">
        <v>51</v>
      </c>
      <c r="K1480" t="s">
        <v>29</v>
      </c>
      <c r="L1480">
        <v>1</v>
      </c>
      <c r="M1480">
        <v>1</v>
      </c>
      <c r="N1480">
        <v>4</v>
      </c>
      <c r="O1480">
        <v>8.6999999999999993</v>
      </c>
      <c r="P1480">
        <v>7</v>
      </c>
      <c r="Q1480">
        <v>5</v>
      </c>
      <c r="R1480">
        <v>845230</v>
      </c>
      <c r="S1480">
        <f>Table1[[#This Row],[Revenue]]-Table1[[#This Row],[Operating_Costs]]</f>
        <v>307151</v>
      </c>
      <c r="T1480">
        <v>538079</v>
      </c>
      <c r="U1480">
        <v>57</v>
      </c>
      <c r="V1480">
        <v>58</v>
      </c>
      <c r="W1480">
        <v>12.2</v>
      </c>
    </row>
    <row r="1481" spans="1:23" x14ac:dyDescent="0.25">
      <c r="A1481">
        <v>4</v>
      </c>
      <c r="B1481" t="s">
        <v>69</v>
      </c>
      <c r="C1481" s="1">
        <v>45518</v>
      </c>
      <c r="D1481" t="s">
        <v>71</v>
      </c>
      <c r="E1481">
        <v>0</v>
      </c>
      <c r="F1481">
        <v>25</v>
      </c>
      <c r="G1481" t="str">
        <f t="shared" si="31"/>
        <v>21-40</v>
      </c>
      <c r="H1481" t="s">
        <v>23</v>
      </c>
      <c r="I1481" t="s">
        <v>31</v>
      </c>
      <c r="J1481" t="s">
        <v>28</v>
      </c>
      <c r="K1481" t="s">
        <v>26</v>
      </c>
      <c r="L1481">
        <v>1</v>
      </c>
      <c r="M1481">
        <v>1</v>
      </c>
      <c r="N1481">
        <v>2.1</v>
      </c>
      <c r="O1481">
        <v>9.6</v>
      </c>
      <c r="P1481">
        <v>7</v>
      </c>
      <c r="Q1481">
        <v>3</v>
      </c>
      <c r="R1481">
        <v>884383</v>
      </c>
      <c r="S1481">
        <f>Table1[[#This Row],[Revenue]]-Table1[[#This Row],[Operating_Costs]]</f>
        <v>260743</v>
      </c>
      <c r="T1481">
        <v>623640</v>
      </c>
      <c r="U1481">
        <v>55</v>
      </c>
      <c r="V1481">
        <v>65</v>
      </c>
      <c r="W1481">
        <v>10</v>
      </c>
    </row>
    <row r="1482" spans="1:23" x14ac:dyDescent="0.25">
      <c r="A1482">
        <v>4</v>
      </c>
      <c r="B1482" t="s">
        <v>69</v>
      </c>
      <c r="C1482" s="1">
        <v>44238</v>
      </c>
      <c r="D1482" t="s">
        <v>71</v>
      </c>
      <c r="E1482">
        <v>0</v>
      </c>
      <c r="F1482">
        <v>90</v>
      </c>
      <c r="G1482" t="str">
        <f t="shared" si="31"/>
        <v>81+</v>
      </c>
      <c r="H1482" t="s">
        <v>23</v>
      </c>
      <c r="I1482" t="s">
        <v>31</v>
      </c>
      <c r="J1482" t="s">
        <v>28</v>
      </c>
      <c r="K1482" t="s">
        <v>26</v>
      </c>
      <c r="L1482">
        <v>1</v>
      </c>
      <c r="M1482">
        <v>1</v>
      </c>
      <c r="N1482">
        <v>4.7</v>
      </c>
      <c r="O1482">
        <v>7.2</v>
      </c>
      <c r="P1482">
        <v>3</v>
      </c>
      <c r="Q1482">
        <v>6</v>
      </c>
      <c r="R1482">
        <v>814257</v>
      </c>
      <c r="S1482">
        <f>Table1[[#This Row],[Revenue]]-Table1[[#This Row],[Operating_Costs]]</f>
        <v>219420</v>
      </c>
      <c r="T1482">
        <v>594837</v>
      </c>
      <c r="U1482">
        <v>60</v>
      </c>
      <c r="V1482">
        <v>55</v>
      </c>
      <c r="W1482">
        <v>10.1</v>
      </c>
    </row>
    <row r="1483" spans="1:23" x14ac:dyDescent="0.25">
      <c r="A1483">
        <v>4</v>
      </c>
      <c r="B1483" t="s">
        <v>69</v>
      </c>
      <c r="C1483" s="1">
        <v>44686</v>
      </c>
      <c r="D1483" t="s">
        <v>71</v>
      </c>
      <c r="E1483">
        <v>0</v>
      </c>
      <c r="F1483">
        <v>70</v>
      </c>
      <c r="G1483" t="str">
        <f t="shared" si="31"/>
        <v>61-80</v>
      </c>
      <c r="H1483" t="s">
        <v>35</v>
      </c>
      <c r="I1483" t="s">
        <v>58</v>
      </c>
      <c r="J1483" t="s">
        <v>59</v>
      </c>
      <c r="K1483" t="s">
        <v>33</v>
      </c>
      <c r="L1483">
        <v>1</v>
      </c>
      <c r="M1483">
        <v>1</v>
      </c>
      <c r="N1483">
        <v>6.7</v>
      </c>
      <c r="O1483">
        <v>8.8000000000000007</v>
      </c>
      <c r="P1483">
        <v>3</v>
      </c>
      <c r="Q1483">
        <v>5</v>
      </c>
      <c r="R1483">
        <v>939243</v>
      </c>
      <c r="S1483">
        <f>Table1[[#This Row],[Revenue]]-Table1[[#This Row],[Operating_Costs]]</f>
        <v>396163</v>
      </c>
      <c r="T1483">
        <v>543080</v>
      </c>
      <c r="U1483">
        <v>34</v>
      </c>
      <c r="V1483">
        <v>60</v>
      </c>
      <c r="W1483">
        <v>36.700000000000003</v>
      </c>
    </row>
    <row r="1484" spans="1:23" x14ac:dyDescent="0.25">
      <c r="A1484">
        <v>4</v>
      </c>
      <c r="B1484" t="s">
        <v>69</v>
      </c>
      <c r="C1484" s="1">
        <v>45038</v>
      </c>
      <c r="D1484" t="s">
        <v>71</v>
      </c>
      <c r="E1484">
        <v>0</v>
      </c>
      <c r="F1484">
        <v>29</v>
      </c>
      <c r="G1484" t="str">
        <f t="shared" si="31"/>
        <v>21-40</v>
      </c>
      <c r="H1484" t="s">
        <v>23</v>
      </c>
      <c r="I1484" t="s">
        <v>24</v>
      </c>
      <c r="J1484" t="s">
        <v>25</v>
      </c>
      <c r="K1484" t="s">
        <v>38</v>
      </c>
      <c r="L1484">
        <v>1</v>
      </c>
      <c r="M1484">
        <v>1</v>
      </c>
      <c r="N1484">
        <v>4.5999999999999996</v>
      </c>
      <c r="O1484">
        <v>8.6999999999999993</v>
      </c>
      <c r="P1484">
        <v>3</v>
      </c>
      <c r="Q1484">
        <v>7</v>
      </c>
      <c r="R1484">
        <v>883586</v>
      </c>
      <c r="S1484">
        <f>Table1[[#This Row],[Revenue]]-Table1[[#This Row],[Operating_Costs]]</f>
        <v>285750</v>
      </c>
      <c r="T1484">
        <v>597836</v>
      </c>
      <c r="U1484">
        <v>39</v>
      </c>
      <c r="V1484">
        <v>59</v>
      </c>
      <c r="W1484">
        <v>9.5</v>
      </c>
    </row>
    <row r="1485" spans="1:23" x14ac:dyDescent="0.25">
      <c r="A1485">
        <v>4</v>
      </c>
      <c r="B1485" t="s">
        <v>69</v>
      </c>
      <c r="C1485" s="1">
        <v>44737</v>
      </c>
      <c r="D1485" t="s">
        <v>71</v>
      </c>
      <c r="E1485">
        <v>0</v>
      </c>
      <c r="F1485">
        <v>36</v>
      </c>
      <c r="G1485" t="str">
        <f t="shared" si="31"/>
        <v>21-40</v>
      </c>
      <c r="H1485" t="s">
        <v>35</v>
      </c>
      <c r="I1485" t="s">
        <v>58</v>
      </c>
      <c r="J1485" t="s">
        <v>59</v>
      </c>
      <c r="K1485" t="s">
        <v>29</v>
      </c>
      <c r="L1485">
        <v>1</v>
      </c>
      <c r="M1485">
        <v>1</v>
      </c>
      <c r="N1485">
        <v>4.4000000000000004</v>
      </c>
      <c r="O1485">
        <v>8.1</v>
      </c>
      <c r="P1485">
        <v>7</v>
      </c>
      <c r="Q1485">
        <v>7</v>
      </c>
      <c r="R1485">
        <v>952335</v>
      </c>
      <c r="S1485">
        <f>Table1[[#This Row],[Revenue]]-Table1[[#This Row],[Operating_Costs]]</f>
        <v>355846</v>
      </c>
      <c r="T1485">
        <v>596489</v>
      </c>
      <c r="U1485">
        <v>37</v>
      </c>
      <c r="V1485">
        <v>66</v>
      </c>
      <c r="W1485">
        <v>14.3</v>
      </c>
    </row>
    <row r="1486" spans="1:23" x14ac:dyDescent="0.25">
      <c r="A1486">
        <v>4</v>
      </c>
      <c r="B1486" t="s">
        <v>69</v>
      </c>
      <c r="C1486" s="1">
        <v>44251</v>
      </c>
      <c r="D1486" t="s">
        <v>71</v>
      </c>
      <c r="E1486">
        <v>0</v>
      </c>
      <c r="F1486">
        <v>71</v>
      </c>
      <c r="G1486" t="str">
        <f t="shared" si="31"/>
        <v>61-80</v>
      </c>
      <c r="H1486" t="s">
        <v>35</v>
      </c>
      <c r="I1486" t="s">
        <v>64</v>
      </c>
      <c r="J1486" t="s">
        <v>65</v>
      </c>
      <c r="K1486" t="s">
        <v>29</v>
      </c>
      <c r="L1486">
        <v>1</v>
      </c>
      <c r="M1486">
        <v>1</v>
      </c>
      <c r="N1486">
        <v>2.7</v>
      </c>
      <c r="O1486">
        <v>8.6999999999999993</v>
      </c>
      <c r="P1486">
        <v>7</v>
      </c>
      <c r="Q1486">
        <v>5</v>
      </c>
      <c r="R1486">
        <v>967961</v>
      </c>
      <c r="S1486">
        <f>Table1[[#This Row],[Revenue]]-Table1[[#This Row],[Operating_Costs]]</f>
        <v>347396</v>
      </c>
      <c r="T1486">
        <v>620565</v>
      </c>
      <c r="U1486">
        <v>53</v>
      </c>
      <c r="V1486">
        <v>59</v>
      </c>
      <c r="W1486">
        <v>7.5</v>
      </c>
    </row>
    <row r="1487" spans="1:23" x14ac:dyDescent="0.25">
      <c r="A1487">
        <v>4</v>
      </c>
      <c r="B1487" t="s">
        <v>69</v>
      </c>
      <c r="C1487" s="1">
        <v>45092</v>
      </c>
      <c r="D1487" t="s">
        <v>71</v>
      </c>
      <c r="E1487">
        <v>0</v>
      </c>
      <c r="F1487">
        <v>47</v>
      </c>
      <c r="G1487" t="str">
        <f t="shared" si="31"/>
        <v>41-60</v>
      </c>
      <c r="H1487" t="s">
        <v>35</v>
      </c>
      <c r="I1487" t="s">
        <v>36</v>
      </c>
      <c r="J1487" t="s">
        <v>37</v>
      </c>
      <c r="K1487" t="s">
        <v>42</v>
      </c>
      <c r="L1487">
        <v>1</v>
      </c>
      <c r="M1487">
        <v>1</v>
      </c>
      <c r="N1487">
        <v>2.4</v>
      </c>
      <c r="O1487">
        <v>7.9</v>
      </c>
      <c r="P1487">
        <v>6</v>
      </c>
      <c r="Q1487">
        <v>6</v>
      </c>
      <c r="R1487">
        <v>857527</v>
      </c>
      <c r="S1487">
        <f>Table1[[#This Row],[Revenue]]-Table1[[#This Row],[Operating_Costs]]</f>
        <v>197959</v>
      </c>
      <c r="T1487">
        <v>659568</v>
      </c>
      <c r="U1487">
        <v>47</v>
      </c>
      <c r="V1487">
        <v>59</v>
      </c>
      <c r="W1487">
        <v>10.6</v>
      </c>
    </row>
    <row r="1488" spans="1:23" x14ac:dyDescent="0.25">
      <c r="A1488">
        <v>4</v>
      </c>
      <c r="B1488" t="s">
        <v>69</v>
      </c>
      <c r="C1488" s="1">
        <v>45014</v>
      </c>
      <c r="D1488" t="s">
        <v>71</v>
      </c>
      <c r="E1488">
        <v>0</v>
      </c>
      <c r="F1488">
        <v>88</v>
      </c>
      <c r="G1488" t="str">
        <f t="shared" si="31"/>
        <v>81+</v>
      </c>
      <c r="H1488" t="s">
        <v>35</v>
      </c>
      <c r="I1488" t="s">
        <v>55</v>
      </c>
      <c r="J1488" t="s">
        <v>56</v>
      </c>
      <c r="K1488" t="s">
        <v>33</v>
      </c>
      <c r="L1488">
        <v>1</v>
      </c>
      <c r="M1488">
        <v>1</v>
      </c>
      <c r="N1488">
        <v>2.1</v>
      </c>
      <c r="O1488">
        <v>9.3000000000000007</v>
      </c>
      <c r="P1488">
        <v>4</v>
      </c>
      <c r="Q1488">
        <v>6</v>
      </c>
      <c r="R1488">
        <v>936157</v>
      </c>
      <c r="S1488">
        <f>Table1[[#This Row],[Revenue]]-Table1[[#This Row],[Operating_Costs]]</f>
        <v>262487</v>
      </c>
      <c r="T1488">
        <v>673670</v>
      </c>
      <c r="U1488">
        <v>57</v>
      </c>
      <c r="V1488">
        <v>64</v>
      </c>
      <c r="W1488">
        <v>36.200000000000003</v>
      </c>
    </row>
    <row r="1489" spans="1:23" x14ac:dyDescent="0.25">
      <c r="A1489">
        <v>4</v>
      </c>
      <c r="B1489" t="s">
        <v>69</v>
      </c>
      <c r="C1489" s="1">
        <v>45493</v>
      </c>
      <c r="D1489" t="s">
        <v>71</v>
      </c>
      <c r="E1489">
        <v>0</v>
      </c>
      <c r="F1489">
        <v>36</v>
      </c>
      <c r="G1489" t="str">
        <f t="shared" si="31"/>
        <v>21-40</v>
      </c>
      <c r="H1489" t="s">
        <v>23</v>
      </c>
      <c r="I1489" t="s">
        <v>24</v>
      </c>
      <c r="J1489" t="s">
        <v>25</v>
      </c>
      <c r="K1489" t="s">
        <v>38</v>
      </c>
      <c r="L1489">
        <v>1</v>
      </c>
      <c r="M1489">
        <v>1</v>
      </c>
      <c r="N1489">
        <v>6.5</v>
      </c>
      <c r="O1489">
        <v>9.1</v>
      </c>
      <c r="P1489">
        <v>7</v>
      </c>
      <c r="Q1489">
        <v>7</v>
      </c>
      <c r="R1489">
        <v>810057</v>
      </c>
      <c r="S1489">
        <f>Table1[[#This Row],[Revenue]]-Table1[[#This Row],[Operating_Costs]]</f>
        <v>118613</v>
      </c>
      <c r="T1489">
        <v>691444</v>
      </c>
      <c r="U1489">
        <v>51</v>
      </c>
      <c r="V1489">
        <v>64</v>
      </c>
      <c r="W1489">
        <v>8.6999999999999993</v>
      </c>
    </row>
    <row r="1490" spans="1:23" x14ac:dyDescent="0.25">
      <c r="A1490">
        <v>4</v>
      </c>
      <c r="B1490" t="s">
        <v>69</v>
      </c>
      <c r="C1490" s="1">
        <v>45341</v>
      </c>
      <c r="D1490" t="s">
        <v>71</v>
      </c>
      <c r="E1490">
        <v>0</v>
      </c>
      <c r="F1490">
        <v>33</v>
      </c>
      <c r="G1490" t="str">
        <f t="shared" si="31"/>
        <v>21-40</v>
      </c>
      <c r="H1490" t="s">
        <v>35</v>
      </c>
      <c r="I1490" t="s">
        <v>53</v>
      </c>
      <c r="J1490" t="s">
        <v>54</v>
      </c>
      <c r="K1490" t="s">
        <v>26</v>
      </c>
      <c r="L1490">
        <v>1</v>
      </c>
      <c r="M1490">
        <v>1</v>
      </c>
      <c r="N1490">
        <v>5.6</v>
      </c>
      <c r="O1490">
        <v>8.6999999999999993</v>
      </c>
      <c r="P1490">
        <v>6</v>
      </c>
      <c r="Q1490">
        <v>5</v>
      </c>
      <c r="R1490">
        <v>973975</v>
      </c>
      <c r="S1490">
        <f>Table1[[#This Row],[Revenue]]-Table1[[#This Row],[Operating_Costs]]</f>
        <v>280271</v>
      </c>
      <c r="T1490">
        <v>693704</v>
      </c>
      <c r="U1490">
        <v>40</v>
      </c>
      <c r="V1490">
        <v>62</v>
      </c>
      <c r="W1490">
        <v>6</v>
      </c>
    </row>
    <row r="1491" spans="1:23" x14ac:dyDescent="0.25">
      <c r="A1491">
        <v>4</v>
      </c>
      <c r="B1491" t="s">
        <v>69</v>
      </c>
      <c r="C1491" s="1">
        <v>44230</v>
      </c>
      <c r="D1491" t="s">
        <v>71</v>
      </c>
      <c r="E1491">
        <v>0</v>
      </c>
      <c r="F1491">
        <v>43</v>
      </c>
      <c r="G1491" t="str">
        <f t="shared" si="31"/>
        <v>41-60</v>
      </c>
      <c r="H1491" t="s">
        <v>35</v>
      </c>
      <c r="I1491" t="s">
        <v>36</v>
      </c>
      <c r="J1491" t="s">
        <v>37</v>
      </c>
      <c r="K1491" t="s">
        <v>26</v>
      </c>
      <c r="L1491">
        <v>1</v>
      </c>
      <c r="M1491">
        <v>1</v>
      </c>
      <c r="N1491">
        <v>5.5</v>
      </c>
      <c r="O1491">
        <v>8.1999999999999993</v>
      </c>
      <c r="P1491">
        <v>3</v>
      </c>
      <c r="Q1491">
        <v>4</v>
      </c>
      <c r="R1491">
        <v>826458</v>
      </c>
      <c r="S1491">
        <f>Table1[[#This Row],[Revenue]]-Table1[[#This Row],[Operating_Costs]]</f>
        <v>321514</v>
      </c>
      <c r="T1491">
        <v>504944</v>
      </c>
      <c r="U1491">
        <v>39</v>
      </c>
      <c r="V1491">
        <v>58</v>
      </c>
      <c r="W1491">
        <v>12.6</v>
      </c>
    </row>
    <row r="1492" spans="1:23" x14ac:dyDescent="0.25">
      <c r="A1492">
        <v>4</v>
      </c>
      <c r="B1492" t="s">
        <v>69</v>
      </c>
      <c r="C1492" s="1">
        <v>44465</v>
      </c>
      <c r="D1492" t="s">
        <v>71</v>
      </c>
      <c r="E1492">
        <v>0</v>
      </c>
      <c r="F1492">
        <v>48</v>
      </c>
      <c r="G1492" t="str">
        <f t="shared" si="31"/>
        <v>41-60</v>
      </c>
      <c r="H1492" t="s">
        <v>23</v>
      </c>
      <c r="I1492" t="s">
        <v>31</v>
      </c>
      <c r="J1492" t="s">
        <v>28</v>
      </c>
      <c r="K1492" t="s">
        <v>26</v>
      </c>
      <c r="L1492">
        <v>1</v>
      </c>
      <c r="M1492">
        <v>1</v>
      </c>
      <c r="N1492">
        <v>3.3</v>
      </c>
      <c r="O1492">
        <v>7.1</v>
      </c>
      <c r="P1492">
        <v>5</v>
      </c>
      <c r="Q1492">
        <v>3</v>
      </c>
      <c r="R1492">
        <v>893686</v>
      </c>
      <c r="S1492">
        <f>Table1[[#This Row],[Revenue]]-Table1[[#This Row],[Operating_Costs]]</f>
        <v>202300</v>
      </c>
      <c r="T1492">
        <v>691386</v>
      </c>
      <c r="U1492">
        <v>60</v>
      </c>
      <c r="V1492">
        <v>56</v>
      </c>
      <c r="W1492">
        <v>12.8</v>
      </c>
    </row>
    <row r="1493" spans="1:23" x14ac:dyDescent="0.25">
      <c r="A1493">
        <v>4</v>
      </c>
      <c r="B1493" t="s">
        <v>69</v>
      </c>
      <c r="C1493" s="1">
        <v>44662</v>
      </c>
      <c r="D1493" t="s">
        <v>71</v>
      </c>
      <c r="E1493">
        <v>0</v>
      </c>
      <c r="F1493">
        <v>64</v>
      </c>
      <c r="G1493" t="str">
        <f t="shared" si="31"/>
        <v>61-80</v>
      </c>
      <c r="H1493" t="s">
        <v>35</v>
      </c>
      <c r="I1493" t="s">
        <v>31</v>
      </c>
      <c r="J1493" t="s">
        <v>28</v>
      </c>
      <c r="K1493" t="s">
        <v>33</v>
      </c>
      <c r="L1493">
        <v>1</v>
      </c>
      <c r="M1493">
        <v>1</v>
      </c>
      <c r="N1493">
        <v>4.5999999999999996</v>
      </c>
      <c r="O1493">
        <v>9.4</v>
      </c>
      <c r="P1493">
        <v>7</v>
      </c>
      <c r="Q1493">
        <v>5</v>
      </c>
      <c r="R1493">
        <v>989219</v>
      </c>
      <c r="S1493">
        <f>Table1[[#This Row],[Revenue]]-Table1[[#This Row],[Operating_Costs]]</f>
        <v>349644</v>
      </c>
      <c r="T1493">
        <v>639575</v>
      </c>
      <c r="U1493">
        <v>57</v>
      </c>
      <c r="V1493">
        <v>60</v>
      </c>
      <c r="W1493">
        <v>14.5</v>
      </c>
    </row>
    <row r="1494" spans="1:23" x14ac:dyDescent="0.25">
      <c r="A1494">
        <v>4</v>
      </c>
      <c r="B1494" t="s">
        <v>69</v>
      </c>
      <c r="C1494" s="1">
        <v>45446</v>
      </c>
      <c r="D1494" t="s">
        <v>71</v>
      </c>
      <c r="E1494">
        <v>0</v>
      </c>
      <c r="F1494">
        <v>77</v>
      </c>
      <c r="G1494" t="str">
        <f t="shared" si="31"/>
        <v>61-80</v>
      </c>
      <c r="H1494" t="s">
        <v>35</v>
      </c>
      <c r="I1494" t="s">
        <v>36</v>
      </c>
      <c r="J1494" t="s">
        <v>37</v>
      </c>
      <c r="K1494" t="s">
        <v>26</v>
      </c>
      <c r="L1494">
        <v>1</v>
      </c>
      <c r="M1494">
        <v>1</v>
      </c>
      <c r="N1494">
        <v>4.8</v>
      </c>
      <c r="O1494">
        <v>9.6</v>
      </c>
      <c r="P1494">
        <v>3</v>
      </c>
      <c r="Q1494">
        <v>5</v>
      </c>
      <c r="R1494">
        <v>852821</v>
      </c>
      <c r="S1494">
        <f>Table1[[#This Row],[Revenue]]-Table1[[#This Row],[Operating_Costs]]</f>
        <v>343618</v>
      </c>
      <c r="T1494">
        <v>509203</v>
      </c>
      <c r="U1494">
        <v>40</v>
      </c>
      <c r="V1494">
        <v>59</v>
      </c>
      <c r="W1494">
        <v>36.200000000000003</v>
      </c>
    </row>
    <row r="1495" spans="1:23" x14ac:dyDescent="0.25">
      <c r="A1495">
        <v>3</v>
      </c>
      <c r="B1495" t="s">
        <v>57</v>
      </c>
      <c r="C1495" s="1">
        <v>44712</v>
      </c>
      <c r="D1495" t="s">
        <v>71</v>
      </c>
      <c r="E1495">
        <v>0</v>
      </c>
      <c r="F1495">
        <v>55</v>
      </c>
      <c r="G1495" t="str">
        <f t="shared" si="31"/>
        <v>41-60</v>
      </c>
      <c r="H1495" t="s">
        <v>23</v>
      </c>
      <c r="I1495" t="s">
        <v>58</v>
      </c>
      <c r="J1495" t="s">
        <v>59</v>
      </c>
      <c r="K1495" t="s">
        <v>33</v>
      </c>
      <c r="L1495">
        <v>1</v>
      </c>
      <c r="M1495">
        <v>1</v>
      </c>
      <c r="N1495">
        <v>3.9</v>
      </c>
      <c r="O1495">
        <v>8.3000000000000007</v>
      </c>
      <c r="P1495">
        <v>3</v>
      </c>
      <c r="Q1495">
        <v>4</v>
      </c>
      <c r="R1495">
        <v>555447</v>
      </c>
      <c r="S1495">
        <f>Table1[[#This Row],[Revenue]]-Table1[[#This Row],[Operating_Costs]]</f>
        <v>189531</v>
      </c>
      <c r="T1495">
        <v>365916</v>
      </c>
      <c r="U1495">
        <v>21</v>
      </c>
      <c r="V1495">
        <v>54</v>
      </c>
      <c r="W1495">
        <v>14</v>
      </c>
    </row>
    <row r="1496" spans="1:23" x14ac:dyDescent="0.25">
      <c r="A1496">
        <v>4</v>
      </c>
      <c r="B1496" t="s">
        <v>69</v>
      </c>
      <c r="C1496" s="1">
        <v>44268</v>
      </c>
      <c r="D1496" t="s">
        <v>71</v>
      </c>
      <c r="E1496">
        <v>0</v>
      </c>
      <c r="F1496">
        <v>44</v>
      </c>
      <c r="G1496" t="str">
        <f t="shared" si="31"/>
        <v>41-60</v>
      </c>
      <c r="H1496" t="s">
        <v>35</v>
      </c>
      <c r="I1496" t="s">
        <v>58</v>
      </c>
      <c r="J1496" t="s">
        <v>59</v>
      </c>
      <c r="K1496" t="s">
        <v>42</v>
      </c>
      <c r="L1496">
        <v>1</v>
      </c>
      <c r="M1496">
        <v>1</v>
      </c>
      <c r="N1496">
        <v>3.6</v>
      </c>
      <c r="O1496">
        <v>9.4</v>
      </c>
      <c r="P1496">
        <v>4</v>
      </c>
      <c r="Q1496">
        <v>7</v>
      </c>
      <c r="R1496">
        <v>974629</v>
      </c>
      <c r="S1496">
        <f>Table1[[#This Row],[Revenue]]-Table1[[#This Row],[Operating_Costs]]</f>
        <v>370310</v>
      </c>
      <c r="T1496">
        <v>604319</v>
      </c>
      <c r="U1496">
        <v>60</v>
      </c>
      <c r="V1496">
        <v>65</v>
      </c>
      <c r="W1496">
        <v>9.8000000000000007</v>
      </c>
    </row>
    <row r="1497" spans="1:23" x14ac:dyDescent="0.25">
      <c r="A1497">
        <v>3</v>
      </c>
      <c r="B1497" t="s">
        <v>57</v>
      </c>
      <c r="C1497" s="1">
        <v>45572</v>
      </c>
      <c r="D1497" t="s">
        <v>71</v>
      </c>
      <c r="E1497">
        <v>0</v>
      </c>
      <c r="F1497">
        <v>44</v>
      </c>
      <c r="G1497" t="str">
        <f t="shared" si="31"/>
        <v>41-60</v>
      </c>
      <c r="H1497" t="s">
        <v>23</v>
      </c>
      <c r="I1497" t="s">
        <v>24</v>
      </c>
      <c r="J1497" t="s">
        <v>25</v>
      </c>
      <c r="K1497" t="s">
        <v>29</v>
      </c>
      <c r="L1497">
        <v>1</v>
      </c>
      <c r="M1497">
        <v>1</v>
      </c>
      <c r="N1497">
        <v>3.7</v>
      </c>
      <c r="O1497">
        <v>8.1</v>
      </c>
      <c r="P1497">
        <v>6</v>
      </c>
      <c r="Q1497">
        <v>3</v>
      </c>
      <c r="R1497">
        <v>509966</v>
      </c>
      <c r="S1497">
        <f>Table1[[#This Row],[Revenue]]-Table1[[#This Row],[Operating_Costs]]</f>
        <v>177980</v>
      </c>
      <c r="T1497">
        <v>331986</v>
      </c>
      <c r="U1497">
        <v>23</v>
      </c>
      <c r="V1497">
        <v>64</v>
      </c>
      <c r="W1497">
        <v>5.6</v>
      </c>
    </row>
    <row r="1498" spans="1:23" x14ac:dyDescent="0.25">
      <c r="A1498">
        <v>4</v>
      </c>
      <c r="B1498" t="s">
        <v>69</v>
      </c>
      <c r="C1498" s="1">
        <v>44846</v>
      </c>
      <c r="D1498" t="s">
        <v>71</v>
      </c>
      <c r="E1498">
        <v>0</v>
      </c>
      <c r="F1498">
        <v>84</v>
      </c>
      <c r="G1498" t="str">
        <f t="shared" si="31"/>
        <v>81+</v>
      </c>
      <c r="H1498" t="s">
        <v>35</v>
      </c>
      <c r="I1498" t="s">
        <v>46</v>
      </c>
      <c r="J1498" t="s">
        <v>47</v>
      </c>
      <c r="K1498" t="s">
        <v>26</v>
      </c>
      <c r="L1498">
        <v>1</v>
      </c>
      <c r="M1498">
        <v>1</v>
      </c>
      <c r="N1498">
        <v>4.8</v>
      </c>
      <c r="O1498">
        <v>7.4</v>
      </c>
      <c r="P1498">
        <v>7</v>
      </c>
      <c r="Q1498">
        <v>3</v>
      </c>
      <c r="R1498">
        <v>915718</v>
      </c>
      <c r="S1498">
        <f>Table1[[#This Row],[Revenue]]-Table1[[#This Row],[Operating_Costs]]</f>
        <v>280382</v>
      </c>
      <c r="T1498">
        <v>635336</v>
      </c>
      <c r="U1498">
        <v>38</v>
      </c>
      <c r="V1498">
        <v>62</v>
      </c>
      <c r="W1498">
        <v>6.9</v>
      </c>
    </row>
    <row r="1499" spans="1:23" x14ac:dyDescent="0.25">
      <c r="A1499">
        <v>4</v>
      </c>
      <c r="B1499" t="s">
        <v>69</v>
      </c>
      <c r="C1499" s="1">
        <v>44733</v>
      </c>
      <c r="D1499" t="s">
        <v>71</v>
      </c>
      <c r="E1499">
        <v>0</v>
      </c>
      <c r="F1499">
        <v>83</v>
      </c>
      <c r="G1499" t="str">
        <f t="shared" si="31"/>
        <v>81+</v>
      </c>
      <c r="H1499" t="s">
        <v>35</v>
      </c>
      <c r="I1499" t="s">
        <v>46</v>
      </c>
      <c r="J1499" t="s">
        <v>47</v>
      </c>
      <c r="K1499" t="s">
        <v>29</v>
      </c>
      <c r="L1499">
        <v>1</v>
      </c>
      <c r="M1499">
        <v>1</v>
      </c>
      <c r="N1499">
        <v>6.8</v>
      </c>
      <c r="O1499">
        <v>8.1</v>
      </c>
      <c r="P1499">
        <v>4</v>
      </c>
      <c r="Q1499">
        <v>5</v>
      </c>
      <c r="R1499">
        <v>823508</v>
      </c>
      <c r="S1499">
        <f>Table1[[#This Row],[Revenue]]-Table1[[#This Row],[Operating_Costs]]</f>
        <v>131175</v>
      </c>
      <c r="T1499">
        <v>692333</v>
      </c>
      <c r="U1499">
        <v>41</v>
      </c>
      <c r="V1499">
        <v>58</v>
      </c>
      <c r="W1499">
        <v>10.1</v>
      </c>
    </row>
    <row r="1500" spans="1:23" x14ac:dyDescent="0.25">
      <c r="A1500">
        <v>4</v>
      </c>
      <c r="B1500" t="s">
        <v>69</v>
      </c>
      <c r="C1500" s="1">
        <v>45531</v>
      </c>
      <c r="D1500" t="s">
        <v>71</v>
      </c>
      <c r="E1500">
        <v>0</v>
      </c>
      <c r="F1500">
        <v>27</v>
      </c>
      <c r="G1500" t="str">
        <f t="shared" si="31"/>
        <v>21-40</v>
      </c>
      <c r="H1500" t="s">
        <v>23</v>
      </c>
      <c r="I1500" t="s">
        <v>27</v>
      </c>
      <c r="J1500" t="s">
        <v>28</v>
      </c>
      <c r="K1500" t="s">
        <v>38</v>
      </c>
      <c r="L1500">
        <v>1</v>
      </c>
      <c r="M1500">
        <v>1</v>
      </c>
      <c r="N1500">
        <v>4.3</v>
      </c>
      <c r="O1500">
        <v>9.1</v>
      </c>
      <c r="P1500">
        <v>7</v>
      </c>
      <c r="Q1500">
        <v>5</v>
      </c>
      <c r="R1500">
        <v>865137</v>
      </c>
      <c r="S1500">
        <f>Table1[[#This Row],[Revenue]]-Table1[[#This Row],[Operating_Costs]]</f>
        <v>311359</v>
      </c>
      <c r="T1500">
        <v>553778</v>
      </c>
      <c r="U1500">
        <v>59</v>
      </c>
      <c r="V1500">
        <v>62</v>
      </c>
      <c r="W1500">
        <v>7.3</v>
      </c>
    </row>
    <row r="1501" spans="1:23" x14ac:dyDescent="0.25">
      <c r="A1501">
        <v>4</v>
      </c>
      <c r="B1501" t="s">
        <v>69</v>
      </c>
      <c r="C1501" s="1">
        <v>44211</v>
      </c>
      <c r="D1501" t="s">
        <v>71</v>
      </c>
      <c r="E1501">
        <v>0</v>
      </c>
      <c r="F1501">
        <v>65</v>
      </c>
      <c r="G1501" t="str">
        <f t="shared" si="31"/>
        <v>61-80</v>
      </c>
      <c r="H1501" t="s">
        <v>23</v>
      </c>
      <c r="I1501" t="s">
        <v>24</v>
      </c>
      <c r="J1501" t="s">
        <v>25</v>
      </c>
      <c r="K1501" t="s">
        <v>26</v>
      </c>
      <c r="L1501">
        <v>1</v>
      </c>
      <c r="M1501">
        <v>1</v>
      </c>
      <c r="N1501">
        <v>1.4</v>
      </c>
      <c r="O1501">
        <v>8.1</v>
      </c>
      <c r="P1501">
        <v>4</v>
      </c>
      <c r="Q1501">
        <v>7</v>
      </c>
      <c r="R1501">
        <v>980516</v>
      </c>
      <c r="S1501">
        <f>Table1[[#This Row],[Revenue]]-Table1[[#This Row],[Operating_Costs]]</f>
        <v>388640</v>
      </c>
      <c r="T1501">
        <v>591876</v>
      </c>
      <c r="U1501">
        <v>60</v>
      </c>
      <c r="V1501">
        <v>55</v>
      </c>
      <c r="W1501">
        <v>13.1</v>
      </c>
    </row>
    <row r="1502" spans="1:23" x14ac:dyDescent="0.25">
      <c r="A1502">
        <v>4</v>
      </c>
      <c r="B1502" t="s">
        <v>69</v>
      </c>
      <c r="C1502" s="1">
        <v>45511</v>
      </c>
      <c r="D1502" t="s">
        <v>71</v>
      </c>
      <c r="E1502">
        <v>0</v>
      </c>
      <c r="F1502">
        <v>27</v>
      </c>
      <c r="G1502" t="str">
        <f t="shared" si="31"/>
        <v>21-40</v>
      </c>
      <c r="H1502" t="s">
        <v>35</v>
      </c>
      <c r="I1502" t="s">
        <v>36</v>
      </c>
      <c r="J1502" t="s">
        <v>37</v>
      </c>
      <c r="K1502" t="s">
        <v>42</v>
      </c>
      <c r="L1502">
        <v>1</v>
      </c>
      <c r="M1502">
        <v>1</v>
      </c>
      <c r="N1502">
        <v>4.5</v>
      </c>
      <c r="O1502">
        <v>9.3000000000000007</v>
      </c>
      <c r="P1502">
        <v>5</v>
      </c>
      <c r="Q1502">
        <v>6</v>
      </c>
      <c r="R1502">
        <v>943444</v>
      </c>
      <c r="S1502">
        <f>Table1[[#This Row],[Revenue]]-Table1[[#This Row],[Operating_Costs]]</f>
        <v>372911</v>
      </c>
      <c r="T1502">
        <v>570533</v>
      </c>
      <c r="U1502">
        <v>30</v>
      </c>
      <c r="V1502">
        <v>63</v>
      </c>
      <c r="W1502">
        <v>6</v>
      </c>
    </row>
    <row r="1503" spans="1:23" x14ac:dyDescent="0.25">
      <c r="A1503">
        <v>4</v>
      </c>
      <c r="B1503" t="s">
        <v>69</v>
      </c>
      <c r="C1503" s="1">
        <v>44974</v>
      </c>
      <c r="D1503" t="s">
        <v>71</v>
      </c>
      <c r="E1503">
        <v>0</v>
      </c>
      <c r="F1503">
        <v>43</v>
      </c>
      <c r="G1503" t="str">
        <f t="shared" si="31"/>
        <v>41-60</v>
      </c>
      <c r="H1503" t="s">
        <v>23</v>
      </c>
      <c r="I1503" t="s">
        <v>31</v>
      </c>
      <c r="J1503" t="s">
        <v>28</v>
      </c>
      <c r="K1503" t="s">
        <v>33</v>
      </c>
      <c r="L1503">
        <v>1</v>
      </c>
      <c r="M1503">
        <v>1</v>
      </c>
      <c r="N1503">
        <v>6.9</v>
      </c>
      <c r="O1503">
        <v>9</v>
      </c>
      <c r="P1503">
        <v>6</v>
      </c>
      <c r="Q1503">
        <v>5</v>
      </c>
      <c r="R1503">
        <v>838662</v>
      </c>
      <c r="S1503">
        <f>Table1[[#This Row],[Revenue]]-Table1[[#This Row],[Operating_Costs]]</f>
        <v>271412</v>
      </c>
      <c r="T1503">
        <v>567250</v>
      </c>
      <c r="U1503">
        <v>31</v>
      </c>
      <c r="V1503">
        <v>62</v>
      </c>
      <c r="W1503">
        <v>6.7</v>
      </c>
    </row>
    <row r="1504" spans="1:23" x14ac:dyDescent="0.25">
      <c r="A1504">
        <v>4</v>
      </c>
      <c r="B1504" t="s">
        <v>69</v>
      </c>
      <c r="C1504" s="1">
        <v>44896</v>
      </c>
      <c r="D1504" t="s">
        <v>71</v>
      </c>
      <c r="E1504">
        <v>0</v>
      </c>
      <c r="F1504">
        <v>55</v>
      </c>
      <c r="G1504" t="str">
        <f t="shared" si="31"/>
        <v>41-60</v>
      </c>
      <c r="H1504" t="s">
        <v>23</v>
      </c>
      <c r="I1504" t="s">
        <v>46</v>
      </c>
      <c r="J1504" t="s">
        <v>47</v>
      </c>
      <c r="K1504" t="s">
        <v>33</v>
      </c>
      <c r="L1504">
        <v>1</v>
      </c>
      <c r="M1504">
        <v>1</v>
      </c>
      <c r="N1504">
        <v>4.9000000000000004</v>
      </c>
      <c r="O1504">
        <v>10</v>
      </c>
      <c r="P1504">
        <v>3</v>
      </c>
      <c r="Q1504">
        <v>3</v>
      </c>
      <c r="R1504">
        <v>828130</v>
      </c>
      <c r="S1504">
        <f>Table1[[#This Row],[Revenue]]-Table1[[#This Row],[Operating_Costs]]</f>
        <v>135500</v>
      </c>
      <c r="T1504">
        <v>692630</v>
      </c>
      <c r="U1504">
        <v>42</v>
      </c>
      <c r="V1504">
        <v>62</v>
      </c>
      <c r="W1504">
        <v>10.3</v>
      </c>
    </row>
    <row r="1505" spans="1:23" x14ac:dyDescent="0.25">
      <c r="A1505">
        <v>4</v>
      </c>
      <c r="B1505" t="s">
        <v>69</v>
      </c>
      <c r="C1505" s="1">
        <v>45296</v>
      </c>
      <c r="D1505" t="s">
        <v>71</v>
      </c>
      <c r="E1505">
        <v>0</v>
      </c>
      <c r="F1505">
        <v>26</v>
      </c>
      <c r="G1505" t="str">
        <f t="shared" si="31"/>
        <v>21-40</v>
      </c>
      <c r="H1505" t="s">
        <v>23</v>
      </c>
      <c r="I1505" t="s">
        <v>24</v>
      </c>
      <c r="J1505" t="s">
        <v>25</v>
      </c>
      <c r="K1505" t="s">
        <v>26</v>
      </c>
      <c r="L1505">
        <v>1</v>
      </c>
      <c r="M1505">
        <v>1</v>
      </c>
      <c r="N1505">
        <v>4</v>
      </c>
      <c r="O1505">
        <v>7.8</v>
      </c>
      <c r="P1505">
        <v>6</v>
      </c>
      <c r="Q1505">
        <v>3</v>
      </c>
      <c r="R1505">
        <v>996745</v>
      </c>
      <c r="S1505">
        <f>Table1[[#This Row],[Revenue]]-Table1[[#This Row],[Operating_Costs]]</f>
        <v>361606</v>
      </c>
      <c r="T1505">
        <v>635139</v>
      </c>
      <c r="U1505">
        <v>40</v>
      </c>
      <c r="V1505">
        <v>54</v>
      </c>
      <c r="W1505">
        <v>6.3</v>
      </c>
    </row>
    <row r="1506" spans="1:23" x14ac:dyDescent="0.25">
      <c r="A1506">
        <v>4</v>
      </c>
      <c r="B1506" t="s">
        <v>69</v>
      </c>
      <c r="C1506" s="1">
        <v>44823</v>
      </c>
      <c r="D1506" t="s">
        <v>71</v>
      </c>
      <c r="E1506">
        <v>0</v>
      </c>
      <c r="F1506">
        <v>46</v>
      </c>
      <c r="G1506" t="str">
        <f t="shared" si="31"/>
        <v>41-60</v>
      </c>
      <c r="H1506" t="s">
        <v>35</v>
      </c>
      <c r="I1506" t="s">
        <v>31</v>
      </c>
      <c r="J1506" t="s">
        <v>28</v>
      </c>
      <c r="K1506" t="s">
        <v>33</v>
      </c>
      <c r="L1506">
        <v>1</v>
      </c>
      <c r="M1506">
        <v>1</v>
      </c>
      <c r="N1506">
        <v>5.4</v>
      </c>
      <c r="O1506">
        <v>9.5</v>
      </c>
      <c r="P1506">
        <v>6</v>
      </c>
      <c r="Q1506">
        <v>3</v>
      </c>
      <c r="R1506">
        <v>921754</v>
      </c>
      <c r="S1506">
        <f>Table1[[#This Row],[Revenue]]-Table1[[#This Row],[Operating_Costs]]</f>
        <v>323239</v>
      </c>
      <c r="T1506">
        <v>598515</v>
      </c>
      <c r="U1506">
        <v>50</v>
      </c>
      <c r="V1506">
        <v>65</v>
      </c>
      <c r="W1506">
        <v>8.1999999999999993</v>
      </c>
    </row>
    <row r="1507" spans="1:23" x14ac:dyDescent="0.25">
      <c r="A1507">
        <v>4</v>
      </c>
      <c r="B1507" t="s">
        <v>69</v>
      </c>
      <c r="C1507" s="1">
        <v>44279</v>
      </c>
      <c r="D1507" t="s">
        <v>71</v>
      </c>
      <c r="E1507">
        <v>0</v>
      </c>
      <c r="F1507">
        <v>37</v>
      </c>
      <c r="G1507" t="str">
        <f t="shared" si="31"/>
        <v>21-40</v>
      </c>
      <c r="H1507" t="s">
        <v>35</v>
      </c>
      <c r="I1507" t="s">
        <v>31</v>
      </c>
      <c r="J1507" t="s">
        <v>28</v>
      </c>
      <c r="K1507" t="s">
        <v>26</v>
      </c>
      <c r="L1507">
        <v>1</v>
      </c>
      <c r="M1507">
        <v>1</v>
      </c>
      <c r="N1507">
        <v>5.8</v>
      </c>
      <c r="O1507">
        <v>9.6999999999999993</v>
      </c>
      <c r="P1507">
        <v>5</v>
      </c>
      <c r="Q1507">
        <v>3</v>
      </c>
      <c r="R1507">
        <v>960035</v>
      </c>
      <c r="S1507">
        <f>Table1[[#This Row],[Revenue]]-Table1[[#This Row],[Operating_Costs]]</f>
        <v>381064</v>
      </c>
      <c r="T1507">
        <v>578971</v>
      </c>
      <c r="U1507">
        <v>60</v>
      </c>
      <c r="V1507">
        <v>59</v>
      </c>
      <c r="W1507">
        <v>5.9</v>
      </c>
    </row>
    <row r="1508" spans="1:23" x14ac:dyDescent="0.25">
      <c r="A1508">
        <v>4</v>
      </c>
      <c r="B1508" t="s">
        <v>69</v>
      </c>
      <c r="C1508" s="1">
        <v>45532</v>
      </c>
      <c r="D1508" t="s">
        <v>71</v>
      </c>
      <c r="E1508">
        <v>0</v>
      </c>
      <c r="F1508">
        <v>73</v>
      </c>
      <c r="G1508" t="str">
        <f t="shared" si="31"/>
        <v>61-80</v>
      </c>
      <c r="H1508" t="s">
        <v>35</v>
      </c>
      <c r="I1508" t="s">
        <v>36</v>
      </c>
      <c r="J1508" t="s">
        <v>37</v>
      </c>
      <c r="K1508" t="s">
        <v>42</v>
      </c>
      <c r="L1508">
        <v>1</v>
      </c>
      <c r="M1508">
        <v>1</v>
      </c>
      <c r="N1508">
        <v>4.9000000000000004</v>
      </c>
      <c r="O1508">
        <v>7.8</v>
      </c>
      <c r="P1508">
        <v>3</v>
      </c>
      <c r="Q1508">
        <v>4</v>
      </c>
      <c r="R1508">
        <v>936214</v>
      </c>
      <c r="S1508">
        <f>Table1[[#This Row],[Revenue]]-Table1[[#This Row],[Operating_Costs]]</f>
        <v>246144</v>
      </c>
      <c r="T1508">
        <v>690070</v>
      </c>
      <c r="U1508">
        <v>52</v>
      </c>
      <c r="V1508">
        <v>60</v>
      </c>
      <c r="W1508">
        <v>14.9</v>
      </c>
    </row>
    <row r="1509" spans="1:23" x14ac:dyDescent="0.25">
      <c r="A1509">
        <v>4</v>
      </c>
      <c r="B1509" t="s">
        <v>69</v>
      </c>
      <c r="C1509" s="1">
        <v>44442</v>
      </c>
      <c r="D1509" t="s">
        <v>71</v>
      </c>
      <c r="E1509">
        <v>0</v>
      </c>
      <c r="F1509">
        <v>63</v>
      </c>
      <c r="G1509" t="str">
        <f t="shared" si="31"/>
        <v>61-80</v>
      </c>
      <c r="H1509" t="s">
        <v>23</v>
      </c>
      <c r="I1509" t="s">
        <v>24</v>
      </c>
      <c r="J1509" t="s">
        <v>25</v>
      </c>
      <c r="K1509" t="s">
        <v>26</v>
      </c>
      <c r="L1509">
        <v>1</v>
      </c>
      <c r="M1509">
        <v>1</v>
      </c>
      <c r="N1509">
        <v>6.5</v>
      </c>
      <c r="O1509">
        <v>8.8000000000000007</v>
      </c>
      <c r="P1509">
        <v>7</v>
      </c>
      <c r="Q1509">
        <v>7</v>
      </c>
      <c r="R1509">
        <v>938168</v>
      </c>
      <c r="S1509">
        <f>Table1[[#This Row],[Revenue]]-Table1[[#This Row],[Operating_Costs]]</f>
        <v>242879</v>
      </c>
      <c r="T1509">
        <v>695289</v>
      </c>
      <c r="U1509">
        <v>30</v>
      </c>
      <c r="V1509">
        <v>65</v>
      </c>
      <c r="W1509">
        <v>36.6</v>
      </c>
    </row>
    <row r="1510" spans="1:23" x14ac:dyDescent="0.25">
      <c r="A1510">
        <v>4</v>
      </c>
      <c r="B1510" t="s">
        <v>69</v>
      </c>
      <c r="C1510" s="1">
        <v>44301</v>
      </c>
      <c r="D1510" t="s">
        <v>71</v>
      </c>
      <c r="E1510">
        <v>0</v>
      </c>
      <c r="F1510">
        <v>67</v>
      </c>
      <c r="G1510" t="str">
        <f t="shared" si="31"/>
        <v>61-80</v>
      </c>
      <c r="H1510" t="s">
        <v>23</v>
      </c>
      <c r="I1510" t="s">
        <v>31</v>
      </c>
      <c r="J1510" t="s">
        <v>28</v>
      </c>
      <c r="K1510" t="s">
        <v>29</v>
      </c>
      <c r="L1510">
        <v>1</v>
      </c>
      <c r="M1510">
        <v>1</v>
      </c>
      <c r="N1510">
        <v>2.1</v>
      </c>
      <c r="O1510">
        <v>8.4</v>
      </c>
      <c r="P1510">
        <v>5</v>
      </c>
      <c r="Q1510">
        <v>3</v>
      </c>
      <c r="R1510">
        <v>965092</v>
      </c>
      <c r="S1510">
        <f>Table1[[#This Row],[Revenue]]-Table1[[#This Row],[Operating_Costs]]</f>
        <v>300334</v>
      </c>
      <c r="T1510">
        <v>664758</v>
      </c>
      <c r="U1510">
        <v>41</v>
      </c>
      <c r="V1510">
        <v>57</v>
      </c>
      <c r="W1510">
        <v>6.5</v>
      </c>
    </row>
    <row r="1511" spans="1:23" x14ac:dyDescent="0.25">
      <c r="A1511">
        <v>4</v>
      </c>
      <c r="B1511" t="s">
        <v>69</v>
      </c>
      <c r="C1511" s="1">
        <v>44953</v>
      </c>
      <c r="D1511" t="s">
        <v>71</v>
      </c>
      <c r="E1511">
        <v>0</v>
      </c>
      <c r="F1511">
        <v>72</v>
      </c>
      <c r="G1511" t="str">
        <f t="shared" si="31"/>
        <v>61-80</v>
      </c>
      <c r="H1511" t="s">
        <v>35</v>
      </c>
      <c r="I1511" t="s">
        <v>36</v>
      </c>
      <c r="J1511" t="s">
        <v>37</v>
      </c>
      <c r="K1511" t="s">
        <v>38</v>
      </c>
      <c r="L1511">
        <v>1</v>
      </c>
      <c r="M1511">
        <v>1</v>
      </c>
      <c r="N1511">
        <v>6.8</v>
      </c>
      <c r="O1511">
        <v>9.5</v>
      </c>
      <c r="P1511">
        <v>4</v>
      </c>
      <c r="Q1511">
        <v>6</v>
      </c>
      <c r="R1511">
        <v>832569</v>
      </c>
      <c r="S1511">
        <f>Table1[[#This Row],[Revenue]]-Table1[[#This Row],[Operating_Costs]]</f>
        <v>247714</v>
      </c>
      <c r="T1511">
        <v>584855</v>
      </c>
      <c r="U1511">
        <v>32</v>
      </c>
      <c r="V1511">
        <v>64</v>
      </c>
      <c r="W1511">
        <v>7.7</v>
      </c>
    </row>
    <row r="1512" spans="1:23" x14ac:dyDescent="0.25">
      <c r="A1512">
        <v>3</v>
      </c>
      <c r="B1512" t="s">
        <v>57</v>
      </c>
      <c r="C1512" s="1">
        <v>45223</v>
      </c>
      <c r="D1512" t="s">
        <v>71</v>
      </c>
      <c r="E1512">
        <v>0</v>
      </c>
      <c r="F1512">
        <v>39</v>
      </c>
      <c r="G1512" t="str">
        <f t="shared" si="31"/>
        <v>21-40</v>
      </c>
      <c r="H1512" t="s">
        <v>35</v>
      </c>
      <c r="I1512" t="s">
        <v>36</v>
      </c>
      <c r="J1512" t="s">
        <v>37</v>
      </c>
      <c r="K1512" t="s">
        <v>38</v>
      </c>
      <c r="L1512">
        <v>1</v>
      </c>
      <c r="M1512">
        <v>1</v>
      </c>
      <c r="N1512">
        <v>3.6</v>
      </c>
      <c r="O1512">
        <v>7.1</v>
      </c>
      <c r="P1512">
        <v>3</v>
      </c>
      <c r="Q1512">
        <v>5</v>
      </c>
      <c r="R1512">
        <v>566223</v>
      </c>
      <c r="S1512">
        <f>Table1[[#This Row],[Revenue]]-Table1[[#This Row],[Operating_Costs]]</f>
        <v>223231</v>
      </c>
      <c r="T1512">
        <v>342992</v>
      </c>
      <c r="U1512">
        <v>15</v>
      </c>
      <c r="V1512">
        <v>61</v>
      </c>
      <c r="W1512">
        <v>36.299999999999997</v>
      </c>
    </row>
    <row r="1513" spans="1:23" x14ac:dyDescent="0.25">
      <c r="A1513">
        <v>3</v>
      </c>
      <c r="B1513" t="s">
        <v>57</v>
      </c>
      <c r="C1513" s="1">
        <v>44654</v>
      </c>
      <c r="D1513" t="s">
        <v>71</v>
      </c>
      <c r="E1513">
        <v>0</v>
      </c>
      <c r="F1513">
        <v>30</v>
      </c>
      <c r="G1513" t="str">
        <f t="shared" si="31"/>
        <v>21-40</v>
      </c>
      <c r="H1513" t="s">
        <v>35</v>
      </c>
      <c r="I1513" t="s">
        <v>36</v>
      </c>
      <c r="J1513" t="s">
        <v>37</v>
      </c>
      <c r="K1513" t="s">
        <v>26</v>
      </c>
      <c r="L1513">
        <v>1</v>
      </c>
      <c r="M1513">
        <v>1</v>
      </c>
      <c r="N1513">
        <v>4.3</v>
      </c>
      <c r="O1513">
        <v>8.5</v>
      </c>
      <c r="P1513">
        <v>3</v>
      </c>
      <c r="Q1513">
        <v>5</v>
      </c>
      <c r="R1513">
        <v>540135</v>
      </c>
      <c r="S1513">
        <f>Table1[[#This Row],[Revenue]]-Table1[[#This Row],[Operating_Costs]]</f>
        <v>152187</v>
      </c>
      <c r="T1513">
        <v>387948</v>
      </c>
      <c r="U1513">
        <v>18</v>
      </c>
      <c r="V1513">
        <v>58</v>
      </c>
      <c r="W1513">
        <v>9.6</v>
      </c>
    </row>
    <row r="1514" spans="1:23" x14ac:dyDescent="0.25">
      <c r="A1514">
        <v>4</v>
      </c>
      <c r="B1514" t="s">
        <v>69</v>
      </c>
      <c r="C1514" s="1">
        <v>45628</v>
      </c>
      <c r="D1514" t="s">
        <v>71</v>
      </c>
      <c r="E1514">
        <v>0</v>
      </c>
      <c r="F1514">
        <v>73</v>
      </c>
      <c r="G1514" t="str">
        <f t="shared" si="31"/>
        <v>61-80</v>
      </c>
      <c r="H1514" t="s">
        <v>23</v>
      </c>
      <c r="I1514" t="s">
        <v>50</v>
      </c>
      <c r="J1514" t="s">
        <v>51</v>
      </c>
      <c r="K1514" t="s">
        <v>38</v>
      </c>
      <c r="L1514">
        <v>1</v>
      </c>
      <c r="M1514">
        <v>1</v>
      </c>
      <c r="N1514">
        <v>1.1000000000000001</v>
      </c>
      <c r="O1514">
        <v>8.8000000000000007</v>
      </c>
      <c r="P1514">
        <v>7</v>
      </c>
      <c r="Q1514">
        <v>7</v>
      </c>
      <c r="R1514">
        <v>996810</v>
      </c>
      <c r="S1514">
        <f>Table1[[#This Row],[Revenue]]-Table1[[#This Row],[Operating_Costs]]</f>
        <v>482585</v>
      </c>
      <c r="T1514">
        <v>514225</v>
      </c>
      <c r="U1514">
        <v>42</v>
      </c>
      <c r="V1514">
        <v>64</v>
      </c>
      <c r="W1514">
        <v>7.5</v>
      </c>
    </row>
    <row r="1515" spans="1:23" x14ac:dyDescent="0.25">
      <c r="A1515">
        <v>3</v>
      </c>
      <c r="B1515" t="s">
        <v>57</v>
      </c>
      <c r="C1515" s="1">
        <v>44261</v>
      </c>
      <c r="D1515" t="s">
        <v>71</v>
      </c>
      <c r="E1515">
        <v>0</v>
      </c>
      <c r="F1515">
        <v>53</v>
      </c>
      <c r="G1515" t="str">
        <f t="shared" si="31"/>
        <v>41-60</v>
      </c>
      <c r="H1515" t="s">
        <v>23</v>
      </c>
      <c r="I1515" t="s">
        <v>50</v>
      </c>
      <c r="J1515" t="s">
        <v>51</v>
      </c>
      <c r="K1515" t="s">
        <v>42</v>
      </c>
      <c r="L1515">
        <v>1</v>
      </c>
      <c r="M1515">
        <v>1</v>
      </c>
      <c r="N1515">
        <v>4.8</v>
      </c>
      <c r="O1515">
        <v>8.5</v>
      </c>
      <c r="P1515">
        <v>6</v>
      </c>
      <c r="Q1515">
        <v>3</v>
      </c>
      <c r="R1515">
        <v>593676</v>
      </c>
      <c r="S1515">
        <f>Table1[[#This Row],[Revenue]]-Table1[[#This Row],[Operating_Costs]]</f>
        <v>227639</v>
      </c>
      <c r="T1515">
        <v>366037</v>
      </c>
      <c r="U1515">
        <v>23</v>
      </c>
      <c r="V1515">
        <v>57</v>
      </c>
      <c r="W1515">
        <v>12.2</v>
      </c>
    </row>
    <row r="1516" spans="1:23" x14ac:dyDescent="0.25">
      <c r="A1516">
        <v>4</v>
      </c>
      <c r="B1516" t="s">
        <v>69</v>
      </c>
      <c r="C1516" s="1">
        <v>44786</v>
      </c>
      <c r="D1516" t="s">
        <v>71</v>
      </c>
      <c r="E1516">
        <v>0</v>
      </c>
      <c r="F1516">
        <v>48</v>
      </c>
      <c r="G1516" t="str">
        <f t="shared" si="31"/>
        <v>41-60</v>
      </c>
      <c r="H1516" t="s">
        <v>35</v>
      </c>
      <c r="I1516" t="s">
        <v>61</v>
      </c>
      <c r="J1516" t="s">
        <v>62</v>
      </c>
      <c r="K1516" t="s">
        <v>26</v>
      </c>
      <c r="L1516">
        <v>1</v>
      </c>
      <c r="M1516">
        <v>1</v>
      </c>
      <c r="N1516">
        <v>4.5</v>
      </c>
      <c r="O1516">
        <v>9.8000000000000007</v>
      </c>
      <c r="P1516">
        <v>5</v>
      </c>
      <c r="Q1516">
        <v>5</v>
      </c>
      <c r="R1516">
        <v>889752</v>
      </c>
      <c r="S1516">
        <f>Table1[[#This Row],[Revenue]]-Table1[[#This Row],[Operating_Costs]]</f>
        <v>346092</v>
      </c>
      <c r="T1516">
        <v>543660</v>
      </c>
      <c r="U1516">
        <v>54</v>
      </c>
      <c r="V1516">
        <v>59</v>
      </c>
      <c r="W1516">
        <v>14.7</v>
      </c>
    </row>
    <row r="1517" spans="1:23" x14ac:dyDescent="0.25">
      <c r="A1517">
        <v>4</v>
      </c>
      <c r="B1517" t="s">
        <v>69</v>
      </c>
      <c r="C1517" s="1">
        <v>44766</v>
      </c>
      <c r="D1517" t="s">
        <v>71</v>
      </c>
      <c r="E1517">
        <v>0</v>
      </c>
      <c r="F1517">
        <v>68</v>
      </c>
      <c r="G1517" t="str">
        <f t="shared" si="31"/>
        <v>61-80</v>
      </c>
      <c r="H1517" t="s">
        <v>35</v>
      </c>
      <c r="I1517" t="s">
        <v>53</v>
      </c>
      <c r="J1517" t="s">
        <v>54</v>
      </c>
      <c r="K1517" t="s">
        <v>38</v>
      </c>
      <c r="L1517">
        <v>1</v>
      </c>
      <c r="M1517">
        <v>1</v>
      </c>
      <c r="N1517">
        <v>3.3</v>
      </c>
      <c r="O1517">
        <v>7.3</v>
      </c>
      <c r="P1517">
        <v>7</v>
      </c>
      <c r="Q1517">
        <v>5</v>
      </c>
      <c r="R1517">
        <v>931024</v>
      </c>
      <c r="S1517">
        <f>Table1[[#This Row],[Revenue]]-Table1[[#This Row],[Operating_Costs]]</f>
        <v>359603</v>
      </c>
      <c r="T1517">
        <v>571421</v>
      </c>
      <c r="U1517">
        <v>56</v>
      </c>
      <c r="V1517">
        <v>60</v>
      </c>
      <c r="W1517">
        <v>36.299999999999997</v>
      </c>
    </row>
    <row r="1518" spans="1:23" x14ac:dyDescent="0.25">
      <c r="A1518">
        <v>3</v>
      </c>
      <c r="B1518" t="s">
        <v>57</v>
      </c>
      <c r="C1518" s="1">
        <v>44314</v>
      </c>
      <c r="D1518" t="s">
        <v>71</v>
      </c>
      <c r="E1518">
        <v>0</v>
      </c>
      <c r="F1518">
        <v>66</v>
      </c>
      <c r="G1518" t="str">
        <f t="shared" si="31"/>
        <v>61-80</v>
      </c>
      <c r="H1518" t="s">
        <v>35</v>
      </c>
      <c r="I1518" t="s">
        <v>40</v>
      </c>
      <c r="J1518" t="s">
        <v>41</v>
      </c>
      <c r="K1518" t="s">
        <v>29</v>
      </c>
      <c r="L1518">
        <v>1</v>
      </c>
      <c r="M1518">
        <v>1</v>
      </c>
      <c r="N1518">
        <v>4.7</v>
      </c>
      <c r="O1518">
        <v>9.6999999999999993</v>
      </c>
      <c r="P1518">
        <v>3</v>
      </c>
      <c r="Q1518">
        <v>7</v>
      </c>
      <c r="R1518">
        <v>536997</v>
      </c>
      <c r="S1518">
        <f>Table1[[#This Row],[Revenue]]-Table1[[#This Row],[Operating_Costs]]</f>
        <v>175965</v>
      </c>
      <c r="T1518">
        <v>361032</v>
      </c>
      <c r="U1518">
        <v>23</v>
      </c>
      <c r="V1518">
        <v>62</v>
      </c>
      <c r="W1518">
        <v>9.5</v>
      </c>
    </row>
    <row r="1519" spans="1:23" x14ac:dyDescent="0.25">
      <c r="A1519">
        <v>4</v>
      </c>
      <c r="B1519" t="s">
        <v>69</v>
      </c>
      <c r="C1519" s="1">
        <v>45594</v>
      </c>
      <c r="D1519" t="s">
        <v>71</v>
      </c>
      <c r="E1519">
        <v>0</v>
      </c>
      <c r="F1519">
        <v>21</v>
      </c>
      <c r="G1519" t="str">
        <f t="shared" si="31"/>
        <v>21-40</v>
      </c>
      <c r="H1519" t="s">
        <v>23</v>
      </c>
      <c r="I1519" t="s">
        <v>31</v>
      </c>
      <c r="J1519" t="s">
        <v>28</v>
      </c>
      <c r="K1519" t="s">
        <v>26</v>
      </c>
      <c r="L1519">
        <v>1</v>
      </c>
      <c r="M1519">
        <v>1</v>
      </c>
      <c r="N1519">
        <v>2.2999999999999998</v>
      </c>
      <c r="O1519">
        <v>7.1</v>
      </c>
      <c r="P1519">
        <v>5</v>
      </c>
      <c r="Q1519">
        <v>4</v>
      </c>
      <c r="R1519">
        <v>807721</v>
      </c>
      <c r="S1519">
        <f>Table1[[#This Row],[Revenue]]-Table1[[#This Row],[Operating_Costs]]</f>
        <v>173485</v>
      </c>
      <c r="T1519">
        <v>634236</v>
      </c>
      <c r="U1519">
        <v>35</v>
      </c>
      <c r="V1519">
        <v>54</v>
      </c>
      <c r="W1519">
        <v>13</v>
      </c>
    </row>
    <row r="1520" spans="1:23" x14ac:dyDescent="0.25">
      <c r="A1520">
        <v>4</v>
      </c>
      <c r="B1520" t="s">
        <v>69</v>
      </c>
      <c r="C1520" s="1">
        <v>45640</v>
      </c>
      <c r="D1520" t="s">
        <v>71</v>
      </c>
      <c r="E1520">
        <v>0</v>
      </c>
      <c r="F1520">
        <v>45</v>
      </c>
      <c r="G1520" t="str">
        <f t="shared" si="31"/>
        <v>41-60</v>
      </c>
      <c r="H1520" t="s">
        <v>35</v>
      </c>
      <c r="I1520" t="s">
        <v>31</v>
      </c>
      <c r="J1520" t="s">
        <v>28</v>
      </c>
      <c r="K1520" t="s">
        <v>29</v>
      </c>
      <c r="L1520">
        <v>1</v>
      </c>
      <c r="M1520">
        <v>1</v>
      </c>
      <c r="N1520">
        <v>1.8</v>
      </c>
      <c r="O1520">
        <v>7.4</v>
      </c>
      <c r="P1520">
        <v>6</v>
      </c>
      <c r="Q1520">
        <v>6</v>
      </c>
      <c r="R1520">
        <v>928365</v>
      </c>
      <c r="S1520">
        <f>Table1[[#This Row],[Revenue]]-Table1[[#This Row],[Operating_Costs]]</f>
        <v>420515</v>
      </c>
      <c r="T1520">
        <v>507850</v>
      </c>
      <c r="U1520">
        <v>42</v>
      </c>
      <c r="V1520">
        <v>54</v>
      </c>
      <c r="W1520">
        <v>14.8</v>
      </c>
    </row>
    <row r="1521" spans="1:23" x14ac:dyDescent="0.25">
      <c r="A1521">
        <v>4</v>
      </c>
      <c r="B1521" t="s">
        <v>69</v>
      </c>
      <c r="C1521" s="1">
        <v>45277</v>
      </c>
      <c r="D1521" t="s">
        <v>71</v>
      </c>
      <c r="E1521">
        <v>0</v>
      </c>
      <c r="F1521">
        <v>71</v>
      </c>
      <c r="G1521" t="str">
        <f t="shared" si="31"/>
        <v>61-80</v>
      </c>
      <c r="H1521" t="s">
        <v>35</v>
      </c>
      <c r="I1521" t="s">
        <v>46</v>
      </c>
      <c r="J1521" t="s">
        <v>47</v>
      </c>
      <c r="K1521" t="s">
        <v>33</v>
      </c>
      <c r="L1521">
        <v>1</v>
      </c>
      <c r="M1521">
        <v>1</v>
      </c>
      <c r="N1521">
        <v>6.5</v>
      </c>
      <c r="O1521">
        <v>8.1999999999999993</v>
      </c>
      <c r="P1521">
        <v>6</v>
      </c>
      <c r="Q1521">
        <v>4</v>
      </c>
      <c r="R1521">
        <v>913052</v>
      </c>
      <c r="S1521">
        <f>Table1[[#This Row],[Revenue]]-Table1[[#This Row],[Operating_Costs]]</f>
        <v>397717</v>
      </c>
      <c r="T1521">
        <v>515335</v>
      </c>
      <c r="U1521">
        <v>47</v>
      </c>
      <c r="V1521">
        <v>56</v>
      </c>
      <c r="W1521">
        <v>7.4</v>
      </c>
    </row>
    <row r="1522" spans="1:23" x14ac:dyDescent="0.25">
      <c r="A1522">
        <v>4</v>
      </c>
      <c r="B1522" t="s">
        <v>69</v>
      </c>
      <c r="C1522" s="1">
        <v>44535</v>
      </c>
      <c r="D1522" t="s">
        <v>71</v>
      </c>
      <c r="E1522">
        <v>0</v>
      </c>
      <c r="F1522">
        <v>25</v>
      </c>
      <c r="G1522" t="str">
        <f t="shared" si="31"/>
        <v>21-40</v>
      </c>
      <c r="H1522" t="s">
        <v>35</v>
      </c>
      <c r="I1522" t="s">
        <v>36</v>
      </c>
      <c r="J1522" t="s">
        <v>37</v>
      </c>
      <c r="K1522" t="s">
        <v>26</v>
      </c>
      <c r="L1522">
        <v>1</v>
      </c>
      <c r="M1522">
        <v>1</v>
      </c>
      <c r="N1522">
        <v>1.4</v>
      </c>
      <c r="O1522">
        <v>8.5</v>
      </c>
      <c r="P1522">
        <v>3</v>
      </c>
      <c r="Q1522">
        <v>4</v>
      </c>
      <c r="R1522">
        <v>917471</v>
      </c>
      <c r="S1522">
        <f>Table1[[#This Row],[Revenue]]-Table1[[#This Row],[Operating_Costs]]</f>
        <v>377229</v>
      </c>
      <c r="T1522">
        <v>540242</v>
      </c>
      <c r="U1522">
        <v>58</v>
      </c>
      <c r="V1522">
        <v>61</v>
      </c>
      <c r="W1522">
        <v>7.6</v>
      </c>
    </row>
    <row r="1523" spans="1:23" x14ac:dyDescent="0.25">
      <c r="A1523">
        <v>4</v>
      </c>
      <c r="B1523" t="s">
        <v>69</v>
      </c>
      <c r="C1523" s="1">
        <v>45427</v>
      </c>
      <c r="D1523" t="s">
        <v>71</v>
      </c>
      <c r="E1523">
        <v>0</v>
      </c>
      <c r="F1523">
        <v>43</v>
      </c>
      <c r="G1523" t="str">
        <f t="shared" si="31"/>
        <v>41-60</v>
      </c>
      <c r="H1523" t="s">
        <v>23</v>
      </c>
      <c r="I1523" t="s">
        <v>43</v>
      </c>
      <c r="J1523" t="s">
        <v>25</v>
      </c>
      <c r="K1523" t="s">
        <v>29</v>
      </c>
      <c r="L1523">
        <v>1</v>
      </c>
      <c r="M1523">
        <v>1</v>
      </c>
      <c r="N1523">
        <v>3.9</v>
      </c>
      <c r="O1523">
        <v>9.8000000000000007</v>
      </c>
      <c r="P1523">
        <v>5</v>
      </c>
      <c r="Q1523">
        <v>6</v>
      </c>
      <c r="R1523">
        <v>892217</v>
      </c>
      <c r="S1523">
        <f>Table1[[#This Row],[Revenue]]-Table1[[#This Row],[Operating_Costs]]</f>
        <v>213673</v>
      </c>
      <c r="T1523">
        <v>678544</v>
      </c>
      <c r="U1523">
        <v>55</v>
      </c>
      <c r="V1523">
        <v>57</v>
      </c>
      <c r="W1523">
        <v>36.5</v>
      </c>
    </row>
    <row r="1524" spans="1:23" x14ac:dyDescent="0.25">
      <c r="A1524">
        <v>4</v>
      </c>
      <c r="B1524" t="s">
        <v>69</v>
      </c>
      <c r="C1524" s="1">
        <v>44290</v>
      </c>
      <c r="D1524" t="s">
        <v>71</v>
      </c>
      <c r="E1524">
        <v>0</v>
      </c>
      <c r="F1524">
        <v>27</v>
      </c>
      <c r="G1524" t="str">
        <f t="shared" si="31"/>
        <v>21-40</v>
      </c>
      <c r="H1524" t="s">
        <v>23</v>
      </c>
      <c r="I1524" t="s">
        <v>24</v>
      </c>
      <c r="J1524" t="s">
        <v>25</v>
      </c>
      <c r="K1524" t="s">
        <v>33</v>
      </c>
      <c r="L1524">
        <v>1</v>
      </c>
      <c r="M1524">
        <v>1</v>
      </c>
      <c r="N1524">
        <v>1.6</v>
      </c>
      <c r="O1524">
        <v>9</v>
      </c>
      <c r="P1524">
        <v>3</v>
      </c>
      <c r="Q1524">
        <v>3</v>
      </c>
      <c r="R1524">
        <v>824368</v>
      </c>
      <c r="S1524">
        <f>Table1[[#This Row],[Revenue]]-Table1[[#This Row],[Operating_Costs]]</f>
        <v>318759</v>
      </c>
      <c r="T1524">
        <v>505609</v>
      </c>
      <c r="U1524">
        <v>54</v>
      </c>
      <c r="V1524">
        <v>62</v>
      </c>
      <c r="W1524">
        <v>12.2</v>
      </c>
    </row>
    <row r="1525" spans="1:23" x14ac:dyDescent="0.25">
      <c r="A1525">
        <v>4</v>
      </c>
      <c r="B1525" t="s">
        <v>69</v>
      </c>
      <c r="C1525" s="1">
        <v>45232</v>
      </c>
      <c r="D1525" t="s">
        <v>71</v>
      </c>
      <c r="E1525">
        <v>0</v>
      </c>
      <c r="F1525">
        <v>29</v>
      </c>
      <c r="G1525" t="str">
        <f t="shared" si="31"/>
        <v>21-40</v>
      </c>
      <c r="H1525" t="s">
        <v>35</v>
      </c>
      <c r="I1525" t="s">
        <v>40</v>
      </c>
      <c r="J1525" t="s">
        <v>41</v>
      </c>
      <c r="K1525" t="s">
        <v>33</v>
      </c>
      <c r="L1525">
        <v>1</v>
      </c>
      <c r="M1525">
        <v>1</v>
      </c>
      <c r="N1525">
        <v>3.2</v>
      </c>
      <c r="O1525">
        <v>9</v>
      </c>
      <c r="P1525">
        <v>7</v>
      </c>
      <c r="Q1525">
        <v>3</v>
      </c>
      <c r="R1525">
        <v>936620</v>
      </c>
      <c r="S1525">
        <f>Table1[[#This Row],[Revenue]]-Table1[[#This Row],[Operating_Costs]]</f>
        <v>306985</v>
      </c>
      <c r="T1525">
        <v>629635</v>
      </c>
      <c r="U1525">
        <v>59</v>
      </c>
      <c r="V1525">
        <v>60</v>
      </c>
      <c r="W1525">
        <v>13.6</v>
      </c>
    </row>
    <row r="1526" spans="1:23" x14ac:dyDescent="0.25">
      <c r="A1526">
        <v>4</v>
      </c>
      <c r="B1526" t="s">
        <v>69</v>
      </c>
      <c r="C1526" s="1">
        <v>44571</v>
      </c>
      <c r="D1526" t="s">
        <v>71</v>
      </c>
      <c r="E1526">
        <v>0</v>
      </c>
      <c r="F1526">
        <v>85</v>
      </c>
      <c r="G1526" t="str">
        <f t="shared" si="31"/>
        <v>81+</v>
      </c>
      <c r="H1526" t="s">
        <v>35</v>
      </c>
      <c r="I1526" t="s">
        <v>55</v>
      </c>
      <c r="J1526" t="s">
        <v>56</v>
      </c>
      <c r="K1526" t="s">
        <v>42</v>
      </c>
      <c r="L1526">
        <v>1</v>
      </c>
      <c r="M1526">
        <v>1</v>
      </c>
      <c r="N1526">
        <v>1.2</v>
      </c>
      <c r="O1526">
        <v>7.5</v>
      </c>
      <c r="P1526">
        <v>6</v>
      </c>
      <c r="Q1526">
        <v>4</v>
      </c>
      <c r="R1526">
        <v>853308</v>
      </c>
      <c r="S1526">
        <f>Table1[[#This Row],[Revenue]]-Table1[[#This Row],[Operating_Costs]]</f>
        <v>186494</v>
      </c>
      <c r="T1526">
        <v>666814</v>
      </c>
      <c r="U1526">
        <v>32</v>
      </c>
      <c r="V1526">
        <v>65</v>
      </c>
      <c r="W1526">
        <v>10.4</v>
      </c>
    </row>
    <row r="1527" spans="1:23" x14ac:dyDescent="0.25">
      <c r="A1527">
        <v>4</v>
      </c>
      <c r="B1527" t="s">
        <v>69</v>
      </c>
      <c r="C1527" s="1">
        <v>44447</v>
      </c>
      <c r="D1527" t="s">
        <v>71</v>
      </c>
      <c r="E1527">
        <v>0</v>
      </c>
      <c r="F1527">
        <v>24</v>
      </c>
      <c r="G1527" t="str">
        <f t="shared" si="31"/>
        <v>21-40</v>
      </c>
      <c r="H1527" t="s">
        <v>23</v>
      </c>
      <c r="I1527" t="s">
        <v>40</v>
      </c>
      <c r="J1527" t="s">
        <v>41</v>
      </c>
      <c r="K1527" t="s">
        <v>38</v>
      </c>
      <c r="L1527">
        <v>1</v>
      </c>
      <c r="M1527">
        <v>1</v>
      </c>
      <c r="N1527">
        <v>5.0999999999999996</v>
      </c>
      <c r="O1527">
        <v>9.5</v>
      </c>
      <c r="P1527">
        <v>5</v>
      </c>
      <c r="Q1527">
        <v>7</v>
      </c>
      <c r="R1527">
        <v>998648</v>
      </c>
      <c r="S1527">
        <f>Table1[[#This Row],[Revenue]]-Table1[[#This Row],[Operating_Costs]]</f>
        <v>394210</v>
      </c>
      <c r="T1527">
        <v>604438</v>
      </c>
      <c r="U1527">
        <v>39</v>
      </c>
      <c r="V1527">
        <v>61</v>
      </c>
      <c r="W1527">
        <v>7.4</v>
      </c>
    </row>
    <row r="1528" spans="1:23" x14ac:dyDescent="0.25">
      <c r="A1528">
        <v>4</v>
      </c>
      <c r="B1528" t="s">
        <v>69</v>
      </c>
      <c r="C1528" s="1">
        <v>44378</v>
      </c>
      <c r="D1528" t="s">
        <v>71</v>
      </c>
      <c r="E1528">
        <v>0</v>
      </c>
      <c r="F1528">
        <v>45</v>
      </c>
      <c r="G1528" t="str">
        <f t="shared" si="31"/>
        <v>41-60</v>
      </c>
      <c r="H1528" t="s">
        <v>23</v>
      </c>
      <c r="I1528" t="s">
        <v>40</v>
      </c>
      <c r="J1528" t="s">
        <v>41</v>
      </c>
      <c r="K1528" t="s">
        <v>26</v>
      </c>
      <c r="L1528">
        <v>1</v>
      </c>
      <c r="M1528">
        <v>1</v>
      </c>
      <c r="N1528">
        <v>5.0999999999999996</v>
      </c>
      <c r="O1528">
        <v>9.1</v>
      </c>
      <c r="P1528">
        <v>3</v>
      </c>
      <c r="Q1528">
        <v>6</v>
      </c>
      <c r="R1528">
        <v>838344</v>
      </c>
      <c r="S1528">
        <f>Table1[[#This Row],[Revenue]]-Table1[[#This Row],[Operating_Costs]]</f>
        <v>326102</v>
      </c>
      <c r="T1528">
        <v>512242</v>
      </c>
      <c r="U1528">
        <v>51</v>
      </c>
      <c r="V1528">
        <v>65</v>
      </c>
      <c r="W1528">
        <v>12</v>
      </c>
    </row>
    <row r="1529" spans="1:23" x14ac:dyDescent="0.25">
      <c r="A1529">
        <v>4</v>
      </c>
      <c r="B1529" t="s">
        <v>69</v>
      </c>
      <c r="C1529" s="1">
        <v>44392</v>
      </c>
      <c r="D1529" t="s">
        <v>71</v>
      </c>
      <c r="E1529">
        <v>0</v>
      </c>
      <c r="F1529">
        <v>66</v>
      </c>
      <c r="G1529" t="str">
        <f t="shared" si="31"/>
        <v>61-80</v>
      </c>
      <c r="H1529" t="s">
        <v>35</v>
      </c>
      <c r="I1529" t="s">
        <v>61</v>
      </c>
      <c r="J1529" t="s">
        <v>62</v>
      </c>
      <c r="K1529" t="s">
        <v>38</v>
      </c>
      <c r="L1529">
        <v>1</v>
      </c>
      <c r="M1529">
        <v>1</v>
      </c>
      <c r="N1529">
        <v>3.5</v>
      </c>
      <c r="O1529">
        <v>9.1</v>
      </c>
      <c r="P1529">
        <v>4</v>
      </c>
      <c r="Q1529">
        <v>5</v>
      </c>
      <c r="R1529">
        <v>994389</v>
      </c>
      <c r="S1529">
        <f>Table1[[#This Row],[Revenue]]-Table1[[#This Row],[Operating_Costs]]</f>
        <v>418789</v>
      </c>
      <c r="T1529">
        <v>575600</v>
      </c>
      <c r="U1529">
        <v>37</v>
      </c>
      <c r="V1529">
        <v>65</v>
      </c>
      <c r="W1529">
        <v>12</v>
      </c>
    </row>
    <row r="1530" spans="1:23" x14ac:dyDescent="0.25">
      <c r="A1530">
        <v>4</v>
      </c>
      <c r="B1530" t="s">
        <v>69</v>
      </c>
      <c r="C1530" s="1">
        <v>44301</v>
      </c>
      <c r="D1530" t="s">
        <v>71</v>
      </c>
      <c r="E1530">
        <v>0</v>
      </c>
      <c r="F1530">
        <v>66</v>
      </c>
      <c r="G1530" t="str">
        <f t="shared" si="31"/>
        <v>61-80</v>
      </c>
      <c r="H1530" t="s">
        <v>35</v>
      </c>
      <c r="I1530" t="s">
        <v>61</v>
      </c>
      <c r="J1530" t="s">
        <v>62</v>
      </c>
      <c r="K1530" t="s">
        <v>38</v>
      </c>
      <c r="L1530">
        <v>1</v>
      </c>
      <c r="M1530">
        <v>1</v>
      </c>
      <c r="N1530">
        <v>5.2</v>
      </c>
      <c r="O1530">
        <v>9.9</v>
      </c>
      <c r="P1530">
        <v>3</v>
      </c>
      <c r="Q1530">
        <v>5</v>
      </c>
      <c r="R1530">
        <v>988368</v>
      </c>
      <c r="S1530">
        <f>Table1[[#This Row],[Revenue]]-Table1[[#This Row],[Operating_Costs]]</f>
        <v>472459</v>
      </c>
      <c r="T1530">
        <v>515909</v>
      </c>
      <c r="U1530">
        <v>39</v>
      </c>
      <c r="V1530">
        <v>56</v>
      </c>
      <c r="W1530">
        <v>12.3</v>
      </c>
    </row>
    <row r="1531" spans="1:23" x14ac:dyDescent="0.25">
      <c r="A1531">
        <v>4</v>
      </c>
      <c r="B1531" t="s">
        <v>69</v>
      </c>
      <c r="C1531" s="1">
        <v>45532</v>
      </c>
      <c r="D1531" t="s">
        <v>71</v>
      </c>
      <c r="E1531">
        <v>0</v>
      </c>
      <c r="F1531">
        <v>23</v>
      </c>
      <c r="G1531" t="str">
        <f t="shared" si="31"/>
        <v>21-40</v>
      </c>
      <c r="H1531" t="s">
        <v>23</v>
      </c>
      <c r="I1531" t="s">
        <v>46</v>
      </c>
      <c r="J1531" t="s">
        <v>47</v>
      </c>
      <c r="K1531" t="s">
        <v>29</v>
      </c>
      <c r="L1531">
        <v>1</v>
      </c>
      <c r="M1531">
        <v>1</v>
      </c>
      <c r="N1531">
        <v>1.2</v>
      </c>
      <c r="O1531">
        <v>8.6999999999999993</v>
      </c>
      <c r="P1531">
        <v>4</v>
      </c>
      <c r="Q1531">
        <v>4</v>
      </c>
      <c r="R1531">
        <v>964590</v>
      </c>
      <c r="S1531">
        <f>Table1[[#This Row],[Revenue]]-Table1[[#This Row],[Operating_Costs]]</f>
        <v>360654</v>
      </c>
      <c r="T1531">
        <v>603936</v>
      </c>
      <c r="U1531">
        <v>31</v>
      </c>
      <c r="V1531">
        <v>54</v>
      </c>
      <c r="W1531">
        <v>8</v>
      </c>
    </row>
    <row r="1532" spans="1:23" x14ac:dyDescent="0.25">
      <c r="A1532">
        <v>4</v>
      </c>
      <c r="B1532" t="s">
        <v>69</v>
      </c>
      <c r="C1532" s="1">
        <v>44224</v>
      </c>
      <c r="D1532" t="s">
        <v>71</v>
      </c>
      <c r="E1532">
        <v>0</v>
      </c>
      <c r="F1532">
        <v>47</v>
      </c>
      <c r="G1532" t="str">
        <f t="shared" si="31"/>
        <v>41-60</v>
      </c>
      <c r="H1532" t="s">
        <v>35</v>
      </c>
      <c r="I1532" t="s">
        <v>53</v>
      </c>
      <c r="J1532" t="s">
        <v>54</v>
      </c>
      <c r="K1532" t="s">
        <v>29</v>
      </c>
      <c r="L1532">
        <v>1</v>
      </c>
      <c r="M1532">
        <v>1</v>
      </c>
      <c r="N1532">
        <v>3.1</v>
      </c>
      <c r="O1532">
        <v>9.8000000000000007</v>
      </c>
      <c r="P1532">
        <v>7</v>
      </c>
      <c r="Q1532">
        <v>7</v>
      </c>
      <c r="R1532">
        <v>838493</v>
      </c>
      <c r="S1532">
        <f>Table1[[#This Row],[Revenue]]-Table1[[#This Row],[Operating_Costs]]</f>
        <v>291842</v>
      </c>
      <c r="T1532">
        <v>546651</v>
      </c>
      <c r="U1532">
        <v>49</v>
      </c>
      <c r="V1532">
        <v>54</v>
      </c>
      <c r="W1532">
        <v>8.3000000000000007</v>
      </c>
    </row>
    <row r="1533" spans="1:23" x14ac:dyDescent="0.25">
      <c r="A1533">
        <v>4</v>
      </c>
      <c r="B1533" t="s">
        <v>69</v>
      </c>
      <c r="C1533" s="1">
        <v>45523</v>
      </c>
      <c r="D1533" t="s">
        <v>71</v>
      </c>
      <c r="E1533">
        <v>0</v>
      </c>
      <c r="F1533">
        <v>60</v>
      </c>
      <c r="G1533" t="str">
        <f t="shared" si="31"/>
        <v>41-60</v>
      </c>
      <c r="H1533" t="s">
        <v>23</v>
      </c>
      <c r="I1533" t="s">
        <v>27</v>
      </c>
      <c r="J1533" t="s">
        <v>28</v>
      </c>
      <c r="K1533" t="s">
        <v>26</v>
      </c>
      <c r="L1533">
        <v>1</v>
      </c>
      <c r="M1533">
        <v>1</v>
      </c>
      <c r="N1533">
        <v>5.2</v>
      </c>
      <c r="O1533">
        <v>8.5</v>
      </c>
      <c r="P1533">
        <v>7</v>
      </c>
      <c r="Q1533">
        <v>3</v>
      </c>
      <c r="R1533">
        <v>831722</v>
      </c>
      <c r="S1533">
        <f>Table1[[#This Row],[Revenue]]-Table1[[#This Row],[Operating_Costs]]</f>
        <v>172357</v>
      </c>
      <c r="T1533">
        <v>659365</v>
      </c>
      <c r="U1533">
        <v>34</v>
      </c>
      <c r="V1533">
        <v>57</v>
      </c>
      <c r="W1533">
        <v>8.9</v>
      </c>
    </row>
    <row r="1534" spans="1:23" x14ac:dyDescent="0.25">
      <c r="A1534">
        <v>4</v>
      </c>
      <c r="B1534" t="s">
        <v>69</v>
      </c>
      <c r="C1534" s="1">
        <v>44273</v>
      </c>
      <c r="D1534" t="s">
        <v>71</v>
      </c>
      <c r="E1534">
        <v>0</v>
      </c>
      <c r="F1534">
        <v>39</v>
      </c>
      <c r="G1534" t="str">
        <f t="shared" si="31"/>
        <v>21-40</v>
      </c>
      <c r="H1534" t="s">
        <v>23</v>
      </c>
      <c r="I1534" t="s">
        <v>24</v>
      </c>
      <c r="J1534" t="s">
        <v>25</v>
      </c>
      <c r="K1534" t="s">
        <v>38</v>
      </c>
      <c r="L1534">
        <v>1</v>
      </c>
      <c r="M1534">
        <v>1</v>
      </c>
      <c r="N1534">
        <v>6.5</v>
      </c>
      <c r="O1534">
        <v>8.1999999999999993</v>
      </c>
      <c r="P1534">
        <v>6</v>
      </c>
      <c r="Q1534">
        <v>5</v>
      </c>
      <c r="R1534">
        <v>919187</v>
      </c>
      <c r="S1534">
        <f>Table1[[#This Row],[Revenue]]-Table1[[#This Row],[Operating_Costs]]</f>
        <v>227226</v>
      </c>
      <c r="T1534">
        <v>691961</v>
      </c>
      <c r="U1534">
        <v>51</v>
      </c>
      <c r="V1534">
        <v>56</v>
      </c>
      <c r="W1534">
        <v>14.2</v>
      </c>
    </row>
    <row r="1535" spans="1:23" x14ac:dyDescent="0.25">
      <c r="A1535">
        <v>4</v>
      </c>
      <c r="B1535" t="s">
        <v>69</v>
      </c>
      <c r="C1535" s="1">
        <v>45412</v>
      </c>
      <c r="D1535" t="s">
        <v>71</v>
      </c>
      <c r="E1535">
        <v>0</v>
      </c>
      <c r="F1535">
        <v>27</v>
      </c>
      <c r="G1535" t="str">
        <f t="shared" si="31"/>
        <v>21-40</v>
      </c>
      <c r="H1535" t="s">
        <v>35</v>
      </c>
      <c r="I1535" t="s">
        <v>31</v>
      </c>
      <c r="J1535" t="s">
        <v>28</v>
      </c>
      <c r="K1535" t="s">
        <v>38</v>
      </c>
      <c r="L1535">
        <v>1</v>
      </c>
      <c r="M1535">
        <v>1</v>
      </c>
      <c r="N1535">
        <v>5.0999999999999996</v>
      </c>
      <c r="O1535">
        <v>8.1</v>
      </c>
      <c r="P1535">
        <v>6</v>
      </c>
      <c r="Q1535">
        <v>5</v>
      </c>
      <c r="R1535">
        <v>813366</v>
      </c>
      <c r="S1535">
        <f>Table1[[#This Row],[Revenue]]-Table1[[#This Row],[Operating_Costs]]</f>
        <v>255201</v>
      </c>
      <c r="T1535">
        <v>558165</v>
      </c>
      <c r="U1535">
        <v>38</v>
      </c>
      <c r="V1535">
        <v>56</v>
      </c>
      <c r="W1535">
        <v>12.5</v>
      </c>
    </row>
    <row r="1536" spans="1:23" x14ac:dyDescent="0.25">
      <c r="A1536">
        <v>4</v>
      </c>
      <c r="B1536" t="s">
        <v>69</v>
      </c>
      <c r="C1536" s="1">
        <v>44914</v>
      </c>
      <c r="D1536" t="s">
        <v>71</v>
      </c>
      <c r="E1536">
        <v>0</v>
      </c>
      <c r="F1536">
        <v>36</v>
      </c>
      <c r="G1536" t="str">
        <f t="shared" si="31"/>
        <v>21-40</v>
      </c>
      <c r="H1536" t="s">
        <v>23</v>
      </c>
      <c r="I1536" t="s">
        <v>24</v>
      </c>
      <c r="J1536" t="s">
        <v>25</v>
      </c>
      <c r="K1536" t="s">
        <v>42</v>
      </c>
      <c r="L1536">
        <v>1</v>
      </c>
      <c r="M1536">
        <v>1</v>
      </c>
      <c r="N1536">
        <v>3.7</v>
      </c>
      <c r="O1536">
        <v>8</v>
      </c>
      <c r="P1536">
        <v>6</v>
      </c>
      <c r="Q1536">
        <v>6</v>
      </c>
      <c r="R1536">
        <v>953689</v>
      </c>
      <c r="S1536">
        <f>Table1[[#This Row],[Revenue]]-Table1[[#This Row],[Operating_Costs]]</f>
        <v>438269</v>
      </c>
      <c r="T1536">
        <v>515420</v>
      </c>
      <c r="U1536">
        <v>37</v>
      </c>
      <c r="V1536">
        <v>59</v>
      </c>
      <c r="W1536">
        <v>12.9</v>
      </c>
    </row>
    <row r="1537" spans="1:23" x14ac:dyDescent="0.25">
      <c r="A1537">
        <v>4</v>
      </c>
      <c r="B1537" t="s">
        <v>69</v>
      </c>
      <c r="C1537" s="1">
        <v>45519</v>
      </c>
      <c r="D1537" t="s">
        <v>71</v>
      </c>
      <c r="E1537">
        <v>0</v>
      </c>
      <c r="F1537">
        <v>67</v>
      </c>
      <c r="G1537" t="str">
        <f t="shared" si="31"/>
        <v>61-80</v>
      </c>
      <c r="H1537" t="s">
        <v>23</v>
      </c>
      <c r="I1537" t="s">
        <v>64</v>
      </c>
      <c r="J1537" t="s">
        <v>65</v>
      </c>
      <c r="K1537" t="s">
        <v>29</v>
      </c>
      <c r="L1537">
        <v>1</v>
      </c>
      <c r="M1537">
        <v>1</v>
      </c>
      <c r="N1537">
        <v>2.2000000000000002</v>
      </c>
      <c r="O1537">
        <v>7.2</v>
      </c>
      <c r="P1537">
        <v>5</v>
      </c>
      <c r="Q1537">
        <v>3</v>
      </c>
      <c r="R1537">
        <v>898934</v>
      </c>
      <c r="S1537">
        <f>Table1[[#This Row],[Revenue]]-Table1[[#This Row],[Operating_Costs]]</f>
        <v>309637</v>
      </c>
      <c r="T1537">
        <v>589297</v>
      </c>
      <c r="U1537">
        <v>58</v>
      </c>
      <c r="V1537">
        <v>59</v>
      </c>
      <c r="W1537">
        <v>13.2</v>
      </c>
    </row>
    <row r="1538" spans="1:23" x14ac:dyDescent="0.25">
      <c r="A1538">
        <v>4</v>
      </c>
      <c r="B1538" t="s">
        <v>69</v>
      </c>
      <c r="C1538" s="1">
        <v>44421</v>
      </c>
      <c r="D1538" t="s">
        <v>71</v>
      </c>
      <c r="E1538">
        <v>0</v>
      </c>
      <c r="F1538">
        <v>55</v>
      </c>
      <c r="G1538" t="str">
        <f t="shared" si="31"/>
        <v>41-60</v>
      </c>
      <c r="H1538" t="s">
        <v>23</v>
      </c>
      <c r="I1538" t="s">
        <v>67</v>
      </c>
      <c r="J1538" t="s">
        <v>68</v>
      </c>
      <c r="K1538" t="s">
        <v>33</v>
      </c>
      <c r="L1538">
        <v>1</v>
      </c>
      <c r="M1538">
        <v>1</v>
      </c>
      <c r="N1538">
        <v>4.0999999999999996</v>
      </c>
      <c r="O1538">
        <v>7.3</v>
      </c>
      <c r="P1538">
        <v>4</v>
      </c>
      <c r="Q1538">
        <v>3</v>
      </c>
      <c r="R1538">
        <v>889607</v>
      </c>
      <c r="S1538">
        <f>Table1[[#This Row],[Revenue]]-Table1[[#This Row],[Operating_Costs]]</f>
        <v>250715</v>
      </c>
      <c r="T1538">
        <v>638892</v>
      </c>
      <c r="U1538">
        <v>59</v>
      </c>
      <c r="V1538">
        <v>61</v>
      </c>
      <c r="W1538">
        <v>5.7</v>
      </c>
    </row>
    <row r="1539" spans="1:23" x14ac:dyDescent="0.25">
      <c r="A1539">
        <v>4</v>
      </c>
      <c r="B1539" t="s">
        <v>69</v>
      </c>
      <c r="C1539" s="1">
        <v>44686</v>
      </c>
      <c r="D1539" t="s">
        <v>71</v>
      </c>
      <c r="E1539">
        <v>0</v>
      </c>
      <c r="F1539">
        <v>44</v>
      </c>
      <c r="G1539" t="str">
        <f t="shared" ref="G1539:G1602" si="32">IF(F1539&lt;=20,"0-20",IF(F1539&lt;=40,"21-40",IF(F1539&lt;=60,"41-60",IF(F1539&lt;=80,"61-80","81+"))))</f>
        <v>41-60</v>
      </c>
      <c r="H1539" t="s">
        <v>23</v>
      </c>
      <c r="I1539" t="s">
        <v>24</v>
      </c>
      <c r="J1539" t="s">
        <v>25</v>
      </c>
      <c r="K1539" t="s">
        <v>26</v>
      </c>
      <c r="L1539">
        <v>1</v>
      </c>
      <c r="M1539">
        <v>1</v>
      </c>
      <c r="N1539">
        <v>2.9</v>
      </c>
      <c r="O1539">
        <v>9.9</v>
      </c>
      <c r="P1539">
        <v>7</v>
      </c>
      <c r="Q1539">
        <v>3</v>
      </c>
      <c r="R1539">
        <v>941618</v>
      </c>
      <c r="S1539">
        <f>Table1[[#This Row],[Revenue]]-Table1[[#This Row],[Operating_Costs]]</f>
        <v>317562</v>
      </c>
      <c r="T1539">
        <v>624056</v>
      </c>
      <c r="U1539">
        <v>55</v>
      </c>
      <c r="V1539">
        <v>55</v>
      </c>
      <c r="W1539">
        <v>12.2</v>
      </c>
    </row>
    <row r="1540" spans="1:23" x14ac:dyDescent="0.25">
      <c r="A1540">
        <v>4</v>
      </c>
      <c r="B1540" t="s">
        <v>69</v>
      </c>
      <c r="C1540" s="1">
        <v>45447</v>
      </c>
      <c r="D1540" t="s">
        <v>71</v>
      </c>
      <c r="E1540">
        <v>0</v>
      </c>
      <c r="F1540">
        <v>31</v>
      </c>
      <c r="G1540" t="str">
        <f t="shared" si="32"/>
        <v>21-40</v>
      </c>
      <c r="H1540" t="s">
        <v>35</v>
      </c>
      <c r="I1540" t="s">
        <v>36</v>
      </c>
      <c r="J1540" t="s">
        <v>37</v>
      </c>
      <c r="K1540" t="s">
        <v>26</v>
      </c>
      <c r="L1540">
        <v>1</v>
      </c>
      <c r="M1540">
        <v>1</v>
      </c>
      <c r="N1540">
        <v>3.7</v>
      </c>
      <c r="O1540">
        <v>9.9</v>
      </c>
      <c r="P1540">
        <v>4</v>
      </c>
      <c r="Q1540">
        <v>7</v>
      </c>
      <c r="R1540">
        <v>936953</v>
      </c>
      <c r="S1540">
        <f>Table1[[#This Row],[Revenue]]-Table1[[#This Row],[Operating_Costs]]</f>
        <v>347440</v>
      </c>
      <c r="T1540">
        <v>589513</v>
      </c>
      <c r="U1540">
        <v>32</v>
      </c>
      <c r="V1540">
        <v>59</v>
      </c>
      <c r="W1540">
        <v>14.8</v>
      </c>
    </row>
    <row r="1541" spans="1:23" x14ac:dyDescent="0.25">
      <c r="A1541">
        <v>4</v>
      </c>
      <c r="B1541" t="s">
        <v>69</v>
      </c>
      <c r="C1541" s="1">
        <v>45580</v>
      </c>
      <c r="D1541" t="s">
        <v>71</v>
      </c>
      <c r="E1541">
        <v>0</v>
      </c>
      <c r="F1541">
        <v>77</v>
      </c>
      <c r="G1541" t="str">
        <f t="shared" si="32"/>
        <v>61-80</v>
      </c>
      <c r="H1541" t="s">
        <v>23</v>
      </c>
      <c r="I1541" t="s">
        <v>64</v>
      </c>
      <c r="J1541" t="s">
        <v>65</v>
      </c>
      <c r="K1541" t="s">
        <v>26</v>
      </c>
      <c r="L1541">
        <v>1</v>
      </c>
      <c r="M1541">
        <v>1</v>
      </c>
      <c r="N1541">
        <v>1.5</v>
      </c>
      <c r="O1541">
        <v>8.1</v>
      </c>
      <c r="P1541">
        <v>3</v>
      </c>
      <c r="Q1541">
        <v>3</v>
      </c>
      <c r="R1541">
        <v>874454</v>
      </c>
      <c r="S1541">
        <f>Table1[[#This Row],[Revenue]]-Table1[[#This Row],[Operating_Costs]]</f>
        <v>243503</v>
      </c>
      <c r="T1541">
        <v>630951</v>
      </c>
      <c r="U1541">
        <v>47</v>
      </c>
      <c r="V1541">
        <v>64</v>
      </c>
      <c r="W1541">
        <v>13.9</v>
      </c>
    </row>
    <row r="1542" spans="1:23" x14ac:dyDescent="0.25">
      <c r="A1542">
        <v>4</v>
      </c>
      <c r="B1542" t="s">
        <v>69</v>
      </c>
      <c r="C1542" s="1">
        <v>44209</v>
      </c>
      <c r="D1542" t="s">
        <v>71</v>
      </c>
      <c r="E1542">
        <v>0</v>
      </c>
      <c r="F1542">
        <v>52</v>
      </c>
      <c r="G1542" t="str">
        <f t="shared" si="32"/>
        <v>41-60</v>
      </c>
      <c r="H1542" t="s">
        <v>23</v>
      </c>
      <c r="I1542" t="s">
        <v>24</v>
      </c>
      <c r="J1542" t="s">
        <v>25</v>
      </c>
      <c r="K1542" t="s">
        <v>33</v>
      </c>
      <c r="L1542">
        <v>1</v>
      </c>
      <c r="M1542">
        <v>1</v>
      </c>
      <c r="N1542">
        <v>2.6</v>
      </c>
      <c r="O1542">
        <v>7.1</v>
      </c>
      <c r="P1542">
        <v>3</v>
      </c>
      <c r="Q1542">
        <v>6</v>
      </c>
      <c r="R1542">
        <v>882766</v>
      </c>
      <c r="S1542">
        <f>Table1[[#This Row],[Revenue]]-Table1[[#This Row],[Operating_Costs]]</f>
        <v>268416</v>
      </c>
      <c r="T1542">
        <v>614350</v>
      </c>
      <c r="U1542">
        <v>51</v>
      </c>
      <c r="V1542">
        <v>64</v>
      </c>
      <c r="W1542">
        <v>10.6</v>
      </c>
    </row>
    <row r="1543" spans="1:23" x14ac:dyDescent="0.25">
      <c r="A1543">
        <v>4</v>
      </c>
      <c r="B1543" t="s">
        <v>69</v>
      </c>
      <c r="C1543" s="1">
        <v>44474</v>
      </c>
      <c r="D1543" t="s">
        <v>71</v>
      </c>
      <c r="E1543">
        <v>0</v>
      </c>
      <c r="F1543">
        <v>29</v>
      </c>
      <c r="G1543" t="str">
        <f t="shared" si="32"/>
        <v>21-40</v>
      </c>
      <c r="H1543" t="s">
        <v>35</v>
      </c>
      <c r="I1543" t="s">
        <v>40</v>
      </c>
      <c r="J1543" t="s">
        <v>41</v>
      </c>
      <c r="K1543" t="s">
        <v>38</v>
      </c>
      <c r="L1543">
        <v>1</v>
      </c>
      <c r="M1543">
        <v>1</v>
      </c>
      <c r="N1543">
        <v>2.9</v>
      </c>
      <c r="O1543">
        <v>7</v>
      </c>
      <c r="P1543">
        <v>6</v>
      </c>
      <c r="Q1543">
        <v>5</v>
      </c>
      <c r="R1543">
        <v>914120</v>
      </c>
      <c r="S1543">
        <f>Table1[[#This Row],[Revenue]]-Table1[[#This Row],[Operating_Costs]]</f>
        <v>252491</v>
      </c>
      <c r="T1543">
        <v>661629</v>
      </c>
      <c r="U1543">
        <v>52</v>
      </c>
      <c r="V1543">
        <v>57</v>
      </c>
      <c r="W1543">
        <v>5.0999999999999996</v>
      </c>
    </row>
    <row r="1544" spans="1:23" x14ac:dyDescent="0.25">
      <c r="A1544">
        <v>4</v>
      </c>
      <c r="B1544" t="s">
        <v>69</v>
      </c>
      <c r="C1544" s="1">
        <v>45564</v>
      </c>
      <c r="D1544" t="s">
        <v>71</v>
      </c>
      <c r="E1544">
        <v>0</v>
      </c>
      <c r="F1544">
        <v>60</v>
      </c>
      <c r="G1544" t="str">
        <f t="shared" si="32"/>
        <v>41-60</v>
      </c>
      <c r="H1544" t="s">
        <v>23</v>
      </c>
      <c r="I1544" t="s">
        <v>50</v>
      </c>
      <c r="J1544" t="s">
        <v>51</v>
      </c>
      <c r="K1544" t="s">
        <v>38</v>
      </c>
      <c r="L1544">
        <v>1</v>
      </c>
      <c r="M1544">
        <v>1</v>
      </c>
      <c r="N1544">
        <v>6</v>
      </c>
      <c r="O1544">
        <v>8.4</v>
      </c>
      <c r="P1544">
        <v>6</v>
      </c>
      <c r="Q1544">
        <v>6</v>
      </c>
      <c r="R1544">
        <v>819130</v>
      </c>
      <c r="S1544">
        <f>Table1[[#This Row],[Revenue]]-Table1[[#This Row],[Operating_Costs]]</f>
        <v>147682</v>
      </c>
      <c r="T1544">
        <v>671448</v>
      </c>
      <c r="U1544">
        <v>42</v>
      </c>
      <c r="V1544">
        <v>61</v>
      </c>
      <c r="W1544">
        <v>36.4</v>
      </c>
    </row>
    <row r="1545" spans="1:23" x14ac:dyDescent="0.25">
      <c r="A1545">
        <v>4</v>
      </c>
      <c r="B1545" t="s">
        <v>69</v>
      </c>
      <c r="C1545" s="1">
        <v>45209</v>
      </c>
      <c r="D1545" t="s">
        <v>71</v>
      </c>
      <c r="E1545">
        <v>0</v>
      </c>
      <c r="F1545">
        <v>33</v>
      </c>
      <c r="G1545" t="str">
        <f t="shared" si="32"/>
        <v>21-40</v>
      </c>
      <c r="H1545" t="s">
        <v>23</v>
      </c>
      <c r="I1545" t="s">
        <v>24</v>
      </c>
      <c r="J1545" t="s">
        <v>25</v>
      </c>
      <c r="K1545" t="s">
        <v>29</v>
      </c>
      <c r="L1545">
        <v>1</v>
      </c>
      <c r="M1545">
        <v>1</v>
      </c>
      <c r="N1545">
        <v>3</v>
      </c>
      <c r="O1545">
        <v>8.1999999999999993</v>
      </c>
      <c r="P1545">
        <v>4</v>
      </c>
      <c r="Q1545">
        <v>5</v>
      </c>
      <c r="R1545">
        <v>849387</v>
      </c>
      <c r="S1545">
        <f>Table1[[#This Row],[Revenue]]-Table1[[#This Row],[Operating_Costs]]</f>
        <v>285183</v>
      </c>
      <c r="T1545">
        <v>564204</v>
      </c>
      <c r="U1545">
        <v>59</v>
      </c>
      <c r="V1545">
        <v>66</v>
      </c>
      <c r="W1545">
        <v>13.6</v>
      </c>
    </row>
    <row r="1546" spans="1:23" x14ac:dyDescent="0.25">
      <c r="A1546">
        <v>4</v>
      </c>
      <c r="B1546" t="s">
        <v>69</v>
      </c>
      <c r="C1546" s="1">
        <v>45473</v>
      </c>
      <c r="D1546" t="s">
        <v>71</v>
      </c>
      <c r="E1546">
        <v>0</v>
      </c>
      <c r="F1546">
        <v>84</v>
      </c>
      <c r="G1546" t="str">
        <f t="shared" si="32"/>
        <v>81+</v>
      </c>
      <c r="H1546" t="s">
        <v>35</v>
      </c>
      <c r="I1546" t="s">
        <v>58</v>
      </c>
      <c r="J1546" t="s">
        <v>59</v>
      </c>
      <c r="K1546" t="s">
        <v>29</v>
      </c>
      <c r="L1546">
        <v>1</v>
      </c>
      <c r="M1546">
        <v>1</v>
      </c>
      <c r="N1546">
        <v>4.0999999999999996</v>
      </c>
      <c r="O1546">
        <v>8.6</v>
      </c>
      <c r="P1546">
        <v>4</v>
      </c>
      <c r="Q1546">
        <v>5</v>
      </c>
      <c r="R1546">
        <v>874635</v>
      </c>
      <c r="S1546">
        <f>Table1[[#This Row],[Revenue]]-Table1[[#This Row],[Operating_Costs]]</f>
        <v>332402</v>
      </c>
      <c r="T1546">
        <v>542233</v>
      </c>
      <c r="U1546">
        <v>36</v>
      </c>
      <c r="V1546">
        <v>62</v>
      </c>
      <c r="W1546">
        <v>14.5</v>
      </c>
    </row>
    <row r="1547" spans="1:23" x14ac:dyDescent="0.25">
      <c r="A1547">
        <v>4</v>
      </c>
      <c r="B1547" t="s">
        <v>69</v>
      </c>
      <c r="C1547" s="1">
        <v>45447</v>
      </c>
      <c r="D1547" t="s">
        <v>71</v>
      </c>
      <c r="E1547">
        <v>0</v>
      </c>
      <c r="F1547">
        <v>35</v>
      </c>
      <c r="G1547" t="str">
        <f t="shared" si="32"/>
        <v>21-40</v>
      </c>
      <c r="H1547" t="s">
        <v>23</v>
      </c>
      <c r="I1547" t="s">
        <v>67</v>
      </c>
      <c r="J1547" t="s">
        <v>68</v>
      </c>
      <c r="K1547" t="s">
        <v>33</v>
      </c>
      <c r="L1547">
        <v>1</v>
      </c>
      <c r="M1547">
        <v>1</v>
      </c>
      <c r="N1547">
        <v>4.0999999999999996</v>
      </c>
      <c r="O1547">
        <v>8.8000000000000007</v>
      </c>
      <c r="P1547">
        <v>7</v>
      </c>
      <c r="Q1547">
        <v>7</v>
      </c>
      <c r="R1547">
        <v>807689</v>
      </c>
      <c r="S1547">
        <f>Table1[[#This Row],[Revenue]]-Table1[[#This Row],[Operating_Costs]]</f>
        <v>269108</v>
      </c>
      <c r="T1547">
        <v>538581</v>
      </c>
      <c r="U1547">
        <v>36</v>
      </c>
      <c r="V1547">
        <v>57</v>
      </c>
      <c r="W1547">
        <v>13.8</v>
      </c>
    </row>
    <row r="1548" spans="1:23" x14ac:dyDescent="0.25">
      <c r="A1548">
        <v>4</v>
      </c>
      <c r="B1548" t="s">
        <v>69</v>
      </c>
      <c r="C1548" s="1">
        <v>45385</v>
      </c>
      <c r="D1548" t="s">
        <v>71</v>
      </c>
      <c r="E1548">
        <v>0</v>
      </c>
      <c r="F1548">
        <v>66</v>
      </c>
      <c r="G1548" t="str">
        <f t="shared" si="32"/>
        <v>61-80</v>
      </c>
      <c r="H1548" t="s">
        <v>35</v>
      </c>
      <c r="I1548" t="s">
        <v>60</v>
      </c>
      <c r="J1548" t="s">
        <v>59</v>
      </c>
      <c r="K1548" t="s">
        <v>26</v>
      </c>
      <c r="L1548">
        <v>1</v>
      </c>
      <c r="M1548">
        <v>1</v>
      </c>
      <c r="N1548">
        <v>3.6</v>
      </c>
      <c r="O1548">
        <v>8.4</v>
      </c>
      <c r="P1548">
        <v>3</v>
      </c>
      <c r="Q1548">
        <v>7</v>
      </c>
      <c r="R1548">
        <v>825793</v>
      </c>
      <c r="S1548">
        <f>Table1[[#This Row],[Revenue]]-Table1[[#This Row],[Operating_Costs]]</f>
        <v>231609</v>
      </c>
      <c r="T1548">
        <v>594184</v>
      </c>
      <c r="U1548">
        <v>58</v>
      </c>
      <c r="V1548">
        <v>65</v>
      </c>
      <c r="W1548">
        <v>6.3</v>
      </c>
    </row>
    <row r="1549" spans="1:23" x14ac:dyDescent="0.25">
      <c r="A1549">
        <v>4</v>
      </c>
      <c r="B1549" t="s">
        <v>69</v>
      </c>
      <c r="C1549" s="1">
        <v>45546</v>
      </c>
      <c r="D1549" t="s">
        <v>71</v>
      </c>
      <c r="E1549">
        <v>0</v>
      </c>
      <c r="F1549">
        <v>76</v>
      </c>
      <c r="G1549" t="str">
        <f t="shared" si="32"/>
        <v>61-80</v>
      </c>
      <c r="H1549" t="s">
        <v>35</v>
      </c>
      <c r="I1549" t="s">
        <v>53</v>
      </c>
      <c r="J1549" t="s">
        <v>54</v>
      </c>
      <c r="K1549" t="s">
        <v>42</v>
      </c>
      <c r="L1549">
        <v>1</v>
      </c>
      <c r="M1549">
        <v>1</v>
      </c>
      <c r="N1549">
        <v>4</v>
      </c>
      <c r="O1549">
        <v>9.6999999999999993</v>
      </c>
      <c r="P1549">
        <v>3</v>
      </c>
      <c r="Q1549">
        <v>6</v>
      </c>
      <c r="R1549">
        <v>936120</v>
      </c>
      <c r="S1549">
        <f>Table1[[#This Row],[Revenue]]-Table1[[#This Row],[Operating_Costs]]</f>
        <v>275605</v>
      </c>
      <c r="T1549">
        <v>660515</v>
      </c>
      <c r="U1549">
        <v>59</v>
      </c>
      <c r="V1549">
        <v>54</v>
      </c>
      <c r="W1549">
        <v>12.1</v>
      </c>
    </row>
    <row r="1550" spans="1:23" x14ac:dyDescent="0.25">
      <c r="A1550">
        <v>4</v>
      </c>
      <c r="B1550" t="s">
        <v>69</v>
      </c>
      <c r="C1550" s="1">
        <v>44472</v>
      </c>
      <c r="D1550" t="s">
        <v>71</v>
      </c>
      <c r="E1550">
        <v>0</v>
      </c>
      <c r="F1550">
        <v>40</v>
      </c>
      <c r="G1550" t="str">
        <f t="shared" si="32"/>
        <v>21-40</v>
      </c>
      <c r="H1550" t="s">
        <v>23</v>
      </c>
      <c r="I1550" t="s">
        <v>24</v>
      </c>
      <c r="J1550" t="s">
        <v>25</v>
      </c>
      <c r="K1550" t="s">
        <v>42</v>
      </c>
      <c r="L1550">
        <v>1</v>
      </c>
      <c r="M1550">
        <v>1</v>
      </c>
      <c r="N1550">
        <v>5.4</v>
      </c>
      <c r="O1550">
        <v>8.1</v>
      </c>
      <c r="P1550">
        <v>7</v>
      </c>
      <c r="Q1550">
        <v>6</v>
      </c>
      <c r="R1550">
        <v>953856</v>
      </c>
      <c r="S1550">
        <f>Table1[[#This Row],[Revenue]]-Table1[[#This Row],[Operating_Costs]]</f>
        <v>438510</v>
      </c>
      <c r="T1550">
        <v>515346</v>
      </c>
      <c r="U1550">
        <v>55</v>
      </c>
      <c r="V1550">
        <v>60</v>
      </c>
      <c r="W1550">
        <v>14.6</v>
      </c>
    </row>
    <row r="1551" spans="1:23" x14ac:dyDescent="0.25">
      <c r="A1551">
        <v>4</v>
      </c>
      <c r="B1551" t="s">
        <v>69</v>
      </c>
      <c r="C1551" s="1">
        <v>45055</v>
      </c>
      <c r="D1551" t="s">
        <v>71</v>
      </c>
      <c r="E1551">
        <v>0</v>
      </c>
      <c r="F1551">
        <v>64</v>
      </c>
      <c r="G1551" t="str">
        <f t="shared" si="32"/>
        <v>61-80</v>
      </c>
      <c r="H1551" t="s">
        <v>23</v>
      </c>
      <c r="I1551" t="s">
        <v>50</v>
      </c>
      <c r="J1551" t="s">
        <v>51</v>
      </c>
      <c r="K1551" t="s">
        <v>38</v>
      </c>
      <c r="L1551">
        <v>1</v>
      </c>
      <c r="M1551">
        <v>1</v>
      </c>
      <c r="N1551">
        <v>4.2</v>
      </c>
      <c r="O1551">
        <v>9.6999999999999993</v>
      </c>
      <c r="P1551">
        <v>5</v>
      </c>
      <c r="Q1551">
        <v>5</v>
      </c>
      <c r="R1551">
        <v>963631</v>
      </c>
      <c r="S1551">
        <f>Table1[[#This Row],[Revenue]]-Table1[[#This Row],[Operating_Costs]]</f>
        <v>327571</v>
      </c>
      <c r="T1551">
        <v>636060</v>
      </c>
      <c r="U1551">
        <v>51</v>
      </c>
      <c r="V1551">
        <v>55</v>
      </c>
      <c r="W1551">
        <v>7.5</v>
      </c>
    </row>
    <row r="1552" spans="1:23" x14ac:dyDescent="0.25">
      <c r="A1552">
        <v>4</v>
      </c>
      <c r="B1552" t="s">
        <v>69</v>
      </c>
      <c r="C1552" s="1">
        <v>44549</v>
      </c>
      <c r="D1552" t="s">
        <v>71</v>
      </c>
      <c r="E1552">
        <v>0</v>
      </c>
      <c r="F1552">
        <v>43</v>
      </c>
      <c r="G1552" t="str">
        <f t="shared" si="32"/>
        <v>41-60</v>
      </c>
      <c r="H1552" t="s">
        <v>35</v>
      </c>
      <c r="I1552" t="s">
        <v>53</v>
      </c>
      <c r="J1552" t="s">
        <v>54</v>
      </c>
      <c r="K1552" t="s">
        <v>26</v>
      </c>
      <c r="L1552">
        <v>1</v>
      </c>
      <c r="M1552">
        <v>1</v>
      </c>
      <c r="N1552">
        <v>1.9</v>
      </c>
      <c r="O1552">
        <v>9.6</v>
      </c>
      <c r="P1552">
        <v>7</v>
      </c>
      <c r="Q1552">
        <v>7</v>
      </c>
      <c r="R1552">
        <v>840329</v>
      </c>
      <c r="S1552">
        <f>Table1[[#This Row],[Revenue]]-Table1[[#This Row],[Operating_Costs]]</f>
        <v>294775</v>
      </c>
      <c r="T1552">
        <v>545554</v>
      </c>
      <c r="U1552">
        <v>46</v>
      </c>
      <c r="V1552">
        <v>62</v>
      </c>
      <c r="W1552">
        <v>6.6</v>
      </c>
    </row>
    <row r="1553" spans="1:23" x14ac:dyDescent="0.25">
      <c r="A1553">
        <v>4</v>
      </c>
      <c r="B1553" t="s">
        <v>69</v>
      </c>
      <c r="C1553" s="1">
        <v>45237</v>
      </c>
      <c r="D1553" t="s">
        <v>71</v>
      </c>
      <c r="E1553">
        <v>0</v>
      </c>
      <c r="F1553">
        <v>47</v>
      </c>
      <c r="G1553" t="str">
        <f t="shared" si="32"/>
        <v>41-60</v>
      </c>
      <c r="H1553" t="s">
        <v>35</v>
      </c>
      <c r="I1553" t="s">
        <v>61</v>
      </c>
      <c r="J1553" t="s">
        <v>62</v>
      </c>
      <c r="K1553" t="s">
        <v>42</v>
      </c>
      <c r="L1553">
        <v>1</v>
      </c>
      <c r="M1553">
        <v>1</v>
      </c>
      <c r="N1553">
        <v>5.8</v>
      </c>
      <c r="O1553">
        <v>9</v>
      </c>
      <c r="P1553">
        <v>4</v>
      </c>
      <c r="Q1553">
        <v>4</v>
      </c>
      <c r="R1553">
        <v>815454</v>
      </c>
      <c r="S1553">
        <f>Table1[[#This Row],[Revenue]]-Table1[[#This Row],[Operating_Costs]]</f>
        <v>245864</v>
      </c>
      <c r="T1553">
        <v>569590</v>
      </c>
      <c r="U1553">
        <v>50</v>
      </c>
      <c r="V1553">
        <v>61</v>
      </c>
      <c r="W1553">
        <v>8.5</v>
      </c>
    </row>
    <row r="1554" spans="1:23" x14ac:dyDescent="0.25">
      <c r="A1554">
        <v>4</v>
      </c>
      <c r="B1554" t="s">
        <v>69</v>
      </c>
      <c r="C1554" s="1">
        <v>45602</v>
      </c>
      <c r="D1554" t="s">
        <v>71</v>
      </c>
      <c r="E1554">
        <v>0</v>
      </c>
      <c r="F1554">
        <v>75</v>
      </c>
      <c r="G1554" t="str">
        <f t="shared" si="32"/>
        <v>61-80</v>
      </c>
      <c r="H1554" t="s">
        <v>23</v>
      </c>
      <c r="I1554" t="s">
        <v>24</v>
      </c>
      <c r="J1554" t="s">
        <v>25</v>
      </c>
      <c r="K1554" t="s">
        <v>38</v>
      </c>
      <c r="L1554">
        <v>1</v>
      </c>
      <c r="M1554">
        <v>1</v>
      </c>
      <c r="N1554">
        <v>1.1000000000000001</v>
      </c>
      <c r="O1554">
        <v>9.4</v>
      </c>
      <c r="P1554">
        <v>5</v>
      </c>
      <c r="Q1554">
        <v>3</v>
      </c>
      <c r="R1554">
        <v>823781</v>
      </c>
      <c r="S1554">
        <f>Table1[[#This Row],[Revenue]]-Table1[[#This Row],[Operating_Costs]]</f>
        <v>314132</v>
      </c>
      <c r="T1554">
        <v>509649</v>
      </c>
      <c r="U1554">
        <v>52</v>
      </c>
      <c r="V1554">
        <v>57</v>
      </c>
      <c r="W1554">
        <v>6.4</v>
      </c>
    </row>
    <row r="1555" spans="1:23" x14ac:dyDescent="0.25">
      <c r="A1555">
        <v>4</v>
      </c>
      <c r="B1555" t="s">
        <v>69</v>
      </c>
      <c r="C1555" s="1">
        <v>44523</v>
      </c>
      <c r="D1555" t="s">
        <v>71</v>
      </c>
      <c r="E1555">
        <v>0</v>
      </c>
      <c r="F1555">
        <v>75</v>
      </c>
      <c r="G1555" t="str">
        <f t="shared" si="32"/>
        <v>61-80</v>
      </c>
      <c r="H1555" t="s">
        <v>23</v>
      </c>
      <c r="I1555" t="s">
        <v>58</v>
      </c>
      <c r="J1555" t="s">
        <v>59</v>
      </c>
      <c r="K1555" t="s">
        <v>42</v>
      </c>
      <c r="L1555">
        <v>1</v>
      </c>
      <c r="M1555">
        <v>1</v>
      </c>
      <c r="N1555">
        <v>5.7</v>
      </c>
      <c r="O1555">
        <v>9</v>
      </c>
      <c r="P1555">
        <v>7</v>
      </c>
      <c r="Q1555">
        <v>5</v>
      </c>
      <c r="R1555">
        <v>806849</v>
      </c>
      <c r="S1555">
        <f>Table1[[#This Row],[Revenue]]-Table1[[#This Row],[Operating_Costs]]</f>
        <v>159583</v>
      </c>
      <c r="T1555">
        <v>647266</v>
      </c>
      <c r="U1555">
        <v>50</v>
      </c>
      <c r="V1555">
        <v>65</v>
      </c>
      <c r="W1555">
        <v>36.799999999999997</v>
      </c>
    </row>
    <row r="1556" spans="1:23" x14ac:dyDescent="0.25">
      <c r="A1556">
        <v>4</v>
      </c>
      <c r="B1556" t="s">
        <v>69</v>
      </c>
      <c r="C1556" s="1">
        <v>44779</v>
      </c>
      <c r="D1556" t="s">
        <v>71</v>
      </c>
      <c r="E1556">
        <v>0</v>
      </c>
      <c r="F1556">
        <v>51</v>
      </c>
      <c r="G1556" t="str">
        <f t="shared" si="32"/>
        <v>41-60</v>
      </c>
      <c r="H1556" t="s">
        <v>23</v>
      </c>
      <c r="I1556" t="s">
        <v>31</v>
      </c>
      <c r="J1556" t="s">
        <v>28</v>
      </c>
      <c r="K1556" t="s">
        <v>26</v>
      </c>
      <c r="L1556">
        <v>1</v>
      </c>
      <c r="M1556">
        <v>1</v>
      </c>
      <c r="N1556">
        <v>4.3</v>
      </c>
      <c r="O1556">
        <v>9.9</v>
      </c>
      <c r="P1556">
        <v>4</v>
      </c>
      <c r="Q1556">
        <v>5</v>
      </c>
      <c r="R1556">
        <v>937712</v>
      </c>
      <c r="S1556">
        <f>Table1[[#This Row],[Revenue]]-Table1[[#This Row],[Operating_Costs]]</f>
        <v>293555</v>
      </c>
      <c r="T1556">
        <v>644157</v>
      </c>
      <c r="U1556">
        <v>47</v>
      </c>
      <c r="V1556">
        <v>58</v>
      </c>
      <c r="W1556">
        <v>36.200000000000003</v>
      </c>
    </row>
    <row r="1557" spans="1:23" x14ac:dyDescent="0.25">
      <c r="A1557">
        <v>4</v>
      </c>
      <c r="B1557" t="s">
        <v>69</v>
      </c>
      <c r="C1557" s="1">
        <v>44539</v>
      </c>
      <c r="D1557" t="s">
        <v>71</v>
      </c>
      <c r="E1557">
        <v>0</v>
      </c>
      <c r="F1557">
        <v>89</v>
      </c>
      <c r="G1557" t="str">
        <f t="shared" si="32"/>
        <v>81+</v>
      </c>
      <c r="H1557" t="s">
        <v>35</v>
      </c>
      <c r="I1557" t="s">
        <v>60</v>
      </c>
      <c r="J1557" t="s">
        <v>59</v>
      </c>
      <c r="K1557" t="s">
        <v>26</v>
      </c>
      <c r="L1557">
        <v>1</v>
      </c>
      <c r="M1557">
        <v>1</v>
      </c>
      <c r="N1557">
        <v>3.7</v>
      </c>
      <c r="O1557">
        <v>7.5</v>
      </c>
      <c r="P1557">
        <v>3</v>
      </c>
      <c r="Q1557">
        <v>5</v>
      </c>
      <c r="R1557">
        <v>936967</v>
      </c>
      <c r="S1557">
        <f>Table1[[#This Row],[Revenue]]-Table1[[#This Row],[Operating_Costs]]</f>
        <v>410062</v>
      </c>
      <c r="T1557">
        <v>526905</v>
      </c>
      <c r="U1557">
        <v>34</v>
      </c>
      <c r="V1557">
        <v>54</v>
      </c>
      <c r="W1557">
        <v>12.6</v>
      </c>
    </row>
    <row r="1558" spans="1:23" x14ac:dyDescent="0.25">
      <c r="A1558">
        <v>4</v>
      </c>
      <c r="B1558" t="s">
        <v>69</v>
      </c>
      <c r="C1558" s="1">
        <v>44947</v>
      </c>
      <c r="D1558" t="s">
        <v>71</v>
      </c>
      <c r="E1558">
        <v>0</v>
      </c>
      <c r="F1558">
        <v>75</v>
      </c>
      <c r="G1558" t="str">
        <f t="shared" si="32"/>
        <v>61-80</v>
      </c>
      <c r="H1558" t="s">
        <v>23</v>
      </c>
      <c r="I1558" t="s">
        <v>64</v>
      </c>
      <c r="J1558" t="s">
        <v>65</v>
      </c>
      <c r="K1558" t="s">
        <v>42</v>
      </c>
      <c r="L1558">
        <v>1</v>
      </c>
      <c r="M1558">
        <v>1</v>
      </c>
      <c r="N1558">
        <v>2.9</v>
      </c>
      <c r="O1558">
        <v>7.1</v>
      </c>
      <c r="P1558">
        <v>5</v>
      </c>
      <c r="Q1558">
        <v>6</v>
      </c>
      <c r="R1558">
        <v>855088</v>
      </c>
      <c r="S1558">
        <f>Table1[[#This Row],[Revenue]]-Table1[[#This Row],[Operating_Costs]]</f>
        <v>218505</v>
      </c>
      <c r="T1558">
        <v>636583</v>
      </c>
      <c r="U1558">
        <v>52</v>
      </c>
      <c r="V1558">
        <v>63</v>
      </c>
      <c r="W1558">
        <v>12.3</v>
      </c>
    </row>
    <row r="1559" spans="1:23" x14ac:dyDescent="0.25">
      <c r="A1559">
        <v>4</v>
      </c>
      <c r="B1559" t="s">
        <v>69</v>
      </c>
      <c r="C1559" s="1">
        <v>44999</v>
      </c>
      <c r="D1559" t="s">
        <v>71</v>
      </c>
      <c r="E1559">
        <v>0</v>
      </c>
      <c r="F1559">
        <v>85</v>
      </c>
      <c r="G1559" t="str">
        <f t="shared" si="32"/>
        <v>81+</v>
      </c>
      <c r="H1559" t="s">
        <v>23</v>
      </c>
      <c r="I1559" t="s">
        <v>31</v>
      </c>
      <c r="J1559" t="s">
        <v>28</v>
      </c>
      <c r="K1559" t="s">
        <v>29</v>
      </c>
      <c r="L1559">
        <v>1</v>
      </c>
      <c r="M1559">
        <v>1</v>
      </c>
      <c r="N1559">
        <v>4.8</v>
      </c>
      <c r="O1559">
        <v>9</v>
      </c>
      <c r="P1559">
        <v>6</v>
      </c>
      <c r="Q1559">
        <v>5</v>
      </c>
      <c r="R1559">
        <v>806082</v>
      </c>
      <c r="S1559">
        <f>Table1[[#This Row],[Revenue]]-Table1[[#This Row],[Operating_Costs]]</f>
        <v>214684</v>
      </c>
      <c r="T1559">
        <v>591398</v>
      </c>
      <c r="U1559">
        <v>37</v>
      </c>
      <c r="V1559">
        <v>55</v>
      </c>
      <c r="W1559">
        <v>7.6</v>
      </c>
    </row>
    <row r="1560" spans="1:23" x14ac:dyDescent="0.25">
      <c r="A1560">
        <v>4</v>
      </c>
      <c r="B1560" t="s">
        <v>69</v>
      </c>
      <c r="C1560" s="1">
        <v>44817</v>
      </c>
      <c r="D1560" t="s">
        <v>71</v>
      </c>
      <c r="E1560">
        <v>0</v>
      </c>
      <c r="F1560">
        <v>38</v>
      </c>
      <c r="G1560" t="str">
        <f t="shared" si="32"/>
        <v>21-40</v>
      </c>
      <c r="H1560" t="s">
        <v>23</v>
      </c>
      <c r="I1560" t="s">
        <v>24</v>
      </c>
      <c r="J1560" t="s">
        <v>25</v>
      </c>
      <c r="K1560" t="s">
        <v>38</v>
      </c>
      <c r="L1560">
        <v>1</v>
      </c>
      <c r="M1560">
        <v>1</v>
      </c>
      <c r="N1560">
        <v>4.8</v>
      </c>
      <c r="O1560">
        <v>8.1999999999999993</v>
      </c>
      <c r="P1560">
        <v>5</v>
      </c>
      <c r="Q1560">
        <v>6</v>
      </c>
      <c r="R1560">
        <v>899820</v>
      </c>
      <c r="S1560">
        <f>Table1[[#This Row],[Revenue]]-Table1[[#This Row],[Operating_Costs]]</f>
        <v>339199</v>
      </c>
      <c r="T1560">
        <v>560621</v>
      </c>
      <c r="U1560">
        <v>53</v>
      </c>
      <c r="V1560">
        <v>65</v>
      </c>
      <c r="W1560">
        <v>10.8</v>
      </c>
    </row>
    <row r="1561" spans="1:23" x14ac:dyDescent="0.25">
      <c r="A1561">
        <v>4</v>
      </c>
      <c r="B1561" t="s">
        <v>69</v>
      </c>
      <c r="C1561" s="1">
        <v>44624</v>
      </c>
      <c r="D1561" t="s">
        <v>71</v>
      </c>
      <c r="E1561">
        <v>0</v>
      </c>
      <c r="F1561">
        <v>78</v>
      </c>
      <c r="G1561" t="str">
        <f t="shared" si="32"/>
        <v>61-80</v>
      </c>
      <c r="H1561" t="s">
        <v>35</v>
      </c>
      <c r="I1561" t="s">
        <v>40</v>
      </c>
      <c r="J1561" t="s">
        <v>41</v>
      </c>
      <c r="K1561" t="s">
        <v>42</v>
      </c>
      <c r="L1561">
        <v>1</v>
      </c>
      <c r="M1561">
        <v>1</v>
      </c>
      <c r="N1561">
        <v>3.7</v>
      </c>
      <c r="O1561">
        <v>7.6</v>
      </c>
      <c r="P1561">
        <v>5</v>
      </c>
      <c r="Q1561">
        <v>3</v>
      </c>
      <c r="R1561">
        <v>845444</v>
      </c>
      <c r="S1561">
        <f>Table1[[#This Row],[Revenue]]-Table1[[#This Row],[Operating_Costs]]</f>
        <v>181816</v>
      </c>
      <c r="T1561">
        <v>663628</v>
      </c>
      <c r="U1561">
        <v>56</v>
      </c>
      <c r="V1561">
        <v>66</v>
      </c>
      <c r="W1561">
        <v>36</v>
      </c>
    </row>
    <row r="1562" spans="1:23" x14ac:dyDescent="0.25">
      <c r="A1562">
        <v>4</v>
      </c>
      <c r="B1562" t="s">
        <v>69</v>
      </c>
      <c r="C1562" s="1">
        <v>45124</v>
      </c>
      <c r="D1562" t="s">
        <v>71</v>
      </c>
      <c r="E1562">
        <v>0</v>
      </c>
      <c r="F1562">
        <v>85</v>
      </c>
      <c r="G1562" t="str">
        <f t="shared" si="32"/>
        <v>81+</v>
      </c>
      <c r="H1562" t="s">
        <v>23</v>
      </c>
      <c r="I1562" t="s">
        <v>27</v>
      </c>
      <c r="J1562" t="s">
        <v>28</v>
      </c>
      <c r="K1562" t="s">
        <v>42</v>
      </c>
      <c r="L1562">
        <v>1</v>
      </c>
      <c r="M1562">
        <v>1</v>
      </c>
      <c r="N1562">
        <v>2.5</v>
      </c>
      <c r="O1562">
        <v>9.9</v>
      </c>
      <c r="P1562">
        <v>4</v>
      </c>
      <c r="Q1562">
        <v>3</v>
      </c>
      <c r="R1562">
        <v>835246</v>
      </c>
      <c r="S1562">
        <f>Table1[[#This Row],[Revenue]]-Table1[[#This Row],[Operating_Costs]]</f>
        <v>136568</v>
      </c>
      <c r="T1562">
        <v>698678</v>
      </c>
      <c r="U1562">
        <v>51</v>
      </c>
      <c r="V1562">
        <v>55</v>
      </c>
      <c r="W1562">
        <v>6.4</v>
      </c>
    </row>
    <row r="1563" spans="1:23" x14ac:dyDescent="0.25">
      <c r="A1563">
        <v>4</v>
      </c>
      <c r="B1563" t="s">
        <v>69</v>
      </c>
      <c r="C1563" s="1">
        <v>45235</v>
      </c>
      <c r="D1563" t="s">
        <v>71</v>
      </c>
      <c r="E1563">
        <v>0</v>
      </c>
      <c r="F1563">
        <v>56</v>
      </c>
      <c r="G1563" t="str">
        <f t="shared" si="32"/>
        <v>41-60</v>
      </c>
      <c r="H1563" t="s">
        <v>23</v>
      </c>
      <c r="I1563" t="s">
        <v>24</v>
      </c>
      <c r="J1563" t="s">
        <v>25</v>
      </c>
      <c r="K1563" t="s">
        <v>42</v>
      </c>
      <c r="L1563">
        <v>1</v>
      </c>
      <c r="M1563">
        <v>1</v>
      </c>
      <c r="N1563">
        <v>6</v>
      </c>
      <c r="O1563">
        <v>8.9</v>
      </c>
      <c r="P1563">
        <v>3</v>
      </c>
      <c r="Q1563">
        <v>5</v>
      </c>
      <c r="R1563">
        <v>856380</v>
      </c>
      <c r="S1563">
        <f>Table1[[#This Row],[Revenue]]-Table1[[#This Row],[Operating_Costs]]</f>
        <v>158167</v>
      </c>
      <c r="T1563">
        <v>698213</v>
      </c>
      <c r="U1563">
        <v>52</v>
      </c>
      <c r="V1563">
        <v>61</v>
      </c>
      <c r="W1563">
        <v>10.8</v>
      </c>
    </row>
    <row r="1564" spans="1:23" x14ac:dyDescent="0.25">
      <c r="A1564">
        <v>4</v>
      </c>
      <c r="B1564" t="s">
        <v>69</v>
      </c>
      <c r="C1564" s="1">
        <v>44260</v>
      </c>
      <c r="D1564" t="s">
        <v>71</v>
      </c>
      <c r="E1564">
        <v>0</v>
      </c>
      <c r="F1564">
        <v>28</v>
      </c>
      <c r="G1564" t="str">
        <f t="shared" si="32"/>
        <v>21-40</v>
      </c>
      <c r="H1564" t="s">
        <v>23</v>
      </c>
      <c r="I1564" t="s">
        <v>24</v>
      </c>
      <c r="J1564" t="s">
        <v>25</v>
      </c>
      <c r="K1564" t="s">
        <v>29</v>
      </c>
      <c r="L1564">
        <v>1</v>
      </c>
      <c r="M1564">
        <v>1</v>
      </c>
      <c r="N1564">
        <v>5.7</v>
      </c>
      <c r="O1564">
        <v>8.1</v>
      </c>
      <c r="P1564">
        <v>7</v>
      </c>
      <c r="Q1564">
        <v>6</v>
      </c>
      <c r="R1564">
        <v>895646</v>
      </c>
      <c r="S1564">
        <f>Table1[[#This Row],[Revenue]]-Table1[[#This Row],[Operating_Costs]]</f>
        <v>350784</v>
      </c>
      <c r="T1564">
        <v>544862</v>
      </c>
      <c r="U1564">
        <v>43</v>
      </c>
      <c r="V1564">
        <v>59</v>
      </c>
      <c r="W1564">
        <v>9.5</v>
      </c>
    </row>
    <row r="1565" spans="1:23" x14ac:dyDescent="0.25">
      <c r="A1565">
        <v>4</v>
      </c>
      <c r="B1565" t="s">
        <v>69</v>
      </c>
      <c r="C1565" s="1">
        <v>44732</v>
      </c>
      <c r="D1565" t="s">
        <v>71</v>
      </c>
      <c r="E1565">
        <v>0</v>
      </c>
      <c r="F1565">
        <v>24</v>
      </c>
      <c r="G1565" t="str">
        <f t="shared" si="32"/>
        <v>21-40</v>
      </c>
      <c r="H1565" t="s">
        <v>35</v>
      </c>
      <c r="I1565" t="s">
        <v>60</v>
      </c>
      <c r="J1565" t="s">
        <v>59</v>
      </c>
      <c r="K1565" t="s">
        <v>42</v>
      </c>
      <c r="L1565">
        <v>1</v>
      </c>
      <c r="M1565">
        <v>1</v>
      </c>
      <c r="N1565">
        <v>1.1000000000000001</v>
      </c>
      <c r="O1565">
        <v>7.1</v>
      </c>
      <c r="P1565">
        <v>4</v>
      </c>
      <c r="Q1565">
        <v>3</v>
      </c>
      <c r="R1565">
        <v>936047</v>
      </c>
      <c r="S1565">
        <f>Table1[[#This Row],[Revenue]]-Table1[[#This Row],[Operating_Costs]]</f>
        <v>357995</v>
      </c>
      <c r="T1565">
        <v>578052</v>
      </c>
      <c r="U1565">
        <v>50</v>
      </c>
      <c r="V1565">
        <v>63</v>
      </c>
      <c r="W1565">
        <v>6.9</v>
      </c>
    </row>
    <row r="1566" spans="1:23" x14ac:dyDescent="0.25">
      <c r="A1566">
        <v>4</v>
      </c>
      <c r="B1566" t="s">
        <v>69</v>
      </c>
      <c r="C1566" s="1">
        <v>44261</v>
      </c>
      <c r="D1566" t="s">
        <v>71</v>
      </c>
      <c r="E1566">
        <v>0</v>
      </c>
      <c r="F1566">
        <v>63</v>
      </c>
      <c r="G1566" t="str">
        <f t="shared" si="32"/>
        <v>61-80</v>
      </c>
      <c r="H1566" t="s">
        <v>35</v>
      </c>
      <c r="I1566" t="s">
        <v>46</v>
      </c>
      <c r="J1566" t="s">
        <v>47</v>
      </c>
      <c r="K1566" t="s">
        <v>26</v>
      </c>
      <c r="L1566">
        <v>1</v>
      </c>
      <c r="M1566">
        <v>1</v>
      </c>
      <c r="N1566">
        <v>4.5</v>
      </c>
      <c r="O1566">
        <v>8</v>
      </c>
      <c r="P1566">
        <v>7</v>
      </c>
      <c r="Q1566">
        <v>5</v>
      </c>
      <c r="R1566">
        <v>957580</v>
      </c>
      <c r="S1566">
        <f>Table1[[#This Row],[Revenue]]-Table1[[#This Row],[Operating_Costs]]</f>
        <v>315363</v>
      </c>
      <c r="T1566">
        <v>642217</v>
      </c>
      <c r="U1566">
        <v>43</v>
      </c>
      <c r="V1566">
        <v>55</v>
      </c>
      <c r="W1566">
        <v>10</v>
      </c>
    </row>
    <row r="1567" spans="1:23" x14ac:dyDescent="0.25">
      <c r="A1567">
        <v>4</v>
      </c>
      <c r="B1567" t="s">
        <v>69</v>
      </c>
      <c r="C1567" s="1">
        <v>44878</v>
      </c>
      <c r="D1567" t="s">
        <v>71</v>
      </c>
      <c r="E1567">
        <v>0</v>
      </c>
      <c r="F1567">
        <v>29</v>
      </c>
      <c r="G1567" t="str">
        <f t="shared" si="32"/>
        <v>21-40</v>
      </c>
      <c r="H1567" t="s">
        <v>23</v>
      </c>
      <c r="I1567" t="s">
        <v>27</v>
      </c>
      <c r="J1567" t="s">
        <v>28</v>
      </c>
      <c r="K1567" t="s">
        <v>29</v>
      </c>
      <c r="L1567">
        <v>1</v>
      </c>
      <c r="M1567">
        <v>1</v>
      </c>
      <c r="N1567">
        <v>5.9</v>
      </c>
      <c r="O1567">
        <v>7.3</v>
      </c>
      <c r="P1567">
        <v>3</v>
      </c>
      <c r="Q1567">
        <v>7</v>
      </c>
      <c r="R1567">
        <v>849060</v>
      </c>
      <c r="S1567">
        <f>Table1[[#This Row],[Revenue]]-Table1[[#This Row],[Operating_Costs]]</f>
        <v>152727</v>
      </c>
      <c r="T1567">
        <v>696333</v>
      </c>
      <c r="U1567">
        <v>47</v>
      </c>
      <c r="V1567">
        <v>60</v>
      </c>
      <c r="W1567">
        <v>36.9</v>
      </c>
    </row>
    <row r="1568" spans="1:23" x14ac:dyDescent="0.25">
      <c r="A1568">
        <v>4</v>
      </c>
      <c r="B1568" t="s">
        <v>69</v>
      </c>
      <c r="C1568" s="1">
        <v>45363</v>
      </c>
      <c r="D1568" t="s">
        <v>71</v>
      </c>
      <c r="E1568">
        <v>0</v>
      </c>
      <c r="F1568">
        <v>25</v>
      </c>
      <c r="G1568" t="str">
        <f t="shared" si="32"/>
        <v>21-40</v>
      </c>
      <c r="H1568" t="s">
        <v>23</v>
      </c>
      <c r="I1568" t="s">
        <v>24</v>
      </c>
      <c r="J1568" t="s">
        <v>25</v>
      </c>
      <c r="K1568" t="s">
        <v>33</v>
      </c>
      <c r="L1568">
        <v>1</v>
      </c>
      <c r="M1568">
        <v>1</v>
      </c>
      <c r="N1568">
        <v>5.6</v>
      </c>
      <c r="O1568">
        <v>9.4</v>
      </c>
      <c r="P1568">
        <v>7</v>
      </c>
      <c r="Q1568">
        <v>6</v>
      </c>
      <c r="R1568">
        <v>866301</v>
      </c>
      <c r="S1568">
        <f>Table1[[#This Row],[Revenue]]-Table1[[#This Row],[Operating_Costs]]</f>
        <v>327681</v>
      </c>
      <c r="T1568">
        <v>538620</v>
      </c>
      <c r="U1568">
        <v>43</v>
      </c>
      <c r="V1568">
        <v>59</v>
      </c>
      <c r="W1568">
        <v>8.8000000000000007</v>
      </c>
    </row>
    <row r="1569" spans="1:23" x14ac:dyDescent="0.25">
      <c r="A1569">
        <v>4</v>
      </c>
      <c r="B1569" t="s">
        <v>69</v>
      </c>
      <c r="C1569" s="1">
        <v>44412</v>
      </c>
      <c r="D1569" t="s">
        <v>71</v>
      </c>
      <c r="E1569">
        <v>0</v>
      </c>
      <c r="F1569">
        <v>74</v>
      </c>
      <c r="G1569" t="str">
        <f t="shared" si="32"/>
        <v>61-80</v>
      </c>
      <c r="H1569" t="s">
        <v>23</v>
      </c>
      <c r="I1569" t="s">
        <v>43</v>
      </c>
      <c r="J1569" t="s">
        <v>25</v>
      </c>
      <c r="K1569" t="s">
        <v>33</v>
      </c>
      <c r="L1569">
        <v>1</v>
      </c>
      <c r="M1569">
        <v>1</v>
      </c>
      <c r="N1569">
        <v>1</v>
      </c>
      <c r="O1569">
        <v>8.6999999999999993</v>
      </c>
      <c r="P1569">
        <v>7</v>
      </c>
      <c r="Q1569">
        <v>6</v>
      </c>
      <c r="R1569">
        <v>807983</v>
      </c>
      <c r="S1569">
        <f>Table1[[#This Row],[Revenue]]-Table1[[#This Row],[Operating_Costs]]</f>
        <v>283546</v>
      </c>
      <c r="T1569">
        <v>524437</v>
      </c>
      <c r="U1569">
        <v>31</v>
      </c>
      <c r="V1569">
        <v>66</v>
      </c>
      <c r="W1569">
        <v>13.1</v>
      </c>
    </row>
    <row r="1570" spans="1:23" x14ac:dyDescent="0.25">
      <c r="A1570">
        <v>4</v>
      </c>
      <c r="B1570" t="s">
        <v>69</v>
      </c>
      <c r="C1570" s="1">
        <v>44266</v>
      </c>
      <c r="D1570" t="s">
        <v>71</v>
      </c>
      <c r="E1570">
        <v>0</v>
      </c>
      <c r="F1570">
        <v>75</v>
      </c>
      <c r="G1570" t="str">
        <f t="shared" si="32"/>
        <v>61-80</v>
      </c>
      <c r="H1570" t="s">
        <v>35</v>
      </c>
      <c r="I1570" t="s">
        <v>31</v>
      </c>
      <c r="J1570" t="s">
        <v>28</v>
      </c>
      <c r="K1570" t="s">
        <v>29</v>
      </c>
      <c r="L1570">
        <v>1</v>
      </c>
      <c r="M1570">
        <v>1</v>
      </c>
      <c r="N1570">
        <v>1.9</v>
      </c>
      <c r="O1570">
        <v>8.5</v>
      </c>
      <c r="P1570">
        <v>4</v>
      </c>
      <c r="Q1570">
        <v>3</v>
      </c>
      <c r="R1570">
        <v>870983</v>
      </c>
      <c r="S1570">
        <f>Table1[[#This Row],[Revenue]]-Table1[[#This Row],[Operating_Costs]]</f>
        <v>279036</v>
      </c>
      <c r="T1570">
        <v>591947</v>
      </c>
      <c r="U1570">
        <v>37</v>
      </c>
      <c r="V1570">
        <v>55</v>
      </c>
      <c r="W1570">
        <v>5.0999999999999996</v>
      </c>
    </row>
    <row r="1571" spans="1:23" x14ac:dyDescent="0.25">
      <c r="A1571">
        <v>3</v>
      </c>
      <c r="B1571" t="s">
        <v>57</v>
      </c>
      <c r="C1571" s="1">
        <v>44415</v>
      </c>
      <c r="D1571" t="s">
        <v>71</v>
      </c>
      <c r="E1571">
        <v>0</v>
      </c>
      <c r="F1571">
        <v>76</v>
      </c>
      <c r="G1571" t="str">
        <f t="shared" si="32"/>
        <v>61-80</v>
      </c>
      <c r="H1571" t="s">
        <v>23</v>
      </c>
      <c r="I1571" t="s">
        <v>43</v>
      </c>
      <c r="J1571" t="s">
        <v>25</v>
      </c>
      <c r="K1571" t="s">
        <v>33</v>
      </c>
      <c r="L1571">
        <v>1</v>
      </c>
      <c r="M1571">
        <v>1</v>
      </c>
      <c r="N1571">
        <v>1.9</v>
      </c>
      <c r="O1571">
        <v>9.6999999999999993</v>
      </c>
      <c r="P1571">
        <v>3</v>
      </c>
      <c r="Q1571">
        <v>3</v>
      </c>
      <c r="R1571">
        <v>569202</v>
      </c>
      <c r="S1571">
        <f>Table1[[#This Row],[Revenue]]-Table1[[#This Row],[Operating_Costs]]</f>
        <v>222660</v>
      </c>
      <c r="T1571">
        <v>346542</v>
      </c>
      <c r="U1571">
        <v>17</v>
      </c>
      <c r="V1571">
        <v>59</v>
      </c>
      <c r="W1571">
        <v>10.9</v>
      </c>
    </row>
    <row r="1572" spans="1:23" x14ac:dyDescent="0.25">
      <c r="A1572">
        <v>4</v>
      </c>
      <c r="B1572" t="s">
        <v>69</v>
      </c>
      <c r="C1572" s="1">
        <v>45159</v>
      </c>
      <c r="D1572" t="s">
        <v>71</v>
      </c>
      <c r="E1572">
        <v>0</v>
      </c>
      <c r="F1572">
        <v>22</v>
      </c>
      <c r="G1572" t="str">
        <f t="shared" si="32"/>
        <v>21-40</v>
      </c>
      <c r="H1572" t="s">
        <v>23</v>
      </c>
      <c r="I1572" t="s">
        <v>24</v>
      </c>
      <c r="J1572" t="s">
        <v>25</v>
      </c>
      <c r="K1572" t="s">
        <v>26</v>
      </c>
      <c r="L1572">
        <v>1</v>
      </c>
      <c r="M1572">
        <v>1</v>
      </c>
      <c r="N1572">
        <v>6.2</v>
      </c>
      <c r="O1572">
        <v>7.6</v>
      </c>
      <c r="P1572">
        <v>6</v>
      </c>
      <c r="Q1572">
        <v>5</v>
      </c>
      <c r="R1572">
        <v>973121</v>
      </c>
      <c r="S1572">
        <f>Table1[[#This Row],[Revenue]]-Table1[[#This Row],[Operating_Costs]]</f>
        <v>385392</v>
      </c>
      <c r="T1572">
        <v>587729</v>
      </c>
      <c r="U1572">
        <v>38</v>
      </c>
      <c r="V1572">
        <v>56</v>
      </c>
      <c r="W1572">
        <v>6.1</v>
      </c>
    </row>
    <row r="1573" spans="1:23" x14ac:dyDescent="0.25">
      <c r="A1573">
        <v>4</v>
      </c>
      <c r="B1573" t="s">
        <v>69</v>
      </c>
      <c r="C1573" s="1">
        <v>45388</v>
      </c>
      <c r="D1573" t="s">
        <v>71</v>
      </c>
      <c r="E1573">
        <v>0</v>
      </c>
      <c r="F1573">
        <v>86</v>
      </c>
      <c r="G1573" t="str">
        <f t="shared" si="32"/>
        <v>81+</v>
      </c>
      <c r="H1573" t="s">
        <v>35</v>
      </c>
      <c r="I1573" t="s">
        <v>36</v>
      </c>
      <c r="J1573" t="s">
        <v>37</v>
      </c>
      <c r="K1573" t="s">
        <v>33</v>
      </c>
      <c r="L1573">
        <v>1</v>
      </c>
      <c r="M1573">
        <v>1</v>
      </c>
      <c r="N1573">
        <v>2.4</v>
      </c>
      <c r="O1573">
        <v>7.6</v>
      </c>
      <c r="P1573">
        <v>6</v>
      </c>
      <c r="Q1573">
        <v>4</v>
      </c>
      <c r="R1573">
        <v>944828</v>
      </c>
      <c r="S1573">
        <f>Table1[[#This Row],[Revenue]]-Table1[[#This Row],[Operating_Costs]]</f>
        <v>358930</v>
      </c>
      <c r="T1573">
        <v>585898</v>
      </c>
      <c r="U1573">
        <v>57</v>
      </c>
      <c r="V1573">
        <v>60</v>
      </c>
      <c r="W1573">
        <v>14.6</v>
      </c>
    </row>
    <row r="1574" spans="1:23" x14ac:dyDescent="0.25">
      <c r="A1574">
        <v>4</v>
      </c>
      <c r="B1574" t="s">
        <v>69</v>
      </c>
      <c r="C1574" s="1">
        <v>45397</v>
      </c>
      <c r="D1574" t="s">
        <v>71</v>
      </c>
      <c r="E1574">
        <v>0</v>
      </c>
      <c r="F1574">
        <v>54</v>
      </c>
      <c r="G1574" t="str">
        <f t="shared" si="32"/>
        <v>41-60</v>
      </c>
      <c r="H1574" t="s">
        <v>35</v>
      </c>
      <c r="I1574" t="s">
        <v>53</v>
      </c>
      <c r="J1574" t="s">
        <v>54</v>
      </c>
      <c r="K1574" t="s">
        <v>29</v>
      </c>
      <c r="L1574">
        <v>1</v>
      </c>
      <c r="M1574">
        <v>1</v>
      </c>
      <c r="N1574">
        <v>5.7</v>
      </c>
      <c r="O1574">
        <v>10</v>
      </c>
      <c r="P1574">
        <v>7</v>
      </c>
      <c r="Q1574">
        <v>6</v>
      </c>
      <c r="R1574">
        <v>912266</v>
      </c>
      <c r="S1574">
        <f>Table1[[#This Row],[Revenue]]-Table1[[#This Row],[Operating_Costs]]</f>
        <v>264468</v>
      </c>
      <c r="T1574">
        <v>647798</v>
      </c>
      <c r="U1574">
        <v>51</v>
      </c>
      <c r="V1574">
        <v>58</v>
      </c>
      <c r="W1574">
        <v>12</v>
      </c>
    </row>
    <row r="1575" spans="1:23" x14ac:dyDescent="0.25">
      <c r="A1575">
        <v>4</v>
      </c>
      <c r="B1575" t="s">
        <v>69</v>
      </c>
      <c r="C1575" s="1">
        <v>45031</v>
      </c>
      <c r="D1575" t="s">
        <v>71</v>
      </c>
      <c r="E1575">
        <v>0</v>
      </c>
      <c r="F1575">
        <v>27</v>
      </c>
      <c r="G1575" t="str">
        <f t="shared" si="32"/>
        <v>21-40</v>
      </c>
      <c r="H1575" t="s">
        <v>23</v>
      </c>
      <c r="I1575" t="s">
        <v>24</v>
      </c>
      <c r="J1575" t="s">
        <v>25</v>
      </c>
      <c r="K1575" t="s">
        <v>42</v>
      </c>
      <c r="L1575">
        <v>1</v>
      </c>
      <c r="M1575">
        <v>1</v>
      </c>
      <c r="N1575">
        <v>4.8</v>
      </c>
      <c r="O1575">
        <v>8.1999999999999993</v>
      </c>
      <c r="P1575">
        <v>5</v>
      </c>
      <c r="Q1575">
        <v>5</v>
      </c>
      <c r="R1575">
        <v>860108</v>
      </c>
      <c r="S1575">
        <f>Table1[[#This Row],[Revenue]]-Table1[[#This Row],[Operating_Costs]]</f>
        <v>305346</v>
      </c>
      <c r="T1575">
        <v>554762</v>
      </c>
      <c r="U1575">
        <v>30</v>
      </c>
      <c r="V1575">
        <v>63</v>
      </c>
      <c r="W1575">
        <v>36.700000000000003</v>
      </c>
    </row>
    <row r="1576" spans="1:23" x14ac:dyDescent="0.25">
      <c r="A1576">
        <v>3</v>
      </c>
      <c r="B1576" t="s">
        <v>57</v>
      </c>
      <c r="C1576" s="1">
        <v>44253</v>
      </c>
      <c r="D1576" t="s">
        <v>71</v>
      </c>
      <c r="E1576">
        <v>0</v>
      </c>
      <c r="F1576">
        <v>31</v>
      </c>
      <c r="G1576" t="str">
        <f t="shared" si="32"/>
        <v>21-40</v>
      </c>
      <c r="H1576" t="s">
        <v>35</v>
      </c>
      <c r="I1576" t="s">
        <v>60</v>
      </c>
      <c r="J1576" t="s">
        <v>59</v>
      </c>
      <c r="K1576" t="s">
        <v>38</v>
      </c>
      <c r="L1576">
        <v>1</v>
      </c>
      <c r="M1576">
        <v>1</v>
      </c>
      <c r="N1576">
        <v>1.8</v>
      </c>
      <c r="O1576">
        <v>8.9</v>
      </c>
      <c r="P1576">
        <v>5</v>
      </c>
      <c r="Q1576">
        <v>7</v>
      </c>
      <c r="R1576">
        <v>501204</v>
      </c>
      <c r="S1576">
        <f>Table1[[#This Row],[Revenue]]-Table1[[#This Row],[Operating_Costs]]</f>
        <v>122397</v>
      </c>
      <c r="T1576">
        <v>378807</v>
      </c>
      <c r="U1576">
        <v>21</v>
      </c>
      <c r="V1576">
        <v>63</v>
      </c>
      <c r="W1576">
        <v>6.1</v>
      </c>
    </row>
    <row r="1577" spans="1:23" x14ac:dyDescent="0.25">
      <c r="A1577">
        <v>4</v>
      </c>
      <c r="B1577" t="s">
        <v>69</v>
      </c>
      <c r="C1577" s="1">
        <v>44505</v>
      </c>
      <c r="D1577" t="s">
        <v>71</v>
      </c>
      <c r="E1577">
        <v>0</v>
      </c>
      <c r="F1577">
        <v>47</v>
      </c>
      <c r="G1577" t="str">
        <f t="shared" si="32"/>
        <v>41-60</v>
      </c>
      <c r="H1577" t="s">
        <v>35</v>
      </c>
      <c r="I1577" t="s">
        <v>31</v>
      </c>
      <c r="J1577" t="s">
        <v>28</v>
      </c>
      <c r="K1577" t="s">
        <v>38</v>
      </c>
      <c r="L1577">
        <v>1</v>
      </c>
      <c r="M1577">
        <v>1</v>
      </c>
      <c r="N1577">
        <v>2.9</v>
      </c>
      <c r="O1577">
        <v>8.1</v>
      </c>
      <c r="P1577">
        <v>4</v>
      </c>
      <c r="Q1577">
        <v>4</v>
      </c>
      <c r="R1577">
        <v>820126</v>
      </c>
      <c r="S1577">
        <f>Table1[[#This Row],[Revenue]]-Table1[[#This Row],[Operating_Costs]]</f>
        <v>191423</v>
      </c>
      <c r="T1577">
        <v>628703</v>
      </c>
      <c r="U1577">
        <v>39</v>
      </c>
      <c r="V1577">
        <v>64</v>
      </c>
      <c r="W1577">
        <v>5.6</v>
      </c>
    </row>
    <row r="1578" spans="1:23" x14ac:dyDescent="0.25">
      <c r="A1578">
        <v>4</v>
      </c>
      <c r="B1578" t="s">
        <v>69</v>
      </c>
      <c r="C1578" s="1">
        <v>44721</v>
      </c>
      <c r="D1578" t="s">
        <v>71</v>
      </c>
      <c r="E1578">
        <v>0</v>
      </c>
      <c r="F1578">
        <v>36</v>
      </c>
      <c r="G1578" t="str">
        <f t="shared" si="32"/>
        <v>21-40</v>
      </c>
      <c r="H1578" t="s">
        <v>35</v>
      </c>
      <c r="I1578" t="s">
        <v>58</v>
      </c>
      <c r="J1578" t="s">
        <v>59</v>
      </c>
      <c r="K1578" t="s">
        <v>29</v>
      </c>
      <c r="L1578">
        <v>1</v>
      </c>
      <c r="M1578">
        <v>1</v>
      </c>
      <c r="N1578">
        <v>3.1</v>
      </c>
      <c r="O1578">
        <v>9.4</v>
      </c>
      <c r="P1578">
        <v>7</v>
      </c>
      <c r="Q1578">
        <v>4</v>
      </c>
      <c r="R1578">
        <v>949835</v>
      </c>
      <c r="S1578">
        <f>Table1[[#This Row],[Revenue]]-Table1[[#This Row],[Operating_Costs]]</f>
        <v>314782</v>
      </c>
      <c r="T1578">
        <v>635053</v>
      </c>
      <c r="U1578">
        <v>40</v>
      </c>
      <c r="V1578">
        <v>56</v>
      </c>
      <c r="W1578">
        <v>6.5</v>
      </c>
    </row>
    <row r="1579" spans="1:23" x14ac:dyDescent="0.25">
      <c r="A1579">
        <v>4</v>
      </c>
      <c r="B1579" t="s">
        <v>69</v>
      </c>
      <c r="C1579" s="1">
        <v>44984</v>
      </c>
      <c r="D1579" t="s">
        <v>71</v>
      </c>
      <c r="E1579">
        <v>0</v>
      </c>
      <c r="F1579">
        <v>39</v>
      </c>
      <c r="G1579" t="str">
        <f t="shared" si="32"/>
        <v>21-40</v>
      </c>
      <c r="H1579" t="s">
        <v>35</v>
      </c>
      <c r="I1579" t="s">
        <v>61</v>
      </c>
      <c r="J1579" t="s">
        <v>62</v>
      </c>
      <c r="K1579" t="s">
        <v>33</v>
      </c>
      <c r="L1579">
        <v>1</v>
      </c>
      <c r="M1579">
        <v>1</v>
      </c>
      <c r="N1579">
        <v>6.5</v>
      </c>
      <c r="O1579">
        <v>7.2</v>
      </c>
      <c r="P1579">
        <v>3</v>
      </c>
      <c r="Q1579">
        <v>4</v>
      </c>
      <c r="R1579">
        <v>844762</v>
      </c>
      <c r="S1579">
        <f>Table1[[#This Row],[Revenue]]-Table1[[#This Row],[Operating_Costs]]</f>
        <v>292371</v>
      </c>
      <c r="T1579">
        <v>552391</v>
      </c>
      <c r="U1579">
        <v>48</v>
      </c>
      <c r="V1579">
        <v>59</v>
      </c>
      <c r="W1579">
        <v>12.3</v>
      </c>
    </row>
    <row r="1580" spans="1:23" x14ac:dyDescent="0.25">
      <c r="A1580">
        <v>4</v>
      </c>
      <c r="B1580" t="s">
        <v>69</v>
      </c>
      <c r="C1580" s="1">
        <v>44904</v>
      </c>
      <c r="D1580" t="s">
        <v>71</v>
      </c>
      <c r="E1580">
        <v>0</v>
      </c>
      <c r="F1580">
        <v>34</v>
      </c>
      <c r="G1580" t="str">
        <f t="shared" si="32"/>
        <v>21-40</v>
      </c>
      <c r="H1580" t="s">
        <v>35</v>
      </c>
      <c r="I1580" t="s">
        <v>60</v>
      </c>
      <c r="J1580" t="s">
        <v>59</v>
      </c>
      <c r="K1580" t="s">
        <v>38</v>
      </c>
      <c r="L1580">
        <v>1</v>
      </c>
      <c r="M1580">
        <v>1</v>
      </c>
      <c r="N1580">
        <v>1.1000000000000001</v>
      </c>
      <c r="O1580">
        <v>8.4</v>
      </c>
      <c r="P1580">
        <v>7</v>
      </c>
      <c r="Q1580">
        <v>3</v>
      </c>
      <c r="R1580">
        <v>970521</v>
      </c>
      <c r="S1580">
        <f>Table1[[#This Row],[Revenue]]-Table1[[#This Row],[Operating_Costs]]</f>
        <v>310535</v>
      </c>
      <c r="T1580">
        <v>659986</v>
      </c>
      <c r="U1580">
        <v>41</v>
      </c>
      <c r="V1580">
        <v>59</v>
      </c>
      <c r="W1580">
        <v>9.1999999999999993</v>
      </c>
    </row>
    <row r="1581" spans="1:23" x14ac:dyDescent="0.25">
      <c r="A1581">
        <v>4</v>
      </c>
      <c r="B1581" t="s">
        <v>69</v>
      </c>
      <c r="C1581" s="1">
        <v>44472</v>
      </c>
      <c r="D1581" t="s">
        <v>71</v>
      </c>
      <c r="E1581">
        <v>0</v>
      </c>
      <c r="F1581">
        <v>88</v>
      </c>
      <c r="G1581" t="str">
        <f t="shared" si="32"/>
        <v>81+</v>
      </c>
      <c r="H1581" t="s">
        <v>23</v>
      </c>
      <c r="I1581" t="s">
        <v>50</v>
      </c>
      <c r="J1581" t="s">
        <v>51</v>
      </c>
      <c r="K1581" t="s">
        <v>42</v>
      </c>
      <c r="L1581">
        <v>1</v>
      </c>
      <c r="M1581">
        <v>1</v>
      </c>
      <c r="N1581">
        <v>6.8</v>
      </c>
      <c r="O1581">
        <v>8.1999999999999993</v>
      </c>
      <c r="P1581">
        <v>4</v>
      </c>
      <c r="Q1581">
        <v>4</v>
      </c>
      <c r="R1581">
        <v>845626</v>
      </c>
      <c r="S1581">
        <f>Table1[[#This Row],[Revenue]]-Table1[[#This Row],[Operating_Costs]]</f>
        <v>282804</v>
      </c>
      <c r="T1581">
        <v>562822</v>
      </c>
      <c r="U1581">
        <v>53</v>
      </c>
      <c r="V1581">
        <v>66</v>
      </c>
      <c r="W1581">
        <v>13.1</v>
      </c>
    </row>
    <row r="1582" spans="1:23" x14ac:dyDescent="0.25">
      <c r="A1582">
        <v>4</v>
      </c>
      <c r="B1582" t="s">
        <v>69</v>
      </c>
      <c r="C1582" s="1">
        <v>44301</v>
      </c>
      <c r="D1582" t="s">
        <v>71</v>
      </c>
      <c r="E1582">
        <v>0</v>
      </c>
      <c r="F1582">
        <v>68</v>
      </c>
      <c r="G1582" t="str">
        <f t="shared" si="32"/>
        <v>61-80</v>
      </c>
      <c r="H1582" t="s">
        <v>35</v>
      </c>
      <c r="I1582" t="s">
        <v>36</v>
      </c>
      <c r="J1582" t="s">
        <v>37</v>
      </c>
      <c r="K1582" t="s">
        <v>33</v>
      </c>
      <c r="L1582">
        <v>1</v>
      </c>
      <c r="M1582">
        <v>1</v>
      </c>
      <c r="N1582">
        <v>6.1</v>
      </c>
      <c r="O1582">
        <v>9.9</v>
      </c>
      <c r="P1582">
        <v>4</v>
      </c>
      <c r="Q1582">
        <v>4</v>
      </c>
      <c r="R1582">
        <v>854822</v>
      </c>
      <c r="S1582">
        <f>Table1[[#This Row],[Revenue]]-Table1[[#This Row],[Operating_Costs]]</f>
        <v>288029</v>
      </c>
      <c r="T1582">
        <v>566793</v>
      </c>
      <c r="U1582">
        <v>60</v>
      </c>
      <c r="V1582">
        <v>65</v>
      </c>
      <c r="W1582">
        <v>36.799999999999997</v>
      </c>
    </row>
    <row r="1583" spans="1:23" x14ac:dyDescent="0.25">
      <c r="A1583">
        <v>4</v>
      </c>
      <c r="B1583" t="s">
        <v>69</v>
      </c>
      <c r="C1583" s="1">
        <v>45557</v>
      </c>
      <c r="D1583" t="s">
        <v>71</v>
      </c>
      <c r="E1583">
        <v>0</v>
      </c>
      <c r="F1583">
        <v>83</v>
      </c>
      <c r="G1583" t="str">
        <f t="shared" si="32"/>
        <v>81+</v>
      </c>
      <c r="H1583" t="s">
        <v>23</v>
      </c>
      <c r="I1583" t="s">
        <v>50</v>
      </c>
      <c r="J1583" t="s">
        <v>51</v>
      </c>
      <c r="K1583" t="s">
        <v>26</v>
      </c>
      <c r="L1583">
        <v>1</v>
      </c>
      <c r="M1583">
        <v>1</v>
      </c>
      <c r="N1583">
        <v>6.4</v>
      </c>
      <c r="O1583">
        <v>8.9</v>
      </c>
      <c r="P1583">
        <v>3</v>
      </c>
      <c r="Q1583">
        <v>5</v>
      </c>
      <c r="R1583">
        <v>973573</v>
      </c>
      <c r="S1583">
        <f>Table1[[#This Row],[Revenue]]-Table1[[#This Row],[Operating_Costs]]</f>
        <v>387954</v>
      </c>
      <c r="T1583">
        <v>585619</v>
      </c>
      <c r="U1583">
        <v>43</v>
      </c>
      <c r="V1583">
        <v>64</v>
      </c>
      <c r="W1583">
        <v>12.6</v>
      </c>
    </row>
    <row r="1584" spans="1:23" x14ac:dyDescent="0.25">
      <c r="A1584">
        <v>4</v>
      </c>
      <c r="B1584" t="s">
        <v>69</v>
      </c>
      <c r="C1584" s="1">
        <v>45605</v>
      </c>
      <c r="D1584" t="s">
        <v>71</v>
      </c>
      <c r="E1584">
        <v>0</v>
      </c>
      <c r="F1584">
        <v>33</v>
      </c>
      <c r="G1584" t="str">
        <f t="shared" si="32"/>
        <v>21-40</v>
      </c>
      <c r="H1584" t="s">
        <v>23</v>
      </c>
      <c r="I1584" t="s">
        <v>50</v>
      </c>
      <c r="J1584" t="s">
        <v>51</v>
      </c>
      <c r="K1584" t="s">
        <v>33</v>
      </c>
      <c r="L1584">
        <v>1</v>
      </c>
      <c r="M1584">
        <v>1</v>
      </c>
      <c r="N1584">
        <v>2.9</v>
      </c>
      <c r="O1584">
        <v>8</v>
      </c>
      <c r="P1584">
        <v>3</v>
      </c>
      <c r="Q1584">
        <v>3</v>
      </c>
      <c r="R1584">
        <v>854736</v>
      </c>
      <c r="S1584">
        <f>Table1[[#This Row],[Revenue]]-Table1[[#This Row],[Operating_Costs]]</f>
        <v>258816</v>
      </c>
      <c r="T1584">
        <v>595920</v>
      </c>
      <c r="U1584">
        <v>52</v>
      </c>
      <c r="V1584">
        <v>56</v>
      </c>
      <c r="W1584">
        <v>36.1</v>
      </c>
    </row>
    <row r="1585" spans="1:23" x14ac:dyDescent="0.25">
      <c r="A1585">
        <v>4</v>
      </c>
      <c r="B1585" t="s">
        <v>69</v>
      </c>
      <c r="C1585" s="1">
        <v>44356</v>
      </c>
      <c r="D1585" t="s">
        <v>71</v>
      </c>
      <c r="E1585">
        <v>0</v>
      </c>
      <c r="F1585">
        <v>45</v>
      </c>
      <c r="G1585" t="str">
        <f t="shared" si="32"/>
        <v>41-60</v>
      </c>
      <c r="H1585" t="s">
        <v>35</v>
      </c>
      <c r="I1585" t="s">
        <v>55</v>
      </c>
      <c r="J1585" t="s">
        <v>56</v>
      </c>
      <c r="K1585" t="s">
        <v>42</v>
      </c>
      <c r="L1585">
        <v>1</v>
      </c>
      <c r="M1585">
        <v>1</v>
      </c>
      <c r="N1585">
        <v>5.2</v>
      </c>
      <c r="O1585">
        <v>7.1</v>
      </c>
      <c r="P1585">
        <v>4</v>
      </c>
      <c r="Q1585">
        <v>7</v>
      </c>
      <c r="R1585">
        <v>936272</v>
      </c>
      <c r="S1585">
        <f>Table1[[#This Row],[Revenue]]-Table1[[#This Row],[Operating_Costs]]</f>
        <v>294613</v>
      </c>
      <c r="T1585">
        <v>641659</v>
      </c>
      <c r="U1585">
        <v>41</v>
      </c>
      <c r="V1585">
        <v>59</v>
      </c>
      <c r="W1585">
        <v>8.6999999999999993</v>
      </c>
    </row>
    <row r="1586" spans="1:23" x14ac:dyDescent="0.25">
      <c r="A1586">
        <v>4</v>
      </c>
      <c r="B1586" t="s">
        <v>69</v>
      </c>
      <c r="C1586" s="1">
        <v>45624</v>
      </c>
      <c r="D1586" t="s">
        <v>71</v>
      </c>
      <c r="E1586">
        <v>0</v>
      </c>
      <c r="F1586">
        <v>37</v>
      </c>
      <c r="G1586" t="str">
        <f t="shared" si="32"/>
        <v>21-40</v>
      </c>
      <c r="H1586" t="s">
        <v>35</v>
      </c>
      <c r="I1586" t="s">
        <v>61</v>
      </c>
      <c r="J1586" t="s">
        <v>62</v>
      </c>
      <c r="K1586" t="s">
        <v>26</v>
      </c>
      <c r="L1586">
        <v>1</v>
      </c>
      <c r="M1586">
        <v>1</v>
      </c>
      <c r="N1586">
        <v>5.7</v>
      </c>
      <c r="O1586">
        <v>9.6</v>
      </c>
      <c r="P1586">
        <v>7</v>
      </c>
      <c r="Q1586">
        <v>4</v>
      </c>
      <c r="R1586">
        <v>934139</v>
      </c>
      <c r="S1586">
        <f>Table1[[#This Row],[Revenue]]-Table1[[#This Row],[Operating_Costs]]</f>
        <v>311527</v>
      </c>
      <c r="T1586">
        <v>622612</v>
      </c>
      <c r="U1586">
        <v>52</v>
      </c>
      <c r="V1586">
        <v>54</v>
      </c>
      <c r="W1586">
        <v>10.6</v>
      </c>
    </row>
    <row r="1587" spans="1:23" x14ac:dyDescent="0.25">
      <c r="A1587">
        <v>4</v>
      </c>
      <c r="B1587" t="s">
        <v>69</v>
      </c>
      <c r="C1587" s="1">
        <v>44777</v>
      </c>
      <c r="D1587" t="s">
        <v>71</v>
      </c>
      <c r="E1587">
        <v>0</v>
      </c>
      <c r="F1587">
        <v>25</v>
      </c>
      <c r="G1587" t="str">
        <f t="shared" si="32"/>
        <v>21-40</v>
      </c>
      <c r="H1587" t="s">
        <v>23</v>
      </c>
      <c r="I1587" t="s">
        <v>24</v>
      </c>
      <c r="J1587" t="s">
        <v>25</v>
      </c>
      <c r="K1587" t="s">
        <v>38</v>
      </c>
      <c r="L1587">
        <v>1</v>
      </c>
      <c r="M1587">
        <v>1</v>
      </c>
      <c r="N1587">
        <v>4.2</v>
      </c>
      <c r="O1587">
        <v>7.3</v>
      </c>
      <c r="P1587">
        <v>7</v>
      </c>
      <c r="Q1587">
        <v>4</v>
      </c>
      <c r="R1587">
        <v>931740</v>
      </c>
      <c r="S1587">
        <f>Table1[[#This Row],[Revenue]]-Table1[[#This Row],[Operating_Costs]]</f>
        <v>355968</v>
      </c>
      <c r="T1587">
        <v>575772</v>
      </c>
      <c r="U1587">
        <v>49</v>
      </c>
      <c r="V1587">
        <v>59</v>
      </c>
      <c r="W1587">
        <v>8.5</v>
      </c>
    </row>
    <row r="1588" spans="1:23" x14ac:dyDescent="0.25">
      <c r="A1588">
        <v>4</v>
      </c>
      <c r="B1588" t="s">
        <v>69</v>
      </c>
      <c r="C1588" s="1">
        <v>45612</v>
      </c>
      <c r="D1588" t="s">
        <v>71</v>
      </c>
      <c r="E1588">
        <v>0</v>
      </c>
      <c r="F1588">
        <v>36</v>
      </c>
      <c r="G1588" t="str">
        <f t="shared" si="32"/>
        <v>21-40</v>
      </c>
      <c r="H1588" t="s">
        <v>23</v>
      </c>
      <c r="I1588" t="s">
        <v>50</v>
      </c>
      <c r="J1588" t="s">
        <v>51</v>
      </c>
      <c r="K1588" t="s">
        <v>42</v>
      </c>
      <c r="L1588">
        <v>1</v>
      </c>
      <c r="M1588">
        <v>1</v>
      </c>
      <c r="N1588">
        <v>3.6</v>
      </c>
      <c r="O1588">
        <v>9.8000000000000007</v>
      </c>
      <c r="P1588">
        <v>6</v>
      </c>
      <c r="Q1588">
        <v>7</v>
      </c>
      <c r="R1588">
        <v>836024</v>
      </c>
      <c r="S1588">
        <f>Table1[[#This Row],[Revenue]]-Table1[[#This Row],[Operating_Costs]]</f>
        <v>177454</v>
      </c>
      <c r="T1588">
        <v>658570</v>
      </c>
      <c r="U1588">
        <v>41</v>
      </c>
      <c r="V1588">
        <v>60</v>
      </c>
      <c r="W1588">
        <v>6.5</v>
      </c>
    </row>
    <row r="1589" spans="1:23" x14ac:dyDescent="0.25">
      <c r="A1589">
        <v>4</v>
      </c>
      <c r="B1589" t="s">
        <v>69</v>
      </c>
      <c r="C1589" s="1">
        <v>45638</v>
      </c>
      <c r="D1589" t="s">
        <v>71</v>
      </c>
      <c r="E1589">
        <v>0</v>
      </c>
      <c r="F1589">
        <v>25</v>
      </c>
      <c r="G1589" t="str">
        <f t="shared" si="32"/>
        <v>21-40</v>
      </c>
      <c r="H1589" t="s">
        <v>35</v>
      </c>
      <c r="I1589" t="s">
        <v>46</v>
      </c>
      <c r="J1589" t="s">
        <v>47</v>
      </c>
      <c r="K1589" t="s">
        <v>42</v>
      </c>
      <c r="L1589">
        <v>1</v>
      </c>
      <c r="M1589">
        <v>1</v>
      </c>
      <c r="N1589">
        <v>5.4</v>
      </c>
      <c r="O1589">
        <v>7.2</v>
      </c>
      <c r="P1589">
        <v>6</v>
      </c>
      <c r="Q1589">
        <v>3</v>
      </c>
      <c r="R1589">
        <v>936642</v>
      </c>
      <c r="S1589">
        <f>Table1[[#This Row],[Revenue]]-Table1[[#This Row],[Operating_Costs]]</f>
        <v>372279</v>
      </c>
      <c r="T1589">
        <v>564363</v>
      </c>
      <c r="U1589">
        <v>59</v>
      </c>
      <c r="V1589">
        <v>58</v>
      </c>
      <c r="W1589">
        <v>8.1999999999999993</v>
      </c>
    </row>
    <row r="1590" spans="1:23" x14ac:dyDescent="0.25">
      <c r="A1590">
        <v>4</v>
      </c>
      <c r="B1590" t="s">
        <v>69</v>
      </c>
      <c r="C1590" s="1">
        <v>44964</v>
      </c>
      <c r="D1590" t="s">
        <v>71</v>
      </c>
      <c r="E1590">
        <v>0</v>
      </c>
      <c r="F1590">
        <v>72</v>
      </c>
      <c r="G1590" t="str">
        <f t="shared" si="32"/>
        <v>61-80</v>
      </c>
      <c r="H1590" t="s">
        <v>23</v>
      </c>
      <c r="I1590" t="s">
        <v>24</v>
      </c>
      <c r="J1590" t="s">
        <v>25</v>
      </c>
      <c r="K1590" t="s">
        <v>29</v>
      </c>
      <c r="L1590">
        <v>1</v>
      </c>
      <c r="M1590">
        <v>1</v>
      </c>
      <c r="N1590">
        <v>3.7</v>
      </c>
      <c r="O1590">
        <v>9.6</v>
      </c>
      <c r="P1590">
        <v>3</v>
      </c>
      <c r="Q1590">
        <v>5</v>
      </c>
      <c r="R1590">
        <v>992840</v>
      </c>
      <c r="S1590">
        <f>Table1[[#This Row],[Revenue]]-Table1[[#This Row],[Operating_Costs]]</f>
        <v>385461</v>
      </c>
      <c r="T1590">
        <v>607379</v>
      </c>
      <c r="U1590">
        <v>39</v>
      </c>
      <c r="V1590">
        <v>63</v>
      </c>
      <c r="W1590">
        <v>6.5</v>
      </c>
    </row>
    <row r="1591" spans="1:23" x14ac:dyDescent="0.25">
      <c r="A1591">
        <v>4</v>
      </c>
      <c r="B1591" t="s">
        <v>69</v>
      </c>
      <c r="C1591" s="1">
        <v>44664</v>
      </c>
      <c r="D1591" t="s">
        <v>71</v>
      </c>
      <c r="E1591">
        <v>0</v>
      </c>
      <c r="F1591">
        <v>44</v>
      </c>
      <c r="G1591" t="str">
        <f t="shared" si="32"/>
        <v>41-60</v>
      </c>
      <c r="H1591" t="s">
        <v>23</v>
      </c>
      <c r="I1591" t="s">
        <v>43</v>
      </c>
      <c r="J1591" t="s">
        <v>25</v>
      </c>
      <c r="K1591" t="s">
        <v>29</v>
      </c>
      <c r="L1591">
        <v>1</v>
      </c>
      <c r="M1591">
        <v>1</v>
      </c>
      <c r="N1591">
        <v>6.1</v>
      </c>
      <c r="O1591">
        <v>7.2</v>
      </c>
      <c r="P1591">
        <v>6</v>
      </c>
      <c r="Q1591">
        <v>6</v>
      </c>
      <c r="R1591">
        <v>846969</v>
      </c>
      <c r="S1591">
        <f>Table1[[#This Row],[Revenue]]-Table1[[#This Row],[Operating_Costs]]</f>
        <v>309794</v>
      </c>
      <c r="T1591">
        <v>537175</v>
      </c>
      <c r="U1591">
        <v>33</v>
      </c>
      <c r="V1591">
        <v>56</v>
      </c>
      <c r="W1591">
        <v>36</v>
      </c>
    </row>
    <row r="1592" spans="1:23" x14ac:dyDescent="0.25">
      <c r="A1592">
        <v>4</v>
      </c>
      <c r="B1592" t="s">
        <v>69</v>
      </c>
      <c r="C1592" s="1">
        <v>44727</v>
      </c>
      <c r="D1592" t="s">
        <v>71</v>
      </c>
      <c r="E1592">
        <v>0</v>
      </c>
      <c r="F1592">
        <v>43</v>
      </c>
      <c r="G1592" t="str">
        <f t="shared" si="32"/>
        <v>41-60</v>
      </c>
      <c r="H1592" t="s">
        <v>23</v>
      </c>
      <c r="I1592" t="s">
        <v>50</v>
      </c>
      <c r="J1592" t="s">
        <v>51</v>
      </c>
      <c r="K1592" t="s">
        <v>38</v>
      </c>
      <c r="L1592">
        <v>1</v>
      </c>
      <c r="M1592">
        <v>1</v>
      </c>
      <c r="N1592">
        <v>6.8</v>
      </c>
      <c r="O1592">
        <v>9.6999999999999993</v>
      </c>
      <c r="P1592">
        <v>5</v>
      </c>
      <c r="Q1592">
        <v>7</v>
      </c>
      <c r="R1592">
        <v>825540</v>
      </c>
      <c r="S1592">
        <f>Table1[[#This Row],[Revenue]]-Table1[[#This Row],[Operating_Costs]]</f>
        <v>125957</v>
      </c>
      <c r="T1592">
        <v>699583</v>
      </c>
      <c r="U1592">
        <v>43</v>
      </c>
      <c r="V1592">
        <v>65</v>
      </c>
      <c r="W1592">
        <v>12.8</v>
      </c>
    </row>
    <row r="1593" spans="1:23" x14ac:dyDescent="0.25">
      <c r="A1593">
        <v>4</v>
      </c>
      <c r="B1593" t="s">
        <v>69</v>
      </c>
      <c r="C1593" s="1">
        <v>45565</v>
      </c>
      <c r="D1593" t="s">
        <v>71</v>
      </c>
      <c r="E1593">
        <v>0</v>
      </c>
      <c r="F1593">
        <v>51</v>
      </c>
      <c r="G1593" t="str">
        <f t="shared" si="32"/>
        <v>41-60</v>
      </c>
      <c r="H1593" t="s">
        <v>23</v>
      </c>
      <c r="I1593" t="s">
        <v>40</v>
      </c>
      <c r="J1593" t="s">
        <v>41</v>
      </c>
      <c r="K1593" t="s">
        <v>33</v>
      </c>
      <c r="L1593">
        <v>1</v>
      </c>
      <c r="M1593">
        <v>1</v>
      </c>
      <c r="N1593">
        <v>4.7</v>
      </c>
      <c r="O1593">
        <v>8.4</v>
      </c>
      <c r="P1593">
        <v>6</v>
      </c>
      <c r="Q1593">
        <v>5</v>
      </c>
      <c r="R1593">
        <v>999243</v>
      </c>
      <c r="S1593">
        <f>Table1[[#This Row],[Revenue]]-Table1[[#This Row],[Operating_Costs]]</f>
        <v>299562</v>
      </c>
      <c r="T1593">
        <v>699681</v>
      </c>
      <c r="U1593">
        <v>34</v>
      </c>
      <c r="V1593">
        <v>65</v>
      </c>
      <c r="W1593">
        <v>15</v>
      </c>
    </row>
    <row r="1594" spans="1:23" x14ac:dyDescent="0.25">
      <c r="A1594">
        <v>4</v>
      </c>
      <c r="B1594" t="s">
        <v>69</v>
      </c>
      <c r="C1594" s="1">
        <v>44744</v>
      </c>
      <c r="D1594" t="s">
        <v>71</v>
      </c>
      <c r="E1594">
        <v>0</v>
      </c>
      <c r="F1594">
        <v>30</v>
      </c>
      <c r="G1594" t="str">
        <f t="shared" si="32"/>
        <v>21-40</v>
      </c>
      <c r="H1594" t="s">
        <v>35</v>
      </c>
      <c r="I1594" t="s">
        <v>36</v>
      </c>
      <c r="J1594" t="s">
        <v>37</v>
      </c>
      <c r="K1594" t="s">
        <v>29</v>
      </c>
      <c r="L1594">
        <v>1</v>
      </c>
      <c r="M1594">
        <v>1</v>
      </c>
      <c r="N1594">
        <v>1.7</v>
      </c>
      <c r="O1594">
        <v>8.5</v>
      </c>
      <c r="P1594">
        <v>7</v>
      </c>
      <c r="Q1594">
        <v>3</v>
      </c>
      <c r="R1594">
        <v>857309</v>
      </c>
      <c r="S1594">
        <f>Table1[[#This Row],[Revenue]]-Table1[[#This Row],[Operating_Costs]]</f>
        <v>186472</v>
      </c>
      <c r="T1594">
        <v>670837</v>
      </c>
      <c r="U1594">
        <v>55</v>
      </c>
      <c r="V1594">
        <v>57</v>
      </c>
      <c r="W1594">
        <v>8.3000000000000007</v>
      </c>
    </row>
    <row r="1595" spans="1:23" x14ac:dyDescent="0.25">
      <c r="A1595">
        <v>4</v>
      </c>
      <c r="B1595" t="s">
        <v>69</v>
      </c>
      <c r="C1595" s="1">
        <v>45255</v>
      </c>
      <c r="D1595" t="s">
        <v>71</v>
      </c>
      <c r="E1595">
        <v>0</v>
      </c>
      <c r="F1595">
        <v>43</v>
      </c>
      <c r="G1595" t="str">
        <f t="shared" si="32"/>
        <v>41-60</v>
      </c>
      <c r="H1595" t="s">
        <v>23</v>
      </c>
      <c r="I1595" t="s">
        <v>43</v>
      </c>
      <c r="J1595" t="s">
        <v>25</v>
      </c>
      <c r="K1595" t="s">
        <v>38</v>
      </c>
      <c r="L1595">
        <v>1</v>
      </c>
      <c r="M1595">
        <v>1</v>
      </c>
      <c r="N1595">
        <v>2.2000000000000002</v>
      </c>
      <c r="O1595">
        <v>8.3000000000000007</v>
      </c>
      <c r="P1595">
        <v>3</v>
      </c>
      <c r="Q1595">
        <v>3</v>
      </c>
      <c r="R1595">
        <v>879675</v>
      </c>
      <c r="S1595">
        <f>Table1[[#This Row],[Revenue]]-Table1[[#This Row],[Operating_Costs]]</f>
        <v>265957</v>
      </c>
      <c r="T1595">
        <v>613718</v>
      </c>
      <c r="U1595">
        <v>48</v>
      </c>
      <c r="V1595">
        <v>56</v>
      </c>
      <c r="W1595">
        <v>12.1</v>
      </c>
    </row>
    <row r="1596" spans="1:23" x14ac:dyDescent="0.25">
      <c r="A1596">
        <v>4</v>
      </c>
      <c r="B1596" t="s">
        <v>69</v>
      </c>
      <c r="C1596" s="1">
        <v>45220</v>
      </c>
      <c r="D1596" t="s">
        <v>71</v>
      </c>
      <c r="E1596">
        <v>0</v>
      </c>
      <c r="F1596">
        <v>29</v>
      </c>
      <c r="G1596" t="str">
        <f t="shared" si="32"/>
        <v>21-40</v>
      </c>
      <c r="H1596" t="s">
        <v>23</v>
      </c>
      <c r="I1596" t="s">
        <v>24</v>
      </c>
      <c r="J1596" t="s">
        <v>25</v>
      </c>
      <c r="K1596" t="s">
        <v>42</v>
      </c>
      <c r="L1596">
        <v>1</v>
      </c>
      <c r="M1596">
        <v>1</v>
      </c>
      <c r="N1596">
        <v>3.7</v>
      </c>
      <c r="O1596">
        <v>8.1999999999999993</v>
      </c>
      <c r="P1596">
        <v>6</v>
      </c>
      <c r="Q1596">
        <v>6</v>
      </c>
      <c r="R1596">
        <v>913284</v>
      </c>
      <c r="S1596">
        <f>Table1[[#This Row],[Revenue]]-Table1[[#This Row],[Operating_Costs]]</f>
        <v>400588</v>
      </c>
      <c r="T1596">
        <v>512696</v>
      </c>
      <c r="U1596">
        <v>57</v>
      </c>
      <c r="V1596">
        <v>55</v>
      </c>
      <c r="W1596">
        <v>10.5</v>
      </c>
    </row>
    <row r="1597" spans="1:23" x14ac:dyDescent="0.25">
      <c r="A1597">
        <v>4</v>
      </c>
      <c r="B1597" t="s">
        <v>69</v>
      </c>
      <c r="C1597" s="1">
        <v>45387</v>
      </c>
      <c r="D1597" t="s">
        <v>71</v>
      </c>
      <c r="E1597">
        <v>0</v>
      </c>
      <c r="F1597">
        <v>44</v>
      </c>
      <c r="G1597" t="str">
        <f t="shared" si="32"/>
        <v>41-60</v>
      </c>
      <c r="H1597" t="s">
        <v>23</v>
      </c>
      <c r="I1597" t="s">
        <v>31</v>
      </c>
      <c r="J1597" t="s">
        <v>28</v>
      </c>
      <c r="K1597" t="s">
        <v>38</v>
      </c>
      <c r="L1597">
        <v>1</v>
      </c>
      <c r="M1597">
        <v>1</v>
      </c>
      <c r="N1597">
        <v>4</v>
      </c>
      <c r="O1597">
        <v>7.2</v>
      </c>
      <c r="P1597">
        <v>7</v>
      </c>
      <c r="Q1597">
        <v>5</v>
      </c>
      <c r="R1597">
        <v>817306</v>
      </c>
      <c r="S1597">
        <f>Table1[[#This Row],[Revenue]]-Table1[[#This Row],[Operating_Costs]]</f>
        <v>227203</v>
      </c>
      <c r="T1597">
        <v>590103</v>
      </c>
      <c r="U1597">
        <v>32</v>
      </c>
      <c r="V1597">
        <v>62</v>
      </c>
      <c r="W1597">
        <v>36.4</v>
      </c>
    </row>
    <row r="1598" spans="1:23" x14ac:dyDescent="0.25">
      <c r="A1598">
        <v>4</v>
      </c>
      <c r="B1598" t="s">
        <v>69</v>
      </c>
      <c r="C1598" s="1">
        <v>44351</v>
      </c>
      <c r="D1598" t="s">
        <v>71</v>
      </c>
      <c r="E1598">
        <v>0</v>
      </c>
      <c r="F1598">
        <v>43</v>
      </c>
      <c r="G1598" t="str">
        <f t="shared" si="32"/>
        <v>41-60</v>
      </c>
      <c r="H1598" t="s">
        <v>35</v>
      </c>
      <c r="I1598" t="s">
        <v>58</v>
      </c>
      <c r="J1598" t="s">
        <v>59</v>
      </c>
      <c r="K1598" t="s">
        <v>29</v>
      </c>
      <c r="L1598">
        <v>1</v>
      </c>
      <c r="M1598">
        <v>1</v>
      </c>
      <c r="N1598">
        <v>4.4000000000000004</v>
      </c>
      <c r="O1598">
        <v>9.3000000000000007</v>
      </c>
      <c r="P1598">
        <v>5</v>
      </c>
      <c r="Q1598">
        <v>5</v>
      </c>
      <c r="R1598">
        <v>831827</v>
      </c>
      <c r="S1598">
        <f>Table1[[#This Row],[Revenue]]-Table1[[#This Row],[Operating_Costs]]</f>
        <v>142751</v>
      </c>
      <c r="T1598">
        <v>689076</v>
      </c>
      <c r="U1598">
        <v>41</v>
      </c>
      <c r="V1598">
        <v>66</v>
      </c>
      <c r="W1598">
        <v>14.1</v>
      </c>
    </row>
    <row r="1599" spans="1:23" x14ac:dyDescent="0.25">
      <c r="A1599">
        <v>5</v>
      </c>
      <c r="B1599" t="s">
        <v>22</v>
      </c>
      <c r="C1599" s="1">
        <v>44597</v>
      </c>
      <c r="D1599" t="s">
        <v>71</v>
      </c>
      <c r="E1599">
        <v>0</v>
      </c>
      <c r="F1599">
        <v>61</v>
      </c>
      <c r="G1599" t="str">
        <f t="shared" si="32"/>
        <v>61-80</v>
      </c>
      <c r="H1599" t="s">
        <v>23</v>
      </c>
      <c r="I1599" t="s">
        <v>46</v>
      </c>
      <c r="J1599" t="s">
        <v>47</v>
      </c>
      <c r="K1599" t="s">
        <v>42</v>
      </c>
      <c r="L1599">
        <v>1</v>
      </c>
      <c r="M1599">
        <v>1</v>
      </c>
      <c r="N1599">
        <v>1.9</v>
      </c>
      <c r="O1599">
        <v>9.6999999999999993</v>
      </c>
      <c r="P1599">
        <v>7</v>
      </c>
      <c r="Q1599">
        <v>7</v>
      </c>
      <c r="R1599">
        <v>757807</v>
      </c>
      <c r="S1599">
        <f>Table1[[#This Row],[Revenue]]-Table1[[#This Row],[Operating_Costs]]</f>
        <v>366710</v>
      </c>
      <c r="T1599">
        <v>391097</v>
      </c>
      <c r="U1599">
        <v>40</v>
      </c>
      <c r="V1599">
        <v>66</v>
      </c>
      <c r="W1599">
        <v>6.7</v>
      </c>
    </row>
    <row r="1600" spans="1:23" x14ac:dyDescent="0.25">
      <c r="A1600">
        <v>4</v>
      </c>
      <c r="B1600" t="s">
        <v>69</v>
      </c>
      <c r="C1600" s="1">
        <v>44823</v>
      </c>
      <c r="D1600" t="s">
        <v>71</v>
      </c>
      <c r="E1600">
        <v>0</v>
      </c>
      <c r="F1600">
        <v>46</v>
      </c>
      <c r="G1600" t="str">
        <f t="shared" si="32"/>
        <v>41-60</v>
      </c>
      <c r="H1600" t="s">
        <v>35</v>
      </c>
      <c r="I1600" t="s">
        <v>64</v>
      </c>
      <c r="J1600" t="s">
        <v>65</v>
      </c>
      <c r="K1600" t="s">
        <v>38</v>
      </c>
      <c r="L1600">
        <v>1</v>
      </c>
      <c r="M1600">
        <v>1</v>
      </c>
      <c r="N1600">
        <v>1.6</v>
      </c>
      <c r="O1600">
        <v>8.1</v>
      </c>
      <c r="P1600">
        <v>5</v>
      </c>
      <c r="Q1600">
        <v>6</v>
      </c>
      <c r="R1600">
        <v>965258</v>
      </c>
      <c r="S1600">
        <f>Table1[[#This Row],[Revenue]]-Table1[[#This Row],[Operating_Costs]]</f>
        <v>268019</v>
      </c>
      <c r="T1600">
        <v>697239</v>
      </c>
      <c r="U1600">
        <v>45</v>
      </c>
      <c r="V1600">
        <v>62</v>
      </c>
      <c r="W1600">
        <v>7.5</v>
      </c>
    </row>
    <row r="1601" spans="1:23" x14ac:dyDescent="0.25">
      <c r="A1601">
        <v>4</v>
      </c>
      <c r="B1601" t="s">
        <v>69</v>
      </c>
      <c r="C1601" s="1">
        <v>45224</v>
      </c>
      <c r="D1601" t="s">
        <v>71</v>
      </c>
      <c r="E1601">
        <v>0</v>
      </c>
      <c r="F1601">
        <v>37</v>
      </c>
      <c r="G1601" t="str">
        <f t="shared" si="32"/>
        <v>21-40</v>
      </c>
      <c r="H1601" t="s">
        <v>23</v>
      </c>
      <c r="I1601" t="s">
        <v>24</v>
      </c>
      <c r="J1601" t="s">
        <v>25</v>
      </c>
      <c r="K1601" t="s">
        <v>38</v>
      </c>
      <c r="L1601">
        <v>1</v>
      </c>
      <c r="M1601">
        <v>1</v>
      </c>
      <c r="N1601">
        <v>2.4</v>
      </c>
      <c r="O1601">
        <v>8.8000000000000007</v>
      </c>
      <c r="P1601">
        <v>7</v>
      </c>
      <c r="Q1601">
        <v>7</v>
      </c>
      <c r="R1601">
        <v>902635</v>
      </c>
      <c r="S1601">
        <f>Table1[[#This Row],[Revenue]]-Table1[[#This Row],[Operating_Costs]]</f>
        <v>359056</v>
      </c>
      <c r="T1601">
        <v>543579</v>
      </c>
      <c r="U1601">
        <v>43</v>
      </c>
      <c r="V1601">
        <v>63</v>
      </c>
      <c r="W1601">
        <v>6.5</v>
      </c>
    </row>
    <row r="1602" spans="1:23" x14ac:dyDescent="0.25">
      <c r="A1602">
        <v>4</v>
      </c>
      <c r="B1602" t="s">
        <v>69</v>
      </c>
      <c r="C1602" s="1">
        <v>44894</v>
      </c>
      <c r="D1602" t="s">
        <v>71</v>
      </c>
      <c r="E1602">
        <v>0</v>
      </c>
      <c r="F1602">
        <v>49</v>
      </c>
      <c r="G1602" t="str">
        <f t="shared" si="32"/>
        <v>41-60</v>
      </c>
      <c r="H1602" t="s">
        <v>23</v>
      </c>
      <c r="I1602" t="s">
        <v>24</v>
      </c>
      <c r="J1602" t="s">
        <v>25</v>
      </c>
      <c r="K1602" t="s">
        <v>29</v>
      </c>
      <c r="L1602">
        <v>1</v>
      </c>
      <c r="M1602">
        <v>1</v>
      </c>
      <c r="N1602">
        <v>6.6</v>
      </c>
      <c r="O1602">
        <v>9.5</v>
      </c>
      <c r="P1602">
        <v>7</v>
      </c>
      <c r="Q1602">
        <v>3</v>
      </c>
      <c r="R1602">
        <v>923690</v>
      </c>
      <c r="S1602">
        <f>Table1[[#This Row],[Revenue]]-Table1[[#This Row],[Operating_Costs]]</f>
        <v>278888</v>
      </c>
      <c r="T1602">
        <v>644802</v>
      </c>
      <c r="U1602">
        <v>34</v>
      </c>
      <c r="V1602">
        <v>62</v>
      </c>
      <c r="W1602">
        <v>13.5</v>
      </c>
    </row>
    <row r="1603" spans="1:23" x14ac:dyDescent="0.25">
      <c r="A1603">
        <v>4</v>
      </c>
      <c r="B1603" t="s">
        <v>69</v>
      </c>
      <c r="C1603" s="1">
        <v>44883</v>
      </c>
      <c r="D1603" t="s">
        <v>71</v>
      </c>
      <c r="E1603">
        <v>0</v>
      </c>
      <c r="F1603">
        <v>84</v>
      </c>
      <c r="G1603" t="str">
        <f t="shared" ref="G1603:G1666" si="33">IF(F1603&lt;=20,"0-20",IF(F1603&lt;=40,"21-40",IF(F1603&lt;=60,"41-60",IF(F1603&lt;=80,"61-80","81+"))))</f>
        <v>81+</v>
      </c>
      <c r="H1603" t="s">
        <v>23</v>
      </c>
      <c r="I1603" t="s">
        <v>24</v>
      </c>
      <c r="J1603" t="s">
        <v>25</v>
      </c>
      <c r="K1603" t="s">
        <v>33</v>
      </c>
      <c r="L1603">
        <v>1</v>
      </c>
      <c r="M1603">
        <v>1</v>
      </c>
      <c r="N1603">
        <v>3.2</v>
      </c>
      <c r="O1603">
        <v>10</v>
      </c>
      <c r="P1603">
        <v>4</v>
      </c>
      <c r="Q1603">
        <v>6</v>
      </c>
      <c r="R1603">
        <v>877204</v>
      </c>
      <c r="S1603">
        <f>Table1[[#This Row],[Revenue]]-Table1[[#This Row],[Operating_Costs]]</f>
        <v>352132</v>
      </c>
      <c r="T1603">
        <v>525072</v>
      </c>
      <c r="U1603">
        <v>46</v>
      </c>
      <c r="V1603">
        <v>60</v>
      </c>
      <c r="W1603">
        <v>7.8</v>
      </c>
    </row>
    <row r="1604" spans="1:23" x14ac:dyDescent="0.25">
      <c r="A1604">
        <v>4</v>
      </c>
      <c r="B1604" t="s">
        <v>69</v>
      </c>
      <c r="C1604" s="1">
        <v>45317</v>
      </c>
      <c r="D1604" t="s">
        <v>71</v>
      </c>
      <c r="E1604">
        <v>0</v>
      </c>
      <c r="F1604">
        <v>67</v>
      </c>
      <c r="G1604" t="str">
        <f t="shared" si="33"/>
        <v>61-80</v>
      </c>
      <c r="H1604" t="s">
        <v>23</v>
      </c>
      <c r="I1604" t="s">
        <v>24</v>
      </c>
      <c r="J1604" t="s">
        <v>25</v>
      </c>
      <c r="K1604" t="s">
        <v>26</v>
      </c>
      <c r="L1604">
        <v>1</v>
      </c>
      <c r="M1604">
        <v>1</v>
      </c>
      <c r="N1604">
        <v>2.2000000000000002</v>
      </c>
      <c r="O1604">
        <v>9.1999999999999993</v>
      </c>
      <c r="P1604">
        <v>6</v>
      </c>
      <c r="Q1604">
        <v>7</v>
      </c>
      <c r="R1604">
        <v>981063</v>
      </c>
      <c r="S1604">
        <f>Table1[[#This Row],[Revenue]]-Table1[[#This Row],[Operating_Costs]]</f>
        <v>421516</v>
      </c>
      <c r="T1604">
        <v>559547</v>
      </c>
      <c r="U1604">
        <v>59</v>
      </c>
      <c r="V1604">
        <v>57</v>
      </c>
      <c r="W1604">
        <v>14.8</v>
      </c>
    </row>
    <row r="1605" spans="1:23" x14ac:dyDescent="0.25">
      <c r="A1605">
        <v>4</v>
      </c>
      <c r="B1605" t="s">
        <v>69</v>
      </c>
      <c r="C1605" s="1">
        <v>44503</v>
      </c>
      <c r="D1605" t="s">
        <v>71</v>
      </c>
      <c r="E1605">
        <v>0</v>
      </c>
      <c r="F1605">
        <v>35</v>
      </c>
      <c r="G1605" t="str">
        <f t="shared" si="33"/>
        <v>21-40</v>
      </c>
      <c r="H1605" t="s">
        <v>23</v>
      </c>
      <c r="I1605" t="s">
        <v>24</v>
      </c>
      <c r="J1605" t="s">
        <v>25</v>
      </c>
      <c r="K1605" t="s">
        <v>29</v>
      </c>
      <c r="L1605">
        <v>1</v>
      </c>
      <c r="M1605">
        <v>1</v>
      </c>
      <c r="N1605">
        <v>3.7</v>
      </c>
      <c r="O1605">
        <v>8.3000000000000007</v>
      </c>
      <c r="P1605">
        <v>4</v>
      </c>
      <c r="Q1605">
        <v>6</v>
      </c>
      <c r="R1605">
        <v>943401</v>
      </c>
      <c r="S1605">
        <f>Table1[[#This Row],[Revenue]]-Table1[[#This Row],[Operating_Costs]]</f>
        <v>270393</v>
      </c>
      <c r="T1605">
        <v>673008</v>
      </c>
      <c r="U1605">
        <v>60</v>
      </c>
      <c r="V1605">
        <v>66</v>
      </c>
      <c r="W1605">
        <v>14.3</v>
      </c>
    </row>
    <row r="1606" spans="1:23" x14ac:dyDescent="0.25">
      <c r="A1606">
        <v>5</v>
      </c>
      <c r="B1606" t="s">
        <v>22</v>
      </c>
      <c r="C1606" s="1">
        <v>45461</v>
      </c>
      <c r="D1606" t="s">
        <v>71</v>
      </c>
      <c r="E1606">
        <v>0</v>
      </c>
      <c r="F1606">
        <v>40</v>
      </c>
      <c r="G1606" t="str">
        <f t="shared" si="33"/>
        <v>21-40</v>
      </c>
      <c r="H1606" t="s">
        <v>35</v>
      </c>
      <c r="I1606" t="s">
        <v>36</v>
      </c>
      <c r="J1606" t="s">
        <v>37</v>
      </c>
      <c r="K1606" t="s">
        <v>38</v>
      </c>
      <c r="L1606">
        <v>1</v>
      </c>
      <c r="M1606">
        <v>1</v>
      </c>
      <c r="N1606">
        <v>3.4</v>
      </c>
      <c r="O1606">
        <v>7.1</v>
      </c>
      <c r="P1606">
        <v>6</v>
      </c>
      <c r="Q1606">
        <v>5</v>
      </c>
      <c r="R1606">
        <v>876920</v>
      </c>
      <c r="S1606">
        <f>Table1[[#This Row],[Revenue]]-Table1[[#This Row],[Operating_Costs]]</f>
        <v>549927</v>
      </c>
      <c r="T1606">
        <v>326993</v>
      </c>
      <c r="U1606">
        <v>37</v>
      </c>
      <c r="V1606">
        <v>55</v>
      </c>
      <c r="W1606">
        <v>8.3000000000000007</v>
      </c>
    </row>
    <row r="1607" spans="1:23" x14ac:dyDescent="0.25">
      <c r="A1607">
        <v>5</v>
      </c>
      <c r="B1607" t="s">
        <v>22</v>
      </c>
      <c r="C1607" s="1">
        <v>45436</v>
      </c>
      <c r="D1607" t="s">
        <v>71</v>
      </c>
      <c r="E1607">
        <v>0</v>
      </c>
      <c r="F1607">
        <v>37</v>
      </c>
      <c r="G1607" t="str">
        <f t="shared" si="33"/>
        <v>21-40</v>
      </c>
      <c r="H1607" t="s">
        <v>35</v>
      </c>
      <c r="I1607" t="s">
        <v>40</v>
      </c>
      <c r="J1607" t="s">
        <v>41</v>
      </c>
      <c r="K1607" t="s">
        <v>38</v>
      </c>
      <c r="L1607">
        <v>1</v>
      </c>
      <c r="M1607">
        <v>1</v>
      </c>
      <c r="N1607">
        <v>3.2</v>
      </c>
      <c r="O1607">
        <v>7.8</v>
      </c>
      <c r="P1607">
        <v>3</v>
      </c>
      <c r="Q1607">
        <v>4</v>
      </c>
      <c r="R1607">
        <v>635012</v>
      </c>
      <c r="S1607">
        <f>Table1[[#This Row],[Revenue]]-Table1[[#This Row],[Operating_Costs]]</f>
        <v>235010</v>
      </c>
      <c r="T1607">
        <v>400002</v>
      </c>
      <c r="U1607">
        <v>35</v>
      </c>
      <c r="V1607">
        <v>61</v>
      </c>
      <c r="W1607">
        <v>36.5</v>
      </c>
    </row>
    <row r="1608" spans="1:23" x14ac:dyDescent="0.25">
      <c r="A1608">
        <v>4</v>
      </c>
      <c r="B1608" t="s">
        <v>69</v>
      </c>
      <c r="C1608" s="1">
        <v>45064</v>
      </c>
      <c r="D1608" t="s">
        <v>71</v>
      </c>
      <c r="E1608">
        <v>0</v>
      </c>
      <c r="F1608">
        <v>84</v>
      </c>
      <c r="G1608" t="str">
        <f t="shared" si="33"/>
        <v>81+</v>
      </c>
      <c r="H1608" t="s">
        <v>23</v>
      </c>
      <c r="I1608" t="s">
        <v>50</v>
      </c>
      <c r="J1608" t="s">
        <v>51</v>
      </c>
      <c r="K1608" t="s">
        <v>33</v>
      </c>
      <c r="L1608">
        <v>1</v>
      </c>
      <c r="M1608">
        <v>1</v>
      </c>
      <c r="N1608">
        <v>1.8</v>
      </c>
      <c r="O1608">
        <v>7.4</v>
      </c>
      <c r="P1608">
        <v>3</v>
      </c>
      <c r="Q1608">
        <v>5</v>
      </c>
      <c r="R1608">
        <v>921020</v>
      </c>
      <c r="S1608">
        <f>Table1[[#This Row],[Revenue]]-Table1[[#This Row],[Operating_Costs]]</f>
        <v>222193</v>
      </c>
      <c r="T1608">
        <v>698827</v>
      </c>
      <c r="U1608">
        <v>47</v>
      </c>
      <c r="V1608">
        <v>62</v>
      </c>
      <c r="W1608">
        <v>12.7</v>
      </c>
    </row>
    <row r="1609" spans="1:23" x14ac:dyDescent="0.25">
      <c r="A1609">
        <v>5</v>
      </c>
      <c r="B1609" t="s">
        <v>22</v>
      </c>
      <c r="C1609" s="1">
        <v>44382</v>
      </c>
      <c r="D1609" t="s">
        <v>71</v>
      </c>
      <c r="E1609">
        <v>0</v>
      </c>
      <c r="F1609">
        <v>44</v>
      </c>
      <c r="G1609" t="str">
        <f t="shared" si="33"/>
        <v>41-60</v>
      </c>
      <c r="H1609" t="s">
        <v>35</v>
      </c>
      <c r="I1609" t="s">
        <v>64</v>
      </c>
      <c r="J1609" t="s">
        <v>65</v>
      </c>
      <c r="K1609" t="s">
        <v>33</v>
      </c>
      <c r="L1609">
        <v>1</v>
      </c>
      <c r="M1609">
        <v>1</v>
      </c>
      <c r="N1609">
        <v>5.8</v>
      </c>
      <c r="O1609">
        <v>7.4</v>
      </c>
      <c r="P1609">
        <v>7</v>
      </c>
      <c r="Q1609">
        <v>6</v>
      </c>
      <c r="R1609">
        <v>741701</v>
      </c>
      <c r="S1609">
        <f>Table1[[#This Row],[Revenue]]-Table1[[#This Row],[Operating_Costs]]</f>
        <v>459272</v>
      </c>
      <c r="T1609">
        <v>282429</v>
      </c>
      <c r="U1609">
        <v>30</v>
      </c>
      <c r="V1609">
        <v>62</v>
      </c>
      <c r="W1609">
        <v>36.1</v>
      </c>
    </row>
    <row r="1610" spans="1:23" x14ac:dyDescent="0.25">
      <c r="A1610">
        <v>5</v>
      </c>
      <c r="B1610" t="s">
        <v>22</v>
      </c>
      <c r="C1610" s="1">
        <v>45060</v>
      </c>
      <c r="D1610" t="s">
        <v>71</v>
      </c>
      <c r="E1610">
        <v>0</v>
      </c>
      <c r="F1610">
        <v>37</v>
      </c>
      <c r="G1610" t="str">
        <f t="shared" si="33"/>
        <v>21-40</v>
      </c>
      <c r="H1610" t="s">
        <v>23</v>
      </c>
      <c r="I1610" t="s">
        <v>46</v>
      </c>
      <c r="J1610" t="s">
        <v>47</v>
      </c>
      <c r="K1610" t="s">
        <v>42</v>
      </c>
      <c r="L1610">
        <v>1</v>
      </c>
      <c r="M1610">
        <v>1</v>
      </c>
      <c r="N1610">
        <v>1.8</v>
      </c>
      <c r="O1610">
        <v>7.8</v>
      </c>
      <c r="P1610">
        <v>3</v>
      </c>
      <c r="Q1610">
        <v>7</v>
      </c>
      <c r="R1610">
        <v>763279</v>
      </c>
      <c r="S1610">
        <f>Table1[[#This Row],[Revenue]]-Table1[[#This Row],[Operating_Costs]]</f>
        <v>510941</v>
      </c>
      <c r="T1610">
        <v>252338</v>
      </c>
      <c r="U1610">
        <v>21</v>
      </c>
      <c r="V1610">
        <v>58</v>
      </c>
      <c r="W1610">
        <v>6.8</v>
      </c>
    </row>
    <row r="1611" spans="1:23" x14ac:dyDescent="0.25">
      <c r="A1611">
        <v>5</v>
      </c>
      <c r="B1611" t="s">
        <v>22</v>
      </c>
      <c r="C1611" s="1">
        <v>45586</v>
      </c>
      <c r="D1611" t="s">
        <v>71</v>
      </c>
      <c r="E1611">
        <v>0</v>
      </c>
      <c r="F1611">
        <v>40</v>
      </c>
      <c r="G1611" t="str">
        <f t="shared" si="33"/>
        <v>21-40</v>
      </c>
      <c r="H1611" t="s">
        <v>35</v>
      </c>
      <c r="I1611" t="s">
        <v>27</v>
      </c>
      <c r="J1611" t="s">
        <v>28</v>
      </c>
      <c r="K1611" t="s">
        <v>38</v>
      </c>
      <c r="L1611">
        <v>1</v>
      </c>
      <c r="M1611">
        <v>1</v>
      </c>
      <c r="N1611">
        <v>4.5</v>
      </c>
      <c r="O1611">
        <v>9.8000000000000007</v>
      </c>
      <c r="P1611">
        <v>7</v>
      </c>
      <c r="Q1611">
        <v>4</v>
      </c>
      <c r="R1611">
        <v>628167</v>
      </c>
      <c r="S1611">
        <f>Table1[[#This Row],[Revenue]]-Table1[[#This Row],[Operating_Costs]]</f>
        <v>207868</v>
      </c>
      <c r="T1611">
        <v>420299</v>
      </c>
      <c r="U1611">
        <v>31</v>
      </c>
      <c r="V1611">
        <v>56</v>
      </c>
      <c r="W1611">
        <v>14</v>
      </c>
    </row>
    <row r="1612" spans="1:23" x14ac:dyDescent="0.25">
      <c r="A1612">
        <v>5</v>
      </c>
      <c r="B1612" t="s">
        <v>22</v>
      </c>
      <c r="C1612" s="1">
        <v>45014</v>
      </c>
      <c r="D1612" t="s">
        <v>71</v>
      </c>
      <c r="E1612">
        <v>0</v>
      </c>
      <c r="F1612">
        <v>72</v>
      </c>
      <c r="G1612" t="str">
        <f t="shared" si="33"/>
        <v>61-80</v>
      </c>
      <c r="H1612" t="s">
        <v>35</v>
      </c>
      <c r="I1612" t="s">
        <v>36</v>
      </c>
      <c r="J1612" t="s">
        <v>37</v>
      </c>
      <c r="K1612" t="s">
        <v>33</v>
      </c>
      <c r="L1612">
        <v>1</v>
      </c>
      <c r="M1612">
        <v>1</v>
      </c>
      <c r="N1612">
        <v>1.7</v>
      </c>
      <c r="O1612">
        <v>9</v>
      </c>
      <c r="P1612">
        <v>4</v>
      </c>
      <c r="Q1612">
        <v>6</v>
      </c>
      <c r="R1612">
        <v>923445</v>
      </c>
      <c r="S1612">
        <f>Table1[[#This Row],[Revenue]]-Table1[[#This Row],[Operating_Costs]]</f>
        <v>567004</v>
      </c>
      <c r="T1612">
        <v>356441</v>
      </c>
      <c r="U1612">
        <v>30</v>
      </c>
      <c r="V1612">
        <v>61</v>
      </c>
      <c r="W1612">
        <v>10.7</v>
      </c>
    </row>
    <row r="1613" spans="1:23" x14ac:dyDescent="0.25">
      <c r="A1613">
        <v>5</v>
      </c>
      <c r="B1613" t="s">
        <v>22</v>
      </c>
      <c r="C1613" s="1">
        <v>45220</v>
      </c>
      <c r="D1613" t="s">
        <v>71</v>
      </c>
      <c r="E1613">
        <v>0</v>
      </c>
      <c r="F1613">
        <v>86</v>
      </c>
      <c r="G1613" t="str">
        <f t="shared" si="33"/>
        <v>81+</v>
      </c>
      <c r="H1613" t="s">
        <v>35</v>
      </c>
      <c r="I1613" t="s">
        <v>58</v>
      </c>
      <c r="J1613" t="s">
        <v>59</v>
      </c>
      <c r="K1613" t="s">
        <v>38</v>
      </c>
      <c r="L1613">
        <v>1</v>
      </c>
      <c r="M1613">
        <v>1</v>
      </c>
      <c r="N1613">
        <v>3.4</v>
      </c>
      <c r="O1613">
        <v>7.3</v>
      </c>
      <c r="P1613">
        <v>4</v>
      </c>
      <c r="Q1613">
        <v>7</v>
      </c>
      <c r="R1613">
        <v>936065</v>
      </c>
      <c r="S1613">
        <f>Table1[[#This Row],[Revenue]]-Table1[[#This Row],[Operating_Costs]]</f>
        <v>699292</v>
      </c>
      <c r="T1613">
        <v>236773</v>
      </c>
      <c r="U1613">
        <v>22</v>
      </c>
      <c r="V1613">
        <v>54</v>
      </c>
      <c r="W1613">
        <v>6.6</v>
      </c>
    </row>
    <row r="1614" spans="1:23" x14ac:dyDescent="0.25">
      <c r="A1614">
        <v>5</v>
      </c>
      <c r="B1614" t="s">
        <v>22</v>
      </c>
      <c r="C1614" s="1">
        <v>44589</v>
      </c>
      <c r="D1614" t="s">
        <v>71</v>
      </c>
      <c r="E1614">
        <v>0</v>
      </c>
      <c r="F1614">
        <v>55</v>
      </c>
      <c r="G1614" t="str">
        <f t="shared" si="33"/>
        <v>41-60</v>
      </c>
      <c r="H1614" t="s">
        <v>23</v>
      </c>
      <c r="I1614" t="s">
        <v>58</v>
      </c>
      <c r="J1614" t="s">
        <v>59</v>
      </c>
      <c r="K1614" t="s">
        <v>29</v>
      </c>
      <c r="L1614">
        <v>1</v>
      </c>
      <c r="M1614">
        <v>1</v>
      </c>
      <c r="N1614">
        <v>2</v>
      </c>
      <c r="O1614">
        <v>8.6999999999999993</v>
      </c>
      <c r="P1614">
        <v>4</v>
      </c>
      <c r="Q1614">
        <v>6</v>
      </c>
      <c r="R1614">
        <v>899485</v>
      </c>
      <c r="S1614">
        <f>Table1[[#This Row],[Revenue]]-Table1[[#This Row],[Operating_Costs]]</f>
        <v>426818</v>
      </c>
      <c r="T1614">
        <v>472667</v>
      </c>
      <c r="U1614">
        <v>31</v>
      </c>
      <c r="V1614">
        <v>62</v>
      </c>
      <c r="W1614">
        <v>36.6</v>
      </c>
    </row>
    <row r="1615" spans="1:23" x14ac:dyDescent="0.25">
      <c r="A1615">
        <v>5</v>
      </c>
      <c r="B1615" t="s">
        <v>22</v>
      </c>
      <c r="C1615" s="1">
        <v>44719</v>
      </c>
      <c r="D1615" t="s">
        <v>71</v>
      </c>
      <c r="E1615">
        <v>0</v>
      </c>
      <c r="F1615">
        <v>85</v>
      </c>
      <c r="G1615" t="str">
        <f t="shared" si="33"/>
        <v>81+</v>
      </c>
      <c r="H1615" t="s">
        <v>35</v>
      </c>
      <c r="I1615" t="s">
        <v>55</v>
      </c>
      <c r="J1615" t="s">
        <v>56</v>
      </c>
      <c r="K1615" t="s">
        <v>33</v>
      </c>
      <c r="L1615">
        <v>1</v>
      </c>
      <c r="M1615">
        <v>1</v>
      </c>
      <c r="N1615">
        <v>4.0999999999999996</v>
      </c>
      <c r="O1615">
        <v>9.1999999999999993</v>
      </c>
      <c r="P1615">
        <v>3</v>
      </c>
      <c r="Q1615">
        <v>7</v>
      </c>
      <c r="R1615">
        <v>665714</v>
      </c>
      <c r="S1615">
        <f>Table1[[#This Row],[Revenue]]-Table1[[#This Row],[Operating_Costs]]</f>
        <v>326369</v>
      </c>
      <c r="T1615">
        <v>339345</v>
      </c>
      <c r="U1615">
        <v>22</v>
      </c>
      <c r="V1615">
        <v>63</v>
      </c>
      <c r="W1615">
        <v>10.8</v>
      </c>
    </row>
    <row r="1616" spans="1:23" x14ac:dyDescent="0.25">
      <c r="A1616">
        <v>5</v>
      </c>
      <c r="B1616" t="s">
        <v>22</v>
      </c>
      <c r="C1616" s="1">
        <v>44428</v>
      </c>
      <c r="D1616" t="s">
        <v>71</v>
      </c>
      <c r="E1616">
        <v>0</v>
      </c>
      <c r="F1616">
        <v>23</v>
      </c>
      <c r="G1616" t="str">
        <f t="shared" si="33"/>
        <v>21-40</v>
      </c>
      <c r="H1616" t="s">
        <v>23</v>
      </c>
      <c r="I1616" t="s">
        <v>40</v>
      </c>
      <c r="J1616" t="s">
        <v>41</v>
      </c>
      <c r="K1616" t="s">
        <v>26</v>
      </c>
      <c r="L1616">
        <v>1</v>
      </c>
      <c r="M1616">
        <v>1</v>
      </c>
      <c r="N1616">
        <v>4.5</v>
      </c>
      <c r="O1616">
        <v>9.3000000000000007</v>
      </c>
      <c r="P1616">
        <v>7</v>
      </c>
      <c r="Q1616">
        <v>6</v>
      </c>
      <c r="R1616">
        <v>758206</v>
      </c>
      <c r="S1616">
        <f>Table1[[#This Row],[Revenue]]-Table1[[#This Row],[Operating_Costs]]</f>
        <v>416842</v>
      </c>
      <c r="T1616">
        <v>341364</v>
      </c>
      <c r="U1616">
        <v>22</v>
      </c>
      <c r="V1616">
        <v>60</v>
      </c>
      <c r="W1616">
        <v>8.5</v>
      </c>
    </row>
    <row r="1617" spans="1:23" x14ac:dyDescent="0.25">
      <c r="A1617">
        <v>5</v>
      </c>
      <c r="B1617" t="s">
        <v>22</v>
      </c>
      <c r="C1617" s="1">
        <v>45088</v>
      </c>
      <c r="D1617" t="s">
        <v>71</v>
      </c>
      <c r="E1617">
        <v>0</v>
      </c>
      <c r="F1617">
        <v>90</v>
      </c>
      <c r="G1617" t="str">
        <f t="shared" si="33"/>
        <v>81+</v>
      </c>
      <c r="H1617" t="s">
        <v>35</v>
      </c>
      <c r="I1617" t="s">
        <v>27</v>
      </c>
      <c r="J1617" t="s">
        <v>28</v>
      </c>
      <c r="K1617" t="s">
        <v>33</v>
      </c>
      <c r="L1617">
        <v>1</v>
      </c>
      <c r="M1617">
        <v>1</v>
      </c>
      <c r="N1617">
        <v>6.4</v>
      </c>
      <c r="O1617">
        <v>8</v>
      </c>
      <c r="P1617">
        <v>5</v>
      </c>
      <c r="Q1617">
        <v>7</v>
      </c>
      <c r="R1617">
        <v>650912</v>
      </c>
      <c r="S1617">
        <f>Table1[[#This Row],[Revenue]]-Table1[[#This Row],[Operating_Costs]]</f>
        <v>287949</v>
      </c>
      <c r="T1617">
        <v>362963</v>
      </c>
      <c r="U1617">
        <v>38</v>
      </c>
      <c r="V1617">
        <v>54</v>
      </c>
      <c r="W1617">
        <v>5.4</v>
      </c>
    </row>
    <row r="1618" spans="1:23" x14ac:dyDescent="0.25">
      <c r="A1618">
        <v>5</v>
      </c>
      <c r="B1618" t="s">
        <v>22</v>
      </c>
      <c r="C1618" s="1">
        <v>45652</v>
      </c>
      <c r="D1618" t="s">
        <v>71</v>
      </c>
      <c r="E1618">
        <v>0</v>
      </c>
      <c r="F1618">
        <v>43</v>
      </c>
      <c r="G1618" t="str">
        <f t="shared" si="33"/>
        <v>41-60</v>
      </c>
      <c r="H1618" t="s">
        <v>23</v>
      </c>
      <c r="I1618" t="s">
        <v>31</v>
      </c>
      <c r="J1618" t="s">
        <v>28</v>
      </c>
      <c r="K1618" t="s">
        <v>29</v>
      </c>
      <c r="L1618">
        <v>1</v>
      </c>
      <c r="M1618">
        <v>1</v>
      </c>
      <c r="N1618">
        <v>6.1</v>
      </c>
      <c r="O1618">
        <v>10</v>
      </c>
      <c r="P1618">
        <v>5</v>
      </c>
      <c r="Q1618">
        <v>6</v>
      </c>
      <c r="R1618">
        <v>728686</v>
      </c>
      <c r="S1618">
        <f>Table1[[#This Row],[Revenue]]-Table1[[#This Row],[Operating_Costs]]</f>
        <v>494393</v>
      </c>
      <c r="T1618">
        <v>234293</v>
      </c>
      <c r="U1618">
        <v>32</v>
      </c>
      <c r="V1618">
        <v>55</v>
      </c>
      <c r="W1618">
        <v>13.4</v>
      </c>
    </row>
    <row r="1619" spans="1:23" x14ac:dyDescent="0.25">
      <c r="A1619">
        <v>5</v>
      </c>
      <c r="B1619" t="s">
        <v>22</v>
      </c>
      <c r="C1619" s="1">
        <v>44962</v>
      </c>
      <c r="D1619" t="s">
        <v>71</v>
      </c>
      <c r="E1619">
        <v>0</v>
      </c>
      <c r="F1619">
        <v>59</v>
      </c>
      <c r="G1619" t="str">
        <f t="shared" si="33"/>
        <v>41-60</v>
      </c>
      <c r="H1619" t="s">
        <v>35</v>
      </c>
      <c r="I1619" t="s">
        <v>36</v>
      </c>
      <c r="J1619" t="s">
        <v>37</v>
      </c>
      <c r="K1619" t="s">
        <v>42</v>
      </c>
      <c r="L1619">
        <v>1</v>
      </c>
      <c r="M1619">
        <v>1</v>
      </c>
      <c r="N1619">
        <v>2.9</v>
      </c>
      <c r="O1619">
        <v>9.1999999999999993</v>
      </c>
      <c r="P1619">
        <v>6</v>
      </c>
      <c r="Q1619">
        <v>6</v>
      </c>
      <c r="R1619">
        <v>918819</v>
      </c>
      <c r="S1619">
        <f>Table1[[#This Row],[Revenue]]-Table1[[#This Row],[Operating_Costs]]</f>
        <v>528388</v>
      </c>
      <c r="T1619">
        <v>390431</v>
      </c>
      <c r="U1619">
        <v>37</v>
      </c>
      <c r="V1619">
        <v>56</v>
      </c>
      <c r="W1619">
        <v>13.4</v>
      </c>
    </row>
    <row r="1620" spans="1:23" x14ac:dyDescent="0.25">
      <c r="A1620">
        <v>5</v>
      </c>
      <c r="B1620" t="s">
        <v>22</v>
      </c>
      <c r="C1620" s="1">
        <v>45017</v>
      </c>
      <c r="D1620" t="s">
        <v>71</v>
      </c>
      <c r="E1620">
        <v>0</v>
      </c>
      <c r="F1620">
        <v>69</v>
      </c>
      <c r="G1620" t="str">
        <f t="shared" si="33"/>
        <v>61-80</v>
      </c>
      <c r="H1620" t="s">
        <v>23</v>
      </c>
      <c r="I1620" t="s">
        <v>24</v>
      </c>
      <c r="J1620" t="s">
        <v>25</v>
      </c>
      <c r="K1620" t="s">
        <v>38</v>
      </c>
      <c r="L1620">
        <v>1</v>
      </c>
      <c r="M1620">
        <v>1</v>
      </c>
      <c r="N1620">
        <v>1.5</v>
      </c>
      <c r="O1620">
        <v>8.4</v>
      </c>
      <c r="P1620">
        <v>3</v>
      </c>
      <c r="Q1620">
        <v>7</v>
      </c>
      <c r="R1620">
        <v>605375</v>
      </c>
      <c r="S1620">
        <f>Table1[[#This Row],[Revenue]]-Table1[[#This Row],[Operating_Costs]]</f>
        <v>392345</v>
      </c>
      <c r="T1620">
        <v>213030</v>
      </c>
      <c r="U1620">
        <v>34</v>
      </c>
      <c r="V1620">
        <v>55</v>
      </c>
      <c r="W1620">
        <v>6.2</v>
      </c>
    </row>
    <row r="1621" spans="1:23" x14ac:dyDescent="0.25">
      <c r="A1621">
        <v>5</v>
      </c>
      <c r="B1621" t="s">
        <v>22</v>
      </c>
      <c r="C1621" s="1">
        <v>44323</v>
      </c>
      <c r="D1621" t="s">
        <v>71</v>
      </c>
      <c r="E1621">
        <v>0</v>
      </c>
      <c r="F1621">
        <v>34</v>
      </c>
      <c r="G1621" t="str">
        <f t="shared" si="33"/>
        <v>21-40</v>
      </c>
      <c r="H1621" t="s">
        <v>35</v>
      </c>
      <c r="I1621" t="s">
        <v>53</v>
      </c>
      <c r="J1621" t="s">
        <v>54</v>
      </c>
      <c r="K1621" t="s">
        <v>38</v>
      </c>
      <c r="L1621">
        <v>1</v>
      </c>
      <c r="M1621">
        <v>1</v>
      </c>
      <c r="N1621">
        <v>6.7</v>
      </c>
      <c r="O1621">
        <v>7.7</v>
      </c>
      <c r="P1621">
        <v>5</v>
      </c>
      <c r="Q1621">
        <v>3</v>
      </c>
      <c r="R1621">
        <v>678351</v>
      </c>
      <c r="S1621">
        <f>Table1[[#This Row],[Revenue]]-Table1[[#This Row],[Operating_Costs]]</f>
        <v>433718</v>
      </c>
      <c r="T1621">
        <v>244633</v>
      </c>
      <c r="U1621">
        <v>33</v>
      </c>
      <c r="V1621">
        <v>65</v>
      </c>
      <c r="W1621">
        <v>9.8000000000000007</v>
      </c>
    </row>
    <row r="1622" spans="1:23" x14ac:dyDescent="0.25">
      <c r="A1622">
        <v>5</v>
      </c>
      <c r="B1622" t="s">
        <v>22</v>
      </c>
      <c r="C1622" s="1">
        <v>45423</v>
      </c>
      <c r="D1622" t="s">
        <v>71</v>
      </c>
      <c r="E1622">
        <v>0</v>
      </c>
      <c r="F1622">
        <v>70</v>
      </c>
      <c r="G1622" t="str">
        <f t="shared" si="33"/>
        <v>61-80</v>
      </c>
      <c r="H1622" t="s">
        <v>23</v>
      </c>
      <c r="I1622" t="s">
        <v>31</v>
      </c>
      <c r="J1622" t="s">
        <v>28</v>
      </c>
      <c r="K1622" t="s">
        <v>29</v>
      </c>
      <c r="L1622">
        <v>1</v>
      </c>
      <c r="M1622">
        <v>1</v>
      </c>
      <c r="N1622">
        <v>1.9</v>
      </c>
      <c r="O1622">
        <v>8.5</v>
      </c>
      <c r="P1622">
        <v>5</v>
      </c>
      <c r="Q1622">
        <v>4</v>
      </c>
      <c r="R1622">
        <v>704549</v>
      </c>
      <c r="S1622">
        <f>Table1[[#This Row],[Revenue]]-Table1[[#This Row],[Operating_Costs]]</f>
        <v>249084</v>
      </c>
      <c r="T1622">
        <v>455465</v>
      </c>
      <c r="U1622">
        <v>31</v>
      </c>
      <c r="V1622">
        <v>58</v>
      </c>
      <c r="W1622">
        <v>13.9</v>
      </c>
    </row>
    <row r="1623" spans="1:23" x14ac:dyDescent="0.25">
      <c r="A1623">
        <v>5</v>
      </c>
      <c r="B1623" t="s">
        <v>22</v>
      </c>
      <c r="C1623" s="1">
        <v>44736</v>
      </c>
      <c r="D1623" t="s">
        <v>71</v>
      </c>
      <c r="E1623">
        <v>0</v>
      </c>
      <c r="F1623">
        <v>81</v>
      </c>
      <c r="G1623" t="str">
        <f t="shared" si="33"/>
        <v>81+</v>
      </c>
      <c r="H1623" t="s">
        <v>23</v>
      </c>
      <c r="I1623" t="s">
        <v>24</v>
      </c>
      <c r="J1623" t="s">
        <v>25</v>
      </c>
      <c r="K1623" t="s">
        <v>26</v>
      </c>
      <c r="L1623">
        <v>1</v>
      </c>
      <c r="M1623">
        <v>1</v>
      </c>
      <c r="N1623">
        <v>6.6</v>
      </c>
      <c r="O1623">
        <v>8.6999999999999993</v>
      </c>
      <c r="P1623">
        <v>3</v>
      </c>
      <c r="Q1623">
        <v>5</v>
      </c>
      <c r="R1623">
        <v>985523</v>
      </c>
      <c r="S1623">
        <f>Table1[[#This Row],[Revenue]]-Table1[[#This Row],[Operating_Costs]]</f>
        <v>784675</v>
      </c>
      <c r="T1623">
        <v>200848</v>
      </c>
      <c r="U1623">
        <v>36</v>
      </c>
      <c r="V1623">
        <v>55</v>
      </c>
      <c r="W1623">
        <v>15</v>
      </c>
    </row>
    <row r="1624" spans="1:23" x14ac:dyDescent="0.25">
      <c r="A1624">
        <v>5</v>
      </c>
      <c r="B1624" t="s">
        <v>22</v>
      </c>
      <c r="C1624" s="1">
        <v>45427</v>
      </c>
      <c r="D1624" t="s">
        <v>71</v>
      </c>
      <c r="E1624">
        <v>0</v>
      </c>
      <c r="F1624">
        <v>75</v>
      </c>
      <c r="G1624" t="str">
        <f t="shared" si="33"/>
        <v>61-80</v>
      </c>
      <c r="H1624" t="s">
        <v>35</v>
      </c>
      <c r="I1624" t="s">
        <v>61</v>
      </c>
      <c r="J1624" t="s">
        <v>62</v>
      </c>
      <c r="K1624" t="s">
        <v>42</v>
      </c>
      <c r="L1624">
        <v>1</v>
      </c>
      <c r="M1624">
        <v>1</v>
      </c>
      <c r="N1624">
        <v>5.0999999999999996</v>
      </c>
      <c r="O1624">
        <v>8.8000000000000007</v>
      </c>
      <c r="P1624">
        <v>3</v>
      </c>
      <c r="Q1624">
        <v>3</v>
      </c>
      <c r="R1624">
        <v>733019</v>
      </c>
      <c r="S1624">
        <f>Table1[[#This Row],[Revenue]]-Table1[[#This Row],[Operating_Costs]]</f>
        <v>369758</v>
      </c>
      <c r="T1624">
        <v>363261</v>
      </c>
      <c r="U1624">
        <v>40</v>
      </c>
      <c r="V1624">
        <v>62</v>
      </c>
      <c r="W1624">
        <v>6.7</v>
      </c>
    </row>
    <row r="1625" spans="1:23" x14ac:dyDescent="0.25">
      <c r="A1625">
        <v>5</v>
      </c>
      <c r="B1625" t="s">
        <v>22</v>
      </c>
      <c r="C1625" s="1">
        <v>44514</v>
      </c>
      <c r="D1625" t="s">
        <v>71</v>
      </c>
      <c r="E1625">
        <v>0</v>
      </c>
      <c r="F1625">
        <v>24</v>
      </c>
      <c r="G1625" t="str">
        <f t="shared" si="33"/>
        <v>21-40</v>
      </c>
      <c r="H1625" t="s">
        <v>23</v>
      </c>
      <c r="I1625" t="s">
        <v>64</v>
      </c>
      <c r="J1625" t="s">
        <v>65</v>
      </c>
      <c r="K1625" t="s">
        <v>29</v>
      </c>
      <c r="L1625">
        <v>1</v>
      </c>
      <c r="M1625">
        <v>1</v>
      </c>
      <c r="N1625">
        <v>2.9</v>
      </c>
      <c r="O1625">
        <v>9.9</v>
      </c>
      <c r="P1625">
        <v>7</v>
      </c>
      <c r="Q1625">
        <v>5</v>
      </c>
      <c r="R1625">
        <v>615669</v>
      </c>
      <c r="S1625">
        <f>Table1[[#This Row],[Revenue]]-Table1[[#This Row],[Operating_Costs]]</f>
        <v>146232</v>
      </c>
      <c r="T1625">
        <v>469437</v>
      </c>
      <c r="U1625">
        <v>23</v>
      </c>
      <c r="V1625">
        <v>64</v>
      </c>
      <c r="W1625">
        <v>6.4</v>
      </c>
    </row>
    <row r="1626" spans="1:23" x14ac:dyDescent="0.25">
      <c r="A1626">
        <v>5</v>
      </c>
      <c r="B1626" t="s">
        <v>22</v>
      </c>
      <c r="C1626" s="1">
        <v>45099</v>
      </c>
      <c r="D1626" t="s">
        <v>71</v>
      </c>
      <c r="E1626">
        <v>0</v>
      </c>
      <c r="F1626">
        <v>47</v>
      </c>
      <c r="G1626" t="str">
        <f t="shared" si="33"/>
        <v>41-60</v>
      </c>
      <c r="H1626" t="s">
        <v>23</v>
      </c>
      <c r="I1626" t="s">
        <v>24</v>
      </c>
      <c r="J1626" t="s">
        <v>25</v>
      </c>
      <c r="K1626" t="s">
        <v>33</v>
      </c>
      <c r="L1626">
        <v>1</v>
      </c>
      <c r="M1626">
        <v>1</v>
      </c>
      <c r="N1626">
        <v>4.7</v>
      </c>
      <c r="O1626">
        <v>9.5</v>
      </c>
      <c r="P1626">
        <v>4</v>
      </c>
      <c r="Q1626">
        <v>4</v>
      </c>
      <c r="R1626">
        <v>763436</v>
      </c>
      <c r="S1626">
        <f>Table1[[#This Row],[Revenue]]-Table1[[#This Row],[Operating_Costs]]</f>
        <v>343367</v>
      </c>
      <c r="T1626">
        <v>420069</v>
      </c>
      <c r="U1626">
        <v>36</v>
      </c>
      <c r="V1626">
        <v>61</v>
      </c>
      <c r="W1626">
        <v>13.9</v>
      </c>
    </row>
    <row r="1627" spans="1:23" x14ac:dyDescent="0.25">
      <c r="A1627">
        <v>5</v>
      </c>
      <c r="B1627" t="s">
        <v>22</v>
      </c>
      <c r="C1627" s="1">
        <v>44199</v>
      </c>
      <c r="D1627" t="s">
        <v>71</v>
      </c>
      <c r="E1627">
        <v>0</v>
      </c>
      <c r="F1627">
        <v>79</v>
      </c>
      <c r="G1627" t="str">
        <f t="shared" si="33"/>
        <v>61-80</v>
      </c>
      <c r="H1627" t="s">
        <v>35</v>
      </c>
      <c r="I1627" t="s">
        <v>27</v>
      </c>
      <c r="J1627" t="s">
        <v>28</v>
      </c>
      <c r="K1627" t="s">
        <v>33</v>
      </c>
      <c r="L1627">
        <v>1</v>
      </c>
      <c r="M1627">
        <v>1</v>
      </c>
      <c r="N1627">
        <v>4.0999999999999996</v>
      </c>
      <c r="O1627">
        <v>9.5</v>
      </c>
      <c r="P1627">
        <v>7</v>
      </c>
      <c r="Q1627">
        <v>3</v>
      </c>
      <c r="R1627">
        <v>920718</v>
      </c>
      <c r="S1627">
        <f>Table1[[#This Row],[Revenue]]-Table1[[#This Row],[Operating_Costs]]</f>
        <v>688036</v>
      </c>
      <c r="T1627">
        <v>232682</v>
      </c>
      <c r="U1627">
        <v>40</v>
      </c>
      <c r="V1627">
        <v>66</v>
      </c>
      <c r="W1627">
        <v>12.6</v>
      </c>
    </row>
    <row r="1628" spans="1:23" x14ac:dyDescent="0.25">
      <c r="A1628">
        <v>5</v>
      </c>
      <c r="B1628" t="s">
        <v>22</v>
      </c>
      <c r="C1628" s="1">
        <v>45258</v>
      </c>
      <c r="D1628" t="s">
        <v>71</v>
      </c>
      <c r="E1628">
        <v>0</v>
      </c>
      <c r="F1628">
        <v>32</v>
      </c>
      <c r="G1628" t="str">
        <f t="shared" si="33"/>
        <v>21-40</v>
      </c>
      <c r="H1628" t="s">
        <v>23</v>
      </c>
      <c r="I1628" t="s">
        <v>43</v>
      </c>
      <c r="J1628" t="s">
        <v>25</v>
      </c>
      <c r="K1628" t="s">
        <v>42</v>
      </c>
      <c r="L1628">
        <v>1</v>
      </c>
      <c r="M1628">
        <v>1</v>
      </c>
      <c r="N1628">
        <v>6.5</v>
      </c>
      <c r="O1628">
        <v>8.1999999999999993</v>
      </c>
      <c r="P1628">
        <v>5</v>
      </c>
      <c r="Q1628">
        <v>4</v>
      </c>
      <c r="R1628">
        <v>641958</v>
      </c>
      <c r="S1628">
        <f>Table1[[#This Row],[Revenue]]-Table1[[#This Row],[Operating_Costs]]</f>
        <v>397140</v>
      </c>
      <c r="T1628">
        <v>244818</v>
      </c>
      <c r="U1628">
        <v>22</v>
      </c>
      <c r="V1628">
        <v>56</v>
      </c>
      <c r="W1628">
        <v>5</v>
      </c>
    </row>
    <row r="1629" spans="1:23" x14ac:dyDescent="0.25">
      <c r="A1629">
        <v>5</v>
      </c>
      <c r="B1629" t="s">
        <v>22</v>
      </c>
      <c r="C1629" s="1">
        <v>45546</v>
      </c>
      <c r="D1629" t="s">
        <v>71</v>
      </c>
      <c r="E1629">
        <v>0</v>
      </c>
      <c r="F1629">
        <v>77</v>
      </c>
      <c r="G1629" t="str">
        <f t="shared" si="33"/>
        <v>61-80</v>
      </c>
      <c r="H1629" t="s">
        <v>35</v>
      </c>
      <c r="I1629" t="s">
        <v>55</v>
      </c>
      <c r="J1629" t="s">
        <v>56</v>
      </c>
      <c r="K1629" t="s">
        <v>33</v>
      </c>
      <c r="L1629">
        <v>1</v>
      </c>
      <c r="M1629">
        <v>1</v>
      </c>
      <c r="N1629">
        <v>1.4</v>
      </c>
      <c r="O1629">
        <v>9.8000000000000007</v>
      </c>
      <c r="P1629">
        <v>6</v>
      </c>
      <c r="Q1629">
        <v>4</v>
      </c>
      <c r="R1629">
        <v>755709</v>
      </c>
      <c r="S1629">
        <f>Table1[[#This Row],[Revenue]]-Table1[[#This Row],[Operating_Costs]]</f>
        <v>535267</v>
      </c>
      <c r="T1629">
        <v>220442</v>
      </c>
      <c r="U1629">
        <v>38</v>
      </c>
      <c r="V1629">
        <v>64</v>
      </c>
      <c r="W1629">
        <v>10.7</v>
      </c>
    </row>
    <row r="1630" spans="1:23" x14ac:dyDescent="0.25">
      <c r="A1630">
        <v>5</v>
      </c>
      <c r="B1630" t="s">
        <v>22</v>
      </c>
      <c r="C1630" s="1">
        <v>45061</v>
      </c>
      <c r="D1630" t="s">
        <v>71</v>
      </c>
      <c r="E1630">
        <v>0</v>
      </c>
      <c r="F1630">
        <v>69</v>
      </c>
      <c r="G1630" t="str">
        <f t="shared" si="33"/>
        <v>61-80</v>
      </c>
      <c r="H1630" t="s">
        <v>35</v>
      </c>
      <c r="I1630" t="s">
        <v>36</v>
      </c>
      <c r="J1630" t="s">
        <v>37</v>
      </c>
      <c r="K1630" t="s">
        <v>29</v>
      </c>
      <c r="L1630">
        <v>1</v>
      </c>
      <c r="M1630">
        <v>1</v>
      </c>
      <c r="N1630">
        <v>4.8</v>
      </c>
      <c r="O1630">
        <v>8.3000000000000007</v>
      </c>
      <c r="P1630">
        <v>7</v>
      </c>
      <c r="Q1630">
        <v>5</v>
      </c>
      <c r="R1630">
        <v>906314</v>
      </c>
      <c r="S1630">
        <f>Table1[[#This Row],[Revenue]]-Table1[[#This Row],[Operating_Costs]]</f>
        <v>611134</v>
      </c>
      <c r="T1630">
        <v>295180</v>
      </c>
      <c r="U1630">
        <v>23</v>
      </c>
      <c r="V1630">
        <v>65</v>
      </c>
      <c r="W1630">
        <v>6.2</v>
      </c>
    </row>
    <row r="1631" spans="1:23" x14ac:dyDescent="0.25">
      <c r="A1631">
        <v>5</v>
      </c>
      <c r="B1631" t="s">
        <v>22</v>
      </c>
      <c r="C1631" s="1">
        <v>44435</v>
      </c>
      <c r="D1631" t="s">
        <v>71</v>
      </c>
      <c r="E1631">
        <v>0</v>
      </c>
      <c r="F1631">
        <v>60</v>
      </c>
      <c r="G1631" t="str">
        <f t="shared" si="33"/>
        <v>41-60</v>
      </c>
      <c r="H1631" t="s">
        <v>35</v>
      </c>
      <c r="I1631" t="s">
        <v>58</v>
      </c>
      <c r="J1631" t="s">
        <v>59</v>
      </c>
      <c r="K1631" t="s">
        <v>29</v>
      </c>
      <c r="L1631">
        <v>1</v>
      </c>
      <c r="M1631">
        <v>1</v>
      </c>
      <c r="N1631">
        <v>6</v>
      </c>
      <c r="O1631">
        <v>9.6999999999999993</v>
      </c>
      <c r="P1631">
        <v>6</v>
      </c>
      <c r="Q1631">
        <v>4</v>
      </c>
      <c r="R1631">
        <v>871308</v>
      </c>
      <c r="S1631">
        <f>Table1[[#This Row],[Revenue]]-Table1[[#This Row],[Operating_Costs]]</f>
        <v>404583</v>
      </c>
      <c r="T1631">
        <v>466725</v>
      </c>
      <c r="U1631">
        <v>24</v>
      </c>
      <c r="V1631">
        <v>60</v>
      </c>
      <c r="W1631">
        <v>10.3</v>
      </c>
    </row>
    <row r="1632" spans="1:23" x14ac:dyDescent="0.25">
      <c r="A1632">
        <v>5</v>
      </c>
      <c r="B1632" t="s">
        <v>22</v>
      </c>
      <c r="C1632" s="1">
        <v>45517</v>
      </c>
      <c r="D1632" t="s">
        <v>71</v>
      </c>
      <c r="E1632">
        <v>0</v>
      </c>
      <c r="F1632">
        <v>68</v>
      </c>
      <c r="G1632" t="str">
        <f t="shared" si="33"/>
        <v>61-80</v>
      </c>
      <c r="H1632" t="s">
        <v>23</v>
      </c>
      <c r="I1632" t="s">
        <v>40</v>
      </c>
      <c r="J1632" t="s">
        <v>41</v>
      </c>
      <c r="K1632" t="s">
        <v>26</v>
      </c>
      <c r="L1632">
        <v>1</v>
      </c>
      <c r="M1632">
        <v>1</v>
      </c>
      <c r="N1632">
        <v>3.1</v>
      </c>
      <c r="O1632">
        <v>8.1</v>
      </c>
      <c r="P1632">
        <v>3</v>
      </c>
      <c r="Q1632">
        <v>4</v>
      </c>
      <c r="R1632">
        <v>727084</v>
      </c>
      <c r="S1632">
        <f>Table1[[#This Row],[Revenue]]-Table1[[#This Row],[Operating_Costs]]</f>
        <v>487516</v>
      </c>
      <c r="T1632">
        <v>239568</v>
      </c>
      <c r="U1632">
        <v>34</v>
      </c>
      <c r="V1632">
        <v>57</v>
      </c>
      <c r="W1632">
        <v>14.6</v>
      </c>
    </row>
    <row r="1633" spans="1:23" x14ac:dyDescent="0.25">
      <c r="A1633">
        <v>5</v>
      </c>
      <c r="B1633" t="s">
        <v>22</v>
      </c>
      <c r="C1633" s="1">
        <v>45295</v>
      </c>
      <c r="D1633" t="s">
        <v>71</v>
      </c>
      <c r="E1633">
        <v>0</v>
      </c>
      <c r="F1633">
        <v>42</v>
      </c>
      <c r="G1633" t="str">
        <f t="shared" si="33"/>
        <v>41-60</v>
      </c>
      <c r="H1633" t="s">
        <v>35</v>
      </c>
      <c r="I1633" t="s">
        <v>36</v>
      </c>
      <c r="J1633" t="s">
        <v>37</v>
      </c>
      <c r="K1633" t="s">
        <v>29</v>
      </c>
      <c r="L1633">
        <v>1</v>
      </c>
      <c r="M1633">
        <v>1</v>
      </c>
      <c r="N1633">
        <v>1.3</v>
      </c>
      <c r="O1633">
        <v>7.4</v>
      </c>
      <c r="P1633">
        <v>7</v>
      </c>
      <c r="Q1633">
        <v>3</v>
      </c>
      <c r="R1633">
        <v>925967</v>
      </c>
      <c r="S1633">
        <f>Table1[[#This Row],[Revenue]]-Table1[[#This Row],[Operating_Costs]]</f>
        <v>691722</v>
      </c>
      <c r="T1633">
        <v>234245</v>
      </c>
      <c r="U1633">
        <v>28</v>
      </c>
      <c r="V1633">
        <v>58</v>
      </c>
      <c r="W1633">
        <v>12.4</v>
      </c>
    </row>
    <row r="1634" spans="1:23" x14ac:dyDescent="0.25">
      <c r="A1634">
        <v>5</v>
      </c>
      <c r="B1634" t="s">
        <v>22</v>
      </c>
      <c r="C1634" s="1">
        <v>44959</v>
      </c>
      <c r="D1634" t="s">
        <v>71</v>
      </c>
      <c r="E1634">
        <v>0</v>
      </c>
      <c r="F1634">
        <v>37</v>
      </c>
      <c r="G1634" t="str">
        <f t="shared" si="33"/>
        <v>21-40</v>
      </c>
      <c r="H1634" t="s">
        <v>23</v>
      </c>
      <c r="I1634" t="s">
        <v>64</v>
      </c>
      <c r="J1634" t="s">
        <v>65</v>
      </c>
      <c r="K1634" t="s">
        <v>29</v>
      </c>
      <c r="L1634">
        <v>1</v>
      </c>
      <c r="M1634">
        <v>1</v>
      </c>
      <c r="N1634">
        <v>5.8</v>
      </c>
      <c r="O1634">
        <v>7.1</v>
      </c>
      <c r="P1634">
        <v>4</v>
      </c>
      <c r="Q1634">
        <v>7</v>
      </c>
      <c r="R1634">
        <v>928427</v>
      </c>
      <c r="S1634">
        <f>Table1[[#This Row],[Revenue]]-Table1[[#This Row],[Operating_Costs]]</f>
        <v>478802</v>
      </c>
      <c r="T1634">
        <v>449625</v>
      </c>
      <c r="U1634">
        <v>27</v>
      </c>
      <c r="V1634">
        <v>64</v>
      </c>
      <c r="W1634">
        <v>8.6999999999999993</v>
      </c>
    </row>
    <row r="1635" spans="1:23" x14ac:dyDescent="0.25">
      <c r="A1635">
        <v>5</v>
      </c>
      <c r="B1635" t="s">
        <v>22</v>
      </c>
      <c r="C1635" s="1">
        <v>44528</v>
      </c>
      <c r="D1635" t="s">
        <v>71</v>
      </c>
      <c r="E1635">
        <v>0</v>
      </c>
      <c r="F1635">
        <v>84</v>
      </c>
      <c r="G1635" t="str">
        <f t="shared" si="33"/>
        <v>81+</v>
      </c>
      <c r="H1635" t="s">
        <v>23</v>
      </c>
      <c r="I1635" t="s">
        <v>67</v>
      </c>
      <c r="J1635" t="s">
        <v>68</v>
      </c>
      <c r="K1635" t="s">
        <v>29</v>
      </c>
      <c r="L1635">
        <v>1</v>
      </c>
      <c r="M1635">
        <v>1</v>
      </c>
      <c r="N1635">
        <v>5.0999999999999996</v>
      </c>
      <c r="O1635">
        <v>7.7</v>
      </c>
      <c r="P1635">
        <v>6</v>
      </c>
      <c r="Q1635">
        <v>4</v>
      </c>
      <c r="R1635">
        <v>619571</v>
      </c>
      <c r="S1635">
        <f>Table1[[#This Row],[Revenue]]-Table1[[#This Row],[Operating_Costs]]</f>
        <v>373900</v>
      </c>
      <c r="T1635">
        <v>245671</v>
      </c>
      <c r="U1635">
        <v>33</v>
      </c>
      <c r="V1635">
        <v>64</v>
      </c>
      <c r="W1635">
        <v>10.3</v>
      </c>
    </row>
    <row r="1636" spans="1:23" x14ac:dyDescent="0.25">
      <c r="A1636">
        <v>5</v>
      </c>
      <c r="B1636" t="s">
        <v>22</v>
      </c>
      <c r="C1636" s="1">
        <v>45048</v>
      </c>
      <c r="D1636" t="s">
        <v>71</v>
      </c>
      <c r="E1636">
        <v>0</v>
      </c>
      <c r="F1636">
        <v>53</v>
      </c>
      <c r="G1636" t="str">
        <f t="shared" si="33"/>
        <v>41-60</v>
      </c>
      <c r="H1636" t="s">
        <v>35</v>
      </c>
      <c r="I1636" t="s">
        <v>64</v>
      </c>
      <c r="J1636" t="s">
        <v>65</v>
      </c>
      <c r="K1636" t="s">
        <v>38</v>
      </c>
      <c r="L1636">
        <v>1</v>
      </c>
      <c r="M1636">
        <v>1</v>
      </c>
      <c r="N1636">
        <v>1.3</v>
      </c>
      <c r="O1636">
        <v>7.6</v>
      </c>
      <c r="P1636">
        <v>4</v>
      </c>
      <c r="Q1636">
        <v>6</v>
      </c>
      <c r="R1636">
        <v>820442</v>
      </c>
      <c r="S1636">
        <f>Table1[[#This Row],[Revenue]]-Table1[[#This Row],[Operating_Costs]]</f>
        <v>399144</v>
      </c>
      <c r="T1636">
        <v>421298</v>
      </c>
      <c r="U1636">
        <v>38</v>
      </c>
      <c r="V1636">
        <v>64</v>
      </c>
      <c r="W1636">
        <v>12</v>
      </c>
    </row>
    <row r="1637" spans="1:23" x14ac:dyDescent="0.25">
      <c r="A1637">
        <v>5</v>
      </c>
      <c r="B1637" t="s">
        <v>22</v>
      </c>
      <c r="C1637" s="1">
        <v>45216</v>
      </c>
      <c r="D1637" t="s">
        <v>71</v>
      </c>
      <c r="E1637">
        <v>0</v>
      </c>
      <c r="F1637">
        <v>43</v>
      </c>
      <c r="G1637" t="str">
        <f t="shared" si="33"/>
        <v>41-60</v>
      </c>
      <c r="H1637" t="s">
        <v>35</v>
      </c>
      <c r="I1637" t="s">
        <v>55</v>
      </c>
      <c r="J1637" t="s">
        <v>56</v>
      </c>
      <c r="K1637" t="s">
        <v>38</v>
      </c>
      <c r="L1637">
        <v>1</v>
      </c>
      <c r="M1637">
        <v>1</v>
      </c>
      <c r="N1637">
        <v>2.4</v>
      </c>
      <c r="O1637">
        <v>8.8000000000000007</v>
      </c>
      <c r="P1637">
        <v>3</v>
      </c>
      <c r="Q1637">
        <v>5</v>
      </c>
      <c r="R1637">
        <v>672396</v>
      </c>
      <c r="S1637">
        <f>Table1[[#This Row],[Revenue]]-Table1[[#This Row],[Operating_Costs]]</f>
        <v>377056</v>
      </c>
      <c r="T1637">
        <v>295340</v>
      </c>
      <c r="U1637">
        <v>20</v>
      </c>
      <c r="V1637">
        <v>65</v>
      </c>
      <c r="W1637">
        <v>13.6</v>
      </c>
    </row>
    <row r="1638" spans="1:23" x14ac:dyDescent="0.25">
      <c r="A1638">
        <v>5</v>
      </c>
      <c r="B1638" t="s">
        <v>22</v>
      </c>
      <c r="C1638" s="1">
        <v>44460</v>
      </c>
      <c r="D1638" t="s">
        <v>71</v>
      </c>
      <c r="E1638">
        <v>0</v>
      </c>
      <c r="F1638">
        <v>58</v>
      </c>
      <c r="G1638" t="str">
        <f t="shared" si="33"/>
        <v>41-60</v>
      </c>
      <c r="H1638" t="s">
        <v>23</v>
      </c>
      <c r="I1638" t="s">
        <v>67</v>
      </c>
      <c r="J1638" t="s">
        <v>68</v>
      </c>
      <c r="K1638" t="s">
        <v>26</v>
      </c>
      <c r="L1638">
        <v>1</v>
      </c>
      <c r="M1638">
        <v>1</v>
      </c>
      <c r="N1638">
        <v>6</v>
      </c>
      <c r="O1638">
        <v>9.6999999999999993</v>
      </c>
      <c r="P1638">
        <v>5</v>
      </c>
      <c r="Q1638">
        <v>5</v>
      </c>
      <c r="R1638">
        <v>974499</v>
      </c>
      <c r="S1638">
        <f>Table1[[#This Row],[Revenue]]-Table1[[#This Row],[Operating_Costs]]</f>
        <v>606187</v>
      </c>
      <c r="T1638">
        <v>368312</v>
      </c>
      <c r="U1638">
        <v>20</v>
      </c>
      <c r="V1638">
        <v>58</v>
      </c>
      <c r="W1638">
        <v>9.6</v>
      </c>
    </row>
    <row r="1639" spans="1:23" x14ac:dyDescent="0.25">
      <c r="A1639">
        <v>5</v>
      </c>
      <c r="B1639" t="s">
        <v>22</v>
      </c>
      <c r="C1639" s="1">
        <v>45386</v>
      </c>
      <c r="D1639" t="s">
        <v>71</v>
      </c>
      <c r="E1639">
        <v>0</v>
      </c>
      <c r="F1639">
        <v>86</v>
      </c>
      <c r="G1639" t="str">
        <f t="shared" si="33"/>
        <v>81+</v>
      </c>
      <c r="H1639" t="s">
        <v>35</v>
      </c>
      <c r="I1639" t="s">
        <v>31</v>
      </c>
      <c r="J1639" t="s">
        <v>28</v>
      </c>
      <c r="K1639" t="s">
        <v>38</v>
      </c>
      <c r="L1639">
        <v>1</v>
      </c>
      <c r="M1639">
        <v>1</v>
      </c>
      <c r="N1639">
        <v>3.5</v>
      </c>
      <c r="O1639">
        <v>8</v>
      </c>
      <c r="P1639">
        <v>4</v>
      </c>
      <c r="Q1639">
        <v>5</v>
      </c>
      <c r="R1639">
        <v>713200</v>
      </c>
      <c r="S1639">
        <f>Table1[[#This Row],[Revenue]]-Table1[[#This Row],[Operating_Costs]]</f>
        <v>404763</v>
      </c>
      <c r="T1639">
        <v>308437</v>
      </c>
      <c r="U1639">
        <v>20</v>
      </c>
      <c r="V1639">
        <v>56</v>
      </c>
      <c r="W1639">
        <v>12.7</v>
      </c>
    </row>
    <row r="1640" spans="1:23" x14ac:dyDescent="0.25">
      <c r="A1640">
        <v>5</v>
      </c>
      <c r="B1640" t="s">
        <v>22</v>
      </c>
      <c r="C1640" s="1">
        <v>44981</v>
      </c>
      <c r="D1640" t="s">
        <v>71</v>
      </c>
      <c r="E1640">
        <v>0</v>
      </c>
      <c r="F1640">
        <v>28</v>
      </c>
      <c r="G1640" t="str">
        <f t="shared" si="33"/>
        <v>21-40</v>
      </c>
      <c r="H1640" t="s">
        <v>35</v>
      </c>
      <c r="I1640" t="s">
        <v>31</v>
      </c>
      <c r="J1640" t="s">
        <v>28</v>
      </c>
      <c r="K1640" t="s">
        <v>33</v>
      </c>
      <c r="L1640">
        <v>1</v>
      </c>
      <c r="M1640">
        <v>1</v>
      </c>
      <c r="N1640">
        <v>5.9</v>
      </c>
      <c r="O1640">
        <v>9.1</v>
      </c>
      <c r="P1640">
        <v>3</v>
      </c>
      <c r="Q1640">
        <v>3</v>
      </c>
      <c r="R1640">
        <v>942690</v>
      </c>
      <c r="S1640">
        <f>Table1[[#This Row],[Revenue]]-Table1[[#This Row],[Operating_Costs]]</f>
        <v>443504</v>
      </c>
      <c r="T1640">
        <v>499186</v>
      </c>
      <c r="U1640">
        <v>28</v>
      </c>
      <c r="V1640">
        <v>60</v>
      </c>
      <c r="W1640">
        <v>5.2</v>
      </c>
    </row>
    <row r="1641" spans="1:23" x14ac:dyDescent="0.25">
      <c r="A1641">
        <v>5</v>
      </c>
      <c r="B1641" t="s">
        <v>22</v>
      </c>
      <c r="C1641" s="1">
        <v>45269</v>
      </c>
      <c r="D1641" t="s">
        <v>71</v>
      </c>
      <c r="E1641">
        <v>0</v>
      </c>
      <c r="F1641">
        <v>41</v>
      </c>
      <c r="G1641" t="str">
        <f t="shared" si="33"/>
        <v>41-60</v>
      </c>
      <c r="H1641" t="s">
        <v>23</v>
      </c>
      <c r="I1641" t="s">
        <v>24</v>
      </c>
      <c r="J1641" t="s">
        <v>25</v>
      </c>
      <c r="K1641" t="s">
        <v>42</v>
      </c>
      <c r="L1641">
        <v>1</v>
      </c>
      <c r="M1641">
        <v>1</v>
      </c>
      <c r="N1641">
        <v>5.3</v>
      </c>
      <c r="O1641">
        <v>8.8000000000000007</v>
      </c>
      <c r="P1641">
        <v>3</v>
      </c>
      <c r="Q1641">
        <v>7</v>
      </c>
      <c r="R1641">
        <v>855216</v>
      </c>
      <c r="S1641">
        <f>Table1[[#This Row],[Revenue]]-Table1[[#This Row],[Operating_Costs]]</f>
        <v>390776</v>
      </c>
      <c r="T1641">
        <v>464440</v>
      </c>
      <c r="U1641">
        <v>37</v>
      </c>
      <c r="V1641">
        <v>56</v>
      </c>
      <c r="W1641">
        <v>13.2</v>
      </c>
    </row>
    <row r="1642" spans="1:23" x14ac:dyDescent="0.25">
      <c r="A1642">
        <v>5</v>
      </c>
      <c r="B1642" t="s">
        <v>22</v>
      </c>
      <c r="C1642" s="1">
        <v>44846</v>
      </c>
      <c r="D1642" t="s">
        <v>71</v>
      </c>
      <c r="E1642">
        <v>0</v>
      </c>
      <c r="F1642">
        <v>54</v>
      </c>
      <c r="G1642" t="str">
        <f t="shared" si="33"/>
        <v>41-60</v>
      </c>
      <c r="H1642" t="s">
        <v>23</v>
      </c>
      <c r="I1642" t="s">
        <v>24</v>
      </c>
      <c r="J1642" t="s">
        <v>25</v>
      </c>
      <c r="K1642" t="s">
        <v>33</v>
      </c>
      <c r="L1642">
        <v>1</v>
      </c>
      <c r="M1642">
        <v>1</v>
      </c>
      <c r="N1642">
        <v>6.8</v>
      </c>
      <c r="O1642">
        <v>7.7</v>
      </c>
      <c r="P1642">
        <v>6</v>
      </c>
      <c r="Q1642">
        <v>7</v>
      </c>
      <c r="R1642">
        <v>933937</v>
      </c>
      <c r="S1642">
        <f>Table1[[#This Row],[Revenue]]-Table1[[#This Row],[Operating_Costs]]</f>
        <v>455408</v>
      </c>
      <c r="T1642">
        <v>478529</v>
      </c>
      <c r="U1642">
        <v>40</v>
      </c>
      <c r="V1642">
        <v>61</v>
      </c>
      <c r="W1642">
        <v>13.7</v>
      </c>
    </row>
    <row r="1643" spans="1:23" x14ac:dyDescent="0.25">
      <c r="A1643">
        <v>5</v>
      </c>
      <c r="B1643" t="s">
        <v>22</v>
      </c>
      <c r="C1643" s="1">
        <v>44728</v>
      </c>
      <c r="D1643" t="s">
        <v>71</v>
      </c>
      <c r="E1643">
        <v>0</v>
      </c>
      <c r="F1643">
        <v>40</v>
      </c>
      <c r="G1643" t="str">
        <f t="shared" si="33"/>
        <v>21-40</v>
      </c>
      <c r="H1643" t="s">
        <v>35</v>
      </c>
      <c r="I1643" t="s">
        <v>36</v>
      </c>
      <c r="J1643" t="s">
        <v>37</v>
      </c>
      <c r="K1643" t="s">
        <v>38</v>
      </c>
      <c r="L1643">
        <v>1</v>
      </c>
      <c r="M1643">
        <v>1</v>
      </c>
      <c r="N1643">
        <v>3</v>
      </c>
      <c r="O1643">
        <v>9.5</v>
      </c>
      <c r="P1643">
        <v>3</v>
      </c>
      <c r="Q1643">
        <v>6</v>
      </c>
      <c r="R1643">
        <v>703129</v>
      </c>
      <c r="S1643">
        <f>Table1[[#This Row],[Revenue]]-Table1[[#This Row],[Operating_Costs]]</f>
        <v>324795</v>
      </c>
      <c r="T1643">
        <v>378334</v>
      </c>
      <c r="U1643">
        <v>39</v>
      </c>
      <c r="V1643">
        <v>54</v>
      </c>
      <c r="W1643">
        <v>10.7</v>
      </c>
    </row>
    <row r="1644" spans="1:23" x14ac:dyDescent="0.25">
      <c r="A1644">
        <v>5</v>
      </c>
      <c r="B1644" t="s">
        <v>22</v>
      </c>
      <c r="C1644" s="1">
        <v>45467</v>
      </c>
      <c r="D1644" t="s">
        <v>71</v>
      </c>
      <c r="E1644">
        <v>0</v>
      </c>
      <c r="F1644">
        <v>40</v>
      </c>
      <c r="G1644" t="str">
        <f t="shared" si="33"/>
        <v>21-40</v>
      </c>
      <c r="H1644" t="s">
        <v>23</v>
      </c>
      <c r="I1644" t="s">
        <v>58</v>
      </c>
      <c r="J1644" t="s">
        <v>59</v>
      </c>
      <c r="K1644" t="s">
        <v>29</v>
      </c>
      <c r="L1644">
        <v>1</v>
      </c>
      <c r="M1644">
        <v>1</v>
      </c>
      <c r="N1644">
        <v>2.2000000000000002</v>
      </c>
      <c r="O1644">
        <v>7.5</v>
      </c>
      <c r="P1644">
        <v>7</v>
      </c>
      <c r="Q1644">
        <v>6</v>
      </c>
      <c r="R1644">
        <v>870046</v>
      </c>
      <c r="S1644">
        <f>Table1[[#This Row],[Revenue]]-Table1[[#This Row],[Operating_Costs]]</f>
        <v>511082</v>
      </c>
      <c r="T1644">
        <v>358964</v>
      </c>
      <c r="U1644">
        <v>28</v>
      </c>
      <c r="V1644">
        <v>62</v>
      </c>
      <c r="W1644">
        <v>8.6999999999999993</v>
      </c>
    </row>
    <row r="1645" spans="1:23" x14ac:dyDescent="0.25">
      <c r="A1645">
        <v>5</v>
      </c>
      <c r="B1645" t="s">
        <v>22</v>
      </c>
      <c r="C1645" s="1">
        <v>45650</v>
      </c>
      <c r="D1645" t="s">
        <v>71</v>
      </c>
      <c r="E1645">
        <v>0</v>
      </c>
      <c r="F1645">
        <v>23</v>
      </c>
      <c r="G1645" t="str">
        <f t="shared" si="33"/>
        <v>21-40</v>
      </c>
      <c r="H1645" t="s">
        <v>35</v>
      </c>
      <c r="I1645" t="s">
        <v>27</v>
      </c>
      <c r="J1645" t="s">
        <v>28</v>
      </c>
      <c r="K1645" t="s">
        <v>26</v>
      </c>
      <c r="L1645">
        <v>1</v>
      </c>
      <c r="M1645">
        <v>1</v>
      </c>
      <c r="N1645">
        <v>4.4000000000000004</v>
      </c>
      <c r="O1645">
        <v>8.6999999999999993</v>
      </c>
      <c r="P1645">
        <v>3</v>
      </c>
      <c r="Q1645">
        <v>6</v>
      </c>
      <c r="R1645">
        <v>784240</v>
      </c>
      <c r="S1645">
        <f>Table1[[#This Row],[Revenue]]-Table1[[#This Row],[Operating_Costs]]</f>
        <v>347214</v>
      </c>
      <c r="T1645">
        <v>437026</v>
      </c>
      <c r="U1645">
        <v>22</v>
      </c>
      <c r="V1645">
        <v>55</v>
      </c>
      <c r="W1645">
        <v>7.7</v>
      </c>
    </row>
    <row r="1646" spans="1:23" x14ac:dyDescent="0.25">
      <c r="A1646">
        <v>5</v>
      </c>
      <c r="B1646" t="s">
        <v>22</v>
      </c>
      <c r="C1646" s="1">
        <v>45454</v>
      </c>
      <c r="D1646" t="s">
        <v>71</v>
      </c>
      <c r="E1646">
        <v>0</v>
      </c>
      <c r="F1646">
        <v>50</v>
      </c>
      <c r="G1646" t="str">
        <f t="shared" si="33"/>
        <v>41-60</v>
      </c>
      <c r="H1646" t="s">
        <v>35</v>
      </c>
      <c r="I1646" t="s">
        <v>58</v>
      </c>
      <c r="J1646" t="s">
        <v>59</v>
      </c>
      <c r="K1646" t="s">
        <v>29</v>
      </c>
      <c r="L1646">
        <v>1</v>
      </c>
      <c r="M1646">
        <v>1</v>
      </c>
      <c r="N1646">
        <v>5.5</v>
      </c>
      <c r="O1646">
        <v>9.1999999999999993</v>
      </c>
      <c r="P1646">
        <v>7</v>
      </c>
      <c r="Q1646">
        <v>7</v>
      </c>
      <c r="R1646">
        <v>783825</v>
      </c>
      <c r="S1646">
        <f>Table1[[#This Row],[Revenue]]-Table1[[#This Row],[Operating_Costs]]</f>
        <v>364368</v>
      </c>
      <c r="T1646">
        <v>419457</v>
      </c>
      <c r="U1646">
        <v>29</v>
      </c>
      <c r="V1646">
        <v>62</v>
      </c>
      <c r="W1646">
        <v>12</v>
      </c>
    </row>
    <row r="1647" spans="1:23" x14ac:dyDescent="0.25">
      <c r="A1647">
        <v>5</v>
      </c>
      <c r="B1647" t="s">
        <v>22</v>
      </c>
      <c r="C1647" s="1">
        <v>44985</v>
      </c>
      <c r="D1647" t="s">
        <v>71</v>
      </c>
      <c r="E1647">
        <v>0</v>
      </c>
      <c r="F1647">
        <v>41</v>
      </c>
      <c r="G1647" t="str">
        <f t="shared" si="33"/>
        <v>41-60</v>
      </c>
      <c r="H1647" t="s">
        <v>35</v>
      </c>
      <c r="I1647" t="s">
        <v>46</v>
      </c>
      <c r="J1647" t="s">
        <v>47</v>
      </c>
      <c r="K1647" t="s">
        <v>26</v>
      </c>
      <c r="L1647">
        <v>1</v>
      </c>
      <c r="M1647">
        <v>1</v>
      </c>
      <c r="N1647">
        <v>1.4</v>
      </c>
      <c r="O1647">
        <v>7.4</v>
      </c>
      <c r="P1647">
        <v>5</v>
      </c>
      <c r="Q1647">
        <v>4</v>
      </c>
      <c r="R1647">
        <v>723448</v>
      </c>
      <c r="S1647">
        <f>Table1[[#This Row],[Revenue]]-Table1[[#This Row],[Operating_Costs]]</f>
        <v>512582</v>
      </c>
      <c r="T1647">
        <v>210866</v>
      </c>
      <c r="U1647">
        <v>23</v>
      </c>
      <c r="V1647">
        <v>60</v>
      </c>
      <c r="W1647">
        <v>36.6</v>
      </c>
    </row>
    <row r="1648" spans="1:23" x14ac:dyDescent="0.25">
      <c r="A1648">
        <v>5</v>
      </c>
      <c r="B1648" t="s">
        <v>22</v>
      </c>
      <c r="C1648" s="1">
        <v>45444</v>
      </c>
      <c r="D1648" t="s">
        <v>71</v>
      </c>
      <c r="E1648">
        <v>0</v>
      </c>
      <c r="F1648">
        <v>88</v>
      </c>
      <c r="G1648" t="str">
        <f t="shared" si="33"/>
        <v>81+</v>
      </c>
      <c r="H1648" t="s">
        <v>35</v>
      </c>
      <c r="I1648" t="s">
        <v>36</v>
      </c>
      <c r="J1648" t="s">
        <v>37</v>
      </c>
      <c r="K1648" t="s">
        <v>29</v>
      </c>
      <c r="L1648">
        <v>1</v>
      </c>
      <c r="M1648">
        <v>1</v>
      </c>
      <c r="N1648">
        <v>1.7</v>
      </c>
      <c r="O1648">
        <v>9.5</v>
      </c>
      <c r="P1648">
        <v>5</v>
      </c>
      <c r="Q1648">
        <v>5</v>
      </c>
      <c r="R1648">
        <v>951314</v>
      </c>
      <c r="S1648">
        <f>Table1[[#This Row],[Revenue]]-Table1[[#This Row],[Operating_Costs]]</f>
        <v>644933</v>
      </c>
      <c r="T1648">
        <v>306381</v>
      </c>
      <c r="U1648">
        <v>27</v>
      </c>
      <c r="V1648">
        <v>57</v>
      </c>
      <c r="W1648">
        <v>7.6</v>
      </c>
    </row>
    <row r="1649" spans="1:23" x14ac:dyDescent="0.25">
      <c r="A1649">
        <v>5</v>
      </c>
      <c r="B1649" t="s">
        <v>22</v>
      </c>
      <c r="C1649" s="1">
        <v>44623</v>
      </c>
      <c r="D1649" t="s">
        <v>71</v>
      </c>
      <c r="E1649">
        <v>0</v>
      </c>
      <c r="F1649">
        <v>77</v>
      </c>
      <c r="G1649" t="str">
        <f t="shared" si="33"/>
        <v>61-80</v>
      </c>
      <c r="H1649" t="s">
        <v>35</v>
      </c>
      <c r="I1649" t="s">
        <v>64</v>
      </c>
      <c r="J1649" t="s">
        <v>65</v>
      </c>
      <c r="K1649" t="s">
        <v>38</v>
      </c>
      <c r="L1649">
        <v>1</v>
      </c>
      <c r="M1649">
        <v>1</v>
      </c>
      <c r="N1649">
        <v>1.5</v>
      </c>
      <c r="O1649">
        <v>7.9</v>
      </c>
      <c r="P1649">
        <v>5</v>
      </c>
      <c r="Q1649">
        <v>6</v>
      </c>
      <c r="R1649">
        <v>916930</v>
      </c>
      <c r="S1649">
        <f>Table1[[#This Row],[Revenue]]-Table1[[#This Row],[Operating_Costs]]</f>
        <v>571986</v>
      </c>
      <c r="T1649">
        <v>344944</v>
      </c>
      <c r="U1649">
        <v>24</v>
      </c>
      <c r="V1649">
        <v>66</v>
      </c>
      <c r="W1649">
        <v>5.0999999999999996</v>
      </c>
    </row>
    <row r="1650" spans="1:23" x14ac:dyDescent="0.25">
      <c r="A1650">
        <v>5</v>
      </c>
      <c r="B1650" t="s">
        <v>22</v>
      </c>
      <c r="C1650" s="1">
        <v>44767</v>
      </c>
      <c r="D1650" t="s">
        <v>71</v>
      </c>
      <c r="E1650">
        <v>0</v>
      </c>
      <c r="F1650">
        <v>25</v>
      </c>
      <c r="G1650" t="str">
        <f t="shared" si="33"/>
        <v>21-40</v>
      </c>
      <c r="H1650" t="s">
        <v>23</v>
      </c>
      <c r="I1650" t="s">
        <v>46</v>
      </c>
      <c r="J1650" t="s">
        <v>47</v>
      </c>
      <c r="K1650" t="s">
        <v>33</v>
      </c>
      <c r="L1650">
        <v>1</v>
      </c>
      <c r="M1650">
        <v>1</v>
      </c>
      <c r="N1650">
        <v>1.1000000000000001</v>
      </c>
      <c r="O1650">
        <v>9.1999999999999993</v>
      </c>
      <c r="P1650">
        <v>4</v>
      </c>
      <c r="Q1650">
        <v>3</v>
      </c>
      <c r="R1650">
        <v>761905</v>
      </c>
      <c r="S1650">
        <f>Table1[[#This Row],[Revenue]]-Table1[[#This Row],[Operating_Costs]]</f>
        <v>291547</v>
      </c>
      <c r="T1650">
        <v>470358</v>
      </c>
      <c r="U1650">
        <v>38</v>
      </c>
      <c r="V1650">
        <v>62</v>
      </c>
      <c r="W1650">
        <v>14.2</v>
      </c>
    </row>
    <row r="1651" spans="1:23" x14ac:dyDescent="0.25">
      <c r="A1651">
        <v>5</v>
      </c>
      <c r="B1651" t="s">
        <v>22</v>
      </c>
      <c r="C1651" s="1">
        <v>44946</v>
      </c>
      <c r="D1651" t="s">
        <v>71</v>
      </c>
      <c r="E1651">
        <v>0</v>
      </c>
      <c r="F1651">
        <v>27</v>
      </c>
      <c r="G1651" t="str">
        <f t="shared" si="33"/>
        <v>21-40</v>
      </c>
      <c r="H1651" t="s">
        <v>35</v>
      </c>
      <c r="I1651" t="s">
        <v>61</v>
      </c>
      <c r="J1651" t="s">
        <v>62</v>
      </c>
      <c r="K1651" t="s">
        <v>29</v>
      </c>
      <c r="L1651">
        <v>1</v>
      </c>
      <c r="M1651">
        <v>1</v>
      </c>
      <c r="N1651">
        <v>6.8</v>
      </c>
      <c r="O1651">
        <v>7</v>
      </c>
      <c r="P1651">
        <v>4</v>
      </c>
      <c r="Q1651">
        <v>5</v>
      </c>
      <c r="R1651">
        <v>762872</v>
      </c>
      <c r="S1651">
        <f>Table1[[#This Row],[Revenue]]-Table1[[#This Row],[Operating_Costs]]</f>
        <v>496463</v>
      </c>
      <c r="T1651">
        <v>266409</v>
      </c>
      <c r="U1651">
        <v>38</v>
      </c>
      <c r="V1651">
        <v>54</v>
      </c>
      <c r="W1651">
        <v>13.6</v>
      </c>
    </row>
    <row r="1652" spans="1:23" x14ac:dyDescent="0.25">
      <c r="A1652">
        <v>5</v>
      </c>
      <c r="B1652" t="s">
        <v>22</v>
      </c>
      <c r="C1652" s="1">
        <v>44636</v>
      </c>
      <c r="D1652" t="s">
        <v>71</v>
      </c>
      <c r="E1652">
        <v>0</v>
      </c>
      <c r="F1652">
        <v>44</v>
      </c>
      <c r="G1652" t="str">
        <f t="shared" si="33"/>
        <v>41-60</v>
      </c>
      <c r="H1652" t="s">
        <v>35</v>
      </c>
      <c r="I1652" t="s">
        <v>36</v>
      </c>
      <c r="J1652" t="s">
        <v>37</v>
      </c>
      <c r="K1652" t="s">
        <v>26</v>
      </c>
      <c r="L1652">
        <v>1</v>
      </c>
      <c r="M1652">
        <v>1</v>
      </c>
      <c r="N1652">
        <v>5.3</v>
      </c>
      <c r="O1652">
        <v>7.5</v>
      </c>
      <c r="P1652">
        <v>6</v>
      </c>
      <c r="Q1652">
        <v>5</v>
      </c>
      <c r="R1652">
        <v>977030</v>
      </c>
      <c r="S1652">
        <f>Table1[[#This Row],[Revenue]]-Table1[[#This Row],[Operating_Costs]]</f>
        <v>612098</v>
      </c>
      <c r="T1652">
        <v>364932</v>
      </c>
      <c r="U1652">
        <v>40</v>
      </c>
      <c r="V1652">
        <v>62</v>
      </c>
      <c r="W1652">
        <v>12.6</v>
      </c>
    </row>
    <row r="1653" spans="1:23" x14ac:dyDescent="0.25">
      <c r="A1653">
        <v>5</v>
      </c>
      <c r="B1653" t="s">
        <v>22</v>
      </c>
      <c r="C1653" s="1">
        <v>44878</v>
      </c>
      <c r="D1653" t="s">
        <v>71</v>
      </c>
      <c r="E1653">
        <v>0</v>
      </c>
      <c r="F1653">
        <v>65</v>
      </c>
      <c r="G1653" t="str">
        <f t="shared" si="33"/>
        <v>61-80</v>
      </c>
      <c r="H1653" t="s">
        <v>35</v>
      </c>
      <c r="I1653" t="s">
        <v>53</v>
      </c>
      <c r="J1653" t="s">
        <v>54</v>
      </c>
      <c r="K1653" t="s">
        <v>26</v>
      </c>
      <c r="L1653">
        <v>1</v>
      </c>
      <c r="M1653">
        <v>1</v>
      </c>
      <c r="N1653">
        <v>2.2999999999999998</v>
      </c>
      <c r="O1653">
        <v>9.4</v>
      </c>
      <c r="P1653">
        <v>4</v>
      </c>
      <c r="Q1653">
        <v>3</v>
      </c>
      <c r="R1653">
        <v>856680</v>
      </c>
      <c r="S1653">
        <f>Table1[[#This Row],[Revenue]]-Table1[[#This Row],[Operating_Costs]]</f>
        <v>436468</v>
      </c>
      <c r="T1653">
        <v>420212</v>
      </c>
      <c r="U1653">
        <v>28</v>
      </c>
      <c r="V1653">
        <v>61</v>
      </c>
      <c r="W1653">
        <v>12.4</v>
      </c>
    </row>
    <row r="1654" spans="1:23" x14ac:dyDescent="0.25">
      <c r="A1654">
        <v>5</v>
      </c>
      <c r="B1654" t="s">
        <v>22</v>
      </c>
      <c r="C1654" s="1">
        <v>45506</v>
      </c>
      <c r="D1654" t="s">
        <v>71</v>
      </c>
      <c r="E1654">
        <v>0</v>
      </c>
      <c r="F1654">
        <v>25</v>
      </c>
      <c r="G1654" t="str">
        <f t="shared" si="33"/>
        <v>21-40</v>
      </c>
      <c r="H1654" t="s">
        <v>35</v>
      </c>
      <c r="I1654" t="s">
        <v>36</v>
      </c>
      <c r="J1654" t="s">
        <v>37</v>
      </c>
      <c r="K1654" t="s">
        <v>26</v>
      </c>
      <c r="L1654">
        <v>1</v>
      </c>
      <c r="M1654">
        <v>1</v>
      </c>
      <c r="N1654">
        <v>2.4</v>
      </c>
      <c r="O1654">
        <v>7.3</v>
      </c>
      <c r="P1654">
        <v>6</v>
      </c>
      <c r="Q1654">
        <v>3</v>
      </c>
      <c r="R1654">
        <v>825259</v>
      </c>
      <c r="S1654">
        <f>Table1[[#This Row],[Revenue]]-Table1[[#This Row],[Operating_Costs]]</f>
        <v>564765</v>
      </c>
      <c r="T1654">
        <v>260494</v>
      </c>
      <c r="U1654">
        <v>29</v>
      </c>
      <c r="V1654">
        <v>60</v>
      </c>
      <c r="W1654">
        <v>9.5</v>
      </c>
    </row>
    <row r="1655" spans="1:23" x14ac:dyDescent="0.25">
      <c r="A1655">
        <v>5</v>
      </c>
      <c r="B1655" t="s">
        <v>22</v>
      </c>
      <c r="C1655" s="1">
        <v>45182</v>
      </c>
      <c r="D1655" t="s">
        <v>71</v>
      </c>
      <c r="E1655">
        <v>0</v>
      </c>
      <c r="F1655">
        <v>58</v>
      </c>
      <c r="G1655" t="str">
        <f t="shared" si="33"/>
        <v>41-60</v>
      </c>
      <c r="H1655" t="s">
        <v>35</v>
      </c>
      <c r="I1655" t="s">
        <v>53</v>
      </c>
      <c r="J1655" t="s">
        <v>54</v>
      </c>
      <c r="K1655" t="s">
        <v>29</v>
      </c>
      <c r="L1655">
        <v>1</v>
      </c>
      <c r="M1655">
        <v>1</v>
      </c>
      <c r="N1655">
        <v>2.4</v>
      </c>
      <c r="O1655">
        <v>9.9</v>
      </c>
      <c r="P1655">
        <v>4</v>
      </c>
      <c r="Q1655">
        <v>3</v>
      </c>
      <c r="R1655">
        <v>843476</v>
      </c>
      <c r="S1655">
        <f>Table1[[#This Row],[Revenue]]-Table1[[#This Row],[Operating_Costs]]</f>
        <v>345307</v>
      </c>
      <c r="T1655">
        <v>498169</v>
      </c>
      <c r="U1655">
        <v>20</v>
      </c>
      <c r="V1655">
        <v>61</v>
      </c>
      <c r="W1655">
        <v>9.9</v>
      </c>
    </row>
    <row r="1656" spans="1:23" x14ac:dyDescent="0.25">
      <c r="A1656">
        <v>5</v>
      </c>
      <c r="B1656" t="s">
        <v>22</v>
      </c>
      <c r="C1656" s="1">
        <v>44661</v>
      </c>
      <c r="D1656" t="s">
        <v>71</v>
      </c>
      <c r="E1656">
        <v>0</v>
      </c>
      <c r="F1656">
        <v>49</v>
      </c>
      <c r="G1656" t="str">
        <f t="shared" si="33"/>
        <v>41-60</v>
      </c>
      <c r="H1656" t="s">
        <v>35</v>
      </c>
      <c r="I1656" t="s">
        <v>40</v>
      </c>
      <c r="J1656" t="s">
        <v>41</v>
      </c>
      <c r="K1656" t="s">
        <v>29</v>
      </c>
      <c r="L1656">
        <v>1</v>
      </c>
      <c r="M1656">
        <v>1</v>
      </c>
      <c r="N1656">
        <v>1.2</v>
      </c>
      <c r="O1656">
        <v>8.9</v>
      </c>
      <c r="P1656">
        <v>6</v>
      </c>
      <c r="Q1656">
        <v>4</v>
      </c>
      <c r="R1656">
        <v>653130</v>
      </c>
      <c r="S1656">
        <f>Table1[[#This Row],[Revenue]]-Table1[[#This Row],[Operating_Costs]]</f>
        <v>246299</v>
      </c>
      <c r="T1656">
        <v>406831</v>
      </c>
      <c r="U1656">
        <v>35</v>
      </c>
      <c r="V1656">
        <v>63</v>
      </c>
      <c r="W1656">
        <v>12.6</v>
      </c>
    </row>
    <row r="1657" spans="1:23" x14ac:dyDescent="0.25">
      <c r="A1657">
        <v>5</v>
      </c>
      <c r="B1657" t="s">
        <v>22</v>
      </c>
      <c r="C1657" s="1">
        <v>44626</v>
      </c>
      <c r="D1657" t="s">
        <v>71</v>
      </c>
      <c r="E1657">
        <v>0</v>
      </c>
      <c r="F1657">
        <v>86</v>
      </c>
      <c r="G1657" t="str">
        <f t="shared" si="33"/>
        <v>81+</v>
      </c>
      <c r="H1657" t="s">
        <v>35</v>
      </c>
      <c r="I1657" t="s">
        <v>61</v>
      </c>
      <c r="J1657" t="s">
        <v>62</v>
      </c>
      <c r="K1657" t="s">
        <v>38</v>
      </c>
      <c r="L1657">
        <v>1</v>
      </c>
      <c r="M1657">
        <v>1</v>
      </c>
      <c r="N1657">
        <v>4.9000000000000004</v>
      </c>
      <c r="O1657">
        <v>8</v>
      </c>
      <c r="P1657">
        <v>6</v>
      </c>
      <c r="Q1657">
        <v>3</v>
      </c>
      <c r="R1657">
        <v>775988</v>
      </c>
      <c r="S1657">
        <f>Table1[[#This Row],[Revenue]]-Table1[[#This Row],[Operating_Costs]]</f>
        <v>349362</v>
      </c>
      <c r="T1657">
        <v>426626</v>
      </c>
      <c r="U1657">
        <v>33</v>
      </c>
      <c r="V1657">
        <v>56</v>
      </c>
      <c r="W1657">
        <v>36.9</v>
      </c>
    </row>
    <row r="1658" spans="1:23" x14ac:dyDescent="0.25">
      <c r="A1658">
        <v>5</v>
      </c>
      <c r="B1658" t="s">
        <v>22</v>
      </c>
      <c r="C1658" s="1">
        <v>45614</v>
      </c>
      <c r="D1658" t="s">
        <v>71</v>
      </c>
      <c r="E1658">
        <v>0</v>
      </c>
      <c r="F1658">
        <v>30</v>
      </c>
      <c r="G1658" t="str">
        <f t="shared" si="33"/>
        <v>21-40</v>
      </c>
      <c r="H1658" t="s">
        <v>23</v>
      </c>
      <c r="I1658" t="s">
        <v>50</v>
      </c>
      <c r="J1658" t="s">
        <v>51</v>
      </c>
      <c r="K1658" t="s">
        <v>29</v>
      </c>
      <c r="L1658">
        <v>1</v>
      </c>
      <c r="M1658">
        <v>1</v>
      </c>
      <c r="N1658">
        <v>1.8</v>
      </c>
      <c r="O1658">
        <v>8</v>
      </c>
      <c r="P1658">
        <v>6</v>
      </c>
      <c r="Q1658">
        <v>4</v>
      </c>
      <c r="R1658">
        <v>602276</v>
      </c>
      <c r="S1658">
        <f>Table1[[#This Row],[Revenue]]-Table1[[#This Row],[Operating_Costs]]</f>
        <v>166193</v>
      </c>
      <c r="T1658">
        <v>436083</v>
      </c>
      <c r="U1658">
        <v>32</v>
      </c>
      <c r="V1658">
        <v>64</v>
      </c>
      <c r="W1658">
        <v>12.8</v>
      </c>
    </row>
    <row r="1659" spans="1:23" x14ac:dyDescent="0.25">
      <c r="A1659">
        <v>5</v>
      </c>
      <c r="B1659" t="s">
        <v>22</v>
      </c>
      <c r="C1659" s="1">
        <v>45304</v>
      </c>
      <c r="D1659" t="s">
        <v>71</v>
      </c>
      <c r="E1659">
        <v>0</v>
      </c>
      <c r="F1659">
        <v>83</v>
      </c>
      <c r="G1659" t="str">
        <f t="shared" si="33"/>
        <v>81+</v>
      </c>
      <c r="H1659" t="s">
        <v>23</v>
      </c>
      <c r="I1659" t="s">
        <v>43</v>
      </c>
      <c r="J1659" t="s">
        <v>25</v>
      </c>
      <c r="K1659" t="s">
        <v>29</v>
      </c>
      <c r="L1659">
        <v>1</v>
      </c>
      <c r="M1659">
        <v>1</v>
      </c>
      <c r="N1659">
        <v>3.2</v>
      </c>
      <c r="O1659">
        <v>7.8</v>
      </c>
      <c r="P1659">
        <v>5</v>
      </c>
      <c r="Q1659">
        <v>4</v>
      </c>
      <c r="R1659">
        <v>681463</v>
      </c>
      <c r="S1659">
        <f>Table1[[#This Row],[Revenue]]-Table1[[#This Row],[Operating_Costs]]</f>
        <v>307662</v>
      </c>
      <c r="T1659">
        <v>373801</v>
      </c>
      <c r="U1659">
        <v>35</v>
      </c>
      <c r="V1659">
        <v>57</v>
      </c>
      <c r="W1659">
        <v>36.5</v>
      </c>
    </row>
    <row r="1660" spans="1:23" x14ac:dyDescent="0.25">
      <c r="A1660">
        <v>4</v>
      </c>
      <c r="B1660" t="s">
        <v>69</v>
      </c>
      <c r="C1660" s="1">
        <v>45407</v>
      </c>
      <c r="D1660" t="s">
        <v>71</v>
      </c>
      <c r="E1660">
        <v>0</v>
      </c>
      <c r="F1660">
        <v>53</v>
      </c>
      <c r="G1660" t="str">
        <f t="shared" si="33"/>
        <v>41-60</v>
      </c>
      <c r="H1660" t="s">
        <v>23</v>
      </c>
      <c r="I1660" t="s">
        <v>58</v>
      </c>
      <c r="J1660" t="s">
        <v>59</v>
      </c>
      <c r="K1660" t="s">
        <v>29</v>
      </c>
      <c r="L1660">
        <v>1</v>
      </c>
      <c r="M1660">
        <v>1</v>
      </c>
      <c r="N1660">
        <v>4.7</v>
      </c>
      <c r="O1660">
        <v>7.4</v>
      </c>
      <c r="P1660">
        <v>5</v>
      </c>
      <c r="Q1660">
        <v>7</v>
      </c>
      <c r="R1660">
        <v>895220</v>
      </c>
      <c r="S1660">
        <f>Table1[[#This Row],[Revenue]]-Table1[[#This Row],[Operating_Costs]]</f>
        <v>257202</v>
      </c>
      <c r="T1660">
        <v>638018</v>
      </c>
      <c r="U1660">
        <v>34</v>
      </c>
      <c r="V1660">
        <v>60</v>
      </c>
      <c r="W1660">
        <v>5.0999999999999996</v>
      </c>
    </row>
    <row r="1661" spans="1:23" x14ac:dyDescent="0.25">
      <c r="A1661">
        <v>4</v>
      </c>
      <c r="B1661" t="s">
        <v>69</v>
      </c>
      <c r="C1661" s="1">
        <v>45275</v>
      </c>
      <c r="D1661" t="s">
        <v>71</v>
      </c>
      <c r="E1661">
        <v>0</v>
      </c>
      <c r="F1661">
        <v>59</v>
      </c>
      <c r="G1661" t="str">
        <f t="shared" si="33"/>
        <v>41-60</v>
      </c>
      <c r="H1661" t="s">
        <v>23</v>
      </c>
      <c r="I1661" t="s">
        <v>24</v>
      </c>
      <c r="J1661" t="s">
        <v>25</v>
      </c>
      <c r="K1661" t="s">
        <v>33</v>
      </c>
      <c r="L1661">
        <v>1</v>
      </c>
      <c r="M1661">
        <v>1</v>
      </c>
      <c r="N1661">
        <v>3.3</v>
      </c>
      <c r="O1661">
        <v>8.6</v>
      </c>
      <c r="P1661">
        <v>5</v>
      </c>
      <c r="Q1661">
        <v>7</v>
      </c>
      <c r="R1661">
        <v>958963</v>
      </c>
      <c r="S1661">
        <f>Table1[[#This Row],[Revenue]]-Table1[[#This Row],[Operating_Costs]]</f>
        <v>304908</v>
      </c>
      <c r="T1661">
        <v>654055</v>
      </c>
      <c r="U1661">
        <v>48</v>
      </c>
      <c r="V1661">
        <v>55</v>
      </c>
      <c r="W1661">
        <v>9.9</v>
      </c>
    </row>
    <row r="1662" spans="1:23" x14ac:dyDescent="0.25">
      <c r="A1662">
        <v>4</v>
      </c>
      <c r="B1662" t="s">
        <v>69</v>
      </c>
      <c r="C1662" s="1">
        <v>44352</v>
      </c>
      <c r="D1662" t="s">
        <v>71</v>
      </c>
      <c r="E1662">
        <v>0</v>
      </c>
      <c r="F1662">
        <v>34</v>
      </c>
      <c r="G1662" t="str">
        <f t="shared" si="33"/>
        <v>21-40</v>
      </c>
      <c r="H1662" t="s">
        <v>23</v>
      </c>
      <c r="I1662" t="s">
        <v>31</v>
      </c>
      <c r="J1662" t="s">
        <v>28</v>
      </c>
      <c r="K1662" t="s">
        <v>33</v>
      </c>
      <c r="L1662">
        <v>1</v>
      </c>
      <c r="M1662">
        <v>1</v>
      </c>
      <c r="N1662">
        <v>2.9</v>
      </c>
      <c r="O1662">
        <v>7.1</v>
      </c>
      <c r="P1662">
        <v>7</v>
      </c>
      <c r="Q1662">
        <v>6</v>
      </c>
      <c r="R1662">
        <v>907966</v>
      </c>
      <c r="S1662">
        <f>Table1[[#This Row],[Revenue]]-Table1[[#This Row],[Operating_Costs]]</f>
        <v>329365</v>
      </c>
      <c r="T1662">
        <v>578601</v>
      </c>
      <c r="U1662">
        <v>50</v>
      </c>
      <c r="V1662">
        <v>64</v>
      </c>
      <c r="W1662">
        <v>8.9</v>
      </c>
    </row>
    <row r="1663" spans="1:23" x14ac:dyDescent="0.25">
      <c r="A1663">
        <v>4</v>
      </c>
      <c r="B1663" t="s">
        <v>69</v>
      </c>
      <c r="C1663" s="1">
        <v>44258</v>
      </c>
      <c r="D1663" t="s">
        <v>71</v>
      </c>
      <c r="E1663">
        <v>0</v>
      </c>
      <c r="F1663">
        <v>89</v>
      </c>
      <c r="G1663" t="str">
        <f t="shared" si="33"/>
        <v>81+</v>
      </c>
      <c r="H1663" t="s">
        <v>23</v>
      </c>
      <c r="I1663" t="s">
        <v>43</v>
      </c>
      <c r="J1663" t="s">
        <v>25</v>
      </c>
      <c r="K1663" t="s">
        <v>29</v>
      </c>
      <c r="L1663">
        <v>1</v>
      </c>
      <c r="M1663">
        <v>1</v>
      </c>
      <c r="N1663">
        <v>4.5999999999999996</v>
      </c>
      <c r="O1663">
        <v>9.6999999999999993</v>
      </c>
      <c r="P1663">
        <v>4</v>
      </c>
      <c r="Q1663">
        <v>5</v>
      </c>
      <c r="R1663">
        <v>958253</v>
      </c>
      <c r="S1663">
        <f>Table1[[#This Row],[Revenue]]-Table1[[#This Row],[Operating_Costs]]</f>
        <v>285210</v>
      </c>
      <c r="T1663">
        <v>673043</v>
      </c>
      <c r="U1663">
        <v>44</v>
      </c>
      <c r="V1663">
        <v>55</v>
      </c>
      <c r="W1663">
        <v>9.6999999999999993</v>
      </c>
    </row>
    <row r="1664" spans="1:23" x14ac:dyDescent="0.25">
      <c r="A1664">
        <v>4</v>
      </c>
      <c r="B1664" t="s">
        <v>69</v>
      </c>
      <c r="C1664" s="1">
        <v>44929</v>
      </c>
      <c r="D1664" t="s">
        <v>71</v>
      </c>
      <c r="E1664">
        <v>0</v>
      </c>
      <c r="F1664">
        <v>39</v>
      </c>
      <c r="G1664" t="str">
        <f t="shared" si="33"/>
        <v>21-40</v>
      </c>
      <c r="H1664" t="s">
        <v>23</v>
      </c>
      <c r="I1664" t="s">
        <v>31</v>
      </c>
      <c r="J1664" t="s">
        <v>28</v>
      </c>
      <c r="K1664" t="s">
        <v>38</v>
      </c>
      <c r="L1664">
        <v>1</v>
      </c>
      <c r="M1664">
        <v>1</v>
      </c>
      <c r="N1664">
        <v>4.0999999999999996</v>
      </c>
      <c r="O1664">
        <v>7.7</v>
      </c>
      <c r="P1664">
        <v>5</v>
      </c>
      <c r="Q1664">
        <v>6</v>
      </c>
      <c r="R1664">
        <v>844100</v>
      </c>
      <c r="S1664">
        <f>Table1[[#This Row],[Revenue]]-Table1[[#This Row],[Operating_Costs]]</f>
        <v>204221</v>
      </c>
      <c r="T1664">
        <v>639879</v>
      </c>
      <c r="U1664">
        <v>47</v>
      </c>
      <c r="V1664">
        <v>61</v>
      </c>
      <c r="W1664">
        <v>8.5</v>
      </c>
    </row>
    <row r="1665" spans="1:23" x14ac:dyDescent="0.25">
      <c r="A1665">
        <v>4</v>
      </c>
      <c r="B1665" t="s">
        <v>69</v>
      </c>
      <c r="C1665" s="1">
        <v>44389</v>
      </c>
      <c r="D1665" t="s">
        <v>71</v>
      </c>
      <c r="E1665">
        <v>0</v>
      </c>
      <c r="F1665">
        <v>30</v>
      </c>
      <c r="G1665" t="str">
        <f t="shared" si="33"/>
        <v>21-40</v>
      </c>
      <c r="H1665" t="s">
        <v>23</v>
      </c>
      <c r="I1665" t="s">
        <v>64</v>
      </c>
      <c r="J1665" t="s">
        <v>65</v>
      </c>
      <c r="K1665" t="s">
        <v>33</v>
      </c>
      <c r="L1665">
        <v>1</v>
      </c>
      <c r="M1665">
        <v>1</v>
      </c>
      <c r="N1665">
        <v>1.2</v>
      </c>
      <c r="O1665">
        <v>9.3000000000000007</v>
      </c>
      <c r="P1665">
        <v>5</v>
      </c>
      <c r="Q1665">
        <v>5</v>
      </c>
      <c r="R1665">
        <v>840967</v>
      </c>
      <c r="S1665">
        <f>Table1[[#This Row],[Revenue]]-Table1[[#This Row],[Operating_Costs]]</f>
        <v>250248</v>
      </c>
      <c r="T1665">
        <v>590719</v>
      </c>
      <c r="U1665">
        <v>58</v>
      </c>
      <c r="V1665">
        <v>58</v>
      </c>
      <c r="W1665">
        <v>14.8</v>
      </c>
    </row>
    <row r="1666" spans="1:23" x14ac:dyDescent="0.25">
      <c r="A1666">
        <v>4</v>
      </c>
      <c r="B1666" t="s">
        <v>69</v>
      </c>
      <c r="C1666" s="1">
        <v>44837</v>
      </c>
      <c r="D1666" t="s">
        <v>71</v>
      </c>
      <c r="E1666">
        <v>0</v>
      </c>
      <c r="F1666">
        <v>53</v>
      </c>
      <c r="G1666" t="str">
        <f t="shared" si="33"/>
        <v>41-60</v>
      </c>
      <c r="H1666" t="s">
        <v>35</v>
      </c>
      <c r="I1666" t="s">
        <v>36</v>
      </c>
      <c r="J1666" t="s">
        <v>37</v>
      </c>
      <c r="K1666" t="s">
        <v>29</v>
      </c>
      <c r="L1666">
        <v>1</v>
      </c>
      <c r="M1666">
        <v>1</v>
      </c>
      <c r="N1666">
        <v>5.7</v>
      </c>
      <c r="O1666">
        <v>8</v>
      </c>
      <c r="P1666">
        <v>7</v>
      </c>
      <c r="Q1666">
        <v>6</v>
      </c>
      <c r="R1666">
        <v>977078</v>
      </c>
      <c r="S1666">
        <f>Table1[[#This Row],[Revenue]]-Table1[[#This Row],[Operating_Costs]]</f>
        <v>445225</v>
      </c>
      <c r="T1666">
        <v>531853</v>
      </c>
      <c r="U1666">
        <v>51</v>
      </c>
      <c r="V1666">
        <v>57</v>
      </c>
      <c r="W1666">
        <v>15</v>
      </c>
    </row>
    <row r="1667" spans="1:23" x14ac:dyDescent="0.25">
      <c r="A1667">
        <v>4</v>
      </c>
      <c r="B1667" t="s">
        <v>69</v>
      </c>
      <c r="C1667" s="1">
        <v>44866</v>
      </c>
      <c r="D1667" t="s">
        <v>71</v>
      </c>
      <c r="E1667">
        <v>0</v>
      </c>
      <c r="F1667">
        <v>73</v>
      </c>
      <c r="G1667" t="str">
        <f t="shared" ref="G1667:G1730" si="34">IF(F1667&lt;=20,"0-20",IF(F1667&lt;=40,"21-40",IF(F1667&lt;=60,"41-60",IF(F1667&lt;=80,"61-80","81+"))))</f>
        <v>61-80</v>
      </c>
      <c r="H1667" t="s">
        <v>35</v>
      </c>
      <c r="I1667" t="s">
        <v>27</v>
      </c>
      <c r="J1667" t="s">
        <v>28</v>
      </c>
      <c r="K1667" t="s">
        <v>26</v>
      </c>
      <c r="L1667">
        <v>1</v>
      </c>
      <c r="M1667">
        <v>1</v>
      </c>
      <c r="N1667">
        <v>1.7</v>
      </c>
      <c r="O1667">
        <v>7.6</v>
      </c>
      <c r="P1667">
        <v>4</v>
      </c>
      <c r="Q1667">
        <v>5</v>
      </c>
      <c r="R1667">
        <v>884365</v>
      </c>
      <c r="S1667">
        <f>Table1[[#This Row],[Revenue]]-Table1[[#This Row],[Operating_Costs]]</f>
        <v>267555</v>
      </c>
      <c r="T1667">
        <v>616810</v>
      </c>
      <c r="U1667">
        <v>45</v>
      </c>
      <c r="V1667">
        <v>54</v>
      </c>
      <c r="W1667">
        <v>8.3000000000000007</v>
      </c>
    </row>
    <row r="1668" spans="1:23" x14ac:dyDescent="0.25">
      <c r="A1668">
        <v>4</v>
      </c>
      <c r="B1668" t="s">
        <v>69</v>
      </c>
      <c r="C1668" s="1">
        <v>44199</v>
      </c>
      <c r="D1668" t="s">
        <v>71</v>
      </c>
      <c r="E1668">
        <v>0</v>
      </c>
      <c r="F1668">
        <v>44</v>
      </c>
      <c r="G1668" t="str">
        <f t="shared" si="34"/>
        <v>41-60</v>
      </c>
      <c r="H1668" t="s">
        <v>23</v>
      </c>
      <c r="I1668" t="s">
        <v>50</v>
      </c>
      <c r="J1668" t="s">
        <v>51</v>
      </c>
      <c r="K1668" t="s">
        <v>42</v>
      </c>
      <c r="L1668">
        <v>1</v>
      </c>
      <c r="M1668">
        <v>1</v>
      </c>
      <c r="N1668">
        <v>3.1</v>
      </c>
      <c r="O1668">
        <v>7.7</v>
      </c>
      <c r="P1668">
        <v>7</v>
      </c>
      <c r="Q1668">
        <v>6</v>
      </c>
      <c r="R1668">
        <v>986749</v>
      </c>
      <c r="S1668">
        <f>Table1[[#This Row],[Revenue]]-Table1[[#This Row],[Operating_Costs]]</f>
        <v>363554</v>
      </c>
      <c r="T1668">
        <v>623195</v>
      </c>
      <c r="U1668">
        <v>46</v>
      </c>
      <c r="V1668">
        <v>54</v>
      </c>
      <c r="W1668">
        <v>5.9</v>
      </c>
    </row>
    <row r="1669" spans="1:23" x14ac:dyDescent="0.25">
      <c r="A1669">
        <v>4</v>
      </c>
      <c r="B1669" t="s">
        <v>69</v>
      </c>
      <c r="C1669" s="1">
        <v>45186</v>
      </c>
      <c r="D1669" t="s">
        <v>71</v>
      </c>
      <c r="E1669">
        <v>0</v>
      </c>
      <c r="F1669">
        <v>35</v>
      </c>
      <c r="G1669" t="str">
        <f t="shared" si="34"/>
        <v>21-40</v>
      </c>
      <c r="H1669" t="s">
        <v>35</v>
      </c>
      <c r="I1669" t="s">
        <v>31</v>
      </c>
      <c r="J1669" t="s">
        <v>28</v>
      </c>
      <c r="K1669" t="s">
        <v>33</v>
      </c>
      <c r="L1669">
        <v>1</v>
      </c>
      <c r="M1669">
        <v>1</v>
      </c>
      <c r="N1669">
        <v>2.4</v>
      </c>
      <c r="O1669">
        <v>7.9</v>
      </c>
      <c r="P1669">
        <v>4</v>
      </c>
      <c r="Q1669">
        <v>5</v>
      </c>
      <c r="R1669">
        <v>829208</v>
      </c>
      <c r="S1669">
        <f>Table1[[#This Row],[Revenue]]-Table1[[#This Row],[Operating_Costs]]</f>
        <v>255993</v>
      </c>
      <c r="T1669">
        <v>573215</v>
      </c>
      <c r="U1669">
        <v>43</v>
      </c>
      <c r="V1669">
        <v>61</v>
      </c>
      <c r="W1669">
        <v>8.3000000000000007</v>
      </c>
    </row>
    <row r="1670" spans="1:23" x14ac:dyDescent="0.25">
      <c r="A1670">
        <v>4</v>
      </c>
      <c r="B1670" t="s">
        <v>69</v>
      </c>
      <c r="C1670" s="1">
        <v>44251</v>
      </c>
      <c r="D1670" t="s">
        <v>71</v>
      </c>
      <c r="E1670">
        <v>0</v>
      </c>
      <c r="F1670">
        <v>89</v>
      </c>
      <c r="G1670" t="str">
        <f t="shared" si="34"/>
        <v>81+</v>
      </c>
      <c r="H1670" t="s">
        <v>23</v>
      </c>
      <c r="I1670" t="s">
        <v>24</v>
      </c>
      <c r="J1670" t="s">
        <v>25</v>
      </c>
      <c r="K1670" t="s">
        <v>33</v>
      </c>
      <c r="L1670">
        <v>1</v>
      </c>
      <c r="M1670">
        <v>1</v>
      </c>
      <c r="N1670">
        <v>6.9</v>
      </c>
      <c r="O1670">
        <v>7</v>
      </c>
      <c r="P1670">
        <v>4</v>
      </c>
      <c r="Q1670">
        <v>3</v>
      </c>
      <c r="R1670">
        <v>860039</v>
      </c>
      <c r="S1670">
        <f>Table1[[#This Row],[Revenue]]-Table1[[#This Row],[Operating_Costs]]</f>
        <v>224611</v>
      </c>
      <c r="T1670">
        <v>635428</v>
      </c>
      <c r="U1670">
        <v>53</v>
      </c>
      <c r="V1670">
        <v>58</v>
      </c>
      <c r="W1670">
        <v>14</v>
      </c>
    </row>
    <row r="1671" spans="1:23" x14ac:dyDescent="0.25">
      <c r="A1671">
        <v>4</v>
      </c>
      <c r="B1671" t="s">
        <v>69</v>
      </c>
      <c r="C1671" s="1">
        <v>44955</v>
      </c>
      <c r="D1671" t="s">
        <v>71</v>
      </c>
      <c r="E1671">
        <v>0</v>
      </c>
      <c r="F1671">
        <v>22</v>
      </c>
      <c r="G1671" t="str">
        <f t="shared" si="34"/>
        <v>21-40</v>
      </c>
      <c r="H1671" t="s">
        <v>23</v>
      </c>
      <c r="I1671" t="s">
        <v>67</v>
      </c>
      <c r="J1671" t="s">
        <v>68</v>
      </c>
      <c r="K1671" t="s">
        <v>33</v>
      </c>
      <c r="L1671">
        <v>1</v>
      </c>
      <c r="M1671">
        <v>1</v>
      </c>
      <c r="N1671">
        <v>4.8</v>
      </c>
      <c r="O1671">
        <v>9.8000000000000007</v>
      </c>
      <c r="P1671">
        <v>6</v>
      </c>
      <c r="Q1671">
        <v>5</v>
      </c>
      <c r="R1671">
        <v>964710</v>
      </c>
      <c r="S1671">
        <f>Table1[[#This Row],[Revenue]]-Table1[[#This Row],[Operating_Costs]]</f>
        <v>459061</v>
      </c>
      <c r="T1671">
        <v>505649</v>
      </c>
      <c r="U1671">
        <v>55</v>
      </c>
      <c r="V1671">
        <v>58</v>
      </c>
      <c r="W1671">
        <v>8.6</v>
      </c>
    </row>
    <row r="1672" spans="1:23" x14ac:dyDescent="0.25">
      <c r="A1672">
        <v>4</v>
      </c>
      <c r="B1672" t="s">
        <v>69</v>
      </c>
      <c r="C1672" s="1">
        <v>45344</v>
      </c>
      <c r="D1672" t="s">
        <v>71</v>
      </c>
      <c r="E1672">
        <v>0</v>
      </c>
      <c r="F1672">
        <v>56</v>
      </c>
      <c r="G1672" t="str">
        <f t="shared" si="34"/>
        <v>41-60</v>
      </c>
      <c r="H1672" t="s">
        <v>35</v>
      </c>
      <c r="I1672" t="s">
        <v>31</v>
      </c>
      <c r="J1672" t="s">
        <v>28</v>
      </c>
      <c r="K1672" t="s">
        <v>42</v>
      </c>
      <c r="L1672">
        <v>1</v>
      </c>
      <c r="M1672">
        <v>1</v>
      </c>
      <c r="N1672">
        <v>5.4</v>
      </c>
      <c r="O1672">
        <v>7.7</v>
      </c>
      <c r="P1672">
        <v>6</v>
      </c>
      <c r="Q1672">
        <v>3</v>
      </c>
      <c r="R1672">
        <v>876663</v>
      </c>
      <c r="S1672">
        <f>Table1[[#This Row],[Revenue]]-Table1[[#This Row],[Operating_Costs]]</f>
        <v>371315</v>
      </c>
      <c r="T1672">
        <v>505348</v>
      </c>
      <c r="U1672">
        <v>60</v>
      </c>
      <c r="V1672">
        <v>54</v>
      </c>
      <c r="W1672">
        <v>13.6</v>
      </c>
    </row>
    <row r="1673" spans="1:23" x14ac:dyDescent="0.25">
      <c r="A1673">
        <v>4</v>
      </c>
      <c r="B1673" t="s">
        <v>69</v>
      </c>
      <c r="C1673" s="1">
        <v>44530</v>
      </c>
      <c r="D1673" t="s">
        <v>71</v>
      </c>
      <c r="E1673">
        <v>0</v>
      </c>
      <c r="F1673">
        <v>55</v>
      </c>
      <c r="G1673" t="str">
        <f t="shared" si="34"/>
        <v>41-60</v>
      </c>
      <c r="H1673" t="s">
        <v>35</v>
      </c>
      <c r="I1673" t="s">
        <v>31</v>
      </c>
      <c r="J1673" t="s">
        <v>28</v>
      </c>
      <c r="K1673" t="s">
        <v>38</v>
      </c>
      <c r="L1673">
        <v>1</v>
      </c>
      <c r="M1673">
        <v>1</v>
      </c>
      <c r="N1673">
        <v>5.4</v>
      </c>
      <c r="O1673">
        <v>8.1999999999999993</v>
      </c>
      <c r="P1673">
        <v>7</v>
      </c>
      <c r="Q1673">
        <v>5</v>
      </c>
      <c r="R1673">
        <v>901423</v>
      </c>
      <c r="S1673">
        <f>Table1[[#This Row],[Revenue]]-Table1[[#This Row],[Operating_Costs]]</f>
        <v>282277</v>
      </c>
      <c r="T1673">
        <v>619146</v>
      </c>
      <c r="U1673">
        <v>48</v>
      </c>
      <c r="V1673">
        <v>56</v>
      </c>
      <c r="W1673">
        <v>13.5</v>
      </c>
    </row>
    <row r="1674" spans="1:23" x14ac:dyDescent="0.25">
      <c r="A1674">
        <v>4</v>
      </c>
      <c r="B1674" t="s">
        <v>69</v>
      </c>
      <c r="C1674" s="1">
        <v>44490</v>
      </c>
      <c r="D1674" t="s">
        <v>71</v>
      </c>
      <c r="E1674">
        <v>0</v>
      </c>
      <c r="F1674">
        <v>41</v>
      </c>
      <c r="G1674" t="str">
        <f t="shared" si="34"/>
        <v>41-60</v>
      </c>
      <c r="H1674" t="s">
        <v>35</v>
      </c>
      <c r="I1674" t="s">
        <v>61</v>
      </c>
      <c r="J1674" t="s">
        <v>62</v>
      </c>
      <c r="K1674" t="s">
        <v>29</v>
      </c>
      <c r="L1674">
        <v>1</v>
      </c>
      <c r="M1674">
        <v>1</v>
      </c>
      <c r="N1674">
        <v>2.5</v>
      </c>
      <c r="O1674">
        <v>10</v>
      </c>
      <c r="P1674">
        <v>4</v>
      </c>
      <c r="Q1674">
        <v>5</v>
      </c>
      <c r="R1674">
        <v>858504</v>
      </c>
      <c r="S1674">
        <f>Table1[[#This Row],[Revenue]]-Table1[[#This Row],[Operating_Costs]]</f>
        <v>241734</v>
      </c>
      <c r="T1674">
        <v>616770</v>
      </c>
      <c r="U1674">
        <v>31</v>
      </c>
      <c r="V1674">
        <v>55</v>
      </c>
      <c r="W1674">
        <v>8.4</v>
      </c>
    </row>
    <row r="1675" spans="1:23" x14ac:dyDescent="0.25">
      <c r="A1675">
        <v>4</v>
      </c>
      <c r="B1675" t="s">
        <v>69</v>
      </c>
      <c r="C1675" s="1">
        <v>45302</v>
      </c>
      <c r="D1675" t="s">
        <v>71</v>
      </c>
      <c r="E1675">
        <v>0</v>
      </c>
      <c r="F1675">
        <v>58</v>
      </c>
      <c r="G1675" t="str">
        <f t="shared" si="34"/>
        <v>41-60</v>
      </c>
      <c r="H1675" t="s">
        <v>23</v>
      </c>
      <c r="I1675" t="s">
        <v>40</v>
      </c>
      <c r="J1675" t="s">
        <v>41</v>
      </c>
      <c r="K1675" t="s">
        <v>33</v>
      </c>
      <c r="L1675">
        <v>1</v>
      </c>
      <c r="M1675">
        <v>1</v>
      </c>
      <c r="N1675">
        <v>6.5</v>
      </c>
      <c r="O1675">
        <v>8.4</v>
      </c>
      <c r="P1675">
        <v>3</v>
      </c>
      <c r="Q1675">
        <v>7</v>
      </c>
      <c r="R1675">
        <v>838796</v>
      </c>
      <c r="S1675">
        <f>Table1[[#This Row],[Revenue]]-Table1[[#This Row],[Operating_Costs]]</f>
        <v>324498</v>
      </c>
      <c r="T1675">
        <v>514298</v>
      </c>
      <c r="U1675">
        <v>50</v>
      </c>
      <c r="V1675">
        <v>62</v>
      </c>
      <c r="W1675">
        <v>7.9</v>
      </c>
    </row>
    <row r="1676" spans="1:23" x14ac:dyDescent="0.25">
      <c r="A1676">
        <v>4</v>
      </c>
      <c r="B1676" t="s">
        <v>69</v>
      </c>
      <c r="C1676" s="1">
        <v>44488</v>
      </c>
      <c r="D1676" t="s">
        <v>71</v>
      </c>
      <c r="E1676">
        <v>0</v>
      </c>
      <c r="F1676">
        <v>85</v>
      </c>
      <c r="G1676" t="str">
        <f t="shared" si="34"/>
        <v>81+</v>
      </c>
      <c r="H1676" t="s">
        <v>23</v>
      </c>
      <c r="I1676" t="s">
        <v>24</v>
      </c>
      <c r="J1676" t="s">
        <v>25</v>
      </c>
      <c r="K1676" t="s">
        <v>42</v>
      </c>
      <c r="L1676">
        <v>1</v>
      </c>
      <c r="M1676">
        <v>1</v>
      </c>
      <c r="N1676">
        <v>1.1000000000000001</v>
      </c>
      <c r="O1676">
        <v>9.5</v>
      </c>
      <c r="P1676">
        <v>5</v>
      </c>
      <c r="Q1676">
        <v>6</v>
      </c>
      <c r="R1676">
        <v>909127</v>
      </c>
      <c r="S1676">
        <f>Table1[[#This Row],[Revenue]]-Table1[[#This Row],[Operating_Costs]]</f>
        <v>223079</v>
      </c>
      <c r="T1676">
        <v>686048</v>
      </c>
      <c r="U1676">
        <v>46</v>
      </c>
      <c r="V1676">
        <v>62</v>
      </c>
      <c r="W1676">
        <v>14.8</v>
      </c>
    </row>
    <row r="1677" spans="1:23" x14ac:dyDescent="0.25">
      <c r="A1677">
        <v>4</v>
      </c>
      <c r="B1677" t="s">
        <v>69</v>
      </c>
      <c r="C1677" s="1">
        <v>44660</v>
      </c>
      <c r="D1677" t="s">
        <v>71</v>
      </c>
      <c r="E1677">
        <v>0</v>
      </c>
      <c r="F1677">
        <v>80</v>
      </c>
      <c r="G1677" t="str">
        <f t="shared" si="34"/>
        <v>61-80</v>
      </c>
      <c r="H1677" t="s">
        <v>23</v>
      </c>
      <c r="I1677" t="s">
        <v>24</v>
      </c>
      <c r="J1677" t="s">
        <v>25</v>
      </c>
      <c r="K1677" t="s">
        <v>42</v>
      </c>
      <c r="L1677">
        <v>1</v>
      </c>
      <c r="M1677">
        <v>1</v>
      </c>
      <c r="N1677">
        <v>3.1</v>
      </c>
      <c r="O1677">
        <v>9.1</v>
      </c>
      <c r="P1677">
        <v>7</v>
      </c>
      <c r="Q1677">
        <v>5</v>
      </c>
      <c r="R1677">
        <v>906032</v>
      </c>
      <c r="S1677">
        <f>Table1[[#This Row],[Revenue]]-Table1[[#This Row],[Operating_Costs]]</f>
        <v>288291</v>
      </c>
      <c r="T1677">
        <v>617741</v>
      </c>
      <c r="U1677">
        <v>33</v>
      </c>
      <c r="V1677">
        <v>65</v>
      </c>
      <c r="W1677">
        <v>14.2</v>
      </c>
    </row>
    <row r="1678" spans="1:23" x14ac:dyDescent="0.25">
      <c r="A1678">
        <v>4</v>
      </c>
      <c r="B1678" t="s">
        <v>69</v>
      </c>
      <c r="C1678" s="1">
        <v>44880</v>
      </c>
      <c r="D1678" t="s">
        <v>71</v>
      </c>
      <c r="E1678">
        <v>0</v>
      </c>
      <c r="F1678">
        <v>30</v>
      </c>
      <c r="G1678" t="str">
        <f t="shared" si="34"/>
        <v>21-40</v>
      </c>
      <c r="H1678" t="s">
        <v>35</v>
      </c>
      <c r="I1678" t="s">
        <v>58</v>
      </c>
      <c r="J1678" t="s">
        <v>59</v>
      </c>
      <c r="K1678" t="s">
        <v>26</v>
      </c>
      <c r="L1678">
        <v>1</v>
      </c>
      <c r="M1678">
        <v>1</v>
      </c>
      <c r="N1678">
        <v>1.5</v>
      </c>
      <c r="O1678">
        <v>7.6</v>
      </c>
      <c r="P1678">
        <v>4</v>
      </c>
      <c r="Q1678">
        <v>7</v>
      </c>
      <c r="R1678">
        <v>944298</v>
      </c>
      <c r="S1678">
        <f>Table1[[#This Row],[Revenue]]-Table1[[#This Row],[Operating_Costs]]</f>
        <v>272420</v>
      </c>
      <c r="T1678">
        <v>671878</v>
      </c>
      <c r="U1678">
        <v>38</v>
      </c>
      <c r="V1678">
        <v>56</v>
      </c>
      <c r="W1678">
        <v>13.3</v>
      </c>
    </row>
    <row r="1679" spans="1:23" x14ac:dyDescent="0.25">
      <c r="A1679">
        <v>4</v>
      </c>
      <c r="B1679" t="s">
        <v>69</v>
      </c>
      <c r="C1679" s="1">
        <v>45591</v>
      </c>
      <c r="D1679" t="s">
        <v>71</v>
      </c>
      <c r="E1679">
        <v>0</v>
      </c>
      <c r="F1679">
        <v>25</v>
      </c>
      <c r="G1679" t="str">
        <f t="shared" si="34"/>
        <v>21-40</v>
      </c>
      <c r="H1679" t="s">
        <v>23</v>
      </c>
      <c r="I1679" t="s">
        <v>31</v>
      </c>
      <c r="J1679" t="s">
        <v>28</v>
      </c>
      <c r="K1679" t="s">
        <v>29</v>
      </c>
      <c r="L1679">
        <v>1</v>
      </c>
      <c r="M1679">
        <v>1</v>
      </c>
      <c r="N1679">
        <v>5.6</v>
      </c>
      <c r="O1679">
        <v>7.7</v>
      </c>
      <c r="P1679">
        <v>6</v>
      </c>
      <c r="Q1679">
        <v>3</v>
      </c>
      <c r="R1679">
        <v>968575</v>
      </c>
      <c r="S1679">
        <f>Table1[[#This Row],[Revenue]]-Table1[[#This Row],[Operating_Costs]]</f>
        <v>380536</v>
      </c>
      <c r="T1679">
        <v>588039</v>
      </c>
      <c r="U1679">
        <v>43</v>
      </c>
      <c r="V1679">
        <v>59</v>
      </c>
      <c r="W1679">
        <v>9.1999999999999993</v>
      </c>
    </row>
    <row r="1680" spans="1:23" x14ac:dyDescent="0.25">
      <c r="A1680">
        <v>4</v>
      </c>
      <c r="B1680" t="s">
        <v>69</v>
      </c>
      <c r="C1680" s="1">
        <v>44624</v>
      </c>
      <c r="D1680" t="s">
        <v>71</v>
      </c>
      <c r="E1680">
        <v>0</v>
      </c>
      <c r="F1680">
        <v>36</v>
      </c>
      <c r="G1680" t="str">
        <f t="shared" si="34"/>
        <v>21-40</v>
      </c>
      <c r="H1680" t="s">
        <v>23</v>
      </c>
      <c r="I1680" t="s">
        <v>24</v>
      </c>
      <c r="J1680" t="s">
        <v>25</v>
      </c>
      <c r="K1680" t="s">
        <v>33</v>
      </c>
      <c r="L1680">
        <v>1</v>
      </c>
      <c r="M1680">
        <v>1</v>
      </c>
      <c r="N1680">
        <v>3.8</v>
      </c>
      <c r="O1680">
        <v>7.1</v>
      </c>
      <c r="P1680">
        <v>4</v>
      </c>
      <c r="Q1680">
        <v>7</v>
      </c>
      <c r="R1680">
        <v>942975</v>
      </c>
      <c r="S1680">
        <f>Table1[[#This Row],[Revenue]]-Table1[[#This Row],[Operating_Costs]]</f>
        <v>297520</v>
      </c>
      <c r="T1680">
        <v>645455</v>
      </c>
      <c r="U1680">
        <v>46</v>
      </c>
      <c r="V1680">
        <v>56</v>
      </c>
      <c r="W1680">
        <v>7.7</v>
      </c>
    </row>
    <row r="1681" spans="1:23" x14ac:dyDescent="0.25">
      <c r="A1681">
        <v>4</v>
      </c>
      <c r="B1681" t="s">
        <v>69</v>
      </c>
      <c r="C1681" s="1">
        <v>44345</v>
      </c>
      <c r="D1681" t="s">
        <v>71</v>
      </c>
      <c r="E1681">
        <v>0</v>
      </c>
      <c r="F1681">
        <v>22</v>
      </c>
      <c r="G1681" t="str">
        <f t="shared" si="34"/>
        <v>21-40</v>
      </c>
      <c r="H1681" t="s">
        <v>23</v>
      </c>
      <c r="I1681" t="s">
        <v>31</v>
      </c>
      <c r="J1681" t="s">
        <v>28</v>
      </c>
      <c r="K1681" t="s">
        <v>33</v>
      </c>
      <c r="L1681">
        <v>1</v>
      </c>
      <c r="M1681">
        <v>1</v>
      </c>
      <c r="N1681">
        <v>3.2</v>
      </c>
      <c r="O1681">
        <v>9.6</v>
      </c>
      <c r="P1681">
        <v>4</v>
      </c>
      <c r="Q1681">
        <v>3</v>
      </c>
      <c r="R1681">
        <v>916979</v>
      </c>
      <c r="S1681">
        <f>Table1[[#This Row],[Revenue]]-Table1[[#This Row],[Operating_Costs]]</f>
        <v>251650</v>
      </c>
      <c r="T1681">
        <v>665329</v>
      </c>
      <c r="U1681">
        <v>41</v>
      </c>
      <c r="V1681">
        <v>66</v>
      </c>
      <c r="W1681">
        <v>8.1999999999999993</v>
      </c>
    </row>
    <row r="1682" spans="1:23" x14ac:dyDescent="0.25">
      <c r="A1682">
        <v>4</v>
      </c>
      <c r="B1682" t="s">
        <v>69</v>
      </c>
      <c r="C1682" s="1">
        <v>44717</v>
      </c>
      <c r="D1682" t="s">
        <v>71</v>
      </c>
      <c r="E1682">
        <v>0</v>
      </c>
      <c r="F1682">
        <v>45</v>
      </c>
      <c r="G1682" t="str">
        <f t="shared" si="34"/>
        <v>41-60</v>
      </c>
      <c r="H1682" t="s">
        <v>35</v>
      </c>
      <c r="I1682" t="s">
        <v>50</v>
      </c>
      <c r="J1682" t="s">
        <v>51</v>
      </c>
      <c r="K1682" t="s">
        <v>42</v>
      </c>
      <c r="L1682">
        <v>1</v>
      </c>
      <c r="M1682">
        <v>1</v>
      </c>
      <c r="N1682">
        <v>1.5</v>
      </c>
      <c r="O1682">
        <v>7.9</v>
      </c>
      <c r="P1682">
        <v>7</v>
      </c>
      <c r="Q1682">
        <v>3</v>
      </c>
      <c r="R1682">
        <v>970259</v>
      </c>
      <c r="S1682">
        <f>Table1[[#This Row],[Revenue]]-Table1[[#This Row],[Operating_Costs]]</f>
        <v>434378</v>
      </c>
      <c r="T1682">
        <v>535881</v>
      </c>
      <c r="U1682">
        <v>40</v>
      </c>
      <c r="V1682">
        <v>59</v>
      </c>
      <c r="W1682">
        <v>14.8</v>
      </c>
    </row>
    <row r="1683" spans="1:23" x14ac:dyDescent="0.25">
      <c r="A1683">
        <v>4</v>
      </c>
      <c r="B1683" t="s">
        <v>69</v>
      </c>
      <c r="C1683" s="1">
        <v>45074</v>
      </c>
      <c r="D1683" t="s">
        <v>71</v>
      </c>
      <c r="E1683">
        <v>0</v>
      </c>
      <c r="F1683">
        <v>47</v>
      </c>
      <c r="G1683" t="str">
        <f t="shared" si="34"/>
        <v>41-60</v>
      </c>
      <c r="H1683" t="s">
        <v>23</v>
      </c>
      <c r="I1683" t="s">
        <v>31</v>
      </c>
      <c r="J1683" t="s">
        <v>28</v>
      </c>
      <c r="K1683" t="s">
        <v>33</v>
      </c>
      <c r="L1683">
        <v>1</v>
      </c>
      <c r="M1683">
        <v>1</v>
      </c>
      <c r="N1683">
        <v>6.6</v>
      </c>
      <c r="O1683">
        <v>7.8</v>
      </c>
      <c r="P1683">
        <v>4</v>
      </c>
      <c r="Q1683">
        <v>3</v>
      </c>
      <c r="R1683">
        <v>827304</v>
      </c>
      <c r="S1683">
        <f>Table1[[#This Row],[Revenue]]-Table1[[#This Row],[Operating_Costs]]</f>
        <v>308295</v>
      </c>
      <c r="T1683">
        <v>519009</v>
      </c>
      <c r="U1683">
        <v>33</v>
      </c>
      <c r="V1683">
        <v>63</v>
      </c>
      <c r="W1683">
        <v>13.9</v>
      </c>
    </row>
    <row r="1684" spans="1:23" x14ac:dyDescent="0.25">
      <c r="A1684">
        <v>4</v>
      </c>
      <c r="B1684" t="s">
        <v>69</v>
      </c>
      <c r="C1684" s="1">
        <v>44678</v>
      </c>
      <c r="D1684" t="s">
        <v>71</v>
      </c>
      <c r="E1684">
        <v>0</v>
      </c>
      <c r="F1684">
        <v>46</v>
      </c>
      <c r="G1684" t="str">
        <f t="shared" si="34"/>
        <v>41-60</v>
      </c>
      <c r="H1684" t="s">
        <v>23</v>
      </c>
      <c r="I1684" t="s">
        <v>40</v>
      </c>
      <c r="J1684" t="s">
        <v>41</v>
      </c>
      <c r="K1684" t="s">
        <v>29</v>
      </c>
      <c r="L1684">
        <v>1</v>
      </c>
      <c r="M1684">
        <v>1</v>
      </c>
      <c r="N1684">
        <v>6.7</v>
      </c>
      <c r="O1684">
        <v>7.2</v>
      </c>
      <c r="P1684">
        <v>3</v>
      </c>
      <c r="Q1684">
        <v>5</v>
      </c>
      <c r="R1684">
        <v>975238</v>
      </c>
      <c r="S1684">
        <f>Table1[[#This Row],[Revenue]]-Table1[[#This Row],[Operating_Costs]]</f>
        <v>465809</v>
      </c>
      <c r="T1684">
        <v>509429</v>
      </c>
      <c r="U1684">
        <v>35</v>
      </c>
      <c r="V1684">
        <v>58</v>
      </c>
      <c r="W1684">
        <v>7.8</v>
      </c>
    </row>
    <row r="1685" spans="1:23" x14ac:dyDescent="0.25">
      <c r="A1685">
        <v>4</v>
      </c>
      <c r="B1685" t="s">
        <v>69</v>
      </c>
      <c r="C1685" s="1">
        <v>44837</v>
      </c>
      <c r="D1685" t="s">
        <v>71</v>
      </c>
      <c r="E1685">
        <v>0</v>
      </c>
      <c r="F1685">
        <v>46</v>
      </c>
      <c r="G1685" t="str">
        <f t="shared" si="34"/>
        <v>41-60</v>
      </c>
      <c r="H1685" t="s">
        <v>35</v>
      </c>
      <c r="I1685" t="s">
        <v>58</v>
      </c>
      <c r="J1685" t="s">
        <v>59</v>
      </c>
      <c r="K1685" t="s">
        <v>29</v>
      </c>
      <c r="L1685">
        <v>1</v>
      </c>
      <c r="M1685">
        <v>1</v>
      </c>
      <c r="N1685">
        <v>2.1</v>
      </c>
      <c r="O1685">
        <v>8.6</v>
      </c>
      <c r="P1685">
        <v>5</v>
      </c>
      <c r="Q1685">
        <v>5</v>
      </c>
      <c r="R1685">
        <v>964455</v>
      </c>
      <c r="S1685">
        <f>Table1[[#This Row],[Revenue]]-Table1[[#This Row],[Operating_Costs]]</f>
        <v>364959</v>
      </c>
      <c r="T1685">
        <v>599496</v>
      </c>
      <c r="U1685">
        <v>38</v>
      </c>
      <c r="V1685">
        <v>55</v>
      </c>
      <c r="W1685">
        <v>7.4</v>
      </c>
    </row>
    <row r="1686" spans="1:23" x14ac:dyDescent="0.25">
      <c r="A1686">
        <v>4</v>
      </c>
      <c r="B1686" t="s">
        <v>69</v>
      </c>
      <c r="C1686" s="1">
        <v>44614</v>
      </c>
      <c r="D1686" t="s">
        <v>71</v>
      </c>
      <c r="E1686">
        <v>0</v>
      </c>
      <c r="F1686">
        <v>58</v>
      </c>
      <c r="G1686" t="str">
        <f t="shared" si="34"/>
        <v>41-60</v>
      </c>
      <c r="H1686" t="s">
        <v>35</v>
      </c>
      <c r="I1686" t="s">
        <v>36</v>
      </c>
      <c r="J1686" t="s">
        <v>37</v>
      </c>
      <c r="K1686" t="s">
        <v>42</v>
      </c>
      <c r="L1686">
        <v>1</v>
      </c>
      <c r="M1686">
        <v>1</v>
      </c>
      <c r="N1686">
        <v>3.4</v>
      </c>
      <c r="O1686">
        <v>9.1</v>
      </c>
      <c r="P1686">
        <v>6</v>
      </c>
      <c r="Q1686">
        <v>7</v>
      </c>
      <c r="R1686">
        <v>954047</v>
      </c>
      <c r="S1686">
        <f>Table1[[#This Row],[Revenue]]-Table1[[#This Row],[Operating_Costs]]</f>
        <v>351450</v>
      </c>
      <c r="T1686">
        <v>602597</v>
      </c>
      <c r="U1686">
        <v>34</v>
      </c>
      <c r="V1686">
        <v>65</v>
      </c>
      <c r="W1686">
        <v>5.9</v>
      </c>
    </row>
    <row r="1687" spans="1:23" x14ac:dyDescent="0.25">
      <c r="A1687">
        <v>4</v>
      </c>
      <c r="B1687" t="s">
        <v>69</v>
      </c>
      <c r="C1687" s="1">
        <v>44198</v>
      </c>
      <c r="D1687" t="s">
        <v>71</v>
      </c>
      <c r="E1687">
        <v>0</v>
      </c>
      <c r="F1687">
        <v>43</v>
      </c>
      <c r="G1687" t="str">
        <f t="shared" si="34"/>
        <v>41-60</v>
      </c>
      <c r="H1687" t="s">
        <v>35</v>
      </c>
      <c r="I1687" t="s">
        <v>61</v>
      </c>
      <c r="J1687" t="s">
        <v>62</v>
      </c>
      <c r="K1687" t="s">
        <v>33</v>
      </c>
      <c r="L1687">
        <v>1</v>
      </c>
      <c r="M1687">
        <v>1</v>
      </c>
      <c r="N1687">
        <v>3.6</v>
      </c>
      <c r="O1687">
        <v>9.1999999999999993</v>
      </c>
      <c r="P1687">
        <v>6</v>
      </c>
      <c r="Q1687">
        <v>6</v>
      </c>
      <c r="R1687">
        <v>935795</v>
      </c>
      <c r="S1687">
        <f>Table1[[#This Row],[Revenue]]-Table1[[#This Row],[Operating_Costs]]</f>
        <v>262938</v>
      </c>
      <c r="T1687">
        <v>672857</v>
      </c>
      <c r="U1687">
        <v>43</v>
      </c>
      <c r="V1687">
        <v>56</v>
      </c>
      <c r="W1687">
        <v>7.7</v>
      </c>
    </row>
    <row r="1688" spans="1:23" x14ac:dyDescent="0.25">
      <c r="A1688">
        <v>4</v>
      </c>
      <c r="B1688" t="s">
        <v>69</v>
      </c>
      <c r="C1688" s="1">
        <v>44486</v>
      </c>
      <c r="D1688" t="s">
        <v>71</v>
      </c>
      <c r="E1688">
        <v>0</v>
      </c>
      <c r="F1688">
        <v>77</v>
      </c>
      <c r="G1688" t="str">
        <f t="shared" si="34"/>
        <v>61-80</v>
      </c>
      <c r="H1688" t="s">
        <v>23</v>
      </c>
      <c r="I1688" t="s">
        <v>24</v>
      </c>
      <c r="J1688" t="s">
        <v>25</v>
      </c>
      <c r="K1688" t="s">
        <v>26</v>
      </c>
      <c r="L1688">
        <v>1</v>
      </c>
      <c r="M1688">
        <v>1</v>
      </c>
      <c r="N1688">
        <v>6.5</v>
      </c>
      <c r="O1688">
        <v>8.3000000000000007</v>
      </c>
      <c r="P1688">
        <v>3</v>
      </c>
      <c r="Q1688">
        <v>7</v>
      </c>
      <c r="R1688">
        <v>869455</v>
      </c>
      <c r="S1688">
        <f>Table1[[#This Row],[Revenue]]-Table1[[#This Row],[Operating_Costs]]</f>
        <v>313699</v>
      </c>
      <c r="T1688">
        <v>555756</v>
      </c>
      <c r="U1688">
        <v>30</v>
      </c>
      <c r="V1688">
        <v>54</v>
      </c>
      <c r="W1688">
        <v>7.6</v>
      </c>
    </row>
    <row r="1689" spans="1:23" x14ac:dyDescent="0.25">
      <c r="A1689">
        <v>4</v>
      </c>
      <c r="B1689" t="s">
        <v>69</v>
      </c>
      <c r="C1689" s="1">
        <v>44435</v>
      </c>
      <c r="D1689" t="s">
        <v>71</v>
      </c>
      <c r="E1689">
        <v>0</v>
      </c>
      <c r="F1689">
        <v>39</v>
      </c>
      <c r="G1689" t="str">
        <f t="shared" si="34"/>
        <v>21-40</v>
      </c>
      <c r="H1689" t="s">
        <v>35</v>
      </c>
      <c r="I1689" t="s">
        <v>36</v>
      </c>
      <c r="J1689" t="s">
        <v>37</v>
      </c>
      <c r="K1689" t="s">
        <v>42</v>
      </c>
      <c r="L1689">
        <v>1</v>
      </c>
      <c r="M1689">
        <v>1</v>
      </c>
      <c r="N1689">
        <v>4.5999999999999996</v>
      </c>
      <c r="O1689">
        <v>8.3000000000000007</v>
      </c>
      <c r="P1689">
        <v>4</v>
      </c>
      <c r="Q1689">
        <v>6</v>
      </c>
      <c r="R1689">
        <v>973912</v>
      </c>
      <c r="S1689">
        <f>Table1[[#This Row],[Revenue]]-Table1[[#This Row],[Operating_Costs]]</f>
        <v>361262</v>
      </c>
      <c r="T1689">
        <v>612650</v>
      </c>
      <c r="U1689">
        <v>55</v>
      </c>
      <c r="V1689">
        <v>62</v>
      </c>
      <c r="W1689">
        <v>6.8</v>
      </c>
    </row>
    <row r="1690" spans="1:23" x14ac:dyDescent="0.25">
      <c r="A1690">
        <v>4</v>
      </c>
      <c r="B1690" t="s">
        <v>69</v>
      </c>
      <c r="C1690" s="1">
        <v>45508</v>
      </c>
      <c r="D1690" t="s">
        <v>71</v>
      </c>
      <c r="E1690">
        <v>0</v>
      </c>
      <c r="F1690">
        <v>30</v>
      </c>
      <c r="G1690" t="str">
        <f t="shared" si="34"/>
        <v>21-40</v>
      </c>
      <c r="H1690" t="s">
        <v>35</v>
      </c>
      <c r="I1690" t="s">
        <v>40</v>
      </c>
      <c r="J1690" t="s">
        <v>41</v>
      </c>
      <c r="K1690" t="s">
        <v>38</v>
      </c>
      <c r="L1690">
        <v>1</v>
      </c>
      <c r="M1690">
        <v>1</v>
      </c>
      <c r="N1690">
        <v>2.8</v>
      </c>
      <c r="O1690">
        <v>9.1999999999999993</v>
      </c>
      <c r="P1690">
        <v>6</v>
      </c>
      <c r="Q1690">
        <v>6</v>
      </c>
      <c r="R1690">
        <v>950523</v>
      </c>
      <c r="S1690">
        <f>Table1[[#This Row],[Revenue]]-Table1[[#This Row],[Operating_Costs]]</f>
        <v>446911</v>
      </c>
      <c r="T1690">
        <v>503612</v>
      </c>
      <c r="U1690">
        <v>50</v>
      </c>
      <c r="V1690">
        <v>59</v>
      </c>
      <c r="W1690">
        <v>36.6</v>
      </c>
    </row>
    <row r="1691" spans="1:23" x14ac:dyDescent="0.25">
      <c r="A1691">
        <v>4</v>
      </c>
      <c r="B1691" t="s">
        <v>69</v>
      </c>
      <c r="C1691" s="1">
        <v>44257</v>
      </c>
      <c r="D1691" t="s">
        <v>71</v>
      </c>
      <c r="E1691">
        <v>0</v>
      </c>
      <c r="F1691">
        <v>53</v>
      </c>
      <c r="G1691" t="str">
        <f t="shared" si="34"/>
        <v>41-60</v>
      </c>
      <c r="H1691" t="s">
        <v>35</v>
      </c>
      <c r="I1691" t="s">
        <v>50</v>
      </c>
      <c r="J1691" t="s">
        <v>51</v>
      </c>
      <c r="K1691" t="s">
        <v>38</v>
      </c>
      <c r="L1691">
        <v>1</v>
      </c>
      <c r="M1691">
        <v>1</v>
      </c>
      <c r="N1691">
        <v>6.4</v>
      </c>
      <c r="O1691">
        <v>9.6</v>
      </c>
      <c r="P1691">
        <v>4</v>
      </c>
      <c r="Q1691">
        <v>6</v>
      </c>
      <c r="R1691">
        <v>999706</v>
      </c>
      <c r="S1691">
        <f>Table1[[#This Row],[Revenue]]-Table1[[#This Row],[Operating_Costs]]</f>
        <v>425758</v>
      </c>
      <c r="T1691">
        <v>573948</v>
      </c>
      <c r="U1691">
        <v>44</v>
      </c>
      <c r="V1691">
        <v>56</v>
      </c>
      <c r="W1691">
        <v>10.6</v>
      </c>
    </row>
    <row r="1692" spans="1:23" x14ac:dyDescent="0.25">
      <c r="A1692">
        <v>4</v>
      </c>
      <c r="B1692" t="s">
        <v>69</v>
      </c>
      <c r="C1692" s="1">
        <v>45229</v>
      </c>
      <c r="D1692" t="s">
        <v>71</v>
      </c>
      <c r="E1692">
        <v>0</v>
      </c>
      <c r="F1692">
        <v>44</v>
      </c>
      <c r="G1692" t="str">
        <f t="shared" si="34"/>
        <v>41-60</v>
      </c>
      <c r="H1692" t="s">
        <v>35</v>
      </c>
      <c r="I1692" t="s">
        <v>60</v>
      </c>
      <c r="J1692" t="s">
        <v>59</v>
      </c>
      <c r="K1692" t="s">
        <v>26</v>
      </c>
      <c r="L1692">
        <v>1</v>
      </c>
      <c r="M1692">
        <v>1</v>
      </c>
      <c r="N1692">
        <v>1.9</v>
      </c>
      <c r="O1692">
        <v>9.6</v>
      </c>
      <c r="P1692">
        <v>6</v>
      </c>
      <c r="Q1692">
        <v>6</v>
      </c>
      <c r="R1692">
        <v>910264</v>
      </c>
      <c r="S1692">
        <f>Table1[[#This Row],[Revenue]]-Table1[[#This Row],[Operating_Costs]]</f>
        <v>409514</v>
      </c>
      <c r="T1692">
        <v>500750</v>
      </c>
      <c r="U1692">
        <v>49</v>
      </c>
      <c r="V1692">
        <v>62</v>
      </c>
      <c r="W1692">
        <v>5.7</v>
      </c>
    </row>
    <row r="1693" spans="1:23" x14ac:dyDescent="0.25">
      <c r="A1693">
        <v>4</v>
      </c>
      <c r="B1693" t="s">
        <v>69</v>
      </c>
      <c r="C1693" s="1">
        <v>45222</v>
      </c>
      <c r="D1693" t="s">
        <v>71</v>
      </c>
      <c r="E1693">
        <v>0</v>
      </c>
      <c r="F1693">
        <v>25</v>
      </c>
      <c r="G1693" t="str">
        <f t="shared" si="34"/>
        <v>21-40</v>
      </c>
      <c r="H1693" t="s">
        <v>35</v>
      </c>
      <c r="I1693" t="s">
        <v>64</v>
      </c>
      <c r="J1693" t="s">
        <v>65</v>
      </c>
      <c r="K1693" t="s">
        <v>42</v>
      </c>
      <c r="L1693">
        <v>1</v>
      </c>
      <c r="M1693">
        <v>1</v>
      </c>
      <c r="N1693">
        <v>1.8</v>
      </c>
      <c r="O1693">
        <v>9.5</v>
      </c>
      <c r="P1693">
        <v>6</v>
      </c>
      <c r="Q1693">
        <v>3</v>
      </c>
      <c r="R1693">
        <v>830592</v>
      </c>
      <c r="S1693">
        <f>Table1[[#This Row],[Revenue]]-Table1[[#This Row],[Operating_Costs]]</f>
        <v>213260</v>
      </c>
      <c r="T1693">
        <v>617332</v>
      </c>
      <c r="U1693">
        <v>54</v>
      </c>
      <c r="V1693">
        <v>63</v>
      </c>
      <c r="W1693">
        <v>10.9</v>
      </c>
    </row>
    <row r="1694" spans="1:23" x14ac:dyDescent="0.25">
      <c r="A1694">
        <v>4</v>
      </c>
      <c r="B1694" t="s">
        <v>69</v>
      </c>
      <c r="C1694" s="1">
        <v>45501</v>
      </c>
      <c r="D1694" t="s">
        <v>71</v>
      </c>
      <c r="E1694">
        <v>0</v>
      </c>
      <c r="F1694">
        <v>35</v>
      </c>
      <c r="G1694" t="str">
        <f t="shared" si="34"/>
        <v>21-40</v>
      </c>
      <c r="H1694" t="s">
        <v>23</v>
      </c>
      <c r="I1694" t="s">
        <v>24</v>
      </c>
      <c r="J1694" t="s">
        <v>25</v>
      </c>
      <c r="K1694" t="s">
        <v>33</v>
      </c>
      <c r="L1694">
        <v>1</v>
      </c>
      <c r="M1694">
        <v>1</v>
      </c>
      <c r="N1694">
        <v>6.9</v>
      </c>
      <c r="O1694">
        <v>8.4</v>
      </c>
      <c r="P1694">
        <v>3</v>
      </c>
      <c r="Q1694">
        <v>3</v>
      </c>
      <c r="R1694">
        <v>833963</v>
      </c>
      <c r="S1694">
        <f>Table1[[#This Row],[Revenue]]-Table1[[#This Row],[Operating_Costs]]</f>
        <v>283787</v>
      </c>
      <c r="T1694">
        <v>550176</v>
      </c>
      <c r="U1694">
        <v>35</v>
      </c>
      <c r="V1694">
        <v>62</v>
      </c>
      <c r="W1694">
        <v>6.7</v>
      </c>
    </row>
    <row r="1695" spans="1:23" x14ac:dyDescent="0.25">
      <c r="A1695">
        <v>4</v>
      </c>
      <c r="B1695" t="s">
        <v>69</v>
      </c>
      <c r="C1695" s="1">
        <v>44875</v>
      </c>
      <c r="D1695" t="s">
        <v>71</v>
      </c>
      <c r="E1695">
        <v>0</v>
      </c>
      <c r="F1695">
        <v>86</v>
      </c>
      <c r="G1695" t="str">
        <f t="shared" si="34"/>
        <v>81+</v>
      </c>
      <c r="H1695" t="s">
        <v>23</v>
      </c>
      <c r="I1695" t="s">
        <v>24</v>
      </c>
      <c r="J1695" t="s">
        <v>25</v>
      </c>
      <c r="K1695" t="s">
        <v>42</v>
      </c>
      <c r="L1695">
        <v>1</v>
      </c>
      <c r="M1695">
        <v>1</v>
      </c>
      <c r="N1695">
        <v>2.7</v>
      </c>
      <c r="O1695">
        <v>9.5</v>
      </c>
      <c r="P1695">
        <v>4</v>
      </c>
      <c r="Q1695">
        <v>7</v>
      </c>
      <c r="R1695">
        <v>975997</v>
      </c>
      <c r="S1695">
        <f>Table1[[#This Row],[Revenue]]-Table1[[#This Row],[Operating_Costs]]</f>
        <v>308826</v>
      </c>
      <c r="T1695">
        <v>667171</v>
      </c>
      <c r="U1695">
        <v>33</v>
      </c>
      <c r="V1695">
        <v>54</v>
      </c>
      <c r="W1695">
        <v>9.8000000000000007</v>
      </c>
    </row>
    <row r="1696" spans="1:23" x14ac:dyDescent="0.25">
      <c r="A1696">
        <v>4</v>
      </c>
      <c r="B1696" t="s">
        <v>69</v>
      </c>
      <c r="C1696" s="1">
        <v>45476</v>
      </c>
      <c r="D1696" t="s">
        <v>71</v>
      </c>
      <c r="E1696">
        <v>0</v>
      </c>
      <c r="F1696">
        <v>46</v>
      </c>
      <c r="G1696" t="str">
        <f t="shared" si="34"/>
        <v>41-60</v>
      </c>
      <c r="H1696" t="s">
        <v>35</v>
      </c>
      <c r="I1696" t="s">
        <v>31</v>
      </c>
      <c r="J1696" t="s">
        <v>28</v>
      </c>
      <c r="K1696" t="s">
        <v>42</v>
      </c>
      <c r="L1696">
        <v>1</v>
      </c>
      <c r="M1696">
        <v>1</v>
      </c>
      <c r="N1696">
        <v>4.2</v>
      </c>
      <c r="O1696">
        <v>9.1</v>
      </c>
      <c r="P1696">
        <v>7</v>
      </c>
      <c r="Q1696">
        <v>3</v>
      </c>
      <c r="R1696">
        <v>893718</v>
      </c>
      <c r="S1696">
        <f>Table1[[#This Row],[Revenue]]-Table1[[#This Row],[Operating_Costs]]</f>
        <v>377932</v>
      </c>
      <c r="T1696">
        <v>515786</v>
      </c>
      <c r="U1696">
        <v>48</v>
      </c>
      <c r="V1696">
        <v>54</v>
      </c>
      <c r="W1696">
        <v>12.6</v>
      </c>
    </row>
    <row r="1697" spans="1:23" x14ac:dyDescent="0.25">
      <c r="A1697">
        <v>4</v>
      </c>
      <c r="B1697" t="s">
        <v>69</v>
      </c>
      <c r="C1697" s="1">
        <v>44920</v>
      </c>
      <c r="D1697" t="s">
        <v>71</v>
      </c>
      <c r="E1697">
        <v>0</v>
      </c>
      <c r="F1697">
        <v>80</v>
      </c>
      <c r="G1697" t="str">
        <f t="shared" si="34"/>
        <v>61-80</v>
      </c>
      <c r="H1697" t="s">
        <v>23</v>
      </c>
      <c r="I1697" t="s">
        <v>40</v>
      </c>
      <c r="J1697" t="s">
        <v>41</v>
      </c>
      <c r="K1697" t="s">
        <v>33</v>
      </c>
      <c r="L1697">
        <v>1</v>
      </c>
      <c r="M1697">
        <v>1</v>
      </c>
      <c r="N1697">
        <v>6.9</v>
      </c>
      <c r="O1697">
        <v>9.6</v>
      </c>
      <c r="P1697">
        <v>5</v>
      </c>
      <c r="Q1697">
        <v>4</v>
      </c>
      <c r="R1697">
        <v>908501</v>
      </c>
      <c r="S1697">
        <f>Table1[[#This Row],[Revenue]]-Table1[[#This Row],[Operating_Costs]]</f>
        <v>226246</v>
      </c>
      <c r="T1697">
        <v>682255</v>
      </c>
      <c r="U1697">
        <v>30</v>
      </c>
      <c r="V1697">
        <v>54</v>
      </c>
      <c r="W1697">
        <v>14.3</v>
      </c>
    </row>
    <row r="1698" spans="1:23" x14ac:dyDescent="0.25">
      <c r="A1698">
        <v>4</v>
      </c>
      <c r="B1698" t="s">
        <v>69</v>
      </c>
      <c r="C1698" s="1">
        <v>44413</v>
      </c>
      <c r="D1698" t="s">
        <v>71</v>
      </c>
      <c r="E1698">
        <v>0</v>
      </c>
      <c r="F1698">
        <v>71</v>
      </c>
      <c r="G1698" t="str">
        <f t="shared" si="34"/>
        <v>61-80</v>
      </c>
      <c r="H1698" t="s">
        <v>23</v>
      </c>
      <c r="I1698" t="s">
        <v>24</v>
      </c>
      <c r="J1698" t="s">
        <v>25</v>
      </c>
      <c r="K1698" t="s">
        <v>42</v>
      </c>
      <c r="L1698">
        <v>1</v>
      </c>
      <c r="M1698">
        <v>1</v>
      </c>
      <c r="N1698">
        <v>3.6</v>
      </c>
      <c r="O1698">
        <v>8.6</v>
      </c>
      <c r="P1698">
        <v>6</v>
      </c>
      <c r="Q1698">
        <v>5</v>
      </c>
      <c r="R1698">
        <v>891682</v>
      </c>
      <c r="S1698">
        <f>Table1[[#This Row],[Revenue]]-Table1[[#This Row],[Operating_Costs]]</f>
        <v>247648</v>
      </c>
      <c r="T1698">
        <v>644034</v>
      </c>
      <c r="U1698">
        <v>38</v>
      </c>
      <c r="V1698">
        <v>63</v>
      </c>
      <c r="W1698">
        <v>9.5</v>
      </c>
    </row>
    <row r="1699" spans="1:23" x14ac:dyDescent="0.25">
      <c r="A1699">
        <v>4</v>
      </c>
      <c r="B1699" t="s">
        <v>69</v>
      </c>
      <c r="C1699" s="1">
        <v>44803</v>
      </c>
      <c r="D1699" t="s">
        <v>71</v>
      </c>
      <c r="E1699">
        <v>0</v>
      </c>
      <c r="F1699">
        <v>82</v>
      </c>
      <c r="G1699" t="str">
        <f t="shared" si="34"/>
        <v>81+</v>
      </c>
      <c r="H1699" t="s">
        <v>35</v>
      </c>
      <c r="I1699" t="s">
        <v>46</v>
      </c>
      <c r="J1699" t="s">
        <v>47</v>
      </c>
      <c r="K1699" t="s">
        <v>38</v>
      </c>
      <c r="L1699">
        <v>1</v>
      </c>
      <c r="M1699">
        <v>1</v>
      </c>
      <c r="N1699">
        <v>5.6</v>
      </c>
      <c r="O1699">
        <v>7.3</v>
      </c>
      <c r="P1699">
        <v>7</v>
      </c>
      <c r="Q1699">
        <v>7</v>
      </c>
      <c r="R1699">
        <v>829190</v>
      </c>
      <c r="S1699">
        <f>Table1[[#This Row],[Revenue]]-Table1[[#This Row],[Operating_Costs]]</f>
        <v>161183</v>
      </c>
      <c r="T1699">
        <v>668007</v>
      </c>
      <c r="U1699">
        <v>43</v>
      </c>
      <c r="V1699">
        <v>62</v>
      </c>
      <c r="W1699">
        <v>8.6</v>
      </c>
    </row>
    <row r="1700" spans="1:23" x14ac:dyDescent="0.25">
      <c r="A1700">
        <v>4</v>
      </c>
      <c r="B1700" t="s">
        <v>69</v>
      </c>
      <c r="C1700" s="1">
        <v>45323</v>
      </c>
      <c r="D1700" t="s">
        <v>71</v>
      </c>
      <c r="E1700">
        <v>0</v>
      </c>
      <c r="F1700">
        <v>90</v>
      </c>
      <c r="G1700" t="str">
        <f t="shared" si="34"/>
        <v>81+</v>
      </c>
      <c r="H1700" t="s">
        <v>35</v>
      </c>
      <c r="I1700" t="s">
        <v>46</v>
      </c>
      <c r="J1700" t="s">
        <v>47</v>
      </c>
      <c r="K1700" t="s">
        <v>29</v>
      </c>
      <c r="L1700">
        <v>1</v>
      </c>
      <c r="M1700">
        <v>1</v>
      </c>
      <c r="N1700">
        <v>1.9</v>
      </c>
      <c r="O1700">
        <v>8.1</v>
      </c>
      <c r="P1700">
        <v>6</v>
      </c>
      <c r="Q1700">
        <v>4</v>
      </c>
      <c r="R1700">
        <v>856002</v>
      </c>
      <c r="S1700">
        <f>Table1[[#This Row],[Revenue]]-Table1[[#This Row],[Operating_Costs]]</f>
        <v>340420</v>
      </c>
      <c r="T1700">
        <v>515582</v>
      </c>
      <c r="U1700">
        <v>49</v>
      </c>
      <c r="V1700">
        <v>56</v>
      </c>
      <c r="W1700">
        <v>13.9</v>
      </c>
    </row>
    <row r="1701" spans="1:23" x14ac:dyDescent="0.25">
      <c r="A1701">
        <v>4</v>
      </c>
      <c r="B1701" t="s">
        <v>69</v>
      </c>
      <c r="C1701" s="1">
        <v>45054</v>
      </c>
      <c r="D1701" t="s">
        <v>71</v>
      </c>
      <c r="E1701">
        <v>0</v>
      </c>
      <c r="F1701">
        <v>49</v>
      </c>
      <c r="G1701" t="str">
        <f t="shared" si="34"/>
        <v>41-60</v>
      </c>
      <c r="H1701" t="s">
        <v>35</v>
      </c>
      <c r="I1701" t="s">
        <v>46</v>
      </c>
      <c r="J1701" t="s">
        <v>47</v>
      </c>
      <c r="K1701" t="s">
        <v>42</v>
      </c>
      <c r="L1701">
        <v>1</v>
      </c>
      <c r="M1701">
        <v>1</v>
      </c>
      <c r="N1701">
        <v>4.3</v>
      </c>
      <c r="O1701">
        <v>9.1</v>
      </c>
      <c r="P1701">
        <v>6</v>
      </c>
      <c r="Q1701">
        <v>3</v>
      </c>
      <c r="R1701">
        <v>953008</v>
      </c>
      <c r="S1701">
        <f>Table1[[#This Row],[Revenue]]-Table1[[#This Row],[Operating_Costs]]</f>
        <v>379503</v>
      </c>
      <c r="T1701">
        <v>573505</v>
      </c>
      <c r="U1701">
        <v>52</v>
      </c>
      <c r="V1701">
        <v>54</v>
      </c>
      <c r="W1701">
        <v>14.8</v>
      </c>
    </row>
    <row r="1702" spans="1:23" x14ac:dyDescent="0.25">
      <c r="A1702">
        <v>4</v>
      </c>
      <c r="B1702" t="s">
        <v>69</v>
      </c>
      <c r="C1702" s="1">
        <v>44436</v>
      </c>
      <c r="D1702" t="s">
        <v>71</v>
      </c>
      <c r="E1702">
        <v>0</v>
      </c>
      <c r="F1702">
        <v>64</v>
      </c>
      <c r="G1702" t="str">
        <f t="shared" si="34"/>
        <v>61-80</v>
      </c>
      <c r="H1702" t="s">
        <v>35</v>
      </c>
      <c r="I1702" t="s">
        <v>55</v>
      </c>
      <c r="J1702" t="s">
        <v>56</v>
      </c>
      <c r="K1702" t="s">
        <v>38</v>
      </c>
      <c r="L1702">
        <v>1</v>
      </c>
      <c r="M1702">
        <v>1</v>
      </c>
      <c r="N1702">
        <v>4.0999999999999996</v>
      </c>
      <c r="O1702">
        <v>7.2</v>
      </c>
      <c r="P1702">
        <v>6</v>
      </c>
      <c r="Q1702">
        <v>5</v>
      </c>
      <c r="R1702">
        <v>837656</v>
      </c>
      <c r="S1702">
        <f>Table1[[#This Row],[Revenue]]-Table1[[#This Row],[Operating_Costs]]</f>
        <v>216069</v>
      </c>
      <c r="T1702">
        <v>621587</v>
      </c>
      <c r="U1702">
        <v>52</v>
      </c>
      <c r="V1702">
        <v>63</v>
      </c>
      <c r="W1702">
        <v>9.3000000000000007</v>
      </c>
    </row>
    <row r="1703" spans="1:23" x14ac:dyDescent="0.25">
      <c r="A1703">
        <v>4</v>
      </c>
      <c r="B1703" t="s">
        <v>69</v>
      </c>
      <c r="C1703" s="1">
        <v>44936</v>
      </c>
      <c r="D1703" t="s">
        <v>71</v>
      </c>
      <c r="E1703">
        <v>0</v>
      </c>
      <c r="F1703">
        <v>49</v>
      </c>
      <c r="G1703" t="str">
        <f t="shared" si="34"/>
        <v>41-60</v>
      </c>
      <c r="H1703" t="s">
        <v>35</v>
      </c>
      <c r="I1703" t="s">
        <v>36</v>
      </c>
      <c r="J1703" t="s">
        <v>37</v>
      </c>
      <c r="K1703" t="s">
        <v>38</v>
      </c>
      <c r="L1703">
        <v>1</v>
      </c>
      <c r="M1703">
        <v>1</v>
      </c>
      <c r="N1703">
        <v>2.4</v>
      </c>
      <c r="O1703">
        <v>9.6</v>
      </c>
      <c r="P1703">
        <v>6</v>
      </c>
      <c r="Q1703">
        <v>6</v>
      </c>
      <c r="R1703">
        <v>937157</v>
      </c>
      <c r="S1703">
        <f>Table1[[#This Row],[Revenue]]-Table1[[#This Row],[Operating_Costs]]</f>
        <v>436737</v>
      </c>
      <c r="T1703">
        <v>500420</v>
      </c>
      <c r="U1703">
        <v>35</v>
      </c>
      <c r="V1703">
        <v>58</v>
      </c>
      <c r="W1703">
        <v>13.5</v>
      </c>
    </row>
    <row r="1704" spans="1:23" x14ac:dyDescent="0.25">
      <c r="A1704">
        <v>4</v>
      </c>
      <c r="B1704" t="s">
        <v>69</v>
      </c>
      <c r="C1704" s="1">
        <v>44937</v>
      </c>
      <c r="D1704" t="s">
        <v>71</v>
      </c>
      <c r="E1704">
        <v>0</v>
      </c>
      <c r="F1704">
        <v>26</v>
      </c>
      <c r="G1704" t="str">
        <f t="shared" si="34"/>
        <v>21-40</v>
      </c>
      <c r="H1704" t="s">
        <v>23</v>
      </c>
      <c r="I1704" t="s">
        <v>40</v>
      </c>
      <c r="J1704" t="s">
        <v>41</v>
      </c>
      <c r="K1704" t="s">
        <v>38</v>
      </c>
      <c r="L1704">
        <v>1</v>
      </c>
      <c r="M1704">
        <v>1</v>
      </c>
      <c r="N1704">
        <v>5.2</v>
      </c>
      <c r="O1704">
        <v>9.1999999999999993</v>
      </c>
      <c r="P1704">
        <v>7</v>
      </c>
      <c r="Q1704">
        <v>5</v>
      </c>
      <c r="R1704">
        <v>807930</v>
      </c>
      <c r="S1704">
        <f>Table1[[#This Row],[Revenue]]-Table1[[#This Row],[Operating_Costs]]</f>
        <v>144527</v>
      </c>
      <c r="T1704">
        <v>663403</v>
      </c>
      <c r="U1704">
        <v>30</v>
      </c>
      <c r="V1704">
        <v>61</v>
      </c>
      <c r="W1704">
        <v>12.7</v>
      </c>
    </row>
    <row r="1705" spans="1:23" x14ac:dyDescent="0.25">
      <c r="A1705">
        <v>4</v>
      </c>
      <c r="B1705" t="s">
        <v>69</v>
      </c>
      <c r="C1705" s="1">
        <v>44461</v>
      </c>
      <c r="D1705" t="s">
        <v>71</v>
      </c>
      <c r="E1705">
        <v>0</v>
      </c>
      <c r="F1705">
        <v>35</v>
      </c>
      <c r="G1705" t="str">
        <f t="shared" si="34"/>
        <v>21-40</v>
      </c>
      <c r="H1705" t="s">
        <v>35</v>
      </c>
      <c r="I1705" t="s">
        <v>36</v>
      </c>
      <c r="J1705" t="s">
        <v>37</v>
      </c>
      <c r="K1705" t="s">
        <v>29</v>
      </c>
      <c r="L1705">
        <v>1</v>
      </c>
      <c r="M1705">
        <v>1</v>
      </c>
      <c r="N1705">
        <v>6.3</v>
      </c>
      <c r="O1705">
        <v>9.5</v>
      </c>
      <c r="P1705">
        <v>7</v>
      </c>
      <c r="Q1705">
        <v>7</v>
      </c>
      <c r="R1705">
        <v>955052</v>
      </c>
      <c r="S1705">
        <f>Table1[[#This Row],[Revenue]]-Table1[[#This Row],[Operating_Costs]]</f>
        <v>267978</v>
      </c>
      <c r="T1705">
        <v>687074</v>
      </c>
      <c r="U1705">
        <v>59</v>
      </c>
      <c r="V1705">
        <v>59</v>
      </c>
      <c r="W1705">
        <v>10.199999999999999</v>
      </c>
    </row>
    <row r="1706" spans="1:23" x14ac:dyDescent="0.25">
      <c r="A1706">
        <v>4</v>
      </c>
      <c r="B1706" t="s">
        <v>69</v>
      </c>
      <c r="C1706" s="1">
        <v>45545</v>
      </c>
      <c r="D1706" t="s">
        <v>71</v>
      </c>
      <c r="E1706">
        <v>0</v>
      </c>
      <c r="F1706">
        <v>35</v>
      </c>
      <c r="G1706" t="str">
        <f t="shared" si="34"/>
        <v>21-40</v>
      </c>
      <c r="H1706" t="s">
        <v>35</v>
      </c>
      <c r="I1706" t="s">
        <v>36</v>
      </c>
      <c r="J1706" t="s">
        <v>37</v>
      </c>
      <c r="K1706" t="s">
        <v>33</v>
      </c>
      <c r="L1706">
        <v>1</v>
      </c>
      <c r="M1706">
        <v>1</v>
      </c>
      <c r="N1706">
        <v>5.3</v>
      </c>
      <c r="O1706">
        <v>8.6999999999999993</v>
      </c>
      <c r="P1706">
        <v>4</v>
      </c>
      <c r="Q1706">
        <v>3</v>
      </c>
      <c r="R1706">
        <v>843607</v>
      </c>
      <c r="S1706">
        <f>Table1[[#This Row],[Revenue]]-Table1[[#This Row],[Operating_Costs]]</f>
        <v>177280</v>
      </c>
      <c r="T1706">
        <v>666327</v>
      </c>
      <c r="U1706">
        <v>33</v>
      </c>
      <c r="V1706">
        <v>65</v>
      </c>
      <c r="W1706">
        <v>13.6</v>
      </c>
    </row>
    <row r="1707" spans="1:23" x14ac:dyDescent="0.25">
      <c r="A1707">
        <v>5</v>
      </c>
      <c r="B1707" t="s">
        <v>22</v>
      </c>
      <c r="C1707" s="1">
        <v>44765</v>
      </c>
      <c r="D1707" t="s">
        <v>71</v>
      </c>
      <c r="E1707">
        <v>0</v>
      </c>
      <c r="F1707">
        <v>69</v>
      </c>
      <c r="G1707" t="str">
        <f t="shared" si="34"/>
        <v>61-80</v>
      </c>
      <c r="H1707" t="s">
        <v>23</v>
      </c>
      <c r="I1707" t="s">
        <v>64</v>
      </c>
      <c r="J1707" t="s">
        <v>65</v>
      </c>
      <c r="K1707" t="s">
        <v>38</v>
      </c>
      <c r="L1707">
        <v>1</v>
      </c>
      <c r="M1707">
        <v>1</v>
      </c>
      <c r="N1707">
        <v>1.1000000000000001</v>
      </c>
      <c r="O1707">
        <v>9.1</v>
      </c>
      <c r="P1707">
        <v>6</v>
      </c>
      <c r="Q1707">
        <v>6</v>
      </c>
      <c r="R1707">
        <v>861438</v>
      </c>
      <c r="S1707">
        <f>Table1[[#This Row],[Revenue]]-Table1[[#This Row],[Operating_Costs]]</f>
        <v>593353</v>
      </c>
      <c r="T1707">
        <v>268085</v>
      </c>
      <c r="U1707">
        <v>34</v>
      </c>
      <c r="V1707">
        <v>58</v>
      </c>
      <c r="W1707">
        <v>13.7</v>
      </c>
    </row>
    <row r="1708" spans="1:23" x14ac:dyDescent="0.25">
      <c r="A1708">
        <v>5</v>
      </c>
      <c r="B1708" t="s">
        <v>22</v>
      </c>
      <c r="C1708" s="1">
        <v>44615</v>
      </c>
      <c r="D1708" t="s">
        <v>71</v>
      </c>
      <c r="E1708">
        <v>0</v>
      </c>
      <c r="F1708">
        <v>87</v>
      </c>
      <c r="G1708" t="str">
        <f t="shared" si="34"/>
        <v>81+</v>
      </c>
      <c r="H1708" t="s">
        <v>35</v>
      </c>
      <c r="I1708" t="s">
        <v>55</v>
      </c>
      <c r="J1708" t="s">
        <v>56</v>
      </c>
      <c r="K1708" t="s">
        <v>33</v>
      </c>
      <c r="L1708">
        <v>1</v>
      </c>
      <c r="M1708">
        <v>1</v>
      </c>
      <c r="N1708">
        <v>4</v>
      </c>
      <c r="O1708">
        <v>7.4</v>
      </c>
      <c r="P1708">
        <v>7</v>
      </c>
      <c r="Q1708">
        <v>4</v>
      </c>
      <c r="R1708">
        <v>676670</v>
      </c>
      <c r="S1708">
        <f>Table1[[#This Row],[Revenue]]-Table1[[#This Row],[Operating_Costs]]</f>
        <v>444296</v>
      </c>
      <c r="T1708">
        <v>232374</v>
      </c>
      <c r="U1708">
        <v>22</v>
      </c>
      <c r="V1708">
        <v>61</v>
      </c>
      <c r="W1708">
        <v>7.8</v>
      </c>
    </row>
    <row r="1709" spans="1:23" x14ac:dyDescent="0.25">
      <c r="A1709">
        <v>4</v>
      </c>
      <c r="B1709" t="s">
        <v>69</v>
      </c>
      <c r="C1709" s="1">
        <v>45249</v>
      </c>
      <c r="D1709" t="s">
        <v>71</v>
      </c>
      <c r="E1709">
        <v>0</v>
      </c>
      <c r="F1709">
        <v>36</v>
      </c>
      <c r="G1709" t="str">
        <f t="shared" si="34"/>
        <v>21-40</v>
      </c>
      <c r="H1709" t="s">
        <v>23</v>
      </c>
      <c r="I1709" t="s">
        <v>43</v>
      </c>
      <c r="J1709" t="s">
        <v>25</v>
      </c>
      <c r="K1709" t="s">
        <v>38</v>
      </c>
      <c r="L1709">
        <v>1</v>
      </c>
      <c r="M1709">
        <v>1</v>
      </c>
      <c r="N1709">
        <v>6</v>
      </c>
      <c r="O1709">
        <v>7.8</v>
      </c>
      <c r="P1709">
        <v>3</v>
      </c>
      <c r="Q1709">
        <v>7</v>
      </c>
      <c r="R1709">
        <v>966083</v>
      </c>
      <c r="S1709">
        <f>Table1[[#This Row],[Revenue]]-Table1[[#This Row],[Operating_Costs]]</f>
        <v>335622</v>
      </c>
      <c r="T1709">
        <v>630461</v>
      </c>
      <c r="U1709">
        <v>50</v>
      </c>
      <c r="V1709">
        <v>66</v>
      </c>
      <c r="W1709">
        <v>36.299999999999997</v>
      </c>
    </row>
    <row r="1710" spans="1:23" x14ac:dyDescent="0.25">
      <c r="A1710">
        <v>5</v>
      </c>
      <c r="B1710" t="s">
        <v>22</v>
      </c>
      <c r="C1710" s="1">
        <v>45073</v>
      </c>
      <c r="D1710" t="s">
        <v>71</v>
      </c>
      <c r="E1710">
        <v>0</v>
      </c>
      <c r="F1710">
        <v>66</v>
      </c>
      <c r="G1710" t="str">
        <f t="shared" si="34"/>
        <v>61-80</v>
      </c>
      <c r="H1710" t="s">
        <v>23</v>
      </c>
      <c r="I1710" t="s">
        <v>24</v>
      </c>
      <c r="J1710" t="s">
        <v>25</v>
      </c>
      <c r="K1710" t="s">
        <v>38</v>
      </c>
      <c r="L1710">
        <v>1</v>
      </c>
      <c r="M1710">
        <v>1</v>
      </c>
      <c r="N1710">
        <v>4.8</v>
      </c>
      <c r="O1710">
        <v>7.3</v>
      </c>
      <c r="P1710">
        <v>5</v>
      </c>
      <c r="Q1710">
        <v>6</v>
      </c>
      <c r="R1710">
        <v>653587</v>
      </c>
      <c r="S1710">
        <f>Table1[[#This Row],[Revenue]]-Table1[[#This Row],[Operating_Costs]]</f>
        <v>288013</v>
      </c>
      <c r="T1710">
        <v>365574</v>
      </c>
      <c r="U1710">
        <v>31</v>
      </c>
      <c r="V1710">
        <v>55</v>
      </c>
      <c r="W1710">
        <v>9.4</v>
      </c>
    </row>
    <row r="1711" spans="1:23" x14ac:dyDescent="0.25">
      <c r="A1711">
        <v>5</v>
      </c>
      <c r="B1711" t="s">
        <v>22</v>
      </c>
      <c r="C1711" s="1">
        <v>45385</v>
      </c>
      <c r="D1711" t="s">
        <v>71</v>
      </c>
      <c r="E1711">
        <v>0</v>
      </c>
      <c r="F1711">
        <v>89</v>
      </c>
      <c r="G1711" t="str">
        <f t="shared" si="34"/>
        <v>81+</v>
      </c>
      <c r="H1711" t="s">
        <v>23</v>
      </c>
      <c r="I1711" t="s">
        <v>67</v>
      </c>
      <c r="J1711" t="s">
        <v>68</v>
      </c>
      <c r="K1711" t="s">
        <v>26</v>
      </c>
      <c r="L1711">
        <v>1</v>
      </c>
      <c r="M1711">
        <v>1</v>
      </c>
      <c r="N1711">
        <v>1.4</v>
      </c>
      <c r="O1711">
        <v>9</v>
      </c>
      <c r="P1711">
        <v>3</v>
      </c>
      <c r="Q1711">
        <v>7</v>
      </c>
      <c r="R1711">
        <v>676706</v>
      </c>
      <c r="S1711">
        <f>Table1[[#This Row],[Revenue]]-Table1[[#This Row],[Operating_Costs]]</f>
        <v>342280</v>
      </c>
      <c r="T1711">
        <v>334426</v>
      </c>
      <c r="U1711">
        <v>24</v>
      </c>
      <c r="V1711">
        <v>65</v>
      </c>
      <c r="W1711">
        <v>12.4</v>
      </c>
    </row>
    <row r="1712" spans="1:23" x14ac:dyDescent="0.25">
      <c r="A1712">
        <v>4</v>
      </c>
      <c r="B1712" t="s">
        <v>69</v>
      </c>
      <c r="C1712" s="1">
        <v>44627</v>
      </c>
      <c r="D1712" t="s">
        <v>71</v>
      </c>
      <c r="E1712">
        <v>0</v>
      </c>
      <c r="F1712">
        <v>39</v>
      </c>
      <c r="G1712" t="str">
        <f t="shared" si="34"/>
        <v>21-40</v>
      </c>
      <c r="H1712" t="s">
        <v>23</v>
      </c>
      <c r="I1712" t="s">
        <v>24</v>
      </c>
      <c r="J1712" t="s">
        <v>25</v>
      </c>
      <c r="K1712" t="s">
        <v>38</v>
      </c>
      <c r="L1712">
        <v>1</v>
      </c>
      <c r="M1712">
        <v>1</v>
      </c>
      <c r="N1712">
        <v>2.1</v>
      </c>
      <c r="O1712">
        <v>9.5</v>
      </c>
      <c r="P1712">
        <v>4</v>
      </c>
      <c r="Q1712">
        <v>7</v>
      </c>
      <c r="R1712">
        <v>849636</v>
      </c>
      <c r="S1712">
        <f>Table1[[#This Row],[Revenue]]-Table1[[#This Row],[Operating_Costs]]</f>
        <v>205327</v>
      </c>
      <c r="T1712">
        <v>644309</v>
      </c>
      <c r="U1712">
        <v>52</v>
      </c>
      <c r="V1712">
        <v>63</v>
      </c>
      <c r="W1712">
        <v>14.6</v>
      </c>
    </row>
    <row r="1713" spans="1:23" x14ac:dyDescent="0.25">
      <c r="A1713">
        <v>5</v>
      </c>
      <c r="B1713" t="s">
        <v>22</v>
      </c>
      <c r="C1713" s="1">
        <v>45611</v>
      </c>
      <c r="D1713" t="s">
        <v>71</v>
      </c>
      <c r="E1713">
        <v>0</v>
      </c>
      <c r="F1713">
        <v>46</v>
      </c>
      <c r="G1713" t="str">
        <f t="shared" si="34"/>
        <v>41-60</v>
      </c>
      <c r="H1713" t="s">
        <v>23</v>
      </c>
      <c r="I1713" t="s">
        <v>58</v>
      </c>
      <c r="J1713" t="s">
        <v>59</v>
      </c>
      <c r="K1713" t="s">
        <v>29</v>
      </c>
      <c r="L1713">
        <v>1</v>
      </c>
      <c r="M1713">
        <v>1</v>
      </c>
      <c r="N1713">
        <v>3</v>
      </c>
      <c r="O1713">
        <v>8</v>
      </c>
      <c r="P1713">
        <v>7</v>
      </c>
      <c r="Q1713">
        <v>6</v>
      </c>
      <c r="R1713">
        <v>713108</v>
      </c>
      <c r="S1713">
        <f>Table1[[#This Row],[Revenue]]-Table1[[#This Row],[Operating_Costs]]</f>
        <v>455465</v>
      </c>
      <c r="T1713">
        <v>257643</v>
      </c>
      <c r="U1713">
        <v>23</v>
      </c>
      <c r="V1713">
        <v>63</v>
      </c>
      <c r="W1713">
        <v>10.5</v>
      </c>
    </row>
    <row r="1714" spans="1:23" x14ac:dyDescent="0.25">
      <c r="A1714">
        <v>5</v>
      </c>
      <c r="B1714" t="s">
        <v>22</v>
      </c>
      <c r="C1714" s="1">
        <v>44767</v>
      </c>
      <c r="D1714" t="s">
        <v>71</v>
      </c>
      <c r="E1714">
        <v>0</v>
      </c>
      <c r="F1714">
        <v>74</v>
      </c>
      <c r="G1714" t="str">
        <f t="shared" si="34"/>
        <v>61-80</v>
      </c>
      <c r="H1714" t="s">
        <v>35</v>
      </c>
      <c r="I1714" t="s">
        <v>64</v>
      </c>
      <c r="J1714" t="s">
        <v>65</v>
      </c>
      <c r="K1714" t="s">
        <v>42</v>
      </c>
      <c r="L1714">
        <v>1</v>
      </c>
      <c r="M1714">
        <v>1</v>
      </c>
      <c r="N1714">
        <v>6.6</v>
      </c>
      <c r="O1714">
        <v>9.6</v>
      </c>
      <c r="P1714">
        <v>3</v>
      </c>
      <c r="Q1714">
        <v>4</v>
      </c>
      <c r="R1714">
        <v>710940</v>
      </c>
      <c r="S1714">
        <f>Table1[[#This Row],[Revenue]]-Table1[[#This Row],[Operating_Costs]]</f>
        <v>401402</v>
      </c>
      <c r="T1714">
        <v>309538</v>
      </c>
      <c r="U1714">
        <v>30</v>
      </c>
      <c r="V1714">
        <v>61</v>
      </c>
      <c r="W1714">
        <v>9</v>
      </c>
    </row>
    <row r="1715" spans="1:23" x14ac:dyDescent="0.25">
      <c r="A1715">
        <v>5</v>
      </c>
      <c r="B1715" t="s">
        <v>22</v>
      </c>
      <c r="C1715" s="1">
        <v>45644</v>
      </c>
      <c r="D1715" t="s">
        <v>71</v>
      </c>
      <c r="E1715">
        <v>0</v>
      </c>
      <c r="F1715">
        <v>87</v>
      </c>
      <c r="G1715" t="str">
        <f t="shared" si="34"/>
        <v>81+</v>
      </c>
      <c r="H1715" t="s">
        <v>35</v>
      </c>
      <c r="I1715" t="s">
        <v>27</v>
      </c>
      <c r="J1715" t="s">
        <v>28</v>
      </c>
      <c r="K1715" t="s">
        <v>38</v>
      </c>
      <c r="L1715">
        <v>1</v>
      </c>
      <c r="M1715">
        <v>1</v>
      </c>
      <c r="N1715">
        <v>3.4</v>
      </c>
      <c r="O1715">
        <v>7.6</v>
      </c>
      <c r="P1715">
        <v>4</v>
      </c>
      <c r="Q1715">
        <v>4</v>
      </c>
      <c r="R1715">
        <v>747084</v>
      </c>
      <c r="S1715">
        <f>Table1[[#This Row],[Revenue]]-Table1[[#This Row],[Operating_Costs]]</f>
        <v>508645</v>
      </c>
      <c r="T1715">
        <v>238439</v>
      </c>
      <c r="U1715">
        <v>35</v>
      </c>
      <c r="V1715">
        <v>58</v>
      </c>
      <c r="W1715">
        <v>9</v>
      </c>
    </row>
    <row r="1716" spans="1:23" x14ac:dyDescent="0.25">
      <c r="A1716">
        <v>4</v>
      </c>
      <c r="B1716" t="s">
        <v>69</v>
      </c>
      <c r="C1716" s="1">
        <v>44637</v>
      </c>
      <c r="D1716" t="s">
        <v>71</v>
      </c>
      <c r="E1716">
        <v>0</v>
      </c>
      <c r="F1716">
        <v>30</v>
      </c>
      <c r="G1716" t="str">
        <f t="shared" si="34"/>
        <v>21-40</v>
      </c>
      <c r="H1716" t="s">
        <v>23</v>
      </c>
      <c r="I1716" t="s">
        <v>46</v>
      </c>
      <c r="J1716" t="s">
        <v>47</v>
      </c>
      <c r="K1716" t="s">
        <v>33</v>
      </c>
      <c r="L1716">
        <v>1</v>
      </c>
      <c r="M1716">
        <v>1</v>
      </c>
      <c r="N1716">
        <v>5.9</v>
      </c>
      <c r="O1716">
        <v>9.5</v>
      </c>
      <c r="P1716">
        <v>3</v>
      </c>
      <c r="Q1716">
        <v>7</v>
      </c>
      <c r="R1716">
        <v>934725</v>
      </c>
      <c r="S1716">
        <f>Table1[[#This Row],[Revenue]]-Table1[[#This Row],[Operating_Costs]]</f>
        <v>332339</v>
      </c>
      <c r="T1716">
        <v>602386</v>
      </c>
      <c r="U1716">
        <v>37</v>
      </c>
      <c r="V1716">
        <v>58</v>
      </c>
      <c r="W1716">
        <v>5.0999999999999996</v>
      </c>
    </row>
    <row r="1717" spans="1:23" x14ac:dyDescent="0.25">
      <c r="A1717">
        <v>4</v>
      </c>
      <c r="B1717" t="s">
        <v>69</v>
      </c>
      <c r="C1717" s="1">
        <v>44684</v>
      </c>
      <c r="D1717" t="s">
        <v>71</v>
      </c>
      <c r="E1717">
        <v>0</v>
      </c>
      <c r="F1717">
        <v>49</v>
      </c>
      <c r="G1717" t="str">
        <f t="shared" si="34"/>
        <v>41-60</v>
      </c>
      <c r="H1717" t="s">
        <v>23</v>
      </c>
      <c r="I1717" t="s">
        <v>58</v>
      </c>
      <c r="J1717" t="s">
        <v>59</v>
      </c>
      <c r="K1717" t="s">
        <v>26</v>
      </c>
      <c r="L1717">
        <v>1</v>
      </c>
      <c r="M1717">
        <v>1</v>
      </c>
      <c r="N1717">
        <v>6</v>
      </c>
      <c r="O1717">
        <v>7.6</v>
      </c>
      <c r="P1717">
        <v>6</v>
      </c>
      <c r="Q1717">
        <v>3</v>
      </c>
      <c r="R1717">
        <v>828001</v>
      </c>
      <c r="S1717">
        <f>Table1[[#This Row],[Revenue]]-Table1[[#This Row],[Operating_Costs]]</f>
        <v>243159</v>
      </c>
      <c r="T1717">
        <v>584842</v>
      </c>
      <c r="U1717">
        <v>38</v>
      </c>
      <c r="V1717">
        <v>61</v>
      </c>
      <c r="W1717">
        <v>9.9</v>
      </c>
    </row>
    <row r="1718" spans="1:23" x14ac:dyDescent="0.25">
      <c r="A1718">
        <v>5</v>
      </c>
      <c r="B1718" t="s">
        <v>22</v>
      </c>
      <c r="C1718" s="1">
        <v>44767</v>
      </c>
      <c r="D1718" t="s">
        <v>71</v>
      </c>
      <c r="E1718">
        <v>0</v>
      </c>
      <c r="F1718">
        <v>76</v>
      </c>
      <c r="G1718" t="str">
        <f t="shared" si="34"/>
        <v>61-80</v>
      </c>
      <c r="H1718" t="s">
        <v>35</v>
      </c>
      <c r="I1718" t="s">
        <v>46</v>
      </c>
      <c r="J1718" t="s">
        <v>47</v>
      </c>
      <c r="K1718" t="s">
        <v>33</v>
      </c>
      <c r="L1718">
        <v>1</v>
      </c>
      <c r="M1718">
        <v>1</v>
      </c>
      <c r="N1718">
        <v>5.9</v>
      </c>
      <c r="O1718">
        <v>7.7</v>
      </c>
      <c r="P1718">
        <v>4</v>
      </c>
      <c r="Q1718">
        <v>5</v>
      </c>
      <c r="R1718">
        <v>969985</v>
      </c>
      <c r="S1718">
        <f>Table1[[#This Row],[Revenue]]-Table1[[#This Row],[Operating_Costs]]</f>
        <v>579669</v>
      </c>
      <c r="T1718">
        <v>390316</v>
      </c>
      <c r="U1718">
        <v>31</v>
      </c>
      <c r="V1718">
        <v>65</v>
      </c>
      <c r="W1718">
        <v>12.6</v>
      </c>
    </row>
    <row r="1719" spans="1:23" x14ac:dyDescent="0.25">
      <c r="A1719">
        <v>5</v>
      </c>
      <c r="B1719" t="s">
        <v>22</v>
      </c>
      <c r="C1719" s="1">
        <v>44993</v>
      </c>
      <c r="D1719" t="s">
        <v>71</v>
      </c>
      <c r="E1719">
        <v>0</v>
      </c>
      <c r="F1719">
        <v>55</v>
      </c>
      <c r="G1719" t="str">
        <f t="shared" si="34"/>
        <v>41-60</v>
      </c>
      <c r="H1719" t="s">
        <v>35</v>
      </c>
      <c r="I1719" t="s">
        <v>36</v>
      </c>
      <c r="J1719" t="s">
        <v>37</v>
      </c>
      <c r="K1719" t="s">
        <v>42</v>
      </c>
      <c r="L1719">
        <v>1</v>
      </c>
      <c r="M1719">
        <v>1</v>
      </c>
      <c r="N1719">
        <v>3.7</v>
      </c>
      <c r="O1719">
        <v>8.5</v>
      </c>
      <c r="P1719">
        <v>3</v>
      </c>
      <c r="Q1719">
        <v>6</v>
      </c>
      <c r="R1719">
        <v>797360</v>
      </c>
      <c r="S1719">
        <f>Table1[[#This Row],[Revenue]]-Table1[[#This Row],[Operating_Costs]]</f>
        <v>574140</v>
      </c>
      <c r="T1719">
        <v>223220</v>
      </c>
      <c r="U1719">
        <v>37</v>
      </c>
      <c r="V1719">
        <v>64</v>
      </c>
      <c r="W1719">
        <v>5.2</v>
      </c>
    </row>
    <row r="1720" spans="1:23" x14ac:dyDescent="0.25">
      <c r="A1720">
        <v>5</v>
      </c>
      <c r="B1720" t="s">
        <v>22</v>
      </c>
      <c r="C1720" s="1">
        <v>45235</v>
      </c>
      <c r="D1720" t="s">
        <v>71</v>
      </c>
      <c r="E1720">
        <v>0</v>
      </c>
      <c r="F1720">
        <v>42</v>
      </c>
      <c r="G1720" t="str">
        <f t="shared" si="34"/>
        <v>41-60</v>
      </c>
      <c r="H1720" t="s">
        <v>35</v>
      </c>
      <c r="I1720" t="s">
        <v>60</v>
      </c>
      <c r="J1720" t="s">
        <v>59</v>
      </c>
      <c r="K1720" t="s">
        <v>29</v>
      </c>
      <c r="L1720">
        <v>1</v>
      </c>
      <c r="M1720">
        <v>1</v>
      </c>
      <c r="N1720">
        <v>6.2</v>
      </c>
      <c r="O1720">
        <v>8.1</v>
      </c>
      <c r="P1720">
        <v>6</v>
      </c>
      <c r="Q1720">
        <v>7</v>
      </c>
      <c r="R1720">
        <v>991508</v>
      </c>
      <c r="S1720">
        <f>Table1[[#This Row],[Revenue]]-Table1[[#This Row],[Operating_Costs]]</f>
        <v>677709</v>
      </c>
      <c r="T1720">
        <v>313799</v>
      </c>
      <c r="U1720">
        <v>22</v>
      </c>
      <c r="V1720">
        <v>54</v>
      </c>
      <c r="W1720">
        <v>5.5</v>
      </c>
    </row>
    <row r="1721" spans="1:23" x14ac:dyDescent="0.25">
      <c r="A1721">
        <v>5</v>
      </c>
      <c r="B1721" t="s">
        <v>22</v>
      </c>
      <c r="C1721" s="1">
        <v>45140</v>
      </c>
      <c r="D1721" t="s">
        <v>71</v>
      </c>
      <c r="E1721">
        <v>0</v>
      </c>
      <c r="F1721">
        <v>44</v>
      </c>
      <c r="G1721" t="str">
        <f t="shared" si="34"/>
        <v>41-60</v>
      </c>
      <c r="H1721" t="s">
        <v>23</v>
      </c>
      <c r="I1721" t="s">
        <v>50</v>
      </c>
      <c r="J1721" t="s">
        <v>51</v>
      </c>
      <c r="K1721" t="s">
        <v>29</v>
      </c>
      <c r="L1721">
        <v>1</v>
      </c>
      <c r="M1721">
        <v>1</v>
      </c>
      <c r="N1721">
        <v>1.7</v>
      </c>
      <c r="O1721">
        <v>7.2</v>
      </c>
      <c r="P1721">
        <v>7</v>
      </c>
      <c r="Q1721">
        <v>5</v>
      </c>
      <c r="R1721">
        <v>789481</v>
      </c>
      <c r="S1721">
        <f>Table1[[#This Row],[Revenue]]-Table1[[#This Row],[Operating_Costs]]</f>
        <v>366778</v>
      </c>
      <c r="T1721">
        <v>422703</v>
      </c>
      <c r="U1721">
        <v>28</v>
      </c>
      <c r="V1721">
        <v>61</v>
      </c>
      <c r="W1721">
        <v>36.5</v>
      </c>
    </row>
    <row r="1722" spans="1:23" x14ac:dyDescent="0.25">
      <c r="A1722">
        <v>4</v>
      </c>
      <c r="B1722" t="s">
        <v>69</v>
      </c>
      <c r="C1722" s="1">
        <v>44458</v>
      </c>
      <c r="D1722" t="s">
        <v>71</v>
      </c>
      <c r="E1722">
        <v>0</v>
      </c>
      <c r="F1722">
        <v>31</v>
      </c>
      <c r="G1722" t="str">
        <f t="shared" si="34"/>
        <v>21-40</v>
      </c>
      <c r="H1722" t="s">
        <v>35</v>
      </c>
      <c r="I1722" t="s">
        <v>36</v>
      </c>
      <c r="J1722" t="s">
        <v>37</v>
      </c>
      <c r="K1722" t="s">
        <v>29</v>
      </c>
      <c r="L1722">
        <v>1</v>
      </c>
      <c r="M1722">
        <v>1</v>
      </c>
      <c r="N1722">
        <v>3.5</v>
      </c>
      <c r="O1722">
        <v>7.3</v>
      </c>
      <c r="P1722">
        <v>7</v>
      </c>
      <c r="Q1722">
        <v>5</v>
      </c>
      <c r="R1722">
        <v>967094</v>
      </c>
      <c r="S1722">
        <f>Table1[[#This Row],[Revenue]]-Table1[[#This Row],[Operating_Costs]]</f>
        <v>307733</v>
      </c>
      <c r="T1722">
        <v>659361</v>
      </c>
      <c r="U1722">
        <v>60</v>
      </c>
      <c r="V1722">
        <v>57</v>
      </c>
      <c r="W1722">
        <v>8</v>
      </c>
    </row>
    <row r="1723" spans="1:23" x14ac:dyDescent="0.25">
      <c r="A1723">
        <v>5</v>
      </c>
      <c r="B1723" t="s">
        <v>22</v>
      </c>
      <c r="C1723" s="1">
        <v>45064</v>
      </c>
      <c r="D1723" t="s">
        <v>71</v>
      </c>
      <c r="E1723">
        <v>0</v>
      </c>
      <c r="F1723">
        <v>69</v>
      </c>
      <c r="G1723" t="str">
        <f t="shared" si="34"/>
        <v>61-80</v>
      </c>
      <c r="H1723" t="s">
        <v>35</v>
      </c>
      <c r="I1723" t="s">
        <v>40</v>
      </c>
      <c r="J1723" t="s">
        <v>41</v>
      </c>
      <c r="K1723" t="s">
        <v>26</v>
      </c>
      <c r="L1723">
        <v>1</v>
      </c>
      <c r="M1723">
        <v>1</v>
      </c>
      <c r="N1723">
        <v>5.9</v>
      </c>
      <c r="O1723">
        <v>8.4</v>
      </c>
      <c r="P1723">
        <v>3</v>
      </c>
      <c r="Q1723">
        <v>3</v>
      </c>
      <c r="R1723">
        <v>756193</v>
      </c>
      <c r="S1723">
        <f>Table1[[#This Row],[Revenue]]-Table1[[#This Row],[Operating_Costs]]</f>
        <v>493429</v>
      </c>
      <c r="T1723">
        <v>262764</v>
      </c>
      <c r="U1723">
        <v>31</v>
      </c>
      <c r="V1723">
        <v>58</v>
      </c>
      <c r="W1723">
        <v>6.3</v>
      </c>
    </row>
    <row r="1724" spans="1:23" x14ac:dyDescent="0.25">
      <c r="A1724">
        <v>4</v>
      </c>
      <c r="B1724" t="s">
        <v>69</v>
      </c>
      <c r="C1724" s="1">
        <v>44723</v>
      </c>
      <c r="D1724" t="s">
        <v>71</v>
      </c>
      <c r="E1724">
        <v>0</v>
      </c>
      <c r="F1724">
        <v>30</v>
      </c>
      <c r="G1724" t="str">
        <f t="shared" si="34"/>
        <v>21-40</v>
      </c>
      <c r="H1724" t="s">
        <v>35</v>
      </c>
      <c r="I1724" t="s">
        <v>40</v>
      </c>
      <c r="J1724" t="s">
        <v>41</v>
      </c>
      <c r="K1724" t="s">
        <v>33</v>
      </c>
      <c r="L1724">
        <v>1</v>
      </c>
      <c r="M1724">
        <v>1</v>
      </c>
      <c r="N1724">
        <v>2.8</v>
      </c>
      <c r="O1724">
        <v>7.8</v>
      </c>
      <c r="P1724">
        <v>7</v>
      </c>
      <c r="Q1724">
        <v>3</v>
      </c>
      <c r="R1724">
        <v>956280</v>
      </c>
      <c r="S1724">
        <f>Table1[[#This Row],[Revenue]]-Table1[[#This Row],[Operating_Costs]]</f>
        <v>443544</v>
      </c>
      <c r="T1724">
        <v>512736</v>
      </c>
      <c r="U1724">
        <v>39</v>
      </c>
      <c r="V1724">
        <v>66</v>
      </c>
      <c r="W1724">
        <v>14.3</v>
      </c>
    </row>
    <row r="1725" spans="1:23" x14ac:dyDescent="0.25">
      <c r="A1725">
        <v>4</v>
      </c>
      <c r="B1725" t="s">
        <v>69</v>
      </c>
      <c r="C1725" s="1">
        <v>44538</v>
      </c>
      <c r="D1725" t="s">
        <v>71</v>
      </c>
      <c r="E1725">
        <v>0</v>
      </c>
      <c r="F1725">
        <v>79</v>
      </c>
      <c r="G1725" t="str">
        <f t="shared" si="34"/>
        <v>61-80</v>
      </c>
      <c r="H1725" t="s">
        <v>35</v>
      </c>
      <c r="I1725" t="s">
        <v>58</v>
      </c>
      <c r="J1725" t="s">
        <v>59</v>
      </c>
      <c r="K1725" t="s">
        <v>29</v>
      </c>
      <c r="L1725">
        <v>1</v>
      </c>
      <c r="M1725">
        <v>1</v>
      </c>
      <c r="N1725">
        <v>2.8</v>
      </c>
      <c r="O1725">
        <v>9.9</v>
      </c>
      <c r="P1725">
        <v>5</v>
      </c>
      <c r="Q1725">
        <v>5</v>
      </c>
      <c r="R1725">
        <v>923160</v>
      </c>
      <c r="S1725">
        <f>Table1[[#This Row],[Revenue]]-Table1[[#This Row],[Operating_Costs]]</f>
        <v>319411</v>
      </c>
      <c r="T1725">
        <v>603749</v>
      </c>
      <c r="U1725">
        <v>40</v>
      </c>
      <c r="V1725">
        <v>61</v>
      </c>
      <c r="W1725">
        <v>10.9</v>
      </c>
    </row>
    <row r="1726" spans="1:23" x14ac:dyDescent="0.25">
      <c r="A1726">
        <v>4</v>
      </c>
      <c r="B1726" t="s">
        <v>69</v>
      </c>
      <c r="C1726" s="1">
        <v>45458</v>
      </c>
      <c r="D1726" t="s">
        <v>71</v>
      </c>
      <c r="E1726">
        <v>0</v>
      </c>
      <c r="F1726">
        <v>31</v>
      </c>
      <c r="G1726" t="str">
        <f t="shared" si="34"/>
        <v>21-40</v>
      </c>
      <c r="H1726" t="s">
        <v>23</v>
      </c>
      <c r="I1726" t="s">
        <v>24</v>
      </c>
      <c r="J1726" t="s">
        <v>25</v>
      </c>
      <c r="K1726" t="s">
        <v>33</v>
      </c>
      <c r="L1726">
        <v>1</v>
      </c>
      <c r="M1726">
        <v>1</v>
      </c>
      <c r="N1726">
        <v>5.0999999999999996</v>
      </c>
      <c r="O1726">
        <v>9.6999999999999993</v>
      </c>
      <c r="P1726">
        <v>7</v>
      </c>
      <c r="Q1726">
        <v>7</v>
      </c>
      <c r="R1726">
        <v>927049</v>
      </c>
      <c r="S1726">
        <f>Table1[[#This Row],[Revenue]]-Table1[[#This Row],[Operating_Costs]]</f>
        <v>304637</v>
      </c>
      <c r="T1726">
        <v>622412</v>
      </c>
      <c r="U1726">
        <v>48</v>
      </c>
      <c r="V1726">
        <v>56</v>
      </c>
      <c r="W1726">
        <v>36.9</v>
      </c>
    </row>
    <row r="1727" spans="1:23" x14ac:dyDescent="0.25">
      <c r="A1727">
        <v>4</v>
      </c>
      <c r="B1727" t="s">
        <v>69</v>
      </c>
      <c r="C1727" s="1">
        <v>44962</v>
      </c>
      <c r="D1727" t="s">
        <v>71</v>
      </c>
      <c r="E1727">
        <v>0</v>
      </c>
      <c r="F1727">
        <v>34</v>
      </c>
      <c r="G1727" t="str">
        <f t="shared" si="34"/>
        <v>21-40</v>
      </c>
      <c r="H1727" t="s">
        <v>35</v>
      </c>
      <c r="I1727" t="s">
        <v>27</v>
      </c>
      <c r="J1727" t="s">
        <v>28</v>
      </c>
      <c r="K1727" t="s">
        <v>26</v>
      </c>
      <c r="L1727">
        <v>1</v>
      </c>
      <c r="M1727">
        <v>1</v>
      </c>
      <c r="N1727">
        <v>3.8</v>
      </c>
      <c r="O1727">
        <v>9.8000000000000007</v>
      </c>
      <c r="P1727">
        <v>4</v>
      </c>
      <c r="Q1727">
        <v>6</v>
      </c>
      <c r="R1727">
        <v>909909</v>
      </c>
      <c r="S1727">
        <f>Table1[[#This Row],[Revenue]]-Table1[[#This Row],[Operating_Costs]]</f>
        <v>268149</v>
      </c>
      <c r="T1727">
        <v>641760</v>
      </c>
      <c r="U1727">
        <v>50</v>
      </c>
      <c r="V1727">
        <v>57</v>
      </c>
      <c r="W1727">
        <v>6</v>
      </c>
    </row>
    <row r="1728" spans="1:23" x14ac:dyDescent="0.25">
      <c r="A1728">
        <v>4</v>
      </c>
      <c r="B1728" t="s">
        <v>69</v>
      </c>
      <c r="C1728" s="1">
        <v>44773</v>
      </c>
      <c r="D1728" t="s">
        <v>71</v>
      </c>
      <c r="E1728">
        <v>0</v>
      </c>
      <c r="F1728">
        <v>66</v>
      </c>
      <c r="G1728" t="str">
        <f t="shared" si="34"/>
        <v>61-80</v>
      </c>
      <c r="H1728" t="s">
        <v>23</v>
      </c>
      <c r="I1728" t="s">
        <v>24</v>
      </c>
      <c r="J1728" t="s">
        <v>25</v>
      </c>
      <c r="K1728" t="s">
        <v>29</v>
      </c>
      <c r="L1728">
        <v>1</v>
      </c>
      <c r="M1728">
        <v>1</v>
      </c>
      <c r="N1728">
        <v>2.1</v>
      </c>
      <c r="O1728">
        <v>8.6999999999999993</v>
      </c>
      <c r="P1728">
        <v>4</v>
      </c>
      <c r="Q1728">
        <v>6</v>
      </c>
      <c r="R1728">
        <v>868036</v>
      </c>
      <c r="S1728">
        <f>Table1[[#This Row],[Revenue]]-Table1[[#This Row],[Operating_Costs]]</f>
        <v>241018</v>
      </c>
      <c r="T1728">
        <v>627018</v>
      </c>
      <c r="U1728">
        <v>41</v>
      </c>
      <c r="V1728">
        <v>64</v>
      </c>
      <c r="W1728">
        <v>8.5</v>
      </c>
    </row>
    <row r="1729" spans="1:23" x14ac:dyDescent="0.25">
      <c r="A1729">
        <v>4</v>
      </c>
      <c r="B1729" t="s">
        <v>69</v>
      </c>
      <c r="C1729" s="1">
        <v>45343</v>
      </c>
      <c r="D1729" t="s">
        <v>71</v>
      </c>
      <c r="E1729">
        <v>0</v>
      </c>
      <c r="F1729">
        <v>33</v>
      </c>
      <c r="G1729" t="str">
        <f t="shared" si="34"/>
        <v>21-40</v>
      </c>
      <c r="H1729" t="s">
        <v>35</v>
      </c>
      <c r="I1729" t="s">
        <v>36</v>
      </c>
      <c r="J1729" t="s">
        <v>37</v>
      </c>
      <c r="K1729" t="s">
        <v>42</v>
      </c>
      <c r="L1729">
        <v>1</v>
      </c>
      <c r="M1729">
        <v>1</v>
      </c>
      <c r="N1729">
        <v>4.2</v>
      </c>
      <c r="O1729">
        <v>8.9</v>
      </c>
      <c r="P1729">
        <v>5</v>
      </c>
      <c r="Q1729">
        <v>7</v>
      </c>
      <c r="R1729">
        <v>952728</v>
      </c>
      <c r="S1729">
        <f>Table1[[#This Row],[Revenue]]-Table1[[#This Row],[Operating_Costs]]</f>
        <v>410938</v>
      </c>
      <c r="T1729">
        <v>541790</v>
      </c>
      <c r="U1729">
        <v>58</v>
      </c>
      <c r="V1729">
        <v>59</v>
      </c>
      <c r="W1729">
        <v>13.9</v>
      </c>
    </row>
    <row r="1730" spans="1:23" x14ac:dyDescent="0.25">
      <c r="A1730">
        <v>4</v>
      </c>
      <c r="B1730" t="s">
        <v>69</v>
      </c>
      <c r="C1730" s="1">
        <v>44645</v>
      </c>
      <c r="D1730" t="s">
        <v>71</v>
      </c>
      <c r="E1730">
        <v>0</v>
      </c>
      <c r="F1730">
        <v>54</v>
      </c>
      <c r="G1730" t="str">
        <f t="shared" si="34"/>
        <v>41-60</v>
      </c>
      <c r="H1730" t="s">
        <v>35</v>
      </c>
      <c r="I1730" t="s">
        <v>55</v>
      </c>
      <c r="J1730" t="s">
        <v>56</v>
      </c>
      <c r="K1730" t="s">
        <v>29</v>
      </c>
      <c r="L1730">
        <v>1</v>
      </c>
      <c r="M1730">
        <v>1</v>
      </c>
      <c r="N1730">
        <v>3.8</v>
      </c>
      <c r="O1730">
        <v>9.6</v>
      </c>
      <c r="P1730">
        <v>7</v>
      </c>
      <c r="Q1730">
        <v>5</v>
      </c>
      <c r="R1730">
        <v>988977</v>
      </c>
      <c r="S1730">
        <f>Table1[[#This Row],[Revenue]]-Table1[[#This Row],[Operating_Costs]]</f>
        <v>437978</v>
      </c>
      <c r="T1730">
        <v>550999</v>
      </c>
      <c r="U1730">
        <v>39</v>
      </c>
      <c r="V1730">
        <v>55</v>
      </c>
      <c r="W1730">
        <v>12.1</v>
      </c>
    </row>
    <row r="1731" spans="1:23" x14ac:dyDescent="0.25">
      <c r="A1731">
        <v>4</v>
      </c>
      <c r="B1731" t="s">
        <v>69</v>
      </c>
      <c r="C1731" s="1">
        <v>44670</v>
      </c>
      <c r="D1731" t="s">
        <v>71</v>
      </c>
      <c r="E1731">
        <v>0</v>
      </c>
      <c r="F1731">
        <v>38</v>
      </c>
      <c r="G1731" t="str">
        <f t="shared" ref="G1731:G1794" si="35">IF(F1731&lt;=20,"0-20",IF(F1731&lt;=40,"21-40",IF(F1731&lt;=60,"41-60",IF(F1731&lt;=80,"61-80","81+"))))</f>
        <v>21-40</v>
      </c>
      <c r="H1731" t="s">
        <v>35</v>
      </c>
      <c r="I1731" t="s">
        <v>27</v>
      </c>
      <c r="J1731" t="s">
        <v>28</v>
      </c>
      <c r="K1731" t="s">
        <v>26</v>
      </c>
      <c r="L1731">
        <v>1</v>
      </c>
      <c r="M1731">
        <v>1</v>
      </c>
      <c r="N1731">
        <v>3.1</v>
      </c>
      <c r="O1731">
        <v>9.5</v>
      </c>
      <c r="P1731">
        <v>6</v>
      </c>
      <c r="Q1731">
        <v>5</v>
      </c>
      <c r="R1731">
        <v>909831</v>
      </c>
      <c r="S1731">
        <f>Table1[[#This Row],[Revenue]]-Table1[[#This Row],[Operating_Costs]]</f>
        <v>341551</v>
      </c>
      <c r="T1731">
        <v>568280</v>
      </c>
      <c r="U1731">
        <v>53</v>
      </c>
      <c r="V1731">
        <v>54</v>
      </c>
      <c r="W1731">
        <v>7.9</v>
      </c>
    </row>
    <row r="1732" spans="1:23" x14ac:dyDescent="0.25">
      <c r="A1732">
        <v>4</v>
      </c>
      <c r="B1732" t="s">
        <v>69</v>
      </c>
      <c r="C1732" s="1">
        <v>45007</v>
      </c>
      <c r="D1732" t="s">
        <v>71</v>
      </c>
      <c r="E1732">
        <v>0</v>
      </c>
      <c r="F1732">
        <v>26</v>
      </c>
      <c r="G1732" t="str">
        <f t="shared" si="35"/>
        <v>21-40</v>
      </c>
      <c r="H1732" t="s">
        <v>35</v>
      </c>
      <c r="I1732" t="s">
        <v>58</v>
      </c>
      <c r="J1732" t="s">
        <v>59</v>
      </c>
      <c r="K1732" t="s">
        <v>29</v>
      </c>
      <c r="L1732">
        <v>1</v>
      </c>
      <c r="M1732">
        <v>1</v>
      </c>
      <c r="N1732">
        <v>6.5</v>
      </c>
      <c r="O1732">
        <v>7.5</v>
      </c>
      <c r="P1732">
        <v>7</v>
      </c>
      <c r="Q1732">
        <v>4</v>
      </c>
      <c r="R1732">
        <v>914430</v>
      </c>
      <c r="S1732">
        <f>Table1[[#This Row],[Revenue]]-Table1[[#This Row],[Operating_Costs]]</f>
        <v>410799</v>
      </c>
      <c r="T1732">
        <v>503631</v>
      </c>
      <c r="U1732">
        <v>37</v>
      </c>
      <c r="V1732">
        <v>62</v>
      </c>
      <c r="W1732">
        <v>9.9</v>
      </c>
    </row>
    <row r="1733" spans="1:23" x14ac:dyDescent="0.25">
      <c r="A1733">
        <v>4</v>
      </c>
      <c r="B1733" t="s">
        <v>69</v>
      </c>
      <c r="C1733" s="1">
        <v>44474</v>
      </c>
      <c r="D1733" t="s">
        <v>71</v>
      </c>
      <c r="E1733">
        <v>0</v>
      </c>
      <c r="F1733">
        <v>70</v>
      </c>
      <c r="G1733" t="str">
        <f t="shared" si="35"/>
        <v>61-80</v>
      </c>
      <c r="H1733" t="s">
        <v>23</v>
      </c>
      <c r="I1733" t="s">
        <v>24</v>
      </c>
      <c r="J1733" t="s">
        <v>25</v>
      </c>
      <c r="K1733" t="s">
        <v>29</v>
      </c>
      <c r="L1733">
        <v>1</v>
      </c>
      <c r="M1733">
        <v>1</v>
      </c>
      <c r="N1733">
        <v>5.5</v>
      </c>
      <c r="O1733">
        <v>8</v>
      </c>
      <c r="P1733">
        <v>4</v>
      </c>
      <c r="Q1733">
        <v>5</v>
      </c>
      <c r="R1733">
        <v>878600</v>
      </c>
      <c r="S1733">
        <f>Table1[[#This Row],[Revenue]]-Table1[[#This Row],[Operating_Costs]]</f>
        <v>266478</v>
      </c>
      <c r="T1733">
        <v>612122</v>
      </c>
      <c r="U1733">
        <v>35</v>
      </c>
      <c r="V1733">
        <v>56</v>
      </c>
      <c r="W1733">
        <v>8.3000000000000007</v>
      </c>
    </row>
    <row r="1734" spans="1:23" x14ac:dyDescent="0.25">
      <c r="A1734">
        <v>5</v>
      </c>
      <c r="B1734" t="s">
        <v>22</v>
      </c>
      <c r="C1734" s="1">
        <v>45091</v>
      </c>
      <c r="D1734" t="s">
        <v>71</v>
      </c>
      <c r="E1734">
        <v>0</v>
      </c>
      <c r="F1734">
        <v>35</v>
      </c>
      <c r="G1734" t="str">
        <f t="shared" si="35"/>
        <v>21-40</v>
      </c>
      <c r="H1734" t="s">
        <v>35</v>
      </c>
      <c r="I1734" t="s">
        <v>36</v>
      </c>
      <c r="J1734" t="s">
        <v>37</v>
      </c>
      <c r="K1734" t="s">
        <v>29</v>
      </c>
      <c r="L1734">
        <v>1</v>
      </c>
      <c r="M1734">
        <v>1</v>
      </c>
      <c r="N1734">
        <v>1.4</v>
      </c>
      <c r="O1734">
        <v>8</v>
      </c>
      <c r="P1734">
        <v>4</v>
      </c>
      <c r="Q1734">
        <v>3</v>
      </c>
      <c r="R1734">
        <v>866895</v>
      </c>
      <c r="S1734">
        <f>Table1[[#This Row],[Revenue]]-Table1[[#This Row],[Operating_Costs]]</f>
        <v>406633</v>
      </c>
      <c r="T1734">
        <v>460262</v>
      </c>
      <c r="U1734">
        <v>37</v>
      </c>
      <c r="V1734">
        <v>61</v>
      </c>
      <c r="W1734">
        <v>10.3</v>
      </c>
    </row>
    <row r="1735" spans="1:23" x14ac:dyDescent="0.25">
      <c r="A1735">
        <v>4</v>
      </c>
      <c r="B1735" t="s">
        <v>69</v>
      </c>
      <c r="C1735" s="1">
        <v>44317</v>
      </c>
      <c r="D1735" t="s">
        <v>71</v>
      </c>
      <c r="E1735">
        <v>0</v>
      </c>
      <c r="F1735">
        <v>39</v>
      </c>
      <c r="G1735" t="str">
        <f t="shared" si="35"/>
        <v>21-40</v>
      </c>
      <c r="H1735" t="s">
        <v>35</v>
      </c>
      <c r="I1735" t="s">
        <v>31</v>
      </c>
      <c r="J1735" t="s">
        <v>28</v>
      </c>
      <c r="K1735" t="s">
        <v>26</v>
      </c>
      <c r="L1735">
        <v>1</v>
      </c>
      <c r="M1735">
        <v>1</v>
      </c>
      <c r="N1735">
        <v>1.2</v>
      </c>
      <c r="O1735">
        <v>8.4</v>
      </c>
      <c r="P1735">
        <v>4</v>
      </c>
      <c r="Q1735">
        <v>5</v>
      </c>
      <c r="R1735">
        <v>809701</v>
      </c>
      <c r="S1735">
        <f>Table1[[#This Row],[Revenue]]-Table1[[#This Row],[Operating_Costs]]</f>
        <v>267481</v>
      </c>
      <c r="T1735">
        <v>542220</v>
      </c>
      <c r="U1735">
        <v>51</v>
      </c>
      <c r="V1735">
        <v>62</v>
      </c>
      <c r="W1735">
        <v>8.1</v>
      </c>
    </row>
    <row r="1736" spans="1:23" x14ac:dyDescent="0.25">
      <c r="A1736">
        <v>4</v>
      </c>
      <c r="B1736" t="s">
        <v>69</v>
      </c>
      <c r="C1736" s="1">
        <v>45491</v>
      </c>
      <c r="D1736" t="s">
        <v>71</v>
      </c>
      <c r="E1736">
        <v>0</v>
      </c>
      <c r="F1736">
        <v>46</v>
      </c>
      <c r="G1736" t="str">
        <f t="shared" si="35"/>
        <v>41-60</v>
      </c>
      <c r="H1736" t="s">
        <v>35</v>
      </c>
      <c r="I1736" t="s">
        <v>58</v>
      </c>
      <c r="J1736" t="s">
        <v>59</v>
      </c>
      <c r="K1736" t="s">
        <v>33</v>
      </c>
      <c r="L1736">
        <v>1</v>
      </c>
      <c r="M1736">
        <v>1</v>
      </c>
      <c r="N1736">
        <v>2.5</v>
      </c>
      <c r="O1736">
        <v>8.5</v>
      </c>
      <c r="P1736">
        <v>3</v>
      </c>
      <c r="Q1736">
        <v>4</v>
      </c>
      <c r="R1736">
        <v>899382</v>
      </c>
      <c r="S1736">
        <f>Table1[[#This Row],[Revenue]]-Table1[[#This Row],[Operating_Costs]]</f>
        <v>373625</v>
      </c>
      <c r="T1736">
        <v>525757</v>
      </c>
      <c r="U1736">
        <v>47</v>
      </c>
      <c r="V1736">
        <v>56</v>
      </c>
      <c r="W1736">
        <v>6.9</v>
      </c>
    </row>
    <row r="1737" spans="1:23" x14ac:dyDescent="0.25">
      <c r="A1737">
        <v>4</v>
      </c>
      <c r="B1737" t="s">
        <v>69</v>
      </c>
      <c r="C1737" s="1">
        <v>45032</v>
      </c>
      <c r="D1737" t="s">
        <v>71</v>
      </c>
      <c r="E1737">
        <v>0</v>
      </c>
      <c r="F1737">
        <v>32</v>
      </c>
      <c r="G1737" t="str">
        <f t="shared" si="35"/>
        <v>21-40</v>
      </c>
      <c r="H1737" t="s">
        <v>23</v>
      </c>
      <c r="I1737" t="s">
        <v>40</v>
      </c>
      <c r="J1737" t="s">
        <v>41</v>
      </c>
      <c r="K1737" t="s">
        <v>42</v>
      </c>
      <c r="L1737">
        <v>1</v>
      </c>
      <c r="M1737">
        <v>1</v>
      </c>
      <c r="N1737">
        <v>2.9</v>
      </c>
      <c r="O1737">
        <v>9.1999999999999993</v>
      </c>
      <c r="P1737">
        <v>6</v>
      </c>
      <c r="Q1737">
        <v>7</v>
      </c>
      <c r="R1737">
        <v>925479</v>
      </c>
      <c r="S1737">
        <f>Table1[[#This Row],[Revenue]]-Table1[[#This Row],[Operating_Costs]]</f>
        <v>423006</v>
      </c>
      <c r="T1737">
        <v>502473</v>
      </c>
      <c r="U1737">
        <v>50</v>
      </c>
      <c r="V1737">
        <v>54</v>
      </c>
      <c r="W1737">
        <v>12.5</v>
      </c>
    </row>
    <row r="1738" spans="1:23" x14ac:dyDescent="0.25">
      <c r="A1738">
        <v>4</v>
      </c>
      <c r="B1738" t="s">
        <v>69</v>
      </c>
      <c r="C1738" s="1">
        <v>45101</v>
      </c>
      <c r="D1738" t="s">
        <v>71</v>
      </c>
      <c r="E1738">
        <v>0</v>
      </c>
      <c r="F1738">
        <v>35</v>
      </c>
      <c r="G1738" t="str">
        <f t="shared" si="35"/>
        <v>21-40</v>
      </c>
      <c r="H1738" t="s">
        <v>23</v>
      </c>
      <c r="I1738" t="s">
        <v>24</v>
      </c>
      <c r="J1738" t="s">
        <v>25</v>
      </c>
      <c r="K1738" t="s">
        <v>29</v>
      </c>
      <c r="L1738">
        <v>1</v>
      </c>
      <c r="M1738">
        <v>1</v>
      </c>
      <c r="N1738">
        <v>5.4</v>
      </c>
      <c r="O1738">
        <v>9.8000000000000007</v>
      </c>
      <c r="P1738">
        <v>5</v>
      </c>
      <c r="Q1738">
        <v>4</v>
      </c>
      <c r="R1738">
        <v>839428</v>
      </c>
      <c r="S1738">
        <f>Table1[[#This Row],[Revenue]]-Table1[[#This Row],[Operating_Costs]]</f>
        <v>321795</v>
      </c>
      <c r="T1738">
        <v>517633</v>
      </c>
      <c r="U1738">
        <v>40</v>
      </c>
      <c r="V1738">
        <v>56</v>
      </c>
      <c r="W1738">
        <v>13.8</v>
      </c>
    </row>
    <row r="1739" spans="1:23" x14ac:dyDescent="0.25">
      <c r="A1739">
        <v>4</v>
      </c>
      <c r="B1739" t="s">
        <v>69</v>
      </c>
      <c r="C1739" s="1">
        <v>44426</v>
      </c>
      <c r="D1739" t="s">
        <v>71</v>
      </c>
      <c r="E1739">
        <v>0</v>
      </c>
      <c r="F1739">
        <v>79</v>
      </c>
      <c r="G1739" t="str">
        <f t="shared" si="35"/>
        <v>61-80</v>
      </c>
      <c r="H1739" t="s">
        <v>23</v>
      </c>
      <c r="I1739" t="s">
        <v>31</v>
      </c>
      <c r="J1739" t="s">
        <v>28</v>
      </c>
      <c r="K1739" t="s">
        <v>38</v>
      </c>
      <c r="L1739">
        <v>1</v>
      </c>
      <c r="M1739">
        <v>1</v>
      </c>
      <c r="N1739">
        <v>1.9</v>
      </c>
      <c r="O1739">
        <v>8.8000000000000007</v>
      </c>
      <c r="P1739">
        <v>4</v>
      </c>
      <c r="Q1739">
        <v>7</v>
      </c>
      <c r="R1739">
        <v>828914</v>
      </c>
      <c r="S1739">
        <f>Table1[[#This Row],[Revenue]]-Table1[[#This Row],[Operating_Costs]]</f>
        <v>261396</v>
      </c>
      <c r="T1739">
        <v>567518</v>
      </c>
      <c r="U1739">
        <v>60</v>
      </c>
      <c r="V1739">
        <v>62</v>
      </c>
      <c r="W1739">
        <v>36.299999999999997</v>
      </c>
    </row>
    <row r="1740" spans="1:23" x14ac:dyDescent="0.25">
      <c r="A1740">
        <v>4</v>
      </c>
      <c r="B1740" t="s">
        <v>69</v>
      </c>
      <c r="C1740" s="1">
        <v>44918</v>
      </c>
      <c r="D1740" t="s">
        <v>71</v>
      </c>
      <c r="E1740">
        <v>0</v>
      </c>
      <c r="F1740">
        <v>44</v>
      </c>
      <c r="G1740" t="str">
        <f t="shared" si="35"/>
        <v>41-60</v>
      </c>
      <c r="H1740" t="s">
        <v>23</v>
      </c>
      <c r="I1740" t="s">
        <v>24</v>
      </c>
      <c r="J1740" t="s">
        <v>25</v>
      </c>
      <c r="K1740" t="s">
        <v>26</v>
      </c>
      <c r="L1740">
        <v>1</v>
      </c>
      <c r="M1740">
        <v>1</v>
      </c>
      <c r="N1740">
        <v>5.0999999999999996</v>
      </c>
      <c r="O1740">
        <v>8.1999999999999993</v>
      </c>
      <c r="P1740">
        <v>3</v>
      </c>
      <c r="Q1740">
        <v>3</v>
      </c>
      <c r="R1740">
        <v>838810</v>
      </c>
      <c r="S1740">
        <f>Table1[[#This Row],[Revenue]]-Table1[[#This Row],[Operating_Costs]]</f>
        <v>202308</v>
      </c>
      <c r="T1740">
        <v>636502</v>
      </c>
      <c r="U1740">
        <v>32</v>
      </c>
      <c r="V1740">
        <v>63</v>
      </c>
      <c r="W1740">
        <v>10</v>
      </c>
    </row>
    <row r="1741" spans="1:23" x14ac:dyDescent="0.25">
      <c r="A1741">
        <v>4</v>
      </c>
      <c r="B1741" t="s">
        <v>69</v>
      </c>
      <c r="C1741" s="1">
        <v>45446</v>
      </c>
      <c r="D1741" t="s">
        <v>71</v>
      </c>
      <c r="E1741">
        <v>0</v>
      </c>
      <c r="F1741">
        <v>45</v>
      </c>
      <c r="G1741" t="str">
        <f t="shared" si="35"/>
        <v>41-60</v>
      </c>
      <c r="H1741" t="s">
        <v>35</v>
      </c>
      <c r="I1741" t="s">
        <v>36</v>
      </c>
      <c r="J1741" t="s">
        <v>37</v>
      </c>
      <c r="K1741" t="s">
        <v>26</v>
      </c>
      <c r="L1741">
        <v>1</v>
      </c>
      <c r="M1741">
        <v>1</v>
      </c>
      <c r="N1741">
        <v>2.4</v>
      </c>
      <c r="O1741">
        <v>9.9</v>
      </c>
      <c r="P1741">
        <v>4</v>
      </c>
      <c r="Q1741">
        <v>4</v>
      </c>
      <c r="R1741">
        <v>959314</v>
      </c>
      <c r="S1741">
        <f>Table1[[#This Row],[Revenue]]-Table1[[#This Row],[Operating_Costs]]</f>
        <v>373977</v>
      </c>
      <c r="T1741">
        <v>585337</v>
      </c>
      <c r="U1741">
        <v>48</v>
      </c>
      <c r="V1741">
        <v>65</v>
      </c>
      <c r="W1741">
        <v>12.1</v>
      </c>
    </row>
    <row r="1742" spans="1:23" x14ac:dyDescent="0.25">
      <c r="A1742">
        <v>4</v>
      </c>
      <c r="B1742" t="s">
        <v>69</v>
      </c>
      <c r="C1742" s="1">
        <v>45555</v>
      </c>
      <c r="D1742" t="s">
        <v>71</v>
      </c>
      <c r="E1742">
        <v>0</v>
      </c>
      <c r="F1742">
        <v>22</v>
      </c>
      <c r="G1742" t="str">
        <f t="shared" si="35"/>
        <v>21-40</v>
      </c>
      <c r="H1742" t="s">
        <v>35</v>
      </c>
      <c r="I1742" t="s">
        <v>46</v>
      </c>
      <c r="J1742" t="s">
        <v>47</v>
      </c>
      <c r="K1742" t="s">
        <v>42</v>
      </c>
      <c r="L1742">
        <v>1</v>
      </c>
      <c r="M1742">
        <v>1</v>
      </c>
      <c r="N1742">
        <v>1.4</v>
      </c>
      <c r="O1742">
        <v>8.1999999999999993</v>
      </c>
      <c r="P1742">
        <v>4</v>
      </c>
      <c r="Q1742">
        <v>5</v>
      </c>
      <c r="R1742">
        <v>848422</v>
      </c>
      <c r="S1742">
        <f>Table1[[#This Row],[Revenue]]-Table1[[#This Row],[Operating_Costs]]</f>
        <v>153920</v>
      </c>
      <c r="T1742">
        <v>694502</v>
      </c>
      <c r="U1742">
        <v>60</v>
      </c>
      <c r="V1742">
        <v>55</v>
      </c>
      <c r="W1742">
        <v>36.4</v>
      </c>
    </row>
    <row r="1743" spans="1:23" x14ac:dyDescent="0.25">
      <c r="A1743">
        <v>4</v>
      </c>
      <c r="B1743" t="s">
        <v>69</v>
      </c>
      <c r="C1743" s="1">
        <v>45348</v>
      </c>
      <c r="D1743" t="s">
        <v>71</v>
      </c>
      <c r="E1743">
        <v>0</v>
      </c>
      <c r="F1743">
        <v>21</v>
      </c>
      <c r="G1743" t="str">
        <f t="shared" si="35"/>
        <v>21-40</v>
      </c>
      <c r="H1743" t="s">
        <v>23</v>
      </c>
      <c r="I1743" t="s">
        <v>50</v>
      </c>
      <c r="J1743" t="s">
        <v>51</v>
      </c>
      <c r="K1743" t="s">
        <v>38</v>
      </c>
      <c r="L1743">
        <v>1</v>
      </c>
      <c r="M1743">
        <v>1</v>
      </c>
      <c r="N1743">
        <v>2.1</v>
      </c>
      <c r="O1743">
        <v>8.9</v>
      </c>
      <c r="P1743">
        <v>7</v>
      </c>
      <c r="Q1743">
        <v>6</v>
      </c>
      <c r="R1743">
        <v>917525</v>
      </c>
      <c r="S1743">
        <f>Table1[[#This Row],[Revenue]]-Table1[[#This Row],[Operating_Costs]]</f>
        <v>228392</v>
      </c>
      <c r="T1743">
        <v>689133</v>
      </c>
      <c r="U1743">
        <v>51</v>
      </c>
      <c r="V1743">
        <v>64</v>
      </c>
      <c r="W1743">
        <v>5.6</v>
      </c>
    </row>
    <row r="1744" spans="1:23" x14ac:dyDescent="0.25">
      <c r="A1744">
        <v>5</v>
      </c>
      <c r="B1744" t="s">
        <v>22</v>
      </c>
      <c r="C1744" s="1">
        <v>45329</v>
      </c>
      <c r="D1744" t="s">
        <v>71</v>
      </c>
      <c r="E1744">
        <v>0</v>
      </c>
      <c r="F1744">
        <v>54</v>
      </c>
      <c r="G1744" t="str">
        <f t="shared" si="35"/>
        <v>41-60</v>
      </c>
      <c r="H1744" t="s">
        <v>35</v>
      </c>
      <c r="I1744" t="s">
        <v>46</v>
      </c>
      <c r="J1744" t="s">
        <v>47</v>
      </c>
      <c r="K1744" t="s">
        <v>33</v>
      </c>
      <c r="L1744">
        <v>1</v>
      </c>
      <c r="M1744">
        <v>1</v>
      </c>
      <c r="N1744">
        <v>5.7</v>
      </c>
      <c r="O1744">
        <v>8.9</v>
      </c>
      <c r="P1744">
        <v>5</v>
      </c>
      <c r="Q1744">
        <v>4</v>
      </c>
      <c r="R1744">
        <v>816015</v>
      </c>
      <c r="S1744">
        <f>Table1[[#This Row],[Revenue]]-Table1[[#This Row],[Operating_Costs]]</f>
        <v>521605</v>
      </c>
      <c r="T1744">
        <v>294410</v>
      </c>
      <c r="U1744">
        <v>26</v>
      </c>
      <c r="V1744">
        <v>55</v>
      </c>
      <c r="W1744">
        <v>6.6</v>
      </c>
    </row>
    <row r="1745" spans="1:23" x14ac:dyDescent="0.25">
      <c r="A1745">
        <v>4</v>
      </c>
      <c r="B1745" t="s">
        <v>69</v>
      </c>
      <c r="C1745" s="1">
        <v>44367</v>
      </c>
      <c r="D1745" t="s">
        <v>71</v>
      </c>
      <c r="E1745">
        <v>0</v>
      </c>
      <c r="F1745">
        <v>47</v>
      </c>
      <c r="G1745" t="str">
        <f t="shared" si="35"/>
        <v>41-60</v>
      </c>
      <c r="H1745" t="s">
        <v>35</v>
      </c>
      <c r="I1745" t="s">
        <v>50</v>
      </c>
      <c r="J1745" t="s">
        <v>51</v>
      </c>
      <c r="K1745" t="s">
        <v>42</v>
      </c>
      <c r="L1745">
        <v>1</v>
      </c>
      <c r="M1745">
        <v>1</v>
      </c>
      <c r="N1745">
        <v>4.0999999999999996</v>
      </c>
      <c r="O1745">
        <v>7.1</v>
      </c>
      <c r="P1745">
        <v>3</v>
      </c>
      <c r="Q1745">
        <v>5</v>
      </c>
      <c r="R1745">
        <v>938183</v>
      </c>
      <c r="S1745">
        <f>Table1[[#This Row],[Revenue]]-Table1[[#This Row],[Operating_Costs]]</f>
        <v>280799</v>
      </c>
      <c r="T1745">
        <v>657384</v>
      </c>
      <c r="U1745">
        <v>45</v>
      </c>
      <c r="V1745">
        <v>61</v>
      </c>
      <c r="W1745">
        <v>14.5</v>
      </c>
    </row>
    <row r="1746" spans="1:23" x14ac:dyDescent="0.25">
      <c r="A1746">
        <v>4</v>
      </c>
      <c r="B1746" t="s">
        <v>69</v>
      </c>
      <c r="C1746" s="1">
        <v>44550</v>
      </c>
      <c r="D1746" t="s">
        <v>71</v>
      </c>
      <c r="E1746">
        <v>0</v>
      </c>
      <c r="F1746">
        <v>46</v>
      </c>
      <c r="G1746" t="str">
        <f t="shared" si="35"/>
        <v>41-60</v>
      </c>
      <c r="H1746" t="s">
        <v>35</v>
      </c>
      <c r="I1746" t="s">
        <v>36</v>
      </c>
      <c r="J1746" t="s">
        <v>37</v>
      </c>
      <c r="K1746" t="s">
        <v>29</v>
      </c>
      <c r="L1746">
        <v>1</v>
      </c>
      <c r="M1746">
        <v>1</v>
      </c>
      <c r="N1746">
        <v>2.1</v>
      </c>
      <c r="O1746">
        <v>9.9</v>
      </c>
      <c r="P1746">
        <v>5</v>
      </c>
      <c r="Q1746">
        <v>3</v>
      </c>
      <c r="R1746">
        <v>830294</v>
      </c>
      <c r="S1746">
        <f>Table1[[#This Row],[Revenue]]-Table1[[#This Row],[Operating_Costs]]</f>
        <v>233262</v>
      </c>
      <c r="T1746">
        <v>597032</v>
      </c>
      <c r="U1746">
        <v>51</v>
      </c>
      <c r="V1746">
        <v>55</v>
      </c>
      <c r="W1746">
        <v>8.6</v>
      </c>
    </row>
    <row r="1747" spans="1:23" x14ac:dyDescent="0.25">
      <c r="A1747">
        <v>4</v>
      </c>
      <c r="B1747" t="s">
        <v>69</v>
      </c>
      <c r="C1747" s="1">
        <v>45002</v>
      </c>
      <c r="D1747" t="s">
        <v>71</v>
      </c>
      <c r="E1747">
        <v>0</v>
      </c>
      <c r="F1747">
        <v>26</v>
      </c>
      <c r="G1747" t="str">
        <f t="shared" si="35"/>
        <v>21-40</v>
      </c>
      <c r="H1747" t="s">
        <v>23</v>
      </c>
      <c r="I1747" t="s">
        <v>24</v>
      </c>
      <c r="J1747" t="s">
        <v>25</v>
      </c>
      <c r="K1747" t="s">
        <v>42</v>
      </c>
      <c r="L1747">
        <v>1</v>
      </c>
      <c r="M1747">
        <v>1</v>
      </c>
      <c r="N1747">
        <v>1.3</v>
      </c>
      <c r="O1747">
        <v>8.3000000000000007</v>
      </c>
      <c r="P1747">
        <v>7</v>
      </c>
      <c r="Q1747">
        <v>5</v>
      </c>
      <c r="R1747">
        <v>844894</v>
      </c>
      <c r="S1747">
        <f>Table1[[#This Row],[Revenue]]-Table1[[#This Row],[Operating_Costs]]</f>
        <v>337955</v>
      </c>
      <c r="T1747">
        <v>506939</v>
      </c>
      <c r="U1747">
        <v>57</v>
      </c>
      <c r="V1747">
        <v>60</v>
      </c>
      <c r="W1747">
        <v>36.700000000000003</v>
      </c>
    </row>
    <row r="1748" spans="1:23" x14ac:dyDescent="0.25">
      <c r="A1748">
        <v>4</v>
      </c>
      <c r="B1748" t="s">
        <v>69</v>
      </c>
      <c r="C1748" s="1">
        <v>44991</v>
      </c>
      <c r="D1748" t="s">
        <v>71</v>
      </c>
      <c r="E1748">
        <v>0</v>
      </c>
      <c r="F1748">
        <v>30</v>
      </c>
      <c r="G1748" t="str">
        <f t="shared" si="35"/>
        <v>21-40</v>
      </c>
      <c r="H1748" t="s">
        <v>23</v>
      </c>
      <c r="I1748" t="s">
        <v>43</v>
      </c>
      <c r="J1748" t="s">
        <v>25</v>
      </c>
      <c r="K1748" t="s">
        <v>33</v>
      </c>
      <c r="L1748">
        <v>1</v>
      </c>
      <c r="M1748">
        <v>1</v>
      </c>
      <c r="N1748">
        <v>3.8</v>
      </c>
      <c r="O1748">
        <v>7.1</v>
      </c>
      <c r="P1748">
        <v>7</v>
      </c>
      <c r="Q1748">
        <v>6</v>
      </c>
      <c r="R1748">
        <v>834240</v>
      </c>
      <c r="S1748">
        <f>Table1[[#This Row],[Revenue]]-Table1[[#This Row],[Operating_Costs]]</f>
        <v>272798</v>
      </c>
      <c r="T1748">
        <v>561442</v>
      </c>
      <c r="U1748">
        <v>41</v>
      </c>
      <c r="V1748">
        <v>61</v>
      </c>
      <c r="W1748">
        <v>6.3</v>
      </c>
    </row>
    <row r="1749" spans="1:23" x14ac:dyDescent="0.25">
      <c r="A1749">
        <v>4</v>
      </c>
      <c r="B1749" t="s">
        <v>69</v>
      </c>
      <c r="C1749" s="1">
        <v>44447</v>
      </c>
      <c r="D1749" t="s">
        <v>71</v>
      </c>
      <c r="E1749">
        <v>0</v>
      </c>
      <c r="F1749">
        <v>44</v>
      </c>
      <c r="G1749" t="str">
        <f t="shared" si="35"/>
        <v>41-60</v>
      </c>
      <c r="H1749" t="s">
        <v>23</v>
      </c>
      <c r="I1749" t="s">
        <v>58</v>
      </c>
      <c r="J1749" t="s">
        <v>59</v>
      </c>
      <c r="K1749" t="s">
        <v>38</v>
      </c>
      <c r="L1749">
        <v>1</v>
      </c>
      <c r="M1749">
        <v>1</v>
      </c>
      <c r="N1749">
        <v>3.1</v>
      </c>
      <c r="O1749">
        <v>8.1999999999999993</v>
      </c>
      <c r="P1749">
        <v>4</v>
      </c>
      <c r="Q1749">
        <v>4</v>
      </c>
      <c r="R1749">
        <v>828516</v>
      </c>
      <c r="S1749">
        <f>Table1[[#This Row],[Revenue]]-Table1[[#This Row],[Operating_Costs]]</f>
        <v>214502</v>
      </c>
      <c r="T1749">
        <v>614014</v>
      </c>
      <c r="U1749">
        <v>59</v>
      </c>
      <c r="V1749">
        <v>64</v>
      </c>
      <c r="W1749">
        <v>5.4</v>
      </c>
    </row>
    <row r="1750" spans="1:23" x14ac:dyDescent="0.25">
      <c r="A1750">
        <v>5</v>
      </c>
      <c r="B1750" t="s">
        <v>22</v>
      </c>
      <c r="C1750" s="1">
        <v>45108</v>
      </c>
      <c r="D1750" t="s">
        <v>71</v>
      </c>
      <c r="E1750">
        <v>0</v>
      </c>
      <c r="F1750">
        <v>57</v>
      </c>
      <c r="G1750" t="str">
        <f t="shared" si="35"/>
        <v>41-60</v>
      </c>
      <c r="H1750" t="s">
        <v>23</v>
      </c>
      <c r="I1750" t="s">
        <v>58</v>
      </c>
      <c r="J1750" t="s">
        <v>59</v>
      </c>
      <c r="K1750" t="s">
        <v>26</v>
      </c>
      <c r="L1750">
        <v>1</v>
      </c>
      <c r="M1750">
        <v>1</v>
      </c>
      <c r="N1750">
        <v>2.7</v>
      </c>
      <c r="O1750">
        <v>7.3</v>
      </c>
      <c r="P1750">
        <v>7</v>
      </c>
      <c r="Q1750">
        <v>7</v>
      </c>
      <c r="R1750">
        <v>817318</v>
      </c>
      <c r="S1750">
        <f>Table1[[#This Row],[Revenue]]-Table1[[#This Row],[Operating_Costs]]</f>
        <v>483741</v>
      </c>
      <c r="T1750">
        <v>333577</v>
      </c>
      <c r="U1750">
        <v>40</v>
      </c>
      <c r="V1750">
        <v>64</v>
      </c>
      <c r="W1750">
        <v>10.1</v>
      </c>
    </row>
    <row r="1751" spans="1:23" x14ac:dyDescent="0.25">
      <c r="A1751">
        <v>4</v>
      </c>
      <c r="B1751" t="s">
        <v>69</v>
      </c>
      <c r="C1751" s="1">
        <v>45563</v>
      </c>
      <c r="D1751" t="s">
        <v>71</v>
      </c>
      <c r="E1751">
        <v>0</v>
      </c>
      <c r="F1751">
        <v>35</v>
      </c>
      <c r="G1751" t="str">
        <f t="shared" si="35"/>
        <v>21-40</v>
      </c>
      <c r="H1751" t="s">
        <v>35</v>
      </c>
      <c r="I1751" t="s">
        <v>60</v>
      </c>
      <c r="J1751" t="s">
        <v>59</v>
      </c>
      <c r="K1751" t="s">
        <v>38</v>
      </c>
      <c r="L1751">
        <v>1</v>
      </c>
      <c r="M1751">
        <v>1</v>
      </c>
      <c r="N1751">
        <v>6.9</v>
      </c>
      <c r="O1751">
        <v>7.5</v>
      </c>
      <c r="P1751">
        <v>6</v>
      </c>
      <c r="Q1751">
        <v>3</v>
      </c>
      <c r="R1751">
        <v>884530</v>
      </c>
      <c r="S1751">
        <f>Table1[[#This Row],[Revenue]]-Table1[[#This Row],[Operating_Costs]]</f>
        <v>286790</v>
      </c>
      <c r="T1751">
        <v>597740</v>
      </c>
      <c r="U1751">
        <v>49</v>
      </c>
      <c r="V1751">
        <v>54</v>
      </c>
      <c r="W1751">
        <v>36</v>
      </c>
    </row>
    <row r="1752" spans="1:23" x14ac:dyDescent="0.25">
      <c r="A1752">
        <v>4</v>
      </c>
      <c r="B1752" t="s">
        <v>69</v>
      </c>
      <c r="C1752" s="1">
        <v>44495</v>
      </c>
      <c r="D1752" t="s">
        <v>71</v>
      </c>
      <c r="E1752">
        <v>0</v>
      </c>
      <c r="F1752">
        <v>22</v>
      </c>
      <c r="G1752" t="str">
        <f t="shared" si="35"/>
        <v>21-40</v>
      </c>
      <c r="H1752" t="s">
        <v>35</v>
      </c>
      <c r="I1752" t="s">
        <v>55</v>
      </c>
      <c r="J1752" t="s">
        <v>56</v>
      </c>
      <c r="K1752" t="s">
        <v>38</v>
      </c>
      <c r="L1752">
        <v>1</v>
      </c>
      <c r="M1752">
        <v>1</v>
      </c>
      <c r="N1752">
        <v>4.4000000000000004</v>
      </c>
      <c r="O1752">
        <v>7.4</v>
      </c>
      <c r="P1752">
        <v>6</v>
      </c>
      <c r="Q1752">
        <v>3</v>
      </c>
      <c r="R1752">
        <v>958070</v>
      </c>
      <c r="S1752">
        <f>Table1[[#This Row],[Revenue]]-Table1[[#This Row],[Operating_Costs]]</f>
        <v>428772</v>
      </c>
      <c r="T1752">
        <v>529298</v>
      </c>
      <c r="U1752">
        <v>48</v>
      </c>
      <c r="V1752">
        <v>63</v>
      </c>
      <c r="W1752">
        <v>10.5</v>
      </c>
    </row>
    <row r="1753" spans="1:23" x14ac:dyDescent="0.25">
      <c r="A1753">
        <v>5</v>
      </c>
      <c r="B1753" t="s">
        <v>22</v>
      </c>
      <c r="C1753" s="1">
        <v>44514</v>
      </c>
      <c r="D1753" t="s">
        <v>71</v>
      </c>
      <c r="E1753">
        <v>0</v>
      </c>
      <c r="F1753">
        <v>28</v>
      </c>
      <c r="G1753" t="str">
        <f t="shared" si="35"/>
        <v>21-40</v>
      </c>
      <c r="H1753" t="s">
        <v>23</v>
      </c>
      <c r="I1753" t="s">
        <v>24</v>
      </c>
      <c r="J1753" t="s">
        <v>25</v>
      </c>
      <c r="K1753" t="s">
        <v>29</v>
      </c>
      <c r="L1753">
        <v>1</v>
      </c>
      <c r="M1753">
        <v>1</v>
      </c>
      <c r="N1753">
        <v>6.1</v>
      </c>
      <c r="O1753">
        <v>8.5</v>
      </c>
      <c r="P1753">
        <v>4</v>
      </c>
      <c r="Q1753">
        <v>6</v>
      </c>
      <c r="R1753">
        <v>742220</v>
      </c>
      <c r="S1753">
        <f>Table1[[#This Row],[Revenue]]-Table1[[#This Row],[Operating_Costs]]</f>
        <v>467334</v>
      </c>
      <c r="T1753">
        <v>274886</v>
      </c>
      <c r="U1753">
        <v>38</v>
      </c>
      <c r="V1753">
        <v>55</v>
      </c>
      <c r="W1753">
        <v>36.799999999999997</v>
      </c>
    </row>
    <row r="1754" spans="1:23" x14ac:dyDescent="0.25">
      <c r="A1754">
        <v>5</v>
      </c>
      <c r="B1754" t="s">
        <v>22</v>
      </c>
      <c r="C1754" s="1">
        <v>45052</v>
      </c>
      <c r="D1754" t="s">
        <v>71</v>
      </c>
      <c r="E1754">
        <v>0</v>
      </c>
      <c r="F1754">
        <v>39</v>
      </c>
      <c r="G1754" t="str">
        <f t="shared" si="35"/>
        <v>21-40</v>
      </c>
      <c r="H1754" t="s">
        <v>35</v>
      </c>
      <c r="I1754" t="s">
        <v>31</v>
      </c>
      <c r="J1754" t="s">
        <v>28</v>
      </c>
      <c r="K1754" t="s">
        <v>38</v>
      </c>
      <c r="L1754">
        <v>1</v>
      </c>
      <c r="M1754">
        <v>1</v>
      </c>
      <c r="N1754">
        <v>2.2999999999999998</v>
      </c>
      <c r="O1754">
        <v>7.9</v>
      </c>
      <c r="P1754">
        <v>5</v>
      </c>
      <c r="Q1754">
        <v>3</v>
      </c>
      <c r="R1754">
        <v>960864</v>
      </c>
      <c r="S1754">
        <f>Table1[[#This Row],[Revenue]]-Table1[[#This Row],[Operating_Costs]]</f>
        <v>736121</v>
      </c>
      <c r="T1754">
        <v>224743</v>
      </c>
      <c r="U1754">
        <v>20</v>
      </c>
      <c r="V1754">
        <v>60</v>
      </c>
      <c r="W1754">
        <v>9.3000000000000007</v>
      </c>
    </row>
    <row r="1755" spans="1:23" x14ac:dyDescent="0.25">
      <c r="A1755">
        <v>5</v>
      </c>
      <c r="B1755" t="s">
        <v>22</v>
      </c>
      <c r="C1755" s="1">
        <v>45588</v>
      </c>
      <c r="D1755" t="s">
        <v>71</v>
      </c>
      <c r="E1755">
        <v>0</v>
      </c>
      <c r="F1755">
        <v>74</v>
      </c>
      <c r="G1755" t="str">
        <f t="shared" si="35"/>
        <v>61-80</v>
      </c>
      <c r="H1755" t="s">
        <v>35</v>
      </c>
      <c r="I1755" t="s">
        <v>50</v>
      </c>
      <c r="J1755" t="s">
        <v>51</v>
      </c>
      <c r="K1755" t="s">
        <v>26</v>
      </c>
      <c r="L1755">
        <v>1</v>
      </c>
      <c r="M1755">
        <v>1</v>
      </c>
      <c r="N1755">
        <v>6</v>
      </c>
      <c r="O1755">
        <v>7.1</v>
      </c>
      <c r="P1755">
        <v>7</v>
      </c>
      <c r="Q1755">
        <v>4</v>
      </c>
      <c r="R1755">
        <v>790820</v>
      </c>
      <c r="S1755">
        <f>Table1[[#This Row],[Revenue]]-Table1[[#This Row],[Operating_Costs]]</f>
        <v>388314</v>
      </c>
      <c r="T1755">
        <v>402506</v>
      </c>
      <c r="U1755">
        <v>35</v>
      </c>
      <c r="V1755">
        <v>64</v>
      </c>
      <c r="W1755">
        <v>13.6</v>
      </c>
    </row>
    <row r="1756" spans="1:23" x14ac:dyDescent="0.25">
      <c r="A1756">
        <v>4</v>
      </c>
      <c r="B1756" t="s">
        <v>69</v>
      </c>
      <c r="C1756" s="1">
        <v>44895</v>
      </c>
      <c r="D1756" t="s">
        <v>71</v>
      </c>
      <c r="E1756">
        <v>0</v>
      </c>
      <c r="F1756">
        <v>47</v>
      </c>
      <c r="G1756" t="str">
        <f t="shared" si="35"/>
        <v>41-60</v>
      </c>
      <c r="H1756" t="s">
        <v>35</v>
      </c>
      <c r="I1756" t="s">
        <v>36</v>
      </c>
      <c r="J1756" t="s">
        <v>37</v>
      </c>
      <c r="K1756" t="s">
        <v>33</v>
      </c>
      <c r="L1756">
        <v>1</v>
      </c>
      <c r="M1756">
        <v>1</v>
      </c>
      <c r="N1756">
        <v>2.8</v>
      </c>
      <c r="O1756">
        <v>8.6</v>
      </c>
      <c r="P1756">
        <v>4</v>
      </c>
      <c r="Q1756">
        <v>4</v>
      </c>
      <c r="R1756">
        <v>984820</v>
      </c>
      <c r="S1756">
        <f>Table1[[#This Row],[Revenue]]-Table1[[#This Row],[Operating_Costs]]</f>
        <v>482895</v>
      </c>
      <c r="T1756">
        <v>501925</v>
      </c>
      <c r="U1756">
        <v>54</v>
      </c>
      <c r="V1756">
        <v>54</v>
      </c>
      <c r="W1756">
        <v>5.7</v>
      </c>
    </row>
    <row r="1757" spans="1:23" x14ac:dyDescent="0.25">
      <c r="A1757">
        <v>5</v>
      </c>
      <c r="B1757" t="s">
        <v>22</v>
      </c>
      <c r="C1757" s="1">
        <v>44658</v>
      </c>
      <c r="D1757" t="s">
        <v>71</v>
      </c>
      <c r="E1757">
        <v>0</v>
      </c>
      <c r="F1757">
        <v>68</v>
      </c>
      <c r="G1757" t="str">
        <f t="shared" si="35"/>
        <v>61-80</v>
      </c>
      <c r="H1757" t="s">
        <v>23</v>
      </c>
      <c r="I1757" t="s">
        <v>24</v>
      </c>
      <c r="J1757" t="s">
        <v>25</v>
      </c>
      <c r="K1757" t="s">
        <v>29</v>
      </c>
      <c r="L1757">
        <v>1</v>
      </c>
      <c r="M1757">
        <v>1</v>
      </c>
      <c r="N1757">
        <v>4.5</v>
      </c>
      <c r="O1757">
        <v>8.4</v>
      </c>
      <c r="P1757">
        <v>6</v>
      </c>
      <c r="Q1757">
        <v>6</v>
      </c>
      <c r="R1757">
        <v>869741</v>
      </c>
      <c r="S1757">
        <f>Table1[[#This Row],[Revenue]]-Table1[[#This Row],[Operating_Costs]]</f>
        <v>587953</v>
      </c>
      <c r="T1757">
        <v>281788</v>
      </c>
      <c r="U1757">
        <v>40</v>
      </c>
      <c r="V1757">
        <v>55</v>
      </c>
      <c r="W1757">
        <v>13.7</v>
      </c>
    </row>
    <row r="1758" spans="1:23" x14ac:dyDescent="0.25">
      <c r="A1758">
        <v>4</v>
      </c>
      <c r="B1758" t="s">
        <v>69</v>
      </c>
      <c r="C1758" s="1">
        <v>45589</v>
      </c>
      <c r="D1758" t="s">
        <v>71</v>
      </c>
      <c r="E1758">
        <v>0</v>
      </c>
      <c r="F1758">
        <v>36</v>
      </c>
      <c r="G1758" t="str">
        <f t="shared" si="35"/>
        <v>21-40</v>
      </c>
      <c r="H1758" t="s">
        <v>23</v>
      </c>
      <c r="I1758" t="s">
        <v>24</v>
      </c>
      <c r="J1758" t="s">
        <v>25</v>
      </c>
      <c r="K1758" t="s">
        <v>26</v>
      </c>
      <c r="L1758">
        <v>1</v>
      </c>
      <c r="M1758">
        <v>1</v>
      </c>
      <c r="N1758">
        <v>5.5</v>
      </c>
      <c r="O1758">
        <v>7.9</v>
      </c>
      <c r="P1758">
        <v>6</v>
      </c>
      <c r="Q1758">
        <v>4</v>
      </c>
      <c r="R1758">
        <v>955363</v>
      </c>
      <c r="S1758">
        <f>Table1[[#This Row],[Revenue]]-Table1[[#This Row],[Operating_Costs]]</f>
        <v>345512</v>
      </c>
      <c r="T1758">
        <v>609851</v>
      </c>
      <c r="U1758">
        <v>50</v>
      </c>
      <c r="V1758">
        <v>63</v>
      </c>
      <c r="W1758">
        <v>8.9</v>
      </c>
    </row>
    <row r="1759" spans="1:23" x14ac:dyDescent="0.25">
      <c r="A1759">
        <v>4</v>
      </c>
      <c r="B1759" t="s">
        <v>69</v>
      </c>
      <c r="C1759" s="1">
        <v>45501</v>
      </c>
      <c r="D1759" t="s">
        <v>71</v>
      </c>
      <c r="E1759">
        <v>0</v>
      </c>
      <c r="F1759">
        <v>31</v>
      </c>
      <c r="G1759" t="str">
        <f t="shared" si="35"/>
        <v>21-40</v>
      </c>
      <c r="H1759" t="s">
        <v>23</v>
      </c>
      <c r="I1759" t="s">
        <v>50</v>
      </c>
      <c r="J1759" t="s">
        <v>51</v>
      </c>
      <c r="K1759" t="s">
        <v>33</v>
      </c>
      <c r="L1759">
        <v>1</v>
      </c>
      <c r="M1759">
        <v>1</v>
      </c>
      <c r="N1759">
        <v>5.3</v>
      </c>
      <c r="O1759">
        <v>8.8000000000000007</v>
      </c>
      <c r="P1759">
        <v>3</v>
      </c>
      <c r="Q1759">
        <v>5</v>
      </c>
      <c r="R1759">
        <v>933085</v>
      </c>
      <c r="S1759">
        <f>Table1[[#This Row],[Revenue]]-Table1[[#This Row],[Operating_Costs]]</f>
        <v>255801</v>
      </c>
      <c r="T1759">
        <v>677284</v>
      </c>
      <c r="U1759">
        <v>45</v>
      </c>
      <c r="V1759">
        <v>60</v>
      </c>
      <c r="W1759">
        <v>9.1</v>
      </c>
    </row>
    <row r="1760" spans="1:23" x14ac:dyDescent="0.25">
      <c r="A1760">
        <v>4</v>
      </c>
      <c r="B1760" t="s">
        <v>69</v>
      </c>
      <c r="C1760" s="1">
        <v>45425</v>
      </c>
      <c r="D1760" t="s">
        <v>71</v>
      </c>
      <c r="E1760">
        <v>0</v>
      </c>
      <c r="F1760">
        <v>36</v>
      </c>
      <c r="G1760" t="str">
        <f t="shared" si="35"/>
        <v>21-40</v>
      </c>
      <c r="H1760" t="s">
        <v>23</v>
      </c>
      <c r="I1760" t="s">
        <v>43</v>
      </c>
      <c r="J1760" t="s">
        <v>25</v>
      </c>
      <c r="K1760" t="s">
        <v>26</v>
      </c>
      <c r="L1760">
        <v>1</v>
      </c>
      <c r="M1760">
        <v>1</v>
      </c>
      <c r="N1760">
        <v>2.2999999999999998</v>
      </c>
      <c r="O1760">
        <v>9.5</v>
      </c>
      <c r="P1760">
        <v>3</v>
      </c>
      <c r="Q1760">
        <v>6</v>
      </c>
      <c r="R1760">
        <v>879383</v>
      </c>
      <c r="S1760">
        <f>Table1[[#This Row],[Revenue]]-Table1[[#This Row],[Operating_Costs]]</f>
        <v>271284</v>
      </c>
      <c r="T1760">
        <v>608099</v>
      </c>
      <c r="U1760">
        <v>33</v>
      </c>
      <c r="V1760">
        <v>54</v>
      </c>
      <c r="W1760">
        <v>10.4</v>
      </c>
    </row>
    <row r="1761" spans="1:23" x14ac:dyDescent="0.25">
      <c r="A1761">
        <v>4</v>
      </c>
      <c r="B1761" t="s">
        <v>69</v>
      </c>
      <c r="C1761" s="1">
        <v>44803</v>
      </c>
      <c r="D1761" t="s">
        <v>71</v>
      </c>
      <c r="E1761">
        <v>0</v>
      </c>
      <c r="F1761">
        <v>42</v>
      </c>
      <c r="G1761" t="str">
        <f t="shared" si="35"/>
        <v>41-60</v>
      </c>
      <c r="H1761" t="s">
        <v>23</v>
      </c>
      <c r="I1761" t="s">
        <v>24</v>
      </c>
      <c r="J1761" t="s">
        <v>25</v>
      </c>
      <c r="K1761" t="s">
        <v>38</v>
      </c>
      <c r="L1761">
        <v>1</v>
      </c>
      <c r="M1761">
        <v>1</v>
      </c>
      <c r="N1761">
        <v>3.9</v>
      </c>
      <c r="O1761">
        <v>8.6999999999999993</v>
      </c>
      <c r="P1761">
        <v>5</v>
      </c>
      <c r="Q1761">
        <v>6</v>
      </c>
      <c r="R1761">
        <v>982410</v>
      </c>
      <c r="S1761">
        <f>Table1[[#This Row],[Revenue]]-Table1[[#This Row],[Operating_Costs]]</f>
        <v>441120</v>
      </c>
      <c r="T1761">
        <v>541290</v>
      </c>
      <c r="U1761">
        <v>32</v>
      </c>
      <c r="V1761">
        <v>60</v>
      </c>
      <c r="W1761">
        <v>5</v>
      </c>
    </row>
    <row r="1762" spans="1:23" x14ac:dyDescent="0.25">
      <c r="A1762">
        <v>4</v>
      </c>
      <c r="B1762" t="s">
        <v>69</v>
      </c>
      <c r="C1762" s="1">
        <v>45208</v>
      </c>
      <c r="D1762" t="s">
        <v>71</v>
      </c>
      <c r="E1762">
        <v>0</v>
      </c>
      <c r="F1762">
        <v>88</v>
      </c>
      <c r="G1762" t="str">
        <f t="shared" si="35"/>
        <v>81+</v>
      </c>
      <c r="H1762" t="s">
        <v>23</v>
      </c>
      <c r="I1762" t="s">
        <v>50</v>
      </c>
      <c r="J1762" t="s">
        <v>51</v>
      </c>
      <c r="K1762" t="s">
        <v>29</v>
      </c>
      <c r="L1762">
        <v>1</v>
      </c>
      <c r="M1762">
        <v>1</v>
      </c>
      <c r="N1762">
        <v>4.4000000000000004</v>
      </c>
      <c r="O1762">
        <v>7.9</v>
      </c>
      <c r="P1762">
        <v>7</v>
      </c>
      <c r="Q1762">
        <v>3</v>
      </c>
      <c r="R1762">
        <v>846166</v>
      </c>
      <c r="S1762">
        <f>Table1[[#This Row],[Revenue]]-Table1[[#This Row],[Operating_Costs]]</f>
        <v>259458</v>
      </c>
      <c r="T1762">
        <v>586708</v>
      </c>
      <c r="U1762">
        <v>46</v>
      </c>
      <c r="V1762">
        <v>62</v>
      </c>
      <c r="W1762">
        <v>13.8</v>
      </c>
    </row>
    <row r="1763" spans="1:23" x14ac:dyDescent="0.25">
      <c r="A1763">
        <v>5</v>
      </c>
      <c r="B1763" t="s">
        <v>22</v>
      </c>
      <c r="C1763" s="1">
        <v>45253</v>
      </c>
      <c r="D1763" t="s">
        <v>71</v>
      </c>
      <c r="E1763">
        <v>0</v>
      </c>
      <c r="F1763">
        <v>37</v>
      </c>
      <c r="G1763" t="str">
        <f t="shared" si="35"/>
        <v>21-40</v>
      </c>
      <c r="H1763" t="s">
        <v>23</v>
      </c>
      <c r="I1763" t="s">
        <v>40</v>
      </c>
      <c r="J1763" t="s">
        <v>41</v>
      </c>
      <c r="K1763" t="s">
        <v>42</v>
      </c>
      <c r="L1763">
        <v>1</v>
      </c>
      <c r="M1763">
        <v>1</v>
      </c>
      <c r="N1763">
        <v>3.5</v>
      </c>
      <c r="O1763">
        <v>8.1999999999999993</v>
      </c>
      <c r="P1763">
        <v>7</v>
      </c>
      <c r="Q1763">
        <v>7</v>
      </c>
      <c r="R1763">
        <v>752654</v>
      </c>
      <c r="S1763">
        <f>Table1[[#This Row],[Revenue]]-Table1[[#This Row],[Operating_Costs]]</f>
        <v>354246</v>
      </c>
      <c r="T1763">
        <v>398408</v>
      </c>
      <c r="U1763">
        <v>38</v>
      </c>
      <c r="V1763">
        <v>58</v>
      </c>
      <c r="W1763">
        <v>13.9</v>
      </c>
    </row>
    <row r="1764" spans="1:23" x14ac:dyDescent="0.25">
      <c r="A1764">
        <v>5</v>
      </c>
      <c r="B1764" t="s">
        <v>22</v>
      </c>
      <c r="C1764" s="1">
        <v>45126</v>
      </c>
      <c r="D1764" t="s">
        <v>71</v>
      </c>
      <c r="E1764">
        <v>0</v>
      </c>
      <c r="F1764">
        <v>87</v>
      </c>
      <c r="G1764" t="str">
        <f t="shared" si="35"/>
        <v>81+</v>
      </c>
      <c r="H1764" t="s">
        <v>35</v>
      </c>
      <c r="I1764" t="s">
        <v>27</v>
      </c>
      <c r="J1764" t="s">
        <v>28</v>
      </c>
      <c r="K1764" t="s">
        <v>38</v>
      </c>
      <c r="L1764">
        <v>1</v>
      </c>
      <c r="M1764">
        <v>1</v>
      </c>
      <c r="N1764">
        <v>1.4</v>
      </c>
      <c r="O1764">
        <v>9.3000000000000007</v>
      </c>
      <c r="P1764">
        <v>3</v>
      </c>
      <c r="Q1764">
        <v>3</v>
      </c>
      <c r="R1764">
        <v>666186</v>
      </c>
      <c r="S1764">
        <f>Table1[[#This Row],[Revenue]]-Table1[[#This Row],[Operating_Costs]]</f>
        <v>193857</v>
      </c>
      <c r="T1764">
        <v>472329</v>
      </c>
      <c r="U1764">
        <v>38</v>
      </c>
      <c r="V1764">
        <v>62</v>
      </c>
      <c r="W1764">
        <v>10.6</v>
      </c>
    </row>
    <row r="1765" spans="1:23" x14ac:dyDescent="0.25">
      <c r="A1765">
        <v>4</v>
      </c>
      <c r="B1765" t="s">
        <v>69</v>
      </c>
      <c r="C1765" s="1">
        <v>45134</v>
      </c>
      <c r="D1765" t="s">
        <v>71</v>
      </c>
      <c r="E1765">
        <v>0</v>
      </c>
      <c r="F1765">
        <v>61</v>
      </c>
      <c r="G1765" t="str">
        <f t="shared" si="35"/>
        <v>61-80</v>
      </c>
      <c r="H1765" t="s">
        <v>23</v>
      </c>
      <c r="I1765" t="s">
        <v>24</v>
      </c>
      <c r="J1765" t="s">
        <v>25</v>
      </c>
      <c r="K1765" t="s">
        <v>38</v>
      </c>
      <c r="L1765">
        <v>1</v>
      </c>
      <c r="M1765">
        <v>1</v>
      </c>
      <c r="N1765">
        <v>5.7</v>
      </c>
      <c r="O1765">
        <v>9.1</v>
      </c>
      <c r="P1765">
        <v>4</v>
      </c>
      <c r="Q1765">
        <v>7</v>
      </c>
      <c r="R1765">
        <v>965377</v>
      </c>
      <c r="S1765">
        <f>Table1[[#This Row],[Revenue]]-Table1[[#This Row],[Operating_Costs]]</f>
        <v>443955</v>
      </c>
      <c r="T1765">
        <v>521422</v>
      </c>
      <c r="U1765">
        <v>31</v>
      </c>
      <c r="V1765">
        <v>54</v>
      </c>
      <c r="W1765">
        <v>5.4</v>
      </c>
    </row>
    <row r="1766" spans="1:23" x14ac:dyDescent="0.25">
      <c r="A1766">
        <v>5</v>
      </c>
      <c r="B1766" t="s">
        <v>22</v>
      </c>
      <c r="C1766" s="1">
        <v>45465</v>
      </c>
      <c r="D1766" t="s">
        <v>71</v>
      </c>
      <c r="E1766">
        <v>0</v>
      </c>
      <c r="F1766">
        <v>87</v>
      </c>
      <c r="G1766" t="str">
        <f t="shared" si="35"/>
        <v>81+</v>
      </c>
      <c r="H1766" t="s">
        <v>23</v>
      </c>
      <c r="I1766" t="s">
        <v>46</v>
      </c>
      <c r="J1766" t="s">
        <v>47</v>
      </c>
      <c r="K1766" t="s">
        <v>38</v>
      </c>
      <c r="L1766">
        <v>1</v>
      </c>
      <c r="M1766">
        <v>1</v>
      </c>
      <c r="N1766">
        <v>1.3</v>
      </c>
      <c r="O1766">
        <v>8.6999999999999993</v>
      </c>
      <c r="P1766">
        <v>5</v>
      </c>
      <c r="Q1766">
        <v>3</v>
      </c>
      <c r="R1766">
        <v>622159</v>
      </c>
      <c r="S1766">
        <f>Table1[[#This Row],[Revenue]]-Table1[[#This Row],[Operating_Costs]]</f>
        <v>333435</v>
      </c>
      <c r="T1766">
        <v>288724</v>
      </c>
      <c r="U1766">
        <v>30</v>
      </c>
      <c r="V1766">
        <v>62</v>
      </c>
      <c r="W1766">
        <v>13.4</v>
      </c>
    </row>
    <row r="1767" spans="1:23" x14ac:dyDescent="0.25">
      <c r="A1767">
        <v>4</v>
      </c>
      <c r="B1767" t="s">
        <v>69</v>
      </c>
      <c r="C1767" s="1">
        <v>45008</v>
      </c>
      <c r="D1767" t="s">
        <v>71</v>
      </c>
      <c r="E1767">
        <v>0</v>
      </c>
      <c r="F1767">
        <v>40</v>
      </c>
      <c r="G1767" t="str">
        <f t="shared" si="35"/>
        <v>21-40</v>
      </c>
      <c r="H1767" t="s">
        <v>35</v>
      </c>
      <c r="I1767" t="s">
        <v>53</v>
      </c>
      <c r="J1767" t="s">
        <v>54</v>
      </c>
      <c r="K1767" t="s">
        <v>26</v>
      </c>
      <c r="L1767">
        <v>1</v>
      </c>
      <c r="M1767">
        <v>1</v>
      </c>
      <c r="N1767">
        <v>6.1</v>
      </c>
      <c r="O1767">
        <v>7.7</v>
      </c>
      <c r="P1767">
        <v>6</v>
      </c>
      <c r="Q1767">
        <v>6</v>
      </c>
      <c r="R1767">
        <v>829015</v>
      </c>
      <c r="S1767">
        <f>Table1[[#This Row],[Revenue]]-Table1[[#This Row],[Operating_Costs]]</f>
        <v>235074</v>
      </c>
      <c r="T1767">
        <v>593941</v>
      </c>
      <c r="U1767">
        <v>33</v>
      </c>
      <c r="V1767">
        <v>63</v>
      </c>
      <c r="W1767">
        <v>8.1</v>
      </c>
    </row>
    <row r="1768" spans="1:23" x14ac:dyDescent="0.25">
      <c r="A1768">
        <v>4</v>
      </c>
      <c r="B1768" t="s">
        <v>69</v>
      </c>
      <c r="C1768" s="1">
        <v>45025</v>
      </c>
      <c r="D1768" t="s">
        <v>71</v>
      </c>
      <c r="E1768">
        <v>0</v>
      </c>
      <c r="F1768">
        <v>90</v>
      </c>
      <c r="G1768" t="str">
        <f t="shared" si="35"/>
        <v>81+</v>
      </c>
      <c r="H1768" t="s">
        <v>23</v>
      </c>
      <c r="I1768" t="s">
        <v>58</v>
      </c>
      <c r="J1768" t="s">
        <v>59</v>
      </c>
      <c r="K1768" t="s">
        <v>38</v>
      </c>
      <c r="L1768">
        <v>1</v>
      </c>
      <c r="M1768">
        <v>1</v>
      </c>
      <c r="N1768">
        <v>6.1</v>
      </c>
      <c r="O1768">
        <v>7.8</v>
      </c>
      <c r="P1768">
        <v>5</v>
      </c>
      <c r="Q1768">
        <v>4</v>
      </c>
      <c r="R1768">
        <v>976353</v>
      </c>
      <c r="S1768">
        <f>Table1[[#This Row],[Revenue]]-Table1[[#This Row],[Operating_Costs]]</f>
        <v>367087</v>
      </c>
      <c r="T1768">
        <v>609266</v>
      </c>
      <c r="U1768">
        <v>38</v>
      </c>
      <c r="V1768">
        <v>61</v>
      </c>
      <c r="W1768">
        <v>12.9</v>
      </c>
    </row>
    <row r="1769" spans="1:23" x14ac:dyDescent="0.25">
      <c r="A1769">
        <v>4</v>
      </c>
      <c r="B1769" t="s">
        <v>69</v>
      </c>
      <c r="C1769" s="1">
        <v>44702</v>
      </c>
      <c r="D1769" t="s">
        <v>71</v>
      </c>
      <c r="E1769">
        <v>0</v>
      </c>
      <c r="F1769">
        <v>78</v>
      </c>
      <c r="G1769" t="str">
        <f t="shared" si="35"/>
        <v>61-80</v>
      </c>
      <c r="H1769" t="s">
        <v>35</v>
      </c>
      <c r="I1769" t="s">
        <v>31</v>
      </c>
      <c r="J1769" t="s">
        <v>28</v>
      </c>
      <c r="K1769" t="s">
        <v>42</v>
      </c>
      <c r="L1769">
        <v>1</v>
      </c>
      <c r="M1769">
        <v>1</v>
      </c>
      <c r="N1769">
        <v>2.4</v>
      </c>
      <c r="O1769">
        <v>9.6999999999999993</v>
      </c>
      <c r="P1769">
        <v>7</v>
      </c>
      <c r="Q1769">
        <v>6</v>
      </c>
      <c r="R1769">
        <v>901787</v>
      </c>
      <c r="S1769">
        <f>Table1[[#This Row],[Revenue]]-Table1[[#This Row],[Operating_Costs]]</f>
        <v>237849</v>
      </c>
      <c r="T1769">
        <v>663938</v>
      </c>
      <c r="U1769">
        <v>32</v>
      </c>
      <c r="V1769">
        <v>58</v>
      </c>
      <c r="W1769">
        <v>14.8</v>
      </c>
    </row>
    <row r="1770" spans="1:23" x14ac:dyDescent="0.25">
      <c r="A1770">
        <v>4</v>
      </c>
      <c r="B1770" t="s">
        <v>69</v>
      </c>
      <c r="C1770" s="1">
        <v>44507</v>
      </c>
      <c r="D1770" t="s">
        <v>71</v>
      </c>
      <c r="E1770">
        <v>0</v>
      </c>
      <c r="F1770">
        <v>25</v>
      </c>
      <c r="G1770" t="str">
        <f t="shared" si="35"/>
        <v>21-40</v>
      </c>
      <c r="H1770" t="s">
        <v>23</v>
      </c>
      <c r="I1770" t="s">
        <v>24</v>
      </c>
      <c r="J1770" t="s">
        <v>25</v>
      </c>
      <c r="K1770" t="s">
        <v>38</v>
      </c>
      <c r="L1770">
        <v>1</v>
      </c>
      <c r="M1770">
        <v>1</v>
      </c>
      <c r="N1770">
        <v>4.7</v>
      </c>
      <c r="O1770">
        <v>8.1</v>
      </c>
      <c r="P1770">
        <v>6</v>
      </c>
      <c r="Q1770">
        <v>7</v>
      </c>
      <c r="R1770">
        <v>922728</v>
      </c>
      <c r="S1770">
        <f>Table1[[#This Row],[Revenue]]-Table1[[#This Row],[Operating_Costs]]</f>
        <v>325366</v>
      </c>
      <c r="T1770">
        <v>597362</v>
      </c>
      <c r="U1770">
        <v>33</v>
      </c>
      <c r="V1770">
        <v>65</v>
      </c>
      <c r="W1770">
        <v>14</v>
      </c>
    </row>
    <row r="1771" spans="1:23" x14ac:dyDescent="0.25">
      <c r="A1771">
        <v>4</v>
      </c>
      <c r="B1771" t="s">
        <v>69</v>
      </c>
      <c r="C1771" s="1">
        <v>44412</v>
      </c>
      <c r="D1771" t="s">
        <v>71</v>
      </c>
      <c r="E1771">
        <v>0</v>
      </c>
      <c r="F1771">
        <v>38</v>
      </c>
      <c r="G1771" t="str">
        <f t="shared" si="35"/>
        <v>21-40</v>
      </c>
      <c r="H1771" t="s">
        <v>35</v>
      </c>
      <c r="I1771" t="s">
        <v>31</v>
      </c>
      <c r="J1771" t="s">
        <v>28</v>
      </c>
      <c r="K1771" t="s">
        <v>33</v>
      </c>
      <c r="L1771">
        <v>1</v>
      </c>
      <c r="M1771">
        <v>1</v>
      </c>
      <c r="N1771">
        <v>4.4000000000000004</v>
      </c>
      <c r="O1771">
        <v>7.9</v>
      </c>
      <c r="P1771">
        <v>4</v>
      </c>
      <c r="Q1771">
        <v>6</v>
      </c>
      <c r="R1771">
        <v>853873</v>
      </c>
      <c r="S1771">
        <f>Table1[[#This Row],[Revenue]]-Table1[[#This Row],[Operating_Costs]]</f>
        <v>281704</v>
      </c>
      <c r="T1771">
        <v>572169</v>
      </c>
      <c r="U1771">
        <v>50</v>
      </c>
      <c r="V1771">
        <v>64</v>
      </c>
      <c r="W1771">
        <v>36.200000000000003</v>
      </c>
    </row>
    <row r="1772" spans="1:23" x14ac:dyDescent="0.25">
      <c r="A1772">
        <v>4</v>
      </c>
      <c r="B1772" t="s">
        <v>69</v>
      </c>
      <c r="C1772" s="1">
        <v>45523</v>
      </c>
      <c r="D1772" t="s">
        <v>71</v>
      </c>
      <c r="E1772">
        <v>0</v>
      </c>
      <c r="F1772">
        <v>28</v>
      </c>
      <c r="G1772" t="str">
        <f t="shared" si="35"/>
        <v>21-40</v>
      </c>
      <c r="H1772" t="s">
        <v>23</v>
      </c>
      <c r="I1772" t="s">
        <v>24</v>
      </c>
      <c r="J1772" t="s">
        <v>25</v>
      </c>
      <c r="K1772" t="s">
        <v>38</v>
      </c>
      <c r="L1772">
        <v>1</v>
      </c>
      <c r="M1772">
        <v>1</v>
      </c>
      <c r="N1772">
        <v>4.3</v>
      </c>
      <c r="O1772">
        <v>8.1</v>
      </c>
      <c r="P1772">
        <v>3</v>
      </c>
      <c r="Q1772">
        <v>7</v>
      </c>
      <c r="R1772">
        <v>909528</v>
      </c>
      <c r="S1772">
        <f>Table1[[#This Row],[Revenue]]-Table1[[#This Row],[Operating_Costs]]</f>
        <v>302532</v>
      </c>
      <c r="T1772">
        <v>606996</v>
      </c>
      <c r="U1772">
        <v>55</v>
      </c>
      <c r="V1772">
        <v>56</v>
      </c>
      <c r="W1772">
        <v>12.6</v>
      </c>
    </row>
    <row r="1773" spans="1:23" x14ac:dyDescent="0.25">
      <c r="A1773">
        <v>4</v>
      </c>
      <c r="B1773" t="s">
        <v>69</v>
      </c>
      <c r="C1773" s="1">
        <v>44967</v>
      </c>
      <c r="D1773" t="s">
        <v>71</v>
      </c>
      <c r="E1773">
        <v>0</v>
      </c>
      <c r="F1773">
        <v>52</v>
      </c>
      <c r="G1773" t="str">
        <f t="shared" si="35"/>
        <v>41-60</v>
      </c>
      <c r="H1773" t="s">
        <v>23</v>
      </c>
      <c r="I1773" t="s">
        <v>40</v>
      </c>
      <c r="J1773" t="s">
        <v>41</v>
      </c>
      <c r="K1773" t="s">
        <v>42</v>
      </c>
      <c r="L1773">
        <v>1</v>
      </c>
      <c r="M1773">
        <v>1</v>
      </c>
      <c r="N1773">
        <v>1.7</v>
      </c>
      <c r="O1773">
        <v>8.5</v>
      </c>
      <c r="P1773">
        <v>6</v>
      </c>
      <c r="Q1773">
        <v>4</v>
      </c>
      <c r="R1773">
        <v>858803</v>
      </c>
      <c r="S1773">
        <f>Table1[[#This Row],[Revenue]]-Table1[[#This Row],[Operating_Costs]]</f>
        <v>276531</v>
      </c>
      <c r="T1773">
        <v>582272</v>
      </c>
      <c r="U1773">
        <v>41</v>
      </c>
      <c r="V1773">
        <v>65</v>
      </c>
      <c r="W1773">
        <v>36.200000000000003</v>
      </c>
    </row>
    <row r="1774" spans="1:23" x14ac:dyDescent="0.25">
      <c r="A1774">
        <v>4</v>
      </c>
      <c r="B1774" t="s">
        <v>69</v>
      </c>
      <c r="C1774" s="1">
        <v>44261</v>
      </c>
      <c r="D1774" t="s">
        <v>71</v>
      </c>
      <c r="E1774">
        <v>0</v>
      </c>
      <c r="F1774">
        <v>64</v>
      </c>
      <c r="G1774" t="str">
        <f t="shared" si="35"/>
        <v>61-80</v>
      </c>
      <c r="H1774" t="s">
        <v>35</v>
      </c>
      <c r="I1774" t="s">
        <v>27</v>
      </c>
      <c r="J1774" t="s">
        <v>28</v>
      </c>
      <c r="K1774" t="s">
        <v>26</v>
      </c>
      <c r="L1774">
        <v>1</v>
      </c>
      <c r="M1774">
        <v>1</v>
      </c>
      <c r="N1774">
        <v>4.2</v>
      </c>
      <c r="O1774">
        <v>7.5</v>
      </c>
      <c r="P1774">
        <v>6</v>
      </c>
      <c r="Q1774">
        <v>5</v>
      </c>
      <c r="R1774">
        <v>885060</v>
      </c>
      <c r="S1774">
        <f>Table1[[#This Row],[Revenue]]-Table1[[#This Row],[Operating_Costs]]</f>
        <v>203392</v>
      </c>
      <c r="T1774">
        <v>681668</v>
      </c>
      <c r="U1774">
        <v>33</v>
      </c>
      <c r="V1774">
        <v>63</v>
      </c>
      <c r="W1774">
        <v>5.7</v>
      </c>
    </row>
    <row r="1775" spans="1:23" x14ac:dyDescent="0.25">
      <c r="A1775">
        <v>4</v>
      </c>
      <c r="B1775" t="s">
        <v>69</v>
      </c>
      <c r="C1775" s="1">
        <v>44504</v>
      </c>
      <c r="D1775" t="s">
        <v>71</v>
      </c>
      <c r="E1775">
        <v>0</v>
      </c>
      <c r="F1775">
        <v>22</v>
      </c>
      <c r="G1775" t="str">
        <f t="shared" si="35"/>
        <v>21-40</v>
      </c>
      <c r="H1775" t="s">
        <v>35</v>
      </c>
      <c r="I1775" t="s">
        <v>46</v>
      </c>
      <c r="J1775" t="s">
        <v>47</v>
      </c>
      <c r="K1775" t="s">
        <v>29</v>
      </c>
      <c r="L1775">
        <v>1</v>
      </c>
      <c r="M1775">
        <v>1</v>
      </c>
      <c r="N1775">
        <v>4.7</v>
      </c>
      <c r="O1775">
        <v>7.4</v>
      </c>
      <c r="P1775">
        <v>3</v>
      </c>
      <c r="Q1775">
        <v>6</v>
      </c>
      <c r="R1775">
        <v>860365</v>
      </c>
      <c r="S1775">
        <f>Table1[[#This Row],[Revenue]]-Table1[[#This Row],[Operating_Costs]]</f>
        <v>212787</v>
      </c>
      <c r="T1775">
        <v>647578</v>
      </c>
      <c r="U1775">
        <v>47</v>
      </c>
      <c r="V1775">
        <v>55</v>
      </c>
      <c r="W1775">
        <v>14.6</v>
      </c>
    </row>
    <row r="1776" spans="1:23" x14ac:dyDescent="0.25">
      <c r="A1776">
        <v>4</v>
      </c>
      <c r="B1776" t="s">
        <v>69</v>
      </c>
      <c r="C1776" s="1">
        <v>44696</v>
      </c>
      <c r="D1776" t="s">
        <v>71</v>
      </c>
      <c r="E1776">
        <v>0</v>
      </c>
      <c r="F1776">
        <v>70</v>
      </c>
      <c r="G1776" t="str">
        <f t="shared" si="35"/>
        <v>61-80</v>
      </c>
      <c r="H1776" t="s">
        <v>35</v>
      </c>
      <c r="I1776" t="s">
        <v>31</v>
      </c>
      <c r="J1776" t="s">
        <v>28</v>
      </c>
      <c r="K1776" t="s">
        <v>33</v>
      </c>
      <c r="L1776">
        <v>1</v>
      </c>
      <c r="M1776">
        <v>1</v>
      </c>
      <c r="N1776">
        <v>1.6</v>
      </c>
      <c r="O1776">
        <v>9.4</v>
      </c>
      <c r="P1776">
        <v>3</v>
      </c>
      <c r="Q1776">
        <v>6</v>
      </c>
      <c r="R1776">
        <v>927594</v>
      </c>
      <c r="S1776">
        <f>Table1[[#This Row],[Revenue]]-Table1[[#This Row],[Operating_Costs]]</f>
        <v>416900</v>
      </c>
      <c r="T1776">
        <v>510694</v>
      </c>
      <c r="U1776">
        <v>47</v>
      </c>
      <c r="V1776">
        <v>58</v>
      </c>
      <c r="W1776">
        <v>10.5</v>
      </c>
    </row>
    <row r="1777" spans="1:23" x14ac:dyDescent="0.25">
      <c r="A1777">
        <v>4</v>
      </c>
      <c r="B1777" t="s">
        <v>69</v>
      </c>
      <c r="C1777" s="1">
        <v>44516</v>
      </c>
      <c r="D1777" t="s">
        <v>71</v>
      </c>
      <c r="E1777">
        <v>0</v>
      </c>
      <c r="F1777">
        <v>23</v>
      </c>
      <c r="G1777" t="str">
        <f t="shared" si="35"/>
        <v>21-40</v>
      </c>
      <c r="H1777" t="s">
        <v>23</v>
      </c>
      <c r="I1777" t="s">
        <v>67</v>
      </c>
      <c r="J1777" t="s">
        <v>68</v>
      </c>
      <c r="K1777" t="s">
        <v>38</v>
      </c>
      <c r="L1777">
        <v>1</v>
      </c>
      <c r="M1777">
        <v>1</v>
      </c>
      <c r="N1777">
        <v>3.3</v>
      </c>
      <c r="O1777">
        <v>9.6</v>
      </c>
      <c r="P1777">
        <v>6</v>
      </c>
      <c r="Q1777">
        <v>7</v>
      </c>
      <c r="R1777">
        <v>831458</v>
      </c>
      <c r="S1777">
        <f>Table1[[#This Row],[Revenue]]-Table1[[#This Row],[Operating_Costs]]</f>
        <v>208060</v>
      </c>
      <c r="T1777">
        <v>623398</v>
      </c>
      <c r="U1777">
        <v>53</v>
      </c>
      <c r="V1777">
        <v>61</v>
      </c>
      <c r="W1777">
        <v>8.9</v>
      </c>
    </row>
    <row r="1778" spans="1:23" x14ac:dyDescent="0.25">
      <c r="A1778">
        <v>4</v>
      </c>
      <c r="B1778" t="s">
        <v>69</v>
      </c>
      <c r="C1778" s="1">
        <v>44998</v>
      </c>
      <c r="D1778" t="s">
        <v>71</v>
      </c>
      <c r="E1778">
        <v>0</v>
      </c>
      <c r="F1778">
        <v>70</v>
      </c>
      <c r="G1778" t="str">
        <f t="shared" si="35"/>
        <v>61-80</v>
      </c>
      <c r="H1778" t="s">
        <v>35</v>
      </c>
      <c r="I1778" t="s">
        <v>61</v>
      </c>
      <c r="J1778" t="s">
        <v>62</v>
      </c>
      <c r="K1778" t="s">
        <v>26</v>
      </c>
      <c r="L1778">
        <v>1</v>
      </c>
      <c r="M1778">
        <v>1</v>
      </c>
      <c r="N1778">
        <v>4</v>
      </c>
      <c r="O1778">
        <v>9.9</v>
      </c>
      <c r="P1778">
        <v>6</v>
      </c>
      <c r="Q1778">
        <v>7</v>
      </c>
      <c r="R1778">
        <v>994728</v>
      </c>
      <c r="S1778">
        <f>Table1[[#This Row],[Revenue]]-Table1[[#This Row],[Operating_Costs]]</f>
        <v>441886</v>
      </c>
      <c r="T1778">
        <v>552842</v>
      </c>
      <c r="U1778">
        <v>31</v>
      </c>
      <c r="V1778">
        <v>54</v>
      </c>
      <c r="W1778">
        <v>13.4</v>
      </c>
    </row>
    <row r="1779" spans="1:23" x14ac:dyDescent="0.25">
      <c r="A1779">
        <v>4</v>
      </c>
      <c r="B1779" t="s">
        <v>69</v>
      </c>
      <c r="C1779" s="1">
        <v>44873</v>
      </c>
      <c r="D1779" t="s">
        <v>71</v>
      </c>
      <c r="E1779">
        <v>0</v>
      </c>
      <c r="F1779">
        <v>27</v>
      </c>
      <c r="G1779" t="str">
        <f t="shared" si="35"/>
        <v>21-40</v>
      </c>
      <c r="H1779" t="s">
        <v>35</v>
      </c>
      <c r="I1779" t="s">
        <v>46</v>
      </c>
      <c r="J1779" t="s">
        <v>47</v>
      </c>
      <c r="K1779" t="s">
        <v>38</v>
      </c>
      <c r="L1779">
        <v>1</v>
      </c>
      <c r="M1779">
        <v>1</v>
      </c>
      <c r="N1779">
        <v>4.8</v>
      </c>
      <c r="O1779">
        <v>7.1</v>
      </c>
      <c r="P1779">
        <v>6</v>
      </c>
      <c r="Q1779">
        <v>4</v>
      </c>
      <c r="R1779">
        <v>918587</v>
      </c>
      <c r="S1779">
        <f>Table1[[#This Row],[Revenue]]-Table1[[#This Row],[Operating_Costs]]</f>
        <v>301172</v>
      </c>
      <c r="T1779">
        <v>617415</v>
      </c>
      <c r="U1779">
        <v>48</v>
      </c>
      <c r="V1779">
        <v>54</v>
      </c>
      <c r="W1779">
        <v>14.4</v>
      </c>
    </row>
    <row r="1780" spans="1:23" x14ac:dyDescent="0.25">
      <c r="A1780">
        <v>4</v>
      </c>
      <c r="B1780" t="s">
        <v>69</v>
      </c>
      <c r="C1780" s="1">
        <v>45552</v>
      </c>
      <c r="D1780" t="s">
        <v>71</v>
      </c>
      <c r="E1780">
        <v>0</v>
      </c>
      <c r="F1780">
        <v>62</v>
      </c>
      <c r="G1780" t="str">
        <f t="shared" si="35"/>
        <v>61-80</v>
      </c>
      <c r="H1780" t="s">
        <v>23</v>
      </c>
      <c r="I1780" t="s">
        <v>43</v>
      </c>
      <c r="J1780" t="s">
        <v>25</v>
      </c>
      <c r="K1780" t="s">
        <v>26</v>
      </c>
      <c r="L1780">
        <v>1</v>
      </c>
      <c r="M1780">
        <v>1</v>
      </c>
      <c r="N1780">
        <v>2.5</v>
      </c>
      <c r="O1780">
        <v>8.1999999999999993</v>
      </c>
      <c r="P1780">
        <v>7</v>
      </c>
      <c r="Q1780">
        <v>7</v>
      </c>
      <c r="R1780">
        <v>874389</v>
      </c>
      <c r="S1780">
        <f>Table1[[#This Row],[Revenue]]-Table1[[#This Row],[Operating_Costs]]</f>
        <v>212096</v>
      </c>
      <c r="T1780">
        <v>662293</v>
      </c>
      <c r="U1780">
        <v>59</v>
      </c>
      <c r="V1780">
        <v>63</v>
      </c>
      <c r="W1780">
        <v>5.2</v>
      </c>
    </row>
    <row r="1781" spans="1:23" x14ac:dyDescent="0.25">
      <c r="A1781">
        <v>4</v>
      </c>
      <c r="B1781" t="s">
        <v>69</v>
      </c>
      <c r="C1781" s="1">
        <v>44924</v>
      </c>
      <c r="D1781" t="s">
        <v>71</v>
      </c>
      <c r="E1781">
        <v>0</v>
      </c>
      <c r="F1781">
        <v>54</v>
      </c>
      <c r="G1781" t="str">
        <f t="shared" si="35"/>
        <v>41-60</v>
      </c>
      <c r="H1781" t="s">
        <v>23</v>
      </c>
      <c r="I1781" t="s">
        <v>43</v>
      </c>
      <c r="J1781" t="s">
        <v>25</v>
      </c>
      <c r="K1781" t="s">
        <v>42</v>
      </c>
      <c r="L1781">
        <v>1</v>
      </c>
      <c r="M1781">
        <v>1</v>
      </c>
      <c r="N1781">
        <v>3</v>
      </c>
      <c r="O1781">
        <v>8.1</v>
      </c>
      <c r="P1781">
        <v>4</v>
      </c>
      <c r="Q1781">
        <v>5</v>
      </c>
      <c r="R1781">
        <v>957171</v>
      </c>
      <c r="S1781">
        <f>Table1[[#This Row],[Revenue]]-Table1[[#This Row],[Operating_Costs]]</f>
        <v>374081</v>
      </c>
      <c r="T1781">
        <v>583090</v>
      </c>
      <c r="U1781">
        <v>38</v>
      </c>
      <c r="V1781">
        <v>60</v>
      </c>
      <c r="W1781">
        <v>10.6</v>
      </c>
    </row>
    <row r="1782" spans="1:23" x14ac:dyDescent="0.25">
      <c r="A1782">
        <v>4</v>
      </c>
      <c r="B1782" t="s">
        <v>69</v>
      </c>
      <c r="C1782" s="1">
        <v>44233</v>
      </c>
      <c r="D1782" t="s">
        <v>71</v>
      </c>
      <c r="E1782">
        <v>0</v>
      </c>
      <c r="F1782">
        <v>78</v>
      </c>
      <c r="G1782" t="str">
        <f t="shared" si="35"/>
        <v>61-80</v>
      </c>
      <c r="H1782" t="s">
        <v>23</v>
      </c>
      <c r="I1782" t="s">
        <v>67</v>
      </c>
      <c r="J1782" t="s">
        <v>68</v>
      </c>
      <c r="K1782" t="s">
        <v>38</v>
      </c>
      <c r="L1782">
        <v>1</v>
      </c>
      <c r="M1782">
        <v>1</v>
      </c>
      <c r="N1782">
        <v>2.9</v>
      </c>
      <c r="O1782">
        <v>7.4</v>
      </c>
      <c r="P1782">
        <v>7</v>
      </c>
      <c r="Q1782">
        <v>4</v>
      </c>
      <c r="R1782">
        <v>982782</v>
      </c>
      <c r="S1782">
        <f>Table1[[#This Row],[Revenue]]-Table1[[#This Row],[Operating_Costs]]</f>
        <v>436918</v>
      </c>
      <c r="T1782">
        <v>545864</v>
      </c>
      <c r="U1782">
        <v>37</v>
      </c>
      <c r="V1782">
        <v>62</v>
      </c>
      <c r="W1782">
        <v>7.2</v>
      </c>
    </row>
    <row r="1783" spans="1:23" x14ac:dyDescent="0.25">
      <c r="A1783">
        <v>4</v>
      </c>
      <c r="B1783" t="s">
        <v>69</v>
      </c>
      <c r="C1783" s="1">
        <v>44944</v>
      </c>
      <c r="D1783" t="s">
        <v>71</v>
      </c>
      <c r="E1783">
        <v>0</v>
      </c>
      <c r="F1783">
        <v>55</v>
      </c>
      <c r="G1783" t="str">
        <f t="shared" si="35"/>
        <v>41-60</v>
      </c>
      <c r="H1783" t="s">
        <v>35</v>
      </c>
      <c r="I1783" t="s">
        <v>40</v>
      </c>
      <c r="J1783" t="s">
        <v>41</v>
      </c>
      <c r="K1783" t="s">
        <v>26</v>
      </c>
      <c r="L1783">
        <v>1</v>
      </c>
      <c r="M1783">
        <v>1</v>
      </c>
      <c r="N1783">
        <v>5</v>
      </c>
      <c r="O1783">
        <v>8.5</v>
      </c>
      <c r="P1783">
        <v>4</v>
      </c>
      <c r="Q1783">
        <v>7</v>
      </c>
      <c r="R1783">
        <v>998223</v>
      </c>
      <c r="S1783">
        <f>Table1[[#This Row],[Revenue]]-Table1[[#This Row],[Operating_Costs]]</f>
        <v>357724</v>
      </c>
      <c r="T1783">
        <v>640499</v>
      </c>
      <c r="U1783">
        <v>59</v>
      </c>
      <c r="V1783">
        <v>66</v>
      </c>
      <c r="W1783">
        <v>36.200000000000003</v>
      </c>
    </row>
    <row r="1784" spans="1:23" x14ac:dyDescent="0.25">
      <c r="A1784">
        <v>4</v>
      </c>
      <c r="B1784" t="s">
        <v>69</v>
      </c>
      <c r="C1784" s="1">
        <v>45515</v>
      </c>
      <c r="D1784" t="s">
        <v>71</v>
      </c>
      <c r="E1784">
        <v>0</v>
      </c>
      <c r="F1784">
        <v>66</v>
      </c>
      <c r="G1784" t="str">
        <f t="shared" si="35"/>
        <v>61-80</v>
      </c>
      <c r="H1784" t="s">
        <v>23</v>
      </c>
      <c r="I1784" t="s">
        <v>40</v>
      </c>
      <c r="J1784" t="s">
        <v>41</v>
      </c>
      <c r="K1784" t="s">
        <v>26</v>
      </c>
      <c r="L1784">
        <v>1</v>
      </c>
      <c r="M1784">
        <v>1</v>
      </c>
      <c r="N1784">
        <v>4.5</v>
      </c>
      <c r="O1784">
        <v>8.8000000000000007</v>
      </c>
      <c r="P1784">
        <v>4</v>
      </c>
      <c r="Q1784">
        <v>5</v>
      </c>
      <c r="R1784">
        <v>989710</v>
      </c>
      <c r="S1784">
        <f>Table1[[#This Row],[Revenue]]-Table1[[#This Row],[Operating_Costs]]</f>
        <v>363988</v>
      </c>
      <c r="T1784">
        <v>625722</v>
      </c>
      <c r="U1784">
        <v>43</v>
      </c>
      <c r="V1784">
        <v>66</v>
      </c>
      <c r="W1784">
        <v>6.7</v>
      </c>
    </row>
    <row r="1785" spans="1:23" x14ac:dyDescent="0.25">
      <c r="A1785">
        <v>4</v>
      </c>
      <c r="B1785" t="s">
        <v>69</v>
      </c>
      <c r="C1785" s="1">
        <v>44979</v>
      </c>
      <c r="D1785" t="s">
        <v>71</v>
      </c>
      <c r="E1785">
        <v>0</v>
      </c>
      <c r="F1785">
        <v>35</v>
      </c>
      <c r="G1785" t="str">
        <f t="shared" si="35"/>
        <v>21-40</v>
      </c>
      <c r="H1785" t="s">
        <v>23</v>
      </c>
      <c r="I1785" t="s">
        <v>24</v>
      </c>
      <c r="J1785" t="s">
        <v>25</v>
      </c>
      <c r="K1785" t="s">
        <v>38</v>
      </c>
      <c r="L1785">
        <v>1</v>
      </c>
      <c r="M1785">
        <v>1</v>
      </c>
      <c r="N1785">
        <v>6.8</v>
      </c>
      <c r="O1785">
        <v>8.1999999999999993</v>
      </c>
      <c r="P1785">
        <v>3</v>
      </c>
      <c r="Q1785">
        <v>7</v>
      </c>
      <c r="R1785">
        <v>948002</v>
      </c>
      <c r="S1785">
        <f>Table1[[#This Row],[Revenue]]-Table1[[#This Row],[Operating_Costs]]</f>
        <v>250722</v>
      </c>
      <c r="T1785">
        <v>697280</v>
      </c>
      <c r="U1785">
        <v>36</v>
      </c>
      <c r="V1785">
        <v>59</v>
      </c>
      <c r="W1785">
        <v>36.5</v>
      </c>
    </row>
    <row r="1786" spans="1:23" x14ac:dyDescent="0.25">
      <c r="A1786">
        <v>4</v>
      </c>
      <c r="B1786" t="s">
        <v>69</v>
      </c>
      <c r="C1786" s="1">
        <v>45639</v>
      </c>
      <c r="D1786" t="s">
        <v>71</v>
      </c>
      <c r="E1786">
        <v>0</v>
      </c>
      <c r="F1786">
        <v>80</v>
      </c>
      <c r="G1786" t="str">
        <f t="shared" si="35"/>
        <v>61-80</v>
      </c>
      <c r="H1786" t="s">
        <v>35</v>
      </c>
      <c r="I1786" t="s">
        <v>27</v>
      </c>
      <c r="J1786" t="s">
        <v>28</v>
      </c>
      <c r="K1786" t="s">
        <v>26</v>
      </c>
      <c r="L1786">
        <v>1</v>
      </c>
      <c r="M1786">
        <v>1</v>
      </c>
      <c r="N1786">
        <v>1.6</v>
      </c>
      <c r="O1786">
        <v>7.5</v>
      </c>
      <c r="P1786">
        <v>7</v>
      </c>
      <c r="Q1786">
        <v>5</v>
      </c>
      <c r="R1786">
        <v>872764</v>
      </c>
      <c r="S1786">
        <f>Table1[[#This Row],[Revenue]]-Table1[[#This Row],[Operating_Costs]]</f>
        <v>209918</v>
      </c>
      <c r="T1786">
        <v>662846</v>
      </c>
      <c r="U1786">
        <v>34</v>
      </c>
      <c r="V1786">
        <v>63</v>
      </c>
      <c r="W1786">
        <v>8.6999999999999993</v>
      </c>
    </row>
    <row r="1787" spans="1:23" x14ac:dyDescent="0.25">
      <c r="A1787">
        <v>4</v>
      </c>
      <c r="B1787" t="s">
        <v>69</v>
      </c>
      <c r="C1787" s="1">
        <v>44615</v>
      </c>
      <c r="D1787" t="s">
        <v>71</v>
      </c>
      <c r="E1787">
        <v>0</v>
      </c>
      <c r="F1787">
        <v>41</v>
      </c>
      <c r="G1787" t="str">
        <f t="shared" si="35"/>
        <v>41-60</v>
      </c>
      <c r="H1787" t="s">
        <v>35</v>
      </c>
      <c r="I1787" t="s">
        <v>64</v>
      </c>
      <c r="J1787" t="s">
        <v>65</v>
      </c>
      <c r="K1787" t="s">
        <v>38</v>
      </c>
      <c r="L1787">
        <v>1</v>
      </c>
      <c r="M1787">
        <v>1</v>
      </c>
      <c r="N1787">
        <v>4.7</v>
      </c>
      <c r="O1787">
        <v>7.1</v>
      </c>
      <c r="P1787">
        <v>3</v>
      </c>
      <c r="Q1787">
        <v>3</v>
      </c>
      <c r="R1787">
        <v>910697</v>
      </c>
      <c r="S1787">
        <f>Table1[[#This Row],[Revenue]]-Table1[[#This Row],[Operating_Costs]]</f>
        <v>321103</v>
      </c>
      <c r="T1787">
        <v>589594</v>
      </c>
      <c r="U1787">
        <v>46</v>
      </c>
      <c r="V1787">
        <v>55</v>
      </c>
      <c r="W1787">
        <v>12.4</v>
      </c>
    </row>
    <row r="1788" spans="1:23" x14ac:dyDescent="0.25">
      <c r="A1788">
        <v>4</v>
      </c>
      <c r="B1788" t="s">
        <v>69</v>
      </c>
      <c r="C1788" s="1">
        <v>44458</v>
      </c>
      <c r="D1788" t="s">
        <v>71</v>
      </c>
      <c r="E1788">
        <v>0</v>
      </c>
      <c r="F1788">
        <v>44</v>
      </c>
      <c r="G1788" t="str">
        <f t="shared" si="35"/>
        <v>41-60</v>
      </c>
      <c r="H1788" t="s">
        <v>23</v>
      </c>
      <c r="I1788" t="s">
        <v>24</v>
      </c>
      <c r="J1788" t="s">
        <v>25</v>
      </c>
      <c r="K1788" t="s">
        <v>26</v>
      </c>
      <c r="L1788">
        <v>1</v>
      </c>
      <c r="M1788">
        <v>1</v>
      </c>
      <c r="N1788">
        <v>1.7</v>
      </c>
      <c r="O1788">
        <v>8.4</v>
      </c>
      <c r="P1788">
        <v>4</v>
      </c>
      <c r="Q1788">
        <v>7</v>
      </c>
      <c r="R1788">
        <v>809531</v>
      </c>
      <c r="S1788">
        <f>Table1[[#This Row],[Revenue]]-Table1[[#This Row],[Operating_Costs]]</f>
        <v>242135</v>
      </c>
      <c r="T1788">
        <v>567396</v>
      </c>
      <c r="U1788">
        <v>39</v>
      </c>
      <c r="V1788">
        <v>64</v>
      </c>
      <c r="W1788">
        <v>5.3</v>
      </c>
    </row>
    <row r="1789" spans="1:23" x14ac:dyDescent="0.25">
      <c r="A1789">
        <v>4</v>
      </c>
      <c r="B1789" t="s">
        <v>69</v>
      </c>
      <c r="C1789" s="1">
        <v>45367</v>
      </c>
      <c r="D1789" t="s">
        <v>71</v>
      </c>
      <c r="E1789">
        <v>0</v>
      </c>
      <c r="F1789">
        <v>85</v>
      </c>
      <c r="G1789" t="str">
        <f t="shared" si="35"/>
        <v>81+</v>
      </c>
      <c r="H1789" t="s">
        <v>35</v>
      </c>
      <c r="I1789" t="s">
        <v>36</v>
      </c>
      <c r="J1789" t="s">
        <v>37</v>
      </c>
      <c r="K1789" t="s">
        <v>26</v>
      </c>
      <c r="L1789">
        <v>1</v>
      </c>
      <c r="M1789">
        <v>1</v>
      </c>
      <c r="N1789">
        <v>2.1</v>
      </c>
      <c r="O1789">
        <v>8.3000000000000007</v>
      </c>
      <c r="P1789">
        <v>3</v>
      </c>
      <c r="Q1789">
        <v>7</v>
      </c>
      <c r="R1789">
        <v>823997</v>
      </c>
      <c r="S1789">
        <f>Table1[[#This Row],[Revenue]]-Table1[[#This Row],[Operating_Costs]]</f>
        <v>191971</v>
      </c>
      <c r="T1789">
        <v>632026</v>
      </c>
      <c r="U1789">
        <v>46</v>
      </c>
      <c r="V1789">
        <v>59</v>
      </c>
      <c r="W1789">
        <v>6.3</v>
      </c>
    </row>
    <row r="1790" spans="1:23" x14ac:dyDescent="0.25">
      <c r="A1790">
        <v>4</v>
      </c>
      <c r="B1790" t="s">
        <v>69</v>
      </c>
      <c r="C1790" s="1">
        <v>44602</v>
      </c>
      <c r="D1790" t="s">
        <v>71</v>
      </c>
      <c r="E1790">
        <v>0</v>
      </c>
      <c r="F1790">
        <v>24</v>
      </c>
      <c r="G1790" t="str">
        <f t="shared" si="35"/>
        <v>21-40</v>
      </c>
      <c r="H1790" t="s">
        <v>35</v>
      </c>
      <c r="I1790" t="s">
        <v>40</v>
      </c>
      <c r="J1790" t="s">
        <v>41</v>
      </c>
      <c r="K1790" t="s">
        <v>33</v>
      </c>
      <c r="L1790">
        <v>1</v>
      </c>
      <c r="M1790">
        <v>1</v>
      </c>
      <c r="N1790">
        <v>3.4</v>
      </c>
      <c r="O1790">
        <v>8</v>
      </c>
      <c r="P1790">
        <v>6</v>
      </c>
      <c r="Q1790">
        <v>6</v>
      </c>
      <c r="R1790">
        <v>849421</v>
      </c>
      <c r="S1790">
        <f>Table1[[#This Row],[Revenue]]-Table1[[#This Row],[Operating_Costs]]</f>
        <v>224711</v>
      </c>
      <c r="T1790">
        <v>624710</v>
      </c>
      <c r="U1790">
        <v>48</v>
      </c>
      <c r="V1790">
        <v>57</v>
      </c>
      <c r="W1790">
        <v>8.1999999999999993</v>
      </c>
    </row>
    <row r="1791" spans="1:23" x14ac:dyDescent="0.25">
      <c r="A1791">
        <v>4</v>
      </c>
      <c r="B1791" t="s">
        <v>69</v>
      </c>
      <c r="C1791" s="1">
        <v>45097</v>
      </c>
      <c r="D1791" t="s">
        <v>71</v>
      </c>
      <c r="E1791">
        <v>0</v>
      </c>
      <c r="F1791">
        <v>47</v>
      </c>
      <c r="G1791" t="str">
        <f t="shared" si="35"/>
        <v>41-60</v>
      </c>
      <c r="H1791" t="s">
        <v>23</v>
      </c>
      <c r="I1791" t="s">
        <v>43</v>
      </c>
      <c r="J1791" t="s">
        <v>25</v>
      </c>
      <c r="K1791" t="s">
        <v>26</v>
      </c>
      <c r="L1791">
        <v>1</v>
      </c>
      <c r="M1791">
        <v>1</v>
      </c>
      <c r="N1791">
        <v>6.3</v>
      </c>
      <c r="O1791">
        <v>9.8000000000000007</v>
      </c>
      <c r="P1791">
        <v>3</v>
      </c>
      <c r="Q1791">
        <v>5</v>
      </c>
      <c r="R1791">
        <v>832800</v>
      </c>
      <c r="S1791">
        <f>Table1[[#This Row],[Revenue]]-Table1[[#This Row],[Operating_Costs]]</f>
        <v>284267</v>
      </c>
      <c r="T1791">
        <v>548533</v>
      </c>
      <c r="U1791">
        <v>48</v>
      </c>
      <c r="V1791">
        <v>62</v>
      </c>
      <c r="W1791">
        <v>14.3</v>
      </c>
    </row>
    <row r="1792" spans="1:23" x14ac:dyDescent="0.25">
      <c r="A1792">
        <v>4</v>
      </c>
      <c r="B1792" t="s">
        <v>69</v>
      </c>
      <c r="C1792" s="1">
        <v>44518</v>
      </c>
      <c r="D1792" t="s">
        <v>71</v>
      </c>
      <c r="E1792">
        <v>0</v>
      </c>
      <c r="F1792">
        <v>50</v>
      </c>
      <c r="G1792" t="str">
        <f t="shared" si="35"/>
        <v>41-60</v>
      </c>
      <c r="H1792" t="s">
        <v>35</v>
      </c>
      <c r="I1792" t="s">
        <v>58</v>
      </c>
      <c r="J1792" t="s">
        <v>59</v>
      </c>
      <c r="K1792" t="s">
        <v>38</v>
      </c>
      <c r="L1792">
        <v>1</v>
      </c>
      <c r="M1792">
        <v>1</v>
      </c>
      <c r="N1792">
        <v>6.5</v>
      </c>
      <c r="O1792">
        <v>9.1999999999999993</v>
      </c>
      <c r="P1792">
        <v>4</v>
      </c>
      <c r="Q1792">
        <v>5</v>
      </c>
      <c r="R1792">
        <v>880816</v>
      </c>
      <c r="S1792">
        <f>Table1[[#This Row],[Revenue]]-Table1[[#This Row],[Operating_Costs]]</f>
        <v>198641</v>
      </c>
      <c r="T1792">
        <v>682175</v>
      </c>
      <c r="U1792">
        <v>35</v>
      </c>
      <c r="V1792">
        <v>65</v>
      </c>
      <c r="W1792">
        <v>7.8</v>
      </c>
    </row>
    <row r="1793" spans="1:23" x14ac:dyDescent="0.25">
      <c r="A1793">
        <v>4</v>
      </c>
      <c r="B1793" t="s">
        <v>69</v>
      </c>
      <c r="C1793" s="1">
        <v>44409</v>
      </c>
      <c r="D1793" t="s">
        <v>71</v>
      </c>
      <c r="E1793">
        <v>0</v>
      </c>
      <c r="F1793">
        <v>29</v>
      </c>
      <c r="G1793" t="str">
        <f t="shared" si="35"/>
        <v>21-40</v>
      </c>
      <c r="H1793" t="s">
        <v>23</v>
      </c>
      <c r="I1793" t="s">
        <v>24</v>
      </c>
      <c r="J1793" t="s">
        <v>25</v>
      </c>
      <c r="K1793" t="s">
        <v>33</v>
      </c>
      <c r="L1793">
        <v>1</v>
      </c>
      <c r="M1793">
        <v>1</v>
      </c>
      <c r="N1793">
        <v>3.8</v>
      </c>
      <c r="O1793">
        <v>9.1</v>
      </c>
      <c r="P1793">
        <v>5</v>
      </c>
      <c r="Q1793">
        <v>4</v>
      </c>
      <c r="R1793">
        <v>950020</v>
      </c>
      <c r="S1793">
        <f>Table1[[#This Row],[Revenue]]-Table1[[#This Row],[Operating_Costs]]</f>
        <v>261471</v>
      </c>
      <c r="T1793">
        <v>688549</v>
      </c>
      <c r="U1793">
        <v>47</v>
      </c>
      <c r="V1793">
        <v>55</v>
      </c>
      <c r="W1793">
        <v>9.1999999999999993</v>
      </c>
    </row>
    <row r="1794" spans="1:23" x14ac:dyDescent="0.25">
      <c r="A1794">
        <v>5</v>
      </c>
      <c r="B1794" t="s">
        <v>22</v>
      </c>
      <c r="C1794" s="1">
        <v>45445</v>
      </c>
      <c r="D1794" t="s">
        <v>71</v>
      </c>
      <c r="E1794">
        <v>0</v>
      </c>
      <c r="F1794">
        <v>57</v>
      </c>
      <c r="G1794" t="str">
        <f t="shared" si="35"/>
        <v>41-60</v>
      </c>
      <c r="H1794" t="s">
        <v>23</v>
      </c>
      <c r="I1794" t="s">
        <v>24</v>
      </c>
      <c r="J1794" t="s">
        <v>25</v>
      </c>
      <c r="K1794" t="s">
        <v>26</v>
      </c>
      <c r="L1794">
        <v>1</v>
      </c>
      <c r="M1794">
        <v>1</v>
      </c>
      <c r="N1794">
        <v>3</v>
      </c>
      <c r="O1794">
        <v>8.6</v>
      </c>
      <c r="P1794">
        <v>4</v>
      </c>
      <c r="Q1794">
        <v>7</v>
      </c>
      <c r="R1794">
        <v>627332</v>
      </c>
      <c r="S1794">
        <f>Table1[[#This Row],[Revenue]]-Table1[[#This Row],[Operating_Costs]]</f>
        <v>319971</v>
      </c>
      <c r="T1794">
        <v>307361</v>
      </c>
      <c r="U1794">
        <v>37</v>
      </c>
      <c r="V1794">
        <v>61</v>
      </c>
      <c r="W1794">
        <v>8.1</v>
      </c>
    </row>
    <row r="1795" spans="1:23" x14ac:dyDescent="0.25">
      <c r="A1795">
        <v>5</v>
      </c>
      <c r="B1795" t="s">
        <v>22</v>
      </c>
      <c r="C1795" s="1">
        <v>44368</v>
      </c>
      <c r="D1795" t="s">
        <v>71</v>
      </c>
      <c r="E1795">
        <v>0</v>
      </c>
      <c r="F1795">
        <v>77</v>
      </c>
      <c r="G1795" t="str">
        <f t="shared" ref="G1795:G1858" si="36">IF(F1795&lt;=20,"0-20",IF(F1795&lt;=40,"21-40",IF(F1795&lt;=60,"41-60",IF(F1795&lt;=80,"61-80","81+"))))</f>
        <v>61-80</v>
      </c>
      <c r="H1795" t="s">
        <v>23</v>
      </c>
      <c r="I1795" t="s">
        <v>50</v>
      </c>
      <c r="J1795" t="s">
        <v>51</v>
      </c>
      <c r="K1795" t="s">
        <v>38</v>
      </c>
      <c r="L1795">
        <v>1</v>
      </c>
      <c r="M1795">
        <v>1</v>
      </c>
      <c r="N1795">
        <v>5.4</v>
      </c>
      <c r="O1795">
        <v>9.5</v>
      </c>
      <c r="P1795">
        <v>5</v>
      </c>
      <c r="Q1795">
        <v>7</v>
      </c>
      <c r="R1795">
        <v>874228</v>
      </c>
      <c r="S1795">
        <f>Table1[[#This Row],[Revenue]]-Table1[[#This Row],[Operating_Costs]]</f>
        <v>633779</v>
      </c>
      <c r="T1795">
        <v>240449</v>
      </c>
      <c r="U1795">
        <v>28</v>
      </c>
      <c r="V1795">
        <v>64</v>
      </c>
      <c r="W1795">
        <v>5.6</v>
      </c>
    </row>
    <row r="1796" spans="1:23" x14ac:dyDescent="0.25">
      <c r="A1796">
        <v>5</v>
      </c>
      <c r="B1796" t="s">
        <v>22</v>
      </c>
      <c r="C1796" s="1">
        <v>44364</v>
      </c>
      <c r="D1796" t="s">
        <v>71</v>
      </c>
      <c r="E1796">
        <v>0</v>
      </c>
      <c r="F1796">
        <v>58</v>
      </c>
      <c r="G1796" t="str">
        <f t="shared" si="36"/>
        <v>41-60</v>
      </c>
      <c r="H1796" t="s">
        <v>23</v>
      </c>
      <c r="I1796" t="s">
        <v>24</v>
      </c>
      <c r="J1796" t="s">
        <v>25</v>
      </c>
      <c r="K1796" t="s">
        <v>26</v>
      </c>
      <c r="L1796">
        <v>1</v>
      </c>
      <c r="M1796">
        <v>1</v>
      </c>
      <c r="N1796">
        <v>3.2</v>
      </c>
      <c r="O1796">
        <v>7.5</v>
      </c>
      <c r="P1796">
        <v>4</v>
      </c>
      <c r="Q1796">
        <v>5</v>
      </c>
      <c r="R1796">
        <v>634043</v>
      </c>
      <c r="S1796">
        <f>Table1[[#This Row],[Revenue]]-Table1[[#This Row],[Operating_Costs]]</f>
        <v>205152</v>
      </c>
      <c r="T1796">
        <v>428891</v>
      </c>
      <c r="U1796">
        <v>39</v>
      </c>
      <c r="V1796">
        <v>62</v>
      </c>
      <c r="W1796">
        <v>14.5</v>
      </c>
    </row>
    <row r="1797" spans="1:23" x14ac:dyDescent="0.25">
      <c r="A1797">
        <v>5</v>
      </c>
      <c r="B1797" t="s">
        <v>22</v>
      </c>
      <c r="C1797" s="1">
        <v>44449</v>
      </c>
      <c r="D1797" t="s">
        <v>71</v>
      </c>
      <c r="E1797">
        <v>0</v>
      </c>
      <c r="F1797">
        <v>50</v>
      </c>
      <c r="G1797" t="str">
        <f t="shared" si="36"/>
        <v>41-60</v>
      </c>
      <c r="H1797" t="s">
        <v>23</v>
      </c>
      <c r="I1797" t="s">
        <v>64</v>
      </c>
      <c r="J1797" t="s">
        <v>65</v>
      </c>
      <c r="K1797" t="s">
        <v>33</v>
      </c>
      <c r="L1797">
        <v>1</v>
      </c>
      <c r="M1797">
        <v>1</v>
      </c>
      <c r="N1797">
        <v>3.6</v>
      </c>
      <c r="O1797">
        <v>7.4</v>
      </c>
      <c r="P1797">
        <v>7</v>
      </c>
      <c r="Q1797">
        <v>7</v>
      </c>
      <c r="R1797">
        <v>934066</v>
      </c>
      <c r="S1797">
        <f>Table1[[#This Row],[Revenue]]-Table1[[#This Row],[Operating_Costs]]</f>
        <v>721522</v>
      </c>
      <c r="T1797">
        <v>212544</v>
      </c>
      <c r="U1797">
        <v>39</v>
      </c>
      <c r="V1797">
        <v>57</v>
      </c>
      <c r="W1797">
        <v>10.6</v>
      </c>
    </row>
    <row r="1798" spans="1:23" x14ac:dyDescent="0.25">
      <c r="A1798">
        <v>5</v>
      </c>
      <c r="B1798" t="s">
        <v>22</v>
      </c>
      <c r="C1798" s="1">
        <v>44777</v>
      </c>
      <c r="D1798" t="s">
        <v>71</v>
      </c>
      <c r="E1798">
        <v>0</v>
      </c>
      <c r="F1798">
        <v>33</v>
      </c>
      <c r="G1798" t="str">
        <f t="shared" si="36"/>
        <v>21-40</v>
      </c>
      <c r="H1798" t="s">
        <v>23</v>
      </c>
      <c r="I1798" t="s">
        <v>43</v>
      </c>
      <c r="J1798" t="s">
        <v>25</v>
      </c>
      <c r="K1798" t="s">
        <v>42</v>
      </c>
      <c r="L1798">
        <v>1</v>
      </c>
      <c r="M1798">
        <v>1</v>
      </c>
      <c r="N1798">
        <v>1.1000000000000001</v>
      </c>
      <c r="O1798">
        <v>10</v>
      </c>
      <c r="P1798">
        <v>4</v>
      </c>
      <c r="Q1798">
        <v>4</v>
      </c>
      <c r="R1798">
        <v>678532</v>
      </c>
      <c r="S1798">
        <f>Table1[[#This Row],[Revenue]]-Table1[[#This Row],[Operating_Costs]]</f>
        <v>330972</v>
      </c>
      <c r="T1798">
        <v>347560</v>
      </c>
      <c r="U1798">
        <v>24</v>
      </c>
      <c r="V1798">
        <v>54</v>
      </c>
      <c r="W1798">
        <v>13.5</v>
      </c>
    </row>
    <row r="1799" spans="1:23" x14ac:dyDescent="0.25">
      <c r="A1799">
        <v>5</v>
      </c>
      <c r="B1799" t="s">
        <v>22</v>
      </c>
      <c r="C1799" s="1">
        <v>45543</v>
      </c>
      <c r="D1799" t="s">
        <v>71</v>
      </c>
      <c r="E1799">
        <v>0</v>
      </c>
      <c r="F1799">
        <v>84</v>
      </c>
      <c r="G1799" t="str">
        <f t="shared" si="36"/>
        <v>81+</v>
      </c>
      <c r="H1799" t="s">
        <v>35</v>
      </c>
      <c r="I1799" t="s">
        <v>36</v>
      </c>
      <c r="J1799" t="s">
        <v>37</v>
      </c>
      <c r="K1799" t="s">
        <v>26</v>
      </c>
      <c r="L1799">
        <v>1</v>
      </c>
      <c r="M1799">
        <v>1</v>
      </c>
      <c r="N1799">
        <v>2.4</v>
      </c>
      <c r="O1799">
        <v>9.6999999999999993</v>
      </c>
      <c r="P1799">
        <v>7</v>
      </c>
      <c r="Q1799">
        <v>4</v>
      </c>
      <c r="R1799">
        <v>969810</v>
      </c>
      <c r="S1799">
        <f>Table1[[#This Row],[Revenue]]-Table1[[#This Row],[Operating_Costs]]</f>
        <v>483194</v>
      </c>
      <c r="T1799">
        <v>486616</v>
      </c>
      <c r="U1799">
        <v>33</v>
      </c>
      <c r="V1799">
        <v>60</v>
      </c>
      <c r="W1799">
        <v>36.4</v>
      </c>
    </row>
    <row r="1800" spans="1:23" x14ac:dyDescent="0.25">
      <c r="A1800">
        <v>5</v>
      </c>
      <c r="B1800" t="s">
        <v>22</v>
      </c>
      <c r="C1800" s="1">
        <v>45000</v>
      </c>
      <c r="D1800" t="s">
        <v>71</v>
      </c>
      <c r="E1800">
        <v>0</v>
      </c>
      <c r="F1800">
        <v>84</v>
      </c>
      <c r="G1800" t="str">
        <f t="shared" si="36"/>
        <v>81+</v>
      </c>
      <c r="H1800" t="s">
        <v>23</v>
      </c>
      <c r="I1800" t="s">
        <v>40</v>
      </c>
      <c r="J1800" t="s">
        <v>41</v>
      </c>
      <c r="K1800" t="s">
        <v>29</v>
      </c>
      <c r="L1800">
        <v>1</v>
      </c>
      <c r="M1800">
        <v>1</v>
      </c>
      <c r="N1800">
        <v>1</v>
      </c>
      <c r="O1800">
        <v>9.3000000000000007</v>
      </c>
      <c r="P1800">
        <v>4</v>
      </c>
      <c r="Q1800">
        <v>5</v>
      </c>
      <c r="R1800">
        <v>797967</v>
      </c>
      <c r="S1800">
        <f>Table1[[#This Row],[Revenue]]-Table1[[#This Row],[Operating_Costs]]</f>
        <v>513863</v>
      </c>
      <c r="T1800">
        <v>284104</v>
      </c>
      <c r="U1800">
        <v>20</v>
      </c>
      <c r="V1800">
        <v>56</v>
      </c>
      <c r="W1800">
        <v>13.6</v>
      </c>
    </row>
    <row r="1801" spans="1:23" x14ac:dyDescent="0.25">
      <c r="A1801">
        <v>5</v>
      </c>
      <c r="B1801" t="s">
        <v>22</v>
      </c>
      <c r="C1801" s="1">
        <v>45522</v>
      </c>
      <c r="D1801" t="s">
        <v>71</v>
      </c>
      <c r="E1801">
        <v>0</v>
      </c>
      <c r="F1801">
        <v>36</v>
      </c>
      <c r="G1801" t="str">
        <f t="shared" si="36"/>
        <v>21-40</v>
      </c>
      <c r="H1801" t="s">
        <v>23</v>
      </c>
      <c r="I1801" t="s">
        <v>24</v>
      </c>
      <c r="J1801" t="s">
        <v>25</v>
      </c>
      <c r="K1801" t="s">
        <v>29</v>
      </c>
      <c r="L1801">
        <v>1</v>
      </c>
      <c r="M1801">
        <v>1</v>
      </c>
      <c r="N1801">
        <v>3.6</v>
      </c>
      <c r="O1801">
        <v>7.7</v>
      </c>
      <c r="P1801">
        <v>4</v>
      </c>
      <c r="Q1801">
        <v>4</v>
      </c>
      <c r="R1801">
        <v>944471</v>
      </c>
      <c r="S1801">
        <f>Table1[[#This Row],[Revenue]]-Table1[[#This Row],[Operating_Costs]]</f>
        <v>725851</v>
      </c>
      <c r="T1801">
        <v>218620</v>
      </c>
      <c r="U1801">
        <v>38</v>
      </c>
      <c r="V1801">
        <v>60</v>
      </c>
      <c r="W1801">
        <v>8.6</v>
      </c>
    </row>
    <row r="1802" spans="1:23" x14ac:dyDescent="0.25">
      <c r="A1802">
        <v>5</v>
      </c>
      <c r="B1802" t="s">
        <v>22</v>
      </c>
      <c r="C1802" s="1">
        <v>45303</v>
      </c>
      <c r="D1802" t="s">
        <v>71</v>
      </c>
      <c r="E1802">
        <v>0</v>
      </c>
      <c r="F1802">
        <v>75</v>
      </c>
      <c r="G1802" t="str">
        <f t="shared" si="36"/>
        <v>61-80</v>
      </c>
      <c r="H1802" t="s">
        <v>23</v>
      </c>
      <c r="I1802" t="s">
        <v>67</v>
      </c>
      <c r="J1802" t="s">
        <v>68</v>
      </c>
      <c r="K1802" t="s">
        <v>38</v>
      </c>
      <c r="L1802">
        <v>1</v>
      </c>
      <c r="M1802">
        <v>1</v>
      </c>
      <c r="N1802">
        <v>3.2</v>
      </c>
      <c r="O1802">
        <v>7.3</v>
      </c>
      <c r="P1802">
        <v>5</v>
      </c>
      <c r="Q1802">
        <v>7</v>
      </c>
      <c r="R1802">
        <v>882263</v>
      </c>
      <c r="S1802">
        <f>Table1[[#This Row],[Revenue]]-Table1[[#This Row],[Operating_Costs]]</f>
        <v>609079</v>
      </c>
      <c r="T1802">
        <v>273184</v>
      </c>
      <c r="U1802">
        <v>30</v>
      </c>
      <c r="V1802">
        <v>64</v>
      </c>
      <c r="W1802">
        <v>5.5</v>
      </c>
    </row>
    <row r="1803" spans="1:23" x14ac:dyDescent="0.25">
      <c r="A1803">
        <v>5</v>
      </c>
      <c r="B1803" t="s">
        <v>22</v>
      </c>
      <c r="C1803" s="1">
        <v>45121</v>
      </c>
      <c r="D1803" t="s">
        <v>71</v>
      </c>
      <c r="E1803">
        <v>0</v>
      </c>
      <c r="F1803">
        <v>71</v>
      </c>
      <c r="G1803" t="str">
        <f t="shared" si="36"/>
        <v>61-80</v>
      </c>
      <c r="H1803" t="s">
        <v>35</v>
      </c>
      <c r="I1803" t="s">
        <v>36</v>
      </c>
      <c r="J1803" t="s">
        <v>37</v>
      </c>
      <c r="K1803" t="s">
        <v>33</v>
      </c>
      <c r="L1803">
        <v>1</v>
      </c>
      <c r="M1803">
        <v>1</v>
      </c>
      <c r="N1803">
        <v>2.1</v>
      </c>
      <c r="O1803">
        <v>8.8000000000000007</v>
      </c>
      <c r="P1803">
        <v>3</v>
      </c>
      <c r="Q1803">
        <v>5</v>
      </c>
      <c r="R1803">
        <v>802152</v>
      </c>
      <c r="S1803">
        <f>Table1[[#This Row],[Revenue]]-Table1[[#This Row],[Operating_Costs]]</f>
        <v>311862</v>
      </c>
      <c r="T1803">
        <v>490290</v>
      </c>
      <c r="U1803">
        <v>30</v>
      </c>
      <c r="V1803">
        <v>54</v>
      </c>
      <c r="W1803">
        <v>10.6</v>
      </c>
    </row>
    <row r="1804" spans="1:23" x14ac:dyDescent="0.25">
      <c r="A1804">
        <v>5</v>
      </c>
      <c r="B1804" t="s">
        <v>22</v>
      </c>
      <c r="C1804" s="1">
        <v>44642</v>
      </c>
      <c r="D1804" t="s">
        <v>71</v>
      </c>
      <c r="E1804">
        <v>0</v>
      </c>
      <c r="F1804">
        <v>38</v>
      </c>
      <c r="G1804" t="str">
        <f t="shared" si="36"/>
        <v>21-40</v>
      </c>
      <c r="H1804" t="s">
        <v>35</v>
      </c>
      <c r="I1804" t="s">
        <v>60</v>
      </c>
      <c r="J1804" t="s">
        <v>59</v>
      </c>
      <c r="K1804" t="s">
        <v>42</v>
      </c>
      <c r="L1804">
        <v>1</v>
      </c>
      <c r="M1804">
        <v>1</v>
      </c>
      <c r="N1804">
        <v>5.2</v>
      </c>
      <c r="O1804">
        <v>10</v>
      </c>
      <c r="P1804">
        <v>7</v>
      </c>
      <c r="Q1804">
        <v>7</v>
      </c>
      <c r="R1804">
        <v>751625</v>
      </c>
      <c r="S1804">
        <f>Table1[[#This Row],[Revenue]]-Table1[[#This Row],[Operating_Costs]]</f>
        <v>463127</v>
      </c>
      <c r="T1804">
        <v>288498</v>
      </c>
      <c r="U1804">
        <v>23</v>
      </c>
      <c r="V1804">
        <v>59</v>
      </c>
      <c r="W1804">
        <v>8.6999999999999993</v>
      </c>
    </row>
    <row r="1805" spans="1:23" x14ac:dyDescent="0.25">
      <c r="A1805">
        <v>5</v>
      </c>
      <c r="B1805" t="s">
        <v>22</v>
      </c>
      <c r="C1805" s="1">
        <v>45157</v>
      </c>
      <c r="D1805" t="s">
        <v>71</v>
      </c>
      <c r="E1805">
        <v>0</v>
      </c>
      <c r="F1805">
        <v>29</v>
      </c>
      <c r="G1805" t="str">
        <f t="shared" si="36"/>
        <v>21-40</v>
      </c>
      <c r="H1805" t="s">
        <v>35</v>
      </c>
      <c r="I1805" t="s">
        <v>60</v>
      </c>
      <c r="J1805" t="s">
        <v>59</v>
      </c>
      <c r="K1805" t="s">
        <v>26</v>
      </c>
      <c r="L1805">
        <v>1</v>
      </c>
      <c r="M1805">
        <v>1</v>
      </c>
      <c r="N1805">
        <v>6.2</v>
      </c>
      <c r="O1805">
        <v>8.9</v>
      </c>
      <c r="P1805">
        <v>3</v>
      </c>
      <c r="Q1805">
        <v>4</v>
      </c>
      <c r="R1805">
        <v>747674</v>
      </c>
      <c r="S1805">
        <f>Table1[[#This Row],[Revenue]]-Table1[[#This Row],[Operating_Costs]]</f>
        <v>275695</v>
      </c>
      <c r="T1805">
        <v>471979</v>
      </c>
      <c r="U1805">
        <v>36</v>
      </c>
      <c r="V1805">
        <v>66</v>
      </c>
      <c r="W1805">
        <v>10.199999999999999</v>
      </c>
    </row>
    <row r="1806" spans="1:23" x14ac:dyDescent="0.25">
      <c r="A1806">
        <v>5</v>
      </c>
      <c r="B1806" t="s">
        <v>22</v>
      </c>
      <c r="C1806" s="1">
        <v>45350</v>
      </c>
      <c r="D1806" t="s">
        <v>71</v>
      </c>
      <c r="E1806">
        <v>0</v>
      </c>
      <c r="F1806">
        <v>33</v>
      </c>
      <c r="G1806" t="str">
        <f t="shared" si="36"/>
        <v>21-40</v>
      </c>
      <c r="H1806" t="s">
        <v>35</v>
      </c>
      <c r="I1806" t="s">
        <v>53</v>
      </c>
      <c r="J1806" t="s">
        <v>54</v>
      </c>
      <c r="K1806" t="s">
        <v>38</v>
      </c>
      <c r="L1806">
        <v>1</v>
      </c>
      <c r="M1806">
        <v>1</v>
      </c>
      <c r="N1806">
        <v>3.1</v>
      </c>
      <c r="O1806">
        <v>9.8000000000000007</v>
      </c>
      <c r="P1806">
        <v>6</v>
      </c>
      <c r="Q1806">
        <v>3</v>
      </c>
      <c r="R1806">
        <v>938437</v>
      </c>
      <c r="S1806">
        <f>Table1[[#This Row],[Revenue]]-Table1[[#This Row],[Operating_Costs]]</f>
        <v>569603</v>
      </c>
      <c r="T1806">
        <v>368834</v>
      </c>
      <c r="U1806">
        <v>29</v>
      </c>
      <c r="V1806">
        <v>60</v>
      </c>
      <c r="W1806">
        <v>36.5</v>
      </c>
    </row>
    <row r="1807" spans="1:23" x14ac:dyDescent="0.25">
      <c r="A1807">
        <v>5</v>
      </c>
      <c r="B1807" t="s">
        <v>22</v>
      </c>
      <c r="C1807" s="1">
        <v>44715</v>
      </c>
      <c r="D1807" t="s">
        <v>71</v>
      </c>
      <c r="E1807">
        <v>0</v>
      </c>
      <c r="F1807">
        <v>79</v>
      </c>
      <c r="G1807" t="str">
        <f t="shared" si="36"/>
        <v>61-80</v>
      </c>
      <c r="H1807" t="s">
        <v>35</v>
      </c>
      <c r="I1807" t="s">
        <v>55</v>
      </c>
      <c r="J1807" t="s">
        <v>56</v>
      </c>
      <c r="K1807" t="s">
        <v>42</v>
      </c>
      <c r="L1807">
        <v>1</v>
      </c>
      <c r="M1807">
        <v>1</v>
      </c>
      <c r="N1807">
        <v>1.1000000000000001</v>
      </c>
      <c r="O1807">
        <v>9.5</v>
      </c>
      <c r="P1807">
        <v>4</v>
      </c>
      <c r="Q1807">
        <v>6</v>
      </c>
      <c r="R1807">
        <v>977851</v>
      </c>
      <c r="S1807">
        <f>Table1[[#This Row],[Revenue]]-Table1[[#This Row],[Operating_Costs]]</f>
        <v>575328</v>
      </c>
      <c r="T1807">
        <v>402523</v>
      </c>
      <c r="U1807">
        <v>27</v>
      </c>
      <c r="V1807">
        <v>65</v>
      </c>
      <c r="W1807">
        <v>14.3</v>
      </c>
    </row>
    <row r="1808" spans="1:23" x14ac:dyDescent="0.25">
      <c r="A1808">
        <v>5</v>
      </c>
      <c r="B1808" t="s">
        <v>22</v>
      </c>
      <c r="C1808" s="1">
        <v>45580</v>
      </c>
      <c r="D1808" t="s">
        <v>71</v>
      </c>
      <c r="E1808">
        <v>0</v>
      </c>
      <c r="F1808">
        <v>23</v>
      </c>
      <c r="G1808" t="str">
        <f t="shared" si="36"/>
        <v>21-40</v>
      </c>
      <c r="H1808" t="s">
        <v>23</v>
      </c>
      <c r="I1808" t="s">
        <v>24</v>
      </c>
      <c r="J1808" t="s">
        <v>25</v>
      </c>
      <c r="K1808" t="s">
        <v>26</v>
      </c>
      <c r="L1808">
        <v>1</v>
      </c>
      <c r="M1808">
        <v>1</v>
      </c>
      <c r="N1808">
        <v>4.7</v>
      </c>
      <c r="O1808">
        <v>8.5</v>
      </c>
      <c r="P1808">
        <v>3</v>
      </c>
      <c r="Q1808">
        <v>3</v>
      </c>
      <c r="R1808">
        <v>921581</v>
      </c>
      <c r="S1808">
        <f>Table1[[#This Row],[Revenue]]-Table1[[#This Row],[Operating_Costs]]</f>
        <v>658231</v>
      </c>
      <c r="T1808">
        <v>263350</v>
      </c>
      <c r="U1808">
        <v>35</v>
      </c>
      <c r="V1808">
        <v>62</v>
      </c>
      <c r="W1808">
        <v>6.3</v>
      </c>
    </row>
    <row r="1809" spans="1:23" x14ac:dyDescent="0.25">
      <c r="A1809">
        <v>5</v>
      </c>
      <c r="B1809" t="s">
        <v>22</v>
      </c>
      <c r="C1809" s="1">
        <v>45234</v>
      </c>
      <c r="D1809" t="s">
        <v>71</v>
      </c>
      <c r="E1809">
        <v>0</v>
      </c>
      <c r="F1809">
        <v>25</v>
      </c>
      <c r="G1809" t="str">
        <f t="shared" si="36"/>
        <v>21-40</v>
      </c>
      <c r="H1809" t="s">
        <v>35</v>
      </c>
      <c r="I1809" t="s">
        <v>31</v>
      </c>
      <c r="J1809" t="s">
        <v>28</v>
      </c>
      <c r="K1809" t="s">
        <v>33</v>
      </c>
      <c r="L1809">
        <v>1</v>
      </c>
      <c r="M1809">
        <v>1</v>
      </c>
      <c r="N1809">
        <v>2.4</v>
      </c>
      <c r="O1809">
        <v>7.8</v>
      </c>
      <c r="P1809">
        <v>7</v>
      </c>
      <c r="Q1809">
        <v>5</v>
      </c>
      <c r="R1809">
        <v>662361</v>
      </c>
      <c r="S1809">
        <f>Table1[[#This Row],[Revenue]]-Table1[[#This Row],[Operating_Costs]]</f>
        <v>342413</v>
      </c>
      <c r="T1809">
        <v>319948</v>
      </c>
      <c r="U1809">
        <v>33</v>
      </c>
      <c r="V1809">
        <v>66</v>
      </c>
      <c r="W1809">
        <v>14.9</v>
      </c>
    </row>
    <row r="1810" spans="1:23" x14ac:dyDescent="0.25">
      <c r="A1810">
        <v>5</v>
      </c>
      <c r="B1810" t="s">
        <v>22</v>
      </c>
      <c r="C1810" s="1">
        <v>45055</v>
      </c>
      <c r="D1810" t="s">
        <v>71</v>
      </c>
      <c r="E1810">
        <v>0</v>
      </c>
      <c r="F1810">
        <v>57</v>
      </c>
      <c r="G1810" t="str">
        <f t="shared" si="36"/>
        <v>41-60</v>
      </c>
      <c r="H1810" t="s">
        <v>23</v>
      </c>
      <c r="I1810" t="s">
        <v>24</v>
      </c>
      <c r="J1810" t="s">
        <v>25</v>
      </c>
      <c r="K1810" t="s">
        <v>26</v>
      </c>
      <c r="L1810">
        <v>1</v>
      </c>
      <c r="M1810">
        <v>1</v>
      </c>
      <c r="N1810">
        <v>5.5</v>
      </c>
      <c r="O1810">
        <v>7.4</v>
      </c>
      <c r="P1810">
        <v>5</v>
      </c>
      <c r="Q1810">
        <v>6</v>
      </c>
      <c r="R1810">
        <v>978439</v>
      </c>
      <c r="S1810">
        <f>Table1[[#This Row],[Revenue]]-Table1[[#This Row],[Operating_Costs]]</f>
        <v>480486</v>
      </c>
      <c r="T1810">
        <v>497953</v>
      </c>
      <c r="U1810">
        <v>29</v>
      </c>
      <c r="V1810">
        <v>54</v>
      </c>
      <c r="W1810">
        <v>9.5</v>
      </c>
    </row>
    <row r="1811" spans="1:23" x14ac:dyDescent="0.25">
      <c r="A1811">
        <v>5</v>
      </c>
      <c r="B1811" t="s">
        <v>22</v>
      </c>
      <c r="C1811" s="1">
        <v>44839</v>
      </c>
      <c r="D1811" t="s">
        <v>71</v>
      </c>
      <c r="E1811">
        <v>0</v>
      </c>
      <c r="F1811">
        <v>40</v>
      </c>
      <c r="G1811" t="str">
        <f t="shared" si="36"/>
        <v>21-40</v>
      </c>
      <c r="H1811" t="s">
        <v>23</v>
      </c>
      <c r="I1811" t="s">
        <v>46</v>
      </c>
      <c r="J1811" t="s">
        <v>47</v>
      </c>
      <c r="K1811" t="s">
        <v>42</v>
      </c>
      <c r="L1811">
        <v>1</v>
      </c>
      <c r="M1811">
        <v>1</v>
      </c>
      <c r="N1811">
        <v>3</v>
      </c>
      <c r="O1811">
        <v>8.6</v>
      </c>
      <c r="P1811">
        <v>7</v>
      </c>
      <c r="Q1811">
        <v>3</v>
      </c>
      <c r="R1811">
        <v>704853</v>
      </c>
      <c r="S1811">
        <f>Table1[[#This Row],[Revenue]]-Table1[[#This Row],[Operating_Costs]]</f>
        <v>259458</v>
      </c>
      <c r="T1811">
        <v>445395</v>
      </c>
      <c r="U1811">
        <v>31</v>
      </c>
      <c r="V1811">
        <v>56</v>
      </c>
      <c r="W1811">
        <v>10.3</v>
      </c>
    </row>
    <row r="1812" spans="1:23" x14ac:dyDescent="0.25">
      <c r="A1812">
        <v>5</v>
      </c>
      <c r="B1812" t="s">
        <v>22</v>
      </c>
      <c r="C1812" s="1">
        <v>44307</v>
      </c>
      <c r="D1812" t="s">
        <v>71</v>
      </c>
      <c r="E1812">
        <v>0</v>
      </c>
      <c r="F1812">
        <v>73</v>
      </c>
      <c r="G1812" t="str">
        <f t="shared" si="36"/>
        <v>61-80</v>
      </c>
      <c r="H1812" t="s">
        <v>23</v>
      </c>
      <c r="I1812" t="s">
        <v>46</v>
      </c>
      <c r="J1812" t="s">
        <v>47</v>
      </c>
      <c r="K1812" t="s">
        <v>38</v>
      </c>
      <c r="L1812">
        <v>1</v>
      </c>
      <c r="M1812">
        <v>1</v>
      </c>
      <c r="N1812">
        <v>4.8</v>
      </c>
      <c r="O1812">
        <v>9.5</v>
      </c>
      <c r="P1812">
        <v>4</v>
      </c>
      <c r="Q1812">
        <v>6</v>
      </c>
      <c r="R1812">
        <v>627945</v>
      </c>
      <c r="S1812">
        <f>Table1[[#This Row],[Revenue]]-Table1[[#This Row],[Operating_Costs]]</f>
        <v>424120</v>
      </c>
      <c r="T1812">
        <v>203825</v>
      </c>
      <c r="U1812">
        <v>40</v>
      </c>
      <c r="V1812">
        <v>64</v>
      </c>
      <c r="W1812">
        <v>13.7</v>
      </c>
    </row>
    <row r="1813" spans="1:23" x14ac:dyDescent="0.25">
      <c r="A1813">
        <v>5</v>
      </c>
      <c r="B1813" t="s">
        <v>22</v>
      </c>
      <c r="C1813" s="1">
        <v>45061</v>
      </c>
      <c r="D1813" t="s">
        <v>71</v>
      </c>
      <c r="E1813">
        <v>0</v>
      </c>
      <c r="F1813">
        <v>51</v>
      </c>
      <c r="G1813" t="str">
        <f t="shared" si="36"/>
        <v>41-60</v>
      </c>
      <c r="H1813" t="s">
        <v>23</v>
      </c>
      <c r="I1813" t="s">
        <v>24</v>
      </c>
      <c r="J1813" t="s">
        <v>25</v>
      </c>
      <c r="K1813" t="s">
        <v>38</v>
      </c>
      <c r="L1813">
        <v>1</v>
      </c>
      <c r="M1813">
        <v>1</v>
      </c>
      <c r="N1813">
        <v>2.6</v>
      </c>
      <c r="O1813">
        <v>10</v>
      </c>
      <c r="P1813">
        <v>6</v>
      </c>
      <c r="Q1813">
        <v>7</v>
      </c>
      <c r="R1813">
        <v>966903</v>
      </c>
      <c r="S1813">
        <f>Table1[[#This Row],[Revenue]]-Table1[[#This Row],[Operating_Costs]]</f>
        <v>589458</v>
      </c>
      <c r="T1813">
        <v>377445</v>
      </c>
      <c r="U1813">
        <v>23</v>
      </c>
      <c r="V1813">
        <v>59</v>
      </c>
      <c r="W1813">
        <v>6.1</v>
      </c>
    </row>
    <row r="1814" spans="1:23" x14ac:dyDescent="0.25">
      <c r="A1814">
        <v>5</v>
      </c>
      <c r="B1814" t="s">
        <v>22</v>
      </c>
      <c r="C1814" s="1">
        <v>44514</v>
      </c>
      <c r="D1814" t="s">
        <v>71</v>
      </c>
      <c r="E1814">
        <v>0</v>
      </c>
      <c r="F1814">
        <v>59</v>
      </c>
      <c r="G1814" t="str">
        <f t="shared" si="36"/>
        <v>41-60</v>
      </c>
      <c r="H1814" t="s">
        <v>23</v>
      </c>
      <c r="I1814" t="s">
        <v>24</v>
      </c>
      <c r="J1814" t="s">
        <v>25</v>
      </c>
      <c r="K1814" t="s">
        <v>38</v>
      </c>
      <c r="L1814">
        <v>1</v>
      </c>
      <c r="M1814">
        <v>1</v>
      </c>
      <c r="N1814">
        <v>3.4</v>
      </c>
      <c r="O1814">
        <v>7.4</v>
      </c>
      <c r="P1814">
        <v>6</v>
      </c>
      <c r="Q1814">
        <v>4</v>
      </c>
      <c r="R1814">
        <v>800775</v>
      </c>
      <c r="S1814">
        <f>Table1[[#This Row],[Revenue]]-Table1[[#This Row],[Operating_Costs]]</f>
        <v>579362</v>
      </c>
      <c r="T1814">
        <v>221413</v>
      </c>
      <c r="U1814">
        <v>35</v>
      </c>
      <c r="V1814">
        <v>64</v>
      </c>
      <c r="W1814">
        <v>13.4</v>
      </c>
    </row>
    <row r="1815" spans="1:23" x14ac:dyDescent="0.25">
      <c r="A1815">
        <v>5</v>
      </c>
      <c r="B1815" t="s">
        <v>22</v>
      </c>
      <c r="C1815" s="1">
        <v>44486</v>
      </c>
      <c r="D1815" t="s">
        <v>71</v>
      </c>
      <c r="E1815">
        <v>0</v>
      </c>
      <c r="F1815">
        <v>35</v>
      </c>
      <c r="G1815" t="str">
        <f t="shared" si="36"/>
        <v>21-40</v>
      </c>
      <c r="H1815" t="s">
        <v>23</v>
      </c>
      <c r="I1815" t="s">
        <v>67</v>
      </c>
      <c r="J1815" t="s">
        <v>68</v>
      </c>
      <c r="K1815" t="s">
        <v>38</v>
      </c>
      <c r="L1815">
        <v>1</v>
      </c>
      <c r="M1815">
        <v>1</v>
      </c>
      <c r="N1815">
        <v>5.4</v>
      </c>
      <c r="O1815">
        <v>8.3000000000000007</v>
      </c>
      <c r="P1815">
        <v>3</v>
      </c>
      <c r="Q1815">
        <v>3</v>
      </c>
      <c r="R1815">
        <v>855974</v>
      </c>
      <c r="S1815">
        <f>Table1[[#This Row],[Revenue]]-Table1[[#This Row],[Operating_Costs]]</f>
        <v>507774</v>
      </c>
      <c r="T1815">
        <v>348200</v>
      </c>
      <c r="U1815">
        <v>38</v>
      </c>
      <c r="V1815">
        <v>54</v>
      </c>
      <c r="W1815">
        <v>12.3</v>
      </c>
    </row>
    <row r="1816" spans="1:23" x14ac:dyDescent="0.25">
      <c r="A1816">
        <v>5</v>
      </c>
      <c r="B1816" t="s">
        <v>22</v>
      </c>
      <c r="C1816" s="1">
        <v>44694</v>
      </c>
      <c r="D1816" t="s">
        <v>71</v>
      </c>
      <c r="E1816">
        <v>0</v>
      </c>
      <c r="F1816">
        <v>33</v>
      </c>
      <c r="G1816" t="str">
        <f t="shared" si="36"/>
        <v>21-40</v>
      </c>
      <c r="H1816" t="s">
        <v>23</v>
      </c>
      <c r="I1816" t="s">
        <v>43</v>
      </c>
      <c r="J1816" t="s">
        <v>25</v>
      </c>
      <c r="K1816" t="s">
        <v>38</v>
      </c>
      <c r="L1816">
        <v>1</v>
      </c>
      <c r="M1816">
        <v>1</v>
      </c>
      <c r="N1816">
        <v>2.6</v>
      </c>
      <c r="O1816">
        <v>9.6</v>
      </c>
      <c r="P1816">
        <v>3</v>
      </c>
      <c r="Q1816">
        <v>3</v>
      </c>
      <c r="R1816">
        <v>732820</v>
      </c>
      <c r="S1816">
        <f>Table1[[#This Row],[Revenue]]-Table1[[#This Row],[Operating_Costs]]</f>
        <v>324615</v>
      </c>
      <c r="T1816">
        <v>408205</v>
      </c>
      <c r="U1816">
        <v>32</v>
      </c>
      <c r="V1816">
        <v>62</v>
      </c>
      <c r="W1816">
        <v>8.6999999999999993</v>
      </c>
    </row>
    <row r="1817" spans="1:23" x14ac:dyDescent="0.25">
      <c r="A1817">
        <v>4</v>
      </c>
      <c r="B1817" t="s">
        <v>69</v>
      </c>
      <c r="C1817" s="1">
        <v>45446</v>
      </c>
      <c r="D1817" t="s">
        <v>71</v>
      </c>
      <c r="E1817">
        <v>0</v>
      </c>
      <c r="F1817">
        <v>39</v>
      </c>
      <c r="G1817" t="str">
        <f t="shared" si="36"/>
        <v>21-40</v>
      </c>
      <c r="H1817" t="s">
        <v>35</v>
      </c>
      <c r="I1817" t="s">
        <v>61</v>
      </c>
      <c r="J1817" t="s">
        <v>62</v>
      </c>
      <c r="K1817" t="s">
        <v>38</v>
      </c>
      <c r="L1817">
        <v>1</v>
      </c>
      <c r="M1817">
        <v>1</v>
      </c>
      <c r="N1817">
        <v>6.8</v>
      </c>
      <c r="O1817">
        <v>7.8</v>
      </c>
      <c r="P1817">
        <v>3</v>
      </c>
      <c r="Q1817">
        <v>4</v>
      </c>
      <c r="R1817">
        <v>884780</v>
      </c>
      <c r="S1817">
        <f>Table1[[#This Row],[Revenue]]-Table1[[#This Row],[Operating_Costs]]</f>
        <v>333284</v>
      </c>
      <c r="T1817">
        <v>551496</v>
      </c>
      <c r="U1817">
        <v>48</v>
      </c>
      <c r="V1817">
        <v>54</v>
      </c>
      <c r="W1817">
        <v>13.2</v>
      </c>
    </row>
    <row r="1818" spans="1:23" x14ac:dyDescent="0.25">
      <c r="A1818">
        <v>5</v>
      </c>
      <c r="B1818" t="s">
        <v>22</v>
      </c>
      <c r="C1818" s="1">
        <v>44478</v>
      </c>
      <c r="D1818" t="s">
        <v>71</v>
      </c>
      <c r="E1818">
        <v>0</v>
      </c>
      <c r="F1818">
        <v>37</v>
      </c>
      <c r="G1818" t="str">
        <f t="shared" si="36"/>
        <v>21-40</v>
      </c>
      <c r="H1818" t="s">
        <v>35</v>
      </c>
      <c r="I1818" t="s">
        <v>46</v>
      </c>
      <c r="J1818" t="s">
        <v>47</v>
      </c>
      <c r="K1818" t="s">
        <v>42</v>
      </c>
      <c r="L1818">
        <v>1</v>
      </c>
      <c r="M1818">
        <v>1</v>
      </c>
      <c r="N1818">
        <v>2.8</v>
      </c>
      <c r="O1818">
        <v>9.9</v>
      </c>
      <c r="P1818">
        <v>6</v>
      </c>
      <c r="Q1818">
        <v>7</v>
      </c>
      <c r="R1818">
        <v>699902</v>
      </c>
      <c r="S1818">
        <f>Table1[[#This Row],[Revenue]]-Table1[[#This Row],[Operating_Costs]]</f>
        <v>226387</v>
      </c>
      <c r="T1818">
        <v>473515</v>
      </c>
      <c r="U1818">
        <v>27</v>
      </c>
      <c r="V1818">
        <v>60</v>
      </c>
      <c r="W1818">
        <v>6.5</v>
      </c>
    </row>
    <row r="1819" spans="1:23" x14ac:dyDescent="0.25">
      <c r="A1819">
        <v>4</v>
      </c>
      <c r="B1819" t="s">
        <v>69</v>
      </c>
      <c r="C1819" s="1">
        <v>44469</v>
      </c>
      <c r="D1819" t="s">
        <v>71</v>
      </c>
      <c r="E1819">
        <v>0</v>
      </c>
      <c r="F1819">
        <v>55</v>
      </c>
      <c r="G1819" t="str">
        <f t="shared" si="36"/>
        <v>41-60</v>
      </c>
      <c r="H1819" t="s">
        <v>35</v>
      </c>
      <c r="I1819" t="s">
        <v>61</v>
      </c>
      <c r="J1819" t="s">
        <v>62</v>
      </c>
      <c r="K1819" t="s">
        <v>42</v>
      </c>
      <c r="L1819">
        <v>1</v>
      </c>
      <c r="M1819">
        <v>1</v>
      </c>
      <c r="N1819">
        <v>5</v>
      </c>
      <c r="O1819">
        <v>7.8</v>
      </c>
      <c r="P1819">
        <v>5</v>
      </c>
      <c r="Q1819">
        <v>3</v>
      </c>
      <c r="R1819">
        <v>823612</v>
      </c>
      <c r="S1819">
        <f>Table1[[#This Row],[Revenue]]-Table1[[#This Row],[Operating_Costs]]</f>
        <v>248692</v>
      </c>
      <c r="T1819">
        <v>574920</v>
      </c>
      <c r="U1819">
        <v>30</v>
      </c>
      <c r="V1819">
        <v>66</v>
      </c>
      <c r="W1819">
        <v>10.3</v>
      </c>
    </row>
    <row r="1820" spans="1:23" x14ac:dyDescent="0.25">
      <c r="A1820">
        <v>4</v>
      </c>
      <c r="B1820" t="s">
        <v>69</v>
      </c>
      <c r="C1820" s="1">
        <v>44827</v>
      </c>
      <c r="D1820" t="s">
        <v>71</v>
      </c>
      <c r="E1820">
        <v>0</v>
      </c>
      <c r="F1820">
        <v>67</v>
      </c>
      <c r="G1820" t="str">
        <f t="shared" si="36"/>
        <v>61-80</v>
      </c>
      <c r="H1820" t="s">
        <v>23</v>
      </c>
      <c r="I1820" t="s">
        <v>27</v>
      </c>
      <c r="J1820" t="s">
        <v>28</v>
      </c>
      <c r="K1820" t="s">
        <v>38</v>
      </c>
      <c r="L1820">
        <v>1</v>
      </c>
      <c r="M1820">
        <v>1</v>
      </c>
      <c r="N1820">
        <v>6.3</v>
      </c>
      <c r="O1820">
        <v>7.6</v>
      </c>
      <c r="P1820">
        <v>6</v>
      </c>
      <c r="Q1820">
        <v>4</v>
      </c>
      <c r="R1820">
        <v>967708</v>
      </c>
      <c r="S1820">
        <f>Table1[[#This Row],[Revenue]]-Table1[[#This Row],[Operating_Costs]]</f>
        <v>273394</v>
      </c>
      <c r="T1820">
        <v>694314</v>
      </c>
      <c r="U1820">
        <v>36</v>
      </c>
      <c r="V1820">
        <v>59</v>
      </c>
      <c r="W1820">
        <v>36.4</v>
      </c>
    </row>
    <row r="1821" spans="1:23" x14ac:dyDescent="0.25">
      <c r="A1821">
        <v>5</v>
      </c>
      <c r="B1821" t="s">
        <v>22</v>
      </c>
      <c r="C1821" s="1">
        <v>44589</v>
      </c>
      <c r="D1821" t="s">
        <v>71</v>
      </c>
      <c r="E1821">
        <v>0</v>
      </c>
      <c r="F1821">
        <v>39</v>
      </c>
      <c r="G1821" t="str">
        <f t="shared" si="36"/>
        <v>21-40</v>
      </c>
      <c r="H1821" t="s">
        <v>35</v>
      </c>
      <c r="I1821" t="s">
        <v>46</v>
      </c>
      <c r="J1821" t="s">
        <v>47</v>
      </c>
      <c r="K1821" t="s">
        <v>38</v>
      </c>
      <c r="L1821">
        <v>1</v>
      </c>
      <c r="M1821">
        <v>1</v>
      </c>
      <c r="N1821">
        <v>4.3</v>
      </c>
      <c r="O1821">
        <v>8.4</v>
      </c>
      <c r="P1821">
        <v>6</v>
      </c>
      <c r="Q1821">
        <v>7</v>
      </c>
      <c r="R1821">
        <v>700431</v>
      </c>
      <c r="S1821">
        <f>Table1[[#This Row],[Revenue]]-Table1[[#This Row],[Operating_Costs]]</f>
        <v>396468</v>
      </c>
      <c r="T1821">
        <v>303963</v>
      </c>
      <c r="U1821">
        <v>31</v>
      </c>
      <c r="V1821">
        <v>59</v>
      </c>
      <c r="W1821">
        <v>13.7</v>
      </c>
    </row>
    <row r="1822" spans="1:23" x14ac:dyDescent="0.25">
      <c r="A1822">
        <v>4</v>
      </c>
      <c r="B1822" t="s">
        <v>69</v>
      </c>
      <c r="C1822" s="1">
        <v>45519</v>
      </c>
      <c r="D1822" t="s">
        <v>71</v>
      </c>
      <c r="E1822">
        <v>0</v>
      </c>
      <c r="F1822">
        <v>65</v>
      </c>
      <c r="G1822" t="str">
        <f t="shared" si="36"/>
        <v>61-80</v>
      </c>
      <c r="H1822" t="s">
        <v>35</v>
      </c>
      <c r="I1822" t="s">
        <v>61</v>
      </c>
      <c r="J1822" t="s">
        <v>62</v>
      </c>
      <c r="K1822" t="s">
        <v>29</v>
      </c>
      <c r="L1822">
        <v>1</v>
      </c>
      <c r="M1822">
        <v>1</v>
      </c>
      <c r="N1822">
        <v>2</v>
      </c>
      <c r="O1822">
        <v>8.6</v>
      </c>
      <c r="P1822">
        <v>5</v>
      </c>
      <c r="Q1822">
        <v>5</v>
      </c>
      <c r="R1822">
        <v>944214</v>
      </c>
      <c r="S1822">
        <f>Table1[[#This Row],[Revenue]]-Table1[[#This Row],[Operating_Costs]]</f>
        <v>298011</v>
      </c>
      <c r="T1822">
        <v>646203</v>
      </c>
      <c r="U1822">
        <v>52</v>
      </c>
      <c r="V1822">
        <v>66</v>
      </c>
      <c r="W1822">
        <v>8.5</v>
      </c>
    </row>
    <row r="1823" spans="1:23" x14ac:dyDescent="0.25">
      <c r="A1823">
        <v>5</v>
      </c>
      <c r="B1823" t="s">
        <v>22</v>
      </c>
      <c r="C1823" s="1">
        <v>44778</v>
      </c>
      <c r="D1823" t="s">
        <v>71</v>
      </c>
      <c r="E1823">
        <v>0</v>
      </c>
      <c r="F1823">
        <v>40</v>
      </c>
      <c r="G1823" t="str">
        <f t="shared" si="36"/>
        <v>21-40</v>
      </c>
      <c r="H1823" t="s">
        <v>23</v>
      </c>
      <c r="I1823" t="s">
        <v>43</v>
      </c>
      <c r="J1823" t="s">
        <v>25</v>
      </c>
      <c r="K1823" t="s">
        <v>29</v>
      </c>
      <c r="L1823">
        <v>1</v>
      </c>
      <c r="M1823">
        <v>1</v>
      </c>
      <c r="N1823">
        <v>5.0999999999999996</v>
      </c>
      <c r="O1823">
        <v>7.2</v>
      </c>
      <c r="P1823">
        <v>4</v>
      </c>
      <c r="Q1823">
        <v>7</v>
      </c>
      <c r="R1823">
        <v>634199</v>
      </c>
      <c r="S1823">
        <f>Table1[[#This Row],[Revenue]]-Table1[[#This Row],[Operating_Costs]]</f>
        <v>375093</v>
      </c>
      <c r="T1823">
        <v>259106</v>
      </c>
      <c r="U1823">
        <v>37</v>
      </c>
      <c r="V1823">
        <v>59</v>
      </c>
      <c r="W1823">
        <v>14.4</v>
      </c>
    </row>
    <row r="1824" spans="1:23" x14ac:dyDescent="0.25">
      <c r="A1824">
        <v>5</v>
      </c>
      <c r="B1824" t="s">
        <v>22</v>
      </c>
      <c r="C1824" s="1">
        <v>45297</v>
      </c>
      <c r="D1824" t="s">
        <v>71</v>
      </c>
      <c r="E1824">
        <v>0</v>
      </c>
      <c r="F1824">
        <v>90</v>
      </c>
      <c r="G1824" t="str">
        <f t="shared" si="36"/>
        <v>81+</v>
      </c>
      <c r="H1824" t="s">
        <v>35</v>
      </c>
      <c r="I1824" t="s">
        <v>58</v>
      </c>
      <c r="J1824" t="s">
        <v>59</v>
      </c>
      <c r="K1824" t="s">
        <v>29</v>
      </c>
      <c r="L1824">
        <v>1</v>
      </c>
      <c r="M1824">
        <v>1</v>
      </c>
      <c r="N1824">
        <v>2.2000000000000002</v>
      </c>
      <c r="O1824">
        <v>8.1999999999999993</v>
      </c>
      <c r="P1824">
        <v>7</v>
      </c>
      <c r="Q1824">
        <v>5</v>
      </c>
      <c r="R1824">
        <v>647716</v>
      </c>
      <c r="S1824">
        <f>Table1[[#This Row],[Revenue]]-Table1[[#This Row],[Operating_Costs]]</f>
        <v>309245</v>
      </c>
      <c r="T1824">
        <v>338471</v>
      </c>
      <c r="U1824">
        <v>23</v>
      </c>
      <c r="V1824">
        <v>62</v>
      </c>
      <c r="W1824">
        <v>5.4</v>
      </c>
    </row>
    <row r="1825" spans="1:23" x14ac:dyDescent="0.25">
      <c r="A1825">
        <v>4</v>
      </c>
      <c r="B1825" t="s">
        <v>69</v>
      </c>
      <c r="C1825" s="1">
        <v>44444</v>
      </c>
      <c r="D1825" t="s">
        <v>71</v>
      </c>
      <c r="E1825">
        <v>0</v>
      </c>
      <c r="F1825">
        <v>69</v>
      </c>
      <c r="G1825" t="str">
        <f t="shared" si="36"/>
        <v>61-80</v>
      </c>
      <c r="H1825" t="s">
        <v>23</v>
      </c>
      <c r="I1825" t="s">
        <v>43</v>
      </c>
      <c r="J1825" t="s">
        <v>25</v>
      </c>
      <c r="K1825" t="s">
        <v>42</v>
      </c>
      <c r="L1825">
        <v>1</v>
      </c>
      <c r="M1825">
        <v>1</v>
      </c>
      <c r="N1825">
        <v>5</v>
      </c>
      <c r="O1825">
        <v>8.3000000000000007</v>
      </c>
      <c r="P1825">
        <v>3</v>
      </c>
      <c r="Q1825">
        <v>6</v>
      </c>
      <c r="R1825">
        <v>875193</v>
      </c>
      <c r="S1825">
        <f>Table1[[#This Row],[Revenue]]-Table1[[#This Row],[Operating_Costs]]</f>
        <v>244722</v>
      </c>
      <c r="T1825">
        <v>630471</v>
      </c>
      <c r="U1825">
        <v>48</v>
      </c>
      <c r="V1825">
        <v>63</v>
      </c>
      <c r="W1825">
        <v>10.1</v>
      </c>
    </row>
    <row r="1826" spans="1:23" x14ac:dyDescent="0.25">
      <c r="A1826">
        <v>5</v>
      </c>
      <c r="B1826" t="s">
        <v>22</v>
      </c>
      <c r="C1826" s="1">
        <v>45143</v>
      </c>
      <c r="D1826" t="s">
        <v>71</v>
      </c>
      <c r="E1826">
        <v>0</v>
      </c>
      <c r="F1826">
        <v>63</v>
      </c>
      <c r="G1826" t="str">
        <f t="shared" si="36"/>
        <v>61-80</v>
      </c>
      <c r="H1826" t="s">
        <v>23</v>
      </c>
      <c r="I1826" t="s">
        <v>50</v>
      </c>
      <c r="J1826" t="s">
        <v>51</v>
      </c>
      <c r="K1826" t="s">
        <v>38</v>
      </c>
      <c r="L1826">
        <v>1</v>
      </c>
      <c r="M1826">
        <v>1</v>
      </c>
      <c r="N1826">
        <v>3.1</v>
      </c>
      <c r="O1826">
        <v>8.1999999999999993</v>
      </c>
      <c r="P1826">
        <v>7</v>
      </c>
      <c r="Q1826">
        <v>7</v>
      </c>
      <c r="R1826">
        <v>687608</v>
      </c>
      <c r="S1826">
        <f>Table1[[#This Row],[Revenue]]-Table1[[#This Row],[Operating_Costs]]</f>
        <v>357385</v>
      </c>
      <c r="T1826">
        <v>330223</v>
      </c>
      <c r="U1826">
        <v>35</v>
      </c>
      <c r="V1826">
        <v>57</v>
      </c>
      <c r="W1826">
        <v>9.6999999999999993</v>
      </c>
    </row>
    <row r="1827" spans="1:23" x14ac:dyDescent="0.25">
      <c r="A1827">
        <v>4</v>
      </c>
      <c r="B1827" t="s">
        <v>69</v>
      </c>
      <c r="C1827" s="1">
        <v>44904</v>
      </c>
      <c r="D1827" t="s">
        <v>71</v>
      </c>
      <c r="E1827">
        <v>0</v>
      </c>
      <c r="F1827">
        <v>79</v>
      </c>
      <c r="G1827" t="str">
        <f t="shared" si="36"/>
        <v>61-80</v>
      </c>
      <c r="H1827" t="s">
        <v>23</v>
      </c>
      <c r="I1827" t="s">
        <v>24</v>
      </c>
      <c r="J1827" t="s">
        <v>25</v>
      </c>
      <c r="K1827" t="s">
        <v>38</v>
      </c>
      <c r="L1827">
        <v>1</v>
      </c>
      <c r="M1827">
        <v>1</v>
      </c>
      <c r="N1827">
        <v>2.6</v>
      </c>
      <c r="O1827">
        <v>9.6</v>
      </c>
      <c r="P1827">
        <v>6</v>
      </c>
      <c r="Q1827">
        <v>3</v>
      </c>
      <c r="R1827">
        <v>924454</v>
      </c>
      <c r="S1827">
        <f>Table1[[#This Row],[Revenue]]-Table1[[#This Row],[Operating_Costs]]</f>
        <v>383018</v>
      </c>
      <c r="T1827">
        <v>541436</v>
      </c>
      <c r="U1827">
        <v>35</v>
      </c>
      <c r="V1827">
        <v>64</v>
      </c>
      <c r="W1827">
        <v>7.4</v>
      </c>
    </row>
    <row r="1828" spans="1:23" x14ac:dyDescent="0.25">
      <c r="A1828">
        <v>4</v>
      </c>
      <c r="B1828" t="s">
        <v>69</v>
      </c>
      <c r="C1828" s="1">
        <v>44946</v>
      </c>
      <c r="D1828" t="s">
        <v>71</v>
      </c>
      <c r="E1828">
        <v>0</v>
      </c>
      <c r="F1828">
        <v>59</v>
      </c>
      <c r="G1828" t="str">
        <f t="shared" si="36"/>
        <v>41-60</v>
      </c>
      <c r="H1828" t="s">
        <v>35</v>
      </c>
      <c r="I1828" t="s">
        <v>36</v>
      </c>
      <c r="J1828" t="s">
        <v>37</v>
      </c>
      <c r="K1828" t="s">
        <v>29</v>
      </c>
      <c r="L1828">
        <v>1</v>
      </c>
      <c r="M1828">
        <v>1</v>
      </c>
      <c r="N1828">
        <v>5.7</v>
      </c>
      <c r="O1828">
        <v>8.3000000000000007</v>
      </c>
      <c r="P1828">
        <v>4</v>
      </c>
      <c r="Q1828">
        <v>7</v>
      </c>
      <c r="R1828">
        <v>873090</v>
      </c>
      <c r="S1828">
        <f>Table1[[#This Row],[Revenue]]-Table1[[#This Row],[Operating_Costs]]</f>
        <v>188188</v>
      </c>
      <c r="T1828">
        <v>684902</v>
      </c>
      <c r="U1828">
        <v>39</v>
      </c>
      <c r="V1828">
        <v>58</v>
      </c>
      <c r="W1828">
        <v>12.5</v>
      </c>
    </row>
    <row r="1829" spans="1:23" x14ac:dyDescent="0.25">
      <c r="A1829">
        <v>4</v>
      </c>
      <c r="B1829" t="s">
        <v>69</v>
      </c>
      <c r="C1829" s="1">
        <v>44679</v>
      </c>
      <c r="D1829" t="s">
        <v>71</v>
      </c>
      <c r="E1829">
        <v>0</v>
      </c>
      <c r="F1829">
        <v>29</v>
      </c>
      <c r="G1829" t="str">
        <f t="shared" si="36"/>
        <v>21-40</v>
      </c>
      <c r="H1829" t="s">
        <v>35</v>
      </c>
      <c r="I1829" t="s">
        <v>46</v>
      </c>
      <c r="J1829" t="s">
        <v>47</v>
      </c>
      <c r="K1829" t="s">
        <v>29</v>
      </c>
      <c r="L1829">
        <v>1</v>
      </c>
      <c r="M1829">
        <v>1</v>
      </c>
      <c r="N1829">
        <v>1.5</v>
      </c>
      <c r="O1829">
        <v>8.9</v>
      </c>
      <c r="P1829">
        <v>5</v>
      </c>
      <c r="Q1829">
        <v>5</v>
      </c>
      <c r="R1829">
        <v>837808</v>
      </c>
      <c r="S1829">
        <f>Table1[[#This Row],[Revenue]]-Table1[[#This Row],[Operating_Costs]]</f>
        <v>146716</v>
      </c>
      <c r="T1829">
        <v>691092</v>
      </c>
      <c r="U1829">
        <v>36</v>
      </c>
      <c r="V1829">
        <v>63</v>
      </c>
      <c r="W1829">
        <v>5.3</v>
      </c>
    </row>
    <row r="1830" spans="1:23" x14ac:dyDescent="0.25">
      <c r="A1830">
        <v>5</v>
      </c>
      <c r="B1830" t="s">
        <v>22</v>
      </c>
      <c r="C1830" s="1">
        <v>44676</v>
      </c>
      <c r="D1830" t="s">
        <v>71</v>
      </c>
      <c r="E1830">
        <v>0</v>
      </c>
      <c r="F1830">
        <v>60</v>
      </c>
      <c r="G1830" t="str">
        <f t="shared" si="36"/>
        <v>41-60</v>
      </c>
      <c r="H1830" t="s">
        <v>35</v>
      </c>
      <c r="I1830" t="s">
        <v>40</v>
      </c>
      <c r="J1830" t="s">
        <v>41</v>
      </c>
      <c r="K1830" t="s">
        <v>29</v>
      </c>
      <c r="L1830">
        <v>1</v>
      </c>
      <c r="M1830">
        <v>1</v>
      </c>
      <c r="N1830">
        <v>6.5</v>
      </c>
      <c r="O1830">
        <v>9.4</v>
      </c>
      <c r="P1830">
        <v>3</v>
      </c>
      <c r="Q1830">
        <v>6</v>
      </c>
      <c r="R1830">
        <v>887586</v>
      </c>
      <c r="S1830">
        <f>Table1[[#This Row],[Revenue]]-Table1[[#This Row],[Operating_Costs]]</f>
        <v>452247</v>
      </c>
      <c r="T1830">
        <v>435339</v>
      </c>
      <c r="U1830">
        <v>33</v>
      </c>
      <c r="V1830">
        <v>57</v>
      </c>
      <c r="W1830">
        <v>6.4</v>
      </c>
    </row>
    <row r="1831" spans="1:23" x14ac:dyDescent="0.25">
      <c r="A1831">
        <v>5</v>
      </c>
      <c r="B1831" t="s">
        <v>22</v>
      </c>
      <c r="C1831" s="1">
        <v>44302</v>
      </c>
      <c r="D1831" t="s">
        <v>71</v>
      </c>
      <c r="E1831">
        <v>0</v>
      </c>
      <c r="F1831">
        <v>88</v>
      </c>
      <c r="G1831" t="str">
        <f t="shared" si="36"/>
        <v>81+</v>
      </c>
      <c r="H1831" t="s">
        <v>35</v>
      </c>
      <c r="I1831" t="s">
        <v>46</v>
      </c>
      <c r="J1831" t="s">
        <v>47</v>
      </c>
      <c r="K1831" t="s">
        <v>42</v>
      </c>
      <c r="L1831">
        <v>1</v>
      </c>
      <c r="M1831">
        <v>1</v>
      </c>
      <c r="N1831">
        <v>4.4000000000000004</v>
      </c>
      <c r="O1831">
        <v>7.3</v>
      </c>
      <c r="P1831">
        <v>5</v>
      </c>
      <c r="Q1831">
        <v>3</v>
      </c>
      <c r="R1831">
        <v>929755</v>
      </c>
      <c r="S1831">
        <f>Table1[[#This Row],[Revenue]]-Table1[[#This Row],[Operating_Costs]]</f>
        <v>467993</v>
      </c>
      <c r="T1831">
        <v>461762</v>
      </c>
      <c r="U1831">
        <v>24</v>
      </c>
      <c r="V1831">
        <v>54</v>
      </c>
      <c r="W1831">
        <v>7.8</v>
      </c>
    </row>
    <row r="1832" spans="1:23" x14ac:dyDescent="0.25">
      <c r="A1832">
        <v>5</v>
      </c>
      <c r="B1832" t="s">
        <v>22</v>
      </c>
      <c r="C1832" s="1">
        <v>44350</v>
      </c>
      <c r="D1832" t="s">
        <v>71</v>
      </c>
      <c r="E1832">
        <v>0</v>
      </c>
      <c r="F1832">
        <v>71</v>
      </c>
      <c r="G1832" t="str">
        <f t="shared" si="36"/>
        <v>61-80</v>
      </c>
      <c r="H1832" t="s">
        <v>35</v>
      </c>
      <c r="I1832" t="s">
        <v>58</v>
      </c>
      <c r="J1832" t="s">
        <v>59</v>
      </c>
      <c r="K1832" t="s">
        <v>38</v>
      </c>
      <c r="L1832">
        <v>1</v>
      </c>
      <c r="M1832">
        <v>1</v>
      </c>
      <c r="N1832">
        <v>2.5</v>
      </c>
      <c r="O1832">
        <v>9</v>
      </c>
      <c r="P1832">
        <v>3</v>
      </c>
      <c r="Q1832">
        <v>5</v>
      </c>
      <c r="R1832">
        <v>863595</v>
      </c>
      <c r="S1832">
        <f>Table1[[#This Row],[Revenue]]-Table1[[#This Row],[Operating_Costs]]</f>
        <v>586881</v>
      </c>
      <c r="T1832">
        <v>276714</v>
      </c>
      <c r="U1832">
        <v>25</v>
      </c>
      <c r="V1832">
        <v>57</v>
      </c>
      <c r="W1832">
        <v>10.9</v>
      </c>
    </row>
    <row r="1833" spans="1:23" x14ac:dyDescent="0.25">
      <c r="A1833">
        <v>5</v>
      </c>
      <c r="B1833" t="s">
        <v>22</v>
      </c>
      <c r="C1833" s="1">
        <v>44983</v>
      </c>
      <c r="D1833" t="s">
        <v>71</v>
      </c>
      <c r="E1833">
        <v>0</v>
      </c>
      <c r="F1833">
        <v>43</v>
      </c>
      <c r="G1833" t="str">
        <f t="shared" si="36"/>
        <v>41-60</v>
      </c>
      <c r="H1833" t="s">
        <v>23</v>
      </c>
      <c r="I1833" t="s">
        <v>40</v>
      </c>
      <c r="J1833" t="s">
        <v>41</v>
      </c>
      <c r="K1833" t="s">
        <v>26</v>
      </c>
      <c r="L1833">
        <v>1</v>
      </c>
      <c r="M1833">
        <v>1</v>
      </c>
      <c r="N1833">
        <v>3.8</v>
      </c>
      <c r="O1833">
        <v>7.4</v>
      </c>
      <c r="P1833">
        <v>5</v>
      </c>
      <c r="Q1833">
        <v>5</v>
      </c>
      <c r="R1833">
        <v>798509</v>
      </c>
      <c r="S1833">
        <f>Table1[[#This Row],[Revenue]]-Table1[[#This Row],[Operating_Costs]]</f>
        <v>580240</v>
      </c>
      <c r="T1833">
        <v>218269</v>
      </c>
      <c r="U1833">
        <v>35</v>
      </c>
      <c r="V1833">
        <v>55</v>
      </c>
      <c r="W1833">
        <v>6.7</v>
      </c>
    </row>
    <row r="1834" spans="1:23" x14ac:dyDescent="0.25">
      <c r="A1834">
        <v>4</v>
      </c>
      <c r="B1834" t="s">
        <v>69</v>
      </c>
      <c r="C1834" s="1">
        <v>44451</v>
      </c>
      <c r="D1834" t="s">
        <v>71</v>
      </c>
      <c r="E1834">
        <v>0</v>
      </c>
      <c r="F1834">
        <v>70</v>
      </c>
      <c r="G1834" t="str">
        <f t="shared" si="36"/>
        <v>61-80</v>
      </c>
      <c r="H1834" t="s">
        <v>35</v>
      </c>
      <c r="I1834" t="s">
        <v>64</v>
      </c>
      <c r="J1834" t="s">
        <v>65</v>
      </c>
      <c r="K1834" t="s">
        <v>29</v>
      </c>
      <c r="L1834">
        <v>1</v>
      </c>
      <c r="M1834">
        <v>1</v>
      </c>
      <c r="N1834">
        <v>6</v>
      </c>
      <c r="O1834">
        <v>7.8</v>
      </c>
      <c r="P1834">
        <v>4</v>
      </c>
      <c r="Q1834">
        <v>4</v>
      </c>
      <c r="R1834">
        <v>833608</v>
      </c>
      <c r="S1834">
        <f>Table1[[#This Row],[Revenue]]-Table1[[#This Row],[Operating_Costs]]</f>
        <v>197589</v>
      </c>
      <c r="T1834">
        <v>636019</v>
      </c>
      <c r="U1834">
        <v>59</v>
      </c>
      <c r="V1834">
        <v>65</v>
      </c>
      <c r="W1834">
        <v>5.6</v>
      </c>
    </row>
    <row r="1835" spans="1:23" x14ac:dyDescent="0.25">
      <c r="A1835">
        <v>5</v>
      </c>
      <c r="B1835" t="s">
        <v>22</v>
      </c>
      <c r="C1835" s="1">
        <v>44448</v>
      </c>
      <c r="D1835" t="s">
        <v>71</v>
      </c>
      <c r="E1835">
        <v>0</v>
      </c>
      <c r="F1835">
        <v>88</v>
      </c>
      <c r="G1835" t="str">
        <f t="shared" si="36"/>
        <v>81+</v>
      </c>
      <c r="H1835" t="s">
        <v>23</v>
      </c>
      <c r="I1835" t="s">
        <v>40</v>
      </c>
      <c r="J1835" t="s">
        <v>41</v>
      </c>
      <c r="K1835" t="s">
        <v>42</v>
      </c>
      <c r="L1835">
        <v>1</v>
      </c>
      <c r="M1835">
        <v>1</v>
      </c>
      <c r="N1835">
        <v>5.0999999999999996</v>
      </c>
      <c r="O1835">
        <v>9.3000000000000007</v>
      </c>
      <c r="P1835">
        <v>5</v>
      </c>
      <c r="Q1835">
        <v>6</v>
      </c>
      <c r="R1835">
        <v>809618</v>
      </c>
      <c r="S1835">
        <f>Table1[[#This Row],[Revenue]]-Table1[[#This Row],[Operating_Costs]]</f>
        <v>561556</v>
      </c>
      <c r="T1835">
        <v>248062</v>
      </c>
      <c r="U1835">
        <v>22</v>
      </c>
      <c r="V1835">
        <v>66</v>
      </c>
      <c r="W1835">
        <v>6.8</v>
      </c>
    </row>
    <row r="1836" spans="1:23" x14ac:dyDescent="0.25">
      <c r="A1836">
        <v>5</v>
      </c>
      <c r="B1836" t="s">
        <v>22</v>
      </c>
      <c r="C1836" s="1">
        <v>45265</v>
      </c>
      <c r="D1836" t="s">
        <v>71</v>
      </c>
      <c r="E1836">
        <v>0</v>
      </c>
      <c r="F1836">
        <v>75</v>
      </c>
      <c r="G1836" t="str">
        <f t="shared" si="36"/>
        <v>61-80</v>
      </c>
      <c r="H1836" t="s">
        <v>35</v>
      </c>
      <c r="I1836" t="s">
        <v>50</v>
      </c>
      <c r="J1836" t="s">
        <v>51</v>
      </c>
      <c r="K1836" t="s">
        <v>29</v>
      </c>
      <c r="L1836">
        <v>1</v>
      </c>
      <c r="M1836">
        <v>1</v>
      </c>
      <c r="N1836">
        <v>4.9000000000000004</v>
      </c>
      <c r="O1836">
        <v>9</v>
      </c>
      <c r="P1836">
        <v>7</v>
      </c>
      <c r="Q1836">
        <v>5</v>
      </c>
      <c r="R1836">
        <v>918471</v>
      </c>
      <c r="S1836">
        <f>Table1[[#This Row],[Revenue]]-Table1[[#This Row],[Operating_Costs]]</f>
        <v>650109</v>
      </c>
      <c r="T1836">
        <v>268362</v>
      </c>
      <c r="U1836">
        <v>20</v>
      </c>
      <c r="V1836">
        <v>59</v>
      </c>
      <c r="W1836">
        <v>10.4</v>
      </c>
    </row>
    <row r="1837" spans="1:23" x14ac:dyDescent="0.25">
      <c r="A1837">
        <v>5</v>
      </c>
      <c r="B1837" t="s">
        <v>22</v>
      </c>
      <c r="C1837" s="1">
        <v>44566</v>
      </c>
      <c r="D1837" t="s">
        <v>71</v>
      </c>
      <c r="E1837">
        <v>0</v>
      </c>
      <c r="F1837">
        <v>41</v>
      </c>
      <c r="G1837" t="str">
        <f t="shared" si="36"/>
        <v>41-60</v>
      </c>
      <c r="H1837" t="s">
        <v>23</v>
      </c>
      <c r="I1837" t="s">
        <v>24</v>
      </c>
      <c r="J1837" t="s">
        <v>25</v>
      </c>
      <c r="K1837" t="s">
        <v>26</v>
      </c>
      <c r="L1837">
        <v>1</v>
      </c>
      <c r="M1837">
        <v>1</v>
      </c>
      <c r="N1837">
        <v>4.5</v>
      </c>
      <c r="O1837">
        <v>9.1</v>
      </c>
      <c r="P1837">
        <v>5</v>
      </c>
      <c r="Q1837">
        <v>7</v>
      </c>
      <c r="R1837">
        <v>824619</v>
      </c>
      <c r="S1837">
        <f>Table1[[#This Row],[Revenue]]-Table1[[#This Row],[Operating_Costs]]</f>
        <v>387988</v>
      </c>
      <c r="T1837">
        <v>436631</v>
      </c>
      <c r="U1837">
        <v>27</v>
      </c>
      <c r="V1837">
        <v>63</v>
      </c>
      <c r="W1837">
        <v>5.3</v>
      </c>
    </row>
    <row r="1838" spans="1:23" x14ac:dyDescent="0.25">
      <c r="A1838">
        <v>5</v>
      </c>
      <c r="B1838" t="s">
        <v>22</v>
      </c>
      <c r="C1838" s="1">
        <v>45179</v>
      </c>
      <c r="D1838" t="s">
        <v>71</v>
      </c>
      <c r="E1838">
        <v>0</v>
      </c>
      <c r="F1838">
        <v>85</v>
      </c>
      <c r="G1838" t="str">
        <f t="shared" si="36"/>
        <v>81+</v>
      </c>
      <c r="H1838" t="s">
        <v>23</v>
      </c>
      <c r="I1838" t="s">
        <v>27</v>
      </c>
      <c r="J1838" t="s">
        <v>28</v>
      </c>
      <c r="K1838" t="s">
        <v>38</v>
      </c>
      <c r="L1838">
        <v>1</v>
      </c>
      <c r="M1838">
        <v>1</v>
      </c>
      <c r="N1838">
        <v>2</v>
      </c>
      <c r="O1838">
        <v>7.6</v>
      </c>
      <c r="P1838">
        <v>4</v>
      </c>
      <c r="Q1838">
        <v>4</v>
      </c>
      <c r="R1838">
        <v>862345</v>
      </c>
      <c r="S1838">
        <f>Table1[[#This Row],[Revenue]]-Table1[[#This Row],[Operating_Costs]]</f>
        <v>577711</v>
      </c>
      <c r="T1838">
        <v>284634</v>
      </c>
      <c r="U1838">
        <v>21</v>
      </c>
      <c r="V1838">
        <v>62</v>
      </c>
      <c r="W1838">
        <v>14.1</v>
      </c>
    </row>
    <row r="1839" spans="1:23" x14ac:dyDescent="0.25">
      <c r="A1839">
        <v>4</v>
      </c>
      <c r="B1839" t="s">
        <v>69</v>
      </c>
      <c r="C1839" s="1">
        <v>44297</v>
      </c>
      <c r="D1839" t="s">
        <v>71</v>
      </c>
      <c r="E1839">
        <v>0</v>
      </c>
      <c r="F1839">
        <v>72</v>
      </c>
      <c r="G1839" t="str">
        <f t="shared" si="36"/>
        <v>61-80</v>
      </c>
      <c r="H1839" t="s">
        <v>35</v>
      </c>
      <c r="I1839" t="s">
        <v>46</v>
      </c>
      <c r="J1839" t="s">
        <v>47</v>
      </c>
      <c r="K1839" t="s">
        <v>38</v>
      </c>
      <c r="L1839">
        <v>1</v>
      </c>
      <c r="M1839">
        <v>1</v>
      </c>
      <c r="N1839">
        <v>5.3</v>
      </c>
      <c r="O1839">
        <v>9.8000000000000007</v>
      </c>
      <c r="P1839">
        <v>4</v>
      </c>
      <c r="Q1839">
        <v>4</v>
      </c>
      <c r="R1839">
        <v>917792</v>
      </c>
      <c r="S1839">
        <f>Table1[[#This Row],[Revenue]]-Table1[[#This Row],[Operating_Costs]]</f>
        <v>220767</v>
      </c>
      <c r="T1839">
        <v>697025</v>
      </c>
      <c r="U1839">
        <v>37</v>
      </c>
      <c r="V1839">
        <v>55</v>
      </c>
      <c r="W1839">
        <v>6.7</v>
      </c>
    </row>
    <row r="1840" spans="1:23" x14ac:dyDescent="0.25">
      <c r="A1840">
        <v>5</v>
      </c>
      <c r="B1840" t="s">
        <v>22</v>
      </c>
      <c r="C1840" s="1">
        <v>44855</v>
      </c>
      <c r="D1840" t="s">
        <v>71</v>
      </c>
      <c r="E1840">
        <v>0</v>
      </c>
      <c r="F1840">
        <v>62</v>
      </c>
      <c r="G1840" t="str">
        <f t="shared" si="36"/>
        <v>61-80</v>
      </c>
      <c r="H1840" t="s">
        <v>23</v>
      </c>
      <c r="I1840" t="s">
        <v>43</v>
      </c>
      <c r="J1840" t="s">
        <v>25</v>
      </c>
      <c r="K1840" t="s">
        <v>38</v>
      </c>
      <c r="L1840">
        <v>1</v>
      </c>
      <c r="M1840">
        <v>1</v>
      </c>
      <c r="N1840">
        <v>6.8</v>
      </c>
      <c r="O1840">
        <v>7.5</v>
      </c>
      <c r="P1840">
        <v>7</v>
      </c>
      <c r="Q1840">
        <v>7</v>
      </c>
      <c r="R1840">
        <v>916644</v>
      </c>
      <c r="S1840">
        <f>Table1[[#This Row],[Revenue]]-Table1[[#This Row],[Operating_Costs]]</f>
        <v>514585</v>
      </c>
      <c r="T1840">
        <v>402059</v>
      </c>
      <c r="U1840">
        <v>32</v>
      </c>
      <c r="V1840">
        <v>61</v>
      </c>
      <c r="W1840">
        <v>6.3</v>
      </c>
    </row>
    <row r="1841" spans="1:23" x14ac:dyDescent="0.25">
      <c r="A1841">
        <v>5</v>
      </c>
      <c r="B1841" t="s">
        <v>22</v>
      </c>
      <c r="C1841" s="1">
        <v>45647</v>
      </c>
      <c r="D1841" t="s">
        <v>71</v>
      </c>
      <c r="E1841">
        <v>0</v>
      </c>
      <c r="F1841">
        <v>40</v>
      </c>
      <c r="G1841" t="str">
        <f t="shared" si="36"/>
        <v>21-40</v>
      </c>
      <c r="H1841" t="s">
        <v>35</v>
      </c>
      <c r="I1841" t="s">
        <v>31</v>
      </c>
      <c r="J1841" t="s">
        <v>28</v>
      </c>
      <c r="K1841" t="s">
        <v>42</v>
      </c>
      <c r="L1841">
        <v>1</v>
      </c>
      <c r="M1841">
        <v>1</v>
      </c>
      <c r="N1841">
        <v>4.2</v>
      </c>
      <c r="O1841">
        <v>9.1</v>
      </c>
      <c r="P1841">
        <v>3</v>
      </c>
      <c r="Q1841">
        <v>5</v>
      </c>
      <c r="R1841">
        <v>839162</v>
      </c>
      <c r="S1841">
        <f>Table1[[#This Row],[Revenue]]-Table1[[#This Row],[Operating_Costs]]</f>
        <v>545885</v>
      </c>
      <c r="T1841">
        <v>293277</v>
      </c>
      <c r="U1841">
        <v>30</v>
      </c>
      <c r="V1841">
        <v>58</v>
      </c>
      <c r="W1841">
        <v>10.3</v>
      </c>
    </row>
    <row r="1842" spans="1:23" x14ac:dyDescent="0.25">
      <c r="A1842">
        <v>5</v>
      </c>
      <c r="B1842" t="s">
        <v>22</v>
      </c>
      <c r="C1842" s="1">
        <v>44929</v>
      </c>
      <c r="D1842" t="s">
        <v>71</v>
      </c>
      <c r="E1842">
        <v>0</v>
      </c>
      <c r="F1842">
        <v>67</v>
      </c>
      <c r="G1842" t="str">
        <f t="shared" si="36"/>
        <v>61-80</v>
      </c>
      <c r="H1842" t="s">
        <v>23</v>
      </c>
      <c r="I1842" t="s">
        <v>43</v>
      </c>
      <c r="J1842" t="s">
        <v>25</v>
      </c>
      <c r="K1842" t="s">
        <v>42</v>
      </c>
      <c r="L1842">
        <v>1</v>
      </c>
      <c r="M1842">
        <v>1</v>
      </c>
      <c r="N1842">
        <v>1.5</v>
      </c>
      <c r="O1842">
        <v>9.6</v>
      </c>
      <c r="P1842">
        <v>5</v>
      </c>
      <c r="Q1842">
        <v>4</v>
      </c>
      <c r="R1842">
        <v>637906</v>
      </c>
      <c r="S1842">
        <f>Table1[[#This Row],[Revenue]]-Table1[[#This Row],[Operating_Costs]]</f>
        <v>287385</v>
      </c>
      <c r="T1842">
        <v>350521</v>
      </c>
      <c r="U1842">
        <v>32</v>
      </c>
      <c r="V1842">
        <v>62</v>
      </c>
      <c r="W1842">
        <v>7</v>
      </c>
    </row>
    <row r="1843" spans="1:23" x14ac:dyDescent="0.25">
      <c r="A1843">
        <v>5</v>
      </c>
      <c r="B1843" t="s">
        <v>22</v>
      </c>
      <c r="C1843" s="1">
        <v>45458</v>
      </c>
      <c r="D1843" t="s">
        <v>71</v>
      </c>
      <c r="E1843">
        <v>0</v>
      </c>
      <c r="F1843">
        <v>34</v>
      </c>
      <c r="G1843" t="str">
        <f t="shared" si="36"/>
        <v>21-40</v>
      </c>
      <c r="H1843" t="s">
        <v>23</v>
      </c>
      <c r="I1843" t="s">
        <v>24</v>
      </c>
      <c r="J1843" t="s">
        <v>25</v>
      </c>
      <c r="K1843" t="s">
        <v>38</v>
      </c>
      <c r="L1843">
        <v>1</v>
      </c>
      <c r="M1843">
        <v>1</v>
      </c>
      <c r="N1843">
        <v>5.2</v>
      </c>
      <c r="O1843">
        <v>9</v>
      </c>
      <c r="P1843">
        <v>7</v>
      </c>
      <c r="Q1843">
        <v>3</v>
      </c>
      <c r="R1843">
        <v>622845</v>
      </c>
      <c r="S1843">
        <f>Table1[[#This Row],[Revenue]]-Table1[[#This Row],[Operating_Costs]]</f>
        <v>369506</v>
      </c>
      <c r="T1843">
        <v>253339</v>
      </c>
      <c r="U1843">
        <v>25</v>
      </c>
      <c r="V1843">
        <v>62</v>
      </c>
      <c r="W1843">
        <v>6.8</v>
      </c>
    </row>
    <row r="1844" spans="1:23" x14ac:dyDescent="0.25">
      <c r="A1844">
        <v>5</v>
      </c>
      <c r="B1844" t="s">
        <v>22</v>
      </c>
      <c r="C1844" s="1">
        <v>44741</v>
      </c>
      <c r="D1844" t="s">
        <v>71</v>
      </c>
      <c r="E1844">
        <v>0</v>
      </c>
      <c r="F1844">
        <v>66</v>
      </c>
      <c r="G1844" t="str">
        <f t="shared" si="36"/>
        <v>61-80</v>
      </c>
      <c r="H1844" t="s">
        <v>23</v>
      </c>
      <c r="I1844" t="s">
        <v>46</v>
      </c>
      <c r="J1844" t="s">
        <v>47</v>
      </c>
      <c r="K1844" t="s">
        <v>42</v>
      </c>
      <c r="L1844">
        <v>1</v>
      </c>
      <c r="M1844">
        <v>1</v>
      </c>
      <c r="N1844">
        <v>2.7</v>
      </c>
      <c r="O1844">
        <v>8</v>
      </c>
      <c r="P1844">
        <v>5</v>
      </c>
      <c r="Q1844">
        <v>7</v>
      </c>
      <c r="R1844">
        <v>959570</v>
      </c>
      <c r="S1844">
        <f>Table1[[#This Row],[Revenue]]-Table1[[#This Row],[Operating_Costs]]</f>
        <v>611556</v>
      </c>
      <c r="T1844">
        <v>348014</v>
      </c>
      <c r="U1844">
        <v>22</v>
      </c>
      <c r="V1844">
        <v>61</v>
      </c>
      <c r="W1844">
        <v>13</v>
      </c>
    </row>
    <row r="1845" spans="1:23" x14ac:dyDescent="0.25">
      <c r="A1845">
        <v>5</v>
      </c>
      <c r="B1845" t="s">
        <v>22</v>
      </c>
      <c r="C1845" s="1">
        <v>44997</v>
      </c>
      <c r="D1845" t="s">
        <v>71</v>
      </c>
      <c r="E1845">
        <v>0</v>
      </c>
      <c r="F1845">
        <v>67</v>
      </c>
      <c r="G1845" t="str">
        <f t="shared" si="36"/>
        <v>61-80</v>
      </c>
      <c r="H1845" t="s">
        <v>35</v>
      </c>
      <c r="I1845" t="s">
        <v>31</v>
      </c>
      <c r="J1845" t="s">
        <v>28</v>
      </c>
      <c r="K1845" t="s">
        <v>42</v>
      </c>
      <c r="L1845">
        <v>1</v>
      </c>
      <c r="M1845">
        <v>1</v>
      </c>
      <c r="N1845">
        <v>3.6</v>
      </c>
      <c r="O1845">
        <v>8.1999999999999993</v>
      </c>
      <c r="P1845">
        <v>3</v>
      </c>
      <c r="Q1845">
        <v>7</v>
      </c>
      <c r="R1845">
        <v>936214</v>
      </c>
      <c r="S1845">
        <f>Table1[[#This Row],[Revenue]]-Table1[[#This Row],[Operating_Costs]]</f>
        <v>499925</v>
      </c>
      <c r="T1845">
        <v>436289</v>
      </c>
      <c r="U1845">
        <v>35</v>
      </c>
      <c r="V1845">
        <v>58</v>
      </c>
      <c r="W1845">
        <v>13.4</v>
      </c>
    </row>
    <row r="1846" spans="1:23" x14ac:dyDescent="0.25">
      <c r="A1846">
        <v>5</v>
      </c>
      <c r="B1846" t="s">
        <v>22</v>
      </c>
      <c r="C1846" s="1">
        <v>45512</v>
      </c>
      <c r="D1846" t="s">
        <v>71</v>
      </c>
      <c r="E1846">
        <v>0</v>
      </c>
      <c r="F1846">
        <v>43</v>
      </c>
      <c r="G1846" t="str">
        <f t="shared" si="36"/>
        <v>41-60</v>
      </c>
      <c r="H1846" t="s">
        <v>35</v>
      </c>
      <c r="I1846" t="s">
        <v>36</v>
      </c>
      <c r="J1846" t="s">
        <v>37</v>
      </c>
      <c r="K1846" t="s">
        <v>42</v>
      </c>
      <c r="L1846">
        <v>1</v>
      </c>
      <c r="M1846">
        <v>1</v>
      </c>
      <c r="N1846">
        <v>6.5</v>
      </c>
      <c r="O1846">
        <v>8.4</v>
      </c>
      <c r="P1846">
        <v>6</v>
      </c>
      <c r="Q1846">
        <v>5</v>
      </c>
      <c r="R1846">
        <v>954960</v>
      </c>
      <c r="S1846">
        <f>Table1[[#This Row],[Revenue]]-Table1[[#This Row],[Operating_Costs]]</f>
        <v>570518</v>
      </c>
      <c r="T1846">
        <v>384442</v>
      </c>
      <c r="U1846">
        <v>40</v>
      </c>
      <c r="V1846">
        <v>62</v>
      </c>
      <c r="W1846">
        <v>36.200000000000003</v>
      </c>
    </row>
    <row r="1847" spans="1:23" x14ac:dyDescent="0.25">
      <c r="A1847">
        <v>5</v>
      </c>
      <c r="B1847" t="s">
        <v>22</v>
      </c>
      <c r="C1847" s="1">
        <v>45072</v>
      </c>
      <c r="D1847" t="s">
        <v>71</v>
      </c>
      <c r="E1847">
        <v>0</v>
      </c>
      <c r="F1847">
        <v>45</v>
      </c>
      <c r="G1847" t="str">
        <f t="shared" si="36"/>
        <v>41-60</v>
      </c>
      <c r="H1847" t="s">
        <v>35</v>
      </c>
      <c r="I1847" t="s">
        <v>50</v>
      </c>
      <c r="J1847" t="s">
        <v>51</v>
      </c>
      <c r="K1847" t="s">
        <v>33</v>
      </c>
      <c r="L1847">
        <v>1</v>
      </c>
      <c r="M1847">
        <v>1</v>
      </c>
      <c r="N1847">
        <v>4</v>
      </c>
      <c r="O1847">
        <v>8.8000000000000007</v>
      </c>
      <c r="P1847">
        <v>3</v>
      </c>
      <c r="Q1847">
        <v>4</v>
      </c>
      <c r="R1847">
        <v>810941</v>
      </c>
      <c r="S1847">
        <f>Table1[[#This Row],[Revenue]]-Table1[[#This Row],[Operating_Costs]]</f>
        <v>376147</v>
      </c>
      <c r="T1847">
        <v>434794</v>
      </c>
      <c r="U1847">
        <v>21</v>
      </c>
      <c r="V1847">
        <v>62</v>
      </c>
      <c r="W1847">
        <v>13.4</v>
      </c>
    </row>
    <row r="1848" spans="1:23" x14ac:dyDescent="0.25">
      <c r="A1848">
        <v>5</v>
      </c>
      <c r="B1848" t="s">
        <v>22</v>
      </c>
      <c r="C1848" s="1">
        <v>45033</v>
      </c>
      <c r="D1848" t="s">
        <v>71</v>
      </c>
      <c r="E1848">
        <v>0</v>
      </c>
      <c r="F1848">
        <v>47</v>
      </c>
      <c r="G1848" t="str">
        <f t="shared" si="36"/>
        <v>41-60</v>
      </c>
      <c r="H1848" t="s">
        <v>23</v>
      </c>
      <c r="I1848" t="s">
        <v>43</v>
      </c>
      <c r="J1848" t="s">
        <v>25</v>
      </c>
      <c r="K1848" t="s">
        <v>29</v>
      </c>
      <c r="L1848">
        <v>1</v>
      </c>
      <c r="M1848">
        <v>1</v>
      </c>
      <c r="N1848">
        <v>4.3</v>
      </c>
      <c r="O1848">
        <v>9.1999999999999993</v>
      </c>
      <c r="P1848">
        <v>4</v>
      </c>
      <c r="Q1848">
        <v>4</v>
      </c>
      <c r="R1848">
        <v>861017</v>
      </c>
      <c r="S1848">
        <f>Table1[[#This Row],[Revenue]]-Table1[[#This Row],[Operating_Costs]]</f>
        <v>600777</v>
      </c>
      <c r="T1848">
        <v>260240</v>
      </c>
      <c r="U1848">
        <v>40</v>
      </c>
      <c r="V1848">
        <v>61</v>
      </c>
      <c r="W1848">
        <v>36.9</v>
      </c>
    </row>
    <row r="1849" spans="1:23" x14ac:dyDescent="0.25">
      <c r="A1849">
        <v>5</v>
      </c>
      <c r="B1849" t="s">
        <v>22</v>
      </c>
      <c r="C1849" s="1">
        <v>45533</v>
      </c>
      <c r="D1849" t="s">
        <v>71</v>
      </c>
      <c r="E1849">
        <v>0</v>
      </c>
      <c r="F1849">
        <v>80</v>
      </c>
      <c r="G1849" t="str">
        <f t="shared" si="36"/>
        <v>61-80</v>
      </c>
      <c r="H1849" t="s">
        <v>23</v>
      </c>
      <c r="I1849" t="s">
        <v>24</v>
      </c>
      <c r="J1849" t="s">
        <v>25</v>
      </c>
      <c r="K1849" t="s">
        <v>29</v>
      </c>
      <c r="L1849">
        <v>1</v>
      </c>
      <c r="M1849">
        <v>1</v>
      </c>
      <c r="N1849">
        <v>5</v>
      </c>
      <c r="O1849">
        <v>8</v>
      </c>
      <c r="P1849">
        <v>5</v>
      </c>
      <c r="Q1849">
        <v>7</v>
      </c>
      <c r="R1849">
        <v>732351</v>
      </c>
      <c r="S1849">
        <f>Table1[[#This Row],[Revenue]]-Table1[[#This Row],[Operating_Costs]]</f>
        <v>415528</v>
      </c>
      <c r="T1849">
        <v>316823</v>
      </c>
      <c r="U1849">
        <v>28</v>
      </c>
      <c r="V1849">
        <v>57</v>
      </c>
      <c r="W1849">
        <v>8.1</v>
      </c>
    </row>
    <row r="1850" spans="1:23" x14ac:dyDescent="0.25">
      <c r="A1850">
        <v>5</v>
      </c>
      <c r="B1850" t="s">
        <v>22</v>
      </c>
      <c r="C1850" s="1">
        <v>45436</v>
      </c>
      <c r="D1850" t="s">
        <v>71</v>
      </c>
      <c r="E1850">
        <v>0</v>
      </c>
      <c r="F1850">
        <v>75</v>
      </c>
      <c r="G1850" t="str">
        <f t="shared" si="36"/>
        <v>61-80</v>
      </c>
      <c r="H1850" t="s">
        <v>23</v>
      </c>
      <c r="I1850" t="s">
        <v>31</v>
      </c>
      <c r="J1850" t="s">
        <v>28</v>
      </c>
      <c r="K1850" t="s">
        <v>29</v>
      </c>
      <c r="L1850">
        <v>1</v>
      </c>
      <c r="M1850">
        <v>1</v>
      </c>
      <c r="N1850">
        <v>5.3</v>
      </c>
      <c r="O1850">
        <v>7.1</v>
      </c>
      <c r="P1850">
        <v>3</v>
      </c>
      <c r="Q1850">
        <v>4</v>
      </c>
      <c r="R1850">
        <v>708252</v>
      </c>
      <c r="S1850">
        <f>Table1[[#This Row],[Revenue]]-Table1[[#This Row],[Operating_Costs]]</f>
        <v>294045</v>
      </c>
      <c r="T1850">
        <v>414207</v>
      </c>
      <c r="U1850">
        <v>25</v>
      </c>
      <c r="V1850">
        <v>60</v>
      </c>
      <c r="W1850">
        <v>5.6</v>
      </c>
    </row>
    <row r="1851" spans="1:23" x14ac:dyDescent="0.25">
      <c r="A1851">
        <v>5</v>
      </c>
      <c r="B1851" t="s">
        <v>22</v>
      </c>
      <c r="C1851" s="1">
        <v>44221</v>
      </c>
      <c r="D1851" t="s">
        <v>71</v>
      </c>
      <c r="E1851">
        <v>0</v>
      </c>
      <c r="F1851">
        <v>87</v>
      </c>
      <c r="G1851" t="str">
        <f t="shared" si="36"/>
        <v>81+</v>
      </c>
      <c r="H1851" t="s">
        <v>35</v>
      </c>
      <c r="I1851" t="s">
        <v>46</v>
      </c>
      <c r="J1851" t="s">
        <v>47</v>
      </c>
      <c r="K1851" t="s">
        <v>38</v>
      </c>
      <c r="L1851">
        <v>1</v>
      </c>
      <c r="M1851">
        <v>1</v>
      </c>
      <c r="N1851">
        <v>5.9</v>
      </c>
      <c r="O1851">
        <v>9.6999999999999993</v>
      </c>
      <c r="P1851">
        <v>6</v>
      </c>
      <c r="Q1851">
        <v>6</v>
      </c>
      <c r="R1851">
        <v>853072</v>
      </c>
      <c r="S1851">
        <f>Table1[[#This Row],[Revenue]]-Table1[[#This Row],[Operating_Costs]]</f>
        <v>536902</v>
      </c>
      <c r="T1851">
        <v>316170</v>
      </c>
      <c r="U1851">
        <v>39</v>
      </c>
      <c r="V1851">
        <v>56</v>
      </c>
      <c r="W1851">
        <v>9.1</v>
      </c>
    </row>
    <row r="1852" spans="1:23" x14ac:dyDescent="0.25">
      <c r="A1852">
        <v>5</v>
      </c>
      <c r="B1852" t="s">
        <v>22</v>
      </c>
      <c r="C1852" s="1">
        <v>45086</v>
      </c>
      <c r="D1852" t="s">
        <v>71</v>
      </c>
      <c r="E1852">
        <v>0</v>
      </c>
      <c r="F1852">
        <v>27</v>
      </c>
      <c r="G1852" t="str">
        <f t="shared" si="36"/>
        <v>21-40</v>
      </c>
      <c r="H1852" t="s">
        <v>35</v>
      </c>
      <c r="I1852" t="s">
        <v>40</v>
      </c>
      <c r="J1852" t="s">
        <v>41</v>
      </c>
      <c r="K1852" t="s">
        <v>42</v>
      </c>
      <c r="L1852">
        <v>1</v>
      </c>
      <c r="M1852">
        <v>1</v>
      </c>
      <c r="N1852">
        <v>1.3</v>
      </c>
      <c r="O1852">
        <v>7.5</v>
      </c>
      <c r="P1852">
        <v>3</v>
      </c>
      <c r="Q1852">
        <v>7</v>
      </c>
      <c r="R1852">
        <v>793678</v>
      </c>
      <c r="S1852">
        <f>Table1[[#This Row],[Revenue]]-Table1[[#This Row],[Operating_Costs]]</f>
        <v>452968</v>
      </c>
      <c r="T1852">
        <v>340710</v>
      </c>
      <c r="U1852">
        <v>30</v>
      </c>
      <c r="V1852">
        <v>65</v>
      </c>
      <c r="W1852">
        <v>5.0999999999999996</v>
      </c>
    </row>
    <row r="1853" spans="1:23" x14ac:dyDescent="0.25">
      <c r="A1853">
        <v>5</v>
      </c>
      <c r="B1853" t="s">
        <v>22</v>
      </c>
      <c r="C1853" s="1">
        <v>44242</v>
      </c>
      <c r="D1853" t="s">
        <v>71</v>
      </c>
      <c r="E1853">
        <v>0</v>
      </c>
      <c r="F1853">
        <v>81</v>
      </c>
      <c r="G1853" t="str">
        <f t="shared" si="36"/>
        <v>81+</v>
      </c>
      <c r="H1853" t="s">
        <v>35</v>
      </c>
      <c r="I1853" t="s">
        <v>31</v>
      </c>
      <c r="J1853" t="s">
        <v>28</v>
      </c>
      <c r="K1853" t="s">
        <v>42</v>
      </c>
      <c r="L1853">
        <v>1</v>
      </c>
      <c r="M1853">
        <v>1</v>
      </c>
      <c r="N1853">
        <v>5.6</v>
      </c>
      <c r="O1853">
        <v>9.9</v>
      </c>
      <c r="P1853">
        <v>6</v>
      </c>
      <c r="Q1853">
        <v>7</v>
      </c>
      <c r="R1853">
        <v>935656</v>
      </c>
      <c r="S1853">
        <f>Table1[[#This Row],[Revenue]]-Table1[[#This Row],[Operating_Costs]]</f>
        <v>714228</v>
      </c>
      <c r="T1853">
        <v>221428</v>
      </c>
      <c r="U1853">
        <v>25</v>
      </c>
      <c r="V1853">
        <v>61</v>
      </c>
      <c r="W1853">
        <v>12.9</v>
      </c>
    </row>
    <row r="1854" spans="1:23" x14ac:dyDescent="0.25">
      <c r="A1854">
        <v>5</v>
      </c>
      <c r="B1854" t="s">
        <v>22</v>
      </c>
      <c r="C1854" s="1">
        <v>45383</v>
      </c>
      <c r="D1854" t="s">
        <v>71</v>
      </c>
      <c r="E1854">
        <v>0</v>
      </c>
      <c r="F1854">
        <v>25</v>
      </c>
      <c r="G1854" t="str">
        <f t="shared" si="36"/>
        <v>21-40</v>
      </c>
      <c r="H1854" t="s">
        <v>23</v>
      </c>
      <c r="I1854" t="s">
        <v>24</v>
      </c>
      <c r="J1854" t="s">
        <v>25</v>
      </c>
      <c r="K1854" t="s">
        <v>42</v>
      </c>
      <c r="L1854">
        <v>1</v>
      </c>
      <c r="M1854">
        <v>1</v>
      </c>
      <c r="N1854">
        <v>1.1000000000000001</v>
      </c>
      <c r="O1854">
        <v>9</v>
      </c>
      <c r="P1854">
        <v>7</v>
      </c>
      <c r="Q1854">
        <v>7</v>
      </c>
      <c r="R1854">
        <v>904133</v>
      </c>
      <c r="S1854">
        <f>Table1[[#This Row],[Revenue]]-Table1[[#This Row],[Operating_Costs]]</f>
        <v>574982</v>
      </c>
      <c r="T1854">
        <v>329151</v>
      </c>
      <c r="U1854">
        <v>38</v>
      </c>
      <c r="V1854">
        <v>58</v>
      </c>
      <c r="W1854">
        <v>7.6</v>
      </c>
    </row>
    <row r="1855" spans="1:23" x14ac:dyDescent="0.25">
      <c r="A1855">
        <v>5</v>
      </c>
      <c r="B1855" t="s">
        <v>22</v>
      </c>
      <c r="C1855" s="1">
        <v>44529</v>
      </c>
      <c r="D1855" t="s">
        <v>71</v>
      </c>
      <c r="E1855">
        <v>0</v>
      </c>
      <c r="F1855">
        <v>89</v>
      </c>
      <c r="G1855" t="str">
        <f t="shared" si="36"/>
        <v>81+</v>
      </c>
      <c r="H1855" t="s">
        <v>35</v>
      </c>
      <c r="I1855" t="s">
        <v>36</v>
      </c>
      <c r="J1855" t="s">
        <v>37</v>
      </c>
      <c r="K1855" t="s">
        <v>26</v>
      </c>
      <c r="L1855">
        <v>1</v>
      </c>
      <c r="M1855">
        <v>1</v>
      </c>
      <c r="N1855">
        <v>4.4000000000000004</v>
      </c>
      <c r="O1855">
        <v>7.8</v>
      </c>
      <c r="P1855">
        <v>6</v>
      </c>
      <c r="Q1855">
        <v>7</v>
      </c>
      <c r="R1855">
        <v>861760</v>
      </c>
      <c r="S1855">
        <f>Table1[[#This Row],[Revenue]]-Table1[[#This Row],[Operating_Costs]]</f>
        <v>537713</v>
      </c>
      <c r="T1855">
        <v>324047</v>
      </c>
      <c r="U1855">
        <v>30</v>
      </c>
      <c r="V1855">
        <v>62</v>
      </c>
      <c r="W1855">
        <v>12</v>
      </c>
    </row>
    <row r="1856" spans="1:23" x14ac:dyDescent="0.25">
      <c r="A1856">
        <v>5</v>
      </c>
      <c r="B1856" t="s">
        <v>22</v>
      </c>
      <c r="C1856" s="1">
        <v>44442</v>
      </c>
      <c r="D1856" t="s">
        <v>71</v>
      </c>
      <c r="E1856">
        <v>0</v>
      </c>
      <c r="F1856">
        <v>59</v>
      </c>
      <c r="G1856" t="str">
        <f t="shared" si="36"/>
        <v>41-60</v>
      </c>
      <c r="H1856" t="s">
        <v>35</v>
      </c>
      <c r="I1856" t="s">
        <v>46</v>
      </c>
      <c r="J1856" t="s">
        <v>47</v>
      </c>
      <c r="K1856" t="s">
        <v>38</v>
      </c>
      <c r="L1856">
        <v>1</v>
      </c>
      <c r="M1856">
        <v>1</v>
      </c>
      <c r="N1856">
        <v>1.7</v>
      </c>
      <c r="O1856">
        <v>8.4</v>
      </c>
      <c r="P1856">
        <v>7</v>
      </c>
      <c r="Q1856">
        <v>4</v>
      </c>
      <c r="R1856">
        <v>840150</v>
      </c>
      <c r="S1856">
        <f>Table1[[#This Row],[Revenue]]-Table1[[#This Row],[Operating_Costs]]</f>
        <v>485117</v>
      </c>
      <c r="T1856">
        <v>355033</v>
      </c>
      <c r="U1856">
        <v>29</v>
      </c>
      <c r="V1856">
        <v>65</v>
      </c>
      <c r="W1856">
        <v>13.7</v>
      </c>
    </row>
    <row r="1857" spans="1:23" x14ac:dyDescent="0.25">
      <c r="A1857">
        <v>5</v>
      </c>
      <c r="B1857" t="s">
        <v>22</v>
      </c>
      <c r="C1857" s="1">
        <v>45314</v>
      </c>
      <c r="D1857" t="s">
        <v>71</v>
      </c>
      <c r="E1857">
        <v>0</v>
      </c>
      <c r="F1857">
        <v>80</v>
      </c>
      <c r="G1857" t="str">
        <f t="shared" si="36"/>
        <v>61-80</v>
      </c>
      <c r="H1857" t="s">
        <v>23</v>
      </c>
      <c r="I1857" t="s">
        <v>67</v>
      </c>
      <c r="J1857" t="s">
        <v>68</v>
      </c>
      <c r="K1857" t="s">
        <v>38</v>
      </c>
      <c r="L1857">
        <v>1</v>
      </c>
      <c r="M1857">
        <v>1</v>
      </c>
      <c r="N1857">
        <v>5.3</v>
      </c>
      <c r="O1857">
        <v>8.8000000000000007</v>
      </c>
      <c r="P1857">
        <v>7</v>
      </c>
      <c r="Q1857">
        <v>4</v>
      </c>
      <c r="R1857">
        <v>649493</v>
      </c>
      <c r="S1857">
        <f>Table1[[#This Row],[Revenue]]-Table1[[#This Row],[Operating_Costs]]</f>
        <v>196372</v>
      </c>
      <c r="T1857">
        <v>453121</v>
      </c>
      <c r="U1857">
        <v>31</v>
      </c>
      <c r="V1857">
        <v>64</v>
      </c>
      <c r="W1857">
        <v>5.3</v>
      </c>
    </row>
    <row r="1858" spans="1:23" x14ac:dyDescent="0.25">
      <c r="A1858">
        <v>5</v>
      </c>
      <c r="B1858" t="s">
        <v>22</v>
      </c>
      <c r="C1858" s="1">
        <v>45511</v>
      </c>
      <c r="D1858" t="s">
        <v>71</v>
      </c>
      <c r="E1858">
        <v>0</v>
      </c>
      <c r="F1858">
        <v>42</v>
      </c>
      <c r="G1858" t="str">
        <f t="shared" si="36"/>
        <v>41-60</v>
      </c>
      <c r="H1858" t="s">
        <v>35</v>
      </c>
      <c r="I1858" t="s">
        <v>55</v>
      </c>
      <c r="J1858" t="s">
        <v>56</v>
      </c>
      <c r="K1858" t="s">
        <v>26</v>
      </c>
      <c r="L1858">
        <v>1</v>
      </c>
      <c r="M1858">
        <v>1</v>
      </c>
      <c r="N1858">
        <v>1.9</v>
      </c>
      <c r="O1858">
        <v>7.6</v>
      </c>
      <c r="P1858">
        <v>3</v>
      </c>
      <c r="Q1858">
        <v>6</v>
      </c>
      <c r="R1858">
        <v>820700</v>
      </c>
      <c r="S1858">
        <f>Table1[[#This Row],[Revenue]]-Table1[[#This Row],[Operating_Costs]]</f>
        <v>359223</v>
      </c>
      <c r="T1858">
        <v>461477</v>
      </c>
      <c r="U1858">
        <v>28</v>
      </c>
      <c r="V1858">
        <v>59</v>
      </c>
      <c r="W1858">
        <v>6.4</v>
      </c>
    </row>
    <row r="1859" spans="1:23" x14ac:dyDescent="0.25">
      <c r="A1859">
        <v>5</v>
      </c>
      <c r="B1859" t="s">
        <v>22</v>
      </c>
      <c r="C1859" s="1">
        <v>44347</v>
      </c>
      <c r="D1859" t="s">
        <v>71</v>
      </c>
      <c r="E1859">
        <v>0</v>
      </c>
      <c r="F1859">
        <v>28</v>
      </c>
      <c r="G1859" t="str">
        <f t="shared" ref="G1859:G1922" si="37">IF(F1859&lt;=20,"0-20",IF(F1859&lt;=40,"21-40",IF(F1859&lt;=60,"41-60",IF(F1859&lt;=80,"61-80","81+"))))</f>
        <v>21-40</v>
      </c>
      <c r="H1859" t="s">
        <v>23</v>
      </c>
      <c r="I1859" t="s">
        <v>24</v>
      </c>
      <c r="J1859" t="s">
        <v>25</v>
      </c>
      <c r="K1859" t="s">
        <v>26</v>
      </c>
      <c r="L1859">
        <v>1</v>
      </c>
      <c r="M1859">
        <v>1</v>
      </c>
      <c r="N1859">
        <v>5.9</v>
      </c>
      <c r="O1859">
        <v>8.8000000000000007</v>
      </c>
      <c r="P1859">
        <v>6</v>
      </c>
      <c r="Q1859">
        <v>6</v>
      </c>
      <c r="R1859">
        <v>807512</v>
      </c>
      <c r="S1859">
        <f>Table1[[#This Row],[Revenue]]-Table1[[#This Row],[Operating_Costs]]</f>
        <v>318815</v>
      </c>
      <c r="T1859">
        <v>488697</v>
      </c>
      <c r="U1859">
        <v>36</v>
      </c>
      <c r="V1859">
        <v>66</v>
      </c>
      <c r="W1859">
        <v>8.8000000000000007</v>
      </c>
    </row>
    <row r="1860" spans="1:23" x14ac:dyDescent="0.25">
      <c r="A1860">
        <v>5</v>
      </c>
      <c r="B1860" t="s">
        <v>22</v>
      </c>
      <c r="C1860" s="1">
        <v>44303</v>
      </c>
      <c r="D1860" t="s">
        <v>71</v>
      </c>
      <c r="E1860">
        <v>0</v>
      </c>
      <c r="F1860">
        <v>39</v>
      </c>
      <c r="G1860" t="str">
        <f t="shared" si="37"/>
        <v>21-40</v>
      </c>
      <c r="H1860" t="s">
        <v>23</v>
      </c>
      <c r="I1860" t="s">
        <v>64</v>
      </c>
      <c r="J1860" t="s">
        <v>65</v>
      </c>
      <c r="K1860" t="s">
        <v>29</v>
      </c>
      <c r="L1860">
        <v>1</v>
      </c>
      <c r="M1860">
        <v>1</v>
      </c>
      <c r="N1860">
        <v>6.3</v>
      </c>
      <c r="O1860">
        <v>7</v>
      </c>
      <c r="P1860">
        <v>5</v>
      </c>
      <c r="Q1860">
        <v>7</v>
      </c>
      <c r="R1860">
        <v>789824</v>
      </c>
      <c r="S1860">
        <f>Table1[[#This Row],[Revenue]]-Table1[[#This Row],[Operating_Costs]]</f>
        <v>372321</v>
      </c>
      <c r="T1860">
        <v>417503</v>
      </c>
      <c r="U1860">
        <v>25</v>
      </c>
      <c r="V1860">
        <v>58</v>
      </c>
      <c r="W1860">
        <v>36</v>
      </c>
    </row>
    <row r="1861" spans="1:23" x14ac:dyDescent="0.25">
      <c r="A1861">
        <v>5</v>
      </c>
      <c r="B1861" t="s">
        <v>22</v>
      </c>
      <c r="C1861" s="1">
        <v>44278</v>
      </c>
      <c r="D1861" t="s">
        <v>71</v>
      </c>
      <c r="E1861">
        <v>0</v>
      </c>
      <c r="F1861">
        <v>43</v>
      </c>
      <c r="G1861" t="str">
        <f t="shared" si="37"/>
        <v>41-60</v>
      </c>
      <c r="H1861" t="s">
        <v>23</v>
      </c>
      <c r="I1861" t="s">
        <v>24</v>
      </c>
      <c r="J1861" t="s">
        <v>25</v>
      </c>
      <c r="K1861" t="s">
        <v>42</v>
      </c>
      <c r="L1861">
        <v>1</v>
      </c>
      <c r="M1861">
        <v>1</v>
      </c>
      <c r="N1861">
        <v>3.3</v>
      </c>
      <c r="O1861">
        <v>8.3000000000000007</v>
      </c>
      <c r="P1861">
        <v>5</v>
      </c>
      <c r="Q1861">
        <v>4</v>
      </c>
      <c r="R1861">
        <v>646587</v>
      </c>
      <c r="S1861">
        <f>Table1[[#This Row],[Revenue]]-Table1[[#This Row],[Operating_Costs]]</f>
        <v>227480</v>
      </c>
      <c r="T1861">
        <v>419107</v>
      </c>
      <c r="U1861">
        <v>26</v>
      </c>
      <c r="V1861">
        <v>65</v>
      </c>
      <c r="W1861">
        <v>13.6</v>
      </c>
    </row>
    <row r="1862" spans="1:23" x14ac:dyDescent="0.25">
      <c r="A1862">
        <v>5</v>
      </c>
      <c r="B1862" t="s">
        <v>22</v>
      </c>
      <c r="C1862" s="1">
        <v>44436</v>
      </c>
      <c r="D1862" t="s">
        <v>71</v>
      </c>
      <c r="E1862">
        <v>0</v>
      </c>
      <c r="F1862">
        <v>22</v>
      </c>
      <c r="G1862" t="str">
        <f t="shared" si="37"/>
        <v>21-40</v>
      </c>
      <c r="H1862" t="s">
        <v>23</v>
      </c>
      <c r="I1862" t="s">
        <v>27</v>
      </c>
      <c r="J1862" t="s">
        <v>28</v>
      </c>
      <c r="K1862" t="s">
        <v>42</v>
      </c>
      <c r="L1862">
        <v>1</v>
      </c>
      <c r="M1862">
        <v>1</v>
      </c>
      <c r="N1862">
        <v>7</v>
      </c>
      <c r="O1862">
        <v>9.8000000000000007</v>
      </c>
      <c r="P1862">
        <v>4</v>
      </c>
      <c r="Q1862">
        <v>7</v>
      </c>
      <c r="R1862">
        <v>653318</v>
      </c>
      <c r="S1862">
        <f>Table1[[#This Row],[Revenue]]-Table1[[#This Row],[Operating_Costs]]</f>
        <v>397077</v>
      </c>
      <c r="T1862">
        <v>256241</v>
      </c>
      <c r="U1862">
        <v>40</v>
      </c>
      <c r="V1862">
        <v>62</v>
      </c>
      <c r="W1862">
        <v>8.6999999999999993</v>
      </c>
    </row>
    <row r="1863" spans="1:23" x14ac:dyDescent="0.25">
      <c r="A1863">
        <v>5</v>
      </c>
      <c r="B1863" t="s">
        <v>22</v>
      </c>
      <c r="C1863" s="1">
        <v>45170</v>
      </c>
      <c r="D1863" t="s">
        <v>71</v>
      </c>
      <c r="E1863">
        <v>0</v>
      </c>
      <c r="F1863">
        <v>72</v>
      </c>
      <c r="G1863" t="str">
        <f t="shared" si="37"/>
        <v>61-80</v>
      </c>
      <c r="H1863" t="s">
        <v>35</v>
      </c>
      <c r="I1863" t="s">
        <v>61</v>
      </c>
      <c r="J1863" t="s">
        <v>62</v>
      </c>
      <c r="K1863" t="s">
        <v>42</v>
      </c>
      <c r="L1863">
        <v>1</v>
      </c>
      <c r="M1863">
        <v>1</v>
      </c>
      <c r="N1863">
        <v>5.9</v>
      </c>
      <c r="O1863">
        <v>7.8</v>
      </c>
      <c r="P1863">
        <v>6</v>
      </c>
      <c r="Q1863">
        <v>4</v>
      </c>
      <c r="R1863">
        <v>637404</v>
      </c>
      <c r="S1863">
        <f>Table1[[#This Row],[Revenue]]-Table1[[#This Row],[Operating_Costs]]</f>
        <v>301887</v>
      </c>
      <c r="T1863">
        <v>335517</v>
      </c>
      <c r="U1863">
        <v>32</v>
      </c>
      <c r="V1863">
        <v>54</v>
      </c>
      <c r="W1863">
        <v>13.9</v>
      </c>
    </row>
    <row r="1864" spans="1:23" x14ac:dyDescent="0.25">
      <c r="A1864">
        <v>5</v>
      </c>
      <c r="B1864" t="s">
        <v>22</v>
      </c>
      <c r="C1864" s="1">
        <v>45633</v>
      </c>
      <c r="D1864" t="s">
        <v>71</v>
      </c>
      <c r="E1864">
        <v>0</v>
      </c>
      <c r="F1864">
        <v>27</v>
      </c>
      <c r="G1864" t="str">
        <f t="shared" si="37"/>
        <v>21-40</v>
      </c>
      <c r="H1864" t="s">
        <v>23</v>
      </c>
      <c r="I1864" t="s">
        <v>24</v>
      </c>
      <c r="J1864" t="s">
        <v>25</v>
      </c>
      <c r="K1864" t="s">
        <v>26</v>
      </c>
      <c r="L1864">
        <v>1</v>
      </c>
      <c r="M1864">
        <v>1</v>
      </c>
      <c r="N1864">
        <v>2</v>
      </c>
      <c r="O1864">
        <v>8.6</v>
      </c>
      <c r="P1864">
        <v>6</v>
      </c>
      <c r="Q1864">
        <v>6</v>
      </c>
      <c r="R1864">
        <v>637408</v>
      </c>
      <c r="S1864">
        <f>Table1[[#This Row],[Revenue]]-Table1[[#This Row],[Operating_Costs]]</f>
        <v>289827</v>
      </c>
      <c r="T1864">
        <v>347581</v>
      </c>
      <c r="U1864">
        <v>29</v>
      </c>
      <c r="V1864">
        <v>65</v>
      </c>
      <c r="W1864">
        <v>5.2</v>
      </c>
    </row>
    <row r="1865" spans="1:23" x14ac:dyDescent="0.25">
      <c r="A1865">
        <v>5</v>
      </c>
      <c r="B1865" t="s">
        <v>22</v>
      </c>
      <c r="C1865" s="1">
        <v>44729</v>
      </c>
      <c r="D1865" t="s">
        <v>71</v>
      </c>
      <c r="E1865">
        <v>0</v>
      </c>
      <c r="F1865">
        <v>59</v>
      </c>
      <c r="G1865" t="str">
        <f t="shared" si="37"/>
        <v>41-60</v>
      </c>
      <c r="H1865" t="s">
        <v>35</v>
      </c>
      <c r="I1865" t="s">
        <v>46</v>
      </c>
      <c r="J1865" t="s">
        <v>47</v>
      </c>
      <c r="K1865" t="s">
        <v>42</v>
      </c>
      <c r="L1865">
        <v>1</v>
      </c>
      <c r="M1865">
        <v>1</v>
      </c>
      <c r="N1865">
        <v>5.7</v>
      </c>
      <c r="O1865">
        <v>7</v>
      </c>
      <c r="P1865">
        <v>3</v>
      </c>
      <c r="Q1865">
        <v>3</v>
      </c>
      <c r="R1865">
        <v>996179</v>
      </c>
      <c r="S1865">
        <f>Table1[[#This Row],[Revenue]]-Table1[[#This Row],[Operating_Costs]]</f>
        <v>505136</v>
      </c>
      <c r="T1865">
        <v>491043</v>
      </c>
      <c r="U1865">
        <v>29</v>
      </c>
      <c r="V1865">
        <v>60</v>
      </c>
      <c r="W1865">
        <v>9.9</v>
      </c>
    </row>
    <row r="1866" spans="1:23" x14ac:dyDescent="0.25">
      <c r="A1866">
        <v>5</v>
      </c>
      <c r="B1866" t="s">
        <v>22</v>
      </c>
      <c r="C1866" s="1">
        <v>45210</v>
      </c>
      <c r="D1866" t="s">
        <v>71</v>
      </c>
      <c r="E1866">
        <v>0</v>
      </c>
      <c r="F1866">
        <v>37</v>
      </c>
      <c r="G1866" t="str">
        <f t="shared" si="37"/>
        <v>21-40</v>
      </c>
      <c r="H1866" t="s">
        <v>23</v>
      </c>
      <c r="I1866" t="s">
        <v>43</v>
      </c>
      <c r="J1866" t="s">
        <v>25</v>
      </c>
      <c r="K1866" t="s">
        <v>33</v>
      </c>
      <c r="L1866">
        <v>1</v>
      </c>
      <c r="M1866">
        <v>1</v>
      </c>
      <c r="N1866">
        <v>4</v>
      </c>
      <c r="O1866">
        <v>7.9</v>
      </c>
      <c r="P1866">
        <v>3</v>
      </c>
      <c r="Q1866">
        <v>6</v>
      </c>
      <c r="R1866">
        <v>929998</v>
      </c>
      <c r="S1866">
        <f>Table1[[#This Row],[Revenue]]-Table1[[#This Row],[Operating_Costs]]</f>
        <v>605821</v>
      </c>
      <c r="T1866">
        <v>324177</v>
      </c>
      <c r="U1866">
        <v>26</v>
      </c>
      <c r="V1866">
        <v>60</v>
      </c>
      <c r="W1866">
        <v>6.8</v>
      </c>
    </row>
    <row r="1867" spans="1:23" x14ac:dyDescent="0.25">
      <c r="A1867">
        <v>5</v>
      </c>
      <c r="B1867" t="s">
        <v>22</v>
      </c>
      <c r="C1867" s="1">
        <v>44747</v>
      </c>
      <c r="D1867" t="s">
        <v>71</v>
      </c>
      <c r="E1867">
        <v>0</v>
      </c>
      <c r="F1867">
        <v>46</v>
      </c>
      <c r="G1867" t="str">
        <f t="shared" si="37"/>
        <v>41-60</v>
      </c>
      <c r="H1867" t="s">
        <v>35</v>
      </c>
      <c r="I1867" t="s">
        <v>55</v>
      </c>
      <c r="J1867" t="s">
        <v>56</v>
      </c>
      <c r="K1867" t="s">
        <v>38</v>
      </c>
      <c r="L1867">
        <v>1</v>
      </c>
      <c r="M1867">
        <v>1</v>
      </c>
      <c r="N1867">
        <v>1.7</v>
      </c>
      <c r="O1867">
        <v>9.5</v>
      </c>
      <c r="P1867">
        <v>3</v>
      </c>
      <c r="Q1867">
        <v>7</v>
      </c>
      <c r="R1867">
        <v>653761</v>
      </c>
      <c r="S1867">
        <f>Table1[[#This Row],[Revenue]]-Table1[[#This Row],[Operating_Costs]]</f>
        <v>185720</v>
      </c>
      <c r="T1867">
        <v>468041</v>
      </c>
      <c r="U1867">
        <v>34</v>
      </c>
      <c r="V1867">
        <v>54</v>
      </c>
      <c r="W1867">
        <v>12.1</v>
      </c>
    </row>
    <row r="1868" spans="1:23" x14ac:dyDescent="0.25">
      <c r="A1868">
        <v>5</v>
      </c>
      <c r="B1868" t="s">
        <v>22</v>
      </c>
      <c r="C1868" s="1">
        <v>44665</v>
      </c>
      <c r="D1868" t="s">
        <v>71</v>
      </c>
      <c r="E1868">
        <v>0</v>
      </c>
      <c r="F1868">
        <v>47</v>
      </c>
      <c r="G1868" t="str">
        <f t="shared" si="37"/>
        <v>41-60</v>
      </c>
      <c r="H1868" t="s">
        <v>35</v>
      </c>
      <c r="I1868" t="s">
        <v>40</v>
      </c>
      <c r="J1868" t="s">
        <v>41</v>
      </c>
      <c r="K1868" t="s">
        <v>38</v>
      </c>
      <c r="L1868">
        <v>1</v>
      </c>
      <c r="M1868">
        <v>1</v>
      </c>
      <c r="N1868">
        <v>2.7</v>
      </c>
      <c r="O1868">
        <v>9.8000000000000007</v>
      </c>
      <c r="P1868">
        <v>7</v>
      </c>
      <c r="Q1868">
        <v>3</v>
      </c>
      <c r="R1868">
        <v>612772</v>
      </c>
      <c r="S1868">
        <f>Table1[[#This Row],[Revenue]]-Table1[[#This Row],[Operating_Costs]]</f>
        <v>219749</v>
      </c>
      <c r="T1868">
        <v>393023</v>
      </c>
      <c r="U1868">
        <v>26</v>
      </c>
      <c r="V1868">
        <v>58</v>
      </c>
      <c r="W1868">
        <v>36.6</v>
      </c>
    </row>
    <row r="1869" spans="1:23" x14ac:dyDescent="0.25">
      <c r="A1869">
        <v>5</v>
      </c>
      <c r="B1869" t="s">
        <v>22</v>
      </c>
      <c r="C1869" s="1">
        <v>45220</v>
      </c>
      <c r="D1869" t="s">
        <v>71</v>
      </c>
      <c r="E1869">
        <v>0</v>
      </c>
      <c r="F1869">
        <v>52</v>
      </c>
      <c r="G1869" t="str">
        <f t="shared" si="37"/>
        <v>41-60</v>
      </c>
      <c r="H1869" t="s">
        <v>35</v>
      </c>
      <c r="I1869" t="s">
        <v>27</v>
      </c>
      <c r="J1869" t="s">
        <v>28</v>
      </c>
      <c r="K1869" t="s">
        <v>38</v>
      </c>
      <c r="L1869">
        <v>1</v>
      </c>
      <c r="M1869">
        <v>1</v>
      </c>
      <c r="N1869">
        <v>4.3</v>
      </c>
      <c r="O1869">
        <v>8.8000000000000007</v>
      </c>
      <c r="P1869">
        <v>3</v>
      </c>
      <c r="Q1869">
        <v>3</v>
      </c>
      <c r="R1869">
        <v>776943</v>
      </c>
      <c r="S1869">
        <f>Table1[[#This Row],[Revenue]]-Table1[[#This Row],[Operating_Costs]]</f>
        <v>409274</v>
      </c>
      <c r="T1869">
        <v>367669</v>
      </c>
      <c r="U1869">
        <v>24</v>
      </c>
      <c r="V1869">
        <v>56</v>
      </c>
      <c r="W1869">
        <v>10.9</v>
      </c>
    </row>
    <row r="1870" spans="1:23" x14ac:dyDescent="0.25">
      <c r="A1870">
        <v>5</v>
      </c>
      <c r="B1870" t="s">
        <v>22</v>
      </c>
      <c r="C1870" s="1">
        <v>44831</v>
      </c>
      <c r="D1870" t="s">
        <v>71</v>
      </c>
      <c r="E1870">
        <v>0</v>
      </c>
      <c r="F1870">
        <v>50</v>
      </c>
      <c r="G1870" t="str">
        <f t="shared" si="37"/>
        <v>41-60</v>
      </c>
      <c r="H1870" t="s">
        <v>23</v>
      </c>
      <c r="I1870" t="s">
        <v>43</v>
      </c>
      <c r="J1870" t="s">
        <v>25</v>
      </c>
      <c r="K1870" t="s">
        <v>26</v>
      </c>
      <c r="L1870">
        <v>1</v>
      </c>
      <c r="M1870">
        <v>1</v>
      </c>
      <c r="N1870">
        <v>5</v>
      </c>
      <c r="O1870">
        <v>7.2</v>
      </c>
      <c r="P1870">
        <v>4</v>
      </c>
      <c r="Q1870">
        <v>4</v>
      </c>
      <c r="R1870">
        <v>670028</v>
      </c>
      <c r="S1870">
        <f>Table1[[#This Row],[Revenue]]-Table1[[#This Row],[Operating_Costs]]</f>
        <v>357630</v>
      </c>
      <c r="T1870">
        <v>312398</v>
      </c>
      <c r="U1870">
        <v>35</v>
      </c>
      <c r="V1870">
        <v>65</v>
      </c>
      <c r="W1870">
        <v>12.2</v>
      </c>
    </row>
    <row r="1871" spans="1:23" x14ac:dyDescent="0.25">
      <c r="A1871">
        <v>5</v>
      </c>
      <c r="B1871" t="s">
        <v>22</v>
      </c>
      <c r="C1871" s="1">
        <v>45195</v>
      </c>
      <c r="D1871" t="s">
        <v>71</v>
      </c>
      <c r="E1871">
        <v>0</v>
      </c>
      <c r="F1871">
        <v>33</v>
      </c>
      <c r="G1871" t="str">
        <f t="shared" si="37"/>
        <v>21-40</v>
      </c>
      <c r="H1871" t="s">
        <v>23</v>
      </c>
      <c r="I1871" t="s">
        <v>64</v>
      </c>
      <c r="J1871" t="s">
        <v>65</v>
      </c>
      <c r="K1871" t="s">
        <v>33</v>
      </c>
      <c r="L1871">
        <v>1</v>
      </c>
      <c r="M1871">
        <v>1</v>
      </c>
      <c r="N1871">
        <v>4.4000000000000004</v>
      </c>
      <c r="O1871">
        <v>8.1</v>
      </c>
      <c r="P1871">
        <v>6</v>
      </c>
      <c r="Q1871">
        <v>5</v>
      </c>
      <c r="R1871">
        <v>787368</v>
      </c>
      <c r="S1871">
        <f>Table1[[#This Row],[Revenue]]-Table1[[#This Row],[Operating_Costs]]</f>
        <v>394382</v>
      </c>
      <c r="T1871">
        <v>392986</v>
      </c>
      <c r="U1871">
        <v>23</v>
      </c>
      <c r="V1871">
        <v>58</v>
      </c>
      <c r="W1871">
        <v>9.3000000000000007</v>
      </c>
    </row>
    <row r="1872" spans="1:23" x14ac:dyDescent="0.25">
      <c r="A1872">
        <v>5</v>
      </c>
      <c r="B1872" t="s">
        <v>22</v>
      </c>
      <c r="C1872" s="1">
        <v>44436</v>
      </c>
      <c r="D1872" t="s">
        <v>71</v>
      </c>
      <c r="E1872">
        <v>0</v>
      </c>
      <c r="F1872">
        <v>89</v>
      </c>
      <c r="G1872" t="str">
        <f t="shared" si="37"/>
        <v>81+</v>
      </c>
      <c r="H1872" t="s">
        <v>23</v>
      </c>
      <c r="I1872" t="s">
        <v>24</v>
      </c>
      <c r="J1872" t="s">
        <v>25</v>
      </c>
      <c r="K1872" t="s">
        <v>29</v>
      </c>
      <c r="L1872">
        <v>1</v>
      </c>
      <c r="M1872">
        <v>1</v>
      </c>
      <c r="N1872">
        <v>1.2</v>
      </c>
      <c r="O1872">
        <v>9.6999999999999993</v>
      </c>
      <c r="P1872">
        <v>3</v>
      </c>
      <c r="Q1872">
        <v>6</v>
      </c>
      <c r="R1872">
        <v>739792</v>
      </c>
      <c r="S1872">
        <f>Table1[[#This Row],[Revenue]]-Table1[[#This Row],[Operating_Costs]]</f>
        <v>349485</v>
      </c>
      <c r="T1872">
        <v>390307</v>
      </c>
      <c r="U1872">
        <v>24</v>
      </c>
      <c r="V1872">
        <v>64</v>
      </c>
      <c r="W1872">
        <v>7.6</v>
      </c>
    </row>
    <row r="1873" spans="1:23" x14ac:dyDescent="0.25">
      <c r="A1873">
        <v>5</v>
      </c>
      <c r="B1873" t="s">
        <v>22</v>
      </c>
      <c r="C1873" s="1">
        <v>44605</v>
      </c>
      <c r="D1873" t="s">
        <v>71</v>
      </c>
      <c r="E1873">
        <v>0</v>
      </c>
      <c r="F1873">
        <v>56</v>
      </c>
      <c r="G1873" t="str">
        <f t="shared" si="37"/>
        <v>41-60</v>
      </c>
      <c r="H1873" t="s">
        <v>23</v>
      </c>
      <c r="I1873" t="s">
        <v>50</v>
      </c>
      <c r="J1873" t="s">
        <v>51</v>
      </c>
      <c r="K1873" t="s">
        <v>42</v>
      </c>
      <c r="L1873">
        <v>1</v>
      </c>
      <c r="M1873">
        <v>1</v>
      </c>
      <c r="N1873">
        <v>4.5</v>
      </c>
      <c r="O1873">
        <v>9.5</v>
      </c>
      <c r="P1873">
        <v>3</v>
      </c>
      <c r="Q1873">
        <v>6</v>
      </c>
      <c r="R1873">
        <v>949274</v>
      </c>
      <c r="S1873">
        <f>Table1[[#This Row],[Revenue]]-Table1[[#This Row],[Operating_Costs]]</f>
        <v>560750</v>
      </c>
      <c r="T1873">
        <v>388524</v>
      </c>
      <c r="U1873">
        <v>35</v>
      </c>
      <c r="V1873">
        <v>58</v>
      </c>
      <c r="W1873">
        <v>13.1</v>
      </c>
    </row>
    <row r="1874" spans="1:23" x14ac:dyDescent="0.25">
      <c r="A1874">
        <v>5</v>
      </c>
      <c r="B1874" t="s">
        <v>22</v>
      </c>
      <c r="C1874" s="1">
        <v>44198</v>
      </c>
      <c r="D1874" t="s">
        <v>71</v>
      </c>
      <c r="E1874">
        <v>0</v>
      </c>
      <c r="F1874">
        <v>43</v>
      </c>
      <c r="G1874" t="str">
        <f t="shared" si="37"/>
        <v>41-60</v>
      </c>
      <c r="H1874" t="s">
        <v>35</v>
      </c>
      <c r="I1874" t="s">
        <v>50</v>
      </c>
      <c r="J1874" t="s">
        <v>51</v>
      </c>
      <c r="K1874" t="s">
        <v>38</v>
      </c>
      <c r="L1874">
        <v>1</v>
      </c>
      <c r="M1874">
        <v>1</v>
      </c>
      <c r="N1874">
        <v>6</v>
      </c>
      <c r="O1874">
        <v>8.3000000000000007</v>
      </c>
      <c r="P1874">
        <v>7</v>
      </c>
      <c r="Q1874">
        <v>6</v>
      </c>
      <c r="R1874">
        <v>967903</v>
      </c>
      <c r="S1874">
        <f>Table1[[#This Row],[Revenue]]-Table1[[#This Row],[Operating_Costs]]</f>
        <v>744656</v>
      </c>
      <c r="T1874">
        <v>223247</v>
      </c>
      <c r="U1874">
        <v>21</v>
      </c>
      <c r="V1874">
        <v>55</v>
      </c>
      <c r="W1874">
        <v>6.8</v>
      </c>
    </row>
    <row r="1875" spans="1:23" x14ac:dyDescent="0.25">
      <c r="A1875">
        <v>5</v>
      </c>
      <c r="B1875" t="s">
        <v>22</v>
      </c>
      <c r="C1875" s="1">
        <v>44550</v>
      </c>
      <c r="D1875" t="s">
        <v>71</v>
      </c>
      <c r="E1875">
        <v>0</v>
      </c>
      <c r="F1875">
        <v>84</v>
      </c>
      <c r="G1875" t="str">
        <f t="shared" si="37"/>
        <v>81+</v>
      </c>
      <c r="H1875" t="s">
        <v>35</v>
      </c>
      <c r="I1875" t="s">
        <v>40</v>
      </c>
      <c r="J1875" t="s">
        <v>41</v>
      </c>
      <c r="K1875" t="s">
        <v>26</v>
      </c>
      <c r="L1875">
        <v>1</v>
      </c>
      <c r="M1875">
        <v>1</v>
      </c>
      <c r="N1875">
        <v>3.1</v>
      </c>
      <c r="O1875">
        <v>8.8000000000000007</v>
      </c>
      <c r="P1875">
        <v>4</v>
      </c>
      <c r="Q1875">
        <v>5</v>
      </c>
      <c r="R1875">
        <v>848913</v>
      </c>
      <c r="S1875">
        <f>Table1[[#This Row],[Revenue]]-Table1[[#This Row],[Operating_Costs]]</f>
        <v>621540</v>
      </c>
      <c r="T1875">
        <v>227373</v>
      </c>
      <c r="U1875">
        <v>20</v>
      </c>
      <c r="V1875">
        <v>55</v>
      </c>
      <c r="W1875">
        <v>7.2</v>
      </c>
    </row>
    <row r="1876" spans="1:23" x14ac:dyDescent="0.25">
      <c r="A1876">
        <v>5</v>
      </c>
      <c r="B1876" t="s">
        <v>22</v>
      </c>
      <c r="C1876" s="1">
        <v>44528</v>
      </c>
      <c r="D1876" t="s">
        <v>71</v>
      </c>
      <c r="E1876">
        <v>0</v>
      </c>
      <c r="F1876">
        <v>49</v>
      </c>
      <c r="G1876" t="str">
        <f t="shared" si="37"/>
        <v>41-60</v>
      </c>
      <c r="H1876" t="s">
        <v>23</v>
      </c>
      <c r="I1876" t="s">
        <v>40</v>
      </c>
      <c r="J1876" t="s">
        <v>41</v>
      </c>
      <c r="K1876" t="s">
        <v>29</v>
      </c>
      <c r="L1876">
        <v>1</v>
      </c>
      <c r="M1876">
        <v>1</v>
      </c>
      <c r="N1876">
        <v>5.8</v>
      </c>
      <c r="O1876">
        <v>7.9</v>
      </c>
      <c r="P1876">
        <v>6</v>
      </c>
      <c r="Q1876">
        <v>4</v>
      </c>
      <c r="R1876">
        <v>924643</v>
      </c>
      <c r="S1876">
        <f>Table1[[#This Row],[Revenue]]-Table1[[#This Row],[Operating_Costs]]</f>
        <v>616577</v>
      </c>
      <c r="T1876">
        <v>308066</v>
      </c>
      <c r="U1876">
        <v>27</v>
      </c>
      <c r="V1876">
        <v>58</v>
      </c>
      <c r="W1876">
        <v>6.3</v>
      </c>
    </row>
    <row r="1877" spans="1:23" x14ac:dyDescent="0.25">
      <c r="A1877">
        <v>5</v>
      </c>
      <c r="B1877" t="s">
        <v>22</v>
      </c>
      <c r="C1877" s="1">
        <v>44552</v>
      </c>
      <c r="D1877" t="s">
        <v>71</v>
      </c>
      <c r="E1877">
        <v>0</v>
      </c>
      <c r="F1877">
        <v>25</v>
      </c>
      <c r="G1877" t="str">
        <f t="shared" si="37"/>
        <v>21-40</v>
      </c>
      <c r="H1877" t="s">
        <v>35</v>
      </c>
      <c r="I1877" t="s">
        <v>58</v>
      </c>
      <c r="J1877" t="s">
        <v>59</v>
      </c>
      <c r="K1877" t="s">
        <v>38</v>
      </c>
      <c r="L1877">
        <v>1</v>
      </c>
      <c r="M1877">
        <v>1</v>
      </c>
      <c r="N1877">
        <v>2.4</v>
      </c>
      <c r="O1877">
        <v>7.2</v>
      </c>
      <c r="P1877">
        <v>3</v>
      </c>
      <c r="Q1877">
        <v>4</v>
      </c>
      <c r="R1877">
        <v>719456</v>
      </c>
      <c r="S1877">
        <f>Table1[[#This Row],[Revenue]]-Table1[[#This Row],[Operating_Costs]]</f>
        <v>344104</v>
      </c>
      <c r="T1877">
        <v>375352</v>
      </c>
      <c r="U1877">
        <v>34</v>
      </c>
      <c r="V1877">
        <v>65</v>
      </c>
      <c r="W1877">
        <v>10.3</v>
      </c>
    </row>
    <row r="1878" spans="1:23" x14ac:dyDescent="0.25">
      <c r="A1878">
        <v>5</v>
      </c>
      <c r="B1878" t="s">
        <v>22</v>
      </c>
      <c r="C1878" s="1">
        <v>44211</v>
      </c>
      <c r="D1878" t="s">
        <v>71</v>
      </c>
      <c r="E1878">
        <v>0</v>
      </c>
      <c r="F1878">
        <v>21</v>
      </c>
      <c r="G1878" t="str">
        <f t="shared" si="37"/>
        <v>21-40</v>
      </c>
      <c r="H1878" t="s">
        <v>35</v>
      </c>
      <c r="I1878" t="s">
        <v>60</v>
      </c>
      <c r="J1878" t="s">
        <v>59</v>
      </c>
      <c r="K1878" t="s">
        <v>33</v>
      </c>
      <c r="L1878">
        <v>1</v>
      </c>
      <c r="M1878">
        <v>1</v>
      </c>
      <c r="N1878">
        <v>2.2999999999999998</v>
      </c>
      <c r="O1878">
        <v>7.6</v>
      </c>
      <c r="P1878">
        <v>3</v>
      </c>
      <c r="Q1878">
        <v>7</v>
      </c>
      <c r="R1878">
        <v>735925</v>
      </c>
      <c r="S1878">
        <f>Table1[[#This Row],[Revenue]]-Table1[[#This Row],[Operating_Costs]]</f>
        <v>422271</v>
      </c>
      <c r="T1878">
        <v>313654</v>
      </c>
      <c r="U1878">
        <v>27</v>
      </c>
      <c r="V1878">
        <v>60</v>
      </c>
      <c r="W1878">
        <v>15</v>
      </c>
    </row>
    <row r="1879" spans="1:23" x14ac:dyDescent="0.25">
      <c r="A1879">
        <v>5</v>
      </c>
      <c r="B1879" t="s">
        <v>22</v>
      </c>
      <c r="C1879" s="1">
        <v>45289</v>
      </c>
      <c r="D1879" t="s">
        <v>71</v>
      </c>
      <c r="E1879">
        <v>0</v>
      </c>
      <c r="F1879">
        <v>80</v>
      </c>
      <c r="G1879" t="str">
        <f t="shared" si="37"/>
        <v>61-80</v>
      </c>
      <c r="H1879" t="s">
        <v>23</v>
      </c>
      <c r="I1879" t="s">
        <v>31</v>
      </c>
      <c r="J1879" t="s">
        <v>28</v>
      </c>
      <c r="K1879" t="s">
        <v>29</v>
      </c>
      <c r="L1879">
        <v>1</v>
      </c>
      <c r="M1879">
        <v>1</v>
      </c>
      <c r="N1879">
        <v>2.5</v>
      </c>
      <c r="O1879">
        <v>9.1999999999999993</v>
      </c>
      <c r="P1879">
        <v>7</v>
      </c>
      <c r="Q1879">
        <v>6</v>
      </c>
      <c r="R1879">
        <v>975293</v>
      </c>
      <c r="S1879">
        <f>Table1[[#This Row],[Revenue]]-Table1[[#This Row],[Operating_Costs]]</f>
        <v>702865</v>
      </c>
      <c r="T1879">
        <v>272428</v>
      </c>
      <c r="U1879">
        <v>21</v>
      </c>
      <c r="V1879">
        <v>62</v>
      </c>
      <c r="W1879">
        <v>9.4</v>
      </c>
    </row>
    <row r="1880" spans="1:23" x14ac:dyDescent="0.25">
      <c r="A1880">
        <v>5</v>
      </c>
      <c r="B1880" t="s">
        <v>22</v>
      </c>
      <c r="C1880" s="1">
        <v>44263</v>
      </c>
      <c r="D1880" t="s">
        <v>71</v>
      </c>
      <c r="E1880">
        <v>0</v>
      </c>
      <c r="F1880">
        <v>40</v>
      </c>
      <c r="G1880" t="str">
        <f t="shared" si="37"/>
        <v>21-40</v>
      </c>
      <c r="H1880" t="s">
        <v>23</v>
      </c>
      <c r="I1880" t="s">
        <v>50</v>
      </c>
      <c r="J1880" t="s">
        <v>51</v>
      </c>
      <c r="K1880" t="s">
        <v>33</v>
      </c>
      <c r="L1880">
        <v>1</v>
      </c>
      <c r="M1880">
        <v>1</v>
      </c>
      <c r="N1880">
        <v>4.2</v>
      </c>
      <c r="O1880">
        <v>8.1999999999999993</v>
      </c>
      <c r="P1880">
        <v>3</v>
      </c>
      <c r="Q1880">
        <v>6</v>
      </c>
      <c r="R1880">
        <v>806124</v>
      </c>
      <c r="S1880">
        <f>Table1[[#This Row],[Revenue]]-Table1[[#This Row],[Operating_Costs]]</f>
        <v>398753</v>
      </c>
      <c r="T1880">
        <v>407371</v>
      </c>
      <c r="U1880">
        <v>20</v>
      </c>
      <c r="V1880">
        <v>60</v>
      </c>
      <c r="W1880">
        <v>9.9</v>
      </c>
    </row>
    <row r="1881" spans="1:23" x14ac:dyDescent="0.25">
      <c r="A1881">
        <v>5</v>
      </c>
      <c r="B1881" t="s">
        <v>22</v>
      </c>
      <c r="C1881" s="1">
        <v>45368</v>
      </c>
      <c r="D1881" t="s">
        <v>71</v>
      </c>
      <c r="E1881">
        <v>0</v>
      </c>
      <c r="F1881">
        <v>24</v>
      </c>
      <c r="G1881" t="str">
        <f t="shared" si="37"/>
        <v>21-40</v>
      </c>
      <c r="H1881" t="s">
        <v>23</v>
      </c>
      <c r="I1881" t="s">
        <v>43</v>
      </c>
      <c r="J1881" t="s">
        <v>25</v>
      </c>
      <c r="K1881" t="s">
        <v>26</v>
      </c>
      <c r="L1881">
        <v>1</v>
      </c>
      <c r="M1881">
        <v>1</v>
      </c>
      <c r="N1881">
        <v>2.8</v>
      </c>
      <c r="O1881">
        <v>8.4</v>
      </c>
      <c r="P1881">
        <v>7</v>
      </c>
      <c r="Q1881">
        <v>7</v>
      </c>
      <c r="R1881">
        <v>787409</v>
      </c>
      <c r="S1881">
        <f>Table1[[#This Row],[Revenue]]-Table1[[#This Row],[Operating_Costs]]</f>
        <v>435314</v>
      </c>
      <c r="T1881">
        <v>352095</v>
      </c>
      <c r="U1881">
        <v>37</v>
      </c>
      <c r="V1881">
        <v>59</v>
      </c>
      <c r="W1881">
        <v>12.5</v>
      </c>
    </row>
    <row r="1882" spans="1:23" x14ac:dyDescent="0.25">
      <c r="A1882">
        <v>5</v>
      </c>
      <c r="B1882" t="s">
        <v>22</v>
      </c>
      <c r="C1882" s="1">
        <v>45619</v>
      </c>
      <c r="D1882" t="s">
        <v>71</v>
      </c>
      <c r="E1882">
        <v>0</v>
      </c>
      <c r="F1882">
        <v>81</v>
      </c>
      <c r="G1882" t="str">
        <f t="shared" si="37"/>
        <v>81+</v>
      </c>
      <c r="H1882" t="s">
        <v>23</v>
      </c>
      <c r="I1882" t="s">
        <v>40</v>
      </c>
      <c r="J1882" t="s">
        <v>41</v>
      </c>
      <c r="K1882" t="s">
        <v>42</v>
      </c>
      <c r="L1882">
        <v>1</v>
      </c>
      <c r="M1882">
        <v>1</v>
      </c>
      <c r="N1882">
        <v>4.4000000000000004</v>
      </c>
      <c r="O1882">
        <v>9.4</v>
      </c>
      <c r="P1882">
        <v>5</v>
      </c>
      <c r="Q1882">
        <v>7</v>
      </c>
      <c r="R1882">
        <v>634829</v>
      </c>
      <c r="S1882">
        <f>Table1[[#This Row],[Revenue]]-Table1[[#This Row],[Operating_Costs]]</f>
        <v>421661</v>
      </c>
      <c r="T1882">
        <v>213168</v>
      </c>
      <c r="U1882">
        <v>28</v>
      </c>
      <c r="V1882">
        <v>66</v>
      </c>
      <c r="W1882">
        <v>6</v>
      </c>
    </row>
    <row r="1883" spans="1:23" x14ac:dyDescent="0.25">
      <c r="A1883">
        <v>5</v>
      </c>
      <c r="B1883" t="s">
        <v>22</v>
      </c>
      <c r="C1883" s="1">
        <v>44504</v>
      </c>
      <c r="D1883" t="s">
        <v>71</v>
      </c>
      <c r="E1883">
        <v>0</v>
      </c>
      <c r="F1883">
        <v>71</v>
      </c>
      <c r="G1883" t="str">
        <f t="shared" si="37"/>
        <v>61-80</v>
      </c>
      <c r="H1883" t="s">
        <v>35</v>
      </c>
      <c r="I1883" t="s">
        <v>53</v>
      </c>
      <c r="J1883" t="s">
        <v>54</v>
      </c>
      <c r="K1883" t="s">
        <v>38</v>
      </c>
      <c r="L1883">
        <v>1</v>
      </c>
      <c r="M1883">
        <v>1</v>
      </c>
      <c r="N1883">
        <v>3.8</v>
      </c>
      <c r="O1883">
        <v>8.1</v>
      </c>
      <c r="P1883">
        <v>4</v>
      </c>
      <c r="Q1883">
        <v>5</v>
      </c>
      <c r="R1883">
        <v>655269</v>
      </c>
      <c r="S1883">
        <f>Table1[[#This Row],[Revenue]]-Table1[[#This Row],[Operating_Costs]]</f>
        <v>268013</v>
      </c>
      <c r="T1883">
        <v>387256</v>
      </c>
      <c r="U1883">
        <v>31</v>
      </c>
      <c r="V1883">
        <v>61</v>
      </c>
      <c r="W1883">
        <v>10.7</v>
      </c>
    </row>
    <row r="1884" spans="1:23" x14ac:dyDescent="0.25">
      <c r="A1884">
        <v>5</v>
      </c>
      <c r="B1884" t="s">
        <v>22</v>
      </c>
      <c r="C1884" s="1">
        <v>44791</v>
      </c>
      <c r="D1884" t="s">
        <v>71</v>
      </c>
      <c r="E1884">
        <v>0</v>
      </c>
      <c r="F1884">
        <v>37</v>
      </c>
      <c r="G1884" t="str">
        <f t="shared" si="37"/>
        <v>21-40</v>
      </c>
      <c r="H1884" t="s">
        <v>35</v>
      </c>
      <c r="I1884" t="s">
        <v>50</v>
      </c>
      <c r="J1884" t="s">
        <v>51</v>
      </c>
      <c r="K1884" t="s">
        <v>29</v>
      </c>
      <c r="L1884">
        <v>1</v>
      </c>
      <c r="M1884">
        <v>1</v>
      </c>
      <c r="N1884">
        <v>6.8</v>
      </c>
      <c r="O1884">
        <v>8.8000000000000007</v>
      </c>
      <c r="P1884">
        <v>5</v>
      </c>
      <c r="Q1884">
        <v>6</v>
      </c>
      <c r="R1884">
        <v>858003</v>
      </c>
      <c r="S1884">
        <f>Table1[[#This Row],[Revenue]]-Table1[[#This Row],[Operating_Costs]]</f>
        <v>587067</v>
      </c>
      <c r="T1884">
        <v>270936</v>
      </c>
      <c r="U1884">
        <v>29</v>
      </c>
      <c r="V1884">
        <v>62</v>
      </c>
      <c r="W1884">
        <v>10.6</v>
      </c>
    </row>
    <row r="1885" spans="1:23" x14ac:dyDescent="0.25">
      <c r="A1885">
        <v>5</v>
      </c>
      <c r="B1885" t="s">
        <v>22</v>
      </c>
      <c r="C1885" s="1">
        <v>44736</v>
      </c>
      <c r="D1885" t="s">
        <v>71</v>
      </c>
      <c r="E1885">
        <v>0</v>
      </c>
      <c r="F1885">
        <v>69</v>
      </c>
      <c r="G1885" t="str">
        <f t="shared" si="37"/>
        <v>61-80</v>
      </c>
      <c r="H1885" t="s">
        <v>35</v>
      </c>
      <c r="I1885" t="s">
        <v>50</v>
      </c>
      <c r="J1885" t="s">
        <v>51</v>
      </c>
      <c r="K1885" t="s">
        <v>29</v>
      </c>
      <c r="L1885">
        <v>1</v>
      </c>
      <c r="M1885">
        <v>1</v>
      </c>
      <c r="N1885">
        <v>4.7</v>
      </c>
      <c r="O1885">
        <v>7.8</v>
      </c>
      <c r="P1885">
        <v>5</v>
      </c>
      <c r="Q1885">
        <v>6</v>
      </c>
      <c r="R1885">
        <v>826034</v>
      </c>
      <c r="S1885">
        <f>Table1[[#This Row],[Revenue]]-Table1[[#This Row],[Operating_Costs]]</f>
        <v>345742</v>
      </c>
      <c r="T1885">
        <v>480292</v>
      </c>
      <c r="U1885">
        <v>34</v>
      </c>
      <c r="V1885">
        <v>66</v>
      </c>
      <c r="W1885">
        <v>36</v>
      </c>
    </row>
    <row r="1886" spans="1:23" x14ac:dyDescent="0.25">
      <c r="A1886">
        <v>4</v>
      </c>
      <c r="B1886" t="s">
        <v>69</v>
      </c>
      <c r="C1886" s="1">
        <v>45654</v>
      </c>
      <c r="D1886" t="s">
        <v>71</v>
      </c>
      <c r="E1886">
        <v>0</v>
      </c>
      <c r="F1886">
        <v>49</v>
      </c>
      <c r="G1886" t="str">
        <f t="shared" si="37"/>
        <v>41-60</v>
      </c>
      <c r="H1886" t="s">
        <v>23</v>
      </c>
      <c r="I1886" t="s">
        <v>24</v>
      </c>
      <c r="J1886" t="s">
        <v>25</v>
      </c>
      <c r="K1886" t="s">
        <v>29</v>
      </c>
      <c r="L1886">
        <v>1</v>
      </c>
      <c r="M1886">
        <v>1</v>
      </c>
      <c r="N1886">
        <v>4.4000000000000004</v>
      </c>
      <c r="O1886">
        <v>9.1</v>
      </c>
      <c r="P1886">
        <v>3</v>
      </c>
      <c r="Q1886">
        <v>4</v>
      </c>
      <c r="R1886">
        <v>974758</v>
      </c>
      <c r="S1886">
        <f>Table1[[#This Row],[Revenue]]-Table1[[#This Row],[Operating_Costs]]</f>
        <v>356876</v>
      </c>
      <c r="T1886">
        <v>617882</v>
      </c>
      <c r="U1886">
        <v>37</v>
      </c>
      <c r="V1886">
        <v>57</v>
      </c>
      <c r="W1886">
        <v>13.5</v>
      </c>
    </row>
    <row r="1887" spans="1:23" x14ac:dyDescent="0.25">
      <c r="A1887">
        <v>5</v>
      </c>
      <c r="B1887" t="s">
        <v>22</v>
      </c>
      <c r="C1887" s="1">
        <v>45546</v>
      </c>
      <c r="D1887" t="s">
        <v>71</v>
      </c>
      <c r="E1887">
        <v>0</v>
      </c>
      <c r="F1887">
        <v>23</v>
      </c>
      <c r="G1887" t="str">
        <f t="shared" si="37"/>
        <v>21-40</v>
      </c>
      <c r="H1887" t="s">
        <v>35</v>
      </c>
      <c r="I1887" t="s">
        <v>64</v>
      </c>
      <c r="J1887" t="s">
        <v>65</v>
      </c>
      <c r="K1887" t="s">
        <v>33</v>
      </c>
      <c r="L1887">
        <v>1</v>
      </c>
      <c r="M1887">
        <v>1</v>
      </c>
      <c r="N1887">
        <v>2.1</v>
      </c>
      <c r="O1887">
        <v>7.5</v>
      </c>
      <c r="P1887">
        <v>4</v>
      </c>
      <c r="Q1887">
        <v>6</v>
      </c>
      <c r="R1887">
        <v>744581</v>
      </c>
      <c r="S1887">
        <f>Table1[[#This Row],[Revenue]]-Table1[[#This Row],[Operating_Costs]]</f>
        <v>484091</v>
      </c>
      <c r="T1887">
        <v>260490</v>
      </c>
      <c r="U1887">
        <v>28</v>
      </c>
      <c r="V1887">
        <v>58</v>
      </c>
      <c r="W1887">
        <v>6.9</v>
      </c>
    </row>
    <row r="1888" spans="1:23" x14ac:dyDescent="0.25">
      <c r="A1888">
        <v>5</v>
      </c>
      <c r="B1888" t="s">
        <v>22</v>
      </c>
      <c r="C1888" s="1">
        <v>44897</v>
      </c>
      <c r="D1888" t="s">
        <v>71</v>
      </c>
      <c r="E1888">
        <v>0</v>
      </c>
      <c r="F1888">
        <v>35</v>
      </c>
      <c r="G1888" t="str">
        <f t="shared" si="37"/>
        <v>21-40</v>
      </c>
      <c r="H1888" t="s">
        <v>35</v>
      </c>
      <c r="I1888" t="s">
        <v>40</v>
      </c>
      <c r="J1888" t="s">
        <v>41</v>
      </c>
      <c r="K1888" t="s">
        <v>42</v>
      </c>
      <c r="L1888">
        <v>1</v>
      </c>
      <c r="M1888">
        <v>1</v>
      </c>
      <c r="N1888">
        <v>5.5</v>
      </c>
      <c r="O1888">
        <v>8.8000000000000007</v>
      </c>
      <c r="P1888">
        <v>5</v>
      </c>
      <c r="Q1888">
        <v>6</v>
      </c>
      <c r="R1888">
        <v>618460</v>
      </c>
      <c r="S1888">
        <f>Table1[[#This Row],[Revenue]]-Table1[[#This Row],[Operating_Costs]]</f>
        <v>205525</v>
      </c>
      <c r="T1888">
        <v>412935</v>
      </c>
      <c r="U1888">
        <v>34</v>
      </c>
      <c r="V1888">
        <v>55</v>
      </c>
      <c r="W1888">
        <v>13.2</v>
      </c>
    </row>
    <row r="1889" spans="1:23" x14ac:dyDescent="0.25">
      <c r="A1889">
        <v>5</v>
      </c>
      <c r="B1889" t="s">
        <v>22</v>
      </c>
      <c r="C1889" s="1">
        <v>45547</v>
      </c>
      <c r="D1889" t="s">
        <v>71</v>
      </c>
      <c r="E1889">
        <v>0</v>
      </c>
      <c r="F1889">
        <v>28</v>
      </c>
      <c r="G1889" t="str">
        <f t="shared" si="37"/>
        <v>21-40</v>
      </c>
      <c r="H1889" t="s">
        <v>35</v>
      </c>
      <c r="I1889" t="s">
        <v>64</v>
      </c>
      <c r="J1889" t="s">
        <v>65</v>
      </c>
      <c r="K1889" t="s">
        <v>29</v>
      </c>
      <c r="L1889">
        <v>1</v>
      </c>
      <c r="M1889">
        <v>1</v>
      </c>
      <c r="N1889">
        <v>1.9</v>
      </c>
      <c r="O1889">
        <v>9.1999999999999993</v>
      </c>
      <c r="P1889">
        <v>6</v>
      </c>
      <c r="Q1889">
        <v>5</v>
      </c>
      <c r="R1889">
        <v>716703</v>
      </c>
      <c r="S1889">
        <f>Table1[[#This Row],[Revenue]]-Table1[[#This Row],[Operating_Costs]]</f>
        <v>358206</v>
      </c>
      <c r="T1889">
        <v>358497</v>
      </c>
      <c r="U1889">
        <v>35</v>
      </c>
      <c r="V1889">
        <v>61</v>
      </c>
      <c r="W1889">
        <v>14.7</v>
      </c>
    </row>
    <row r="1890" spans="1:23" x14ac:dyDescent="0.25">
      <c r="A1890">
        <v>5</v>
      </c>
      <c r="B1890" t="s">
        <v>22</v>
      </c>
      <c r="C1890" s="1">
        <v>44811</v>
      </c>
      <c r="D1890" t="s">
        <v>71</v>
      </c>
      <c r="E1890">
        <v>0</v>
      </c>
      <c r="F1890">
        <v>79</v>
      </c>
      <c r="G1890" t="str">
        <f t="shared" si="37"/>
        <v>61-80</v>
      </c>
      <c r="H1890" t="s">
        <v>35</v>
      </c>
      <c r="I1890" t="s">
        <v>27</v>
      </c>
      <c r="J1890" t="s">
        <v>28</v>
      </c>
      <c r="K1890" t="s">
        <v>26</v>
      </c>
      <c r="L1890">
        <v>1</v>
      </c>
      <c r="M1890">
        <v>1</v>
      </c>
      <c r="N1890">
        <v>3.5</v>
      </c>
      <c r="O1890">
        <v>7.1</v>
      </c>
      <c r="P1890">
        <v>6</v>
      </c>
      <c r="Q1890">
        <v>6</v>
      </c>
      <c r="R1890">
        <v>815269</v>
      </c>
      <c r="S1890">
        <f>Table1[[#This Row],[Revenue]]-Table1[[#This Row],[Operating_Costs]]</f>
        <v>407826</v>
      </c>
      <c r="T1890">
        <v>407443</v>
      </c>
      <c r="U1890">
        <v>20</v>
      </c>
      <c r="V1890">
        <v>59</v>
      </c>
      <c r="W1890">
        <v>9.5</v>
      </c>
    </row>
    <row r="1891" spans="1:23" x14ac:dyDescent="0.25">
      <c r="A1891">
        <v>4</v>
      </c>
      <c r="B1891" t="s">
        <v>69</v>
      </c>
      <c r="C1891" s="1">
        <v>44416</v>
      </c>
      <c r="D1891" t="s">
        <v>71</v>
      </c>
      <c r="E1891">
        <v>0</v>
      </c>
      <c r="F1891">
        <v>85</v>
      </c>
      <c r="G1891" t="str">
        <f t="shared" si="37"/>
        <v>81+</v>
      </c>
      <c r="H1891" t="s">
        <v>23</v>
      </c>
      <c r="I1891" t="s">
        <v>27</v>
      </c>
      <c r="J1891" t="s">
        <v>28</v>
      </c>
      <c r="K1891" t="s">
        <v>29</v>
      </c>
      <c r="L1891">
        <v>1</v>
      </c>
      <c r="M1891">
        <v>1</v>
      </c>
      <c r="N1891">
        <v>6.4</v>
      </c>
      <c r="O1891">
        <v>7</v>
      </c>
      <c r="P1891">
        <v>6</v>
      </c>
      <c r="Q1891">
        <v>6</v>
      </c>
      <c r="R1891">
        <v>823791</v>
      </c>
      <c r="S1891">
        <f>Table1[[#This Row],[Revenue]]-Table1[[#This Row],[Operating_Costs]]</f>
        <v>258098</v>
      </c>
      <c r="T1891">
        <v>565693</v>
      </c>
      <c r="U1891">
        <v>50</v>
      </c>
      <c r="V1891">
        <v>65</v>
      </c>
      <c r="W1891">
        <v>5.7</v>
      </c>
    </row>
    <row r="1892" spans="1:23" x14ac:dyDescent="0.25">
      <c r="A1892">
        <v>4</v>
      </c>
      <c r="B1892" t="s">
        <v>69</v>
      </c>
      <c r="C1892" s="1">
        <v>44931</v>
      </c>
      <c r="D1892" t="s">
        <v>71</v>
      </c>
      <c r="E1892">
        <v>0</v>
      </c>
      <c r="F1892">
        <v>37</v>
      </c>
      <c r="G1892" t="str">
        <f t="shared" si="37"/>
        <v>21-40</v>
      </c>
      <c r="H1892" t="s">
        <v>35</v>
      </c>
      <c r="I1892" t="s">
        <v>55</v>
      </c>
      <c r="J1892" t="s">
        <v>56</v>
      </c>
      <c r="K1892" t="s">
        <v>29</v>
      </c>
      <c r="L1892">
        <v>1</v>
      </c>
      <c r="M1892">
        <v>1</v>
      </c>
      <c r="N1892">
        <v>2.1</v>
      </c>
      <c r="O1892">
        <v>9.5</v>
      </c>
      <c r="P1892">
        <v>5</v>
      </c>
      <c r="Q1892">
        <v>4</v>
      </c>
      <c r="R1892">
        <v>892316</v>
      </c>
      <c r="S1892">
        <f>Table1[[#This Row],[Revenue]]-Table1[[#This Row],[Operating_Costs]]</f>
        <v>241103</v>
      </c>
      <c r="T1892">
        <v>651213</v>
      </c>
      <c r="U1892">
        <v>39</v>
      </c>
      <c r="V1892">
        <v>64</v>
      </c>
      <c r="W1892">
        <v>12.3</v>
      </c>
    </row>
    <row r="1893" spans="1:23" x14ac:dyDescent="0.25">
      <c r="A1893">
        <v>5</v>
      </c>
      <c r="B1893" t="s">
        <v>22</v>
      </c>
      <c r="C1893" s="1">
        <v>44613</v>
      </c>
      <c r="D1893" t="s">
        <v>71</v>
      </c>
      <c r="E1893">
        <v>0</v>
      </c>
      <c r="F1893">
        <v>25</v>
      </c>
      <c r="G1893" t="str">
        <f t="shared" si="37"/>
        <v>21-40</v>
      </c>
      <c r="H1893" t="s">
        <v>35</v>
      </c>
      <c r="I1893" t="s">
        <v>27</v>
      </c>
      <c r="J1893" t="s">
        <v>28</v>
      </c>
      <c r="K1893" t="s">
        <v>29</v>
      </c>
      <c r="L1893">
        <v>1</v>
      </c>
      <c r="M1893">
        <v>1</v>
      </c>
      <c r="N1893">
        <v>6</v>
      </c>
      <c r="O1893">
        <v>7.9</v>
      </c>
      <c r="P1893">
        <v>5</v>
      </c>
      <c r="Q1893">
        <v>4</v>
      </c>
      <c r="R1893">
        <v>961738</v>
      </c>
      <c r="S1893">
        <f>Table1[[#This Row],[Revenue]]-Table1[[#This Row],[Operating_Costs]]</f>
        <v>676064</v>
      </c>
      <c r="T1893">
        <v>285674</v>
      </c>
      <c r="U1893">
        <v>29</v>
      </c>
      <c r="V1893">
        <v>62</v>
      </c>
      <c r="W1893">
        <v>8.6999999999999993</v>
      </c>
    </row>
    <row r="1894" spans="1:23" x14ac:dyDescent="0.25">
      <c r="A1894">
        <v>5</v>
      </c>
      <c r="B1894" t="s">
        <v>22</v>
      </c>
      <c r="C1894" s="1">
        <v>45256</v>
      </c>
      <c r="D1894" t="s">
        <v>71</v>
      </c>
      <c r="E1894">
        <v>0</v>
      </c>
      <c r="F1894">
        <v>44</v>
      </c>
      <c r="G1894" t="str">
        <f t="shared" si="37"/>
        <v>41-60</v>
      </c>
      <c r="H1894" t="s">
        <v>23</v>
      </c>
      <c r="I1894" t="s">
        <v>24</v>
      </c>
      <c r="J1894" t="s">
        <v>25</v>
      </c>
      <c r="K1894" t="s">
        <v>29</v>
      </c>
      <c r="L1894">
        <v>1</v>
      </c>
      <c r="M1894">
        <v>1</v>
      </c>
      <c r="N1894">
        <v>5.6</v>
      </c>
      <c r="O1894">
        <v>9.8000000000000007</v>
      </c>
      <c r="P1894">
        <v>4</v>
      </c>
      <c r="Q1894">
        <v>6</v>
      </c>
      <c r="R1894">
        <v>739971</v>
      </c>
      <c r="S1894">
        <f>Table1[[#This Row],[Revenue]]-Table1[[#This Row],[Operating_Costs]]</f>
        <v>258174</v>
      </c>
      <c r="T1894">
        <v>481797</v>
      </c>
      <c r="U1894">
        <v>22</v>
      </c>
      <c r="V1894">
        <v>63</v>
      </c>
      <c r="W1894">
        <v>36.9</v>
      </c>
    </row>
    <row r="1895" spans="1:23" x14ac:dyDescent="0.25">
      <c r="A1895">
        <v>4</v>
      </c>
      <c r="B1895" t="s">
        <v>69</v>
      </c>
      <c r="C1895" s="1">
        <v>45571</v>
      </c>
      <c r="D1895" t="s">
        <v>71</v>
      </c>
      <c r="E1895">
        <v>0</v>
      </c>
      <c r="F1895">
        <v>23</v>
      </c>
      <c r="G1895" t="str">
        <f t="shared" si="37"/>
        <v>21-40</v>
      </c>
      <c r="H1895" t="s">
        <v>23</v>
      </c>
      <c r="I1895" t="s">
        <v>24</v>
      </c>
      <c r="J1895" t="s">
        <v>25</v>
      </c>
      <c r="K1895" t="s">
        <v>29</v>
      </c>
      <c r="L1895">
        <v>1</v>
      </c>
      <c r="M1895">
        <v>1</v>
      </c>
      <c r="N1895">
        <v>5.7</v>
      </c>
      <c r="O1895">
        <v>9.5</v>
      </c>
      <c r="P1895">
        <v>3</v>
      </c>
      <c r="Q1895">
        <v>7</v>
      </c>
      <c r="R1895">
        <v>914314</v>
      </c>
      <c r="S1895">
        <f>Table1[[#This Row],[Revenue]]-Table1[[#This Row],[Operating_Costs]]</f>
        <v>298251</v>
      </c>
      <c r="T1895">
        <v>616063</v>
      </c>
      <c r="U1895">
        <v>30</v>
      </c>
      <c r="V1895">
        <v>56</v>
      </c>
      <c r="W1895">
        <v>9.5</v>
      </c>
    </row>
    <row r="1896" spans="1:23" x14ac:dyDescent="0.25">
      <c r="A1896">
        <v>5</v>
      </c>
      <c r="B1896" t="s">
        <v>22</v>
      </c>
      <c r="C1896" s="1">
        <v>44576</v>
      </c>
      <c r="D1896" t="s">
        <v>71</v>
      </c>
      <c r="E1896">
        <v>0</v>
      </c>
      <c r="F1896">
        <v>86</v>
      </c>
      <c r="G1896" t="str">
        <f t="shared" si="37"/>
        <v>81+</v>
      </c>
      <c r="H1896" t="s">
        <v>23</v>
      </c>
      <c r="I1896" t="s">
        <v>24</v>
      </c>
      <c r="J1896" t="s">
        <v>25</v>
      </c>
      <c r="K1896" t="s">
        <v>42</v>
      </c>
      <c r="L1896">
        <v>1</v>
      </c>
      <c r="M1896">
        <v>1</v>
      </c>
      <c r="N1896">
        <v>4.7</v>
      </c>
      <c r="O1896">
        <v>9.8000000000000007</v>
      </c>
      <c r="P1896">
        <v>5</v>
      </c>
      <c r="Q1896">
        <v>5</v>
      </c>
      <c r="R1896">
        <v>603039</v>
      </c>
      <c r="S1896">
        <f>Table1[[#This Row],[Revenue]]-Table1[[#This Row],[Operating_Costs]]</f>
        <v>367019</v>
      </c>
      <c r="T1896">
        <v>236020</v>
      </c>
      <c r="U1896">
        <v>31</v>
      </c>
      <c r="V1896">
        <v>59</v>
      </c>
      <c r="W1896">
        <v>10.199999999999999</v>
      </c>
    </row>
    <row r="1897" spans="1:23" x14ac:dyDescent="0.25">
      <c r="A1897">
        <v>5</v>
      </c>
      <c r="B1897" t="s">
        <v>22</v>
      </c>
      <c r="C1897" s="1">
        <v>45240</v>
      </c>
      <c r="D1897" t="s">
        <v>71</v>
      </c>
      <c r="E1897">
        <v>0</v>
      </c>
      <c r="F1897">
        <v>46</v>
      </c>
      <c r="G1897" t="str">
        <f t="shared" si="37"/>
        <v>41-60</v>
      </c>
      <c r="H1897" t="s">
        <v>35</v>
      </c>
      <c r="I1897" t="s">
        <v>40</v>
      </c>
      <c r="J1897" t="s">
        <v>41</v>
      </c>
      <c r="K1897" t="s">
        <v>29</v>
      </c>
      <c r="L1897">
        <v>1</v>
      </c>
      <c r="M1897">
        <v>1</v>
      </c>
      <c r="N1897">
        <v>5.5</v>
      </c>
      <c r="O1897">
        <v>7.7</v>
      </c>
      <c r="P1897">
        <v>7</v>
      </c>
      <c r="Q1897">
        <v>4</v>
      </c>
      <c r="R1897">
        <v>655380</v>
      </c>
      <c r="S1897">
        <f>Table1[[#This Row],[Revenue]]-Table1[[#This Row],[Operating_Costs]]</f>
        <v>250652</v>
      </c>
      <c r="T1897">
        <v>404728</v>
      </c>
      <c r="U1897">
        <v>29</v>
      </c>
      <c r="V1897">
        <v>59</v>
      </c>
      <c r="W1897">
        <v>36.299999999999997</v>
      </c>
    </row>
    <row r="1898" spans="1:23" x14ac:dyDescent="0.25">
      <c r="A1898">
        <v>5</v>
      </c>
      <c r="B1898" t="s">
        <v>22</v>
      </c>
      <c r="C1898" s="1">
        <v>44773</v>
      </c>
      <c r="D1898" t="s">
        <v>71</v>
      </c>
      <c r="E1898">
        <v>0</v>
      </c>
      <c r="F1898">
        <v>66</v>
      </c>
      <c r="G1898" t="str">
        <f t="shared" si="37"/>
        <v>61-80</v>
      </c>
      <c r="H1898" t="s">
        <v>35</v>
      </c>
      <c r="I1898" t="s">
        <v>60</v>
      </c>
      <c r="J1898" t="s">
        <v>59</v>
      </c>
      <c r="K1898" t="s">
        <v>38</v>
      </c>
      <c r="L1898">
        <v>1</v>
      </c>
      <c r="M1898">
        <v>1</v>
      </c>
      <c r="N1898">
        <v>2</v>
      </c>
      <c r="O1898">
        <v>8.3000000000000007</v>
      </c>
      <c r="P1898">
        <v>5</v>
      </c>
      <c r="Q1898">
        <v>5</v>
      </c>
      <c r="R1898">
        <v>807947</v>
      </c>
      <c r="S1898">
        <f>Table1[[#This Row],[Revenue]]-Table1[[#This Row],[Operating_Costs]]</f>
        <v>600805</v>
      </c>
      <c r="T1898">
        <v>207142</v>
      </c>
      <c r="U1898">
        <v>34</v>
      </c>
      <c r="V1898">
        <v>55</v>
      </c>
      <c r="W1898">
        <v>7.8</v>
      </c>
    </row>
    <row r="1899" spans="1:23" x14ac:dyDescent="0.25">
      <c r="A1899">
        <v>4</v>
      </c>
      <c r="B1899" t="s">
        <v>69</v>
      </c>
      <c r="C1899" s="1">
        <v>45550</v>
      </c>
      <c r="D1899" t="s">
        <v>71</v>
      </c>
      <c r="E1899">
        <v>0</v>
      </c>
      <c r="F1899">
        <v>40</v>
      </c>
      <c r="G1899" t="str">
        <f t="shared" si="37"/>
        <v>21-40</v>
      </c>
      <c r="H1899" t="s">
        <v>23</v>
      </c>
      <c r="I1899" t="s">
        <v>64</v>
      </c>
      <c r="J1899" t="s">
        <v>65</v>
      </c>
      <c r="K1899" t="s">
        <v>26</v>
      </c>
      <c r="L1899">
        <v>1</v>
      </c>
      <c r="M1899">
        <v>1</v>
      </c>
      <c r="N1899">
        <v>1.3</v>
      </c>
      <c r="O1899">
        <v>9</v>
      </c>
      <c r="P1899">
        <v>6</v>
      </c>
      <c r="Q1899">
        <v>6</v>
      </c>
      <c r="R1899">
        <v>903799</v>
      </c>
      <c r="S1899">
        <f>Table1[[#This Row],[Revenue]]-Table1[[#This Row],[Operating_Costs]]</f>
        <v>250538</v>
      </c>
      <c r="T1899">
        <v>653261</v>
      </c>
      <c r="U1899">
        <v>47</v>
      </c>
      <c r="V1899">
        <v>60</v>
      </c>
      <c r="W1899">
        <v>12.9</v>
      </c>
    </row>
    <row r="1900" spans="1:23" x14ac:dyDescent="0.25">
      <c r="A1900">
        <v>4</v>
      </c>
      <c r="B1900" t="s">
        <v>69</v>
      </c>
      <c r="C1900" s="1">
        <v>45617</v>
      </c>
      <c r="D1900" t="s">
        <v>71</v>
      </c>
      <c r="E1900">
        <v>0</v>
      </c>
      <c r="F1900">
        <v>82</v>
      </c>
      <c r="G1900" t="str">
        <f t="shared" si="37"/>
        <v>81+</v>
      </c>
      <c r="H1900" t="s">
        <v>23</v>
      </c>
      <c r="I1900" t="s">
        <v>24</v>
      </c>
      <c r="J1900" t="s">
        <v>25</v>
      </c>
      <c r="K1900" t="s">
        <v>33</v>
      </c>
      <c r="L1900">
        <v>1</v>
      </c>
      <c r="M1900">
        <v>1</v>
      </c>
      <c r="N1900">
        <v>2</v>
      </c>
      <c r="O1900">
        <v>7.9</v>
      </c>
      <c r="P1900">
        <v>7</v>
      </c>
      <c r="Q1900">
        <v>6</v>
      </c>
      <c r="R1900">
        <v>817154</v>
      </c>
      <c r="S1900">
        <f>Table1[[#This Row],[Revenue]]-Table1[[#This Row],[Operating_Costs]]</f>
        <v>231093</v>
      </c>
      <c r="T1900">
        <v>586061</v>
      </c>
      <c r="U1900">
        <v>47</v>
      </c>
      <c r="V1900">
        <v>61</v>
      </c>
      <c r="W1900">
        <v>7</v>
      </c>
    </row>
    <row r="1901" spans="1:23" x14ac:dyDescent="0.25">
      <c r="A1901">
        <v>5</v>
      </c>
      <c r="B1901" t="s">
        <v>22</v>
      </c>
      <c r="C1901" s="1">
        <v>44616</v>
      </c>
      <c r="D1901" t="s">
        <v>71</v>
      </c>
      <c r="E1901">
        <v>0</v>
      </c>
      <c r="F1901">
        <v>23</v>
      </c>
      <c r="G1901" t="str">
        <f t="shared" si="37"/>
        <v>21-40</v>
      </c>
      <c r="H1901" t="s">
        <v>35</v>
      </c>
      <c r="I1901" t="s">
        <v>36</v>
      </c>
      <c r="J1901" t="s">
        <v>37</v>
      </c>
      <c r="K1901" t="s">
        <v>38</v>
      </c>
      <c r="L1901">
        <v>1</v>
      </c>
      <c r="M1901">
        <v>1</v>
      </c>
      <c r="N1901">
        <v>6.2</v>
      </c>
      <c r="O1901">
        <v>9.1</v>
      </c>
      <c r="P1901">
        <v>6</v>
      </c>
      <c r="Q1901">
        <v>6</v>
      </c>
      <c r="R1901">
        <v>774898</v>
      </c>
      <c r="S1901">
        <f>Table1[[#This Row],[Revenue]]-Table1[[#This Row],[Operating_Costs]]</f>
        <v>402825</v>
      </c>
      <c r="T1901">
        <v>372073</v>
      </c>
      <c r="U1901">
        <v>32</v>
      </c>
      <c r="V1901">
        <v>62</v>
      </c>
      <c r="W1901">
        <v>36.5</v>
      </c>
    </row>
    <row r="1902" spans="1:23" x14ac:dyDescent="0.25">
      <c r="A1902">
        <v>5</v>
      </c>
      <c r="B1902" t="s">
        <v>22</v>
      </c>
      <c r="C1902" s="1">
        <v>44777</v>
      </c>
      <c r="D1902" t="s">
        <v>71</v>
      </c>
      <c r="E1902">
        <v>0</v>
      </c>
      <c r="F1902">
        <v>28</v>
      </c>
      <c r="G1902" t="str">
        <f t="shared" si="37"/>
        <v>21-40</v>
      </c>
      <c r="H1902" t="s">
        <v>23</v>
      </c>
      <c r="I1902" t="s">
        <v>43</v>
      </c>
      <c r="J1902" t="s">
        <v>25</v>
      </c>
      <c r="K1902" t="s">
        <v>33</v>
      </c>
      <c r="L1902">
        <v>1</v>
      </c>
      <c r="M1902">
        <v>1</v>
      </c>
      <c r="N1902">
        <v>1.4</v>
      </c>
      <c r="O1902">
        <v>9.8000000000000007</v>
      </c>
      <c r="P1902">
        <v>3</v>
      </c>
      <c r="Q1902">
        <v>7</v>
      </c>
      <c r="R1902">
        <v>746489</v>
      </c>
      <c r="S1902">
        <f>Table1[[#This Row],[Revenue]]-Table1[[#This Row],[Operating_Costs]]</f>
        <v>350467</v>
      </c>
      <c r="T1902">
        <v>396022</v>
      </c>
      <c r="U1902">
        <v>26</v>
      </c>
      <c r="V1902">
        <v>58</v>
      </c>
      <c r="W1902">
        <v>8</v>
      </c>
    </row>
    <row r="1903" spans="1:23" x14ac:dyDescent="0.25">
      <c r="A1903">
        <v>5</v>
      </c>
      <c r="B1903" t="s">
        <v>22</v>
      </c>
      <c r="C1903" s="1">
        <v>45449</v>
      </c>
      <c r="D1903" t="s">
        <v>71</v>
      </c>
      <c r="E1903">
        <v>0</v>
      </c>
      <c r="F1903">
        <v>67</v>
      </c>
      <c r="G1903" t="str">
        <f t="shared" si="37"/>
        <v>61-80</v>
      </c>
      <c r="H1903" t="s">
        <v>35</v>
      </c>
      <c r="I1903" t="s">
        <v>40</v>
      </c>
      <c r="J1903" t="s">
        <v>41</v>
      </c>
      <c r="K1903" t="s">
        <v>33</v>
      </c>
      <c r="L1903">
        <v>1</v>
      </c>
      <c r="M1903">
        <v>1</v>
      </c>
      <c r="N1903">
        <v>5.0999999999999996</v>
      </c>
      <c r="O1903">
        <v>10</v>
      </c>
      <c r="P1903">
        <v>4</v>
      </c>
      <c r="Q1903">
        <v>4</v>
      </c>
      <c r="R1903">
        <v>641999</v>
      </c>
      <c r="S1903">
        <f>Table1[[#This Row],[Revenue]]-Table1[[#This Row],[Operating_Costs]]</f>
        <v>263638</v>
      </c>
      <c r="T1903">
        <v>378361</v>
      </c>
      <c r="U1903">
        <v>32</v>
      </c>
      <c r="V1903">
        <v>66</v>
      </c>
      <c r="W1903">
        <v>7.4</v>
      </c>
    </row>
    <row r="1904" spans="1:23" x14ac:dyDescent="0.25">
      <c r="A1904">
        <v>5</v>
      </c>
      <c r="B1904" t="s">
        <v>22</v>
      </c>
      <c r="C1904" s="1">
        <v>44586</v>
      </c>
      <c r="D1904" t="s">
        <v>71</v>
      </c>
      <c r="E1904">
        <v>0</v>
      </c>
      <c r="F1904">
        <v>34</v>
      </c>
      <c r="G1904" t="str">
        <f t="shared" si="37"/>
        <v>21-40</v>
      </c>
      <c r="H1904" t="s">
        <v>23</v>
      </c>
      <c r="I1904" t="s">
        <v>50</v>
      </c>
      <c r="J1904" t="s">
        <v>51</v>
      </c>
      <c r="K1904" t="s">
        <v>29</v>
      </c>
      <c r="L1904">
        <v>1</v>
      </c>
      <c r="M1904">
        <v>1</v>
      </c>
      <c r="N1904">
        <v>4.9000000000000004</v>
      </c>
      <c r="O1904">
        <v>9.4</v>
      </c>
      <c r="P1904">
        <v>5</v>
      </c>
      <c r="Q1904">
        <v>5</v>
      </c>
      <c r="R1904">
        <v>647347</v>
      </c>
      <c r="S1904">
        <f>Table1[[#This Row],[Revenue]]-Table1[[#This Row],[Operating_Costs]]</f>
        <v>295633</v>
      </c>
      <c r="T1904">
        <v>351714</v>
      </c>
      <c r="U1904">
        <v>28</v>
      </c>
      <c r="V1904">
        <v>65</v>
      </c>
      <c r="W1904">
        <v>15</v>
      </c>
    </row>
    <row r="1905" spans="1:23" x14ac:dyDescent="0.25">
      <c r="A1905">
        <v>5</v>
      </c>
      <c r="B1905" t="s">
        <v>22</v>
      </c>
      <c r="C1905" s="1">
        <v>44661</v>
      </c>
      <c r="D1905" t="s">
        <v>71</v>
      </c>
      <c r="E1905">
        <v>0</v>
      </c>
      <c r="F1905">
        <v>67</v>
      </c>
      <c r="G1905" t="str">
        <f t="shared" si="37"/>
        <v>61-80</v>
      </c>
      <c r="H1905" t="s">
        <v>35</v>
      </c>
      <c r="I1905" t="s">
        <v>53</v>
      </c>
      <c r="J1905" t="s">
        <v>54</v>
      </c>
      <c r="K1905" t="s">
        <v>38</v>
      </c>
      <c r="L1905">
        <v>1</v>
      </c>
      <c r="M1905">
        <v>1</v>
      </c>
      <c r="N1905">
        <v>1.8</v>
      </c>
      <c r="O1905">
        <v>7.9</v>
      </c>
      <c r="P1905">
        <v>3</v>
      </c>
      <c r="Q1905">
        <v>7</v>
      </c>
      <c r="R1905">
        <v>747213</v>
      </c>
      <c r="S1905">
        <f>Table1[[#This Row],[Revenue]]-Table1[[#This Row],[Operating_Costs]]</f>
        <v>502881</v>
      </c>
      <c r="T1905">
        <v>244332</v>
      </c>
      <c r="U1905">
        <v>35</v>
      </c>
      <c r="V1905">
        <v>55</v>
      </c>
      <c r="W1905">
        <v>5.0999999999999996</v>
      </c>
    </row>
    <row r="1906" spans="1:23" x14ac:dyDescent="0.25">
      <c r="A1906">
        <v>5</v>
      </c>
      <c r="B1906" t="s">
        <v>22</v>
      </c>
      <c r="C1906" s="1">
        <v>44855</v>
      </c>
      <c r="D1906" t="s">
        <v>71</v>
      </c>
      <c r="E1906">
        <v>0</v>
      </c>
      <c r="F1906">
        <v>78</v>
      </c>
      <c r="G1906" t="str">
        <f t="shared" si="37"/>
        <v>61-80</v>
      </c>
      <c r="H1906" t="s">
        <v>35</v>
      </c>
      <c r="I1906" t="s">
        <v>46</v>
      </c>
      <c r="J1906" t="s">
        <v>47</v>
      </c>
      <c r="K1906" t="s">
        <v>26</v>
      </c>
      <c r="L1906">
        <v>1</v>
      </c>
      <c r="M1906">
        <v>1</v>
      </c>
      <c r="N1906">
        <v>5.8</v>
      </c>
      <c r="O1906">
        <v>8.4</v>
      </c>
      <c r="P1906">
        <v>7</v>
      </c>
      <c r="Q1906">
        <v>6</v>
      </c>
      <c r="R1906">
        <v>751548</v>
      </c>
      <c r="S1906">
        <f>Table1[[#This Row],[Revenue]]-Table1[[#This Row],[Operating_Costs]]</f>
        <v>357956</v>
      </c>
      <c r="T1906">
        <v>393592</v>
      </c>
      <c r="U1906">
        <v>35</v>
      </c>
      <c r="V1906">
        <v>62</v>
      </c>
      <c r="W1906">
        <v>7.3</v>
      </c>
    </row>
    <row r="1907" spans="1:23" x14ac:dyDescent="0.25">
      <c r="A1907">
        <v>5</v>
      </c>
      <c r="B1907" t="s">
        <v>22</v>
      </c>
      <c r="C1907" s="1">
        <v>45341</v>
      </c>
      <c r="D1907" t="s">
        <v>71</v>
      </c>
      <c r="E1907">
        <v>0</v>
      </c>
      <c r="F1907">
        <v>39</v>
      </c>
      <c r="G1907" t="str">
        <f t="shared" si="37"/>
        <v>21-40</v>
      </c>
      <c r="H1907" t="s">
        <v>35</v>
      </c>
      <c r="I1907" t="s">
        <v>60</v>
      </c>
      <c r="J1907" t="s">
        <v>59</v>
      </c>
      <c r="K1907" t="s">
        <v>38</v>
      </c>
      <c r="L1907">
        <v>1</v>
      </c>
      <c r="M1907">
        <v>1</v>
      </c>
      <c r="N1907">
        <v>1.5</v>
      </c>
      <c r="O1907">
        <v>8.6</v>
      </c>
      <c r="P1907">
        <v>5</v>
      </c>
      <c r="Q1907">
        <v>4</v>
      </c>
      <c r="R1907">
        <v>900212</v>
      </c>
      <c r="S1907">
        <f>Table1[[#This Row],[Revenue]]-Table1[[#This Row],[Operating_Costs]]</f>
        <v>543569</v>
      </c>
      <c r="T1907">
        <v>356643</v>
      </c>
      <c r="U1907">
        <v>29</v>
      </c>
      <c r="V1907">
        <v>55</v>
      </c>
      <c r="W1907">
        <v>7.1</v>
      </c>
    </row>
    <row r="1908" spans="1:23" x14ac:dyDescent="0.25">
      <c r="A1908">
        <v>5</v>
      </c>
      <c r="B1908" t="s">
        <v>22</v>
      </c>
      <c r="C1908" s="1">
        <v>45179</v>
      </c>
      <c r="D1908" t="s">
        <v>71</v>
      </c>
      <c r="E1908">
        <v>0</v>
      </c>
      <c r="F1908">
        <v>87</v>
      </c>
      <c r="G1908" t="str">
        <f t="shared" si="37"/>
        <v>81+</v>
      </c>
      <c r="H1908" t="s">
        <v>23</v>
      </c>
      <c r="I1908" t="s">
        <v>50</v>
      </c>
      <c r="J1908" t="s">
        <v>51</v>
      </c>
      <c r="K1908" t="s">
        <v>29</v>
      </c>
      <c r="L1908">
        <v>1</v>
      </c>
      <c r="M1908">
        <v>1</v>
      </c>
      <c r="N1908">
        <v>5.9</v>
      </c>
      <c r="O1908">
        <v>8</v>
      </c>
      <c r="P1908">
        <v>7</v>
      </c>
      <c r="Q1908">
        <v>7</v>
      </c>
      <c r="R1908">
        <v>869588</v>
      </c>
      <c r="S1908">
        <f>Table1[[#This Row],[Revenue]]-Table1[[#This Row],[Operating_Costs]]</f>
        <v>419561</v>
      </c>
      <c r="T1908">
        <v>450027</v>
      </c>
      <c r="U1908">
        <v>34</v>
      </c>
      <c r="V1908">
        <v>58</v>
      </c>
      <c r="W1908">
        <v>9.1999999999999993</v>
      </c>
    </row>
    <row r="1909" spans="1:23" x14ac:dyDescent="0.25">
      <c r="A1909">
        <v>5</v>
      </c>
      <c r="B1909" t="s">
        <v>22</v>
      </c>
      <c r="C1909" s="1">
        <v>44554</v>
      </c>
      <c r="D1909" t="s">
        <v>71</v>
      </c>
      <c r="E1909">
        <v>0</v>
      </c>
      <c r="F1909">
        <v>79</v>
      </c>
      <c r="G1909" t="str">
        <f t="shared" si="37"/>
        <v>61-80</v>
      </c>
      <c r="H1909" t="s">
        <v>23</v>
      </c>
      <c r="I1909" t="s">
        <v>58</v>
      </c>
      <c r="J1909" t="s">
        <v>59</v>
      </c>
      <c r="K1909" t="s">
        <v>38</v>
      </c>
      <c r="L1909">
        <v>1</v>
      </c>
      <c r="M1909">
        <v>1</v>
      </c>
      <c r="N1909">
        <v>3.8</v>
      </c>
      <c r="O1909">
        <v>8.3000000000000007</v>
      </c>
      <c r="P1909">
        <v>7</v>
      </c>
      <c r="Q1909">
        <v>5</v>
      </c>
      <c r="R1909">
        <v>904226</v>
      </c>
      <c r="S1909">
        <f>Table1[[#This Row],[Revenue]]-Table1[[#This Row],[Operating_Costs]]</f>
        <v>651685</v>
      </c>
      <c r="T1909">
        <v>252541</v>
      </c>
      <c r="U1909">
        <v>37</v>
      </c>
      <c r="V1909">
        <v>62</v>
      </c>
      <c r="W1909">
        <v>7.5</v>
      </c>
    </row>
    <row r="1910" spans="1:23" x14ac:dyDescent="0.25">
      <c r="A1910">
        <v>5</v>
      </c>
      <c r="B1910" t="s">
        <v>22</v>
      </c>
      <c r="C1910" s="1">
        <v>44579</v>
      </c>
      <c r="D1910" t="s">
        <v>71</v>
      </c>
      <c r="E1910">
        <v>0</v>
      </c>
      <c r="F1910">
        <v>48</v>
      </c>
      <c r="G1910" t="str">
        <f t="shared" si="37"/>
        <v>41-60</v>
      </c>
      <c r="H1910" t="s">
        <v>35</v>
      </c>
      <c r="I1910" t="s">
        <v>50</v>
      </c>
      <c r="J1910" t="s">
        <v>51</v>
      </c>
      <c r="K1910" t="s">
        <v>38</v>
      </c>
      <c r="L1910">
        <v>1</v>
      </c>
      <c r="M1910">
        <v>1</v>
      </c>
      <c r="N1910">
        <v>4.0999999999999996</v>
      </c>
      <c r="O1910">
        <v>9.1</v>
      </c>
      <c r="P1910">
        <v>4</v>
      </c>
      <c r="Q1910">
        <v>4</v>
      </c>
      <c r="R1910">
        <v>916093</v>
      </c>
      <c r="S1910">
        <f>Table1[[#This Row],[Revenue]]-Table1[[#This Row],[Operating_Costs]]</f>
        <v>569595</v>
      </c>
      <c r="T1910">
        <v>346498</v>
      </c>
      <c r="U1910">
        <v>23</v>
      </c>
      <c r="V1910">
        <v>64</v>
      </c>
      <c r="W1910">
        <v>10.1</v>
      </c>
    </row>
    <row r="1911" spans="1:23" x14ac:dyDescent="0.25">
      <c r="A1911">
        <v>5</v>
      </c>
      <c r="B1911" t="s">
        <v>22</v>
      </c>
      <c r="C1911" s="1">
        <v>44960</v>
      </c>
      <c r="D1911" t="s">
        <v>71</v>
      </c>
      <c r="E1911">
        <v>0</v>
      </c>
      <c r="F1911">
        <v>88</v>
      </c>
      <c r="G1911" t="str">
        <f t="shared" si="37"/>
        <v>81+</v>
      </c>
      <c r="H1911" t="s">
        <v>23</v>
      </c>
      <c r="I1911" t="s">
        <v>24</v>
      </c>
      <c r="J1911" t="s">
        <v>25</v>
      </c>
      <c r="K1911" t="s">
        <v>42</v>
      </c>
      <c r="L1911">
        <v>1</v>
      </c>
      <c r="M1911">
        <v>1</v>
      </c>
      <c r="N1911">
        <v>5.7</v>
      </c>
      <c r="O1911">
        <v>7.3</v>
      </c>
      <c r="P1911">
        <v>7</v>
      </c>
      <c r="Q1911">
        <v>7</v>
      </c>
      <c r="R1911">
        <v>714998</v>
      </c>
      <c r="S1911">
        <f>Table1[[#This Row],[Revenue]]-Table1[[#This Row],[Operating_Costs]]</f>
        <v>290184</v>
      </c>
      <c r="T1911">
        <v>424814</v>
      </c>
      <c r="U1911">
        <v>38</v>
      </c>
      <c r="V1911">
        <v>57</v>
      </c>
      <c r="W1911">
        <v>7.6</v>
      </c>
    </row>
    <row r="1912" spans="1:23" x14ac:dyDescent="0.25">
      <c r="A1912">
        <v>5</v>
      </c>
      <c r="B1912" t="s">
        <v>22</v>
      </c>
      <c r="C1912" s="1">
        <v>44636</v>
      </c>
      <c r="D1912" t="s">
        <v>71</v>
      </c>
      <c r="E1912">
        <v>0</v>
      </c>
      <c r="F1912">
        <v>39</v>
      </c>
      <c r="G1912" t="str">
        <f t="shared" si="37"/>
        <v>21-40</v>
      </c>
      <c r="H1912" t="s">
        <v>23</v>
      </c>
      <c r="I1912" t="s">
        <v>43</v>
      </c>
      <c r="J1912" t="s">
        <v>25</v>
      </c>
      <c r="K1912" t="s">
        <v>26</v>
      </c>
      <c r="L1912">
        <v>1</v>
      </c>
      <c r="M1912">
        <v>1</v>
      </c>
      <c r="N1912">
        <v>1.2</v>
      </c>
      <c r="O1912">
        <v>7.2</v>
      </c>
      <c r="P1912">
        <v>3</v>
      </c>
      <c r="Q1912">
        <v>3</v>
      </c>
      <c r="R1912">
        <v>858070</v>
      </c>
      <c r="S1912">
        <f>Table1[[#This Row],[Revenue]]-Table1[[#This Row],[Operating_Costs]]</f>
        <v>451138</v>
      </c>
      <c r="T1912">
        <v>406932</v>
      </c>
      <c r="U1912">
        <v>35</v>
      </c>
      <c r="V1912">
        <v>56</v>
      </c>
      <c r="W1912">
        <v>6</v>
      </c>
    </row>
    <row r="1913" spans="1:23" x14ac:dyDescent="0.25">
      <c r="A1913">
        <v>6</v>
      </c>
      <c r="B1913" t="s">
        <v>70</v>
      </c>
      <c r="C1913" s="1">
        <v>45493</v>
      </c>
      <c r="D1913" t="s">
        <v>71</v>
      </c>
      <c r="E1913">
        <v>0</v>
      </c>
      <c r="F1913">
        <v>34</v>
      </c>
      <c r="G1913" t="str">
        <f t="shared" si="37"/>
        <v>21-40</v>
      </c>
      <c r="H1913" t="s">
        <v>35</v>
      </c>
      <c r="I1913" t="s">
        <v>53</v>
      </c>
      <c r="J1913" t="s">
        <v>54</v>
      </c>
      <c r="K1913" t="s">
        <v>33</v>
      </c>
      <c r="L1913">
        <v>1</v>
      </c>
      <c r="M1913">
        <v>1</v>
      </c>
      <c r="N1913">
        <v>4.0999999999999996</v>
      </c>
      <c r="O1913">
        <v>8.6</v>
      </c>
      <c r="P1913">
        <v>3</v>
      </c>
      <c r="Q1913">
        <v>6</v>
      </c>
      <c r="R1913">
        <v>792959</v>
      </c>
      <c r="S1913">
        <f>Table1[[#This Row],[Revenue]]-Table1[[#This Row],[Operating_Costs]]</f>
        <v>350036</v>
      </c>
      <c r="T1913">
        <v>442923</v>
      </c>
      <c r="U1913">
        <v>23</v>
      </c>
      <c r="V1913">
        <v>60</v>
      </c>
      <c r="W1913">
        <v>5.3</v>
      </c>
    </row>
    <row r="1914" spans="1:23" x14ac:dyDescent="0.25">
      <c r="A1914">
        <v>6</v>
      </c>
      <c r="B1914" t="s">
        <v>70</v>
      </c>
      <c r="C1914" s="1">
        <v>45529</v>
      </c>
      <c r="D1914" t="s">
        <v>71</v>
      </c>
      <c r="E1914">
        <v>0</v>
      </c>
      <c r="F1914">
        <v>68</v>
      </c>
      <c r="G1914" t="str">
        <f t="shared" si="37"/>
        <v>61-80</v>
      </c>
      <c r="H1914" t="s">
        <v>23</v>
      </c>
      <c r="I1914" t="s">
        <v>27</v>
      </c>
      <c r="J1914" t="s">
        <v>28</v>
      </c>
      <c r="K1914" t="s">
        <v>42</v>
      </c>
      <c r="L1914">
        <v>1</v>
      </c>
      <c r="M1914">
        <v>1</v>
      </c>
      <c r="N1914">
        <v>5.5</v>
      </c>
      <c r="O1914">
        <v>7.4</v>
      </c>
      <c r="P1914">
        <v>3</v>
      </c>
      <c r="Q1914">
        <v>7</v>
      </c>
      <c r="R1914">
        <v>768842</v>
      </c>
      <c r="S1914">
        <f>Table1[[#This Row],[Revenue]]-Table1[[#This Row],[Operating_Costs]]</f>
        <v>208747</v>
      </c>
      <c r="T1914">
        <v>560095</v>
      </c>
      <c r="U1914">
        <v>30</v>
      </c>
      <c r="V1914">
        <v>65</v>
      </c>
      <c r="W1914">
        <v>5.3</v>
      </c>
    </row>
    <row r="1915" spans="1:23" x14ac:dyDescent="0.25">
      <c r="A1915">
        <v>5</v>
      </c>
      <c r="B1915" t="s">
        <v>22</v>
      </c>
      <c r="C1915" s="1">
        <v>44219</v>
      </c>
      <c r="D1915" t="s">
        <v>71</v>
      </c>
      <c r="E1915">
        <v>0</v>
      </c>
      <c r="F1915">
        <v>82</v>
      </c>
      <c r="G1915" t="str">
        <f t="shared" si="37"/>
        <v>81+</v>
      </c>
      <c r="H1915" t="s">
        <v>23</v>
      </c>
      <c r="I1915" t="s">
        <v>24</v>
      </c>
      <c r="J1915" t="s">
        <v>25</v>
      </c>
      <c r="K1915" t="s">
        <v>38</v>
      </c>
      <c r="L1915">
        <v>1</v>
      </c>
      <c r="M1915">
        <v>1</v>
      </c>
      <c r="N1915">
        <v>4.7</v>
      </c>
      <c r="O1915">
        <v>8.3000000000000007</v>
      </c>
      <c r="P1915">
        <v>7</v>
      </c>
      <c r="Q1915">
        <v>3</v>
      </c>
      <c r="R1915">
        <v>728676</v>
      </c>
      <c r="S1915">
        <f>Table1[[#This Row],[Revenue]]-Table1[[#This Row],[Operating_Costs]]</f>
        <v>250784</v>
      </c>
      <c r="T1915">
        <v>477892</v>
      </c>
      <c r="U1915">
        <v>25</v>
      </c>
      <c r="V1915">
        <v>66</v>
      </c>
      <c r="W1915">
        <v>36.299999999999997</v>
      </c>
    </row>
    <row r="1916" spans="1:23" x14ac:dyDescent="0.25">
      <c r="A1916">
        <v>6</v>
      </c>
      <c r="B1916" t="s">
        <v>70</v>
      </c>
      <c r="C1916" s="1">
        <v>44659</v>
      </c>
      <c r="D1916" t="s">
        <v>71</v>
      </c>
      <c r="E1916">
        <v>0</v>
      </c>
      <c r="F1916">
        <v>43</v>
      </c>
      <c r="G1916" t="str">
        <f t="shared" si="37"/>
        <v>41-60</v>
      </c>
      <c r="H1916" t="s">
        <v>35</v>
      </c>
      <c r="I1916" t="s">
        <v>61</v>
      </c>
      <c r="J1916" t="s">
        <v>62</v>
      </c>
      <c r="K1916" t="s">
        <v>33</v>
      </c>
      <c r="L1916">
        <v>1</v>
      </c>
      <c r="M1916">
        <v>1</v>
      </c>
      <c r="N1916">
        <v>4.2</v>
      </c>
      <c r="O1916">
        <v>9</v>
      </c>
      <c r="P1916">
        <v>5</v>
      </c>
      <c r="Q1916">
        <v>6</v>
      </c>
      <c r="R1916">
        <v>703633</v>
      </c>
      <c r="S1916">
        <f>Table1[[#This Row],[Revenue]]-Table1[[#This Row],[Operating_Costs]]</f>
        <v>164098</v>
      </c>
      <c r="T1916">
        <v>539535</v>
      </c>
      <c r="U1916">
        <v>27</v>
      </c>
      <c r="V1916">
        <v>65</v>
      </c>
      <c r="W1916">
        <v>10.1</v>
      </c>
    </row>
    <row r="1917" spans="1:23" x14ac:dyDescent="0.25">
      <c r="A1917">
        <v>6</v>
      </c>
      <c r="B1917" t="s">
        <v>70</v>
      </c>
      <c r="C1917" s="1">
        <v>44381</v>
      </c>
      <c r="D1917" t="s">
        <v>71</v>
      </c>
      <c r="E1917">
        <v>0</v>
      </c>
      <c r="F1917">
        <v>43</v>
      </c>
      <c r="G1917" t="str">
        <f t="shared" si="37"/>
        <v>41-60</v>
      </c>
      <c r="H1917" t="s">
        <v>23</v>
      </c>
      <c r="I1917" t="s">
        <v>27</v>
      </c>
      <c r="J1917" t="s">
        <v>28</v>
      </c>
      <c r="K1917" t="s">
        <v>38</v>
      </c>
      <c r="L1917">
        <v>1</v>
      </c>
      <c r="M1917">
        <v>1</v>
      </c>
      <c r="N1917">
        <v>4.4000000000000004</v>
      </c>
      <c r="O1917">
        <v>8.6</v>
      </c>
      <c r="P1917">
        <v>3</v>
      </c>
      <c r="Q1917">
        <v>7</v>
      </c>
      <c r="R1917">
        <v>778274</v>
      </c>
      <c r="S1917">
        <f>Table1[[#This Row],[Revenue]]-Table1[[#This Row],[Operating_Costs]]</f>
        <v>339909</v>
      </c>
      <c r="T1917">
        <v>438365</v>
      </c>
      <c r="U1917">
        <v>23</v>
      </c>
      <c r="V1917">
        <v>61</v>
      </c>
      <c r="W1917">
        <v>7.8</v>
      </c>
    </row>
    <row r="1918" spans="1:23" x14ac:dyDescent="0.25">
      <c r="A1918">
        <v>5</v>
      </c>
      <c r="B1918" t="s">
        <v>22</v>
      </c>
      <c r="C1918" s="1">
        <v>44572</v>
      </c>
      <c r="D1918" t="s">
        <v>71</v>
      </c>
      <c r="E1918">
        <v>0</v>
      </c>
      <c r="F1918">
        <v>50</v>
      </c>
      <c r="G1918" t="str">
        <f t="shared" si="37"/>
        <v>41-60</v>
      </c>
      <c r="H1918" t="s">
        <v>35</v>
      </c>
      <c r="I1918" t="s">
        <v>55</v>
      </c>
      <c r="J1918" t="s">
        <v>56</v>
      </c>
      <c r="K1918" t="s">
        <v>42</v>
      </c>
      <c r="L1918">
        <v>1</v>
      </c>
      <c r="M1918">
        <v>1</v>
      </c>
      <c r="N1918">
        <v>4.5999999999999996</v>
      </c>
      <c r="O1918">
        <v>7.4</v>
      </c>
      <c r="P1918">
        <v>5</v>
      </c>
      <c r="Q1918">
        <v>4</v>
      </c>
      <c r="R1918">
        <v>807406</v>
      </c>
      <c r="S1918">
        <f>Table1[[#This Row],[Revenue]]-Table1[[#This Row],[Operating_Costs]]</f>
        <v>446361</v>
      </c>
      <c r="T1918">
        <v>361045</v>
      </c>
      <c r="U1918">
        <v>35</v>
      </c>
      <c r="V1918">
        <v>62</v>
      </c>
      <c r="W1918">
        <v>6.9</v>
      </c>
    </row>
    <row r="1919" spans="1:23" x14ac:dyDescent="0.25">
      <c r="A1919">
        <v>6</v>
      </c>
      <c r="B1919" t="s">
        <v>70</v>
      </c>
      <c r="C1919" s="1">
        <v>44746</v>
      </c>
      <c r="D1919" t="s">
        <v>71</v>
      </c>
      <c r="E1919">
        <v>0</v>
      </c>
      <c r="F1919">
        <v>27</v>
      </c>
      <c r="G1919" t="str">
        <f t="shared" si="37"/>
        <v>21-40</v>
      </c>
      <c r="H1919" t="s">
        <v>23</v>
      </c>
      <c r="I1919" t="s">
        <v>24</v>
      </c>
      <c r="J1919" t="s">
        <v>25</v>
      </c>
      <c r="K1919" t="s">
        <v>42</v>
      </c>
      <c r="L1919">
        <v>1</v>
      </c>
      <c r="M1919">
        <v>1</v>
      </c>
      <c r="N1919">
        <v>3.7</v>
      </c>
      <c r="O1919">
        <v>7.6</v>
      </c>
      <c r="P1919">
        <v>7</v>
      </c>
      <c r="Q1919">
        <v>6</v>
      </c>
      <c r="R1919">
        <v>680806</v>
      </c>
      <c r="S1919">
        <f>Table1[[#This Row],[Revenue]]-Table1[[#This Row],[Operating_Costs]]</f>
        <v>270596</v>
      </c>
      <c r="T1919">
        <v>410210</v>
      </c>
      <c r="U1919">
        <v>23</v>
      </c>
      <c r="V1919">
        <v>66</v>
      </c>
      <c r="W1919">
        <v>7.9</v>
      </c>
    </row>
    <row r="1920" spans="1:23" x14ac:dyDescent="0.25">
      <c r="A1920">
        <v>5</v>
      </c>
      <c r="B1920" t="s">
        <v>22</v>
      </c>
      <c r="C1920" s="1">
        <v>45213</v>
      </c>
      <c r="D1920" t="s">
        <v>71</v>
      </c>
      <c r="E1920">
        <v>0</v>
      </c>
      <c r="F1920">
        <v>44</v>
      </c>
      <c r="G1920" t="str">
        <f t="shared" si="37"/>
        <v>41-60</v>
      </c>
      <c r="H1920" t="s">
        <v>35</v>
      </c>
      <c r="I1920" t="s">
        <v>64</v>
      </c>
      <c r="J1920" t="s">
        <v>65</v>
      </c>
      <c r="K1920" t="s">
        <v>33</v>
      </c>
      <c r="L1920">
        <v>1</v>
      </c>
      <c r="M1920">
        <v>1</v>
      </c>
      <c r="N1920">
        <v>2.9</v>
      </c>
      <c r="O1920">
        <v>7.1</v>
      </c>
      <c r="P1920">
        <v>5</v>
      </c>
      <c r="Q1920">
        <v>5</v>
      </c>
      <c r="R1920">
        <v>920260</v>
      </c>
      <c r="S1920">
        <f>Table1[[#This Row],[Revenue]]-Table1[[#This Row],[Operating_Costs]]</f>
        <v>444716</v>
      </c>
      <c r="T1920">
        <v>475544</v>
      </c>
      <c r="U1920">
        <v>37</v>
      </c>
      <c r="V1920">
        <v>63</v>
      </c>
      <c r="W1920">
        <v>5.4</v>
      </c>
    </row>
    <row r="1921" spans="1:23" x14ac:dyDescent="0.25">
      <c r="A1921">
        <v>6</v>
      </c>
      <c r="B1921" t="s">
        <v>70</v>
      </c>
      <c r="C1921" s="1">
        <v>44879</v>
      </c>
      <c r="D1921" t="s">
        <v>71</v>
      </c>
      <c r="E1921">
        <v>0</v>
      </c>
      <c r="F1921">
        <v>69</v>
      </c>
      <c r="G1921" t="str">
        <f t="shared" si="37"/>
        <v>61-80</v>
      </c>
      <c r="H1921" t="s">
        <v>35</v>
      </c>
      <c r="I1921" t="s">
        <v>36</v>
      </c>
      <c r="J1921" t="s">
        <v>37</v>
      </c>
      <c r="K1921" t="s">
        <v>38</v>
      </c>
      <c r="L1921">
        <v>1</v>
      </c>
      <c r="M1921">
        <v>1</v>
      </c>
      <c r="N1921">
        <v>4.4000000000000004</v>
      </c>
      <c r="O1921">
        <v>7.4</v>
      </c>
      <c r="P1921">
        <v>7</v>
      </c>
      <c r="Q1921">
        <v>4</v>
      </c>
      <c r="R1921">
        <v>666539</v>
      </c>
      <c r="S1921">
        <f>Table1[[#This Row],[Revenue]]-Table1[[#This Row],[Operating_Costs]]</f>
        <v>115672</v>
      </c>
      <c r="T1921">
        <v>550867</v>
      </c>
      <c r="U1921">
        <v>27</v>
      </c>
      <c r="V1921">
        <v>63</v>
      </c>
      <c r="W1921">
        <v>10.5</v>
      </c>
    </row>
    <row r="1922" spans="1:23" x14ac:dyDescent="0.25">
      <c r="A1922">
        <v>5</v>
      </c>
      <c r="B1922" t="s">
        <v>22</v>
      </c>
      <c r="C1922" s="1">
        <v>44496</v>
      </c>
      <c r="D1922" t="s">
        <v>71</v>
      </c>
      <c r="E1922">
        <v>0</v>
      </c>
      <c r="F1922">
        <v>61</v>
      </c>
      <c r="G1922" t="str">
        <f t="shared" si="37"/>
        <v>61-80</v>
      </c>
      <c r="H1922" t="s">
        <v>35</v>
      </c>
      <c r="I1922" t="s">
        <v>58</v>
      </c>
      <c r="J1922" t="s">
        <v>59</v>
      </c>
      <c r="K1922" t="s">
        <v>38</v>
      </c>
      <c r="L1922">
        <v>1</v>
      </c>
      <c r="M1922">
        <v>1</v>
      </c>
      <c r="N1922">
        <v>3.3</v>
      </c>
      <c r="O1922">
        <v>8.9</v>
      </c>
      <c r="P1922">
        <v>4</v>
      </c>
      <c r="Q1922">
        <v>6</v>
      </c>
      <c r="R1922">
        <v>860914</v>
      </c>
      <c r="S1922">
        <f>Table1[[#This Row],[Revenue]]-Table1[[#This Row],[Operating_Costs]]</f>
        <v>555359</v>
      </c>
      <c r="T1922">
        <v>305555</v>
      </c>
      <c r="U1922">
        <v>32</v>
      </c>
      <c r="V1922">
        <v>63</v>
      </c>
      <c r="W1922">
        <v>13.9</v>
      </c>
    </row>
    <row r="1923" spans="1:23" x14ac:dyDescent="0.25">
      <c r="A1923">
        <v>6</v>
      </c>
      <c r="B1923" t="s">
        <v>70</v>
      </c>
      <c r="C1923" s="1">
        <v>44501</v>
      </c>
      <c r="D1923" t="s">
        <v>71</v>
      </c>
      <c r="E1923">
        <v>0</v>
      </c>
      <c r="F1923">
        <v>77</v>
      </c>
      <c r="G1923" t="str">
        <f t="shared" ref="G1923:G1986" si="38">IF(F1923&lt;=20,"0-20",IF(F1923&lt;=40,"21-40",IF(F1923&lt;=60,"41-60",IF(F1923&lt;=80,"61-80","81+"))))</f>
        <v>61-80</v>
      </c>
      <c r="H1923" t="s">
        <v>35</v>
      </c>
      <c r="I1923" t="s">
        <v>36</v>
      </c>
      <c r="J1923" t="s">
        <v>37</v>
      </c>
      <c r="K1923" t="s">
        <v>42</v>
      </c>
      <c r="L1923">
        <v>1</v>
      </c>
      <c r="M1923">
        <v>1</v>
      </c>
      <c r="N1923">
        <v>5.6</v>
      </c>
      <c r="O1923">
        <v>8.1</v>
      </c>
      <c r="P1923">
        <v>7</v>
      </c>
      <c r="Q1923">
        <v>5</v>
      </c>
      <c r="R1923">
        <v>661763</v>
      </c>
      <c r="S1923">
        <f>Table1[[#This Row],[Revenue]]-Table1[[#This Row],[Operating_Costs]]</f>
        <v>123700</v>
      </c>
      <c r="T1923">
        <v>538063</v>
      </c>
      <c r="U1923">
        <v>30</v>
      </c>
      <c r="V1923">
        <v>59</v>
      </c>
      <c r="W1923">
        <v>10.1</v>
      </c>
    </row>
    <row r="1924" spans="1:23" x14ac:dyDescent="0.25">
      <c r="A1924">
        <v>6</v>
      </c>
      <c r="B1924" t="s">
        <v>70</v>
      </c>
      <c r="C1924" s="1">
        <v>44612</v>
      </c>
      <c r="D1924" t="s">
        <v>71</v>
      </c>
      <c r="E1924">
        <v>0</v>
      </c>
      <c r="F1924">
        <v>80</v>
      </c>
      <c r="G1924" t="str">
        <f t="shared" si="38"/>
        <v>61-80</v>
      </c>
      <c r="H1924" t="s">
        <v>23</v>
      </c>
      <c r="I1924" t="s">
        <v>24</v>
      </c>
      <c r="J1924" t="s">
        <v>25</v>
      </c>
      <c r="K1924" t="s">
        <v>29</v>
      </c>
      <c r="L1924">
        <v>1</v>
      </c>
      <c r="M1924">
        <v>1</v>
      </c>
      <c r="N1924">
        <v>2.2000000000000002</v>
      </c>
      <c r="O1924">
        <v>7.9</v>
      </c>
      <c r="P1924">
        <v>6</v>
      </c>
      <c r="Q1924">
        <v>3</v>
      </c>
      <c r="R1924">
        <v>612665</v>
      </c>
      <c r="S1924">
        <f>Table1[[#This Row],[Revenue]]-Table1[[#This Row],[Operating_Costs]]</f>
        <v>119969</v>
      </c>
      <c r="T1924">
        <v>492696</v>
      </c>
      <c r="U1924">
        <v>26</v>
      </c>
      <c r="V1924">
        <v>56</v>
      </c>
      <c r="W1924">
        <v>12.8</v>
      </c>
    </row>
    <row r="1925" spans="1:23" x14ac:dyDescent="0.25">
      <c r="A1925">
        <v>6</v>
      </c>
      <c r="B1925" t="s">
        <v>70</v>
      </c>
      <c r="C1925" s="1">
        <v>44901</v>
      </c>
      <c r="D1925" t="s">
        <v>71</v>
      </c>
      <c r="E1925">
        <v>0</v>
      </c>
      <c r="F1925">
        <v>44</v>
      </c>
      <c r="G1925" t="str">
        <f t="shared" si="38"/>
        <v>41-60</v>
      </c>
      <c r="H1925" t="s">
        <v>35</v>
      </c>
      <c r="I1925" t="s">
        <v>50</v>
      </c>
      <c r="J1925" t="s">
        <v>51</v>
      </c>
      <c r="K1925" t="s">
        <v>42</v>
      </c>
      <c r="L1925">
        <v>1</v>
      </c>
      <c r="M1925">
        <v>1</v>
      </c>
      <c r="N1925">
        <v>3.2</v>
      </c>
      <c r="O1925">
        <v>7.9</v>
      </c>
      <c r="P1925">
        <v>5</v>
      </c>
      <c r="Q1925">
        <v>7</v>
      </c>
      <c r="R1925">
        <v>769723</v>
      </c>
      <c r="S1925">
        <f>Table1[[#This Row],[Revenue]]-Table1[[#This Row],[Operating_Costs]]</f>
        <v>225977</v>
      </c>
      <c r="T1925">
        <v>543746</v>
      </c>
      <c r="U1925">
        <v>28</v>
      </c>
      <c r="V1925">
        <v>58</v>
      </c>
      <c r="W1925">
        <v>36.9</v>
      </c>
    </row>
    <row r="1926" spans="1:23" x14ac:dyDescent="0.25">
      <c r="A1926">
        <v>6</v>
      </c>
      <c r="B1926" t="s">
        <v>70</v>
      </c>
      <c r="C1926" s="1">
        <v>44454</v>
      </c>
      <c r="D1926" t="s">
        <v>71</v>
      </c>
      <c r="E1926">
        <v>0</v>
      </c>
      <c r="F1926">
        <v>36</v>
      </c>
      <c r="G1926" t="str">
        <f t="shared" si="38"/>
        <v>21-40</v>
      </c>
      <c r="H1926" t="s">
        <v>23</v>
      </c>
      <c r="I1926" t="s">
        <v>50</v>
      </c>
      <c r="J1926" t="s">
        <v>51</v>
      </c>
      <c r="K1926" t="s">
        <v>42</v>
      </c>
      <c r="L1926">
        <v>1</v>
      </c>
      <c r="M1926">
        <v>1</v>
      </c>
      <c r="N1926">
        <v>2.2000000000000002</v>
      </c>
      <c r="O1926">
        <v>7.4</v>
      </c>
      <c r="P1926">
        <v>7</v>
      </c>
      <c r="Q1926">
        <v>4</v>
      </c>
      <c r="R1926">
        <v>782757</v>
      </c>
      <c r="S1926">
        <f>Table1[[#This Row],[Revenue]]-Table1[[#This Row],[Operating_Costs]]</f>
        <v>198418</v>
      </c>
      <c r="T1926">
        <v>584339</v>
      </c>
      <c r="U1926">
        <v>28</v>
      </c>
      <c r="V1926">
        <v>61</v>
      </c>
      <c r="W1926">
        <v>13.6</v>
      </c>
    </row>
    <row r="1927" spans="1:23" x14ac:dyDescent="0.25">
      <c r="A1927">
        <v>6</v>
      </c>
      <c r="B1927" t="s">
        <v>70</v>
      </c>
      <c r="C1927" s="1">
        <v>45024</v>
      </c>
      <c r="D1927" t="s">
        <v>71</v>
      </c>
      <c r="E1927">
        <v>0</v>
      </c>
      <c r="F1927">
        <v>25</v>
      </c>
      <c r="G1927" t="str">
        <f t="shared" si="38"/>
        <v>21-40</v>
      </c>
      <c r="H1927" t="s">
        <v>23</v>
      </c>
      <c r="I1927" t="s">
        <v>58</v>
      </c>
      <c r="J1927" t="s">
        <v>59</v>
      </c>
      <c r="K1927" t="s">
        <v>42</v>
      </c>
      <c r="L1927">
        <v>1</v>
      </c>
      <c r="M1927">
        <v>1</v>
      </c>
      <c r="N1927">
        <v>1.5</v>
      </c>
      <c r="O1927">
        <v>9.5</v>
      </c>
      <c r="P1927">
        <v>3</v>
      </c>
      <c r="Q1927">
        <v>5</v>
      </c>
      <c r="R1927">
        <v>747270</v>
      </c>
      <c r="S1927">
        <f>Table1[[#This Row],[Revenue]]-Table1[[#This Row],[Operating_Costs]]</f>
        <v>207819</v>
      </c>
      <c r="T1927">
        <v>539451</v>
      </c>
      <c r="U1927">
        <v>24</v>
      </c>
      <c r="V1927">
        <v>62</v>
      </c>
      <c r="W1927">
        <v>14.5</v>
      </c>
    </row>
    <row r="1928" spans="1:23" x14ac:dyDescent="0.25">
      <c r="A1928">
        <v>6</v>
      </c>
      <c r="B1928" t="s">
        <v>70</v>
      </c>
      <c r="C1928" s="1">
        <v>44328</v>
      </c>
      <c r="D1928" t="s">
        <v>71</v>
      </c>
      <c r="E1928">
        <v>0</v>
      </c>
      <c r="F1928">
        <v>77</v>
      </c>
      <c r="G1928" t="str">
        <f t="shared" si="38"/>
        <v>61-80</v>
      </c>
      <c r="H1928" t="s">
        <v>35</v>
      </c>
      <c r="I1928" t="s">
        <v>60</v>
      </c>
      <c r="J1928" t="s">
        <v>59</v>
      </c>
      <c r="K1928" t="s">
        <v>29</v>
      </c>
      <c r="L1928">
        <v>1</v>
      </c>
      <c r="M1928">
        <v>1</v>
      </c>
      <c r="N1928">
        <v>1.8</v>
      </c>
      <c r="O1928">
        <v>7.7</v>
      </c>
      <c r="P1928">
        <v>3</v>
      </c>
      <c r="Q1928">
        <v>4</v>
      </c>
      <c r="R1928">
        <v>710939</v>
      </c>
      <c r="S1928">
        <f>Table1[[#This Row],[Revenue]]-Table1[[#This Row],[Operating_Costs]]</f>
        <v>142632</v>
      </c>
      <c r="T1928">
        <v>568307</v>
      </c>
      <c r="U1928">
        <v>26</v>
      </c>
      <c r="V1928">
        <v>63</v>
      </c>
      <c r="W1928">
        <v>10.6</v>
      </c>
    </row>
    <row r="1929" spans="1:23" x14ac:dyDescent="0.25">
      <c r="A1929">
        <v>6</v>
      </c>
      <c r="B1929" t="s">
        <v>70</v>
      </c>
      <c r="C1929" s="1">
        <v>44316</v>
      </c>
      <c r="D1929" t="s">
        <v>71</v>
      </c>
      <c r="E1929">
        <v>0</v>
      </c>
      <c r="F1929">
        <v>90</v>
      </c>
      <c r="G1929" t="str">
        <f t="shared" si="38"/>
        <v>81+</v>
      </c>
      <c r="H1929" t="s">
        <v>23</v>
      </c>
      <c r="I1929" t="s">
        <v>24</v>
      </c>
      <c r="J1929" t="s">
        <v>25</v>
      </c>
      <c r="K1929" t="s">
        <v>38</v>
      </c>
      <c r="L1929">
        <v>1</v>
      </c>
      <c r="M1929">
        <v>1</v>
      </c>
      <c r="N1929">
        <v>5.8</v>
      </c>
      <c r="O1929">
        <v>9.5</v>
      </c>
      <c r="P1929">
        <v>3</v>
      </c>
      <c r="Q1929">
        <v>7</v>
      </c>
      <c r="R1929">
        <v>690373</v>
      </c>
      <c r="S1929">
        <f>Table1[[#This Row],[Revenue]]-Table1[[#This Row],[Operating_Costs]]</f>
        <v>207547</v>
      </c>
      <c r="T1929">
        <v>482826</v>
      </c>
      <c r="U1929">
        <v>21</v>
      </c>
      <c r="V1929">
        <v>59</v>
      </c>
      <c r="W1929">
        <v>13.6</v>
      </c>
    </row>
    <row r="1930" spans="1:23" x14ac:dyDescent="0.25">
      <c r="A1930">
        <v>6</v>
      </c>
      <c r="B1930" t="s">
        <v>70</v>
      </c>
      <c r="C1930" s="1">
        <v>45649</v>
      </c>
      <c r="D1930" t="s">
        <v>71</v>
      </c>
      <c r="E1930">
        <v>0</v>
      </c>
      <c r="F1930">
        <v>59</v>
      </c>
      <c r="G1930" t="str">
        <f t="shared" si="38"/>
        <v>41-60</v>
      </c>
      <c r="H1930" t="s">
        <v>35</v>
      </c>
      <c r="I1930" t="s">
        <v>61</v>
      </c>
      <c r="J1930" t="s">
        <v>62</v>
      </c>
      <c r="K1930" t="s">
        <v>26</v>
      </c>
      <c r="L1930">
        <v>1</v>
      </c>
      <c r="M1930">
        <v>1</v>
      </c>
      <c r="N1930">
        <v>5.6</v>
      </c>
      <c r="O1930">
        <v>9.8000000000000007</v>
      </c>
      <c r="P1930">
        <v>5</v>
      </c>
      <c r="Q1930">
        <v>4</v>
      </c>
      <c r="R1930">
        <v>791610</v>
      </c>
      <c r="S1930">
        <f>Table1[[#This Row],[Revenue]]-Table1[[#This Row],[Operating_Costs]]</f>
        <v>234766</v>
      </c>
      <c r="T1930">
        <v>556844</v>
      </c>
      <c r="U1930">
        <v>27</v>
      </c>
      <c r="V1930">
        <v>55</v>
      </c>
      <c r="W1930">
        <v>36</v>
      </c>
    </row>
    <row r="1931" spans="1:23" x14ac:dyDescent="0.25">
      <c r="A1931">
        <v>6</v>
      </c>
      <c r="B1931" t="s">
        <v>70</v>
      </c>
      <c r="C1931" s="1">
        <v>45226</v>
      </c>
      <c r="D1931" t="s">
        <v>71</v>
      </c>
      <c r="E1931">
        <v>0</v>
      </c>
      <c r="F1931">
        <v>49</v>
      </c>
      <c r="G1931" t="str">
        <f t="shared" si="38"/>
        <v>41-60</v>
      </c>
      <c r="H1931" t="s">
        <v>23</v>
      </c>
      <c r="I1931" t="s">
        <v>24</v>
      </c>
      <c r="J1931" t="s">
        <v>25</v>
      </c>
      <c r="K1931" t="s">
        <v>33</v>
      </c>
      <c r="L1931">
        <v>1</v>
      </c>
      <c r="M1931">
        <v>1</v>
      </c>
      <c r="N1931">
        <v>5.9</v>
      </c>
      <c r="O1931">
        <v>9.5</v>
      </c>
      <c r="P1931">
        <v>5</v>
      </c>
      <c r="Q1931">
        <v>7</v>
      </c>
      <c r="R1931">
        <v>609346</v>
      </c>
      <c r="S1931">
        <f>Table1[[#This Row],[Revenue]]-Table1[[#This Row],[Operating_Costs]]</f>
        <v>137051</v>
      </c>
      <c r="T1931">
        <v>472295</v>
      </c>
      <c r="U1931">
        <v>26</v>
      </c>
      <c r="V1931">
        <v>56</v>
      </c>
      <c r="W1931">
        <v>7.9</v>
      </c>
    </row>
    <row r="1932" spans="1:23" x14ac:dyDescent="0.25">
      <c r="A1932">
        <v>6</v>
      </c>
      <c r="B1932" t="s">
        <v>70</v>
      </c>
      <c r="C1932" s="1">
        <v>44782</v>
      </c>
      <c r="D1932" t="s">
        <v>71</v>
      </c>
      <c r="E1932">
        <v>0</v>
      </c>
      <c r="F1932">
        <v>21</v>
      </c>
      <c r="G1932" t="str">
        <f t="shared" si="38"/>
        <v>21-40</v>
      </c>
      <c r="H1932" t="s">
        <v>35</v>
      </c>
      <c r="I1932" t="s">
        <v>36</v>
      </c>
      <c r="J1932" t="s">
        <v>37</v>
      </c>
      <c r="K1932" t="s">
        <v>29</v>
      </c>
      <c r="L1932">
        <v>1</v>
      </c>
      <c r="M1932">
        <v>1</v>
      </c>
      <c r="N1932">
        <v>6.1</v>
      </c>
      <c r="O1932">
        <v>9.6</v>
      </c>
      <c r="P1932">
        <v>4</v>
      </c>
      <c r="Q1932">
        <v>5</v>
      </c>
      <c r="R1932">
        <v>773495</v>
      </c>
      <c r="S1932">
        <f>Table1[[#This Row],[Revenue]]-Table1[[#This Row],[Operating_Costs]]</f>
        <v>289890</v>
      </c>
      <c r="T1932">
        <v>483605</v>
      </c>
      <c r="U1932">
        <v>25</v>
      </c>
      <c r="V1932">
        <v>66</v>
      </c>
      <c r="W1932">
        <v>10.8</v>
      </c>
    </row>
    <row r="1933" spans="1:23" x14ac:dyDescent="0.25">
      <c r="A1933">
        <v>6</v>
      </c>
      <c r="B1933" t="s">
        <v>70</v>
      </c>
      <c r="C1933" s="1">
        <v>45607</v>
      </c>
      <c r="D1933" t="s">
        <v>71</v>
      </c>
      <c r="E1933">
        <v>0</v>
      </c>
      <c r="F1933">
        <v>55</v>
      </c>
      <c r="G1933" t="str">
        <f t="shared" si="38"/>
        <v>41-60</v>
      </c>
      <c r="H1933" t="s">
        <v>35</v>
      </c>
      <c r="I1933" t="s">
        <v>58</v>
      </c>
      <c r="J1933" t="s">
        <v>59</v>
      </c>
      <c r="K1933" t="s">
        <v>26</v>
      </c>
      <c r="L1933">
        <v>1</v>
      </c>
      <c r="M1933">
        <v>1</v>
      </c>
      <c r="N1933">
        <v>3.7</v>
      </c>
      <c r="O1933">
        <v>10</v>
      </c>
      <c r="P1933">
        <v>3</v>
      </c>
      <c r="Q1933">
        <v>4</v>
      </c>
      <c r="R1933">
        <v>653720</v>
      </c>
      <c r="S1933">
        <f>Table1[[#This Row],[Revenue]]-Table1[[#This Row],[Operating_Costs]]</f>
        <v>155435</v>
      </c>
      <c r="T1933">
        <v>498285</v>
      </c>
      <c r="U1933">
        <v>28</v>
      </c>
      <c r="V1933">
        <v>62</v>
      </c>
      <c r="W1933">
        <v>14.9</v>
      </c>
    </row>
    <row r="1934" spans="1:23" x14ac:dyDescent="0.25">
      <c r="A1934">
        <v>6</v>
      </c>
      <c r="B1934" t="s">
        <v>70</v>
      </c>
      <c r="C1934" s="1">
        <v>44859</v>
      </c>
      <c r="D1934" t="s">
        <v>71</v>
      </c>
      <c r="E1934">
        <v>0</v>
      </c>
      <c r="F1934">
        <v>43</v>
      </c>
      <c r="G1934" t="str">
        <f t="shared" si="38"/>
        <v>41-60</v>
      </c>
      <c r="H1934" t="s">
        <v>35</v>
      </c>
      <c r="I1934" t="s">
        <v>40</v>
      </c>
      <c r="J1934" t="s">
        <v>41</v>
      </c>
      <c r="K1934" t="s">
        <v>38</v>
      </c>
      <c r="L1934">
        <v>1</v>
      </c>
      <c r="M1934">
        <v>1</v>
      </c>
      <c r="N1934">
        <v>3.9</v>
      </c>
      <c r="O1934">
        <v>9</v>
      </c>
      <c r="P1934">
        <v>6</v>
      </c>
      <c r="Q1934">
        <v>7</v>
      </c>
      <c r="R1934">
        <v>682989</v>
      </c>
      <c r="S1934">
        <f>Table1[[#This Row],[Revenue]]-Table1[[#This Row],[Operating_Costs]]</f>
        <v>154995</v>
      </c>
      <c r="T1934">
        <v>527994</v>
      </c>
      <c r="U1934">
        <v>29</v>
      </c>
      <c r="V1934">
        <v>54</v>
      </c>
      <c r="W1934">
        <v>6.4</v>
      </c>
    </row>
    <row r="1935" spans="1:23" x14ac:dyDescent="0.25">
      <c r="A1935">
        <v>6</v>
      </c>
      <c r="B1935" t="s">
        <v>70</v>
      </c>
      <c r="C1935" s="1">
        <v>45336</v>
      </c>
      <c r="D1935" t="s">
        <v>71</v>
      </c>
      <c r="E1935">
        <v>0</v>
      </c>
      <c r="F1935">
        <v>55</v>
      </c>
      <c r="G1935" t="str">
        <f t="shared" si="38"/>
        <v>41-60</v>
      </c>
      <c r="H1935" t="s">
        <v>35</v>
      </c>
      <c r="I1935" t="s">
        <v>36</v>
      </c>
      <c r="J1935" t="s">
        <v>37</v>
      </c>
      <c r="K1935" t="s">
        <v>33</v>
      </c>
      <c r="L1935">
        <v>1</v>
      </c>
      <c r="M1935">
        <v>1</v>
      </c>
      <c r="N1935">
        <v>7</v>
      </c>
      <c r="O1935">
        <v>7.1</v>
      </c>
      <c r="P1935">
        <v>4</v>
      </c>
      <c r="Q1935">
        <v>3</v>
      </c>
      <c r="R1935">
        <v>797190</v>
      </c>
      <c r="S1935">
        <f>Table1[[#This Row],[Revenue]]-Table1[[#This Row],[Operating_Costs]]</f>
        <v>228812</v>
      </c>
      <c r="T1935">
        <v>568378</v>
      </c>
      <c r="U1935">
        <v>23</v>
      </c>
      <c r="V1935">
        <v>61</v>
      </c>
      <c r="W1935">
        <v>14.7</v>
      </c>
    </row>
    <row r="1936" spans="1:23" x14ac:dyDescent="0.25">
      <c r="A1936">
        <v>6</v>
      </c>
      <c r="B1936" t="s">
        <v>70</v>
      </c>
      <c r="C1936" s="1">
        <v>44655</v>
      </c>
      <c r="D1936" t="s">
        <v>71</v>
      </c>
      <c r="E1936">
        <v>0</v>
      </c>
      <c r="F1936">
        <v>27</v>
      </c>
      <c r="G1936" t="str">
        <f t="shared" si="38"/>
        <v>21-40</v>
      </c>
      <c r="H1936" t="s">
        <v>35</v>
      </c>
      <c r="I1936" t="s">
        <v>60</v>
      </c>
      <c r="J1936" t="s">
        <v>59</v>
      </c>
      <c r="K1936" t="s">
        <v>38</v>
      </c>
      <c r="L1936">
        <v>1</v>
      </c>
      <c r="M1936">
        <v>1</v>
      </c>
      <c r="N1936">
        <v>6.5</v>
      </c>
      <c r="O1936">
        <v>8.5</v>
      </c>
      <c r="P1936">
        <v>4</v>
      </c>
      <c r="Q1936">
        <v>5</v>
      </c>
      <c r="R1936">
        <v>627316</v>
      </c>
      <c r="S1936">
        <f>Table1[[#This Row],[Revenue]]-Table1[[#This Row],[Operating_Costs]]</f>
        <v>153122</v>
      </c>
      <c r="T1936">
        <v>474194</v>
      </c>
      <c r="U1936">
        <v>25</v>
      </c>
      <c r="V1936">
        <v>58</v>
      </c>
      <c r="W1936">
        <v>6.4</v>
      </c>
    </row>
    <row r="1937" spans="1:23" x14ac:dyDescent="0.25">
      <c r="A1937">
        <v>6</v>
      </c>
      <c r="B1937" t="s">
        <v>70</v>
      </c>
      <c r="C1937" s="1">
        <v>45652</v>
      </c>
      <c r="D1937" t="s">
        <v>71</v>
      </c>
      <c r="E1937">
        <v>0</v>
      </c>
      <c r="F1937">
        <v>29</v>
      </c>
      <c r="G1937" t="str">
        <f t="shared" si="38"/>
        <v>21-40</v>
      </c>
      <c r="H1937" t="s">
        <v>23</v>
      </c>
      <c r="I1937" t="s">
        <v>24</v>
      </c>
      <c r="J1937" t="s">
        <v>25</v>
      </c>
      <c r="K1937" t="s">
        <v>42</v>
      </c>
      <c r="L1937">
        <v>1</v>
      </c>
      <c r="M1937">
        <v>1</v>
      </c>
      <c r="N1937">
        <v>3.6</v>
      </c>
      <c r="O1937">
        <v>7</v>
      </c>
      <c r="P1937">
        <v>6</v>
      </c>
      <c r="Q1937">
        <v>3</v>
      </c>
      <c r="R1937">
        <v>698572</v>
      </c>
      <c r="S1937">
        <f>Table1[[#This Row],[Revenue]]-Table1[[#This Row],[Operating_Costs]]</f>
        <v>285070</v>
      </c>
      <c r="T1937">
        <v>413502</v>
      </c>
      <c r="U1937">
        <v>21</v>
      </c>
      <c r="V1937">
        <v>63</v>
      </c>
      <c r="W1937">
        <v>5.9</v>
      </c>
    </row>
    <row r="1938" spans="1:23" x14ac:dyDescent="0.25">
      <c r="A1938">
        <v>6</v>
      </c>
      <c r="B1938" t="s">
        <v>70</v>
      </c>
      <c r="C1938" s="1">
        <v>44594</v>
      </c>
      <c r="D1938" t="s">
        <v>71</v>
      </c>
      <c r="E1938">
        <v>0</v>
      </c>
      <c r="F1938">
        <v>37</v>
      </c>
      <c r="G1938" t="str">
        <f t="shared" si="38"/>
        <v>21-40</v>
      </c>
      <c r="H1938" t="s">
        <v>35</v>
      </c>
      <c r="I1938" t="s">
        <v>36</v>
      </c>
      <c r="J1938" t="s">
        <v>37</v>
      </c>
      <c r="K1938" t="s">
        <v>29</v>
      </c>
      <c r="L1938">
        <v>1</v>
      </c>
      <c r="M1938">
        <v>1</v>
      </c>
      <c r="N1938">
        <v>2.2000000000000002</v>
      </c>
      <c r="O1938">
        <v>7.6</v>
      </c>
      <c r="P1938">
        <v>4</v>
      </c>
      <c r="Q1938">
        <v>4</v>
      </c>
      <c r="R1938">
        <v>635829</v>
      </c>
      <c r="S1938">
        <f>Table1[[#This Row],[Revenue]]-Table1[[#This Row],[Operating_Costs]]</f>
        <v>189627</v>
      </c>
      <c r="T1938">
        <v>446202</v>
      </c>
      <c r="U1938">
        <v>27</v>
      </c>
      <c r="V1938">
        <v>62</v>
      </c>
      <c r="W1938">
        <v>14.8</v>
      </c>
    </row>
    <row r="1939" spans="1:23" x14ac:dyDescent="0.25">
      <c r="A1939">
        <v>6</v>
      </c>
      <c r="B1939" t="s">
        <v>70</v>
      </c>
      <c r="C1939" s="1">
        <v>44982</v>
      </c>
      <c r="D1939" t="s">
        <v>71</v>
      </c>
      <c r="E1939">
        <v>0</v>
      </c>
      <c r="F1939">
        <v>49</v>
      </c>
      <c r="G1939" t="str">
        <f t="shared" si="38"/>
        <v>41-60</v>
      </c>
      <c r="H1939" t="s">
        <v>23</v>
      </c>
      <c r="I1939" t="s">
        <v>58</v>
      </c>
      <c r="J1939" t="s">
        <v>59</v>
      </c>
      <c r="K1939" t="s">
        <v>26</v>
      </c>
      <c r="L1939">
        <v>1</v>
      </c>
      <c r="M1939">
        <v>1</v>
      </c>
      <c r="N1939">
        <v>6.4</v>
      </c>
      <c r="O1939">
        <v>8.5</v>
      </c>
      <c r="P1939">
        <v>5</v>
      </c>
      <c r="Q1939">
        <v>4</v>
      </c>
      <c r="R1939">
        <v>615968</v>
      </c>
      <c r="S1939">
        <f>Table1[[#This Row],[Revenue]]-Table1[[#This Row],[Operating_Costs]]</f>
        <v>175900</v>
      </c>
      <c r="T1939">
        <v>440068</v>
      </c>
      <c r="U1939">
        <v>21</v>
      </c>
      <c r="V1939">
        <v>60</v>
      </c>
      <c r="W1939">
        <v>13.4</v>
      </c>
    </row>
    <row r="1940" spans="1:23" x14ac:dyDescent="0.25">
      <c r="A1940">
        <v>6</v>
      </c>
      <c r="B1940" t="s">
        <v>70</v>
      </c>
      <c r="C1940" s="1">
        <v>45616</v>
      </c>
      <c r="D1940" t="s">
        <v>71</v>
      </c>
      <c r="E1940">
        <v>0</v>
      </c>
      <c r="F1940">
        <v>29</v>
      </c>
      <c r="G1940" t="str">
        <f t="shared" si="38"/>
        <v>21-40</v>
      </c>
      <c r="H1940" t="s">
        <v>23</v>
      </c>
      <c r="I1940" t="s">
        <v>43</v>
      </c>
      <c r="J1940" t="s">
        <v>25</v>
      </c>
      <c r="K1940" t="s">
        <v>42</v>
      </c>
      <c r="L1940">
        <v>1</v>
      </c>
      <c r="M1940">
        <v>1</v>
      </c>
      <c r="N1940">
        <v>5.4</v>
      </c>
      <c r="O1940">
        <v>7.3</v>
      </c>
      <c r="P1940">
        <v>3</v>
      </c>
      <c r="Q1940">
        <v>5</v>
      </c>
      <c r="R1940">
        <v>662784</v>
      </c>
      <c r="S1940">
        <f>Table1[[#This Row],[Revenue]]-Table1[[#This Row],[Operating_Costs]]</f>
        <v>84895</v>
      </c>
      <c r="T1940">
        <v>577889</v>
      </c>
      <c r="U1940">
        <v>29</v>
      </c>
      <c r="V1940">
        <v>59</v>
      </c>
      <c r="W1940">
        <v>14.2</v>
      </c>
    </row>
    <row r="1941" spans="1:23" x14ac:dyDescent="0.25">
      <c r="A1941">
        <v>6</v>
      </c>
      <c r="B1941" t="s">
        <v>70</v>
      </c>
      <c r="C1941" s="1">
        <v>45544</v>
      </c>
      <c r="D1941" t="s">
        <v>71</v>
      </c>
      <c r="E1941">
        <v>0</v>
      </c>
      <c r="F1941">
        <v>61</v>
      </c>
      <c r="G1941" t="str">
        <f t="shared" si="38"/>
        <v>61-80</v>
      </c>
      <c r="H1941" t="s">
        <v>23</v>
      </c>
      <c r="I1941" t="s">
        <v>24</v>
      </c>
      <c r="J1941" t="s">
        <v>25</v>
      </c>
      <c r="K1941" t="s">
        <v>38</v>
      </c>
      <c r="L1941">
        <v>1</v>
      </c>
      <c r="M1941">
        <v>1</v>
      </c>
      <c r="N1941">
        <v>3.9</v>
      </c>
      <c r="O1941">
        <v>7.7</v>
      </c>
      <c r="P1941">
        <v>6</v>
      </c>
      <c r="Q1941">
        <v>6</v>
      </c>
      <c r="R1941">
        <v>753350</v>
      </c>
      <c r="S1941">
        <f>Table1[[#This Row],[Revenue]]-Table1[[#This Row],[Operating_Costs]]</f>
        <v>247430</v>
      </c>
      <c r="T1941">
        <v>505920</v>
      </c>
      <c r="U1941">
        <v>23</v>
      </c>
      <c r="V1941">
        <v>56</v>
      </c>
      <c r="W1941">
        <v>12.5</v>
      </c>
    </row>
    <row r="1942" spans="1:23" x14ac:dyDescent="0.25">
      <c r="A1942">
        <v>6</v>
      </c>
      <c r="B1942" t="s">
        <v>70</v>
      </c>
      <c r="C1942" s="1">
        <v>44365</v>
      </c>
      <c r="D1942" t="s">
        <v>71</v>
      </c>
      <c r="E1942">
        <v>0</v>
      </c>
      <c r="F1942">
        <v>73</v>
      </c>
      <c r="G1942" t="str">
        <f t="shared" si="38"/>
        <v>61-80</v>
      </c>
      <c r="H1942" t="s">
        <v>35</v>
      </c>
      <c r="I1942" t="s">
        <v>60</v>
      </c>
      <c r="J1942" t="s">
        <v>59</v>
      </c>
      <c r="K1942" t="s">
        <v>38</v>
      </c>
      <c r="L1942">
        <v>1</v>
      </c>
      <c r="M1942">
        <v>1</v>
      </c>
      <c r="N1942">
        <v>4.5</v>
      </c>
      <c r="O1942">
        <v>7.2</v>
      </c>
      <c r="P1942">
        <v>5</v>
      </c>
      <c r="Q1942">
        <v>7</v>
      </c>
      <c r="R1942">
        <v>678036</v>
      </c>
      <c r="S1942">
        <f>Table1[[#This Row],[Revenue]]-Table1[[#This Row],[Operating_Costs]]</f>
        <v>244389</v>
      </c>
      <c r="T1942">
        <v>433647</v>
      </c>
      <c r="U1942">
        <v>29</v>
      </c>
      <c r="V1942">
        <v>57</v>
      </c>
      <c r="W1942">
        <v>13.5</v>
      </c>
    </row>
    <row r="1943" spans="1:23" x14ac:dyDescent="0.25">
      <c r="A1943">
        <v>6</v>
      </c>
      <c r="B1943" t="s">
        <v>70</v>
      </c>
      <c r="C1943" s="1">
        <v>44694</v>
      </c>
      <c r="D1943" t="s">
        <v>71</v>
      </c>
      <c r="E1943">
        <v>0</v>
      </c>
      <c r="F1943">
        <v>41</v>
      </c>
      <c r="G1943" t="str">
        <f t="shared" si="38"/>
        <v>41-60</v>
      </c>
      <c r="H1943" t="s">
        <v>23</v>
      </c>
      <c r="I1943" t="s">
        <v>43</v>
      </c>
      <c r="J1943" t="s">
        <v>25</v>
      </c>
      <c r="K1943" t="s">
        <v>33</v>
      </c>
      <c r="L1943">
        <v>1</v>
      </c>
      <c r="M1943">
        <v>1</v>
      </c>
      <c r="N1943">
        <v>5.2</v>
      </c>
      <c r="O1943">
        <v>9.8000000000000007</v>
      </c>
      <c r="P1943">
        <v>3</v>
      </c>
      <c r="Q1943">
        <v>7</v>
      </c>
      <c r="R1943">
        <v>660430</v>
      </c>
      <c r="S1943">
        <f>Table1[[#This Row],[Revenue]]-Table1[[#This Row],[Operating_Costs]]</f>
        <v>145124</v>
      </c>
      <c r="T1943">
        <v>515306</v>
      </c>
      <c r="U1943">
        <v>21</v>
      </c>
      <c r="V1943">
        <v>60</v>
      </c>
      <c r="W1943">
        <v>36.4</v>
      </c>
    </row>
    <row r="1944" spans="1:23" x14ac:dyDescent="0.25">
      <c r="A1944">
        <v>6</v>
      </c>
      <c r="B1944" t="s">
        <v>70</v>
      </c>
      <c r="C1944" s="1">
        <v>45421</v>
      </c>
      <c r="D1944" t="s">
        <v>71</v>
      </c>
      <c r="E1944">
        <v>0</v>
      </c>
      <c r="F1944">
        <v>88</v>
      </c>
      <c r="G1944" t="str">
        <f t="shared" si="38"/>
        <v>81+</v>
      </c>
      <c r="H1944" t="s">
        <v>23</v>
      </c>
      <c r="I1944" t="s">
        <v>24</v>
      </c>
      <c r="J1944" t="s">
        <v>25</v>
      </c>
      <c r="K1944" t="s">
        <v>29</v>
      </c>
      <c r="L1944">
        <v>1</v>
      </c>
      <c r="M1944">
        <v>1</v>
      </c>
      <c r="N1944">
        <v>5</v>
      </c>
      <c r="O1944">
        <v>9.3000000000000007</v>
      </c>
      <c r="P1944">
        <v>6</v>
      </c>
      <c r="Q1944">
        <v>4</v>
      </c>
      <c r="R1944">
        <v>603936</v>
      </c>
      <c r="S1944">
        <f>Table1[[#This Row],[Revenue]]-Table1[[#This Row],[Operating_Costs]]</f>
        <v>18782</v>
      </c>
      <c r="T1944">
        <v>585154</v>
      </c>
      <c r="U1944">
        <v>30</v>
      </c>
      <c r="V1944">
        <v>54</v>
      </c>
      <c r="W1944">
        <v>9.4</v>
      </c>
    </row>
    <row r="1945" spans="1:23" x14ac:dyDescent="0.25">
      <c r="A1945">
        <v>6</v>
      </c>
      <c r="B1945" t="s">
        <v>70</v>
      </c>
      <c r="C1945" s="1">
        <v>44460</v>
      </c>
      <c r="D1945" t="s">
        <v>71</v>
      </c>
      <c r="E1945">
        <v>0</v>
      </c>
      <c r="F1945">
        <v>39</v>
      </c>
      <c r="G1945" t="str">
        <f t="shared" si="38"/>
        <v>21-40</v>
      </c>
      <c r="H1945" t="s">
        <v>23</v>
      </c>
      <c r="I1945" t="s">
        <v>24</v>
      </c>
      <c r="J1945" t="s">
        <v>25</v>
      </c>
      <c r="K1945" t="s">
        <v>38</v>
      </c>
      <c r="L1945">
        <v>1</v>
      </c>
      <c r="M1945">
        <v>1</v>
      </c>
      <c r="N1945">
        <v>3.1</v>
      </c>
      <c r="O1945">
        <v>7.3</v>
      </c>
      <c r="P1945">
        <v>6</v>
      </c>
      <c r="Q1945">
        <v>7</v>
      </c>
      <c r="R1945">
        <v>631350</v>
      </c>
      <c r="S1945">
        <f>Table1[[#This Row],[Revenue]]-Table1[[#This Row],[Operating_Costs]]</f>
        <v>73005</v>
      </c>
      <c r="T1945">
        <v>558345</v>
      </c>
      <c r="U1945">
        <v>30</v>
      </c>
      <c r="V1945">
        <v>63</v>
      </c>
      <c r="W1945">
        <v>5.4</v>
      </c>
    </row>
    <row r="1946" spans="1:23" x14ac:dyDescent="0.25">
      <c r="A1946">
        <v>6</v>
      </c>
      <c r="B1946" t="s">
        <v>70</v>
      </c>
      <c r="C1946" s="1">
        <v>45396</v>
      </c>
      <c r="D1946" t="s">
        <v>71</v>
      </c>
      <c r="E1946">
        <v>0</v>
      </c>
      <c r="F1946">
        <v>58</v>
      </c>
      <c r="G1946" t="str">
        <f t="shared" si="38"/>
        <v>41-60</v>
      </c>
      <c r="H1946" t="s">
        <v>35</v>
      </c>
      <c r="I1946" t="s">
        <v>46</v>
      </c>
      <c r="J1946" t="s">
        <v>47</v>
      </c>
      <c r="K1946" t="s">
        <v>26</v>
      </c>
      <c r="L1946">
        <v>1</v>
      </c>
      <c r="M1946">
        <v>1</v>
      </c>
      <c r="N1946">
        <v>5</v>
      </c>
      <c r="O1946">
        <v>7.2</v>
      </c>
      <c r="P1946">
        <v>4</v>
      </c>
      <c r="Q1946">
        <v>4</v>
      </c>
      <c r="R1946">
        <v>610450</v>
      </c>
      <c r="S1946">
        <f>Table1[[#This Row],[Revenue]]-Table1[[#This Row],[Operating_Costs]]</f>
        <v>116459</v>
      </c>
      <c r="T1946">
        <v>493991</v>
      </c>
      <c r="U1946">
        <v>28</v>
      </c>
      <c r="V1946">
        <v>55</v>
      </c>
      <c r="W1946">
        <v>5</v>
      </c>
    </row>
    <row r="1947" spans="1:23" x14ac:dyDescent="0.25">
      <c r="A1947">
        <v>6</v>
      </c>
      <c r="B1947" t="s">
        <v>70</v>
      </c>
      <c r="C1947" s="1">
        <v>44656</v>
      </c>
      <c r="D1947" t="s">
        <v>71</v>
      </c>
      <c r="E1947">
        <v>0</v>
      </c>
      <c r="F1947">
        <v>24</v>
      </c>
      <c r="G1947" t="str">
        <f t="shared" si="38"/>
        <v>21-40</v>
      </c>
      <c r="H1947" t="s">
        <v>35</v>
      </c>
      <c r="I1947" t="s">
        <v>60</v>
      </c>
      <c r="J1947" t="s">
        <v>59</v>
      </c>
      <c r="K1947" t="s">
        <v>42</v>
      </c>
      <c r="L1947">
        <v>1</v>
      </c>
      <c r="M1947">
        <v>1</v>
      </c>
      <c r="N1947">
        <v>5.9</v>
      </c>
      <c r="O1947">
        <v>9.6999999999999993</v>
      </c>
      <c r="P1947">
        <v>3</v>
      </c>
      <c r="Q1947">
        <v>6</v>
      </c>
      <c r="R1947">
        <v>621956</v>
      </c>
      <c r="S1947">
        <f>Table1[[#This Row],[Revenue]]-Table1[[#This Row],[Operating_Costs]]</f>
        <v>62065</v>
      </c>
      <c r="T1947">
        <v>559891</v>
      </c>
      <c r="U1947">
        <v>29</v>
      </c>
      <c r="V1947">
        <v>60</v>
      </c>
      <c r="W1947">
        <v>9</v>
      </c>
    </row>
    <row r="1948" spans="1:23" x14ac:dyDescent="0.25">
      <c r="A1948">
        <v>6</v>
      </c>
      <c r="B1948" t="s">
        <v>70</v>
      </c>
      <c r="C1948" s="1">
        <v>44472</v>
      </c>
      <c r="D1948" t="s">
        <v>71</v>
      </c>
      <c r="E1948">
        <v>0</v>
      </c>
      <c r="F1948">
        <v>62</v>
      </c>
      <c r="G1948" t="str">
        <f t="shared" si="38"/>
        <v>61-80</v>
      </c>
      <c r="H1948" t="s">
        <v>35</v>
      </c>
      <c r="I1948" t="s">
        <v>53</v>
      </c>
      <c r="J1948" t="s">
        <v>54</v>
      </c>
      <c r="K1948" t="s">
        <v>26</v>
      </c>
      <c r="L1948">
        <v>1</v>
      </c>
      <c r="M1948">
        <v>1</v>
      </c>
      <c r="N1948">
        <v>4.3</v>
      </c>
      <c r="O1948">
        <v>9.5</v>
      </c>
      <c r="P1948">
        <v>7</v>
      </c>
      <c r="Q1948">
        <v>3</v>
      </c>
      <c r="R1948">
        <v>712580</v>
      </c>
      <c r="S1948">
        <f>Table1[[#This Row],[Revenue]]-Table1[[#This Row],[Operating_Costs]]</f>
        <v>127059</v>
      </c>
      <c r="T1948">
        <v>585521</v>
      </c>
      <c r="U1948">
        <v>27</v>
      </c>
      <c r="V1948">
        <v>57</v>
      </c>
      <c r="W1948">
        <v>6.1</v>
      </c>
    </row>
    <row r="1949" spans="1:23" x14ac:dyDescent="0.25">
      <c r="A1949">
        <v>6</v>
      </c>
      <c r="B1949" t="s">
        <v>70</v>
      </c>
      <c r="C1949" s="1">
        <v>44755</v>
      </c>
      <c r="D1949" t="s">
        <v>71</v>
      </c>
      <c r="E1949">
        <v>0</v>
      </c>
      <c r="F1949">
        <v>72</v>
      </c>
      <c r="G1949" t="str">
        <f t="shared" si="38"/>
        <v>61-80</v>
      </c>
      <c r="H1949" t="s">
        <v>35</v>
      </c>
      <c r="I1949" t="s">
        <v>31</v>
      </c>
      <c r="J1949" t="s">
        <v>28</v>
      </c>
      <c r="K1949" t="s">
        <v>38</v>
      </c>
      <c r="L1949">
        <v>1</v>
      </c>
      <c r="M1949">
        <v>1</v>
      </c>
      <c r="N1949">
        <v>6.3</v>
      </c>
      <c r="O1949">
        <v>8.9</v>
      </c>
      <c r="P1949">
        <v>4</v>
      </c>
      <c r="Q1949">
        <v>5</v>
      </c>
      <c r="R1949">
        <v>665457</v>
      </c>
      <c r="S1949">
        <f>Table1[[#This Row],[Revenue]]-Table1[[#This Row],[Operating_Costs]]</f>
        <v>210258</v>
      </c>
      <c r="T1949">
        <v>455199</v>
      </c>
      <c r="U1949">
        <v>23</v>
      </c>
      <c r="V1949">
        <v>56</v>
      </c>
      <c r="W1949">
        <v>36.299999999999997</v>
      </c>
    </row>
    <row r="1950" spans="1:23" x14ac:dyDescent="0.25">
      <c r="A1950">
        <v>6</v>
      </c>
      <c r="B1950" t="s">
        <v>70</v>
      </c>
      <c r="C1950" s="1">
        <v>44462</v>
      </c>
      <c r="D1950" t="s">
        <v>71</v>
      </c>
      <c r="E1950">
        <v>0</v>
      </c>
      <c r="F1950">
        <v>28</v>
      </c>
      <c r="G1950" t="str">
        <f t="shared" si="38"/>
        <v>21-40</v>
      </c>
      <c r="H1950" t="s">
        <v>35</v>
      </c>
      <c r="I1950" t="s">
        <v>60</v>
      </c>
      <c r="J1950" t="s">
        <v>59</v>
      </c>
      <c r="K1950" t="s">
        <v>42</v>
      </c>
      <c r="L1950">
        <v>1</v>
      </c>
      <c r="M1950">
        <v>1</v>
      </c>
      <c r="N1950">
        <v>6.7</v>
      </c>
      <c r="O1950">
        <v>7.6</v>
      </c>
      <c r="P1950">
        <v>5</v>
      </c>
      <c r="Q1950">
        <v>5</v>
      </c>
      <c r="R1950">
        <v>638968</v>
      </c>
      <c r="S1950">
        <f>Table1[[#This Row],[Revenue]]-Table1[[#This Row],[Operating_Costs]]</f>
        <v>97035</v>
      </c>
      <c r="T1950">
        <v>541933</v>
      </c>
      <c r="U1950">
        <v>25</v>
      </c>
      <c r="V1950">
        <v>61</v>
      </c>
      <c r="W1950">
        <v>13.9</v>
      </c>
    </row>
    <row r="1951" spans="1:23" x14ac:dyDescent="0.25">
      <c r="A1951">
        <v>6</v>
      </c>
      <c r="B1951" t="s">
        <v>70</v>
      </c>
      <c r="C1951" s="1">
        <v>45381</v>
      </c>
      <c r="D1951" t="s">
        <v>71</v>
      </c>
      <c r="E1951">
        <v>0</v>
      </c>
      <c r="F1951">
        <v>33</v>
      </c>
      <c r="G1951" t="str">
        <f t="shared" si="38"/>
        <v>21-40</v>
      </c>
      <c r="H1951" t="s">
        <v>35</v>
      </c>
      <c r="I1951" t="s">
        <v>36</v>
      </c>
      <c r="J1951" t="s">
        <v>37</v>
      </c>
      <c r="K1951" t="s">
        <v>26</v>
      </c>
      <c r="L1951">
        <v>1</v>
      </c>
      <c r="M1951">
        <v>1</v>
      </c>
      <c r="N1951">
        <v>4.9000000000000004</v>
      </c>
      <c r="O1951">
        <v>8</v>
      </c>
      <c r="P1951">
        <v>3</v>
      </c>
      <c r="Q1951">
        <v>6</v>
      </c>
      <c r="R1951">
        <v>744829</v>
      </c>
      <c r="S1951">
        <f>Table1[[#This Row],[Revenue]]-Table1[[#This Row],[Operating_Costs]]</f>
        <v>254773</v>
      </c>
      <c r="T1951">
        <v>490056</v>
      </c>
      <c r="U1951">
        <v>26</v>
      </c>
      <c r="V1951">
        <v>55</v>
      </c>
      <c r="W1951">
        <v>5.2</v>
      </c>
    </row>
    <row r="1952" spans="1:23" x14ac:dyDescent="0.25">
      <c r="A1952">
        <v>6</v>
      </c>
      <c r="B1952" t="s">
        <v>70</v>
      </c>
      <c r="C1952" s="1">
        <v>45439</v>
      </c>
      <c r="D1952" t="s">
        <v>71</v>
      </c>
      <c r="E1952">
        <v>0</v>
      </c>
      <c r="F1952">
        <v>68</v>
      </c>
      <c r="G1952" t="str">
        <f t="shared" si="38"/>
        <v>61-80</v>
      </c>
      <c r="H1952" t="s">
        <v>35</v>
      </c>
      <c r="I1952" t="s">
        <v>36</v>
      </c>
      <c r="J1952" t="s">
        <v>37</v>
      </c>
      <c r="K1952" t="s">
        <v>42</v>
      </c>
      <c r="L1952">
        <v>1</v>
      </c>
      <c r="M1952">
        <v>1</v>
      </c>
      <c r="N1952">
        <v>3.3</v>
      </c>
      <c r="O1952">
        <v>9.9</v>
      </c>
      <c r="P1952">
        <v>5</v>
      </c>
      <c r="Q1952">
        <v>3</v>
      </c>
      <c r="R1952">
        <v>737200</v>
      </c>
      <c r="S1952">
        <f>Table1[[#This Row],[Revenue]]-Table1[[#This Row],[Operating_Costs]]</f>
        <v>237605</v>
      </c>
      <c r="T1952">
        <v>499595</v>
      </c>
      <c r="U1952">
        <v>27</v>
      </c>
      <c r="V1952">
        <v>55</v>
      </c>
      <c r="W1952">
        <v>13.4</v>
      </c>
    </row>
    <row r="1953" spans="1:23" x14ac:dyDescent="0.25">
      <c r="A1953">
        <v>6</v>
      </c>
      <c r="B1953" t="s">
        <v>70</v>
      </c>
      <c r="C1953" s="1">
        <v>45530</v>
      </c>
      <c r="D1953" t="s">
        <v>71</v>
      </c>
      <c r="E1953">
        <v>0</v>
      </c>
      <c r="F1953">
        <v>24</v>
      </c>
      <c r="G1953" t="str">
        <f t="shared" si="38"/>
        <v>21-40</v>
      </c>
      <c r="H1953" t="s">
        <v>23</v>
      </c>
      <c r="I1953" t="s">
        <v>40</v>
      </c>
      <c r="J1953" t="s">
        <v>41</v>
      </c>
      <c r="K1953" t="s">
        <v>26</v>
      </c>
      <c r="L1953">
        <v>1</v>
      </c>
      <c r="M1953">
        <v>1</v>
      </c>
      <c r="N1953">
        <v>5.7</v>
      </c>
      <c r="O1953">
        <v>9.9</v>
      </c>
      <c r="P1953">
        <v>4</v>
      </c>
      <c r="Q1953">
        <v>3</v>
      </c>
      <c r="R1953">
        <v>683814</v>
      </c>
      <c r="S1953">
        <f>Table1[[#This Row],[Revenue]]-Table1[[#This Row],[Operating_Costs]]</f>
        <v>115070</v>
      </c>
      <c r="T1953">
        <v>568744</v>
      </c>
      <c r="U1953">
        <v>25</v>
      </c>
      <c r="V1953">
        <v>64</v>
      </c>
      <c r="W1953">
        <v>10.5</v>
      </c>
    </row>
    <row r="1954" spans="1:23" x14ac:dyDescent="0.25">
      <c r="A1954">
        <v>6</v>
      </c>
      <c r="B1954" t="s">
        <v>70</v>
      </c>
      <c r="C1954" s="1">
        <v>45107</v>
      </c>
      <c r="D1954" t="s">
        <v>71</v>
      </c>
      <c r="E1954">
        <v>0</v>
      </c>
      <c r="F1954">
        <v>27</v>
      </c>
      <c r="G1954" t="str">
        <f t="shared" si="38"/>
        <v>21-40</v>
      </c>
      <c r="H1954" t="s">
        <v>35</v>
      </c>
      <c r="I1954" t="s">
        <v>61</v>
      </c>
      <c r="J1954" t="s">
        <v>62</v>
      </c>
      <c r="K1954" t="s">
        <v>38</v>
      </c>
      <c r="L1954">
        <v>1</v>
      </c>
      <c r="M1954">
        <v>1</v>
      </c>
      <c r="N1954">
        <v>6.7</v>
      </c>
      <c r="O1954">
        <v>8.8000000000000007</v>
      </c>
      <c r="P1954">
        <v>4</v>
      </c>
      <c r="Q1954">
        <v>5</v>
      </c>
      <c r="R1954">
        <v>709407</v>
      </c>
      <c r="S1954">
        <f>Table1[[#This Row],[Revenue]]-Table1[[#This Row],[Operating_Costs]]</f>
        <v>304486</v>
      </c>
      <c r="T1954">
        <v>404921</v>
      </c>
      <c r="U1954">
        <v>30</v>
      </c>
      <c r="V1954">
        <v>62</v>
      </c>
      <c r="W1954">
        <v>13.5</v>
      </c>
    </row>
    <row r="1955" spans="1:23" x14ac:dyDescent="0.25">
      <c r="A1955">
        <v>6</v>
      </c>
      <c r="B1955" t="s">
        <v>70</v>
      </c>
      <c r="C1955" s="1">
        <v>44315</v>
      </c>
      <c r="D1955" t="s">
        <v>71</v>
      </c>
      <c r="E1955">
        <v>0</v>
      </c>
      <c r="F1955">
        <v>62</v>
      </c>
      <c r="G1955" t="str">
        <f t="shared" si="38"/>
        <v>61-80</v>
      </c>
      <c r="H1955" t="s">
        <v>35</v>
      </c>
      <c r="I1955" t="s">
        <v>55</v>
      </c>
      <c r="J1955" t="s">
        <v>56</v>
      </c>
      <c r="K1955" t="s">
        <v>29</v>
      </c>
      <c r="L1955">
        <v>1</v>
      </c>
      <c r="M1955">
        <v>1</v>
      </c>
      <c r="N1955">
        <v>6.6</v>
      </c>
      <c r="O1955">
        <v>7.9</v>
      </c>
      <c r="P1955">
        <v>6</v>
      </c>
      <c r="Q1955">
        <v>5</v>
      </c>
      <c r="R1955">
        <v>612759</v>
      </c>
      <c r="S1955">
        <f>Table1[[#This Row],[Revenue]]-Table1[[#This Row],[Operating_Costs]]</f>
        <v>172321</v>
      </c>
      <c r="T1955">
        <v>440438</v>
      </c>
      <c r="U1955">
        <v>27</v>
      </c>
      <c r="V1955">
        <v>61</v>
      </c>
      <c r="W1955">
        <v>5.5</v>
      </c>
    </row>
    <row r="1956" spans="1:23" x14ac:dyDescent="0.25">
      <c r="A1956">
        <v>6</v>
      </c>
      <c r="B1956" t="s">
        <v>70</v>
      </c>
      <c r="C1956" s="1">
        <v>45090</v>
      </c>
      <c r="D1956" t="s">
        <v>71</v>
      </c>
      <c r="E1956">
        <v>0</v>
      </c>
      <c r="F1956">
        <v>36</v>
      </c>
      <c r="G1956" t="str">
        <f t="shared" si="38"/>
        <v>21-40</v>
      </c>
      <c r="H1956" t="s">
        <v>35</v>
      </c>
      <c r="I1956" t="s">
        <v>40</v>
      </c>
      <c r="J1956" t="s">
        <v>41</v>
      </c>
      <c r="K1956" t="s">
        <v>29</v>
      </c>
      <c r="L1956">
        <v>1</v>
      </c>
      <c r="M1956">
        <v>1</v>
      </c>
      <c r="N1956">
        <v>4.8</v>
      </c>
      <c r="O1956">
        <v>7.6</v>
      </c>
      <c r="P1956">
        <v>3</v>
      </c>
      <c r="Q1956">
        <v>7</v>
      </c>
      <c r="R1956">
        <v>788371</v>
      </c>
      <c r="S1956">
        <f>Table1[[#This Row],[Revenue]]-Table1[[#This Row],[Operating_Costs]]</f>
        <v>209832</v>
      </c>
      <c r="T1956">
        <v>578539</v>
      </c>
      <c r="U1956">
        <v>22</v>
      </c>
      <c r="V1956">
        <v>63</v>
      </c>
      <c r="W1956">
        <v>9.4</v>
      </c>
    </row>
    <row r="1957" spans="1:23" x14ac:dyDescent="0.25">
      <c r="A1957">
        <v>6</v>
      </c>
      <c r="B1957" t="s">
        <v>70</v>
      </c>
      <c r="C1957" s="1">
        <v>44752</v>
      </c>
      <c r="D1957" t="s">
        <v>71</v>
      </c>
      <c r="E1957">
        <v>0</v>
      </c>
      <c r="F1957">
        <v>33</v>
      </c>
      <c r="G1957" t="str">
        <f t="shared" si="38"/>
        <v>21-40</v>
      </c>
      <c r="H1957" t="s">
        <v>23</v>
      </c>
      <c r="I1957" t="s">
        <v>40</v>
      </c>
      <c r="J1957" t="s">
        <v>41</v>
      </c>
      <c r="K1957" t="s">
        <v>38</v>
      </c>
      <c r="L1957">
        <v>1</v>
      </c>
      <c r="M1957">
        <v>1</v>
      </c>
      <c r="N1957">
        <v>6.4</v>
      </c>
      <c r="O1957">
        <v>9.4</v>
      </c>
      <c r="P1957">
        <v>7</v>
      </c>
      <c r="Q1957">
        <v>6</v>
      </c>
      <c r="R1957">
        <v>709833</v>
      </c>
      <c r="S1957">
        <f>Table1[[#This Row],[Revenue]]-Table1[[#This Row],[Operating_Costs]]</f>
        <v>262983</v>
      </c>
      <c r="T1957">
        <v>446850</v>
      </c>
      <c r="U1957">
        <v>29</v>
      </c>
      <c r="V1957">
        <v>57</v>
      </c>
      <c r="W1957">
        <v>8.1999999999999993</v>
      </c>
    </row>
    <row r="1958" spans="1:23" x14ac:dyDescent="0.25">
      <c r="A1958">
        <v>6</v>
      </c>
      <c r="B1958" t="s">
        <v>70</v>
      </c>
      <c r="C1958" s="1">
        <v>44519</v>
      </c>
      <c r="D1958" t="s">
        <v>71</v>
      </c>
      <c r="E1958">
        <v>0</v>
      </c>
      <c r="F1958">
        <v>64</v>
      </c>
      <c r="G1958" t="str">
        <f t="shared" si="38"/>
        <v>61-80</v>
      </c>
      <c r="H1958" t="s">
        <v>35</v>
      </c>
      <c r="I1958" t="s">
        <v>27</v>
      </c>
      <c r="J1958" t="s">
        <v>28</v>
      </c>
      <c r="K1958" t="s">
        <v>29</v>
      </c>
      <c r="L1958">
        <v>1</v>
      </c>
      <c r="M1958">
        <v>1</v>
      </c>
      <c r="N1958">
        <v>3.2</v>
      </c>
      <c r="O1958">
        <v>7.8</v>
      </c>
      <c r="P1958">
        <v>6</v>
      </c>
      <c r="Q1958">
        <v>4</v>
      </c>
      <c r="R1958">
        <v>727998</v>
      </c>
      <c r="S1958">
        <f>Table1[[#This Row],[Revenue]]-Table1[[#This Row],[Operating_Costs]]</f>
        <v>165472</v>
      </c>
      <c r="T1958">
        <v>562526</v>
      </c>
      <c r="U1958">
        <v>30</v>
      </c>
      <c r="V1958">
        <v>65</v>
      </c>
      <c r="W1958">
        <v>10.199999999999999</v>
      </c>
    </row>
    <row r="1959" spans="1:23" x14ac:dyDescent="0.25">
      <c r="A1959">
        <v>6</v>
      </c>
      <c r="B1959" t="s">
        <v>70</v>
      </c>
      <c r="C1959" s="1">
        <v>44448</v>
      </c>
      <c r="D1959" t="s">
        <v>71</v>
      </c>
      <c r="E1959">
        <v>0</v>
      </c>
      <c r="F1959">
        <v>23</v>
      </c>
      <c r="G1959" t="str">
        <f t="shared" si="38"/>
        <v>21-40</v>
      </c>
      <c r="H1959" t="s">
        <v>35</v>
      </c>
      <c r="I1959" t="s">
        <v>58</v>
      </c>
      <c r="J1959" t="s">
        <v>59</v>
      </c>
      <c r="K1959" t="s">
        <v>33</v>
      </c>
      <c r="L1959">
        <v>1</v>
      </c>
      <c r="M1959">
        <v>1</v>
      </c>
      <c r="N1959">
        <v>3.6</v>
      </c>
      <c r="O1959">
        <v>9.4</v>
      </c>
      <c r="P1959">
        <v>3</v>
      </c>
      <c r="Q1959">
        <v>5</v>
      </c>
      <c r="R1959">
        <v>604296</v>
      </c>
      <c r="S1959">
        <f>Table1[[#This Row],[Revenue]]-Table1[[#This Row],[Operating_Costs]]</f>
        <v>33877</v>
      </c>
      <c r="T1959">
        <v>570419</v>
      </c>
      <c r="U1959">
        <v>24</v>
      </c>
      <c r="V1959">
        <v>54</v>
      </c>
      <c r="W1959">
        <v>7.2</v>
      </c>
    </row>
    <row r="1960" spans="1:23" x14ac:dyDescent="0.25">
      <c r="A1960">
        <v>6</v>
      </c>
      <c r="B1960" t="s">
        <v>70</v>
      </c>
      <c r="C1960" s="1">
        <v>45491</v>
      </c>
      <c r="D1960" t="s">
        <v>71</v>
      </c>
      <c r="E1960">
        <v>0</v>
      </c>
      <c r="F1960">
        <v>27</v>
      </c>
      <c r="G1960" t="str">
        <f t="shared" si="38"/>
        <v>21-40</v>
      </c>
      <c r="H1960" t="s">
        <v>35</v>
      </c>
      <c r="I1960" t="s">
        <v>60</v>
      </c>
      <c r="J1960" t="s">
        <v>59</v>
      </c>
      <c r="K1960" t="s">
        <v>29</v>
      </c>
      <c r="L1960">
        <v>1</v>
      </c>
      <c r="M1960">
        <v>1</v>
      </c>
      <c r="N1960">
        <v>3.3</v>
      </c>
      <c r="O1960">
        <v>8.1</v>
      </c>
      <c r="P1960">
        <v>7</v>
      </c>
      <c r="Q1960">
        <v>6</v>
      </c>
      <c r="R1960">
        <v>705540</v>
      </c>
      <c r="S1960">
        <f>Table1[[#This Row],[Revenue]]-Table1[[#This Row],[Operating_Costs]]</f>
        <v>300489</v>
      </c>
      <c r="T1960">
        <v>405051</v>
      </c>
      <c r="U1960">
        <v>22</v>
      </c>
      <c r="V1960">
        <v>66</v>
      </c>
      <c r="W1960">
        <v>13.1</v>
      </c>
    </row>
    <row r="1961" spans="1:23" x14ac:dyDescent="0.25">
      <c r="A1961">
        <v>6</v>
      </c>
      <c r="B1961" t="s">
        <v>70</v>
      </c>
      <c r="C1961" s="1">
        <v>45081</v>
      </c>
      <c r="D1961" t="s">
        <v>71</v>
      </c>
      <c r="E1961">
        <v>0</v>
      </c>
      <c r="F1961">
        <v>46</v>
      </c>
      <c r="G1961" t="str">
        <f t="shared" si="38"/>
        <v>41-60</v>
      </c>
      <c r="H1961" t="s">
        <v>35</v>
      </c>
      <c r="I1961" t="s">
        <v>46</v>
      </c>
      <c r="J1961" t="s">
        <v>47</v>
      </c>
      <c r="K1961" t="s">
        <v>33</v>
      </c>
      <c r="L1961">
        <v>1</v>
      </c>
      <c r="M1961">
        <v>1</v>
      </c>
      <c r="N1961">
        <v>4.7</v>
      </c>
      <c r="O1961">
        <v>8.6999999999999993</v>
      </c>
      <c r="P1961">
        <v>4</v>
      </c>
      <c r="Q1961">
        <v>5</v>
      </c>
      <c r="R1961">
        <v>787404</v>
      </c>
      <c r="S1961">
        <f>Table1[[#This Row],[Revenue]]-Table1[[#This Row],[Operating_Costs]]</f>
        <v>362796</v>
      </c>
      <c r="T1961">
        <v>424608</v>
      </c>
      <c r="U1961">
        <v>23</v>
      </c>
      <c r="V1961">
        <v>64</v>
      </c>
      <c r="W1961">
        <v>12.5</v>
      </c>
    </row>
    <row r="1962" spans="1:23" x14ac:dyDescent="0.25">
      <c r="A1962">
        <v>6</v>
      </c>
      <c r="B1962" t="s">
        <v>70</v>
      </c>
      <c r="C1962" s="1">
        <v>45332</v>
      </c>
      <c r="D1962" t="s">
        <v>71</v>
      </c>
      <c r="E1962">
        <v>0</v>
      </c>
      <c r="F1962">
        <v>36</v>
      </c>
      <c r="G1962" t="str">
        <f t="shared" si="38"/>
        <v>21-40</v>
      </c>
      <c r="H1962" t="s">
        <v>35</v>
      </c>
      <c r="I1962" t="s">
        <v>36</v>
      </c>
      <c r="J1962" t="s">
        <v>37</v>
      </c>
      <c r="K1962" t="s">
        <v>29</v>
      </c>
      <c r="L1962">
        <v>1</v>
      </c>
      <c r="M1962">
        <v>1</v>
      </c>
      <c r="N1962">
        <v>6.8</v>
      </c>
      <c r="O1962">
        <v>8.3000000000000007</v>
      </c>
      <c r="P1962">
        <v>5</v>
      </c>
      <c r="Q1962">
        <v>5</v>
      </c>
      <c r="R1962">
        <v>723158</v>
      </c>
      <c r="S1962">
        <f>Table1[[#This Row],[Revenue]]-Table1[[#This Row],[Operating_Costs]]</f>
        <v>206807</v>
      </c>
      <c r="T1962">
        <v>516351</v>
      </c>
      <c r="U1962">
        <v>26</v>
      </c>
      <c r="V1962">
        <v>64</v>
      </c>
      <c r="W1962">
        <v>36.5</v>
      </c>
    </row>
    <row r="1963" spans="1:23" x14ac:dyDescent="0.25">
      <c r="A1963">
        <v>6</v>
      </c>
      <c r="B1963" t="s">
        <v>70</v>
      </c>
      <c r="C1963" s="1">
        <v>44217</v>
      </c>
      <c r="D1963" t="s">
        <v>71</v>
      </c>
      <c r="E1963">
        <v>0</v>
      </c>
      <c r="F1963">
        <v>34</v>
      </c>
      <c r="G1963" t="str">
        <f t="shared" si="38"/>
        <v>21-40</v>
      </c>
      <c r="H1963" t="s">
        <v>35</v>
      </c>
      <c r="I1963" t="s">
        <v>40</v>
      </c>
      <c r="J1963" t="s">
        <v>41</v>
      </c>
      <c r="K1963" t="s">
        <v>38</v>
      </c>
      <c r="L1963">
        <v>1</v>
      </c>
      <c r="M1963">
        <v>1</v>
      </c>
      <c r="N1963">
        <v>5.5</v>
      </c>
      <c r="O1963">
        <v>9.8000000000000007</v>
      </c>
      <c r="P1963">
        <v>6</v>
      </c>
      <c r="Q1963">
        <v>4</v>
      </c>
      <c r="R1963">
        <v>676345</v>
      </c>
      <c r="S1963">
        <f>Table1[[#This Row],[Revenue]]-Table1[[#This Row],[Operating_Costs]]</f>
        <v>266703</v>
      </c>
      <c r="T1963">
        <v>409642</v>
      </c>
      <c r="U1963">
        <v>26</v>
      </c>
      <c r="V1963">
        <v>64</v>
      </c>
      <c r="W1963">
        <v>8.6</v>
      </c>
    </row>
    <row r="1964" spans="1:23" x14ac:dyDescent="0.25">
      <c r="A1964">
        <v>6</v>
      </c>
      <c r="B1964" t="s">
        <v>70</v>
      </c>
      <c r="C1964" s="1">
        <v>44921</v>
      </c>
      <c r="D1964" t="s">
        <v>71</v>
      </c>
      <c r="E1964">
        <v>0</v>
      </c>
      <c r="F1964">
        <v>89</v>
      </c>
      <c r="G1964" t="str">
        <f t="shared" si="38"/>
        <v>81+</v>
      </c>
      <c r="H1964" t="s">
        <v>35</v>
      </c>
      <c r="I1964" t="s">
        <v>31</v>
      </c>
      <c r="J1964" t="s">
        <v>28</v>
      </c>
      <c r="K1964" t="s">
        <v>26</v>
      </c>
      <c r="L1964">
        <v>1</v>
      </c>
      <c r="M1964">
        <v>1</v>
      </c>
      <c r="N1964">
        <v>3.6</v>
      </c>
      <c r="O1964">
        <v>8.6</v>
      </c>
      <c r="P1964">
        <v>4</v>
      </c>
      <c r="Q1964">
        <v>5</v>
      </c>
      <c r="R1964">
        <v>620187</v>
      </c>
      <c r="S1964">
        <f>Table1[[#This Row],[Revenue]]-Table1[[#This Row],[Operating_Costs]]</f>
        <v>182275</v>
      </c>
      <c r="T1964">
        <v>437912</v>
      </c>
      <c r="U1964">
        <v>22</v>
      </c>
      <c r="V1964">
        <v>57</v>
      </c>
      <c r="W1964">
        <v>15</v>
      </c>
    </row>
    <row r="1965" spans="1:23" x14ac:dyDescent="0.25">
      <c r="A1965">
        <v>6</v>
      </c>
      <c r="B1965" t="s">
        <v>70</v>
      </c>
      <c r="C1965" s="1">
        <v>45064</v>
      </c>
      <c r="D1965" t="s">
        <v>71</v>
      </c>
      <c r="E1965">
        <v>0</v>
      </c>
      <c r="F1965">
        <v>47</v>
      </c>
      <c r="G1965" t="str">
        <f t="shared" si="38"/>
        <v>41-60</v>
      </c>
      <c r="H1965" t="s">
        <v>35</v>
      </c>
      <c r="I1965" t="s">
        <v>58</v>
      </c>
      <c r="J1965" t="s">
        <v>59</v>
      </c>
      <c r="K1965" t="s">
        <v>29</v>
      </c>
      <c r="L1965">
        <v>1</v>
      </c>
      <c r="M1965">
        <v>1</v>
      </c>
      <c r="N1965">
        <v>6.5</v>
      </c>
      <c r="O1965">
        <v>8.1999999999999993</v>
      </c>
      <c r="P1965">
        <v>4</v>
      </c>
      <c r="Q1965">
        <v>4</v>
      </c>
      <c r="R1965">
        <v>722284</v>
      </c>
      <c r="S1965">
        <f>Table1[[#This Row],[Revenue]]-Table1[[#This Row],[Operating_Costs]]</f>
        <v>319281</v>
      </c>
      <c r="T1965">
        <v>403003</v>
      </c>
      <c r="U1965">
        <v>25</v>
      </c>
      <c r="V1965">
        <v>65</v>
      </c>
      <c r="W1965">
        <v>13.6</v>
      </c>
    </row>
    <row r="1966" spans="1:23" x14ac:dyDescent="0.25">
      <c r="A1966">
        <v>6</v>
      </c>
      <c r="B1966" t="s">
        <v>70</v>
      </c>
      <c r="C1966" s="1">
        <v>45451</v>
      </c>
      <c r="D1966" t="s">
        <v>71</v>
      </c>
      <c r="E1966">
        <v>0</v>
      </c>
      <c r="F1966">
        <v>44</v>
      </c>
      <c r="G1966" t="str">
        <f t="shared" si="38"/>
        <v>41-60</v>
      </c>
      <c r="H1966" t="s">
        <v>23</v>
      </c>
      <c r="I1966" t="s">
        <v>43</v>
      </c>
      <c r="J1966" t="s">
        <v>25</v>
      </c>
      <c r="K1966" t="s">
        <v>33</v>
      </c>
      <c r="L1966">
        <v>1</v>
      </c>
      <c r="M1966">
        <v>1</v>
      </c>
      <c r="N1966">
        <v>6.3</v>
      </c>
      <c r="O1966">
        <v>9.6999999999999993</v>
      </c>
      <c r="P1966">
        <v>5</v>
      </c>
      <c r="Q1966">
        <v>4</v>
      </c>
      <c r="R1966">
        <v>693809</v>
      </c>
      <c r="S1966">
        <f>Table1[[#This Row],[Revenue]]-Table1[[#This Row],[Operating_Costs]]</f>
        <v>115558</v>
      </c>
      <c r="T1966">
        <v>578251</v>
      </c>
      <c r="U1966">
        <v>20</v>
      </c>
      <c r="V1966">
        <v>54</v>
      </c>
      <c r="W1966">
        <v>36</v>
      </c>
    </row>
    <row r="1967" spans="1:23" x14ac:dyDescent="0.25">
      <c r="A1967">
        <v>6</v>
      </c>
      <c r="B1967" t="s">
        <v>70</v>
      </c>
      <c r="C1967" s="1">
        <v>45029</v>
      </c>
      <c r="D1967" t="s">
        <v>71</v>
      </c>
      <c r="E1967">
        <v>0</v>
      </c>
      <c r="F1967">
        <v>35</v>
      </c>
      <c r="G1967" t="str">
        <f t="shared" si="38"/>
        <v>21-40</v>
      </c>
      <c r="H1967" t="s">
        <v>23</v>
      </c>
      <c r="I1967" t="s">
        <v>27</v>
      </c>
      <c r="J1967" t="s">
        <v>28</v>
      </c>
      <c r="K1967" t="s">
        <v>42</v>
      </c>
      <c r="L1967">
        <v>1</v>
      </c>
      <c r="M1967">
        <v>1</v>
      </c>
      <c r="N1967">
        <v>6.9</v>
      </c>
      <c r="O1967">
        <v>8.6</v>
      </c>
      <c r="P1967">
        <v>6</v>
      </c>
      <c r="Q1967">
        <v>5</v>
      </c>
      <c r="R1967">
        <v>716655</v>
      </c>
      <c r="S1967">
        <f>Table1[[#This Row],[Revenue]]-Table1[[#This Row],[Operating_Costs]]</f>
        <v>242973</v>
      </c>
      <c r="T1967">
        <v>473682</v>
      </c>
      <c r="U1967">
        <v>30</v>
      </c>
      <c r="V1967">
        <v>61</v>
      </c>
      <c r="W1967">
        <v>12.5</v>
      </c>
    </row>
    <row r="1968" spans="1:23" x14ac:dyDescent="0.25">
      <c r="A1968">
        <v>6</v>
      </c>
      <c r="B1968" t="s">
        <v>70</v>
      </c>
      <c r="C1968" s="1">
        <v>45262</v>
      </c>
      <c r="D1968" t="s">
        <v>71</v>
      </c>
      <c r="E1968">
        <v>0</v>
      </c>
      <c r="F1968">
        <v>52</v>
      </c>
      <c r="G1968" t="str">
        <f t="shared" si="38"/>
        <v>41-60</v>
      </c>
      <c r="H1968" t="s">
        <v>35</v>
      </c>
      <c r="I1968" t="s">
        <v>40</v>
      </c>
      <c r="J1968" t="s">
        <v>41</v>
      </c>
      <c r="K1968" t="s">
        <v>38</v>
      </c>
      <c r="L1968">
        <v>1</v>
      </c>
      <c r="M1968">
        <v>1</v>
      </c>
      <c r="N1968">
        <v>3</v>
      </c>
      <c r="O1968">
        <v>8.6999999999999993</v>
      </c>
      <c r="P1968">
        <v>3</v>
      </c>
      <c r="Q1968">
        <v>3</v>
      </c>
      <c r="R1968">
        <v>687523</v>
      </c>
      <c r="S1968">
        <f>Table1[[#This Row],[Revenue]]-Table1[[#This Row],[Operating_Costs]]</f>
        <v>226750</v>
      </c>
      <c r="T1968">
        <v>460773</v>
      </c>
      <c r="U1968">
        <v>29</v>
      </c>
      <c r="V1968">
        <v>59</v>
      </c>
      <c r="W1968">
        <v>5.6</v>
      </c>
    </row>
    <row r="1969" spans="1:23" x14ac:dyDescent="0.25">
      <c r="A1969">
        <v>6</v>
      </c>
      <c r="B1969" t="s">
        <v>70</v>
      </c>
      <c r="C1969" s="1">
        <v>45361</v>
      </c>
      <c r="D1969" t="s">
        <v>71</v>
      </c>
      <c r="E1969">
        <v>0</v>
      </c>
      <c r="F1969">
        <v>53</v>
      </c>
      <c r="G1969" t="str">
        <f t="shared" si="38"/>
        <v>41-60</v>
      </c>
      <c r="H1969" t="s">
        <v>23</v>
      </c>
      <c r="I1969" t="s">
        <v>24</v>
      </c>
      <c r="J1969" t="s">
        <v>25</v>
      </c>
      <c r="K1969" t="s">
        <v>33</v>
      </c>
      <c r="L1969">
        <v>1</v>
      </c>
      <c r="M1969">
        <v>1</v>
      </c>
      <c r="N1969">
        <v>4.3</v>
      </c>
      <c r="O1969">
        <v>9.9</v>
      </c>
      <c r="P1969">
        <v>5</v>
      </c>
      <c r="Q1969">
        <v>7</v>
      </c>
      <c r="R1969">
        <v>673491</v>
      </c>
      <c r="S1969">
        <f>Table1[[#This Row],[Revenue]]-Table1[[#This Row],[Operating_Costs]]</f>
        <v>189842</v>
      </c>
      <c r="T1969">
        <v>483649</v>
      </c>
      <c r="U1969">
        <v>28</v>
      </c>
      <c r="V1969">
        <v>65</v>
      </c>
      <c r="W1969">
        <v>10.5</v>
      </c>
    </row>
    <row r="1970" spans="1:23" x14ac:dyDescent="0.25">
      <c r="A1970">
        <v>6</v>
      </c>
      <c r="B1970" t="s">
        <v>70</v>
      </c>
      <c r="C1970" s="1">
        <v>44819</v>
      </c>
      <c r="D1970" t="s">
        <v>71</v>
      </c>
      <c r="E1970">
        <v>0</v>
      </c>
      <c r="F1970">
        <v>30</v>
      </c>
      <c r="G1970" t="str">
        <f t="shared" si="38"/>
        <v>21-40</v>
      </c>
      <c r="H1970" t="s">
        <v>35</v>
      </c>
      <c r="I1970" t="s">
        <v>36</v>
      </c>
      <c r="J1970" t="s">
        <v>37</v>
      </c>
      <c r="K1970" t="s">
        <v>26</v>
      </c>
      <c r="L1970">
        <v>1</v>
      </c>
      <c r="M1970">
        <v>1</v>
      </c>
      <c r="N1970">
        <v>6.8</v>
      </c>
      <c r="O1970">
        <v>7.5</v>
      </c>
      <c r="P1970">
        <v>6</v>
      </c>
      <c r="Q1970">
        <v>6</v>
      </c>
      <c r="R1970">
        <v>667248</v>
      </c>
      <c r="S1970">
        <f>Table1[[#This Row],[Revenue]]-Table1[[#This Row],[Operating_Costs]]</f>
        <v>252964</v>
      </c>
      <c r="T1970">
        <v>414284</v>
      </c>
      <c r="U1970">
        <v>29</v>
      </c>
      <c r="V1970">
        <v>65</v>
      </c>
      <c r="W1970">
        <v>14</v>
      </c>
    </row>
    <row r="1971" spans="1:23" x14ac:dyDescent="0.25">
      <c r="A1971">
        <v>6</v>
      </c>
      <c r="B1971" t="s">
        <v>70</v>
      </c>
      <c r="C1971" s="1">
        <v>44833</v>
      </c>
      <c r="D1971" t="s">
        <v>71</v>
      </c>
      <c r="E1971">
        <v>0</v>
      </c>
      <c r="F1971">
        <v>86</v>
      </c>
      <c r="G1971" t="str">
        <f t="shared" si="38"/>
        <v>81+</v>
      </c>
      <c r="H1971" t="s">
        <v>23</v>
      </c>
      <c r="I1971" t="s">
        <v>43</v>
      </c>
      <c r="J1971" t="s">
        <v>25</v>
      </c>
      <c r="K1971" t="s">
        <v>29</v>
      </c>
      <c r="L1971">
        <v>1</v>
      </c>
      <c r="M1971">
        <v>1</v>
      </c>
      <c r="N1971">
        <v>4.9000000000000004</v>
      </c>
      <c r="O1971">
        <v>8.4</v>
      </c>
      <c r="P1971">
        <v>5</v>
      </c>
      <c r="Q1971">
        <v>5</v>
      </c>
      <c r="R1971">
        <v>712074</v>
      </c>
      <c r="S1971">
        <f>Table1[[#This Row],[Revenue]]-Table1[[#This Row],[Operating_Costs]]</f>
        <v>155695</v>
      </c>
      <c r="T1971">
        <v>556379</v>
      </c>
      <c r="U1971">
        <v>24</v>
      </c>
      <c r="V1971">
        <v>60</v>
      </c>
      <c r="W1971">
        <v>5.8</v>
      </c>
    </row>
    <row r="1972" spans="1:23" x14ac:dyDescent="0.25">
      <c r="A1972">
        <v>6</v>
      </c>
      <c r="B1972" t="s">
        <v>70</v>
      </c>
      <c r="C1972" s="1">
        <v>44823</v>
      </c>
      <c r="D1972" t="s">
        <v>71</v>
      </c>
      <c r="E1972">
        <v>0</v>
      </c>
      <c r="F1972">
        <v>25</v>
      </c>
      <c r="G1972" t="str">
        <f t="shared" si="38"/>
        <v>21-40</v>
      </c>
      <c r="H1972" t="s">
        <v>23</v>
      </c>
      <c r="I1972" t="s">
        <v>31</v>
      </c>
      <c r="J1972" t="s">
        <v>28</v>
      </c>
      <c r="K1972" t="s">
        <v>38</v>
      </c>
      <c r="L1972">
        <v>1</v>
      </c>
      <c r="M1972">
        <v>1</v>
      </c>
      <c r="N1972">
        <v>6.1</v>
      </c>
      <c r="O1972">
        <v>9.1</v>
      </c>
      <c r="P1972">
        <v>7</v>
      </c>
      <c r="Q1972">
        <v>4</v>
      </c>
      <c r="R1972">
        <v>716030</v>
      </c>
      <c r="S1972">
        <f>Table1[[#This Row],[Revenue]]-Table1[[#This Row],[Operating_Costs]]</f>
        <v>302084</v>
      </c>
      <c r="T1972">
        <v>413946</v>
      </c>
      <c r="U1972">
        <v>22</v>
      </c>
      <c r="V1972">
        <v>57</v>
      </c>
      <c r="W1972">
        <v>8.1</v>
      </c>
    </row>
    <row r="1973" spans="1:23" x14ac:dyDescent="0.25">
      <c r="A1973">
        <v>6</v>
      </c>
      <c r="B1973" t="s">
        <v>70</v>
      </c>
      <c r="C1973" s="1">
        <v>45368</v>
      </c>
      <c r="D1973" t="s">
        <v>71</v>
      </c>
      <c r="E1973">
        <v>0</v>
      </c>
      <c r="F1973">
        <v>46</v>
      </c>
      <c r="G1973" t="str">
        <f t="shared" si="38"/>
        <v>41-60</v>
      </c>
      <c r="H1973" t="s">
        <v>35</v>
      </c>
      <c r="I1973" t="s">
        <v>40</v>
      </c>
      <c r="J1973" t="s">
        <v>41</v>
      </c>
      <c r="K1973" t="s">
        <v>33</v>
      </c>
      <c r="L1973">
        <v>1</v>
      </c>
      <c r="M1973">
        <v>1</v>
      </c>
      <c r="N1973">
        <v>5.9</v>
      </c>
      <c r="O1973">
        <v>9.5</v>
      </c>
      <c r="P1973">
        <v>5</v>
      </c>
      <c r="Q1973">
        <v>7</v>
      </c>
      <c r="R1973">
        <v>689770</v>
      </c>
      <c r="S1973">
        <f>Table1[[#This Row],[Revenue]]-Table1[[#This Row],[Operating_Costs]]</f>
        <v>203098</v>
      </c>
      <c r="T1973">
        <v>486672</v>
      </c>
      <c r="U1973">
        <v>30</v>
      </c>
      <c r="V1973">
        <v>58</v>
      </c>
      <c r="W1973">
        <v>14.2</v>
      </c>
    </row>
    <row r="1974" spans="1:23" x14ac:dyDescent="0.25">
      <c r="A1974">
        <v>6</v>
      </c>
      <c r="B1974" t="s">
        <v>70</v>
      </c>
      <c r="C1974" s="1">
        <v>44911</v>
      </c>
      <c r="D1974" t="s">
        <v>71</v>
      </c>
      <c r="E1974">
        <v>0</v>
      </c>
      <c r="F1974">
        <v>85</v>
      </c>
      <c r="G1974" t="str">
        <f t="shared" si="38"/>
        <v>81+</v>
      </c>
      <c r="H1974" t="s">
        <v>35</v>
      </c>
      <c r="I1974" t="s">
        <v>55</v>
      </c>
      <c r="J1974" t="s">
        <v>56</v>
      </c>
      <c r="K1974" t="s">
        <v>26</v>
      </c>
      <c r="L1974">
        <v>1</v>
      </c>
      <c r="M1974">
        <v>1</v>
      </c>
      <c r="N1974">
        <v>1.6</v>
      </c>
      <c r="O1974">
        <v>9.1</v>
      </c>
      <c r="P1974">
        <v>4</v>
      </c>
      <c r="Q1974">
        <v>4</v>
      </c>
      <c r="R1974">
        <v>603492</v>
      </c>
      <c r="S1974">
        <f>Table1[[#This Row],[Revenue]]-Table1[[#This Row],[Operating_Costs]]</f>
        <v>145798</v>
      </c>
      <c r="T1974">
        <v>457694</v>
      </c>
      <c r="U1974">
        <v>21</v>
      </c>
      <c r="V1974">
        <v>54</v>
      </c>
      <c r="W1974">
        <v>8.6</v>
      </c>
    </row>
    <row r="1975" spans="1:23" x14ac:dyDescent="0.25">
      <c r="A1975">
        <v>5</v>
      </c>
      <c r="B1975" t="s">
        <v>22</v>
      </c>
      <c r="C1975" s="1">
        <v>44958</v>
      </c>
      <c r="D1975" t="s">
        <v>71</v>
      </c>
      <c r="E1975">
        <v>0</v>
      </c>
      <c r="F1975">
        <v>44</v>
      </c>
      <c r="G1975" t="str">
        <f t="shared" si="38"/>
        <v>41-60</v>
      </c>
      <c r="H1975" t="s">
        <v>35</v>
      </c>
      <c r="I1975" t="s">
        <v>36</v>
      </c>
      <c r="J1975" t="s">
        <v>37</v>
      </c>
      <c r="K1975" t="s">
        <v>38</v>
      </c>
      <c r="L1975">
        <v>1</v>
      </c>
      <c r="M1975">
        <v>1</v>
      </c>
      <c r="N1975">
        <v>5.3</v>
      </c>
      <c r="O1975">
        <v>9.9</v>
      </c>
      <c r="P1975">
        <v>3</v>
      </c>
      <c r="Q1975">
        <v>7</v>
      </c>
      <c r="R1975">
        <v>912697</v>
      </c>
      <c r="S1975">
        <f>Table1[[#This Row],[Revenue]]-Table1[[#This Row],[Operating_Costs]]</f>
        <v>488699</v>
      </c>
      <c r="T1975">
        <v>423998</v>
      </c>
      <c r="U1975">
        <v>21</v>
      </c>
      <c r="V1975">
        <v>57</v>
      </c>
      <c r="W1975">
        <v>6.4</v>
      </c>
    </row>
    <row r="1976" spans="1:23" x14ac:dyDescent="0.25">
      <c r="A1976">
        <v>6</v>
      </c>
      <c r="B1976" t="s">
        <v>70</v>
      </c>
      <c r="C1976" s="1">
        <v>45388</v>
      </c>
      <c r="D1976" t="s">
        <v>71</v>
      </c>
      <c r="E1976">
        <v>0</v>
      </c>
      <c r="F1976">
        <v>56</v>
      </c>
      <c r="G1976" t="str">
        <f t="shared" si="38"/>
        <v>41-60</v>
      </c>
      <c r="H1976" t="s">
        <v>23</v>
      </c>
      <c r="I1976" t="s">
        <v>24</v>
      </c>
      <c r="J1976" t="s">
        <v>25</v>
      </c>
      <c r="K1976" t="s">
        <v>26</v>
      </c>
      <c r="L1976">
        <v>1</v>
      </c>
      <c r="M1976">
        <v>1</v>
      </c>
      <c r="N1976">
        <v>1.6</v>
      </c>
      <c r="O1976">
        <v>8.5</v>
      </c>
      <c r="P1976">
        <v>6</v>
      </c>
      <c r="Q1976">
        <v>5</v>
      </c>
      <c r="R1976">
        <v>665680</v>
      </c>
      <c r="S1976">
        <f>Table1[[#This Row],[Revenue]]-Table1[[#This Row],[Operating_Costs]]</f>
        <v>209916</v>
      </c>
      <c r="T1976">
        <v>455764</v>
      </c>
      <c r="U1976">
        <v>27</v>
      </c>
      <c r="V1976">
        <v>62</v>
      </c>
      <c r="W1976">
        <v>14.1</v>
      </c>
    </row>
    <row r="1977" spans="1:23" x14ac:dyDescent="0.25">
      <c r="A1977">
        <v>5</v>
      </c>
      <c r="B1977" t="s">
        <v>22</v>
      </c>
      <c r="C1977" s="1">
        <v>44232</v>
      </c>
      <c r="D1977" t="s">
        <v>71</v>
      </c>
      <c r="E1977">
        <v>0</v>
      </c>
      <c r="F1977">
        <v>61</v>
      </c>
      <c r="G1977" t="str">
        <f t="shared" si="38"/>
        <v>61-80</v>
      </c>
      <c r="H1977" t="s">
        <v>35</v>
      </c>
      <c r="I1977" t="s">
        <v>58</v>
      </c>
      <c r="J1977" t="s">
        <v>59</v>
      </c>
      <c r="K1977" t="s">
        <v>33</v>
      </c>
      <c r="L1977">
        <v>1</v>
      </c>
      <c r="M1977">
        <v>1</v>
      </c>
      <c r="N1977">
        <v>5.7</v>
      </c>
      <c r="O1977">
        <v>7.9</v>
      </c>
      <c r="P1977">
        <v>5</v>
      </c>
      <c r="Q1977">
        <v>4</v>
      </c>
      <c r="R1977">
        <v>674063</v>
      </c>
      <c r="S1977">
        <f>Table1[[#This Row],[Revenue]]-Table1[[#This Row],[Operating_Costs]]</f>
        <v>467481</v>
      </c>
      <c r="T1977">
        <v>206582</v>
      </c>
      <c r="U1977">
        <v>22</v>
      </c>
      <c r="V1977">
        <v>58</v>
      </c>
      <c r="W1977">
        <v>8.4</v>
      </c>
    </row>
    <row r="1978" spans="1:23" x14ac:dyDescent="0.25">
      <c r="A1978">
        <v>6</v>
      </c>
      <c r="B1978" t="s">
        <v>70</v>
      </c>
      <c r="C1978" s="1">
        <v>45071</v>
      </c>
      <c r="D1978" t="s">
        <v>71</v>
      </c>
      <c r="E1978">
        <v>0</v>
      </c>
      <c r="F1978">
        <v>88</v>
      </c>
      <c r="G1978" t="str">
        <f t="shared" si="38"/>
        <v>81+</v>
      </c>
      <c r="H1978" t="s">
        <v>35</v>
      </c>
      <c r="I1978" t="s">
        <v>61</v>
      </c>
      <c r="J1978" t="s">
        <v>62</v>
      </c>
      <c r="K1978" t="s">
        <v>42</v>
      </c>
      <c r="L1978">
        <v>1</v>
      </c>
      <c r="M1978">
        <v>1</v>
      </c>
      <c r="N1978">
        <v>3.8</v>
      </c>
      <c r="O1978">
        <v>8.3000000000000007</v>
      </c>
      <c r="P1978">
        <v>5</v>
      </c>
      <c r="Q1978">
        <v>6</v>
      </c>
      <c r="R1978">
        <v>763336</v>
      </c>
      <c r="S1978">
        <f>Table1[[#This Row],[Revenue]]-Table1[[#This Row],[Operating_Costs]]</f>
        <v>217762</v>
      </c>
      <c r="T1978">
        <v>545574</v>
      </c>
      <c r="U1978">
        <v>21</v>
      </c>
      <c r="V1978">
        <v>64</v>
      </c>
      <c r="W1978">
        <v>6.5</v>
      </c>
    </row>
    <row r="1979" spans="1:23" x14ac:dyDescent="0.25">
      <c r="A1979">
        <v>6</v>
      </c>
      <c r="B1979" t="s">
        <v>70</v>
      </c>
      <c r="C1979" s="1">
        <v>44934</v>
      </c>
      <c r="D1979" t="s">
        <v>71</v>
      </c>
      <c r="E1979">
        <v>0</v>
      </c>
      <c r="F1979">
        <v>69</v>
      </c>
      <c r="G1979" t="str">
        <f t="shared" si="38"/>
        <v>61-80</v>
      </c>
      <c r="H1979" t="s">
        <v>23</v>
      </c>
      <c r="I1979" t="s">
        <v>24</v>
      </c>
      <c r="J1979" t="s">
        <v>25</v>
      </c>
      <c r="K1979" t="s">
        <v>38</v>
      </c>
      <c r="L1979">
        <v>1</v>
      </c>
      <c r="M1979">
        <v>1</v>
      </c>
      <c r="N1979">
        <v>5.2</v>
      </c>
      <c r="O1979">
        <v>8.8000000000000007</v>
      </c>
      <c r="P1979">
        <v>6</v>
      </c>
      <c r="Q1979">
        <v>6</v>
      </c>
      <c r="R1979">
        <v>610171</v>
      </c>
      <c r="S1979">
        <f>Table1[[#This Row],[Revenue]]-Table1[[#This Row],[Operating_Costs]]</f>
        <v>159855</v>
      </c>
      <c r="T1979">
        <v>450316</v>
      </c>
      <c r="U1979">
        <v>30</v>
      </c>
      <c r="V1979">
        <v>58</v>
      </c>
      <c r="W1979">
        <v>14.1</v>
      </c>
    </row>
    <row r="1980" spans="1:23" x14ac:dyDescent="0.25">
      <c r="A1980">
        <v>6</v>
      </c>
      <c r="B1980" t="s">
        <v>70</v>
      </c>
      <c r="C1980" s="1">
        <v>44511</v>
      </c>
      <c r="D1980" t="s">
        <v>71</v>
      </c>
      <c r="E1980">
        <v>0</v>
      </c>
      <c r="F1980">
        <v>53</v>
      </c>
      <c r="G1980" t="str">
        <f t="shared" si="38"/>
        <v>41-60</v>
      </c>
      <c r="H1980" t="s">
        <v>35</v>
      </c>
      <c r="I1980" t="s">
        <v>61</v>
      </c>
      <c r="J1980" t="s">
        <v>62</v>
      </c>
      <c r="K1980" t="s">
        <v>33</v>
      </c>
      <c r="L1980">
        <v>1</v>
      </c>
      <c r="M1980">
        <v>1</v>
      </c>
      <c r="N1980">
        <v>5.5</v>
      </c>
      <c r="O1980">
        <v>9.1</v>
      </c>
      <c r="P1980">
        <v>5</v>
      </c>
      <c r="Q1980">
        <v>4</v>
      </c>
      <c r="R1980">
        <v>680046</v>
      </c>
      <c r="S1980">
        <f>Table1[[#This Row],[Revenue]]-Table1[[#This Row],[Operating_Costs]]</f>
        <v>252151</v>
      </c>
      <c r="T1980">
        <v>427895</v>
      </c>
      <c r="U1980">
        <v>30</v>
      </c>
      <c r="V1980">
        <v>61</v>
      </c>
      <c r="W1980">
        <v>6.3</v>
      </c>
    </row>
    <row r="1981" spans="1:23" x14ac:dyDescent="0.25">
      <c r="A1981">
        <v>5</v>
      </c>
      <c r="B1981" t="s">
        <v>22</v>
      </c>
      <c r="C1981" s="1">
        <v>45264</v>
      </c>
      <c r="D1981" t="s">
        <v>71</v>
      </c>
      <c r="E1981">
        <v>0</v>
      </c>
      <c r="F1981">
        <v>37</v>
      </c>
      <c r="G1981" t="str">
        <f t="shared" si="38"/>
        <v>21-40</v>
      </c>
      <c r="H1981" t="s">
        <v>35</v>
      </c>
      <c r="I1981" t="s">
        <v>36</v>
      </c>
      <c r="J1981" t="s">
        <v>37</v>
      </c>
      <c r="K1981" t="s">
        <v>26</v>
      </c>
      <c r="L1981">
        <v>1</v>
      </c>
      <c r="M1981">
        <v>1</v>
      </c>
      <c r="N1981">
        <v>6.2</v>
      </c>
      <c r="O1981">
        <v>8.4</v>
      </c>
      <c r="P1981">
        <v>3</v>
      </c>
      <c r="Q1981">
        <v>7</v>
      </c>
      <c r="R1981">
        <v>766198</v>
      </c>
      <c r="S1981">
        <f>Table1[[#This Row],[Revenue]]-Table1[[#This Row],[Operating_Costs]]</f>
        <v>384774</v>
      </c>
      <c r="T1981">
        <v>381424</v>
      </c>
      <c r="U1981">
        <v>21</v>
      </c>
      <c r="V1981">
        <v>63</v>
      </c>
      <c r="W1981">
        <v>5.5</v>
      </c>
    </row>
    <row r="1982" spans="1:23" x14ac:dyDescent="0.25">
      <c r="A1982">
        <v>5</v>
      </c>
      <c r="B1982" t="s">
        <v>22</v>
      </c>
      <c r="C1982" s="1">
        <v>44271</v>
      </c>
      <c r="D1982" t="s">
        <v>71</v>
      </c>
      <c r="E1982">
        <v>0</v>
      </c>
      <c r="F1982">
        <v>57</v>
      </c>
      <c r="G1982" t="str">
        <f t="shared" si="38"/>
        <v>41-60</v>
      </c>
      <c r="H1982" t="s">
        <v>35</v>
      </c>
      <c r="I1982" t="s">
        <v>61</v>
      </c>
      <c r="J1982" t="s">
        <v>62</v>
      </c>
      <c r="K1982" t="s">
        <v>33</v>
      </c>
      <c r="L1982">
        <v>1</v>
      </c>
      <c r="M1982">
        <v>1</v>
      </c>
      <c r="N1982">
        <v>3.9</v>
      </c>
      <c r="O1982">
        <v>7.7</v>
      </c>
      <c r="P1982">
        <v>3</v>
      </c>
      <c r="Q1982">
        <v>6</v>
      </c>
      <c r="R1982">
        <v>934370</v>
      </c>
      <c r="S1982">
        <f>Table1[[#This Row],[Revenue]]-Table1[[#This Row],[Operating_Costs]]</f>
        <v>519191</v>
      </c>
      <c r="T1982">
        <v>415179</v>
      </c>
      <c r="U1982">
        <v>38</v>
      </c>
      <c r="V1982">
        <v>59</v>
      </c>
      <c r="W1982">
        <v>36.700000000000003</v>
      </c>
    </row>
    <row r="1983" spans="1:23" x14ac:dyDescent="0.25">
      <c r="A1983">
        <v>5</v>
      </c>
      <c r="B1983" t="s">
        <v>22</v>
      </c>
      <c r="C1983" s="1">
        <v>45273</v>
      </c>
      <c r="D1983" t="s">
        <v>71</v>
      </c>
      <c r="E1983">
        <v>0</v>
      </c>
      <c r="F1983">
        <v>47</v>
      </c>
      <c r="G1983" t="str">
        <f t="shared" si="38"/>
        <v>41-60</v>
      </c>
      <c r="H1983" t="s">
        <v>23</v>
      </c>
      <c r="I1983" t="s">
        <v>24</v>
      </c>
      <c r="J1983" t="s">
        <v>25</v>
      </c>
      <c r="K1983" t="s">
        <v>38</v>
      </c>
      <c r="L1983">
        <v>1</v>
      </c>
      <c r="M1983">
        <v>1</v>
      </c>
      <c r="N1983">
        <v>2.8</v>
      </c>
      <c r="O1983">
        <v>8.4</v>
      </c>
      <c r="P1983">
        <v>7</v>
      </c>
      <c r="Q1983">
        <v>4</v>
      </c>
      <c r="R1983">
        <v>794032</v>
      </c>
      <c r="S1983">
        <f>Table1[[#This Row],[Revenue]]-Table1[[#This Row],[Operating_Costs]]</f>
        <v>538798</v>
      </c>
      <c r="T1983">
        <v>255234</v>
      </c>
      <c r="U1983">
        <v>36</v>
      </c>
      <c r="V1983">
        <v>54</v>
      </c>
      <c r="W1983">
        <v>9.1</v>
      </c>
    </row>
    <row r="1984" spans="1:23" x14ac:dyDescent="0.25">
      <c r="A1984">
        <v>5</v>
      </c>
      <c r="B1984" t="s">
        <v>22</v>
      </c>
      <c r="C1984" s="1">
        <v>44828</v>
      </c>
      <c r="D1984" t="s">
        <v>71</v>
      </c>
      <c r="E1984">
        <v>0</v>
      </c>
      <c r="F1984">
        <v>34</v>
      </c>
      <c r="G1984" t="str">
        <f t="shared" si="38"/>
        <v>21-40</v>
      </c>
      <c r="H1984" t="s">
        <v>35</v>
      </c>
      <c r="I1984" t="s">
        <v>64</v>
      </c>
      <c r="J1984" t="s">
        <v>65</v>
      </c>
      <c r="K1984" t="s">
        <v>33</v>
      </c>
      <c r="L1984">
        <v>1</v>
      </c>
      <c r="M1984">
        <v>1</v>
      </c>
      <c r="N1984">
        <v>5.4</v>
      </c>
      <c r="O1984">
        <v>7.7</v>
      </c>
      <c r="P1984">
        <v>6</v>
      </c>
      <c r="Q1984">
        <v>7</v>
      </c>
      <c r="R1984">
        <v>732313</v>
      </c>
      <c r="S1984">
        <f>Table1[[#This Row],[Revenue]]-Table1[[#This Row],[Operating_Costs]]</f>
        <v>257712</v>
      </c>
      <c r="T1984">
        <v>474601</v>
      </c>
      <c r="U1984">
        <v>20</v>
      </c>
      <c r="V1984">
        <v>60</v>
      </c>
      <c r="W1984">
        <v>12.6</v>
      </c>
    </row>
    <row r="1985" spans="1:23" x14ac:dyDescent="0.25">
      <c r="A1985">
        <v>6</v>
      </c>
      <c r="B1985" t="s">
        <v>70</v>
      </c>
      <c r="C1985" s="1">
        <v>44762</v>
      </c>
      <c r="D1985" t="s">
        <v>71</v>
      </c>
      <c r="E1985">
        <v>0</v>
      </c>
      <c r="F1985">
        <v>36</v>
      </c>
      <c r="G1985" t="str">
        <f t="shared" si="38"/>
        <v>21-40</v>
      </c>
      <c r="H1985" t="s">
        <v>23</v>
      </c>
      <c r="I1985" t="s">
        <v>67</v>
      </c>
      <c r="J1985" t="s">
        <v>68</v>
      </c>
      <c r="K1985" t="s">
        <v>33</v>
      </c>
      <c r="L1985">
        <v>1</v>
      </c>
      <c r="M1985">
        <v>1</v>
      </c>
      <c r="N1985">
        <v>3.2</v>
      </c>
      <c r="O1985">
        <v>9</v>
      </c>
      <c r="P1985">
        <v>6</v>
      </c>
      <c r="Q1985">
        <v>7</v>
      </c>
      <c r="R1985">
        <v>754526</v>
      </c>
      <c r="S1985">
        <f>Table1[[#This Row],[Revenue]]-Table1[[#This Row],[Operating_Costs]]</f>
        <v>322131</v>
      </c>
      <c r="T1985">
        <v>432395</v>
      </c>
      <c r="U1985">
        <v>24</v>
      </c>
      <c r="V1985">
        <v>64</v>
      </c>
      <c r="W1985">
        <v>14.9</v>
      </c>
    </row>
    <row r="1986" spans="1:23" x14ac:dyDescent="0.25">
      <c r="A1986">
        <v>5</v>
      </c>
      <c r="B1986" t="s">
        <v>22</v>
      </c>
      <c r="C1986" s="1">
        <v>45260</v>
      </c>
      <c r="D1986" t="s">
        <v>71</v>
      </c>
      <c r="E1986">
        <v>0</v>
      </c>
      <c r="F1986">
        <v>78</v>
      </c>
      <c r="G1986" t="str">
        <f t="shared" si="38"/>
        <v>61-80</v>
      </c>
      <c r="H1986" t="s">
        <v>23</v>
      </c>
      <c r="I1986" t="s">
        <v>24</v>
      </c>
      <c r="J1986" t="s">
        <v>25</v>
      </c>
      <c r="K1986" t="s">
        <v>38</v>
      </c>
      <c r="L1986">
        <v>1</v>
      </c>
      <c r="M1986">
        <v>1</v>
      </c>
      <c r="N1986">
        <v>2.2999999999999998</v>
      </c>
      <c r="O1986">
        <v>8.9</v>
      </c>
      <c r="P1986">
        <v>6</v>
      </c>
      <c r="Q1986">
        <v>5</v>
      </c>
      <c r="R1986">
        <v>729594</v>
      </c>
      <c r="S1986">
        <f>Table1[[#This Row],[Revenue]]-Table1[[#This Row],[Operating_Costs]]</f>
        <v>466180</v>
      </c>
      <c r="T1986">
        <v>263414</v>
      </c>
      <c r="U1986">
        <v>20</v>
      </c>
      <c r="V1986">
        <v>60</v>
      </c>
      <c r="W1986">
        <v>14.9</v>
      </c>
    </row>
    <row r="1987" spans="1:23" x14ac:dyDescent="0.25">
      <c r="A1987">
        <v>5</v>
      </c>
      <c r="B1987" t="s">
        <v>22</v>
      </c>
      <c r="C1987" s="1">
        <v>45442</v>
      </c>
      <c r="D1987" t="s">
        <v>71</v>
      </c>
      <c r="E1987">
        <v>0</v>
      </c>
      <c r="F1987">
        <v>46</v>
      </c>
      <c r="G1987" t="str">
        <f t="shared" ref="G1987:G2050" si="39">IF(F1987&lt;=20,"0-20",IF(F1987&lt;=40,"21-40",IF(F1987&lt;=60,"41-60",IF(F1987&lt;=80,"61-80","81+"))))</f>
        <v>41-60</v>
      </c>
      <c r="H1987" t="s">
        <v>35</v>
      </c>
      <c r="I1987" t="s">
        <v>53</v>
      </c>
      <c r="J1987" t="s">
        <v>54</v>
      </c>
      <c r="K1987" t="s">
        <v>38</v>
      </c>
      <c r="L1987">
        <v>1</v>
      </c>
      <c r="M1987">
        <v>1</v>
      </c>
      <c r="N1987">
        <v>3.3</v>
      </c>
      <c r="O1987">
        <v>9.9</v>
      </c>
      <c r="P1987">
        <v>7</v>
      </c>
      <c r="Q1987">
        <v>3</v>
      </c>
      <c r="R1987">
        <v>777420</v>
      </c>
      <c r="S1987">
        <f>Table1[[#This Row],[Revenue]]-Table1[[#This Row],[Operating_Costs]]</f>
        <v>284507</v>
      </c>
      <c r="T1987">
        <v>492913</v>
      </c>
      <c r="U1987">
        <v>31</v>
      </c>
      <c r="V1987">
        <v>60</v>
      </c>
      <c r="W1987">
        <v>8.8000000000000007</v>
      </c>
    </row>
    <row r="1988" spans="1:23" x14ac:dyDescent="0.25">
      <c r="A1988">
        <v>5</v>
      </c>
      <c r="B1988" t="s">
        <v>22</v>
      </c>
      <c r="C1988" s="1">
        <v>44568</v>
      </c>
      <c r="D1988" t="s">
        <v>71</v>
      </c>
      <c r="E1988">
        <v>0</v>
      </c>
      <c r="F1988">
        <v>46</v>
      </c>
      <c r="G1988" t="str">
        <f t="shared" si="39"/>
        <v>41-60</v>
      </c>
      <c r="H1988" t="s">
        <v>23</v>
      </c>
      <c r="I1988" t="s">
        <v>58</v>
      </c>
      <c r="J1988" t="s">
        <v>59</v>
      </c>
      <c r="K1988" t="s">
        <v>42</v>
      </c>
      <c r="L1988">
        <v>1</v>
      </c>
      <c r="M1988">
        <v>1</v>
      </c>
      <c r="N1988">
        <v>6.4</v>
      </c>
      <c r="O1988">
        <v>8</v>
      </c>
      <c r="P1988">
        <v>4</v>
      </c>
      <c r="Q1988">
        <v>6</v>
      </c>
      <c r="R1988">
        <v>925973</v>
      </c>
      <c r="S1988">
        <f>Table1[[#This Row],[Revenue]]-Table1[[#This Row],[Operating_Costs]]</f>
        <v>573235</v>
      </c>
      <c r="T1988">
        <v>352738</v>
      </c>
      <c r="U1988">
        <v>37</v>
      </c>
      <c r="V1988">
        <v>58</v>
      </c>
      <c r="W1988">
        <v>7.1</v>
      </c>
    </row>
    <row r="1989" spans="1:23" x14ac:dyDescent="0.25">
      <c r="A1989">
        <v>6</v>
      </c>
      <c r="B1989" t="s">
        <v>70</v>
      </c>
      <c r="C1989" s="1">
        <v>45246</v>
      </c>
      <c r="D1989" t="s">
        <v>71</v>
      </c>
      <c r="E1989">
        <v>0</v>
      </c>
      <c r="F1989">
        <v>38</v>
      </c>
      <c r="G1989" t="str">
        <f t="shared" si="39"/>
        <v>21-40</v>
      </c>
      <c r="H1989" t="s">
        <v>23</v>
      </c>
      <c r="I1989" t="s">
        <v>31</v>
      </c>
      <c r="J1989" t="s">
        <v>28</v>
      </c>
      <c r="K1989" t="s">
        <v>33</v>
      </c>
      <c r="L1989">
        <v>1</v>
      </c>
      <c r="M1989">
        <v>1</v>
      </c>
      <c r="N1989">
        <v>5.9</v>
      </c>
      <c r="O1989">
        <v>8.9</v>
      </c>
      <c r="P1989">
        <v>4</v>
      </c>
      <c r="Q1989">
        <v>7</v>
      </c>
      <c r="R1989">
        <v>790744</v>
      </c>
      <c r="S1989">
        <f>Table1[[#This Row],[Revenue]]-Table1[[#This Row],[Operating_Costs]]</f>
        <v>284500</v>
      </c>
      <c r="T1989">
        <v>506244</v>
      </c>
      <c r="U1989">
        <v>30</v>
      </c>
      <c r="V1989">
        <v>60</v>
      </c>
      <c r="W1989">
        <v>36.6</v>
      </c>
    </row>
    <row r="1990" spans="1:23" x14ac:dyDescent="0.25">
      <c r="A1990">
        <v>6</v>
      </c>
      <c r="B1990" t="s">
        <v>70</v>
      </c>
      <c r="C1990" s="1">
        <v>44264</v>
      </c>
      <c r="D1990" t="s">
        <v>71</v>
      </c>
      <c r="E1990">
        <v>0</v>
      </c>
      <c r="F1990">
        <v>50</v>
      </c>
      <c r="G1990" t="str">
        <f t="shared" si="39"/>
        <v>41-60</v>
      </c>
      <c r="H1990" t="s">
        <v>35</v>
      </c>
      <c r="I1990" t="s">
        <v>50</v>
      </c>
      <c r="J1990" t="s">
        <v>51</v>
      </c>
      <c r="K1990" t="s">
        <v>42</v>
      </c>
      <c r="L1990">
        <v>1</v>
      </c>
      <c r="M1990">
        <v>1</v>
      </c>
      <c r="N1990">
        <v>6.7</v>
      </c>
      <c r="O1990">
        <v>9.1999999999999993</v>
      </c>
      <c r="P1990">
        <v>3</v>
      </c>
      <c r="Q1990">
        <v>7</v>
      </c>
      <c r="R1990">
        <v>778476</v>
      </c>
      <c r="S1990">
        <f>Table1[[#This Row],[Revenue]]-Table1[[#This Row],[Operating_Costs]]</f>
        <v>210226</v>
      </c>
      <c r="T1990">
        <v>568250</v>
      </c>
      <c r="U1990">
        <v>25</v>
      </c>
      <c r="V1990">
        <v>60</v>
      </c>
      <c r="W1990">
        <v>5</v>
      </c>
    </row>
    <row r="1991" spans="1:23" x14ac:dyDescent="0.25">
      <c r="A1991">
        <v>6</v>
      </c>
      <c r="B1991" t="s">
        <v>70</v>
      </c>
      <c r="C1991" s="1">
        <v>44636</v>
      </c>
      <c r="D1991" t="s">
        <v>71</v>
      </c>
      <c r="E1991">
        <v>0</v>
      </c>
      <c r="F1991">
        <v>23</v>
      </c>
      <c r="G1991" t="str">
        <f t="shared" si="39"/>
        <v>21-40</v>
      </c>
      <c r="H1991" t="s">
        <v>35</v>
      </c>
      <c r="I1991" t="s">
        <v>27</v>
      </c>
      <c r="J1991" t="s">
        <v>28</v>
      </c>
      <c r="K1991" t="s">
        <v>33</v>
      </c>
      <c r="L1991">
        <v>1</v>
      </c>
      <c r="M1991">
        <v>1</v>
      </c>
      <c r="N1991">
        <v>2.5</v>
      </c>
      <c r="O1991">
        <v>7</v>
      </c>
      <c r="P1991">
        <v>7</v>
      </c>
      <c r="Q1991">
        <v>4</v>
      </c>
      <c r="R1991">
        <v>660919</v>
      </c>
      <c r="S1991">
        <f>Table1[[#This Row],[Revenue]]-Table1[[#This Row],[Operating_Costs]]</f>
        <v>177957</v>
      </c>
      <c r="T1991">
        <v>482962</v>
      </c>
      <c r="U1991">
        <v>26</v>
      </c>
      <c r="V1991">
        <v>54</v>
      </c>
      <c r="W1991">
        <v>5.5</v>
      </c>
    </row>
    <row r="1992" spans="1:23" x14ac:dyDescent="0.25">
      <c r="A1992">
        <v>6</v>
      </c>
      <c r="B1992" t="s">
        <v>70</v>
      </c>
      <c r="C1992" s="1">
        <v>45523</v>
      </c>
      <c r="D1992" t="s">
        <v>71</v>
      </c>
      <c r="E1992">
        <v>0</v>
      </c>
      <c r="F1992">
        <v>35</v>
      </c>
      <c r="G1992" t="str">
        <f t="shared" si="39"/>
        <v>21-40</v>
      </c>
      <c r="H1992" t="s">
        <v>23</v>
      </c>
      <c r="I1992" t="s">
        <v>50</v>
      </c>
      <c r="J1992" t="s">
        <v>51</v>
      </c>
      <c r="K1992" t="s">
        <v>29</v>
      </c>
      <c r="L1992">
        <v>1</v>
      </c>
      <c r="M1992">
        <v>1</v>
      </c>
      <c r="N1992">
        <v>5.8</v>
      </c>
      <c r="O1992">
        <v>8.4</v>
      </c>
      <c r="P1992">
        <v>4</v>
      </c>
      <c r="Q1992">
        <v>6</v>
      </c>
      <c r="R1992">
        <v>793323</v>
      </c>
      <c r="S1992">
        <f>Table1[[#This Row],[Revenue]]-Table1[[#This Row],[Operating_Costs]]</f>
        <v>295804</v>
      </c>
      <c r="T1992">
        <v>497519</v>
      </c>
      <c r="U1992">
        <v>29</v>
      </c>
      <c r="V1992">
        <v>55</v>
      </c>
      <c r="W1992">
        <v>36.1</v>
      </c>
    </row>
    <row r="1993" spans="1:23" x14ac:dyDescent="0.25">
      <c r="A1993">
        <v>6</v>
      </c>
      <c r="B1993" t="s">
        <v>70</v>
      </c>
      <c r="C1993" s="1">
        <v>44984</v>
      </c>
      <c r="D1993" t="s">
        <v>71</v>
      </c>
      <c r="E1993">
        <v>0</v>
      </c>
      <c r="F1993">
        <v>40</v>
      </c>
      <c r="G1993" t="str">
        <f t="shared" si="39"/>
        <v>21-40</v>
      </c>
      <c r="H1993" t="s">
        <v>35</v>
      </c>
      <c r="I1993" t="s">
        <v>61</v>
      </c>
      <c r="J1993" t="s">
        <v>62</v>
      </c>
      <c r="K1993" t="s">
        <v>26</v>
      </c>
      <c r="L1993">
        <v>1</v>
      </c>
      <c r="M1993">
        <v>1</v>
      </c>
      <c r="N1993">
        <v>2.1</v>
      </c>
      <c r="O1993">
        <v>7.6</v>
      </c>
      <c r="P1993">
        <v>7</v>
      </c>
      <c r="Q1993">
        <v>6</v>
      </c>
      <c r="R1993">
        <v>678037</v>
      </c>
      <c r="S1993">
        <f>Table1[[#This Row],[Revenue]]-Table1[[#This Row],[Operating_Costs]]</f>
        <v>267681</v>
      </c>
      <c r="T1993">
        <v>410356</v>
      </c>
      <c r="U1993">
        <v>21</v>
      </c>
      <c r="V1993">
        <v>66</v>
      </c>
      <c r="W1993">
        <v>13.7</v>
      </c>
    </row>
    <row r="1994" spans="1:23" x14ac:dyDescent="0.25">
      <c r="A1994">
        <v>6</v>
      </c>
      <c r="B1994" t="s">
        <v>70</v>
      </c>
      <c r="C1994" s="1">
        <v>45651</v>
      </c>
      <c r="D1994" t="s">
        <v>71</v>
      </c>
      <c r="E1994">
        <v>0</v>
      </c>
      <c r="F1994">
        <v>34</v>
      </c>
      <c r="G1994" t="str">
        <f t="shared" si="39"/>
        <v>21-40</v>
      </c>
      <c r="H1994" t="s">
        <v>35</v>
      </c>
      <c r="I1994" t="s">
        <v>27</v>
      </c>
      <c r="J1994" t="s">
        <v>28</v>
      </c>
      <c r="K1994" t="s">
        <v>42</v>
      </c>
      <c r="L1994">
        <v>1</v>
      </c>
      <c r="M1994">
        <v>1</v>
      </c>
      <c r="N1994">
        <v>5.2</v>
      </c>
      <c r="O1994">
        <v>7.2</v>
      </c>
      <c r="P1994">
        <v>5</v>
      </c>
      <c r="Q1994">
        <v>7</v>
      </c>
      <c r="R1994">
        <v>666367</v>
      </c>
      <c r="S1994">
        <f>Table1[[#This Row],[Revenue]]-Table1[[#This Row],[Operating_Costs]]</f>
        <v>199041</v>
      </c>
      <c r="T1994">
        <v>467326</v>
      </c>
      <c r="U1994">
        <v>21</v>
      </c>
      <c r="V1994">
        <v>63</v>
      </c>
      <c r="W1994">
        <v>13.7</v>
      </c>
    </row>
    <row r="1995" spans="1:23" x14ac:dyDescent="0.25">
      <c r="A1995">
        <v>5</v>
      </c>
      <c r="B1995" t="s">
        <v>22</v>
      </c>
      <c r="C1995" s="1">
        <v>45186</v>
      </c>
      <c r="D1995" t="s">
        <v>71</v>
      </c>
      <c r="E1995">
        <v>0</v>
      </c>
      <c r="F1995">
        <v>88</v>
      </c>
      <c r="G1995" t="str">
        <f t="shared" si="39"/>
        <v>81+</v>
      </c>
      <c r="H1995" t="s">
        <v>23</v>
      </c>
      <c r="I1995" t="s">
        <v>24</v>
      </c>
      <c r="J1995" t="s">
        <v>25</v>
      </c>
      <c r="K1995" t="s">
        <v>33</v>
      </c>
      <c r="L1995">
        <v>1</v>
      </c>
      <c r="M1995">
        <v>1</v>
      </c>
      <c r="N1995">
        <v>3.5</v>
      </c>
      <c r="O1995">
        <v>7.4</v>
      </c>
      <c r="P1995">
        <v>3</v>
      </c>
      <c r="Q1995">
        <v>7</v>
      </c>
      <c r="R1995">
        <v>880566</v>
      </c>
      <c r="S1995">
        <f>Table1[[#This Row],[Revenue]]-Table1[[#This Row],[Operating_Costs]]</f>
        <v>607430</v>
      </c>
      <c r="T1995">
        <v>273136</v>
      </c>
      <c r="U1995">
        <v>38</v>
      </c>
      <c r="V1995">
        <v>64</v>
      </c>
      <c r="W1995">
        <v>12.4</v>
      </c>
    </row>
    <row r="1996" spans="1:23" x14ac:dyDescent="0.25">
      <c r="A1996">
        <v>5</v>
      </c>
      <c r="B1996" t="s">
        <v>22</v>
      </c>
      <c r="C1996" s="1">
        <v>44721</v>
      </c>
      <c r="D1996" t="s">
        <v>71</v>
      </c>
      <c r="E1996">
        <v>0</v>
      </c>
      <c r="F1996">
        <v>61</v>
      </c>
      <c r="G1996" t="str">
        <f t="shared" si="39"/>
        <v>61-80</v>
      </c>
      <c r="H1996" t="s">
        <v>23</v>
      </c>
      <c r="I1996" t="s">
        <v>64</v>
      </c>
      <c r="J1996" t="s">
        <v>65</v>
      </c>
      <c r="K1996" t="s">
        <v>42</v>
      </c>
      <c r="L1996">
        <v>1</v>
      </c>
      <c r="M1996">
        <v>1</v>
      </c>
      <c r="N1996">
        <v>2.4</v>
      </c>
      <c r="O1996">
        <v>7.9</v>
      </c>
      <c r="P1996">
        <v>5</v>
      </c>
      <c r="Q1996">
        <v>7</v>
      </c>
      <c r="R1996">
        <v>721572</v>
      </c>
      <c r="S1996">
        <f>Table1[[#This Row],[Revenue]]-Table1[[#This Row],[Operating_Costs]]</f>
        <v>381880</v>
      </c>
      <c r="T1996">
        <v>339692</v>
      </c>
      <c r="U1996">
        <v>26</v>
      </c>
      <c r="V1996">
        <v>64</v>
      </c>
      <c r="W1996">
        <v>6.7</v>
      </c>
    </row>
    <row r="1997" spans="1:23" x14ac:dyDescent="0.25">
      <c r="A1997">
        <v>4</v>
      </c>
      <c r="B1997" t="s">
        <v>69</v>
      </c>
      <c r="C1997" s="1">
        <v>44914</v>
      </c>
      <c r="D1997" t="s">
        <v>71</v>
      </c>
      <c r="E1997">
        <v>0</v>
      </c>
      <c r="F1997">
        <v>73</v>
      </c>
      <c r="G1997" t="str">
        <f t="shared" si="39"/>
        <v>61-80</v>
      </c>
      <c r="H1997" t="s">
        <v>35</v>
      </c>
      <c r="I1997" t="s">
        <v>64</v>
      </c>
      <c r="J1997" t="s">
        <v>65</v>
      </c>
      <c r="K1997" t="s">
        <v>42</v>
      </c>
      <c r="L1997">
        <v>1</v>
      </c>
      <c r="M1997">
        <v>1</v>
      </c>
      <c r="N1997">
        <v>4.5</v>
      </c>
      <c r="O1997">
        <v>8.1999999999999993</v>
      </c>
      <c r="P1997">
        <v>5</v>
      </c>
      <c r="Q1997">
        <v>6</v>
      </c>
      <c r="R1997">
        <v>953605</v>
      </c>
      <c r="S1997">
        <f>Table1[[#This Row],[Revenue]]-Table1[[#This Row],[Operating_Costs]]</f>
        <v>446917</v>
      </c>
      <c r="T1997">
        <v>506688</v>
      </c>
      <c r="U1997">
        <v>39</v>
      </c>
      <c r="V1997">
        <v>57</v>
      </c>
      <c r="W1997">
        <v>9.5</v>
      </c>
    </row>
    <row r="1998" spans="1:23" x14ac:dyDescent="0.25">
      <c r="A1998">
        <v>6</v>
      </c>
      <c r="B1998" t="s">
        <v>70</v>
      </c>
      <c r="C1998" s="1">
        <v>44905</v>
      </c>
      <c r="D1998" t="s">
        <v>71</v>
      </c>
      <c r="E1998">
        <v>0</v>
      </c>
      <c r="F1998">
        <v>71</v>
      </c>
      <c r="G1998" t="str">
        <f t="shared" si="39"/>
        <v>61-80</v>
      </c>
      <c r="H1998" t="s">
        <v>23</v>
      </c>
      <c r="I1998" t="s">
        <v>24</v>
      </c>
      <c r="J1998" t="s">
        <v>25</v>
      </c>
      <c r="K1998" t="s">
        <v>33</v>
      </c>
      <c r="L1998">
        <v>1</v>
      </c>
      <c r="M1998">
        <v>1</v>
      </c>
      <c r="N1998">
        <v>6.5</v>
      </c>
      <c r="O1998">
        <v>8.1999999999999993</v>
      </c>
      <c r="P1998">
        <v>5</v>
      </c>
      <c r="Q1998">
        <v>4</v>
      </c>
      <c r="R1998">
        <v>638503</v>
      </c>
      <c r="S1998">
        <f>Table1[[#This Row],[Revenue]]-Table1[[#This Row],[Operating_Costs]]</f>
        <v>204412</v>
      </c>
      <c r="T1998">
        <v>434091</v>
      </c>
      <c r="U1998">
        <v>23</v>
      </c>
      <c r="V1998">
        <v>57</v>
      </c>
      <c r="W1998">
        <v>7.3</v>
      </c>
    </row>
    <row r="1999" spans="1:23" x14ac:dyDescent="0.25">
      <c r="A1999">
        <v>5</v>
      </c>
      <c r="B1999" t="s">
        <v>22</v>
      </c>
      <c r="C1999" s="1">
        <v>45540</v>
      </c>
      <c r="D1999" t="s">
        <v>71</v>
      </c>
      <c r="E1999">
        <v>0</v>
      </c>
      <c r="F1999">
        <v>55</v>
      </c>
      <c r="G1999" t="str">
        <f t="shared" si="39"/>
        <v>41-60</v>
      </c>
      <c r="H1999" t="s">
        <v>35</v>
      </c>
      <c r="I1999" t="s">
        <v>61</v>
      </c>
      <c r="J1999" t="s">
        <v>62</v>
      </c>
      <c r="K1999" t="s">
        <v>33</v>
      </c>
      <c r="L1999">
        <v>1</v>
      </c>
      <c r="M1999">
        <v>1</v>
      </c>
      <c r="N1999">
        <v>6.4</v>
      </c>
      <c r="O1999">
        <v>8.8000000000000007</v>
      </c>
      <c r="P1999">
        <v>6</v>
      </c>
      <c r="Q1999">
        <v>5</v>
      </c>
      <c r="R1999">
        <v>855342</v>
      </c>
      <c r="S1999">
        <f>Table1[[#This Row],[Revenue]]-Table1[[#This Row],[Operating_Costs]]</f>
        <v>488519</v>
      </c>
      <c r="T1999">
        <v>366823</v>
      </c>
      <c r="U1999">
        <v>39</v>
      </c>
      <c r="V1999">
        <v>65</v>
      </c>
      <c r="W1999">
        <v>13.6</v>
      </c>
    </row>
    <row r="2000" spans="1:23" x14ac:dyDescent="0.25">
      <c r="A2000">
        <v>5</v>
      </c>
      <c r="B2000" t="s">
        <v>22</v>
      </c>
      <c r="C2000" s="1">
        <v>44733</v>
      </c>
      <c r="D2000" t="s">
        <v>71</v>
      </c>
      <c r="E2000">
        <v>0</v>
      </c>
      <c r="F2000">
        <v>56</v>
      </c>
      <c r="G2000" t="str">
        <f t="shared" si="39"/>
        <v>41-60</v>
      </c>
      <c r="H2000" t="s">
        <v>35</v>
      </c>
      <c r="I2000" t="s">
        <v>36</v>
      </c>
      <c r="J2000" t="s">
        <v>37</v>
      </c>
      <c r="K2000" t="s">
        <v>38</v>
      </c>
      <c r="L2000">
        <v>1</v>
      </c>
      <c r="M2000">
        <v>1</v>
      </c>
      <c r="N2000">
        <v>1.9</v>
      </c>
      <c r="O2000">
        <v>8.6</v>
      </c>
      <c r="P2000">
        <v>4</v>
      </c>
      <c r="Q2000">
        <v>4</v>
      </c>
      <c r="R2000">
        <v>894322</v>
      </c>
      <c r="S2000">
        <f>Table1[[#This Row],[Revenue]]-Table1[[#This Row],[Operating_Costs]]</f>
        <v>452435</v>
      </c>
      <c r="T2000">
        <v>441887</v>
      </c>
      <c r="U2000">
        <v>36</v>
      </c>
      <c r="V2000">
        <v>65</v>
      </c>
      <c r="W2000">
        <v>14.9</v>
      </c>
    </row>
    <row r="2001" spans="1:23" x14ac:dyDescent="0.25">
      <c r="A2001">
        <v>5</v>
      </c>
      <c r="B2001" t="s">
        <v>22</v>
      </c>
      <c r="C2001" s="1">
        <v>44888</v>
      </c>
      <c r="D2001" t="s">
        <v>71</v>
      </c>
      <c r="E2001">
        <v>0</v>
      </c>
      <c r="F2001">
        <v>39</v>
      </c>
      <c r="G2001" t="str">
        <f t="shared" si="39"/>
        <v>21-40</v>
      </c>
      <c r="H2001" t="s">
        <v>23</v>
      </c>
      <c r="I2001" t="s">
        <v>43</v>
      </c>
      <c r="J2001" t="s">
        <v>25</v>
      </c>
      <c r="K2001" t="s">
        <v>33</v>
      </c>
      <c r="L2001">
        <v>1</v>
      </c>
      <c r="M2001">
        <v>1</v>
      </c>
      <c r="N2001">
        <v>1.6</v>
      </c>
      <c r="O2001">
        <v>9.1</v>
      </c>
      <c r="P2001">
        <v>3</v>
      </c>
      <c r="Q2001">
        <v>4</v>
      </c>
      <c r="R2001">
        <v>789070</v>
      </c>
      <c r="S2001">
        <f>Table1[[#This Row],[Revenue]]-Table1[[#This Row],[Operating_Costs]]</f>
        <v>336878</v>
      </c>
      <c r="T2001">
        <v>452192</v>
      </c>
      <c r="U2001">
        <v>32</v>
      </c>
      <c r="V2001">
        <v>55</v>
      </c>
      <c r="W2001">
        <v>10.4</v>
      </c>
    </row>
    <row r="2002" spans="1:23" x14ac:dyDescent="0.25">
      <c r="A2002">
        <v>5</v>
      </c>
      <c r="B2002" t="s">
        <v>22</v>
      </c>
      <c r="C2002" s="1">
        <v>45053</v>
      </c>
      <c r="D2002" t="s">
        <v>71</v>
      </c>
      <c r="E2002">
        <v>0</v>
      </c>
      <c r="F2002">
        <v>49</v>
      </c>
      <c r="G2002" t="str">
        <f t="shared" si="39"/>
        <v>41-60</v>
      </c>
      <c r="H2002" t="s">
        <v>35</v>
      </c>
      <c r="I2002" t="s">
        <v>46</v>
      </c>
      <c r="J2002" t="s">
        <v>47</v>
      </c>
      <c r="K2002" t="s">
        <v>33</v>
      </c>
      <c r="L2002">
        <v>1</v>
      </c>
      <c r="M2002">
        <v>1</v>
      </c>
      <c r="N2002">
        <v>1.2</v>
      </c>
      <c r="O2002">
        <v>8</v>
      </c>
      <c r="P2002">
        <v>6</v>
      </c>
      <c r="Q2002">
        <v>7</v>
      </c>
      <c r="R2002">
        <v>765797</v>
      </c>
      <c r="S2002">
        <f>Table1[[#This Row],[Revenue]]-Table1[[#This Row],[Operating_Costs]]</f>
        <v>277039</v>
      </c>
      <c r="T2002">
        <v>488758</v>
      </c>
      <c r="U2002">
        <v>36</v>
      </c>
      <c r="V2002">
        <v>58</v>
      </c>
      <c r="W2002">
        <v>12.9</v>
      </c>
    </row>
    <row r="2003" spans="1:23" x14ac:dyDescent="0.25">
      <c r="A2003">
        <v>5</v>
      </c>
      <c r="B2003" t="s">
        <v>22</v>
      </c>
      <c r="C2003" s="1">
        <v>45504</v>
      </c>
      <c r="D2003" t="s">
        <v>71</v>
      </c>
      <c r="E2003">
        <v>0</v>
      </c>
      <c r="F2003">
        <v>46</v>
      </c>
      <c r="G2003" t="str">
        <f t="shared" si="39"/>
        <v>41-60</v>
      </c>
      <c r="H2003" t="s">
        <v>23</v>
      </c>
      <c r="I2003" t="s">
        <v>31</v>
      </c>
      <c r="J2003" t="s">
        <v>28</v>
      </c>
      <c r="K2003" t="s">
        <v>38</v>
      </c>
      <c r="L2003">
        <v>1</v>
      </c>
      <c r="M2003">
        <v>1</v>
      </c>
      <c r="N2003">
        <v>4</v>
      </c>
      <c r="O2003">
        <v>9.4</v>
      </c>
      <c r="P2003">
        <v>3</v>
      </c>
      <c r="Q2003">
        <v>5</v>
      </c>
      <c r="R2003">
        <v>872225</v>
      </c>
      <c r="S2003">
        <f>Table1[[#This Row],[Revenue]]-Table1[[#This Row],[Operating_Costs]]</f>
        <v>600172</v>
      </c>
      <c r="T2003">
        <v>272053</v>
      </c>
      <c r="U2003">
        <v>30</v>
      </c>
      <c r="V2003">
        <v>65</v>
      </c>
      <c r="W2003">
        <v>10.7</v>
      </c>
    </row>
    <row r="2004" spans="1:23" x14ac:dyDescent="0.25">
      <c r="A2004">
        <v>5</v>
      </c>
      <c r="B2004" t="s">
        <v>22</v>
      </c>
      <c r="C2004" s="1">
        <v>45133</v>
      </c>
      <c r="D2004" t="s">
        <v>71</v>
      </c>
      <c r="E2004">
        <v>0</v>
      </c>
      <c r="F2004">
        <v>22</v>
      </c>
      <c r="G2004" t="str">
        <f t="shared" si="39"/>
        <v>21-40</v>
      </c>
      <c r="H2004" t="s">
        <v>23</v>
      </c>
      <c r="I2004" t="s">
        <v>24</v>
      </c>
      <c r="J2004" t="s">
        <v>25</v>
      </c>
      <c r="K2004" t="s">
        <v>26</v>
      </c>
      <c r="L2004">
        <v>1</v>
      </c>
      <c r="M2004">
        <v>1</v>
      </c>
      <c r="N2004">
        <v>4.4000000000000004</v>
      </c>
      <c r="O2004">
        <v>9</v>
      </c>
      <c r="P2004">
        <v>7</v>
      </c>
      <c r="Q2004">
        <v>7</v>
      </c>
      <c r="R2004">
        <v>886502</v>
      </c>
      <c r="S2004">
        <f>Table1[[#This Row],[Revenue]]-Table1[[#This Row],[Operating_Costs]]</f>
        <v>417136</v>
      </c>
      <c r="T2004">
        <v>469366</v>
      </c>
      <c r="U2004">
        <v>37</v>
      </c>
      <c r="V2004">
        <v>54</v>
      </c>
      <c r="W2004">
        <v>7</v>
      </c>
    </row>
    <row r="2005" spans="1:23" x14ac:dyDescent="0.25">
      <c r="A2005">
        <v>5</v>
      </c>
      <c r="B2005" t="s">
        <v>22</v>
      </c>
      <c r="C2005" s="1">
        <v>45487</v>
      </c>
      <c r="D2005" t="s">
        <v>71</v>
      </c>
      <c r="E2005">
        <v>0</v>
      </c>
      <c r="F2005">
        <v>81</v>
      </c>
      <c r="G2005" t="str">
        <f t="shared" si="39"/>
        <v>81+</v>
      </c>
      <c r="H2005" t="s">
        <v>23</v>
      </c>
      <c r="I2005" t="s">
        <v>46</v>
      </c>
      <c r="J2005" t="s">
        <v>47</v>
      </c>
      <c r="K2005" t="s">
        <v>33</v>
      </c>
      <c r="L2005">
        <v>1</v>
      </c>
      <c r="M2005">
        <v>1</v>
      </c>
      <c r="N2005">
        <v>3.2</v>
      </c>
      <c r="O2005">
        <v>9.6</v>
      </c>
      <c r="P2005">
        <v>6</v>
      </c>
      <c r="Q2005">
        <v>5</v>
      </c>
      <c r="R2005">
        <v>776236</v>
      </c>
      <c r="S2005">
        <f>Table1[[#This Row],[Revenue]]-Table1[[#This Row],[Operating_Costs]]</f>
        <v>526074</v>
      </c>
      <c r="T2005">
        <v>250162</v>
      </c>
      <c r="U2005">
        <v>32</v>
      </c>
      <c r="V2005">
        <v>56</v>
      </c>
      <c r="W2005">
        <v>36.799999999999997</v>
      </c>
    </row>
    <row r="2006" spans="1:23" x14ac:dyDescent="0.25">
      <c r="A2006">
        <v>5</v>
      </c>
      <c r="B2006" t="s">
        <v>22</v>
      </c>
      <c r="C2006" s="1">
        <v>44617</v>
      </c>
      <c r="D2006" t="s">
        <v>71</v>
      </c>
      <c r="E2006">
        <v>0</v>
      </c>
      <c r="F2006">
        <v>39</v>
      </c>
      <c r="G2006" t="str">
        <f t="shared" si="39"/>
        <v>21-40</v>
      </c>
      <c r="H2006" t="s">
        <v>23</v>
      </c>
      <c r="I2006" t="s">
        <v>50</v>
      </c>
      <c r="J2006" t="s">
        <v>51</v>
      </c>
      <c r="K2006" t="s">
        <v>26</v>
      </c>
      <c r="L2006">
        <v>1</v>
      </c>
      <c r="M2006">
        <v>1</v>
      </c>
      <c r="N2006">
        <v>6.1</v>
      </c>
      <c r="O2006">
        <v>7.9</v>
      </c>
      <c r="P2006">
        <v>3</v>
      </c>
      <c r="Q2006">
        <v>7</v>
      </c>
      <c r="R2006">
        <v>867240</v>
      </c>
      <c r="S2006">
        <f>Table1[[#This Row],[Revenue]]-Table1[[#This Row],[Operating_Costs]]</f>
        <v>449007</v>
      </c>
      <c r="T2006">
        <v>418233</v>
      </c>
      <c r="U2006">
        <v>37</v>
      </c>
      <c r="V2006">
        <v>57</v>
      </c>
      <c r="W2006">
        <v>5</v>
      </c>
    </row>
    <row r="2007" spans="1:23" x14ac:dyDescent="0.25">
      <c r="A2007">
        <v>5</v>
      </c>
      <c r="B2007" t="s">
        <v>22</v>
      </c>
      <c r="C2007" s="1">
        <v>44673</v>
      </c>
      <c r="D2007" t="s">
        <v>71</v>
      </c>
      <c r="E2007">
        <v>0</v>
      </c>
      <c r="F2007">
        <v>31</v>
      </c>
      <c r="G2007" t="str">
        <f t="shared" si="39"/>
        <v>21-40</v>
      </c>
      <c r="H2007" t="s">
        <v>35</v>
      </c>
      <c r="I2007" t="s">
        <v>60</v>
      </c>
      <c r="J2007" t="s">
        <v>59</v>
      </c>
      <c r="K2007" t="s">
        <v>33</v>
      </c>
      <c r="L2007">
        <v>1</v>
      </c>
      <c r="M2007">
        <v>1</v>
      </c>
      <c r="N2007">
        <v>1</v>
      </c>
      <c r="O2007">
        <v>7.8</v>
      </c>
      <c r="P2007">
        <v>7</v>
      </c>
      <c r="Q2007">
        <v>5</v>
      </c>
      <c r="R2007">
        <v>855673</v>
      </c>
      <c r="S2007">
        <f>Table1[[#This Row],[Revenue]]-Table1[[#This Row],[Operating_Costs]]</f>
        <v>423639</v>
      </c>
      <c r="T2007">
        <v>432034</v>
      </c>
      <c r="U2007">
        <v>28</v>
      </c>
      <c r="V2007">
        <v>56</v>
      </c>
      <c r="W2007">
        <v>6.3</v>
      </c>
    </row>
    <row r="2008" spans="1:23" x14ac:dyDescent="0.25">
      <c r="A2008">
        <v>5</v>
      </c>
      <c r="B2008" t="s">
        <v>22</v>
      </c>
      <c r="C2008" s="1">
        <v>44226</v>
      </c>
      <c r="D2008" t="s">
        <v>71</v>
      </c>
      <c r="E2008">
        <v>0</v>
      </c>
      <c r="F2008">
        <v>40</v>
      </c>
      <c r="G2008" t="str">
        <f t="shared" si="39"/>
        <v>21-40</v>
      </c>
      <c r="H2008" t="s">
        <v>23</v>
      </c>
      <c r="I2008" t="s">
        <v>27</v>
      </c>
      <c r="J2008" t="s">
        <v>28</v>
      </c>
      <c r="K2008" t="s">
        <v>38</v>
      </c>
      <c r="L2008">
        <v>1</v>
      </c>
      <c r="M2008">
        <v>1</v>
      </c>
      <c r="N2008">
        <v>4.0999999999999996</v>
      </c>
      <c r="O2008">
        <v>9.1999999999999993</v>
      </c>
      <c r="P2008">
        <v>5</v>
      </c>
      <c r="Q2008">
        <v>5</v>
      </c>
      <c r="R2008">
        <v>858524</v>
      </c>
      <c r="S2008">
        <f>Table1[[#This Row],[Revenue]]-Table1[[#This Row],[Operating_Costs]]</f>
        <v>642686</v>
      </c>
      <c r="T2008">
        <v>215838</v>
      </c>
      <c r="U2008">
        <v>20</v>
      </c>
      <c r="V2008">
        <v>65</v>
      </c>
      <c r="W2008">
        <v>5.3</v>
      </c>
    </row>
    <row r="2009" spans="1:23" x14ac:dyDescent="0.25">
      <c r="A2009">
        <v>5</v>
      </c>
      <c r="B2009" t="s">
        <v>22</v>
      </c>
      <c r="C2009" s="1">
        <v>45384</v>
      </c>
      <c r="D2009" t="s">
        <v>71</v>
      </c>
      <c r="E2009">
        <v>0</v>
      </c>
      <c r="F2009">
        <v>77</v>
      </c>
      <c r="G2009" t="str">
        <f t="shared" si="39"/>
        <v>61-80</v>
      </c>
      <c r="H2009" t="s">
        <v>35</v>
      </c>
      <c r="I2009" t="s">
        <v>40</v>
      </c>
      <c r="J2009" t="s">
        <v>41</v>
      </c>
      <c r="K2009" t="s">
        <v>26</v>
      </c>
      <c r="L2009">
        <v>1</v>
      </c>
      <c r="M2009">
        <v>1</v>
      </c>
      <c r="N2009">
        <v>4.7</v>
      </c>
      <c r="O2009">
        <v>9.1</v>
      </c>
      <c r="P2009">
        <v>4</v>
      </c>
      <c r="Q2009">
        <v>7</v>
      </c>
      <c r="R2009">
        <v>957785</v>
      </c>
      <c r="S2009">
        <f>Table1[[#This Row],[Revenue]]-Table1[[#This Row],[Operating_Costs]]</f>
        <v>534376</v>
      </c>
      <c r="T2009">
        <v>423409</v>
      </c>
      <c r="U2009">
        <v>40</v>
      </c>
      <c r="V2009">
        <v>61</v>
      </c>
      <c r="W2009">
        <v>10.1</v>
      </c>
    </row>
    <row r="2010" spans="1:23" x14ac:dyDescent="0.25">
      <c r="A2010">
        <v>5</v>
      </c>
      <c r="B2010" t="s">
        <v>22</v>
      </c>
      <c r="C2010" s="1">
        <v>44914</v>
      </c>
      <c r="D2010" t="s">
        <v>71</v>
      </c>
      <c r="E2010">
        <v>0</v>
      </c>
      <c r="F2010">
        <v>32</v>
      </c>
      <c r="G2010" t="str">
        <f t="shared" si="39"/>
        <v>21-40</v>
      </c>
      <c r="H2010" t="s">
        <v>35</v>
      </c>
      <c r="I2010" t="s">
        <v>36</v>
      </c>
      <c r="J2010" t="s">
        <v>37</v>
      </c>
      <c r="K2010" t="s">
        <v>29</v>
      </c>
      <c r="L2010">
        <v>1</v>
      </c>
      <c r="M2010">
        <v>1</v>
      </c>
      <c r="N2010">
        <v>5.0999999999999996</v>
      </c>
      <c r="O2010">
        <v>9</v>
      </c>
      <c r="P2010">
        <v>7</v>
      </c>
      <c r="Q2010">
        <v>7</v>
      </c>
      <c r="R2010">
        <v>786248</v>
      </c>
      <c r="S2010">
        <f>Table1[[#This Row],[Revenue]]-Table1[[#This Row],[Operating_Costs]]</f>
        <v>346168</v>
      </c>
      <c r="T2010">
        <v>440080</v>
      </c>
      <c r="U2010">
        <v>35</v>
      </c>
      <c r="V2010">
        <v>60</v>
      </c>
      <c r="W2010">
        <v>5</v>
      </c>
    </row>
    <row r="2011" spans="1:23" x14ac:dyDescent="0.25">
      <c r="A2011">
        <v>5</v>
      </c>
      <c r="B2011" t="s">
        <v>22</v>
      </c>
      <c r="C2011" s="1">
        <v>44810</v>
      </c>
      <c r="D2011" t="s">
        <v>71</v>
      </c>
      <c r="E2011">
        <v>0</v>
      </c>
      <c r="F2011">
        <v>28</v>
      </c>
      <c r="G2011" t="str">
        <f t="shared" si="39"/>
        <v>21-40</v>
      </c>
      <c r="H2011" t="s">
        <v>35</v>
      </c>
      <c r="I2011" t="s">
        <v>53</v>
      </c>
      <c r="J2011" t="s">
        <v>54</v>
      </c>
      <c r="K2011" t="s">
        <v>33</v>
      </c>
      <c r="L2011">
        <v>1</v>
      </c>
      <c r="M2011">
        <v>1</v>
      </c>
      <c r="N2011">
        <v>2.5</v>
      </c>
      <c r="O2011">
        <v>9.1</v>
      </c>
      <c r="P2011">
        <v>4</v>
      </c>
      <c r="Q2011">
        <v>6</v>
      </c>
      <c r="R2011">
        <v>671850</v>
      </c>
      <c r="S2011">
        <f>Table1[[#This Row],[Revenue]]-Table1[[#This Row],[Operating_Costs]]</f>
        <v>210001</v>
      </c>
      <c r="T2011">
        <v>461849</v>
      </c>
      <c r="U2011">
        <v>38</v>
      </c>
      <c r="V2011">
        <v>65</v>
      </c>
      <c r="W2011">
        <v>10.6</v>
      </c>
    </row>
    <row r="2012" spans="1:23" x14ac:dyDescent="0.25">
      <c r="A2012">
        <v>5</v>
      </c>
      <c r="B2012" t="s">
        <v>22</v>
      </c>
      <c r="C2012" s="1">
        <v>45060</v>
      </c>
      <c r="D2012" t="s">
        <v>71</v>
      </c>
      <c r="E2012">
        <v>0</v>
      </c>
      <c r="F2012">
        <v>70</v>
      </c>
      <c r="G2012" t="str">
        <f t="shared" si="39"/>
        <v>61-80</v>
      </c>
      <c r="H2012" t="s">
        <v>35</v>
      </c>
      <c r="I2012" t="s">
        <v>58</v>
      </c>
      <c r="J2012" t="s">
        <v>59</v>
      </c>
      <c r="K2012" t="s">
        <v>33</v>
      </c>
      <c r="L2012">
        <v>1</v>
      </c>
      <c r="M2012">
        <v>1</v>
      </c>
      <c r="N2012">
        <v>3.8</v>
      </c>
      <c r="O2012">
        <v>8.9</v>
      </c>
      <c r="P2012">
        <v>6</v>
      </c>
      <c r="Q2012">
        <v>6</v>
      </c>
      <c r="R2012">
        <v>628879</v>
      </c>
      <c r="S2012">
        <f>Table1[[#This Row],[Revenue]]-Table1[[#This Row],[Operating_Costs]]</f>
        <v>296180</v>
      </c>
      <c r="T2012">
        <v>332699</v>
      </c>
      <c r="U2012">
        <v>36</v>
      </c>
      <c r="V2012">
        <v>66</v>
      </c>
      <c r="W2012">
        <v>14.7</v>
      </c>
    </row>
    <row r="2013" spans="1:23" x14ac:dyDescent="0.25">
      <c r="A2013">
        <v>4</v>
      </c>
      <c r="B2013" t="s">
        <v>69</v>
      </c>
      <c r="C2013" s="1">
        <v>44868</v>
      </c>
      <c r="D2013" t="s">
        <v>71</v>
      </c>
      <c r="E2013">
        <v>0</v>
      </c>
      <c r="F2013">
        <v>74</v>
      </c>
      <c r="G2013" t="str">
        <f t="shared" si="39"/>
        <v>61-80</v>
      </c>
      <c r="H2013" t="s">
        <v>23</v>
      </c>
      <c r="I2013" t="s">
        <v>64</v>
      </c>
      <c r="J2013" t="s">
        <v>65</v>
      </c>
      <c r="K2013" t="s">
        <v>29</v>
      </c>
      <c r="L2013">
        <v>1</v>
      </c>
      <c r="M2013">
        <v>1</v>
      </c>
      <c r="N2013">
        <v>4</v>
      </c>
      <c r="O2013">
        <v>9.9</v>
      </c>
      <c r="P2013">
        <v>4</v>
      </c>
      <c r="Q2013">
        <v>4</v>
      </c>
      <c r="R2013">
        <v>840670</v>
      </c>
      <c r="S2013">
        <f>Table1[[#This Row],[Revenue]]-Table1[[#This Row],[Operating_Costs]]</f>
        <v>299708</v>
      </c>
      <c r="T2013">
        <v>540962</v>
      </c>
      <c r="U2013">
        <v>51</v>
      </c>
      <c r="V2013">
        <v>62</v>
      </c>
      <c r="W2013">
        <v>6.2</v>
      </c>
    </row>
    <row r="2014" spans="1:23" x14ac:dyDescent="0.25">
      <c r="A2014">
        <v>5</v>
      </c>
      <c r="B2014" t="s">
        <v>22</v>
      </c>
      <c r="C2014" s="1">
        <v>44203</v>
      </c>
      <c r="D2014" t="s">
        <v>71</v>
      </c>
      <c r="E2014">
        <v>0</v>
      </c>
      <c r="F2014">
        <v>33</v>
      </c>
      <c r="G2014" t="str">
        <f t="shared" si="39"/>
        <v>21-40</v>
      </c>
      <c r="H2014" t="s">
        <v>35</v>
      </c>
      <c r="I2014" t="s">
        <v>46</v>
      </c>
      <c r="J2014" t="s">
        <v>47</v>
      </c>
      <c r="K2014" t="s">
        <v>26</v>
      </c>
      <c r="L2014">
        <v>1</v>
      </c>
      <c r="M2014">
        <v>1</v>
      </c>
      <c r="N2014">
        <v>5.5</v>
      </c>
      <c r="O2014">
        <v>9</v>
      </c>
      <c r="P2014">
        <v>4</v>
      </c>
      <c r="Q2014">
        <v>3</v>
      </c>
      <c r="R2014">
        <v>836254</v>
      </c>
      <c r="S2014">
        <f>Table1[[#This Row],[Revenue]]-Table1[[#This Row],[Operating_Costs]]</f>
        <v>604375</v>
      </c>
      <c r="T2014">
        <v>231879</v>
      </c>
      <c r="U2014">
        <v>36</v>
      </c>
      <c r="V2014">
        <v>60</v>
      </c>
      <c r="W2014">
        <v>36.9</v>
      </c>
    </row>
    <row r="2015" spans="1:23" x14ac:dyDescent="0.25">
      <c r="A2015">
        <v>5</v>
      </c>
      <c r="B2015" t="s">
        <v>22</v>
      </c>
      <c r="C2015" s="1">
        <v>44906</v>
      </c>
      <c r="D2015" t="s">
        <v>71</v>
      </c>
      <c r="E2015">
        <v>0</v>
      </c>
      <c r="F2015">
        <v>40</v>
      </c>
      <c r="G2015" t="str">
        <f t="shared" si="39"/>
        <v>21-40</v>
      </c>
      <c r="H2015" t="s">
        <v>23</v>
      </c>
      <c r="I2015" t="s">
        <v>50</v>
      </c>
      <c r="J2015" t="s">
        <v>51</v>
      </c>
      <c r="K2015" t="s">
        <v>29</v>
      </c>
      <c r="L2015">
        <v>1</v>
      </c>
      <c r="M2015">
        <v>1</v>
      </c>
      <c r="N2015">
        <v>5</v>
      </c>
      <c r="O2015">
        <v>7.8</v>
      </c>
      <c r="P2015">
        <v>6</v>
      </c>
      <c r="Q2015">
        <v>5</v>
      </c>
      <c r="R2015">
        <v>815173</v>
      </c>
      <c r="S2015">
        <f>Table1[[#This Row],[Revenue]]-Table1[[#This Row],[Operating_Costs]]</f>
        <v>320989</v>
      </c>
      <c r="T2015">
        <v>494184</v>
      </c>
      <c r="U2015">
        <v>20</v>
      </c>
      <c r="V2015">
        <v>60</v>
      </c>
      <c r="W2015">
        <v>9.8000000000000007</v>
      </c>
    </row>
    <row r="2016" spans="1:23" x14ac:dyDescent="0.25">
      <c r="A2016">
        <v>5</v>
      </c>
      <c r="B2016" t="s">
        <v>22</v>
      </c>
      <c r="C2016" s="1">
        <v>45381</v>
      </c>
      <c r="D2016" t="s">
        <v>71</v>
      </c>
      <c r="E2016">
        <v>0</v>
      </c>
      <c r="F2016">
        <v>28</v>
      </c>
      <c r="G2016" t="str">
        <f t="shared" si="39"/>
        <v>21-40</v>
      </c>
      <c r="H2016" t="s">
        <v>35</v>
      </c>
      <c r="I2016" t="s">
        <v>36</v>
      </c>
      <c r="J2016" t="s">
        <v>37</v>
      </c>
      <c r="K2016" t="s">
        <v>26</v>
      </c>
      <c r="L2016">
        <v>1</v>
      </c>
      <c r="M2016">
        <v>1</v>
      </c>
      <c r="N2016">
        <v>6.5</v>
      </c>
      <c r="O2016">
        <v>8</v>
      </c>
      <c r="P2016">
        <v>4</v>
      </c>
      <c r="Q2016">
        <v>6</v>
      </c>
      <c r="R2016">
        <v>792330</v>
      </c>
      <c r="S2016">
        <f>Table1[[#This Row],[Revenue]]-Table1[[#This Row],[Operating_Costs]]</f>
        <v>415182</v>
      </c>
      <c r="T2016">
        <v>377148</v>
      </c>
      <c r="U2016">
        <v>29</v>
      </c>
      <c r="V2016">
        <v>58</v>
      </c>
      <c r="W2016">
        <v>36.6</v>
      </c>
    </row>
    <row r="2017" spans="1:23" x14ac:dyDescent="0.25">
      <c r="A2017">
        <v>5</v>
      </c>
      <c r="B2017" t="s">
        <v>22</v>
      </c>
      <c r="C2017" s="1">
        <v>45168</v>
      </c>
      <c r="D2017" t="s">
        <v>71</v>
      </c>
      <c r="E2017">
        <v>0</v>
      </c>
      <c r="F2017">
        <v>82</v>
      </c>
      <c r="G2017" t="str">
        <f t="shared" si="39"/>
        <v>81+</v>
      </c>
      <c r="H2017" t="s">
        <v>23</v>
      </c>
      <c r="I2017" t="s">
        <v>24</v>
      </c>
      <c r="J2017" t="s">
        <v>25</v>
      </c>
      <c r="K2017" t="s">
        <v>42</v>
      </c>
      <c r="L2017">
        <v>1</v>
      </c>
      <c r="M2017">
        <v>1</v>
      </c>
      <c r="N2017">
        <v>6.2</v>
      </c>
      <c r="O2017">
        <v>8.6999999999999993</v>
      </c>
      <c r="P2017">
        <v>6</v>
      </c>
      <c r="Q2017">
        <v>6</v>
      </c>
      <c r="R2017">
        <v>985683</v>
      </c>
      <c r="S2017">
        <f>Table1[[#This Row],[Revenue]]-Table1[[#This Row],[Operating_Costs]]</f>
        <v>771736</v>
      </c>
      <c r="T2017">
        <v>213947</v>
      </c>
      <c r="U2017">
        <v>20</v>
      </c>
      <c r="V2017">
        <v>59</v>
      </c>
      <c r="W2017">
        <v>14.7</v>
      </c>
    </row>
    <row r="2018" spans="1:23" x14ac:dyDescent="0.25">
      <c r="A2018">
        <v>5</v>
      </c>
      <c r="B2018" t="s">
        <v>22</v>
      </c>
      <c r="C2018" s="1">
        <v>45092</v>
      </c>
      <c r="D2018" t="s">
        <v>71</v>
      </c>
      <c r="E2018">
        <v>0</v>
      </c>
      <c r="F2018">
        <v>76</v>
      </c>
      <c r="G2018" t="str">
        <f t="shared" si="39"/>
        <v>61-80</v>
      </c>
      <c r="H2018" t="s">
        <v>23</v>
      </c>
      <c r="I2018" t="s">
        <v>50</v>
      </c>
      <c r="J2018" t="s">
        <v>51</v>
      </c>
      <c r="K2018" t="s">
        <v>42</v>
      </c>
      <c r="L2018">
        <v>1</v>
      </c>
      <c r="M2018">
        <v>1</v>
      </c>
      <c r="N2018">
        <v>3.9</v>
      </c>
      <c r="O2018">
        <v>7</v>
      </c>
      <c r="P2018">
        <v>4</v>
      </c>
      <c r="Q2018">
        <v>4</v>
      </c>
      <c r="R2018">
        <v>670083</v>
      </c>
      <c r="S2018">
        <f>Table1[[#This Row],[Revenue]]-Table1[[#This Row],[Operating_Costs]]</f>
        <v>339669</v>
      </c>
      <c r="T2018">
        <v>330414</v>
      </c>
      <c r="U2018">
        <v>22</v>
      </c>
      <c r="V2018">
        <v>61</v>
      </c>
      <c r="W2018">
        <v>6.3</v>
      </c>
    </row>
    <row r="2019" spans="1:23" x14ac:dyDescent="0.25">
      <c r="A2019">
        <v>5</v>
      </c>
      <c r="B2019" t="s">
        <v>22</v>
      </c>
      <c r="C2019" s="1">
        <v>45452</v>
      </c>
      <c r="D2019" t="s">
        <v>71</v>
      </c>
      <c r="E2019">
        <v>0</v>
      </c>
      <c r="F2019">
        <v>52</v>
      </c>
      <c r="G2019" t="str">
        <f t="shared" si="39"/>
        <v>41-60</v>
      </c>
      <c r="H2019" t="s">
        <v>23</v>
      </c>
      <c r="I2019" t="s">
        <v>50</v>
      </c>
      <c r="J2019" t="s">
        <v>51</v>
      </c>
      <c r="K2019" t="s">
        <v>38</v>
      </c>
      <c r="L2019">
        <v>1</v>
      </c>
      <c r="M2019">
        <v>1</v>
      </c>
      <c r="N2019">
        <v>3.4</v>
      </c>
      <c r="O2019">
        <v>9.4</v>
      </c>
      <c r="P2019">
        <v>4</v>
      </c>
      <c r="Q2019">
        <v>4</v>
      </c>
      <c r="R2019">
        <v>948963</v>
      </c>
      <c r="S2019">
        <f>Table1[[#This Row],[Revenue]]-Table1[[#This Row],[Operating_Costs]]</f>
        <v>582533</v>
      </c>
      <c r="T2019">
        <v>366430</v>
      </c>
      <c r="U2019">
        <v>38</v>
      </c>
      <c r="V2019">
        <v>63</v>
      </c>
      <c r="W2019">
        <v>8.1999999999999993</v>
      </c>
    </row>
    <row r="2020" spans="1:23" x14ac:dyDescent="0.25">
      <c r="A2020">
        <v>5</v>
      </c>
      <c r="B2020" t="s">
        <v>22</v>
      </c>
      <c r="C2020" s="1">
        <v>45643</v>
      </c>
      <c r="D2020" t="s">
        <v>71</v>
      </c>
      <c r="E2020">
        <v>0</v>
      </c>
      <c r="F2020">
        <v>43</v>
      </c>
      <c r="G2020" t="str">
        <f t="shared" si="39"/>
        <v>41-60</v>
      </c>
      <c r="H2020" t="s">
        <v>23</v>
      </c>
      <c r="I2020" t="s">
        <v>24</v>
      </c>
      <c r="J2020" t="s">
        <v>25</v>
      </c>
      <c r="K2020" t="s">
        <v>42</v>
      </c>
      <c r="L2020">
        <v>1</v>
      </c>
      <c r="M2020">
        <v>1</v>
      </c>
      <c r="N2020">
        <v>5.5</v>
      </c>
      <c r="O2020">
        <v>8.3000000000000007</v>
      </c>
      <c r="P2020">
        <v>4</v>
      </c>
      <c r="Q2020">
        <v>3</v>
      </c>
      <c r="R2020">
        <v>725447</v>
      </c>
      <c r="S2020">
        <f>Table1[[#This Row],[Revenue]]-Table1[[#This Row],[Operating_Costs]]</f>
        <v>248778</v>
      </c>
      <c r="T2020">
        <v>476669</v>
      </c>
      <c r="U2020">
        <v>39</v>
      </c>
      <c r="V2020">
        <v>58</v>
      </c>
      <c r="W2020">
        <v>5.0999999999999996</v>
      </c>
    </row>
    <row r="2021" spans="1:23" x14ac:dyDescent="0.25">
      <c r="A2021">
        <v>5</v>
      </c>
      <c r="B2021" t="s">
        <v>22</v>
      </c>
      <c r="C2021" s="1">
        <v>45305</v>
      </c>
      <c r="D2021" t="s">
        <v>71</v>
      </c>
      <c r="E2021">
        <v>0</v>
      </c>
      <c r="F2021">
        <v>47</v>
      </c>
      <c r="G2021" t="str">
        <f t="shared" si="39"/>
        <v>41-60</v>
      </c>
      <c r="H2021" t="s">
        <v>35</v>
      </c>
      <c r="I2021" t="s">
        <v>36</v>
      </c>
      <c r="J2021" t="s">
        <v>37</v>
      </c>
      <c r="K2021" t="s">
        <v>38</v>
      </c>
      <c r="L2021">
        <v>1</v>
      </c>
      <c r="M2021">
        <v>1</v>
      </c>
      <c r="N2021">
        <v>4.5999999999999996</v>
      </c>
      <c r="O2021">
        <v>7.7</v>
      </c>
      <c r="P2021">
        <v>4</v>
      </c>
      <c r="Q2021">
        <v>5</v>
      </c>
      <c r="R2021">
        <v>728608</v>
      </c>
      <c r="S2021">
        <f>Table1[[#This Row],[Revenue]]-Table1[[#This Row],[Operating_Costs]]</f>
        <v>411240</v>
      </c>
      <c r="T2021">
        <v>317368</v>
      </c>
      <c r="U2021">
        <v>23</v>
      </c>
      <c r="V2021">
        <v>65</v>
      </c>
      <c r="W2021">
        <v>9.4</v>
      </c>
    </row>
    <row r="2022" spans="1:23" x14ac:dyDescent="0.25">
      <c r="A2022">
        <v>5</v>
      </c>
      <c r="B2022" t="s">
        <v>22</v>
      </c>
      <c r="C2022" s="1">
        <v>44945</v>
      </c>
      <c r="D2022" t="s">
        <v>71</v>
      </c>
      <c r="E2022">
        <v>0</v>
      </c>
      <c r="F2022">
        <v>59</v>
      </c>
      <c r="G2022" t="str">
        <f t="shared" si="39"/>
        <v>41-60</v>
      </c>
      <c r="H2022" t="s">
        <v>35</v>
      </c>
      <c r="I2022" t="s">
        <v>36</v>
      </c>
      <c r="J2022" t="s">
        <v>37</v>
      </c>
      <c r="K2022" t="s">
        <v>33</v>
      </c>
      <c r="L2022">
        <v>1</v>
      </c>
      <c r="M2022">
        <v>1</v>
      </c>
      <c r="N2022">
        <v>1.2</v>
      </c>
      <c r="O2022">
        <v>9.6</v>
      </c>
      <c r="P2022">
        <v>6</v>
      </c>
      <c r="Q2022">
        <v>6</v>
      </c>
      <c r="R2022">
        <v>644464</v>
      </c>
      <c r="S2022">
        <f>Table1[[#This Row],[Revenue]]-Table1[[#This Row],[Operating_Costs]]</f>
        <v>405438</v>
      </c>
      <c r="T2022">
        <v>239026</v>
      </c>
      <c r="U2022">
        <v>26</v>
      </c>
      <c r="V2022">
        <v>60</v>
      </c>
      <c r="W2022">
        <v>6.8</v>
      </c>
    </row>
    <row r="2023" spans="1:23" x14ac:dyDescent="0.25">
      <c r="A2023">
        <v>5</v>
      </c>
      <c r="B2023" t="s">
        <v>22</v>
      </c>
      <c r="C2023" s="1">
        <v>44540</v>
      </c>
      <c r="D2023" t="s">
        <v>71</v>
      </c>
      <c r="E2023">
        <v>0</v>
      </c>
      <c r="F2023">
        <v>46</v>
      </c>
      <c r="G2023" t="str">
        <f t="shared" si="39"/>
        <v>41-60</v>
      </c>
      <c r="H2023" t="s">
        <v>23</v>
      </c>
      <c r="I2023" t="s">
        <v>67</v>
      </c>
      <c r="J2023" t="s">
        <v>68</v>
      </c>
      <c r="K2023" t="s">
        <v>26</v>
      </c>
      <c r="L2023">
        <v>1</v>
      </c>
      <c r="M2023">
        <v>1</v>
      </c>
      <c r="N2023">
        <v>6.4</v>
      </c>
      <c r="O2023">
        <v>8.9</v>
      </c>
      <c r="P2023">
        <v>4</v>
      </c>
      <c r="Q2023">
        <v>3</v>
      </c>
      <c r="R2023">
        <v>728840</v>
      </c>
      <c r="S2023">
        <f>Table1[[#This Row],[Revenue]]-Table1[[#This Row],[Operating_Costs]]</f>
        <v>404738</v>
      </c>
      <c r="T2023">
        <v>324102</v>
      </c>
      <c r="U2023">
        <v>29</v>
      </c>
      <c r="V2023">
        <v>62</v>
      </c>
      <c r="W2023">
        <v>12.7</v>
      </c>
    </row>
    <row r="2024" spans="1:23" x14ac:dyDescent="0.25">
      <c r="A2024">
        <v>5</v>
      </c>
      <c r="B2024" t="s">
        <v>22</v>
      </c>
      <c r="C2024" s="1">
        <v>45413</v>
      </c>
      <c r="D2024" t="s">
        <v>71</v>
      </c>
      <c r="E2024">
        <v>0</v>
      </c>
      <c r="F2024">
        <v>22</v>
      </c>
      <c r="G2024" t="str">
        <f t="shared" si="39"/>
        <v>21-40</v>
      </c>
      <c r="H2024" t="s">
        <v>35</v>
      </c>
      <c r="I2024" t="s">
        <v>58</v>
      </c>
      <c r="J2024" t="s">
        <v>59</v>
      </c>
      <c r="K2024" t="s">
        <v>42</v>
      </c>
      <c r="L2024">
        <v>1</v>
      </c>
      <c r="M2024">
        <v>1</v>
      </c>
      <c r="N2024">
        <v>6.9</v>
      </c>
      <c r="O2024">
        <v>7.7</v>
      </c>
      <c r="P2024">
        <v>3</v>
      </c>
      <c r="Q2024">
        <v>7</v>
      </c>
      <c r="R2024">
        <v>626326</v>
      </c>
      <c r="S2024">
        <f>Table1[[#This Row],[Revenue]]-Table1[[#This Row],[Operating_Costs]]</f>
        <v>340353</v>
      </c>
      <c r="T2024">
        <v>285973</v>
      </c>
      <c r="U2024">
        <v>28</v>
      </c>
      <c r="V2024">
        <v>60</v>
      </c>
      <c r="W2024">
        <v>12.3</v>
      </c>
    </row>
    <row r="2025" spans="1:23" x14ac:dyDescent="0.25">
      <c r="A2025">
        <v>5</v>
      </c>
      <c r="B2025" t="s">
        <v>22</v>
      </c>
      <c r="C2025" s="1">
        <v>45018</v>
      </c>
      <c r="D2025" t="s">
        <v>71</v>
      </c>
      <c r="E2025">
        <v>0</v>
      </c>
      <c r="F2025">
        <v>69</v>
      </c>
      <c r="G2025" t="str">
        <f t="shared" si="39"/>
        <v>61-80</v>
      </c>
      <c r="H2025" t="s">
        <v>23</v>
      </c>
      <c r="I2025" t="s">
        <v>64</v>
      </c>
      <c r="J2025" t="s">
        <v>65</v>
      </c>
      <c r="K2025" t="s">
        <v>42</v>
      </c>
      <c r="L2025">
        <v>1</v>
      </c>
      <c r="M2025">
        <v>1</v>
      </c>
      <c r="N2025">
        <v>4.7</v>
      </c>
      <c r="O2025">
        <v>7.8</v>
      </c>
      <c r="P2025">
        <v>4</v>
      </c>
      <c r="Q2025">
        <v>3</v>
      </c>
      <c r="R2025">
        <v>886526</v>
      </c>
      <c r="S2025">
        <f>Table1[[#This Row],[Revenue]]-Table1[[#This Row],[Operating_Costs]]</f>
        <v>522898</v>
      </c>
      <c r="T2025">
        <v>363628</v>
      </c>
      <c r="U2025">
        <v>30</v>
      </c>
      <c r="V2025">
        <v>54</v>
      </c>
      <c r="W2025">
        <v>8.5</v>
      </c>
    </row>
    <row r="2026" spans="1:23" x14ac:dyDescent="0.25">
      <c r="A2026">
        <v>5</v>
      </c>
      <c r="B2026" t="s">
        <v>22</v>
      </c>
      <c r="C2026" s="1">
        <v>44461</v>
      </c>
      <c r="D2026" t="s">
        <v>71</v>
      </c>
      <c r="E2026">
        <v>0</v>
      </c>
      <c r="F2026">
        <v>31</v>
      </c>
      <c r="G2026" t="str">
        <f t="shared" si="39"/>
        <v>21-40</v>
      </c>
      <c r="H2026" t="s">
        <v>35</v>
      </c>
      <c r="I2026" t="s">
        <v>46</v>
      </c>
      <c r="J2026" t="s">
        <v>47</v>
      </c>
      <c r="K2026" t="s">
        <v>29</v>
      </c>
      <c r="L2026">
        <v>1</v>
      </c>
      <c r="M2026">
        <v>1</v>
      </c>
      <c r="N2026">
        <v>3.9</v>
      </c>
      <c r="O2026">
        <v>8.6</v>
      </c>
      <c r="P2026">
        <v>7</v>
      </c>
      <c r="Q2026">
        <v>7</v>
      </c>
      <c r="R2026">
        <v>948447</v>
      </c>
      <c r="S2026">
        <f>Table1[[#This Row],[Revenue]]-Table1[[#This Row],[Operating_Costs]]</f>
        <v>732276</v>
      </c>
      <c r="T2026">
        <v>216171</v>
      </c>
      <c r="U2026">
        <v>23</v>
      </c>
      <c r="V2026">
        <v>61</v>
      </c>
      <c r="W2026">
        <v>13.1</v>
      </c>
    </row>
    <row r="2027" spans="1:23" x14ac:dyDescent="0.25">
      <c r="A2027">
        <v>5</v>
      </c>
      <c r="B2027" t="s">
        <v>22</v>
      </c>
      <c r="C2027" s="1">
        <v>44315</v>
      </c>
      <c r="D2027" t="s">
        <v>71</v>
      </c>
      <c r="E2027">
        <v>0</v>
      </c>
      <c r="F2027">
        <v>28</v>
      </c>
      <c r="G2027" t="str">
        <f t="shared" si="39"/>
        <v>21-40</v>
      </c>
      <c r="H2027" t="s">
        <v>35</v>
      </c>
      <c r="I2027" t="s">
        <v>55</v>
      </c>
      <c r="J2027" t="s">
        <v>56</v>
      </c>
      <c r="K2027" t="s">
        <v>38</v>
      </c>
      <c r="L2027">
        <v>1</v>
      </c>
      <c r="M2027">
        <v>1</v>
      </c>
      <c r="N2027">
        <v>1.4</v>
      </c>
      <c r="O2027">
        <v>7.5</v>
      </c>
      <c r="P2027">
        <v>7</v>
      </c>
      <c r="Q2027">
        <v>4</v>
      </c>
      <c r="R2027">
        <v>978243</v>
      </c>
      <c r="S2027">
        <f>Table1[[#This Row],[Revenue]]-Table1[[#This Row],[Operating_Costs]]</f>
        <v>657577</v>
      </c>
      <c r="T2027">
        <v>320666</v>
      </c>
      <c r="U2027">
        <v>37</v>
      </c>
      <c r="V2027">
        <v>55</v>
      </c>
      <c r="W2027">
        <v>13.4</v>
      </c>
    </row>
    <row r="2028" spans="1:23" x14ac:dyDescent="0.25">
      <c r="A2028">
        <v>5</v>
      </c>
      <c r="B2028" t="s">
        <v>22</v>
      </c>
      <c r="C2028" s="1">
        <v>45341</v>
      </c>
      <c r="D2028" t="s">
        <v>71</v>
      </c>
      <c r="E2028">
        <v>0</v>
      </c>
      <c r="F2028">
        <v>78</v>
      </c>
      <c r="G2028" t="str">
        <f t="shared" si="39"/>
        <v>61-80</v>
      </c>
      <c r="H2028" t="s">
        <v>35</v>
      </c>
      <c r="I2028" t="s">
        <v>31</v>
      </c>
      <c r="J2028" t="s">
        <v>28</v>
      </c>
      <c r="K2028" t="s">
        <v>29</v>
      </c>
      <c r="L2028">
        <v>1</v>
      </c>
      <c r="M2028">
        <v>1</v>
      </c>
      <c r="N2028">
        <v>2.6</v>
      </c>
      <c r="O2028">
        <v>9.1</v>
      </c>
      <c r="P2028">
        <v>7</v>
      </c>
      <c r="Q2028">
        <v>3</v>
      </c>
      <c r="R2028">
        <v>967219</v>
      </c>
      <c r="S2028">
        <f>Table1[[#This Row],[Revenue]]-Table1[[#This Row],[Operating_Costs]]</f>
        <v>481314</v>
      </c>
      <c r="T2028">
        <v>485905</v>
      </c>
      <c r="U2028">
        <v>27</v>
      </c>
      <c r="V2028">
        <v>56</v>
      </c>
      <c r="W2028">
        <v>12.1</v>
      </c>
    </row>
    <row r="2029" spans="1:23" x14ac:dyDescent="0.25">
      <c r="A2029">
        <v>5</v>
      </c>
      <c r="B2029" t="s">
        <v>22</v>
      </c>
      <c r="C2029" s="1">
        <v>44416</v>
      </c>
      <c r="D2029" t="s">
        <v>71</v>
      </c>
      <c r="E2029">
        <v>0</v>
      </c>
      <c r="F2029">
        <v>53</v>
      </c>
      <c r="G2029" t="str">
        <f t="shared" si="39"/>
        <v>41-60</v>
      </c>
      <c r="H2029" t="s">
        <v>35</v>
      </c>
      <c r="I2029" t="s">
        <v>55</v>
      </c>
      <c r="J2029" t="s">
        <v>56</v>
      </c>
      <c r="K2029" t="s">
        <v>26</v>
      </c>
      <c r="L2029">
        <v>1</v>
      </c>
      <c r="M2029">
        <v>1</v>
      </c>
      <c r="N2029">
        <v>5.4</v>
      </c>
      <c r="O2029">
        <v>8.6999999999999993</v>
      </c>
      <c r="P2029">
        <v>5</v>
      </c>
      <c r="Q2029">
        <v>6</v>
      </c>
      <c r="R2029">
        <v>836684</v>
      </c>
      <c r="S2029">
        <f>Table1[[#This Row],[Revenue]]-Table1[[#This Row],[Operating_Costs]]</f>
        <v>414170</v>
      </c>
      <c r="T2029">
        <v>422514</v>
      </c>
      <c r="U2029">
        <v>25</v>
      </c>
      <c r="V2029">
        <v>63</v>
      </c>
      <c r="W2029">
        <v>6.6</v>
      </c>
    </row>
    <row r="2030" spans="1:23" x14ac:dyDescent="0.25">
      <c r="A2030">
        <v>6</v>
      </c>
      <c r="B2030" t="s">
        <v>70</v>
      </c>
      <c r="C2030" s="1">
        <v>44701</v>
      </c>
      <c r="D2030" t="s">
        <v>71</v>
      </c>
      <c r="E2030">
        <v>0</v>
      </c>
      <c r="F2030">
        <v>69</v>
      </c>
      <c r="G2030" t="str">
        <f t="shared" si="39"/>
        <v>61-80</v>
      </c>
      <c r="H2030" t="s">
        <v>23</v>
      </c>
      <c r="I2030" t="s">
        <v>24</v>
      </c>
      <c r="J2030" t="s">
        <v>25</v>
      </c>
      <c r="K2030" t="s">
        <v>33</v>
      </c>
      <c r="L2030">
        <v>1</v>
      </c>
      <c r="M2030">
        <v>1</v>
      </c>
      <c r="N2030">
        <v>6.6</v>
      </c>
      <c r="O2030">
        <v>7.4</v>
      </c>
      <c r="P2030">
        <v>6</v>
      </c>
      <c r="Q2030">
        <v>5</v>
      </c>
      <c r="R2030">
        <v>698542</v>
      </c>
      <c r="S2030">
        <f>Table1[[#This Row],[Revenue]]-Table1[[#This Row],[Operating_Costs]]</f>
        <v>190165</v>
      </c>
      <c r="T2030">
        <v>508377</v>
      </c>
      <c r="U2030">
        <v>21</v>
      </c>
      <c r="V2030">
        <v>60</v>
      </c>
      <c r="W2030">
        <v>6.4</v>
      </c>
    </row>
    <row r="2031" spans="1:23" x14ac:dyDescent="0.25">
      <c r="A2031">
        <v>5</v>
      </c>
      <c r="B2031" t="s">
        <v>22</v>
      </c>
      <c r="C2031" s="1">
        <v>45603</v>
      </c>
      <c r="D2031" t="s">
        <v>71</v>
      </c>
      <c r="E2031">
        <v>0</v>
      </c>
      <c r="F2031">
        <v>84</v>
      </c>
      <c r="G2031" t="str">
        <f t="shared" si="39"/>
        <v>81+</v>
      </c>
      <c r="H2031" t="s">
        <v>23</v>
      </c>
      <c r="I2031" t="s">
        <v>31</v>
      </c>
      <c r="J2031" t="s">
        <v>28</v>
      </c>
      <c r="K2031" t="s">
        <v>38</v>
      </c>
      <c r="L2031">
        <v>1</v>
      </c>
      <c r="M2031">
        <v>1</v>
      </c>
      <c r="N2031">
        <v>2.6</v>
      </c>
      <c r="O2031">
        <v>9.4</v>
      </c>
      <c r="P2031">
        <v>7</v>
      </c>
      <c r="Q2031">
        <v>5</v>
      </c>
      <c r="R2031">
        <v>887824</v>
      </c>
      <c r="S2031">
        <f>Table1[[#This Row],[Revenue]]-Table1[[#This Row],[Operating_Costs]]</f>
        <v>517660</v>
      </c>
      <c r="T2031">
        <v>370164</v>
      </c>
      <c r="U2031">
        <v>34</v>
      </c>
      <c r="V2031">
        <v>64</v>
      </c>
      <c r="W2031">
        <v>5.9</v>
      </c>
    </row>
    <row r="2032" spans="1:23" x14ac:dyDescent="0.25">
      <c r="A2032">
        <v>5</v>
      </c>
      <c r="B2032" t="s">
        <v>22</v>
      </c>
      <c r="C2032" s="1">
        <v>45631</v>
      </c>
      <c r="D2032" t="s">
        <v>71</v>
      </c>
      <c r="E2032">
        <v>0</v>
      </c>
      <c r="F2032">
        <v>37</v>
      </c>
      <c r="G2032" t="str">
        <f t="shared" si="39"/>
        <v>21-40</v>
      </c>
      <c r="H2032" t="s">
        <v>35</v>
      </c>
      <c r="I2032" t="s">
        <v>40</v>
      </c>
      <c r="J2032" t="s">
        <v>41</v>
      </c>
      <c r="K2032" t="s">
        <v>38</v>
      </c>
      <c r="L2032">
        <v>1</v>
      </c>
      <c r="M2032">
        <v>1</v>
      </c>
      <c r="N2032">
        <v>4.9000000000000004</v>
      </c>
      <c r="O2032">
        <v>8.8000000000000007</v>
      </c>
      <c r="P2032">
        <v>5</v>
      </c>
      <c r="Q2032">
        <v>3</v>
      </c>
      <c r="R2032">
        <v>918041</v>
      </c>
      <c r="S2032">
        <f>Table1[[#This Row],[Revenue]]-Table1[[#This Row],[Operating_Costs]]</f>
        <v>654270</v>
      </c>
      <c r="T2032">
        <v>263771</v>
      </c>
      <c r="U2032">
        <v>28</v>
      </c>
      <c r="V2032">
        <v>58</v>
      </c>
      <c r="W2032">
        <v>7.6</v>
      </c>
    </row>
    <row r="2033" spans="1:23" x14ac:dyDescent="0.25">
      <c r="A2033">
        <v>5</v>
      </c>
      <c r="B2033" t="s">
        <v>22</v>
      </c>
      <c r="C2033" s="1">
        <v>44988</v>
      </c>
      <c r="D2033" t="s">
        <v>71</v>
      </c>
      <c r="E2033">
        <v>0</v>
      </c>
      <c r="F2033">
        <v>70</v>
      </c>
      <c r="G2033" t="str">
        <f t="shared" si="39"/>
        <v>61-80</v>
      </c>
      <c r="H2033" t="s">
        <v>23</v>
      </c>
      <c r="I2033" t="s">
        <v>24</v>
      </c>
      <c r="J2033" t="s">
        <v>25</v>
      </c>
      <c r="K2033" t="s">
        <v>42</v>
      </c>
      <c r="L2033">
        <v>1</v>
      </c>
      <c r="M2033">
        <v>1</v>
      </c>
      <c r="N2033">
        <v>5.4</v>
      </c>
      <c r="O2033">
        <v>7.2</v>
      </c>
      <c r="P2033">
        <v>3</v>
      </c>
      <c r="Q2033">
        <v>6</v>
      </c>
      <c r="R2033">
        <v>732915</v>
      </c>
      <c r="S2033">
        <f>Table1[[#This Row],[Revenue]]-Table1[[#This Row],[Operating_Costs]]</f>
        <v>453323</v>
      </c>
      <c r="T2033">
        <v>279592</v>
      </c>
      <c r="U2033">
        <v>39</v>
      </c>
      <c r="V2033">
        <v>56</v>
      </c>
      <c r="W2033">
        <v>6</v>
      </c>
    </row>
    <row r="2034" spans="1:23" x14ac:dyDescent="0.25">
      <c r="A2034">
        <v>5</v>
      </c>
      <c r="B2034" t="s">
        <v>22</v>
      </c>
      <c r="C2034" s="1">
        <v>45575</v>
      </c>
      <c r="D2034" t="s">
        <v>71</v>
      </c>
      <c r="E2034">
        <v>0</v>
      </c>
      <c r="F2034">
        <v>82</v>
      </c>
      <c r="G2034" t="str">
        <f t="shared" si="39"/>
        <v>81+</v>
      </c>
      <c r="H2034" t="s">
        <v>35</v>
      </c>
      <c r="I2034" t="s">
        <v>53</v>
      </c>
      <c r="J2034" t="s">
        <v>54</v>
      </c>
      <c r="K2034" t="s">
        <v>33</v>
      </c>
      <c r="L2034">
        <v>1</v>
      </c>
      <c r="M2034">
        <v>1</v>
      </c>
      <c r="N2034">
        <v>4.3</v>
      </c>
      <c r="O2034">
        <v>7.9</v>
      </c>
      <c r="P2034">
        <v>3</v>
      </c>
      <c r="Q2034">
        <v>6</v>
      </c>
      <c r="R2034">
        <v>893224</v>
      </c>
      <c r="S2034">
        <f>Table1[[#This Row],[Revenue]]-Table1[[#This Row],[Operating_Costs]]</f>
        <v>597858</v>
      </c>
      <c r="T2034">
        <v>295366</v>
      </c>
      <c r="U2034">
        <v>37</v>
      </c>
      <c r="V2034">
        <v>61</v>
      </c>
      <c r="W2034">
        <v>13.8</v>
      </c>
    </row>
    <row r="2035" spans="1:23" x14ac:dyDescent="0.25">
      <c r="A2035">
        <v>5</v>
      </c>
      <c r="B2035" t="s">
        <v>22</v>
      </c>
      <c r="C2035" s="1">
        <v>45013</v>
      </c>
      <c r="D2035" t="s">
        <v>71</v>
      </c>
      <c r="E2035">
        <v>0</v>
      </c>
      <c r="F2035">
        <v>26</v>
      </c>
      <c r="G2035" t="str">
        <f t="shared" si="39"/>
        <v>21-40</v>
      </c>
      <c r="H2035" t="s">
        <v>23</v>
      </c>
      <c r="I2035" t="s">
        <v>46</v>
      </c>
      <c r="J2035" t="s">
        <v>47</v>
      </c>
      <c r="K2035" t="s">
        <v>33</v>
      </c>
      <c r="L2035">
        <v>1</v>
      </c>
      <c r="M2035">
        <v>1</v>
      </c>
      <c r="N2035">
        <v>6.3</v>
      </c>
      <c r="O2035">
        <v>7.4</v>
      </c>
      <c r="P2035">
        <v>4</v>
      </c>
      <c r="Q2035">
        <v>6</v>
      </c>
      <c r="R2035">
        <v>622221</v>
      </c>
      <c r="S2035">
        <f>Table1[[#This Row],[Revenue]]-Table1[[#This Row],[Operating_Costs]]</f>
        <v>302649</v>
      </c>
      <c r="T2035">
        <v>319572</v>
      </c>
      <c r="U2035">
        <v>26</v>
      </c>
      <c r="V2035">
        <v>65</v>
      </c>
      <c r="W2035">
        <v>10.8</v>
      </c>
    </row>
    <row r="2036" spans="1:23" x14ac:dyDescent="0.25">
      <c r="A2036">
        <v>5</v>
      </c>
      <c r="B2036" t="s">
        <v>22</v>
      </c>
      <c r="C2036" s="1">
        <v>44633</v>
      </c>
      <c r="D2036" t="s">
        <v>71</v>
      </c>
      <c r="E2036">
        <v>0</v>
      </c>
      <c r="F2036">
        <v>47</v>
      </c>
      <c r="G2036" t="str">
        <f t="shared" si="39"/>
        <v>41-60</v>
      </c>
      <c r="H2036" t="s">
        <v>35</v>
      </c>
      <c r="I2036" t="s">
        <v>40</v>
      </c>
      <c r="J2036" t="s">
        <v>41</v>
      </c>
      <c r="K2036" t="s">
        <v>33</v>
      </c>
      <c r="L2036">
        <v>1</v>
      </c>
      <c r="M2036">
        <v>1</v>
      </c>
      <c r="N2036">
        <v>1.5</v>
      </c>
      <c r="O2036">
        <v>9.8000000000000007</v>
      </c>
      <c r="P2036">
        <v>6</v>
      </c>
      <c r="Q2036">
        <v>4</v>
      </c>
      <c r="R2036">
        <v>947443</v>
      </c>
      <c r="S2036">
        <f>Table1[[#This Row],[Revenue]]-Table1[[#This Row],[Operating_Costs]]</f>
        <v>545408</v>
      </c>
      <c r="T2036">
        <v>402035</v>
      </c>
      <c r="U2036">
        <v>40</v>
      </c>
      <c r="V2036">
        <v>59</v>
      </c>
      <c r="W2036">
        <v>12.7</v>
      </c>
    </row>
    <row r="2037" spans="1:23" x14ac:dyDescent="0.25">
      <c r="A2037">
        <v>5</v>
      </c>
      <c r="B2037" t="s">
        <v>22</v>
      </c>
      <c r="C2037" s="1">
        <v>45151</v>
      </c>
      <c r="D2037" t="s">
        <v>71</v>
      </c>
      <c r="E2037">
        <v>0</v>
      </c>
      <c r="F2037">
        <v>85</v>
      </c>
      <c r="G2037" t="str">
        <f t="shared" si="39"/>
        <v>81+</v>
      </c>
      <c r="H2037" t="s">
        <v>23</v>
      </c>
      <c r="I2037" t="s">
        <v>24</v>
      </c>
      <c r="J2037" t="s">
        <v>25</v>
      </c>
      <c r="K2037" t="s">
        <v>26</v>
      </c>
      <c r="L2037">
        <v>1</v>
      </c>
      <c r="M2037">
        <v>1</v>
      </c>
      <c r="N2037">
        <v>7</v>
      </c>
      <c r="O2037">
        <v>7</v>
      </c>
      <c r="P2037">
        <v>5</v>
      </c>
      <c r="Q2037">
        <v>4</v>
      </c>
      <c r="R2037">
        <v>774756</v>
      </c>
      <c r="S2037">
        <f>Table1[[#This Row],[Revenue]]-Table1[[#This Row],[Operating_Costs]]</f>
        <v>491510</v>
      </c>
      <c r="T2037">
        <v>283246</v>
      </c>
      <c r="U2037">
        <v>38</v>
      </c>
      <c r="V2037">
        <v>62</v>
      </c>
      <c r="W2037">
        <v>10.6</v>
      </c>
    </row>
    <row r="2038" spans="1:23" x14ac:dyDescent="0.25">
      <c r="A2038">
        <v>5</v>
      </c>
      <c r="B2038" t="s">
        <v>22</v>
      </c>
      <c r="C2038" s="1">
        <v>44682</v>
      </c>
      <c r="D2038" t="s">
        <v>71</v>
      </c>
      <c r="E2038">
        <v>0</v>
      </c>
      <c r="F2038">
        <v>85</v>
      </c>
      <c r="G2038" t="str">
        <f t="shared" si="39"/>
        <v>81+</v>
      </c>
      <c r="H2038" t="s">
        <v>35</v>
      </c>
      <c r="I2038" t="s">
        <v>46</v>
      </c>
      <c r="J2038" t="s">
        <v>47</v>
      </c>
      <c r="K2038" t="s">
        <v>26</v>
      </c>
      <c r="L2038">
        <v>1</v>
      </c>
      <c r="M2038">
        <v>1</v>
      </c>
      <c r="N2038">
        <v>3.5</v>
      </c>
      <c r="O2038">
        <v>7.6</v>
      </c>
      <c r="P2038">
        <v>4</v>
      </c>
      <c r="Q2038">
        <v>5</v>
      </c>
      <c r="R2038">
        <v>881976</v>
      </c>
      <c r="S2038">
        <f>Table1[[#This Row],[Revenue]]-Table1[[#This Row],[Operating_Costs]]</f>
        <v>412362</v>
      </c>
      <c r="T2038">
        <v>469614</v>
      </c>
      <c r="U2038">
        <v>26</v>
      </c>
      <c r="V2038">
        <v>62</v>
      </c>
      <c r="W2038">
        <v>5.2</v>
      </c>
    </row>
    <row r="2039" spans="1:23" x14ac:dyDescent="0.25">
      <c r="A2039">
        <v>5</v>
      </c>
      <c r="B2039" t="s">
        <v>22</v>
      </c>
      <c r="C2039" s="1">
        <v>44678</v>
      </c>
      <c r="D2039" t="s">
        <v>71</v>
      </c>
      <c r="E2039">
        <v>0</v>
      </c>
      <c r="F2039">
        <v>29</v>
      </c>
      <c r="G2039" t="str">
        <f t="shared" si="39"/>
        <v>21-40</v>
      </c>
      <c r="H2039" t="s">
        <v>35</v>
      </c>
      <c r="I2039" t="s">
        <v>58</v>
      </c>
      <c r="J2039" t="s">
        <v>59</v>
      </c>
      <c r="K2039" t="s">
        <v>29</v>
      </c>
      <c r="L2039">
        <v>1</v>
      </c>
      <c r="M2039">
        <v>1</v>
      </c>
      <c r="N2039">
        <v>2.7</v>
      </c>
      <c r="O2039">
        <v>8.4</v>
      </c>
      <c r="P2039">
        <v>4</v>
      </c>
      <c r="Q2039">
        <v>4</v>
      </c>
      <c r="R2039">
        <v>972236</v>
      </c>
      <c r="S2039">
        <f>Table1[[#This Row],[Revenue]]-Table1[[#This Row],[Operating_Costs]]</f>
        <v>551876</v>
      </c>
      <c r="T2039">
        <v>420360</v>
      </c>
      <c r="U2039">
        <v>34</v>
      </c>
      <c r="V2039">
        <v>62</v>
      </c>
      <c r="W2039">
        <v>5.6</v>
      </c>
    </row>
    <row r="2040" spans="1:23" x14ac:dyDescent="0.25">
      <c r="A2040">
        <v>5</v>
      </c>
      <c r="B2040" t="s">
        <v>22</v>
      </c>
      <c r="C2040" s="1">
        <v>44669</v>
      </c>
      <c r="D2040" t="s">
        <v>71</v>
      </c>
      <c r="E2040">
        <v>0</v>
      </c>
      <c r="F2040">
        <v>66</v>
      </c>
      <c r="G2040" t="str">
        <f t="shared" si="39"/>
        <v>61-80</v>
      </c>
      <c r="H2040" t="s">
        <v>23</v>
      </c>
      <c r="I2040" t="s">
        <v>64</v>
      </c>
      <c r="J2040" t="s">
        <v>65</v>
      </c>
      <c r="K2040" t="s">
        <v>38</v>
      </c>
      <c r="L2040">
        <v>1</v>
      </c>
      <c r="M2040">
        <v>1</v>
      </c>
      <c r="N2040">
        <v>6.9</v>
      </c>
      <c r="O2040">
        <v>7.4</v>
      </c>
      <c r="P2040">
        <v>6</v>
      </c>
      <c r="Q2040">
        <v>5</v>
      </c>
      <c r="R2040">
        <v>782402</v>
      </c>
      <c r="S2040">
        <f>Table1[[#This Row],[Revenue]]-Table1[[#This Row],[Operating_Costs]]</f>
        <v>522322</v>
      </c>
      <c r="T2040">
        <v>260080</v>
      </c>
      <c r="U2040">
        <v>25</v>
      </c>
      <c r="V2040">
        <v>64</v>
      </c>
      <c r="W2040">
        <v>10.1</v>
      </c>
    </row>
    <row r="2041" spans="1:23" x14ac:dyDescent="0.25">
      <c r="A2041">
        <v>5</v>
      </c>
      <c r="B2041" t="s">
        <v>22</v>
      </c>
      <c r="C2041" s="1">
        <v>45146</v>
      </c>
      <c r="D2041" t="s">
        <v>71</v>
      </c>
      <c r="E2041">
        <v>0</v>
      </c>
      <c r="F2041">
        <v>31</v>
      </c>
      <c r="G2041" t="str">
        <f t="shared" si="39"/>
        <v>21-40</v>
      </c>
      <c r="H2041" t="s">
        <v>23</v>
      </c>
      <c r="I2041" t="s">
        <v>67</v>
      </c>
      <c r="J2041" t="s">
        <v>68</v>
      </c>
      <c r="K2041" t="s">
        <v>26</v>
      </c>
      <c r="L2041">
        <v>1</v>
      </c>
      <c r="M2041">
        <v>1</v>
      </c>
      <c r="N2041">
        <v>2.2999999999999998</v>
      </c>
      <c r="O2041">
        <v>9</v>
      </c>
      <c r="P2041">
        <v>7</v>
      </c>
      <c r="Q2041">
        <v>4</v>
      </c>
      <c r="R2041">
        <v>788644</v>
      </c>
      <c r="S2041">
        <f>Table1[[#This Row],[Revenue]]-Table1[[#This Row],[Operating_Costs]]</f>
        <v>445757</v>
      </c>
      <c r="T2041">
        <v>342887</v>
      </c>
      <c r="U2041">
        <v>33</v>
      </c>
      <c r="V2041">
        <v>58</v>
      </c>
      <c r="W2041">
        <v>14.1</v>
      </c>
    </row>
    <row r="2042" spans="1:23" x14ac:dyDescent="0.25">
      <c r="A2042">
        <v>5</v>
      </c>
      <c r="B2042" t="s">
        <v>22</v>
      </c>
      <c r="C2042" s="1">
        <v>44206</v>
      </c>
      <c r="D2042" t="s">
        <v>71</v>
      </c>
      <c r="E2042">
        <v>0</v>
      </c>
      <c r="F2042">
        <v>78</v>
      </c>
      <c r="G2042" t="str">
        <f t="shared" si="39"/>
        <v>61-80</v>
      </c>
      <c r="H2042" t="s">
        <v>35</v>
      </c>
      <c r="I2042" t="s">
        <v>31</v>
      </c>
      <c r="J2042" t="s">
        <v>28</v>
      </c>
      <c r="K2042" t="s">
        <v>38</v>
      </c>
      <c r="L2042">
        <v>1</v>
      </c>
      <c r="M2042">
        <v>1</v>
      </c>
      <c r="N2042">
        <v>2.9</v>
      </c>
      <c r="O2042">
        <v>7.2</v>
      </c>
      <c r="P2042">
        <v>4</v>
      </c>
      <c r="Q2042">
        <v>6</v>
      </c>
      <c r="R2042">
        <v>983792</v>
      </c>
      <c r="S2042">
        <f>Table1[[#This Row],[Revenue]]-Table1[[#This Row],[Operating_Costs]]</f>
        <v>679442</v>
      </c>
      <c r="T2042">
        <v>304350</v>
      </c>
      <c r="U2042">
        <v>32</v>
      </c>
      <c r="V2042">
        <v>57</v>
      </c>
      <c r="W2042">
        <v>5</v>
      </c>
    </row>
    <row r="2043" spans="1:23" x14ac:dyDescent="0.25">
      <c r="A2043">
        <v>5</v>
      </c>
      <c r="B2043" t="s">
        <v>22</v>
      </c>
      <c r="C2043" s="1">
        <v>45014</v>
      </c>
      <c r="D2043" t="s">
        <v>71</v>
      </c>
      <c r="E2043">
        <v>0</v>
      </c>
      <c r="F2043">
        <v>40</v>
      </c>
      <c r="G2043" t="str">
        <f t="shared" si="39"/>
        <v>21-40</v>
      </c>
      <c r="H2043" t="s">
        <v>23</v>
      </c>
      <c r="I2043" t="s">
        <v>50</v>
      </c>
      <c r="J2043" t="s">
        <v>51</v>
      </c>
      <c r="K2043" t="s">
        <v>38</v>
      </c>
      <c r="L2043">
        <v>1</v>
      </c>
      <c r="M2043">
        <v>1</v>
      </c>
      <c r="N2043">
        <v>4.9000000000000004</v>
      </c>
      <c r="O2043">
        <v>8.6</v>
      </c>
      <c r="P2043">
        <v>5</v>
      </c>
      <c r="Q2043">
        <v>5</v>
      </c>
      <c r="R2043">
        <v>763037</v>
      </c>
      <c r="S2043">
        <f>Table1[[#This Row],[Revenue]]-Table1[[#This Row],[Operating_Costs]]</f>
        <v>294845</v>
      </c>
      <c r="T2043">
        <v>468192</v>
      </c>
      <c r="U2043">
        <v>30</v>
      </c>
      <c r="V2043">
        <v>58</v>
      </c>
      <c r="W2043">
        <v>10.5</v>
      </c>
    </row>
    <row r="2044" spans="1:23" x14ac:dyDescent="0.25">
      <c r="A2044">
        <v>5</v>
      </c>
      <c r="B2044" t="s">
        <v>22</v>
      </c>
      <c r="C2044" s="1">
        <v>45293</v>
      </c>
      <c r="D2044" t="s">
        <v>71</v>
      </c>
      <c r="E2044">
        <v>0</v>
      </c>
      <c r="F2044">
        <v>46</v>
      </c>
      <c r="G2044" t="str">
        <f t="shared" si="39"/>
        <v>41-60</v>
      </c>
      <c r="H2044" t="s">
        <v>35</v>
      </c>
      <c r="I2044" t="s">
        <v>46</v>
      </c>
      <c r="J2044" t="s">
        <v>47</v>
      </c>
      <c r="K2044" t="s">
        <v>33</v>
      </c>
      <c r="L2044">
        <v>1</v>
      </c>
      <c r="M2044">
        <v>1</v>
      </c>
      <c r="N2044">
        <v>5.4</v>
      </c>
      <c r="O2044">
        <v>8.6</v>
      </c>
      <c r="P2044">
        <v>6</v>
      </c>
      <c r="Q2044">
        <v>5</v>
      </c>
      <c r="R2044">
        <v>630619</v>
      </c>
      <c r="S2044">
        <f>Table1[[#This Row],[Revenue]]-Table1[[#This Row],[Operating_Costs]]</f>
        <v>268003</v>
      </c>
      <c r="T2044">
        <v>362616</v>
      </c>
      <c r="U2044">
        <v>25</v>
      </c>
      <c r="V2044">
        <v>60</v>
      </c>
      <c r="W2044">
        <v>36.9</v>
      </c>
    </row>
    <row r="2045" spans="1:23" x14ac:dyDescent="0.25">
      <c r="A2045">
        <v>5</v>
      </c>
      <c r="B2045" t="s">
        <v>22</v>
      </c>
      <c r="C2045" s="1">
        <v>45091</v>
      </c>
      <c r="D2045" t="s">
        <v>71</v>
      </c>
      <c r="E2045">
        <v>0</v>
      </c>
      <c r="F2045">
        <v>39</v>
      </c>
      <c r="G2045" t="str">
        <f t="shared" si="39"/>
        <v>21-40</v>
      </c>
      <c r="H2045" t="s">
        <v>23</v>
      </c>
      <c r="I2045" t="s">
        <v>31</v>
      </c>
      <c r="J2045" t="s">
        <v>28</v>
      </c>
      <c r="K2045" t="s">
        <v>33</v>
      </c>
      <c r="L2045">
        <v>1</v>
      </c>
      <c r="M2045">
        <v>1</v>
      </c>
      <c r="N2045">
        <v>3.4</v>
      </c>
      <c r="O2045">
        <v>8.1999999999999993</v>
      </c>
      <c r="P2045">
        <v>5</v>
      </c>
      <c r="Q2045">
        <v>6</v>
      </c>
      <c r="R2045">
        <v>784362</v>
      </c>
      <c r="S2045">
        <f>Table1[[#This Row],[Revenue]]-Table1[[#This Row],[Operating_Costs]]</f>
        <v>544793</v>
      </c>
      <c r="T2045">
        <v>239569</v>
      </c>
      <c r="U2045">
        <v>33</v>
      </c>
      <c r="V2045">
        <v>63</v>
      </c>
      <c r="W2045">
        <v>6</v>
      </c>
    </row>
    <row r="2046" spans="1:23" x14ac:dyDescent="0.25">
      <c r="A2046">
        <v>5</v>
      </c>
      <c r="B2046" t="s">
        <v>22</v>
      </c>
      <c r="C2046" s="1">
        <v>44350</v>
      </c>
      <c r="D2046" t="s">
        <v>71</v>
      </c>
      <c r="E2046">
        <v>0</v>
      </c>
      <c r="F2046">
        <v>71</v>
      </c>
      <c r="G2046" t="str">
        <f t="shared" si="39"/>
        <v>61-80</v>
      </c>
      <c r="H2046" t="s">
        <v>35</v>
      </c>
      <c r="I2046" t="s">
        <v>40</v>
      </c>
      <c r="J2046" t="s">
        <v>41</v>
      </c>
      <c r="K2046" t="s">
        <v>42</v>
      </c>
      <c r="L2046">
        <v>1</v>
      </c>
      <c r="M2046">
        <v>1</v>
      </c>
      <c r="N2046">
        <v>5.7</v>
      </c>
      <c r="O2046">
        <v>9.9</v>
      </c>
      <c r="P2046">
        <v>3</v>
      </c>
      <c r="Q2046">
        <v>6</v>
      </c>
      <c r="R2046">
        <v>715090</v>
      </c>
      <c r="S2046">
        <f>Table1[[#This Row],[Revenue]]-Table1[[#This Row],[Operating_Costs]]</f>
        <v>325074</v>
      </c>
      <c r="T2046">
        <v>390016</v>
      </c>
      <c r="U2046">
        <v>26</v>
      </c>
      <c r="V2046">
        <v>56</v>
      </c>
      <c r="W2046">
        <v>12.9</v>
      </c>
    </row>
    <row r="2047" spans="1:23" x14ac:dyDescent="0.25">
      <c r="A2047">
        <v>5</v>
      </c>
      <c r="B2047" t="s">
        <v>22</v>
      </c>
      <c r="C2047" s="1">
        <v>44820</v>
      </c>
      <c r="D2047" t="s">
        <v>71</v>
      </c>
      <c r="E2047">
        <v>0</v>
      </c>
      <c r="F2047">
        <v>49</v>
      </c>
      <c r="G2047" t="str">
        <f t="shared" si="39"/>
        <v>41-60</v>
      </c>
      <c r="H2047" t="s">
        <v>35</v>
      </c>
      <c r="I2047" t="s">
        <v>64</v>
      </c>
      <c r="J2047" t="s">
        <v>65</v>
      </c>
      <c r="K2047" t="s">
        <v>26</v>
      </c>
      <c r="L2047">
        <v>1</v>
      </c>
      <c r="M2047">
        <v>1</v>
      </c>
      <c r="N2047">
        <v>3.2</v>
      </c>
      <c r="O2047">
        <v>9.6</v>
      </c>
      <c r="P2047">
        <v>7</v>
      </c>
      <c r="Q2047">
        <v>5</v>
      </c>
      <c r="R2047">
        <v>642654</v>
      </c>
      <c r="S2047">
        <f>Table1[[#This Row],[Revenue]]-Table1[[#This Row],[Operating_Costs]]</f>
        <v>229302</v>
      </c>
      <c r="T2047">
        <v>413352</v>
      </c>
      <c r="U2047">
        <v>21</v>
      </c>
      <c r="V2047">
        <v>64</v>
      </c>
      <c r="W2047">
        <v>36.6</v>
      </c>
    </row>
    <row r="2048" spans="1:23" x14ac:dyDescent="0.25">
      <c r="A2048">
        <v>6</v>
      </c>
      <c r="B2048" t="s">
        <v>70</v>
      </c>
      <c r="C2048" s="1">
        <v>45035</v>
      </c>
      <c r="D2048" t="s">
        <v>71</v>
      </c>
      <c r="E2048">
        <v>0</v>
      </c>
      <c r="F2048">
        <v>22</v>
      </c>
      <c r="G2048" t="str">
        <f t="shared" si="39"/>
        <v>21-40</v>
      </c>
      <c r="H2048" t="s">
        <v>23</v>
      </c>
      <c r="I2048" t="s">
        <v>24</v>
      </c>
      <c r="J2048" t="s">
        <v>25</v>
      </c>
      <c r="K2048" t="s">
        <v>33</v>
      </c>
      <c r="L2048">
        <v>1</v>
      </c>
      <c r="M2048">
        <v>1</v>
      </c>
      <c r="N2048">
        <v>1.3</v>
      </c>
      <c r="O2048">
        <v>9.1999999999999993</v>
      </c>
      <c r="P2048">
        <v>7</v>
      </c>
      <c r="Q2048">
        <v>4</v>
      </c>
      <c r="R2048">
        <v>759138</v>
      </c>
      <c r="S2048">
        <f>Table1[[#This Row],[Revenue]]-Table1[[#This Row],[Operating_Costs]]</f>
        <v>314120</v>
      </c>
      <c r="T2048">
        <v>445018</v>
      </c>
      <c r="U2048">
        <v>30</v>
      </c>
      <c r="V2048">
        <v>63</v>
      </c>
      <c r="W2048">
        <v>14.3</v>
      </c>
    </row>
    <row r="2049" spans="1:23" x14ac:dyDescent="0.25">
      <c r="A2049">
        <v>5</v>
      </c>
      <c r="B2049" t="s">
        <v>22</v>
      </c>
      <c r="C2049" s="1">
        <v>44854</v>
      </c>
      <c r="D2049" t="s">
        <v>71</v>
      </c>
      <c r="E2049">
        <v>0</v>
      </c>
      <c r="F2049">
        <v>36</v>
      </c>
      <c r="G2049" t="str">
        <f t="shared" si="39"/>
        <v>21-40</v>
      </c>
      <c r="H2049" t="s">
        <v>35</v>
      </c>
      <c r="I2049" t="s">
        <v>36</v>
      </c>
      <c r="J2049" t="s">
        <v>37</v>
      </c>
      <c r="K2049" t="s">
        <v>29</v>
      </c>
      <c r="L2049">
        <v>1</v>
      </c>
      <c r="M2049">
        <v>1</v>
      </c>
      <c r="N2049">
        <v>6.4</v>
      </c>
      <c r="O2049">
        <v>7.9</v>
      </c>
      <c r="P2049">
        <v>5</v>
      </c>
      <c r="Q2049">
        <v>3</v>
      </c>
      <c r="R2049">
        <v>613482</v>
      </c>
      <c r="S2049">
        <f>Table1[[#This Row],[Revenue]]-Table1[[#This Row],[Operating_Costs]]</f>
        <v>157680</v>
      </c>
      <c r="T2049">
        <v>455802</v>
      </c>
      <c r="U2049">
        <v>26</v>
      </c>
      <c r="V2049">
        <v>57</v>
      </c>
      <c r="W2049">
        <v>6.7</v>
      </c>
    </row>
    <row r="2050" spans="1:23" x14ac:dyDescent="0.25">
      <c r="A2050">
        <v>5</v>
      </c>
      <c r="B2050" t="s">
        <v>22</v>
      </c>
      <c r="C2050" s="1">
        <v>44957</v>
      </c>
      <c r="D2050" t="s">
        <v>71</v>
      </c>
      <c r="E2050">
        <v>0</v>
      </c>
      <c r="F2050">
        <v>29</v>
      </c>
      <c r="G2050" t="str">
        <f t="shared" si="39"/>
        <v>21-40</v>
      </c>
      <c r="H2050" t="s">
        <v>23</v>
      </c>
      <c r="I2050" t="s">
        <v>43</v>
      </c>
      <c r="J2050" t="s">
        <v>25</v>
      </c>
      <c r="K2050" t="s">
        <v>26</v>
      </c>
      <c r="L2050">
        <v>1</v>
      </c>
      <c r="M2050">
        <v>1</v>
      </c>
      <c r="N2050">
        <v>1.8</v>
      </c>
      <c r="O2050">
        <v>9</v>
      </c>
      <c r="P2050">
        <v>7</v>
      </c>
      <c r="Q2050">
        <v>6</v>
      </c>
      <c r="R2050">
        <v>925990</v>
      </c>
      <c r="S2050">
        <f>Table1[[#This Row],[Revenue]]-Table1[[#This Row],[Operating_Costs]]</f>
        <v>587457</v>
      </c>
      <c r="T2050">
        <v>338533</v>
      </c>
      <c r="U2050">
        <v>27</v>
      </c>
      <c r="V2050">
        <v>66</v>
      </c>
      <c r="W2050">
        <v>14.4</v>
      </c>
    </row>
    <row r="2051" spans="1:23" x14ac:dyDescent="0.25">
      <c r="A2051">
        <v>5</v>
      </c>
      <c r="B2051" t="s">
        <v>22</v>
      </c>
      <c r="C2051" s="1">
        <v>45564</v>
      </c>
      <c r="D2051" t="s">
        <v>71</v>
      </c>
      <c r="E2051">
        <v>0</v>
      </c>
      <c r="F2051">
        <v>35</v>
      </c>
      <c r="G2051" t="str">
        <f t="shared" ref="G2051:G2114" si="40">IF(F2051&lt;=20,"0-20",IF(F2051&lt;=40,"21-40",IF(F2051&lt;=60,"41-60",IF(F2051&lt;=80,"61-80","81+"))))</f>
        <v>21-40</v>
      </c>
      <c r="H2051" t="s">
        <v>35</v>
      </c>
      <c r="I2051" t="s">
        <v>27</v>
      </c>
      <c r="J2051" t="s">
        <v>28</v>
      </c>
      <c r="K2051" t="s">
        <v>33</v>
      </c>
      <c r="L2051">
        <v>1</v>
      </c>
      <c r="M2051">
        <v>1</v>
      </c>
      <c r="N2051">
        <v>5.8</v>
      </c>
      <c r="O2051">
        <v>9.9</v>
      </c>
      <c r="P2051">
        <v>5</v>
      </c>
      <c r="Q2051">
        <v>5</v>
      </c>
      <c r="R2051">
        <v>736147</v>
      </c>
      <c r="S2051">
        <f>Table1[[#This Row],[Revenue]]-Table1[[#This Row],[Operating_Costs]]</f>
        <v>410605</v>
      </c>
      <c r="T2051">
        <v>325542</v>
      </c>
      <c r="U2051">
        <v>26</v>
      </c>
      <c r="V2051">
        <v>56</v>
      </c>
      <c r="W2051">
        <v>8.5</v>
      </c>
    </row>
    <row r="2052" spans="1:23" x14ac:dyDescent="0.25">
      <c r="A2052">
        <v>5</v>
      </c>
      <c r="B2052" t="s">
        <v>22</v>
      </c>
      <c r="C2052" s="1">
        <v>45079</v>
      </c>
      <c r="D2052" t="s">
        <v>71</v>
      </c>
      <c r="E2052">
        <v>0</v>
      </c>
      <c r="F2052">
        <v>60</v>
      </c>
      <c r="G2052" t="str">
        <f t="shared" si="40"/>
        <v>41-60</v>
      </c>
      <c r="H2052" t="s">
        <v>23</v>
      </c>
      <c r="I2052" t="s">
        <v>27</v>
      </c>
      <c r="J2052" t="s">
        <v>28</v>
      </c>
      <c r="K2052" t="s">
        <v>26</v>
      </c>
      <c r="L2052">
        <v>1</v>
      </c>
      <c r="M2052">
        <v>1</v>
      </c>
      <c r="N2052">
        <v>3.4</v>
      </c>
      <c r="O2052">
        <v>9.1999999999999993</v>
      </c>
      <c r="P2052">
        <v>7</v>
      </c>
      <c r="Q2052">
        <v>3</v>
      </c>
      <c r="R2052">
        <v>937668</v>
      </c>
      <c r="S2052">
        <f>Table1[[#This Row],[Revenue]]-Table1[[#This Row],[Operating_Costs]]</f>
        <v>624648</v>
      </c>
      <c r="T2052">
        <v>313020</v>
      </c>
      <c r="U2052">
        <v>38</v>
      </c>
      <c r="V2052">
        <v>63</v>
      </c>
      <c r="W2052">
        <v>36.1</v>
      </c>
    </row>
    <row r="2053" spans="1:23" x14ac:dyDescent="0.25">
      <c r="A2053">
        <v>6</v>
      </c>
      <c r="B2053" t="s">
        <v>70</v>
      </c>
      <c r="C2053" s="1">
        <v>45083</v>
      </c>
      <c r="D2053" t="s">
        <v>71</v>
      </c>
      <c r="E2053">
        <v>0</v>
      </c>
      <c r="F2053">
        <v>44</v>
      </c>
      <c r="G2053" t="str">
        <f t="shared" si="40"/>
        <v>41-60</v>
      </c>
      <c r="H2053" t="s">
        <v>35</v>
      </c>
      <c r="I2053" t="s">
        <v>36</v>
      </c>
      <c r="J2053" t="s">
        <v>37</v>
      </c>
      <c r="K2053" t="s">
        <v>29</v>
      </c>
      <c r="L2053">
        <v>1</v>
      </c>
      <c r="M2053">
        <v>1</v>
      </c>
      <c r="N2053">
        <v>6.8</v>
      </c>
      <c r="O2053">
        <v>8.6999999999999993</v>
      </c>
      <c r="P2053">
        <v>4</v>
      </c>
      <c r="Q2053">
        <v>4</v>
      </c>
      <c r="R2053">
        <v>724694</v>
      </c>
      <c r="S2053">
        <f>Table1[[#This Row],[Revenue]]-Table1[[#This Row],[Operating_Costs]]</f>
        <v>217171</v>
      </c>
      <c r="T2053">
        <v>507523</v>
      </c>
      <c r="U2053">
        <v>27</v>
      </c>
      <c r="V2053">
        <v>63</v>
      </c>
      <c r="W2053">
        <v>6.1</v>
      </c>
    </row>
    <row r="2054" spans="1:23" x14ac:dyDescent="0.25">
      <c r="A2054">
        <v>5</v>
      </c>
      <c r="B2054" t="s">
        <v>22</v>
      </c>
      <c r="C2054" s="1">
        <v>45567</v>
      </c>
      <c r="D2054" t="s">
        <v>71</v>
      </c>
      <c r="E2054">
        <v>0</v>
      </c>
      <c r="F2054">
        <v>36</v>
      </c>
      <c r="G2054" t="str">
        <f t="shared" si="40"/>
        <v>21-40</v>
      </c>
      <c r="H2054" t="s">
        <v>23</v>
      </c>
      <c r="I2054" t="s">
        <v>24</v>
      </c>
      <c r="J2054" t="s">
        <v>25</v>
      </c>
      <c r="K2054" t="s">
        <v>42</v>
      </c>
      <c r="L2054">
        <v>1</v>
      </c>
      <c r="M2054">
        <v>1</v>
      </c>
      <c r="N2054">
        <v>5.7</v>
      </c>
      <c r="O2054">
        <v>7.6</v>
      </c>
      <c r="P2054">
        <v>7</v>
      </c>
      <c r="Q2054">
        <v>7</v>
      </c>
      <c r="R2054">
        <v>660785</v>
      </c>
      <c r="S2054">
        <f>Table1[[#This Row],[Revenue]]-Table1[[#This Row],[Operating_Costs]]</f>
        <v>230002</v>
      </c>
      <c r="T2054">
        <v>430783</v>
      </c>
      <c r="U2054">
        <v>23</v>
      </c>
      <c r="V2054">
        <v>60</v>
      </c>
      <c r="W2054">
        <v>9.1</v>
      </c>
    </row>
    <row r="2055" spans="1:23" x14ac:dyDescent="0.25">
      <c r="A2055">
        <v>5</v>
      </c>
      <c r="B2055" t="s">
        <v>22</v>
      </c>
      <c r="C2055" s="1">
        <v>44648</v>
      </c>
      <c r="D2055" t="s">
        <v>71</v>
      </c>
      <c r="E2055">
        <v>0</v>
      </c>
      <c r="F2055">
        <v>67</v>
      </c>
      <c r="G2055" t="str">
        <f t="shared" si="40"/>
        <v>61-80</v>
      </c>
      <c r="H2055" t="s">
        <v>23</v>
      </c>
      <c r="I2055" t="s">
        <v>43</v>
      </c>
      <c r="J2055" t="s">
        <v>25</v>
      </c>
      <c r="K2055" t="s">
        <v>42</v>
      </c>
      <c r="L2055">
        <v>1</v>
      </c>
      <c r="M2055">
        <v>1</v>
      </c>
      <c r="N2055">
        <v>4.5999999999999996</v>
      </c>
      <c r="O2055">
        <v>7.9</v>
      </c>
      <c r="P2055">
        <v>7</v>
      </c>
      <c r="Q2055">
        <v>3</v>
      </c>
      <c r="R2055">
        <v>849731</v>
      </c>
      <c r="S2055">
        <f>Table1[[#This Row],[Revenue]]-Table1[[#This Row],[Operating_Costs]]</f>
        <v>353856</v>
      </c>
      <c r="T2055">
        <v>495875</v>
      </c>
      <c r="U2055">
        <v>30</v>
      </c>
      <c r="V2055">
        <v>65</v>
      </c>
      <c r="W2055">
        <v>36.4</v>
      </c>
    </row>
    <row r="2056" spans="1:23" x14ac:dyDescent="0.25">
      <c r="A2056">
        <v>5</v>
      </c>
      <c r="B2056" t="s">
        <v>22</v>
      </c>
      <c r="C2056" s="1">
        <v>45648</v>
      </c>
      <c r="D2056" t="s">
        <v>71</v>
      </c>
      <c r="E2056">
        <v>0</v>
      </c>
      <c r="F2056">
        <v>71</v>
      </c>
      <c r="G2056" t="str">
        <f t="shared" si="40"/>
        <v>61-80</v>
      </c>
      <c r="H2056" t="s">
        <v>23</v>
      </c>
      <c r="I2056" t="s">
        <v>24</v>
      </c>
      <c r="J2056" t="s">
        <v>25</v>
      </c>
      <c r="K2056" t="s">
        <v>33</v>
      </c>
      <c r="L2056">
        <v>1</v>
      </c>
      <c r="M2056">
        <v>1</v>
      </c>
      <c r="N2056">
        <v>1.4</v>
      </c>
      <c r="O2056">
        <v>7.6</v>
      </c>
      <c r="P2056">
        <v>5</v>
      </c>
      <c r="Q2056">
        <v>5</v>
      </c>
      <c r="R2056">
        <v>998442</v>
      </c>
      <c r="S2056">
        <f>Table1[[#This Row],[Revenue]]-Table1[[#This Row],[Operating_Costs]]</f>
        <v>564378</v>
      </c>
      <c r="T2056">
        <v>434064</v>
      </c>
      <c r="U2056">
        <v>23</v>
      </c>
      <c r="V2056">
        <v>63</v>
      </c>
      <c r="W2056">
        <v>10.3</v>
      </c>
    </row>
    <row r="2057" spans="1:23" x14ac:dyDescent="0.25">
      <c r="A2057">
        <v>5</v>
      </c>
      <c r="B2057" t="s">
        <v>22</v>
      </c>
      <c r="C2057" s="1">
        <v>45093</v>
      </c>
      <c r="D2057" t="s">
        <v>71</v>
      </c>
      <c r="E2057">
        <v>0</v>
      </c>
      <c r="F2057">
        <v>78</v>
      </c>
      <c r="G2057" t="str">
        <f t="shared" si="40"/>
        <v>61-80</v>
      </c>
      <c r="H2057" t="s">
        <v>35</v>
      </c>
      <c r="I2057" t="s">
        <v>61</v>
      </c>
      <c r="J2057" t="s">
        <v>62</v>
      </c>
      <c r="K2057" t="s">
        <v>42</v>
      </c>
      <c r="L2057">
        <v>1</v>
      </c>
      <c r="M2057">
        <v>1</v>
      </c>
      <c r="N2057">
        <v>6.9</v>
      </c>
      <c r="O2057">
        <v>8</v>
      </c>
      <c r="P2057">
        <v>3</v>
      </c>
      <c r="Q2057">
        <v>7</v>
      </c>
      <c r="R2057">
        <v>676368</v>
      </c>
      <c r="S2057">
        <f>Table1[[#This Row],[Revenue]]-Table1[[#This Row],[Operating_Costs]]</f>
        <v>232044</v>
      </c>
      <c r="T2057">
        <v>444324</v>
      </c>
      <c r="U2057">
        <v>29</v>
      </c>
      <c r="V2057">
        <v>57</v>
      </c>
      <c r="W2057">
        <v>13.9</v>
      </c>
    </row>
    <row r="2058" spans="1:23" x14ac:dyDescent="0.25">
      <c r="A2058">
        <v>6</v>
      </c>
      <c r="B2058" t="s">
        <v>70</v>
      </c>
      <c r="C2058" s="1">
        <v>45506</v>
      </c>
      <c r="D2058" t="s">
        <v>71</v>
      </c>
      <c r="E2058">
        <v>0</v>
      </c>
      <c r="F2058">
        <v>43</v>
      </c>
      <c r="G2058" t="str">
        <f t="shared" si="40"/>
        <v>41-60</v>
      </c>
      <c r="H2058" t="s">
        <v>35</v>
      </c>
      <c r="I2058" t="s">
        <v>36</v>
      </c>
      <c r="J2058" t="s">
        <v>37</v>
      </c>
      <c r="K2058" t="s">
        <v>38</v>
      </c>
      <c r="L2058">
        <v>1</v>
      </c>
      <c r="M2058">
        <v>1</v>
      </c>
      <c r="N2058">
        <v>3.2</v>
      </c>
      <c r="O2058">
        <v>9.4</v>
      </c>
      <c r="P2058">
        <v>4</v>
      </c>
      <c r="Q2058">
        <v>3</v>
      </c>
      <c r="R2058">
        <v>746562</v>
      </c>
      <c r="S2058">
        <f>Table1[[#This Row],[Revenue]]-Table1[[#This Row],[Operating_Costs]]</f>
        <v>226570</v>
      </c>
      <c r="T2058">
        <v>519992</v>
      </c>
      <c r="U2058">
        <v>25</v>
      </c>
      <c r="V2058">
        <v>54</v>
      </c>
      <c r="W2058">
        <v>12.6</v>
      </c>
    </row>
    <row r="2059" spans="1:23" x14ac:dyDescent="0.25">
      <c r="A2059">
        <v>6</v>
      </c>
      <c r="B2059" t="s">
        <v>70</v>
      </c>
      <c r="C2059" s="1">
        <v>44843</v>
      </c>
      <c r="D2059" t="s">
        <v>71</v>
      </c>
      <c r="E2059">
        <v>0</v>
      </c>
      <c r="F2059">
        <v>27</v>
      </c>
      <c r="G2059" t="str">
        <f t="shared" si="40"/>
        <v>21-40</v>
      </c>
      <c r="H2059" t="s">
        <v>23</v>
      </c>
      <c r="I2059" t="s">
        <v>24</v>
      </c>
      <c r="J2059" t="s">
        <v>25</v>
      </c>
      <c r="K2059" t="s">
        <v>26</v>
      </c>
      <c r="L2059">
        <v>1</v>
      </c>
      <c r="M2059">
        <v>1</v>
      </c>
      <c r="N2059">
        <v>3.5</v>
      </c>
      <c r="O2059">
        <v>7.4</v>
      </c>
      <c r="P2059">
        <v>7</v>
      </c>
      <c r="Q2059">
        <v>5</v>
      </c>
      <c r="R2059">
        <v>636360</v>
      </c>
      <c r="S2059">
        <f>Table1[[#This Row],[Revenue]]-Table1[[#This Row],[Operating_Costs]]</f>
        <v>103403</v>
      </c>
      <c r="T2059">
        <v>532957</v>
      </c>
      <c r="U2059">
        <v>29</v>
      </c>
      <c r="V2059">
        <v>58</v>
      </c>
      <c r="W2059">
        <v>36.5</v>
      </c>
    </row>
    <row r="2060" spans="1:23" x14ac:dyDescent="0.25">
      <c r="A2060">
        <v>6</v>
      </c>
      <c r="B2060" t="s">
        <v>70</v>
      </c>
      <c r="C2060" s="1">
        <v>45486</v>
      </c>
      <c r="D2060" t="s">
        <v>71</v>
      </c>
      <c r="E2060">
        <v>0</v>
      </c>
      <c r="F2060">
        <v>77</v>
      </c>
      <c r="G2060" t="str">
        <f t="shared" si="40"/>
        <v>61-80</v>
      </c>
      <c r="H2060" t="s">
        <v>23</v>
      </c>
      <c r="I2060" t="s">
        <v>58</v>
      </c>
      <c r="J2060" t="s">
        <v>59</v>
      </c>
      <c r="K2060" t="s">
        <v>42</v>
      </c>
      <c r="L2060">
        <v>1</v>
      </c>
      <c r="M2060">
        <v>1</v>
      </c>
      <c r="N2060">
        <v>4.4000000000000004</v>
      </c>
      <c r="O2060">
        <v>10</v>
      </c>
      <c r="P2060">
        <v>3</v>
      </c>
      <c r="Q2060">
        <v>6</v>
      </c>
      <c r="R2060">
        <v>738419</v>
      </c>
      <c r="S2060">
        <f>Table1[[#This Row],[Revenue]]-Table1[[#This Row],[Operating_Costs]]</f>
        <v>257189</v>
      </c>
      <c r="T2060">
        <v>481230</v>
      </c>
      <c r="U2060">
        <v>25</v>
      </c>
      <c r="V2060">
        <v>57</v>
      </c>
      <c r="W2060">
        <v>10.4</v>
      </c>
    </row>
    <row r="2061" spans="1:23" x14ac:dyDescent="0.25">
      <c r="A2061">
        <v>5</v>
      </c>
      <c r="B2061" t="s">
        <v>22</v>
      </c>
      <c r="C2061" s="1">
        <v>45274</v>
      </c>
      <c r="D2061" t="s">
        <v>71</v>
      </c>
      <c r="E2061">
        <v>0</v>
      </c>
      <c r="F2061">
        <v>33</v>
      </c>
      <c r="G2061" t="str">
        <f t="shared" si="40"/>
        <v>21-40</v>
      </c>
      <c r="H2061" t="s">
        <v>23</v>
      </c>
      <c r="I2061" t="s">
        <v>31</v>
      </c>
      <c r="J2061" t="s">
        <v>28</v>
      </c>
      <c r="K2061" t="s">
        <v>26</v>
      </c>
      <c r="L2061">
        <v>1</v>
      </c>
      <c r="M2061">
        <v>1</v>
      </c>
      <c r="N2061">
        <v>1.1000000000000001</v>
      </c>
      <c r="O2061">
        <v>9.5</v>
      </c>
      <c r="P2061">
        <v>4</v>
      </c>
      <c r="Q2061">
        <v>5</v>
      </c>
      <c r="R2061">
        <v>703170</v>
      </c>
      <c r="S2061">
        <f>Table1[[#This Row],[Revenue]]-Table1[[#This Row],[Operating_Costs]]</f>
        <v>243764</v>
      </c>
      <c r="T2061">
        <v>459406</v>
      </c>
      <c r="U2061">
        <v>23</v>
      </c>
      <c r="V2061">
        <v>61</v>
      </c>
      <c r="W2061">
        <v>36.700000000000003</v>
      </c>
    </row>
    <row r="2062" spans="1:23" x14ac:dyDescent="0.25">
      <c r="A2062">
        <v>5</v>
      </c>
      <c r="B2062" t="s">
        <v>22</v>
      </c>
      <c r="C2062" s="1">
        <v>45454</v>
      </c>
      <c r="D2062" t="s">
        <v>71</v>
      </c>
      <c r="E2062">
        <v>0</v>
      </c>
      <c r="F2062">
        <v>49</v>
      </c>
      <c r="G2062" t="str">
        <f t="shared" si="40"/>
        <v>41-60</v>
      </c>
      <c r="H2062" t="s">
        <v>23</v>
      </c>
      <c r="I2062" t="s">
        <v>43</v>
      </c>
      <c r="J2062" t="s">
        <v>25</v>
      </c>
      <c r="K2062" t="s">
        <v>26</v>
      </c>
      <c r="L2062">
        <v>1</v>
      </c>
      <c r="M2062">
        <v>1</v>
      </c>
      <c r="N2062">
        <v>3.2</v>
      </c>
      <c r="O2062">
        <v>8.6</v>
      </c>
      <c r="P2062">
        <v>5</v>
      </c>
      <c r="Q2062">
        <v>5</v>
      </c>
      <c r="R2062">
        <v>701606</v>
      </c>
      <c r="S2062">
        <f>Table1[[#This Row],[Revenue]]-Table1[[#This Row],[Operating_Costs]]</f>
        <v>201962</v>
      </c>
      <c r="T2062">
        <v>499644</v>
      </c>
      <c r="U2062">
        <v>32</v>
      </c>
      <c r="V2062">
        <v>62</v>
      </c>
      <c r="W2062">
        <v>6</v>
      </c>
    </row>
    <row r="2063" spans="1:23" x14ac:dyDescent="0.25">
      <c r="A2063">
        <v>6</v>
      </c>
      <c r="B2063" t="s">
        <v>70</v>
      </c>
      <c r="C2063" s="1">
        <v>45362</v>
      </c>
      <c r="D2063" t="s">
        <v>71</v>
      </c>
      <c r="E2063">
        <v>0</v>
      </c>
      <c r="F2063">
        <v>63</v>
      </c>
      <c r="G2063" t="str">
        <f t="shared" si="40"/>
        <v>61-80</v>
      </c>
      <c r="H2063" t="s">
        <v>23</v>
      </c>
      <c r="I2063" t="s">
        <v>27</v>
      </c>
      <c r="J2063" t="s">
        <v>28</v>
      </c>
      <c r="K2063" t="s">
        <v>33</v>
      </c>
      <c r="L2063">
        <v>1</v>
      </c>
      <c r="M2063">
        <v>1</v>
      </c>
      <c r="N2063">
        <v>3.4</v>
      </c>
      <c r="O2063">
        <v>8.6</v>
      </c>
      <c r="P2063">
        <v>3</v>
      </c>
      <c r="Q2063">
        <v>7</v>
      </c>
      <c r="R2063">
        <v>663213</v>
      </c>
      <c r="S2063">
        <f>Table1[[#This Row],[Revenue]]-Table1[[#This Row],[Operating_Costs]]</f>
        <v>241270</v>
      </c>
      <c r="T2063">
        <v>421943</v>
      </c>
      <c r="U2063">
        <v>30</v>
      </c>
      <c r="V2063">
        <v>54</v>
      </c>
      <c r="W2063">
        <v>6.2</v>
      </c>
    </row>
    <row r="2064" spans="1:23" x14ac:dyDescent="0.25">
      <c r="A2064">
        <v>6</v>
      </c>
      <c r="B2064" t="s">
        <v>70</v>
      </c>
      <c r="C2064" s="1">
        <v>44202</v>
      </c>
      <c r="D2064" t="s">
        <v>71</v>
      </c>
      <c r="E2064">
        <v>0</v>
      </c>
      <c r="F2064">
        <v>44</v>
      </c>
      <c r="G2064" t="str">
        <f t="shared" si="40"/>
        <v>41-60</v>
      </c>
      <c r="H2064" t="s">
        <v>35</v>
      </c>
      <c r="I2064" t="s">
        <v>31</v>
      </c>
      <c r="J2064" t="s">
        <v>28</v>
      </c>
      <c r="K2064" t="s">
        <v>29</v>
      </c>
      <c r="L2064">
        <v>1</v>
      </c>
      <c r="M2064">
        <v>1</v>
      </c>
      <c r="N2064">
        <v>2.2000000000000002</v>
      </c>
      <c r="O2064">
        <v>8.4</v>
      </c>
      <c r="P2064">
        <v>7</v>
      </c>
      <c r="Q2064">
        <v>4</v>
      </c>
      <c r="R2064">
        <v>780945</v>
      </c>
      <c r="S2064">
        <f>Table1[[#This Row],[Revenue]]-Table1[[#This Row],[Operating_Costs]]</f>
        <v>194486</v>
      </c>
      <c r="T2064">
        <v>586459</v>
      </c>
      <c r="U2064">
        <v>24</v>
      </c>
      <c r="V2064">
        <v>63</v>
      </c>
      <c r="W2064">
        <v>5.2</v>
      </c>
    </row>
    <row r="2065" spans="1:23" x14ac:dyDescent="0.25">
      <c r="A2065">
        <v>6</v>
      </c>
      <c r="B2065" t="s">
        <v>70</v>
      </c>
      <c r="C2065" s="1">
        <v>45129</v>
      </c>
      <c r="D2065" t="s">
        <v>71</v>
      </c>
      <c r="E2065">
        <v>0</v>
      </c>
      <c r="F2065">
        <v>54</v>
      </c>
      <c r="G2065" t="str">
        <f t="shared" si="40"/>
        <v>41-60</v>
      </c>
      <c r="H2065" t="s">
        <v>35</v>
      </c>
      <c r="I2065" t="s">
        <v>36</v>
      </c>
      <c r="J2065" t="s">
        <v>37</v>
      </c>
      <c r="K2065" t="s">
        <v>29</v>
      </c>
      <c r="L2065">
        <v>1</v>
      </c>
      <c r="M2065">
        <v>1</v>
      </c>
      <c r="N2065">
        <v>3.6</v>
      </c>
      <c r="O2065">
        <v>7.9</v>
      </c>
      <c r="P2065">
        <v>7</v>
      </c>
      <c r="Q2065">
        <v>5</v>
      </c>
      <c r="R2065">
        <v>767323</v>
      </c>
      <c r="S2065">
        <f>Table1[[#This Row],[Revenue]]-Table1[[#This Row],[Operating_Costs]]</f>
        <v>337320</v>
      </c>
      <c r="T2065">
        <v>430003</v>
      </c>
      <c r="U2065">
        <v>29</v>
      </c>
      <c r="V2065">
        <v>66</v>
      </c>
      <c r="W2065">
        <v>5.2</v>
      </c>
    </row>
    <row r="2066" spans="1:23" x14ac:dyDescent="0.25">
      <c r="A2066">
        <v>5</v>
      </c>
      <c r="B2066" t="s">
        <v>22</v>
      </c>
      <c r="C2066" s="1">
        <v>45389</v>
      </c>
      <c r="D2066" t="s">
        <v>71</v>
      </c>
      <c r="E2066">
        <v>0</v>
      </c>
      <c r="F2066">
        <v>60</v>
      </c>
      <c r="G2066" t="str">
        <f t="shared" si="40"/>
        <v>41-60</v>
      </c>
      <c r="H2066" t="s">
        <v>35</v>
      </c>
      <c r="I2066" t="s">
        <v>36</v>
      </c>
      <c r="J2066" t="s">
        <v>37</v>
      </c>
      <c r="K2066" t="s">
        <v>33</v>
      </c>
      <c r="L2066">
        <v>1</v>
      </c>
      <c r="M2066">
        <v>1</v>
      </c>
      <c r="N2066">
        <v>3.3</v>
      </c>
      <c r="O2066">
        <v>8.3000000000000007</v>
      </c>
      <c r="P2066">
        <v>3</v>
      </c>
      <c r="Q2066">
        <v>3</v>
      </c>
      <c r="R2066">
        <v>694267</v>
      </c>
      <c r="S2066">
        <f>Table1[[#This Row],[Revenue]]-Table1[[#This Row],[Operating_Costs]]</f>
        <v>289759</v>
      </c>
      <c r="T2066">
        <v>404508</v>
      </c>
      <c r="U2066">
        <v>39</v>
      </c>
      <c r="V2066">
        <v>58</v>
      </c>
      <c r="W2066">
        <v>7.8</v>
      </c>
    </row>
    <row r="2067" spans="1:23" x14ac:dyDescent="0.25">
      <c r="A2067">
        <v>5</v>
      </c>
      <c r="B2067" t="s">
        <v>22</v>
      </c>
      <c r="C2067" s="1">
        <v>44730</v>
      </c>
      <c r="D2067" t="s">
        <v>71</v>
      </c>
      <c r="E2067">
        <v>0</v>
      </c>
      <c r="F2067">
        <v>46</v>
      </c>
      <c r="G2067" t="str">
        <f t="shared" si="40"/>
        <v>41-60</v>
      </c>
      <c r="H2067" t="s">
        <v>35</v>
      </c>
      <c r="I2067" t="s">
        <v>53</v>
      </c>
      <c r="J2067" t="s">
        <v>54</v>
      </c>
      <c r="K2067" t="s">
        <v>29</v>
      </c>
      <c r="L2067">
        <v>1</v>
      </c>
      <c r="M2067">
        <v>1</v>
      </c>
      <c r="N2067">
        <v>6.4</v>
      </c>
      <c r="O2067">
        <v>8.6999999999999993</v>
      </c>
      <c r="P2067">
        <v>7</v>
      </c>
      <c r="Q2067">
        <v>7</v>
      </c>
      <c r="R2067">
        <v>948689</v>
      </c>
      <c r="S2067">
        <f>Table1[[#This Row],[Revenue]]-Table1[[#This Row],[Operating_Costs]]</f>
        <v>680938</v>
      </c>
      <c r="T2067">
        <v>267751</v>
      </c>
      <c r="U2067">
        <v>30</v>
      </c>
      <c r="V2067">
        <v>55</v>
      </c>
      <c r="W2067">
        <v>7.1</v>
      </c>
    </row>
    <row r="2068" spans="1:23" x14ac:dyDescent="0.25">
      <c r="A2068">
        <v>6</v>
      </c>
      <c r="B2068" t="s">
        <v>70</v>
      </c>
      <c r="C2068" s="1">
        <v>44540</v>
      </c>
      <c r="D2068" t="s">
        <v>71</v>
      </c>
      <c r="E2068">
        <v>0</v>
      </c>
      <c r="F2068">
        <v>25</v>
      </c>
      <c r="G2068" t="str">
        <f t="shared" si="40"/>
        <v>21-40</v>
      </c>
      <c r="H2068" t="s">
        <v>23</v>
      </c>
      <c r="I2068" t="s">
        <v>24</v>
      </c>
      <c r="J2068" t="s">
        <v>25</v>
      </c>
      <c r="K2068" t="s">
        <v>33</v>
      </c>
      <c r="L2068">
        <v>1</v>
      </c>
      <c r="M2068">
        <v>1</v>
      </c>
      <c r="N2068">
        <v>1.8</v>
      </c>
      <c r="O2068">
        <v>8.3000000000000007</v>
      </c>
      <c r="P2068">
        <v>7</v>
      </c>
      <c r="Q2068">
        <v>5</v>
      </c>
      <c r="R2068">
        <v>692439</v>
      </c>
      <c r="S2068">
        <f>Table1[[#This Row],[Revenue]]-Table1[[#This Row],[Operating_Costs]]</f>
        <v>178553</v>
      </c>
      <c r="T2068">
        <v>513886</v>
      </c>
      <c r="U2068">
        <v>27</v>
      </c>
      <c r="V2068">
        <v>58</v>
      </c>
      <c r="W2068">
        <v>12.8</v>
      </c>
    </row>
    <row r="2069" spans="1:23" x14ac:dyDescent="0.25">
      <c r="A2069">
        <v>6</v>
      </c>
      <c r="B2069" t="s">
        <v>70</v>
      </c>
      <c r="C2069" s="1">
        <v>44607</v>
      </c>
      <c r="D2069" t="s">
        <v>71</v>
      </c>
      <c r="E2069">
        <v>0</v>
      </c>
      <c r="F2069">
        <v>45</v>
      </c>
      <c r="G2069" t="str">
        <f t="shared" si="40"/>
        <v>41-60</v>
      </c>
      <c r="H2069" t="s">
        <v>35</v>
      </c>
      <c r="I2069" t="s">
        <v>50</v>
      </c>
      <c r="J2069" t="s">
        <v>51</v>
      </c>
      <c r="K2069" t="s">
        <v>42</v>
      </c>
      <c r="L2069">
        <v>1</v>
      </c>
      <c r="M2069">
        <v>1</v>
      </c>
      <c r="N2069">
        <v>4.8</v>
      </c>
      <c r="O2069">
        <v>8.9</v>
      </c>
      <c r="P2069">
        <v>3</v>
      </c>
      <c r="Q2069">
        <v>5</v>
      </c>
      <c r="R2069">
        <v>612469</v>
      </c>
      <c r="S2069">
        <f>Table1[[#This Row],[Revenue]]-Table1[[#This Row],[Operating_Costs]]</f>
        <v>183946</v>
      </c>
      <c r="T2069">
        <v>428523</v>
      </c>
      <c r="U2069">
        <v>30</v>
      </c>
      <c r="V2069">
        <v>57</v>
      </c>
      <c r="W2069">
        <v>10.199999999999999</v>
      </c>
    </row>
    <row r="2070" spans="1:23" x14ac:dyDescent="0.25">
      <c r="A2070">
        <v>6</v>
      </c>
      <c r="B2070" t="s">
        <v>70</v>
      </c>
      <c r="C2070" s="1">
        <v>45512</v>
      </c>
      <c r="D2070" t="s">
        <v>71</v>
      </c>
      <c r="E2070">
        <v>0</v>
      </c>
      <c r="F2070">
        <v>52</v>
      </c>
      <c r="G2070" t="str">
        <f t="shared" si="40"/>
        <v>41-60</v>
      </c>
      <c r="H2070" t="s">
        <v>35</v>
      </c>
      <c r="I2070" t="s">
        <v>55</v>
      </c>
      <c r="J2070" t="s">
        <v>56</v>
      </c>
      <c r="K2070" t="s">
        <v>38</v>
      </c>
      <c r="L2070">
        <v>1</v>
      </c>
      <c r="M2070">
        <v>1</v>
      </c>
      <c r="N2070">
        <v>3.3</v>
      </c>
      <c r="O2070">
        <v>7.7</v>
      </c>
      <c r="P2070">
        <v>7</v>
      </c>
      <c r="Q2070">
        <v>3</v>
      </c>
      <c r="R2070">
        <v>660479</v>
      </c>
      <c r="S2070">
        <f>Table1[[#This Row],[Revenue]]-Table1[[#This Row],[Operating_Costs]]</f>
        <v>146959</v>
      </c>
      <c r="T2070">
        <v>513520</v>
      </c>
      <c r="U2070">
        <v>23</v>
      </c>
      <c r="V2070">
        <v>60</v>
      </c>
      <c r="W2070">
        <v>6.3</v>
      </c>
    </row>
    <row r="2071" spans="1:23" x14ac:dyDescent="0.25">
      <c r="A2071">
        <v>5</v>
      </c>
      <c r="B2071" t="s">
        <v>22</v>
      </c>
      <c r="C2071" s="1">
        <v>44220</v>
      </c>
      <c r="D2071" t="s">
        <v>71</v>
      </c>
      <c r="E2071">
        <v>0</v>
      </c>
      <c r="F2071">
        <v>52</v>
      </c>
      <c r="G2071" t="str">
        <f t="shared" si="40"/>
        <v>41-60</v>
      </c>
      <c r="H2071" t="s">
        <v>23</v>
      </c>
      <c r="I2071" t="s">
        <v>24</v>
      </c>
      <c r="J2071" t="s">
        <v>25</v>
      </c>
      <c r="K2071" t="s">
        <v>33</v>
      </c>
      <c r="L2071">
        <v>1</v>
      </c>
      <c r="M2071">
        <v>1</v>
      </c>
      <c r="N2071">
        <v>5.9</v>
      </c>
      <c r="O2071">
        <v>8.1</v>
      </c>
      <c r="P2071">
        <v>5</v>
      </c>
      <c r="Q2071">
        <v>6</v>
      </c>
      <c r="R2071">
        <v>754203</v>
      </c>
      <c r="S2071">
        <f>Table1[[#This Row],[Revenue]]-Table1[[#This Row],[Operating_Costs]]</f>
        <v>450324</v>
      </c>
      <c r="T2071">
        <v>303879</v>
      </c>
      <c r="U2071">
        <v>28</v>
      </c>
      <c r="V2071">
        <v>61</v>
      </c>
      <c r="W2071">
        <v>6.7</v>
      </c>
    </row>
    <row r="2072" spans="1:23" x14ac:dyDescent="0.25">
      <c r="A2072">
        <v>6</v>
      </c>
      <c r="B2072" t="s">
        <v>70</v>
      </c>
      <c r="C2072" s="1">
        <v>44826</v>
      </c>
      <c r="D2072" t="s">
        <v>71</v>
      </c>
      <c r="E2072">
        <v>0</v>
      </c>
      <c r="F2072">
        <v>28</v>
      </c>
      <c r="G2072" t="str">
        <f t="shared" si="40"/>
        <v>21-40</v>
      </c>
      <c r="H2072" t="s">
        <v>35</v>
      </c>
      <c r="I2072" t="s">
        <v>36</v>
      </c>
      <c r="J2072" t="s">
        <v>37</v>
      </c>
      <c r="K2072" t="s">
        <v>26</v>
      </c>
      <c r="L2072">
        <v>1</v>
      </c>
      <c r="M2072">
        <v>1</v>
      </c>
      <c r="N2072">
        <v>4.3</v>
      </c>
      <c r="O2072">
        <v>8.8000000000000007</v>
      </c>
      <c r="P2072">
        <v>5</v>
      </c>
      <c r="Q2072">
        <v>4</v>
      </c>
      <c r="R2072">
        <v>785446</v>
      </c>
      <c r="S2072">
        <f>Table1[[#This Row],[Revenue]]-Table1[[#This Row],[Operating_Costs]]</f>
        <v>337255</v>
      </c>
      <c r="T2072">
        <v>448191</v>
      </c>
      <c r="U2072">
        <v>30</v>
      </c>
      <c r="V2072">
        <v>63</v>
      </c>
      <c r="W2072">
        <v>13.6</v>
      </c>
    </row>
    <row r="2073" spans="1:23" x14ac:dyDescent="0.25">
      <c r="A2073">
        <v>6</v>
      </c>
      <c r="B2073" t="s">
        <v>70</v>
      </c>
      <c r="C2073" s="1">
        <v>44554</v>
      </c>
      <c r="D2073" t="s">
        <v>71</v>
      </c>
      <c r="E2073">
        <v>0</v>
      </c>
      <c r="F2073">
        <v>57</v>
      </c>
      <c r="G2073" t="str">
        <f t="shared" si="40"/>
        <v>41-60</v>
      </c>
      <c r="H2073" t="s">
        <v>23</v>
      </c>
      <c r="I2073" t="s">
        <v>24</v>
      </c>
      <c r="J2073" t="s">
        <v>25</v>
      </c>
      <c r="K2073" t="s">
        <v>33</v>
      </c>
      <c r="L2073">
        <v>1</v>
      </c>
      <c r="M2073">
        <v>1</v>
      </c>
      <c r="N2073">
        <v>2.8</v>
      </c>
      <c r="O2073">
        <v>9.3000000000000007</v>
      </c>
      <c r="P2073">
        <v>5</v>
      </c>
      <c r="Q2073">
        <v>6</v>
      </c>
      <c r="R2073">
        <v>635869</v>
      </c>
      <c r="S2073">
        <f>Table1[[#This Row],[Revenue]]-Table1[[#This Row],[Operating_Costs]]</f>
        <v>82851</v>
      </c>
      <c r="T2073">
        <v>553018</v>
      </c>
      <c r="U2073">
        <v>23</v>
      </c>
      <c r="V2073">
        <v>63</v>
      </c>
      <c r="W2073">
        <v>6.9</v>
      </c>
    </row>
    <row r="2074" spans="1:23" x14ac:dyDescent="0.25">
      <c r="A2074">
        <v>6</v>
      </c>
      <c r="B2074" t="s">
        <v>70</v>
      </c>
      <c r="C2074" s="1">
        <v>45124</v>
      </c>
      <c r="D2074" t="s">
        <v>71</v>
      </c>
      <c r="E2074">
        <v>0</v>
      </c>
      <c r="F2074">
        <v>54</v>
      </c>
      <c r="G2074" t="str">
        <f t="shared" si="40"/>
        <v>41-60</v>
      </c>
      <c r="H2074" t="s">
        <v>23</v>
      </c>
      <c r="I2074" t="s">
        <v>40</v>
      </c>
      <c r="J2074" t="s">
        <v>41</v>
      </c>
      <c r="K2074" t="s">
        <v>38</v>
      </c>
      <c r="L2074">
        <v>1</v>
      </c>
      <c r="M2074">
        <v>1</v>
      </c>
      <c r="N2074">
        <v>4.4000000000000004</v>
      </c>
      <c r="O2074">
        <v>7.2</v>
      </c>
      <c r="P2074">
        <v>4</v>
      </c>
      <c r="Q2074">
        <v>6</v>
      </c>
      <c r="R2074">
        <v>670129</v>
      </c>
      <c r="S2074">
        <f>Table1[[#This Row],[Revenue]]-Table1[[#This Row],[Operating_Costs]]</f>
        <v>83658</v>
      </c>
      <c r="T2074">
        <v>586471</v>
      </c>
      <c r="U2074">
        <v>20</v>
      </c>
      <c r="V2074">
        <v>61</v>
      </c>
      <c r="W2074">
        <v>6.9</v>
      </c>
    </row>
    <row r="2075" spans="1:23" x14ac:dyDescent="0.25">
      <c r="A2075">
        <v>6</v>
      </c>
      <c r="B2075" t="s">
        <v>70</v>
      </c>
      <c r="C2075" s="1">
        <v>44971</v>
      </c>
      <c r="D2075" t="s">
        <v>71</v>
      </c>
      <c r="E2075">
        <v>0</v>
      </c>
      <c r="F2075">
        <v>33</v>
      </c>
      <c r="G2075" t="str">
        <f t="shared" si="40"/>
        <v>21-40</v>
      </c>
      <c r="H2075" t="s">
        <v>35</v>
      </c>
      <c r="I2075" t="s">
        <v>58</v>
      </c>
      <c r="J2075" t="s">
        <v>59</v>
      </c>
      <c r="K2075" t="s">
        <v>26</v>
      </c>
      <c r="L2075">
        <v>1</v>
      </c>
      <c r="M2075">
        <v>1</v>
      </c>
      <c r="N2075">
        <v>3.9</v>
      </c>
      <c r="O2075">
        <v>7.4</v>
      </c>
      <c r="P2075">
        <v>5</v>
      </c>
      <c r="Q2075">
        <v>6</v>
      </c>
      <c r="R2075">
        <v>680931</v>
      </c>
      <c r="S2075">
        <f>Table1[[#This Row],[Revenue]]-Table1[[#This Row],[Operating_Costs]]</f>
        <v>200670</v>
      </c>
      <c r="T2075">
        <v>480261</v>
      </c>
      <c r="U2075">
        <v>26</v>
      </c>
      <c r="V2075">
        <v>66</v>
      </c>
      <c r="W2075">
        <v>14.5</v>
      </c>
    </row>
    <row r="2076" spans="1:23" x14ac:dyDescent="0.25">
      <c r="A2076">
        <v>5</v>
      </c>
      <c r="B2076" t="s">
        <v>22</v>
      </c>
      <c r="C2076" s="1">
        <v>44448</v>
      </c>
      <c r="D2076" t="s">
        <v>71</v>
      </c>
      <c r="E2076">
        <v>0</v>
      </c>
      <c r="F2076">
        <v>33</v>
      </c>
      <c r="G2076" t="str">
        <f t="shared" si="40"/>
        <v>21-40</v>
      </c>
      <c r="H2076" t="s">
        <v>35</v>
      </c>
      <c r="I2076" t="s">
        <v>27</v>
      </c>
      <c r="J2076" t="s">
        <v>28</v>
      </c>
      <c r="K2076" t="s">
        <v>33</v>
      </c>
      <c r="L2076">
        <v>1</v>
      </c>
      <c r="M2076">
        <v>1</v>
      </c>
      <c r="N2076">
        <v>2.4</v>
      </c>
      <c r="O2076">
        <v>7.5</v>
      </c>
      <c r="P2076">
        <v>5</v>
      </c>
      <c r="Q2076">
        <v>7</v>
      </c>
      <c r="R2076">
        <v>903910</v>
      </c>
      <c r="S2076">
        <f>Table1[[#This Row],[Revenue]]-Table1[[#This Row],[Operating_Costs]]</f>
        <v>554519</v>
      </c>
      <c r="T2076">
        <v>349391</v>
      </c>
      <c r="U2076">
        <v>36</v>
      </c>
      <c r="V2076">
        <v>66</v>
      </c>
      <c r="W2076">
        <v>7.3</v>
      </c>
    </row>
    <row r="2077" spans="1:23" x14ac:dyDescent="0.25">
      <c r="A2077">
        <v>6</v>
      </c>
      <c r="B2077" t="s">
        <v>70</v>
      </c>
      <c r="C2077" s="1">
        <v>45483</v>
      </c>
      <c r="D2077" t="s">
        <v>71</v>
      </c>
      <c r="E2077">
        <v>0</v>
      </c>
      <c r="F2077">
        <v>52</v>
      </c>
      <c r="G2077" t="str">
        <f t="shared" si="40"/>
        <v>41-60</v>
      </c>
      <c r="H2077" t="s">
        <v>35</v>
      </c>
      <c r="I2077" t="s">
        <v>61</v>
      </c>
      <c r="J2077" t="s">
        <v>62</v>
      </c>
      <c r="K2077" t="s">
        <v>26</v>
      </c>
      <c r="L2077">
        <v>1</v>
      </c>
      <c r="M2077">
        <v>1</v>
      </c>
      <c r="N2077">
        <v>4.7</v>
      </c>
      <c r="O2077">
        <v>7.7</v>
      </c>
      <c r="P2077">
        <v>6</v>
      </c>
      <c r="Q2077">
        <v>5</v>
      </c>
      <c r="R2077">
        <v>786807</v>
      </c>
      <c r="S2077">
        <f>Table1[[#This Row],[Revenue]]-Table1[[#This Row],[Operating_Costs]]</f>
        <v>266897</v>
      </c>
      <c r="T2077">
        <v>519910</v>
      </c>
      <c r="U2077">
        <v>29</v>
      </c>
      <c r="V2077">
        <v>66</v>
      </c>
      <c r="W2077">
        <v>10.199999999999999</v>
      </c>
    </row>
    <row r="2078" spans="1:23" x14ac:dyDescent="0.25">
      <c r="A2078">
        <v>6</v>
      </c>
      <c r="B2078" t="s">
        <v>70</v>
      </c>
      <c r="C2078" s="1">
        <v>45284</v>
      </c>
      <c r="D2078" t="s">
        <v>71</v>
      </c>
      <c r="E2078">
        <v>0</v>
      </c>
      <c r="F2078">
        <v>65</v>
      </c>
      <c r="G2078" t="str">
        <f t="shared" si="40"/>
        <v>61-80</v>
      </c>
      <c r="H2078" t="s">
        <v>35</v>
      </c>
      <c r="I2078" t="s">
        <v>36</v>
      </c>
      <c r="J2078" t="s">
        <v>37</v>
      </c>
      <c r="K2078" t="s">
        <v>38</v>
      </c>
      <c r="L2078">
        <v>1</v>
      </c>
      <c r="M2078">
        <v>1</v>
      </c>
      <c r="N2078">
        <v>4.2</v>
      </c>
      <c r="O2078">
        <v>7.6</v>
      </c>
      <c r="P2078">
        <v>5</v>
      </c>
      <c r="Q2078">
        <v>5</v>
      </c>
      <c r="R2078">
        <v>659565</v>
      </c>
      <c r="S2078">
        <f>Table1[[#This Row],[Revenue]]-Table1[[#This Row],[Operating_Costs]]</f>
        <v>193641</v>
      </c>
      <c r="T2078">
        <v>465924</v>
      </c>
      <c r="U2078">
        <v>25</v>
      </c>
      <c r="V2078">
        <v>63</v>
      </c>
      <c r="W2078">
        <v>10.9</v>
      </c>
    </row>
    <row r="2079" spans="1:23" x14ac:dyDescent="0.25">
      <c r="A2079">
        <v>6</v>
      </c>
      <c r="B2079" t="s">
        <v>70</v>
      </c>
      <c r="C2079" s="1">
        <v>44603</v>
      </c>
      <c r="D2079" t="s">
        <v>71</v>
      </c>
      <c r="E2079">
        <v>0</v>
      </c>
      <c r="F2079">
        <v>38</v>
      </c>
      <c r="G2079" t="str">
        <f t="shared" si="40"/>
        <v>21-40</v>
      </c>
      <c r="H2079" t="s">
        <v>35</v>
      </c>
      <c r="I2079" t="s">
        <v>31</v>
      </c>
      <c r="J2079" t="s">
        <v>28</v>
      </c>
      <c r="K2079" t="s">
        <v>29</v>
      </c>
      <c r="L2079">
        <v>1</v>
      </c>
      <c r="M2079">
        <v>1</v>
      </c>
      <c r="N2079">
        <v>6.9</v>
      </c>
      <c r="O2079">
        <v>7.3</v>
      </c>
      <c r="P2079">
        <v>7</v>
      </c>
      <c r="Q2079">
        <v>4</v>
      </c>
      <c r="R2079">
        <v>735597</v>
      </c>
      <c r="S2079">
        <f>Table1[[#This Row],[Revenue]]-Table1[[#This Row],[Operating_Costs]]</f>
        <v>306046</v>
      </c>
      <c r="T2079">
        <v>429551</v>
      </c>
      <c r="U2079">
        <v>22</v>
      </c>
      <c r="V2079">
        <v>55</v>
      </c>
      <c r="W2079">
        <v>6.9</v>
      </c>
    </row>
    <row r="2080" spans="1:23" x14ac:dyDescent="0.25">
      <c r="A2080">
        <v>6</v>
      </c>
      <c r="B2080" t="s">
        <v>70</v>
      </c>
      <c r="C2080" s="1">
        <v>44722</v>
      </c>
      <c r="D2080" t="s">
        <v>71</v>
      </c>
      <c r="E2080">
        <v>0</v>
      </c>
      <c r="F2080">
        <v>78</v>
      </c>
      <c r="G2080" t="str">
        <f t="shared" si="40"/>
        <v>61-80</v>
      </c>
      <c r="H2080" t="s">
        <v>35</v>
      </c>
      <c r="I2080" t="s">
        <v>31</v>
      </c>
      <c r="J2080" t="s">
        <v>28</v>
      </c>
      <c r="K2080" t="s">
        <v>33</v>
      </c>
      <c r="L2080">
        <v>1</v>
      </c>
      <c r="M2080">
        <v>1</v>
      </c>
      <c r="N2080">
        <v>3.3</v>
      </c>
      <c r="O2080">
        <v>9.3000000000000007</v>
      </c>
      <c r="P2080">
        <v>6</v>
      </c>
      <c r="Q2080">
        <v>5</v>
      </c>
      <c r="R2080">
        <v>734363</v>
      </c>
      <c r="S2080">
        <f>Table1[[#This Row],[Revenue]]-Table1[[#This Row],[Operating_Costs]]</f>
        <v>152347</v>
      </c>
      <c r="T2080">
        <v>582016</v>
      </c>
      <c r="U2080">
        <v>26</v>
      </c>
      <c r="V2080">
        <v>65</v>
      </c>
      <c r="W2080">
        <v>9.3000000000000007</v>
      </c>
    </row>
    <row r="2081" spans="1:23" x14ac:dyDescent="0.25">
      <c r="A2081">
        <v>6</v>
      </c>
      <c r="B2081" t="s">
        <v>70</v>
      </c>
      <c r="C2081" s="1">
        <v>44658</v>
      </c>
      <c r="D2081" t="s">
        <v>71</v>
      </c>
      <c r="E2081">
        <v>0</v>
      </c>
      <c r="F2081">
        <v>44</v>
      </c>
      <c r="G2081" t="str">
        <f t="shared" si="40"/>
        <v>41-60</v>
      </c>
      <c r="H2081" t="s">
        <v>23</v>
      </c>
      <c r="I2081" t="s">
        <v>46</v>
      </c>
      <c r="J2081" t="s">
        <v>47</v>
      </c>
      <c r="K2081" t="s">
        <v>42</v>
      </c>
      <c r="L2081">
        <v>1</v>
      </c>
      <c r="M2081">
        <v>1</v>
      </c>
      <c r="N2081">
        <v>6.4</v>
      </c>
      <c r="O2081">
        <v>8.3000000000000007</v>
      </c>
      <c r="P2081">
        <v>4</v>
      </c>
      <c r="Q2081">
        <v>4</v>
      </c>
      <c r="R2081">
        <v>603046</v>
      </c>
      <c r="S2081">
        <f>Table1[[#This Row],[Revenue]]-Table1[[#This Row],[Operating_Costs]]</f>
        <v>72915</v>
      </c>
      <c r="T2081">
        <v>530131</v>
      </c>
      <c r="U2081">
        <v>25</v>
      </c>
      <c r="V2081">
        <v>56</v>
      </c>
      <c r="W2081">
        <v>6.3</v>
      </c>
    </row>
    <row r="2082" spans="1:23" x14ac:dyDescent="0.25">
      <c r="A2082">
        <v>6</v>
      </c>
      <c r="B2082" t="s">
        <v>70</v>
      </c>
      <c r="C2082" s="1">
        <v>44784</v>
      </c>
      <c r="D2082" t="s">
        <v>71</v>
      </c>
      <c r="E2082">
        <v>0</v>
      </c>
      <c r="F2082">
        <v>30</v>
      </c>
      <c r="G2082" t="str">
        <f t="shared" si="40"/>
        <v>21-40</v>
      </c>
      <c r="H2082" t="s">
        <v>23</v>
      </c>
      <c r="I2082" t="s">
        <v>50</v>
      </c>
      <c r="J2082" t="s">
        <v>51</v>
      </c>
      <c r="K2082" t="s">
        <v>26</v>
      </c>
      <c r="L2082">
        <v>1</v>
      </c>
      <c r="M2082">
        <v>1</v>
      </c>
      <c r="N2082">
        <v>2.7</v>
      </c>
      <c r="O2082">
        <v>7.8</v>
      </c>
      <c r="P2082">
        <v>4</v>
      </c>
      <c r="Q2082">
        <v>5</v>
      </c>
      <c r="R2082">
        <v>703145</v>
      </c>
      <c r="S2082">
        <f>Table1[[#This Row],[Revenue]]-Table1[[#This Row],[Operating_Costs]]</f>
        <v>125384</v>
      </c>
      <c r="T2082">
        <v>577761</v>
      </c>
      <c r="U2082">
        <v>23</v>
      </c>
      <c r="V2082">
        <v>55</v>
      </c>
      <c r="W2082">
        <v>14.6</v>
      </c>
    </row>
    <row r="2083" spans="1:23" x14ac:dyDescent="0.25">
      <c r="A2083">
        <v>6</v>
      </c>
      <c r="B2083" t="s">
        <v>70</v>
      </c>
      <c r="C2083" s="1">
        <v>44597</v>
      </c>
      <c r="D2083" t="s">
        <v>71</v>
      </c>
      <c r="E2083">
        <v>0</v>
      </c>
      <c r="F2083">
        <v>80</v>
      </c>
      <c r="G2083" t="str">
        <f t="shared" si="40"/>
        <v>61-80</v>
      </c>
      <c r="H2083" t="s">
        <v>35</v>
      </c>
      <c r="I2083" t="s">
        <v>36</v>
      </c>
      <c r="J2083" t="s">
        <v>37</v>
      </c>
      <c r="K2083" t="s">
        <v>26</v>
      </c>
      <c r="L2083">
        <v>1</v>
      </c>
      <c r="M2083">
        <v>1</v>
      </c>
      <c r="N2083">
        <v>6.7</v>
      </c>
      <c r="O2083">
        <v>7.5</v>
      </c>
      <c r="P2083">
        <v>3</v>
      </c>
      <c r="Q2083">
        <v>6</v>
      </c>
      <c r="R2083">
        <v>748619</v>
      </c>
      <c r="S2083">
        <f>Table1[[#This Row],[Revenue]]-Table1[[#This Row],[Operating_Costs]]</f>
        <v>225679</v>
      </c>
      <c r="T2083">
        <v>522940</v>
      </c>
      <c r="U2083">
        <v>28</v>
      </c>
      <c r="V2083">
        <v>58</v>
      </c>
      <c r="W2083">
        <v>10.199999999999999</v>
      </c>
    </row>
    <row r="2084" spans="1:23" x14ac:dyDescent="0.25">
      <c r="A2084">
        <v>6</v>
      </c>
      <c r="B2084" t="s">
        <v>70</v>
      </c>
      <c r="C2084" s="1">
        <v>45383</v>
      </c>
      <c r="D2084" t="s">
        <v>71</v>
      </c>
      <c r="E2084">
        <v>0</v>
      </c>
      <c r="F2084">
        <v>61</v>
      </c>
      <c r="G2084" t="str">
        <f t="shared" si="40"/>
        <v>61-80</v>
      </c>
      <c r="H2084" t="s">
        <v>23</v>
      </c>
      <c r="I2084" t="s">
        <v>50</v>
      </c>
      <c r="J2084" t="s">
        <v>51</v>
      </c>
      <c r="K2084" t="s">
        <v>38</v>
      </c>
      <c r="L2084">
        <v>1</v>
      </c>
      <c r="M2084">
        <v>1</v>
      </c>
      <c r="N2084">
        <v>5</v>
      </c>
      <c r="O2084">
        <v>7.1</v>
      </c>
      <c r="P2084">
        <v>6</v>
      </c>
      <c r="Q2084">
        <v>4</v>
      </c>
      <c r="R2084">
        <v>666360</v>
      </c>
      <c r="S2084">
        <f>Table1[[#This Row],[Revenue]]-Table1[[#This Row],[Operating_Costs]]</f>
        <v>198844</v>
      </c>
      <c r="T2084">
        <v>467516</v>
      </c>
      <c r="U2084">
        <v>20</v>
      </c>
      <c r="V2084">
        <v>54</v>
      </c>
      <c r="W2084">
        <v>10.1</v>
      </c>
    </row>
    <row r="2085" spans="1:23" x14ac:dyDescent="0.25">
      <c r="A2085">
        <v>6</v>
      </c>
      <c r="B2085" t="s">
        <v>70</v>
      </c>
      <c r="C2085" s="1">
        <v>44252</v>
      </c>
      <c r="D2085" t="s">
        <v>71</v>
      </c>
      <c r="E2085">
        <v>0</v>
      </c>
      <c r="F2085">
        <v>37</v>
      </c>
      <c r="G2085" t="str">
        <f t="shared" si="40"/>
        <v>21-40</v>
      </c>
      <c r="H2085" t="s">
        <v>35</v>
      </c>
      <c r="I2085" t="s">
        <v>46</v>
      </c>
      <c r="J2085" t="s">
        <v>47</v>
      </c>
      <c r="K2085" t="s">
        <v>33</v>
      </c>
      <c r="L2085">
        <v>1</v>
      </c>
      <c r="M2085">
        <v>1</v>
      </c>
      <c r="N2085">
        <v>3.2</v>
      </c>
      <c r="O2085">
        <v>8</v>
      </c>
      <c r="P2085">
        <v>3</v>
      </c>
      <c r="Q2085">
        <v>6</v>
      </c>
      <c r="R2085">
        <v>729744</v>
      </c>
      <c r="S2085">
        <f>Table1[[#This Row],[Revenue]]-Table1[[#This Row],[Operating_Costs]]</f>
        <v>311845</v>
      </c>
      <c r="T2085">
        <v>417899</v>
      </c>
      <c r="U2085">
        <v>21</v>
      </c>
      <c r="V2085">
        <v>61</v>
      </c>
      <c r="W2085">
        <v>8</v>
      </c>
    </row>
    <row r="2086" spans="1:23" x14ac:dyDescent="0.25">
      <c r="A2086">
        <v>6</v>
      </c>
      <c r="B2086" t="s">
        <v>70</v>
      </c>
      <c r="C2086" s="1">
        <v>45565</v>
      </c>
      <c r="D2086" t="s">
        <v>71</v>
      </c>
      <c r="E2086">
        <v>0</v>
      </c>
      <c r="F2086">
        <v>63</v>
      </c>
      <c r="G2086" t="str">
        <f t="shared" si="40"/>
        <v>61-80</v>
      </c>
      <c r="H2086" t="s">
        <v>23</v>
      </c>
      <c r="I2086" t="s">
        <v>50</v>
      </c>
      <c r="J2086" t="s">
        <v>51</v>
      </c>
      <c r="K2086" t="s">
        <v>38</v>
      </c>
      <c r="L2086">
        <v>1</v>
      </c>
      <c r="M2086">
        <v>1</v>
      </c>
      <c r="N2086">
        <v>1.2</v>
      </c>
      <c r="O2086">
        <v>7.6</v>
      </c>
      <c r="P2086">
        <v>4</v>
      </c>
      <c r="Q2086">
        <v>7</v>
      </c>
      <c r="R2086">
        <v>642890</v>
      </c>
      <c r="S2086">
        <f>Table1[[#This Row],[Revenue]]-Table1[[#This Row],[Operating_Costs]]</f>
        <v>186861</v>
      </c>
      <c r="T2086">
        <v>456029</v>
      </c>
      <c r="U2086">
        <v>22</v>
      </c>
      <c r="V2086">
        <v>64</v>
      </c>
      <c r="W2086">
        <v>8.6</v>
      </c>
    </row>
    <row r="2087" spans="1:23" x14ac:dyDescent="0.25">
      <c r="A2087">
        <v>6</v>
      </c>
      <c r="B2087" t="s">
        <v>70</v>
      </c>
      <c r="C2087" s="1">
        <v>44669</v>
      </c>
      <c r="D2087" t="s">
        <v>71</v>
      </c>
      <c r="E2087">
        <v>0</v>
      </c>
      <c r="F2087">
        <v>34</v>
      </c>
      <c r="G2087" t="str">
        <f t="shared" si="40"/>
        <v>21-40</v>
      </c>
      <c r="H2087" t="s">
        <v>23</v>
      </c>
      <c r="I2087" t="s">
        <v>27</v>
      </c>
      <c r="J2087" t="s">
        <v>28</v>
      </c>
      <c r="K2087" t="s">
        <v>29</v>
      </c>
      <c r="L2087">
        <v>1</v>
      </c>
      <c r="M2087">
        <v>1</v>
      </c>
      <c r="N2087">
        <v>5.6</v>
      </c>
      <c r="O2087">
        <v>9.8000000000000007</v>
      </c>
      <c r="P2087">
        <v>4</v>
      </c>
      <c r="Q2087">
        <v>3</v>
      </c>
      <c r="R2087">
        <v>782457</v>
      </c>
      <c r="S2087">
        <f>Table1[[#This Row],[Revenue]]-Table1[[#This Row],[Operating_Costs]]</f>
        <v>252365</v>
      </c>
      <c r="T2087">
        <v>530092</v>
      </c>
      <c r="U2087">
        <v>30</v>
      </c>
      <c r="V2087">
        <v>60</v>
      </c>
      <c r="W2087">
        <v>8</v>
      </c>
    </row>
    <row r="2088" spans="1:23" x14ac:dyDescent="0.25">
      <c r="A2088">
        <v>5</v>
      </c>
      <c r="B2088" t="s">
        <v>22</v>
      </c>
      <c r="C2088" s="1">
        <v>44440</v>
      </c>
      <c r="D2088" t="s">
        <v>71</v>
      </c>
      <c r="E2088">
        <v>0</v>
      </c>
      <c r="F2088">
        <v>76</v>
      </c>
      <c r="G2088" t="str">
        <f t="shared" si="40"/>
        <v>61-80</v>
      </c>
      <c r="H2088" t="s">
        <v>23</v>
      </c>
      <c r="I2088" t="s">
        <v>43</v>
      </c>
      <c r="J2088" t="s">
        <v>25</v>
      </c>
      <c r="K2088" t="s">
        <v>38</v>
      </c>
      <c r="L2088">
        <v>1</v>
      </c>
      <c r="M2088">
        <v>1</v>
      </c>
      <c r="N2088">
        <v>3.4</v>
      </c>
      <c r="O2088">
        <v>9.1</v>
      </c>
      <c r="P2088">
        <v>5</v>
      </c>
      <c r="Q2088">
        <v>6</v>
      </c>
      <c r="R2088">
        <v>752805</v>
      </c>
      <c r="S2088">
        <f>Table1[[#This Row],[Revenue]]-Table1[[#This Row],[Operating_Costs]]</f>
        <v>312538</v>
      </c>
      <c r="T2088">
        <v>440267</v>
      </c>
      <c r="U2088">
        <v>21</v>
      </c>
      <c r="V2088">
        <v>61</v>
      </c>
      <c r="W2088">
        <v>10</v>
      </c>
    </row>
    <row r="2089" spans="1:23" x14ac:dyDescent="0.25">
      <c r="A2089">
        <v>6</v>
      </c>
      <c r="B2089" t="s">
        <v>70</v>
      </c>
      <c r="C2089" s="1">
        <v>44324</v>
      </c>
      <c r="D2089" t="s">
        <v>71</v>
      </c>
      <c r="E2089">
        <v>0</v>
      </c>
      <c r="F2089">
        <v>46</v>
      </c>
      <c r="G2089" t="str">
        <f t="shared" si="40"/>
        <v>41-60</v>
      </c>
      <c r="H2089" t="s">
        <v>35</v>
      </c>
      <c r="I2089" t="s">
        <v>36</v>
      </c>
      <c r="J2089" t="s">
        <v>37</v>
      </c>
      <c r="K2089" t="s">
        <v>42</v>
      </c>
      <c r="L2089">
        <v>1</v>
      </c>
      <c r="M2089">
        <v>1</v>
      </c>
      <c r="N2089">
        <v>6.9</v>
      </c>
      <c r="O2089">
        <v>7.4</v>
      </c>
      <c r="P2089">
        <v>5</v>
      </c>
      <c r="Q2089">
        <v>7</v>
      </c>
      <c r="R2089">
        <v>755717</v>
      </c>
      <c r="S2089">
        <f>Table1[[#This Row],[Revenue]]-Table1[[#This Row],[Operating_Costs]]</f>
        <v>226415</v>
      </c>
      <c r="T2089">
        <v>529302</v>
      </c>
      <c r="U2089">
        <v>20</v>
      </c>
      <c r="V2089">
        <v>65</v>
      </c>
      <c r="W2089">
        <v>36</v>
      </c>
    </row>
    <row r="2090" spans="1:23" x14ac:dyDescent="0.25">
      <c r="A2090">
        <v>6</v>
      </c>
      <c r="B2090" t="s">
        <v>70</v>
      </c>
      <c r="C2090" s="1">
        <v>45639</v>
      </c>
      <c r="D2090" t="s">
        <v>71</v>
      </c>
      <c r="E2090">
        <v>0</v>
      </c>
      <c r="F2090">
        <v>47</v>
      </c>
      <c r="G2090" t="str">
        <f t="shared" si="40"/>
        <v>41-60</v>
      </c>
      <c r="H2090" t="s">
        <v>23</v>
      </c>
      <c r="I2090" t="s">
        <v>40</v>
      </c>
      <c r="J2090" t="s">
        <v>41</v>
      </c>
      <c r="K2090" t="s">
        <v>26</v>
      </c>
      <c r="L2090">
        <v>1</v>
      </c>
      <c r="M2090">
        <v>1</v>
      </c>
      <c r="N2090">
        <v>3.2</v>
      </c>
      <c r="O2090">
        <v>8.8000000000000007</v>
      </c>
      <c r="P2090">
        <v>5</v>
      </c>
      <c r="Q2090">
        <v>4</v>
      </c>
      <c r="R2090">
        <v>668954</v>
      </c>
      <c r="S2090">
        <f>Table1[[#This Row],[Revenue]]-Table1[[#This Row],[Operating_Costs]]</f>
        <v>190644</v>
      </c>
      <c r="T2090">
        <v>478310</v>
      </c>
      <c r="U2090">
        <v>29</v>
      </c>
      <c r="V2090">
        <v>61</v>
      </c>
      <c r="W2090">
        <v>7.7</v>
      </c>
    </row>
    <row r="2091" spans="1:23" x14ac:dyDescent="0.25">
      <c r="A2091">
        <v>6</v>
      </c>
      <c r="B2091" t="s">
        <v>70</v>
      </c>
      <c r="C2091" s="1">
        <v>45008</v>
      </c>
      <c r="D2091" t="s">
        <v>71</v>
      </c>
      <c r="E2091">
        <v>0</v>
      </c>
      <c r="F2091">
        <v>36</v>
      </c>
      <c r="G2091" t="str">
        <f t="shared" si="40"/>
        <v>21-40</v>
      </c>
      <c r="H2091" t="s">
        <v>23</v>
      </c>
      <c r="I2091" t="s">
        <v>31</v>
      </c>
      <c r="J2091" t="s">
        <v>28</v>
      </c>
      <c r="K2091" t="s">
        <v>33</v>
      </c>
      <c r="L2091">
        <v>1</v>
      </c>
      <c r="M2091">
        <v>1</v>
      </c>
      <c r="N2091">
        <v>5.2</v>
      </c>
      <c r="O2091">
        <v>7.8</v>
      </c>
      <c r="P2091">
        <v>3</v>
      </c>
      <c r="Q2091">
        <v>4</v>
      </c>
      <c r="R2091">
        <v>753071</v>
      </c>
      <c r="S2091">
        <f>Table1[[#This Row],[Revenue]]-Table1[[#This Row],[Operating_Costs]]</f>
        <v>253166</v>
      </c>
      <c r="T2091">
        <v>499905</v>
      </c>
      <c r="U2091">
        <v>22</v>
      </c>
      <c r="V2091">
        <v>63</v>
      </c>
      <c r="W2091">
        <v>13.2</v>
      </c>
    </row>
    <row r="2092" spans="1:23" x14ac:dyDescent="0.25">
      <c r="A2092">
        <v>6</v>
      </c>
      <c r="B2092" t="s">
        <v>70</v>
      </c>
      <c r="C2092" s="1">
        <v>45102</v>
      </c>
      <c r="D2092" t="s">
        <v>71</v>
      </c>
      <c r="E2092">
        <v>0</v>
      </c>
      <c r="F2092">
        <v>46</v>
      </c>
      <c r="G2092" t="str">
        <f t="shared" si="40"/>
        <v>41-60</v>
      </c>
      <c r="H2092" t="s">
        <v>23</v>
      </c>
      <c r="I2092" t="s">
        <v>46</v>
      </c>
      <c r="J2092" t="s">
        <v>47</v>
      </c>
      <c r="K2092" t="s">
        <v>33</v>
      </c>
      <c r="L2092">
        <v>1</v>
      </c>
      <c r="M2092">
        <v>1</v>
      </c>
      <c r="N2092">
        <v>3.7</v>
      </c>
      <c r="O2092">
        <v>8.1999999999999993</v>
      </c>
      <c r="P2092">
        <v>7</v>
      </c>
      <c r="Q2092">
        <v>4</v>
      </c>
      <c r="R2092">
        <v>790986</v>
      </c>
      <c r="S2092">
        <f>Table1[[#This Row],[Revenue]]-Table1[[#This Row],[Operating_Costs]]</f>
        <v>242712</v>
      </c>
      <c r="T2092">
        <v>548274</v>
      </c>
      <c r="U2092">
        <v>20</v>
      </c>
      <c r="V2092">
        <v>56</v>
      </c>
      <c r="W2092">
        <v>12</v>
      </c>
    </row>
    <row r="2093" spans="1:23" x14ac:dyDescent="0.25">
      <c r="A2093">
        <v>6</v>
      </c>
      <c r="B2093" t="s">
        <v>70</v>
      </c>
      <c r="C2093" s="1">
        <v>44605</v>
      </c>
      <c r="D2093" t="s">
        <v>71</v>
      </c>
      <c r="E2093">
        <v>0</v>
      </c>
      <c r="F2093">
        <v>81</v>
      </c>
      <c r="G2093" t="str">
        <f t="shared" si="40"/>
        <v>81+</v>
      </c>
      <c r="H2093" t="s">
        <v>23</v>
      </c>
      <c r="I2093" t="s">
        <v>24</v>
      </c>
      <c r="J2093" t="s">
        <v>25</v>
      </c>
      <c r="K2093" t="s">
        <v>26</v>
      </c>
      <c r="L2093">
        <v>1</v>
      </c>
      <c r="M2093">
        <v>1</v>
      </c>
      <c r="N2093">
        <v>6.7</v>
      </c>
      <c r="O2093">
        <v>7.1</v>
      </c>
      <c r="P2093">
        <v>5</v>
      </c>
      <c r="Q2093">
        <v>3</v>
      </c>
      <c r="R2093">
        <v>710844</v>
      </c>
      <c r="S2093">
        <f>Table1[[#This Row],[Revenue]]-Table1[[#This Row],[Operating_Costs]]</f>
        <v>274517</v>
      </c>
      <c r="T2093">
        <v>436327</v>
      </c>
      <c r="U2093">
        <v>25</v>
      </c>
      <c r="V2093">
        <v>64</v>
      </c>
      <c r="W2093">
        <v>10.199999999999999</v>
      </c>
    </row>
    <row r="2094" spans="1:23" x14ac:dyDescent="0.25">
      <c r="A2094">
        <v>6</v>
      </c>
      <c r="B2094" t="s">
        <v>70</v>
      </c>
      <c r="C2094" s="1">
        <v>44213</v>
      </c>
      <c r="D2094" t="s">
        <v>71</v>
      </c>
      <c r="E2094">
        <v>0</v>
      </c>
      <c r="F2094">
        <v>77</v>
      </c>
      <c r="G2094" t="str">
        <f t="shared" si="40"/>
        <v>61-80</v>
      </c>
      <c r="H2094" t="s">
        <v>23</v>
      </c>
      <c r="I2094" t="s">
        <v>58</v>
      </c>
      <c r="J2094" t="s">
        <v>59</v>
      </c>
      <c r="K2094" t="s">
        <v>33</v>
      </c>
      <c r="L2094">
        <v>1</v>
      </c>
      <c r="M2094">
        <v>1</v>
      </c>
      <c r="N2094">
        <v>6.8</v>
      </c>
      <c r="O2094">
        <v>7.6</v>
      </c>
      <c r="P2094">
        <v>5</v>
      </c>
      <c r="Q2094">
        <v>4</v>
      </c>
      <c r="R2094">
        <v>605828</v>
      </c>
      <c r="S2094">
        <f>Table1[[#This Row],[Revenue]]-Table1[[#This Row],[Operating_Costs]]</f>
        <v>39115</v>
      </c>
      <c r="T2094">
        <v>566713</v>
      </c>
      <c r="U2094">
        <v>21</v>
      </c>
      <c r="V2094">
        <v>57</v>
      </c>
      <c r="W2094">
        <v>10.9</v>
      </c>
    </row>
    <row r="2095" spans="1:23" x14ac:dyDescent="0.25">
      <c r="A2095">
        <v>6</v>
      </c>
      <c r="B2095" t="s">
        <v>70</v>
      </c>
      <c r="C2095" s="1">
        <v>45143</v>
      </c>
      <c r="D2095" t="s">
        <v>71</v>
      </c>
      <c r="E2095">
        <v>0</v>
      </c>
      <c r="F2095">
        <v>42</v>
      </c>
      <c r="G2095" t="str">
        <f t="shared" si="40"/>
        <v>41-60</v>
      </c>
      <c r="H2095" t="s">
        <v>35</v>
      </c>
      <c r="I2095" t="s">
        <v>55</v>
      </c>
      <c r="J2095" t="s">
        <v>56</v>
      </c>
      <c r="K2095" t="s">
        <v>29</v>
      </c>
      <c r="L2095">
        <v>1</v>
      </c>
      <c r="M2095">
        <v>1</v>
      </c>
      <c r="N2095">
        <v>1.1000000000000001</v>
      </c>
      <c r="O2095">
        <v>7.4</v>
      </c>
      <c r="P2095">
        <v>7</v>
      </c>
      <c r="Q2095">
        <v>5</v>
      </c>
      <c r="R2095">
        <v>729366</v>
      </c>
      <c r="S2095">
        <f>Table1[[#This Row],[Revenue]]-Table1[[#This Row],[Operating_Costs]]</f>
        <v>231385</v>
      </c>
      <c r="T2095">
        <v>497981</v>
      </c>
      <c r="U2095">
        <v>23</v>
      </c>
      <c r="V2095">
        <v>57</v>
      </c>
      <c r="W2095">
        <v>14.8</v>
      </c>
    </row>
    <row r="2096" spans="1:23" x14ac:dyDescent="0.25">
      <c r="A2096">
        <v>5</v>
      </c>
      <c r="B2096" t="s">
        <v>22</v>
      </c>
      <c r="C2096" s="1">
        <v>44438</v>
      </c>
      <c r="D2096" t="s">
        <v>71</v>
      </c>
      <c r="E2096">
        <v>0</v>
      </c>
      <c r="F2096">
        <v>43</v>
      </c>
      <c r="G2096" t="str">
        <f t="shared" si="40"/>
        <v>41-60</v>
      </c>
      <c r="H2096" t="s">
        <v>23</v>
      </c>
      <c r="I2096" t="s">
        <v>40</v>
      </c>
      <c r="J2096" t="s">
        <v>41</v>
      </c>
      <c r="K2096" t="s">
        <v>33</v>
      </c>
      <c r="L2096">
        <v>1</v>
      </c>
      <c r="M2096">
        <v>1</v>
      </c>
      <c r="N2096">
        <v>2.1</v>
      </c>
      <c r="O2096">
        <v>7.7</v>
      </c>
      <c r="P2096">
        <v>4</v>
      </c>
      <c r="Q2096">
        <v>7</v>
      </c>
      <c r="R2096">
        <v>936525</v>
      </c>
      <c r="S2096">
        <f>Table1[[#This Row],[Revenue]]-Table1[[#This Row],[Operating_Costs]]</f>
        <v>564505</v>
      </c>
      <c r="T2096">
        <v>372020</v>
      </c>
      <c r="U2096">
        <v>34</v>
      </c>
      <c r="V2096">
        <v>55</v>
      </c>
      <c r="W2096">
        <v>14</v>
      </c>
    </row>
    <row r="2097" spans="1:23" x14ac:dyDescent="0.25">
      <c r="A2097">
        <v>6</v>
      </c>
      <c r="B2097" t="s">
        <v>70</v>
      </c>
      <c r="C2097" s="1">
        <v>44391</v>
      </c>
      <c r="D2097" t="s">
        <v>71</v>
      </c>
      <c r="E2097">
        <v>0</v>
      </c>
      <c r="F2097">
        <v>81</v>
      </c>
      <c r="G2097" t="str">
        <f t="shared" si="40"/>
        <v>81+</v>
      </c>
      <c r="H2097" t="s">
        <v>35</v>
      </c>
      <c r="I2097" t="s">
        <v>50</v>
      </c>
      <c r="J2097" t="s">
        <v>51</v>
      </c>
      <c r="K2097" t="s">
        <v>26</v>
      </c>
      <c r="L2097">
        <v>1</v>
      </c>
      <c r="M2097">
        <v>1</v>
      </c>
      <c r="N2097">
        <v>4.5</v>
      </c>
      <c r="O2097">
        <v>7.5</v>
      </c>
      <c r="P2097">
        <v>6</v>
      </c>
      <c r="Q2097">
        <v>5</v>
      </c>
      <c r="R2097">
        <v>600639</v>
      </c>
      <c r="S2097">
        <f>Table1[[#This Row],[Revenue]]-Table1[[#This Row],[Operating_Costs]]</f>
        <v>182473</v>
      </c>
      <c r="T2097">
        <v>418166</v>
      </c>
      <c r="U2097">
        <v>22</v>
      </c>
      <c r="V2097">
        <v>62</v>
      </c>
      <c r="W2097">
        <v>36.5</v>
      </c>
    </row>
    <row r="2098" spans="1:23" x14ac:dyDescent="0.25">
      <c r="A2098">
        <v>5</v>
      </c>
      <c r="B2098" t="s">
        <v>22</v>
      </c>
      <c r="C2098" s="1">
        <v>44394</v>
      </c>
      <c r="D2098" t="s">
        <v>71</v>
      </c>
      <c r="E2098">
        <v>0</v>
      </c>
      <c r="F2098">
        <v>81</v>
      </c>
      <c r="G2098" t="str">
        <f t="shared" si="40"/>
        <v>81+</v>
      </c>
      <c r="H2098" t="s">
        <v>35</v>
      </c>
      <c r="I2098" t="s">
        <v>53</v>
      </c>
      <c r="J2098" t="s">
        <v>54</v>
      </c>
      <c r="K2098" t="s">
        <v>42</v>
      </c>
      <c r="L2098">
        <v>1</v>
      </c>
      <c r="M2098">
        <v>1</v>
      </c>
      <c r="N2098">
        <v>1.6</v>
      </c>
      <c r="O2098">
        <v>9.1</v>
      </c>
      <c r="P2098">
        <v>6</v>
      </c>
      <c r="Q2098">
        <v>7</v>
      </c>
      <c r="R2098">
        <v>725974</v>
      </c>
      <c r="S2098">
        <f>Table1[[#This Row],[Revenue]]-Table1[[#This Row],[Operating_Costs]]</f>
        <v>481491</v>
      </c>
      <c r="T2098">
        <v>244483</v>
      </c>
      <c r="U2098">
        <v>30</v>
      </c>
      <c r="V2098">
        <v>58</v>
      </c>
      <c r="W2098">
        <v>10.7</v>
      </c>
    </row>
    <row r="2099" spans="1:23" x14ac:dyDescent="0.25">
      <c r="A2099">
        <v>6</v>
      </c>
      <c r="B2099" t="s">
        <v>70</v>
      </c>
      <c r="C2099" s="1">
        <v>45123</v>
      </c>
      <c r="D2099" t="s">
        <v>71</v>
      </c>
      <c r="E2099">
        <v>0</v>
      </c>
      <c r="F2099">
        <v>46</v>
      </c>
      <c r="G2099" t="str">
        <f t="shared" si="40"/>
        <v>41-60</v>
      </c>
      <c r="H2099" t="s">
        <v>35</v>
      </c>
      <c r="I2099" t="s">
        <v>58</v>
      </c>
      <c r="J2099" t="s">
        <v>59</v>
      </c>
      <c r="K2099" t="s">
        <v>26</v>
      </c>
      <c r="L2099">
        <v>1</v>
      </c>
      <c r="M2099">
        <v>1</v>
      </c>
      <c r="N2099">
        <v>5.9</v>
      </c>
      <c r="O2099">
        <v>8.5</v>
      </c>
      <c r="P2099">
        <v>4</v>
      </c>
      <c r="Q2099">
        <v>6</v>
      </c>
      <c r="R2099">
        <v>692522</v>
      </c>
      <c r="S2099">
        <f>Table1[[#This Row],[Revenue]]-Table1[[#This Row],[Operating_Costs]]</f>
        <v>109382</v>
      </c>
      <c r="T2099">
        <v>583140</v>
      </c>
      <c r="U2099">
        <v>21</v>
      </c>
      <c r="V2099">
        <v>64</v>
      </c>
      <c r="W2099">
        <v>6.7</v>
      </c>
    </row>
    <row r="2100" spans="1:23" x14ac:dyDescent="0.25">
      <c r="A2100">
        <v>6</v>
      </c>
      <c r="B2100" t="s">
        <v>70</v>
      </c>
      <c r="C2100" s="1">
        <v>44499</v>
      </c>
      <c r="D2100" t="s">
        <v>71</v>
      </c>
      <c r="E2100">
        <v>0</v>
      </c>
      <c r="F2100">
        <v>35</v>
      </c>
      <c r="G2100" t="str">
        <f t="shared" si="40"/>
        <v>21-40</v>
      </c>
      <c r="H2100" t="s">
        <v>35</v>
      </c>
      <c r="I2100" t="s">
        <v>58</v>
      </c>
      <c r="J2100" t="s">
        <v>59</v>
      </c>
      <c r="K2100" t="s">
        <v>26</v>
      </c>
      <c r="L2100">
        <v>1</v>
      </c>
      <c r="M2100">
        <v>1</v>
      </c>
      <c r="N2100">
        <v>5.8</v>
      </c>
      <c r="O2100">
        <v>9.9</v>
      </c>
      <c r="P2100">
        <v>6</v>
      </c>
      <c r="Q2100">
        <v>3</v>
      </c>
      <c r="R2100">
        <v>697237</v>
      </c>
      <c r="S2100">
        <f>Table1[[#This Row],[Revenue]]-Table1[[#This Row],[Operating_Costs]]</f>
        <v>181379</v>
      </c>
      <c r="T2100">
        <v>515858</v>
      </c>
      <c r="U2100">
        <v>26</v>
      </c>
      <c r="V2100">
        <v>58</v>
      </c>
      <c r="W2100">
        <v>6.1</v>
      </c>
    </row>
    <row r="2101" spans="1:23" x14ac:dyDescent="0.25">
      <c r="A2101">
        <v>5</v>
      </c>
      <c r="B2101" t="s">
        <v>22</v>
      </c>
      <c r="C2101" s="1">
        <v>45395</v>
      </c>
      <c r="D2101" t="s">
        <v>71</v>
      </c>
      <c r="E2101">
        <v>0</v>
      </c>
      <c r="F2101">
        <v>68</v>
      </c>
      <c r="G2101" t="str">
        <f t="shared" si="40"/>
        <v>61-80</v>
      </c>
      <c r="H2101" t="s">
        <v>35</v>
      </c>
      <c r="I2101" t="s">
        <v>50</v>
      </c>
      <c r="J2101" t="s">
        <v>51</v>
      </c>
      <c r="K2101" t="s">
        <v>29</v>
      </c>
      <c r="L2101">
        <v>1</v>
      </c>
      <c r="M2101">
        <v>1</v>
      </c>
      <c r="N2101">
        <v>6.7</v>
      </c>
      <c r="O2101">
        <v>9.4</v>
      </c>
      <c r="P2101">
        <v>7</v>
      </c>
      <c r="Q2101">
        <v>3</v>
      </c>
      <c r="R2101">
        <v>795726</v>
      </c>
      <c r="S2101">
        <f>Table1[[#This Row],[Revenue]]-Table1[[#This Row],[Operating_Costs]]</f>
        <v>301510</v>
      </c>
      <c r="T2101">
        <v>494216</v>
      </c>
      <c r="U2101">
        <v>36</v>
      </c>
      <c r="V2101">
        <v>57</v>
      </c>
      <c r="W2101">
        <v>13.6</v>
      </c>
    </row>
    <row r="2102" spans="1:23" x14ac:dyDescent="0.25">
      <c r="A2102">
        <v>6</v>
      </c>
      <c r="B2102" t="s">
        <v>70</v>
      </c>
      <c r="C2102" s="1">
        <v>45479</v>
      </c>
      <c r="D2102" t="s">
        <v>71</v>
      </c>
      <c r="E2102">
        <v>0</v>
      </c>
      <c r="F2102">
        <v>71</v>
      </c>
      <c r="G2102" t="str">
        <f t="shared" si="40"/>
        <v>61-80</v>
      </c>
      <c r="H2102" t="s">
        <v>23</v>
      </c>
      <c r="I2102" t="s">
        <v>31</v>
      </c>
      <c r="J2102" t="s">
        <v>28</v>
      </c>
      <c r="K2102" t="s">
        <v>38</v>
      </c>
      <c r="L2102">
        <v>1</v>
      </c>
      <c r="M2102">
        <v>1</v>
      </c>
      <c r="N2102">
        <v>3</v>
      </c>
      <c r="O2102">
        <v>7.5</v>
      </c>
      <c r="P2102">
        <v>6</v>
      </c>
      <c r="Q2102">
        <v>6</v>
      </c>
      <c r="R2102">
        <v>618284</v>
      </c>
      <c r="S2102">
        <f>Table1[[#This Row],[Revenue]]-Table1[[#This Row],[Operating_Costs]]</f>
        <v>50185</v>
      </c>
      <c r="T2102">
        <v>568099</v>
      </c>
      <c r="U2102">
        <v>23</v>
      </c>
      <c r="V2102">
        <v>54</v>
      </c>
      <c r="W2102">
        <v>12.1</v>
      </c>
    </row>
    <row r="2103" spans="1:23" x14ac:dyDescent="0.25">
      <c r="A2103">
        <v>6</v>
      </c>
      <c r="B2103" t="s">
        <v>70</v>
      </c>
      <c r="C2103" s="1">
        <v>45250</v>
      </c>
      <c r="D2103" t="s">
        <v>71</v>
      </c>
      <c r="E2103">
        <v>0</v>
      </c>
      <c r="F2103">
        <v>71</v>
      </c>
      <c r="G2103" t="str">
        <f t="shared" si="40"/>
        <v>61-80</v>
      </c>
      <c r="H2103" t="s">
        <v>35</v>
      </c>
      <c r="I2103" t="s">
        <v>36</v>
      </c>
      <c r="J2103" t="s">
        <v>37</v>
      </c>
      <c r="K2103" t="s">
        <v>33</v>
      </c>
      <c r="L2103">
        <v>1</v>
      </c>
      <c r="M2103">
        <v>1</v>
      </c>
      <c r="N2103">
        <v>1.8</v>
      </c>
      <c r="O2103">
        <v>8.4</v>
      </c>
      <c r="P2103">
        <v>7</v>
      </c>
      <c r="Q2103">
        <v>3</v>
      </c>
      <c r="R2103">
        <v>630582</v>
      </c>
      <c r="S2103">
        <f>Table1[[#This Row],[Revenue]]-Table1[[#This Row],[Operating_Costs]]</f>
        <v>46287</v>
      </c>
      <c r="T2103">
        <v>584295</v>
      </c>
      <c r="U2103">
        <v>26</v>
      </c>
      <c r="V2103">
        <v>66</v>
      </c>
      <c r="W2103">
        <v>6.8</v>
      </c>
    </row>
    <row r="2104" spans="1:23" x14ac:dyDescent="0.25">
      <c r="A2104">
        <v>6</v>
      </c>
      <c r="B2104" t="s">
        <v>70</v>
      </c>
      <c r="C2104" s="1">
        <v>44346</v>
      </c>
      <c r="D2104" t="s">
        <v>71</v>
      </c>
      <c r="E2104">
        <v>0</v>
      </c>
      <c r="F2104">
        <v>64</v>
      </c>
      <c r="G2104" t="str">
        <f t="shared" si="40"/>
        <v>61-80</v>
      </c>
      <c r="H2104" t="s">
        <v>35</v>
      </c>
      <c r="I2104" t="s">
        <v>36</v>
      </c>
      <c r="J2104" t="s">
        <v>37</v>
      </c>
      <c r="K2104" t="s">
        <v>33</v>
      </c>
      <c r="L2104">
        <v>1</v>
      </c>
      <c r="M2104">
        <v>1</v>
      </c>
      <c r="N2104">
        <v>5.0999999999999996</v>
      </c>
      <c r="O2104">
        <v>7.5</v>
      </c>
      <c r="P2104">
        <v>5</v>
      </c>
      <c r="Q2104">
        <v>7</v>
      </c>
      <c r="R2104">
        <v>658647</v>
      </c>
      <c r="S2104">
        <f>Table1[[#This Row],[Revenue]]-Table1[[#This Row],[Operating_Costs]]</f>
        <v>231963</v>
      </c>
      <c r="T2104">
        <v>426684</v>
      </c>
      <c r="U2104">
        <v>23</v>
      </c>
      <c r="V2104">
        <v>56</v>
      </c>
      <c r="W2104">
        <v>12.3</v>
      </c>
    </row>
    <row r="2105" spans="1:23" x14ac:dyDescent="0.25">
      <c r="A2105">
        <v>6</v>
      </c>
      <c r="B2105" t="s">
        <v>70</v>
      </c>
      <c r="C2105" s="1">
        <v>45318</v>
      </c>
      <c r="D2105" t="s">
        <v>71</v>
      </c>
      <c r="E2105">
        <v>0</v>
      </c>
      <c r="F2105">
        <v>60</v>
      </c>
      <c r="G2105" t="str">
        <f t="shared" si="40"/>
        <v>41-60</v>
      </c>
      <c r="H2105" t="s">
        <v>23</v>
      </c>
      <c r="I2105" t="s">
        <v>24</v>
      </c>
      <c r="J2105" t="s">
        <v>25</v>
      </c>
      <c r="K2105" t="s">
        <v>26</v>
      </c>
      <c r="L2105">
        <v>1</v>
      </c>
      <c r="M2105">
        <v>1</v>
      </c>
      <c r="N2105">
        <v>6.9</v>
      </c>
      <c r="O2105">
        <v>7.2</v>
      </c>
      <c r="P2105">
        <v>6</v>
      </c>
      <c r="Q2105">
        <v>4</v>
      </c>
      <c r="R2105">
        <v>637516</v>
      </c>
      <c r="S2105">
        <f>Table1[[#This Row],[Revenue]]-Table1[[#This Row],[Operating_Costs]]</f>
        <v>82628</v>
      </c>
      <c r="T2105">
        <v>554888</v>
      </c>
      <c r="U2105">
        <v>30</v>
      </c>
      <c r="V2105">
        <v>59</v>
      </c>
      <c r="W2105">
        <v>10.5</v>
      </c>
    </row>
    <row r="2106" spans="1:23" x14ac:dyDescent="0.25">
      <c r="A2106">
        <v>6</v>
      </c>
      <c r="B2106" t="s">
        <v>70</v>
      </c>
      <c r="C2106" s="1">
        <v>44264</v>
      </c>
      <c r="D2106" t="s">
        <v>71</v>
      </c>
      <c r="E2106">
        <v>0</v>
      </c>
      <c r="F2106">
        <v>48</v>
      </c>
      <c r="G2106" t="str">
        <f t="shared" si="40"/>
        <v>41-60</v>
      </c>
      <c r="H2106" t="s">
        <v>35</v>
      </c>
      <c r="I2106" t="s">
        <v>58</v>
      </c>
      <c r="J2106" t="s">
        <v>59</v>
      </c>
      <c r="K2106" t="s">
        <v>38</v>
      </c>
      <c r="L2106">
        <v>1</v>
      </c>
      <c r="M2106">
        <v>1</v>
      </c>
      <c r="N2106">
        <v>3.3</v>
      </c>
      <c r="O2106">
        <v>7.7</v>
      </c>
      <c r="P2106">
        <v>5</v>
      </c>
      <c r="Q2106">
        <v>5</v>
      </c>
      <c r="R2106">
        <v>653299</v>
      </c>
      <c r="S2106">
        <f>Table1[[#This Row],[Revenue]]-Table1[[#This Row],[Operating_Costs]]</f>
        <v>181358</v>
      </c>
      <c r="T2106">
        <v>471941</v>
      </c>
      <c r="U2106">
        <v>21</v>
      </c>
      <c r="V2106">
        <v>61</v>
      </c>
      <c r="W2106">
        <v>9</v>
      </c>
    </row>
    <row r="2107" spans="1:23" x14ac:dyDescent="0.25">
      <c r="A2107">
        <v>5</v>
      </c>
      <c r="B2107" t="s">
        <v>22</v>
      </c>
      <c r="C2107" s="1">
        <v>44830</v>
      </c>
      <c r="D2107" t="s">
        <v>71</v>
      </c>
      <c r="E2107">
        <v>0</v>
      </c>
      <c r="F2107">
        <v>26</v>
      </c>
      <c r="G2107" t="str">
        <f t="shared" si="40"/>
        <v>21-40</v>
      </c>
      <c r="H2107" t="s">
        <v>35</v>
      </c>
      <c r="I2107" t="s">
        <v>61</v>
      </c>
      <c r="J2107" t="s">
        <v>62</v>
      </c>
      <c r="K2107" t="s">
        <v>33</v>
      </c>
      <c r="L2107">
        <v>1</v>
      </c>
      <c r="M2107">
        <v>1</v>
      </c>
      <c r="N2107">
        <v>4.4000000000000004</v>
      </c>
      <c r="O2107">
        <v>8.5</v>
      </c>
      <c r="P2107">
        <v>7</v>
      </c>
      <c r="Q2107">
        <v>5</v>
      </c>
      <c r="R2107">
        <v>704977</v>
      </c>
      <c r="S2107">
        <f>Table1[[#This Row],[Revenue]]-Table1[[#This Row],[Operating_Costs]]</f>
        <v>377759</v>
      </c>
      <c r="T2107">
        <v>327218</v>
      </c>
      <c r="U2107">
        <v>29</v>
      </c>
      <c r="V2107">
        <v>54</v>
      </c>
      <c r="W2107">
        <v>13.9</v>
      </c>
    </row>
    <row r="2108" spans="1:23" x14ac:dyDescent="0.25">
      <c r="A2108">
        <v>6</v>
      </c>
      <c r="B2108" t="s">
        <v>70</v>
      </c>
      <c r="C2108" s="1">
        <v>44684</v>
      </c>
      <c r="D2108" t="s">
        <v>71</v>
      </c>
      <c r="E2108">
        <v>0</v>
      </c>
      <c r="F2108">
        <v>39</v>
      </c>
      <c r="G2108" t="str">
        <f t="shared" si="40"/>
        <v>21-40</v>
      </c>
      <c r="H2108" t="s">
        <v>35</v>
      </c>
      <c r="I2108" t="s">
        <v>40</v>
      </c>
      <c r="J2108" t="s">
        <v>41</v>
      </c>
      <c r="K2108" t="s">
        <v>38</v>
      </c>
      <c r="L2108">
        <v>1</v>
      </c>
      <c r="M2108">
        <v>1</v>
      </c>
      <c r="N2108">
        <v>6.7</v>
      </c>
      <c r="O2108">
        <v>7.2</v>
      </c>
      <c r="P2108">
        <v>5</v>
      </c>
      <c r="Q2108">
        <v>4</v>
      </c>
      <c r="R2108">
        <v>674964</v>
      </c>
      <c r="S2108">
        <f>Table1[[#This Row],[Revenue]]-Table1[[#This Row],[Operating_Costs]]</f>
        <v>180995</v>
      </c>
      <c r="T2108">
        <v>493969</v>
      </c>
      <c r="U2108">
        <v>27</v>
      </c>
      <c r="V2108">
        <v>65</v>
      </c>
      <c r="W2108">
        <v>8</v>
      </c>
    </row>
    <row r="2109" spans="1:23" x14ac:dyDescent="0.25">
      <c r="A2109">
        <v>5</v>
      </c>
      <c r="B2109" t="s">
        <v>22</v>
      </c>
      <c r="C2109" s="1">
        <v>44999</v>
      </c>
      <c r="D2109" t="s">
        <v>71</v>
      </c>
      <c r="E2109">
        <v>0</v>
      </c>
      <c r="F2109">
        <v>88</v>
      </c>
      <c r="G2109" t="str">
        <f t="shared" si="40"/>
        <v>81+</v>
      </c>
      <c r="H2109" t="s">
        <v>35</v>
      </c>
      <c r="I2109" t="s">
        <v>46</v>
      </c>
      <c r="J2109" t="s">
        <v>47</v>
      </c>
      <c r="K2109" t="s">
        <v>42</v>
      </c>
      <c r="L2109">
        <v>1</v>
      </c>
      <c r="M2109">
        <v>1</v>
      </c>
      <c r="N2109">
        <v>6.7</v>
      </c>
      <c r="O2109">
        <v>7.7</v>
      </c>
      <c r="P2109">
        <v>4</v>
      </c>
      <c r="Q2109">
        <v>6</v>
      </c>
      <c r="R2109">
        <v>835583</v>
      </c>
      <c r="S2109">
        <f>Table1[[#This Row],[Revenue]]-Table1[[#This Row],[Operating_Costs]]</f>
        <v>481192</v>
      </c>
      <c r="T2109">
        <v>354391</v>
      </c>
      <c r="U2109">
        <v>21</v>
      </c>
      <c r="V2109">
        <v>63</v>
      </c>
      <c r="W2109">
        <v>12.1</v>
      </c>
    </row>
    <row r="2110" spans="1:23" x14ac:dyDescent="0.25">
      <c r="A2110">
        <v>5</v>
      </c>
      <c r="B2110" t="s">
        <v>22</v>
      </c>
      <c r="C2110" s="1">
        <v>45375</v>
      </c>
      <c r="D2110" t="s">
        <v>71</v>
      </c>
      <c r="E2110">
        <v>0</v>
      </c>
      <c r="F2110">
        <v>29</v>
      </c>
      <c r="G2110" t="str">
        <f t="shared" si="40"/>
        <v>21-40</v>
      </c>
      <c r="H2110" t="s">
        <v>23</v>
      </c>
      <c r="I2110" t="s">
        <v>64</v>
      </c>
      <c r="J2110" t="s">
        <v>65</v>
      </c>
      <c r="K2110" t="s">
        <v>33</v>
      </c>
      <c r="L2110">
        <v>1</v>
      </c>
      <c r="M2110">
        <v>1</v>
      </c>
      <c r="N2110">
        <v>4.5</v>
      </c>
      <c r="O2110">
        <v>7.2</v>
      </c>
      <c r="P2110">
        <v>6</v>
      </c>
      <c r="Q2110">
        <v>7</v>
      </c>
      <c r="R2110">
        <v>839501</v>
      </c>
      <c r="S2110">
        <f>Table1[[#This Row],[Revenue]]-Table1[[#This Row],[Operating_Costs]]</f>
        <v>556443</v>
      </c>
      <c r="T2110">
        <v>283058</v>
      </c>
      <c r="U2110">
        <v>35</v>
      </c>
      <c r="V2110">
        <v>66</v>
      </c>
      <c r="W2110">
        <v>6.5</v>
      </c>
    </row>
    <row r="2111" spans="1:23" x14ac:dyDescent="0.25">
      <c r="A2111">
        <v>5</v>
      </c>
      <c r="B2111" t="s">
        <v>22</v>
      </c>
      <c r="C2111" s="1">
        <v>44632</v>
      </c>
      <c r="D2111" t="s">
        <v>71</v>
      </c>
      <c r="E2111">
        <v>0</v>
      </c>
      <c r="F2111">
        <v>87</v>
      </c>
      <c r="G2111" t="str">
        <f t="shared" si="40"/>
        <v>81+</v>
      </c>
      <c r="H2111" t="s">
        <v>23</v>
      </c>
      <c r="I2111" t="s">
        <v>24</v>
      </c>
      <c r="J2111" t="s">
        <v>25</v>
      </c>
      <c r="K2111" t="s">
        <v>26</v>
      </c>
      <c r="L2111">
        <v>1</v>
      </c>
      <c r="M2111">
        <v>1</v>
      </c>
      <c r="N2111">
        <v>6.3</v>
      </c>
      <c r="O2111">
        <v>7.9</v>
      </c>
      <c r="P2111">
        <v>5</v>
      </c>
      <c r="Q2111">
        <v>3</v>
      </c>
      <c r="R2111">
        <v>962137</v>
      </c>
      <c r="S2111">
        <f>Table1[[#This Row],[Revenue]]-Table1[[#This Row],[Operating_Costs]]</f>
        <v>584604</v>
      </c>
      <c r="T2111">
        <v>377533</v>
      </c>
      <c r="U2111">
        <v>31</v>
      </c>
      <c r="V2111">
        <v>59</v>
      </c>
      <c r="W2111">
        <v>6.7</v>
      </c>
    </row>
    <row r="2112" spans="1:23" x14ac:dyDescent="0.25">
      <c r="A2112">
        <v>5</v>
      </c>
      <c r="B2112" t="s">
        <v>22</v>
      </c>
      <c r="C2112" s="1">
        <v>45228</v>
      </c>
      <c r="D2112" t="s">
        <v>71</v>
      </c>
      <c r="E2112">
        <v>0</v>
      </c>
      <c r="F2112">
        <v>46</v>
      </c>
      <c r="G2112" t="str">
        <f t="shared" si="40"/>
        <v>41-60</v>
      </c>
      <c r="H2112" t="s">
        <v>23</v>
      </c>
      <c r="I2112" t="s">
        <v>58</v>
      </c>
      <c r="J2112" t="s">
        <v>59</v>
      </c>
      <c r="K2112" t="s">
        <v>42</v>
      </c>
      <c r="L2112">
        <v>1</v>
      </c>
      <c r="M2112">
        <v>1</v>
      </c>
      <c r="N2112">
        <v>7</v>
      </c>
      <c r="O2112">
        <v>9.6999999999999993</v>
      </c>
      <c r="P2112">
        <v>7</v>
      </c>
      <c r="Q2112">
        <v>6</v>
      </c>
      <c r="R2112">
        <v>905713</v>
      </c>
      <c r="S2112">
        <f>Table1[[#This Row],[Revenue]]-Table1[[#This Row],[Operating_Costs]]</f>
        <v>647975</v>
      </c>
      <c r="T2112">
        <v>257738</v>
      </c>
      <c r="U2112">
        <v>38</v>
      </c>
      <c r="V2112">
        <v>55</v>
      </c>
      <c r="W2112">
        <v>6.2</v>
      </c>
    </row>
    <row r="2113" spans="1:23" x14ac:dyDescent="0.25">
      <c r="A2113">
        <v>5</v>
      </c>
      <c r="B2113" t="s">
        <v>22</v>
      </c>
      <c r="C2113" s="1">
        <v>44540</v>
      </c>
      <c r="D2113" t="s">
        <v>71</v>
      </c>
      <c r="E2113">
        <v>0</v>
      </c>
      <c r="F2113">
        <v>90</v>
      </c>
      <c r="G2113" t="str">
        <f t="shared" si="40"/>
        <v>81+</v>
      </c>
      <c r="H2113" t="s">
        <v>23</v>
      </c>
      <c r="I2113" t="s">
        <v>24</v>
      </c>
      <c r="J2113" t="s">
        <v>25</v>
      </c>
      <c r="K2113" t="s">
        <v>42</v>
      </c>
      <c r="L2113">
        <v>1</v>
      </c>
      <c r="M2113">
        <v>1</v>
      </c>
      <c r="N2113">
        <v>2.9</v>
      </c>
      <c r="O2113">
        <v>8.6999999999999993</v>
      </c>
      <c r="P2113">
        <v>4</v>
      </c>
      <c r="Q2113">
        <v>6</v>
      </c>
      <c r="R2113">
        <v>737030</v>
      </c>
      <c r="S2113">
        <f>Table1[[#This Row],[Revenue]]-Table1[[#This Row],[Operating_Costs]]</f>
        <v>441156</v>
      </c>
      <c r="T2113">
        <v>295874</v>
      </c>
      <c r="U2113">
        <v>27</v>
      </c>
      <c r="V2113">
        <v>60</v>
      </c>
      <c r="W2113">
        <v>13.8</v>
      </c>
    </row>
    <row r="2114" spans="1:23" x14ac:dyDescent="0.25">
      <c r="A2114">
        <v>6</v>
      </c>
      <c r="B2114" t="s">
        <v>70</v>
      </c>
      <c r="C2114" s="1">
        <v>44632</v>
      </c>
      <c r="D2114" t="s">
        <v>71</v>
      </c>
      <c r="E2114">
        <v>0</v>
      </c>
      <c r="F2114">
        <v>79</v>
      </c>
      <c r="G2114" t="str">
        <f t="shared" si="40"/>
        <v>61-80</v>
      </c>
      <c r="H2114" t="s">
        <v>35</v>
      </c>
      <c r="I2114" t="s">
        <v>46</v>
      </c>
      <c r="J2114" t="s">
        <v>47</v>
      </c>
      <c r="K2114" t="s">
        <v>42</v>
      </c>
      <c r="L2114">
        <v>1</v>
      </c>
      <c r="M2114">
        <v>1</v>
      </c>
      <c r="N2114">
        <v>5.5</v>
      </c>
      <c r="O2114">
        <v>8</v>
      </c>
      <c r="P2114">
        <v>4</v>
      </c>
      <c r="Q2114">
        <v>3</v>
      </c>
      <c r="R2114">
        <v>727600</v>
      </c>
      <c r="S2114">
        <f>Table1[[#This Row],[Revenue]]-Table1[[#This Row],[Operating_Costs]]</f>
        <v>191401</v>
      </c>
      <c r="T2114">
        <v>536199</v>
      </c>
      <c r="U2114">
        <v>26</v>
      </c>
      <c r="V2114">
        <v>57</v>
      </c>
      <c r="W2114">
        <v>36.9</v>
      </c>
    </row>
    <row r="2115" spans="1:23" x14ac:dyDescent="0.25">
      <c r="A2115">
        <v>6</v>
      </c>
      <c r="B2115" t="s">
        <v>70</v>
      </c>
      <c r="C2115" s="1">
        <v>44920</v>
      </c>
      <c r="D2115" t="s">
        <v>71</v>
      </c>
      <c r="E2115">
        <v>0</v>
      </c>
      <c r="F2115">
        <v>35</v>
      </c>
      <c r="G2115" t="str">
        <f t="shared" ref="G2115:G2178" si="41">IF(F2115&lt;=20,"0-20",IF(F2115&lt;=40,"21-40",IF(F2115&lt;=60,"41-60",IF(F2115&lt;=80,"61-80","81+"))))</f>
        <v>21-40</v>
      </c>
      <c r="H2115" t="s">
        <v>35</v>
      </c>
      <c r="I2115" t="s">
        <v>40</v>
      </c>
      <c r="J2115" t="s">
        <v>41</v>
      </c>
      <c r="K2115" t="s">
        <v>42</v>
      </c>
      <c r="L2115">
        <v>1</v>
      </c>
      <c r="M2115">
        <v>1</v>
      </c>
      <c r="N2115">
        <v>5.5</v>
      </c>
      <c r="O2115">
        <v>7.5</v>
      </c>
      <c r="P2115">
        <v>5</v>
      </c>
      <c r="Q2115">
        <v>6</v>
      </c>
      <c r="R2115">
        <v>624580</v>
      </c>
      <c r="S2115">
        <f>Table1[[#This Row],[Revenue]]-Table1[[#This Row],[Operating_Costs]]</f>
        <v>95781</v>
      </c>
      <c r="T2115">
        <v>528799</v>
      </c>
      <c r="U2115">
        <v>20</v>
      </c>
      <c r="V2115">
        <v>56</v>
      </c>
      <c r="W2115">
        <v>5.4</v>
      </c>
    </row>
    <row r="2116" spans="1:23" x14ac:dyDescent="0.25">
      <c r="A2116">
        <v>6</v>
      </c>
      <c r="B2116" t="s">
        <v>70</v>
      </c>
      <c r="C2116" s="1">
        <v>44254</v>
      </c>
      <c r="D2116" t="s">
        <v>71</v>
      </c>
      <c r="E2116">
        <v>0</v>
      </c>
      <c r="F2116">
        <v>30</v>
      </c>
      <c r="G2116" t="str">
        <f t="shared" si="41"/>
        <v>21-40</v>
      </c>
      <c r="H2116" t="s">
        <v>35</v>
      </c>
      <c r="I2116" t="s">
        <v>40</v>
      </c>
      <c r="J2116" t="s">
        <v>41</v>
      </c>
      <c r="K2116" t="s">
        <v>26</v>
      </c>
      <c r="L2116">
        <v>1</v>
      </c>
      <c r="M2116">
        <v>1</v>
      </c>
      <c r="N2116">
        <v>2.2999999999999998</v>
      </c>
      <c r="O2116">
        <v>8.4</v>
      </c>
      <c r="P2116">
        <v>7</v>
      </c>
      <c r="Q2116">
        <v>3</v>
      </c>
      <c r="R2116">
        <v>743705</v>
      </c>
      <c r="S2116">
        <f>Table1[[#This Row],[Revenue]]-Table1[[#This Row],[Operating_Costs]]</f>
        <v>200938</v>
      </c>
      <c r="T2116">
        <v>542767</v>
      </c>
      <c r="U2116">
        <v>26</v>
      </c>
      <c r="V2116">
        <v>57</v>
      </c>
      <c r="W2116">
        <v>12.1</v>
      </c>
    </row>
    <row r="2117" spans="1:23" x14ac:dyDescent="0.25">
      <c r="A2117">
        <v>6</v>
      </c>
      <c r="B2117" t="s">
        <v>70</v>
      </c>
      <c r="C2117" s="1">
        <v>45434</v>
      </c>
      <c r="D2117" t="s">
        <v>71</v>
      </c>
      <c r="E2117">
        <v>0</v>
      </c>
      <c r="F2117">
        <v>29</v>
      </c>
      <c r="G2117" t="str">
        <f t="shared" si="41"/>
        <v>21-40</v>
      </c>
      <c r="H2117" t="s">
        <v>35</v>
      </c>
      <c r="I2117" t="s">
        <v>31</v>
      </c>
      <c r="J2117" t="s">
        <v>28</v>
      </c>
      <c r="K2117" t="s">
        <v>26</v>
      </c>
      <c r="L2117">
        <v>1</v>
      </c>
      <c r="M2117">
        <v>1</v>
      </c>
      <c r="N2117">
        <v>6.7</v>
      </c>
      <c r="O2117">
        <v>7.1</v>
      </c>
      <c r="P2117">
        <v>3</v>
      </c>
      <c r="Q2117">
        <v>5</v>
      </c>
      <c r="R2117">
        <v>620758</v>
      </c>
      <c r="S2117">
        <f>Table1[[#This Row],[Revenue]]-Table1[[#This Row],[Operating_Costs]]</f>
        <v>169082</v>
      </c>
      <c r="T2117">
        <v>451676</v>
      </c>
      <c r="U2117">
        <v>21</v>
      </c>
      <c r="V2117">
        <v>62</v>
      </c>
      <c r="W2117">
        <v>14</v>
      </c>
    </row>
    <row r="2118" spans="1:23" x14ac:dyDescent="0.25">
      <c r="A2118">
        <v>6</v>
      </c>
      <c r="B2118" t="s">
        <v>70</v>
      </c>
      <c r="C2118" s="1">
        <v>45199</v>
      </c>
      <c r="D2118" t="s">
        <v>71</v>
      </c>
      <c r="E2118">
        <v>0</v>
      </c>
      <c r="F2118">
        <v>76</v>
      </c>
      <c r="G2118" t="str">
        <f t="shared" si="41"/>
        <v>61-80</v>
      </c>
      <c r="H2118" t="s">
        <v>23</v>
      </c>
      <c r="I2118" t="s">
        <v>24</v>
      </c>
      <c r="J2118" t="s">
        <v>25</v>
      </c>
      <c r="K2118" t="s">
        <v>42</v>
      </c>
      <c r="L2118">
        <v>1</v>
      </c>
      <c r="M2118">
        <v>1</v>
      </c>
      <c r="N2118">
        <v>4.2</v>
      </c>
      <c r="O2118">
        <v>9.1</v>
      </c>
      <c r="P2118">
        <v>3</v>
      </c>
      <c r="Q2118">
        <v>7</v>
      </c>
      <c r="R2118">
        <v>715637</v>
      </c>
      <c r="S2118">
        <f>Table1[[#This Row],[Revenue]]-Table1[[#This Row],[Operating_Costs]]</f>
        <v>242692</v>
      </c>
      <c r="T2118">
        <v>472945</v>
      </c>
      <c r="U2118">
        <v>22</v>
      </c>
      <c r="V2118">
        <v>60</v>
      </c>
      <c r="W2118">
        <v>9.3000000000000007</v>
      </c>
    </row>
    <row r="2119" spans="1:23" x14ac:dyDescent="0.25">
      <c r="A2119">
        <v>6</v>
      </c>
      <c r="B2119" t="s">
        <v>70</v>
      </c>
      <c r="C2119" s="1">
        <v>44906</v>
      </c>
      <c r="D2119" t="s">
        <v>71</v>
      </c>
      <c r="E2119">
        <v>0</v>
      </c>
      <c r="F2119">
        <v>51</v>
      </c>
      <c r="G2119" t="str">
        <f t="shared" si="41"/>
        <v>41-60</v>
      </c>
      <c r="H2119" t="s">
        <v>23</v>
      </c>
      <c r="I2119" t="s">
        <v>24</v>
      </c>
      <c r="J2119" t="s">
        <v>25</v>
      </c>
      <c r="K2119" t="s">
        <v>38</v>
      </c>
      <c r="L2119">
        <v>1</v>
      </c>
      <c r="M2119">
        <v>1</v>
      </c>
      <c r="N2119">
        <v>4</v>
      </c>
      <c r="O2119">
        <v>8.6</v>
      </c>
      <c r="P2119">
        <v>7</v>
      </c>
      <c r="Q2119">
        <v>3</v>
      </c>
      <c r="R2119">
        <v>735303</v>
      </c>
      <c r="S2119">
        <f>Table1[[#This Row],[Revenue]]-Table1[[#This Row],[Operating_Costs]]</f>
        <v>257766</v>
      </c>
      <c r="T2119">
        <v>477537</v>
      </c>
      <c r="U2119">
        <v>28</v>
      </c>
      <c r="V2119">
        <v>54</v>
      </c>
      <c r="W2119">
        <v>5.2</v>
      </c>
    </row>
    <row r="2120" spans="1:23" x14ac:dyDescent="0.25">
      <c r="A2120">
        <v>6</v>
      </c>
      <c r="B2120" t="s">
        <v>70</v>
      </c>
      <c r="C2120" s="1">
        <v>45226</v>
      </c>
      <c r="D2120" t="s">
        <v>71</v>
      </c>
      <c r="E2120">
        <v>0</v>
      </c>
      <c r="F2120">
        <v>89</v>
      </c>
      <c r="G2120" t="str">
        <f t="shared" si="41"/>
        <v>81+</v>
      </c>
      <c r="H2120" t="s">
        <v>35</v>
      </c>
      <c r="I2120" t="s">
        <v>55</v>
      </c>
      <c r="J2120" t="s">
        <v>56</v>
      </c>
      <c r="K2120" t="s">
        <v>33</v>
      </c>
      <c r="L2120">
        <v>1</v>
      </c>
      <c r="M2120">
        <v>1</v>
      </c>
      <c r="N2120">
        <v>4.3</v>
      </c>
      <c r="O2120">
        <v>8.4</v>
      </c>
      <c r="P2120">
        <v>3</v>
      </c>
      <c r="Q2120">
        <v>4</v>
      </c>
      <c r="R2120">
        <v>629449</v>
      </c>
      <c r="S2120">
        <f>Table1[[#This Row],[Revenue]]-Table1[[#This Row],[Operating_Costs]]</f>
        <v>52608</v>
      </c>
      <c r="T2120">
        <v>576841</v>
      </c>
      <c r="U2120">
        <v>21</v>
      </c>
      <c r="V2120">
        <v>55</v>
      </c>
      <c r="W2120">
        <v>10.199999999999999</v>
      </c>
    </row>
    <row r="2121" spans="1:23" x14ac:dyDescent="0.25">
      <c r="A2121">
        <v>6</v>
      </c>
      <c r="B2121" t="s">
        <v>70</v>
      </c>
      <c r="C2121" s="1">
        <v>44578</v>
      </c>
      <c r="D2121" t="s">
        <v>71</v>
      </c>
      <c r="E2121">
        <v>0</v>
      </c>
      <c r="F2121">
        <v>28</v>
      </c>
      <c r="G2121" t="str">
        <f t="shared" si="41"/>
        <v>21-40</v>
      </c>
      <c r="H2121" t="s">
        <v>23</v>
      </c>
      <c r="I2121" t="s">
        <v>50</v>
      </c>
      <c r="J2121" t="s">
        <v>51</v>
      </c>
      <c r="K2121" t="s">
        <v>33</v>
      </c>
      <c r="L2121">
        <v>1</v>
      </c>
      <c r="M2121">
        <v>1</v>
      </c>
      <c r="N2121">
        <v>6.8</v>
      </c>
      <c r="O2121">
        <v>8.1</v>
      </c>
      <c r="P2121">
        <v>3</v>
      </c>
      <c r="Q2121">
        <v>6</v>
      </c>
      <c r="R2121">
        <v>735222</v>
      </c>
      <c r="S2121">
        <f>Table1[[#This Row],[Revenue]]-Table1[[#This Row],[Operating_Costs]]</f>
        <v>261474</v>
      </c>
      <c r="T2121">
        <v>473748</v>
      </c>
      <c r="U2121">
        <v>28</v>
      </c>
      <c r="V2121">
        <v>59</v>
      </c>
      <c r="W2121">
        <v>12.9</v>
      </c>
    </row>
    <row r="2122" spans="1:23" x14ac:dyDescent="0.25">
      <c r="A2122">
        <v>6</v>
      </c>
      <c r="B2122" t="s">
        <v>70</v>
      </c>
      <c r="C2122" s="1">
        <v>44527</v>
      </c>
      <c r="D2122" t="s">
        <v>71</v>
      </c>
      <c r="E2122">
        <v>0</v>
      </c>
      <c r="F2122">
        <v>36</v>
      </c>
      <c r="G2122" t="str">
        <f t="shared" si="41"/>
        <v>21-40</v>
      </c>
      <c r="H2122" t="s">
        <v>23</v>
      </c>
      <c r="I2122" t="s">
        <v>64</v>
      </c>
      <c r="J2122" t="s">
        <v>65</v>
      </c>
      <c r="K2122" t="s">
        <v>38</v>
      </c>
      <c r="L2122">
        <v>1</v>
      </c>
      <c r="M2122">
        <v>1</v>
      </c>
      <c r="N2122">
        <v>5.6</v>
      </c>
      <c r="O2122">
        <v>8.8000000000000007</v>
      </c>
      <c r="P2122">
        <v>6</v>
      </c>
      <c r="Q2122">
        <v>5</v>
      </c>
      <c r="R2122">
        <v>780517</v>
      </c>
      <c r="S2122">
        <f>Table1[[#This Row],[Revenue]]-Table1[[#This Row],[Operating_Costs]]</f>
        <v>290322</v>
      </c>
      <c r="T2122">
        <v>490195</v>
      </c>
      <c r="U2122">
        <v>21</v>
      </c>
      <c r="V2122">
        <v>59</v>
      </c>
      <c r="W2122">
        <v>5.0999999999999996</v>
      </c>
    </row>
    <row r="2123" spans="1:23" x14ac:dyDescent="0.25">
      <c r="A2123">
        <v>6</v>
      </c>
      <c r="B2123" t="s">
        <v>70</v>
      </c>
      <c r="C2123" s="1">
        <v>44658</v>
      </c>
      <c r="D2123" t="s">
        <v>71</v>
      </c>
      <c r="E2123">
        <v>0</v>
      </c>
      <c r="F2123">
        <v>39</v>
      </c>
      <c r="G2123" t="str">
        <f t="shared" si="41"/>
        <v>21-40</v>
      </c>
      <c r="H2123" t="s">
        <v>23</v>
      </c>
      <c r="I2123" t="s">
        <v>50</v>
      </c>
      <c r="J2123" t="s">
        <v>51</v>
      </c>
      <c r="K2123" t="s">
        <v>26</v>
      </c>
      <c r="L2123">
        <v>1</v>
      </c>
      <c r="M2123">
        <v>1</v>
      </c>
      <c r="N2123">
        <v>4.5</v>
      </c>
      <c r="O2123">
        <v>9.9</v>
      </c>
      <c r="P2123">
        <v>6</v>
      </c>
      <c r="Q2123">
        <v>3</v>
      </c>
      <c r="R2123">
        <v>792487</v>
      </c>
      <c r="S2123">
        <f>Table1[[#This Row],[Revenue]]-Table1[[#This Row],[Operating_Costs]]</f>
        <v>294060</v>
      </c>
      <c r="T2123">
        <v>498427</v>
      </c>
      <c r="U2123">
        <v>30</v>
      </c>
      <c r="V2123">
        <v>58</v>
      </c>
      <c r="W2123">
        <v>6.6</v>
      </c>
    </row>
    <row r="2124" spans="1:23" x14ac:dyDescent="0.25">
      <c r="A2124">
        <v>6</v>
      </c>
      <c r="B2124" t="s">
        <v>70</v>
      </c>
      <c r="C2124" s="1">
        <v>45446</v>
      </c>
      <c r="D2124" t="s">
        <v>71</v>
      </c>
      <c r="E2124">
        <v>0</v>
      </c>
      <c r="F2124">
        <v>46</v>
      </c>
      <c r="G2124" t="str">
        <f t="shared" si="41"/>
        <v>41-60</v>
      </c>
      <c r="H2124" t="s">
        <v>35</v>
      </c>
      <c r="I2124" t="s">
        <v>58</v>
      </c>
      <c r="J2124" t="s">
        <v>59</v>
      </c>
      <c r="K2124" t="s">
        <v>33</v>
      </c>
      <c r="L2124">
        <v>1</v>
      </c>
      <c r="M2124">
        <v>1</v>
      </c>
      <c r="N2124">
        <v>2.7</v>
      </c>
      <c r="O2124">
        <v>8.5</v>
      </c>
      <c r="P2124">
        <v>3</v>
      </c>
      <c r="Q2124">
        <v>6</v>
      </c>
      <c r="R2124">
        <v>754594</v>
      </c>
      <c r="S2124">
        <f>Table1[[#This Row],[Revenue]]-Table1[[#This Row],[Operating_Costs]]</f>
        <v>336459</v>
      </c>
      <c r="T2124">
        <v>418135</v>
      </c>
      <c r="U2124">
        <v>27</v>
      </c>
      <c r="V2124">
        <v>62</v>
      </c>
      <c r="W2124">
        <v>10.3</v>
      </c>
    </row>
    <row r="2125" spans="1:23" x14ac:dyDescent="0.25">
      <c r="A2125">
        <v>6</v>
      </c>
      <c r="B2125" t="s">
        <v>70</v>
      </c>
      <c r="C2125" s="1">
        <v>44975</v>
      </c>
      <c r="D2125" t="s">
        <v>71</v>
      </c>
      <c r="E2125">
        <v>0</v>
      </c>
      <c r="F2125">
        <v>62</v>
      </c>
      <c r="G2125" t="str">
        <f t="shared" si="41"/>
        <v>61-80</v>
      </c>
      <c r="H2125" t="s">
        <v>35</v>
      </c>
      <c r="I2125" t="s">
        <v>60</v>
      </c>
      <c r="J2125" t="s">
        <v>59</v>
      </c>
      <c r="K2125" t="s">
        <v>42</v>
      </c>
      <c r="L2125">
        <v>1</v>
      </c>
      <c r="M2125">
        <v>1</v>
      </c>
      <c r="N2125">
        <v>4.3</v>
      </c>
      <c r="O2125">
        <v>7</v>
      </c>
      <c r="P2125">
        <v>7</v>
      </c>
      <c r="Q2125">
        <v>7</v>
      </c>
      <c r="R2125">
        <v>640984</v>
      </c>
      <c r="S2125">
        <f>Table1[[#This Row],[Revenue]]-Table1[[#This Row],[Operating_Costs]]</f>
        <v>202678</v>
      </c>
      <c r="T2125">
        <v>438306</v>
      </c>
      <c r="U2125">
        <v>26</v>
      </c>
      <c r="V2125">
        <v>54</v>
      </c>
      <c r="W2125">
        <v>14.9</v>
      </c>
    </row>
    <row r="2126" spans="1:23" x14ac:dyDescent="0.25">
      <c r="A2126">
        <v>6</v>
      </c>
      <c r="B2126" t="s">
        <v>70</v>
      </c>
      <c r="C2126" s="1">
        <v>45028</v>
      </c>
      <c r="D2126" t="s">
        <v>71</v>
      </c>
      <c r="E2126">
        <v>0</v>
      </c>
      <c r="F2126">
        <v>29</v>
      </c>
      <c r="G2126" t="str">
        <f t="shared" si="41"/>
        <v>21-40</v>
      </c>
      <c r="H2126" t="s">
        <v>23</v>
      </c>
      <c r="I2126" t="s">
        <v>43</v>
      </c>
      <c r="J2126" t="s">
        <v>25</v>
      </c>
      <c r="K2126" t="s">
        <v>26</v>
      </c>
      <c r="L2126">
        <v>1</v>
      </c>
      <c r="M2126">
        <v>1</v>
      </c>
      <c r="N2126">
        <v>6.7</v>
      </c>
      <c r="O2126">
        <v>7.6</v>
      </c>
      <c r="P2126">
        <v>4</v>
      </c>
      <c r="Q2126">
        <v>3</v>
      </c>
      <c r="R2126">
        <v>720106</v>
      </c>
      <c r="S2126">
        <f>Table1[[#This Row],[Revenue]]-Table1[[#This Row],[Operating_Costs]]</f>
        <v>181072</v>
      </c>
      <c r="T2126">
        <v>539034</v>
      </c>
      <c r="U2126">
        <v>24</v>
      </c>
      <c r="V2126">
        <v>57</v>
      </c>
      <c r="W2126">
        <v>6.1</v>
      </c>
    </row>
    <row r="2127" spans="1:23" x14ac:dyDescent="0.25">
      <c r="A2127">
        <v>6</v>
      </c>
      <c r="B2127" t="s">
        <v>70</v>
      </c>
      <c r="C2127" s="1">
        <v>45530</v>
      </c>
      <c r="D2127" t="s">
        <v>71</v>
      </c>
      <c r="E2127">
        <v>0</v>
      </c>
      <c r="F2127">
        <v>90</v>
      </c>
      <c r="G2127" t="str">
        <f t="shared" si="41"/>
        <v>81+</v>
      </c>
      <c r="H2127" t="s">
        <v>23</v>
      </c>
      <c r="I2127" t="s">
        <v>24</v>
      </c>
      <c r="J2127" t="s">
        <v>25</v>
      </c>
      <c r="K2127" t="s">
        <v>29</v>
      </c>
      <c r="L2127">
        <v>1</v>
      </c>
      <c r="M2127">
        <v>1</v>
      </c>
      <c r="N2127">
        <v>1.1000000000000001</v>
      </c>
      <c r="O2127">
        <v>9.8000000000000007</v>
      </c>
      <c r="P2127">
        <v>5</v>
      </c>
      <c r="Q2127">
        <v>4</v>
      </c>
      <c r="R2127">
        <v>754705</v>
      </c>
      <c r="S2127">
        <f>Table1[[#This Row],[Revenue]]-Table1[[#This Row],[Operating_Costs]]</f>
        <v>267136</v>
      </c>
      <c r="T2127">
        <v>487569</v>
      </c>
      <c r="U2127">
        <v>27</v>
      </c>
      <c r="V2127">
        <v>65</v>
      </c>
      <c r="W2127">
        <v>8.4</v>
      </c>
    </row>
    <row r="2128" spans="1:23" x14ac:dyDescent="0.25">
      <c r="A2128">
        <v>6</v>
      </c>
      <c r="B2128" t="s">
        <v>70</v>
      </c>
      <c r="C2128" s="1">
        <v>44466</v>
      </c>
      <c r="D2128" t="s">
        <v>71</v>
      </c>
      <c r="E2128">
        <v>0</v>
      </c>
      <c r="F2128">
        <v>60</v>
      </c>
      <c r="G2128" t="str">
        <f t="shared" si="41"/>
        <v>41-60</v>
      </c>
      <c r="H2128" t="s">
        <v>23</v>
      </c>
      <c r="I2128" t="s">
        <v>24</v>
      </c>
      <c r="J2128" t="s">
        <v>25</v>
      </c>
      <c r="K2128" t="s">
        <v>26</v>
      </c>
      <c r="L2128">
        <v>1</v>
      </c>
      <c r="M2128">
        <v>1</v>
      </c>
      <c r="N2128">
        <v>4.7</v>
      </c>
      <c r="O2128">
        <v>8.3000000000000007</v>
      </c>
      <c r="P2128">
        <v>7</v>
      </c>
      <c r="Q2128">
        <v>6</v>
      </c>
      <c r="R2128">
        <v>689014</v>
      </c>
      <c r="S2128">
        <f>Table1[[#This Row],[Revenue]]-Table1[[#This Row],[Operating_Costs]]</f>
        <v>260392</v>
      </c>
      <c r="T2128">
        <v>428622</v>
      </c>
      <c r="U2128">
        <v>24</v>
      </c>
      <c r="V2128">
        <v>65</v>
      </c>
      <c r="W2128">
        <v>7</v>
      </c>
    </row>
    <row r="2129" spans="1:23" x14ac:dyDescent="0.25">
      <c r="A2129">
        <v>6</v>
      </c>
      <c r="B2129" t="s">
        <v>70</v>
      </c>
      <c r="C2129" s="1">
        <v>45438</v>
      </c>
      <c r="D2129" t="s">
        <v>71</v>
      </c>
      <c r="E2129">
        <v>0</v>
      </c>
      <c r="F2129">
        <v>32</v>
      </c>
      <c r="G2129" t="str">
        <f t="shared" si="41"/>
        <v>21-40</v>
      </c>
      <c r="H2129" t="s">
        <v>23</v>
      </c>
      <c r="I2129" t="s">
        <v>31</v>
      </c>
      <c r="J2129" t="s">
        <v>28</v>
      </c>
      <c r="K2129" t="s">
        <v>33</v>
      </c>
      <c r="L2129">
        <v>1</v>
      </c>
      <c r="M2129">
        <v>1</v>
      </c>
      <c r="N2129">
        <v>5.2</v>
      </c>
      <c r="O2129">
        <v>9.1</v>
      </c>
      <c r="P2129">
        <v>5</v>
      </c>
      <c r="Q2129">
        <v>5</v>
      </c>
      <c r="R2129">
        <v>753989</v>
      </c>
      <c r="S2129">
        <f>Table1[[#This Row],[Revenue]]-Table1[[#This Row],[Operating_Costs]]</f>
        <v>172723</v>
      </c>
      <c r="T2129">
        <v>581266</v>
      </c>
      <c r="U2129">
        <v>22</v>
      </c>
      <c r="V2129">
        <v>60</v>
      </c>
      <c r="W2129">
        <v>36.200000000000003</v>
      </c>
    </row>
    <row r="2130" spans="1:23" x14ac:dyDescent="0.25">
      <c r="A2130">
        <v>6</v>
      </c>
      <c r="B2130" t="s">
        <v>70</v>
      </c>
      <c r="C2130" s="1">
        <v>45226</v>
      </c>
      <c r="D2130" t="s">
        <v>71</v>
      </c>
      <c r="E2130">
        <v>0</v>
      </c>
      <c r="F2130">
        <v>80</v>
      </c>
      <c r="G2130" t="str">
        <f t="shared" si="41"/>
        <v>61-80</v>
      </c>
      <c r="H2130" t="s">
        <v>35</v>
      </c>
      <c r="I2130" t="s">
        <v>60</v>
      </c>
      <c r="J2130" t="s">
        <v>59</v>
      </c>
      <c r="K2130" t="s">
        <v>42</v>
      </c>
      <c r="L2130">
        <v>1</v>
      </c>
      <c r="M2130">
        <v>1</v>
      </c>
      <c r="N2130">
        <v>6.2</v>
      </c>
      <c r="O2130">
        <v>7.2</v>
      </c>
      <c r="P2130">
        <v>5</v>
      </c>
      <c r="Q2130">
        <v>3</v>
      </c>
      <c r="R2130">
        <v>779633</v>
      </c>
      <c r="S2130">
        <f>Table1[[#This Row],[Revenue]]-Table1[[#This Row],[Operating_Costs]]</f>
        <v>342318</v>
      </c>
      <c r="T2130">
        <v>437315</v>
      </c>
      <c r="U2130">
        <v>21</v>
      </c>
      <c r="V2130">
        <v>55</v>
      </c>
      <c r="W2130">
        <v>13.7</v>
      </c>
    </row>
    <row r="2131" spans="1:23" x14ac:dyDescent="0.25">
      <c r="A2131">
        <v>6</v>
      </c>
      <c r="B2131" t="s">
        <v>70</v>
      </c>
      <c r="C2131" s="1">
        <v>45073</v>
      </c>
      <c r="D2131" t="s">
        <v>71</v>
      </c>
      <c r="E2131">
        <v>0</v>
      </c>
      <c r="F2131">
        <v>34</v>
      </c>
      <c r="G2131" t="str">
        <f t="shared" si="41"/>
        <v>21-40</v>
      </c>
      <c r="H2131" t="s">
        <v>35</v>
      </c>
      <c r="I2131" t="s">
        <v>60</v>
      </c>
      <c r="J2131" t="s">
        <v>59</v>
      </c>
      <c r="K2131" t="s">
        <v>38</v>
      </c>
      <c r="L2131">
        <v>1</v>
      </c>
      <c r="M2131">
        <v>1</v>
      </c>
      <c r="N2131">
        <v>1.9</v>
      </c>
      <c r="O2131">
        <v>7.1</v>
      </c>
      <c r="P2131">
        <v>4</v>
      </c>
      <c r="Q2131">
        <v>4</v>
      </c>
      <c r="R2131">
        <v>703552</v>
      </c>
      <c r="S2131">
        <f>Table1[[#This Row],[Revenue]]-Table1[[#This Row],[Operating_Costs]]</f>
        <v>209702</v>
      </c>
      <c r="T2131">
        <v>493850</v>
      </c>
      <c r="U2131">
        <v>29</v>
      </c>
      <c r="V2131">
        <v>64</v>
      </c>
      <c r="W2131">
        <v>14.9</v>
      </c>
    </row>
    <row r="2132" spans="1:23" x14ac:dyDescent="0.25">
      <c r="A2132">
        <v>6</v>
      </c>
      <c r="B2132" t="s">
        <v>70</v>
      </c>
      <c r="C2132" s="1">
        <v>45610</v>
      </c>
      <c r="D2132" t="s">
        <v>71</v>
      </c>
      <c r="E2132">
        <v>0</v>
      </c>
      <c r="F2132">
        <v>77</v>
      </c>
      <c r="G2132" t="str">
        <f t="shared" si="41"/>
        <v>61-80</v>
      </c>
      <c r="H2132" t="s">
        <v>35</v>
      </c>
      <c r="I2132" t="s">
        <v>31</v>
      </c>
      <c r="J2132" t="s">
        <v>28</v>
      </c>
      <c r="K2132" t="s">
        <v>26</v>
      </c>
      <c r="L2132">
        <v>1</v>
      </c>
      <c r="M2132">
        <v>1</v>
      </c>
      <c r="N2132">
        <v>5.6</v>
      </c>
      <c r="O2132">
        <v>8.5</v>
      </c>
      <c r="P2132">
        <v>5</v>
      </c>
      <c r="Q2132">
        <v>3</v>
      </c>
      <c r="R2132">
        <v>798179</v>
      </c>
      <c r="S2132">
        <f>Table1[[#This Row],[Revenue]]-Table1[[#This Row],[Operating_Costs]]</f>
        <v>364206</v>
      </c>
      <c r="T2132">
        <v>433973</v>
      </c>
      <c r="U2132">
        <v>29</v>
      </c>
      <c r="V2132">
        <v>59</v>
      </c>
      <c r="W2132">
        <v>7.7</v>
      </c>
    </row>
    <row r="2133" spans="1:23" x14ac:dyDescent="0.25">
      <c r="A2133">
        <v>6</v>
      </c>
      <c r="B2133" t="s">
        <v>70</v>
      </c>
      <c r="C2133" s="1">
        <v>44711</v>
      </c>
      <c r="D2133" t="s">
        <v>71</v>
      </c>
      <c r="E2133">
        <v>0</v>
      </c>
      <c r="F2133">
        <v>33</v>
      </c>
      <c r="G2133" t="str">
        <f t="shared" si="41"/>
        <v>21-40</v>
      </c>
      <c r="H2133" t="s">
        <v>23</v>
      </c>
      <c r="I2133" t="s">
        <v>24</v>
      </c>
      <c r="J2133" t="s">
        <v>25</v>
      </c>
      <c r="K2133" t="s">
        <v>29</v>
      </c>
      <c r="L2133">
        <v>1</v>
      </c>
      <c r="M2133">
        <v>1</v>
      </c>
      <c r="N2133">
        <v>5.8</v>
      </c>
      <c r="O2133">
        <v>7</v>
      </c>
      <c r="P2133">
        <v>4</v>
      </c>
      <c r="Q2133">
        <v>5</v>
      </c>
      <c r="R2133">
        <v>797387</v>
      </c>
      <c r="S2133">
        <f>Table1[[#This Row],[Revenue]]-Table1[[#This Row],[Operating_Costs]]</f>
        <v>280634</v>
      </c>
      <c r="T2133">
        <v>516753</v>
      </c>
      <c r="U2133">
        <v>22</v>
      </c>
      <c r="V2133">
        <v>59</v>
      </c>
      <c r="W2133">
        <v>10.7</v>
      </c>
    </row>
    <row r="2134" spans="1:23" x14ac:dyDescent="0.25">
      <c r="A2134">
        <v>6</v>
      </c>
      <c r="B2134" t="s">
        <v>70</v>
      </c>
      <c r="C2134" s="1">
        <v>45587</v>
      </c>
      <c r="D2134" t="s">
        <v>71</v>
      </c>
      <c r="E2134">
        <v>0</v>
      </c>
      <c r="F2134">
        <v>58</v>
      </c>
      <c r="G2134" t="str">
        <f t="shared" si="41"/>
        <v>41-60</v>
      </c>
      <c r="H2134" t="s">
        <v>35</v>
      </c>
      <c r="I2134" t="s">
        <v>64</v>
      </c>
      <c r="J2134" t="s">
        <v>65</v>
      </c>
      <c r="K2134" t="s">
        <v>38</v>
      </c>
      <c r="L2134">
        <v>1</v>
      </c>
      <c r="M2134">
        <v>1</v>
      </c>
      <c r="N2134">
        <v>5.3</v>
      </c>
      <c r="O2134">
        <v>9.3000000000000007</v>
      </c>
      <c r="P2134">
        <v>3</v>
      </c>
      <c r="Q2134">
        <v>4</v>
      </c>
      <c r="R2134">
        <v>629331</v>
      </c>
      <c r="S2134">
        <f>Table1[[#This Row],[Revenue]]-Table1[[#This Row],[Operating_Costs]]</f>
        <v>71056</v>
      </c>
      <c r="T2134">
        <v>558275</v>
      </c>
      <c r="U2134">
        <v>20</v>
      </c>
      <c r="V2134">
        <v>62</v>
      </c>
      <c r="W2134">
        <v>14.8</v>
      </c>
    </row>
    <row r="2135" spans="1:23" x14ac:dyDescent="0.25">
      <c r="A2135">
        <v>6</v>
      </c>
      <c r="B2135" t="s">
        <v>70</v>
      </c>
      <c r="C2135" s="1">
        <v>45377</v>
      </c>
      <c r="D2135" t="s">
        <v>71</v>
      </c>
      <c r="E2135">
        <v>0</v>
      </c>
      <c r="F2135">
        <v>78</v>
      </c>
      <c r="G2135" t="str">
        <f t="shared" si="41"/>
        <v>61-80</v>
      </c>
      <c r="H2135" t="s">
        <v>35</v>
      </c>
      <c r="I2135" t="s">
        <v>60</v>
      </c>
      <c r="J2135" t="s">
        <v>59</v>
      </c>
      <c r="K2135" t="s">
        <v>29</v>
      </c>
      <c r="L2135">
        <v>1</v>
      </c>
      <c r="M2135">
        <v>1</v>
      </c>
      <c r="N2135">
        <v>1.9</v>
      </c>
      <c r="O2135">
        <v>9.1999999999999993</v>
      </c>
      <c r="P2135">
        <v>6</v>
      </c>
      <c r="Q2135">
        <v>5</v>
      </c>
      <c r="R2135">
        <v>742922</v>
      </c>
      <c r="S2135">
        <f>Table1[[#This Row],[Revenue]]-Table1[[#This Row],[Operating_Costs]]</f>
        <v>204134</v>
      </c>
      <c r="T2135">
        <v>538788</v>
      </c>
      <c r="U2135">
        <v>24</v>
      </c>
      <c r="V2135">
        <v>65</v>
      </c>
      <c r="W2135">
        <v>5.2</v>
      </c>
    </row>
    <row r="2136" spans="1:23" x14ac:dyDescent="0.25">
      <c r="A2136">
        <v>6</v>
      </c>
      <c r="B2136" t="s">
        <v>70</v>
      </c>
      <c r="C2136" s="1">
        <v>44522</v>
      </c>
      <c r="D2136" t="s">
        <v>71</v>
      </c>
      <c r="E2136">
        <v>0</v>
      </c>
      <c r="F2136">
        <v>82</v>
      </c>
      <c r="G2136" t="str">
        <f t="shared" si="41"/>
        <v>81+</v>
      </c>
      <c r="H2136" t="s">
        <v>35</v>
      </c>
      <c r="I2136" t="s">
        <v>50</v>
      </c>
      <c r="J2136" t="s">
        <v>51</v>
      </c>
      <c r="K2136" t="s">
        <v>29</v>
      </c>
      <c r="L2136">
        <v>1</v>
      </c>
      <c r="M2136">
        <v>1</v>
      </c>
      <c r="N2136">
        <v>2.5</v>
      </c>
      <c r="O2136">
        <v>9.1</v>
      </c>
      <c r="P2136">
        <v>4</v>
      </c>
      <c r="Q2136">
        <v>3</v>
      </c>
      <c r="R2136">
        <v>672655</v>
      </c>
      <c r="S2136">
        <f>Table1[[#This Row],[Revenue]]-Table1[[#This Row],[Operating_Costs]]</f>
        <v>235748</v>
      </c>
      <c r="T2136">
        <v>436907</v>
      </c>
      <c r="U2136">
        <v>21</v>
      </c>
      <c r="V2136">
        <v>60</v>
      </c>
      <c r="W2136">
        <v>36.4</v>
      </c>
    </row>
    <row r="2137" spans="1:23" x14ac:dyDescent="0.25">
      <c r="A2137">
        <v>6</v>
      </c>
      <c r="B2137" t="s">
        <v>70</v>
      </c>
      <c r="C2137" s="1">
        <v>44341</v>
      </c>
      <c r="D2137" t="s">
        <v>71</v>
      </c>
      <c r="E2137">
        <v>0</v>
      </c>
      <c r="F2137">
        <v>31</v>
      </c>
      <c r="G2137" t="str">
        <f t="shared" si="41"/>
        <v>21-40</v>
      </c>
      <c r="H2137" t="s">
        <v>35</v>
      </c>
      <c r="I2137" t="s">
        <v>58</v>
      </c>
      <c r="J2137" t="s">
        <v>59</v>
      </c>
      <c r="K2137" t="s">
        <v>38</v>
      </c>
      <c r="L2137">
        <v>1</v>
      </c>
      <c r="M2137">
        <v>1</v>
      </c>
      <c r="N2137">
        <v>3.2</v>
      </c>
      <c r="O2137">
        <v>9.6999999999999993</v>
      </c>
      <c r="P2137">
        <v>6</v>
      </c>
      <c r="Q2137">
        <v>5</v>
      </c>
      <c r="R2137">
        <v>632130</v>
      </c>
      <c r="S2137">
        <f>Table1[[#This Row],[Revenue]]-Table1[[#This Row],[Operating_Costs]]</f>
        <v>148659</v>
      </c>
      <c r="T2137">
        <v>483471</v>
      </c>
      <c r="U2137">
        <v>30</v>
      </c>
      <c r="V2137">
        <v>61</v>
      </c>
      <c r="W2137">
        <v>5.7</v>
      </c>
    </row>
    <row r="2138" spans="1:23" x14ac:dyDescent="0.25">
      <c r="A2138">
        <v>6</v>
      </c>
      <c r="B2138" t="s">
        <v>70</v>
      </c>
      <c r="C2138" s="1">
        <v>44568</v>
      </c>
      <c r="D2138" t="s">
        <v>71</v>
      </c>
      <c r="E2138">
        <v>0</v>
      </c>
      <c r="F2138">
        <v>54</v>
      </c>
      <c r="G2138" t="str">
        <f t="shared" si="41"/>
        <v>41-60</v>
      </c>
      <c r="H2138" t="s">
        <v>35</v>
      </c>
      <c r="I2138" t="s">
        <v>46</v>
      </c>
      <c r="J2138" t="s">
        <v>47</v>
      </c>
      <c r="K2138" t="s">
        <v>42</v>
      </c>
      <c r="L2138">
        <v>1</v>
      </c>
      <c r="M2138">
        <v>1</v>
      </c>
      <c r="N2138">
        <v>2</v>
      </c>
      <c r="O2138">
        <v>8.5</v>
      </c>
      <c r="P2138">
        <v>5</v>
      </c>
      <c r="Q2138">
        <v>7</v>
      </c>
      <c r="R2138">
        <v>694325</v>
      </c>
      <c r="S2138">
        <f>Table1[[#This Row],[Revenue]]-Table1[[#This Row],[Operating_Costs]]</f>
        <v>109782</v>
      </c>
      <c r="T2138">
        <v>584543</v>
      </c>
      <c r="U2138">
        <v>25</v>
      </c>
      <c r="V2138">
        <v>62</v>
      </c>
      <c r="W2138">
        <v>14.9</v>
      </c>
    </row>
    <row r="2139" spans="1:23" x14ac:dyDescent="0.25">
      <c r="A2139">
        <v>6</v>
      </c>
      <c r="B2139" t="s">
        <v>70</v>
      </c>
      <c r="C2139" s="1">
        <v>45436</v>
      </c>
      <c r="D2139" t="s">
        <v>71</v>
      </c>
      <c r="E2139">
        <v>0</v>
      </c>
      <c r="F2139">
        <v>76</v>
      </c>
      <c r="G2139" t="str">
        <f t="shared" si="41"/>
        <v>61-80</v>
      </c>
      <c r="H2139" t="s">
        <v>23</v>
      </c>
      <c r="I2139" t="s">
        <v>58</v>
      </c>
      <c r="J2139" t="s">
        <v>59</v>
      </c>
      <c r="K2139" t="s">
        <v>33</v>
      </c>
      <c r="L2139">
        <v>1</v>
      </c>
      <c r="M2139">
        <v>1</v>
      </c>
      <c r="N2139">
        <v>1.7</v>
      </c>
      <c r="O2139">
        <v>7.5</v>
      </c>
      <c r="P2139">
        <v>7</v>
      </c>
      <c r="Q2139">
        <v>3</v>
      </c>
      <c r="R2139">
        <v>633736</v>
      </c>
      <c r="S2139">
        <f>Table1[[#This Row],[Revenue]]-Table1[[#This Row],[Operating_Costs]]</f>
        <v>52146</v>
      </c>
      <c r="T2139">
        <v>581590</v>
      </c>
      <c r="U2139">
        <v>29</v>
      </c>
      <c r="V2139">
        <v>64</v>
      </c>
      <c r="W2139">
        <v>12.7</v>
      </c>
    </row>
    <row r="2140" spans="1:23" x14ac:dyDescent="0.25">
      <c r="A2140">
        <v>6</v>
      </c>
      <c r="B2140" t="s">
        <v>70</v>
      </c>
      <c r="C2140" s="1">
        <v>45244</v>
      </c>
      <c r="D2140" t="s">
        <v>71</v>
      </c>
      <c r="E2140">
        <v>0</v>
      </c>
      <c r="F2140">
        <v>73</v>
      </c>
      <c r="G2140" t="str">
        <f t="shared" si="41"/>
        <v>61-80</v>
      </c>
      <c r="H2140" t="s">
        <v>23</v>
      </c>
      <c r="I2140" t="s">
        <v>43</v>
      </c>
      <c r="J2140" t="s">
        <v>25</v>
      </c>
      <c r="K2140" t="s">
        <v>26</v>
      </c>
      <c r="L2140">
        <v>1</v>
      </c>
      <c r="M2140">
        <v>1</v>
      </c>
      <c r="N2140">
        <v>6.7</v>
      </c>
      <c r="O2140">
        <v>8.9</v>
      </c>
      <c r="P2140">
        <v>4</v>
      </c>
      <c r="Q2140">
        <v>6</v>
      </c>
      <c r="R2140">
        <v>788441</v>
      </c>
      <c r="S2140">
        <f>Table1[[#This Row],[Revenue]]-Table1[[#This Row],[Operating_Costs]]</f>
        <v>210139</v>
      </c>
      <c r="T2140">
        <v>578302</v>
      </c>
      <c r="U2140">
        <v>21</v>
      </c>
      <c r="V2140">
        <v>64</v>
      </c>
      <c r="W2140">
        <v>13.4</v>
      </c>
    </row>
    <row r="2141" spans="1:23" x14ac:dyDescent="0.25">
      <c r="A2141">
        <v>6</v>
      </c>
      <c r="B2141" t="s">
        <v>70</v>
      </c>
      <c r="C2141" s="1">
        <v>44591</v>
      </c>
      <c r="D2141" t="s">
        <v>71</v>
      </c>
      <c r="E2141">
        <v>0</v>
      </c>
      <c r="F2141">
        <v>37</v>
      </c>
      <c r="G2141" t="str">
        <f t="shared" si="41"/>
        <v>21-40</v>
      </c>
      <c r="H2141" t="s">
        <v>23</v>
      </c>
      <c r="I2141" t="s">
        <v>27</v>
      </c>
      <c r="J2141" t="s">
        <v>28</v>
      </c>
      <c r="K2141" t="s">
        <v>29</v>
      </c>
      <c r="L2141">
        <v>1</v>
      </c>
      <c r="M2141">
        <v>1</v>
      </c>
      <c r="N2141">
        <v>1.6</v>
      </c>
      <c r="O2141">
        <v>8</v>
      </c>
      <c r="P2141">
        <v>4</v>
      </c>
      <c r="Q2141">
        <v>5</v>
      </c>
      <c r="R2141">
        <v>799566</v>
      </c>
      <c r="S2141">
        <f>Table1[[#This Row],[Revenue]]-Table1[[#This Row],[Operating_Costs]]</f>
        <v>228929</v>
      </c>
      <c r="T2141">
        <v>570637</v>
      </c>
      <c r="U2141">
        <v>27</v>
      </c>
      <c r="V2141">
        <v>61</v>
      </c>
      <c r="W2141">
        <v>8.9</v>
      </c>
    </row>
    <row r="2142" spans="1:23" x14ac:dyDescent="0.25">
      <c r="A2142">
        <v>6</v>
      </c>
      <c r="B2142" t="s">
        <v>70</v>
      </c>
      <c r="C2142" s="1">
        <v>45169</v>
      </c>
      <c r="D2142" t="s">
        <v>71</v>
      </c>
      <c r="E2142">
        <v>0</v>
      </c>
      <c r="F2142">
        <v>45</v>
      </c>
      <c r="G2142" t="str">
        <f t="shared" si="41"/>
        <v>41-60</v>
      </c>
      <c r="H2142" t="s">
        <v>35</v>
      </c>
      <c r="I2142" t="s">
        <v>61</v>
      </c>
      <c r="J2142" t="s">
        <v>62</v>
      </c>
      <c r="K2142" t="s">
        <v>42</v>
      </c>
      <c r="L2142">
        <v>1</v>
      </c>
      <c r="M2142">
        <v>1</v>
      </c>
      <c r="N2142">
        <v>4.5999999999999996</v>
      </c>
      <c r="O2142">
        <v>9.6</v>
      </c>
      <c r="P2142">
        <v>6</v>
      </c>
      <c r="Q2142">
        <v>6</v>
      </c>
      <c r="R2142">
        <v>788074</v>
      </c>
      <c r="S2142">
        <f>Table1[[#This Row],[Revenue]]-Table1[[#This Row],[Operating_Costs]]</f>
        <v>254713</v>
      </c>
      <c r="T2142">
        <v>533361</v>
      </c>
      <c r="U2142">
        <v>21</v>
      </c>
      <c r="V2142">
        <v>58</v>
      </c>
      <c r="W2142">
        <v>7.5</v>
      </c>
    </row>
    <row r="2143" spans="1:23" x14ac:dyDescent="0.25">
      <c r="A2143">
        <v>6</v>
      </c>
      <c r="B2143" t="s">
        <v>70</v>
      </c>
      <c r="C2143" s="1">
        <v>44884</v>
      </c>
      <c r="D2143" t="s">
        <v>71</v>
      </c>
      <c r="E2143">
        <v>0</v>
      </c>
      <c r="F2143">
        <v>56</v>
      </c>
      <c r="G2143" t="str">
        <f t="shared" si="41"/>
        <v>41-60</v>
      </c>
      <c r="H2143" t="s">
        <v>35</v>
      </c>
      <c r="I2143" t="s">
        <v>46</v>
      </c>
      <c r="J2143" t="s">
        <v>47</v>
      </c>
      <c r="K2143" t="s">
        <v>38</v>
      </c>
      <c r="L2143">
        <v>1</v>
      </c>
      <c r="M2143">
        <v>1</v>
      </c>
      <c r="N2143">
        <v>1</v>
      </c>
      <c r="O2143">
        <v>9.5</v>
      </c>
      <c r="P2143">
        <v>7</v>
      </c>
      <c r="Q2143">
        <v>3</v>
      </c>
      <c r="R2143">
        <v>770429</v>
      </c>
      <c r="S2143">
        <f>Table1[[#This Row],[Revenue]]-Table1[[#This Row],[Operating_Costs]]</f>
        <v>235580</v>
      </c>
      <c r="T2143">
        <v>534849</v>
      </c>
      <c r="U2143">
        <v>24</v>
      </c>
      <c r="V2143">
        <v>64</v>
      </c>
      <c r="W2143">
        <v>9.1</v>
      </c>
    </row>
    <row r="2144" spans="1:23" x14ac:dyDescent="0.25">
      <c r="A2144">
        <v>6</v>
      </c>
      <c r="B2144" t="s">
        <v>70</v>
      </c>
      <c r="C2144" s="1">
        <v>44368</v>
      </c>
      <c r="D2144" t="s">
        <v>71</v>
      </c>
      <c r="E2144">
        <v>0</v>
      </c>
      <c r="F2144">
        <v>90</v>
      </c>
      <c r="G2144" t="str">
        <f t="shared" si="41"/>
        <v>81+</v>
      </c>
      <c r="H2144" t="s">
        <v>23</v>
      </c>
      <c r="I2144" t="s">
        <v>24</v>
      </c>
      <c r="J2144" t="s">
        <v>25</v>
      </c>
      <c r="K2144" t="s">
        <v>38</v>
      </c>
      <c r="L2144">
        <v>1</v>
      </c>
      <c r="M2144">
        <v>1</v>
      </c>
      <c r="N2144">
        <v>2.6</v>
      </c>
      <c r="O2144">
        <v>8.6999999999999993</v>
      </c>
      <c r="P2144">
        <v>5</v>
      </c>
      <c r="Q2144">
        <v>3</v>
      </c>
      <c r="R2144">
        <v>605150</v>
      </c>
      <c r="S2144">
        <f>Table1[[#This Row],[Revenue]]-Table1[[#This Row],[Operating_Costs]]</f>
        <v>185599</v>
      </c>
      <c r="T2144">
        <v>419551</v>
      </c>
      <c r="U2144">
        <v>27</v>
      </c>
      <c r="V2144">
        <v>56</v>
      </c>
      <c r="W2144">
        <v>36.9</v>
      </c>
    </row>
    <row r="2145" spans="1:23" x14ac:dyDescent="0.25">
      <c r="A2145">
        <v>6</v>
      </c>
      <c r="B2145" t="s">
        <v>70</v>
      </c>
      <c r="C2145" s="1">
        <v>44243</v>
      </c>
      <c r="D2145" t="s">
        <v>71</v>
      </c>
      <c r="E2145">
        <v>0</v>
      </c>
      <c r="F2145">
        <v>53</v>
      </c>
      <c r="G2145" t="str">
        <f t="shared" si="41"/>
        <v>41-60</v>
      </c>
      <c r="H2145" t="s">
        <v>35</v>
      </c>
      <c r="I2145" t="s">
        <v>36</v>
      </c>
      <c r="J2145" t="s">
        <v>37</v>
      </c>
      <c r="K2145" t="s">
        <v>29</v>
      </c>
      <c r="L2145">
        <v>1</v>
      </c>
      <c r="M2145">
        <v>1</v>
      </c>
      <c r="N2145">
        <v>6.8</v>
      </c>
      <c r="O2145">
        <v>8.1</v>
      </c>
      <c r="P2145">
        <v>4</v>
      </c>
      <c r="Q2145">
        <v>5</v>
      </c>
      <c r="R2145">
        <v>779560</v>
      </c>
      <c r="S2145">
        <f>Table1[[#This Row],[Revenue]]-Table1[[#This Row],[Operating_Costs]]</f>
        <v>363700</v>
      </c>
      <c r="T2145">
        <v>415860</v>
      </c>
      <c r="U2145">
        <v>27</v>
      </c>
      <c r="V2145">
        <v>61</v>
      </c>
      <c r="W2145">
        <v>8.4</v>
      </c>
    </row>
    <row r="2146" spans="1:23" x14ac:dyDescent="0.25">
      <c r="A2146">
        <v>6</v>
      </c>
      <c r="B2146" t="s">
        <v>70</v>
      </c>
      <c r="C2146" s="1">
        <v>45574</v>
      </c>
      <c r="D2146" t="s">
        <v>71</v>
      </c>
      <c r="E2146">
        <v>0</v>
      </c>
      <c r="F2146">
        <v>64</v>
      </c>
      <c r="G2146" t="str">
        <f t="shared" si="41"/>
        <v>61-80</v>
      </c>
      <c r="H2146" t="s">
        <v>23</v>
      </c>
      <c r="I2146" t="s">
        <v>31</v>
      </c>
      <c r="J2146" t="s">
        <v>28</v>
      </c>
      <c r="K2146" t="s">
        <v>26</v>
      </c>
      <c r="L2146">
        <v>1</v>
      </c>
      <c r="M2146">
        <v>1</v>
      </c>
      <c r="N2146">
        <v>2.2999999999999998</v>
      </c>
      <c r="O2146">
        <v>8.1</v>
      </c>
      <c r="P2146">
        <v>6</v>
      </c>
      <c r="Q2146">
        <v>6</v>
      </c>
      <c r="R2146">
        <v>616475</v>
      </c>
      <c r="S2146">
        <f>Table1[[#This Row],[Revenue]]-Table1[[#This Row],[Operating_Costs]]</f>
        <v>59252</v>
      </c>
      <c r="T2146">
        <v>557223</v>
      </c>
      <c r="U2146">
        <v>24</v>
      </c>
      <c r="V2146">
        <v>66</v>
      </c>
      <c r="W2146">
        <v>13.6</v>
      </c>
    </row>
    <row r="2147" spans="1:23" x14ac:dyDescent="0.25">
      <c r="A2147">
        <v>6</v>
      </c>
      <c r="B2147" t="s">
        <v>70</v>
      </c>
      <c r="C2147" s="1">
        <v>45223</v>
      </c>
      <c r="D2147" t="s">
        <v>71</v>
      </c>
      <c r="E2147">
        <v>0</v>
      </c>
      <c r="F2147">
        <v>72</v>
      </c>
      <c r="G2147" t="str">
        <f t="shared" si="41"/>
        <v>61-80</v>
      </c>
      <c r="H2147" t="s">
        <v>23</v>
      </c>
      <c r="I2147" t="s">
        <v>46</v>
      </c>
      <c r="J2147" t="s">
        <v>47</v>
      </c>
      <c r="K2147" t="s">
        <v>33</v>
      </c>
      <c r="L2147">
        <v>1</v>
      </c>
      <c r="M2147">
        <v>1</v>
      </c>
      <c r="N2147">
        <v>3.5</v>
      </c>
      <c r="O2147">
        <v>7.6</v>
      </c>
      <c r="P2147">
        <v>4</v>
      </c>
      <c r="Q2147">
        <v>5</v>
      </c>
      <c r="R2147">
        <v>781048</v>
      </c>
      <c r="S2147">
        <f>Table1[[#This Row],[Revenue]]-Table1[[#This Row],[Operating_Costs]]</f>
        <v>295680</v>
      </c>
      <c r="T2147">
        <v>485368</v>
      </c>
      <c r="U2147">
        <v>28</v>
      </c>
      <c r="V2147">
        <v>59</v>
      </c>
      <c r="W2147">
        <v>12.1</v>
      </c>
    </row>
    <row r="2148" spans="1:23" x14ac:dyDescent="0.25">
      <c r="A2148">
        <v>6</v>
      </c>
      <c r="B2148" t="s">
        <v>70</v>
      </c>
      <c r="C2148" s="1">
        <v>45235</v>
      </c>
      <c r="D2148" t="s">
        <v>71</v>
      </c>
      <c r="E2148">
        <v>0</v>
      </c>
      <c r="F2148">
        <v>35</v>
      </c>
      <c r="G2148" t="str">
        <f t="shared" si="41"/>
        <v>21-40</v>
      </c>
      <c r="H2148" t="s">
        <v>35</v>
      </c>
      <c r="I2148" t="s">
        <v>36</v>
      </c>
      <c r="J2148" t="s">
        <v>37</v>
      </c>
      <c r="K2148" t="s">
        <v>33</v>
      </c>
      <c r="L2148">
        <v>1</v>
      </c>
      <c r="M2148">
        <v>1</v>
      </c>
      <c r="N2148">
        <v>3.5</v>
      </c>
      <c r="O2148">
        <v>8.9</v>
      </c>
      <c r="P2148">
        <v>5</v>
      </c>
      <c r="Q2148">
        <v>4</v>
      </c>
      <c r="R2148">
        <v>612879</v>
      </c>
      <c r="S2148">
        <f>Table1[[#This Row],[Revenue]]-Table1[[#This Row],[Operating_Costs]]</f>
        <v>208303</v>
      </c>
      <c r="T2148">
        <v>404576</v>
      </c>
      <c r="U2148">
        <v>29</v>
      </c>
      <c r="V2148">
        <v>57</v>
      </c>
      <c r="W2148">
        <v>12.6</v>
      </c>
    </row>
    <row r="2149" spans="1:23" x14ac:dyDescent="0.25">
      <c r="A2149">
        <v>6</v>
      </c>
      <c r="B2149" t="s">
        <v>70</v>
      </c>
      <c r="C2149" s="1">
        <v>44413</v>
      </c>
      <c r="D2149" t="s">
        <v>71</v>
      </c>
      <c r="E2149">
        <v>0</v>
      </c>
      <c r="F2149">
        <v>42</v>
      </c>
      <c r="G2149" t="str">
        <f t="shared" si="41"/>
        <v>41-60</v>
      </c>
      <c r="H2149" t="s">
        <v>23</v>
      </c>
      <c r="I2149" t="s">
        <v>46</v>
      </c>
      <c r="J2149" t="s">
        <v>47</v>
      </c>
      <c r="K2149" t="s">
        <v>26</v>
      </c>
      <c r="L2149">
        <v>1</v>
      </c>
      <c r="M2149">
        <v>1</v>
      </c>
      <c r="N2149">
        <v>5.6</v>
      </c>
      <c r="O2149">
        <v>8.6999999999999993</v>
      </c>
      <c r="P2149">
        <v>7</v>
      </c>
      <c r="Q2149">
        <v>6</v>
      </c>
      <c r="R2149">
        <v>623660</v>
      </c>
      <c r="S2149">
        <f>Table1[[#This Row],[Revenue]]-Table1[[#This Row],[Operating_Costs]]</f>
        <v>131157</v>
      </c>
      <c r="T2149">
        <v>492503</v>
      </c>
      <c r="U2149">
        <v>20</v>
      </c>
      <c r="V2149">
        <v>56</v>
      </c>
      <c r="W2149">
        <v>6.3</v>
      </c>
    </row>
    <row r="2150" spans="1:23" x14ac:dyDescent="0.25">
      <c r="A2150">
        <v>6</v>
      </c>
      <c r="B2150" t="s">
        <v>70</v>
      </c>
      <c r="C2150" s="1">
        <v>45423</v>
      </c>
      <c r="D2150" t="s">
        <v>71</v>
      </c>
      <c r="E2150">
        <v>0</v>
      </c>
      <c r="F2150">
        <v>31</v>
      </c>
      <c r="G2150" t="str">
        <f t="shared" si="41"/>
        <v>21-40</v>
      </c>
      <c r="H2150" t="s">
        <v>35</v>
      </c>
      <c r="I2150" t="s">
        <v>61</v>
      </c>
      <c r="J2150" t="s">
        <v>62</v>
      </c>
      <c r="K2150" t="s">
        <v>29</v>
      </c>
      <c r="L2150">
        <v>1</v>
      </c>
      <c r="M2150">
        <v>1</v>
      </c>
      <c r="N2150">
        <v>2.4</v>
      </c>
      <c r="O2150">
        <v>9.9</v>
      </c>
      <c r="P2150">
        <v>7</v>
      </c>
      <c r="Q2150">
        <v>6</v>
      </c>
      <c r="R2150">
        <v>769095</v>
      </c>
      <c r="S2150">
        <f>Table1[[#This Row],[Revenue]]-Table1[[#This Row],[Operating_Costs]]</f>
        <v>313600</v>
      </c>
      <c r="T2150">
        <v>455495</v>
      </c>
      <c r="U2150">
        <v>24</v>
      </c>
      <c r="V2150">
        <v>61</v>
      </c>
      <c r="W2150">
        <v>12.9</v>
      </c>
    </row>
    <row r="2151" spans="1:23" x14ac:dyDescent="0.25">
      <c r="A2151">
        <v>6</v>
      </c>
      <c r="B2151" t="s">
        <v>70</v>
      </c>
      <c r="C2151" s="1">
        <v>44396</v>
      </c>
      <c r="D2151" t="s">
        <v>71</v>
      </c>
      <c r="E2151">
        <v>0</v>
      </c>
      <c r="F2151">
        <v>22</v>
      </c>
      <c r="G2151" t="str">
        <f t="shared" si="41"/>
        <v>21-40</v>
      </c>
      <c r="H2151" t="s">
        <v>35</v>
      </c>
      <c r="I2151" t="s">
        <v>61</v>
      </c>
      <c r="J2151" t="s">
        <v>62</v>
      </c>
      <c r="K2151" t="s">
        <v>26</v>
      </c>
      <c r="L2151">
        <v>1</v>
      </c>
      <c r="M2151">
        <v>1</v>
      </c>
      <c r="N2151">
        <v>3</v>
      </c>
      <c r="O2151">
        <v>7.1</v>
      </c>
      <c r="P2151">
        <v>7</v>
      </c>
      <c r="Q2151">
        <v>3</v>
      </c>
      <c r="R2151">
        <v>660663</v>
      </c>
      <c r="S2151">
        <f>Table1[[#This Row],[Revenue]]-Table1[[#This Row],[Operating_Costs]]</f>
        <v>195789</v>
      </c>
      <c r="T2151">
        <v>464874</v>
      </c>
      <c r="U2151">
        <v>29</v>
      </c>
      <c r="V2151">
        <v>63</v>
      </c>
      <c r="W2151">
        <v>8.4</v>
      </c>
    </row>
    <row r="2152" spans="1:23" x14ac:dyDescent="0.25">
      <c r="A2152">
        <v>6</v>
      </c>
      <c r="B2152" t="s">
        <v>70</v>
      </c>
      <c r="C2152" s="1">
        <v>44771</v>
      </c>
      <c r="D2152" t="s">
        <v>71</v>
      </c>
      <c r="E2152">
        <v>0</v>
      </c>
      <c r="F2152">
        <v>29</v>
      </c>
      <c r="G2152" t="str">
        <f t="shared" si="41"/>
        <v>21-40</v>
      </c>
      <c r="H2152" t="s">
        <v>35</v>
      </c>
      <c r="I2152" t="s">
        <v>36</v>
      </c>
      <c r="J2152" t="s">
        <v>37</v>
      </c>
      <c r="K2152" t="s">
        <v>26</v>
      </c>
      <c r="L2152">
        <v>1</v>
      </c>
      <c r="M2152">
        <v>1</v>
      </c>
      <c r="N2152">
        <v>2</v>
      </c>
      <c r="O2152">
        <v>7.1</v>
      </c>
      <c r="P2152">
        <v>6</v>
      </c>
      <c r="Q2152">
        <v>3</v>
      </c>
      <c r="R2152">
        <v>766709</v>
      </c>
      <c r="S2152">
        <f>Table1[[#This Row],[Revenue]]-Table1[[#This Row],[Operating_Costs]]</f>
        <v>183967</v>
      </c>
      <c r="T2152">
        <v>582742</v>
      </c>
      <c r="U2152">
        <v>21</v>
      </c>
      <c r="V2152">
        <v>64</v>
      </c>
      <c r="W2152">
        <v>10.1</v>
      </c>
    </row>
    <row r="2153" spans="1:23" x14ac:dyDescent="0.25">
      <c r="A2153">
        <v>6</v>
      </c>
      <c r="B2153" t="s">
        <v>70</v>
      </c>
      <c r="C2153" s="1">
        <v>44767</v>
      </c>
      <c r="D2153" t="s">
        <v>71</v>
      </c>
      <c r="E2153">
        <v>0</v>
      </c>
      <c r="F2153">
        <v>41</v>
      </c>
      <c r="G2153" t="str">
        <f t="shared" si="41"/>
        <v>41-60</v>
      </c>
      <c r="H2153" t="s">
        <v>35</v>
      </c>
      <c r="I2153" t="s">
        <v>40</v>
      </c>
      <c r="J2153" t="s">
        <v>41</v>
      </c>
      <c r="K2153" t="s">
        <v>33</v>
      </c>
      <c r="L2153">
        <v>1</v>
      </c>
      <c r="M2153">
        <v>1</v>
      </c>
      <c r="N2153">
        <v>4.3</v>
      </c>
      <c r="O2153">
        <v>7.9</v>
      </c>
      <c r="P2153">
        <v>4</v>
      </c>
      <c r="Q2153">
        <v>4</v>
      </c>
      <c r="R2153">
        <v>701725</v>
      </c>
      <c r="S2153">
        <f>Table1[[#This Row],[Revenue]]-Table1[[#This Row],[Operating_Costs]]</f>
        <v>142107</v>
      </c>
      <c r="T2153">
        <v>559618</v>
      </c>
      <c r="U2153">
        <v>27</v>
      </c>
      <c r="V2153">
        <v>60</v>
      </c>
      <c r="W2153">
        <v>7.2</v>
      </c>
    </row>
    <row r="2154" spans="1:23" x14ac:dyDescent="0.25">
      <c r="A2154">
        <v>6</v>
      </c>
      <c r="B2154" t="s">
        <v>70</v>
      </c>
      <c r="C2154" s="1">
        <v>44801</v>
      </c>
      <c r="D2154" t="s">
        <v>71</v>
      </c>
      <c r="E2154">
        <v>0</v>
      </c>
      <c r="F2154">
        <v>82</v>
      </c>
      <c r="G2154" t="str">
        <f t="shared" si="41"/>
        <v>81+</v>
      </c>
      <c r="H2154" t="s">
        <v>23</v>
      </c>
      <c r="I2154" t="s">
        <v>46</v>
      </c>
      <c r="J2154" t="s">
        <v>47</v>
      </c>
      <c r="K2154" t="s">
        <v>42</v>
      </c>
      <c r="L2154">
        <v>1</v>
      </c>
      <c r="M2154">
        <v>1</v>
      </c>
      <c r="N2154">
        <v>6.3</v>
      </c>
      <c r="O2154">
        <v>7.2</v>
      </c>
      <c r="P2154">
        <v>6</v>
      </c>
      <c r="Q2154">
        <v>7</v>
      </c>
      <c r="R2154">
        <v>763589</v>
      </c>
      <c r="S2154">
        <f>Table1[[#This Row],[Revenue]]-Table1[[#This Row],[Operating_Costs]]</f>
        <v>186672</v>
      </c>
      <c r="T2154">
        <v>576917</v>
      </c>
      <c r="U2154">
        <v>22</v>
      </c>
      <c r="V2154">
        <v>62</v>
      </c>
      <c r="W2154">
        <v>6.2</v>
      </c>
    </row>
    <row r="2155" spans="1:23" x14ac:dyDescent="0.25">
      <c r="A2155">
        <v>6</v>
      </c>
      <c r="B2155" t="s">
        <v>70</v>
      </c>
      <c r="C2155" s="1">
        <v>45607</v>
      </c>
      <c r="D2155" t="s">
        <v>71</v>
      </c>
      <c r="E2155">
        <v>0</v>
      </c>
      <c r="F2155">
        <v>42</v>
      </c>
      <c r="G2155" t="str">
        <f t="shared" si="41"/>
        <v>41-60</v>
      </c>
      <c r="H2155" t="s">
        <v>35</v>
      </c>
      <c r="I2155" t="s">
        <v>40</v>
      </c>
      <c r="J2155" t="s">
        <v>41</v>
      </c>
      <c r="K2155" t="s">
        <v>42</v>
      </c>
      <c r="L2155">
        <v>1</v>
      </c>
      <c r="M2155">
        <v>1</v>
      </c>
      <c r="N2155">
        <v>6.5</v>
      </c>
      <c r="O2155">
        <v>9.5</v>
      </c>
      <c r="P2155">
        <v>6</v>
      </c>
      <c r="Q2155">
        <v>4</v>
      </c>
      <c r="R2155">
        <v>608109</v>
      </c>
      <c r="S2155">
        <f>Table1[[#This Row],[Revenue]]-Table1[[#This Row],[Operating_Costs]]</f>
        <v>169573</v>
      </c>
      <c r="T2155">
        <v>438536</v>
      </c>
      <c r="U2155">
        <v>23</v>
      </c>
      <c r="V2155">
        <v>57</v>
      </c>
      <c r="W2155">
        <v>7.5</v>
      </c>
    </row>
    <row r="2156" spans="1:23" x14ac:dyDescent="0.25">
      <c r="A2156">
        <v>5</v>
      </c>
      <c r="B2156" t="s">
        <v>22</v>
      </c>
      <c r="C2156" s="1">
        <v>44736</v>
      </c>
      <c r="D2156" t="s">
        <v>71</v>
      </c>
      <c r="E2156">
        <v>0</v>
      </c>
      <c r="F2156">
        <v>44</v>
      </c>
      <c r="G2156" t="str">
        <f t="shared" si="41"/>
        <v>41-60</v>
      </c>
      <c r="H2156" t="s">
        <v>35</v>
      </c>
      <c r="I2156" t="s">
        <v>36</v>
      </c>
      <c r="J2156" t="s">
        <v>37</v>
      </c>
      <c r="K2156" t="s">
        <v>42</v>
      </c>
      <c r="L2156">
        <v>1</v>
      </c>
      <c r="M2156">
        <v>1</v>
      </c>
      <c r="N2156">
        <v>6.9</v>
      </c>
      <c r="O2156">
        <v>9.1999999999999993</v>
      </c>
      <c r="P2156">
        <v>7</v>
      </c>
      <c r="Q2156">
        <v>5</v>
      </c>
      <c r="R2156">
        <v>615024</v>
      </c>
      <c r="S2156">
        <f>Table1[[#This Row],[Revenue]]-Table1[[#This Row],[Operating_Costs]]</f>
        <v>361405</v>
      </c>
      <c r="T2156">
        <v>253619</v>
      </c>
      <c r="U2156">
        <v>26</v>
      </c>
      <c r="V2156">
        <v>64</v>
      </c>
      <c r="W2156">
        <v>8.1</v>
      </c>
    </row>
    <row r="2157" spans="1:23" x14ac:dyDescent="0.25">
      <c r="A2157">
        <v>6</v>
      </c>
      <c r="B2157" t="s">
        <v>70</v>
      </c>
      <c r="C2157" s="1">
        <v>44738</v>
      </c>
      <c r="D2157" t="s">
        <v>71</v>
      </c>
      <c r="E2157">
        <v>0</v>
      </c>
      <c r="F2157">
        <v>55</v>
      </c>
      <c r="G2157" t="str">
        <f t="shared" si="41"/>
        <v>41-60</v>
      </c>
      <c r="H2157" t="s">
        <v>35</v>
      </c>
      <c r="I2157" t="s">
        <v>60</v>
      </c>
      <c r="J2157" t="s">
        <v>59</v>
      </c>
      <c r="K2157" t="s">
        <v>38</v>
      </c>
      <c r="L2157">
        <v>1</v>
      </c>
      <c r="M2157">
        <v>1</v>
      </c>
      <c r="N2157">
        <v>6.7</v>
      </c>
      <c r="O2157">
        <v>8.6</v>
      </c>
      <c r="P2157">
        <v>3</v>
      </c>
      <c r="Q2157">
        <v>5</v>
      </c>
      <c r="R2157">
        <v>788442</v>
      </c>
      <c r="S2157">
        <f>Table1[[#This Row],[Revenue]]-Table1[[#This Row],[Operating_Costs]]</f>
        <v>275303</v>
      </c>
      <c r="T2157">
        <v>513139</v>
      </c>
      <c r="U2157">
        <v>25</v>
      </c>
      <c r="V2157">
        <v>58</v>
      </c>
      <c r="W2157">
        <v>6</v>
      </c>
    </row>
    <row r="2158" spans="1:23" x14ac:dyDescent="0.25">
      <c r="A2158">
        <v>6</v>
      </c>
      <c r="B2158" t="s">
        <v>70</v>
      </c>
      <c r="C2158" s="1">
        <v>45441</v>
      </c>
      <c r="D2158" t="s">
        <v>71</v>
      </c>
      <c r="E2158">
        <v>0</v>
      </c>
      <c r="F2158">
        <v>47</v>
      </c>
      <c r="G2158" t="str">
        <f t="shared" si="41"/>
        <v>41-60</v>
      </c>
      <c r="H2158" t="s">
        <v>35</v>
      </c>
      <c r="I2158" t="s">
        <v>46</v>
      </c>
      <c r="J2158" t="s">
        <v>47</v>
      </c>
      <c r="K2158" t="s">
        <v>38</v>
      </c>
      <c r="L2158">
        <v>1</v>
      </c>
      <c r="M2158">
        <v>1</v>
      </c>
      <c r="N2158">
        <v>3.8</v>
      </c>
      <c r="O2158">
        <v>7.9</v>
      </c>
      <c r="P2158">
        <v>6</v>
      </c>
      <c r="Q2158">
        <v>6</v>
      </c>
      <c r="R2158">
        <v>696984</v>
      </c>
      <c r="S2158">
        <f>Table1[[#This Row],[Revenue]]-Table1[[#This Row],[Operating_Costs]]</f>
        <v>296785</v>
      </c>
      <c r="T2158">
        <v>400199</v>
      </c>
      <c r="U2158">
        <v>29</v>
      </c>
      <c r="V2158">
        <v>56</v>
      </c>
      <c r="W2158">
        <v>13.1</v>
      </c>
    </row>
    <row r="2159" spans="1:23" x14ac:dyDescent="0.25">
      <c r="A2159">
        <v>6</v>
      </c>
      <c r="B2159" t="s">
        <v>70</v>
      </c>
      <c r="C2159" s="1">
        <v>45545</v>
      </c>
      <c r="D2159" t="s">
        <v>71</v>
      </c>
      <c r="E2159">
        <v>0</v>
      </c>
      <c r="F2159">
        <v>49</v>
      </c>
      <c r="G2159" t="str">
        <f t="shared" si="41"/>
        <v>41-60</v>
      </c>
      <c r="H2159" t="s">
        <v>35</v>
      </c>
      <c r="I2159" t="s">
        <v>40</v>
      </c>
      <c r="J2159" t="s">
        <v>41</v>
      </c>
      <c r="K2159" t="s">
        <v>33</v>
      </c>
      <c r="L2159">
        <v>1</v>
      </c>
      <c r="M2159">
        <v>1</v>
      </c>
      <c r="N2159">
        <v>1.3</v>
      </c>
      <c r="O2159">
        <v>7.7</v>
      </c>
      <c r="P2159">
        <v>3</v>
      </c>
      <c r="Q2159">
        <v>4</v>
      </c>
      <c r="R2159">
        <v>692825</v>
      </c>
      <c r="S2159">
        <f>Table1[[#This Row],[Revenue]]-Table1[[#This Row],[Operating_Costs]]</f>
        <v>286993</v>
      </c>
      <c r="T2159">
        <v>405832</v>
      </c>
      <c r="U2159">
        <v>24</v>
      </c>
      <c r="V2159">
        <v>63</v>
      </c>
      <c r="W2159">
        <v>6.5</v>
      </c>
    </row>
    <row r="2160" spans="1:23" x14ac:dyDescent="0.25">
      <c r="A2160">
        <v>5</v>
      </c>
      <c r="B2160" t="s">
        <v>22</v>
      </c>
      <c r="C2160" s="1">
        <v>44218</v>
      </c>
      <c r="D2160" t="s">
        <v>71</v>
      </c>
      <c r="E2160">
        <v>0</v>
      </c>
      <c r="F2160">
        <v>29</v>
      </c>
      <c r="G2160" t="str">
        <f t="shared" si="41"/>
        <v>21-40</v>
      </c>
      <c r="H2160" t="s">
        <v>35</v>
      </c>
      <c r="I2160" t="s">
        <v>64</v>
      </c>
      <c r="J2160" t="s">
        <v>65</v>
      </c>
      <c r="K2160" t="s">
        <v>26</v>
      </c>
      <c r="L2160">
        <v>1</v>
      </c>
      <c r="M2160">
        <v>1</v>
      </c>
      <c r="N2160">
        <v>4.3</v>
      </c>
      <c r="O2160">
        <v>8.9</v>
      </c>
      <c r="P2160">
        <v>4</v>
      </c>
      <c r="Q2160">
        <v>6</v>
      </c>
      <c r="R2160">
        <v>991939</v>
      </c>
      <c r="S2160">
        <f>Table1[[#This Row],[Revenue]]-Table1[[#This Row],[Operating_Costs]]</f>
        <v>602103</v>
      </c>
      <c r="T2160">
        <v>389836</v>
      </c>
      <c r="U2160">
        <v>27</v>
      </c>
      <c r="V2160">
        <v>54</v>
      </c>
      <c r="W2160">
        <v>36.5</v>
      </c>
    </row>
    <row r="2161" spans="1:23" x14ac:dyDescent="0.25">
      <c r="A2161">
        <v>6</v>
      </c>
      <c r="B2161" t="s">
        <v>70</v>
      </c>
      <c r="C2161" s="1">
        <v>44418</v>
      </c>
      <c r="D2161" t="s">
        <v>71</v>
      </c>
      <c r="E2161">
        <v>0</v>
      </c>
      <c r="F2161">
        <v>43</v>
      </c>
      <c r="G2161" t="str">
        <f t="shared" si="41"/>
        <v>41-60</v>
      </c>
      <c r="H2161" t="s">
        <v>35</v>
      </c>
      <c r="I2161" t="s">
        <v>64</v>
      </c>
      <c r="J2161" t="s">
        <v>65</v>
      </c>
      <c r="K2161" t="s">
        <v>26</v>
      </c>
      <c r="L2161">
        <v>1</v>
      </c>
      <c r="M2161">
        <v>1</v>
      </c>
      <c r="N2161">
        <v>6.6</v>
      </c>
      <c r="O2161">
        <v>8.5</v>
      </c>
      <c r="P2161">
        <v>3</v>
      </c>
      <c r="Q2161">
        <v>6</v>
      </c>
      <c r="R2161">
        <v>633659</v>
      </c>
      <c r="S2161">
        <f>Table1[[#This Row],[Revenue]]-Table1[[#This Row],[Operating_Costs]]</f>
        <v>96725</v>
      </c>
      <c r="T2161">
        <v>536934</v>
      </c>
      <c r="U2161">
        <v>23</v>
      </c>
      <c r="V2161">
        <v>65</v>
      </c>
      <c r="W2161">
        <v>36.6</v>
      </c>
    </row>
    <row r="2162" spans="1:23" x14ac:dyDescent="0.25">
      <c r="A2162">
        <v>6</v>
      </c>
      <c r="B2162" t="s">
        <v>70</v>
      </c>
      <c r="C2162" s="1">
        <v>44260</v>
      </c>
      <c r="D2162" t="s">
        <v>71</v>
      </c>
      <c r="E2162">
        <v>0</v>
      </c>
      <c r="F2162">
        <v>42</v>
      </c>
      <c r="G2162" t="str">
        <f t="shared" si="41"/>
        <v>41-60</v>
      </c>
      <c r="H2162" t="s">
        <v>35</v>
      </c>
      <c r="I2162" t="s">
        <v>58</v>
      </c>
      <c r="J2162" t="s">
        <v>59</v>
      </c>
      <c r="K2162" t="s">
        <v>33</v>
      </c>
      <c r="L2162">
        <v>1</v>
      </c>
      <c r="M2162">
        <v>1</v>
      </c>
      <c r="N2162">
        <v>2.6</v>
      </c>
      <c r="O2162">
        <v>8.4</v>
      </c>
      <c r="P2162">
        <v>5</v>
      </c>
      <c r="Q2162">
        <v>7</v>
      </c>
      <c r="R2162">
        <v>717637</v>
      </c>
      <c r="S2162">
        <f>Table1[[#This Row],[Revenue]]-Table1[[#This Row],[Operating_Costs]]</f>
        <v>315568</v>
      </c>
      <c r="T2162">
        <v>402069</v>
      </c>
      <c r="U2162">
        <v>23</v>
      </c>
      <c r="V2162">
        <v>60</v>
      </c>
      <c r="W2162">
        <v>14.5</v>
      </c>
    </row>
    <row r="2163" spans="1:23" x14ac:dyDescent="0.25">
      <c r="A2163">
        <v>6</v>
      </c>
      <c r="B2163" t="s">
        <v>70</v>
      </c>
      <c r="C2163" s="1">
        <v>44830</v>
      </c>
      <c r="D2163" t="s">
        <v>71</v>
      </c>
      <c r="E2163">
        <v>0</v>
      </c>
      <c r="F2163">
        <v>36</v>
      </c>
      <c r="G2163" t="str">
        <f t="shared" si="41"/>
        <v>21-40</v>
      </c>
      <c r="H2163" t="s">
        <v>23</v>
      </c>
      <c r="I2163" t="s">
        <v>40</v>
      </c>
      <c r="J2163" t="s">
        <v>41</v>
      </c>
      <c r="K2163" t="s">
        <v>26</v>
      </c>
      <c r="L2163">
        <v>1</v>
      </c>
      <c r="M2163">
        <v>1</v>
      </c>
      <c r="N2163">
        <v>5.2</v>
      </c>
      <c r="O2163">
        <v>9.6999999999999993</v>
      </c>
      <c r="P2163">
        <v>6</v>
      </c>
      <c r="Q2163">
        <v>4</v>
      </c>
      <c r="R2163">
        <v>763443</v>
      </c>
      <c r="S2163">
        <f>Table1[[#This Row],[Revenue]]-Table1[[#This Row],[Operating_Costs]]</f>
        <v>214393</v>
      </c>
      <c r="T2163">
        <v>549050</v>
      </c>
      <c r="U2163">
        <v>21</v>
      </c>
      <c r="V2163">
        <v>63</v>
      </c>
      <c r="W2163">
        <v>12.7</v>
      </c>
    </row>
    <row r="2164" spans="1:23" x14ac:dyDescent="0.25">
      <c r="A2164">
        <v>6</v>
      </c>
      <c r="B2164" t="s">
        <v>70</v>
      </c>
      <c r="C2164" s="1">
        <v>44937</v>
      </c>
      <c r="D2164" t="s">
        <v>71</v>
      </c>
      <c r="E2164">
        <v>0</v>
      </c>
      <c r="F2164">
        <v>23</v>
      </c>
      <c r="G2164" t="str">
        <f t="shared" si="41"/>
        <v>21-40</v>
      </c>
      <c r="H2164" t="s">
        <v>35</v>
      </c>
      <c r="I2164" t="s">
        <v>31</v>
      </c>
      <c r="J2164" t="s">
        <v>28</v>
      </c>
      <c r="K2164" t="s">
        <v>38</v>
      </c>
      <c r="L2164">
        <v>1</v>
      </c>
      <c r="M2164">
        <v>1</v>
      </c>
      <c r="N2164">
        <v>4.8</v>
      </c>
      <c r="O2164">
        <v>9.6999999999999993</v>
      </c>
      <c r="P2164">
        <v>5</v>
      </c>
      <c r="Q2164">
        <v>7</v>
      </c>
      <c r="R2164">
        <v>620891</v>
      </c>
      <c r="S2164">
        <f>Table1[[#This Row],[Revenue]]-Table1[[#This Row],[Operating_Costs]]</f>
        <v>189432</v>
      </c>
      <c r="T2164">
        <v>431459</v>
      </c>
      <c r="U2164">
        <v>26</v>
      </c>
      <c r="V2164">
        <v>58</v>
      </c>
      <c r="W2164">
        <v>14.7</v>
      </c>
    </row>
    <row r="2165" spans="1:23" x14ac:dyDescent="0.25">
      <c r="A2165">
        <v>6</v>
      </c>
      <c r="B2165" t="s">
        <v>70</v>
      </c>
      <c r="C2165" s="1">
        <v>44535</v>
      </c>
      <c r="D2165" t="s">
        <v>71</v>
      </c>
      <c r="E2165">
        <v>0</v>
      </c>
      <c r="F2165">
        <v>46</v>
      </c>
      <c r="G2165" t="str">
        <f t="shared" si="41"/>
        <v>41-60</v>
      </c>
      <c r="H2165" t="s">
        <v>23</v>
      </c>
      <c r="I2165" t="s">
        <v>27</v>
      </c>
      <c r="J2165" t="s">
        <v>28</v>
      </c>
      <c r="K2165" t="s">
        <v>33</v>
      </c>
      <c r="L2165">
        <v>1</v>
      </c>
      <c r="M2165">
        <v>1</v>
      </c>
      <c r="N2165">
        <v>5.6</v>
      </c>
      <c r="O2165">
        <v>9.6</v>
      </c>
      <c r="P2165">
        <v>5</v>
      </c>
      <c r="Q2165">
        <v>5</v>
      </c>
      <c r="R2165">
        <v>662178</v>
      </c>
      <c r="S2165">
        <f>Table1[[#This Row],[Revenue]]-Table1[[#This Row],[Operating_Costs]]</f>
        <v>232410</v>
      </c>
      <c r="T2165">
        <v>429768</v>
      </c>
      <c r="U2165">
        <v>23</v>
      </c>
      <c r="V2165">
        <v>56</v>
      </c>
      <c r="W2165">
        <v>5.7</v>
      </c>
    </row>
    <row r="2166" spans="1:23" x14ac:dyDescent="0.25">
      <c r="A2166">
        <v>6</v>
      </c>
      <c r="B2166" t="s">
        <v>70</v>
      </c>
      <c r="C2166" s="1">
        <v>44552</v>
      </c>
      <c r="D2166" t="s">
        <v>71</v>
      </c>
      <c r="E2166">
        <v>0</v>
      </c>
      <c r="F2166">
        <v>63</v>
      </c>
      <c r="G2166" t="str">
        <f t="shared" si="41"/>
        <v>61-80</v>
      </c>
      <c r="H2166" t="s">
        <v>35</v>
      </c>
      <c r="I2166" t="s">
        <v>50</v>
      </c>
      <c r="J2166" t="s">
        <v>51</v>
      </c>
      <c r="K2166" t="s">
        <v>42</v>
      </c>
      <c r="L2166">
        <v>1</v>
      </c>
      <c r="M2166">
        <v>1</v>
      </c>
      <c r="N2166">
        <v>1.9</v>
      </c>
      <c r="O2166">
        <v>8.1999999999999993</v>
      </c>
      <c r="P2166">
        <v>3</v>
      </c>
      <c r="Q2166">
        <v>6</v>
      </c>
      <c r="R2166">
        <v>789828</v>
      </c>
      <c r="S2166">
        <f>Table1[[#This Row],[Revenue]]-Table1[[#This Row],[Operating_Costs]]</f>
        <v>280092</v>
      </c>
      <c r="T2166">
        <v>509736</v>
      </c>
      <c r="U2166">
        <v>21</v>
      </c>
      <c r="V2166">
        <v>60</v>
      </c>
      <c r="W2166">
        <v>10.199999999999999</v>
      </c>
    </row>
    <row r="2167" spans="1:23" x14ac:dyDescent="0.25">
      <c r="A2167">
        <v>6</v>
      </c>
      <c r="B2167" t="s">
        <v>70</v>
      </c>
      <c r="C2167" s="1">
        <v>45615</v>
      </c>
      <c r="D2167" t="s">
        <v>71</v>
      </c>
      <c r="E2167">
        <v>0</v>
      </c>
      <c r="F2167">
        <v>29</v>
      </c>
      <c r="G2167" t="str">
        <f t="shared" si="41"/>
        <v>21-40</v>
      </c>
      <c r="H2167" t="s">
        <v>23</v>
      </c>
      <c r="I2167" t="s">
        <v>24</v>
      </c>
      <c r="J2167" t="s">
        <v>25</v>
      </c>
      <c r="K2167" t="s">
        <v>29</v>
      </c>
      <c r="L2167">
        <v>1</v>
      </c>
      <c r="M2167">
        <v>1</v>
      </c>
      <c r="N2167">
        <v>3.6</v>
      </c>
      <c r="O2167">
        <v>8.8000000000000007</v>
      </c>
      <c r="P2167">
        <v>6</v>
      </c>
      <c r="Q2167">
        <v>4</v>
      </c>
      <c r="R2167">
        <v>793566</v>
      </c>
      <c r="S2167">
        <f>Table1[[#This Row],[Revenue]]-Table1[[#This Row],[Operating_Costs]]</f>
        <v>314286</v>
      </c>
      <c r="T2167">
        <v>479280</v>
      </c>
      <c r="U2167">
        <v>26</v>
      </c>
      <c r="V2167">
        <v>62</v>
      </c>
      <c r="W2167">
        <v>8.6</v>
      </c>
    </row>
    <row r="2168" spans="1:23" x14ac:dyDescent="0.25">
      <c r="A2168">
        <v>5</v>
      </c>
      <c r="B2168" t="s">
        <v>22</v>
      </c>
      <c r="C2168" s="1">
        <v>45628</v>
      </c>
      <c r="D2168" t="s">
        <v>71</v>
      </c>
      <c r="E2168">
        <v>0</v>
      </c>
      <c r="F2168">
        <v>23</v>
      </c>
      <c r="G2168" t="str">
        <f t="shared" si="41"/>
        <v>21-40</v>
      </c>
      <c r="H2168" t="s">
        <v>23</v>
      </c>
      <c r="I2168" t="s">
        <v>24</v>
      </c>
      <c r="J2168" t="s">
        <v>25</v>
      </c>
      <c r="K2168" t="s">
        <v>33</v>
      </c>
      <c r="L2168">
        <v>1</v>
      </c>
      <c r="M2168">
        <v>1</v>
      </c>
      <c r="N2168">
        <v>2.8</v>
      </c>
      <c r="O2168">
        <v>8.1999999999999993</v>
      </c>
      <c r="P2168">
        <v>5</v>
      </c>
      <c r="Q2168">
        <v>6</v>
      </c>
      <c r="R2168">
        <v>896552</v>
      </c>
      <c r="S2168">
        <f>Table1[[#This Row],[Revenue]]-Table1[[#This Row],[Operating_Costs]]</f>
        <v>423909</v>
      </c>
      <c r="T2168">
        <v>472643</v>
      </c>
      <c r="U2168">
        <v>32</v>
      </c>
      <c r="V2168">
        <v>59</v>
      </c>
      <c r="W2168">
        <v>12.5</v>
      </c>
    </row>
    <row r="2169" spans="1:23" x14ac:dyDescent="0.25">
      <c r="A2169">
        <v>5</v>
      </c>
      <c r="B2169" t="s">
        <v>22</v>
      </c>
      <c r="C2169" s="1">
        <v>44964</v>
      </c>
      <c r="D2169" t="s">
        <v>71</v>
      </c>
      <c r="E2169">
        <v>0</v>
      </c>
      <c r="F2169">
        <v>31</v>
      </c>
      <c r="G2169" t="str">
        <f t="shared" si="41"/>
        <v>21-40</v>
      </c>
      <c r="H2169" t="s">
        <v>35</v>
      </c>
      <c r="I2169" t="s">
        <v>31</v>
      </c>
      <c r="J2169" t="s">
        <v>28</v>
      </c>
      <c r="K2169" t="s">
        <v>29</v>
      </c>
      <c r="L2169">
        <v>1</v>
      </c>
      <c r="M2169">
        <v>1</v>
      </c>
      <c r="N2169">
        <v>4.5</v>
      </c>
      <c r="O2169">
        <v>7.8</v>
      </c>
      <c r="P2169">
        <v>5</v>
      </c>
      <c r="Q2169">
        <v>6</v>
      </c>
      <c r="R2169">
        <v>963066</v>
      </c>
      <c r="S2169">
        <f>Table1[[#This Row],[Revenue]]-Table1[[#This Row],[Operating_Costs]]</f>
        <v>750014</v>
      </c>
      <c r="T2169">
        <v>213052</v>
      </c>
      <c r="U2169">
        <v>33</v>
      </c>
      <c r="V2169">
        <v>54</v>
      </c>
      <c r="W2169">
        <v>13.1</v>
      </c>
    </row>
    <row r="2170" spans="1:23" x14ac:dyDescent="0.25">
      <c r="A2170">
        <v>6</v>
      </c>
      <c r="B2170" t="s">
        <v>70</v>
      </c>
      <c r="C2170" s="1">
        <v>44360</v>
      </c>
      <c r="D2170" t="s">
        <v>71</v>
      </c>
      <c r="E2170">
        <v>0</v>
      </c>
      <c r="F2170">
        <v>62</v>
      </c>
      <c r="G2170" t="str">
        <f t="shared" si="41"/>
        <v>61-80</v>
      </c>
      <c r="H2170" t="s">
        <v>35</v>
      </c>
      <c r="I2170" t="s">
        <v>58</v>
      </c>
      <c r="J2170" t="s">
        <v>59</v>
      </c>
      <c r="K2170" t="s">
        <v>33</v>
      </c>
      <c r="L2170">
        <v>1</v>
      </c>
      <c r="M2170">
        <v>1</v>
      </c>
      <c r="N2170">
        <v>6.8</v>
      </c>
      <c r="O2170">
        <v>8.6</v>
      </c>
      <c r="P2170">
        <v>4</v>
      </c>
      <c r="Q2170">
        <v>3</v>
      </c>
      <c r="R2170">
        <v>715536</v>
      </c>
      <c r="S2170">
        <f>Table1[[#This Row],[Revenue]]-Table1[[#This Row],[Operating_Costs]]</f>
        <v>311177</v>
      </c>
      <c r="T2170">
        <v>404359</v>
      </c>
      <c r="U2170">
        <v>24</v>
      </c>
      <c r="V2170">
        <v>58</v>
      </c>
      <c r="W2170">
        <v>12.2</v>
      </c>
    </row>
    <row r="2171" spans="1:23" x14ac:dyDescent="0.25">
      <c r="A2171">
        <v>6</v>
      </c>
      <c r="B2171" t="s">
        <v>70</v>
      </c>
      <c r="C2171" s="1">
        <v>44990</v>
      </c>
      <c r="D2171" t="s">
        <v>71</v>
      </c>
      <c r="E2171">
        <v>0</v>
      </c>
      <c r="F2171">
        <v>57</v>
      </c>
      <c r="G2171" t="str">
        <f t="shared" si="41"/>
        <v>41-60</v>
      </c>
      <c r="H2171" t="s">
        <v>35</v>
      </c>
      <c r="I2171" t="s">
        <v>46</v>
      </c>
      <c r="J2171" t="s">
        <v>47</v>
      </c>
      <c r="K2171" t="s">
        <v>26</v>
      </c>
      <c r="L2171">
        <v>1</v>
      </c>
      <c r="M2171">
        <v>1</v>
      </c>
      <c r="N2171">
        <v>4.2</v>
      </c>
      <c r="O2171">
        <v>7.7</v>
      </c>
      <c r="P2171">
        <v>7</v>
      </c>
      <c r="Q2171">
        <v>3</v>
      </c>
      <c r="R2171">
        <v>779900</v>
      </c>
      <c r="S2171">
        <f>Table1[[#This Row],[Revenue]]-Table1[[#This Row],[Operating_Costs]]</f>
        <v>340222</v>
      </c>
      <c r="T2171">
        <v>439678</v>
      </c>
      <c r="U2171">
        <v>29</v>
      </c>
      <c r="V2171">
        <v>62</v>
      </c>
      <c r="W2171">
        <v>9.6999999999999993</v>
      </c>
    </row>
    <row r="2172" spans="1:23" x14ac:dyDescent="0.25">
      <c r="A2172">
        <v>6</v>
      </c>
      <c r="B2172" t="s">
        <v>70</v>
      </c>
      <c r="C2172" s="1">
        <v>44630</v>
      </c>
      <c r="D2172" t="s">
        <v>71</v>
      </c>
      <c r="E2172">
        <v>0</v>
      </c>
      <c r="F2172">
        <v>37</v>
      </c>
      <c r="G2172" t="str">
        <f t="shared" si="41"/>
        <v>21-40</v>
      </c>
      <c r="H2172" t="s">
        <v>23</v>
      </c>
      <c r="I2172" t="s">
        <v>24</v>
      </c>
      <c r="J2172" t="s">
        <v>25</v>
      </c>
      <c r="K2172" t="s">
        <v>29</v>
      </c>
      <c r="L2172">
        <v>1</v>
      </c>
      <c r="M2172">
        <v>1</v>
      </c>
      <c r="N2172">
        <v>4.3</v>
      </c>
      <c r="O2172">
        <v>7.2</v>
      </c>
      <c r="P2172">
        <v>5</v>
      </c>
      <c r="Q2172">
        <v>4</v>
      </c>
      <c r="R2172">
        <v>649698</v>
      </c>
      <c r="S2172">
        <f>Table1[[#This Row],[Revenue]]-Table1[[#This Row],[Operating_Costs]]</f>
        <v>66763</v>
      </c>
      <c r="T2172">
        <v>582935</v>
      </c>
      <c r="U2172">
        <v>27</v>
      </c>
      <c r="V2172">
        <v>54</v>
      </c>
      <c r="W2172">
        <v>12.5</v>
      </c>
    </row>
    <row r="2173" spans="1:23" x14ac:dyDescent="0.25">
      <c r="A2173">
        <v>6</v>
      </c>
      <c r="B2173" t="s">
        <v>70</v>
      </c>
      <c r="C2173" s="1">
        <v>45175</v>
      </c>
      <c r="D2173" t="s">
        <v>71</v>
      </c>
      <c r="E2173">
        <v>0</v>
      </c>
      <c r="F2173">
        <v>74</v>
      </c>
      <c r="G2173" t="str">
        <f t="shared" si="41"/>
        <v>61-80</v>
      </c>
      <c r="H2173" t="s">
        <v>35</v>
      </c>
      <c r="I2173" t="s">
        <v>60</v>
      </c>
      <c r="J2173" t="s">
        <v>59</v>
      </c>
      <c r="K2173" t="s">
        <v>42</v>
      </c>
      <c r="L2173">
        <v>1</v>
      </c>
      <c r="M2173">
        <v>1</v>
      </c>
      <c r="N2173">
        <v>2.2999999999999998</v>
      </c>
      <c r="O2173">
        <v>10</v>
      </c>
      <c r="P2173">
        <v>3</v>
      </c>
      <c r="Q2173">
        <v>7</v>
      </c>
      <c r="R2173">
        <v>750813</v>
      </c>
      <c r="S2173">
        <f>Table1[[#This Row],[Revenue]]-Table1[[#This Row],[Operating_Costs]]</f>
        <v>291288</v>
      </c>
      <c r="T2173">
        <v>459525</v>
      </c>
      <c r="U2173">
        <v>28</v>
      </c>
      <c r="V2173">
        <v>58</v>
      </c>
      <c r="W2173">
        <v>12.2</v>
      </c>
    </row>
    <row r="2174" spans="1:23" x14ac:dyDescent="0.25">
      <c r="A2174">
        <v>6</v>
      </c>
      <c r="B2174" t="s">
        <v>70</v>
      </c>
      <c r="C2174" s="1">
        <v>44755</v>
      </c>
      <c r="D2174" t="s">
        <v>71</v>
      </c>
      <c r="E2174">
        <v>0</v>
      </c>
      <c r="F2174">
        <v>81</v>
      </c>
      <c r="G2174" t="str">
        <f t="shared" si="41"/>
        <v>81+</v>
      </c>
      <c r="H2174" t="s">
        <v>23</v>
      </c>
      <c r="I2174" t="s">
        <v>64</v>
      </c>
      <c r="J2174" t="s">
        <v>65</v>
      </c>
      <c r="K2174" t="s">
        <v>26</v>
      </c>
      <c r="L2174">
        <v>1</v>
      </c>
      <c r="M2174">
        <v>1</v>
      </c>
      <c r="N2174">
        <v>5.3</v>
      </c>
      <c r="O2174">
        <v>7.9</v>
      </c>
      <c r="P2174">
        <v>5</v>
      </c>
      <c r="Q2174">
        <v>4</v>
      </c>
      <c r="R2174">
        <v>773932</v>
      </c>
      <c r="S2174">
        <f>Table1[[#This Row],[Revenue]]-Table1[[#This Row],[Operating_Costs]]</f>
        <v>322096</v>
      </c>
      <c r="T2174">
        <v>451836</v>
      </c>
      <c r="U2174">
        <v>21</v>
      </c>
      <c r="V2174">
        <v>62</v>
      </c>
      <c r="W2174">
        <v>8.9</v>
      </c>
    </row>
    <row r="2175" spans="1:23" x14ac:dyDescent="0.25">
      <c r="A2175">
        <v>6</v>
      </c>
      <c r="B2175" t="s">
        <v>70</v>
      </c>
      <c r="C2175" s="1">
        <v>44251</v>
      </c>
      <c r="D2175" t="s">
        <v>71</v>
      </c>
      <c r="E2175">
        <v>0</v>
      </c>
      <c r="F2175">
        <v>83</v>
      </c>
      <c r="G2175" t="str">
        <f t="shared" si="41"/>
        <v>81+</v>
      </c>
      <c r="H2175" t="s">
        <v>35</v>
      </c>
      <c r="I2175" t="s">
        <v>36</v>
      </c>
      <c r="J2175" t="s">
        <v>37</v>
      </c>
      <c r="K2175" t="s">
        <v>42</v>
      </c>
      <c r="L2175">
        <v>1</v>
      </c>
      <c r="M2175">
        <v>1</v>
      </c>
      <c r="N2175">
        <v>4.2</v>
      </c>
      <c r="O2175">
        <v>7.6</v>
      </c>
      <c r="P2175">
        <v>5</v>
      </c>
      <c r="Q2175">
        <v>7</v>
      </c>
      <c r="R2175">
        <v>772049</v>
      </c>
      <c r="S2175">
        <f>Table1[[#This Row],[Revenue]]-Table1[[#This Row],[Operating_Costs]]</f>
        <v>206067</v>
      </c>
      <c r="T2175">
        <v>565982</v>
      </c>
      <c r="U2175">
        <v>28</v>
      </c>
      <c r="V2175">
        <v>56</v>
      </c>
      <c r="W2175">
        <v>9.6999999999999993</v>
      </c>
    </row>
    <row r="2176" spans="1:23" x14ac:dyDescent="0.25">
      <c r="A2176">
        <v>6</v>
      </c>
      <c r="B2176" t="s">
        <v>70</v>
      </c>
      <c r="C2176" s="1">
        <v>44513</v>
      </c>
      <c r="D2176" t="s">
        <v>71</v>
      </c>
      <c r="E2176">
        <v>0</v>
      </c>
      <c r="F2176">
        <v>80</v>
      </c>
      <c r="G2176" t="str">
        <f t="shared" si="41"/>
        <v>61-80</v>
      </c>
      <c r="H2176" t="s">
        <v>35</v>
      </c>
      <c r="I2176" t="s">
        <v>46</v>
      </c>
      <c r="J2176" t="s">
        <v>47</v>
      </c>
      <c r="K2176" t="s">
        <v>33</v>
      </c>
      <c r="L2176">
        <v>1</v>
      </c>
      <c r="M2176">
        <v>1</v>
      </c>
      <c r="N2176">
        <v>5.2</v>
      </c>
      <c r="O2176">
        <v>7.5</v>
      </c>
      <c r="P2176">
        <v>3</v>
      </c>
      <c r="Q2176">
        <v>3</v>
      </c>
      <c r="R2176">
        <v>738268</v>
      </c>
      <c r="S2176">
        <f>Table1[[#This Row],[Revenue]]-Table1[[#This Row],[Operating_Costs]]</f>
        <v>309532</v>
      </c>
      <c r="T2176">
        <v>428736</v>
      </c>
      <c r="U2176">
        <v>28</v>
      </c>
      <c r="V2176">
        <v>61</v>
      </c>
      <c r="W2176">
        <v>14.7</v>
      </c>
    </row>
    <row r="2177" spans="1:23" x14ac:dyDescent="0.25">
      <c r="A2177">
        <v>6</v>
      </c>
      <c r="B2177" t="s">
        <v>70</v>
      </c>
      <c r="C2177" s="1">
        <v>44370</v>
      </c>
      <c r="D2177" t="s">
        <v>71</v>
      </c>
      <c r="E2177">
        <v>0</v>
      </c>
      <c r="F2177">
        <v>55</v>
      </c>
      <c r="G2177" t="str">
        <f t="shared" si="41"/>
        <v>41-60</v>
      </c>
      <c r="H2177" t="s">
        <v>35</v>
      </c>
      <c r="I2177" t="s">
        <v>40</v>
      </c>
      <c r="J2177" t="s">
        <v>41</v>
      </c>
      <c r="K2177" t="s">
        <v>29</v>
      </c>
      <c r="L2177">
        <v>1</v>
      </c>
      <c r="M2177">
        <v>1</v>
      </c>
      <c r="N2177">
        <v>6.8</v>
      </c>
      <c r="O2177">
        <v>9.6</v>
      </c>
      <c r="P2177">
        <v>5</v>
      </c>
      <c r="Q2177">
        <v>3</v>
      </c>
      <c r="R2177">
        <v>665084</v>
      </c>
      <c r="S2177">
        <f>Table1[[#This Row],[Revenue]]-Table1[[#This Row],[Operating_Costs]]</f>
        <v>116889</v>
      </c>
      <c r="T2177">
        <v>548195</v>
      </c>
      <c r="U2177">
        <v>25</v>
      </c>
      <c r="V2177">
        <v>58</v>
      </c>
      <c r="W2177">
        <v>6.7</v>
      </c>
    </row>
    <row r="2178" spans="1:23" x14ac:dyDescent="0.25">
      <c r="A2178">
        <v>6</v>
      </c>
      <c r="B2178" t="s">
        <v>70</v>
      </c>
      <c r="C2178" s="1">
        <v>44595</v>
      </c>
      <c r="D2178" t="s">
        <v>71</v>
      </c>
      <c r="E2178">
        <v>0</v>
      </c>
      <c r="F2178">
        <v>55</v>
      </c>
      <c r="G2178" t="str">
        <f t="shared" si="41"/>
        <v>41-60</v>
      </c>
      <c r="H2178" t="s">
        <v>35</v>
      </c>
      <c r="I2178" t="s">
        <v>36</v>
      </c>
      <c r="J2178" t="s">
        <v>37</v>
      </c>
      <c r="K2178" t="s">
        <v>29</v>
      </c>
      <c r="L2178">
        <v>1</v>
      </c>
      <c r="M2178">
        <v>1</v>
      </c>
      <c r="N2178">
        <v>1.6</v>
      </c>
      <c r="O2178">
        <v>8.5</v>
      </c>
      <c r="P2178">
        <v>3</v>
      </c>
      <c r="Q2178">
        <v>3</v>
      </c>
      <c r="R2178">
        <v>764707</v>
      </c>
      <c r="S2178">
        <f>Table1[[#This Row],[Revenue]]-Table1[[#This Row],[Operating_Costs]]</f>
        <v>287900</v>
      </c>
      <c r="T2178">
        <v>476807</v>
      </c>
      <c r="U2178">
        <v>30</v>
      </c>
      <c r="V2178">
        <v>58</v>
      </c>
      <c r="W2178">
        <v>8.3000000000000007</v>
      </c>
    </row>
    <row r="2179" spans="1:23" x14ac:dyDescent="0.25">
      <c r="A2179">
        <v>6</v>
      </c>
      <c r="B2179" t="s">
        <v>70</v>
      </c>
      <c r="C2179" s="1">
        <v>44746</v>
      </c>
      <c r="D2179" t="s">
        <v>71</v>
      </c>
      <c r="E2179">
        <v>0</v>
      </c>
      <c r="F2179">
        <v>47</v>
      </c>
      <c r="G2179" t="str">
        <f t="shared" ref="G2179:G2242" si="42">IF(F2179&lt;=20,"0-20",IF(F2179&lt;=40,"21-40",IF(F2179&lt;=60,"41-60",IF(F2179&lt;=80,"61-80","81+"))))</f>
        <v>41-60</v>
      </c>
      <c r="H2179" t="s">
        <v>35</v>
      </c>
      <c r="I2179" t="s">
        <v>60</v>
      </c>
      <c r="J2179" t="s">
        <v>59</v>
      </c>
      <c r="K2179" t="s">
        <v>42</v>
      </c>
      <c r="L2179">
        <v>1</v>
      </c>
      <c r="M2179">
        <v>1</v>
      </c>
      <c r="N2179">
        <v>4.5</v>
      </c>
      <c r="O2179">
        <v>7.5</v>
      </c>
      <c r="P2179">
        <v>7</v>
      </c>
      <c r="Q2179">
        <v>7</v>
      </c>
      <c r="R2179">
        <v>796078</v>
      </c>
      <c r="S2179">
        <f>Table1[[#This Row],[Revenue]]-Table1[[#This Row],[Operating_Costs]]</f>
        <v>296083</v>
      </c>
      <c r="T2179">
        <v>499995</v>
      </c>
      <c r="U2179">
        <v>30</v>
      </c>
      <c r="V2179">
        <v>57</v>
      </c>
      <c r="W2179">
        <v>5.6</v>
      </c>
    </row>
    <row r="2180" spans="1:23" x14ac:dyDescent="0.25">
      <c r="A2180">
        <v>6</v>
      </c>
      <c r="B2180" t="s">
        <v>70</v>
      </c>
      <c r="C2180" s="1">
        <v>45128</v>
      </c>
      <c r="D2180" t="s">
        <v>71</v>
      </c>
      <c r="E2180">
        <v>0</v>
      </c>
      <c r="F2180">
        <v>28</v>
      </c>
      <c r="G2180" t="str">
        <f t="shared" si="42"/>
        <v>21-40</v>
      </c>
      <c r="H2180" t="s">
        <v>23</v>
      </c>
      <c r="I2180" t="s">
        <v>24</v>
      </c>
      <c r="J2180" t="s">
        <v>25</v>
      </c>
      <c r="K2180" t="s">
        <v>33</v>
      </c>
      <c r="L2180">
        <v>1</v>
      </c>
      <c r="M2180">
        <v>1</v>
      </c>
      <c r="N2180">
        <v>2.2000000000000002</v>
      </c>
      <c r="O2180">
        <v>8.6</v>
      </c>
      <c r="P2180">
        <v>6</v>
      </c>
      <c r="Q2180">
        <v>6</v>
      </c>
      <c r="R2180">
        <v>658186</v>
      </c>
      <c r="S2180">
        <f>Table1[[#This Row],[Revenue]]-Table1[[#This Row],[Operating_Costs]]</f>
        <v>144744</v>
      </c>
      <c r="T2180">
        <v>513442</v>
      </c>
      <c r="U2180">
        <v>20</v>
      </c>
      <c r="V2180">
        <v>58</v>
      </c>
      <c r="W2180">
        <v>6.3</v>
      </c>
    </row>
    <row r="2181" spans="1:23" x14ac:dyDescent="0.25">
      <c r="A2181">
        <v>6</v>
      </c>
      <c r="B2181" t="s">
        <v>70</v>
      </c>
      <c r="C2181" s="1">
        <v>44385</v>
      </c>
      <c r="D2181" t="s">
        <v>71</v>
      </c>
      <c r="E2181">
        <v>0</v>
      </c>
      <c r="F2181">
        <v>39</v>
      </c>
      <c r="G2181" t="str">
        <f t="shared" si="42"/>
        <v>21-40</v>
      </c>
      <c r="H2181" t="s">
        <v>35</v>
      </c>
      <c r="I2181" t="s">
        <v>58</v>
      </c>
      <c r="J2181" t="s">
        <v>59</v>
      </c>
      <c r="K2181" t="s">
        <v>42</v>
      </c>
      <c r="L2181">
        <v>1</v>
      </c>
      <c r="M2181">
        <v>1</v>
      </c>
      <c r="N2181">
        <v>5.0999999999999996</v>
      </c>
      <c r="O2181">
        <v>7.6</v>
      </c>
      <c r="P2181">
        <v>5</v>
      </c>
      <c r="Q2181">
        <v>6</v>
      </c>
      <c r="R2181">
        <v>669026</v>
      </c>
      <c r="S2181">
        <f>Table1[[#This Row],[Revenue]]-Table1[[#This Row],[Operating_Costs]]</f>
        <v>223052</v>
      </c>
      <c r="T2181">
        <v>445974</v>
      </c>
      <c r="U2181">
        <v>24</v>
      </c>
      <c r="V2181">
        <v>55</v>
      </c>
      <c r="W2181">
        <v>14.8</v>
      </c>
    </row>
    <row r="2182" spans="1:23" x14ac:dyDescent="0.25">
      <c r="A2182">
        <v>6</v>
      </c>
      <c r="B2182" t="s">
        <v>70</v>
      </c>
      <c r="C2182" s="1">
        <v>44567</v>
      </c>
      <c r="D2182" t="s">
        <v>71</v>
      </c>
      <c r="E2182">
        <v>0</v>
      </c>
      <c r="F2182">
        <v>77</v>
      </c>
      <c r="G2182" t="str">
        <f t="shared" si="42"/>
        <v>61-80</v>
      </c>
      <c r="H2182" t="s">
        <v>23</v>
      </c>
      <c r="I2182" t="s">
        <v>24</v>
      </c>
      <c r="J2182" t="s">
        <v>25</v>
      </c>
      <c r="K2182" t="s">
        <v>29</v>
      </c>
      <c r="L2182">
        <v>1</v>
      </c>
      <c r="M2182">
        <v>1</v>
      </c>
      <c r="N2182">
        <v>6.1</v>
      </c>
      <c r="O2182">
        <v>9.1</v>
      </c>
      <c r="P2182">
        <v>3</v>
      </c>
      <c r="Q2182">
        <v>5</v>
      </c>
      <c r="R2182">
        <v>687596</v>
      </c>
      <c r="S2182">
        <f>Table1[[#This Row],[Revenue]]-Table1[[#This Row],[Operating_Costs]]</f>
        <v>238947</v>
      </c>
      <c r="T2182">
        <v>448649</v>
      </c>
      <c r="U2182">
        <v>20</v>
      </c>
      <c r="V2182">
        <v>56</v>
      </c>
      <c r="W2182">
        <v>8.9</v>
      </c>
    </row>
    <row r="2183" spans="1:23" x14ac:dyDescent="0.25">
      <c r="A2183">
        <v>6</v>
      </c>
      <c r="B2183" t="s">
        <v>70</v>
      </c>
      <c r="C2183" s="1">
        <v>45141</v>
      </c>
      <c r="D2183" t="s">
        <v>71</v>
      </c>
      <c r="E2183">
        <v>0</v>
      </c>
      <c r="F2183">
        <v>48</v>
      </c>
      <c r="G2183" t="str">
        <f t="shared" si="42"/>
        <v>41-60</v>
      </c>
      <c r="H2183" t="s">
        <v>35</v>
      </c>
      <c r="I2183" t="s">
        <v>40</v>
      </c>
      <c r="J2183" t="s">
        <v>41</v>
      </c>
      <c r="K2183" t="s">
        <v>33</v>
      </c>
      <c r="L2183">
        <v>1</v>
      </c>
      <c r="M2183">
        <v>1</v>
      </c>
      <c r="N2183">
        <v>1.5</v>
      </c>
      <c r="O2183">
        <v>8.4</v>
      </c>
      <c r="P2183">
        <v>6</v>
      </c>
      <c r="Q2183">
        <v>4</v>
      </c>
      <c r="R2183">
        <v>776410</v>
      </c>
      <c r="S2183">
        <f>Table1[[#This Row],[Revenue]]-Table1[[#This Row],[Operating_Costs]]</f>
        <v>187455</v>
      </c>
      <c r="T2183">
        <v>588955</v>
      </c>
      <c r="U2183">
        <v>27</v>
      </c>
      <c r="V2183">
        <v>59</v>
      </c>
      <c r="W2183">
        <v>12.9</v>
      </c>
    </row>
    <row r="2184" spans="1:23" x14ac:dyDescent="0.25">
      <c r="A2184">
        <v>6</v>
      </c>
      <c r="B2184" t="s">
        <v>70</v>
      </c>
      <c r="C2184" s="1">
        <v>45161</v>
      </c>
      <c r="D2184" t="s">
        <v>71</v>
      </c>
      <c r="E2184">
        <v>0</v>
      </c>
      <c r="F2184">
        <v>72</v>
      </c>
      <c r="G2184" t="str">
        <f t="shared" si="42"/>
        <v>61-80</v>
      </c>
      <c r="H2184" t="s">
        <v>23</v>
      </c>
      <c r="I2184" t="s">
        <v>58</v>
      </c>
      <c r="J2184" t="s">
        <v>59</v>
      </c>
      <c r="K2184" t="s">
        <v>26</v>
      </c>
      <c r="L2184">
        <v>1</v>
      </c>
      <c r="M2184">
        <v>1</v>
      </c>
      <c r="N2184">
        <v>1.1000000000000001</v>
      </c>
      <c r="O2184">
        <v>8.6999999999999993</v>
      </c>
      <c r="P2184">
        <v>3</v>
      </c>
      <c r="Q2184">
        <v>5</v>
      </c>
      <c r="R2184">
        <v>653686</v>
      </c>
      <c r="S2184">
        <f>Table1[[#This Row],[Revenue]]-Table1[[#This Row],[Operating_Costs]]</f>
        <v>214007</v>
      </c>
      <c r="T2184">
        <v>439679</v>
      </c>
      <c r="U2184">
        <v>30</v>
      </c>
      <c r="V2184">
        <v>65</v>
      </c>
      <c r="W2184">
        <v>5.9</v>
      </c>
    </row>
    <row r="2185" spans="1:23" x14ac:dyDescent="0.25">
      <c r="A2185">
        <v>6</v>
      </c>
      <c r="B2185" t="s">
        <v>70</v>
      </c>
      <c r="C2185" s="1">
        <v>44927</v>
      </c>
      <c r="D2185" t="s">
        <v>71</v>
      </c>
      <c r="E2185">
        <v>0</v>
      </c>
      <c r="F2185">
        <v>34</v>
      </c>
      <c r="G2185" t="str">
        <f t="shared" si="42"/>
        <v>21-40</v>
      </c>
      <c r="H2185" t="s">
        <v>35</v>
      </c>
      <c r="I2185" t="s">
        <v>31</v>
      </c>
      <c r="J2185" t="s">
        <v>28</v>
      </c>
      <c r="K2185" t="s">
        <v>38</v>
      </c>
      <c r="L2185">
        <v>1</v>
      </c>
      <c r="M2185">
        <v>1</v>
      </c>
      <c r="N2185">
        <v>2.5</v>
      </c>
      <c r="O2185">
        <v>9</v>
      </c>
      <c r="P2185">
        <v>7</v>
      </c>
      <c r="Q2185">
        <v>4</v>
      </c>
      <c r="R2185">
        <v>747479</v>
      </c>
      <c r="S2185">
        <f>Table1[[#This Row],[Revenue]]-Table1[[#This Row],[Operating_Costs]]</f>
        <v>217846</v>
      </c>
      <c r="T2185">
        <v>529633</v>
      </c>
      <c r="U2185">
        <v>29</v>
      </c>
      <c r="V2185">
        <v>54</v>
      </c>
      <c r="W2185">
        <v>36.200000000000003</v>
      </c>
    </row>
    <row r="2186" spans="1:23" x14ac:dyDescent="0.25">
      <c r="A2186">
        <v>6</v>
      </c>
      <c r="B2186" t="s">
        <v>70</v>
      </c>
      <c r="C2186" s="1">
        <v>45439</v>
      </c>
      <c r="D2186" t="s">
        <v>71</v>
      </c>
      <c r="E2186">
        <v>0</v>
      </c>
      <c r="F2186">
        <v>36</v>
      </c>
      <c r="G2186" t="str">
        <f t="shared" si="42"/>
        <v>21-40</v>
      </c>
      <c r="H2186" t="s">
        <v>23</v>
      </c>
      <c r="I2186" t="s">
        <v>24</v>
      </c>
      <c r="J2186" t="s">
        <v>25</v>
      </c>
      <c r="K2186" t="s">
        <v>29</v>
      </c>
      <c r="L2186">
        <v>1</v>
      </c>
      <c r="M2186">
        <v>1</v>
      </c>
      <c r="N2186">
        <v>6.6</v>
      </c>
      <c r="O2186">
        <v>9</v>
      </c>
      <c r="P2186">
        <v>6</v>
      </c>
      <c r="Q2186">
        <v>6</v>
      </c>
      <c r="R2186">
        <v>687557</v>
      </c>
      <c r="S2186">
        <f>Table1[[#This Row],[Revenue]]-Table1[[#This Row],[Operating_Costs]]</f>
        <v>167324</v>
      </c>
      <c r="T2186">
        <v>520233</v>
      </c>
      <c r="U2186">
        <v>22</v>
      </c>
      <c r="V2186">
        <v>58</v>
      </c>
      <c r="W2186">
        <v>36</v>
      </c>
    </row>
    <row r="2187" spans="1:23" x14ac:dyDescent="0.25">
      <c r="A2187">
        <v>6</v>
      </c>
      <c r="B2187" t="s">
        <v>70</v>
      </c>
      <c r="C2187" s="1">
        <v>45557</v>
      </c>
      <c r="D2187" t="s">
        <v>71</v>
      </c>
      <c r="E2187">
        <v>0</v>
      </c>
      <c r="F2187">
        <v>44</v>
      </c>
      <c r="G2187" t="str">
        <f t="shared" si="42"/>
        <v>41-60</v>
      </c>
      <c r="H2187" t="s">
        <v>23</v>
      </c>
      <c r="I2187" t="s">
        <v>43</v>
      </c>
      <c r="J2187" t="s">
        <v>25</v>
      </c>
      <c r="K2187" t="s">
        <v>38</v>
      </c>
      <c r="L2187">
        <v>1</v>
      </c>
      <c r="M2187">
        <v>1</v>
      </c>
      <c r="N2187">
        <v>3.4</v>
      </c>
      <c r="O2187">
        <v>9.6999999999999993</v>
      </c>
      <c r="P2187">
        <v>4</v>
      </c>
      <c r="Q2187">
        <v>6</v>
      </c>
      <c r="R2187">
        <v>674462</v>
      </c>
      <c r="S2187">
        <f>Table1[[#This Row],[Revenue]]-Table1[[#This Row],[Operating_Costs]]</f>
        <v>208492</v>
      </c>
      <c r="T2187">
        <v>465970</v>
      </c>
      <c r="U2187">
        <v>23</v>
      </c>
      <c r="V2187">
        <v>64</v>
      </c>
      <c r="W2187">
        <v>12.3</v>
      </c>
    </row>
    <row r="2188" spans="1:23" x14ac:dyDescent="0.25">
      <c r="A2188">
        <v>6</v>
      </c>
      <c r="B2188" t="s">
        <v>70</v>
      </c>
      <c r="C2188" s="1">
        <v>44216</v>
      </c>
      <c r="D2188" t="s">
        <v>71</v>
      </c>
      <c r="E2188">
        <v>0</v>
      </c>
      <c r="F2188">
        <v>40</v>
      </c>
      <c r="G2188" t="str">
        <f t="shared" si="42"/>
        <v>21-40</v>
      </c>
      <c r="H2188" t="s">
        <v>35</v>
      </c>
      <c r="I2188" t="s">
        <v>46</v>
      </c>
      <c r="J2188" t="s">
        <v>47</v>
      </c>
      <c r="K2188" t="s">
        <v>26</v>
      </c>
      <c r="L2188">
        <v>1</v>
      </c>
      <c r="M2188">
        <v>1</v>
      </c>
      <c r="N2188">
        <v>4.5999999999999996</v>
      </c>
      <c r="O2188">
        <v>7.2</v>
      </c>
      <c r="P2188">
        <v>3</v>
      </c>
      <c r="Q2188">
        <v>6</v>
      </c>
      <c r="R2188">
        <v>794899</v>
      </c>
      <c r="S2188">
        <f>Table1[[#This Row],[Revenue]]-Table1[[#This Row],[Operating_Costs]]</f>
        <v>373083</v>
      </c>
      <c r="T2188">
        <v>421816</v>
      </c>
      <c r="U2188">
        <v>28</v>
      </c>
      <c r="V2188">
        <v>60</v>
      </c>
      <c r="W2188">
        <v>8.6999999999999993</v>
      </c>
    </row>
    <row r="2189" spans="1:23" x14ac:dyDescent="0.25">
      <c r="A2189">
        <v>6</v>
      </c>
      <c r="B2189" t="s">
        <v>70</v>
      </c>
      <c r="C2189" s="1">
        <v>44738</v>
      </c>
      <c r="D2189" t="s">
        <v>71</v>
      </c>
      <c r="E2189">
        <v>0</v>
      </c>
      <c r="F2189">
        <v>25</v>
      </c>
      <c r="G2189" t="str">
        <f t="shared" si="42"/>
        <v>21-40</v>
      </c>
      <c r="H2189" t="s">
        <v>23</v>
      </c>
      <c r="I2189" t="s">
        <v>24</v>
      </c>
      <c r="J2189" t="s">
        <v>25</v>
      </c>
      <c r="K2189" t="s">
        <v>38</v>
      </c>
      <c r="L2189">
        <v>1</v>
      </c>
      <c r="M2189">
        <v>1</v>
      </c>
      <c r="N2189">
        <v>5.9</v>
      </c>
      <c r="O2189">
        <v>9.5</v>
      </c>
      <c r="P2189">
        <v>6</v>
      </c>
      <c r="Q2189">
        <v>5</v>
      </c>
      <c r="R2189">
        <v>658389</v>
      </c>
      <c r="S2189">
        <f>Table1[[#This Row],[Revenue]]-Table1[[#This Row],[Operating_Costs]]</f>
        <v>236070</v>
      </c>
      <c r="T2189">
        <v>422319</v>
      </c>
      <c r="U2189">
        <v>21</v>
      </c>
      <c r="V2189">
        <v>59</v>
      </c>
      <c r="W2189">
        <v>8.6</v>
      </c>
    </row>
    <row r="2190" spans="1:23" x14ac:dyDescent="0.25">
      <c r="A2190">
        <v>6</v>
      </c>
      <c r="B2190" t="s">
        <v>70</v>
      </c>
      <c r="C2190" s="1">
        <v>45095</v>
      </c>
      <c r="D2190" t="s">
        <v>71</v>
      </c>
      <c r="E2190">
        <v>0</v>
      </c>
      <c r="F2190">
        <v>50</v>
      </c>
      <c r="G2190" t="str">
        <f t="shared" si="42"/>
        <v>41-60</v>
      </c>
      <c r="H2190" t="s">
        <v>35</v>
      </c>
      <c r="I2190" t="s">
        <v>58</v>
      </c>
      <c r="J2190" t="s">
        <v>59</v>
      </c>
      <c r="K2190" t="s">
        <v>29</v>
      </c>
      <c r="L2190">
        <v>1</v>
      </c>
      <c r="M2190">
        <v>1</v>
      </c>
      <c r="N2190">
        <v>6.9</v>
      </c>
      <c r="O2190">
        <v>9.6</v>
      </c>
      <c r="P2190">
        <v>6</v>
      </c>
      <c r="Q2190">
        <v>4</v>
      </c>
      <c r="R2190">
        <v>775949</v>
      </c>
      <c r="S2190">
        <f>Table1[[#This Row],[Revenue]]-Table1[[#This Row],[Operating_Costs]]</f>
        <v>371636</v>
      </c>
      <c r="T2190">
        <v>404313</v>
      </c>
      <c r="U2190">
        <v>28</v>
      </c>
      <c r="V2190">
        <v>63</v>
      </c>
      <c r="W2190">
        <v>15</v>
      </c>
    </row>
    <row r="2191" spans="1:23" x14ac:dyDescent="0.25">
      <c r="A2191">
        <v>6</v>
      </c>
      <c r="B2191" t="s">
        <v>70</v>
      </c>
      <c r="C2191" s="1">
        <v>44750</v>
      </c>
      <c r="D2191" t="s">
        <v>71</v>
      </c>
      <c r="E2191">
        <v>0</v>
      </c>
      <c r="F2191">
        <v>32</v>
      </c>
      <c r="G2191" t="str">
        <f t="shared" si="42"/>
        <v>21-40</v>
      </c>
      <c r="H2191" t="s">
        <v>23</v>
      </c>
      <c r="I2191" t="s">
        <v>46</v>
      </c>
      <c r="J2191" t="s">
        <v>47</v>
      </c>
      <c r="K2191" t="s">
        <v>33</v>
      </c>
      <c r="L2191">
        <v>1</v>
      </c>
      <c r="M2191">
        <v>1</v>
      </c>
      <c r="N2191">
        <v>5.8</v>
      </c>
      <c r="O2191">
        <v>8.1999999999999993</v>
      </c>
      <c r="P2191">
        <v>4</v>
      </c>
      <c r="Q2191">
        <v>3</v>
      </c>
      <c r="R2191">
        <v>737922</v>
      </c>
      <c r="S2191">
        <f>Table1[[#This Row],[Revenue]]-Table1[[#This Row],[Operating_Costs]]</f>
        <v>159643</v>
      </c>
      <c r="T2191">
        <v>578279</v>
      </c>
      <c r="U2191">
        <v>25</v>
      </c>
      <c r="V2191">
        <v>62</v>
      </c>
      <c r="W2191">
        <v>9.1</v>
      </c>
    </row>
    <row r="2192" spans="1:23" x14ac:dyDescent="0.25">
      <c r="A2192">
        <v>6</v>
      </c>
      <c r="B2192" t="s">
        <v>70</v>
      </c>
      <c r="C2192" s="1">
        <v>44357</v>
      </c>
      <c r="D2192" t="s">
        <v>71</v>
      </c>
      <c r="E2192">
        <v>0</v>
      </c>
      <c r="F2192">
        <v>22</v>
      </c>
      <c r="G2192" t="str">
        <f t="shared" si="42"/>
        <v>21-40</v>
      </c>
      <c r="H2192" t="s">
        <v>23</v>
      </c>
      <c r="I2192" t="s">
        <v>58</v>
      </c>
      <c r="J2192" t="s">
        <v>59</v>
      </c>
      <c r="K2192" t="s">
        <v>29</v>
      </c>
      <c r="L2192">
        <v>1</v>
      </c>
      <c r="M2192">
        <v>1</v>
      </c>
      <c r="N2192">
        <v>4.0999999999999996</v>
      </c>
      <c r="O2192">
        <v>8.1</v>
      </c>
      <c r="P2192">
        <v>6</v>
      </c>
      <c r="Q2192">
        <v>4</v>
      </c>
      <c r="R2192">
        <v>623623</v>
      </c>
      <c r="S2192">
        <f>Table1[[#This Row],[Revenue]]-Table1[[#This Row],[Operating_Costs]]</f>
        <v>209814</v>
      </c>
      <c r="T2192">
        <v>413809</v>
      </c>
      <c r="U2192">
        <v>30</v>
      </c>
      <c r="V2192">
        <v>60</v>
      </c>
      <c r="W2192">
        <v>8.4</v>
      </c>
    </row>
    <row r="2193" spans="1:23" x14ac:dyDescent="0.25">
      <c r="A2193">
        <v>6</v>
      </c>
      <c r="B2193" t="s">
        <v>70</v>
      </c>
      <c r="C2193" s="1">
        <v>44248</v>
      </c>
      <c r="D2193" t="s">
        <v>71</v>
      </c>
      <c r="E2193">
        <v>0</v>
      </c>
      <c r="F2193">
        <v>59</v>
      </c>
      <c r="G2193" t="str">
        <f t="shared" si="42"/>
        <v>41-60</v>
      </c>
      <c r="H2193" t="s">
        <v>23</v>
      </c>
      <c r="I2193" t="s">
        <v>24</v>
      </c>
      <c r="J2193" t="s">
        <v>25</v>
      </c>
      <c r="K2193" t="s">
        <v>38</v>
      </c>
      <c r="L2193">
        <v>1</v>
      </c>
      <c r="M2193">
        <v>1</v>
      </c>
      <c r="N2193">
        <v>4.0999999999999996</v>
      </c>
      <c r="O2193">
        <v>7.5</v>
      </c>
      <c r="P2193">
        <v>4</v>
      </c>
      <c r="Q2193">
        <v>5</v>
      </c>
      <c r="R2193">
        <v>735814</v>
      </c>
      <c r="S2193">
        <f>Table1[[#This Row],[Revenue]]-Table1[[#This Row],[Operating_Costs]]</f>
        <v>276933</v>
      </c>
      <c r="T2193">
        <v>458881</v>
      </c>
      <c r="U2193">
        <v>28</v>
      </c>
      <c r="V2193">
        <v>57</v>
      </c>
      <c r="W2193">
        <v>36.200000000000003</v>
      </c>
    </row>
    <row r="2194" spans="1:23" x14ac:dyDescent="0.25">
      <c r="A2194">
        <v>6</v>
      </c>
      <c r="B2194" t="s">
        <v>70</v>
      </c>
      <c r="C2194" s="1">
        <v>44228</v>
      </c>
      <c r="D2194" t="s">
        <v>71</v>
      </c>
      <c r="E2194">
        <v>0</v>
      </c>
      <c r="F2194">
        <v>72</v>
      </c>
      <c r="G2194" t="str">
        <f t="shared" si="42"/>
        <v>61-80</v>
      </c>
      <c r="H2194" t="s">
        <v>35</v>
      </c>
      <c r="I2194" t="s">
        <v>61</v>
      </c>
      <c r="J2194" t="s">
        <v>62</v>
      </c>
      <c r="K2194" t="s">
        <v>33</v>
      </c>
      <c r="L2194">
        <v>1</v>
      </c>
      <c r="M2194">
        <v>1</v>
      </c>
      <c r="N2194">
        <v>3.2</v>
      </c>
      <c r="O2194">
        <v>7.8</v>
      </c>
      <c r="P2194">
        <v>6</v>
      </c>
      <c r="Q2194">
        <v>6</v>
      </c>
      <c r="R2194">
        <v>695742</v>
      </c>
      <c r="S2194">
        <f>Table1[[#This Row],[Revenue]]-Table1[[#This Row],[Operating_Costs]]</f>
        <v>124808</v>
      </c>
      <c r="T2194">
        <v>570934</v>
      </c>
      <c r="U2194">
        <v>26</v>
      </c>
      <c r="V2194">
        <v>54</v>
      </c>
      <c r="W2194">
        <v>8.8000000000000007</v>
      </c>
    </row>
    <row r="2195" spans="1:23" x14ac:dyDescent="0.25">
      <c r="A2195">
        <v>6</v>
      </c>
      <c r="B2195" t="s">
        <v>70</v>
      </c>
      <c r="C2195" s="1">
        <v>44575</v>
      </c>
      <c r="D2195" t="s">
        <v>71</v>
      </c>
      <c r="E2195">
        <v>0</v>
      </c>
      <c r="F2195">
        <v>42</v>
      </c>
      <c r="G2195" t="str">
        <f t="shared" si="42"/>
        <v>41-60</v>
      </c>
      <c r="H2195" t="s">
        <v>35</v>
      </c>
      <c r="I2195" t="s">
        <v>58</v>
      </c>
      <c r="J2195" t="s">
        <v>59</v>
      </c>
      <c r="K2195" t="s">
        <v>26</v>
      </c>
      <c r="L2195">
        <v>1</v>
      </c>
      <c r="M2195">
        <v>1</v>
      </c>
      <c r="N2195">
        <v>5</v>
      </c>
      <c r="O2195">
        <v>8.3000000000000007</v>
      </c>
      <c r="P2195">
        <v>5</v>
      </c>
      <c r="Q2195">
        <v>5</v>
      </c>
      <c r="R2195">
        <v>659297</v>
      </c>
      <c r="S2195">
        <f>Table1[[#This Row],[Revenue]]-Table1[[#This Row],[Operating_Costs]]</f>
        <v>244894</v>
      </c>
      <c r="T2195">
        <v>414403</v>
      </c>
      <c r="U2195">
        <v>27</v>
      </c>
      <c r="V2195">
        <v>66</v>
      </c>
      <c r="W2195">
        <v>10.9</v>
      </c>
    </row>
    <row r="2196" spans="1:23" x14ac:dyDescent="0.25">
      <c r="A2196">
        <v>6</v>
      </c>
      <c r="B2196" t="s">
        <v>70</v>
      </c>
      <c r="C2196" s="1">
        <v>44612</v>
      </c>
      <c r="D2196" t="s">
        <v>71</v>
      </c>
      <c r="E2196">
        <v>0</v>
      </c>
      <c r="F2196">
        <v>86</v>
      </c>
      <c r="G2196" t="str">
        <f t="shared" si="42"/>
        <v>81+</v>
      </c>
      <c r="H2196" t="s">
        <v>35</v>
      </c>
      <c r="I2196" t="s">
        <v>60</v>
      </c>
      <c r="J2196" t="s">
        <v>59</v>
      </c>
      <c r="K2196" t="s">
        <v>38</v>
      </c>
      <c r="L2196">
        <v>1</v>
      </c>
      <c r="M2196">
        <v>1</v>
      </c>
      <c r="N2196">
        <v>2.7</v>
      </c>
      <c r="O2196">
        <v>8.3000000000000007</v>
      </c>
      <c r="P2196">
        <v>7</v>
      </c>
      <c r="Q2196">
        <v>7</v>
      </c>
      <c r="R2196">
        <v>703048</v>
      </c>
      <c r="S2196">
        <f>Table1[[#This Row],[Revenue]]-Table1[[#This Row],[Operating_Costs]]</f>
        <v>157384</v>
      </c>
      <c r="T2196">
        <v>545664</v>
      </c>
      <c r="U2196">
        <v>27</v>
      </c>
      <c r="V2196">
        <v>59</v>
      </c>
      <c r="W2196">
        <v>10.6</v>
      </c>
    </row>
    <row r="2197" spans="1:23" x14ac:dyDescent="0.25">
      <c r="A2197">
        <v>6</v>
      </c>
      <c r="B2197" t="s">
        <v>70</v>
      </c>
      <c r="C2197" s="1">
        <v>45552</v>
      </c>
      <c r="D2197" t="s">
        <v>71</v>
      </c>
      <c r="E2197">
        <v>0</v>
      </c>
      <c r="F2197">
        <v>80</v>
      </c>
      <c r="G2197" t="str">
        <f t="shared" si="42"/>
        <v>61-80</v>
      </c>
      <c r="H2197" t="s">
        <v>23</v>
      </c>
      <c r="I2197" t="s">
        <v>24</v>
      </c>
      <c r="J2197" t="s">
        <v>25</v>
      </c>
      <c r="K2197" t="s">
        <v>42</v>
      </c>
      <c r="L2197">
        <v>1</v>
      </c>
      <c r="M2197">
        <v>1</v>
      </c>
      <c r="N2197">
        <v>3</v>
      </c>
      <c r="O2197">
        <v>7.7</v>
      </c>
      <c r="P2197">
        <v>7</v>
      </c>
      <c r="Q2197">
        <v>5</v>
      </c>
      <c r="R2197">
        <v>772265</v>
      </c>
      <c r="S2197">
        <f>Table1[[#This Row],[Revenue]]-Table1[[#This Row],[Operating_Costs]]</f>
        <v>280208</v>
      </c>
      <c r="T2197">
        <v>492057</v>
      </c>
      <c r="U2197">
        <v>28</v>
      </c>
      <c r="V2197">
        <v>58</v>
      </c>
      <c r="W2197">
        <v>10.199999999999999</v>
      </c>
    </row>
    <row r="2198" spans="1:23" x14ac:dyDescent="0.25">
      <c r="A2198">
        <v>6</v>
      </c>
      <c r="B2198" t="s">
        <v>70</v>
      </c>
      <c r="C2198" s="1">
        <v>45100</v>
      </c>
      <c r="D2198" t="s">
        <v>71</v>
      </c>
      <c r="E2198">
        <v>0</v>
      </c>
      <c r="F2198">
        <v>35</v>
      </c>
      <c r="G2198" t="str">
        <f t="shared" si="42"/>
        <v>21-40</v>
      </c>
      <c r="H2198" t="s">
        <v>35</v>
      </c>
      <c r="I2198" t="s">
        <v>40</v>
      </c>
      <c r="J2198" t="s">
        <v>41</v>
      </c>
      <c r="K2198" t="s">
        <v>42</v>
      </c>
      <c r="L2198">
        <v>1</v>
      </c>
      <c r="M2198">
        <v>1</v>
      </c>
      <c r="N2198">
        <v>1.8</v>
      </c>
      <c r="O2198">
        <v>9.1</v>
      </c>
      <c r="P2198">
        <v>6</v>
      </c>
      <c r="Q2198">
        <v>6</v>
      </c>
      <c r="R2198">
        <v>672929</v>
      </c>
      <c r="S2198">
        <f>Table1[[#This Row],[Revenue]]-Table1[[#This Row],[Operating_Costs]]</f>
        <v>127434</v>
      </c>
      <c r="T2198">
        <v>545495</v>
      </c>
      <c r="U2198">
        <v>22</v>
      </c>
      <c r="V2198">
        <v>59</v>
      </c>
      <c r="W2198">
        <v>14.1</v>
      </c>
    </row>
    <row r="2199" spans="1:23" x14ac:dyDescent="0.25">
      <c r="A2199">
        <v>6</v>
      </c>
      <c r="B2199" t="s">
        <v>70</v>
      </c>
      <c r="C2199" s="1">
        <v>44586</v>
      </c>
      <c r="D2199" t="s">
        <v>71</v>
      </c>
      <c r="E2199">
        <v>0</v>
      </c>
      <c r="F2199">
        <v>29</v>
      </c>
      <c r="G2199" t="str">
        <f t="shared" si="42"/>
        <v>21-40</v>
      </c>
      <c r="H2199" t="s">
        <v>35</v>
      </c>
      <c r="I2199" t="s">
        <v>55</v>
      </c>
      <c r="J2199" t="s">
        <v>56</v>
      </c>
      <c r="K2199" t="s">
        <v>26</v>
      </c>
      <c r="L2199">
        <v>1</v>
      </c>
      <c r="M2199">
        <v>1</v>
      </c>
      <c r="N2199">
        <v>1.4</v>
      </c>
      <c r="O2199">
        <v>7.8</v>
      </c>
      <c r="P2199">
        <v>5</v>
      </c>
      <c r="Q2199">
        <v>3</v>
      </c>
      <c r="R2199">
        <v>733154</v>
      </c>
      <c r="S2199">
        <f>Table1[[#This Row],[Revenue]]-Table1[[#This Row],[Operating_Costs]]</f>
        <v>196735</v>
      </c>
      <c r="T2199">
        <v>536419</v>
      </c>
      <c r="U2199">
        <v>28</v>
      </c>
      <c r="V2199">
        <v>54</v>
      </c>
      <c r="W2199">
        <v>9.1999999999999993</v>
      </c>
    </row>
    <row r="2200" spans="1:23" x14ac:dyDescent="0.25">
      <c r="A2200">
        <v>6</v>
      </c>
      <c r="B2200" t="s">
        <v>70</v>
      </c>
      <c r="C2200" s="1">
        <v>44430</v>
      </c>
      <c r="D2200" t="s">
        <v>71</v>
      </c>
      <c r="E2200">
        <v>0</v>
      </c>
      <c r="F2200">
        <v>29</v>
      </c>
      <c r="G2200" t="str">
        <f t="shared" si="42"/>
        <v>21-40</v>
      </c>
      <c r="H2200" t="s">
        <v>23</v>
      </c>
      <c r="I2200" t="s">
        <v>50</v>
      </c>
      <c r="J2200" t="s">
        <v>51</v>
      </c>
      <c r="K2200" t="s">
        <v>42</v>
      </c>
      <c r="L2200">
        <v>1</v>
      </c>
      <c r="M2200">
        <v>1</v>
      </c>
      <c r="N2200">
        <v>4</v>
      </c>
      <c r="O2200">
        <v>7.3</v>
      </c>
      <c r="P2200">
        <v>6</v>
      </c>
      <c r="Q2200">
        <v>4</v>
      </c>
      <c r="R2200">
        <v>716518</v>
      </c>
      <c r="S2200">
        <f>Table1[[#This Row],[Revenue]]-Table1[[#This Row],[Operating_Costs]]</f>
        <v>141087</v>
      </c>
      <c r="T2200">
        <v>575431</v>
      </c>
      <c r="U2200">
        <v>30</v>
      </c>
      <c r="V2200">
        <v>58</v>
      </c>
      <c r="W2200">
        <v>9.6</v>
      </c>
    </row>
    <row r="2201" spans="1:23" x14ac:dyDescent="0.25">
      <c r="A2201">
        <v>6</v>
      </c>
      <c r="B2201" t="s">
        <v>70</v>
      </c>
      <c r="C2201" s="1">
        <v>45432</v>
      </c>
      <c r="D2201" t="s">
        <v>71</v>
      </c>
      <c r="E2201">
        <v>0</v>
      </c>
      <c r="F2201">
        <v>59</v>
      </c>
      <c r="G2201" t="str">
        <f t="shared" si="42"/>
        <v>41-60</v>
      </c>
      <c r="H2201" t="s">
        <v>35</v>
      </c>
      <c r="I2201" t="s">
        <v>36</v>
      </c>
      <c r="J2201" t="s">
        <v>37</v>
      </c>
      <c r="K2201" t="s">
        <v>29</v>
      </c>
      <c r="L2201">
        <v>1</v>
      </c>
      <c r="M2201">
        <v>1</v>
      </c>
      <c r="N2201">
        <v>6.5</v>
      </c>
      <c r="O2201">
        <v>8.6</v>
      </c>
      <c r="P2201">
        <v>7</v>
      </c>
      <c r="Q2201">
        <v>5</v>
      </c>
      <c r="R2201">
        <v>761549</v>
      </c>
      <c r="S2201">
        <f>Table1[[#This Row],[Revenue]]-Table1[[#This Row],[Operating_Costs]]</f>
        <v>189928</v>
      </c>
      <c r="T2201">
        <v>571621</v>
      </c>
      <c r="U2201">
        <v>29</v>
      </c>
      <c r="V2201">
        <v>62</v>
      </c>
      <c r="W2201">
        <v>8.1</v>
      </c>
    </row>
    <row r="2202" spans="1:23" x14ac:dyDescent="0.25">
      <c r="A2202">
        <v>6</v>
      </c>
      <c r="B2202" t="s">
        <v>70</v>
      </c>
      <c r="C2202" s="1">
        <v>44851</v>
      </c>
      <c r="D2202" t="s">
        <v>71</v>
      </c>
      <c r="E2202">
        <v>0</v>
      </c>
      <c r="F2202">
        <v>82</v>
      </c>
      <c r="G2202" t="str">
        <f t="shared" si="42"/>
        <v>81+</v>
      </c>
      <c r="H2202" t="s">
        <v>35</v>
      </c>
      <c r="I2202" t="s">
        <v>36</v>
      </c>
      <c r="J2202" t="s">
        <v>37</v>
      </c>
      <c r="K2202" t="s">
        <v>26</v>
      </c>
      <c r="L2202">
        <v>1</v>
      </c>
      <c r="M2202">
        <v>1</v>
      </c>
      <c r="N2202">
        <v>1.5</v>
      </c>
      <c r="O2202">
        <v>8.1</v>
      </c>
      <c r="P2202">
        <v>4</v>
      </c>
      <c r="Q2202">
        <v>4</v>
      </c>
      <c r="R2202">
        <v>692238</v>
      </c>
      <c r="S2202">
        <f>Table1[[#This Row],[Revenue]]-Table1[[#This Row],[Operating_Costs]]</f>
        <v>217164</v>
      </c>
      <c r="T2202">
        <v>475074</v>
      </c>
      <c r="U2202">
        <v>25</v>
      </c>
      <c r="V2202">
        <v>63</v>
      </c>
      <c r="W2202">
        <v>36.200000000000003</v>
      </c>
    </row>
    <row r="2203" spans="1:23" x14ac:dyDescent="0.25">
      <c r="A2203">
        <v>6</v>
      </c>
      <c r="B2203" t="s">
        <v>70</v>
      </c>
      <c r="C2203" s="1">
        <v>44649</v>
      </c>
      <c r="D2203" t="s">
        <v>71</v>
      </c>
      <c r="E2203">
        <v>0</v>
      </c>
      <c r="F2203">
        <v>30</v>
      </c>
      <c r="G2203" t="str">
        <f t="shared" si="42"/>
        <v>21-40</v>
      </c>
      <c r="H2203" t="s">
        <v>35</v>
      </c>
      <c r="I2203" t="s">
        <v>31</v>
      </c>
      <c r="J2203" t="s">
        <v>28</v>
      </c>
      <c r="K2203" t="s">
        <v>33</v>
      </c>
      <c r="L2203">
        <v>1</v>
      </c>
      <c r="M2203">
        <v>1</v>
      </c>
      <c r="N2203">
        <v>6.2</v>
      </c>
      <c r="O2203">
        <v>8.6999999999999993</v>
      </c>
      <c r="P2203">
        <v>5</v>
      </c>
      <c r="Q2203">
        <v>5</v>
      </c>
      <c r="R2203">
        <v>724957</v>
      </c>
      <c r="S2203">
        <f>Table1[[#This Row],[Revenue]]-Table1[[#This Row],[Operating_Costs]]</f>
        <v>228755</v>
      </c>
      <c r="T2203">
        <v>496202</v>
      </c>
      <c r="U2203">
        <v>29</v>
      </c>
      <c r="V2203">
        <v>66</v>
      </c>
      <c r="W2203">
        <v>36.200000000000003</v>
      </c>
    </row>
    <row r="2204" spans="1:23" x14ac:dyDescent="0.25">
      <c r="A2204">
        <v>6</v>
      </c>
      <c r="B2204" t="s">
        <v>70</v>
      </c>
      <c r="C2204" s="1">
        <v>44648</v>
      </c>
      <c r="D2204" t="s">
        <v>71</v>
      </c>
      <c r="E2204">
        <v>0</v>
      </c>
      <c r="F2204">
        <v>90</v>
      </c>
      <c r="G2204" t="str">
        <f t="shared" si="42"/>
        <v>81+</v>
      </c>
      <c r="H2204" t="s">
        <v>23</v>
      </c>
      <c r="I2204" t="s">
        <v>24</v>
      </c>
      <c r="J2204" t="s">
        <v>25</v>
      </c>
      <c r="K2204" t="s">
        <v>38</v>
      </c>
      <c r="L2204">
        <v>1</v>
      </c>
      <c r="M2204">
        <v>1</v>
      </c>
      <c r="N2204">
        <v>1.1000000000000001</v>
      </c>
      <c r="O2204">
        <v>8.1999999999999993</v>
      </c>
      <c r="P2204">
        <v>3</v>
      </c>
      <c r="Q2204">
        <v>4</v>
      </c>
      <c r="R2204">
        <v>689975</v>
      </c>
      <c r="S2204">
        <f>Table1[[#This Row],[Revenue]]-Table1[[#This Row],[Operating_Costs]]</f>
        <v>263887</v>
      </c>
      <c r="T2204">
        <v>426088</v>
      </c>
      <c r="U2204">
        <v>27</v>
      </c>
      <c r="V2204">
        <v>59</v>
      </c>
      <c r="W2204">
        <v>6.3</v>
      </c>
    </row>
    <row r="2205" spans="1:23" x14ac:dyDescent="0.25">
      <c r="A2205">
        <v>6</v>
      </c>
      <c r="B2205" t="s">
        <v>70</v>
      </c>
      <c r="C2205" s="1">
        <v>44737</v>
      </c>
      <c r="D2205" t="s">
        <v>71</v>
      </c>
      <c r="E2205">
        <v>0</v>
      </c>
      <c r="F2205">
        <v>55</v>
      </c>
      <c r="G2205" t="str">
        <f t="shared" si="42"/>
        <v>41-60</v>
      </c>
      <c r="H2205" t="s">
        <v>35</v>
      </c>
      <c r="I2205" t="s">
        <v>36</v>
      </c>
      <c r="J2205" t="s">
        <v>37</v>
      </c>
      <c r="K2205" t="s">
        <v>33</v>
      </c>
      <c r="L2205">
        <v>1</v>
      </c>
      <c r="M2205">
        <v>1</v>
      </c>
      <c r="N2205">
        <v>3.3</v>
      </c>
      <c r="O2205">
        <v>7.8</v>
      </c>
      <c r="P2205">
        <v>6</v>
      </c>
      <c r="Q2205">
        <v>6</v>
      </c>
      <c r="R2205">
        <v>770677</v>
      </c>
      <c r="S2205">
        <f>Table1[[#This Row],[Revenue]]-Table1[[#This Row],[Operating_Costs]]</f>
        <v>253985</v>
      </c>
      <c r="T2205">
        <v>516692</v>
      </c>
      <c r="U2205">
        <v>26</v>
      </c>
      <c r="V2205">
        <v>56</v>
      </c>
      <c r="W2205">
        <v>10.1</v>
      </c>
    </row>
    <row r="2206" spans="1:23" x14ac:dyDescent="0.25">
      <c r="A2206">
        <v>6</v>
      </c>
      <c r="B2206" t="s">
        <v>70</v>
      </c>
      <c r="C2206" s="1">
        <v>45044</v>
      </c>
      <c r="D2206" t="s">
        <v>71</v>
      </c>
      <c r="E2206">
        <v>0</v>
      </c>
      <c r="F2206">
        <v>79</v>
      </c>
      <c r="G2206" t="str">
        <f t="shared" si="42"/>
        <v>61-80</v>
      </c>
      <c r="H2206" t="s">
        <v>35</v>
      </c>
      <c r="I2206" t="s">
        <v>55</v>
      </c>
      <c r="J2206" t="s">
        <v>56</v>
      </c>
      <c r="K2206" t="s">
        <v>38</v>
      </c>
      <c r="L2206">
        <v>1</v>
      </c>
      <c r="M2206">
        <v>1</v>
      </c>
      <c r="N2206">
        <v>5.3</v>
      </c>
      <c r="O2206">
        <v>7.2</v>
      </c>
      <c r="P2206">
        <v>5</v>
      </c>
      <c r="Q2206">
        <v>5</v>
      </c>
      <c r="R2206">
        <v>680135</v>
      </c>
      <c r="S2206">
        <f>Table1[[#This Row],[Revenue]]-Table1[[#This Row],[Operating_Costs]]</f>
        <v>179412</v>
      </c>
      <c r="T2206">
        <v>500723</v>
      </c>
      <c r="U2206">
        <v>28</v>
      </c>
      <c r="V2206">
        <v>56</v>
      </c>
      <c r="W2206">
        <v>5.8</v>
      </c>
    </row>
    <row r="2207" spans="1:23" x14ac:dyDescent="0.25">
      <c r="A2207">
        <v>6</v>
      </c>
      <c r="B2207" t="s">
        <v>70</v>
      </c>
      <c r="C2207" s="1">
        <v>44857</v>
      </c>
      <c r="D2207" t="s">
        <v>71</v>
      </c>
      <c r="E2207">
        <v>0</v>
      </c>
      <c r="F2207">
        <v>73</v>
      </c>
      <c r="G2207" t="str">
        <f t="shared" si="42"/>
        <v>61-80</v>
      </c>
      <c r="H2207" t="s">
        <v>35</v>
      </c>
      <c r="I2207" t="s">
        <v>61</v>
      </c>
      <c r="J2207" t="s">
        <v>62</v>
      </c>
      <c r="K2207" t="s">
        <v>26</v>
      </c>
      <c r="L2207">
        <v>1</v>
      </c>
      <c r="M2207">
        <v>1</v>
      </c>
      <c r="N2207">
        <v>1.8</v>
      </c>
      <c r="O2207">
        <v>7.8</v>
      </c>
      <c r="P2207">
        <v>6</v>
      </c>
      <c r="Q2207">
        <v>7</v>
      </c>
      <c r="R2207">
        <v>791413</v>
      </c>
      <c r="S2207">
        <f>Table1[[#This Row],[Revenue]]-Table1[[#This Row],[Operating_Costs]]</f>
        <v>249486</v>
      </c>
      <c r="T2207">
        <v>541927</v>
      </c>
      <c r="U2207">
        <v>29</v>
      </c>
      <c r="V2207">
        <v>60</v>
      </c>
      <c r="W2207">
        <v>8.3000000000000007</v>
      </c>
    </row>
    <row r="2208" spans="1:23" x14ac:dyDescent="0.25">
      <c r="A2208">
        <v>6</v>
      </c>
      <c r="B2208" t="s">
        <v>70</v>
      </c>
      <c r="C2208" s="1">
        <v>45170</v>
      </c>
      <c r="D2208" t="s">
        <v>71</v>
      </c>
      <c r="E2208">
        <v>0</v>
      </c>
      <c r="F2208">
        <v>51</v>
      </c>
      <c r="G2208" t="str">
        <f t="shared" si="42"/>
        <v>41-60</v>
      </c>
      <c r="H2208" t="s">
        <v>35</v>
      </c>
      <c r="I2208" t="s">
        <v>61</v>
      </c>
      <c r="J2208" t="s">
        <v>62</v>
      </c>
      <c r="K2208" t="s">
        <v>26</v>
      </c>
      <c r="L2208">
        <v>1</v>
      </c>
      <c r="M2208">
        <v>1</v>
      </c>
      <c r="N2208">
        <v>6.1</v>
      </c>
      <c r="O2208">
        <v>9.5</v>
      </c>
      <c r="P2208">
        <v>4</v>
      </c>
      <c r="Q2208">
        <v>5</v>
      </c>
      <c r="R2208">
        <v>743404</v>
      </c>
      <c r="S2208">
        <f>Table1[[#This Row],[Revenue]]-Table1[[#This Row],[Operating_Costs]]</f>
        <v>236583</v>
      </c>
      <c r="T2208">
        <v>506821</v>
      </c>
      <c r="U2208">
        <v>23</v>
      </c>
      <c r="V2208">
        <v>66</v>
      </c>
      <c r="W2208">
        <v>36.4</v>
      </c>
    </row>
    <row r="2209" spans="1:23" x14ac:dyDescent="0.25">
      <c r="A2209">
        <v>6</v>
      </c>
      <c r="B2209" t="s">
        <v>70</v>
      </c>
      <c r="C2209" s="1">
        <v>44504</v>
      </c>
      <c r="D2209" t="s">
        <v>71</v>
      </c>
      <c r="E2209">
        <v>0</v>
      </c>
      <c r="F2209">
        <v>44</v>
      </c>
      <c r="G2209" t="str">
        <f t="shared" si="42"/>
        <v>41-60</v>
      </c>
      <c r="H2209" t="s">
        <v>23</v>
      </c>
      <c r="I2209" t="s">
        <v>24</v>
      </c>
      <c r="J2209" t="s">
        <v>25</v>
      </c>
      <c r="K2209" t="s">
        <v>38</v>
      </c>
      <c r="L2209">
        <v>1</v>
      </c>
      <c r="M2209">
        <v>1</v>
      </c>
      <c r="N2209">
        <v>2</v>
      </c>
      <c r="O2209">
        <v>8</v>
      </c>
      <c r="P2209">
        <v>7</v>
      </c>
      <c r="Q2209">
        <v>3</v>
      </c>
      <c r="R2209">
        <v>609055</v>
      </c>
      <c r="S2209">
        <f>Table1[[#This Row],[Revenue]]-Table1[[#This Row],[Operating_Costs]]</f>
        <v>77847</v>
      </c>
      <c r="T2209">
        <v>531208</v>
      </c>
      <c r="U2209">
        <v>26</v>
      </c>
      <c r="V2209">
        <v>66</v>
      </c>
      <c r="W2209">
        <v>5.6</v>
      </c>
    </row>
    <row r="2210" spans="1:23" x14ac:dyDescent="0.25">
      <c r="A2210">
        <v>6</v>
      </c>
      <c r="B2210" t="s">
        <v>70</v>
      </c>
      <c r="C2210" s="1">
        <v>45323</v>
      </c>
      <c r="D2210" t="s">
        <v>71</v>
      </c>
      <c r="E2210">
        <v>0</v>
      </c>
      <c r="F2210">
        <v>89</v>
      </c>
      <c r="G2210" t="str">
        <f t="shared" si="42"/>
        <v>81+</v>
      </c>
      <c r="H2210" t="s">
        <v>35</v>
      </c>
      <c r="I2210" t="s">
        <v>53</v>
      </c>
      <c r="J2210" t="s">
        <v>54</v>
      </c>
      <c r="K2210" t="s">
        <v>26</v>
      </c>
      <c r="L2210">
        <v>1</v>
      </c>
      <c r="M2210">
        <v>1</v>
      </c>
      <c r="N2210">
        <v>6.6</v>
      </c>
      <c r="O2210">
        <v>9.9</v>
      </c>
      <c r="P2210">
        <v>6</v>
      </c>
      <c r="Q2210">
        <v>6</v>
      </c>
      <c r="R2210">
        <v>680925</v>
      </c>
      <c r="S2210">
        <f>Table1[[#This Row],[Revenue]]-Table1[[#This Row],[Operating_Costs]]</f>
        <v>230263</v>
      </c>
      <c r="T2210">
        <v>450662</v>
      </c>
      <c r="U2210">
        <v>25</v>
      </c>
      <c r="V2210">
        <v>63</v>
      </c>
      <c r="W2210">
        <v>7.1</v>
      </c>
    </row>
    <row r="2211" spans="1:23" x14ac:dyDescent="0.25">
      <c r="A2211">
        <v>6</v>
      </c>
      <c r="B2211" t="s">
        <v>70</v>
      </c>
      <c r="C2211" s="1">
        <v>45396</v>
      </c>
      <c r="D2211" t="s">
        <v>71</v>
      </c>
      <c r="E2211">
        <v>0</v>
      </c>
      <c r="F2211">
        <v>50</v>
      </c>
      <c r="G2211" t="str">
        <f t="shared" si="42"/>
        <v>41-60</v>
      </c>
      <c r="H2211" t="s">
        <v>35</v>
      </c>
      <c r="I2211" t="s">
        <v>61</v>
      </c>
      <c r="J2211" t="s">
        <v>62</v>
      </c>
      <c r="K2211" t="s">
        <v>38</v>
      </c>
      <c r="L2211">
        <v>1</v>
      </c>
      <c r="M2211">
        <v>1</v>
      </c>
      <c r="N2211">
        <v>2</v>
      </c>
      <c r="O2211">
        <v>9.5</v>
      </c>
      <c r="P2211">
        <v>3</v>
      </c>
      <c r="Q2211">
        <v>7</v>
      </c>
      <c r="R2211">
        <v>653284</v>
      </c>
      <c r="S2211">
        <f>Table1[[#This Row],[Revenue]]-Table1[[#This Row],[Operating_Costs]]</f>
        <v>207619</v>
      </c>
      <c r="T2211">
        <v>445665</v>
      </c>
      <c r="U2211">
        <v>20</v>
      </c>
      <c r="V2211">
        <v>58</v>
      </c>
      <c r="W2211">
        <v>8.1</v>
      </c>
    </row>
    <row r="2212" spans="1:23" x14ac:dyDescent="0.25">
      <c r="A2212">
        <v>6</v>
      </c>
      <c r="B2212" t="s">
        <v>70</v>
      </c>
      <c r="C2212" s="1">
        <v>45352</v>
      </c>
      <c r="D2212" t="s">
        <v>71</v>
      </c>
      <c r="E2212">
        <v>0</v>
      </c>
      <c r="F2212">
        <v>76</v>
      </c>
      <c r="G2212" t="str">
        <f t="shared" si="42"/>
        <v>61-80</v>
      </c>
      <c r="H2212" t="s">
        <v>35</v>
      </c>
      <c r="I2212" t="s">
        <v>50</v>
      </c>
      <c r="J2212" t="s">
        <v>51</v>
      </c>
      <c r="K2212" t="s">
        <v>38</v>
      </c>
      <c r="L2212">
        <v>1</v>
      </c>
      <c r="M2212">
        <v>1</v>
      </c>
      <c r="N2212">
        <v>5.0999999999999996</v>
      </c>
      <c r="O2212">
        <v>8.5</v>
      </c>
      <c r="P2212">
        <v>7</v>
      </c>
      <c r="Q2212">
        <v>6</v>
      </c>
      <c r="R2212">
        <v>622501</v>
      </c>
      <c r="S2212">
        <f>Table1[[#This Row],[Revenue]]-Table1[[#This Row],[Operating_Costs]]</f>
        <v>189172</v>
      </c>
      <c r="T2212">
        <v>433329</v>
      </c>
      <c r="U2212">
        <v>20</v>
      </c>
      <c r="V2212">
        <v>58</v>
      </c>
      <c r="W2212">
        <v>14.4</v>
      </c>
    </row>
    <row r="2213" spans="1:23" x14ac:dyDescent="0.25">
      <c r="A2213">
        <v>6</v>
      </c>
      <c r="B2213" t="s">
        <v>70</v>
      </c>
      <c r="C2213" s="1">
        <v>44539</v>
      </c>
      <c r="D2213" t="s">
        <v>71</v>
      </c>
      <c r="E2213">
        <v>0</v>
      </c>
      <c r="F2213">
        <v>37</v>
      </c>
      <c r="G2213" t="str">
        <f t="shared" si="42"/>
        <v>21-40</v>
      </c>
      <c r="H2213" t="s">
        <v>23</v>
      </c>
      <c r="I2213" t="s">
        <v>24</v>
      </c>
      <c r="J2213" t="s">
        <v>25</v>
      </c>
      <c r="K2213" t="s">
        <v>29</v>
      </c>
      <c r="L2213">
        <v>1</v>
      </c>
      <c r="M2213">
        <v>1</v>
      </c>
      <c r="N2213">
        <v>6.9</v>
      </c>
      <c r="O2213">
        <v>7.3</v>
      </c>
      <c r="P2213">
        <v>6</v>
      </c>
      <c r="Q2213">
        <v>5</v>
      </c>
      <c r="R2213">
        <v>734717</v>
      </c>
      <c r="S2213">
        <f>Table1[[#This Row],[Revenue]]-Table1[[#This Row],[Operating_Costs]]</f>
        <v>298077</v>
      </c>
      <c r="T2213">
        <v>436640</v>
      </c>
      <c r="U2213">
        <v>28</v>
      </c>
      <c r="V2213">
        <v>58</v>
      </c>
      <c r="W2213">
        <v>10.1</v>
      </c>
    </row>
    <row r="2214" spans="1:23" x14ac:dyDescent="0.25">
      <c r="A2214">
        <v>6</v>
      </c>
      <c r="B2214" t="s">
        <v>70</v>
      </c>
      <c r="C2214" s="1">
        <v>44717</v>
      </c>
      <c r="D2214" t="s">
        <v>71</v>
      </c>
      <c r="E2214">
        <v>0</v>
      </c>
      <c r="F2214">
        <v>79</v>
      </c>
      <c r="G2214" t="str">
        <f t="shared" si="42"/>
        <v>61-80</v>
      </c>
      <c r="H2214" t="s">
        <v>23</v>
      </c>
      <c r="I2214" t="s">
        <v>31</v>
      </c>
      <c r="J2214" t="s">
        <v>28</v>
      </c>
      <c r="K2214" t="s">
        <v>38</v>
      </c>
      <c r="L2214">
        <v>1</v>
      </c>
      <c r="M2214">
        <v>1</v>
      </c>
      <c r="N2214">
        <v>5.3</v>
      </c>
      <c r="O2214">
        <v>7.5</v>
      </c>
      <c r="P2214">
        <v>6</v>
      </c>
      <c r="Q2214">
        <v>4</v>
      </c>
      <c r="R2214">
        <v>705405</v>
      </c>
      <c r="S2214">
        <f>Table1[[#This Row],[Revenue]]-Table1[[#This Row],[Operating_Costs]]</f>
        <v>278924</v>
      </c>
      <c r="T2214">
        <v>426481</v>
      </c>
      <c r="U2214">
        <v>24</v>
      </c>
      <c r="V2214">
        <v>55</v>
      </c>
      <c r="W2214">
        <v>10.4</v>
      </c>
    </row>
    <row r="2215" spans="1:23" x14ac:dyDescent="0.25">
      <c r="A2215">
        <v>6</v>
      </c>
      <c r="B2215" t="s">
        <v>70</v>
      </c>
      <c r="C2215" s="1">
        <v>44998</v>
      </c>
      <c r="D2215" t="s">
        <v>71</v>
      </c>
      <c r="E2215">
        <v>0</v>
      </c>
      <c r="F2215">
        <v>29</v>
      </c>
      <c r="G2215" t="str">
        <f t="shared" si="42"/>
        <v>21-40</v>
      </c>
      <c r="H2215" t="s">
        <v>35</v>
      </c>
      <c r="I2215" t="s">
        <v>40</v>
      </c>
      <c r="J2215" t="s">
        <v>41</v>
      </c>
      <c r="K2215" t="s">
        <v>26</v>
      </c>
      <c r="L2215">
        <v>1</v>
      </c>
      <c r="M2215">
        <v>1</v>
      </c>
      <c r="N2215">
        <v>4</v>
      </c>
      <c r="O2215">
        <v>7.4</v>
      </c>
      <c r="P2215">
        <v>7</v>
      </c>
      <c r="Q2215">
        <v>6</v>
      </c>
      <c r="R2215">
        <v>760265</v>
      </c>
      <c r="S2215">
        <f>Table1[[#This Row],[Revenue]]-Table1[[#This Row],[Operating_Costs]]</f>
        <v>213514</v>
      </c>
      <c r="T2215">
        <v>546751</v>
      </c>
      <c r="U2215">
        <v>23</v>
      </c>
      <c r="V2215">
        <v>58</v>
      </c>
      <c r="W2215">
        <v>14.3</v>
      </c>
    </row>
    <row r="2216" spans="1:23" x14ac:dyDescent="0.25">
      <c r="A2216">
        <v>6</v>
      </c>
      <c r="B2216" t="s">
        <v>70</v>
      </c>
      <c r="C2216" s="1">
        <v>45530</v>
      </c>
      <c r="D2216" t="s">
        <v>71</v>
      </c>
      <c r="E2216">
        <v>0</v>
      </c>
      <c r="F2216">
        <v>33</v>
      </c>
      <c r="G2216" t="str">
        <f t="shared" si="42"/>
        <v>21-40</v>
      </c>
      <c r="H2216" t="s">
        <v>35</v>
      </c>
      <c r="I2216" t="s">
        <v>61</v>
      </c>
      <c r="J2216" t="s">
        <v>62</v>
      </c>
      <c r="K2216" t="s">
        <v>33</v>
      </c>
      <c r="L2216">
        <v>1</v>
      </c>
      <c r="M2216">
        <v>1</v>
      </c>
      <c r="N2216">
        <v>6.9</v>
      </c>
      <c r="O2216">
        <v>8.5</v>
      </c>
      <c r="P2216">
        <v>7</v>
      </c>
      <c r="Q2216">
        <v>6</v>
      </c>
      <c r="R2216">
        <v>784634</v>
      </c>
      <c r="S2216">
        <f>Table1[[#This Row],[Revenue]]-Table1[[#This Row],[Operating_Costs]]</f>
        <v>355256</v>
      </c>
      <c r="T2216">
        <v>429378</v>
      </c>
      <c r="U2216">
        <v>28</v>
      </c>
      <c r="V2216">
        <v>64</v>
      </c>
      <c r="W2216">
        <v>10.9</v>
      </c>
    </row>
    <row r="2217" spans="1:23" x14ac:dyDescent="0.25">
      <c r="A2217">
        <v>6</v>
      </c>
      <c r="B2217" t="s">
        <v>70</v>
      </c>
      <c r="C2217" s="1">
        <v>44471</v>
      </c>
      <c r="D2217" t="s">
        <v>71</v>
      </c>
      <c r="E2217">
        <v>0</v>
      </c>
      <c r="F2217">
        <v>86</v>
      </c>
      <c r="G2217" t="str">
        <f t="shared" si="42"/>
        <v>81+</v>
      </c>
      <c r="H2217" t="s">
        <v>35</v>
      </c>
      <c r="I2217" t="s">
        <v>60</v>
      </c>
      <c r="J2217" t="s">
        <v>59</v>
      </c>
      <c r="K2217" t="s">
        <v>26</v>
      </c>
      <c r="L2217">
        <v>1</v>
      </c>
      <c r="M2217">
        <v>1</v>
      </c>
      <c r="N2217">
        <v>1.9</v>
      </c>
      <c r="O2217">
        <v>7.7</v>
      </c>
      <c r="P2217">
        <v>3</v>
      </c>
      <c r="Q2217">
        <v>6</v>
      </c>
      <c r="R2217">
        <v>641809</v>
      </c>
      <c r="S2217">
        <f>Table1[[#This Row],[Revenue]]-Table1[[#This Row],[Operating_Costs]]</f>
        <v>152412</v>
      </c>
      <c r="T2217">
        <v>489397</v>
      </c>
      <c r="U2217">
        <v>23</v>
      </c>
      <c r="V2217">
        <v>59</v>
      </c>
      <c r="W2217">
        <v>6.7</v>
      </c>
    </row>
    <row r="2218" spans="1:23" x14ac:dyDescent="0.25">
      <c r="A2218">
        <v>6</v>
      </c>
      <c r="B2218" t="s">
        <v>70</v>
      </c>
      <c r="C2218" s="1">
        <v>45582</v>
      </c>
      <c r="D2218" t="s">
        <v>71</v>
      </c>
      <c r="E2218">
        <v>0</v>
      </c>
      <c r="F2218">
        <v>77</v>
      </c>
      <c r="G2218" t="str">
        <f t="shared" si="42"/>
        <v>61-80</v>
      </c>
      <c r="H2218" t="s">
        <v>23</v>
      </c>
      <c r="I2218" t="s">
        <v>43</v>
      </c>
      <c r="J2218" t="s">
        <v>25</v>
      </c>
      <c r="K2218" t="s">
        <v>42</v>
      </c>
      <c r="L2218">
        <v>1</v>
      </c>
      <c r="M2218">
        <v>1</v>
      </c>
      <c r="N2218">
        <v>5.5</v>
      </c>
      <c r="O2218">
        <v>9.6</v>
      </c>
      <c r="P2218">
        <v>5</v>
      </c>
      <c r="Q2218">
        <v>6</v>
      </c>
      <c r="R2218">
        <v>748887</v>
      </c>
      <c r="S2218">
        <f>Table1[[#This Row],[Revenue]]-Table1[[#This Row],[Operating_Costs]]</f>
        <v>242157</v>
      </c>
      <c r="T2218">
        <v>506730</v>
      </c>
      <c r="U2218">
        <v>26</v>
      </c>
      <c r="V2218">
        <v>60</v>
      </c>
      <c r="W2218">
        <v>10.9</v>
      </c>
    </row>
    <row r="2219" spans="1:23" x14ac:dyDescent="0.25">
      <c r="A2219">
        <v>6</v>
      </c>
      <c r="B2219" t="s">
        <v>70</v>
      </c>
      <c r="C2219" s="1">
        <v>45184</v>
      </c>
      <c r="D2219" t="s">
        <v>71</v>
      </c>
      <c r="E2219">
        <v>0</v>
      </c>
      <c r="F2219">
        <v>80</v>
      </c>
      <c r="G2219" t="str">
        <f t="shared" si="42"/>
        <v>61-80</v>
      </c>
      <c r="H2219" t="s">
        <v>35</v>
      </c>
      <c r="I2219" t="s">
        <v>40</v>
      </c>
      <c r="J2219" t="s">
        <v>41</v>
      </c>
      <c r="K2219" t="s">
        <v>26</v>
      </c>
      <c r="L2219">
        <v>1</v>
      </c>
      <c r="M2219">
        <v>1</v>
      </c>
      <c r="N2219">
        <v>2.8</v>
      </c>
      <c r="O2219">
        <v>8.3000000000000007</v>
      </c>
      <c r="P2219">
        <v>4</v>
      </c>
      <c r="Q2219">
        <v>3</v>
      </c>
      <c r="R2219">
        <v>799418</v>
      </c>
      <c r="S2219">
        <f>Table1[[#This Row],[Revenue]]-Table1[[#This Row],[Operating_Costs]]</f>
        <v>371042</v>
      </c>
      <c r="T2219">
        <v>428376</v>
      </c>
      <c r="U2219">
        <v>20</v>
      </c>
      <c r="V2219">
        <v>64</v>
      </c>
      <c r="W2219">
        <v>9.1999999999999993</v>
      </c>
    </row>
    <row r="2220" spans="1:23" x14ac:dyDescent="0.25">
      <c r="A2220">
        <v>6</v>
      </c>
      <c r="B2220" t="s">
        <v>70</v>
      </c>
      <c r="C2220" s="1">
        <v>45095</v>
      </c>
      <c r="D2220" t="s">
        <v>71</v>
      </c>
      <c r="E2220">
        <v>0</v>
      </c>
      <c r="F2220">
        <v>52</v>
      </c>
      <c r="G2220" t="str">
        <f t="shared" si="42"/>
        <v>41-60</v>
      </c>
      <c r="H2220" t="s">
        <v>23</v>
      </c>
      <c r="I2220" t="s">
        <v>58</v>
      </c>
      <c r="J2220" t="s">
        <v>59</v>
      </c>
      <c r="K2220" t="s">
        <v>33</v>
      </c>
      <c r="L2220">
        <v>1</v>
      </c>
      <c r="M2220">
        <v>1</v>
      </c>
      <c r="N2220">
        <v>6.5</v>
      </c>
      <c r="O2220">
        <v>7</v>
      </c>
      <c r="P2220">
        <v>5</v>
      </c>
      <c r="Q2220">
        <v>5</v>
      </c>
      <c r="R2220">
        <v>687519</v>
      </c>
      <c r="S2220">
        <f>Table1[[#This Row],[Revenue]]-Table1[[#This Row],[Operating_Costs]]</f>
        <v>241802</v>
      </c>
      <c r="T2220">
        <v>445717</v>
      </c>
      <c r="U2220">
        <v>20</v>
      </c>
      <c r="V2220">
        <v>63</v>
      </c>
      <c r="W2220">
        <v>36.1</v>
      </c>
    </row>
    <row r="2221" spans="1:23" x14ac:dyDescent="0.25">
      <c r="A2221">
        <v>5</v>
      </c>
      <c r="B2221" t="s">
        <v>22</v>
      </c>
      <c r="C2221" s="1">
        <v>44798</v>
      </c>
      <c r="D2221" t="s">
        <v>71</v>
      </c>
      <c r="E2221">
        <v>0</v>
      </c>
      <c r="F2221">
        <v>26</v>
      </c>
      <c r="G2221" t="str">
        <f t="shared" si="42"/>
        <v>21-40</v>
      </c>
      <c r="H2221" t="s">
        <v>35</v>
      </c>
      <c r="I2221" t="s">
        <v>61</v>
      </c>
      <c r="J2221" t="s">
        <v>62</v>
      </c>
      <c r="K2221" t="s">
        <v>38</v>
      </c>
      <c r="L2221">
        <v>1</v>
      </c>
      <c r="M2221">
        <v>1</v>
      </c>
      <c r="N2221">
        <v>4.7</v>
      </c>
      <c r="O2221">
        <v>8.1999999999999993</v>
      </c>
      <c r="P2221">
        <v>4</v>
      </c>
      <c r="Q2221">
        <v>5</v>
      </c>
      <c r="R2221">
        <v>669671</v>
      </c>
      <c r="S2221">
        <f>Table1[[#This Row],[Revenue]]-Table1[[#This Row],[Operating_Costs]]</f>
        <v>365912</v>
      </c>
      <c r="T2221">
        <v>303759</v>
      </c>
      <c r="U2221">
        <v>30</v>
      </c>
      <c r="V2221">
        <v>60</v>
      </c>
      <c r="W2221">
        <v>13.5</v>
      </c>
    </row>
    <row r="2222" spans="1:23" x14ac:dyDescent="0.25">
      <c r="A2222">
        <v>6</v>
      </c>
      <c r="B2222" t="s">
        <v>70</v>
      </c>
      <c r="C2222" s="1">
        <v>44737</v>
      </c>
      <c r="D2222" t="s">
        <v>71</v>
      </c>
      <c r="E2222">
        <v>0</v>
      </c>
      <c r="F2222">
        <v>40</v>
      </c>
      <c r="G2222" t="str">
        <f t="shared" si="42"/>
        <v>21-40</v>
      </c>
      <c r="H2222" t="s">
        <v>35</v>
      </c>
      <c r="I2222" t="s">
        <v>55</v>
      </c>
      <c r="J2222" t="s">
        <v>56</v>
      </c>
      <c r="K2222" t="s">
        <v>29</v>
      </c>
      <c r="L2222">
        <v>1</v>
      </c>
      <c r="M2222">
        <v>1</v>
      </c>
      <c r="N2222">
        <v>6.5</v>
      </c>
      <c r="O2222">
        <v>9</v>
      </c>
      <c r="P2222">
        <v>4</v>
      </c>
      <c r="Q2222">
        <v>6</v>
      </c>
      <c r="R2222">
        <v>785307</v>
      </c>
      <c r="S2222">
        <f>Table1[[#This Row],[Revenue]]-Table1[[#This Row],[Operating_Costs]]</f>
        <v>276859</v>
      </c>
      <c r="T2222">
        <v>508448</v>
      </c>
      <c r="U2222">
        <v>20</v>
      </c>
      <c r="V2222">
        <v>59</v>
      </c>
      <c r="W2222">
        <v>6.4</v>
      </c>
    </row>
    <row r="2223" spans="1:23" x14ac:dyDescent="0.25">
      <c r="A2223">
        <v>6</v>
      </c>
      <c r="B2223" t="s">
        <v>70</v>
      </c>
      <c r="C2223" s="1">
        <v>44941</v>
      </c>
      <c r="D2223" t="s">
        <v>71</v>
      </c>
      <c r="E2223">
        <v>0</v>
      </c>
      <c r="F2223">
        <v>47</v>
      </c>
      <c r="G2223" t="str">
        <f t="shared" si="42"/>
        <v>41-60</v>
      </c>
      <c r="H2223" t="s">
        <v>23</v>
      </c>
      <c r="I2223" t="s">
        <v>50</v>
      </c>
      <c r="J2223" t="s">
        <v>51</v>
      </c>
      <c r="K2223" t="s">
        <v>38</v>
      </c>
      <c r="L2223">
        <v>1</v>
      </c>
      <c r="M2223">
        <v>1</v>
      </c>
      <c r="N2223">
        <v>5.8</v>
      </c>
      <c r="O2223">
        <v>9.8000000000000007</v>
      </c>
      <c r="P2223">
        <v>7</v>
      </c>
      <c r="Q2223">
        <v>3</v>
      </c>
      <c r="R2223">
        <v>783608</v>
      </c>
      <c r="S2223">
        <f>Table1[[#This Row],[Revenue]]-Table1[[#This Row],[Operating_Costs]]</f>
        <v>382746</v>
      </c>
      <c r="T2223">
        <v>400862</v>
      </c>
      <c r="U2223">
        <v>29</v>
      </c>
      <c r="V2223">
        <v>60</v>
      </c>
      <c r="W2223">
        <v>5.6</v>
      </c>
    </row>
    <row r="2224" spans="1:23" x14ac:dyDescent="0.25">
      <c r="A2224">
        <v>6</v>
      </c>
      <c r="B2224" t="s">
        <v>70</v>
      </c>
      <c r="C2224" s="1">
        <v>44575</v>
      </c>
      <c r="D2224" t="s">
        <v>71</v>
      </c>
      <c r="E2224">
        <v>0</v>
      </c>
      <c r="F2224">
        <v>87</v>
      </c>
      <c r="G2224" t="str">
        <f t="shared" si="42"/>
        <v>81+</v>
      </c>
      <c r="H2224" t="s">
        <v>23</v>
      </c>
      <c r="I2224" t="s">
        <v>24</v>
      </c>
      <c r="J2224" t="s">
        <v>25</v>
      </c>
      <c r="K2224" t="s">
        <v>26</v>
      </c>
      <c r="L2224">
        <v>1</v>
      </c>
      <c r="M2224">
        <v>1</v>
      </c>
      <c r="N2224">
        <v>1.3</v>
      </c>
      <c r="O2224">
        <v>9.9</v>
      </c>
      <c r="P2224">
        <v>7</v>
      </c>
      <c r="Q2224">
        <v>4</v>
      </c>
      <c r="R2224">
        <v>733615</v>
      </c>
      <c r="S2224">
        <f>Table1[[#This Row],[Revenue]]-Table1[[#This Row],[Operating_Costs]]</f>
        <v>331669</v>
      </c>
      <c r="T2224">
        <v>401946</v>
      </c>
      <c r="U2224">
        <v>24</v>
      </c>
      <c r="V2224">
        <v>56</v>
      </c>
      <c r="W2224">
        <v>5.5</v>
      </c>
    </row>
    <row r="2225" spans="1:23" x14ac:dyDescent="0.25">
      <c r="A2225">
        <v>5</v>
      </c>
      <c r="B2225" t="s">
        <v>22</v>
      </c>
      <c r="C2225" s="1">
        <v>44604</v>
      </c>
      <c r="D2225" t="s">
        <v>71</v>
      </c>
      <c r="E2225">
        <v>0</v>
      </c>
      <c r="F2225">
        <v>42</v>
      </c>
      <c r="G2225" t="str">
        <f t="shared" si="42"/>
        <v>41-60</v>
      </c>
      <c r="H2225" t="s">
        <v>35</v>
      </c>
      <c r="I2225" t="s">
        <v>27</v>
      </c>
      <c r="J2225" t="s">
        <v>28</v>
      </c>
      <c r="K2225" t="s">
        <v>29</v>
      </c>
      <c r="L2225">
        <v>1</v>
      </c>
      <c r="M2225">
        <v>1</v>
      </c>
      <c r="N2225">
        <v>2.4</v>
      </c>
      <c r="O2225">
        <v>7.3</v>
      </c>
      <c r="P2225">
        <v>4</v>
      </c>
      <c r="Q2225">
        <v>7</v>
      </c>
      <c r="R2225">
        <v>646360</v>
      </c>
      <c r="S2225">
        <f>Table1[[#This Row],[Revenue]]-Table1[[#This Row],[Operating_Costs]]</f>
        <v>264739</v>
      </c>
      <c r="T2225">
        <v>381621</v>
      </c>
      <c r="U2225">
        <v>27</v>
      </c>
      <c r="V2225">
        <v>56</v>
      </c>
      <c r="W2225">
        <v>13.3</v>
      </c>
    </row>
    <row r="2226" spans="1:23" x14ac:dyDescent="0.25">
      <c r="A2226">
        <v>6</v>
      </c>
      <c r="B2226" t="s">
        <v>70</v>
      </c>
      <c r="C2226" s="1">
        <v>45335</v>
      </c>
      <c r="D2226" t="s">
        <v>71</v>
      </c>
      <c r="E2226">
        <v>0</v>
      </c>
      <c r="F2226">
        <v>55</v>
      </c>
      <c r="G2226" t="str">
        <f t="shared" si="42"/>
        <v>41-60</v>
      </c>
      <c r="H2226" t="s">
        <v>35</v>
      </c>
      <c r="I2226" t="s">
        <v>64</v>
      </c>
      <c r="J2226" t="s">
        <v>65</v>
      </c>
      <c r="K2226" t="s">
        <v>33</v>
      </c>
      <c r="L2226">
        <v>1</v>
      </c>
      <c r="M2226">
        <v>1</v>
      </c>
      <c r="N2226">
        <v>5.9</v>
      </c>
      <c r="O2226">
        <v>9.1</v>
      </c>
      <c r="P2226">
        <v>7</v>
      </c>
      <c r="Q2226">
        <v>3</v>
      </c>
      <c r="R2226">
        <v>745878</v>
      </c>
      <c r="S2226">
        <f>Table1[[#This Row],[Revenue]]-Table1[[#This Row],[Operating_Costs]]</f>
        <v>300603</v>
      </c>
      <c r="T2226">
        <v>445275</v>
      </c>
      <c r="U2226">
        <v>21</v>
      </c>
      <c r="V2226">
        <v>66</v>
      </c>
      <c r="W2226">
        <v>13.6</v>
      </c>
    </row>
    <row r="2227" spans="1:23" x14ac:dyDescent="0.25">
      <c r="A2227">
        <v>6</v>
      </c>
      <c r="B2227" t="s">
        <v>70</v>
      </c>
      <c r="C2227" s="1">
        <v>44835</v>
      </c>
      <c r="D2227" t="s">
        <v>71</v>
      </c>
      <c r="E2227">
        <v>0</v>
      </c>
      <c r="F2227">
        <v>70</v>
      </c>
      <c r="G2227" t="str">
        <f t="shared" si="42"/>
        <v>61-80</v>
      </c>
      <c r="H2227" t="s">
        <v>35</v>
      </c>
      <c r="I2227" t="s">
        <v>60</v>
      </c>
      <c r="J2227" t="s">
        <v>59</v>
      </c>
      <c r="K2227" t="s">
        <v>42</v>
      </c>
      <c r="L2227">
        <v>1</v>
      </c>
      <c r="M2227">
        <v>1</v>
      </c>
      <c r="N2227">
        <v>5.5</v>
      </c>
      <c r="O2227">
        <v>8.1</v>
      </c>
      <c r="P2227">
        <v>3</v>
      </c>
      <c r="Q2227">
        <v>4</v>
      </c>
      <c r="R2227">
        <v>727149</v>
      </c>
      <c r="S2227">
        <f>Table1[[#This Row],[Revenue]]-Table1[[#This Row],[Operating_Costs]]</f>
        <v>217475</v>
      </c>
      <c r="T2227">
        <v>509674</v>
      </c>
      <c r="U2227">
        <v>29</v>
      </c>
      <c r="V2227">
        <v>56</v>
      </c>
      <c r="W2227">
        <v>8.8000000000000007</v>
      </c>
    </row>
    <row r="2228" spans="1:23" x14ac:dyDescent="0.25">
      <c r="A2228">
        <v>6</v>
      </c>
      <c r="B2228" t="s">
        <v>70</v>
      </c>
      <c r="C2228" s="1">
        <v>45543</v>
      </c>
      <c r="D2228" t="s">
        <v>71</v>
      </c>
      <c r="E2228">
        <v>0</v>
      </c>
      <c r="F2228">
        <v>43</v>
      </c>
      <c r="G2228" t="str">
        <f t="shared" si="42"/>
        <v>41-60</v>
      </c>
      <c r="H2228" t="s">
        <v>35</v>
      </c>
      <c r="I2228" t="s">
        <v>46</v>
      </c>
      <c r="J2228" t="s">
        <v>47</v>
      </c>
      <c r="K2228" t="s">
        <v>38</v>
      </c>
      <c r="L2228">
        <v>1</v>
      </c>
      <c r="M2228">
        <v>1</v>
      </c>
      <c r="N2228">
        <v>3.4</v>
      </c>
      <c r="O2228">
        <v>7.1</v>
      </c>
      <c r="P2228">
        <v>3</v>
      </c>
      <c r="Q2228">
        <v>7</v>
      </c>
      <c r="R2228">
        <v>735447</v>
      </c>
      <c r="S2228">
        <f>Table1[[#This Row],[Revenue]]-Table1[[#This Row],[Operating_Costs]]</f>
        <v>171081</v>
      </c>
      <c r="T2228">
        <v>564366</v>
      </c>
      <c r="U2228">
        <v>29</v>
      </c>
      <c r="V2228">
        <v>55</v>
      </c>
      <c r="W2228">
        <v>14</v>
      </c>
    </row>
    <row r="2229" spans="1:23" x14ac:dyDescent="0.25">
      <c r="A2229">
        <v>6</v>
      </c>
      <c r="B2229" t="s">
        <v>70</v>
      </c>
      <c r="C2229" s="1">
        <v>44240</v>
      </c>
      <c r="D2229" t="s">
        <v>71</v>
      </c>
      <c r="E2229">
        <v>0</v>
      </c>
      <c r="F2229">
        <v>53</v>
      </c>
      <c r="G2229" t="str">
        <f t="shared" si="42"/>
        <v>41-60</v>
      </c>
      <c r="H2229" t="s">
        <v>23</v>
      </c>
      <c r="I2229" t="s">
        <v>27</v>
      </c>
      <c r="J2229" t="s">
        <v>28</v>
      </c>
      <c r="K2229" t="s">
        <v>26</v>
      </c>
      <c r="L2229">
        <v>1</v>
      </c>
      <c r="M2229">
        <v>1</v>
      </c>
      <c r="N2229">
        <v>5.5</v>
      </c>
      <c r="O2229">
        <v>7.6</v>
      </c>
      <c r="P2229">
        <v>3</v>
      </c>
      <c r="Q2229">
        <v>7</v>
      </c>
      <c r="R2229">
        <v>668787</v>
      </c>
      <c r="S2229">
        <f>Table1[[#This Row],[Revenue]]-Table1[[#This Row],[Operating_Costs]]</f>
        <v>183514</v>
      </c>
      <c r="T2229">
        <v>485273</v>
      </c>
      <c r="U2229">
        <v>30</v>
      </c>
      <c r="V2229">
        <v>62</v>
      </c>
      <c r="W2229">
        <v>12.7</v>
      </c>
    </row>
    <row r="2230" spans="1:23" x14ac:dyDescent="0.25">
      <c r="A2230">
        <v>6</v>
      </c>
      <c r="B2230" t="s">
        <v>70</v>
      </c>
      <c r="C2230" s="1">
        <v>45447</v>
      </c>
      <c r="D2230" t="s">
        <v>71</v>
      </c>
      <c r="E2230">
        <v>0</v>
      </c>
      <c r="F2230">
        <v>30</v>
      </c>
      <c r="G2230" t="str">
        <f t="shared" si="42"/>
        <v>21-40</v>
      </c>
      <c r="H2230" t="s">
        <v>35</v>
      </c>
      <c r="I2230" t="s">
        <v>31</v>
      </c>
      <c r="J2230" t="s">
        <v>28</v>
      </c>
      <c r="K2230" t="s">
        <v>38</v>
      </c>
      <c r="L2230">
        <v>1</v>
      </c>
      <c r="M2230">
        <v>1</v>
      </c>
      <c r="N2230">
        <v>4.2</v>
      </c>
      <c r="O2230">
        <v>8.9</v>
      </c>
      <c r="P2230">
        <v>5</v>
      </c>
      <c r="Q2230">
        <v>7</v>
      </c>
      <c r="R2230">
        <v>613196</v>
      </c>
      <c r="S2230">
        <f>Table1[[#This Row],[Revenue]]-Table1[[#This Row],[Operating_Costs]]</f>
        <v>108782</v>
      </c>
      <c r="T2230">
        <v>504414</v>
      </c>
      <c r="U2230">
        <v>26</v>
      </c>
      <c r="V2230">
        <v>58</v>
      </c>
      <c r="W2230">
        <v>9.9</v>
      </c>
    </row>
    <row r="2231" spans="1:23" x14ac:dyDescent="0.25">
      <c r="A2231">
        <v>6</v>
      </c>
      <c r="B2231" t="s">
        <v>70</v>
      </c>
      <c r="C2231" s="1">
        <v>45367</v>
      </c>
      <c r="D2231" t="s">
        <v>71</v>
      </c>
      <c r="E2231">
        <v>0</v>
      </c>
      <c r="F2231">
        <v>40</v>
      </c>
      <c r="G2231" t="str">
        <f t="shared" si="42"/>
        <v>21-40</v>
      </c>
      <c r="H2231" t="s">
        <v>35</v>
      </c>
      <c r="I2231" t="s">
        <v>31</v>
      </c>
      <c r="J2231" t="s">
        <v>28</v>
      </c>
      <c r="K2231" t="s">
        <v>42</v>
      </c>
      <c r="L2231">
        <v>1</v>
      </c>
      <c r="M2231">
        <v>1</v>
      </c>
      <c r="N2231">
        <v>3.5</v>
      </c>
      <c r="O2231">
        <v>8.5</v>
      </c>
      <c r="P2231">
        <v>5</v>
      </c>
      <c r="Q2231">
        <v>5</v>
      </c>
      <c r="R2231">
        <v>607348</v>
      </c>
      <c r="S2231">
        <f>Table1[[#This Row],[Revenue]]-Table1[[#This Row],[Operating_Costs]]</f>
        <v>33310</v>
      </c>
      <c r="T2231">
        <v>574038</v>
      </c>
      <c r="U2231">
        <v>23</v>
      </c>
      <c r="V2231">
        <v>60</v>
      </c>
      <c r="W2231">
        <v>9.5</v>
      </c>
    </row>
    <row r="2232" spans="1:23" x14ac:dyDescent="0.25">
      <c r="A2232">
        <v>6</v>
      </c>
      <c r="B2232" t="s">
        <v>70</v>
      </c>
      <c r="C2232" s="1">
        <v>44800</v>
      </c>
      <c r="D2232" t="s">
        <v>71</v>
      </c>
      <c r="E2232">
        <v>0</v>
      </c>
      <c r="F2232">
        <v>38</v>
      </c>
      <c r="G2232" t="str">
        <f t="shared" si="42"/>
        <v>21-40</v>
      </c>
      <c r="H2232" t="s">
        <v>35</v>
      </c>
      <c r="I2232" t="s">
        <v>36</v>
      </c>
      <c r="J2232" t="s">
        <v>37</v>
      </c>
      <c r="K2232" t="s">
        <v>42</v>
      </c>
      <c r="L2232">
        <v>1</v>
      </c>
      <c r="M2232">
        <v>1</v>
      </c>
      <c r="N2232">
        <v>1.6</v>
      </c>
      <c r="O2232">
        <v>9.4</v>
      </c>
      <c r="P2232">
        <v>5</v>
      </c>
      <c r="Q2232">
        <v>4</v>
      </c>
      <c r="R2232">
        <v>765536</v>
      </c>
      <c r="S2232">
        <f>Table1[[#This Row],[Revenue]]-Table1[[#This Row],[Operating_Costs]]</f>
        <v>290652</v>
      </c>
      <c r="T2232">
        <v>474884</v>
      </c>
      <c r="U2232">
        <v>25</v>
      </c>
      <c r="V2232">
        <v>63</v>
      </c>
      <c r="W2232">
        <v>7.9</v>
      </c>
    </row>
    <row r="2233" spans="1:23" x14ac:dyDescent="0.25">
      <c r="A2233">
        <v>6</v>
      </c>
      <c r="B2233" t="s">
        <v>70</v>
      </c>
      <c r="C2233" s="1">
        <v>45502</v>
      </c>
      <c r="D2233" t="s">
        <v>71</v>
      </c>
      <c r="E2233">
        <v>0</v>
      </c>
      <c r="F2233">
        <v>40</v>
      </c>
      <c r="G2233" t="str">
        <f t="shared" si="42"/>
        <v>21-40</v>
      </c>
      <c r="H2233" t="s">
        <v>35</v>
      </c>
      <c r="I2233" t="s">
        <v>36</v>
      </c>
      <c r="J2233" t="s">
        <v>37</v>
      </c>
      <c r="K2233" t="s">
        <v>38</v>
      </c>
      <c r="L2233">
        <v>1</v>
      </c>
      <c r="M2233">
        <v>1</v>
      </c>
      <c r="N2233">
        <v>6.4</v>
      </c>
      <c r="O2233">
        <v>7.8</v>
      </c>
      <c r="P2233">
        <v>7</v>
      </c>
      <c r="Q2233">
        <v>3</v>
      </c>
      <c r="R2233">
        <v>670869</v>
      </c>
      <c r="S2233">
        <f>Table1[[#This Row],[Revenue]]-Table1[[#This Row],[Operating_Costs]]</f>
        <v>137704</v>
      </c>
      <c r="T2233">
        <v>533165</v>
      </c>
      <c r="U2233">
        <v>26</v>
      </c>
      <c r="V2233">
        <v>54</v>
      </c>
      <c r="W2233">
        <v>36.6</v>
      </c>
    </row>
    <row r="2234" spans="1:23" x14ac:dyDescent="0.25">
      <c r="A2234">
        <v>6</v>
      </c>
      <c r="B2234" t="s">
        <v>70</v>
      </c>
      <c r="C2234" s="1">
        <v>44819</v>
      </c>
      <c r="D2234" t="s">
        <v>71</v>
      </c>
      <c r="E2234">
        <v>0</v>
      </c>
      <c r="F2234">
        <v>60</v>
      </c>
      <c r="G2234" t="str">
        <f t="shared" si="42"/>
        <v>41-60</v>
      </c>
      <c r="H2234" t="s">
        <v>35</v>
      </c>
      <c r="I2234" t="s">
        <v>36</v>
      </c>
      <c r="J2234" t="s">
        <v>37</v>
      </c>
      <c r="K2234" t="s">
        <v>38</v>
      </c>
      <c r="L2234">
        <v>1</v>
      </c>
      <c r="M2234">
        <v>1</v>
      </c>
      <c r="N2234">
        <v>5.6</v>
      </c>
      <c r="O2234">
        <v>7.1</v>
      </c>
      <c r="P2234">
        <v>4</v>
      </c>
      <c r="Q2234">
        <v>4</v>
      </c>
      <c r="R2234">
        <v>796310</v>
      </c>
      <c r="S2234">
        <f>Table1[[#This Row],[Revenue]]-Table1[[#This Row],[Operating_Costs]]</f>
        <v>214683</v>
      </c>
      <c r="T2234">
        <v>581627</v>
      </c>
      <c r="U2234">
        <v>22</v>
      </c>
      <c r="V2234">
        <v>54</v>
      </c>
      <c r="W2234">
        <v>9.5</v>
      </c>
    </row>
    <row r="2235" spans="1:23" x14ac:dyDescent="0.25">
      <c r="A2235">
        <v>6</v>
      </c>
      <c r="B2235" t="s">
        <v>70</v>
      </c>
      <c r="C2235" s="1">
        <v>45593</v>
      </c>
      <c r="D2235" t="s">
        <v>71</v>
      </c>
      <c r="E2235">
        <v>0</v>
      </c>
      <c r="F2235">
        <v>46</v>
      </c>
      <c r="G2235" t="str">
        <f t="shared" si="42"/>
        <v>41-60</v>
      </c>
      <c r="H2235" t="s">
        <v>23</v>
      </c>
      <c r="I2235" t="s">
        <v>58</v>
      </c>
      <c r="J2235" t="s">
        <v>59</v>
      </c>
      <c r="K2235" t="s">
        <v>29</v>
      </c>
      <c r="L2235">
        <v>1</v>
      </c>
      <c r="M2235">
        <v>1</v>
      </c>
      <c r="N2235">
        <v>5.7</v>
      </c>
      <c r="O2235">
        <v>8.8000000000000007</v>
      </c>
      <c r="P2235">
        <v>7</v>
      </c>
      <c r="Q2235">
        <v>3</v>
      </c>
      <c r="R2235">
        <v>606714</v>
      </c>
      <c r="S2235">
        <f>Table1[[#This Row],[Revenue]]-Table1[[#This Row],[Operating_Costs]]</f>
        <v>97819</v>
      </c>
      <c r="T2235">
        <v>508895</v>
      </c>
      <c r="U2235">
        <v>20</v>
      </c>
      <c r="V2235">
        <v>64</v>
      </c>
      <c r="W2235">
        <v>10.1</v>
      </c>
    </row>
    <row r="2236" spans="1:23" x14ac:dyDescent="0.25">
      <c r="A2236">
        <v>6</v>
      </c>
      <c r="B2236" t="s">
        <v>70</v>
      </c>
      <c r="C2236" s="1">
        <v>44777</v>
      </c>
      <c r="D2236" t="s">
        <v>71</v>
      </c>
      <c r="E2236">
        <v>0</v>
      </c>
      <c r="F2236">
        <v>27</v>
      </c>
      <c r="G2236" t="str">
        <f t="shared" si="42"/>
        <v>21-40</v>
      </c>
      <c r="H2236" t="s">
        <v>35</v>
      </c>
      <c r="I2236" t="s">
        <v>60</v>
      </c>
      <c r="J2236" t="s">
        <v>59</v>
      </c>
      <c r="K2236" t="s">
        <v>26</v>
      </c>
      <c r="L2236">
        <v>1</v>
      </c>
      <c r="M2236">
        <v>1</v>
      </c>
      <c r="N2236">
        <v>5.2</v>
      </c>
      <c r="O2236">
        <v>9.6999999999999993</v>
      </c>
      <c r="P2236">
        <v>5</v>
      </c>
      <c r="Q2236">
        <v>5</v>
      </c>
      <c r="R2236">
        <v>742977</v>
      </c>
      <c r="S2236">
        <f>Table1[[#This Row],[Revenue]]-Table1[[#This Row],[Operating_Costs]]</f>
        <v>181503</v>
      </c>
      <c r="T2236">
        <v>561474</v>
      </c>
      <c r="U2236">
        <v>25</v>
      </c>
      <c r="V2236">
        <v>59</v>
      </c>
      <c r="W2236">
        <v>10</v>
      </c>
    </row>
    <row r="2237" spans="1:23" x14ac:dyDescent="0.25">
      <c r="A2237">
        <v>6</v>
      </c>
      <c r="B2237" t="s">
        <v>70</v>
      </c>
      <c r="C2237" s="1">
        <v>44867</v>
      </c>
      <c r="D2237" t="s">
        <v>71</v>
      </c>
      <c r="E2237">
        <v>0</v>
      </c>
      <c r="F2237">
        <v>31</v>
      </c>
      <c r="G2237" t="str">
        <f t="shared" si="42"/>
        <v>21-40</v>
      </c>
      <c r="H2237" t="s">
        <v>35</v>
      </c>
      <c r="I2237" t="s">
        <v>46</v>
      </c>
      <c r="J2237" t="s">
        <v>47</v>
      </c>
      <c r="K2237" t="s">
        <v>42</v>
      </c>
      <c r="L2237">
        <v>1</v>
      </c>
      <c r="M2237">
        <v>1</v>
      </c>
      <c r="N2237">
        <v>6.8</v>
      </c>
      <c r="O2237">
        <v>8</v>
      </c>
      <c r="P2237">
        <v>7</v>
      </c>
      <c r="Q2237">
        <v>4</v>
      </c>
      <c r="R2237">
        <v>773804</v>
      </c>
      <c r="S2237">
        <f>Table1[[#This Row],[Revenue]]-Table1[[#This Row],[Operating_Costs]]</f>
        <v>287153</v>
      </c>
      <c r="T2237">
        <v>486651</v>
      </c>
      <c r="U2237">
        <v>30</v>
      </c>
      <c r="V2237">
        <v>56</v>
      </c>
      <c r="W2237">
        <v>10.4</v>
      </c>
    </row>
    <row r="2238" spans="1:23" x14ac:dyDescent="0.25">
      <c r="A2238">
        <v>6</v>
      </c>
      <c r="B2238" t="s">
        <v>70</v>
      </c>
      <c r="C2238" s="1">
        <v>45011</v>
      </c>
      <c r="D2238" t="s">
        <v>71</v>
      </c>
      <c r="E2238">
        <v>0</v>
      </c>
      <c r="F2238">
        <v>73</v>
      </c>
      <c r="G2238" t="str">
        <f t="shared" si="42"/>
        <v>61-80</v>
      </c>
      <c r="H2238" t="s">
        <v>35</v>
      </c>
      <c r="I2238" t="s">
        <v>36</v>
      </c>
      <c r="J2238" t="s">
        <v>37</v>
      </c>
      <c r="K2238" t="s">
        <v>38</v>
      </c>
      <c r="L2238">
        <v>1</v>
      </c>
      <c r="M2238">
        <v>1</v>
      </c>
      <c r="N2238">
        <v>2.7</v>
      </c>
      <c r="O2238">
        <v>8.5</v>
      </c>
      <c r="P2238">
        <v>7</v>
      </c>
      <c r="Q2238">
        <v>4</v>
      </c>
      <c r="R2238">
        <v>680596</v>
      </c>
      <c r="S2238">
        <f>Table1[[#This Row],[Revenue]]-Table1[[#This Row],[Operating_Costs]]</f>
        <v>176380</v>
      </c>
      <c r="T2238">
        <v>504216</v>
      </c>
      <c r="U2238">
        <v>24</v>
      </c>
      <c r="V2238">
        <v>62</v>
      </c>
      <c r="W2238">
        <v>13.1</v>
      </c>
    </row>
    <row r="2239" spans="1:23" x14ac:dyDescent="0.25">
      <c r="A2239">
        <v>6</v>
      </c>
      <c r="B2239" t="s">
        <v>70</v>
      </c>
      <c r="C2239" s="1">
        <v>44919</v>
      </c>
      <c r="D2239" t="s">
        <v>71</v>
      </c>
      <c r="E2239">
        <v>0</v>
      </c>
      <c r="F2239">
        <v>37</v>
      </c>
      <c r="G2239" t="str">
        <f t="shared" si="42"/>
        <v>21-40</v>
      </c>
      <c r="H2239" t="s">
        <v>23</v>
      </c>
      <c r="I2239" t="s">
        <v>24</v>
      </c>
      <c r="J2239" t="s">
        <v>25</v>
      </c>
      <c r="K2239" t="s">
        <v>29</v>
      </c>
      <c r="L2239">
        <v>1</v>
      </c>
      <c r="M2239">
        <v>1</v>
      </c>
      <c r="N2239">
        <v>2.4</v>
      </c>
      <c r="O2239">
        <v>7.5</v>
      </c>
      <c r="P2239">
        <v>5</v>
      </c>
      <c r="Q2239">
        <v>5</v>
      </c>
      <c r="R2239">
        <v>689203</v>
      </c>
      <c r="S2239">
        <f>Table1[[#This Row],[Revenue]]-Table1[[#This Row],[Operating_Costs]]</f>
        <v>280229</v>
      </c>
      <c r="T2239">
        <v>408974</v>
      </c>
      <c r="U2239">
        <v>29</v>
      </c>
      <c r="V2239">
        <v>64</v>
      </c>
      <c r="W2239">
        <v>10.3</v>
      </c>
    </row>
    <row r="2240" spans="1:23" x14ac:dyDescent="0.25">
      <c r="A2240">
        <v>6</v>
      </c>
      <c r="B2240" t="s">
        <v>70</v>
      </c>
      <c r="C2240" s="1">
        <v>44330</v>
      </c>
      <c r="D2240" t="s">
        <v>71</v>
      </c>
      <c r="E2240">
        <v>0</v>
      </c>
      <c r="F2240">
        <v>67</v>
      </c>
      <c r="G2240" t="str">
        <f t="shared" si="42"/>
        <v>61-80</v>
      </c>
      <c r="H2240" t="s">
        <v>23</v>
      </c>
      <c r="I2240" t="s">
        <v>24</v>
      </c>
      <c r="J2240" t="s">
        <v>25</v>
      </c>
      <c r="K2240" t="s">
        <v>26</v>
      </c>
      <c r="L2240">
        <v>1</v>
      </c>
      <c r="M2240">
        <v>1</v>
      </c>
      <c r="N2240">
        <v>3.2</v>
      </c>
      <c r="O2240">
        <v>9.1</v>
      </c>
      <c r="P2240">
        <v>6</v>
      </c>
      <c r="Q2240">
        <v>6</v>
      </c>
      <c r="R2240">
        <v>738240</v>
      </c>
      <c r="S2240">
        <f>Table1[[#This Row],[Revenue]]-Table1[[#This Row],[Operating_Costs]]</f>
        <v>300378</v>
      </c>
      <c r="T2240">
        <v>437862</v>
      </c>
      <c r="U2240">
        <v>25</v>
      </c>
      <c r="V2240">
        <v>55</v>
      </c>
      <c r="W2240">
        <v>12.1</v>
      </c>
    </row>
    <row r="2241" spans="1:23" x14ac:dyDescent="0.25">
      <c r="A2241">
        <v>6</v>
      </c>
      <c r="B2241" t="s">
        <v>70</v>
      </c>
      <c r="C2241" s="1">
        <v>45017</v>
      </c>
      <c r="D2241" t="s">
        <v>71</v>
      </c>
      <c r="E2241">
        <v>0</v>
      </c>
      <c r="F2241">
        <v>52</v>
      </c>
      <c r="G2241" t="str">
        <f t="shared" si="42"/>
        <v>41-60</v>
      </c>
      <c r="H2241" t="s">
        <v>23</v>
      </c>
      <c r="I2241" t="s">
        <v>24</v>
      </c>
      <c r="J2241" t="s">
        <v>25</v>
      </c>
      <c r="K2241" t="s">
        <v>42</v>
      </c>
      <c r="L2241">
        <v>1</v>
      </c>
      <c r="M2241">
        <v>1</v>
      </c>
      <c r="N2241">
        <v>2.4</v>
      </c>
      <c r="O2241">
        <v>9.3000000000000007</v>
      </c>
      <c r="P2241">
        <v>7</v>
      </c>
      <c r="Q2241">
        <v>6</v>
      </c>
      <c r="R2241">
        <v>675790</v>
      </c>
      <c r="S2241">
        <f>Table1[[#This Row],[Revenue]]-Table1[[#This Row],[Operating_Costs]]</f>
        <v>93117</v>
      </c>
      <c r="T2241">
        <v>582673</v>
      </c>
      <c r="U2241">
        <v>25</v>
      </c>
      <c r="V2241">
        <v>66</v>
      </c>
      <c r="W2241">
        <v>36.200000000000003</v>
      </c>
    </row>
    <row r="2242" spans="1:23" x14ac:dyDescent="0.25">
      <c r="A2242">
        <v>6</v>
      </c>
      <c r="B2242" t="s">
        <v>70</v>
      </c>
      <c r="C2242" s="1">
        <v>44396</v>
      </c>
      <c r="D2242" t="s">
        <v>71</v>
      </c>
      <c r="E2242">
        <v>0</v>
      </c>
      <c r="F2242">
        <v>49</v>
      </c>
      <c r="G2242" t="str">
        <f t="shared" si="42"/>
        <v>41-60</v>
      </c>
      <c r="H2242" t="s">
        <v>23</v>
      </c>
      <c r="I2242" t="s">
        <v>24</v>
      </c>
      <c r="J2242" t="s">
        <v>25</v>
      </c>
      <c r="K2242" t="s">
        <v>33</v>
      </c>
      <c r="L2242">
        <v>1</v>
      </c>
      <c r="M2242">
        <v>1</v>
      </c>
      <c r="N2242">
        <v>3.8</v>
      </c>
      <c r="O2242">
        <v>9.1</v>
      </c>
      <c r="P2242">
        <v>3</v>
      </c>
      <c r="Q2242">
        <v>7</v>
      </c>
      <c r="R2242">
        <v>716275</v>
      </c>
      <c r="S2242">
        <f>Table1[[#This Row],[Revenue]]-Table1[[#This Row],[Operating_Costs]]</f>
        <v>256018</v>
      </c>
      <c r="T2242">
        <v>460257</v>
      </c>
      <c r="U2242">
        <v>23</v>
      </c>
      <c r="V2242">
        <v>56</v>
      </c>
      <c r="W2242">
        <v>12.4</v>
      </c>
    </row>
    <row r="2243" spans="1:23" x14ac:dyDescent="0.25">
      <c r="A2243">
        <v>6</v>
      </c>
      <c r="B2243" t="s">
        <v>70</v>
      </c>
      <c r="C2243" s="1">
        <v>44486</v>
      </c>
      <c r="D2243" t="s">
        <v>71</v>
      </c>
      <c r="E2243">
        <v>0</v>
      </c>
      <c r="F2243">
        <v>46</v>
      </c>
      <c r="G2243" t="str">
        <f t="shared" ref="G2243:G2306" si="43">IF(F2243&lt;=20,"0-20",IF(F2243&lt;=40,"21-40",IF(F2243&lt;=60,"41-60",IF(F2243&lt;=80,"61-80","81+"))))</f>
        <v>41-60</v>
      </c>
      <c r="H2243" t="s">
        <v>35</v>
      </c>
      <c r="I2243" t="s">
        <v>36</v>
      </c>
      <c r="J2243" t="s">
        <v>37</v>
      </c>
      <c r="K2243" t="s">
        <v>26</v>
      </c>
      <c r="L2243">
        <v>1</v>
      </c>
      <c r="M2243">
        <v>1</v>
      </c>
      <c r="N2243">
        <v>3.5</v>
      </c>
      <c r="O2243">
        <v>7.7</v>
      </c>
      <c r="P2243">
        <v>3</v>
      </c>
      <c r="Q2243">
        <v>5</v>
      </c>
      <c r="R2243">
        <v>654843</v>
      </c>
      <c r="S2243">
        <f>Table1[[#This Row],[Revenue]]-Table1[[#This Row],[Operating_Costs]]</f>
        <v>141979</v>
      </c>
      <c r="T2243">
        <v>512864</v>
      </c>
      <c r="U2243">
        <v>20</v>
      </c>
      <c r="V2243">
        <v>54</v>
      </c>
      <c r="W2243">
        <v>6.2</v>
      </c>
    </row>
    <row r="2244" spans="1:23" x14ac:dyDescent="0.25">
      <c r="A2244">
        <v>6</v>
      </c>
      <c r="B2244" t="s">
        <v>70</v>
      </c>
      <c r="C2244" s="1">
        <v>45480</v>
      </c>
      <c r="D2244" t="s">
        <v>71</v>
      </c>
      <c r="E2244">
        <v>0</v>
      </c>
      <c r="F2244">
        <v>37</v>
      </c>
      <c r="G2244" t="str">
        <f t="shared" si="43"/>
        <v>21-40</v>
      </c>
      <c r="H2244" t="s">
        <v>23</v>
      </c>
      <c r="I2244" t="s">
        <v>24</v>
      </c>
      <c r="J2244" t="s">
        <v>25</v>
      </c>
      <c r="K2244" t="s">
        <v>33</v>
      </c>
      <c r="L2244">
        <v>1</v>
      </c>
      <c r="M2244">
        <v>1</v>
      </c>
      <c r="N2244">
        <v>1.6</v>
      </c>
      <c r="O2244">
        <v>8.3000000000000007</v>
      </c>
      <c r="P2244">
        <v>3</v>
      </c>
      <c r="Q2244">
        <v>7</v>
      </c>
      <c r="R2244">
        <v>657565</v>
      </c>
      <c r="S2244">
        <f>Table1[[#This Row],[Revenue]]-Table1[[#This Row],[Operating_Costs]]</f>
        <v>98705</v>
      </c>
      <c r="T2244">
        <v>558860</v>
      </c>
      <c r="U2244">
        <v>29</v>
      </c>
      <c r="V2244">
        <v>66</v>
      </c>
      <c r="W2244">
        <v>5.4</v>
      </c>
    </row>
    <row r="2245" spans="1:23" x14ac:dyDescent="0.25">
      <c r="A2245">
        <v>6</v>
      </c>
      <c r="B2245" t="s">
        <v>70</v>
      </c>
      <c r="C2245" s="1">
        <v>44719</v>
      </c>
      <c r="D2245" t="s">
        <v>71</v>
      </c>
      <c r="E2245">
        <v>0</v>
      </c>
      <c r="F2245">
        <v>31</v>
      </c>
      <c r="G2245" t="str">
        <f t="shared" si="43"/>
        <v>21-40</v>
      </c>
      <c r="H2245" t="s">
        <v>35</v>
      </c>
      <c r="I2245" t="s">
        <v>53</v>
      </c>
      <c r="J2245" t="s">
        <v>54</v>
      </c>
      <c r="K2245" t="s">
        <v>33</v>
      </c>
      <c r="L2245">
        <v>1</v>
      </c>
      <c r="M2245">
        <v>1</v>
      </c>
      <c r="N2245">
        <v>1.6</v>
      </c>
      <c r="O2245">
        <v>7.4</v>
      </c>
      <c r="P2245">
        <v>7</v>
      </c>
      <c r="Q2245">
        <v>4</v>
      </c>
      <c r="R2245">
        <v>628760</v>
      </c>
      <c r="S2245">
        <f>Table1[[#This Row],[Revenue]]-Table1[[#This Row],[Operating_Costs]]</f>
        <v>222317</v>
      </c>
      <c r="T2245">
        <v>406443</v>
      </c>
      <c r="U2245">
        <v>24</v>
      </c>
      <c r="V2245">
        <v>59</v>
      </c>
      <c r="W2245">
        <v>7</v>
      </c>
    </row>
    <row r="2246" spans="1:23" x14ac:dyDescent="0.25">
      <c r="A2246">
        <v>6</v>
      </c>
      <c r="B2246" t="s">
        <v>70</v>
      </c>
      <c r="C2246" s="1">
        <v>45156</v>
      </c>
      <c r="D2246" t="s">
        <v>71</v>
      </c>
      <c r="E2246">
        <v>0</v>
      </c>
      <c r="F2246">
        <v>63</v>
      </c>
      <c r="G2246" t="str">
        <f t="shared" si="43"/>
        <v>61-80</v>
      </c>
      <c r="H2246" t="s">
        <v>23</v>
      </c>
      <c r="I2246" t="s">
        <v>43</v>
      </c>
      <c r="J2246" t="s">
        <v>25</v>
      </c>
      <c r="K2246" t="s">
        <v>29</v>
      </c>
      <c r="L2246">
        <v>1</v>
      </c>
      <c r="M2246">
        <v>1</v>
      </c>
      <c r="N2246">
        <v>5.2</v>
      </c>
      <c r="O2246">
        <v>9.3000000000000007</v>
      </c>
      <c r="P2246">
        <v>4</v>
      </c>
      <c r="Q2246">
        <v>7</v>
      </c>
      <c r="R2246">
        <v>693604</v>
      </c>
      <c r="S2246">
        <f>Table1[[#This Row],[Revenue]]-Table1[[#This Row],[Operating_Costs]]</f>
        <v>234772</v>
      </c>
      <c r="T2246">
        <v>458832</v>
      </c>
      <c r="U2246">
        <v>27</v>
      </c>
      <c r="V2246">
        <v>54</v>
      </c>
      <c r="W2246">
        <v>8</v>
      </c>
    </row>
    <row r="2247" spans="1:23" x14ac:dyDescent="0.25">
      <c r="A2247">
        <v>6</v>
      </c>
      <c r="B2247" t="s">
        <v>70</v>
      </c>
      <c r="C2247" s="1">
        <v>44595</v>
      </c>
      <c r="D2247" t="s">
        <v>71</v>
      </c>
      <c r="E2247">
        <v>0</v>
      </c>
      <c r="F2247">
        <v>90</v>
      </c>
      <c r="G2247" t="str">
        <f t="shared" si="43"/>
        <v>81+</v>
      </c>
      <c r="H2247" t="s">
        <v>23</v>
      </c>
      <c r="I2247" t="s">
        <v>43</v>
      </c>
      <c r="J2247" t="s">
        <v>25</v>
      </c>
      <c r="K2247" t="s">
        <v>29</v>
      </c>
      <c r="L2247">
        <v>1</v>
      </c>
      <c r="M2247">
        <v>1</v>
      </c>
      <c r="N2247">
        <v>1.4</v>
      </c>
      <c r="O2247">
        <v>8.8000000000000007</v>
      </c>
      <c r="P2247">
        <v>4</v>
      </c>
      <c r="Q2247">
        <v>5</v>
      </c>
      <c r="R2247">
        <v>739286</v>
      </c>
      <c r="S2247">
        <f>Table1[[#This Row],[Revenue]]-Table1[[#This Row],[Operating_Costs]]</f>
        <v>202878</v>
      </c>
      <c r="T2247">
        <v>536408</v>
      </c>
      <c r="U2247">
        <v>30</v>
      </c>
      <c r="V2247">
        <v>57</v>
      </c>
      <c r="W2247">
        <v>10.6</v>
      </c>
    </row>
    <row r="2248" spans="1:23" x14ac:dyDescent="0.25">
      <c r="A2248">
        <v>6</v>
      </c>
      <c r="B2248" t="s">
        <v>70</v>
      </c>
      <c r="C2248" s="1">
        <v>44469</v>
      </c>
      <c r="D2248" t="s">
        <v>71</v>
      </c>
      <c r="E2248">
        <v>0</v>
      </c>
      <c r="F2248">
        <v>38</v>
      </c>
      <c r="G2248" t="str">
        <f t="shared" si="43"/>
        <v>21-40</v>
      </c>
      <c r="H2248" t="s">
        <v>35</v>
      </c>
      <c r="I2248" t="s">
        <v>58</v>
      </c>
      <c r="J2248" t="s">
        <v>59</v>
      </c>
      <c r="K2248" t="s">
        <v>29</v>
      </c>
      <c r="L2248">
        <v>1</v>
      </c>
      <c r="M2248">
        <v>1</v>
      </c>
      <c r="N2248">
        <v>3.9</v>
      </c>
      <c r="O2248">
        <v>9.1999999999999993</v>
      </c>
      <c r="P2248">
        <v>4</v>
      </c>
      <c r="Q2248">
        <v>4</v>
      </c>
      <c r="R2248">
        <v>737750</v>
      </c>
      <c r="S2248">
        <f>Table1[[#This Row],[Revenue]]-Table1[[#This Row],[Operating_Costs]]</f>
        <v>193064</v>
      </c>
      <c r="T2248">
        <v>544686</v>
      </c>
      <c r="U2248">
        <v>27</v>
      </c>
      <c r="V2248">
        <v>60</v>
      </c>
      <c r="W2248">
        <v>12.1</v>
      </c>
    </row>
    <row r="2249" spans="1:23" x14ac:dyDescent="0.25">
      <c r="A2249">
        <v>6</v>
      </c>
      <c r="B2249" t="s">
        <v>70</v>
      </c>
      <c r="C2249" s="1">
        <v>44374</v>
      </c>
      <c r="D2249" t="s">
        <v>71</v>
      </c>
      <c r="E2249">
        <v>0</v>
      </c>
      <c r="F2249">
        <v>36</v>
      </c>
      <c r="G2249" t="str">
        <f t="shared" si="43"/>
        <v>21-40</v>
      </c>
      <c r="H2249" t="s">
        <v>35</v>
      </c>
      <c r="I2249" t="s">
        <v>36</v>
      </c>
      <c r="J2249" t="s">
        <v>37</v>
      </c>
      <c r="K2249" t="s">
        <v>42</v>
      </c>
      <c r="L2249">
        <v>1</v>
      </c>
      <c r="M2249">
        <v>1</v>
      </c>
      <c r="N2249">
        <v>2.2000000000000002</v>
      </c>
      <c r="O2249">
        <v>8.6</v>
      </c>
      <c r="P2249">
        <v>3</v>
      </c>
      <c r="Q2249">
        <v>6</v>
      </c>
      <c r="R2249">
        <v>682400</v>
      </c>
      <c r="S2249">
        <f>Table1[[#This Row],[Revenue]]-Table1[[#This Row],[Operating_Costs]]</f>
        <v>161426</v>
      </c>
      <c r="T2249">
        <v>520974</v>
      </c>
      <c r="U2249">
        <v>30</v>
      </c>
      <c r="V2249">
        <v>61</v>
      </c>
      <c r="W2249">
        <v>5.0999999999999996</v>
      </c>
    </row>
    <row r="2250" spans="1:23" x14ac:dyDescent="0.25">
      <c r="A2250">
        <v>6</v>
      </c>
      <c r="B2250" t="s">
        <v>70</v>
      </c>
      <c r="C2250" s="1">
        <v>44972</v>
      </c>
      <c r="D2250" t="s">
        <v>71</v>
      </c>
      <c r="E2250">
        <v>0</v>
      </c>
      <c r="F2250">
        <v>64</v>
      </c>
      <c r="G2250" t="str">
        <f t="shared" si="43"/>
        <v>61-80</v>
      </c>
      <c r="H2250" t="s">
        <v>35</v>
      </c>
      <c r="I2250" t="s">
        <v>58</v>
      </c>
      <c r="J2250" t="s">
        <v>59</v>
      </c>
      <c r="K2250" t="s">
        <v>29</v>
      </c>
      <c r="L2250">
        <v>1</v>
      </c>
      <c r="M2250">
        <v>1</v>
      </c>
      <c r="N2250">
        <v>1.8</v>
      </c>
      <c r="O2250">
        <v>8.9</v>
      </c>
      <c r="P2250">
        <v>5</v>
      </c>
      <c r="Q2250">
        <v>5</v>
      </c>
      <c r="R2250">
        <v>696673</v>
      </c>
      <c r="S2250">
        <f>Table1[[#This Row],[Revenue]]-Table1[[#This Row],[Operating_Costs]]</f>
        <v>260277</v>
      </c>
      <c r="T2250">
        <v>436396</v>
      </c>
      <c r="U2250">
        <v>21</v>
      </c>
      <c r="V2250">
        <v>60</v>
      </c>
      <c r="W2250">
        <v>13.7</v>
      </c>
    </row>
    <row r="2251" spans="1:23" x14ac:dyDescent="0.25">
      <c r="A2251">
        <v>6</v>
      </c>
      <c r="B2251" t="s">
        <v>70</v>
      </c>
      <c r="C2251" s="1">
        <v>44228</v>
      </c>
      <c r="D2251" t="s">
        <v>71</v>
      </c>
      <c r="E2251">
        <v>0</v>
      </c>
      <c r="F2251">
        <v>40</v>
      </c>
      <c r="G2251" t="str">
        <f t="shared" si="43"/>
        <v>21-40</v>
      </c>
      <c r="H2251" t="s">
        <v>35</v>
      </c>
      <c r="I2251" t="s">
        <v>46</v>
      </c>
      <c r="J2251" t="s">
        <v>47</v>
      </c>
      <c r="K2251" t="s">
        <v>38</v>
      </c>
      <c r="L2251">
        <v>1</v>
      </c>
      <c r="M2251">
        <v>1</v>
      </c>
      <c r="N2251">
        <v>2.1</v>
      </c>
      <c r="O2251">
        <v>9.1</v>
      </c>
      <c r="P2251">
        <v>5</v>
      </c>
      <c r="Q2251">
        <v>3</v>
      </c>
      <c r="R2251">
        <v>743384</v>
      </c>
      <c r="S2251">
        <f>Table1[[#This Row],[Revenue]]-Table1[[#This Row],[Operating_Costs]]</f>
        <v>300582</v>
      </c>
      <c r="T2251">
        <v>442802</v>
      </c>
      <c r="U2251">
        <v>22</v>
      </c>
      <c r="V2251">
        <v>65</v>
      </c>
      <c r="W2251">
        <v>7.3</v>
      </c>
    </row>
    <row r="2252" spans="1:23" x14ac:dyDescent="0.25">
      <c r="A2252">
        <v>7</v>
      </c>
      <c r="B2252" t="s">
        <v>49</v>
      </c>
      <c r="C2252" s="1">
        <v>45011</v>
      </c>
      <c r="D2252" t="s">
        <v>71</v>
      </c>
      <c r="E2252">
        <v>0</v>
      </c>
      <c r="F2252">
        <v>68</v>
      </c>
      <c r="G2252" t="str">
        <f t="shared" si="43"/>
        <v>61-80</v>
      </c>
      <c r="H2252" t="s">
        <v>23</v>
      </c>
      <c r="I2252" t="s">
        <v>50</v>
      </c>
      <c r="J2252" t="s">
        <v>51</v>
      </c>
      <c r="K2252" t="s">
        <v>38</v>
      </c>
      <c r="L2252">
        <v>1</v>
      </c>
      <c r="M2252">
        <v>1</v>
      </c>
      <c r="N2252">
        <v>5.3</v>
      </c>
      <c r="O2252">
        <v>8.3000000000000007</v>
      </c>
      <c r="P2252">
        <v>4</v>
      </c>
      <c r="Q2252">
        <v>3</v>
      </c>
      <c r="R2252">
        <v>757826</v>
      </c>
      <c r="S2252">
        <f>Table1[[#This Row],[Revenue]]-Table1[[#This Row],[Operating_Costs]]</f>
        <v>197244</v>
      </c>
      <c r="T2252">
        <v>560582</v>
      </c>
      <c r="U2252">
        <v>49</v>
      </c>
      <c r="V2252">
        <v>55</v>
      </c>
      <c r="W2252">
        <v>12.9</v>
      </c>
    </row>
    <row r="2253" spans="1:23" x14ac:dyDescent="0.25">
      <c r="A2253">
        <v>7</v>
      </c>
      <c r="B2253" t="s">
        <v>49</v>
      </c>
      <c r="C2253" s="1">
        <v>44900</v>
      </c>
      <c r="D2253" t="s">
        <v>71</v>
      </c>
      <c r="E2253">
        <v>0</v>
      </c>
      <c r="F2253">
        <v>74</v>
      </c>
      <c r="G2253" t="str">
        <f t="shared" si="43"/>
        <v>61-80</v>
      </c>
      <c r="H2253" t="s">
        <v>23</v>
      </c>
      <c r="I2253" t="s">
        <v>64</v>
      </c>
      <c r="J2253" t="s">
        <v>65</v>
      </c>
      <c r="K2253" t="s">
        <v>33</v>
      </c>
      <c r="L2253">
        <v>1</v>
      </c>
      <c r="M2253">
        <v>1</v>
      </c>
      <c r="N2253">
        <v>2.1</v>
      </c>
      <c r="O2253">
        <v>8.5</v>
      </c>
      <c r="P2253">
        <v>3</v>
      </c>
      <c r="Q2253">
        <v>4</v>
      </c>
      <c r="R2253">
        <v>729808</v>
      </c>
      <c r="S2253">
        <f>Table1[[#This Row],[Revenue]]-Table1[[#This Row],[Operating_Costs]]</f>
        <v>173215</v>
      </c>
      <c r="T2253">
        <v>556593</v>
      </c>
      <c r="U2253">
        <v>52</v>
      </c>
      <c r="V2253">
        <v>60</v>
      </c>
      <c r="W2253">
        <v>10</v>
      </c>
    </row>
    <row r="2254" spans="1:23" x14ac:dyDescent="0.25">
      <c r="A2254">
        <v>7</v>
      </c>
      <c r="B2254" t="s">
        <v>49</v>
      </c>
      <c r="C2254" s="1">
        <v>44627</v>
      </c>
      <c r="D2254" t="s">
        <v>71</v>
      </c>
      <c r="E2254">
        <v>0</v>
      </c>
      <c r="F2254">
        <v>64</v>
      </c>
      <c r="G2254" t="str">
        <f t="shared" si="43"/>
        <v>61-80</v>
      </c>
      <c r="H2254" t="s">
        <v>35</v>
      </c>
      <c r="I2254" t="s">
        <v>36</v>
      </c>
      <c r="J2254" t="s">
        <v>37</v>
      </c>
      <c r="K2254" t="s">
        <v>38</v>
      </c>
      <c r="L2254">
        <v>1</v>
      </c>
      <c r="M2254">
        <v>1</v>
      </c>
      <c r="N2254">
        <v>5.4</v>
      </c>
      <c r="O2254">
        <v>8.8000000000000007</v>
      </c>
      <c r="P2254">
        <v>3</v>
      </c>
      <c r="Q2254">
        <v>5</v>
      </c>
      <c r="R2254">
        <v>819019</v>
      </c>
      <c r="S2254">
        <f>Table1[[#This Row],[Revenue]]-Table1[[#This Row],[Operating_Costs]]</f>
        <v>227150</v>
      </c>
      <c r="T2254">
        <v>591869</v>
      </c>
      <c r="U2254">
        <v>50</v>
      </c>
      <c r="V2254">
        <v>66</v>
      </c>
      <c r="W2254">
        <v>5.9</v>
      </c>
    </row>
    <row r="2255" spans="1:23" x14ac:dyDescent="0.25">
      <c r="A2255">
        <v>7</v>
      </c>
      <c r="B2255" t="s">
        <v>49</v>
      </c>
      <c r="C2255" s="1">
        <v>45075</v>
      </c>
      <c r="D2255" t="s">
        <v>71</v>
      </c>
      <c r="E2255">
        <v>0</v>
      </c>
      <c r="F2255">
        <v>88</v>
      </c>
      <c r="G2255" t="str">
        <f t="shared" si="43"/>
        <v>81+</v>
      </c>
      <c r="H2255" t="s">
        <v>35</v>
      </c>
      <c r="I2255" t="s">
        <v>40</v>
      </c>
      <c r="J2255" t="s">
        <v>41</v>
      </c>
      <c r="K2255" t="s">
        <v>26</v>
      </c>
      <c r="L2255">
        <v>1</v>
      </c>
      <c r="M2255">
        <v>1</v>
      </c>
      <c r="N2255">
        <v>2.2999999999999998</v>
      </c>
      <c r="O2255">
        <v>9.3000000000000007</v>
      </c>
      <c r="P2255">
        <v>5</v>
      </c>
      <c r="Q2255">
        <v>6</v>
      </c>
      <c r="R2255">
        <v>638252</v>
      </c>
      <c r="S2255">
        <f>Table1[[#This Row],[Revenue]]-Table1[[#This Row],[Operating_Costs]]</f>
        <v>99528</v>
      </c>
      <c r="T2255">
        <v>538724</v>
      </c>
      <c r="U2255">
        <v>44</v>
      </c>
      <c r="V2255">
        <v>63</v>
      </c>
      <c r="W2255">
        <v>12.7</v>
      </c>
    </row>
    <row r="2256" spans="1:23" x14ac:dyDescent="0.25">
      <c r="A2256">
        <v>7</v>
      </c>
      <c r="B2256" t="s">
        <v>49</v>
      </c>
      <c r="C2256" s="1">
        <v>44947</v>
      </c>
      <c r="D2256" t="s">
        <v>71</v>
      </c>
      <c r="E2256">
        <v>0</v>
      </c>
      <c r="F2256">
        <v>22</v>
      </c>
      <c r="G2256" t="str">
        <f t="shared" si="43"/>
        <v>21-40</v>
      </c>
      <c r="H2256" t="s">
        <v>35</v>
      </c>
      <c r="I2256" t="s">
        <v>31</v>
      </c>
      <c r="J2256" t="s">
        <v>28</v>
      </c>
      <c r="K2256" t="s">
        <v>33</v>
      </c>
      <c r="L2256">
        <v>1</v>
      </c>
      <c r="M2256">
        <v>1</v>
      </c>
      <c r="N2256">
        <v>1.3</v>
      </c>
      <c r="O2256">
        <v>7.9</v>
      </c>
      <c r="P2256">
        <v>3</v>
      </c>
      <c r="Q2256">
        <v>7</v>
      </c>
      <c r="R2256">
        <v>816366</v>
      </c>
      <c r="S2256">
        <f>Table1[[#This Row],[Revenue]]-Table1[[#This Row],[Operating_Costs]]</f>
        <v>219494</v>
      </c>
      <c r="T2256">
        <v>596872</v>
      </c>
      <c r="U2256">
        <v>42</v>
      </c>
      <c r="V2256">
        <v>57</v>
      </c>
      <c r="W2256">
        <v>7.6</v>
      </c>
    </row>
    <row r="2257" spans="1:23" x14ac:dyDescent="0.25">
      <c r="A2257">
        <v>7</v>
      </c>
      <c r="B2257" t="s">
        <v>49</v>
      </c>
      <c r="C2257" s="1">
        <v>44789</v>
      </c>
      <c r="D2257" t="s">
        <v>71</v>
      </c>
      <c r="E2257">
        <v>0</v>
      </c>
      <c r="F2257">
        <v>83</v>
      </c>
      <c r="G2257" t="str">
        <f t="shared" si="43"/>
        <v>81+</v>
      </c>
      <c r="H2257" t="s">
        <v>23</v>
      </c>
      <c r="I2257" t="s">
        <v>40</v>
      </c>
      <c r="J2257" t="s">
        <v>41</v>
      </c>
      <c r="K2257" t="s">
        <v>42</v>
      </c>
      <c r="L2257">
        <v>1</v>
      </c>
      <c r="M2257">
        <v>1</v>
      </c>
      <c r="N2257">
        <v>1.8</v>
      </c>
      <c r="O2257">
        <v>7.1</v>
      </c>
      <c r="P2257">
        <v>4</v>
      </c>
      <c r="Q2257">
        <v>5</v>
      </c>
      <c r="R2257">
        <v>725792</v>
      </c>
      <c r="S2257">
        <f>Table1[[#This Row],[Revenue]]-Table1[[#This Row],[Operating_Costs]]</f>
        <v>152283</v>
      </c>
      <c r="T2257">
        <v>573509</v>
      </c>
      <c r="U2257">
        <v>56</v>
      </c>
      <c r="V2257">
        <v>57</v>
      </c>
      <c r="W2257">
        <v>7.2</v>
      </c>
    </row>
    <row r="2258" spans="1:23" x14ac:dyDescent="0.25">
      <c r="A2258">
        <v>7</v>
      </c>
      <c r="B2258" t="s">
        <v>49</v>
      </c>
      <c r="C2258" s="1">
        <v>44706</v>
      </c>
      <c r="D2258" t="s">
        <v>71</v>
      </c>
      <c r="E2258">
        <v>0</v>
      </c>
      <c r="F2258">
        <v>28</v>
      </c>
      <c r="G2258" t="str">
        <f t="shared" si="43"/>
        <v>21-40</v>
      </c>
      <c r="H2258" t="s">
        <v>23</v>
      </c>
      <c r="I2258" t="s">
        <v>24</v>
      </c>
      <c r="J2258" t="s">
        <v>25</v>
      </c>
      <c r="K2258" t="s">
        <v>29</v>
      </c>
      <c r="L2258">
        <v>1</v>
      </c>
      <c r="M2258">
        <v>1</v>
      </c>
      <c r="N2258">
        <v>2</v>
      </c>
      <c r="O2258">
        <v>7.4</v>
      </c>
      <c r="P2258">
        <v>6</v>
      </c>
      <c r="Q2258">
        <v>7</v>
      </c>
      <c r="R2258">
        <v>899619</v>
      </c>
      <c r="S2258">
        <f>Table1[[#This Row],[Revenue]]-Table1[[#This Row],[Operating_Costs]]</f>
        <v>335430</v>
      </c>
      <c r="T2258">
        <v>564189</v>
      </c>
      <c r="U2258">
        <v>53</v>
      </c>
      <c r="V2258">
        <v>59</v>
      </c>
      <c r="W2258">
        <v>7</v>
      </c>
    </row>
    <row r="2259" spans="1:23" x14ac:dyDescent="0.25">
      <c r="A2259">
        <v>7</v>
      </c>
      <c r="B2259" t="s">
        <v>49</v>
      </c>
      <c r="C2259" s="1">
        <v>44308</v>
      </c>
      <c r="D2259" t="s">
        <v>71</v>
      </c>
      <c r="E2259">
        <v>0</v>
      </c>
      <c r="F2259">
        <v>80</v>
      </c>
      <c r="G2259" t="str">
        <f t="shared" si="43"/>
        <v>61-80</v>
      </c>
      <c r="H2259" t="s">
        <v>23</v>
      </c>
      <c r="I2259" t="s">
        <v>61</v>
      </c>
      <c r="J2259" t="s">
        <v>62</v>
      </c>
      <c r="K2259" t="s">
        <v>33</v>
      </c>
      <c r="L2259">
        <v>1</v>
      </c>
      <c r="M2259">
        <v>1</v>
      </c>
      <c r="N2259">
        <v>6.7</v>
      </c>
      <c r="O2259">
        <v>8.3000000000000007</v>
      </c>
      <c r="P2259">
        <v>4</v>
      </c>
      <c r="Q2259">
        <v>4</v>
      </c>
      <c r="R2259">
        <v>736377</v>
      </c>
      <c r="S2259">
        <f>Table1[[#This Row],[Revenue]]-Table1[[#This Row],[Operating_Costs]]</f>
        <v>172002</v>
      </c>
      <c r="T2259">
        <v>564375</v>
      </c>
      <c r="U2259">
        <v>50</v>
      </c>
      <c r="V2259">
        <v>58</v>
      </c>
      <c r="W2259">
        <v>8.5</v>
      </c>
    </row>
    <row r="2260" spans="1:23" x14ac:dyDescent="0.25">
      <c r="A2260">
        <v>7</v>
      </c>
      <c r="B2260" t="s">
        <v>49</v>
      </c>
      <c r="C2260" s="1">
        <v>45010</v>
      </c>
      <c r="D2260" t="s">
        <v>71</v>
      </c>
      <c r="E2260">
        <v>0</v>
      </c>
      <c r="F2260">
        <v>39</v>
      </c>
      <c r="G2260" t="str">
        <f t="shared" si="43"/>
        <v>21-40</v>
      </c>
      <c r="H2260" t="s">
        <v>23</v>
      </c>
      <c r="I2260" t="s">
        <v>24</v>
      </c>
      <c r="J2260" t="s">
        <v>25</v>
      </c>
      <c r="K2260" t="s">
        <v>26</v>
      </c>
      <c r="L2260">
        <v>1</v>
      </c>
      <c r="M2260">
        <v>1</v>
      </c>
      <c r="N2260">
        <v>6.8</v>
      </c>
      <c r="O2260">
        <v>8.1</v>
      </c>
      <c r="P2260">
        <v>4</v>
      </c>
      <c r="Q2260">
        <v>3</v>
      </c>
      <c r="R2260">
        <v>706296</v>
      </c>
      <c r="S2260">
        <f>Table1[[#This Row],[Revenue]]-Table1[[#This Row],[Operating_Costs]]</f>
        <v>167984</v>
      </c>
      <c r="T2260">
        <v>538312</v>
      </c>
      <c r="U2260">
        <v>59</v>
      </c>
      <c r="V2260">
        <v>59</v>
      </c>
      <c r="W2260">
        <v>8.8000000000000007</v>
      </c>
    </row>
    <row r="2261" spans="1:23" x14ac:dyDescent="0.25">
      <c r="A2261">
        <v>7</v>
      </c>
      <c r="B2261" t="s">
        <v>49</v>
      </c>
      <c r="C2261" s="1">
        <v>44515</v>
      </c>
      <c r="D2261" t="s">
        <v>71</v>
      </c>
      <c r="E2261">
        <v>0</v>
      </c>
      <c r="F2261">
        <v>23</v>
      </c>
      <c r="G2261" t="str">
        <f t="shared" si="43"/>
        <v>21-40</v>
      </c>
      <c r="H2261" t="s">
        <v>35</v>
      </c>
      <c r="I2261" t="s">
        <v>40</v>
      </c>
      <c r="J2261" t="s">
        <v>41</v>
      </c>
      <c r="K2261" t="s">
        <v>38</v>
      </c>
      <c r="L2261">
        <v>1</v>
      </c>
      <c r="M2261">
        <v>1</v>
      </c>
      <c r="N2261">
        <v>6.8</v>
      </c>
      <c r="O2261">
        <v>8.3000000000000007</v>
      </c>
      <c r="P2261">
        <v>5</v>
      </c>
      <c r="Q2261">
        <v>5</v>
      </c>
      <c r="R2261">
        <v>761856</v>
      </c>
      <c r="S2261">
        <f>Table1[[#This Row],[Revenue]]-Table1[[#This Row],[Operating_Costs]]</f>
        <v>224973</v>
      </c>
      <c r="T2261">
        <v>536883</v>
      </c>
      <c r="U2261">
        <v>47</v>
      </c>
      <c r="V2261">
        <v>64</v>
      </c>
      <c r="W2261">
        <v>7.5</v>
      </c>
    </row>
    <row r="2262" spans="1:23" x14ac:dyDescent="0.25">
      <c r="A2262">
        <v>7</v>
      </c>
      <c r="B2262" t="s">
        <v>49</v>
      </c>
      <c r="C2262" s="1">
        <v>44649</v>
      </c>
      <c r="D2262" t="s">
        <v>71</v>
      </c>
      <c r="E2262">
        <v>0</v>
      </c>
      <c r="F2262">
        <v>47</v>
      </c>
      <c r="G2262" t="str">
        <f t="shared" si="43"/>
        <v>41-60</v>
      </c>
      <c r="H2262" t="s">
        <v>23</v>
      </c>
      <c r="I2262" t="s">
        <v>50</v>
      </c>
      <c r="J2262" t="s">
        <v>51</v>
      </c>
      <c r="K2262" t="s">
        <v>42</v>
      </c>
      <c r="L2262">
        <v>1</v>
      </c>
      <c r="M2262">
        <v>1</v>
      </c>
      <c r="N2262">
        <v>5.9</v>
      </c>
      <c r="O2262">
        <v>8.9</v>
      </c>
      <c r="P2262">
        <v>6</v>
      </c>
      <c r="Q2262">
        <v>4</v>
      </c>
      <c r="R2262">
        <v>882559</v>
      </c>
      <c r="S2262">
        <f>Table1[[#This Row],[Revenue]]-Table1[[#This Row],[Operating_Costs]]</f>
        <v>345915</v>
      </c>
      <c r="T2262">
        <v>536644</v>
      </c>
      <c r="U2262">
        <v>42</v>
      </c>
      <c r="V2262">
        <v>57</v>
      </c>
      <c r="W2262">
        <v>10</v>
      </c>
    </row>
    <row r="2263" spans="1:23" x14ac:dyDescent="0.25">
      <c r="A2263">
        <v>7</v>
      </c>
      <c r="B2263" t="s">
        <v>49</v>
      </c>
      <c r="C2263" s="1">
        <v>45323</v>
      </c>
      <c r="D2263" t="s">
        <v>71</v>
      </c>
      <c r="E2263">
        <v>0</v>
      </c>
      <c r="F2263">
        <v>36</v>
      </c>
      <c r="G2263" t="str">
        <f t="shared" si="43"/>
        <v>21-40</v>
      </c>
      <c r="H2263" t="s">
        <v>23</v>
      </c>
      <c r="I2263" t="s">
        <v>31</v>
      </c>
      <c r="J2263" t="s">
        <v>28</v>
      </c>
      <c r="K2263" t="s">
        <v>42</v>
      </c>
      <c r="L2263">
        <v>1</v>
      </c>
      <c r="M2263">
        <v>1</v>
      </c>
      <c r="N2263">
        <v>2.8</v>
      </c>
      <c r="O2263">
        <v>8</v>
      </c>
      <c r="P2263">
        <v>3</v>
      </c>
      <c r="Q2263">
        <v>7</v>
      </c>
      <c r="R2263">
        <v>782716</v>
      </c>
      <c r="S2263">
        <f>Table1[[#This Row],[Revenue]]-Table1[[#This Row],[Operating_Costs]]</f>
        <v>229174</v>
      </c>
      <c r="T2263">
        <v>553542</v>
      </c>
      <c r="U2263">
        <v>54</v>
      </c>
      <c r="V2263">
        <v>62</v>
      </c>
      <c r="W2263">
        <v>8.5</v>
      </c>
    </row>
    <row r="2264" spans="1:23" x14ac:dyDescent="0.25">
      <c r="A2264">
        <v>6</v>
      </c>
      <c r="B2264" t="s">
        <v>70</v>
      </c>
      <c r="C2264" s="1">
        <v>44977</v>
      </c>
      <c r="D2264" t="s">
        <v>71</v>
      </c>
      <c r="E2264">
        <v>0</v>
      </c>
      <c r="F2264">
        <v>33</v>
      </c>
      <c r="G2264" t="str">
        <f t="shared" si="43"/>
        <v>21-40</v>
      </c>
      <c r="H2264" t="s">
        <v>23</v>
      </c>
      <c r="I2264" t="s">
        <v>50</v>
      </c>
      <c r="J2264" t="s">
        <v>51</v>
      </c>
      <c r="K2264" t="s">
        <v>29</v>
      </c>
      <c r="L2264">
        <v>1</v>
      </c>
      <c r="M2264">
        <v>1</v>
      </c>
      <c r="N2264">
        <v>5.2</v>
      </c>
      <c r="O2264">
        <v>9.4</v>
      </c>
      <c r="P2264">
        <v>4</v>
      </c>
      <c r="Q2264">
        <v>3</v>
      </c>
      <c r="R2264">
        <v>713901</v>
      </c>
      <c r="S2264">
        <f>Table1[[#This Row],[Revenue]]-Table1[[#This Row],[Operating_Costs]]</f>
        <v>249128</v>
      </c>
      <c r="T2264">
        <v>464773</v>
      </c>
      <c r="U2264">
        <v>22</v>
      </c>
      <c r="V2264">
        <v>56</v>
      </c>
      <c r="W2264">
        <v>13.7</v>
      </c>
    </row>
    <row r="2265" spans="1:23" x14ac:dyDescent="0.25">
      <c r="A2265">
        <v>7</v>
      </c>
      <c r="B2265" t="s">
        <v>49</v>
      </c>
      <c r="C2265" s="1">
        <v>44371</v>
      </c>
      <c r="D2265" t="s">
        <v>71</v>
      </c>
      <c r="E2265">
        <v>0</v>
      </c>
      <c r="F2265">
        <v>44</v>
      </c>
      <c r="G2265" t="str">
        <f t="shared" si="43"/>
        <v>41-60</v>
      </c>
      <c r="H2265" t="s">
        <v>23</v>
      </c>
      <c r="I2265" t="s">
        <v>31</v>
      </c>
      <c r="J2265" t="s">
        <v>28</v>
      </c>
      <c r="K2265" t="s">
        <v>42</v>
      </c>
      <c r="L2265">
        <v>1</v>
      </c>
      <c r="M2265">
        <v>1</v>
      </c>
      <c r="N2265">
        <v>1.5</v>
      </c>
      <c r="O2265">
        <v>9</v>
      </c>
      <c r="P2265">
        <v>5</v>
      </c>
      <c r="Q2265">
        <v>5</v>
      </c>
      <c r="R2265">
        <v>749238</v>
      </c>
      <c r="S2265">
        <f>Table1[[#This Row],[Revenue]]-Table1[[#This Row],[Operating_Costs]]</f>
        <v>163913</v>
      </c>
      <c r="T2265">
        <v>585325</v>
      </c>
      <c r="U2265">
        <v>56</v>
      </c>
      <c r="V2265">
        <v>65</v>
      </c>
      <c r="W2265">
        <v>10</v>
      </c>
    </row>
    <row r="2266" spans="1:23" x14ac:dyDescent="0.25">
      <c r="A2266">
        <v>7</v>
      </c>
      <c r="B2266" t="s">
        <v>49</v>
      </c>
      <c r="C2266" s="1">
        <v>44308</v>
      </c>
      <c r="D2266" t="s">
        <v>71</v>
      </c>
      <c r="E2266">
        <v>0</v>
      </c>
      <c r="F2266">
        <v>38</v>
      </c>
      <c r="G2266" t="str">
        <f t="shared" si="43"/>
        <v>21-40</v>
      </c>
      <c r="H2266" t="s">
        <v>23</v>
      </c>
      <c r="I2266" t="s">
        <v>64</v>
      </c>
      <c r="J2266" t="s">
        <v>65</v>
      </c>
      <c r="K2266" t="s">
        <v>42</v>
      </c>
      <c r="L2266">
        <v>1</v>
      </c>
      <c r="M2266">
        <v>1</v>
      </c>
      <c r="N2266">
        <v>1.2</v>
      </c>
      <c r="O2266">
        <v>7.2</v>
      </c>
      <c r="P2266">
        <v>7</v>
      </c>
      <c r="Q2266">
        <v>4</v>
      </c>
      <c r="R2266">
        <v>702510</v>
      </c>
      <c r="S2266">
        <f>Table1[[#This Row],[Revenue]]-Table1[[#This Row],[Operating_Costs]]</f>
        <v>102888</v>
      </c>
      <c r="T2266">
        <v>599622</v>
      </c>
      <c r="U2266">
        <v>53</v>
      </c>
      <c r="V2266">
        <v>54</v>
      </c>
      <c r="W2266">
        <v>6</v>
      </c>
    </row>
    <row r="2267" spans="1:23" x14ac:dyDescent="0.25">
      <c r="A2267">
        <v>7</v>
      </c>
      <c r="B2267" t="s">
        <v>49</v>
      </c>
      <c r="C2267" s="1">
        <v>45326</v>
      </c>
      <c r="D2267" t="s">
        <v>71</v>
      </c>
      <c r="E2267">
        <v>0</v>
      </c>
      <c r="F2267">
        <v>23</v>
      </c>
      <c r="G2267" t="str">
        <f t="shared" si="43"/>
        <v>21-40</v>
      </c>
      <c r="H2267" t="s">
        <v>35</v>
      </c>
      <c r="I2267" t="s">
        <v>58</v>
      </c>
      <c r="J2267" t="s">
        <v>59</v>
      </c>
      <c r="K2267" t="s">
        <v>26</v>
      </c>
      <c r="L2267">
        <v>1</v>
      </c>
      <c r="M2267">
        <v>1</v>
      </c>
      <c r="N2267">
        <v>5.5</v>
      </c>
      <c r="O2267">
        <v>8.6</v>
      </c>
      <c r="P2267">
        <v>5</v>
      </c>
      <c r="Q2267">
        <v>7</v>
      </c>
      <c r="R2267">
        <v>836067</v>
      </c>
      <c r="S2267">
        <f>Table1[[#This Row],[Revenue]]-Table1[[#This Row],[Operating_Costs]]</f>
        <v>315297</v>
      </c>
      <c r="T2267">
        <v>520770</v>
      </c>
      <c r="U2267">
        <v>48</v>
      </c>
      <c r="V2267">
        <v>55</v>
      </c>
      <c r="W2267">
        <v>7.4</v>
      </c>
    </row>
    <row r="2268" spans="1:23" x14ac:dyDescent="0.25">
      <c r="A2268">
        <v>7</v>
      </c>
      <c r="B2268" t="s">
        <v>49</v>
      </c>
      <c r="C2268" s="1">
        <v>45303</v>
      </c>
      <c r="D2268" t="s">
        <v>71</v>
      </c>
      <c r="E2268">
        <v>0</v>
      </c>
      <c r="F2268">
        <v>81</v>
      </c>
      <c r="G2268" t="str">
        <f t="shared" si="43"/>
        <v>81+</v>
      </c>
      <c r="H2268" t="s">
        <v>23</v>
      </c>
      <c r="I2268" t="s">
        <v>27</v>
      </c>
      <c r="J2268" t="s">
        <v>28</v>
      </c>
      <c r="K2268" t="s">
        <v>42</v>
      </c>
      <c r="L2268">
        <v>1</v>
      </c>
      <c r="M2268">
        <v>1</v>
      </c>
      <c r="N2268">
        <v>3.5</v>
      </c>
      <c r="O2268">
        <v>8.8000000000000007</v>
      </c>
      <c r="P2268">
        <v>5</v>
      </c>
      <c r="Q2268">
        <v>3</v>
      </c>
      <c r="R2268">
        <v>610253</v>
      </c>
      <c r="S2268">
        <f>Table1[[#This Row],[Revenue]]-Table1[[#This Row],[Operating_Costs]]</f>
        <v>70952</v>
      </c>
      <c r="T2268">
        <v>539301</v>
      </c>
      <c r="U2268">
        <v>53</v>
      </c>
      <c r="V2268">
        <v>55</v>
      </c>
      <c r="W2268">
        <v>5.3</v>
      </c>
    </row>
    <row r="2269" spans="1:23" x14ac:dyDescent="0.25">
      <c r="A2269">
        <v>7</v>
      </c>
      <c r="B2269" t="s">
        <v>49</v>
      </c>
      <c r="C2269" s="1">
        <v>44704</v>
      </c>
      <c r="D2269" t="s">
        <v>71</v>
      </c>
      <c r="E2269">
        <v>0</v>
      </c>
      <c r="F2269">
        <v>73</v>
      </c>
      <c r="G2269" t="str">
        <f t="shared" si="43"/>
        <v>61-80</v>
      </c>
      <c r="H2269" t="s">
        <v>23</v>
      </c>
      <c r="I2269" t="s">
        <v>24</v>
      </c>
      <c r="J2269" t="s">
        <v>25</v>
      </c>
      <c r="K2269" t="s">
        <v>26</v>
      </c>
      <c r="L2269">
        <v>1</v>
      </c>
      <c r="M2269">
        <v>1</v>
      </c>
      <c r="N2269">
        <v>2.8</v>
      </c>
      <c r="O2269">
        <v>9.8000000000000007</v>
      </c>
      <c r="P2269">
        <v>4</v>
      </c>
      <c r="Q2269">
        <v>3</v>
      </c>
      <c r="R2269">
        <v>643975</v>
      </c>
      <c r="S2269">
        <f>Table1[[#This Row],[Revenue]]-Table1[[#This Row],[Operating_Costs]]</f>
        <v>69046</v>
      </c>
      <c r="T2269">
        <v>574929</v>
      </c>
      <c r="U2269">
        <v>46</v>
      </c>
      <c r="V2269">
        <v>59</v>
      </c>
      <c r="W2269">
        <v>6.5</v>
      </c>
    </row>
    <row r="2270" spans="1:23" x14ac:dyDescent="0.25">
      <c r="A2270">
        <v>7</v>
      </c>
      <c r="B2270" t="s">
        <v>49</v>
      </c>
      <c r="C2270" s="1">
        <v>44504</v>
      </c>
      <c r="D2270" t="s">
        <v>71</v>
      </c>
      <c r="E2270">
        <v>0</v>
      </c>
      <c r="F2270">
        <v>65</v>
      </c>
      <c r="G2270" t="str">
        <f t="shared" si="43"/>
        <v>61-80</v>
      </c>
      <c r="H2270" t="s">
        <v>23</v>
      </c>
      <c r="I2270" t="s">
        <v>31</v>
      </c>
      <c r="J2270" t="s">
        <v>28</v>
      </c>
      <c r="K2270" t="s">
        <v>26</v>
      </c>
      <c r="L2270">
        <v>1</v>
      </c>
      <c r="M2270">
        <v>1</v>
      </c>
      <c r="N2270">
        <v>3.3</v>
      </c>
      <c r="O2270">
        <v>8.1</v>
      </c>
      <c r="P2270">
        <v>7</v>
      </c>
      <c r="Q2270">
        <v>5</v>
      </c>
      <c r="R2270">
        <v>609347</v>
      </c>
      <c r="S2270">
        <f>Table1[[#This Row],[Revenue]]-Table1[[#This Row],[Operating_Costs]]</f>
        <v>99214</v>
      </c>
      <c r="T2270">
        <v>510133</v>
      </c>
      <c r="U2270">
        <v>53</v>
      </c>
      <c r="V2270">
        <v>59</v>
      </c>
      <c r="W2270">
        <v>8.4</v>
      </c>
    </row>
    <row r="2271" spans="1:23" x14ac:dyDescent="0.25">
      <c r="A2271">
        <v>7</v>
      </c>
      <c r="B2271" t="s">
        <v>49</v>
      </c>
      <c r="C2271" s="1">
        <v>44231</v>
      </c>
      <c r="D2271" t="s">
        <v>71</v>
      </c>
      <c r="E2271">
        <v>0</v>
      </c>
      <c r="F2271">
        <v>70</v>
      </c>
      <c r="G2271" t="str">
        <f t="shared" si="43"/>
        <v>61-80</v>
      </c>
      <c r="H2271" t="s">
        <v>23</v>
      </c>
      <c r="I2271" t="s">
        <v>43</v>
      </c>
      <c r="J2271" t="s">
        <v>25</v>
      </c>
      <c r="K2271" t="s">
        <v>42</v>
      </c>
      <c r="L2271">
        <v>1</v>
      </c>
      <c r="M2271">
        <v>1</v>
      </c>
      <c r="N2271">
        <v>3.2</v>
      </c>
      <c r="O2271">
        <v>8.1999999999999993</v>
      </c>
      <c r="P2271">
        <v>7</v>
      </c>
      <c r="Q2271">
        <v>5</v>
      </c>
      <c r="R2271">
        <v>705387</v>
      </c>
      <c r="S2271">
        <f>Table1[[#This Row],[Revenue]]-Table1[[#This Row],[Operating_Costs]]</f>
        <v>141510</v>
      </c>
      <c r="T2271">
        <v>563877</v>
      </c>
      <c r="U2271">
        <v>45</v>
      </c>
      <c r="V2271">
        <v>63</v>
      </c>
      <c r="W2271">
        <v>13.7</v>
      </c>
    </row>
    <row r="2272" spans="1:23" x14ac:dyDescent="0.25">
      <c r="A2272">
        <v>7</v>
      </c>
      <c r="B2272" t="s">
        <v>49</v>
      </c>
      <c r="C2272" s="1">
        <v>44601</v>
      </c>
      <c r="D2272" t="s">
        <v>71</v>
      </c>
      <c r="E2272">
        <v>0</v>
      </c>
      <c r="F2272">
        <v>35</v>
      </c>
      <c r="G2272" t="str">
        <f t="shared" si="43"/>
        <v>21-40</v>
      </c>
      <c r="H2272" t="s">
        <v>35</v>
      </c>
      <c r="I2272" t="s">
        <v>31</v>
      </c>
      <c r="J2272" t="s">
        <v>28</v>
      </c>
      <c r="K2272" t="s">
        <v>29</v>
      </c>
      <c r="L2272">
        <v>1</v>
      </c>
      <c r="M2272">
        <v>1</v>
      </c>
      <c r="N2272">
        <v>2</v>
      </c>
      <c r="O2272">
        <v>9.1999999999999993</v>
      </c>
      <c r="P2272">
        <v>7</v>
      </c>
      <c r="Q2272">
        <v>7</v>
      </c>
      <c r="R2272">
        <v>652864</v>
      </c>
      <c r="S2272">
        <f>Table1[[#This Row],[Revenue]]-Table1[[#This Row],[Operating_Costs]]</f>
        <v>82277</v>
      </c>
      <c r="T2272">
        <v>570587</v>
      </c>
      <c r="U2272">
        <v>59</v>
      </c>
      <c r="V2272">
        <v>54</v>
      </c>
      <c r="W2272">
        <v>7.3</v>
      </c>
    </row>
    <row r="2273" spans="1:23" x14ac:dyDescent="0.25">
      <c r="A2273">
        <v>7</v>
      </c>
      <c r="B2273" t="s">
        <v>49</v>
      </c>
      <c r="C2273" s="1">
        <v>44725</v>
      </c>
      <c r="D2273" t="s">
        <v>71</v>
      </c>
      <c r="E2273">
        <v>0</v>
      </c>
      <c r="F2273">
        <v>46</v>
      </c>
      <c r="G2273" t="str">
        <f t="shared" si="43"/>
        <v>41-60</v>
      </c>
      <c r="H2273" t="s">
        <v>23</v>
      </c>
      <c r="I2273" t="s">
        <v>43</v>
      </c>
      <c r="J2273" t="s">
        <v>25</v>
      </c>
      <c r="K2273" t="s">
        <v>38</v>
      </c>
      <c r="L2273">
        <v>1</v>
      </c>
      <c r="M2273">
        <v>1</v>
      </c>
      <c r="N2273">
        <v>6.9</v>
      </c>
      <c r="O2273">
        <v>9.5</v>
      </c>
      <c r="P2273">
        <v>3</v>
      </c>
      <c r="Q2273">
        <v>3</v>
      </c>
      <c r="R2273">
        <v>780618</v>
      </c>
      <c r="S2273">
        <f>Table1[[#This Row],[Revenue]]-Table1[[#This Row],[Operating_Costs]]</f>
        <v>250585</v>
      </c>
      <c r="T2273">
        <v>530033</v>
      </c>
      <c r="U2273">
        <v>46</v>
      </c>
      <c r="V2273">
        <v>60</v>
      </c>
      <c r="W2273">
        <v>14.8</v>
      </c>
    </row>
    <row r="2274" spans="1:23" x14ac:dyDescent="0.25">
      <c r="A2274">
        <v>7</v>
      </c>
      <c r="B2274" t="s">
        <v>49</v>
      </c>
      <c r="C2274" s="1">
        <v>44348</v>
      </c>
      <c r="D2274" t="s">
        <v>71</v>
      </c>
      <c r="E2274">
        <v>0</v>
      </c>
      <c r="F2274">
        <v>21</v>
      </c>
      <c r="G2274" t="str">
        <f t="shared" si="43"/>
        <v>21-40</v>
      </c>
      <c r="H2274" t="s">
        <v>35</v>
      </c>
      <c r="I2274" t="s">
        <v>31</v>
      </c>
      <c r="J2274" t="s">
        <v>28</v>
      </c>
      <c r="K2274" t="s">
        <v>38</v>
      </c>
      <c r="L2274">
        <v>1</v>
      </c>
      <c r="M2274">
        <v>1</v>
      </c>
      <c r="N2274">
        <v>6.5</v>
      </c>
      <c r="O2274">
        <v>7.8</v>
      </c>
      <c r="P2274">
        <v>7</v>
      </c>
      <c r="Q2274">
        <v>7</v>
      </c>
      <c r="R2274">
        <v>840582</v>
      </c>
      <c r="S2274">
        <f>Table1[[#This Row],[Revenue]]-Table1[[#This Row],[Operating_Costs]]</f>
        <v>246139</v>
      </c>
      <c r="T2274">
        <v>594443</v>
      </c>
      <c r="U2274">
        <v>44</v>
      </c>
      <c r="V2274">
        <v>64</v>
      </c>
      <c r="W2274">
        <v>6.5</v>
      </c>
    </row>
    <row r="2275" spans="1:23" x14ac:dyDescent="0.25">
      <c r="A2275">
        <v>7</v>
      </c>
      <c r="B2275" t="s">
        <v>49</v>
      </c>
      <c r="C2275" s="1">
        <v>45617</v>
      </c>
      <c r="D2275" t="s">
        <v>71</v>
      </c>
      <c r="E2275">
        <v>0</v>
      </c>
      <c r="F2275">
        <v>87</v>
      </c>
      <c r="G2275" t="str">
        <f t="shared" si="43"/>
        <v>81+</v>
      </c>
      <c r="H2275" t="s">
        <v>35</v>
      </c>
      <c r="I2275" t="s">
        <v>46</v>
      </c>
      <c r="J2275" t="s">
        <v>47</v>
      </c>
      <c r="K2275" t="s">
        <v>42</v>
      </c>
      <c r="L2275">
        <v>1</v>
      </c>
      <c r="M2275">
        <v>1</v>
      </c>
      <c r="N2275">
        <v>2.6</v>
      </c>
      <c r="O2275">
        <v>7.7</v>
      </c>
      <c r="P2275">
        <v>4</v>
      </c>
      <c r="Q2275">
        <v>5</v>
      </c>
      <c r="R2275">
        <v>658844</v>
      </c>
      <c r="S2275">
        <f>Table1[[#This Row],[Revenue]]-Table1[[#This Row],[Operating_Costs]]</f>
        <v>75832</v>
      </c>
      <c r="T2275">
        <v>583012</v>
      </c>
      <c r="U2275">
        <v>54</v>
      </c>
      <c r="V2275">
        <v>56</v>
      </c>
      <c r="W2275">
        <v>7.4</v>
      </c>
    </row>
    <row r="2276" spans="1:23" x14ac:dyDescent="0.25">
      <c r="A2276">
        <v>7</v>
      </c>
      <c r="B2276" t="s">
        <v>49</v>
      </c>
      <c r="C2276" s="1">
        <v>44574</v>
      </c>
      <c r="D2276" t="s">
        <v>71</v>
      </c>
      <c r="E2276">
        <v>0</v>
      </c>
      <c r="F2276">
        <v>43</v>
      </c>
      <c r="G2276" t="str">
        <f t="shared" si="43"/>
        <v>41-60</v>
      </c>
      <c r="H2276" t="s">
        <v>35</v>
      </c>
      <c r="I2276" t="s">
        <v>36</v>
      </c>
      <c r="J2276" t="s">
        <v>37</v>
      </c>
      <c r="K2276" t="s">
        <v>29</v>
      </c>
      <c r="L2276">
        <v>1</v>
      </c>
      <c r="M2276">
        <v>1</v>
      </c>
      <c r="N2276">
        <v>4</v>
      </c>
      <c r="O2276">
        <v>9.1999999999999993</v>
      </c>
      <c r="P2276">
        <v>4</v>
      </c>
      <c r="Q2276">
        <v>6</v>
      </c>
      <c r="R2276">
        <v>782859</v>
      </c>
      <c r="S2276">
        <f>Table1[[#This Row],[Revenue]]-Table1[[#This Row],[Operating_Costs]]</f>
        <v>247598</v>
      </c>
      <c r="T2276">
        <v>535261</v>
      </c>
      <c r="U2276">
        <v>45</v>
      </c>
      <c r="V2276">
        <v>65</v>
      </c>
      <c r="W2276">
        <v>12.1</v>
      </c>
    </row>
    <row r="2277" spans="1:23" x14ac:dyDescent="0.25">
      <c r="A2277">
        <v>7</v>
      </c>
      <c r="B2277" t="s">
        <v>49</v>
      </c>
      <c r="C2277" s="1">
        <v>44362</v>
      </c>
      <c r="D2277" t="s">
        <v>71</v>
      </c>
      <c r="E2277">
        <v>0</v>
      </c>
      <c r="F2277">
        <v>56</v>
      </c>
      <c r="G2277" t="str">
        <f t="shared" si="43"/>
        <v>41-60</v>
      </c>
      <c r="H2277" t="s">
        <v>35</v>
      </c>
      <c r="I2277" t="s">
        <v>64</v>
      </c>
      <c r="J2277" t="s">
        <v>65</v>
      </c>
      <c r="K2277" t="s">
        <v>38</v>
      </c>
      <c r="L2277">
        <v>1</v>
      </c>
      <c r="M2277">
        <v>1</v>
      </c>
      <c r="N2277">
        <v>2.5</v>
      </c>
      <c r="O2277">
        <v>7.9</v>
      </c>
      <c r="P2277">
        <v>5</v>
      </c>
      <c r="Q2277">
        <v>4</v>
      </c>
      <c r="R2277">
        <v>638191</v>
      </c>
      <c r="S2277">
        <f>Table1[[#This Row],[Revenue]]-Table1[[#This Row],[Operating_Costs]]</f>
        <v>73408</v>
      </c>
      <c r="T2277">
        <v>564783</v>
      </c>
      <c r="U2277">
        <v>56</v>
      </c>
      <c r="V2277">
        <v>60</v>
      </c>
      <c r="W2277">
        <v>7.7</v>
      </c>
    </row>
    <row r="2278" spans="1:23" x14ac:dyDescent="0.25">
      <c r="A2278">
        <v>7</v>
      </c>
      <c r="B2278" t="s">
        <v>49</v>
      </c>
      <c r="C2278" s="1">
        <v>45100</v>
      </c>
      <c r="D2278" t="s">
        <v>71</v>
      </c>
      <c r="E2278">
        <v>0</v>
      </c>
      <c r="F2278">
        <v>49</v>
      </c>
      <c r="G2278" t="str">
        <f t="shared" si="43"/>
        <v>41-60</v>
      </c>
      <c r="H2278" t="s">
        <v>23</v>
      </c>
      <c r="I2278" t="s">
        <v>55</v>
      </c>
      <c r="J2278" t="s">
        <v>56</v>
      </c>
      <c r="K2278" t="s">
        <v>33</v>
      </c>
      <c r="L2278">
        <v>1</v>
      </c>
      <c r="M2278">
        <v>1</v>
      </c>
      <c r="N2278">
        <v>4.0999999999999996</v>
      </c>
      <c r="O2278">
        <v>7.9</v>
      </c>
      <c r="P2278">
        <v>3</v>
      </c>
      <c r="Q2278">
        <v>3</v>
      </c>
      <c r="R2278">
        <v>816903</v>
      </c>
      <c r="S2278">
        <f>Table1[[#This Row],[Revenue]]-Table1[[#This Row],[Operating_Costs]]</f>
        <v>241176</v>
      </c>
      <c r="T2278">
        <v>575727</v>
      </c>
      <c r="U2278">
        <v>42</v>
      </c>
      <c r="V2278">
        <v>61</v>
      </c>
      <c r="W2278">
        <v>13.2</v>
      </c>
    </row>
    <row r="2279" spans="1:23" x14ac:dyDescent="0.25">
      <c r="A2279">
        <v>7</v>
      </c>
      <c r="B2279" t="s">
        <v>49</v>
      </c>
      <c r="C2279" s="1">
        <v>44504</v>
      </c>
      <c r="D2279" t="s">
        <v>71</v>
      </c>
      <c r="E2279">
        <v>0</v>
      </c>
      <c r="F2279">
        <v>52</v>
      </c>
      <c r="G2279" t="str">
        <f t="shared" si="43"/>
        <v>41-60</v>
      </c>
      <c r="H2279" t="s">
        <v>23</v>
      </c>
      <c r="I2279" t="s">
        <v>46</v>
      </c>
      <c r="J2279" t="s">
        <v>47</v>
      </c>
      <c r="K2279" t="s">
        <v>38</v>
      </c>
      <c r="L2279">
        <v>1</v>
      </c>
      <c r="M2279">
        <v>1</v>
      </c>
      <c r="N2279">
        <v>6.6</v>
      </c>
      <c r="O2279">
        <v>7.4</v>
      </c>
      <c r="P2279">
        <v>7</v>
      </c>
      <c r="Q2279">
        <v>6</v>
      </c>
      <c r="R2279">
        <v>870932</v>
      </c>
      <c r="S2279">
        <f>Table1[[#This Row],[Revenue]]-Table1[[#This Row],[Operating_Costs]]</f>
        <v>327959</v>
      </c>
      <c r="T2279">
        <v>542973</v>
      </c>
      <c r="U2279">
        <v>53</v>
      </c>
      <c r="V2279">
        <v>60</v>
      </c>
      <c r="W2279">
        <v>8.6999999999999993</v>
      </c>
    </row>
    <row r="2280" spans="1:23" x14ac:dyDescent="0.25">
      <c r="A2280">
        <v>7</v>
      </c>
      <c r="B2280" t="s">
        <v>49</v>
      </c>
      <c r="C2280" s="1">
        <v>45602</v>
      </c>
      <c r="D2280" t="s">
        <v>71</v>
      </c>
      <c r="E2280">
        <v>0</v>
      </c>
      <c r="F2280">
        <v>65</v>
      </c>
      <c r="G2280" t="str">
        <f t="shared" si="43"/>
        <v>61-80</v>
      </c>
      <c r="H2280" t="s">
        <v>35</v>
      </c>
      <c r="I2280" t="s">
        <v>61</v>
      </c>
      <c r="J2280" t="s">
        <v>62</v>
      </c>
      <c r="K2280" t="s">
        <v>33</v>
      </c>
      <c r="L2280">
        <v>1</v>
      </c>
      <c r="M2280">
        <v>1</v>
      </c>
      <c r="N2280">
        <v>6.8</v>
      </c>
      <c r="O2280">
        <v>8.8000000000000007</v>
      </c>
      <c r="P2280">
        <v>3</v>
      </c>
      <c r="Q2280">
        <v>6</v>
      </c>
      <c r="R2280">
        <v>615162</v>
      </c>
      <c r="S2280">
        <f>Table1[[#This Row],[Revenue]]-Table1[[#This Row],[Operating_Costs]]</f>
        <v>21710</v>
      </c>
      <c r="T2280">
        <v>593452</v>
      </c>
      <c r="U2280">
        <v>53</v>
      </c>
      <c r="V2280">
        <v>63</v>
      </c>
      <c r="W2280">
        <v>5.8</v>
      </c>
    </row>
    <row r="2281" spans="1:23" x14ac:dyDescent="0.25">
      <c r="A2281">
        <v>7</v>
      </c>
      <c r="B2281" t="s">
        <v>49</v>
      </c>
      <c r="C2281" s="1">
        <v>45144</v>
      </c>
      <c r="D2281" t="s">
        <v>71</v>
      </c>
      <c r="E2281">
        <v>0</v>
      </c>
      <c r="F2281">
        <v>44</v>
      </c>
      <c r="G2281" t="str">
        <f t="shared" si="43"/>
        <v>41-60</v>
      </c>
      <c r="H2281" t="s">
        <v>35</v>
      </c>
      <c r="I2281" t="s">
        <v>31</v>
      </c>
      <c r="J2281" t="s">
        <v>28</v>
      </c>
      <c r="K2281" t="s">
        <v>26</v>
      </c>
      <c r="L2281">
        <v>1</v>
      </c>
      <c r="M2281">
        <v>1</v>
      </c>
      <c r="N2281">
        <v>1.4</v>
      </c>
      <c r="O2281">
        <v>10</v>
      </c>
      <c r="P2281">
        <v>7</v>
      </c>
      <c r="Q2281">
        <v>5</v>
      </c>
      <c r="R2281">
        <v>851992</v>
      </c>
      <c r="S2281">
        <f>Table1[[#This Row],[Revenue]]-Table1[[#This Row],[Operating_Costs]]</f>
        <v>335486</v>
      </c>
      <c r="T2281">
        <v>516506</v>
      </c>
      <c r="U2281">
        <v>49</v>
      </c>
      <c r="V2281">
        <v>66</v>
      </c>
      <c r="W2281">
        <v>10.6</v>
      </c>
    </row>
    <row r="2282" spans="1:23" x14ac:dyDescent="0.25">
      <c r="A2282">
        <v>7</v>
      </c>
      <c r="B2282" t="s">
        <v>49</v>
      </c>
      <c r="C2282" s="1">
        <v>44861</v>
      </c>
      <c r="D2282" t="s">
        <v>71</v>
      </c>
      <c r="E2282">
        <v>0</v>
      </c>
      <c r="F2282">
        <v>88</v>
      </c>
      <c r="G2282" t="str">
        <f t="shared" si="43"/>
        <v>81+</v>
      </c>
      <c r="H2282" t="s">
        <v>35</v>
      </c>
      <c r="I2282" t="s">
        <v>50</v>
      </c>
      <c r="J2282" t="s">
        <v>51</v>
      </c>
      <c r="K2282" t="s">
        <v>38</v>
      </c>
      <c r="L2282">
        <v>1</v>
      </c>
      <c r="M2282">
        <v>1</v>
      </c>
      <c r="N2282">
        <v>3.1</v>
      </c>
      <c r="O2282">
        <v>8.5</v>
      </c>
      <c r="P2282">
        <v>4</v>
      </c>
      <c r="Q2282">
        <v>5</v>
      </c>
      <c r="R2282">
        <v>707567</v>
      </c>
      <c r="S2282">
        <f>Table1[[#This Row],[Revenue]]-Table1[[#This Row],[Operating_Costs]]</f>
        <v>129382</v>
      </c>
      <c r="T2282">
        <v>578185</v>
      </c>
      <c r="U2282">
        <v>47</v>
      </c>
      <c r="V2282">
        <v>66</v>
      </c>
      <c r="W2282">
        <v>12.1</v>
      </c>
    </row>
    <row r="2283" spans="1:23" x14ac:dyDescent="0.25">
      <c r="A2283">
        <v>7</v>
      </c>
      <c r="B2283" t="s">
        <v>49</v>
      </c>
      <c r="C2283" s="1">
        <v>45159</v>
      </c>
      <c r="D2283" t="s">
        <v>71</v>
      </c>
      <c r="E2283">
        <v>0</v>
      </c>
      <c r="F2283">
        <v>35</v>
      </c>
      <c r="G2283" t="str">
        <f t="shared" si="43"/>
        <v>21-40</v>
      </c>
      <c r="H2283" t="s">
        <v>35</v>
      </c>
      <c r="I2283" t="s">
        <v>27</v>
      </c>
      <c r="J2283" t="s">
        <v>28</v>
      </c>
      <c r="K2283" t="s">
        <v>29</v>
      </c>
      <c r="L2283">
        <v>1</v>
      </c>
      <c r="M2283">
        <v>1</v>
      </c>
      <c r="N2283">
        <v>2.9</v>
      </c>
      <c r="O2283">
        <v>8.3000000000000007</v>
      </c>
      <c r="P2283">
        <v>3</v>
      </c>
      <c r="Q2283">
        <v>5</v>
      </c>
      <c r="R2283">
        <v>658943</v>
      </c>
      <c r="S2283">
        <f>Table1[[#This Row],[Revenue]]-Table1[[#This Row],[Operating_Costs]]</f>
        <v>129834</v>
      </c>
      <c r="T2283">
        <v>529109</v>
      </c>
      <c r="U2283">
        <v>51</v>
      </c>
      <c r="V2283">
        <v>58</v>
      </c>
      <c r="W2283">
        <v>5.2</v>
      </c>
    </row>
    <row r="2284" spans="1:23" x14ac:dyDescent="0.25">
      <c r="A2284">
        <v>7</v>
      </c>
      <c r="B2284" t="s">
        <v>49</v>
      </c>
      <c r="C2284" s="1">
        <v>45496</v>
      </c>
      <c r="D2284" t="s">
        <v>71</v>
      </c>
      <c r="E2284">
        <v>0</v>
      </c>
      <c r="F2284">
        <v>39</v>
      </c>
      <c r="G2284" t="str">
        <f t="shared" si="43"/>
        <v>21-40</v>
      </c>
      <c r="H2284" t="s">
        <v>23</v>
      </c>
      <c r="I2284" t="s">
        <v>55</v>
      </c>
      <c r="J2284" t="s">
        <v>56</v>
      </c>
      <c r="K2284" t="s">
        <v>29</v>
      </c>
      <c r="L2284">
        <v>1</v>
      </c>
      <c r="M2284">
        <v>1</v>
      </c>
      <c r="N2284">
        <v>4.7</v>
      </c>
      <c r="O2284">
        <v>9.5</v>
      </c>
      <c r="P2284">
        <v>6</v>
      </c>
      <c r="Q2284">
        <v>3</v>
      </c>
      <c r="R2284">
        <v>718139</v>
      </c>
      <c r="S2284">
        <f>Table1[[#This Row],[Revenue]]-Table1[[#This Row],[Operating_Costs]]</f>
        <v>185471</v>
      </c>
      <c r="T2284">
        <v>532668</v>
      </c>
      <c r="U2284">
        <v>49</v>
      </c>
      <c r="V2284">
        <v>54</v>
      </c>
      <c r="W2284">
        <v>14.5</v>
      </c>
    </row>
    <row r="2285" spans="1:23" x14ac:dyDescent="0.25">
      <c r="A2285">
        <v>7</v>
      </c>
      <c r="B2285" t="s">
        <v>49</v>
      </c>
      <c r="C2285" s="1">
        <v>45340</v>
      </c>
      <c r="D2285" t="s">
        <v>71</v>
      </c>
      <c r="E2285">
        <v>0</v>
      </c>
      <c r="F2285">
        <v>49</v>
      </c>
      <c r="G2285" t="str">
        <f t="shared" si="43"/>
        <v>41-60</v>
      </c>
      <c r="H2285" t="s">
        <v>23</v>
      </c>
      <c r="I2285" t="s">
        <v>43</v>
      </c>
      <c r="J2285" t="s">
        <v>25</v>
      </c>
      <c r="K2285" t="s">
        <v>29</v>
      </c>
      <c r="L2285">
        <v>1</v>
      </c>
      <c r="M2285">
        <v>1</v>
      </c>
      <c r="N2285">
        <v>1.2</v>
      </c>
      <c r="O2285">
        <v>8.6999999999999993</v>
      </c>
      <c r="P2285">
        <v>7</v>
      </c>
      <c r="Q2285">
        <v>4</v>
      </c>
      <c r="R2285">
        <v>619614</v>
      </c>
      <c r="S2285">
        <f>Table1[[#This Row],[Revenue]]-Table1[[#This Row],[Operating_Costs]]</f>
        <v>31902</v>
      </c>
      <c r="T2285">
        <v>587712</v>
      </c>
      <c r="U2285">
        <v>41</v>
      </c>
      <c r="V2285">
        <v>63</v>
      </c>
      <c r="W2285">
        <v>36.200000000000003</v>
      </c>
    </row>
    <row r="2286" spans="1:23" x14ac:dyDescent="0.25">
      <c r="A2286">
        <v>7</v>
      </c>
      <c r="B2286" t="s">
        <v>49</v>
      </c>
      <c r="C2286" s="1">
        <v>44473</v>
      </c>
      <c r="D2286" t="s">
        <v>71</v>
      </c>
      <c r="E2286">
        <v>0</v>
      </c>
      <c r="F2286">
        <v>89</v>
      </c>
      <c r="G2286" t="str">
        <f t="shared" si="43"/>
        <v>81+</v>
      </c>
      <c r="H2286" t="s">
        <v>23</v>
      </c>
      <c r="I2286" t="s">
        <v>24</v>
      </c>
      <c r="J2286" t="s">
        <v>25</v>
      </c>
      <c r="K2286" t="s">
        <v>42</v>
      </c>
      <c r="L2286">
        <v>1</v>
      </c>
      <c r="M2286">
        <v>1</v>
      </c>
      <c r="N2286">
        <v>6.6</v>
      </c>
      <c r="O2286">
        <v>8.1999999999999993</v>
      </c>
      <c r="P2286">
        <v>5</v>
      </c>
      <c r="Q2286">
        <v>6</v>
      </c>
      <c r="R2286">
        <v>887165</v>
      </c>
      <c r="S2286">
        <f>Table1[[#This Row],[Revenue]]-Table1[[#This Row],[Operating_Costs]]</f>
        <v>377511</v>
      </c>
      <c r="T2286">
        <v>509654</v>
      </c>
      <c r="U2286">
        <v>47</v>
      </c>
      <c r="V2286">
        <v>55</v>
      </c>
      <c r="W2286">
        <v>9.1999999999999993</v>
      </c>
    </row>
    <row r="2287" spans="1:23" x14ac:dyDescent="0.25">
      <c r="A2287">
        <v>7</v>
      </c>
      <c r="B2287" t="s">
        <v>49</v>
      </c>
      <c r="C2287" s="1">
        <v>45474</v>
      </c>
      <c r="D2287" t="s">
        <v>71</v>
      </c>
      <c r="E2287">
        <v>0</v>
      </c>
      <c r="F2287">
        <v>85</v>
      </c>
      <c r="G2287" t="str">
        <f t="shared" si="43"/>
        <v>81+</v>
      </c>
      <c r="H2287" t="s">
        <v>23</v>
      </c>
      <c r="I2287" t="s">
        <v>43</v>
      </c>
      <c r="J2287" t="s">
        <v>25</v>
      </c>
      <c r="K2287" t="s">
        <v>26</v>
      </c>
      <c r="L2287">
        <v>1</v>
      </c>
      <c r="M2287">
        <v>1</v>
      </c>
      <c r="N2287">
        <v>5.7</v>
      </c>
      <c r="O2287">
        <v>7.3</v>
      </c>
      <c r="P2287">
        <v>7</v>
      </c>
      <c r="Q2287">
        <v>4</v>
      </c>
      <c r="R2287">
        <v>637649</v>
      </c>
      <c r="S2287">
        <f>Table1[[#This Row],[Revenue]]-Table1[[#This Row],[Operating_Costs]]</f>
        <v>43914</v>
      </c>
      <c r="T2287">
        <v>593735</v>
      </c>
      <c r="U2287">
        <v>49</v>
      </c>
      <c r="V2287">
        <v>62</v>
      </c>
      <c r="W2287">
        <v>8</v>
      </c>
    </row>
    <row r="2288" spans="1:23" x14ac:dyDescent="0.25">
      <c r="A2288">
        <v>7</v>
      </c>
      <c r="B2288" t="s">
        <v>49</v>
      </c>
      <c r="C2288" s="1">
        <v>44299</v>
      </c>
      <c r="D2288" t="s">
        <v>71</v>
      </c>
      <c r="E2288">
        <v>0</v>
      </c>
      <c r="F2288">
        <v>87</v>
      </c>
      <c r="G2288" t="str">
        <f t="shared" si="43"/>
        <v>81+</v>
      </c>
      <c r="H2288" t="s">
        <v>35</v>
      </c>
      <c r="I2288" t="s">
        <v>64</v>
      </c>
      <c r="J2288" t="s">
        <v>65</v>
      </c>
      <c r="K2288" t="s">
        <v>38</v>
      </c>
      <c r="L2288">
        <v>1</v>
      </c>
      <c r="M2288">
        <v>1</v>
      </c>
      <c r="N2288">
        <v>2.2000000000000002</v>
      </c>
      <c r="O2288">
        <v>9.5</v>
      </c>
      <c r="P2288">
        <v>3</v>
      </c>
      <c r="Q2288">
        <v>3</v>
      </c>
      <c r="R2288">
        <v>715486</v>
      </c>
      <c r="S2288">
        <f>Table1[[#This Row],[Revenue]]-Table1[[#This Row],[Operating_Costs]]</f>
        <v>205104</v>
      </c>
      <c r="T2288">
        <v>510382</v>
      </c>
      <c r="U2288">
        <v>42</v>
      </c>
      <c r="V2288">
        <v>62</v>
      </c>
      <c r="W2288">
        <v>6.7</v>
      </c>
    </row>
    <row r="2289" spans="1:23" x14ac:dyDescent="0.25">
      <c r="A2289">
        <v>7</v>
      </c>
      <c r="B2289" t="s">
        <v>49</v>
      </c>
      <c r="C2289" s="1">
        <v>45194</v>
      </c>
      <c r="D2289" t="s">
        <v>71</v>
      </c>
      <c r="E2289">
        <v>0</v>
      </c>
      <c r="F2289">
        <v>78</v>
      </c>
      <c r="G2289" t="str">
        <f t="shared" si="43"/>
        <v>61-80</v>
      </c>
      <c r="H2289" t="s">
        <v>23</v>
      </c>
      <c r="I2289" t="s">
        <v>31</v>
      </c>
      <c r="J2289" t="s">
        <v>28</v>
      </c>
      <c r="K2289" t="s">
        <v>33</v>
      </c>
      <c r="L2289">
        <v>1</v>
      </c>
      <c r="M2289">
        <v>1</v>
      </c>
      <c r="N2289">
        <v>6.5</v>
      </c>
      <c r="O2289">
        <v>7.5</v>
      </c>
      <c r="P2289">
        <v>7</v>
      </c>
      <c r="Q2289">
        <v>6</v>
      </c>
      <c r="R2289">
        <v>861347</v>
      </c>
      <c r="S2289">
        <f>Table1[[#This Row],[Revenue]]-Table1[[#This Row],[Operating_Costs]]</f>
        <v>303735</v>
      </c>
      <c r="T2289">
        <v>557612</v>
      </c>
      <c r="U2289">
        <v>53</v>
      </c>
      <c r="V2289">
        <v>59</v>
      </c>
      <c r="W2289">
        <v>6.3</v>
      </c>
    </row>
    <row r="2290" spans="1:23" x14ac:dyDescent="0.25">
      <c r="A2290">
        <v>7</v>
      </c>
      <c r="B2290" t="s">
        <v>49</v>
      </c>
      <c r="C2290" s="1">
        <v>44424</v>
      </c>
      <c r="D2290" t="s">
        <v>71</v>
      </c>
      <c r="E2290">
        <v>0</v>
      </c>
      <c r="F2290">
        <v>39</v>
      </c>
      <c r="G2290" t="str">
        <f t="shared" si="43"/>
        <v>21-40</v>
      </c>
      <c r="H2290" t="s">
        <v>23</v>
      </c>
      <c r="I2290" t="s">
        <v>55</v>
      </c>
      <c r="J2290" t="s">
        <v>56</v>
      </c>
      <c r="K2290" t="s">
        <v>38</v>
      </c>
      <c r="L2290">
        <v>1</v>
      </c>
      <c r="M2290">
        <v>1</v>
      </c>
      <c r="N2290">
        <v>6.2</v>
      </c>
      <c r="O2290">
        <v>10</v>
      </c>
      <c r="P2290">
        <v>4</v>
      </c>
      <c r="Q2290">
        <v>7</v>
      </c>
      <c r="R2290">
        <v>791670</v>
      </c>
      <c r="S2290">
        <f>Table1[[#This Row],[Revenue]]-Table1[[#This Row],[Operating_Costs]]</f>
        <v>208291</v>
      </c>
      <c r="T2290">
        <v>583379</v>
      </c>
      <c r="U2290">
        <v>48</v>
      </c>
      <c r="V2290">
        <v>58</v>
      </c>
      <c r="W2290">
        <v>7</v>
      </c>
    </row>
    <row r="2291" spans="1:23" x14ac:dyDescent="0.25">
      <c r="A2291">
        <v>7</v>
      </c>
      <c r="B2291" t="s">
        <v>49</v>
      </c>
      <c r="C2291" s="1">
        <v>45542</v>
      </c>
      <c r="D2291" t="s">
        <v>71</v>
      </c>
      <c r="E2291">
        <v>0</v>
      </c>
      <c r="F2291">
        <v>87</v>
      </c>
      <c r="G2291" t="str">
        <f t="shared" si="43"/>
        <v>81+</v>
      </c>
      <c r="H2291" t="s">
        <v>35</v>
      </c>
      <c r="I2291" t="s">
        <v>46</v>
      </c>
      <c r="J2291" t="s">
        <v>47</v>
      </c>
      <c r="K2291" t="s">
        <v>38</v>
      </c>
      <c r="L2291">
        <v>1</v>
      </c>
      <c r="M2291">
        <v>1</v>
      </c>
      <c r="N2291">
        <v>1.6</v>
      </c>
      <c r="O2291">
        <v>7.7</v>
      </c>
      <c r="P2291">
        <v>7</v>
      </c>
      <c r="Q2291">
        <v>5</v>
      </c>
      <c r="R2291">
        <v>627856</v>
      </c>
      <c r="S2291">
        <f>Table1[[#This Row],[Revenue]]-Table1[[#This Row],[Operating_Costs]]</f>
        <v>121598</v>
      </c>
      <c r="T2291">
        <v>506258</v>
      </c>
      <c r="U2291">
        <v>54</v>
      </c>
      <c r="V2291">
        <v>59</v>
      </c>
      <c r="W2291">
        <v>7.8</v>
      </c>
    </row>
    <row r="2292" spans="1:23" x14ac:dyDescent="0.25">
      <c r="A2292">
        <v>7</v>
      </c>
      <c r="B2292" t="s">
        <v>49</v>
      </c>
      <c r="C2292" s="1">
        <v>44959</v>
      </c>
      <c r="D2292" t="s">
        <v>71</v>
      </c>
      <c r="E2292">
        <v>0</v>
      </c>
      <c r="F2292">
        <v>46</v>
      </c>
      <c r="G2292" t="str">
        <f t="shared" si="43"/>
        <v>41-60</v>
      </c>
      <c r="H2292" t="s">
        <v>35</v>
      </c>
      <c r="I2292" t="s">
        <v>61</v>
      </c>
      <c r="J2292" t="s">
        <v>62</v>
      </c>
      <c r="K2292" t="s">
        <v>33</v>
      </c>
      <c r="L2292">
        <v>1</v>
      </c>
      <c r="M2292">
        <v>1</v>
      </c>
      <c r="N2292">
        <v>5.6</v>
      </c>
      <c r="O2292">
        <v>9.6</v>
      </c>
      <c r="P2292">
        <v>7</v>
      </c>
      <c r="Q2292">
        <v>5</v>
      </c>
      <c r="R2292">
        <v>750738</v>
      </c>
      <c r="S2292">
        <f>Table1[[#This Row],[Revenue]]-Table1[[#This Row],[Operating_Costs]]</f>
        <v>232265</v>
      </c>
      <c r="T2292">
        <v>518473</v>
      </c>
      <c r="U2292">
        <v>54</v>
      </c>
      <c r="V2292">
        <v>60</v>
      </c>
      <c r="W2292">
        <v>8.3000000000000007</v>
      </c>
    </row>
    <row r="2293" spans="1:23" x14ac:dyDescent="0.25">
      <c r="A2293">
        <v>7</v>
      </c>
      <c r="B2293" t="s">
        <v>49</v>
      </c>
      <c r="C2293" s="1">
        <v>44300</v>
      </c>
      <c r="D2293" t="s">
        <v>71</v>
      </c>
      <c r="E2293">
        <v>0</v>
      </c>
      <c r="F2293">
        <v>46</v>
      </c>
      <c r="G2293" t="str">
        <f t="shared" si="43"/>
        <v>41-60</v>
      </c>
      <c r="H2293" t="s">
        <v>23</v>
      </c>
      <c r="I2293" t="s">
        <v>61</v>
      </c>
      <c r="J2293" t="s">
        <v>62</v>
      </c>
      <c r="K2293" t="s">
        <v>42</v>
      </c>
      <c r="L2293">
        <v>1</v>
      </c>
      <c r="M2293">
        <v>1</v>
      </c>
      <c r="N2293">
        <v>5.3</v>
      </c>
      <c r="O2293">
        <v>7.1</v>
      </c>
      <c r="P2293">
        <v>6</v>
      </c>
      <c r="Q2293">
        <v>6</v>
      </c>
      <c r="R2293">
        <v>702935</v>
      </c>
      <c r="S2293">
        <f>Table1[[#This Row],[Revenue]]-Table1[[#This Row],[Operating_Costs]]</f>
        <v>169968</v>
      </c>
      <c r="T2293">
        <v>532967</v>
      </c>
      <c r="U2293">
        <v>45</v>
      </c>
      <c r="V2293">
        <v>55</v>
      </c>
      <c r="W2293">
        <v>12.1</v>
      </c>
    </row>
    <row r="2294" spans="1:23" x14ac:dyDescent="0.25">
      <c r="A2294">
        <v>7</v>
      </c>
      <c r="B2294" t="s">
        <v>49</v>
      </c>
      <c r="C2294" s="1">
        <v>44560</v>
      </c>
      <c r="D2294" t="s">
        <v>71</v>
      </c>
      <c r="E2294">
        <v>0</v>
      </c>
      <c r="F2294">
        <v>47</v>
      </c>
      <c r="G2294" t="str">
        <f t="shared" si="43"/>
        <v>41-60</v>
      </c>
      <c r="H2294" t="s">
        <v>23</v>
      </c>
      <c r="I2294" t="s">
        <v>61</v>
      </c>
      <c r="J2294" t="s">
        <v>62</v>
      </c>
      <c r="K2294" t="s">
        <v>42</v>
      </c>
      <c r="L2294">
        <v>1</v>
      </c>
      <c r="M2294">
        <v>1</v>
      </c>
      <c r="N2294">
        <v>2.2999999999999998</v>
      </c>
      <c r="O2294">
        <v>7.9</v>
      </c>
      <c r="P2294">
        <v>5</v>
      </c>
      <c r="Q2294">
        <v>3</v>
      </c>
      <c r="R2294">
        <v>706471</v>
      </c>
      <c r="S2294">
        <f>Table1[[#This Row],[Revenue]]-Table1[[#This Row],[Operating_Costs]]</f>
        <v>109401</v>
      </c>
      <c r="T2294">
        <v>597070</v>
      </c>
      <c r="U2294">
        <v>51</v>
      </c>
      <c r="V2294">
        <v>55</v>
      </c>
      <c r="W2294">
        <v>8.4</v>
      </c>
    </row>
    <row r="2295" spans="1:23" x14ac:dyDescent="0.25">
      <c r="A2295">
        <v>7</v>
      </c>
      <c r="B2295" t="s">
        <v>49</v>
      </c>
      <c r="C2295" s="1">
        <v>44379</v>
      </c>
      <c r="D2295" t="s">
        <v>71</v>
      </c>
      <c r="E2295">
        <v>0</v>
      </c>
      <c r="F2295">
        <v>44</v>
      </c>
      <c r="G2295" t="str">
        <f t="shared" si="43"/>
        <v>41-60</v>
      </c>
      <c r="H2295" t="s">
        <v>23</v>
      </c>
      <c r="I2295" t="s">
        <v>50</v>
      </c>
      <c r="J2295" t="s">
        <v>51</v>
      </c>
      <c r="K2295" t="s">
        <v>42</v>
      </c>
      <c r="L2295">
        <v>1</v>
      </c>
      <c r="M2295">
        <v>1</v>
      </c>
      <c r="N2295">
        <v>5.2</v>
      </c>
      <c r="O2295">
        <v>7.5</v>
      </c>
      <c r="P2295">
        <v>7</v>
      </c>
      <c r="Q2295">
        <v>4</v>
      </c>
      <c r="R2295">
        <v>807485</v>
      </c>
      <c r="S2295">
        <f>Table1[[#This Row],[Revenue]]-Table1[[#This Row],[Operating_Costs]]</f>
        <v>298399</v>
      </c>
      <c r="T2295">
        <v>509086</v>
      </c>
      <c r="U2295">
        <v>47</v>
      </c>
      <c r="V2295">
        <v>56</v>
      </c>
      <c r="W2295">
        <v>12.1</v>
      </c>
    </row>
    <row r="2296" spans="1:23" x14ac:dyDescent="0.25">
      <c r="A2296">
        <v>7</v>
      </c>
      <c r="B2296" t="s">
        <v>49</v>
      </c>
      <c r="C2296" s="1">
        <v>45650</v>
      </c>
      <c r="D2296" t="s">
        <v>71</v>
      </c>
      <c r="E2296">
        <v>0</v>
      </c>
      <c r="F2296">
        <v>37</v>
      </c>
      <c r="G2296" t="str">
        <f t="shared" si="43"/>
        <v>21-40</v>
      </c>
      <c r="H2296" t="s">
        <v>35</v>
      </c>
      <c r="I2296" t="s">
        <v>36</v>
      </c>
      <c r="J2296" t="s">
        <v>37</v>
      </c>
      <c r="K2296" t="s">
        <v>42</v>
      </c>
      <c r="L2296">
        <v>1</v>
      </c>
      <c r="M2296">
        <v>1</v>
      </c>
      <c r="N2296">
        <v>2.4</v>
      </c>
      <c r="O2296">
        <v>8.1999999999999993</v>
      </c>
      <c r="P2296">
        <v>5</v>
      </c>
      <c r="Q2296">
        <v>5</v>
      </c>
      <c r="R2296">
        <v>883408</v>
      </c>
      <c r="S2296">
        <f>Table1[[#This Row],[Revenue]]-Table1[[#This Row],[Operating_Costs]]</f>
        <v>341764</v>
      </c>
      <c r="T2296">
        <v>541644</v>
      </c>
      <c r="U2296">
        <v>58</v>
      </c>
      <c r="V2296">
        <v>54</v>
      </c>
      <c r="W2296">
        <v>12.6</v>
      </c>
    </row>
    <row r="2297" spans="1:23" x14ac:dyDescent="0.25">
      <c r="A2297">
        <v>7</v>
      </c>
      <c r="B2297" t="s">
        <v>49</v>
      </c>
      <c r="C2297" s="1">
        <v>45566</v>
      </c>
      <c r="D2297" t="s">
        <v>71</v>
      </c>
      <c r="E2297">
        <v>0</v>
      </c>
      <c r="F2297">
        <v>35</v>
      </c>
      <c r="G2297" t="str">
        <f t="shared" si="43"/>
        <v>21-40</v>
      </c>
      <c r="H2297" t="s">
        <v>23</v>
      </c>
      <c r="I2297" t="s">
        <v>61</v>
      </c>
      <c r="J2297" t="s">
        <v>62</v>
      </c>
      <c r="K2297" t="s">
        <v>26</v>
      </c>
      <c r="L2297">
        <v>1</v>
      </c>
      <c r="M2297">
        <v>1</v>
      </c>
      <c r="N2297">
        <v>3.7</v>
      </c>
      <c r="O2297">
        <v>7.4</v>
      </c>
      <c r="P2297">
        <v>6</v>
      </c>
      <c r="Q2297">
        <v>4</v>
      </c>
      <c r="R2297">
        <v>605515</v>
      </c>
      <c r="S2297">
        <f>Table1[[#This Row],[Revenue]]-Table1[[#This Row],[Operating_Costs]]</f>
        <v>49569</v>
      </c>
      <c r="T2297">
        <v>555946</v>
      </c>
      <c r="U2297">
        <v>50</v>
      </c>
      <c r="V2297">
        <v>59</v>
      </c>
      <c r="W2297">
        <v>5.4</v>
      </c>
    </row>
    <row r="2298" spans="1:23" x14ac:dyDescent="0.25">
      <c r="A2298">
        <v>7</v>
      </c>
      <c r="B2298" t="s">
        <v>49</v>
      </c>
      <c r="C2298" s="1">
        <v>44980</v>
      </c>
      <c r="D2298" t="s">
        <v>71</v>
      </c>
      <c r="E2298">
        <v>0</v>
      </c>
      <c r="F2298">
        <v>78</v>
      </c>
      <c r="G2298" t="str">
        <f t="shared" si="43"/>
        <v>61-80</v>
      </c>
      <c r="H2298" t="s">
        <v>35</v>
      </c>
      <c r="I2298" t="s">
        <v>40</v>
      </c>
      <c r="J2298" t="s">
        <v>41</v>
      </c>
      <c r="K2298" t="s">
        <v>42</v>
      </c>
      <c r="L2298">
        <v>1</v>
      </c>
      <c r="M2298">
        <v>1</v>
      </c>
      <c r="N2298">
        <v>4.5999999999999996</v>
      </c>
      <c r="O2298">
        <v>7.2</v>
      </c>
      <c r="P2298">
        <v>4</v>
      </c>
      <c r="Q2298">
        <v>4</v>
      </c>
      <c r="R2298">
        <v>891709</v>
      </c>
      <c r="S2298">
        <f>Table1[[#This Row],[Revenue]]-Table1[[#This Row],[Operating_Costs]]</f>
        <v>323447</v>
      </c>
      <c r="T2298">
        <v>568262</v>
      </c>
      <c r="U2298">
        <v>58</v>
      </c>
      <c r="V2298">
        <v>64</v>
      </c>
      <c r="W2298">
        <v>14.2</v>
      </c>
    </row>
    <row r="2299" spans="1:23" x14ac:dyDescent="0.25">
      <c r="A2299">
        <v>7</v>
      </c>
      <c r="B2299" t="s">
        <v>49</v>
      </c>
      <c r="C2299" s="1">
        <v>45056</v>
      </c>
      <c r="D2299" t="s">
        <v>71</v>
      </c>
      <c r="E2299">
        <v>0</v>
      </c>
      <c r="F2299">
        <v>40</v>
      </c>
      <c r="G2299" t="str">
        <f t="shared" si="43"/>
        <v>21-40</v>
      </c>
      <c r="H2299" t="s">
        <v>35</v>
      </c>
      <c r="I2299" t="s">
        <v>46</v>
      </c>
      <c r="J2299" t="s">
        <v>47</v>
      </c>
      <c r="K2299" t="s">
        <v>33</v>
      </c>
      <c r="L2299">
        <v>1</v>
      </c>
      <c r="M2299">
        <v>1</v>
      </c>
      <c r="N2299">
        <v>5</v>
      </c>
      <c r="O2299">
        <v>8.6</v>
      </c>
      <c r="P2299">
        <v>3</v>
      </c>
      <c r="Q2299">
        <v>7</v>
      </c>
      <c r="R2299">
        <v>603608</v>
      </c>
      <c r="S2299">
        <f>Table1[[#This Row],[Revenue]]-Table1[[#This Row],[Operating_Costs]]</f>
        <v>43993</v>
      </c>
      <c r="T2299">
        <v>559615</v>
      </c>
      <c r="U2299">
        <v>51</v>
      </c>
      <c r="V2299">
        <v>57</v>
      </c>
      <c r="W2299">
        <v>13.5</v>
      </c>
    </row>
    <row r="2300" spans="1:23" x14ac:dyDescent="0.25">
      <c r="A2300">
        <v>7</v>
      </c>
      <c r="B2300" t="s">
        <v>49</v>
      </c>
      <c r="C2300" s="1">
        <v>44782</v>
      </c>
      <c r="D2300" t="s">
        <v>71</v>
      </c>
      <c r="E2300">
        <v>0</v>
      </c>
      <c r="F2300">
        <v>40</v>
      </c>
      <c r="G2300" t="str">
        <f t="shared" si="43"/>
        <v>21-40</v>
      </c>
      <c r="H2300" t="s">
        <v>23</v>
      </c>
      <c r="I2300" t="s">
        <v>24</v>
      </c>
      <c r="J2300" t="s">
        <v>25</v>
      </c>
      <c r="K2300" t="s">
        <v>29</v>
      </c>
      <c r="L2300">
        <v>1</v>
      </c>
      <c r="M2300">
        <v>1</v>
      </c>
      <c r="N2300">
        <v>2.7</v>
      </c>
      <c r="O2300">
        <v>8.8000000000000007</v>
      </c>
      <c r="P2300">
        <v>6</v>
      </c>
      <c r="Q2300">
        <v>4</v>
      </c>
      <c r="R2300">
        <v>820959</v>
      </c>
      <c r="S2300">
        <f>Table1[[#This Row],[Revenue]]-Table1[[#This Row],[Operating_Costs]]</f>
        <v>286171</v>
      </c>
      <c r="T2300">
        <v>534788</v>
      </c>
      <c r="U2300">
        <v>56</v>
      </c>
      <c r="V2300">
        <v>63</v>
      </c>
      <c r="W2300">
        <v>9.3000000000000007</v>
      </c>
    </row>
    <row r="2301" spans="1:23" x14ac:dyDescent="0.25">
      <c r="A2301">
        <v>7</v>
      </c>
      <c r="B2301" t="s">
        <v>49</v>
      </c>
      <c r="C2301" s="1">
        <v>45301</v>
      </c>
      <c r="D2301" t="s">
        <v>71</v>
      </c>
      <c r="E2301">
        <v>0</v>
      </c>
      <c r="F2301">
        <v>45</v>
      </c>
      <c r="G2301" t="str">
        <f t="shared" si="43"/>
        <v>41-60</v>
      </c>
      <c r="H2301" t="s">
        <v>35</v>
      </c>
      <c r="I2301" t="s">
        <v>36</v>
      </c>
      <c r="J2301" t="s">
        <v>37</v>
      </c>
      <c r="K2301" t="s">
        <v>42</v>
      </c>
      <c r="L2301">
        <v>1</v>
      </c>
      <c r="M2301">
        <v>1</v>
      </c>
      <c r="N2301">
        <v>3.6</v>
      </c>
      <c r="O2301">
        <v>9.4</v>
      </c>
      <c r="P2301">
        <v>7</v>
      </c>
      <c r="Q2301">
        <v>5</v>
      </c>
      <c r="R2301">
        <v>763706</v>
      </c>
      <c r="S2301">
        <f>Table1[[#This Row],[Revenue]]-Table1[[#This Row],[Operating_Costs]]</f>
        <v>190984</v>
      </c>
      <c r="T2301">
        <v>572722</v>
      </c>
      <c r="U2301">
        <v>48</v>
      </c>
      <c r="V2301">
        <v>59</v>
      </c>
      <c r="W2301">
        <v>14.1</v>
      </c>
    </row>
    <row r="2302" spans="1:23" x14ac:dyDescent="0.25">
      <c r="A2302">
        <v>7</v>
      </c>
      <c r="B2302" t="s">
        <v>49</v>
      </c>
      <c r="C2302" s="1">
        <v>44965</v>
      </c>
      <c r="D2302" t="s">
        <v>71</v>
      </c>
      <c r="E2302">
        <v>0</v>
      </c>
      <c r="F2302">
        <v>47</v>
      </c>
      <c r="G2302" t="str">
        <f t="shared" si="43"/>
        <v>41-60</v>
      </c>
      <c r="H2302" t="s">
        <v>35</v>
      </c>
      <c r="I2302" t="s">
        <v>58</v>
      </c>
      <c r="J2302" t="s">
        <v>59</v>
      </c>
      <c r="K2302" t="s">
        <v>33</v>
      </c>
      <c r="L2302">
        <v>1</v>
      </c>
      <c r="M2302">
        <v>1</v>
      </c>
      <c r="N2302">
        <v>1.8</v>
      </c>
      <c r="O2302">
        <v>7.2</v>
      </c>
      <c r="P2302">
        <v>7</v>
      </c>
      <c r="Q2302">
        <v>3</v>
      </c>
      <c r="R2302">
        <v>632922</v>
      </c>
      <c r="S2302">
        <f>Table1[[#This Row],[Revenue]]-Table1[[#This Row],[Operating_Costs]]</f>
        <v>116827</v>
      </c>
      <c r="T2302">
        <v>516095</v>
      </c>
      <c r="U2302">
        <v>48</v>
      </c>
      <c r="V2302">
        <v>61</v>
      </c>
      <c r="W2302">
        <v>7.5</v>
      </c>
    </row>
    <row r="2303" spans="1:23" x14ac:dyDescent="0.25">
      <c r="A2303">
        <v>7</v>
      </c>
      <c r="B2303" t="s">
        <v>49</v>
      </c>
      <c r="C2303" s="1">
        <v>44852</v>
      </c>
      <c r="D2303" t="s">
        <v>71</v>
      </c>
      <c r="E2303">
        <v>0</v>
      </c>
      <c r="F2303">
        <v>37</v>
      </c>
      <c r="G2303" t="str">
        <f t="shared" si="43"/>
        <v>21-40</v>
      </c>
      <c r="H2303" t="s">
        <v>23</v>
      </c>
      <c r="I2303" t="s">
        <v>31</v>
      </c>
      <c r="J2303" t="s">
        <v>28</v>
      </c>
      <c r="K2303" t="s">
        <v>26</v>
      </c>
      <c r="L2303">
        <v>1</v>
      </c>
      <c r="M2303">
        <v>1</v>
      </c>
      <c r="N2303">
        <v>3.8</v>
      </c>
      <c r="O2303">
        <v>7.1</v>
      </c>
      <c r="P2303">
        <v>3</v>
      </c>
      <c r="Q2303">
        <v>7</v>
      </c>
      <c r="R2303">
        <v>733739</v>
      </c>
      <c r="S2303">
        <f>Table1[[#This Row],[Revenue]]-Table1[[#This Row],[Operating_Costs]]</f>
        <v>229906</v>
      </c>
      <c r="T2303">
        <v>503833</v>
      </c>
      <c r="U2303">
        <v>52</v>
      </c>
      <c r="V2303">
        <v>54</v>
      </c>
      <c r="W2303">
        <v>36.700000000000003</v>
      </c>
    </row>
    <row r="2304" spans="1:23" x14ac:dyDescent="0.25">
      <c r="A2304">
        <v>7</v>
      </c>
      <c r="B2304" t="s">
        <v>49</v>
      </c>
      <c r="C2304" s="1">
        <v>45507</v>
      </c>
      <c r="D2304" t="s">
        <v>71</v>
      </c>
      <c r="E2304">
        <v>0</v>
      </c>
      <c r="F2304">
        <v>89</v>
      </c>
      <c r="G2304" t="str">
        <f t="shared" si="43"/>
        <v>81+</v>
      </c>
      <c r="H2304" t="s">
        <v>35</v>
      </c>
      <c r="I2304" t="s">
        <v>36</v>
      </c>
      <c r="J2304" t="s">
        <v>37</v>
      </c>
      <c r="K2304" t="s">
        <v>33</v>
      </c>
      <c r="L2304">
        <v>1</v>
      </c>
      <c r="M2304">
        <v>1</v>
      </c>
      <c r="N2304">
        <v>7</v>
      </c>
      <c r="O2304">
        <v>8.4</v>
      </c>
      <c r="P2304">
        <v>3</v>
      </c>
      <c r="Q2304">
        <v>7</v>
      </c>
      <c r="R2304">
        <v>816178</v>
      </c>
      <c r="S2304">
        <f>Table1[[#This Row],[Revenue]]-Table1[[#This Row],[Operating_Costs]]</f>
        <v>232043</v>
      </c>
      <c r="T2304">
        <v>584135</v>
      </c>
      <c r="U2304">
        <v>42</v>
      </c>
      <c r="V2304">
        <v>54</v>
      </c>
      <c r="W2304">
        <v>14.4</v>
      </c>
    </row>
    <row r="2305" spans="1:23" x14ac:dyDescent="0.25">
      <c r="A2305">
        <v>7</v>
      </c>
      <c r="B2305" t="s">
        <v>49</v>
      </c>
      <c r="C2305" s="1">
        <v>44859</v>
      </c>
      <c r="D2305" t="s">
        <v>71</v>
      </c>
      <c r="E2305">
        <v>0</v>
      </c>
      <c r="F2305">
        <v>39</v>
      </c>
      <c r="G2305" t="str">
        <f t="shared" si="43"/>
        <v>21-40</v>
      </c>
      <c r="H2305" t="s">
        <v>35</v>
      </c>
      <c r="I2305" t="s">
        <v>53</v>
      </c>
      <c r="J2305" t="s">
        <v>54</v>
      </c>
      <c r="K2305" t="s">
        <v>38</v>
      </c>
      <c r="L2305">
        <v>1</v>
      </c>
      <c r="M2305">
        <v>1</v>
      </c>
      <c r="N2305">
        <v>3.4</v>
      </c>
      <c r="O2305">
        <v>7.7</v>
      </c>
      <c r="P2305">
        <v>3</v>
      </c>
      <c r="Q2305">
        <v>3</v>
      </c>
      <c r="R2305">
        <v>879266</v>
      </c>
      <c r="S2305">
        <f>Table1[[#This Row],[Revenue]]-Table1[[#This Row],[Operating_Costs]]</f>
        <v>318363</v>
      </c>
      <c r="T2305">
        <v>560903</v>
      </c>
      <c r="U2305">
        <v>42</v>
      </c>
      <c r="V2305">
        <v>54</v>
      </c>
      <c r="W2305">
        <v>5.3</v>
      </c>
    </row>
    <row r="2306" spans="1:23" x14ac:dyDescent="0.25">
      <c r="A2306">
        <v>7</v>
      </c>
      <c r="B2306" t="s">
        <v>49</v>
      </c>
      <c r="C2306" s="1">
        <v>45243</v>
      </c>
      <c r="D2306" t="s">
        <v>71</v>
      </c>
      <c r="E2306">
        <v>0</v>
      </c>
      <c r="F2306">
        <v>78</v>
      </c>
      <c r="G2306" t="str">
        <f t="shared" si="43"/>
        <v>61-80</v>
      </c>
      <c r="H2306" t="s">
        <v>23</v>
      </c>
      <c r="I2306" t="s">
        <v>40</v>
      </c>
      <c r="J2306" t="s">
        <v>41</v>
      </c>
      <c r="K2306" t="s">
        <v>29</v>
      </c>
      <c r="L2306">
        <v>1</v>
      </c>
      <c r="M2306">
        <v>1</v>
      </c>
      <c r="N2306">
        <v>3.3</v>
      </c>
      <c r="O2306">
        <v>9.9</v>
      </c>
      <c r="P2306">
        <v>4</v>
      </c>
      <c r="Q2306">
        <v>3</v>
      </c>
      <c r="R2306">
        <v>864277</v>
      </c>
      <c r="S2306">
        <f>Table1[[#This Row],[Revenue]]-Table1[[#This Row],[Operating_Costs]]</f>
        <v>270492</v>
      </c>
      <c r="T2306">
        <v>593785</v>
      </c>
      <c r="U2306">
        <v>47</v>
      </c>
      <c r="V2306">
        <v>61</v>
      </c>
      <c r="W2306">
        <v>14.3</v>
      </c>
    </row>
    <row r="2307" spans="1:23" x14ac:dyDescent="0.25">
      <c r="A2307">
        <v>7</v>
      </c>
      <c r="B2307" t="s">
        <v>49</v>
      </c>
      <c r="C2307" s="1">
        <v>44389</v>
      </c>
      <c r="D2307" t="s">
        <v>71</v>
      </c>
      <c r="E2307">
        <v>0</v>
      </c>
      <c r="F2307">
        <v>43</v>
      </c>
      <c r="G2307" t="str">
        <f t="shared" ref="G2307:G2370" si="44">IF(F2307&lt;=20,"0-20",IF(F2307&lt;=40,"21-40",IF(F2307&lt;=60,"41-60",IF(F2307&lt;=80,"61-80","81+"))))</f>
        <v>41-60</v>
      </c>
      <c r="H2307" t="s">
        <v>35</v>
      </c>
      <c r="I2307" t="s">
        <v>40</v>
      </c>
      <c r="J2307" t="s">
        <v>41</v>
      </c>
      <c r="K2307" t="s">
        <v>42</v>
      </c>
      <c r="L2307">
        <v>1</v>
      </c>
      <c r="M2307">
        <v>1</v>
      </c>
      <c r="N2307">
        <v>4.9000000000000004</v>
      </c>
      <c r="O2307">
        <v>8.1999999999999993</v>
      </c>
      <c r="P2307">
        <v>3</v>
      </c>
      <c r="Q2307">
        <v>5</v>
      </c>
      <c r="R2307">
        <v>799095</v>
      </c>
      <c r="S2307">
        <f>Table1[[#This Row],[Revenue]]-Table1[[#This Row],[Operating_Costs]]</f>
        <v>242115</v>
      </c>
      <c r="T2307">
        <v>556980</v>
      </c>
      <c r="U2307">
        <v>57</v>
      </c>
      <c r="V2307">
        <v>64</v>
      </c>
      <c r="W2307">
        <v>5.5</v>
      </c>
    </row>
    <row r="2308" spans="1:23" x14ac:dyDescent="0.25">
      <c r="A2308">
        <v>7</v>
      </c>
      <c r="B2308" t="s">
        <v>49</v>
      </c>
      <c r="C2308" s="1">
        <v>44297</v>
      </c>
      <c r="D2308" t="s">
        <v>71</v>
      </c>
      <c r="E2308">
        <v>0</v>
      </c>
      <c r="F2308">
        <v>24</v>
      </c>
      <c r="G2308" t="str">
        <f t="shared" si="44"/>
        <v>21-40</v>
      </c>
      <c r="H2308" t="s">
        <v>23</v>
      </c>
      <c r="I2308" t="s">
        <v>64</v>
      </c>
      <c r="J2308" t="s">
        <v>65</v>
      </c>
      <c r="K2308" t="s">
        <v>29</v>
      </c>
      <c r="L2308">
        <v>1</v>
      </c>
      <c r="M2308">
        <v>1</v>
      </c>
      <c r="N2308">
        <v>5.2</v>
      </c>
      <c r="O2308">
        <v>7.4</v>
      </c>
      <c r="P2308">
        <v>4</v>
      </c>
      <c r="Q2308">
        <v>7</v>
      </c>
      <c r="R2308">
        <v>886650</v>
      </c>
      <c r="S2308">
        <f>Table1[[#This Row],[Revenue]]-Table1[[#This Row],[Operating_Costs]]</f>
        <v>309918</v>
      </c>
      <c r="T2308">
        <v>576732</v>
      </c>
      <c r="U2308">
        <v>45</v>
      </c>
      <c r="V2308">
        <v>59</v>
      </c>
      <c r="W2308">
        <v>7.9</v>
      </c>
    </row>
    <row r="2309" spans="1:23" x14ac:dyDescent="0.25">
      <c r="A2309">
        <v>7</v>
      </c>
      <c r="B2309" t="s">
        <v>49</v>
      </c>
      <c r="C2309" s="1">
        <v>44886</v>
      </c>
      <c r="D2309" t="s">
        <v>71</v>
      </c>
      <c r="E2309">
        <v>0</v>
      </c>
      <c r="F2309">
        <v>25</v>
      </c>
      <c r="G2309" t="str">
        <f t="shared" si="44"/>
        <v>21-40</v>
      </c>
      <c r="H2309" t="s">
        <v>35</v>
      </c>
      <c r="I2309" t="s">
        <v>50</v>
      </c>
      <c r="J2309" t="s">
        <v>51</v>
      </c>
      <c r="K2309" t="s">
        <v>42</v>
      </c>
      <c r="L2309">
        <v>1</v>
      </c>
      <c r="M2309">
        <v>1</v>
      </c>
      <c r="N2309">
        <v>1</v>
      </c>
      <c r="O2309">
        <v>8.6999999999999993</v>
      </c>
      <c r="P2309">
        <v>7</v>
      </c>
      <c r="Q2309">
        <v>6</v>
      </c>
      <c r="R2309">
        <v>659291</v>
      </c>
      <c r="S2309">
        <f>Table1[[#This Row],[Revenue]]-Table1[[#This Row],[Operating_Costs]]</f>
        <v>146940</v>
      </c>
      <c r="T2309">
        <v>512351</v>
      </c>
      <c r="U2309">
        <v>56</v>
      </c>
      <c r="V2309">
        <v>62</v>
      </c>
      <c r="W2309">
        <v>14.6</v>
      </c>
    </row>
    <row r="2310" spans="1:23" x14ac:dyDescent="0.25">
      <c r="A2310">
        <v>6</v>
      </c>
      <c r="B2310" t="s">
        <v>70</v>
      </c>
      <c r="C2310" s="1">
        <v>44872</v>
      </c>
      <c r="D2310" t="s">
        <v>71</v>
      </c>
      <c r="E2310">
        <v>0</v>
      </c>
      <c r="F2310">
        <v>77</v>
      </c>
      <c r="G2310" t="str">
        <f t="shared" si="44"/>
        <v>61-80</v>
      </c>
      <c r="H2310" t="s">
        <v>23</v>
      </c>
      <c r="I2310" t="s">
        <v>46</v>
      </c>
      <c r="J2310" t="s">
        <v>47</v>
      </c>
      <c r="K2310" t="s">
        <v>29</v>
      </c>
      <c r="L2310">
        <v>1</v>
      </c>
      <c r="M2310">
        <v>1</v>
      </c>
      <c r="N2310">
        <v>6.4</v>
      </c>
      <c r="O2310">
        <v>8.6999999999999993</v>
      </c>
      <c r="P2310">
        <v>7</v>
      </c>
      <c r="Q2310">
        <v>5</v>
      </c>
      <c r="R2310">
        <v>712201</v>
      </c>
      <c r="S2310">
        <f>Table1[[#This Row],[Revenue]]-Table1[[#This Row],[Operating_Costs]]</f>
        <v>168051</v>
      </c>
      <c r="T2310">
        <v>544150</v>
      </c>
      <c r="U2310">
        <v>20</v>
      </c>
      <c r="V2310">
        <v>63</v>
      </c>
      <c r="W2310">
        <v>10.4</v>
      </c>
    </row>
    <row r="2311" spans="1:23" x14ac:dyDescent="0.25">
      <c r="A2311">
        <v>7</v>
      </c>
      <c r="B2311" t="s">
        <v>49</v>
      </c>
      <c r="C2311" s="1">
        <v>45024</v>
      </c>
      <c r="D2311" t="s">
        <v>71</v>
      </c>
      <c r="E2311">
        <v>0</v>
      </c>
      <c r="F2311">
        <v>78</v>
      </c>
      <c r="G2311" t="str">
        <f t="shared" si="44"/>
        <v>61-80</v>
      </c>
      <c r="H2311" t="s">
        <v>35</v>
      </c>
      <c r="I2311" t="s">
        <v>36</v>
      </c>
      <c r="J2311" t="s">
        <v>37</v>
      </c>
      <c r="K2311" t="s">
        <v>29</v>
      </c>
      <c r="L2311">
        <v>1</v>
      </c>
      <c r="M2311">
        <v>1</v>
      </c>
      <c r="N2311">
        <v>2.6</v>
      </c>
      <c r="O2311">
        <v>9.3000000000000007</v>
      </c>
      <c r="P2311">
        <v>6</v>
      </c>
      <c r="Q2311">
        <v>7</v>
      </c>
      <c r="R2311">
        <v>846731</v>
      </c>
      <c r="S2311">
        <f>Table1[[#This Row],[Revenue]]-Table1[[#This Row],[Operating_Costs]]</f>
        <v>289553</v>
      </c>
      <c r="T2311">
        <v>557178</v>
      </c>
      <c r="U2311">
        <v>47</v>
      </c>
      <c r="V2311">
        <v>54</v>
      </c>
      <c r="W2311">
        <v>7.8</v>
      </c>
    </row>
    <row r="2312" spans="1:23" x14ac:dyDescent="0.25">
      <c r="A2312">
        <v>6</v>
      </c>
      <c r="B2312" t="s">
        <v>70</v>
      </c>
      <c r="C2312" s="1">
        <v>45341</v>
      </c>
      <c r="D2312" t="s">
        <v>71</v>
      </c>
      <c r="E2312">
        <v>0</v>
      </c>
      <c r="F2312">
        <v>51</v>
      </c>
      <c r="G2312" t="str">
        <f t="shared" si="44"/>
        <v>41-60</v>
      </c>
      <c r="H2312" t="s">
        <v>35</v>
      </c>
      <c r="I2312" t="s">
        <v>31</v>
      </c>
      <c r="J2312" t="s">
        <v>28</v>
      </c>
      <c r="K2312" t="s">
        <v>38</v>
      </c>
      <c r="L2312">
        <v>1</v>
      </c>
      <c r="M2312">
        <v>1</v>
      </c>
      <c r="N2312">
        <v>5.9</v>
      </c>
      <c r="O2312">
        <v>7.3</v>
      </c>
      <c r="P2312">
        <v>7</v>
      </c>
      <c r="Q2312">
        <v>6</v>
      </c>
      <c r="R2312">
        <v>789403</v>
      </c>
      <c r="S2312">
        <f>Table1[[#This Row],[Revenue]]-Table1[[#This Row],[Operating_Costs]]</f>
        <v>221648</v>
      </c>
      <c r="T2312">
        <v>567755</v>
      </c>
      <c r="U2312">
        <v>20</v>
      </c>
      <c r="V2312">
        <v>61</v>
      </c>
      <c r="W2312">
        <v>13.7</v>
      </c>
    </row>
    <row r="2313" spans="1:23" x14ac:dyDescent="0.25">
      <c r="A2313">
        <v>6</v>
      </c>
      <c r="B2313" t="s">
        <v>70</v>
      </c>
      <c r="C2313" s="1">
        <v>45069</v>
      </c>
      <c r="D2313" t="s">
        <v>71</v>
      </c>
      <c r="E2313">
        <v>0</v>
      </c>
      <c r="F2313">
        <v>33</v>
      </c>
      <c r="G2313" t="str">
        <f t="shared" si="44"/>
        <v>21-40</v>
      </c>
      <c r="H2313" t="s">
        <v>35</v>
      </c>
      <c r="I2313" t="s">
        <v>27</v>
      </c>
      <c r="J2313" t="s">
        <v>28</v>
      </c>
      <c r="K2313" t="s">
        <v>33</v>
      </c>
      <c r="L2313">
        <v>1</v>
      </c>
      <c r="M2313">
        <v>1</v>
      </c>
      <c r="N2313">
        <v>6.6</v>
      </c>
      <c r="O2313">
        <v>8.3000000000000007</v>
      </c>
      <c r="P2313">
        <v>7</v>
      </c>
      <c r="Q2313">
        <v>5</v>
      </c>
      <c r="R2313">
        <v>607914</v>
      </c>
      <c r="S2313">
        <f>Table1[[#This Row],[Revenue]]-Table1[[#This Row],[Operating_Costs]]</f>
        <v>37566</v>
      </c>
      <c r="T2313">
        <v>570348</v>
      </c>
      <c r="U2313">
        <v>25</v>
      </c>
      <c r="V2313">
        <v>62</v>
      </c>
      <c r="W2313">
        <v>14.4</v>
      </c>
    </row>
    <row r="2314" spans="1:23" x14ac:dyDescent="0.25">
      <c r="A2314">
        <v>6</v>
      </c>
      <c r="B2314" t="s">
        <v>70</v>
      </c>
      <c r="C2314" s="1">
        <v>45011</v>
      </c>
      <c r="D2314" t="s">
        <v>71</v>
      </c>
      <c r="E2314">
        <v>0</v>
      </c>
      <c r="F2314">
        <v>44</v>
      </c>
      <c r="G2314" t="str">
        <f t="shared" si="44"/>
        <v>41-60</v>
      </c>
      <c r="H2314" t="s">
        <v>35</v>
      </c>
      <c r="I2314" t="s">
        <v>36</v>
      </c>
      <c r="J2314" t="s">
        <v>37</v>
      </c>
      <c r="K2314" t="s">
        <v>42</v>
      </c>
      <c r="L2314">
        <v>1</v>
      </c>
      <c r="M2314">
        <v>1</v>
      </c>
      <c r="N2314">
        <v>5.5</v>
      </c>
      <c r="O2314">
        <v>7.2</v>
      </c>
      <c r="P2314">
        <v>3</v>
      </c>
      <c r="Q2314">
        <v>3</v>
      </c>
      <c r="R2314">
        <v>693533</v>
      </c>
      <c r="S2314">
        <f>Table1[[#This Row],[Revenue]]-Table1[[#This Row],[Operating_Costs]]</f>
        <v>274618</v>
      </c>
      <c r="T2314">
        <v>418915</v>
      </c>
      <c r="U2314">
        <v>25</v>
      </c>
      <c r="V2314">
        <v>55</v>
      </c>
      <c r="W2314">
        <v>12.2</v>
      </c>
    </row>
    <row r="2315" spans="1:23" x14ac:dyDescent="0.25">
      <c r="A2315">
        <v>7</v>
      </c>
      <c r="B2315" t="s">
        <v>49</v>
      </c>
      <c r="C2315" s="1">
        <v>45049</v>
      </c>
      <c r="D2315" t="s">
        <v>71</v>
      </c>
      <c r="E2315">
        <v>0</v>
      </c>
      <c r="F2315">
        <v>55</v>
      </c>
      <c r="G2315" t="str">
        <f t="shared" si="44"/>
        <v>41-60</v>
      </c>
      <c r="H2315" t="s">
        <v>35</v>
      </c>
      <c r="I2315" t="s">
        <v>53</v>
      </c>
      <c r="J2315" t="s">
        <v>54</v>
      </c>
      <c r="K2315" t="s">
        <v>38</v>
      </c>
      <c r="L2315">
        <v>1</v>
      </c>
      <c r="M2315">
        <v>1</v>
      </c>
      <c r="N2315">
        <v>2.6</v>
      </c>
      <c r="O2315">
        <v>7.1</v>
      </c>
      <c r="P2315">
        <v>3</v>
      </c>
      <c r="Q2315">
        <v>4</v>
      </c>
      <c r="R2315">
        <v>721941</v>
      </c>
      <c r="S2315">
        <f>Table1[[#This Row],[Revenue]]-Table1[[#This Row],[Operating_Costs]]</f>
        <v>163911</v>
      </c>
      <c r="T2315">
        <v>558030</v>
      </c>
      <c r="U2315">
        <v>42</v>
      </c>
      <c r="V2315">
        <v>55</v>
      </c>
      <c r="W2315">
        <v>10.7</v>
      </c>
    </row>
    <row r="2316" spans="1:23" x14ac:dyDescent="0.25">
      <c r="A2316">
        <v>7</v>
      </c>
      <c r="B2316" t="s">
        <v>49</v>
      </c>
      <c r="C2316" s="1">
        <v>44261</v>
      </c>
      <c r="D2316" t="s">
        <v>71</v>
      </c>
      <c r="E2316">
        <v>0</v>
      </c>
      <c r="F2316">
        <v>33</v>
      </c>
      <c r="G2316" t="str">
        <f t="shared" si="44"/>
        <v>21-40</v>
      </c>
      <c r="H2316" t="s">
        <v>35</v>
      </c>
      <c r="I2316" t="s">
        <v>55</v>
      </c>
      <c r="J2316" t="s">
        <v>56</v>
      </c>
      <c r="K2316" t="s">
        <v>42</v>
      </c>
      <c r="L2316">
        <v>1</v>
      </c>
      <c r="M2316">
        <v>1</v>
      </c>
      <c r="N2316">
        <v>5.3</v>
      </c>
      <c r="O2316">
        <v>8.6999999999999993</v>
      </c>
      <c r="P2316">
        <v>7</v>
      </c>
      <c r="Q2316">
        <v>4</v>
      </c>
      <c r="R2316">
        <v>615128</v>
      </c>
      <c r="S2316">
        <f>Table1[[#This Row],[Revenue]]-Table1[[#This Row],[Operating_Costs]]</f>
        <v>106736</v>
      </c>
      <c r="T2316">
        <v>508392</v>
      </c>
      <c r="U2316">
        <v>56</v>
      </c>
      <c r="V2316">
        <v>62</v>
      </c>
      <c r="W2316">
        <v>7.7</v>
      </c>
    </row>
    <row r="2317" spans="1:23" x14ac:dyDescent="0.25">
      <c r="A2317">
        <v>6</v>
      </c>
      <c r="B2317" t="s">
        <v>70</v>
      </c>
      <c r="C2317" s="1">
        <v>44252</v>
      </c>
      <c r="D2317" t="s">
        <v>71</v>
      </c>
      <c r="E2317">
        <v>0</v>
      </c>
      <c r="F2317">
        <v>22</v>
      </c>
      <c r="G2317" t="str">
        <f t="shared" si="44"/>
        <v>21-40</v>
      </c>
      <c r="H2317" t="s">
        <v>23</v>
      </c>
      <c r="I2317" t="s">
        <v>24</v>
      </c>
      <c r="J2317" t="s">
        <v>25</v>
      </c>
      <c r="K2317" t="s">
        <v>33</v>
      </c>
      <c r="L2317">
        <v>1</v>
      </c>
      <c r="M2317">
        <v>1</v>
      </c>
      <c r="N2317">
        <v>3.4</v>
      </c>
      <c r="O2317">
        <v>8.9</v>
      </c>
      <c r="P2317">
        <v>6</v>
      </c>
      <c r="Q2317">
        <v>6</v>
      </c>
      <c r="R2317">
        <v>751228</v>
      </c>
      <c r="S2317">
        <f>Table1[[#This Row],[Revenue]]-Table1[[#This Row],[Operating_Costs]]</f>
        <v>337467</v>
      </c>
      <c r="T2317">
        <v>413761</v>
      </c>
      <c r="U2317">
        <v>24</v>
      </c>
      <c r="V2317">
        <v>58</v>
      </c>
      <c r="W2317">
        <v>10.1</v>
      </c>
    </row>
    <row r="2318" spans="1:23" x14ac:dyDescent="0.25">
      <c r="A2318">
        <v>6</v>
      </c>
      <c r="B2318" t="s">
        <v>70</v>
      </c>
      <c r="C2318" s="1">
        <v>44580</v>
      </c>
      <c r="D2318" t="s">
        <v>71</v>
      </c>
      <c r="E2318">
        <v>0</v>
      </c>
      <c r="F2318">
        <v>49</v>
      </c>
      <c r="G2318" t="str">
        <f t="shared" si="44"/>
        <v>41-60</v>
      </c>
      <c r="H2318" t="s">
        <v>35</v>
      </c>
      <c r="I2318" t="s">
        <v>36</v>
      </c>
      <c r="J2318" t="s">
        <v>37</v>
      </c>
      <c r="K2318" t="s">
        <v>38</v>
      </c>
      <c r="L2318">
        <v>1</v>
      </c>
      <c r="M2318">
        <v>1</v>
      </c>
      <c r="N2318">
        <v>5.8</v>
      </c>
      <c r="O2318">
        <v>8.6999999999999993</v>
      </c>
      <c r="P2318">
        <v>7</v>
      </c>
      <c r="Q2318">
        <v>3</v>
      </c>
      <c r="R2318">
        <v>607201</v>
      </c>
      <c r="S2318">
        <f>Table1[[#This Row],[Revenue]]-Table1[[#This Row],[Operating_Costs]]</f>
        <v>123915</v>
      </c>
      <c r="T2318">
        <v>483286</v>
      </c>
      <c r="U2318">
        <v>27</v>
      </c>
      <c r="V2318">
        <v>63</v>
      </c>
      <c r="W2318">
        <v>7.7</v>
      </c>
    </row>
    <row r="2319" spans="1:23" x14ac:dyDescent="0.25">
      <c r="A2319">
        <v>7</v>
      </c>
      <c r="B2319" t="s">
        <v>49</v>
      </c>
      <c r="C2319" s="1">
        <v>44666</v>
      </c>
      <c r="D2319" t="s">
        <v>71</v>
      </c>
      <c r="E2319">
        <v>0</v>
      </c>
      <c r="F2319">
        <v>28</v>
      </c>
      <c r="G2319" t="str">
        <f t="shared" si="44"/>
        <v>21-40</v>
      </c>
      <c r="H2319" t="s">
        <v>23</v>
      </c>
      <c r="I2319" t="s">
        <v>64</v>
      </c>
      <c r="J2319" t="s">
        <v>65</v>
      </c>
      <c r="K2319" t="s">
        <v>38</v>
      </c>
      <c r="L2319">
        <v>1</v>
      </c>
      <c r="M2319">
        <v>1</v>
      </c>
      <c r="N2319">
        <v>4.5999999999999996</v>
      </c>
      <c r="O2319">
        <v>9.1999999999999993</v>
      </c>
      <c r="P2319">
        <v>4</v>
      </c>
      <c r="Q2319">
        <v>7</v>
      </c>
      <c r="R2319">
        <v>608496</v>
      </c>
      <c r="S2319">
        <f>Table1[[#This Row],[Revenue]]-Table1[[#This Row],[Operating_Costs]]</f>
        <v>52026</v>
      </c>
      <c r="T2319">
        <v>556470</v>
      </c>
      <c r="U2319">
        <v>45</v>
      </c>
      <c r="V2319">
        <v>61</v>
      </c>
      <c r="W2319">
        <v>10.5</v>
      </c>
    </row>
    <row r="2320" spans="1:23" x14ac:dyDescent="0.25">
      <c r="A2320">
        <v>6</v>
      </c>
      <c r="B2320" t="s">
        <v>70</v>
      </c>
      <c r="C2320" s="1">
        <v>44660</v>
      </c>
      <c r="D2320" t="s">
        <v>71</v>
      </c>
      <c r="E2320">
        <v>0</v>
      </c>
      <c r="F2320">
        <v>53</v>
      </c>
      <c r="G2320" t="str">
        <f t="shared" si="44"/>
        <v>41-60</v>
      </c>
      <c r="H2320" t="s">
        <v>35</v>
      </c>
      <c r="I2320" t="s">
        <v>60</v>
      </c>
      <c r="J2320" t="s">
        <v>59</v>
      </c>
      <c r="K2320" t="s">
        <v>38</v>
      </c>
      <c r="L2320">
        <v>1</v>
      </c>
      <c r="M2320">
        <v>1</v>
      </c>
      <c r="N2320">
        <v>3.5</v>
      </c>
      <c r="O2320">
        <v>8.1999999999999993</v>
      </c>
      <c r="P2320">
        <v>4</v>
      </c>
      <c r="Q2320">
        <v>6</v>
      </c>
      <c r="R2320">
        <v>631455</v>
      </c>
      <c r="S2320">
        <f>Table1[[#This Row],[Revenue]]-Table1[[#This Row],[Operating_Costs]]</f>
        <v>170609</v>
      </c>
      <c r="T2320">
        <v>460846</v>
      </c>
      <c r="U2320">
        <v>26</v>
      </c>
      <c r="V2320">
        <v>59</v>
      </c>
      <c r="W2320">
        <v>6.1</v>
      </c>
    </row>
    <row r="2321" spans="1:23" x14ac:dyDescent="0.25">
      <c r="A2321">
        <v>6</v>
      </c>
      <c r="B2321" t="s">
        <v>70</v>
      </c>
      <c r="C2321" s="1">
        <v>44250</v>
      </c>
      <c r="D2321" t="s">
        <v>71</v>
      </c>
      <c r="E2321">
        <v>0</v>
      </c>
      <c r="F2321">
        <v>62</v>
      </c>
      <c r="G2321" t="str">
        <f t="shared" si="44"/>
        <v>61-80</v>
      </c>
      <c r="H2321" t="s">
        <v>35</v>
      </c>
      <c r="I2321" t="s">
        <v>46</v>
      </c>
      <c r="J2321" t="s">
        <v>47</v>
      </c>
      <c r="K2321" t="s">
        <v>42</v>
      </c>
      <c r="L2321">
        <v>1</v>
      </c>
      <c r="M2321">
        <v>1</v>
      </c>
      <c r="N2321">
        <v>3.7</v>
      </c>
      <c r="O2321">
        <v>8.6</v>
      </c>
      <c r="P2321">
        <v>7</v>
      </c>
      <c r="Q2321">
        <v>6</v>
      </c>
      <c r="R2321">
        <v>662829</v>
      </c>
      <c r="S2321">
        <f>Table1[[#This Row],[Revenue]]-Table1[[#This Row],[Operating_Costs]]</f>
        <v>217801</v>
      </c>
      <c r="T2321">
        <v>445028</v>
      </c>
      <c r="U2321">
        <v>29</v>
      </c>
      <c r="V2321">
        <v>58</v>
      </c>
      <c r="W2321">
        <v>6.5</v>
      </c>
    </row>
    <row r="2322" spans="1:23" x14ac:dyDescent="0.25">
      <c r="A2322">
        <v>6</v>
      </c>
      <c r="B2322" t="s">
        <v>70</v>
      </c>
      <c r="C2322" s="1">
        <v>44609</v>
      </c>
      <c r="D2322" t="s">
        <v>71</v>
      </c>
      <c r="E2322">
        <v>0</v>
      </c>
      <c r="F2322">
        <v>81</v>
      </c>
      <c r="G2322" t="str">
        <f t="shared" si="44"/>
        <v>81+</v>
      </c>
      <c r="H2322" t="s">
        <v>35</v>
      </c>
      <c r="I2322" t="s">
        <v>61</v>
      </c>
      <c r="J2322" t="s">
        <v>62</v>
      </c>
      <c r="K2322" t="s">
        <v>26</v>
      </c>
      <c r="L2322">
        <v>1</v>
      </c>
      <c r="M2322">
        <v>1</v>
      </c>
      <c r="N2322">
        <v>2.9</v>
      </c>
      <c r="O2322">
        <v>8</v>
      </c>
      <c r="P2322">
        <v>3</v>
      </c>
      <c r="Q2322">
        <v>5</v>
      </c>
      <c r="R2322">
        <v>656028</v>
      </c>
      <c r="S2322">
        <f>Table1[[#This Row],[Revenue]]-Table1[[#This Row],[Operating_Costs]]</f>
        <v>238321</v>
      </c>
      <c r="T2322">
        <v>417707</v>
      </c>
      <c r="U2322">
        <v>26</v>
      </c>
      <c r="V2322">
        <v>58</v>
      </c>
      <c r="W2322">
        <v>12.2</v>
      </c>
    </row>
    <row r="2323" spans="1:23" x14ac:dyDescent="0.25">
      <c r="A2323">
        <v>7</v>
      </c>
      <c r="B2323" t="s">
        <v>49</v>
      </c>
      <c r="C2323" s="1">
        <v>45323</v>
      </c>
      <c r="D2323" t="s">
        <v>71</v>
      </c>
      <c r="E2323">
        <v>0</v>
      </c>
      <c r="F2323">
        <v>75</v>
      </c>
      <c r="G2323" t="str">
        <f t="shared" si="44"/>
        <v>61-80</v>
      </c>
      <c r="H2323" t="s">
        <v>23</v>
      </c>
      <c r="I2323" t="s">
        <v>50</v>
      </c>
      <c r="J2323" t="s">
        <v>51</v>
      </c>
      <c r="K2323" t="s">
        <v>42</v>
      </c>
      <c r="L2323">
        <v>1</v>
      </c>
      <c r="M2323">
        <v>1</v>
      </c>
      <c r="N2323">
        <v>6.8</v>
      </c>
      <c r="O2323">
        <v>7.1</v>
      </c>
      <c r="P2323">
        <v>5</v>
      </c>
      <c r="Q2323">
        <v>7</v>
      </c>
      <c r="R2323">
        <v>819461</v>
      </c>
      <c r="S2323">
        <f>Table1[[#This Row],[Revenue]]-Table1[[#This Row],[Operating_Costs]]</f>
        <v>306339</v>
      </c>
      <c r="T2323">
        <v>513122</v>
      </c>
      <c r="U2323">
        <v>47</v>
      </c>
      <c r="V2323">
        <v>57</v>
      </c>
      <c r="W2323">
        <v>9.5</v>
      </c>
    </row>
    <row r="2324" spans="1:23" x14ac:dyDescent="0.25">
      <c r="A2324">
        <v>6</v>
      </c>
      <c r="B2324" t="s">
        <v>70</v>
      </c>
      <c r="C2324" s="1">
        <v>44726</v>
      </c>
      <c r="D2324" t="s">
        <v>71</v>
      </c>
      <c r="E2324">
        <v>0</v>
      </c>
      <c r="F2324">
        <v>37</v>
      </c>
      <c r="G2324" t="str">
        <f t="shared" si="44"/>
        <v>21-40</v>
      </c>
      <c r="H2324" t="s">
        <v>23</v>
      </c>
      <c r="I2324" t="s">
        <v>27</v>
      </c>
      <c r="J2324" t="s">
        <v>28</v>
      </c>
      <c r="K2324" t="s">
        <v>38</v>
      </c>
      <c r="L2324">
        <v>1</v>
      </c>
      <c r="M2324">
        <v>1</v>
      </c>
      <c r="N2324">
        <v>6.8</v>
      </c>
      <c r="O2324">
        <v>9.9</v>
      </c>
      <c r="P2324">
        <v>3</v>
      </c>
      <c r="Q2324">
        <v>6</v>
      </c>
      <c r="R2324">
        <v>774446</v>
      </c>
      <c r="S2324">
        <f>Table1[[#This Row],[Revenue]]-Table1[[#This Row],[Operating_Costs]]</f>
        <v>316184</v>
      </c>
      <c r="T2324">
        <v>458262</v>
      </c>
      <c r="U2324">
        <v>20</v>
      </c>
      <c r="V2324">
        <v>61</v>
      </c>
      <c r="W2324">
        <v>12.8</v>
      </c>
    </row>
    <row r="2325" spans="1:23" x14ac:dyDescent="0.25">
      <c r="A2325">
        <v>6</v>
      </c>
      <c r="B2325" t="s">
        <v>70</v>
      </c>
      <c r="C2325" s="1">
        <v>45128</v>
      </c>
      <c r="D2325" t="s">
        <v>71</v>
      </c>
      <c r="E2325">
        <v>0</v>
      </c>
      <c r="F2325">
        <v>51</v>
      </c>
      <c r="G2325" t="str">
        <f t="shared" si="44"/>
        <v>41-60</v>
      </c>
      <c r="H2325" t="s">
        <v>23</v>
      </c>
      <c r="I2325" t="s">
        <v>24</v>
      </c>
      <c r="J2325" t="s">
        <v>25</v>
      </c>
      <c r="K2325" t="s">
        <v>26</v>
      </c>
      <c r="L2325">
        <v>1</v>
      </c>
      <c r="M2325">
        <v>1</v>
      </c>
      <c r="N2325">
        <v>3.1</v>
      </c>
      <c r="O2325">
        <v>9.3000000000000007</v>
      </c>
      <c r="P2325">
        <v>5</v>
      </c>
      <c r="Q2325">
        <v>7</v>
      </c>
      <c r="R2325">
        <v>782669</v>
      </c>
      <c r="S2325">
        <f>Table1[[#This Row],[Revenue]]-Table1[[#This Row],[Operating_Costs]]</f>
        <v>226704</v>
      </c>
      <c r="T2325">
        <v>555965</v>
      </c>
      <c r="U2325">
        <v>24</v>
      </c>
      <c r="V2325">
        <v>58</v>
      </c>
      <c r="W2325">
        <v>6.6</v>
      </c>
    </row>
    <row r="2326" spans="1:23" x14ac:dyDescent="0.25">
      <c r="A2326">
        <v>6</v>
      </c>
      <c r="B2326" t="s">
        <v>70</v>
      </c>
      <c r="C2326" s="1">
        <v>44410</v>
      </c>
      <c r="D2326" t="s">
        <v>71</v>
      </c>
      <c r="E2326">
        <v>0</v>
      </c>
      <c r="F2326">
        <v>45</v>
      </c>
      <c r="G2326" t="str">
        <f t="shared" si="44"/>
        <v>41-60</v>
      </c>
      <c r="H2326" t="s">
        <v>35</v>
      </c>
      <c r="I2326" t="s">
        <v>31</v>
      </c>
      <c r="J2326" t="s">
        <v>28</v>
      </c>
      <c r="K2326" t="s">
        <v>26</v>
      </c>
      <c r="L2326">
        <v>1</v>
      </c>
      <c r="M2326">
        <v>1</v>
      </c>
      <c r="N2326">
        <v>1.5</v>
      </c>
      <c r="O2326">
        <v>7.4</v>
      </c>
      <c r="P2326">
        <v>3</v>
      </c>
      <c r="Q2326">
        <v>6</v>
      </c>
      <c r="R2326">
        <v>703182</v>
      </c>
      <c r="S2326">
        <f>Table1[[#This Row],[Revenue]]-Table1[[#This Row],[Operating_Costs]]</f>
        <v>247131</v>
      </c>
      <c r="T2326">
        <v>456051</v>
      </c>
      <c r="U2326">
        <v>21</v>
      </c>
      <c r="V2326">
        <v>66</v>
      </c>
      <c r="W2326">
        <v>5.3</v>
      </c>
    </row>
    <row r="2327" spans="1:23" x14ac:dyDescent="0.25">
      <c r="A2327">
        <v>7</v>
      </c>
      <c r="B2327" t="s">
        <v>49</v>
      </c>
      <c r="C2327" s="1">
        <v>44429</v>
      </c>
      <c r="D2327" t="s">
        <v>71</v>
      </c>
      <c r="E2327">
        <v>0</v>
      </c>
      <c r="F2327">
        <v>60</v>
      </c>
      <c r="G2327" t="str">
        <f t="shared" si="44"/>
        <v>41-60</v>
      </c>
      <c r="H2327" t="s">
        <v>35</v>
      </c>
      <c r="I2327" t="s">
        <v>64</v>
      </c>
      <c r="J2327" t="s">
        <v>65</v>
      </c>
      <c r="K2327" t="s">
        <v>26</v>
      </c>
      <c r="L2327">
        <v>1</v>
      </c>
      <c r="M2327">
        <v>1</v>
      </c>
      <c r="N2327">
        <v>5.7</v>
      </c>
      <c r="O2327">
        <v>7.3</v>
      </c>
      <c r="P2327">
        <v>5</v>
      </c>
      <c r="Q2327">
        <v>5</v>
      </c>
      <c r="R2327">
        <v>661789</v>
      </c>
      <c r="S2327">
        <f>Table1[[#This Row],[Revenue]]-Table1[[#This Row],[Operating_Costs]]</f>
        <v>91268</v>
      </c>
      <c r="T2327">
        <v>570521</v>
      </c>
      <c r="U2327">
        <v>58</v>
      </c>
      <c r="V2327">
        <v>61</v>
      </c>
      <c r="W2327">
        <v>13.8</v>
      </c>
    </row>
    <row r="2328" spans="1:23" x14ac:dyDescent="0.25">
      <c r="A2328">
        <v>6</v>
      </c>
      <c r="B2328" t="s">
        <v>70</v>
      </c>
      <c r="C2328" s="1">
        <v>45502</v>
      </c>
      <c r="D2328" t="s">
        <v>71</v>
      </c>
      <c r="E2328">
        <v>0</v>
      </c>
      <c r="F2328">
        <v>82</v>
      </c>
      <c r="G2328" t="str">
        <f t="shared" si="44"/>
        <v>81+</v>
      </c>
      <c r="H2328" t="s">
        <v>23</v>
      </c>
      <c r="I2328" t="s">
        <v>40</v>
      </c>
      <c r="J2328" t="s">
        <v>41</v>
      </c>
      <c r="K2328" t="s">
        <v>26</v>
      </c>
      <c r="L2328">
        <v>1</v>
      </c>
      <c r="M2328">
        <v>1</v>
      </c>
      <c r="N2328">
        <v>2.5</v>
      </c>
      <c r="O2328">
        <v>7.2</v>
      </c>
      <c r="P2328">
        <v>5</v>
      </c>
      <c r="Q2328">
        <v>6</v>
      </c>
      <c r="R2328">
        <v>649604</v>
      </c>
      <c r="S2328">
        <f>Table1[[#This Row],[Revenue]]-Table1[[#This Row],[Operating_Costs]]</f>
        <v>71628</v>
      </c>
      <c r="T2328">
        <v>577976</v>
      </c>
      <c r="U2328">
        <v>24</v>
      </c>
      <c r="V2328">
        <v>62</v>
      </c>
      <c r="W2328">
        <v>13.3</v>
      </c>
    </row>
    <row r="2329" spans="1:23" x14ac:dyDescent="0.25">
      <c r="A2329">
        <v>6</v>
      </c>
      <c r="B2329" t="s">
        <v>70</v>
      </c>
      <c r="C2329" s="1">
        <v>45389</v>
      </c>
      <c r="D2329" t="s">
        <v>71</v>
      </c>
      <c r="E2329">
        <v>0</v>
      </c>
      <c r="F2329">
        <v>62</v>
      </c>
      <c r="G2329" t="str">
        <f t="shared" si="44"/>
        <v>61-80</v>
      </c>
      <c r="H2329" t="s">
        <v>35</v>
      </c>
      <c r="I2329" t="s">
        <v>64</v>
      </c>
      <c r="J2329" t="s">
        <v>65</v>
      </c>
      <c r="K2329" t="s">
        <v>29</v>
      </c>
      <c r="L2329">
        <v>1</v>
      </c>
      <c r="M2329">
        <v>1</v>
      </c>
      <c r="N2329">
        <v>3.1</v>
      </c>
      <c r="O2329">
        <v>9</v>
      </c>
      <c r="P2329">
        <v>3</v>
      </c>
      <c r="Q2329">
        <v>3</v>
      </c>
      <c r="R2329">
        <v>635364</v>
      </c>
      <c r="S2329">
        <f>Table1[[#This Row],[Revenue]]-Table1[[#This Row],[Operating_Costs]]</f>
        <v>105440</v>
      </c>
      <c r="T2329">
        <v>529924</v>
      </c>
      <c r="U2329">
        <v>27</v>
      </c>
      <c r="V2329">
        <v>59</v>
      </c>
      <c r="W2329">
        <v>12.8</v>
      </c>
    </row>
    <row r="2330" spans="1:23" x14ac:dyDescent="0.25">
      <c r="A2330">
        <v>6</v>
      </c>
      <c r="B2330" t="s">
        <v>70</v>
      </c>
      <c r="C2330" s="1">
        <v>45243</v>
      </c>
      <c r="D2330" t="s">
        <v>71</v>
      </c>
      <c r="E2330">
        <v>0</v>
      </c>
      <c r="F2330">
        <v>41</v>
      </c>
      <c r="G2330" t="str">
        <f t="shared" si="44"/>
        <v>41-60</v>
      </c>
      <c r="H2330" t="s">
        <v>23</v>
      </c>
      <c r="I2330" t="s">
        <v>24</v>
      </c>
      <c r="J2330" t="s">
        <v>25</v>
      </c>
      <c r="K2330" t="s">
        <v>29</v>
      </c>
      <c r="L2330">
        <v>1</v>
      </c>
      <c r="M2330">
        <v>1</v>
      </c>
      <c r="N2330">
        <v>6.3</v>
      </c>
      <c r="O2330">
        <v>8.1</v>
      </c>
      <c r="P2330">
        <v>5</v>
      </c>
      <c r="Q2330">
        <v>5</v>
      </c>
      <c r="R2330">
        <v>722870</v>
      </c>
      <c r="S2330">
        <f>Table1[[#This Row],[Revenue]]-Table1[[#This Row],[Operating_Costs]]</f>
        <v>223816</v>
      </c>
      <c r="T2330">
        <v>499054</v>
      </c>
      <c r="U2330">
        <v>23</v>
      </c>
      <c r="V2330">
        <v>58</v>
      </c>
      <c r="W2330">
        <v>7.8</v>
      </c>
    </row>
    <row r="2331" spans="1:23" x14ac:dyDescent="0.25">
      <c r="A2331">
        <v>7</v>
      </c>
      <c r="B2331" t="s">
        <v>49</v>
      </c>
      <c r="C2331" s="1">
        <v>45408</v>
      </c>
      <c r="D2331" t="s">
        <v>71</v>
      </c>
      <c r="E2331">
        <v>0</v>
      </c>
      <c r="F2331">
        <v>30</v>
      </c>
      <c r="G2331" t="str">
        <f t="shared" si="44"/>
        <v>21-40</v>
      </c>
      <c r="H2331" t="s">
        <v>35</v>
      </c>
      <c r="I2331" t="s">
        <v>27</v>
      </c>
      <c r="J2331" t="s">
        <v>28</v>
      </c>
      <c r="K2331" t="s">
        <v>38</v>
      </c>
      <c r="L2331">
        <v>1</v>
      </c>
      <c r="M2331">
        <v>1</v>
      </c>
      <c r="N2331">
        <v>2.2000000000000002</v>
      </c>
      <c r="O2331">
        <v>7.5</v>
      </c>
      <c r="P2331">
        <v>4</v>
      </c>
      <c r="Q2331">
        <v>4</v>
      </c>
      <c r="R2331">
        <v>623738</v>
      </c>
      <c r="S2331">
        <f>Table1[[#This Row],[Revenue]]-Table1[[#This Row],[Operating_Costs]]</f>
        <v>80996</v>
      </c>
      <c r="T2331">
        <v>542742</v>
      </c>
      <c r="U2331">
        <v>52</v>
      </c>
      <c r="V2331">
        <v>60</v>
      </c>
      <c r="W2331">
        <v>9.1</v>
      </c>
    </row>
    <row r="2332" spans="1:23" x14ac:dyDescent="0.25">
      <c r="A2332">
        <v>7</v>
      </c>
      <c r="B2332" t="s">
        <v>49</v>
      </c>
      <c r="C2332" s="1">
        <v>44387</v>
      </c>
      <c r="D2332" t="s">
        <v>71</v>
      </c>
      <c r="E2332">
        <v>0</v>
      </c>
      <c r="F2332">
        <v>22</v>
      </c>
      <c r="G2332" t="str">
        <f t="shared" si="44"/>
        <v>21-40</v>
      </c>
      <c r="H2332" t="s">
        <v>23</v>
      </c>
      <c r="I2332" t="s">
        <v>61</v>
      </c>
      <c r="J2332" t="s">
        <v>62</v>
      </c>
      <c r="K2332" t="s">
        <v>29</v>
      </c>
      <c r="L2332">
        <v>1</v>
      </c>
      <c r="M2332">
        <v>1</v>
      </c>
      <c r="N2332">
        <v>2.8</v>
      </c>
      <c r="O2332">
        <v>7.9</v>
      </c>
      <c r="P2332">
        <v>4</v>
      </c>
      <c r="Q2332">
        <v>4</v>
      </c>
      <c r="R2332">
        <v>748130</v>
      </c>
      <c r="S2332">
        <f>Table1[[#This Row],[Revenue]]-Table1[[#This Row],[Operating_Costs]]</f>
        <v>215841</v>
      </c>
      <c r="T2332">
        <v>532289</v>
      </c>
      <c r="U2332">
        <v>42</v>
      </c>
      <c r="V2332">
        <v>56</v>
      </c>
      <c r="W2332">
        <v>10.5</v>
      </c>
    </row>
    <row r="2333" spans="1:23" x14ac:dyDescent="0.25">
      <c r="A2333">
        <v>6</v>
      </c>
      <c r="B2333" t="s">
        <v>70</v>
      </c>
      <c r="C2333" s="1">
        <v>44265</v>
      </c>
      <c r="D2333" t="s">
        <v>71</v>
      </c>
      <c r="E2333">
        <v>0</v>
      </c>
      <c r="F2333">
        <v>85</v>
      </c>
      <c r="G2333" t="str">
        <f t="shared" si="44"/>
        <v>81+</v>
      </c>
      <c r="H2333" t="s">
        <v>35</v>
      </c>
      <c r="I2333" t="s">
        <v>40</v>
      </c>
      <c r="J2333" t="s">
        <v>41</v>
      </c>
      <c r="K2333" t="s">
        <v>42</v>
      </c>
      <c r="L2333">
        <v>1</v>
      </c>
      <c r="M2333">
        <v>1</v>
      </c>
      <c r="N2333">
        <v>6.9</v>
      </c>
      <c r="O2333">
        <v>7.5</v>
      </c>
      <c r="P2333">
        <v>6</v>
      </c>
      <c r="Q2333">
        <v>5</v>
      </c>
      <c r="R2333">
        <v>692634</v>
      </c>
      <c r="S2333">
        <f>Table1[[#This Row],[Revenue]]-Table1[[#This Row],[Operating_Costs]]</f>
        <v>247124</v>
      </c>
      <c r="T2333">
        <v>445510</v>
      </c>
      <c r="U2333">
        <v>21</v>
      </c>
      <c r="V2333">
        <v>60</v>
      </c>
      <c r="W2333">
        <v>10.199999999999999</v>
      </c>
    </row>
    <row r="2334" spans="1:23" x14ac:dyDescent="0.25">
      <c r="A2334">
        <v>6</v>
      </c>
      <c r="B2334" t="s">
        <v>70</v>
      </c>
      <c r="C2334" s="1">
        <v>44474</v>
      </c>
      <c r="D2334" t="s">
        <v>71</v>
      </c>
      <c r="E2334">
        <v>0</v>
      </c>
      <c r="F2334">
        <v>31</v>
      </c>
      <c r="G2334" t="str">
        <f t="shared" si="44"/>
        <v>21-40</v>
      </c>
      <c r="H2334" t="s">
        <v>35</v>
      </c>
      <c r="I2334" t="s">
        <v>36</v>
      </c>
      <c r="J2334" t="s">
        <v>37</v>
      </c>
      <c r="K2334" t="s">
        <v>42</v>
      </c>
      <c r="L2334">
        <v>1</v>
      </c>
      <c r="M2334">
        <v>1</v>
      </c>
      <c r="N2334">
        <v>3.1</v>
      </c>
      <c r="O2334">
        <v>8.3000000000000007</v>
      </c>
      <c r="P2334">
        <v>4</v>
      </c>
      <c r="Q2334">
        <v>7</v>
      </c>
      <c r="R2334">
        <v>724206</v>
      </c>
      <c r="S2334">
        <f>Table1[[#This Row],[Revenue]]-Table1[[#This Row],[Operating_Costs]]</f>
        <v>172462</v>
      </c>
      <c r="T2334">
        <v>551744</v>
      </c>
      <c r="U2334">
        <v>27</v>
      </c>
      <c r="V2334">
        <v>56</v>
      </c>
      <c r="W2334">
        <v>12.1</v>
      </c>
    </row>
    <row r="2335" spans="1:23" x14ac:dyDescent="0.25">
      <c r="A2335">
        <v>6</v>
      </c>
      <c r="B2335" t="s">
        <v>70</v>
      </c>
      <c r="C2335" s="1">
        <v>44888</v>
      </c>
      <c r="D2335" t="s">
        <v>71</v>
      </c>
      <c r="E2335">
        <v>0</v>
      </c>
      <c r="F2335">
        <v>32</v>
      </c>
      <c r="G2335" t="str">
        <f t="shared" si="44"/>
        <v>21-40</v>
      </c>
      <c r="H2335" t="s">
        <v>35</v>
      </c>
      <c r="I2335" t="s">
        <v>40</v>
      </c>
      <c r="J2335" t="s">
        <v>41</v>
      </c>
      <c r="K2335" t="s">
        <v>29</v>
      </c>
      <c r="L2335">
        <v>1</v>
      </c>
      <c r="M2335">
        <v>1</v>
      </c>
      <c r="N2335">
        <v>6.1</v>
      </c>
      <c r="O2335">
        <v>8.8000000000000007</v>
      </c>
      <c r="P2335">
        <v>4</v>
      </c>
      <c r="Q2335">
        <v>4</v>
      </c>
      <c r="R2335">
        <v>744021</v>
      </c>
      <c r="S2335">
        <f>Table1[[#This Row],[Revenue]]-Table1[[#This Row],[Operating_Costs]]</f>
        <v>306516</v>
      </c>
      <c r="T2335">
        <v>437505</v>
      </c>
      <c r="U2335">
        <v>24</v>
      </c>
      <c r="V2335">
        <v>54</v>
      </c>
      <c r="W2335">
        <v>5.9</v>
      </c>
    </row>
    <row r="2336" spans="1:23" x14ac:dyDescent="0.25">
      <c r="A2336">
        <v>6</v>
      </c>
      <c r="B2336" t="s">
        <v>70</v>
      </c>
      <c r="C2336" s="1">
        <v>45466</v>
      </c>
      <c r="D2336" t="s">
        <v>71</v>
      </c>
      <c r="E2336">
        <v>0</v>
      </c>
      <c r="F2336">
        <v>31</v>
      </c>
      <c r="G2336" t="str">
        <f t="shared" si="44"/>
        <v>21-40</v>
      </c>
      <c r="H2336" t="s">
        <v>23</v>
      </c>
      <c r="I2336" t="s">
        <v>31</v>
      </c>
      <c r="J2336" t="s">
        <v>28</v>
      </c>
      <c r="K2336" t="s">
        <v>33</v>
      </c>
      <c r="L2336">
        <v>1</v>
      </c>
      <c r="M2336">
        <v>1</v>
      </c>
      <c r="N2336">
        <v>2</v>
      </c>
      <c r="O2336">
        <v>8.6</v>
      </c>
      <c r="P2336">
        <v>3</v>
      </c>
      <c r="Q2336">
        <v>4</v>
      </c>
      <c r="R2336">
        <v>652763</v>
      </c>
      <c r="S2336">
        <f>Table1[[#This Row],[Revenue]]-Table1[[#This Row],[Operating_Costs]]</f>
        <v>216937</v>
      </c>
      <c r="T2336">
        <v>435826</v>
      </c>
      <c r="U2336">
        <v>28</v>
      </c>
      <c r="V2336">
        <v>61</v>
      </c>
      <c r="W2336">
        <v>10.6</v>
      </c>
    </row>
    <row r="2337" spans="1:23" x14ac:dyDescent="0.25">
      <c r="A2337">
        <v>6</v>
      </c>
      <c r="B2337" t="s">
        <v>70</v>
      </c>
      <c r="C2337" s="1">
        <v>44496</v>
      </c>
      <c r="D2337" t="s">
        <v>71</v>
      </c>
      <c r="E2337">
        <v>0</v>
      </c>
      <c r="F2337">
        <v>25</v>
      </c>
      <c r="G2337" t="str">
        <f t="shared" si="44"/>
        <v>21-40</v>
      </c>
      <c r="H2337" t="s">
        <v>35</v>
      </c>
      <c r="I2337" t="s">
        <v>64</v>
      </c>
      <c r="J2337" t="s">
        <v>65</v>
      </c>
      <c r="K2337" t="s">
        <v>42</v>
      </c>
      <c r="L2337">
        <v>1</v>
      </c>
      <c r="M2337">
        <v>1</v>
      </c>
      <c r="N2337">
        <v>4.7</v>
      </c>
      <c r="O2337">
        <v>9.1</v>
      </c>
      <c r="P2337">
        <v>4</v>
      </c>
      <c r="Q2337">
        <v>6</v>
      </c>
      <c r="R2337">
        <v>686512</v>
      </c>
      <c r="S2337">
        <f>Table1[[#This Row],[Revenue]]-Table1[[#This Row],[Operating_Costs]]</f>
        <v>191055</v>
      </c>
      <c r="T2337">
        <v>495457</v>
      </c>
      <c r="U2337">
        <v>24</v>
      </c>
      <c r="V2337">
        <v>62</v>
      </c>
      <c r="W2337">
        <v>8.8000000000000007</v>
      </c>
    </row>
    <row r="2338" spans="1:23" x14ac:dyDescent="0.25">
      <c r="A2338">
        <v>6</v>
      </c>
      <c r="B2338" t="s">
        <v>70</v>
      </c>
      <c r="C2338" s="1">
        <v>44972</v>
      </c>
      <c r="D2338" t="s">
        <v>71</v>
      </c>
      <c r="E2338">
        <v>0</v>
      </c>
      <c r="F2338">
        <v>61</v>
      </c>
      <c r="G2338" t="str">
        <f t="shared" si="44"/>
        <v>61-80</v>
      </c>
      <c r="H2338" t="s">
        <v>35</v>
      </c>
      <c r="I2338" t="s">
        <v>55</v>
      </c>
      <c r="J2338" t="s">
        <v>56</v>
      </c>
      <c r="K2338" t="s">
        <v>42</v>
      </c>
      <c r="L2338">
        <v>1</v>
      </c>
      <c r="M2338">
        <v>1</v>
      </c>
      <c r="N2338">
        <v>3</v>
      </c>
      <c r="O2338">
        <v>9.9</v>
      </c>
      <c r="P2338">
        <v>5</v>
      </c>
      <c r="Q2338">
        <v>7</v>
      </c>
      <c r="R2338">
        <v>725342</v>
      </c>
      <c r="S2338">
        <f>Table1[[#This Row],[Revenue]]-Table1[[#This Row],[Operating_Costs]]</f>
        <v>195270</v>
      </c>
      <c r="T2338">
        <v>530072</v>
      </c>
      <c r="U2338">
        <v>26</v>
      </c>
      <c r="V2338">
        <v>55</v>
      </c>
      <c r="W2338">
        <v>13.5</v>
      </c>
    </row>
    <row r="2339" spans="1:23" x14ac:dyDescent="0.25">
      <c r="A2339">
        <v>6</v>
      </c>
      <c r="B2339" t="s">
        <v>70</v>
      </c>
      <c r="C2339" s="1">
        <v>45400</v>
      </c>
      <c r="D2339" t="s">
        <v>71</v>
      </c>
      <c r="E2339">
        <v>0</v>
      </c>
      <c r="F2339">
        <v>36</v>
      </c>
      <c r="G2339" t="str">
        <f t="shared" si="44"/>
        <v>21-40</v>
      </c>
      <c r="H2339" t="s">
        <v>35</v>
      </c>
      <c r="I2339" t="s">
        <v>40</v>
      </c>
      <c r="J2339" t="s">
        <v>41</v>
      </c>
      <c r="K2339" t="s">
        <v>42</v>
      </c>
      <c r="L2339">
        <v>1</v>
      </c>
      <c r="M2339">
        <v>1</v>
      </c>
      <c r="N2339">
        <v>2.6</v>
      </c>
      <c r="O2339">
        <v>8.3000000000000007</v>
      </c>
      <c r="P2339">
        <v>7</v>
      </c>
      <c r="Q2339">
        <v>7</v>
      </c>
      <c r="R2339">
        <v>678144</v>
      </c>
      <c r="S2339">
        <f>Table1[[#This Row],[Revenue]]-Table1[[#This Row],[Operating_Costs]]</f>
        <v>257272</v>
      </c>
      <c r="T2339">
        <v>420872</v>
      </c>
      <c r="U2339">
        <v>26</v>
      </c>
      <c r="V2339">
        <v>66</v>
      </c>
      <c r="W2339">
        <v>6.6</v>
      </c>
    </row>
    <row r="2340" spans="1:23" x14ac:dyDescent="0.25">
      <c r="A2340">
        <v>6</v>
      </c>
      <c r="B2340" t="s">
        <v>70</v>
      </c>
      <c r="C2340" s="1">
        <v>45195</v>
      </c>
      <c r="D2340" t="s">
        <v>71</v>
      </c>
      <c r="E2340">
        <v>0</v>
      </c>
      <c r="F2340">
        <v>52</v>
      </c>
      <c r="G2340" t="str">
        <f t="shared" si="44"/>
        <v>41-60</v>
      </c>
      <c r="H2340" t="s">
        <v>35</v>
      </c>
      <c r="I2340" t="s">
        <v>40</v>
      </c>
      <c r="J2340" t="s">
        <v>41</v>
      </c>
      <c r="K2340" t="s">
        <v>29</v>
      </c>
      <c r="L2340">
        <v>1</v>
      </c>
      <c r="M2340">
        <v>1</v>
      </c>
      <c r="N2340">
        <v>5.5</v>
      </c>
      <c r="O2340">
        <v>7.2</v>
      </c>
      <c r="P2340">
        <v>6</v>
      </c>
      <c r="Q2340">
        <v>3</v>
      </c>
      <c r="R2340">
        <v>739821</v>
      </c>
      <c r="S2340">
        <f>Table1[[#This Row],[Revenue]]-Table1[[#This Row],[Operating_Costs]]</f>
        <v>293190</v>
      </c>
      <c r="T2340">
        <v>446631</v>
      </c>
      <c r="U2340">
        <v>27</v>
      </c>
      <c r="V2340">
        <v>57</v>
      </c>
      <c r="W2340">
        <v>9.5</v>
      </c>
    </row>
    <row r="2341" spans="1:23" x14ac:dyDescent="0.25">
      <c r="A2341">
        <v>6</v>
      </c>
      <c r="B2341" t="s">
        <v>70</v>
      </c>
      <c r="C2341" s="1">
        <v>44564</v>
      </c>
      <c r="D2341" t="s">
        <v>71</v>
      </c>
      <c r="E2341">
        <v>0</v>
      </c>
      <c r="F2341">
        <v>29</v>
      </c>
      <c r="G2341" t="str">
        <f t="shared" si="44"/>
        <v>21-40</v>
      </c>
      <c r="H2341" t="s">
        <v>35</v>
      </c>
      <c r="I2341" t="s">
        <v>31</v>
      </c>
      <c r="J2341" t="s">
        <v>28</v>
      </c>
      <c r="K2341" t="s">
        <v>26</v>
      </c>
      <c r="L2341">
        <v>1</v>
      </c>
      <c r="M2341">
        <v>1</v>
      </c>
      <c r="N2341">
        <v>4.9000000000000004</v>
      </c>
      <c r="O2341">
        <v>9.1999999999999993</v>
      </c>
      <c r="P2341">
        <v>6</v>
      </c>
      <c r="Q2341">
        <v>5</v>
      </c>
      <c r="R2341">
        <v>668585</v>
      </c>
      <c r="S2341">
        <f>Table1[[#This Row],[Revenue]]-Table1[[#This Row],[Operating_Costs]]</f>
        <v>264114</v>
      </c>
      <c r="T2341">
        <v>404471</v>
      </c>
      <c r="U2341">
        <v>30</v>
      </c>
      <c r="V2341">
        <v>63</v>
      </c>
      <c r="W2341">
        <v>8</v>
      </c>
    </row>
    <row r="2342" spans="1:23" x14ac:dyDescent="0.25">
      <c r="A2342">
        <v>6</v>
      </c>
      <c r="B2342" t="s">
        <v>70</v>
      </c>
      <c r="C2342" s="1">
        <v>45250</v>
      </c>
      <c r="D2342" t="s">
        <v>71</v>
      </c>
      <c r="E2342">
        <v>0</v>
      </c>
      <c r="F2342">
        <v>34</v>
      </c>
      <c r="G2342" t="str">
        <f t="shared" si="44"/>
        <v>21-40</v>
      </c>
      <c r="H2342" t="s">
        <v>35</v>
      </c>
      <c r="I2342" t="s">
        <v>61</v>
      </c>
      <c r="J2342" t="s">
        <v>62</v>
      </c>
      <c r="K2342" t="s">
        <v>42</v>
      </c>
      <c r="L2342">
        <v>1</v>
      </c>
      <c r="M2342">
        <v>1</v>
      </c>
      <c r="N2342">
        <v>5.3</v>
      </c>
      <c r="O2342">
        <v>9.1999999999999993</v>
      </c>
      <c r="P2342">
        <v>6</v>
      </c>
      <c r="Q2342">
        <v>6</v>
      </c>
      <c r="R2342">
        <v>612846</v>
      </c>
      <c r="S2342">
        <f>Table1[[#This Row],[Revenue]]-Table1[[#This Row],[Operating_Costs]]</f>
        <v>43165</v>
      </c>
      <c r="T2342">
        <v>569681</v>
      </c>
      <c r="U2342">
        <v>27</v>
      </c>
      <c r="V2342">
        <v>55</v>
      </c>
      <c r="W2342">
        <v>36.1</v>
      </c>
    </row>
    <row r="2343" spans="1:23" x14ac:dyDescent="0.25">
      <c r="A2343">
        <v>6</v>
      </c>
      <c r="B2343" t="s">
        <v>70</v>
      </c>
      <c r="C2343" s="1">
        <v>45554</v>
      </c>
      <c r="D2343" t="s">
        <v>71</v>
      </c>
      <c r="E2343">
        <v>0</v>
      </c>
      <c r="F2343">
        <v>43</v>
      </c>
      <c r="G2343" t="str">
        <f t="shared" si="44"/>
        <v>41-60</v>
      </c>
      <c r="H2343" t="s">
        <v>35</v>
      </c>
      <c r="I2343" t="s">
        <v>55</v>
      </c>
      <c r="J2343" t="s">
        <v>56</v>
      </c>
      <c r="K2343" t="s">
        <v>33</v>
      </c>
      <c r="L2343">
        <v>1</v>
      </c>
      <c r="M2343">
        <v>1</v>
      </c>
      <c r="N2343">
        <v>6.1</v>
      </c>
      <c r="O2343">
        <v>8.6</v>
      </c>
      <c r="P2343">
        <v>3</v>
      </c>
      <c r="Q2343">
        <v>5</v>
      </c>
      <c r="R2343">
        <v>680720</v>
      </c>
      <c r="S2343">
        <f>Table1[[#This Row],[Revenue]]-Table1[[#This Row],[Operating_Costs]]</f>
        <v>120680</v>
      </c>
      <c r="T2343">
        <v>560040</v>
      </c>
      <c r="U2343">
        <v>25</v>
      </c>
      <c r="V2343">
        <v>60</v>
      </c>
      <c r="W2343">
        <v>9.5</v>
      </c>
    </row>
    <row r="2344" spans="1:23" x14ac:dyDescent="0.25">
      <c r="A2344">
        <v>6</v>
      </c>
      <c r="B2344" t="s">
        <v>70</v>
      </c>
      <c r="C2344" s="1">
        <v>44377</v>
      </c>
      <c r="D2344" t="s">
        <v>71</v>
      </c>
      <c r="E2344">
        <v>0</v>
      </c>
      <c r="F2344">
        <v>34</v>
      </c>
      <c r="G2344" t="str">
        <f t="shared" si="44"/>
        <v>21-40</v>
      </c>
      <c r="H2344" t="s">
        <v>35</v>
      </c>
      <c r="I2344" t="s">
        <v>60</v>
      </c>
      <c r="J2344" t="s">
        <v>59</v>
      </c>
      <c r="K2344" t="s">
        <v>26</v>
      </c>
      <c r="L2344">
        <v>1</v>
      </c>
      <c r="M2344">
        <v>1</v>
      </c>
      <c r="N2344">
        <v>5.9</v>
      </c>
      <c r="O2344">
        <v>9.1</v>
      </c>
      <c r="P2344">
        <v>7</v>
      </c>
      <c r="Q2344">
        <v>3</v>
      </c>
      <c r="R2344">
        <v>781731</v>
      </c>
      <c r="S2344">
        <f>Table1[[#This Row],[Revenue]]-Table1[[#This Row],[Operating_Costs]]</f>
        <v>204954</v>
      </c>
      <c r="T2344">
        <v>576777</v>
      </c>
      <c r="U2344">
        <v>25</v>
      </c>
      <c r="V2344">
        <v>59</v>
      </c>
      <c r="W2344">
        <v>8.1999999999999993</v>
      </c>
    </row>
    <row r="2345" spans="1:23" x14ac:dyDescent="0.25">
      <c r="A2345">
        <v>6</v>
      </c>
      <c r="B2345" t="s">
        <v>70</v>
      </c>
      <c r="C2345" s="1">
        <v>44569</v>
      </c>
      <c r="D2345" t="s">
        <v>71</v>
      </c>
      <c r="E2345">
        <v>0</v>
      </c>
      <c r="F2345">
        <v>77</v>
      </c>
      <c r="G2345" t="str">
        <f t="shared" si="44"/>
        <v>61-80</v>
      </c>
      <c r="H2345" t="s">
        <v>23</v>
      </c>
      <c r="I2345" t="s">
        <v>24</v>
      </c>
      <c r="J2345" t="s">
        <v>25</v>
      </c>
      <c r="K2345" t="s">
        <v>26</v>
      </c>
      <c r="L2345">
        <v>1</v>
      </c>
      <c r="M2345">
        <v>1</v>
      </c>
      <c r="N2345">
        <v>6.8</v>
      </c>
      <c r="O2345">
        <v>9.1</v>
      </c>
      <c r="P2345">
        <v>4</v>
      </c>
      <c r="Q2345">
        <v>7</v>
      </c>
      <c r="R2345">
        <v>768807</v>
      </c>
      <c r="S2345">
        <f>Table1[[#This Row],[Revenue]]-Table1[[#This Row],[Operating_Costs]]</f>
        <v>254652</v>
      </c>
      <c r="T2345">
        <v>514155</v>
      </c>
      <c r="U2345">
        <v>22</v>
      </c>
      <c r="V2345">
        <v>65</v>
      </c>
      <c r="W2345">
        <v>9.4</v>
      </c>
    </row>
    <row r="2346" spans="1:23" x14ac:dyDescent="0.25">
      <c r="A2346">
        <v>6</v>
      </c>
      <c r="B2346" t="s">
        <v>70</v>
      </c>
      <c r="C2346" s="1">
        <v>44603</v>
      </c>
      <c r="D2346" t="s">
        <v>71</v>
      </c>
      <c r="E2346">
        <v>0</v>
      </c>
      <c r="F2346">
        <v>67</v>
      </c>
      <c r="G2346" t="str">
        <f t="shared" si="44"/>
        <v>61-80</v>
      </c>
      <c r="H2346" t="s">
        <v>35</v>
      </c>
      <c r="I2346" t="s">
        <v>46</v>
      </c>
      <c r="J2346" t="s">
        <v>47</v>
      </c>
      <c r="K2346" t="s">
        <v>42</v>
      </c>
      <c r="L2346">
        <v>1</v>
      </c>
      <c r="M2346">
        <v>1</v>
      </c>
      <c r="N2346">
        <v>5.5</v>
      </c>
      <c r="O2346">
        <v>7.9</v>
      </c>
      <c r="P2346">
        <v>6</v>
      </c>
      <c r="Q2346">
        <v>7</v>
      </c>
      <c r="R2346">
        <v>758150</v>
      </c>
      <c r="S2346">
        <f>Table1[[#This Row],[Revenue]]-Table1[[#This Row],[Operating_Costs]]</f>
        <v>287945</v>
      </c>
      <c r="T2346">
        <v>470205</v>
      </c>
      <c r="U2346">
        <v>29</v>
      </c>
      <c r="V2346">
        <v>57</v>
      </c>
      <c r="W2346">
        <v>5</v>
      </c>
    </row>
    <row r="2347" spans="1:23" x14ac:dyDescent="0.25">
      <c r="A2347">
        <v>6</v>
      </c>
      <c r="B2347" t="s">
        <v>70</v>
      </c>
      <c r="C2347" s="1">
        <v>45594</v>
      </c>
      <c r="D2347" t="s">
        <v>71</v>
      </c>
      <c r="E2347">
        <v>0</v>
      </c>
      <c r="F2347">
        <v>65</v>
      </c>
      <c r="G2347" t="str">
        <f t="shared" si="44"/>
        <v>61-80</v>
      </c>
      <c r="H2347" t="s">
        <v>23</v>
      </c>
      <c r="I2347" t="s">
        <v>31</v>
      </c>
      <c r="J2347" t="s">
        <v>28</v>
      </c>
      <c r="K2347" t="s">
        <v>33</v>
      </c>
      <c r="L2347">
        <v>1</v>
      </c>
      <c r="M2347">
        <v>1</v>
      </c>
      <c r="N2347">
        <v>1.9</v>
      </c>
      <c r="O2347">
        <v>9.5</v>
      </c>
      <c r="P2347">
        <v>4</v>
      </c>
      <c r="Q2347">
        <v>6</v>
      </c>
      <c r="R2347">
        <v>798029</v>
      </c>
      <c r="S2347">
        <f>Table1[[#This Row],[Revenue]]-Table1[[#This Row],[Operating_Costs]]</f>
        <v>358562</v>
      </c>
      <c r="T2347">
        <v>439467</v>
      </c>
      <c r="U2347">
        <v>26</v>
      </c>
      <c r="V2347">
        <v>63</v>
      </c>
      <c r="W2347">
        <v>9.9</v>
      </c>
    </row>
    <row r="2348" spans="1:23" x14ac:dyDescent="0.25">
      <c r="A2348">
        <v>6</v>
      </c>
      <c r="B2348" t="s">
        <v>70</v>
      </c>
      <c r="C2348" s="1">
        <v>44315</v>
      </c>
      <c r="D2348" t="s">
        <v>71</v>
      </c>
      <c r="E2348">
        <v>0</v>
      </c>
      <c r="F2348">
        <v>46</v>
      </c>
      <c r="G2348" t="str">
        <f t="shared" si="44"/>
        <v>41-60</v>
      </c>
      <c r="H2348" t="s">
        <v>35</v>
      </c>
      <c r="I2348" t="s">
        <v>36</v>
      </c>
      <c r="J2348" t="s">
        <v>37</v>
      </c>
      <c r="K2348" t="s">
        <v>33</v>
      </c>
      <c r="L2348">
        <v>1</v>
      </c>
      <c r="M2348">
        <v>1</v>
      </c>
      <c r="N2348">
        <v>3.7</v>
      </c>
      <c r="O2348">
        <v>7.8</v>
      </c>
      <c r="P2348">
        <v>3</v>
      </c>
      <c r="Q2348">
        <v>6</v>
      </c>
      <c r="R2348">
        <v>636201</v>
      </c>
      <c r="S2348">
        <f>Table1[[#This Row],[Revenue]]-Table1[[#This Row],[Operating_Costs]]</f>
        <v>203750</v>
      </c>
      <c r="T2348">
        <v>432451</v>
      </c>
      <c r="U2348">
        <v>30</v>
      </c>
      <c r="V2348">
        <v>55</v>
      </c>
      <c r="W2348">
        <v>6.9</v>
      </c>
    </row>
    <row r="2349" spans="1:23" x14ac:dyDescent="0.25">
      <c r="A2349">
        <v>6</v>
      </c>
      <c r="B2349" t="s">
        <v>70</v>
      </c>
      <c r="C2349" s="1">
        <v>44708</v>
      </c>
      <c r="D2349" t="s">
        <v>71</v>
      </c>
      <c r="E2349">
        <v>0</v>
      </c>
      <c r="F2349">
        <v>52</v>
      </c>
      <c r="G2349" t="str">
        <f t="shared" si="44"/>
        <v>41-60</v>
      </c>
      <c r="H2349" t="s">
        <v>35</v>
      </c>
      <c r="I2349" t="s">
        <v>31</v>
      </c>
      <c r="J2349" t="s">
        <v>28</v>
      </c>
      <c r="K2349" t="s">
        <v>38</v>
      </c>
      <c r="L2349">
        <v>1</v>
      </c>
      <c r="M2349">
        <v>1</v>
      </c>
      <c r="N2349">
        <v>3.6</v>
      </c>
      <c r="O2349">
        <v>9</v>
      </c>
      <c r="P2349">
        <v>7</v>
      </c>
      <c r="Q2349">
        <v>6</v>
      </c>
      <c r="R2349">
        <v>732501</v>
      </c>
      <c r="S2349">
        <f>Table1[[#This Row],[Revenue]]-Table1[[#This Row],[Operating_Costs]]</f>
        <v>195569</v>
      </c>
      <c r="T2349">
        <v>536932</v>
      </c>
      <c r="U2349">
        <v>20</v>
      </c>
      <c r="V2349">
        <v>66</v>
      </c>
      <c r="W2349">
        <v>6.8</v>
      </c>
    </row>
    <row r="2350" spans="1:23" x14ac:dyDescent="0.25">
      <c r="A2350">
        <v>6</v>
      </c>
      <c r="B2350" t="s">
        <v>70</v>
      </c>
      <c r="C2350" s="1">
        <v>44654</v>
      </c>
      <c r="D2350" t="s">
        <v>71</v>
      </c>
      <c r="E2350">
        <v>0</v>
      </c>
      <c r="F2350">
        <v>39</v>
      </c>
      <c r="G2350" t="str">
        <f t="shared" si="44"/>
        <v>21-40</v>
      </c>
      <c r="H2350" t="s">
        <v>23</v>
      </c>
      <c r="I2350" t="s">
        <v>24</v>
      </c>
      <c r="J2350" t="s">
        <v>25</v>
      </c>
      <c r="K2350" t="s">
        <v>29</v>
      </c>
      <c r="L2350">
        <v>1</v>
      </c>
      <c r="M2350">
        <v>1</v>
      </c>
      <c r="N2350">
        <v>2.7</v>
      </c>
      <c r="O2350">
        <v>9.6</v>
      </c>
      <c r="P2350">
        <v>6</v>
      </c>
      <c r="Q2350">
        <v>4</v>
      </c>
      <c r="R2350">
        <v>622496</v>
      </c>
      <c r="S2350">
        <f>Table1[[#This Row],[Revenue]]-Table1[[#This Row],[Operating_Costs]]</f>
        <v>49574</v>
      </c>
      <c r="T2350">
        <v>572922</v>
      </c>
      <c r="U2350">
        <v>20</v>
      </c>
      <c r="V2350">
        <v>62</v>
      </c>
      <c r="W2350">
        <v>8.4</v>
      </c>
    </row>
    <row r="2351" spans="1:23" x14ac:dyDescent="0.25">
      <c r="A2351">
        <v>6</v>
      </c>
      <c r="B2351" t="s">
        <v>70</v>
      </c>
      <c r="C2351" s="1">
        <v>45005</v>
      </c>
      <c r="D2351" t="s">
        <v>71</v>
      </c>
      <c r="E2351">
        <v>0</v>
      </c>
      <c r="F2351">
        <v>54</v>
      </c>
      <c r="G2351" t="str">
        <f t="shared" si="44"/>
        <v>41-60</v>
      </c>
      <c r="H2351" t="s">
        <v>35</v>
      </c>
      <c r="I2351" t="s">
        <v>31</v>
      </c>
      <c r="J2351" t="s">
        <v>28</v>
      </c>
      <c r="K2351" t="s">
        <v>33</v>
      </c>
      <c r="L2351">
        <v>1</v>
      </c>
      <c r="M2351">
        <v>1</v>
      </c>
      <c r="N2351">
        <v>4.4000000000000004</v>
      </c>
      <c r="O2351">
        <v>9.1</v>
      </c>
      <c r="P2351">
        <v>5</v>
      </c>
      <c r="Q2351">
        <v>3</v>
      </c>
      <c r="R2351">
        <v>738615</v>
      </c>
      <c r="S2351">
        <f>Table1[[#This Row],[Revenue]]-Table1[[#This Row],[Operating_Costs]]</f>
        <v>176523</v>
      </c>
      <c r="T2351">
        <v>562092</v>
      </c>
      <c r="U2351">
        <v>29</v>
      </c>
      <c r="V2351">
        <v>56</v>
      </c>
      <c r="W2351">
        <v>14.6</v>
      </c>
    </row>
    <row r="2352" spans="1:23" x14ac:dyDescent="0.25">
      <c r="A2352">
        <v>6</v>
      </c>
      <c r="B2352" t="s">
        <v>70</v>
      </c>
      <c r="C2352" s="1">
        <v>44945</v>
      </c>
      <c r="D2352" t="s">
        <v>71</v>
      </c>
      <c r="E2352">
        <v>0</v>
      </c>
      <c r="F2352">
        <v>37</v>
      </c>
      <c r="G2352" t="str">
        <f t="shared" si="44"/>
        <v>21-40</v>
      </c>
      <c r="H2352" t="s">
        <v>35</v>
      </c>
      <c r="I2352" t="s">
        <v>36</v>
      </c>
      <c r="J2352" t="s">
        <v>37</v>
      </c>
      <c r="K2352" t="s">
        <v>33</v>
      </c>
      <c r="L2352">
        <v>1</v>
      </c>
      <c r="M2352">
        <v>1</v>
      </c>
      <c r="N2352">
        <v>6.5</v>
      </c>
      <c r="O2352">
        <v>8.5</v>
      </c>
      <c r="P2352">
        <v>7</v>
      </c>
      <c r="Q2352">
        <v>3</v>
      </c>
      <c r="R2352">
        <v>728745</v>
      </c>
      <c r="S2352">
        <f>Table1[[#This Row],[Revenue]]-Table1[[#This Row],[Operating_Costs]]</f>
        <v>249354</v>
      </c>
      <c r="T2352">
        <v>479391</v>
      </c>
      <c r="U2352">
        <v>23</v>
      </c>
      <c r="V2352">
        <v>56</v>
      </c>
      <c r="W2352">
        <v>10.6</v>
      </c>
    </row>
    <row r="2353" spans="1:23" x14ac:dyDescent="0.25">
      <c r="A2353">
        <v>6</v>
      </c>
      <c r="B2353" t="s">
        <v>70</v>
      </c>
      <c r="C2353" s="1">
        <v>45035</v>
      </c>
      <c r="D2353" t="s">
        <v>71</v>
      </c>
      <c r="E2353">
        <v>0</v>
      </c>
      <c r="F2353">
        <v>52</v>
      </c>
      <c r="G2353" t="str">
        <f t="shared" si="44"/>
        <v>41-60</v>
      </c>
      <c r="H2353" t="s">
        <v>23</v>
      </c>
      <c r="I2353" t="s">
        <v>24</v>
      </c>
      <c r="J2353" t="s">
        <v>25</v>
      </c>
      <c r="K2353" t="s">
        <v>42</v>
      </c>
      <c r="L2353">
        <v>1</v>
      </c>
      <c r="M2353">
        <v>1</v>
      </c>
      <c r="N2353">
        <v>2.5</v>
      </c>
      <c r="O2353">
        <v>8.5</v>
      </c>
      <c r="P2353">
        <v>6</v>
      </c>
      <c r="Q2353">
        <v>4</v>
      </c>
      <c r="R2353">
        <v>715379</v>
      </c>
      <c r="S2353">
        <f>Table1[[#This Row],[Revenue]]-Table1[[#This Row],[Operating_Costs]]</f>
        <v>145852</v>
      </c>
      <c r="T2353">
        <v>569527</v>
      </c>
      <c r="U2353">
        <v>26</v>
      </c>
      <c r="V2353">
        <v>65</v>
      </c>
      <c r="W2353">
        <v>7.1</v>
      </c>
    </row>
    <row r="2354" spans="1:23" x14ac:dyDescent="0.25">
      <c r="A2354">
        <v>6</v>
      </c>
      <c r="B2354" t="s">
        <v>70</v>
      </c>
      <c r="C2354" s="1">
        <v>44210</v>
      </c>
      <c r="D2354" t="s">
        <v>71</v>
      </c>
      <c r="E2354">
        <v>0</v>
      </c>
      <c r="F2354">
        <v>30</v>
      </c>
      <c r="G2354" t="str">
        <f t="shared" si="44"/>
        <v>21-40</v>
      </c>
      <c r="H2354" t="s">
        <v>23</v>
      </c>
      <c r="I2354" t="s">
        <v>24</v>
      </c>
      <c r="J2354" t="s">
        <v>25</v>
      </c>
      <c r="K2354" t="s">
        <v>33</v>
      </c>
      <c r="L2354">
        <v>1</v>
      </c>
      <c r="M2354">
        <v>1</v>
      </c>
      <c r="N2354">
        <v>3</v>
      </c>
      <c r="O2354">
        <v>8.4</v>
      </c>
      <c r="P2354">
        <v>6</v>
      </c>
      <c r="Q2354">
        <v>6</v>
      </c>
      <c r="R2354">
        <v>793620</v>
      </c>
      <c r="S2354">
        <f>Table1[[#This Row],[Revenue]]-Table1[[#This Row],[Operating_Costs]]</f>
        <v>249927</v>
      </c>
      <c r="T2354">
        <v>543693</v>
      </c>
      <c r="U2354">
        <v>26</v>
      </c>
      <c r="V2354">
        <v>62</v>
      </c>
      <c r="W2354">
        <v>14.4</v>
      </c>
    </row>
    <row r="2355" spans="1:23" x14ac:dyDescent="0.25">
      <c r="A2355">
        <v>6</v>
      </c>
      <c r="B2355" t="s">
        <v>70</v>
      </c>
      <c r="C2355" s="1">
        <v>44444</v>
      </c>
      <c r="D2355" t="s">
        <v>71</v>
      </c>
      <c r="E2355">
        <v>0</v>
      </c>
      <c r="F2355">
        <v>25</v>
      </c>
      <c r="G2355" t="str">
        <f t="shared" si="44"/>
        <v>21-40</v>
      </c>
      <c r="H2355" t="s">
        <v>23</v>
      </c>
      <c r="I2355" t="s">
        <v>43</v>
      </c>
      <c r="J2355" t="s">
        <v>25</v>
      </c>
      <c r="K2355" t="s">
        <v>33</v>
      </c>
      <c r="L2355">
        <v>1</v>
      </c>
      <c r="M2355">
        <v>1</v>
      </c>
      <c r="N2355">
        <v>2.4</v>
      </c>
      <c r="O2355">
        <v>7.2</v>
      </c>
      <c r="P2355">
        <v>6</v>
      </c>
      <c r="Q2355">
        <v>7</v>
      </c>
      <c r="R2355">
        <v>776585</v>
      </c>
      <c r="S2355">
        <f>Table1[[#This Row],[Revenue]]-Table1[[#This Row],[Operating_Costs]]</f>
        <v>259044</v>
      </c>
      <c r="T2355">
        <v>517541</v>
      </c>
      <c r="U2355">
        <v>21</v>
      </c>
      <c r="V2355">
        <v>59</v>
      </c>
      <c r="W2355">
        <v>12.5</v>
      </c>
    </row>
    <row r="2356" spans="1:23" x14ac:dyDescent="0.25">
      <c r="A2356">
        <v>6</v>
      </c>
      <c r="B2356" t="s">
        <v>70</v>
      </c>
      <c r="C2356" s="1">
        <v>44585</v>
      </c>
      <c r="D2356" t="s">
        <v>71</v>
      </c>
      <c r="E2356">
        <v>0</v>
      </c>
      <c r="F2356">
        <v>85</v>
      </c>
      <c r="G2356" t="str">
        <f t="shared" si="44"/>
        <v>81+</v>
      </c>
      <c r="H2356" t="s">
        <v>35</v>
      </c>
      <c r="I2356" t="s">
        <v>31</v>
      </c>
      <c r="J2356" t="s">
        <v>28</v>
      </c>
      <c r="K2356" t="s">
        <v>26</v>
      </c>
      <c r="L2356">
        <v>1</v>
      </c>
      <c r="M2356">
        <v>1</v>
      </c>
      <c r="N2356">
        <v>3.7</v>
      </c>
      <c r="O2356">
        <v>9.6999999999999993</v>
      </c>
      <c r="P2356">
        <v>5</v>
      </c>
      <c r="Q2356">
        <v>3</v>
      </c>
      <c r="R2356">
        <v>709779</v>
      </c>
      <c r="S2356">
        <f>Table1[[#This Row],[Revenue]]-Table1[[#This Row],[Operating_Costs]]</f>
        <v>147116</v>
      </c>
      <c r="T2356">
        <v>562663</v>
      </c>
      <c r="U2356">
        <v>28</v>
      </c>
      <c r="V2356">
        <v>65</v>
      </c>
      <c r="W2356">
        <v>10.4</v>
      </c>
    </row>
    <row r="2357" spans="1:23" x14ac:dyDescent="0.25">
      <c r="A2357">
        <v>6</v>
      </c>
      <c r="B2357" t="s">
        <v>70</v>
      </c>
      <c r="C2357" s="1">
        <v>45131</v>
      </c>
      <c r="D2357" t="s">
        <v>71</v>
      </c>
      <c r="E2357">
        <v>0</v>
      </c>
      <c r="F2357">
        <v>81</v>
      </c>
      <c r="G2357" t="str">
        <f t="shared" si="44"/>
        <v>81+</v>
      </c>
      <c r="H2357" t="s">
        <v>35</v>
      </c>
      <c r="I2357" t="s">
        <v>58</v>
      </c>
      <c r="J2357" t="s">
        <v>59</v>
      </c>
      <c r="K2357" t="s">
        <v>42</v>
      </c>
      <c r="L2357">
        <v>1</v>
      </c>
      <c r="M2357">
        <v>1</v>
      </c>
      <c r="N2357">
        <v>4.0999999999999996</v>
      </c>
      <c r="O2357">
        <v>8.5</v>
      </c>
      <c r="P2357">
        <v>7</v>
      </c>
      <c r="Q2357">
        <v>3</v>
      </c>
      <c r="R2357">
        <v>676261</v>
      </c>
      <c r="S2357">
        <f>Table1[[#This Row],[Revenue]]-Table1[[#This Row],[Operating_Costs]]</f>
        <v>109870</v>
      </c>
      <c r="T2357">
        <v>566391</v>
      </c>
      <c r="U2357">
        <v>20</v>
      </c>
      <c r="V2357">
        <v>65</v>
      </c>
      <c r="W2357">
        <v>14.4</v>
      </c>
    </row>
    <row r="2358" spans="1:23" x14ac:dyDescent="0.25">
      <c r="A2358">
        <v>6</v>
      </c>
      <c r="B2358" t="s">
        <v>70</v>
      </c>
      <c r="C2358" s="1">
        <v>44902</v>
      </c>
      <c r="D2358" t="s">
        <v>71</v>
      </c>
      <c r="E2358">
        <v>0</v>
      </c>
      <c r="F2358">
        <v>29</v>
      </c>
      <c r="G2358" t="str">
        <f t="shared" si="44"/>
        <v>21-40</v>
      </c>
      <c r="H2358" t="s">
        <v>23</v>
      </c>
      <c r="I2358" t="s">
        <v>24</v>
      </c>
      <c r="J2358" t="s">
        <v>25</v>
      </c>
      <c r="K2358" t="s">
        <v>29</v>
      </c>
      <c r="L2358">
        <v>1</v>
      </c>
      <c r="M2358">
        <v>1</v>
      </c>
      <c r="N2358">
        <v>6.1</v>
      </c>
      <c r="O2358">
        <v>8.4</v>
      </c>
      <c r="P2358">
        <v>3</v>
      </c>
      <c r="Q2358">
        <v>6</v>
      </c>
      <c r="R2358">
        <v>638534</v>
      </c>
      <c r="S2358">
        <f>Table1[[#This Row],[Revenue]]-Table1[[#This Row],[Operating_Costs]]</f>
        <v>209064</v>
      </c>
      <c r="T2358">
        <v>429470</v>
      </c>
      <c r="U2358">
        <v>30</v>
      </c>
      <c r="V2358">
        <v>59</v>
      </c>
      <c r="W2358">
        <v>36.5</v>
      </c>
    </row>
    <row r="2359" spans="1:23" x14ac:dyDescent="0.25">
      <c r="A2359">
        <v>6</v>
      </c>
      <c r="B2359" t="s">
        <v>70</v>
      </c>
      <c r="C2359" s="1">
        <v>44619</v>
      </c>
      <c r="D2359" t="s">
        <v>71</v>
      </c>
      <c r="E2359">
        <v>0</v>
      </c>
      <c r="F2359">
        <v>21</v>
      </c>
      <c r="G2359" t="str">
        <f t="shared" si="44"/>
        <v>21-40</v>
      </c>
      <c r="H2359" t="s">
        <v>35</v>
      </c>
      <c r="I2359" t="s">
        <v>46</v>
      </c>
      <c r="J2359" t="s">
        <v>47</v>
      </c>
      <c r="K2359" t="s">
        <v>29</v>
      </c>
      <c r="L2359">
        <v>1</v>
      </c>
      <c r="M2359">
        <v>1</v>
      </c>
      <c r="N2359">
        <v>4.3</v>
      </c>
      <c r="O2359">
        <v>9.3000000000000007</v>
      </c>
      <c r="P2359">
        <v>3</v>
      </c>
      <c r="Q2359">
        <v>4</v>
      </c>
      <c r="R2359">
        <v>746319</v>
      </c>
      <c r="S2359">
        <f>Table1[[#This Row],[Revenue]]-Table1[[#This Row],[Operating_Costs]]</f>
        <v>190315</v>
      </c>
      <c r="T2359">
        <v>556004</v>
      </c>
      <c r="U2359">
        <v>29</v>
      </c>
      <c r="V2359">
        <v>61</v>
      </c>
      <c r="W2359">
        <v>14.8</v>
      </c>
    </row>
    <row r="2360" spans="1:23" x14ac:dyDescent="0.25">
      <c r="A2360">
        <v>6</v>
      </c>
      <c r="B2360" t="s">
        <v>70</v>
      </c>
      <c r="C2360" s="1">
        <v>44450</v>
      </c>
      <c r="D2360" t="s">
        <v>71</v>
      </c>
      <c r="E2360">
        <v>0</v>
      </c>
      <c r="F2360">
        <v>25</v>
      </c>
      <c r="G2360" t="str">
        <f t="shared" si="44"/>
        <v>21-40</v>
      </c>
      <c r="H2360" t="s">
        <v>23</v>
      </c>
      <c r="I2360" t="s">
        <v>24</v>
      </c>
      <c r="J2360" t="s">
        <v>25</v>
      </c>
      <c r="K2360" t="s">
        <v>26</v>
      </c>
      <c r="L2360">
        <v>1</v>
      </c>
      <c r="M2360">
        <v>1</v>
      </c>
      <c r="N2360">
        <v>1.6</v>
      </c>
      <c r="O2360">
        <v>9.6999999999999993</v>
      </c>
      <c r="P2360">
        <v>3</v>
      </c>
      <c r="Q2360">
        <v>6</v>
      </c>
      <c r="R2360">
        <v>645897</v>
      </c>
      <c r="S2360">
        <f>Table1[[#This Row],[Revenue]]-Table1[[#This Row],[Operating_Costs]]</f>
        <v>151125</v>
      </c>
      <c r="T2360">
        <v>494772</v>
      </c>
      <c r="U2360">
        <v>25</v>
      </c>
      <c r="V2360">
        <v>58</v>
      </c>
      <c r="W2360">
        <v>7.6</v>
      </c>
    </row>
    <row r="2361" spans="1:23" x14ac:dyDescent="0.25">
      <c r="A2361">
        <v>6</v>
      </c>
      <c r="B2361" t="s">
        <v>70</v>
      </c>
      <c r="C2361" s="1">
        <v>44860</v>
      </c>
      <c r="D2361" t="s">
        <v>71</v>
      </c>
      <c r="E2361">
        <v>0</v>
      </c>
      <c r="F2361">
        <v>47</v>
      </c>
      <c r="G2361" t="str">
        <f t="shared" si="44"/>
        <v>41-60</v>
      </c>
      <c r="H2361" t="s">
        <v>23</v>
      </c>
      <c r="I2361" t="s">
        <v>64</v>
      </c>
      <c r="J2361" t="s">
        <v>65</v>
      </c>
      <c r="K2361" t="s">
        <v>38</v>
      </c>
      <c r="L2361">
        <v>1</v>
      </c>
      <c r="M2361">
        <v>1</v>
      </c>
      <c r="N2361">
        <v>4.2</v>
      </c>
      <c r="O2361">
        <v>8.8000000000000007</v>
      </c>
      <c r="P2361">
        <v>3</v>
      </c>
      <c r="Q2361">
        <v>5</v>
      </c>
      <c r="R2361">
        <v>749418</v>
      </c>
      <c r="S2361">
        <f>Table1[[#This Row],[Revenue]]-Table1[[#This Row],[Operating_Costs]]</f>
        <v>168815</v>
      </c>
      <c r="T2361">
        <v>580603</v>
      </c>
      <c r="U2361">
        <v>23</v>
      </c>
      <c r="V2361">
        <v>60</v>
      </c>
      <c r="W2361">
        <v>12.8</v>
      </c>
    </row>
    <row r="2362" spans="1:23" x14ac:dyDescent="0.25">
      <c r="A2362">
        <v>6</v>
      </c>
      <c r="B2362" t="s">
        <v>70</v>
      </c>
      <c r="C2362" s="1">
        <v>44578</v>
      </c>
      <c r="D2362" t="s">
        <v>71</v>
      </c>
      <c r="E2362">
        <v>0</v>
      </c>
      <c r="F2362">
        <v>22</v>
      </c>
      <c r="G2362" t="str">
        <f t="shared" si="44"/>
        <v>21-40</v>
      </c>
      <c r="H2362" t="s">
        <v>23</v>
      </c>
      <c r="I2362" t="s">
        <v>40</v>
      </c>
      <c r="J2362" t="s">
        <v>41</v>
      </c>
      <c r="K2362" t="s">
        <v>33</v>
      </c>
      <c r="L2362">
        <v>1</v>
      </c>
      <c r="M2362">
        <v>1</v>
      </c>
      <c r="N2362">
        <v>4.2</v>
      </c>
      <c r="O2362">
        <v>9</v>
      </c>
      <c r="P2362">
        <v>3</v>
      </c>
      <c r="Q2362">
        <v>6</v>
      </c>
      <c r="R2362">
        <v>607152</v>
      </c>
      <c r="S2362">
        <f>Table1[[#This Row],[Revenue]]-Table1[[#This Row],[Operating_Costs]]</f>
        <v>80778</v>
      </c>
      <c r="T2362">
        <v>526374</v>
      </c>
      <c r="U2362">
        <v>28</v>
      </c>
      <c r="V2362">
        <v>57</v>
      </c>
      <c r="W2362">
        <v>14.4</v>
      </c>
    </row>
    <row r="2363" spans="1:23" x14ac:dyDescent="0.25">
      <c r="A2363">
        <v>6</v>
      </c>
      <c r="B2363" t="s">
        <v>70</v>
      </c>
      <c r="C2363" s="1">
        <v>45152</v>
      </c>
      <c r="D2363" t="s">
        <v>71</v>
      </c>
      <c r="E2363">
        <v>0</v>
      </c>
      <c r="F2363">
        <v>90</v>
      </c>
      <c r="G2363" t="str">
        <f t="shared" si="44"/>
        <v>81+</v>
      </c>
      <c r="H2363" t="s">
        <v>35</v>
      </c>
      <c r="I2363" t="s">
        <v>58</v>
      </c>
      <c r="J2363" t="s">
        <v>59</v>
      </c>
      <c r="K2363" t="s">
        <v>38</v>
      </c>
      <c r="L2363">
        <v>1</v>
      </c>
      <c r="M2363">
        <v>1</v>
      </c>
      <c r="N2363">
        <v>5.7</v>
      </c>
      <c r="O2363">
        <v>7.9</v>
      </c>
      <c r="P2363">
        <v>3</v>
      </c>
      <c r="Q2363">
        <v>5</v>
      </c>
      <c r="R2363">
        <v>657769</v>
      </c>
      <c r="S2363">
        <f>Table1[[#This Row],[Revenue]]-Table1[[#This Row],[Operating_Costs]]</f>
        <v>169136</v>
      </c>
      <c r="T2363">
        <v>488633</v>
      </c>
      <c r="U2363">
        <v>26</v>
      </c>
      <c r="V2363">
        <v>64</v>
      </c>
      <c r="W2363">
        <v>6.1</v>
      </c>
    </row>
    <row r="2364" spans="1:23" x14ac:dyDescent="0.25">
      <c r="A2364">
        <v>6</v>
      </c>
      <c r="B2364" t="s">
        <v>70</v>
      </c>
      <c r="C2364" s="1">
        <v>45496</v>
      </c>
      <c r="D2364" t="s">
        <v>71</v>
      </c>
      <c r="E2364">
        <v>0</v>
      </c>
      <c r="F2364">
        <v>29</v>
      </c>
      <c r="G2364" t="str">
        <f t="shared" si="44"/>
        <v>21-40</v>
      </c>
      <c r="H2364" t="s">
        <v>23</v>
      </c>
      <c r="I2364" t="s">
        <v>24</v>
      </c>
      <c r="J2364" t="s">
        <v>25</v>
      </c>
      <c r="K2364" t="s">
        <v>29</v>
      </c>
      <c r="L2364">
        <v>1</v>
      </c>
      <c r="M2364">
        <v>1</v>
      </c>
      <c r="N2364">
        <v>6.9</v>
      </c>
      <c r="O2364">
        <v>7.8</v>
      </c>
      <c r="P2364">
        <v>5</v>
      </c>
      <c r="Q2364">
        <v>3</v>
      </c>
      <c r="R2364">
        <v>643244</v>
      </c>
      <c r="S2364">
        <f>Table1[[#This Row],[Revenue]]-Table1[[#This Row],[Operating_Costs]]</f>
        <v>179847</v>
      </c>
      <c r="T2364">
        <v>463397</v>
      </c>
      <c r="U2364">
        <v>25</v>
      </c>
      <c r="V2364">
        <v>60</v>
      </c>
      <c r="W2364">
        <v>9.3000000000000007</v>
      </c>
    </row>
    <row r="2365" spans="1:23" x14ac:dyDescent="0.25">
      <c r="A2365">
        <v>7</v>
      </c>
      <c r="B2365" t="s">
        <v>49</v>
      </c>
      <c r="C2365" s="1">
        <v>45497</v>
      </c>
      <c r="D2365" t="s">
        <v>71</v>
      </c>
      <c r="E2365">
        <v>0</v>
      </c>
      <c r="F2365">
        <v>33</v>
      </c>
      <c r="G2365" t="str">
        <f t="shared" si="44"/>
        <v>21-40</v>
      </c>
      <c r="H2365" t="s">
        <v>23</v>
      </c>
      <c r="I2365" t="s">
        <v>24</v>
      </c>
      <c r="J2365" t="s">
        <v>25</v>
      </c>
      <c r="K2365" t="s">
        <v>29</v>
      </c>
      <c r="L2365">
        <v>1</v>
      </c>
      <c r="M2365">
        <v>1</v>
      </c>
      <c r="N2365">
        <v>3.4</v>
      </c>
      <c r="O2365">
        <v>9.9</v>
      </c>
      <c r="P2365">
        <v>3</v>
      </c>
      <c r="Q2365">
        <v>4</v>
      </c>
      <c r="R2365">
        <v>875559</v>
      </c>
      <c r="S2365">
        <f>Table1[[#This Row],[Revenue]]-Table1[[#This Row],[Operating_Costs]]</f>
        <v>290279</v>
      </c>
      <c r="T2365">
        <v>585280</v>
      </c>
      <c r="U2365">
        <v>52</v>
      </c>
      <c r="V2365">
        <v>65</v>
      </c>
      <c r="W2365">
        <v>14.4</v>
      </c>
    </row>
    <row r="2366" spans="1:23" x14ac:dyDescent="0.25">
      <c r="A2366">
        <v>7</v>
      </c>
      <c r="B2366" t="s">
        <v>49</v>
      </c>
      <c r="C2366" s="1">
        <v>44597</v>
      </c>
      <c r="D2366" t="s">
        <v>71</v>
      </c>
      <c r="E2366">
        <v>0</v>
      </c>
      <c r="F2366">
        <v>46</v>
      </c>
      <c r="G2366" t="str">
        <f t="shared" si="44"/>
        <v>41-60</v>
      </c>
      <c r="H2366" t="s">
        <v>35</v>
      </c>
      <c r="I2366" t="s">
        <v>40</v>
      </c>
      <c r="J2366" t="s">
        <v>41</v>
      </c>
      <c r="K2366" t="s">
        <v>26</v>
      </c>
      <c r="L2366">
        <v>1</v>
      </c>
      <c r="M2366">
        <v>1</v>
      </c>
      <c r="N2366">
        <v>6.3</v>
      </c>
      <c r="O2366">
        <v>8.5</v>
      </c>
      <c r="P2366">
        <v>4</v>
      </c>
      <c r="Q2366">
        <v>4</v>
      </c>
      <c r="R2366">
        <v>719191</v>
      </c>
      <c r="S2366">
        <f>Table1[[#This Row],[Revenue]]-Table1[[#This Row],[Operating_Costs]]</f>
        <v>166998</v>
      </c>
      <c r="T2366">
        <v>552193</v>
      </c>
      <c r="U2366">
        <v>42</v>
      </c>
      <c r="V2366">
        <v>55</v>
      </c>
      <c r="W2366">
        <v>36.200000000000003</v>
      </c>
    </row>
    <row r="2367" spans="1:23" x14ac:dyDescent="0.25">
      <c r="A2367">
        <v>7</v>
      </c>
      <c r="B2367" t="s">
        <v>49</v>
      </c>
      <c r="C2367" s="1">
        <v>45076</v>
      </c>
      <c r="D2367" t="s">
        <v>71</v>
      </c>
      <c r="E2367">
        <v>0</v>
      </c>
      <c r="F2367">
        <v>30</v>
      </c>
      <c r="G2367" t="str">
        <f t="shared" si="44"/>
        <v>21-40</v>
      </c>
      <c r="H2367" t="s">
        <v>23</v>
      </c>
      <c r="I2367" t="s">
        <v>58</v>
      </c>
      <c r="J2367" t="s">
        <v>59</v>
      </c>
      <c r="K2367" t="s">
        <v>29</v>
      </c>
      <c r="L2367">
        <v>1</v>
      </c>
      <c r="M2367">
        <v>1</v>
      </c>
      <c r="N2367">
        <v>1.4</v>
      </c>
      <c r="O2367">
        <v>7.2</v>
      </c>
      <c r="P2367">
        <v>3</v>
      </c>
      <c r="Q2367">
        <v>4</v>
      </c>
      <c r="R2367">
        <v>661921</v>
      </c>
      <c r="S2367">
        <f>Table1[[#This Row],[Revenue]]-Table1[[#This Row],[Operating_Costs]]</f>
        <v>109302</v>
      </c>
      <c r="T2367">
        <v>552619</v>
      </c>
      <c r="U2367">
        <v>40</v>
      </c>
      <c r="V2367">
        <v>66</v>
      </c>
      <c r="W2367">
        <v>9.9</v>
      </c>
    </row>
    <row r="2368" spans="1:23" x14ac:dyDescent="0.25">
      <c r="A2368">
        <v>7</v>
      </c>
      <c r="B2368" t="s">
        <v>49</v>
      </c>
      <c r="C2368" s="1">
        <v>44738</v>
      </c>
      <c r="D2368" t="s">
        <v>71</v>
      </c>
      <c r="E2368">
        <v>0</v>
      </c>
      <c r="F2368">
        <v>32</v>
      </c>
      <c r="G2368" t="str">
        <f t="shared" si="44"/>
        <v>21-40</v>
      </c>
      <c r="H2368" t="s">
        <v>35</v>
      </c>
      <c r="I2368" t="s">
        <v>61</v>
      </c>
      <c r="J2368" t="s">
        <v>62</v>
      </c>
      <c r="K2368" t="s">
        <v>33</v>
      </c>
      <c r="L2368">
        <v>1</v>
      </c>
      <c r="M2368">
        <v>1</v>
      </c>
      <c r="N2368">
        <v>4.5</v>
      </c>
      <c r="O2368">
        <v>7.6</v>
      </c>
      <c r="P2368">
        <v>5</v>
      </c>
      <c r="Q2368">
        <v>4</v>
      </c>
      <c r="R2368">
        <v>832826</v>
      </c>
      <c r="S2368">
        <f>Table1[[#This Row],[Revenue]]-Table1[[#This Row],[Operating_Costs]]</f>
        <v>242005</v>
      </c>
      <c r="T2368">
        <v>590821</v>
      </c>
      <c r="U2368">
        <v>55</v>
      </c>
      <c r="V2368">
        <v>58</v>
      </c>
      <c r="W2368">
        <v>9.6</v>
      </c>
    </row>
    <row r="2369" spans="1:23" x14ac:dyDescent="0.25">
      <c r="A2369">
        <v>7</v>
      </c>
      <c r="B2369" t="s">
        <v>49</v>
      </c>
      <c r="C2369" s="1">
        <v>44958</v>
      </c>
      <c r="D2369" t="s">
        <v>71</v>
      </c>
      <c r="E2369">
        <v>0</v>
      </c>
      <c r="F2369">
        <v>67</v>
      </c>
      <c r="G2369" t="str">
        <f t="shared" si="44"/>
        <v>61-80</v>
      </c>
      <c r="H2369" t="s">
        <v>23</v>
      </c>
      <c r="I2369" t="s">
        <v>50</v>
      </c>
      <c r="J2369" t="s">
        <v>51</v>
      </c>
      <c r="K2369" t="s">
        <v>33</v>
      </c>
      <c r="L2369">
        <v>1</v>
      </c>
      <c r="M2369">
        <v>1</v>
      </c>
      <c r="N2369">
        <v>4.3</v>
      </c>
      <c r="O2369">
        <v>9.6</v>
      </c>
      <c r="P2369">
        <v>6</v>
      </c>
      <c r="Q2369">
        <v>3</v>
      </c>
      <c r="R2369">
        <v>767301</v>
      </c>
      <c r="S2369">
        <f>Table1[[#This Row],[Revenue]]-Table1[[#This Row],[Operating_Costs]]</f>
        <v>263603</v>
      </c>
      <c r="T2369">
        <v>503698</v>
      </c>
      <c r="U2369">
        <v>41</v>
      </c>
      <c r="V2369">
        <v>64</v>
      </c>
      <c r="W2369">
        <v>10.7</v>
      </c>
    </row>
    <row r="2370" spans="1:23" x14ac:dyDescent="0.25">
      <c r="A2370">
        <v>7</v>
      </c>
      <c r="B2370" t="s">
        <v>49</v>
      </c>
      <c r="C2370" s="1">
        <v>44235</v>
      </c>
      <c r="D2370" t="s">
        <v>71</v>
      </c>
      <c r="E2370">
        <v>0</v>
      </c>
      <c r="F2370">
        <v>75</v>
      </c>
      <c r="G2370" t="str">
        <f t="shared" si="44"/>
        <v>61-80</v>
      </c>
      <c r="H2370" t="s">
        <v>35</v>
      </c>
      <c r="I2370" t="s">
        <v>31</v>
      </c>
      <c r="J2370" t="s">
        <v>28</v>
      </c>
      <c r="K2370" t="s">
        <v>38</v>
      </c>
      <c r="L2370">
        <v>1</v>
      </c>
      <c r="M2370">
        <v>1</v>
      </c>
      <c r="N2370">
        <v>6.1</v>
      </c>
      <c r="O2370">
        <v>7.6</v>
      </c>
      <c r="P2370">
        <v>5</v>
      </c>
      <c r="Q2370">
        <v>6</v>
      </c>
      <c r="R2370">
        <v>843694</v>
      </c>
      <c r="S2370">
        <f>Table1[[#This Row],[Revenue]]-Table1[[#This Row],[Operating_Costs]]</f>
        <v>266499</v>
      </c>
      <c r="T2370">
        <v>577195</v>
      </c>
      <c r="U2370">
        <v>46</v>
      </c>
      <c r="V2370">
        <v>65</v>
      </c>
      <c r="W2370">
        <v>9.6</v>
      </c>
    </row>
    <row r="2371" spans="1:23" x14ac:dyDescent="0.25">
      <c r="A2371">
        <v>7</v>
      </c>
      <c r="B2371" t="s">
        <v>49</v>
      </c>
      <c r="C2371" s="1">
        <v>44968</v>
      </c>
      <c r="D2371" t="s">
        <v>71</v>
      </c>
      <c r="E2371">
        <v>0</v>
      </c>
      <c r="F2371">
        <v>44</v>
      </c>
      <c r="G2371" t="str">
        <f t="shared" ref="G2371:G2434" si="45">IF(F2371&lt;=20,"0-20",IF(F2371&lt;=40,"21-40",IF(F2371&lt;=60,"41-60",IF(F2371&lt;=80,"61-80","81+"))))</f>
        <v>41-60</v>
      </c>
      <c r="H2371" t="s">
        <v>35</v>
      </c>
      <c r="I2371" t="s">
        <v>46</v>
      </c>
      <c r="J2371" t="s">
        <v>47</v>
      </c>
      <c r="K2371" t="s">
        <v>26</v>
      </c>
      <c r="L2371">
        <v>1</v>
      </c>
      <c r="M2371">
        <v>1</v>
      </c>
      <c r="N2371">
        <v>2.5</v>
      </c>
      <c r="O2371">
        <v>9.6</v>
      </c>
      <c r="P2371">
        <v>6</v>
      </c>
      <c r="Q2371">
        <v>6</v>
      </c>
      <c r="R2371">
        <v>658001</v>
      </c>
      <c r="S2371">
        <f>Table1[[#This Row],[Revenue]]-Table1[[#This Row],[Operating_Costs]]</f>
        <v>83160</v>
      </c>
      <c r="T2371">
        <v>574841</v>
      </c>
      <c r="U2371">
        <v>46</v>
      </c>
      <c r="V2371">
        <v>64</v>
      </c>
      <c r="W2371">
        <v>36.299999999999997</v>
      </c>
    </row>
    <row r="2372" spans="1:23" x14ac:dyDescent="0.25">
      <c r="A2372">
        <v>7</v>
      </c>
      <c r="B2372" t="s">
        <v>49</v>
      </c>
      <c r="C2372" s="1">
        <v>45330</v>
      </c>
      <c r="D2372" t="s">
        <v>71</v>
      </c>
      <c r="E2372">
        <v>0</v>
      </c>
      <c r="F2372">
        <v>34</v>
      </c>
      <c r="G2372" t="str">
        <f t="shared" si="45"/>
        <v>21-40</v>
      </c>
      <c r="H2372" t="s">
        <v>35</v>
      </c>
      <c r="I2372" t="s">
        <v>40</v>
      </c>
      <c r="J2372" t="s">
        <v>41</v>
      </c>
      <c r="K2372" t="s">
        <v>42</v>
      </c>
      <c r="L2372">
        <v>1</v>
      </c>
      <c r="M2372">
        <v>1</v>
      </c>
      <c r="N2372">
        <v>2.1</v>
      </c>
      <c r="O2372">
        <v>8.3000000000000007</v>
      </c>
      <c r="P2372">
        <v>4</v>
      </c>
      <c r="Q2372">
        <v>4</v>
      </c>
      <c r="R2372">
        <v>835205</v>
      </c>
      <c r="S2372">
        <f>Table1[[#This Row],[Revenue]]-Table1[[#This Row],[Operating_Costs]]</f>
        <v>296900</v>
      </c>
      <c r="T2372">
        <v>538305</v>
      </c>
      <c r="U2372">
        <v>49</v>
      </c>
      <c r="V2372">
        <v>54</v>
      </c>
      <c r="W2372">
        <v>9.5</v>
      </c>
    </row>
    <row r="2373" spans="1:23" x14ac:dyDescent="0.25">
      <c r="A2373">
        <v>7</v>
      </c>
      <c r="B2373" t="s">
        <v>49</v>
      </c>
      <c r="C2373" s="1">
        <v>45569</v>
      </c>
      <c r="D2373" t="s">
        <v>71</v>
      </c>
      <c r="E2373">
        <v>0</v>
      </c>
      <c r="F2373">
        <v>38</v>
      </c>
      <c r="G2373" t="str">
        <f t="shared" si="45"/>
        <v>21-40</v>
      </c>
      <c r="H2373" t="s">
        <v>35</v>
      </c>
      <c r="I2373" t="s">
        <v>31</v>
      </c>
      <c r="J2373" t="s">
        <v>28</v>
      </c>
      <c r="K2373" t="s">
        <v>29</v>
      </c>
      <c r="L2373">
        <v>1</v>
      </c>
      <c r="M2373">
        <v>1</v>
      </c>
      <c r="N2373">
        <v>5.8</v>
      </c>
      <c r="O2373">
        <v>9.3000000000000007</v>
      </c>
      <c r="P2373">
        <v>5</v>
      </c>
      <c r="Q2373">
        <v>5</v>
      </c>
      <c r="R2373">
        <v>639641</v>
      </c>
      <c r="S2373">
        <f>Table1[[#This Row],[Revenue]]-Table1[[#This Row],[Operating_Costs]]</f>
        <v>136599</v>
      </c>
      <c r="T2373">
        <v>503042</v>
      </c>
      <c r="U2373">
        <v>60</v>
      </c>
      <c r="V2373">
        <v>62</v>
      </c>
      <c r="W2373">
        <v>10.4</v>
      </c>
    </row>
    <row r="2374" spans="1:23" x14ac:dyDescent="0.25">
      <c r="A2374">
        <v>6</v>
      </c>
      <c r="B2374" t="s">
        <v>70</v>
      </c>
      <c r="C2374" s="1">
        <v>45584</v>
      </c>
      <c r="D2374" t="s">
        <v>71</v>
      </c>
      <c r="E2374">
        <v>0</v>
      </c>
      <c r="F2374">
        <v>59</v>
      </c>
      <c r="G2374" t="str">
        <f t="shared" si="45"/>
        <v>41-60</v>
      </c>
      <c r="H2374" t="s">
        <v>35</v>
      </c>
      <c r="I2374" t="s">
        <v>31</v>
      </c>
      <c r="J2374" t="s">
        <v>28</v>
      </c>
      <c r="K2374" t="s">
        <v>42</v>
      </c>
      <c r="L2374">
        <v>1</v>
      </c>
      <c r="M2374">
        <v>1</v>
      </c>
      <c r="N2374">
        <v>3.6</v>
      </c>
      <c r="O2374">
        <v>8.6999999999999993</v>
      </c>
      <c r="P2374">
        <v>7</v>
      </c>
      <c r="Q2374">
        <v>5</v>
      </c>
      <c r="R2374">
        <v>645882</v>
      </c>
      <c r="S2374">
        <f>Table1[[#This Row],[Revenue]]-Table1[[#This Row],[Operating_Costs]]</f>
        <v>195112</v>
      </c>
      <c r="T2374">
        <v>450770</v>
      </c>
      <c r="U2374">
        <v>26</v>
      </c>
      <c r="V2374">
        <v>54</v>
      </c>
      <c r="W2374">
        <v>36.200000000000003</v>
      </c>
    </row>
    <row r="2375" spans="1:23" x14ac:dyDescent="0.25">
      <c r="A2375">
        <v>7</v>
      </c>
      <c r="B2375" t="s">
        <v>49</v>
      </c>
      <c r="C2375" s="1">
        <v>45337</v>
      </c>
      <c r="D2375" t="s">
        <v>71</v>
      </c>
      <c r="E2375">
        <v>0</v>
      </c>
      <c r="F2375">
        <v>46</v>
      </c>
      <c r="G2375" t="str">
        <f t="shared" si="45"/>
        <v>41-60</v>
      </c>
      <c r="H2375" t="s">
        <v>23</v>
      </c>
      <c r="I2375" t="s">
        <v>58</v>
      </c>
      <c r="J2375" t="s">
        <v>59</v>
      </c>
      <c r="K2375" t="s">
        <v>38</v>
      </c>
      <c r="L2375">
        <v>1</v>
      </c>
      <c r="M2375">
        <v>1</v>
      </c>
      <c r="N2375">
        <v>6.2</v>
      </c>
      <c r="O2375">
        <v>7.4</v>
      </c>
      <c r="P2375">
        <v>4</v>
      </c>
      <c r="Q2375">
        <v>7</v>
      </c>
      <c r="R2375">
        <v>799481</v>
      </c>
      <c r="S2375">
        <f>Table1[[#This Row],[Revenue]]-Table1[[#This Row],[Operating_Costs]]</f>
        <v>252937</v>
      </c>
      <c r="T2375">
        <v>546544</v>
      </c>
      <c r="U2375">
        <v>51</v>
      </c>
      <c r="V2375">
        <v>62</v>
      </c>
      <c r="W2375">
        <v>15</v>
      </c>
    </row>
    <row r="2376" spans="1:23" x14ac:dyDescent="0.25">
      <c r="A2376">
        <v>6</v>
      </c>
      <c r="B2376" t="s">
        <v>70</v>
      </c>
      <c r="C2376" s="1">
        <v>45387</v>
      </c>
      <c r="D2376" t="s">
        <v>71</v>
      </c>
      <c r="E2376">
        <v>0</v>
      </c>
      <c r="F2376">
        <v>60</v>
      </c>
      <c r="G2376" t="str">
        <f t="shared" si="45"/>
        <v>41-60</v>
      </c>
      <c r="H2376" t="s">
        <v>23</v>
      </c>
      <c r="I2376" t="s">
        <v>31</v>
      </c>
      <c r="J2376" t="s">
        <v>28</v>
      </c>
      <c r="K2376" t="s">
        <v>33</v>
      </c>
      <c r="L2376">
        <v>1</v>
      </c>
      <c r="M2376">
        <v>1</v>
      </c>
      <c r="N2376">
        <v>2</v>
      </c>
      <c r="O2376">
        <v>9.1999999999999993</v>
      </c>
      <c r="P2376">
        <v>5</v>
      </c>
      <c r="Q2376">
        <v>5</v>
      </c>
      <c r="R2376">
        <v>719385</v>
      </c>
      <c r="S2376">
        <f>Table1[[#This Row],[Revenue]]-Table1[[#This Row],[Operating_Costs]]</f>
        <v>246984</v>
      </c>
      <c r="T2376">
        <v>472401</v>
      </c>
      <c r="U2376">
        <v>22</v>
      </c>
      <c r="V2376">
        <v>58</v>
      </c>
      <c r="W2376">
        <v>5.4</v>
      </c>
    </row>
    <row r="2377" spans="1:23" x14ac:dyDescent="0.25">
      <c r="A2377">
        <v>7</v>
      </c>
      <c r="B2377" t="s">
        <v>49</v>
      </c>
      <c r="C2377" s="1">
        <v>44548</v>
      </c>
      <c r="D2377" t="s">
        <v>71</v>
      </c>
      <c r="E2377">
        <v>0</v>
      </c>
      <c r="F2377">
        <v>31</v>
      </c>
      <c r="G2377" t="str">
        <f t="shared" si="45"/>
        <v>21-40</v>
      </c>
      <c r="H2377" t="s">
        <v>23</v>
      </c>
      <c r="I2377" t="s">
        <v>58</v>
      </c>
      <c r="J2377" t="s">
        <v>59</v>
      </c>
      <c r="K2377" t="s">
        <v>42</v>
      </c>
      <c r="L2377">
        <v>1</v>
      </c>
      <c r="M2377">
        <v>1</v>
      </c>
      <c r="N2377">
        <v>2.6</v>
      </c>
      <c r="O2377">
        <v>9.6</v>
      </c>
      <c r="P2377">
        <v>7</v>
      </c>
      <c r="Q2377">
        <v>5</v>
      </c>
      <c r="R2377">
        <v>789817</v>
      </c>
      <c r="S2377">
        <f>Table1[[#This Row],[Revenue]]-Table1[[#This Row],[Operating_Costs]]</f>
        <v>272416</v>
      </c>
      <c r="T2377">
        <v>517401</v>
      </c>
      <c r="U2377">
        <v>55</v>
      </c>
      <c r="V2377">
        <v>62</v>
      </c>
      <c r="W2377">
        <v>5.3</v>
      </c>
    </row>
    <row r="2378" spans="1:23" x14ac:dyDescent="0.25">
      <c r="A2378">
        <v>7</v>
      </c>
      <c r="B2378" t="s">
        <v>49</v>
      </c>
      <c r="C2378" s="1">
        <v>44474</v>
      </c>
      <c r="D2378" t="s">
        <v>71</v>
      </c>
      <c r="E2378">
        <v>0</v>
      </c>
      <c r="F2378">
        <v>35</v>
      </c>
      <c r="G2378" t="str">
        <f t="shared" si="45"/>
        <v>21-40</v>
      </c>
      <c r="H2378" t="s">
        <v>35</v>
      </c>
      <c r="I2378" t="s">
        <v>50</v>
      </c>
      <c r="J2378" t="s">
        <v>51</v>
      </c>
      <c r="K2378" t="s">
        <v>33</v>
      </c>
      <c r="L2378">
        <v>1</v>
      </c>
      <c r="M2378">
        <v>1</v>
      </c>
      <c r="N2378">
        <v>2.5</v>
      </c>
      <c r="O2378">
        <v>8.6999999999999993</v>
      </c>
      <c r="P2378">
        <v>4</v>
      </c>
      <c r="Q2378">
        <v>6</v>
      </c>
      <c r="R2378">
        <v>867954</v>
      </c>
      <c r="S2378">
        <f>Table1[[#This Row],[Revenue]]-Table1[[#This Row],[Operating_Costs]]</f>
        <v>282721</v>
      </c>
      <c r="T2378">
        <v>585233</v>
      </c>
      <c r="U2378">
        <v>54</v>
      </c>
      <c r="V2378">
        <v>65</v>
      </c>
      <c r="W2378">
        <v>6.3</v>
      </c>
    </row>
    <row r="2379" spans="1:23" x14ac:dyDescent="0.25">
      <c r="A2379">
        <v>7</v>
      </c>
      <c r="B2379" t="s">
        <v>49</v>
      </c>
      <c r="C2379" s="1">
        <v>44824</v>
      </c>
      <c r="D2379" t="s">
        <v>71</v>
      </c>
      <c r="E2379">
        <v>0</v>
      </c>
      <c r="F2379">
        <v>40</v>
      </c>
      <c r="G2379" t="str">
        <f t="shared" si="45"/>
        <v>21-40</v>
      </c>
      <c r="H2379" t="s">
        <v>23</v>
      </c>
      <c r="I2379" t="s">
        <v>61</v>
      </c>
      <c r="J2379" t="s">
        <v>62</v>
      </c>
      <c r="K2379" t="s">
        <v>26</v>
      </c>
      <c r="L2379">
        <v>1</v>
      </c>
      <c r="M2379">
        <v>1</v>
      </c>
      <c r="N2379">
        <v>4.0999999999999996</v>
      </c>
      <c r="O2379">
        <v>7.2</v>
      </c>
      <c r="P2379">
        <v>6</v>
      </c>
      <c r="Q2379">
        <v>7</v>
      </c>
      <c r="R2379">
        <v>702932</v>
      </c>
      <c r="S2379">
        <f>Table1[[#This Row],[Revenue]]-Table1[[#This Row],[Operating_Costs]]</f>
        <v>149460</v>
      </c>
      <c r="T2379">
        <v>553472</v>
      </c>
      <c r="U2379">
        <v>52</v>
      </c>
      <c r="V2379">
        <v>57</v>
      </c>
      <c r="W2379">
        <v>5.6</v>
      </c>
    </row>
    <row r="2380" spans="1:23" x14ac:dyDescent="0.25">
      <c r="A2380">
        <v>6</v>
      </c>
      <c r="B2380" t="s">
        <v>70</v>
      </c>
      <c r="C2380" s="1">
        <v>44215</v>
      </c>
      <c r="D2380" t="s">
        <v>71</v>
      </c>
      <c r="E2380">
        <v>0</v>
      </c>
      <c r="F2380">
        <v>79</v>
      </c>
      <c r="G2380" t="str">
        <f t="shared" si="45"/>
        <v>61-80</v>
      </c>
      <c r="H2380" t="s">
        <v>23</v>
      </c>
      <c r="I2380" t="s">
        <v>24</v>
      </c>
      <c r="J2380" t="s">
        <v>25</v>
      </c>
      <c r="K2380" t="s">
        <v>42</v>
      </c>
      <c r="L2380">
        <v>1</v>
      </c>
      <c r="M2380">
        <v>1</v>
      </c>
      <c r="N2380">
        <v>1.5</v>
      </c>
      <c r="O2380">
        <v>9.6999999999999993</v>
      </c>
      <c r="P2380">
        <v>3</v>
      </c>
      <c r="Q2380">
        <v>4</v>
      </c>
      <c r="R2380">
        <v>734172</v>
      </c>
      <c r="S2380">
        <f>Table1[[#This Row],[Revenue]]-Table1[[#This Row],[Operating_Costs]]</f>
        <v>255622</v>
      </c>
      <c r="T2380">
        <v>478550</v>
      </c>
      <c r="U2380">
        <v>20</v>
      </c>
      <c r="V2380">
        <v>59</v>
      </c>
      <c r="W2380">
        <v>6.5</v>
      </c>
    </row>
    <row r="2381" spans="1:23" x14ac:dyDescent="0.25">
      <c r="A2381">
        <v>7</v>
      </c>
      <c r="B2381" t="s">
        <v>49</v>
      </c>
      <c r="C2381" s="1">
        <v>44565</v>
      </c>
      <c r="D2381" t="s">
        <v>71</v>
      </c>
      <c r="E2381">
        <v>0</v>
      </c>
      <c r="F2381">
        <v>37</v>
      </c>
      <c r="G2381" t="str">
        <f t="shared" si="45"/>
        <v>21-40</v>
      </c>
      <c r="H2381" t="s">
        <v>35</v>
      </c>
      <c r="I2381" t="s">
        <v>46</v>
      </c>
      <c r="J2381" t="s">
        <v>47</v>
      </c>
      <c r="K2381" t="s">
        <v>42</v>
      </c>
      <c r="L2381">
        <v>1</v>
      </c>
      <c r="M2381">
        <v>1</v>
      </c>
      <c r="N2381">
        <v>2.6</v>
      </c>
      <c r="O2381">
        <v>7.6</v>
      </c>
      <c r="P2381">
        <v>5</v>
      </c>
      <c r="Q2381">
        <v>3</v>
      </c>
      <c r="R2381">
        <v>605057</v>
      </c>
      <c r="S2381">
        <f>Table1[[#This Row],[Revenue]]-Table1[[#This Row],[Operating_Costs]]</f>
        <v>17000</v>
      </c>
      <c r="T2381">
        <v>588057</v>
      </c>
      <c r="U2381">
        <v>42</v>
      </c>
      <c r="V2381">
        <v>55</v>
      </c>
      <c r="W2381">
        <v>36.5</v>
      </c>
    </row>
    <row r="2382" spans="1:23" x14ac:dyDescent="0.25">
      <c r="A2382">
        <v>7</v>
      </c>
      <c r="B2382" t="s">
        <v>49</v>
      </c>
      <c r="C2382" s="1">
        <v>44790</v>
      </c>
      <c r="D2382" t="s">
        <v>71</v>
      </c>
      <c r="E2382">
        <v>0</v>
      </c>
      <c r="F2382">
        <v>73</v>
      </c>
      <c r="G2382" t="str">
        <f t="shared" si="45"/>
        <v>61-80</v>
      </c>
      <c r="H2382" t="s">
        <v>35</v>
      </c>
      <c r="I2382" t="s">
        <v>46</v>
      </c>
      <c r="J2382" t="s">
        <v>47</v>
      </c>
      <c r="K2382" t="s">
        <v>29</v>
      </c>
      <c r="L2382">
        <v>1</v>
      </c>
      <c r="M2382">
        <v>1</v>
      </c>
      <c r="N2382">
        <v>4.7</v>
      </c>
      <c r="O2382">
        <v>9.6</v>
      </c>
      <c r="P2382">
        <v>3</v>
      </c>
      <c r="Q2382">
        <v>7</v>
      </c>
      <c r="R2382">
        <v>675196</v>
      </c>
      <c r="S2382">
        <f>Table1[[#This Row],[Revenue]]-Table1[[#This Row],[Operating_Costs]]</f>
        <v>116900</v>
      </c>
      <c r="T2382">
        <v>558296</v>
      </c>
      <c r="U2382">
        <v>45</v>
      </c>
      <c r="V2382">
        <v>63</v>
      </c>
      <c r="W2382">
        <v>5.7</v>
      </c>
    </row>
    <row r="2383" spans="1:23" x14ac:dyDescent="0.25">
      <c r="A2383">
        <v>6</v>
      </c>
      <c r="B2383" t="s">
        <v>70</v>
      </c>
      <c r="C2383" s="1">
        <v>44197</v>
      </c>
      <c r="D2383" t="s">
        <v>71</v>
      </c>
      <c r="E2383">
        <v>0</v>
      </c>
      <c r="F2383">
        <v>74</v>
      </c>
      <c r="G2383" t="str">
        <f t="shared" si="45"/>
        <v>61-80</v>
      </c>
      <c r="H2383" t="s">
        <v>35</v>
      </c>
      <c r="I2383" t="s">
        <v>46</v>
      </c>
      <c r="J2383" t="s">
        <v>47</v>
      </c>
      <c r="K2383" t="s">
        <v>29</v>
      </c>
      <c r="L2383">
        <v>1</v>
      </c>
      <c r="M2383">
        <v>1</v>
      </c>
      <c r="N2383">
        <v>3.9</v>
      </c>
      <c r="O2383">
        <v>7.9</v>
      </c>
      <c r="P2383">
        <v>4</v>
      </c>
      <c r="Q2383">
        <v>4</v>
      </c>
      <c r="R2383">
        <v>736930</v>
      </c>
      <c r="S2383">
        <f>Table1[[#This Row],[Revenue]]-Table1[[#This Row],[Operating_Costs]]</f>
        <v>189968</v>
      </c>
      <c r="T2383">
        <v>546962</v>
      </c>
      <c r="U2383">
        <v>30</v>
      </c>
      <c r="V2383">
        <v>61</v>
      </c>
      <c r="W2383">
        <v>7.9</v>
      </c>
    </row>
    <row r="2384" spans="1:23" x14ac:dyDescent="0.25">
      <c r="A2384">
        <v>7</v>
      </c>
      <c r="B2384" t="s">
        <v>49</v>
      </c>
      <c r="C2384" s="1">
        <v>44471</v>
      </c>
      <c r="D2384" t="s">
        <v>71</v>
      </c>
      <c r="E2384">
        <v>0</v>
      </c>
      <c r="F2384">
        <v>36</v>
      </c>
      <c r="G2384" t="str">
        <f t="shared" si="45"/>
        <v>21-40</v>
      </c>
      <c r="H2384" t="s">
        <v>35</v>
      </c>
      <c r="I2384" t="s">
        <v>58</v>
      </c>
      <c r="J2384" t="s">
        <v>59</v>
      </c>
      <c r="K2384" t="s">
        <v>42</v>
      </c>
      <c r="L2384">
        <v>1</v>
      </c>
      <c r="M2384">
        <v>1</v>
      </c>
      <c r="N2384">
        <v>4.8</v>
      </c>
      <c r="O2384">
        <v>7.2</v>
      </c>
      <c r="P2384">
        <v>7</v>
      </c>
      <c r="Q2384">
        <v>3</v>
      </c>
      <c r="R2384">
        <v>660560</v>
      </c>
      <c r="S2384">
        <f>Table1[[#This Row],[Revenue]]-Table1[[#This Row],[Operating_Costs]]</f>
        <v>126370</v>
      </c>
      <c r="T2384">
        <v>534190</v>
      </c>
      <c r="U2384">
        <v>55</v>
      </c>
      <c r="V2384">
        <v>63</v>
      </c>
      <c r="W2384">
        <v>6.1</v>
      </c>
    </row>
    <row r="2385" spans="1:23" x14ac:dyDescent="0.25">
      <c r="A2385">
        <v>7</v>
      </c>
      <c r="B2385" t="s">
        <v>49</v>
      </c>
      <c r="C2385" s="1">
        <v>45220</v>
      </c>
      <c r="D2385" t="s">
        <v>71</v>
      </c>
      <c r="E2385">
        <v>0</v>
      </c>
      <c r="F2385">
        <v>78</v>
      </c>
      <c r="G2385" t="str">
        <f t="shared" si="45"/>
        <v>61-80</v>
      </c>
      <c r="H2385" t="s">
        <v>23</v>
      </c>
      <c r="I2385" t="s">
        <v>43</v>
      </c>
      <c r="J2385" t="s">
        <v>25</v>
      </c>
      <c r="K2385" t="s">
        <v>33</v>
      </c>
      <c r="L2385">
        <v>1</v>
      </c>
      <c r="M2385">
        <v>1</v>
      </c>
      <c r="N2385">
        <v>6.2</v>
      </c>
      <c r="O2385">
        <v>8</v>
      </c>
      <c r="P2385">
        <v>5</v>
      </c>
      <c r="Q2385">
        <v>4</v>
      </c>
      <c r="R2385">
        <v>854099</v>
      </c>
      <c r="S2385">
        <f>Table1[[#This Row],[Revenue]]-Table1[[#This Row],[Operating_Costs]]</f>
        <v>259220</v>
      </c>
      <c r="T2385">
        <v>594879</v>
      </c>
      <c r="U2385">
        <v>52</v>
      </c>
      <c r="V2385">
        <v>59</v>
      </c>
      <c r="W2385">
        <v>8.1</v>
      </c>
    </row>
    <row r="2386" spans="1:23" x14ac:dyDescent="0.25">
      <c r="A2386">
        <v>7</v>
      </c>
      <c r="B2386" t="s">
        <v>49</v>
      </c>
      <c r="C2386" s="1">
        <v>44509</v>
      </c>
      <c r="D2386" t="s">
        <v>71</v>
      </c>
      <c r="E2386">
        <v>0</v>
      </c>
      <c r="F2386">
        <v>42</v>
      </c>
      <c r="G2386" t="str">
        <f t="shared" si="45"/>
        <v>41-60</v>
      </c>
      <c r="H2386" t="s">
        <v>23</v>
      </c>
      <c r="I2386" t="s">
        <v>46</v>
      </c>
      <c r="J2386" t="s">
        <v>47</v>
      </c>
      <c r="K2386" t="s">
        <v>42</v>
      </c>
      <c r="L2386">
        <v>1</v>
      </c>
      <c r="M2386">
        <v>1</v>
      </c>
      <c r="N2386">
        <v>6.7</v>
      </c>
      <c r="O2386">
        <v>9.8000000000000007</v>
      </c>
      <c r="P2386">
        <v>3</v>
      </c>
      <c r="Q2386">
        <v>4</v>
      </c>
      <c r="R2386">
        <v>896294</v>
      </c>
      <c r="S2386">
        <f>Table1[[#This Row],[Revenue]]-Table1[[#This Row],[Operating_Costs]]</f>
        <v>328901</v>
      </c>
      <c r="T2386">
        <v>567393</v>
      </c>
      <c r="U2386">
        <v>41</v>
      </c>
      <c r="V2386">
        <v>59</v>
      </c>
      <c r="W2386">
        <v>36.9</v>
      </c>
    </row>
    <row r="2387" spans="1:23" x14ac:dyDescent="0.25">
      <c r="A2387">
        <v>6</v>
      </c>
      <c r="B2387" t="s">
        <v>70</v>
      </c>
      <c r="C2387" s="1">
        <v>45488</v>
      </c>
      <c r="D2387" t="s">
        <v>71</v>
      </c>
      <c r="E2387">
        <v>0</v>
      </c>
      <c r="F2387">
        <v>54</v>
      </c>
      <c r="G2387" t="str">
        <f t="shared" si="45"/>
        <v>41-60</v>
      </c>
      <c r="H2387" t="s">
        <v>23</v>
      </c>
      <c r="I2387" t="s">
        <v>24</v>
      </c>
      <c r="J2387" t="s">
        <v>25</v>
      </c>
      <c r="K2387" t="s">
        <v>42</v>
      </c>
      <c r="L2387">
        <v>1</v>
      </c>
      <c r="M2387">
        <v>1</v>
      </c>
      <c r="N2387">
        <v>6.2</v>
      </c>
      <c r="O2387">
        <v>7.3</v>
      </c>
      <c r="P2387">
        <v>6</v>
      </c>
      <c r="Q2387">
        <v>5</v>
      </c>
      <c r="R2387">
        <v>785710</v>
      </c>
      <c r="S2387">
        <f>Table1[[#This Row],[Revenue]]-Table1[[#This Row],[Operating_Costs]]</f>
        <v>324923</v>
      </c>
      <c r="T2387">
        <v>460787</v>
      </c>
      <c r="U2387">
        <v>22</v>
      </c>
      <c r="V2387">
        <v>61</v>
      </c>
      <c r="W2387">
        <v>8.6</v>
      </c>
    </row>
    <row r="2388" spans="1:23" x14ac:dyDescent="0.25">
      <c r="A2388">
        <v>7</v>
      </c>
      <c r="B2388" t="s">
        <v>49</v>
      </c>
      <c r="C2388" s="1">
        <v>44267</v>
      </c>
      <c r="D2388" t="s">
        <v>71</v>
      </c>
      <c r="E2388">
        <v>0</v>
      </c>
      <c r="F2388">
        <v>28</v>
      </c>
      <c r="G2388" t="str">
        <f t="shared" si="45"/>
        <v>21-40</v>
      </c>
      <c r="H2388" t="s">
        <v>35</v>
      </c>
      <c r="I2388" t="s">
        <v>40</v>
      </c>
      <c r="J2388" t="s">
        <v>41</v>
      </c>
      <c r="K2388" t="s">
        <v>33</v>
      </c>
      <c r="L2388">
        <v>1</v>
      </c>
      <c r="M2388">
        <v>1</v>
      </c>
      <c r="N2388">
        <v>5.2</v>
      </c>
      <c r="O2388">
        <v>8</v>
      </c>
      <c r="P2388">
        <v>4</v>
      </c>
      <c r="Q2388">
        <v>6</v>
      </c>
      <c r="R2388">
        <v>709358</v>
      </c>
      <c r="S2388">
        <f>Table1[[#This Row],[Revenue]]-Table1[[#This Row],[Operating_Costs]]</f>
        <v>200665</v>
      </c>
      <c r="T2388">
        <v>508693</v>
      </c>
      <c r="U2388">
        <v>50</v>
      </c>
      <c r="V2388">
        <v>60</v>
      </c>
      <c r="W2388">
        <v>12.1</v>
      </c>
    </row>
    <row r="2389" spans="1:23" x14ac:dyDescent="0.25">
      <c r="A2389">
        <v>6</v>
      </c>
      <c r="B2389" t="s">
        <v>70</v>
      </c>
      <c r="C2389" s="1">
        <v>44746</v>
      </c>
      <c r="D2389" t="s">
        <v>71</v>
      </c>
      <c r="E2389">
        <v>0</v>
      </c>
      <c r="F2389">
        <v>50</v>
      </c>
      <c r="G2389" t="str">
        <f t="shared" si="45"/>
        <v>41-60</v>
      </c>
      <c r="H2389" t="s">
        <v>35</v>
      </c>
      <c r="I2389" t="s">
        <v>31</v>
      </c>
      <c r="J2389" t="s">
        <v>28</v>
      </c>
      <c r="K2389" t="s">
        <v>29</v>
      </c>
      <c r="L2389">
        <v>1</v>
      </c>
      <c r="M2389">
        <v>1</v>
      </c>
      <c r="N2389">
        <v>4</v>
      </c>
      <c r="O2389">
        <v>8.1</v>
      </c>
      <c r="P2389">
        <v>5</v>
      </c>
      <c r="Q2389">
        <v>6</v>
      </c>
      <c r="R2389">
        <v>703263</v>
      </c>
      <c r="S2389">
        <f>Table1[[#This Row],[Revenue]]-Table1[[#This Row],[Operating_Costs]]</f>
        <v>186211</v>
      </c>
      <c r="T2389">
        <v>517052</v>
      </c>
      <c r="U2389">
        <v>28</v>
      </c>
      <c r="V2389">
        <v>57</v>
      </c>
      <c r="W2389">
        <v>8</v>
      </c>
    </row>
    <row r="2390" spans="1:23" x14ac:dyDescent="0.25">
      <c r="A2390">
        <v>7</v>
      </c>
      <c r="B2390" t="s">
        <v>49</v>
      </c>
      <c r="C2390" s="1">
        <v>44500</v>
      </c>
      <c r="D2390" t="s">
        <v>71</v>
      </c>
      <c r="E2390">
        <v>0</v>
      </c>
      <c r="F2390">
        <v>80</v>
      </c>
      <c r="G2390" t="str">
        <f t="shared" si="45"/>
        <v>61-80</v>
      </c>
      <c r="H2390" t="s">
        <v>35</v>
      </c>
      <c r="I2390" t="s">
        <v>36</v>
      </c>
      <c r="J2390" t="s">
        <v>37</v>
      </c>
      <c r="K2390" t="s">
        <v>42</v>
      </c>
      <c r="L2390">
        <v>1</v>
      </c>
      <c r="M2390">
        <v>1</v>
      </c>
      <c r="N2390">
        <v>4.4000000000000004</v>
      </c>
      <c r="O2390">
        <v>7.8</v>
      </c>
      <c r="P2390">
        <v>5</v>
      </c>
      <c r="Q2390">
        <v>5</v>
      </c>
      <c r="R2390">
        <v>868730</v>
      </c>
      <c r="S2390">
        <f>Table1[[#This Row],[Revenue]]-Table1[[#This Row],[Operating_Costs]]</f>
        <v>351641</v>
      </c>
      <c r="T2390">
        <v>517089</v>
      </c>
      <c r="U2390">
        <v>45</v>
      </c>
      <c r="V2390">
        <v>55</v>
      </c>
      <c r="W2390">
        <v>36.200000000000003</v>
      </c>
    </row>
    <row r="2391" spans="1:23" x14ac:dyDescent="0.25">
      <c r="A2391">
        <v>7</v>
      </c>
      <c r="B2391" t="s">
        <v>49</v>
      </c>
      <c r="C2391" s="1">
        <v>44512</v>
      </c>
      <c r="D2391" t="s">
        <v>71</v>
      </c>
      <c r="E2391">
        <v>0</v>
      </c>
      <c r="F2391">
        <v>27</v>
      </c>
      <c r="G2391" t="str">
        <f t="shared" si="45"/>
        <v>21-40</v>
      </c>
      <c r="H2391" t="s">
        <v>23</v>
      </c>
      <c r="I2391" t="s">
        <v>46</v>
      </c>
      <c r="J2391" t="s">
        <v>47</v>
      </c>
      <c r="K2391" t="s">
        <v>26</v>
      </c>
      <c r="L2391">
        <v>1</v>
      </c>
      <c r="M2391">
        <v>1</v>
      </c>
      <c r="N2391">
        <v>2.2000000000000002</v>
      </c>
      <c r="O2391">
        <v>7.1</v>
      </c>
      <c r="P2391">
        <v>7</v>
      </c>
      <c r="Q2391">
        <v>4</v>
      </c>
      <c r="R2391">
        <v>780833</v>
      </c>
      <c r="S2391">
        <f>Table1[[#This Row],[Revenue]]-Table1[[#This Row],[Operating_Costs]]</f>
        <v>267212</v>
      </c>
      <c r="T2391">
        <v>513621</v>
      </c>
      <c r="U2391">
        <v>50</v>
      </c>
      <c r="V2391">
        <v>60</v>
      </c>
      <c r="W2391">
        <v>6.4</v>
      </c>
    </row>
    <row r="2392" spans="1:23" x14ac:dyDescent="0.25">
      <c r="A2392">
        <v>7</v>
      </c>
      <c r="B2392" t="s">
        <v>49</v>
      </c>
      <c r="C2392" s="1">
        <v>45076</v>
      </c>
      <c r="D2392" t="s">
        <v>71</v>
      </c>
      <c r="E2392">
        <v>0</v>
      </c>
      <c r="F2392">
        <v>89</v>
      </c>
      <c r="G2392" t="str">
        <f t="shared" si="45"/>
        <v>81+</v>
      </c>
      <c r="H2392" t="s">
        <v>23</v>
      </c>
      <c r="I2392" t="s">
        <v>40</v>
      </c>
      <c r="J2392" t="s">
        <v>41</v>
      </c>
      <c r="K2392" t="s">
        <v>26</v>
      </c>
      <c r="L2392">
        <v>1</v>
      </c>
      <c r="M2392">
        <v>1</v>
      </c>
      <c r="N2392">
        <v>2.9</v>
      </c>
      <c r="O2392">
        <v>9.8000000000000007</v>
      </c>
      <c r="P2392">
        <v>7</v>
      </c>
      <c r="Q2392">
        <v>4</v>
      </c>
      <c r="R2392">
        <v>728309</v>
      </c>
      <c r="S2392">
        <f>Table1[[#This Row],[Revenue]]-Table1[[#This Row],[Operating_Costs]]</f>
        <v>176773</v>
      </c>
      <c r="T2392">
        <v>551536</v>
      </c>
      <c r="U2392">
        <v>56</v>
      </c>
      <c r="V2392">
        <v>60</v>
      </c>
      <c r="W2392">
        <v>36.6</v>
      </c>
    </row>
    <row r="2393" spans="1:23" x14ac:dyDescent="0.25">
      <c r="A2393">
        <v>6</v>
      </c>
      <c r="B2393" t="s">
        <v>70</v>
      </c>
      <c r="C2393" s="1">
        <v>44375</v>
      </c>
      <c r="D2393" t="s">
        <v>71</v>
      </c>
      <c r="E2393">
        <v>0</v>
      </c>
      <c r="F2393">
        <v>84</v>
      </c>
      <c r="G2393" t="str">
        <f t="shared" si="45"/>
        <v>81+</v>
      </c>
      <c r="H2393" t="s">
        <v>35</v>
      </c>
      <c r="I2393" t="s">
        <v>58</v>
      </c>
      <c r="J2393" t="s">
        <v>59</v>
      </c>
      <c r="K2393" t="s">
        <v>26</v>
      </c>
      <c r="L2393">
        <v>1</v>
      </c>
      <c r="M2393">
        <v>1</v>
      </c>
      <c r="N2393">
        <v>6.2</v>
      </c>
      <c r="O2393">
        <v>8.1999999999999993</v>
      </c>
      <c r="P2393">
        <v>7</v>
      </c>
      <c r="Q2393">
        <v>7</v>
      </c>
      <c r="R2393">
        <v>617612</v>
      </c>
      <c r="S2393">
        <f>Table1[[#This Row],[Revenue]]-Table1[[#This Row],[Operating_Costs]]</f>
        <v>131806</v>
      </c>
      <c r="T2393">
        <v>485806</v>
      </c>
      <c r="U2393">
        <v>28</v>
      </c>
      <c r="V2393">
        <v>62</v>
      </c>
      <c r="W2393">
        <v>14</v>
      </c>
    </row>
    <row r="2394" spans="1:23" x14ac:dyDescent="0.25">
      <c r="A2394">
        <v>7</v>
      </c>
      <c r="B2394" t="s">
        <v>49</v>
      </c>
      <c r="C2394" s="1">
        <v>44401</v>
      </c>
      <c r="D2394" t="s">
        <v>71</v>
      </c>
      <c r="E2394">
        <v>0</v>
      </c>
      <c r="F2394">
        <v>42</v>
      </c>
      <c r="G2394" t="str">
        <f t="shared" si="45"/>
        <v>41-60</v>
      </c>
      <c r="H2394" t="s">
        <v>23</v>
      </c>
      <c r="I2394" t="s">
        <v>24</v>
      </c>
      <c r="J2394" t="s">
        <v>25</v>
      </c>
      <c r="K2394" t="s">
        <v>33</v>
      </c>
      <c r="L2394">
        <v>1</v>
      </c>
      <c r="M2394">
        <v>1</v>
      </c>
      <c r="N2394">
        <v>2.9</v>
      </c>
      <c r="O2394">
        <v>9.9</v>
      </c>
      <c r="P2394">
        <v>4</v>
      </c>
      <c r="Q2394">
        <v>6</v>
      </c>
      <c r="R2394">
        <v>617298</v>
      </c>
      <c r="S2394">
        <f>Table1[[#This Row],[Revenue]]-Table1[[#This Row],[Operating_Costs]]</f>
        <v>64977</v>
      </c>
      <c r="T2394">
        <v>552321</v>
      </c>
      <c r="U2394">
        <v>57</v>
      </c>
      <c r="V2394">
        <v>60</v>
      </c>
      <c r="W2394">
        <v>9.5</v>
      </c>
    </row>
    <row r="2395" spans="1:23" x14ac:dyDescent="0.25">
      <c r="A2395">
        <v>7</v>
      </c>
      <c r="B2395" t="s">
        <v>49</v>
      </c>
      <c r="C2395" s="1">
        <v>44759</v>
      </c>
      <c r="D2395" t="s">
        <v>71</v>
      </c>
      <c r="E2395">
        <v>0</v>
      </c>
      <c r="F2395">
        <v>30</v>
      </c>
      <c r="G2395" t="str">
        <f t="shared" si="45"/>
        <v>21-40</v>
      </c>
      <c r="H2395" t="s">
        <v>23</v>
      </c>
      <c r="I2395" t="s">
        <v>24</v>
      </c>
      <c r="J2395" t="s">
        <v>25</v>
      </c>
      <c r="K2395" t="s">
        <v>38</v>
      </c>
      <c r="L2395">
        <v>1</v>
      </c>
      <c r="M2395">
        <v>1</v>
      </c>
      <c r="N2395">
        <v>3.1</v>
      </c>
      <c r="O2395">
        <v>8.6</v>
      </c>
      <c r="P2395">
        <v>3</v>
      </c>
      <c r="Q2395">
        <v>4</v>
      </c>
      <c r="R2395">
        <v>650416</v>
      </c>
      <c r="S2395">
        <f>Table1[[#This Row],[Revenue]]-Table1[[#This Row],[Operating_Costs]]</f>
        <v>80643</v>
      </c>
      <c r="T2395">
        <v>569773</v>
      </c>
      <c r="U2395">
        <v>44</v>
      </c>
      <c r="V2395">
        <v>56</v>
      </c>
      <c r="W2395">
        <v>14.9</v>
      </c>
    </row>
    <row r="2396" spans="1:23" x14ac:dyDescent="0.25">
      <c r="A2396">
        <v>7</v>
      </c>
      <c r="B2396" t="s">
        <v>49</v>
      </c>
      <c r="C2396" s="1">
        <v>44925</v>
      </c>
      <c r="D2396" t="s">
        <v>71</v>
      </c>
      <c r="E2396">
        <v>0</v>
      </c>
      <c r="F2396">
        <v>43</v>
      </c>
      <c r="G2396" t="str">
        <f t="shared" si="45"/>
        <v>41-60</v>
      </c>
      <c r="H2396" t="s">
        <v>35</v>
      </c>
      <c r="I2396" t="s">
        <v>31</v>
      </c>
      <c r="J2396" t="s">
        <v>28</v>
      </c>
      <c r="K2396" t="s">
        <v>33</v>
      </c>
      <c r="L2396">
        <v>1</v>
      </c>
      <c r="M2396">
        <v>1</v>
      </c>
      <c r="N2396">
        <v>2.2999999999999998</v>
      </c>
      <c r="O2396">
        <v>7.4</v>
      </c>
      <c r="P2396">
        <v>5</v>
      </c>
      <c r="Q2396">
        <v>4</v>
      </c>
      <c r="R2396">
        <v>862967</v>
      </c>
      <c r="S2396">
        <f>Table1[[#This Row],[Revenue]]-Table1[[#This Row],[Operating_Costs]]</f>
        <v>354886</v>
      </c>
      <c r="T2396">
        <v>508081</v>
      </c>
      <c r="U2396">
        <v>54</v>
      </c>
      <c r="V2396">
        <v>60</v>
      </c>
      <c r="W2396">
        <v>6.9</v>
      </c>
    </row>
    <row r="2397" spans="1:23" x14ac:dyDescent="0.25">
      <c r="A2397">
        <v>7</v>
      </c>
      <c r="B2397" t="s">
        <v>49</v>
      </c>
      <c r="C2397" s="1">
        <v>45571</v>
      </c>
      <c r="D2397" t="s">
        <v>71</v>
      </c>
      <c r="E2397">
        <v>0</v>
      </c>
      <c r="F2397">
        <v>39</v>
      </c>
      <c r="G2397" t="str">
        <f t="shared" si="45"/>
        <v>21-40</v>
      </c>
      <c r="H2397" t="s">
        <v>23</v>
      </c>
      <c r="I2397" t="s">
        <v>46</v>
      </c>
      <c r="J2397" t="s">
        <v>47</v>
      </c>
      <c r="K2397" t="s">
        <v>42</v>
      </c>
      <c r="L2397">
        <v>1</v>
      </c>
      <c r="M2397">
        <v>1</v>
      </c>
      <c r="N2397">
        <v>5.8</v>
      </c>
      <c r="O2397">
        <v>8.4</v>
      </c>
      <c r="P2397">
        <v>5</v>
      </c>
      <c r="Q2397">
        <v>7</v>
      </c>
      <c r="R2397">
        <v>744992</v>
      </c>
      <c r="S2397">
        <f>Table1[[#This Row],[Revenue]]-Table1[[#This Row],[Operating_Costs]]</f>
        <v>153690</v>
      </c>
      <c r="T2397">
        <v>591302</v>
      </c>
      <c r="U2397">
        <v>58</v>
      </c>
      <c r="V2397">
        <v>55</v>
      </c>
      <c r="W2397">
        <v>8.1</v>
      </c>
    </row>
    <row r="2398" spans="1:23" x14ac:dyDescent="0.25">
      <c r="A2398">
        <v>6</v>
      </c>
      <c r="B2398" t="s">
        <v>70</v>
      </c>
      <c r="C2398" s="1">
        <v>45562</v>
      </c>
      <c r="D2398" t="s">
        <v>71</v>
      </c>
      <c r="E2398">
        <v>0</v>
      </c>
      <c r="F2398">
        <v>37</v>
      </c>
      <c r="G2398" t="str">
        <f t="shared" si="45"/>
        <v>21-40</v>
      </c>
      <c r="H2398" t="s">
        <v>23</v>
      </c>
      <c r="I2398" t="s">
        <v>24</v>
      </c>
      <c r="J2398" t="s">
        <v>25</v>
      </c>
      <c r="K2398" t="s">
        <v>38</v>
      </c>
      <c r="L2398">
        <v>1</v>
      </c>
      <c r="M2398">
        <v>1</v>
      </c>
      <c r="N2398">
        <v>5.7</v>
      </c>
      <c r="O2398">
        <v>8.4</v>
      </c>
      <c r="P2398">
        <v>5</v>
      </c>
      <c r="Q2398">
        <v>5</v>
      </c>
      <c r="R2398">
        <v>744268</v>
      </c>
      <c r="S2398">
        <f>Table1[[#This Row],[Revenue]]-Table1[[#This Row],[Operating_Costs]]</f>
        <v>270770</v>
      </c>
      <c r="T2398">
        <v>473498</v>
      </c>
      <c r="U2398">
        <v>27</v>
      </c>
      <c r="V2398">
        <v>60</v>
      </c>
      <c r="W2398">
        <v>7.1</v>
      </c>
    </row>
    <row r="2399" spans="1:23" x14ac:dyDescent="0.25">
      <c r="A2399">
        <v>7</v>
      </c>
      <c r="B2399" t="s">
        <v>49</v>
      </c>
      <c r="C2399" s="1">
        <v>44460</v>
      </c>
      <c r="D2399" t="s">
        <v>71</v>
      </c>
      <c r="E2399">
        <v>0</v>
      </c>
      <c r="F2399">
        <v>66</v>
      </c>
      <c r="G2399" t="str">
        <f t="shared" si="45"/>
        <v>61-80</v>
      </c>
      <c r="H2399" t="s">
        <v>23</v>
      </c>
      <c r="I2399" t="s">
        <v>58</v>
      </c>
      <c r="J2399" t="s">
        <v>59</v>
      </c>
      <c r="K2399" t="s">
        <v>29</v>
      </c>
      <c r="L2399">
        <v>1</v>
      </c>
      <c r="M2399">
        <v>1</v>
      </c>
      <c r="N2399">
        <v>1.1000000000000001</v>
      </c>
      <c r="O2399">
        <v>9.9</v>
      </c>
      <c r="P2399">
        <v>4</v>
      </c>
      <c r="Q2399">
        <v>3</v>
      </c>
      <c r="R2399">
        <v>736565</v>
      </c>
      <c r="S2399">
        <f>Table1[[#This Row],[Revenue]]-Table1[[#This Row],[Operating_Costs]]</f>
        <v>200872</v>
      </c>
      <c r="T2399">
        <v>535693</v>
      </c>
      <c r="U2399">
        <v>54</v>
      </c>
      <c r="V2399">
        <v>57</v>
      </c>
      <c r="W2399">
        <v>36.1</v>
      </c>
    </row>
    <row r="2400" spans="1:23" x14ac:dyDescent="0.25">
      <c r="A2400">
        <v>7</v>
      </c>
      <c r="B2400" t="s">
        <v>49</v>
      </c>
      <c r="C2400" s="1">
        <v>44675</v>
      </c>
      <c r="D2400" t="s">
        <v>71</v>
      </c>
      <c r="E2400">
        <v>0</v>
      </c>
      <c r="F2400">
        <v>45</v>
      </c>
      <c r="G2400" t="str">
        <f t="shared" si="45"/>
        <v>41-60</v>
      </c>
      <c r="H2400" t="s">
        <v>35</v>
      </c>
      <c r="I2400" t="s">
        <v>36</v>
      </c>
      <c r="J2400" t="s">
        <v>37</v>
      </c>
      <c r="K2400" t="s">
        <v>42</v>
      </c>
      <c r="L2400">
        <v>1</v>
      </c>
      <c r="M2400">
        <v>1</v>
      </c>
      <c r="N2400">
        <v>1.1000000000000001</v>
      </c>
      <c r="O2400">
        <v>7.5</v>
      </c>
      <c r="P2400">
        <v>7</v>
      </c>
      <c r="Q2400">
        <v>6</v>
      </c>
      <c r="R2400">
        <v>612437</v>
      </c>
      <c r="S2400">
        <f>Table1[[#This Row],[Revenue]]-Table1[[#This Row],[Operating_Costs]]</f>
        <v>86836</v>
      </c>
      <c r="T2400">
        <v>525601</v>
      </c>
      <c r="U2400">
        <v>52</v>
      </c>
      <c r="V2400">
        <v>60</v>
      </c>
      <c r="W2400">
        <v>36.5</v>
      </c>
    </row>
    <row r="2401" spans="1:23" x14ac:dyDescent="0.25">
      <c r="A2401">
        <v>7</v>
      </c>
      <c r="B2401" t="s">
        <v>49</v>
      </c>
      <c r="C2401" s="1">
        <v>45133</v>
      </c>
      <c r="D2401" t="s">
        <v>71</v>
      </c>
      <c r="E2401">
        <v>0</v>
      </c>
      <c r="F2401">
        <v>64</v>
      </c>
      <c r="G2401" t="str">
        <f t="shared" si="45"/>
        <v>61-80</v>
      </c>
      <c r="H2401" t="s">
        <v>23</v>
      </c>
      <c r="I2401" t="s">
        <v>50</v>
      </c>
      <c r="J2401" t="s">
        <v>51</v>
      </c>
      <c r="K2401" t="s">
        <v>33</v>
      </c>
      <c r="L2401">
        <v>1</v>
      </c>
      <c r="M2401">
        <v>1</v>
      </c>
      <c r="N2401">
        <v>4.5999999999999996</v>
      </c>
      <c r="O2401">
        <v>7.6</v>
      </c>
      <c r="P2401">
        <v>6</v>
      </c>
      <c r="Q2401">
        <v>6</v>
      </c>
      <c r="R2401">
        <v>646715</v>
      </c>
      <c r="S2401">
        <f>Table1[[#This Row],[Revenue]]-Table1[[#This Row],[Operating_Costs]]</f>
        <v>135864</v>
      </c>
      <c r="T2401">
        <v>510851</v>
      </c>
      <c r="U2401">
        <v>50</v>
      </c>
      <c r="V2401">
        <v>58</v>
      </c>
      <c r="W2401">
        <v>6</v>
      </c>
    </row>
    <row r="2402" spans="1:23" x14ac:dyDescent="0.25">
      <c r="A2402">
        <v>7</v>
      </c>
      <c r="B2402" t="s">
        <v>49</v>
      </c>
      <c r="C2402" s="1">
        <v>45248</v>
      </c>
      <c r="D2402" t="s">
        <v>71</v>
      </c>
      <c r="E2402">
        <v>0</v>
      </c>
      <c r="F2402">
        <v>90</v>
      </c>
      <c r="G2402" t="str">
        <f t="shared" si="45"/>
        <v>81+</v>
      </c>
      <c r="H2402" t="s">
        <v>35</v>
      </c>
      <c r="I2402" t="s">
        <v>61</v>
      </c>
      <c r="J2402" t="s">
        <v>62</v>
      </c>
      <c r="K2402" t="s">
        <v>42</v>
      </c>
      <c r="L2402">
        <v>1</v>
      </c>
      <c r="M2402">
        <v>1</v>
      </c>
      <c r="N2402">
        <v>3</v>
      </c>
      <c r="O2402">
        <v>9.4</v>
      </c>
      <c r="P2402">
        <v>4</v>
      </c>
      <c r="Q2402">
        <v>3</v>
      </c>
      <c r="R2402">
        <v>840708</v>
      </c>
      <c r="S2402">
        <f>Table1[[#This Row],[Revenue]]-Table1[[#This Row],[Operating_Costs]]</f>
        <v>333794</v>
      </c>
      <c r="T2402">
        <v>506914</v>
      </c>
      <c r="U2402">
        <v>47</v>
      </c>
      <c r="V2402">
        <v>61</v>
      </c>
      <c r="W2402">
        <v>8.3000000000000007</v>
      </c>
    </row>
    <row r="2403" spans="1:23" x14ac:dyDescent="0.25">
      <c r="A2403">
        <v>7</v>
      </c>
      <c r="B2403" t="s">
        <v>49</v>
      </c>
      <c r="C2403" s="1">
        <v>44795</v>
      </c>
      <c r="D2403" t="s">
        <v>71</v>
      </c>
      <c r="E2403">
        <v>0</v>
      </c>
      <c r="F2403">
        <v>74</v>
      </c>
      <c r="G2403" t="str">
        <f t="shared" si="45"/>
        <v>61-80</v>
      </c>
      <c r="H2403" t="s">
        <v>23</v>
      </c>
      <c r="I2403" t="s">
        <v>61</v>
      </c>
      <c r="J2403" t="s">
        <v>62</v>
      </c>
      <c r="K2403" t="s">
        <v>29</v>
      </c>
      <c r="L2403">
        <v>1</v>
      </c>
      <c r="M2403">
        <v>1</v>
      </c>
      <c r="N2403">
        <v>5.4</v>
      </c>
      <c r="O2403">
        <v>7.3</v>
      </c>
      <c r="P2403">
        <v>3</v>
      </c>
      <c r="Q2403">
        <v>4</v>
      </c>
      <c r="R2403">
        <v>721706</v>
      </c>
      <c r="S2403">
        <f>Table1[[#This Row],[Revenue]]-Table1[[#This Row],[Operating_Costs]]</f>
        <v>192816</v>
      </c>
      <c r="T2403">
        <v>528890</v>
      </c>
      <c r="U2403">
        <v>57</v>
      </c>
      <c r="V2403">
        <v>62</v>
      </c>
      <c r="W2403">
        <v>6.6</v>
      </c>
    </row>
    <row r="2404" spans="1:23" x14ac:dyDescent="0.25">
      <c r="A2404">
        <v>7</v>
      </c>
      <c r="B2404" t="s">
        <v>49</v>
      </c>
      <c r="C2404" s="1">
        <v>44318</v>
      </c>
      <c r="D2404" t="s">
        <v>71</v>
      </c>
      <c r="E2404">
        <v>0</v>
      </c>
      <c r="F2404">
        <v>54</v>
      </c>
      <c r="G2404" t="str">
        <f t="shared" si="45"/>
        <v>41-60</v>
      </c>
      <c r="H2404" t="s">
        <v>23</v>
      </c>
      <c r="I2404" t="s">
        <v>31</v>
      </c>
      <c r="J2404" t="s">
        <v>28</v>
      </c>
      <c r="K2404" t="s">
        <v>38</v>
      </c>
      <c r="L2404">
        <v>1</v>
      </c>
      <c r="M2404">
        <v>1</v>
      </c>
      <c r="N2404">
        <v>5.3</v>
      </c>
      <c r="O2404">
        <v>7.5</v>
      </c>
      <c r="P2404">
        <v>6</v>
      </c>
      <c r="Q2404">
        <v>3</v>
      </c>
      <c r="R2404">
        <v>669101</v>
      </c>
      <c r="S2404">
        <f>Table1[[#This Row],[Revenue]]-Table1[[#This Row],[Operating_Costs]]</f>
        <v>145268</v>
      </c>
      <c r="T2404">
        <v>523833</v>
      </c>
      <c r="U2404">
        <v>43</v>
      </c>
      <c r="V2404">
        <v>57</v>
      </c>
      <c r="W2404">
        <v>9.6999999999999993</v>
      </c>
    </row>
    <row r="2405" spans="1:23" x14ac:dyDescent="0.25">
      <c r="A2405">
        <v>7</v>
      </c>
      <c r="B2405" t="s">
        <v>49</v>
      </c>
      <c r="C2405" s="1">
        <v>45366</v>
      </c>
      <c r="D2405" t="s">
        <v>71</v>
      </c>
      <c r="E2405">
        <v>0</v>
      </c>
      <c r="F2405">
        <v>30</v>
      </c>
      <c r="G2405" t="str">
        <f t="shared" si="45"/>
        <v>21-40</v>
      </c>
      <c r="H2405" t="s">
        <v>35</v>
      </c>
      <c r="I2405" t="s">
        <v>55</v>
      </c>
      <c r="J2405" t="s">
        <v>56</v>
      </c>
      <c r="K2405" t="s">
        <v>26</v>
      </c>
      <c r="L2405">
        <v>1</v>
      </c>
      <c r="M2405">
        <v>1</v>
      </c>
      <c r="N2405">
        <v>5.8</v>
      </c>
      <c r="O2405">
        <v>7.4</v>
      </c>
      <c r="P2405">
        <v>6</v>
      </c>
      <c r="Q2405">
        <v>4</v>
      </c>
      <c r="R2405">
        <v>805022</v>
      </c>
      <c r="S2405">
        <f>Table1[[#This Row],[Revenue]]-Table1[[#This Row],[Operating_Costs]]</f>
        <v>241744</v>
      </c>
      <c r="T2405">
        <v>563278</v>
      </c>
      <c r="U2405">
        <v>53</v>
      </c>
      <c r="V2405">
        <v>65</v>
      </c>
      <c r="W2405">
        <v>6.8</v>
      </c>
    </row>
    <row r="2406" spans="1:23" x14ac:dyDescent="0.25">
      <c r="A2406">
        <v>7</v>
      </c>
      <c r="B2406" t="s">
        <v>49</v>
      </c>
      <c r="C2406" s="1">
        <v>44806</v>
      </c>
      <c r="D2406" t="s">
        <v>71</v>
      </c>
      <c r="E2406">
        <v>0</v>
      </c>
      <c r="F2406">
        <v>90</v>
      </c>
      <c r="G2406" t="str">
        <f t="shared" si="45"/>
        <v>81+</v>
      </c>
      <c r="H2406" t="s">
        <v>35</v>
      </c>
      <c r="I2406" t="s">
        <v>50</v>
      </c>
      <c r="J2406" t="s">
        <v>51</v>
      </c>
      <c r="K2406" t="s">
        <v>33</v>
      </c>
      <c r="L2406">
        <v>1</v>
      </c>
      <c r="M2406">
        <v>1</v>
      </c>
      <c r="N2406">
        <v>1.3</v>
      </c>
      <c r="O2406">
        <v>7.5</v>
      </c>
      <c r="P2406">
        <v>3</v>
      </c>
      <c r="Q2406">
        <v>5</v>
      </c>
      <c r="R2406">
        <v>619300</v>
      </c>
      <c r="S2406">
        <f>Table1[[#This Row],[Revenue]]-Table1[[#This Row],[Operating_Costs]]</f>
        <v>93368</v>
      </c>
      <c r="T2406">
        <v>525932</v>
      </c>
      <c r="U2406">
        <v>41</v>
      </c>
      <c r="V2406">
        <v>66</v>
      </c>
      <c r="W2406">
        <v>7.2</v>
      </c>
    </row>
    <row r="2407" spans="1:23" x14ac:dyDescent="0.25">
      <c r="A2407">
        <v>7</v>
      </c>
      <c r="B2407" t="s">
        <v>49</v>
      </c>
      <c r="C2407" s="1">
        <v>44849</v>
      </c>
      <c r="D2407" t="s">
        <v>71</v>
      </c>
      <c r="E2407">
        <v>0</v>
      </c>
      <c r="F2407">
        <v>29</v>
      </c>
      <c r="G2407" t="str">
        <f t="shared" si="45"/>
        <v>21-40</v>
      </c>
      <c r="H2407" t="s">
        <v>23</v>
      </c>
      <c r="I2407" t="s">
        <v>67</v>
      </c>
      <c r="J2407" t="s">
        <v>68</v>
      </c>
      <c r="K2407" t="s">
        <v>29</v>
      </c>
      <c r="L2407">
        <v>1</v>
      </c>
      <c r="M2407">
        <v>1</v>
      </c>
      <c r="N2407">
        <v>5.9</v>
      </c>
      <c r="O2407">
        <v>9.1999999999999993</v>
      </c>
      <c r="P2407">
        <v>5</v>
      </c>
      <c r="Q2407">
        <v>3</v>
      </c>
      <c r="R2407">
        <v>688204</v>
      </c>
      <c r="S2407">
        <f>Table1[[#This Row],[Revenue]]-Table1[[#This Row],[Operating_Costs]]</f>
        <v>95795</v>
      </c>
      <c r="T2407">
        <v>592409</v>
      </c>
      <c r="U2407">
        <v>44</v>
      </c>
      <c r="V2407">
        <v>57</v>
      </c>
      <c r="W2407">
        <v>5.7</v>
      </c>
    </row>
    <row r="2408" spans="1:23" x14ac:dyDescent="0.25">
      <c r="A2408">
        <v>7</v>
      </c>
      <c r="B2408" t="s">
        <v>49</v>
      </c>
      <c r="C2408" s="1">
        <v>44591</v>
      </c>
      <c r="D2408" t="s">
        <v>71</v>
      </c>
      <c r="E2408">
        <v>0</v>
      </c>
      <c r="F2408">
        <v>34</v>
      </c>
      <c r="G2408" t="str">
        <f t="shared" si="45"/>
        <v>21-40</v>
      </c>
      <c r="H2408" t="s">
        <v>35</v>
      </c>
      <c r="I2408" t="s">
        <v>60</v>
      </c>
      <c r="J2408" t="s">
        <v>59</v>
      </c>
      <c r="K2408" t="s">
        <v>33</v>
      </c>
      <c r="L2408">
        <v>1</v>
      </c>
      <c r="M2408">
        <v>1</v>
      </c>
      <c r="N2408">
        <v>1.4</v>
      </c>
      <c r="O2408">
        <v>9.3000000000000007</v>
      </c>
      <c r="P2408">
        <v>5</v>
      </c>
      <c r="Q2408">
        <v>7</v>
      </c>
      <c r="R2408">
        <v>863939</v>
      </c>
      <c r="S2408">
        <f>Table1[[#This Row],[Revenue]]-Table1[[#This Row],[Operating_Costs]]</f>
        <v>356456</v>
      </c>
      <c r="T2408">
        <v>507483</v>
      </c>
      <c r="U2408">
        <v>43</v>
      </c>
      <c r="V2408">
        <v>65</v>
      </c>
      <c r="W2408">
        <v>7</v>
      </c>
    </row>
    <row r="2409" spans="1:23" x14ac:dyDescent="0.25">
      <c r="A2409">
        <v>7</v>
      </c>
      <c r="B2409" t="s">
        <v>49</v>
      </c>
      <c r="C2409" s="1">
        <v>45247</v>
      </c>
      <c r="D2409" t="s">
        <v>71</v>
      </c>
      <c r="E2409">
        <v>0</v>
      </c>
      <c r="F2409">
        <v>84</v>
      </c>
      <c r="G2409" t="str">
        <f t="shared" si="45"/>
        <v>81+</v>
      </c>
      <c r="H2409" t="s">
        <v>35</v>
      </c>
      <c r="I2409" t="s">
        <v>27</v>
      </c>
      <c r="J2409" t="s">
        <v>28</v>
      </c>
      <c r="K2409" t="s">
        <v>38</v>
      </c>
      <c r="L2409">
        <v>1</v>
      </c>
      <c r="M2409">
        <v>1</v>
      </c>
      <c r="N2409">
        <v>3.1</v>
      </c>
      <c r="O2409">
        <v>7.1</v>
      </c>
      <c r="P2409">
        <v>3</v>
      </c>
      <c r="Q2409">
        <v>5</v>
      </c>
      <c r="R2409">
        <v>670578</v>
      </c>
      <c r="S2409">
        <f>Table1[[#This Row],[Revenue]]-Table1[[#This Row],[Operating_Costs]]</f>
        <v>108900</v>
      </c>
      <c r="T2409">
        <v>561678</v>
      </c>
      <c r="U2409">
        <v>58</v>
      </c>
      <c r="V2409">
        <v>58</v>
      </c>
      <c r="W2409">
        <v>6.2</v>
      </c>
    </row>
    <row r="2410" spans="1:23" x14ac:dyDescent="0.25">
      <c r="A2410">
        <v>7</v>
      </c>
      <c r="B2410" t="s">
        <v>49</v>
      </c>
      <c r="C2410" s="1">
        <v>45591</v>
      </c>
      <c r="D2410" t="s">
        <v>71</v>
      </c>
      <c r="E2410">
        <v>0</v>
      </c>
      <c r="F2410">
        <v>43</v>
      </c>
      <c r="G2410" t="str">
        <f t="shared" si="45"/>
        <v>41-60</v>
      </c>
      <c r="H2410" t="s">
        <v>23</v>
      </c>
      <c r="I2410" t="s">
        <v>31</v>
      </c>
      <c r="J2410" t="s">
        <v>28</v>
      </c>
      <c r="K2410" t="s">
        <v>26</v>
      </c>
      <c r="L2410">
        <v>1</v>
      </c>
      <c r="M2410">
        <v>1</v>
      </c>
      <c r="N2410">
        <v>1.7</v>
      </c>
      <c r="O2410">
        <v>7.4</v>
      </c>
      <c r="P2410">
        <v>7</v>
      </c>
      <c r="Q2410">
        <v>3</v>
      </c>
      <c r="R2410">
        <v>714939</v>
      </c>
      <c r="S2410">
        <f>Table1[[#This Row],[Revenue]]-Table1[[#This Row],[Operating_Costs]]</f>
        <v>175453</v>
      </c>
      <c r="T2410">
        <v>539486</v>
      </c>
      <c r="U2410">
        <v>40</v>
      </c>
      <c r="V2410">
        <v>57</v>
      </c>
      <c r="W2410">
        <v>10</v>
      </c>
    </row>
    <row r="2411" spans="1:23" x14ac:dyDescent="0.25">
      <c r="A2411">
        <v>7</v>
      </c>
      <c r="B2411" t="s">
        <v>49</v>
      </c>
      <c r="C2411" s="1">
        <v>44565</v>
      </c>
      <c r="D2411" t="s">
        <v>71</v>
      </c>
      <c r="E2411">
        <v>0</v>
      </c>
      <c r="F2411">
        <v>26</v>
      </c>
      <c r="G2411" t="str">
        <f t="shared" si="45"/>
        <v>21-40</v>
      </c>
      <c r="H2411" t="s">
        <v>35</v>
      </c>
      <c r="I2411" t="s">
        <v>46</v>
      </c>
      <c r="J2411" t="s">
        <v>47</v>
      </c>
      <c r="K2411" t="s">
        <v>42</v>
      </c>
      <c r="L2411">
        <v>1</v>
      </c>
      <c r="M2411">
        <v>1</v>
      </c>
      <c r="N2411">
        <v>5.2</v>
      </c>
      <c r="O2411">
        <v>8.5</v>
      </c>
      <c r="P2411">
        <v>6</v>
      </c>
      <c r="Q2411">
        <v>5</v>
      </c>
      <c r="R2411">
        <v>736534</v>
      </c>
      <c r="S2411">
        <f>Table1[[#This Row],[Revenue]]-Table1[[#This Row],[Operating_Costs]]</f>
        <v>153979</v>
      </c>
      <c r="T2411">
        <v>582555</v>
      </c>
      <c r="U2411">
        <v>56</v>
      </c>
      <c r="V2411">
        <v>54</v>
      </c>
      <c r="W2411">
        <v>12.7</v>
      </c>
    </row>
    <row r="2412" spans="1:23" x14ac:dyDescent="0.25">
      <c r="A2412">
        <v>6</v>
      </c>
      <c r="B2412" t="s">
        <v>70</v>
      </c>
      <c r="C2412" s="1">
        <v>44297</v>
      </c>
      <c r="D2412" t="s">
        <v>71</v>
      </c>
      <c r="E2412">
        <v>0</v>
      </c>
      <c r="F2412">
        <v>48</v>
      </c>
      <c r="G2412" t="str">
        <f t="shared" si="45"/>
        <v>41-60</v>
      </c>
      <c r="H2412" t="s">
        <v>23</v>
      </c>
      <c r="I2412" t="s">
        <v>40</v>
      </c>
      <c r="J2412" t="s">
        <v>41</v>
      </c>
      <c r="K2412" t="s">
        <v>33</v>
      </c>
      <c r="L2412">
        <v>1</v>
      </c>
      <c r="M2412">
        <v>1</v>
      </c>
      <c r="N2412">
        <v>2.2000000000000002</v>
      </c>
      <c r="O2412">
        <v>8.3000000000000007</v>
      </c>
      <c r="P2412">
        <v>5</v>
      </c>
      <c r="Q2412">
        <v>5</v>
      </c>
      <c r="R2412">
        <v>764864</v>
      </c>
      <c r="S2412">
        <f>Table1[[#This Row],[Revenue]]-Table1[[#This Row],[Operating_Costs]]</f>
        <v>178361</v>
      </c>
      <c r="T2412">
        <v>586503</v>
      </c>
      <c r="U2412">
        <v>30</v>
      </c>
      <c r="V2412">
        <v>54</v>
      </c>
      <c r="W2412">
        <v>14.8</v>
      </c>
    </row>
    <row r="2413" spans="1:23" x14ac:dyDescent="0.25">
      <c r="A2413">
        <v>6</v>
      </c>
      <c r="B2413" t="s">
        <v>70</v>
      </c>
      <c r="C2413" s="1">
        <v>44447</v>
      </c>
      <c r="D2413" t="s">
        <v>71</v>
      </c>
      <c r="E2413">
        <v>0</v>
      </c>
      <c r="F2413">
        <v>46</v>
      </c>
      <c r="G2413" t="str">
        <f t="shared" si="45"/>
        <v>41-60</v>
      </c>
      <c r="H2413" t="s">
        <v>35</v>
      </c>
      <c r="I2413" t="s">
        <v>31</v>
      </c>
      <c r="J2413" t="s">
        <v>28</v>
      </c>
      <c r="K2413" t="s">
        <v>26</v>
      </c>
      <c r="L2413">
        <v>1</v>
      </c>
      <c r="M2413">
        <v>1</v>
      </c>
      <c r="N2413">
        <v>4.2</v>
      </c>
      <c r="O2413">
        <v>8.9</v>
      </c>
      <c r="P2413">
        <v>6</v>
      </c>
      <c r="Q2413">
        <v>5</v>
      </c>
      <c r="R2413">
        <v>727734</v>
      </c>
      <c r="S2413">
        <f>Table1[[#This Row],[Revenue]]-Table1[[#This Row],[Operating_Costs]]</f>
        <v>197914</v>
      </c>
      <c r="T2413">
        <v>529820</v>
      </c>
      <c r="U2413">
        <v>26</v>
      </c>
      <c r="V2413">
        <v>64</v>
      </c>
      <c r="W2413">
        <v>12.2</v>
      </c>
    </row>
    <row r="2414" spans="1:23" x14ac:dyDescent="0.25">
      <c r="A2414">
        <v>6</v>
      </c>
      <c r="B2414" t="s">
        <v>70</v>
      </c>
      <c r="C2414" s="1">
        <v>45202</v>
      </c>
      <c r="D2414" t="s">
        <v>71</v>
      </c>
      <c r="E2414">
        <v>0</v>
      </c>
      <c r="F2414">
        <v>39</v>
      </c>
      <c r="G2414" t="str">
        <f t="shared" si="45"/>
        <v>21-40</v>
      </c>
      <c r="H2414" t="s">
        <v>35</v>
      </c>
      <c r="I2414" t="s">
        <v>31</v>
      </c>
      <c r="J2414" t="s">
        <v>28</v>
      </c>
      <c r="K2414" t="s">
        <v>42</v>
      </c>
      <c r="L2414">
        <v>1</v>
      </c>
      <c r="M2414">
        <v>1</v>
      </c>
      <c r="N2414">
        <v>6.7</v>
      </c>
      <c r="O2414">
        <v>8.6</v>
      </c>
      <c r="P2414">
        <v>4</v>
      </c>
      <c r="Q2414">
        <v>5</v>
      </c>
      <c r="R2414">
        <v>755238</v>
      </c>
      <c r="S2414">
        <f>Table1[[#This Row],[Revenue]]-Table1[[#This Row],[Operating_Costs]]</f>
        <v>219068</v>
      </c>
      <c r="T2414">
        <v>536170</v>
      </c>
      <c r="U2414">
        <v>29</v>
      </c>
      <c r="V2414">
        <v>65</v>
      </c>
      <c r="W2414">
        <v>8.1</v>
      </c>
    </row>
    <row r="2415" spans="1:23" x14ac:dyDescent="0.25">
      <c r="A2415">
        <v>7</v>
      </c>
      <c r="B2415" t="s">
        <v>49</v>
      </c>
      <c r="C2415" s="1">
        <v>45120</v>
      </c>
      <c r="D2415" t="s">
        <v>71</v>
      </c>
      <c r="E2415">
        <v>0</v>
      </c>
      <c r="F2415">
        <v>53</v>
      </c>
      <c r="G2415" t="str">
        <f t="shared" si="45"/>
        <v>41-60</v>
      </c>
      <c r="H2415" t="s">
        <v>35</v>
      </c>
      <c r="I2415" t="s">
        <v>53</v>
      </c>
      <c r="J2415" t="s">
        <v>54</v>
      </c>
      <c r="K2415" t="s">
        <v>38</v>
      </c>
      <c r="L2415">
        <v>1</v>
      </c>
      <c r="M2415">
        <v>1</v>
      </c>
      <c r="N2415">
        <v>3.9</v>
      </c>
      <c r="O2415">
        <v>8.6999999999999993</v>
      </c>
      <c r="P2415">
        <v>7</v>
      </c>
      <c r="Q2415">
        <v>3</v>
      </c>
      <c r="R2415">
        <v>832228</v>
      </c>
      <c r="S2415">
        <f>Table1[[#This Row],[Revenue]]-Table1[[#This Row],[Operating_Costs]]</f>
        <v>316301</v>
      </c>
      <c r="T2415">
        <v>515927</v>
      </c>
      <c r="U2415">
        <v>54</v>
      </c>
      <c r="V2415">
        <v>62</v>
      </c>
      <c r="W2415">
        <v>13.3</v>
      </c>
    </row>
    <row r="2416" spans="1:23" x14ac:dyDescent="0.25">
      <c r="A2416">
        <v>7</v>
      </c>
      <c r="B2416" t="s">
        <v>49</v>
      </c>
      <c r="C2416" s="1">
        <v>45409</v>
      </c>
      <c r="D2416" t="s">
        <v>71</v>
      </c>
      <c r="E2416">
        <v>0</v>
      </c>
      <c r="F2416">
        <v>55</v>
      </c>
      <c r="G2416" t="str">
        <f t="shared" si="45"/>
        <v>41-60</v>
      </c>
      <c r="H2416" t="s">
        <v>35</v>
      </c>
      <c r="I2416" t="s">
        <v>58</v>
      </c>
      <c r="J2416" t="s">
        <v>59</v>
      </c>
      <c r="K2416" t="s">
        <v>33</v>
      </c>
      <c r="L2416">
        <v>1</v>
      </c>
      <c r="M2416">
        <v>1</v>
      </c>
      <c r="N2416">
        <v>5.2</v>
      </c>
      <c r="O2416">
        <v>9.4</v>
      </c>
      <c r="P2416">
        <v>5</v>
      </c>
      <c r="Q2416">
        <v>7</v>
      </c>
      <c r="R2416">
        <v>684190</v>
      </c>
      <c r="S2416">
        <f>Table1[[#This Row],[Revenue]]-Table1[[#This Row],[Operating_Costs]]</f>
        <v>176877</v>
      </c>
      <c r="T2416">
        <v>507313</v>
      </c>
      <c r="U2416">
        <v>41</v>
      </c>
      <c r="V2416">
        <v>65</v>
      </c>
      <c r="W2416">
        <v>14.9</v>
      </c>
    </row>
    <row r="2417" spans="1:23" x14ac:dyDescent="0.25">
      <c r="A2417">
        <v>7</v>
      </c>
      <c r="B2417" t="s">
        <v>49</v>
      </c>
      <c r="C2417" s="1">
        <v>44231</v>
      </c>
      <c r="D2417" t="s">
        <v>71</v>
      </c>
      <c r="E2417">
        <v>0</v>
      </c>
      <c r="F2417">
        <v>22</v>
      </c>
      <c r="G2417" t="str">
        <f t="shared" si="45"/>
        <v>21-40</v>
      </c>
      <c r="H2417" t="s">
        <v>35</v>
      </c>
      <c r="I2417" t="s">
        <v>31</v>
      </c>
      <c r="J2417" t="s">
        <v>28</v>
      </c>
      <c r="K2417" t="s">
        <v>42</v>
      </c>
      <c r="L2417">
        <v>1</v>
      </c>
      <c r="M2417">
        <v>1</v>
      </c>
      <c r="N2417">
        <v>5.3</v>
      </c>
      <c r="O2417">
        <v>8.9</v>
      </c>
      <c r="P2417">
        <v>3</v>
      </c>
      <c r="Q2417">
        <v>5</v>
      </c>
      <c r="R2417">
        <v>850472</v>
      </c>
      <c r="S2417">
        <f>Table1[[#This Row],[Revenue]]-Table1[[#This Row],[Operating_Costs]]</f>
        <v>297930</v>
      </c>
      <c r="T2417">
        <v>552542</v>
      </c>
      <c r="U2417">
        <v>42</v>
      </c>
      <c r="V2417">
        <v>55</v>
      </c>
      <c r="W2417">
        <v>7.8</v>
      </c>
    </row>
    <row r="2418" spans="1:23" x14ac:dyDescent="0.25">
      <c r="A2418">
        <v>7</v>
      </c>
      <c r="B2418" t="s">
        <v>49</v>
      </c>
      <c r="C2418" s="1">
        <v>45336</v>
      </c>
      <c r="D2418" t="s">
        <v>71</v>
      </c>
      <c r="E2418">
        <v>0</v>
      </c>
      <c r="F2418">
        <v>27</v>
      </c>
      <c r="G2418" t="str">
        <f t="shared" si="45"/>
        <v>21-40</v>
      </c>
      <c r="H2418" t="s">
        <v>35</v>
      </c>
      <c r="I2418" t="s">
        <v>60</v>
      </c>
      <c r="J2418" t="s">
        <v>59</v>
      </c>
      <c r="K2418" t="s">
        <v>42</v>
      </c>
      <c r="L2418">
        <v>1</v>
      </c>
      <c r="M2418">
        <v>1</v>
      </c>
      <c r="N2418">
        <v>1.4</v>
      </c>
      <c r="O2418">
        <v>10</v>
      </c>
      <c r="P2418">
        <v>4</v>
      </c>
      <c r="Q2418">
        <v>6</v>
      </c>
      <c r="R2418">
        <v>705466</v>
      </c>
      <c r="S2418">
        <f>Table1[[#This Row],[Revenue]]-Table1[[#This Row],[Operating_Costs]]</f>
        <v>117650</v>
      </c>
      <c r="T2418">
        <v>587816</v>
      </c>
      <c r="U2418">
        <v>41</v>
      </c>
      <c r="V2418">
        <v>57</v>
      </c>
      <c r="W2418">
        <v>5.6</v>
      </c>
    </row>
    <row r="2419" spans="1:23" x14ac:dyDescent="0.25">
      <c r="A2419">
        <v>7</v>
      </c>
      <c r="B2419" t="s">
        <v>49</v>
      </c>
      <c r="C2419" s="1">
        <v>44328</v>
      </c>
      <c r="D2419" t="s">
        <v>71</v>
      </c>
      <c r="E2419">
        <v>0</v>
      </c>
      <c r="F2419">
        <v>52</v>
      </c>
      <c r="G2419" t="str">
        <f t="shared" si="45"/>
        <v>41-60</v>
      </c>
      <c r="H2419" t="s">
        <v>35</v>
      </c>
      <c r="I2419" t="s">
        <v>53</v>
      </c>
      <c r="J2419" t="s">
        <v>54</v>
      </c>
      <c r="K2419" t="s">
        <v>29</v>
      </c>
      <c r="L2419">
        <v>1</v>
      </c>
      <c r="M2419">
        <v>1</v>
      </c>
      <c r="N2419">
        <v>3</v>
      </c>
      <c r="O2419">
        <v>9.8000000000000007</v>
      </c>
      <c r="P2419">
        <v>3</v>
      </c>
      <c r="Q2419">
        <v>3</v>
      </c>
      <c r="R2419">
        <v>648088</v>
      </c>
      <c r="S2419">
        <f>Table1[[#This Row],[Revenue]]-Table1[[#This Row],[Operating_Costs]]</f>
        <v>109765</v>
      </c>
      <c r="T2419">
        <v>538323</v>
      </c>
      <c r="U2419">
        <v>50</v>
      </c>
      <c r="V2419">
        <v>60</v>
      </c>
      <c r="W2419">
        <v>5.6</v>
      </c>
    </row>
    <row r="2420" spans="1:23" x14ac:dyDescent="0.25">
      <c r="A2420">
        <v>7</v>
      </c>
      <c r="B2420" t="s">
        <v>49</v>
      </c>
      <c r="C2420" s="1">
        <v>45645</v>
      </c>
      <c r="D2420" t="s">
        <v>71</v>
      </c>
      <c r="E2420">
        <v>0</v>
      </c>
      <c r="F2420">
        <v>36</v>
      </c>
      <c r="G2420" t="str">
        <f t="shared" si="45"/>
        <v>21-40</v>
      </c>
      <c r="H2420" t="s">
        <v>35</v>
      </c>
      <c r="I2420" t="s">
        <v>60</v>
      </c>
      <c r="J2420" t="s">
        <v>59</v>
      </c>
      <c r="K2420" t="s">
        <v>26</v>
      </c>
      <c r="L2420">
        <v>1</v>
      </c>
      <c r="M2420">
        <v>1</v>
      </c>
      <c r="N2420">
        <v>2</v>
      </c>
      <c r="O2420">
        <v>9.6999999999999993</v>
      </c>
      <c r="P2420">
        <v>3</v>
      </c>
      <c r="Q2420">
        <v>5</v>
      </c>
      <c r="R2420">
        <v>818052</v>
      </c>
      <c r="S2420">
        <f>Table1[[#This Row],[Revenue]]-Table1[[#This Row],[Operating_Costs]]</f>
        <v>234453</v>
      </c>
      <c r="T2420">
        <v>583599</v>
      </c>
      <c r="U2420">
        <v>53</v>
      </c>
      <c r="V2420">
        <v>63</v>
      </c>
      <c r="W2420">
        <v>14.2</v>
      </c>
    </row>
    <row r="2421" spans="1:23" x14ac:dyDescent="0.25">
      <c r="A2421">
        <v>7</v>
      </c>
      <c r="B2421" t="s">
        <v>49</v>
      </c>
      <c r="C2421" s="1">
        <v>44611</v>
      </c>
      <c r="D2421" t="s">
        <v>71</v>
      </c>
      <c r="E2421">
        <v>0</v>
      </c>
      <c r="F2421">
        <v>50</v>
      </c>
      <c r="G2421" t="str">
        <f t="shared" si="45"/>
        <v>41-60</v>
      </c>
      <c r="H2421" t="s">
        <v>23</v>
      </c>
      <c r="I2421" t="s">
        <v>61</v>
      </c>
      <c r="J2421" t="s">
        <v>62</v>
      </c>
      <c r="K2421" t="s">
        <v>42</v>
      </c>
      <c r="L2421">
        <v>1</v>
      </c>
      <c r="M2421">
        <v>1</v>
      </c>
      <c r="N2421">
        <v>6.8</v>
      </c>
      <c r="O2421">
        <v>9.6</v>
      </c>
      <c r="P2421">
        <v>5</v>
      </c>
      <c r="Q2421">
        <v>4</v>
      </c>
      <c r="R2421">
        <v>701330</v>
      </c>
      <c r="S2421">
        <f>Table1[[#This Row],[Revenue]]-Table1[[#This Row],[Operating_Costs]]</f>
        <v>190357</v>
      </c>
      <c r="T2421">
        <v>510973</v>
      </c>
      <c r="U2421">
        <v>44</v>
      </c>
      <c r="V2421">
        <v>57</v>
      </c>
      <c r="W2421">
        <v>36.200000000000003</v>
      </c>
    </row>
    <row r="2422" spans="1:23" x14ac:dyDescent="0.25">
      <c r="A2422">
        <v>7</v>
      </c>
      <c r="B2422" t="s">
        <v>49</v>
      </c>
      <c r="C2422" s="1">
        <v>44265</v>
      </c>
      <c r="D2422" t="s">
        <v>71</v>
      </c>
      <c r="E2422">
        <v>0</v>
      </c>
      <c r="F2422">
        <v>84</v>
      </c>
      <c r="G2422" t="str">
        <f t="shared" si="45"/>
        <v>81+</v>
      </c>
      <c r="H2422" t="s">
        <v>35</v>
      </c>
      <c r="I2422" t="s">
        <v>31</v>
      </c>
      <c r="J2422" t="s">
        <v>28</v>
      </c>
      <c r="K2422" t="s">
        <v>33</v>
      </c>
      <c r="L2422">
        <v>1</v>
      </c>
      <c r="M2422">
        <v>1</v>
      </c>
      <c r="N2422">
        <v>4.3</v>
      </c>
      <c r="O2422">
        <v>7.9</v>
      </c>
      <c r="P2422">
        <v>3</v>
      </c>
      <c r="Q2422">
        <v>7</v>
      </c>
      <c r="R2422">
        <v>676372</v>
      </c>
      <c r="S2422">
        <f>Table1[[#This Row],[Revenue]]-Table1[[#This Row],[Operating_Costs]]</f>
        <v>159721</v>
      </c>
      <c r="T2422">
        <v>516651</v>
      </c>
      <c r="U2422">
        <v>55</v>
      </c>
      <c r="V2422">
        <v>54</v>
      </c>
      <c r="W2422">
        <v>36.700000000000003</v>
      </c>
    </row>
    <row r="2423" spans="1:23" x14ac:dyDescent="0.25">
      <c r="A2423">
        <v>7</v>
      </c>
      <c r="B2423" t="s">
        <v>49</v>
      </c>
      <c r="C2423" s="1">
        <v>44758</v>
      </c>
      <c r="D2423" t="s">
        <v>71</v>
      </c>
      <c r="E2423">
        <v>0</v>
      </c>
      <c r="F2423">
        <v>60</v>
      </c>
      <c r="G2423" t="str">
        <f t="shared" si="45"/>
        <v>41-60</v>
      </c>
      <c r="H2423" t="s">
        <v>23</v>
      </c>
      <c r="I2423" t="s">
        <v>55</v>
      </c>
      <c r="J2423" t="s">
        <v>56</v>
      </c>
      <c r="K2423" t="s">
        <v>26</v>
      </c>
      <c r="L2423">
        <v>1</v>
      </c>
      <c r="M2423">
        <v>1</v>
      </c>
      <c r="N2423">
        <v>1.4</v>
      </c>
      <c r="O2423">
        <v>7.1</v>
      </c>
      <c r="P2423">
        <v>6</v>
      </c>
      <c r="Q2423">
        <v>3</v>
      </c>
      <c r="R2423">
        <v>812904</v>
      </c>
      <c r="S2423">
        <f>Table1[[#This Row],[Revenue]]-Table1[[#This Row],[Operating_Costs]]</f>
        <v>230499</v>
      </c>
      <c r="T2423">
        <v>582405</v>
      </c>
      <c r="U2423">
        <v>58</v>
      </c>
      <c r="V2423">
        <v>63</v>
      </c>
      <c r="W2423">
        <v>13.8</v>
      </c>
    </row>
    <row r="2424" spans="1:23" x14ac:dyDescent="0.25">
      <c r="A2424">
        <v>7</v>
      </c>
      <c r="B2424" t="s">
        <v>49</v>
      </c>
      <c r="C2424" s="1">
        <v>44678</v>
      </c>
      <c r="D2424" t="s">
        <v>71</v>
      </c>
      <c r="E2424">
        <v>0</v>
      </c>
      <c r="F2424">
        <v>70</v>
      </c>
      <c r="G2424" t="str">
        <f t="shared" si="45"/>
        <v>61-80</v>
      </c>
      <c r="H2424" t="s">
        <v>35</v>
      </c>
      <c r="I2424" t="s">
        <v>55</v>
      </c>
      <c r="J2424" t="s">
        <v>56</v>
      </c>
      <c r="K2424" t="s">
        <v>42</v>
      </c>
      <c r="L2424">
        <v>1</v>
      </c>
      <c r="M2424">
        <v>1</v>
      </c>
      <c r="N2424">
        <v>6.4</v>
      </c>
      <c r="O2424">
        <v>7.7</v>
      </c>
      <c r="P2424">
        <v>6</v>
      </c>
      <c r="Q2424">
        <v>4</v>
      </c>
      <c r="R2424">
        <v>887256</v>
      </c>
      <c r="S2424">
        <f>Table1[[#This Row],[Revenue]]-Table1[[#This Row],[Operating_Costs]]</f>
        <v>362577</v>
      </c>
      <c r="T2424">
        <v>524679</v>
      </c>
      <c r="U2424">
        <v>46</v>
      </c>
      <c r="V2424">
        <v>56</v>
      </c>
      <c r="W2424">
        <v>7.8</v>
      </c>
    </row>
    <row r="2425" spans="1:23" x14ac:dyDescent="0.25">
      <c r="A2425">
        <v>7</v>
      </c>
      <c r="B2425" t="s">
        <v>49</v>
      </c>
      <c r="C2425" s="1">
        <v>45400</v>
      </c>
      <c r="D2425" t="s">
        <v>71</v>
      </c>
      <c r="E2425">
        <v>0</v>
      </c>
      <c r="F2425">
        <v>46</v>
      </c>
      <c r="G2425" t="str">
        <f t="shared" si="45"/>
        <v>41-60</v>
      </c>
      <c r="H2425" t="s">
        <v>35</v>
      </c>
      <c r="I2425" t="s">
        <v>27</v>
      </c>
      <c r="J2425" t="s">
        <v>28</v>
      </c>
      <c r="K2425" t="s">
        <v>26</v>
      </c>
      <c r="L2425">
        <v>1</v>
      </c>
      <c r="M2425">
        <v>1</v>
      </c>
      <c r="N2425">
        <v>4.8</v>
      </c>
      <c r="O2425">
        <v>7.3</v>
      </c>
      <c r="P2425">
        <v>6</v>
      </c>
      <c r="Q2425">
        <v>3</v>
      </c>
      <c r="R2425">
        <v>675088</v>
      </c>
      <c r="S2425">
        <f>Table1[[#This Row],[Revenue]]-Table1[[#This Row],[Operating_Costs]]</f>
        <v>94185</v>
      </c>
      <c r="T2425">
        <v>580903</v>
      </c>
      <c r="U2425">
        <v>46</v>
      </c>
      <c r="V2425">
        <v>66</v>
      </c>
      <c r="W2425">
        <v>12.8</v>
      </c>
    </row>
    <row r="2426" spans="1:23" x14ac:dyDescent="0.25">
      <c r="A2426">
        <v>7</v>
      </c>
      <c r="B2426" t="s">
        <v>49</v>
      </c>
      <c r="C2426" s="1">
        <v>44266</v>
      </c>
      <c r="D2426" t="s">
        <v>71</v>
      </c>
      <c r="E2426">
        <v>0</v>
      </c>
      <c r="F2426">
        <v>62</v>
      </c>
      <c r="G2426" t="str">
        <f t="shared" si="45"/>
        <v>61-80</v>
      </c>
      <c r="H2426" t="s">
        <v>35</v>
      </c>
      <c r="I2426" t="s">
        <v>64</v>
      </c>
      <c r="J2426" t="s">
        <v>65</v>
      </c>
      <c r="K2426" t="s">
        <v>33</v>
      </c>
      <c r="L2426">
        <v>1</v>
      </c>
      <c r="M2426">
        <v>1</v>
      </c>
      <c r="N2426">
        <v>5.5</v>
      </c>
      <c r="O2426">
        <v>9.5</v>
      </c>
      <c r="P2426">
        <v>7</v>
      </c>
      <c r="Q2426">
        <v>4</v>
      </c>
      <c r="R2426">
        <v>821238</v>
      </c>
      <c r="S2426">
        <f>Table1[[#This Row],[Revenue]]-Table1[[#This Row],[Operating_Costs]]</f>
        <v>224384</v>
      </c>
      <c r="T2426">
        <v>596854</v>
      </c>
      <c r="U2426">
        <v>40</v>
      </c>
      <c r="V2426">
        <v>55</v>
      </c>
      <c r="W2426">
        <v>12.9</v>
      </c>
    </row>
    <row r="2427" spans="1:23" x14ac:dyDescent="0.25">
      <c r="A2427">
        <v>7</v>
      </c>
      <c r="B2427" t="s">
        <v>49</v>
      </c>
      <c r="C2427" s="1">
        <v>44304</v>
      </c>
      <c r="D2427" t="s">
        <v>71</v>
      </c>
      <c r="E2427">
        <v>0</v>
      </c>
      <c r="F2427">
        <v>35</v>
      </c>
      <c r="G2427" t="str">
        <f t="shared" si="45"/>
        <v>21-40</v>
      </c>
      <c r="H2427" t="s">
        <v>35</v>
      </c>
      <c r="I2427" t="s">
        <v>31</v>
      </c>
      <c r="J2427" t="s">
        <v>28</v>
      </c>
      <c r="K2427" t="s">
        <v>42</v>
      </c>
      <c r="L2427">
        <v>1</v>
      </c>
      <c r="M2427">
        <v>1</v>
      </c>
      <c r="N2427">
        <v>4.2</v>
      </c>
      <c r="O2427">
        <v>8.1999999999999993</v>
      </c>
      <c r="P2427">
        <v>5</v>
      </c>
      <c r="Q2427">
        <v>5</v>
      </c>
      <c r="R2427">
        <v>793101</v>
      </c>
      <c r="S2427">
        <f>Table1[[#This Row],[Revenue]]-Table1[[#This Row],[Operating_Costs]]</f>
        <v>194417</v>
      </c>
      <c r="T2427">
        <v>598684</v>
      </c>
      <c r="U2427">
        <v>41</v>
      </c>
      <c r="V2427">
        <v>54</v>
      </c>
      <c r="W2427">
        <v>9.4</v>
      </c>
    </row>
    <row r="2428" spans="1:23" x14ac:dyDescent="0.25">
      <c r="A2428">
        <v>7</v>
      </c>
      <c r="B2428" t="s">
        <v>49</v>
      </c>
      <c r="C2428" s="1">
        <v>44525</v>
      </c>
      <c r="D2428" t="s">
        <v>71</v>
      </c>
      <c r="E2428">
        <v>0</v>
      </c>
      <c r="F2428">
        <v>31</v>
      </c>
      <c r="G2428" t="str">
        <f t="shared" si="45"/>
        <v>21-40</v>
      </c>
      <c r="H2428" t="s">
        <v>23</v>
      </c>
      <c r="I2428" t="s">
        <v>55</v>
      </c>
      <c r="J2428" t="s">
        <v>56</v>
      </c>
      <c r="K2428" t="s">
        <v>33</v>
      </c>
      <c r="L2428">
        <v>1</v>
      </c>
      <c r="M2428">
        <v>1</v>
      </c>
      <c r="N2428">
        <v>2.7</v>
      </c>
      <c r="O2428">
        <v>7.6</v>
      </c>
      <c r="P2428">
        <v>6</v>
      </c>
      <c r="Q2428">
        <v>3</v>
      </c>
      <c r="R2428">
        <v>724139</v>
      </c>
      <c r="S2428">
        <f>Table1[[#This Row],[Revenue]]-Table1[[#This Row],[Operating_Costs]]</f>
        <v>198386</v>
      </c>
      <c r="T2428">
        <v>525753</v>
      </c>
      <c r="U2428">
        <v>49</v>
      </c>
      <c r="V2428">
        <v>55</v>
      </c>
      <c r="W2428">
        <v>12</v>
      </c>
    </row>
    <row r="2429" spans="1:23" x14ac:dyDescent="0.25">
      <c r="A2429">
        <v>6</v>
      </c>
      <c r="B2429" t="s">
        <v>70</v>
      </c>
      <c r="C2429" s="1">
        <v>44544</v>
      </c>
      <c r="D2429" t="s">
        <v>71</v>
      </c>
      <c r="E2429">
        <v>0</v>
      </c>
      <c r="F2429">
        <v>62</v>
      </c>
      <c r="G2429" t="str">
        <f t="shared" si="45"/>
        <v>61-80</v>
      </c>
      <c r="H2429" t="s">
        <v>23</v>
      </c>
      <c r="I2429" t="s">
        <v>24</v>
      </c>
      <c r="J2429" t="s">
        <v>25</v>
      </c>
      <c r="K2429" t="s">
        <v>38</v>
      </c>
      <c r="L2429">
        <v>1</v>
      </c>
      <c r="M2429">
        <v>1</v>
      </c>
      <c r="N2429">
        <v>2.6</v>
      </c>
      <c r="O2429">
        <v>8.1999999999999993</v>
      </c>
      <c r="P2429">
        <v>3</v>
      </c>
      <c r="Q2429">
        <v>6</v>
      </c>
      <c r="R2429">
        <v>643973</v>
      </c>
      <c r="S2429">
        <f>Table1[[#This Row],[Revenue]]-Table1[[#This Row],[Operating_Costs]]</f>
        <v>192932</v>
      </c>
      <c r="T2429">
        <v>451041</v>
      </c>
      <c r="U2429">
        <v>25</v>
      </c>
      <c r="V2429">
        <v>58</v>
      </c>
      <c r="W2429">
        <v>8.6999999999999993</v>
      </c>
    </row>
    <row r="2430" spans="1:23" x14ac:dyDescent="0.25">
      <c r="A2430">
        <v>7</v>
      </c>
      <c r="B2430" t="s">
        <v>49</v>
      </c>
      <c r="C2430" s="1">
        <v>45364</v>
      </c>
      <c r="D2430" t="s">
        <v>71</v>
      </c>
      <c r="E2430">
        <v>0</v>
      </c>
      <c r="F2430">
        <v>88</v>
      </c>
      <c r="G2430" t="str">
        <f t="shared" si="45"/>
        <v>81+</v>
      </c>
      <c r="H2430" t="s">
        <v>23</v>
      </c>
      <c r="I2430" t="s">
        <v>50</v>
      </c>
      <c r="J2430" t="s">
        <v>51</v>
      </c>
      <c r="K2430" t="s">
        <v>29</v>
      </c>
      <c r="L2430">
        <v>1</v>
      </c>
      <c r="M2430">
        <v>1</v>
      </c>
      <c r="N2430">
        <v>6.9</v>
      </c>
      <c r="O2430">
        <v>8.6999999999999993</v>
      </c>
      <c r="P2430">
        <v>3</v>
      </c>
      <c r="Q2430">
        <v>4</v>
      </c>
      <c r="R2430">
        <v>887369</v>
      </c>
      <c r="S2430">
        <f>Table1[[#This Row],[Revenue]]-Table1[[#This Row],[Operating_Costs]]</f>
        <v>379630</v>
      </c>
      <c r="T2430">
        <v>507739</v>
      </c>
      <c r="U2430">
        <v>54</v>
      </c>
      <c r="V2430">
        <v>63</v>
      </c>
      <c r="W2430">
        <v>14.8</v>
      </c>
    </row>
    <row r="2431" spans="1:23" x14ac:dyDescent="0.25">
      <c r="A2431">
        <v>7</v>
      </c>
      <c r="B2431" t="s">
        <v>49</v>
      </c>
      <c r="C2431" s="1">
        <v>45451</v>
      </c>
      <c r="D2431" t="s">
        <v>71</v>
      </c>
      <c r="E2431">
        <v>0</v>
      </c>
      <c r="F2431">
        <v>42</v>
      </c>
      <c r="G2431" t="str">
        <f t="shared" si="45"/>
        <v>41-60</v>
      </c>
      <c r="H2431" t="s">
        <v>23</v>
      </c>
      <c r="I2431" t="s">
        <v>67</v>
      </c>
      <c r="J2431" t="s">
        <v>68</v>
      </c>
      <c r="K2431" t="s">
        <v>33</v>
      </c>
      <c r="L2431">
        <v>1</v>
      </c>
      <c r="M2431">
        <v>1</v>
      </c>
      <c r="N2431">
        <v>5.7</v>
      </c>
      <c r="O2431">
        <v>7.4</v>
      </c>
      <c r="P2431">
        <v>6</v>
      </c>
      <c r="Q2431">
        <v>5</v>
      </c>
      <c r="R2431">
        <v>820750</v>
      </c>
      <c r="S2431">
        <f>Table1[[#This Row],[Revenue]]-Table1[[#This Row],[Operating_Costs]]</f>
        <v>259126</v>
      </c>
      <c r="T2431">
        <v>561624</v>
      </c>
      <c r="U2431">
        <v>45</v>
      </c>
      <c r="V2431">
        <v>63</v>
      </c>
      <c r="W2431">
        <v>6.7</v>
      </c>
    </row>
    <row r="2432" spans="1:23" x14ac:dyDescent="0.25">
      <c r="A2432">
        <v>6</v>
      </c>
      <c r="B2432" t="s">
        <v>70</v>
      </c>
      <c r="C2432" s="1">
        <v>44702</v>
      </c>
      <c r="D2432" t="s">
        <v>71</v>
      </c>
      <c r="E2432">
        <v>0</v>
      </c>
      <c r="F2432">
        <v>39</v>
      </c>
      <c r="G2432" t="str">
        <f t="shared" si="45"/>
        <v>21-40</v>
      </c>
      <c r="H2432" t="s">
        <v>23</v>
      </c>
      <c r="I2432" t="s">
        <v>40</v>
      </c>
      <c r="J2432" t="s">
        <v>41</v>
      </c>
      <c r="K2432" t="s">
        <v>29</v>
      </c>
      <c r="L2432">
        <v>1</v>
      </c>
      <c r="M2432">
        <v>1</v>
      </c>
      <c r="N2432">
        <v>1</v>
      </c>
      <c r="O2432">
        <v>7.6</v>
      </c>
      <c r="P2432">
        <v>6</v>
      </c>
      <c r="Q2432">
        <v>3</v>
      </c>
      <c r="R2432">
        <v>736039</v>
      </c>
      <c r="S2432">
        <f>Table1[[#This Row],[Revenue]]-Table1[[#This Row],[Operating_Costs]]</f>
        <v>299040</v>
      </c>
      <c r="T2432">
        <v>436999</v>
      </c>
      <c r="U2432">
        <v>26</v>
      </c>
      <c r="V2432">
        <v>58</v>
      </c>
      <c r="W2432">
        <v>9.8000000000000007</v>
      </c>
    </row>
    <row r="2433" spans="1:23" x14ac:dyDescent="0.25">
      <c r="A2433">
        <v>7</v>
      </c>
      <c r="B2433" t="s">
        <v>49</v>
      </c>
      <c r="C2433" s="1">
        <v>45205</v>
      </c>
      <c r="D2433" t="s">
        <v>71</v>
      </c>
      <c r="E2433">
        <v>0</v>
      </c>
      <c r="F2433">
        <v>88</v>
      </c>
      <c r="G2433" t="str">
        <f t="shared" si="45"/>
        <v>81+</v>
      </c>
      <c r="H2433" t="s">
        <v>23</v>
      </c>
      <c r="I2433" t="s">
        <v>50</v>
      </c>
      <c r="J2433" t="s">
        <v>51</v>
      </c>
      <c r="K2433" t="s">
        <v>26</v>
      </c>
      <c r="L2433">
        <v>1</v>
      </c>
      <c r="M2433">
        <v>1</v>
      </c>
      <c r="N2433">
        <v>4.3</v>
      </c>
      <c r="O2433">
        <v>8.6</v>
      </c>
      <c r="P2433">
        <v>5</v>
      </c>
      <c r="Q2433">
        <v>5</v>
      </c>
      <c r="R2433">
        <v>763629</v>
      </c>
      <c r="S2433">
        <f>Table1[[#This Row],[Revenue]]-Table1[[#This Row],[Operating_Costs]]</f>
        <v>215376</v>
      </c>
      <c r="T2433">
        <v>548253</v>
      </c>
      <c r="U2433">
        <v>45</v>
      </c>
      <c r="V2433">
        <v>63</v>
      </c>
      <c r="W2433">
        <v>7.7</v>
      </c>
    </row>
    <row r="2434" spans="1:23" x14ac:dyDescent="0.25">
      <c r="A2434">
        <v>7</v>
      </c>
      <c r="B2434" t="s">
        <v>49</v>
      </c>
      <c r="C2434" s="1">
        <v>44836</v>
      </c>
      <c r="D2434" t="s">
        <v>71</v>
      </c>
      <c r="E2434">
        <v>0</v>
      </c>
      <c r="F2434">
        <v>68</v>
      </c>
      <c r="G2434" t="str">
        <f t="shared" si="45"/>
        <v>61-80</v>
      </c>
      <c r="H2434" t="s">
        <v>23</v>
      </c>
      <c r="I2434" t="s">
        <v>61</v>
      </c>
      <c r="J2434" t="s">
        <v>62</v>
      </c>
      <c r="K2434" t="s">
        <v>38</v>
      </c>
      <c r="L2434">
        <v>1</v>
      </c>
      <c r="M2434">
        <v>1</v>
      </c>
      <c r="N2434">
        <v>2.4</v>
      </c>
      <c r="O2434">
        <v>8.1</v>
      </c>
      <c r="P2434">
        <v>4</v>
      </c>
      <c r="Q2434">
        <v>5</v>
      </c>
      <c r="R2434">
        <v>728434</v>
      </c>
      <c r="S2434">
        <f>Table1[[#This Row],[Revenue]]-Table1[[#This Row],[Operating_Costs]]</f>
        <v>193777</v>
      </c>
      <c r="T2434">
        <v>534657</v>
      </c>
      <c r="U2434">
        <v>48</v>
      </c>
      <c r="V2434">
        <v>59</v>
      </c>
      <c r="W2434">
        <v>14.5</v>
      </c>
    </row>
    <row r="2435" spans="1:23" x14ac:dyDescent="0.25">
      <c r="A2435">
        <v>7</v>
      </c>
      <c r="B2435" t="s">
        <v>49</v>
      </c>
      <c r="C2435" s="1">
        <v>44199</v>
      </c>
      <c r="D2435" t="s">
        <v>71</v>
      </c>
      <c r="E2435">
        <v>0</v>
      </c>
      <c r="F2435">
        <v>45</v>
      </c>
      <c r="G2435" t="str">
        <f t="shared" ref="G2435:G2498" si="46">IF(F2435&lt;=20,"0-20",IF(F2435&lt;=40,"21-40",IF(F2435&lt;=60,"41-60",IF(F2435&lt;=80,"61-80","81+"))))</f>
        <v>41-60</v>
      </c>
      <c r="H2435" t="s">
        <v>35</v>
      </c>
      <c r="I2435" t="s">
        <v>50</v>
      </c>
      <c r="J2435" t="s">
        <v>51</v>
      </c>
      <c r="K2435" t="s">
        <v>33</v>
      </c>
      <c r="L2435">
        <v>1</v>
      </c>
      <c r="M2435">
        <v>1</v>
      </c>
      <c r="N2435">
        <v>1.5</v>
      </c>
      <c r="O2435">
        <v>9.8000000000000007</v>
      </c>
      <c r="P2435">
        <v>7</v>
      </c>
      <c r="Q2435">
        <v>6</v>
      </c>
      <c r="R2435">
        <v>833535</v>
      </c>
      <c r="S2435">
        <f>Table1[[#This Row],[Revenue]]-Table1[[#This Row],[Operating_Costs]]</f>
        <v>243245</v>
      </c>
      <c r="T2435">
        <v>590290</v>
      </c>
      <c r="U2435">
        <v>44</v>
      </c>
      <c r="V2435">
        <v>65</v>
      </c>
      <c r="W2435">
        <v>12.3</v>
      </c>
    </row>
    <row r="2436" spans="1:23" x14ac:dyDescent="0.25">
      <c r="A2436">
        <v>7</v>
      </c>
      <c r="B2436" t="s">
        <v>49</v>
      </c>
      <c r="C2436" s="1">
        <v>45188</v>
      </c>
      <c r="D2436" t="s">
        <v>71</v>
      </c>
      <c r="E2436">
        <v>0</v>
      </c>
      <c r="F2436">
        <v>34</v>
      </c>
      <c r="G2436" t="str">
        <f t="shared" si="46"/>
        <v>21-40</v>
      </c>
      <c r="H2436" t="s">
        <v>23</v>
      </c>
      <c r="I2436" t="s">
        <v>43</v>
      </c>
      <c r="J2436" t="s">
        <v>25</v>
      </c>
      <c r="K2436" t="s">
        <v>33</v>
      </c>
      <c r="L2436">
        <v>1</v>
      </c>
      <c r="M2436">
        <v>1</v>
      </c>
      <c r="N2436">
        <v>1.9</v>
      </c>
      <c r="O2436">
        <v>7.2</v>
      </c>
      <c r="P2436">
        <v>4</v>
      </c>
      <c r="Q2436">
        <v>3</v>
      </c>
      <c r="R2436">
        <v>671939</v>
      </c>
      <c r="S2436">
        <f>Table1[[#This Row],[Revenue]]-Table1[[#This Row],[Operating_Costs]]</f>
        <v>131673</v>
      </c>
      <c r="T2436">
        <v>540266</v>
      </c>
      <c r="U2436">
        <v>45</v>
      </c>
      <c r="V2436">
        <v>54</v>
      </c>
      <c r="W2436">
        <v>7.2</v>
      </c>
    </row>
    <row r="2437" spans="1:23" x14ac:dyDescent="0.25">
      <c r="A2437">
        <v>7</v>
      </c>
      <c r="B2437" t="s">
        <v>49</v>
      </c>
      <c r="C2437" s="1">
        <v>45447</v>
      </c>
      <c r="D2437" t="s">
        <v>71</v>
      </c>
      <c r="E2437">
        <v>0</v>
      </c>
      <c r="F2437">
        <v>71</v>
      </c>
      <c r="G2437" t="str">
        <f t="shared" si="46"/>
        <v>61-80</v>
      </c>
      <c r="H2437" t="s">
        <v>35</v>
      </c>
      <c r="I2437" t="s">
        <v>40</v>
      </c>
      <c r="J2437" t="s">
        <v>41</v>
      </c>
      <c r="K2437" t="s">
        <v>33</v>
      </c>
      <c r="L2437">
        <v>1</v>
      </c>
      <c r="M2437">
        <v>1</v>
      </c>
      <c r="N2437">
        <v>3.6</v>
      </c>
      <c r="O2437">
        <v>9.8000000000000007</v>
      </c>
      <c r="P2437">
        <v>3</v>
      </c>
      <c r="Q2437">
        <v>6</v>
      </c>
      <c r="R2437">
        <v>695598</v>
      </c>
      <c r="S2437">
        <f>Table1[[#This Row],[Revenue]]-Table1[[#This Row],[Operating_Costs]]</f>
        <v>155072</v>
      </c>
      <c r="T2437">
        <v>540526</v>
      </c>
      <c r="U2437">
        <v>44</v>
      </c>
      <c r="V2437">
        <v>62</v>
      </c>
      <c r="W2437">
        <v>14.2</v>
      </c>
    </row>
    <row r="2438" spans="1:23" x14ac:dyDescent="0.25">
      <c r="A2438">
        <v>6</v>
      </c>
      <c r="B2438" t="s">
        <v>70</v>
      </c>
      <c r="C2438" s="1">
        <v>45514</v>
      </c>
      <c r="D2438" t="s">
        <v>71</v>
      </c>
      <c r="E2438">
        <v>0</v>
      </c>
      <c r="F2438">
        <v>66</v>
      </c>
      <c r="G2438" t="str">
        <f t="shared" si="46"/>
        <v>61-80</v>
      </c>
      <c r="H2438" t="s">
        <v>23</v>
      </c>
      <c r="I2438" t="s">
        <v>43</v>
      </c>
      <c r="J2438" t="s">
        <v>25</v>
      </c>
      <c r="K2438" t="s">
        <v>29</v>
      </c>
      <c r="L2438">
        <v>1</v>
      </c>
      <c r="M2438">
        <v>1</v>
      </c>
      <c r="N2438">
        <v>1.2</v>
      </c>
      <c r="O2438">
        <v>7.2</v>
      </c>
      <c r="P2438">
        <v>4</v>
      </c>
      <c r="Q2438">
        <v>7</v>
      </c>
      <c r="R2438">
        <v>687363</v>
      </c>
      <c r="S2438">
        <f>Table1[[#This Row],[Revenue]]-Table1[[#This Row],[Operating_Costs]]</f>
        <v>281389</v>
      </c>
      <c r="T2438">
        <v>405974</v>
      </c>
      <c r="U2438">
        <v>20</v>
      </c>
      <c r="V2438">
        <v>62</v>
      </c>
      <c r="W2438">
        <v>10.199999999999999</v>
      </c>
    </row>
    <row r="2439" spans="1:23" x14ac:dyDescent="0.25">
      <c r="A2439">
        <v>7</v>
      </c>
      <c r="B2439" t="s">
        <v>49</v>
      </c>
      <c r="C2439" s="1">
        <v>44741</v>
      </c>
      <c r="D2439" t="s">
        <v>71</v>
      </c>
      <c r="E2439">
        <v>0</v>
      </c>
      <c r="F2439">
        <v>27</v>
      </c>
      <c r="G2439" t="str">
        <f t="shared" si="46"/>
        <v>21-40</v>
      </c>
      <c r="H2439" t="s">
        <v>23</v>
      </c>
      <c r="I2439" t="s">
        <v>43</v>
      </c>
      <c r="J2439" t="s">
        <v>25</v>
      </c>
      <c r="K2439" t="s">
        <v>42</v>
      </c>
      <c r="L2439">
        <v>1</v>
      </c>
      <c r="M2439">
        <v>1</v>
      </c>
      <c r="N2439">
        <v>6.7</v>
      </c>
      <c r="O2439">
        <v>7.4</v>
      </c>
      <c r="P2439">
        <v>5</v>
      </c>
      <c r="Q2439">
        <v>4</v>
      </c>
      <c r="R2439">
        <v>605871</v>
      </c>
      <c r="S2439">
        <f>Table1[[#This Row],[Revenue]]-Table1[[#This Row],[Operating_Costs]]</f>
        <v>81482</v>
      </c>
      <c r="T2439">
        <v>524389</v>
      </c>
      <c r="U2439">
        <v>50</v>
      </c>
      <c r="V2439">
        <v>62</v>
      </c>
      <c r="W2439">
        <v>9.3000000000000007</v>
      </c>
    </row>
    <row r="2440" spans="1:23" x14ac:dyDescent="0.25">
      <c r="A2440">
        <v>7</v>
      </c>
      <c r="B2440" t="s">
        <v>49</v>
      </c>
      <c r="C2440" s="1">
        <v>44558</v>
      </c>
      <c r="D2440" t="s">
        <v>71</v>
      </c>
      <c r="E2440">
        <v>0</v>
      </c>
      <c r="F2440">
        <v>39</v>
      </c>
      <c r="G2440" t="str">
        <f t="shared" si="46"/>
        <v>21-40</v>
      </c>
      <c r="H2440" t="s">
        <v>23</v>
      </c>
      <c r="I2440" t="s">
        <v>24</v>
      </c>
      <c r="J2440" t="s">
        <v>25</v>
      </c>
      <c r="K2440" t="s">
        <v>38</v>
      </c>
      <c r="L2440">
        <v>1</v>
      </c>
      <c r="M2440">
        <v>1</v>
      </c>
      <c r="N2440">
        <v>1.2</v>
      </c>
      <c r="O2440">
        <v>9.3000000000000007</v>
      </c>
      <c r="P2440">
        <v>4</v>
      </c>
      <c r="Q2440">
        <v>7</v>
      </c>
      <c r="R2440">
        <v>799141</v>
      </c>
      <c r="S2440">
        <f>Table1[[#This Row],[Revenue]]-Table1[[#This Row],[Operating_Costs]]</f>
        <v>254307</v>
      </c>
      <c r="T2440">
        <v>544834</v>
      </c>
      <c r="U2440">
        <v>51</v>
      </c>
      <c r="V2440">
        <v>62</v>
      </c>
      <c r="W2440">
        <v>14.1</v>
      </c>
    </row>
    <row r="2441" spans="1:23" x14ac:dyDescent="0.25">
      <c r="A2441">
        <v>7</v>
      </c>
      <c r="B2441" t="s">
        <v>49</v>
      </c>
      <c r="C2441" s="1">
        <v>44869</v>
      </c>
      <c r="D2441" t="s">
        <v>71</v>
      </c>
      <c r="E2441">
        <v>0</v>
      </c>
      <c r="F2441">
        <v>25</v>
      </c>
      <c r="G2441" t="str">
        <f t="shared" si="46"/>
        <v>21-40</v>
      </c>
      <c r="H2441" t="s">
        <v>35</v>
      </c>
      <c r="I2441" t="s">
        <v>58</v>
      </c>
      <c r="J2441" t="s">
        <v>59</v>
      </c>
      <c r="K2441" t="s">
        <v>26</v>
      </c>
      <c r="L2441">
        <v>1</v>
      </c>
      <c r="M2441">
        <v>1</v>
      </c>
      <c r="N2441">
        <v>5.5</v>
      </c>
      <c r="O2441">
        <v>7.7</v>
      </c>
      <c r="P2441">
        <v>3</v>
      </c>
      <c r="Q2441">
        <v>3</v>
      </c>
      <c r="R2441">
        <v>896370</v>
      </c>
      <c r="S2441">
        <f>Table1[[#This Row],[Revenue]]-Table1[[#This Row],[Operating_Costs]]</f>
        <v>297917</v>
      </c>
      <c r="T2441">
        <v>598453</v>
      </c>
      <c r="U2441">
        <v>52</v>
      </c>
      <c r="V2441">
        <v>56</v>
      </c>
      <c r="W2441">
        <v>7.5</v>
      </c>
    </row>
    <row r="2442" spans="1:23" x14ac:dyDescent="0.25">
      <c r="A2442">
        <v>7</v>
      </c>
      <c r="B2442" t="s">
        <v>49</v>
      </c>
      <c r="C2442" s="1">
        <v>44226</v>
      </c>
      <c r="D2442" t="s">
        <v>71</v>
      </c>
      <c r="E2442">
        <v>0</v>
      </c>
      <c r="F2442">
        <v>80</v>
      </c>
      <c r="G2442" t="str">
        <f t="shared" si="46"/>
        <v>61-80</v>
      </c>
      <c r="H2442" t="s">
        <v>23</v>
      </c>
      <c r="I2442" t="s">
        <v>24</v>
      </c>
      <c r="J2442" t="s">
        <v>25</v>
      </c>
      <c r="K2442" t="s">
        <v>42</v>
      </c>
      <c r="L2442">
        <v>1</v>
      </c>
      <c r="M2442">
        <v>1</v>
      </c>
      <c r="N2442">
        <v>6.1</v>
      </c>
      <c r="O2442">
        <v>8.9</v>
      </c>
      <c r="P2442">
        <v>5</v>
      </c>
      <c r="Q2442">
        <v>7</v>
      </c>
      <c r="R2442">
        <v>833702</v>
      </c>
      <c r="S2442">
        <f>Table1[[#This Row],[Revenue]]-Table1[[#This Row],[Operating_Costs]]</f>
        <v>307088</v>
      </c>
      <c r="T2442">
        <v>526614</v>
      </c>
      <c r="U2442">
        <v>52</v>
      </c>
      <c r="V2442">
        <v>65</v>
      </c>
      <c r="W2442">
        <v>36.4</v>
      </c>
    </row>
    <row r="2443" spans="1:23" x14ac:dyDescent="0.25">
      <c r="A2443">
        <v>7</v>
      </c>
      <c r="B2443" t="s">
        <v>49</v>
      </c>
      <c r="C2443" s="1">
        <v>44533</v>
      </c>
      <c r="D2443" t="s">
        <v>71</v>
      </c>
      <c r="E2443">
        <v>0</v>
      </c>
      <c r="F2443">
        <v>31</v>
      </c>
      <c r="G2443" t="str">
        <f t="shared" si="46"/>
        <v>21-40</v>
      </c>
      <c r="H2443" t="s">
        <v>35</v>
      </c>
      <c r="I2443" t="s">
        <v>36</v>
      </c>
      <c r="J2443" t="s">
        <v>37</v>
      </c>
      <c r="K2443" t="s">
        <v>42</v>
      </c>
      <c r="L2443">
        <v>1</v>
      </c>
      <c r="M2443">
        <v>1</v>
      </c>
      <c r="N2443">
        <v>6.1</v>
      </c>
      <c r="O2443">
        <v>9.8000000000000007</v>
      </c>
      <c r="P2443">
        <v>6</v>
      </c>
      <c r="Q2443">
        <v>6</v>
      </c>
      <c r="R2443">
        <v>868210</v>
      </c>
      <c r="S2443">
        <f>Table1[[#This Row],[Revenue]]-Table1[[#This Row],[Operating_Costs]]</f>
        <v>319247</v>
      </c>
      <c r="T2443">
        <v>548963</v>
      </c>
      <c r="U2443">
        <v>42</v>
      </c>
      <c r="V2443">
        <v>61</v>
      </c>
      <c r="W2443">
        <v>7.7</v>
      </c>
    </row>
    <row r="2444" spans="1:23" x14ac:dyDescent="0.25">
      <c r="A2444">
        <v>7</v>
      </c>
      <c r="B2444" t="s">
        <v>49</v>
      </c>
      <c r="C2444" s="1">
        <v>44262</v>
      </c>
      <c r="D2444" t="s">
        <v>71</v>
      </c>
      <c r="E2444">
        <v>0</v>
      </c>
      <c r="F2444">
        <v>25</v>
      </c>
      <c r="G2444" t="str">
        <f t="shared" si="46"/>
        <v>21-40</v>
      </c>
      <c r="H2444" t="s">
        <v>23</v>
      </c>
      <c r="I2444" t="s">
        <v>61</v>
      </c>
      <c r="J2444" t="s">
        <v>62</v>
      </c>
      <c r="K2444" t="s">
        <v>33</v>
      </c>
      <c r="L2444">
        <v>1</v>
      </c>
      <c r="M2444">
        <v>1</v>
      </c>
      <c r="N2444">
        <v>1.6</v>
      </c>
      <c r="O2444">
        <v>7.6</v>
      </c>
      <c r="P2444">
        <v>7</v>
      </c>
      <c r="Q2444">
        <v>6</v>
      </c>
      <c r="R2444">
        <v>608626</v>
      </c>
      <c r="S2444">
        <f>Table1[[#This Row],[Revenue]]-Table1[[#This Row],[Operating_Costs]]</f>
        <v>13550</v>
      </c>
      <c r="T2444">
        <v>595076</v>
      </c>
      <c r="U2444">
        <v>47</v>
      </c>
      <c r="V2444">
        <v>64</v>
      </c>
      <c r="W2444">
        <v>12.3</v>
      </c>
    </row>
    <row r="2445" spans="1:23" x14ac:dyDescent="0.25">
      <c r="A2445">
        <v>7</v>
      </c>
      <c r="B2445" t="s">
        <v>49</v>
      </c>
      <c r="C2445" s="1">
        <v>44485</v>
      </c>
      <c r="D2445" t="s">
        <v>71</v>
      </c>
      <c r="E2445">
        <v>0</v>
      </c>
      <c r="F2445">
        <v>33</v>
      </c>
      <c r="G2445" t="str">
        <f t="shared" si="46"/>
        <v>21-40</v>
      </c>
      <c r="H2445" t="s">
        <v>23</v>
      </c>
      <c r="I2445" t="s">
        <v>55</v>
      </c>
      <c r="J2445" t="s">
        <v>56</v>
      </c>
      <c r="K2445" t="s">
        <v>33</v>
      </c>
      <c r="L2445">
        <v>1</v>
      </c>
      <c r="M2445">
        <v>1</v>
      </c>
      <c r="N2445">
        <v>3.7</v>
      </c>
      <c r="O2445">
        <v>9.6999999999999993</v>
      </c>
      <c r="P2445">
        <v>7</v>
      </c>
      <c r="Q2445">
        <v>6</v>
      </c>
      <c r="R2445">
        <v>844365</v>
      </c>
      <c r="S2445">
        <f>Table1[[#This Row],[Revenue]]-Table1[[#This Row],[Operating_Costs]]</f>
        <v>271596</v>
      </c>
      <c r="T2445">
        <v>572769</v>
      </c>
      <c r="U2445">
        <v>46</v>
      </c>
      <c r="V2445">
        <v>62</v>
      </c>
      <c r="W2445">
        <v>8.1999999999999993</v>
      </c>
    </row>
    <row r="2446" spans="1:23" x14ac:dyDescent="0.25">
      <c r="A2446">
        <v>7</v>
      </c>
      <c r="B2446" t="s">
        <v>49</v>
      </c>
      <c r="C2446" s="1">
        <v>44619</v>
      </c>
      <c r="D2446" t="s">
        <v>71</v>
      </c>
      <c r="E2446">
        <v>0</v>
      </c>
      <c r="F2446">
        <v>44</v>
      </c>
      <c r="G2446" t="str">
        <f t="shared" si="46"/>
        <v>41-60</v>
      </c>
      <c r="H2446" t="s">
        <v>35</v>
      </c>
      <c r="I2446" t="s">
        <v>61</v>
      </c>
      <c r="J2446" t="s">
        <v>62</v>
      </c>
      <c r="K2446" t="s">
        <v>33</v>
      </c>
      <c r="L2446">
        <v>1</v>
      </c>
      <c r="M2446">
        <v>1</v>
      </c>
      <c r="N2446">
        <v>3.7</v>
      </c>
      <c r="O2446">
        <v>8.5</v>
      </c>
      <c r="P2446">
        <v>5</v>
      </c>
      <c r="Q2446">
        <v>5</v>
      </c>
      <c r="R2446">
        <v>872554</v>
      </c>
      <c r="S2446">
        <f>Table1[[#This Row],[Revenue]]-Table1[[#This Row],[Operating_Costs]]</f>
        <v>324942</v>
      </c>
      <c r="T2446">
        <v>547612</v>
      </c>
      <c r="U2446">
        <v>56</v>
      </c>
      <c r="V2446">
        <v>66</v>
      </c>
      <c r="W2446">
        <v>6.7</v>
      </c>
    </row>
    <row r="2447" spans="1:23" x14ac:dyDescent="0.25">
      <c r="A2447">
        <v>7</v>
      </c>
      <c r="B2447" t="s">
        <v>49</v>
      </c>
      <c r="C2447" s="1">
        <v>45508</v>
      </c>
      <c r="D2447" t="s">
        <v>71</v>
      </c>
      <c r="E2447">
        <v>0</v>
      </c>
      <c r="F2447">
        <v>90</v>
      </c>
      <c r="G2447" t="str">
        <f t="shared" si="46"/>
        <v>81+</v>
      </c>
      <c r="H2447" t="s">
        <v>35</v>
      </c>
      <c r="I2447" t="s">
        <v>31</v>
      </c>
      <c r="J2447" t="s">
        <v>28</v>
      </c>
      <c r="K2447" t="s">
        <v>38</v>
      </c>
      <c r="L2447">
        <v>1</v>
      </c>
      <c r="M2447">
        <v>1</v>
      </c>
      <c r="N2447">
        <v>4.5999999999999996</v>
      </c>
      <c r="O2447">
        <v>8.9</v>
      </c>
      <c r="P2447">
        <v>5</v>
      </c>
      <c r="Q2447">
        <v>5</v>
      </c>
      <c r="R2447">
        <v>785641</v>
      </c>
      <c r="S2447">
        <f>Table1[[#This Row],[Revenue]]-Table1[[#This Row],[Operating_Costs]]</f>
        <v>281695</v>
      </c>
      <c r="T2447">
        <v>503946</v>
      </c>
      <c r="U2447">
        <v>40</v>
      </c>
      <c r="V2447">
        <v>59</v>
      </c>
      <c r="W2447">
        <v>7.8</v>
      </c>
    </row>
    <row r="2448" spans="1:23" x14ac:dyDescent="0.25">
      <c r="A2448">
        <v>7</v>
      </c>
      <c r="B2448" t="s">
        <v>49</v>
      </c>
      <c r="C2448" s="1">
        <v>44380</v>
      </c>
      <c r="D2448" t="s">
        <v>71</v>
      </c>
      <c r="E2448">
        <v>0</v>
      </c>
      <c r="F2448">
        <v>66</v>
      </c>
      <c r="G2448" t="str">
        <f t="shared" si="46"/>
        <v>61-80</v>
      </c>
      <c r="H2448" t="s">
        <v>23</v>
      </c>
      <c r="I2448" t="s">
        <v>55</v>
      </c>
      <c r="J2448" t="s">
        <v>56</v>
      </c>
      <c r="K2448" t="s">
        <v>29</v>
      </c>
      <c r="L2448">
        <v>1</v>
      </c>
      <c r="M2448">
        <v>1</v>
      </c>
      <c r="N2448">
        <v>5.7</v>
      </c>
      <c r="O2448">
        <v>7</v>
      </c>
      <c r="P2448">
        <v>4</v>
      </c>
      <c r="Q2448">
        <v>3</v>
      </c>
      <c r="R2448">
        <v>606421</v>
      </c>
      <c r="S2448">
        <f>Table1[[#This Row],[Revenue]]-Table1[[#This Row],[Operating_Costs]]</f>
        <v>18058</v>
      </c>
      <c r="T2448">
        <v>588363</v>
      </c>
      <c r="U2448">
        <v>47</v>
      </c>
      <c r="V2448">
        <v>54</v>
      </c>
      <c r="W2448">
        <v>36.9</v>
      </c>
    </row>
    <row r="2449" spans="1:23" x14ac:dyDescent="0.25">
      <c r="A2449">
        <v>7</v>
      </c>
      <c r="B2449" t="s">
        <v>49</v>
      </c>
      <c r="C2449" s="1">
        <v>44830</v>
      </c>
      <c r="D2449" t="s">
        <v>71</v>
      </c>
      <c r="E2449">
        <v>0</v>
      </c>
      <c r="F2449">
        <v>44</v>
      </c>
      <c r="G2449" t="str">
        <f t="shared" si="46"/>
        <v>41-60</v>
      </c>
      <c r="H2449" t="s">
        <v>35</v>
      </c>
      <c r="I2449" t="s">
        <v>36</v>
      </c>
      <c r="J2449" t="s">
        <v>37</v>
      </c>
      <c r="K2449" t="s">
        <v>38</v>
      </c>
      <c r="L2449">
        <v>1</v>
      </c>
      <c r="M2449">
        <v>1</v>
      </c>
      <c r="N2449">
        <v>4.3</v>
      </c>
      <c r="O2449">
        <v>7.9</v>
      </c>
      <c r="P2449">
        <v>7</v>
      </c>
      <c r="Q2449">
        <v>5</v>
      </c>
      <c r="R2449">
        <v>656877</v>
      </c>
      <c r="S2449">
        <f>Table1[[#This Row],[Revenue]]-Table1[[#This Row],[Operating_Costs]]</f>
        <v>123619</v>
      </c>
      <c r="T2449">
        <v>533258</v>
      </c>
      <c r="U2449">
        <v>50</v>
      </c>
      <c r="V2449">
        <v>60</v>
      </c>
      <c r="W2449">
        <v>36</v>
      </c>
    </row>
    <row r="2450" spans="1:23" x14ac:dyDescent="0.25">
      <c r="A2450">
        <v>7</v>
      </c>
      <c r="B2450" t="s">
        <v>49</v>
      </c>
      <c r="C2450" s="1">
        <v>45319</v>
      </c>
      <c r="D2450" t="s">
        <v>71</v>
      </c>
      <c r="E2450">
        <v>0</v>
      </c>
      <c r="F2450">
        <v>88</v>
      </c>
      <c r="G2450" t="str">
        <f t="shared" si="46"/>
        <v>81+</v>
      </c>
      <c r="H2450" t="s">
        <v>35</v>
      </c>
      <c r="I2450" t="s">
        <v>58</v>
      </c>
      <c r="J2450" t="s">
        <v>59</v>
      </c>
      <c r="K2450" t="s">
        <v>33</v>
      </c>
      <c r="L2450">
        <v>1</v>
      </c>
      <c r="M2450">
        <v>1</v>
      </c>
      <c r="N2450">
        <v>5.7</v>
      </c>
      <c r="O2450">
        <v>7.5</v>
      </c>
      <c r="P2450">
        <v>4</v>
      </c>
      <c r="Q2450">
        <v>3</v>
      </c>
      <c r="R2450">
        <v>649073</v>
      </c>
      <c r="S2450">
        <f>Table1[[#This Row],[Revenue]]-Table1[[#This Row],[Operating_Costs]]</f>
        <v>118631</v>
      </c>
      <c r="T2450">
        <v>530442</v>
      </c>
      <c r="U2450">
        <v>56</v>
      </c>
      <c r="V2450">
        <v>64</v>
      </c>
      <c r="W2450">
        <v>9.4</v>
      </c>
    </row>
    <row r="2451" spans="1:23" x14ac:dyDescent="0.25">
      <c r="A2451">
        <v>7</v>
      </c>
      <c r="B2451" t="s">
        <v>49</v>
      </c>
      <c r="C2451" s="1">
        <v>44603</v>
      </c>
      <c r="D2451" t="s">
        <v>71</v>
      </c>
      <c r="E2451">
        <v>0</v>
      </c>
      <c r="F2451">
        <v>25</v>
      </c>
      <c r="G2451" t="str">
        <f t="shared" si="46"/>
        <v>21-40</v>
      </c>
      <c r="H2451" t="s">
        <v>23</v>
      </c>
      <c r="I2451" t="s">
        <v>24</v>
      </c>
      <c r="J2451" t="s">
        <v>25</v>
      </c>
      <c r="K2451" t="s">
        <v>26</v>
      </c>
      <c r="L2451">
        <v>1</v>
      </c>
      <c r="M2451">
        <v>1</v>
      </c>
      <c r="N2451">
        <v>3.1</v>
      </c>
      <c r="O2451">
        <v>9.1</v>
      </c>
      <c r="P2451">
        <v>3</v>
      </c>
      <c r="Q2451">
        <v>7</v>
      </c>
      <c r="R2451">
        <v>712732</v>
      </c>
      <c r="S2451">
        <f>Table1[[#This Row],[Revenue]]-Table1[[#This Row],[Operating_Costs]]</f>
        <v>168223</v>
      </c>
      <c r="T2451">
        <v>544509</v>
      </c>
      <c r="U2451">
        <v>58</v>
      </c>
      <c r="V2451">
        <v>57</v>
      </c>
      <c r="W2451">
        <v>13.2</v>
      </c>
    </row>
    <row r="2452" spans="1:23" x14ac:dyDescent="0.25">
      <c r="A2452">
        <v>7</v>
      </c>
      <c r="B2452" t="s">
        <v>49</v>
      </c>
      <c r="C2452" s="1">
        <v>44562</v>
      </c>
      <c r="D2452" t="s">
        <v>71</v>
      </c>
      <c r="E2452">
        <v>0</v>
      </c>
      <c r="F2452">
        <v>86</v>
      </c>
      <c r="G2452" t="str">
        <f t="shared" si="46"/>
        <v>81+</v>
      </c>
      <c r="H2452" t="s">
        <v>35</v>
      </c>
      <c r="I2452" t="s">
        <v>46</v>
      </c>
      <c r="J2452" t="s">
        <v>47</v>
      </c>
      <c r="K2452" t="s">
        <v>26</v>
      </c>
      <c r="L2452">
        <v>1</v>
      </c>
      <c r="M2452">
        <v>1</v>
      </c>
      <c r="N2452">
        <v>5.6</v>
      </c>
      <c r="O2452">
        <v>8.1999999999999993</v>
      </c>
      <c r="P2452">
        <v>5</v>
      </c>
      <c r="Q2452">
        <v>3</v>
      </c>
      <c r="R2452">
        <v>651374</v>
      </c>
      <c r="S2452">
        <f>Table1[[#This Row],[Revenue]]-Table1[[#This Row],[Operating_Costs]]</f>
        <v>56404</v>
      </c>
      <c r="T2452">
        <v>594970</v>
      </c>
      <c r="U2452">
        <v>51</v>
      </c>
      <c r="V2452">
        <v>58</v>
      </c>
      <c r="W2452">
        <v>10.9</v>
      </c>
    </row>
    <row r="2453" spans="1:23" x14ac:dyDescent="0.25">
      <c r="A2453">
        <v>7</v>
      </c>
      <c r="B2453" t="s">
        <v>49</v>
      </c>
      <c r="C2453" s="1">
        <v>44279</v>
      </c>
      <c r="D2453" t="s">
        <v>71</v>
      </c>
      <c r="E2453">
        <v>0</v>
      </c>
      <c r="F2453">
        <v>59</v>
      </c>
      <c r="G2453" t="str">
        <f t="shared" si="46"/>
        <v>41-60</v>
      </c>
      <c r="H2453" t="s">
        <v>35</v>
      </c>
      <c r="I2453" t="s">
        <v>40</v>
      </c>
      <c r="J2453" t="s">
        <v>41</v>
      </c>
      <c r="K2453" t="s">
        <v>26</v>
      </c>
      <c r="L2453">
        <v>1</v>
      </c>
      <c r="M2453">
        <v>1</v>
      </c>
      <c r="N2453">
        <v>4.7</v>
      </c>
      <c r="O2453">
        <v>7.6</v>
      </c>
      <c r="P2453">
        <v>6</v>
      </c>
      <c r="Q2453">
        <v>3</v>
      </c>
      <c r="R2453">
        <v>673296</v>
      </c>
      <c r="S2453">
        <f>Table1[[#This Row],[Revenue]]-Table1[[#This Row],[Operating_Costs]]</f>
        <v>122237</v>
      </c>
      <c r="T2453">
        <v>551059</v>
      </c>
      <c r="U2453">
        <v>44</v>
      </c>
      <c r="V2453">
        <v>63</v>
      </c>
      <c r="W2453">
        <v>12.5</v>
      </c>
    </row>
    <row r="2454" spans="1:23" x14ac:dyDescent="0.25">
      <c r="A2454">
        <v>7</v>
      </c>
      <c r="B2454" t="s">
        <v>49</v>
      </c>
      <c r="C2454" s="1">
        <v>44431</v>
      </c>
      <c r="D2454" t="s">
        <v>71</v>
      </c>
      <c r="E2454">
        <v>0</v>
      </c>
      <c r="F2454">
        <v>74</v>
      </c>
      <c r="G2454" t="str">
        <f t="shared" si="46"/>
        <v>61-80</v>
      </c>
      <c r="H2454" t="s">
        <v>23</v>
      </c>
      <c r="I2454" t="s">
        <v>58</v>
      </c>
      <c r="J2454" t="s">
        <v>59</v>
      </c>
      <c r="K2454" t="s">
        <v>33</v>
      </c>
      <c r="L2454">
        <v>1</v>
      </c>
      <c r="M2454">
        <v>1</v>
      </c>
      <c r="N2454">
        <v>6.3</v>
      </c>
      <c r="O2454">
        <v>7.6</v>
      </c>
      <c r="P2454">
        <v>5</v>
      </c>
      <c r="Q2454">
        <v>5</v>
      </c>
      <c r="R2454">
        <v>789226</v>
      </c>
      <c r="S2454">
        <f>Table1[[#This Row],[Revenue]]-Table1[[#This Row],[Operating_Costs]]</f>
        <v>267804</v>
      </c>
      <c r="T2454">
        <v>521422</v>
      </c>
      <c r="U2454">
        <v>52</v>
      </c>
      <c r="V2454">
        <v>61</v>
      </c>
      <c r="W2454">
        <v>6.9</v>
      </c>
    </row>
    <row r="2455" spans="1:23" x14ac:dyDescent="0.25">
      <c r="A2455">
        <v>7</v>
      </c>
      <c r="B2455" t="s">
        <v>49</v>
      </c>
      <c r="C2455" s="1">
        <v>45178</v>
      </c>
      <c r="D2455" t="s">
        <v>71</v>
      </c>
      <c r="E2455">
        <v>0</v>
      </c>
      <c r="F2455">
        <v>32</v>
      </c>
      <c r="G2455" t="str">
        <f t="shared" si="46"/>
        <v>21-40</v>
      </c>
      <c r="H2455" t="s">
        <v>35</v>
      </c>
      <c r="I2455" t="s">
        <v>60</v>
      </c>
      <c r="J2455" t="s">
        <v>59</v>
      </c>
      <c r="K2455" t="s">
        <v>29</v>
      </c>
      <c r="L2455">
        <v>1</v>
      </c>
      <c r="M2455">
        <v>1</v>
      </c>
      <c r="N2455">
        <v>2.4</v>
      </c>
      <c r="O2455">
        <v>9.6</v>
      </c>
      <c r="P2455">
        <v>7</v>
      </c>
      <c r="Q2455">
        <v>6</v>
      </c>
      <c r="R2455">
        <v>685896</v>
      </c>
      <c r="S2455">
        <f>Table1[[#This Row],[Revenue]]-Table1[[#This Row],[Operating_Costs]]</f>
        <v>122490</v>
      </c>
      <c r="T2455">
        <v>563406</v>
      </c>
      <c r="U2455">
        <v>60</v>
      </c>
      <c r="V2455">
        <v>66</v>
      </c>
      <c r="W2455">
        <v>36.700000000000003</v>
      </c>
    </row>
    <row r="2456" spans="1:23" x14ac:dyDescent="0.25">
      <c r="A2456">
        <v>7</v>
      </c>
      <c r="B2456" t="s">
        <v>49</v>
      </c>
      <c r="C2456" s="1">
        <v>45646</v>
      </c>
      <c r="D2456" t="s">
        <v>71</v>
      </c>
      <c r="E2456">
        <v>0</v>
      </c>
      <c r="F2456">
        <v>28</v>
      </c>
      <c r="G2456" t="str">
        <f t="shared" si="46"/>
        <v>21-40</v>
      </c>
      <c r="H2456" t="s">
        <v>23</v>
      </c>
      <c r="I2456" t="s">
        <v>61</v>
      </c>
      <c r="J2456" t="s">
        <v>62</v>
      </c>
      <c r="K2456" t="s">
        <v>26</v>
      </c>
      <c r="L2456">
        <v>1</v>
      </c>
      <c r="M2456">
        <v>1</v>
      </c>
      <c r="N2456">
        <v>5.7</v>
      </c>
      <c r="O2456">
        <v>8.1</v>
      </c>
      <c r="P2456">
        <v>5</v>
      </c>
      <c r="Q2456">
        <v>7</v>
      </c>
      <c r="R2456">
        <v>854140</v>
      </c>
      <c r="S2456">
        <f>Table1[[#This Row],[Revenue]]-Table1[[#This Row],[Operating_Costs]]</f>
        <v>294840</v>
      </c>
      <c r="T2456">
        <v>559300</v>
      </c>
      <c r="U2456">
        <v>57</v>
      </c>
      <c r="V2456">
        <v>66</v>
      </c>
      <c r="W2456">
        <v>9.8000000000000007</v>
      </c>
    </row>
    <row r="2457" spans="1:23" x14ac:dyDescent="0.25">
      <c r="A2457">
        <v>7</v>
      </c>
      <c r="B2457" t="s">
        <v>49</v>
      </c>
      <c r="C2457" s="1">
        <v>44461</v>
      </c>
      <c r="D2457" t="s">
        <v>71</v>
      </c>
      <c r="E2457">
        <v>0</v>
      </c>
      <c r="F2457">
        <v>33</v>
      </c>
      <c r="G2457" t="str">
        <f t="shared" si="46"/>
        <v>21-40</v>
      </c>
      <c r="H2457" t="s">
        <v>23</v>
      </c>
      <c r="I2457" t="s">
        <v>64</v>
      </c>
      <c r="J2457" t="s">
        <v>65</v>
      </c>
      <c r="K2457" t="s">
        <v>33</v>
      </c>
      <c r="L2457">
        <v>1</v>
      </c>
      <c r="M2457">
        <v>1</v>
      </c>
      <c r="N2457">
        <v>1.5</v>
      </c>
      <c r="O2457">
        <v>8.9</v>
      </c>
      <c r="P2457">
        <v>6</v>
      </c>
      <c r="Q2457">
        <v>3</v>
      </c>
      <c r="R2457">
        <v>624020</v>
      </c>
      <c r="S2457">
        <f>Table1[[#This Row],[Revenue]]-Table1[[#This Row],[Operating_Costs]]</f>
        <v>54102</v>
      </c>
      <c r="T2457">
        <v>569918</v>
      </c>
      <c r="U2457">
        <v>50</v>
      </c>
      <c r="V2457">
        <v>65</v>
      </c>
      <c r="W2457">
        <v>7</v>
      </c>
    </row>
    <row r="2458" spans="1:23" x14ac:dyDescent="0.25">
      <c r="A2458">
        <v>7</v>
      </c>
      <c r="B2458" t="s">
        <v>49</v>
      </c>
      <c r="C2458" s="1">
        <v>45054</v>
      </c>
      <c r="D2458" t="s">
        <v>71</v>
      </c>
      <c r="E2458">
        <v>0</v>
      </c>
      <c r="F2458">
        <v>44</v>
      </c>
      <c r="G2458" t="str">
        <f t="shared" si="46"/>
        <v>41-60</v>
      </c>
      <c r="H2458" t="s">
        <v>35</v>
      </c>
      <c r="I2458" t="s">
        <v>27</v>
      </c>
      <c r="J2458" t="s">
        <v>28</v>
      </c>
      <c r="K2458" t="s">
        <v>26</v>
      </c>
      <c r="L2458">
        <v>1</v>
      </c>
      <c r="M2458">
        <v>1</v>
      </c>
      <c r="N2458">
        <v>2.9</v>
      </c>
      <c r="O2458">
        <v>9.3000000000000007</v>
      </c>
      <c r="P2458">
        <v>3</v>
      </c>
      <c r="Q2458">
        <v>6</v>
      </c>
      <c r="R2458">
        <v>792097</v>
      </c>
      <c r="S2458">
        <f>Table1[[#This Row],[Revenue]]-Table1[[#This Row],[Operating_Costs]]</f>
        <v>214959</v>
      </c>
      <c r="T2458">
        <v>577138</v>
      </c>
      <c r="U2458">
        <v>54</v>
      </c>
      <c r="V2458">
        <v>58</v>
      </c>
      <c r="W2458">
        <v>36.799999999999997</v>
      </c>
    </row>
    <row r="2459" spans="1:23" x14ac:dyDescent="0.25">
      <c r="A2459">
        <v>7</v>
      </c>
      <c r="B2459" t="s">
        <v>49</v>
      </c>
      <c r="C2459" s="1">
        <v>45587</v>
      </c>
      <c r="D2459" t="s">
        <v>71</v>
      </c>
      <c r="E2459">
        <v>0</v>
      </c>
      <c r="F2459">
        <v>46</v>
      </c>
      <c r="G2459" t="str">
        <f t="shared" si="46"/>
        <v>41-60</v>
      </c>
      <c r="H2459" t="s">
        <v>23</v>
      </c>
      <c r="I2459" t="s">
        <v>61</v>
      </c>
      <c r="J2459" t="s">
        <v>62</v>
      </c>
      <c r="K2459" t="s">
        <v>29</v>
      </c>
      <c r="L2459">
        <v>1</v>
      </c>
      <c r="M2459">
        <v>1</v>
      </c>
      <c r="N2459">
        <v>2.1</v>
      </c>
      <c r="O2459">
        <v>9</v>
      </c>
      <c r="P2459">
        <v>6</v>
      </c>
      <c r="Q2459">
        <v>3</v>
      </c>
      <c r="R2459">
        <v>727038</v>
      </c>
      <c r="S2459">
        <f>Table1[[#This Row],[Revenue]]-Table1[[#This Row],[Operating_Costs]]</f>
        <v>223428</v>
      </c>
      <c r="T2459">
        <v>503610</v>
      </c>
      <c r="U2459">
        <v>56</v>
      </c>
      <c r="V2459">
        <v>55</v>
      </c>
      <c r="W2459">
        <v>7.8</v>
      </c>
    </row>
    <row r="2460" spans="1:23" x14ac:dyDescent="0.25">
      <c r="A2460">
        <v>7</v>
      </c>
      <c r="B2460" t="s">
        <v>49</v>
      </c>
      <c r="C2460" s="1">
        <v>45197</v>
      </c>
      <c r="D2460" t="s">
        <v>71</v>
      </c>
      <c r="E2460">
        <v>0</v>
      </c>
      <c r="F2460">
        <v>52</v>
      </c>
      <c r="G2460" t="str">
        <f t="shared" si="46"/>
        <v>41-60</v>
      </c>
      <c r="H2460" t="s">
        <v>35</v>
      </c>
      <c r="I2460" t="s">
        <v>27</v>
      </c>
      <c r="J2460" t="s">
        <v>28</v>
      </c>
      <c r="K2460" t="s">
        <v>33</v>
      </c>
      <c r="L2460">
        <v>1</v>
      </c>
      <c r="M2460">
        <v>1</v>
      </c>
      <c r="N2460">
        <v>2.2999999999999998</v>
      </c>
      <c r="O2460">
        <v>7.2</v>
      </c>
      <c r="P2460">
        <v>5</v>
      </c>
      <c r="Q2460">
        <v>5</v>
      </c>
      <c r="R2460">
        <v>742447</v>
      </c>
      <c r="S2460">
        <f>Table1[[#This Row],[Revenue]]-Table1[[#This Row],[Operating_Costs]]</f>
        <v>178065</v>
      </c>
      <c r="T2460">
        <v>564382</v>
      </c>
      <c r="U2460">
        <v>50</v>
      </c>
      <c r="V2460">
        <v>56</v>
      </c>
      <c r="W2460">
        <v>5.8</v>
      </c>
    </row>
    <row r="2461" spans="1:23" x14ac:dyDescent="0.25">
      <c r="A2461">
        <v>7</v>
      </c>
      <c r="B2461" t="s">
        <v>49</v>
      </c>
      <c r="C2461" s="1">
        <v>44496</v>
      </c>
      <c r="D2461" t="s">
        <v>71</v>
      </c>
      <c r="E2461">
        <v>0</v>
      </c>
      <c r="F2461">
        <v>39</v>
      </c>
      <c r="G2461" t="str">
        <f t="shared" si="46"/>
        <v>21-40</v>
      </c>
      <c r="H2461" t="s">
        <v>23</v>
      </c>
      <c r="I2461" t="s">
        <v>40</v>
      </c>
      <c r="J2461" t="s">
        <v>41</v>
      </c>
      <c r="K2461" t="s">
        <v>42</v>
      </c>
      <c r="L2461">
        <v>1</v>
      </c>
      <c r="M2461">
        <v>1</v>
      </c>
      <c r="N2461">
        <v>2.2999999999999998</v>
      </c>
      <c r="O2461">
        <v>8.6999999999999993</v>
      </c>
      <c r="P2461">
        <v>3</v>
      </c>
      <c r="Q2461">
        <v>6</v>
      </c>
      <c r="R2461">
        <v>849500</v>
      </c>
      <c r="S2461">
        <f>Table1[[#This Row],[Revenue]]-Table1[[#This Row],[Operating_Costs]]</f>
        <v>349048</v>
      </c>
      <c r="T2461">
        <v>500452</v>
      </c>
      <c r="U2461">
        <v>44</v>
      </c>
      <c r="V2461">
        <v>64</v>
      </c>
      <c r="W2461">
        <v>7.3</v>
      </c>
    </row>
    <row r="2462" spans="1:23" x14ac:dyDescent="0.25">
      <c r="A2462">
        <v>7</v>
      </c>
      <c r="B2462" t="s">
        <v>49</v>
      </c>
      <c r="C2462" s="1">
        <v>44797</v>
      </c>
      <c r="D2462" t="s">
        <v>71</v>
      </c>
      <c r="E2462">
        <v>0</v>
      </c>
      <c r="F2462">
        <v>43</v>
      </c>
      <c r="G2462" t="str">
        <f t="shared" si="46"/>
        <v>41-60</v>
      </c>
      <c r="H2462" t="s">
        <v>23</v>
      </c>
      <c r="I2462" t="s">
        <v>43</v>
      </c>
      <c r="J2462" t="s">
        <v>25</v>
      </c>
      <c r="K2462" t="s">
        <v>38</v>
      </c>
      <c r="L2462">
        <v>1</v>
      </c>
      <c r="M2462">
        <v>1</v>
      </c>
      <c r="N2462">
        <v>3.6</v>
      </c>
      <c r="O2462">
        <v>7.4</v>
      </c>
      <c r="P2462">
        <v>4</v>
      </c>
      <c r="Q2462">
        <v>6</v>
      </c>
      <c r="R2462">
        <v>723879</v>
      </c>
      <c r="S2462">
        <f>Table1[[#This Row],[Revenue]]-Table1[[#This Row],[Operating_Costs]]</f>
        <v>184841</v>
      </c>
      <c r="T2462">
        <v>539038</v>
      </c>
      <c r="U2462">
        <v>47</v>
      </c>
      <c r="V2462">
        <v>58</v>
      </c>
      <c r="W2462">
        <v>6.7</v>
      </c>
    </row>
    <row r="2463" spans="1:23" x14ac:dyDescent="0.25">
      <c r="A2463">
        <v>7</v>
      </c>
      <c r="B2463" t="s">
        <v>49</v>
      </c>
      <c r="C2463" s="1">
        <v>44292</v>
      </c>
      <c r="D2463" t="s">
        <v>71</v>
      </c>
      <c r="E2463">
        <v>0</v>
      </c>
      <c r="F2463">
        <v>61</v>
      </c>
      <c r="G2463" t="str">
        <f t="shared" si="46"/>
        <v>61-80</v>
      </c>
      <c r="H2463" t="s">
        <v>23</v>
      </c>
      <c r="I2463" t="s">
        <v>64</v>
      </c>
      <c r="J2463" t="s">
        <v>65</v>
      </c>
      <c r="K2463" t="s">
        <v>42</v>
      </c>
      <c r="L2463">
        <v>1</v>
      </c>
      <c r="M2463">
        <v>1</v>
      </c>
      <c r="N2463">
        <v>1.1000000000000001</v>
      </c>
      <c r="O2463">
        <v>10</v>
      </c>
      <c r="P2463">
        <v>5</v>
      </c>
      <c r="Q2463">
        <v>6</v>
      </c>
      <c r="R2463">
        <v>766356</v>
      </c>
      <c r="S2463">
        <f>Table1[[#This Row],[Revenue]]-Table1[[#This Row],[Operating_Costs]]</f>
        <v>263037</v>
      </c>
      <c r="T2463">
        <v>503319</v>
      </c>
      <c r="U2463">
        <v>60</v>
      </c>
      <c r="V2463">
        <v>60</v>
      </c>
      <c r="W2463">
        <v>14.7</v>
      </c>
    </row>
    <row r="2464" spans="1:23" x14ac:dyDescent="0.25">
      <c r="A2464">
        <v>7</v>
      </c>
      <c r="B2464" t="s">
        <v>49</v>
      </c>
      <c r="C2464" s="1">
        <v>45210</v>
      </c>
      <c r="D2464" t="s">
        <v>71</v>
      </c>
      <c r="E2464">
        <v>0</v>
      </c>
      <c r="F2464">
        <v>36</v>
      </c>
      <c r="G2464" t="str">
        <f t="shared" si="46"/>
        <v>21-40</v>
      </c>
      <c r="H2464" t="s">
        <v>23</v>
      </c>
      <c r="I2464" t="s">
        <v>40</v>
      </c>
      <c r="J2464" t="s">
        <v>41</v>
      </c>
      <c r="K2464" t="s">
        <v>29</v>
      </c>
      <c r="L2464">
        <v>1</v>
      </c>
      <c r="M2464">
        <v>1</v>
      </c>
      <c r="N2464">
        <v>6.3</v>
      </c>
      <c r="O2464">
        <v>7.5</v>
      </c>
      <c r="P2464">
        <v>5</v>
      </c>
      <c r="Q2464">
        <v>6</v>
      </c>
      <c r="R2464">
        <v>781510</v>
      </c>
      <c r="S2464">
        <f>Table1[[#This Row],[Revenue]]-Table1[[#This Row],[Operating_Costs]]</f>
        <v>190591</v>
      </c>
      <c r="T2464">
        <v>590919</v>
      </c>
      <c r="U2464">
        <v>56</v>
      </c>
      <c r="V2464">
        <v>62</v>
      </c>
      <c r="W2464">
        <v>13.6</v>
      </c>
    </row>
    <row r="2465" spans="1:23" x14ac:dyDescent="0.25">
      <c r="A2465">
        <v>7</v>
      </c>
      <c r="B2465" t="s">
        <v>49</v>
      </c>
      <c r="C2465" s="1">
        <v>45001</v>
      </c>
      <c r="D2465" t="s">
        <v>71</v>
      </c>
      <c r="E2465">
        <v>0</v>
      </c>
      <c r="F2465">
        <v>21</v>
      </c>
      <c r="G2465" t="str">
        <f t="shared" si="46"/>
        <v>21-40</v>
      </c>
      <c r="H2465" t="s">
        <v>23</v>
      </c>
      <c r="I2465" t="s">
        <v>50</v>
      </c>
      <c r="J2465" t="s">
        <v>51</v>
      </c>
      <c r="K2465" t="s">
        <v>38</v>
      </c>
      <c r="L2465">
        <v>1</v>
      </c>
      <c r="M2465">
        <v>1</v>
      </c>
      <c r="N2465">
        <v>6.5</v>
      </c>
      <c r="O2465">
        <v>8.6999999999999993</v>
      </c>
      <c r="P2465">
        <v>7</v>
      </c>
      <c r="Q2465">
        <v>5</v>
      </c>
      <c r="R2465">
        <v>682914</v>
      </c>
      <c r="S2465">
        <f>Table1[[#This Row],[Revenue]]-Table1[[#This Row],[Operating_Costs]]</f>
        <v>135082</v>
      </c>
      <c r="T2465">
        <v>547832</v>
      </c>
      <c r="U2465">
        <v>50</v>
      </c>
      <c r="V2465">
        <v>58</v>
      </c>
      <c r="W2465">
        <v>12.5</v>
      </c>
    </row>
    <row r="2466" spans="1:23" x14ac:dyDescent="0.25">
      <c r="A2466">
        <v>7</v>
      </c>
      <c r="B2466" t="s">
        <v>49</v>
      </c>
      <c r="C2466" s="1">
        <v>44794</v>
      </c>
      <c r="D2466" t="s">
        <v>71</v>
      </c>
      <c r="E2466">
        <v>0</v>
      </c>
      <c r="F2466">
        <v>66</v>
      </c>
      <c r="G2466" t="str">
        <f t="shared" si="46"/>
        <v>61-80</v>
      </c>
      <c r="H2466" t="s">
        <v>23</v>
      </c>
      <c r="I2466" t="s">
        <v>24</v>
      </c>
      <c r="J2466" t="s">
        <v>25</v>
      </c>
      <c r="K2466" t="s">
        <v>42</v>
      </c>
      <c r="L2466">
        <v>1</v>
      </c>
      <c r="M2466">
        <v>1</v>
      </c>
      <c r="N2466">
        <v>1.4</v>
      </c>
      <c r="O2466">
        <v>9.1999999999999993</v>
      </c>
      <c r="P2466">
        <v>3</v>
      </c>
      <c r="Q2466">
        <v>6</v>
      </c>
      <c r="R2466">
        <v>616666</v>
      </c>
      <c r="S2466">
        <f>Table1[[#This Row],[Revenue]]-Table1[[#This Row],[Operating_Costs]]</f>
        <v>90636</v>
      </c>
      <c r="T2466">
        <v>526030</v>
      </c>
      <c r="U2466">
        <v>40</v>
      </c>
      <c r="V2466">
        <v>62</v>
      </c>
      <c r="W2466">
        <v>10</v>
      </c>
    </row>
    <row r="2467" spans="1:23" x14ac:dyDescent="0.25">
      <c r="A2467">
        <v>7</v>
      </c>
      <c r="B2467" t="s">
        <v>49</v>
      </c>
      <c r="C2467" s="1">
        <v>44640</v>
      </c>
      <c r="D2467" t="s">
        <v>71</v>
      </c>
      <c r="E2467">
        <v>0</v>
      </c>
      <c r="F2467">
        <v>36</v>
      </c>
      <c r="G2467" t="str">
        <f t="shared" si="46"/>
        <v>21-40</v>
      </c>
      <c r="H2467" t="s">
        <v>35</v>
      </c>
      <c r="I2467" t="s">
        <v>46</v>
      </c>
      <c r="J2467" t="s">
        <v>47</v>
      </c>
      <c r="K2467" t="s">
        <v>29</v>
      </c>
      <c r="L2467">
        <v>1</v>
      </c>
      <c r="M2467">
        <v>1</v>
      </c>
      <c r="N2467">
        <v>4.9000000000000004</v>
      </c>
      <c r="O2467">
        <v>9.8000000000000007</v>
      </c>
      <c r="P2467">
        <v>5</v>
      </c>
      <c r="Q2467">
        <v>4</v>
      </c>
      <c r="R2467">
        <v>744095</v>
      </c>
      <c r="S2467">
        <f>Table1[[#This Row],[Revenue]]-Table1[[#This Row],[Operating_Costs]]</f>
        <v>223020</v>
      </c>
      <c r="T2467">
        <v>521075</v>
      </c>
      <c r="U2467">
        <v>56</v>
      </c>
      <c r="V2467">
        <v>66</v>
      </c>
      <c r="W2467">
        <v>13.6</v>
      </c>
    </row>
    <row r="2468" spans="1:23" x14ac:dyDescent="0.25">
      <c r="A2468">
        <v>7</v>
      </c>
      <c r="B2468" t="s">
        <v>49</v>
      </c>
      <c r="C2468" s="1">
        <v>44652</v>
      </c>
      <c r="D2468" t="s">
        <v>71</v>
      </c>
      <c r="E2468">
        <v>0</v>
      </c>
      <c r="F2468">
        <v>45</v>
      </c>
      <c r="G2468" t="str">
        <f t="shared" si="46"/>
        <v>41-60</v>
      </c>
      <c r="H2468" t="s">
        <v>35</v>
      </c>
      <c r="I2468" t="s">
        <v>46</v>
      </c>
      <c r="J2468" t="s">
        <v>47</v>
      </c>
      <c r="K2468" t="s">
        <v>42</v>
      </c>
      <c r="L2468">
        <v>1</v>
      </c>
      <c r="M2468">
        <v>1</v>
      </c>
      <c r="N2468">
        <v>3.5</v>
      </c>
      <c r="O2468">
        <v>8.3000000000000007</v>
      </c>
      <c r="P2468">
        <v>7</v>
      </c>
      <c r="Q2468">
        <v>3</v>
      </c>
      <c r="R2468">
        <v>810404</v>
      </c>
      <c r="S2468">
        <f>Table1[[#This Row],[Revenue]]-Table1[[#This Row],[Operating_Costs]]</f>
        <v>235849</v>
      </c>
      <c r="T2468">
        <v>574555</v>
      </c>
      <c r="U2468">
        <v>40</v>
      </c>
      <c r="V2468">
        <v>59</v>
      </c>
      <c r="W2468">
        <v>7.7</v>
      </c>
    </row>
    <row r="2469" spans="1:23" x14ac:dyDescent="0.25">
      <c r="A2469">
        <v>7</v>
      </c>
      <c r="B2469" t="s">
        <v>49</v>
      </c>
      <c r="C2469" s="1">
        <v>44413</v>
      </c>
      <c r="D2469" t="s">
        <v>71</v>
      </c>
      <c r="E2469">
        <v>0</v>
      </c>
      <c r="F2469">
        <v>61</v>
      </c>
      <c r="G2469" t="str">
        <f t="shared" si="46"/>
        <v>61-80</v>
      </c>
      <c r="H2469" t="s">
        <v>23</v>
      </c>
      <c r="I2469" t="s">
        <v>24</v>
      </c>
      <c r="J2469" t="s">
        <v>25</v>
      </c>
      <c r="K2469" t="s">
        <v>33</v>
      </c>
      <c r="L2469">
        <v>1</v>
      </c>
      <c r="M2469">
        <v>1</v>
      </c>
      <c r="N2469">
        <v>5.2</v>
      </c>
      <c r="O2469">
        <v>9.1</v>
      </c>
      <c r="P2469">
        <v>5</v>
      </c>
      <c r="Q2469">
        <v>5</v>
      </c>
      <c r="R2469">
        <v>713744</v>
      </c>
      <c r="S2469">
        <f>Table1[[#This Row],[Revenue]]-Table1[[#This Row],[Operating_Costs]]</f>
        <v>132536</v>
      </c>
      <c r="T2469">
        <v>581208</v>
      </c>
      <c r="U2469">
        <v>40</v>
      </c>
      <c r="V2469">
        <v>62</v>
      </c>
      <c r="W2469">
        <v>13.5</v>
      </c>
    </row>
    <row r="2470" spans="1:23" x14ac:dyDescent="0.25">
      <c r="A2470">
        <v>7</v>
      </c>
      <c r="B2470" t="s">
        <v>49</v>
      </c>
      <c r="C2470" s="1">
        <v>45529</v>
      </c>
      <c r="D2470" t="s">
        <v>71</v>
      </c>
      <c r="E2470">
        <v>0</v>
      </c>
      <c r="F2470">
        <v>43</v>
      </c>
      <c r="G2470" t="str">
        <f t="shared" si="46"/>
        <v>41-60</v>
      </c>
      <c r="H2470" t="s">
        <v>35</v>
      </c>
      <c r="I2470" t="s">
        <v>53</v>
      </c>
      <c r="J2470" t="s">
        <v>54</v>
      </c>
      <c r="K2470" t="s">
        <v>26</v>
      </c>
      <c r="L2470">
        <v>1</v>
      </c>
      <c r="M2470">
        <v>1</v>
      </c>
      <c r="N2470">
        <v>5</v>
      </c>
      <c r="O2470">
        <v>8.8000000000000007</v>
      </c>
      <c r="P2470">
        <v>7</v>
      </c>
      <c r="Q2470">
        <v>4</v>
      </c>
      <c r="R2470">
        <v>633345</v>
      </c>
      <c r="S2470">
        <f>Table1[[#This Row],[Revenue]]-Table1[[#This Row],[Operating_Costs]]</f>
        <v>61295</v>
      </c>
      <c r="T2470">
        <v>572050</v>
      </c>
      <c r="U2470">
        <v>47</v>
      </c>
      <c r="V2470">
        <v>57</v>
      </c>
      <c r="W2470">
        <v>12.6</v>
      </c>
    </row>
    <row r="2471" spans="1:23" x14ac:dyDescent="0.25">
      <c r="A2471">
        <v>7</v>
      </c>
      <c r="B2471" t="s">
        <v>49</v>
      </c>
      <c r="C2471" s="1">
        <v>44591</v>
      </c>
      <c r="D2471" t="s">
        <v>71</v>
      </c>
      <c r="E2471">
        <v>0</v>
      </c>
      <c r="F2471">
        <v>34</v>
      </c>
      <c r="G2471" t="str">
        <f t="shared" si="46"/>
        <v>21-40</v>
      </c>
      <c r="H2471" t="s">
        <v>35</v>
      </c>
      <c r="I2471" t="s">
        <v>46</v>
      </c>
      <c r="J2471" t="s">
        <v>47</v>
      </c>
      <c r="K2471" t="s">
        <v>29</v>
      </c>
      <c r="L2471">
        <v>1</v>
      </c>
      <c r="M2471">
        <v>1</v>
      </c>
      <c r="N2471">
        <v>3.7</v>
      </c>
      <c r="O2471">
        <v>10</v>
      </c>
      <c r="P2471">
        <v>3</v>
      </c>
      <c r="Q2471">
        <v>4</v>
      </c>
      <c r="R2471">
        <v>863744</v>
      </c>
      <c r="S2471">
        <f>Table1[[#This Row],[Revenue]]-Table1[[#This Row],[Operating_Costs]]</f>
        <v>312946</v>
      </c>
      <c r="T2471">
        <v>550798</v>
      </c>
      <c r="U2471">
        <v>55</v>
      </c>
      <c r="V2471">
        <v>62</v>
      </c>
      <c r="W2471">
        <v>14.8</v>
      </c>
    </row>
    <row r="2472" spans="1:23" x14ac:dyDescent="0.25">
      <c r="A2472">
        <v>7</v>
      </c>
      <c r="B2472" t="s">
        <v>49</v>
      </c>
      <c r="C2472" s="1">
        <v>44286</v>
      </c>
      <c r="D2472" t="s">
        <v>71</v>
      </c>
      <c r="E2472">
        <v>0</v>
      </c>
      <c r="F2472">
        <v>73</v>
      </c>
      <c r="G2472" t="str">
        <f t="shared" si="46"/>
        <v>61-80</v>
      </c>
      <c r="H2472" t="s">
        <v>23</v>
      </c>
      <c r="I2472" t="s">
        <v>50</v>
      </c>
      <c r="J2472" t="s">
        <v>51</v>
      </c>
      <c r="K2472" t="s">
        <v>42</v>
      </c>
      <c r="L2472">
        <v>1</v>
      </c>
      <c r="M2472">
        <v>1</v>
      </c>
      <c r="N2472">
        <v>4.2</v>
      </c>
      <c r="O2472">
        <v>7.6</v>
      </c>
      <c r="P2472">
        <v>4</v>
      </c>
      <c r="Q2472">
        <v>5</v>
      </c>
      <c r="R2472">
        <v>879929</v>
      </c>
      <c r="S2472">
        <f>Table1[[#This Row],[Revenue]]-Table1[[#This Row],[Operating_Costs]]</f>
        <v>370900</v>
      </c>
      <c r="T2472">
        <v>509029</v>
      </c>
      <c r="U2472">
        <v>40</v>
      </c>
      <c r="V2472">
        <v>65</v>
      </c>
      <c r="W2472">
        <v>14.6</v>
      </c>
    </row>
    <row r="2473" spans="1:23" x14ac:dyDescent="0.25">
      <c r="A2473">
        <v>7</v>
      </c>
      <c r="B2473" t="s">
        <v>49</v>
      </c>
      <c r="C2473" s="1">
        <v>44803</v>
      </c>
      <c r="D2473" t="s">
        <v>71</v>
      </c>
      <c r="E2473">
        <v>0</v>
      </c>
      <c r="F2473">
        <v>43</v>
      </c>
      <c r="G2473" t="str">
        <f t="shared" si="46"/>
        <v>41-60</v>
      </c>
      <c r="H2473" t="s">
        <v>35</v>
      </c>
      <c r="I2473" t="s">
        <v>36</v>
      </c>
      <c r="J2473" t="s">
        <v>37</v>
      </c>
      <c r="K2473" t="s">
        <v>29</v>
      </c>
      <c r="L2473">
        <v>1</v>
      </c>
      <c r="M2473">
        <v>1</v>
      </c>
      <c r="N2473">
        <v>3.6</v>
      </c>
      <c r="O2473">
        <v>9.4</v>
      </c>
      <c r="P2473">
        <v>5</v>
      </c>
      <c r="Q2473">
        <v>7</v>
      </c>
      <c r="R2473">
        <v>668262</v>
      </c>
      <c r="S2473">
        <f>Table1[[#This Row],[Revenue]]-Table1[[#This Row],[Operating_Costs]]</f>
        <v>131800</v>
      </c>
      <c r="T2473">
        <v>536462</v>
      </c>
      <c r="U2473">
        <v>41</v>
      </c>
      <c r="V2473">
        <v>56</v>
      </c>
      <c r="W2473">
        <v>10.4</v>
      </c>
    </row>
    <row r="2474" spans="1:23" x14ac:dyDescent="0.25">
      <c r="A2474">
        <v>7</v>
      </c>
      <c r="B2474" t="s">
        <v>49</v>
      </c>
      <c r="C2474" s="1">
        <v>44406</v>
      </c>
      <c r="D2474" t="s">
        <v>71</v>
      </c>
      <c r="E2474">
        <v>0</v>
      </c>
      <c r="F2474">
        <v>79</v>
      </c>
      <c r="G2474" t="str">
        <f t="shared" si="46"/>
        <v>61-80</v>
      </c>
      <c r="H2474" t="s">
        <v>35</v>
      </c>
      <c r="I2474" t="s">
        <v>55</v>
      </c>
      <c r="J2474" t="s">
        <v>56</v>
      </c>
      <c r="K2474" t="s">
        <v>26</v>
      </c>
      <c r="L2474">
        <v>1</v>
      </c>
      <c r="M2474">
        <v>1</v>
      </c>
      <c r="N2474">
        <v>1.9</v>
      </c>
      <c r="O2474">
        <v>7.9</v>
      </c>
      <c r="P2474">
        <v>6</v>
      </c>
      <c r="Q2474">
        <v>3</v>
      </c>
      <c r="R2474">
        <v>769668</v>
      </c>
      <c r="S2474">
        <f>Table1[[#This Row],[Revenue]]-Table1[[#This Row],[Operating_Costs]]</f>
        <v>220174</v>
      </c>
      <c r="T2474">
        <v>549494</v>
      </c>
      <c r="U2474">
        <v>60</v>
      </c>
      <c r="V2474">
        <v>62</v>
      </c>
      <c r="W2474">
        <v>10.3</v>
      </c>
    </row>
    <row r="2475" spans="1:23" x14ac:dyDescent="0.25">
      <c r="A2475">
        <v>7</v>
      </c>
      <c r="B2475" t="s">
        <v>49</v>
      </c>
      <c r="C2475" s="1">
        <v>44927</v>
      </c>
      <c r="D2475" t="s">
        <v>71</v>
      </c>
      <c r="E2475">
        <v>0</v>
      </c>
      <c r="F2475">
        <v>86</v>
      </c>
      <c r="G2475" t="str">
        <f t="shared" si="46"/>
        <v>81+</v>
      </c>
      <c r="H2475" t="s">
        <v>35</v>
      </c>
      <c r="I2475" t="s">
        <v>46</v>
      </c>
      <c r="J2475" t="s">
        <v>47</v>
      </c>
      <c r="K2475" t="s">
        <v>33</v>
      </c>
      <c r="L2475">
        <v>1</v>
      </c>
      <c r="M2475">
        <v>1</v>
      </c>
      <c r="N2475">
        <v>5.6</v>
      </c>
      <c r="O2475">
        <v>9.1</v>
      </c>
      <c r="P2475">
        <v>7</v>
      </c>
      <c r="Q2475">
        <v>3</v>
      </c>
      <c r="R2475">
        <v>666308</v>
      </c>
      <c r="S2475">
        <f>Table1[[#This Row],[Revenue]]-Table1[[#This Row],[Operating_Costs]]</f>
        <v>119179</v>
      </c>
      <c r="T2475">
        <v>547129</v>
      </c>
      <c r="U2475">
        <v>58</v>
      </c>
      <c r="V2475">
        <v>63</v>
      </c>
      <c r="W2475">
        <v>14.3</v>
      </c>
    </row>
    <row r="2476" spans="1:23" x14ac:dyDescent="0.25">
      <c r="A2476">
        <v>7</v>
      </c>
      <c r="B2476" t="s">
        <v>49</v>
      </c>
      <c r="C2476" s="1">
        <v>45405</v>
      </c>
      <c r="D2476" t="s">
        <v>71</v>
      </c>
      <c r="E2476">
        <v>0</v>
      </c>
      <c r="F2476">
        <v>50</v>
      </c>
      <c r="G2476" t="str">
        <f t="shared" si="46"/>
        <v>41-60</v>
      </c>
      <c r="H2476" t="s">
        <v>35</v>
      </c>
      <c r="I2476" t="s">
        <v>40</v>
      </c>
      <c r="J2476" t="s">
        <v>41</v>
      </c>
      <c r="K2476" t="s">
        <v>29</v>
      </c>
      <c r="L2476">
        <v>1</v>
      </c>
      <c r="M2476">
        <v>1</v>
      </c>
      <c r="N2476">
        <v>4.0999999999999996</v>
      </c>
      <c r="O2476">
        <v>7.8</v>
      </c>
      <c r="P2476">
        <v>4</v>
      </c>
      <c r="Q2476">
        <v>3</v>
      </c>
      <c r="R2476">
        <v>705625</v>
      </c>
      <c r="S2476">
        <f>Table1[[#This Row],[Revenue]]-Table1[[#This Row],[Operating_Costs]]</f>
        <v>124363</v>
      </c>
      <c r="T2476">
        <v>581262</v>
      </c>
      <c r="U2476">
        <v>50</v>
      </c>
      <c r="V2476">
        <v>60</v>
      </c>
      <c r="W2476">
        <v>8.3000000000000007</v>
      </c>
    </row>
    <row r="2477" spans="1:23" x14ac:dyDescent="0.25">
      <c r="A2477">
        <v>7</v>
      </c>
      <c r="B2477" t="s">
        <v>49</v>
      </c>
      <c r="C2477" s="1">
        <v>45496</v>
      </c>
      <c r="D2477" t="s">
        <v>71</v>
      </c>
      <c r="E2477">
        <v>0</v>
      </c>
      <c r="F2477">
        <v>80</v>
      </c>
      <c r="G2477" t="str">
        <f t="shared" si="46"/>
        <v>61-80</v>
      </c>
      <c r="H2477" t="s">
        <v>35</v>
      </c>
      <c r="I2477" t="s">
        <v>46</v>
      </c>
      <c r="J2477" t="s">
        <v>47</v>
      </c>
      <c r="K2477" t="s">
        <v>26</v>
      </c>
      <c r="L2477">
        <v>1</v>
      </c>
      <c r="M2477">
        <v>1</v>
      </c>
      <c r="N2477">
        <v>1</v>
      </c>
      <c r="O2477">
        <v>8.6999999999999993</v>
      </c>
      <c r="P2477">
        <v>7</v>
      </c>
      <c r="Q2477">
        <v>4</v>
      </c>
      <c r="R2477">
        <v>870272</v>
      </c>
      <c r="S2477">
        <f>Table1[[#This Row],[Revenue]]-Table1[[#This Row],[Operating_Costs]]</f>
        <v>355385</v>
      </c>
      <c r="T2477">
        <v>514887</v>
      </c>
      <c r="U2477">
        <v>59</v>
      </c>
      <c r="V2477">
        <v>57</v>
      </c>
      <c r="W2477">
        <v>36.200000000000003</v>
      </c>
    </row>
    <row r="2478" spans="1:23" x14ac:dyDescent="0.25">
      <c r="A2478">
        <v>7</v>
      </c>
      <c r="B2478" t="s">
        <v>49</v>
      </c>
      <c r="C2478" s="1">
        <v>44284</v>
      </c>
      <c r="D2478" t="s">
        <v>71</v>
      </c>
      <c r="E2478">
        <v>0</v>
      </c>
      <c r="F2478">
        <v>34</v>
      </c>
      <c r="G2478" t="str">
        <f t="shared" si="46"/>
        <v>21-40</v>
      </c>
      <c r="H2478" t="s">
        <v>35</v>
      </c>
      <c r="I2478" t="s">
        <v>36</v>
      </c>
      <c r="J2478" t="s">
        <v>37</v>
      </c>
      <c r="K2478" t="s">
        <v>26</v>
      </c>
      <c r="L2478">
        <v>1</v>
      </c>
      <c r="M2478">
        <v>1</v>
      </c>
      <c r="N2478">
        <v>6.9</v>
      </c>
      <c r="O2478">
        <v>7.2</v>
      </c>
      <c r="P2478">
        <v>7</v>
      </c>
      <c r="Q2478">
        <v>5</v>
      </c>
      <c r="R2478">
        <v>886631</v>
      </c>
      <c r="S2478">
        <f>Table1[[#This Row],[Revenue]]-Table1[[#This Row],[Operating_Costs]]</f>
        <v>341463</v>
      </c>
      <c r="T2478">
        <v>545168</v>
      </c>
      <c r="U2478">
        <v>49</v>
      </c>
      <c r="V2478">
        <v>56</v>
      </c>
      <c r="W2478">
        <v>8.8000000000000007</v>
      </c>
    </row>
    <row r="2479" spans="1:23" x14ac:dyDescent="0.25">
      <c r="A2479">
        <v>7</v>
      </c>
      <c r="B2479" t="s">
        <v>49</v>
      </c>
      <c r="C2479" s="1">
        <v>44220</v>
      </c>
      <c r="D2479" t="s">
        <v>71</v>
      </c>
      <c r="E2479">
        <v>0</v>
      </c>
      <c r="F2479">
        <v>33</v>
      </c>
      <c r="G2479" t="str">
        <f t="shared" si="46"/>
        <v>21-40</v>
      </c>
      <c r="H2479" t="s">
        <v>23</v>
      </c>
      <c r="I2479" t="s">
        <v>43</v>
      </c>
      <c r="J2479" t="s">
        <v>25</v>
      </c>
      <c r="K2479" t="s">
        <v>26</v>
      </c>
      <c r="L2479">
        <v>1</v>
      </c>
      <c r="M2479">
        <v>1</v>
      </c>
      <c r="N2479">
        <v>2.2000000000000002</v>
      </c>
      <c r="O2479">
        <v>7.5</v>
      </c>
      <c r="P2479">
        <v>5</v>
      </c>
      <c r="Q2479">
        <v>7</v>
      </c>
      <c r="R2479">
        <v>674757</v>
      </c>
      <c r="S2479">
        <f>Table1[[#This Row],[Revenue]]-Table1[[#This Row],[Operating_Costs]]</f>
        <v>95829</v>
      </c>
      <c r="T2479">
        <v>578928</v>
      </c>
      <c r="U2479">
        <v>50</v>
      </c>
      <c r="V2479">
        <v>63</v>
      </c>
      <c r="W2479">
        <v>13.3</v>
      </c>
    </row>
    <row r="2480" spans="1:23" x14ac:dyDescent="0.25">
      <c r="A2480">
        <v>6</v>
      </c>
      <c r="B2480" t="s">
        <v>70</v>
      </c>
      <c r="C2480" s="1">
        <v>45136</v>
      </c>
      <c r="D2480" t="s">
        <v>71</v>
      </c>
      <c r="E2480">
        <v>0</v>
      </c>
      <c r="F2480">
        <v>66</v>
      </c>
      <c r="G2480" t="str">
        <f t="shared" si="46"/>
        <v>61-80</v>
      </c>
      <c r="H2480" t="s">
        <v>35</v>
      </c>
      <c r="I2480" t="s">
        <v>46</v>
      </c>
      <c r="J2480" t="s">
        <v>47</v>
      </c>
      <c r="K2480" t="s">
        <v>42</v>
      </c>
      <c r="L2480">
        <v>1</v>
      </c>
      <c r="M2480">
        <v>1</v>
      </c>
      <c r="N2480">
        <v>2.5</v>
      </c>
      <c r="O2480">
        <v>7.9</v>
      </c>
      <c r="P2480">
        <v>7</v>
      </c>
      <c r="Q2480">
        <v>7</v>
      </c>
      <c r="R2480">
        <v>792360</v>
      </c>
      <c r="S2480">
        <f>Table1[[#This Row],[Revenue]]-Table1[[#This Row],[Operating_Costs]]</f>
        <v>324767</v>
      </c>
      <c r="T2480">
        <v>467593</v>
      </c>
      <c r="U2480">
        <v>30</v>
      </c>
      <c r="V2480">
        <v>60</v>
      </c>
      <c r="W2480">
        <v>9.1</v>
      </c>
    </row>
    <row r="2481" spans="1:23" x14ac:dyDescent="0.25">
      <c r="A2481">
        <v>7</v>
      </c>
      <c r="B2481" t="s">
        <v>49</v>
      </c>
      <c r="C2481" s="1">
        <v>45369</v>
      </c>
      <c r="D2481" t="s">
        <v>71</v>
      </c>
      <c r="E2481">
        <v>0</v>
      </c>
      <c r="F2481">
        <v>36</v>
      </c>
      <c r="G2481" t="str">
        <f t="shared" si="46"/>
        <v>21-40</v>
      </c>
      <c r="H2481" t="s">
        <v>23</v>
      </c>
      <c r="I2481" t="s">
        <v>27</v>
      </c>
      <c r="J2481" t="s">
        <v>28</v>
      </c>
      <c r="K2481" t="s">
        <v>29</v>
      </c>
      <c r="L2481">
        <v>1</v>
      </c>
      <c r="M2481">
        <v>1</v>
      </c>
      <c r="N2481">
        <v>2.2000000000000002</v>
      </c>
      <c r="O2481">
        <v>9.5</v>
      </c>
      <c r="P2481">
        <v>6</v>
      </c>
      <c r="Q2481">
        <v>5</v>
      </c>
      <c r="R2481">
        <v>821467</v>
      </c>
      <c r="S2481">
        <f>Table1[[#This Row],[Revenue]]-Table1[[#This Row],[Operating_Costs]]</f>
        <v>295099</v>
      </c>
      <c r="T2481">
        <v>526368</v>
      </c>
      <c r="U2481">
        <v>41</v>
      </c>
      <c r="V2481">
        <v>59</v>
      </c>
      <c r="W2481">
        <v>13.8</v>
      </c>
    </row>
    <row r="2482" spans="1:23" x14ac:dyDescent="0.25">
      <c r="A2482">
        <v>7</v>
      </c>
      <c r="B2482" t="s">
        <v>49</v>
      </c>
      <c r="C2482" s="1">
        <v>45492</v>
      </c>
      <c r="D2482" t="s">
        <v>71</v>
      </c>
      <c r="E2482">
        <v>0</v>
      </c>
      <c r="F2482">
        <v>27</v>
      </c>
      <c r="G2482" t="str">
        <f t="shared" si="46"/>
        <v>21-40</v>
      </c>
      <c r="H2482" t="s">
        <v>23</v>
      </c>
      <c r="I2482" t="s">
        <v>67</v>
      </c>
      <c r="J2482" t="s">
        <v>68</v>
      </c>
      <c r="K2482" t="s">
        <v>38</v>
      </c>
      <c r="L2482">
        <v>1</v>
      </c>
      <c r="M2482">
        <v>1</v>
      </c>
      <c r="N2482">
        <v>3.4</v>
      </c>
      <c r="O2482">
        <v>7</v>
      </c>
      <c r="P2482">
        <v>4</v>
      </c>
      <c r="Q2482">
        <v>3</v>
      </c>
      <c r="R2482">
        <v>710956</v>
      </c>
      <c r="S2482">
        <f>Table1[[#This Row],[Revenue]]-Table1[[#This Row],[Operating_Costs]]</f>
        <v>187361</v>
      </c>
      <c r="T2482">
        <v>523595</v>
      </c>
      <c r="U2482">
        <v>57</v>
      </c>
      <c r="V2482">
        <v>55</v>
      </c>
      <c r="W2482">
        <v>6.5</v>
      </c>
    </row>
    <row r="2483" spans="1:23" x14ac:dyDescent="0.25">
      <c r="A2483">
        <v>7</v>
      </c>
      <c r="B2483" t="s">
        <v>49</v>
      </c>
      <c r="C2483" s="1">
        <v>45383</v>
      </c>
      <c r="D2483" t="s">
        <v>71</v>
      </c>
      <c r="E2483">
        <v>0</v>
      </c>
      <c r="F2483">
        <v>58</v>
      </c>
      <c r="G2483" t="str">
        <f t="shared" si="46"/>
        <v>41-60</v>
      </c>
      <c r="H2483" t="s">
        <v>23</v>
      </c>
      <c r="I2483" t="s">
        <v>64</v>
      </c>
      <c r="J2483" t="s">
        <v>65</v>
      </c>
      <c r="K2483" t="s">
        <v>38</v>
      </c>
      <c r="L2483">
        <v>1</v>
      </c>
      <c r="M2483">
        <v>1</v>
      </c>
      <c r="N2483">
        <v>5.8</v>
      </c>
      <c r="O2483">
        <v>8</v>
      </c>
      <c r="P2483">
        <v>7</v>
      </c>
      <c r="Q2483">
        <v>7</v>
      </c>
      <c r="R2483">
        <v>813736</v>
      </c>
      <c r="S2483">
        <f>Table1[[#This Row],[Revenue]]-Table1[[#This Row],[Operating_Costs]]</f>
        <v>309688</v>
      </c>
      <c r="T2483">
        <v>504048</v>
      </c>
      <c r="U2483">
        <v>44</v>
      </c>
      <c r="V2483">
        <v>54</v>
      </c>
      <c r="W2483">
        <v>10.199999999999999</v>
      </c>
    </row>
    <row r="2484" spans="1:23" x14ac:dyDescent="0.25">
      <c r="A2484">
        <v>7</v>
      </c>
      <c r="B2484" t="s">
        <v>49</v>
      </c>
      <c r="C2484" s="1">
        <v>44370</v>
      </c>
      <c r="D2484" t="s">
        <v>71</v>
      </c>
      <c r="E2484">
        <v>0</v>
      </c>
      <c r="F2484">
        <v>33</v>
      </c>
      <c r="G2484" t="str">
        <f t="shared" si="46"/>
        <v>21-40</v>
      </c>
      <c r="H2484" t="s">
        <v>23</v>
      </c>
      <c r="I2484" t="s">
        <v>67</v>
      </c>
      <c r="J2484" t="s">
        <v>68</v>
      </c>
      <c r="K2484" t="s">
        <v>42</v>
      </c>
      <c r="L2484">
        <v>1</v>
      </c>
      <c r="M2484">
        <v>1</v>
      </c>
      <c r="N2484">
        <v>1.4</v>
      </c>
      <c r="O2484">
        <v>9.1999999999999993</v>
      </c>
      <c r="P2484">
        <v>5</v>
      </c>
      <c r="Q2484">
        <v>4</v>
      </c>
      <c r="R2484">
        <v>687787</v>
      </c>
      <c r="S2484">
        <f>Table1[[#This Row],[Revenue]]-Table1[[#This Row],[Operating_Costs]]</f>
        <v>105849</v>
      </c>
      <c r="T2484">
        <v>581938</v>
      </c>
      <c r="U2484">
        <v>60</v>
      </c>
      <c r="V2484">
        <v>56</v>
      </c>
      <c r="W2484">
        <v>9.4</v>
      </c>
    </row>
    <row r="2485" spans="1:23" x14ac:dyDescent="0.25">
      <c r="A2485">
        <v>7</v>
      </c>
      <c r="B2485" t="s">
        <v>49</v>
      </c>
      <c r="C2485" s="1">
        <v>45286</v>
      </c>
      <c r="D2485" t="s">
        <v>71</v>
      </c>
      <c r="E2485">
        <v>0</v>
      </c>
      <c r="F2485">
        <v>21</v>
      </c>
      <c r="G2485" t="str">
        <f t="shared" si="46"/>
        <v>21-40</v>
      </c>
      <c r="H2485" t="s">
        <v>23</v>
      </c>
      <c r="I2485" t="s">
        <v>24</v>
      </c>
      <c r="J2485" t="s">
        <v>25</v>
      </c>
      <c r="K2485" t="s">
        <v>33</v>
      </c>
      <c r="L2485">
        <v>1</v>
      </c>
      <c r="M2485">
        <v>1</v>
      </c>
      <c r="N2485">
        <v>1.4</v>
      </c>
      <c r="O2485">
        <v>8.4</v>
      </c>
      <c r="P2485">
        <v>5</v>
      </c>
      <c r="Q2485">
        <v>7</v>
      </c>
      <c r="R2485">
        <v>658737</v>
      </c>
      <c r="S2485">
        <f>Table1[[#This Row],[Revenue]]-Table1[[#This Row],[Operating_Costs]]</f>
        <v>146719</v>
      </c>
      <c r="T2485">
        <v>512018</v>
      </c>
      <c r="U2485">
        <v>57</v>
      </c>
      <c r="V2485">
        <v>61</v>
      </c>
      <c r="W2485">
        <v>6.5</v>
      </c>
    </row>
    <row r="2486" spans="1:23" x14ac:dyDescent="0.25">
      <c r="A2486">
        <v>7</v>
      </c>
      <c r="B2486" t="s">
        <v>49</v>
      </c>
      <c r="C2486" s="1">
        <v>44641</v>
      </c>
      <c r="D2486" t="s">
        <v>71</v>
      </c>
      <c r="E2486">
        <v>0</v>
      </c>
      <c r="F2486">
        <v>36</v>
      </c>
      <c r="G2486" t="str">
        <f t="shared" si="46"/>
        <v>21-40</v>
      </c>
      <c r="H2486" t="s">
        <v>23</v>
      </c>
      <c r="I2486" t="s">
        <v>31</v>
      </c>
      <c r="J2486" t="s">
        <v>28</v>
      </c>
      <c r="K2486" t="s">
        <v>38</v>
      </c>
      <c r="L2486">
        <v>1</v>
      </c>
      <c r="M2486">
        <v>1</v>
      </c>
      <c r="N2486">
        <v>1.8</v>
      </c>
      <c r="O2486">
        <v>7.2</v>
      </c>
      <c r="P2486">
        <v>7</v>
      </c>
      <c r="Q2486">
        <v>7</v>
      </c>
      <c r="R2486">
        <v>639231</v>
      </c>
      <c r="S2486">
        <f>Table1[[#This Row],[Revenue]]-Table1[[#This Row],[Operating_Costs]]</f>
        <v>102949</v>
      </c>
      <c r="T2486">
        <v>536282</v>
      </c>
      <c r="U2486">
        <v>43</v>
      </c>
      <c r="V2486">
        <v>65</v>
      </c>
      <c r="W2486">
        <v>7.6</v>
      </c>
    </row>
    <row r="2487" spans="1:23" x14ac:dyDescent="0.25">
      <c r="A2487">
        <v>7</v>
      </c>
      <c r="B2487" t="s">
        <v>49</v>
      </c>
      <c r="C2487" s="1">
        <v>44900</v>
      </c>
      <c r="D2487" t="s">
        <v>71</v>
      </c>
      <c r="E2487">
        <v>0</v>
      </c>
      <c r="F2487">
        <v>43</v>
      </c>
      <c r="G2487" t="str">
        <f t="shared" si="46"/>
        <v>41-60</v>
      </c>
      <c r="H2487" t="s">
        <v>23</v>
      </c>
      <c r="I2487" t="s">
        <v>61</v>
      </c>
      <c r="J2487" t="s">
        <v>62</v>
      </c>
      <c r="K2487" t="s">
        <v>26</v>
      </c>
      <c r="L2487">
        <v>1</v>
      </c>
      <c r="M2487">
        <v>1</v>
      </c>
      <c r="N2487">
        <v>6.1</v>
      </c>
      <c r="O2487">
        <v>8.8000000000000007</v>
      </c>
      <c r="P2487">
        <v>3</v>
      </c>
      <c r="Q2487">
        <v>7</v>
      </c>
      <c r="R2487">
        <v>702613</v>
      </c>
      <c r="S2487">
        <f>Table1[[#This Row],[Revenue]]-Table1[[#This Row],[Operating_Costs]]</f>
        <v>145825</v>
      </c>
      <c r="T2487">
        <v>556788</v>
      </c>
      <c r="U2487">
        <v>52</v>
      </c>
      <c r="V2487">
        <v>66</v>
      </c>
      <c r="W2487">
        <v>14.4</v>
      </c>
    </row>
    <row r="2488" spans="1:23" x14ac:dyDescent="0.25">
      <c r="A2488">
        <v>6</v>
      </c>
      <c r="B2488" t="s">
        <v>70</v>
      </c>
      <c r="C2488" s="1">
        <v>44454</v>
      </c>
      <c r="D2488" t="s">
        <v>71</v>
      </c>
      <c r="E2488">
        <v>0</v>
      </c>
      <c r="F2488">
        <v>70</v>
      </c>
      <c r="G2488" t="str">
        <f t="shared" si="46"/>
        <v>61-80</v>
      </c>
      <c r="H2488" t="s">
        <v>23</v>
      </c>
      <c r="I2488" t="s">
        <v>67</v>
      </c>
      <c r="J2488" t="s">
        <v>68</v>
      </c>
      <c r="K2488" t="s">
        <v>29</v>
      </c>
      <c r="L2488">
        <v>1</v>
      </c>
      <c r="M2488">
        <v>1</v>
      </c>
      <c r="N2488">
        <v>5</v>
      </c>
      <c r="O2488">
        <v>7.3</v>
      </c>
      <c r="P2488">
        <v>7</v>
      </c>
      <c r="Q2488">
        <v>5</v>
      </c>
      <c r="R2488">
        <v>757464</v>
      </c>
      <c r="S2488">
        <f>Table1[[#This Row],[Revenue]]-Table1[[#This Row],[Operating_Costs]]</f>
        <v>187897</v>
      </c>
      <c r="T2488">
        <v>569567</v>
      </c>
      <c r="U2488">
        <v>20</v>
      </c>
      <c r="V2488">
        <v>63</v>
      </c>
      <c r="W2488">
        <v>6.2</v>
      </c>
    </row>
    <row r="2489" spans="1:23" x14ac:dyDescent="0.25">
      <c r="A2489">
        <v>7</v>
      </c>
      <c r="B2489" t="s">
        <v>49</v>
      </c>
      <c r="C2489" s="1">
        <v>44669</v>
      </c>
      <c r="D2489" t="s">
        <v>71</v>
      </c>
      <c r="E2489">
        <v>0</v>
      </c>
      <c r="F2489">
        <v>78</v>
      </c>
      <c r="G2489" t="str">
        <f t="shared" si="46"/>
        <v>61-80</v>
      </c>
      <c r="H2489" t="s">
        <v>35</v>
      </c>
      <c r="I2489" t="s">
        <v>64</v>
      </c>
      <c r="J2489" t="s">
        <v>65</v>
      </c>
      <c r="K2489" t="s">
        <v>29</v>
      </c>
      <c r="L2489">
        <v>1</v>
      </c>
      <c r="M2489">
        <v>1</v>
      </c>
      <c r="N2489">
        <v>4.4000000000000004</v>
      </c>
      <c r="O2489">
        <v>7.4</v>
      </c>
      <c r="P2489">
        <v>6</v>
      </c>
      <c r="Q2489">
        <v>3</v>
      </c>
      <c r="R2489">
        <v>700414</v>
      </c>
      <c r="S2489">
        <f>Table1[[#This Row],[Revenue]]-Table1[[#This Row],[Operating_Costs]]</f>
        <v>100692</v>
      </c>
      <c r="T2489">
        <v>599722</v>
      </c>
      <c r="U2489">
        <v>56</v>
      </c>
      <c r="V2489">
        <v>58</v>
      </c>
      <c r="W2489">
        <v>10.199999999999999</v>
      </c>
    </row>
    <row r="2490" spans="1:23" x14ac:dyDescent="0.25">
      <c r="A2490">
        <v>7</v>
      </c>
      <c r="B2490" t="s">
        <v>49</v>
      </c>
      <c r="C2490" s="1">
        <v>44308</v>
      </c>
      <c r="D2490" t="s">
        <v>71</v>
      </c>
      <c r="E2490">
        <v>0</v>
      </c>
      <c r="F2490">
        <v>27</v>
      </c>
      <c r="G2490" t="str">
        <f t="shared" si="46"/>
        <v>21-40</v>
      </c>
      <c r="H2490" t="s">
        <v>35</v>
      </c>
      <c r="I2490" t="s">
        <v>46</v>
      </c>
      <c r="J2490" t="s">
        <v>47</v>
      </c>
      <c r="K2490" t="s">
        <v>26</v>
      </c>
      <c r="L2490">
        <v>1</v>
      </c>
      <c r="M2490">
        <v>1</v>
      </c>
      <c r="N2490">
        <v>2.5</v>
      </c>
      <c r="O2490">
        <v>8.8000000000000007</v>
      </c>
      <c r="P2490">
        <v>5</v>
      </c>
      <c r="Q2490">
        <v>6</v>
      </c>
      <c r="R2490">
        <v>737538</v>
      </c>
      <c r="S2490">
        <f>Table1[[#This Row],[Revenue]]-Table1[[#This Row],[Operating_Costs]]</f>
        <v>138355</v>
      </c>
      <c r="T2490">
        <v>599183</v>
      </c>
      <c r="U2490">
        <v>52</v>
      </c>
      <c r="V2490">
        <v>59</v>
      </c>
      <c r="W2490">
        <v>8.6</v>
      </c>
    </row>
    <row r="2491" spans="1:23" x14ac:dyDescent="0.25">
      <c r="A2491">
        <v>7</v>
      </c>
      <c r="B2491" t="s">
        <v>49</v>
      </c>
      <c r="C2491" s="1">
        <v>45169</v>
      </c>
      <c r="D2491" t="s">
        <v>71</v>
      </c>
      <c r="E2491">
        <v>0</v>
      </c>
      <c r="F2491">
        <v>85</v>
      </c>
      <c r="G2491" t="str">
        <f t="shared" si="46"/>
        <v>81+</v>
      </c>
      <c r="H2491" t="s">
        <v>23</v>
      </c>
      <c r="I2491" t="s">
        <v>24</v>
      </c>
      <c r="J2491" t="s">
        <v>25</v>
      </c>
      <c r="K2491" t="s">
        <v>33</v>
      </c>
      <c r="L2491">
        <v>1</v>
      </c>
      <c r="M2491">
        <v>1</v>
      </c>
      <c r="N2491">
        <v>1.6</v>
      </c>
      <c r="O2491">
        <v>7.3</v>
      </c>
      <c r="P2491">
        <v>5</v>
      </c>
      <c r="Q2491">
        <v>6</v>
      </c>
      <c r="R2491">
        <v>804469</v>
      </c>
      <c r="S2491">
        <f>Table1[[#This Row],[Revenue]]-Table1[[#This Row],[Operating_Costs]]</f>
        <v>266063</v>
      </c>
      <c r="T2491">
        <v>538406</v>
      </c>
      <c r="U2491">
        <v>54</v>
      </c>
      <c r="V2491">
        <v>59</v>
      </c>
      <c r="W2491">
        <v>8.5</v>
      </c>
    </row>
    <row r="2492" spans="1:23" x14ac:dyDescent="0.25">
      <c r="A2492">
        <v>7</v>
      </c>
      <c r="B2492" t="s">
        <v>49</v>
      </c>
      <c r="C2492" s="1">
        <v>45480</v>
      </c>
      <c r="D2492" t="s">
        <v>71</v>
      </c>
      <c r="E2492">
        <v>0</v>
      </c>
      <c r="F2492">
        <v>32</v>
      </c>
      <c r="G2492" t="str">
        <f t="shared" si="46"/>
        <v>21-40</v>
      </c>
      <c r="H2492" t="s">
        <v>35</v>
      </c>
      <c r="I2492" t="s">
        <v>40</v>
      </c>
      <c r="J2492" t="s">
        <v>41</v>
      </c>
      <c r="K2492" t="s">
        <v>33</v>
      </c>
      <c r="L2492">
        <v>1</v>
      </c>
      <c r="M2492">
        <v>1</v>
      </c>
      <c r="N2492">
        <v>3.6</v>
      </c>
      <c r="O2492">
        <v>7.7</v>
      </c>
      <c r="P2492">
        <v>3</v>
      </c>
      <c r="Q2492">
        <v>4</v>
      </c>
      <c r="R2492">
        <v>634041</v>
      </c>
      <c r="S2492">
        <f>Table1[[#This Row],[Revenue]]-Table1[[#This Row],[Operating_Costs]]</f>
        <v>107809</v>
      </c>
      <c r="T2492">
        <v>526232</v>
      </c>
      <c r="U2492">
        <v>42</v>
      </c>
      <c r="V2492">
        <v>65</v>
      </c>
      <c r="W2492">
        <v>5.5</v>
      </c>
    </row>
    <row r="2493" spans="1:23" x14ac:dyDescent="0.25">
      <c r="A2493">
        <v>6</v>
      </c>
      <c r="B2493" t="s">
        <v>70</v>
      </c>
      <c r="C2493" s="1">
        <v>44246</v>
      </c>
      <c r="D2493" t="s">
        <v>71</v>
      </c>
      <c r="E2493">
        <v>0</v>
      </c>
      <c r="F2493">
        <v>65</v>
      </c>
      <c r="G2493" t="str">
        <f t="shared" si="46"/>
        <v>61-80</v>
      </c>
      <c r="H2493" t="s">
        <v>35</v>
      </c>
      <c r="I2493" t="s">
        <v>36</v>
      </c>
      <c r="J2493" t="s">
        <v>37</v>
      </c>
      <c r="K2493" t="s">
        <v>33</v>
      </c>
      <c r="L2493">
        <v>1</v>
      </c>
      <c r="M2493">
        <v>1</v>
      </c>
      <c r="N2493">
        <v>6.5</v>
      </c>
      <c r="O2493">
        <v>8.8000000000000007</v>
      </c>
      <c r="P2493">
        <v>6</v>
      </c>
      <c r="Q2493">
        <v>3</v>
      </c>
      <c r="R2493">
        <v>774910</v>
      </c>
      <c r="S2493">
        <f>Table1[[#This Row],[Revenue]]-Table1[[#This Row],[Operating_Costs]]</f>
        <v>289366</v>
      </c>
      <c r="T2493">
        <v>485544</v>
      </c>
      <c r="U2493">
        <v>25</v>
      </c>
      <c r="V2493">
        <v>63</v>
      </c>
      <c r="W2493">
        <v>5.6</v>
      </c>
    </row>
    <row r="2494" spans="1:23" x14ac:dyDescent="0.25">
      <c r="A2494">
        <v>6</v>
      </c>
      <c r="B2494" t="s">
        <v>70</v>
      </c>
      <c r="C2494" s="1">
        <v>45389</v>
      </c>
      <c r="D2494" t="s">
        <v>71</v>
      </c>
      <c r="E2494">
        <v>0</v>
      </c>
      <c r="F2494">
        <v>69</v>
      </c>
      <c r="G2494" t="str">
        <f t="shared" si="46"/>
        <v>61-80</v>
      </c>
      <c r="H2494" t="s">
        <v>35</v>
      </c>
      <c r="I2494" t="s">
        <v>58</v>
      </c>
      <c r="J2494" t="s">
        <v>59</v>
      </c>
      <c r="K2494" t="s">
        <v>26</v>
      </c>
      <c r="L2494">
        <v>1</v>
      </c>
      <c r="M2494">
        <v>1</v>
      </c>
      <c r="N2494">
        <v>4.7</v>
      </c>
      <c r="O2494">
        <v>9.6</v>
      </c>
      <c r="P2494">
        <v>7</v>
      </c>
      <c r="Q2494">
        <v>6</v>
      </c>
      <c r="R2494">
        <v>729680</v>
      </c>
      <c r="S2494">
        <f>Table1[[#This Row],[Revenue]]-Table1[[#This Row],[Operating_Costs]]</f>
        <v>286515</v>
      </c>
      <c r="T2494">
        <v>443165</v>
      </c>
      <c r="U2494">
        <v>21</v>
      </c>
      <c r="V2494">
        <v>57</v>
      </c>
      <c r="W2494">
        <v>8.5</v>
      </c>
    </row>
    <row r="2495" spans="1:23" x14ac:dyDescent="0.25">
      <c r="A2495">
        <v>6</v>
      </c>
      <c r="B2495" t="s">
        <v>70</v>
      </c>
      <c r="C2495" s="1">
        <v>45094</v>
      </c>
      <c r="D2495" t="s">
        <v>71</v>
      </c>
      <c r="E2495">
        <v>0</v>
      </c>
      <c r="F2495">
        <v>55</v>
      </c>
      <c r="G2495" t="str">
        <f t="shared" si="46"/>
        <v>41-60</v>
      </c>
      <c r="H2495" t="s">
        <v>35</v>
      </c>
      <c r="I2495" t="s">
        <v>36</v>
      </c>
      <c r="J2495" t="s">
        <v>37</v>
      </c>
      <c r="K2495" t="s">
        <v>29</v>
      </c>
      <c r="L2495">
        <v>1</v>
      </c>
      <c r="M2495">
        <v>1</v>
      </c>
      <c r="N2495">
        <v>6</v>
      </c>
      <c r="O2495">
        <v>9.1</v>
      </c>
      <c r="P2495">
        <v>4</v>
      </c>
      <c r="Q2495">
        <v>7</v>
      </c>
      <c r="R2495">
        <v>730582</v>
      </c>
      <c r="S2495">
        <f>Table1[[#This Row],[Revenue]]-Table1[[#This Row],[Operating_Costs]]</f>
        <v>177605</v>
      </c>
      <c r="T2495">
        <v>552977</v>
      </c>
      <c r="U2495">
        <v>26</v>
      </c>
      <c r="V2495">
        <v>60</v>
      </c>
      <c r="W2495">
        <v>14.3</v>
      </c>
    </row>
    <row r="2496" spans="1:23" x14ac:dyDescent="0.25">
      <c r="A2496">
        <v>7</v>
      </c>
      <c r="B2496" t="s">
        <v>49</v>
      </c>
      <c r="C2496" s="1">
        <v>45278</v>
      </c>
      <c r="D2496" t="s">
        <v>71</v>
      </c>
      <c r="E2496">
        <v>0</v>
      </c>
      <c r="F2496">
        <v>81</v>
      </c>
      <c r="G2496" t="str">
        <f t="shared" si="46"/>
        <v>81+</v>
      </c>
      <c r="H2496" t="s">
        <v>23</v>
      </c>
      <c r="I2496" t="s">
        <v>24</v>
      </c>
      <c r="J2496" t="s">
        <v>25</v>
      </c>
      <c r="K2496" t="s">
        <v>26</v>
      </c>
      <c r="L2496">
        <v>1</v>
      </c>
      <c r="M2496">
        <v>1</v>
      </c>
      <c r="N2496">
        <v>4.7</v>
      </c>
      <c r="O2496">
        <v>9.9</v>
      </c>
      <c r="P2496">
        <v>4</v>
      </c>
      <c r="Q2496">
        <v>5</v>
      </c>
      <c r="R2496">
        <v>773909</v>
      </c>
      <c r="S2496">
        <f>Table1[[#This Row],[Revenue]]-Table1[[#This Row],[Operating_Costs]]</f>
        <v>240419</v>
      </c>
      <c r="T2496">
        <v>533490</v>
      </c>
      <c r="U2496">
        <v>50</v>
      </c>
      <c r="V2496">
        <v>64</v>
      </c>
      <c r="W2496">
        <v>7.2</v>
      </c>
    </row>
    <row r="2497" spans="1:23" x14ac:dyDescent="0.25">
      <c r="A2497">
        <v>7</v>
      </c>
      <c r="B2497" t="s">
        <v>49</v>
      </c>
      <c r="C2497" s="1">
        <v>44223</v>
      </c>
      <c r="D2497" t="s">
        <v>71</v>
      </c>
      <c r="E2497">
        <v>0</v>
      </c>
      <c r="F2497">
        <v>77</v>
      </c>
      <c r="G2497" t="str">
        <f t="shared" si="46"/>
        <v>61-80</v>
      </c>
      <c r="H2497" t="s">
        <v>23</v>
      </c>
      <c r="I2497" t="s">
        <v>50</v>
      </c>
      <c r="J2497" t="s">
        <v>51</v>
      </c>
      <c r="K2497" t="s">
        <v>42</v>
      </c>
      <c r="L2497">
        <v>1</v>
      </c>
      <c r="M2497">
        <v>1</v>
      </c>
      <c r="N2497">
        <v>5.5</v>
      </c>
      <c r="O2497">
        <v>8.1999999999999993</v>
      </c>
      <c r="P2497">
        <v>3</v>
      </c>
      <c r="Q2497">
        <v>6</v>
      </c>
      <c r="R2497">
        <v>843524</v>
      </c>
      <c r="S2497">
        <f>Table1[[#This Row],[Revenue]]-Table1[[#This Row],[Operating_Costs]]</f>
        <v>300806</v>
      </c>
      <c r="T2497">
        <v>542718</v>
      </c>
      <c r="U2497">
        <v>53</v>
      </c>
      <c r="V2497">
        <v>64</v>
      </c>
      <c r="W2497">
        <v>8.8000000000000007</v>
      </c>
    </row>
    <row r="2498" spans="1:23" x14ac:dyDescent="0.25">
      <c r="A2498">
        <v>6</v>
      </c>
      <c r="B2498" t="s">
        <v>70</v>
      </c>
      <c r="C2498" s="1">
        <v>44447</v>
      </c>
      <c r="D2498" t="s">
        <v>71</v>
      </c>
      <c r="E2498">
        <v>0</v>
      </c>
      <c r="F2498">
        <v>56</v>
      </c>
      <c r="G2498" t="str">
        <f t="shared" si="46"/>
        <v>41-60</v>
      </c>
      <c r="H2498" t="s">
        <v>35</v>
      </c>
      <c r="I2498" t="s">
        <v>31</v>
      </c>
      <c r="J2498" t="s">
        <v>28</v>
      </c>
      <c r="K2498" t="s">
        <v>42</v>
      </c>
      <c r="L2498">
        <v>1</v>
      </c>
      <c r="M2498">
        <v>1</v>
      </c>
      <c r="N2498">
        <v>5.6</v>
      </c>
      <c r="O2498">
        <v>8.8000000000000007</v>
      </c>
      <c r="P2498">
        <v>3</v>
      </c>
      <c r="Q2498">
        <v>5</v>
      </c>
      <c r="R2498">
        <v>692524</v>
      </c>
      <c r="S2498">
        <f>Table1[[#This Row],[Revenue]]-Table1[[#This Row],[Operating_Costs]]</f>
        <v>108364</v>
      </c>
      <c r="T2498">
        <v>584160</v>
      </c>
      <c r="U2498">
        <v>21</v>
      </c>
      <c r="V2498">
        <v>61</v>
      </c>
      <c r="W2498">
        <v>7.7</v>
      </c>
    </row>
    <row r="2499" spans="1:23" x14ac:dyDescent="0.25">
      <c r="A2499">
        <v>7</v>
      </c>
      <c r="B2499" t="s">
        <v>49</v>
      </c>
      <c r="C2499" s="1">
        <v>44795</v>
      </c>
      <c r="D2499" t="s">
        <v>71</v>
      </c>
      <c r="E2499">
        <v>0</v>
      </c>
      <c r="F2499">
        <v>38</v>
      </c>
      <c r="G2499" t="str">
        <f t="shared" ref="G2499:G2562" si="47">IF(F2499&lt;=20,"0-20",IF(F2499&lt;=40,"21-40",IF(F2499&lt;=60,"41-60",IF(F2499&lt;=80,"61-80","81+"))))</f>
        <v>21-40</v>
      </c>
      <c r="H2499" t="s">
        <v>23</v>
      </c>
      <c r="I2499" t="s">
        <v>24</v>
      </c>
      <c r="J2499" t="s">
        <v>25</v>
      </c>
      <c r="K2499" t="s">
        <v>33</v>
      </c>
      <c r="L2499">
        <v>1</v>
      </c>
      <c r="M2499">
        <v>1</v>
      </c>
      <c r="N2499">
        <v>1.3</v>
      </c>
      <c r="O2499">
        <v>9.3000000000000007</v>
      </c>
      <c r="P2499">
        <v>4</v>
      </c>
      <c r="Q2499">
        <v>5</v>
      </c>
      <c r="R2499">
        <v>630673</v>
      </c>
      <c r="S2499">
        <f>Table1[[#This Row],[Revenue]]-Table1[[#This Row],[Operating_Costs]]</f>
        <v>83877</v>
      </c>
      <c r="T2499">
        <v>546796</v>
      </c>
      <c r="U2499">
        <v>42</v>
      </c>
      <c r="V2499">
        <v>55</v>
      </c>
      <c r="W2499">
        <v>12.1</v>
      </c>
    </row>
    <row r="2500" spans="1:23" x14ac:dyDescent="0.25">
      <c r="A2500">
        <v>7</v>
      </c>
      <c r="B2500" t="s">
        <v>49</v>
      </c>
      <c r="C2500" s="1">
        <v>44734</v>
      </c>
      <c r="D2500" t="s">
        <v>71</v>
      </c>
      <c r="E2500">
        <v>0</v>
      </c>
      <c r="F2500">
        <v>28</v>
      </c>
      <c r="G2500" t="str">
        <f t="shared" si="47"/>
        <v>21-40</v>
      </c>
      <c r="H2500" t="s">
        <v>23</v>
      </c>
      <c r="I2500" t="s">
        <v>43</v>
      </c>
      <c r="J2500" t="s">
        <v>25</v>
      </c>
      <c r="K2500" t="s">
        <v>38</v>
      </c>
      <c r="L2500">
        <v>1</v>
      </c>
      <c r="M2500">
        <v>1</v>
      </c>
      <c r="N2500">
        <v>1</v>
      </c>
      <c r="O2500">
        <v>9.6</v>
      </c>
      <c r="P2500">
        <v>5</v>
      </c>
      <c r="Q2500">
        <v>5</v>
      </c>
      <c r="R2500">
        <v>766790</v>
      </c>
      <c r="S2500">
        <f>Table1[[#This Row],[Revenue]]-Table1[[#This Row],[Operating_Costs]]</f>
        <v>196762</v>
      </c>
      <c r="T2500">
        <v>570028</v>
      </c>
      <c r="U2500">
        <v>41</v>
      </c>
      <c r="V2500">
        <v>56</v>
      </c>
      <c r="W2500">
        <v>9.4</v>
      </c>
    </row>
    <row r="2501" spans="1:23" x14ac:dyDescent="0.25">
      <c r="A2501">
        <v>7</v>
      </c>
      <c r="B2501" t="s">
        <v>49</v>
      </c>
      <c r="C2501" s="1">
        <v>44310</v>
      </c>
      <c r="D2501" t="s">
        <v>71</v>
      </c>
      <c r="E2501">
        <v>0</v>
      </c>
      <c r="F2501">
        <v>25</v>
      </c>
      <c r="G2501" t="str">
        <f t="shared" si="47"/>
        <v>21-40</v>
      </c>
      <c r="H2501" t="s">
        <v>23</v>
      </c>
      <c r="I2501" t="s">
        <v>24</v>
      </c>
      <c r="J2501" t="s">
        <v>25</v>
      </c>
      <c r="K2501" t="s">
        <v>26</v>
      </c>
      <c r="L2501">
        <v>1</v>
      </c>
      <c r="M2501">
        <v>1</v>
      </c>
      <c r="N2501">
        <v>5.2</v>
      </c>
      <c r="O2501">
        <v>8.1</v>
      </c>
      <c r="P2501">
        <v>3</v>
      </c>
      <c r="Q2501">
        <v>7</v>
      </c>
      <c r="R2501">
        <v>689547</v>
      </c>
      <c r="S2501">
        <f>Table1[[#This Row],[Revenue]]-Table1[[#This Row],[Operating_Costs]]</f>
        <v>166701</v>
      </c>
      <c r="T2501">
        <v>522846</v>
      </c>
      <c r="U2501">
        <v>45</v>
      </c>
      <c r="V2501">
        <v>59</v>
      </c>
      <c r="W2501">
        <v>8.9</v>
      </c>
    </row>
    <row r="2502" spans="1:23" x14ac:dyDescent="0.25">
      <c r="A2502">
        <v>7</v>
      </c>
      <c r="B2502" t="s">
        <v>49</v>
      </c>
      <c r="C2502" s="1">
        <v>44997</v>
      </c>
      <c r="D2502" t="s">
        <v>71</v>
      </c>
      <c r="E2502">
        <v>0</v>
      </c>
      <c r="F2502">
        <v>47</v>
      </c>
      <c r="G2502" t="str">
        <f t="shared" si="47"/>
        <v>41-60</v>
      </c>
      <c r="H2502" t="s">
        <v>23</v>
      </c>
      <c r="I2502" t="s">
        <v>43</v>
      </c>
      <c r="J2502" t="s">
        <v>25</v>
      </c>
      <c r="K2502" t="s">
        <v>42</v>
      </c>
      <c r="L2502">
        <v>1</v>
      </c>
      <c r="M2502">
        <v>1</v>
      </c>
      <c r="N2502">
        <v>6.8</v>
      </c>
      <c r="O2502">
        <v>7.1</v>
      </c>
      <c r="P2502">
        <v>3</v>
      </c>
      <c r="Q2502">
        <v>4</v>
      </c>
      <c r="R2502">
        <v>780142</v>
      </c>
      <c r="S2502">
        <f>Table1[[#This Row],[Revenue]]-Table1[[#This Row],[Operating_Costs]]</f>
        <v>262881</v>
      </c>
      <c r="T2502">
        <v>517261</v>
      </c>
      <c r="U2502">
        <v>51</v>
      </c>
      <c r="V2502">
        <v>60</v>
      </c>
      <c r="W2502">
        <v>36.299999999999997</v>
      </c>
    </row>
    <row r="2503" spans="1:23" x14ac:dyDescent="0.25">
      <c r="A2503">
        <v>7</v>
      </c>
      <c r="B2503" t="s">
        <v>49</v>
      </c>
      <c r="C2503" s="1">
        <v>44594</v>
      </c>
      <c r="D2503" t="s">
        <v>71</v>
      </c>
      <c r="E2503">
        <v>0</v>
      </c>
      <c r="F2503">
        <v>59</v>
      </c>
      <c r="G2503" t="str">
        <f t="shared" si="47"/>
        <v>41-60</v>
      </c>
      <c r="H2503" t="s">
        <v>23</v>
      </c>
      <c r="I2503" t="s">
        <v>55</v>
      </c>
      <c r="J2503" t="s">
        <v>56</v>
      </c>
      <c r="K2503" t="s">
        <v>33</v>
      </c>
      <c r="L2503">
        <v>1</v>
      </c>
      <c r="M2503">
        <v>1</v>
      </c>
      <c r="N2503">
        <v>1.9</v>
      </c>
      <c r="O2503">
        <v>8.4</v>
      </c>
      <c r="P2503">
        <v>5</v>
      </c>
      <c r="Q2503">
        <v>7</v>
      </c>
      <c r="R2503">
        <v>803176</v>
      </c>
      <c r="S2503">
        <f>Table1[[#This Row],[Revenue]]-Table1[[#This Row],[Operating_Costs]]</f>
        <v>213383</v>
      </c>
      <c r="T2503">
        <v>589793</v>
      </c>
      <c r="U2503">
        <v>59</v>
      </c>
      <c r="V2503">
        <v>56</v>
      </c>
      <c r="W2503">
        <v>14.8</v>
      </c>
    </row>
    <row r="2504" spans="1:23" x14ac:dyDescent="0.25">
      <c r="A2504">
        <v>7</v>
      </c>
      <c r="B2504" t="s">
        <v>49</v>
      </c>
      <c r="C2504" s="1">
        <v>44493</v>
      </c>
      <c r="D2504" t="s">
        <v>71</v>
      </c>
      <c r="E2504">
        <v>0</v>
      </c>
      <c r="F2504">
        <v>24</v>
      </c>
      <c r="G2504" t="str">
        <f t="shared" si="47"/>
        <v>21-40</v>
      </c>
      <c r="H2504" t="s">
        <v>23</v>
      </c>
      <c r="I2504" t="s">
        <v>61</v>
      </c>
      <c r="J2504" t="s">
        <v>62</v>
      </c>
      <c r="K2504" t="s">
        <v>33</v>
      </c>
      <c r="L2504">
        <v>1</v>
      </c>
      <c r="M2504">
        <v>1</v>
      </c>
      <c r="N2504">
        <v>4.0999999999999996</v>
      </c>
      <c r="O2504">
        <v>7.9</v>
      </c>
      <c r="P2504">
        <v>4</v>
      </c>
      <c r="Q2504">
        <v>4</v>
      </c>
      <c r="R2504">
        <v>681665</v>
      </c>
      <c r="S2504">
        <f>Table1[[#This Row],[Revenue]]-Table1[[#This Row],[Operating_Costs]]</f>
        <v>94006</v>
      </c>
      <c r="T2504">
        <v>587659</v>
      </c>
      <c r="U2504">
        <v>48</v>
      </c>
      <c r="V2504">
        <v>54</v>
      </c>
      <c r="W2504">
        <v>13.5</v>
      </c>
    </row>
    <row r="2505" spans="1:23" x14ac:dyDescent="0.25">
      <c r="A2505">
        <v>7</v>
      </c>
      <c r="B2505" t="s">
        <v>49</v>
      </c>
      <c r="C2505" s="1">
        <v>44249</v>
      </c>
      <c r="D2505" t="s">
        <v>71</v>
      </c>
      <c r="E2505">
        <v>0</v>
      </c>
      <c r="F2505">
        <v>81</v>
      </c>
      <c r="G2505" t="str">
        <f t="shared" si="47"/>
        <v>81+</v>
      </c>
      <c r="H2505" t="s">
        <v>35</v>
      </c>
      <c r="I2505" t="s">
        <v>53</v>
      </c>
      <c r="J2505" t="s">
        <v>54</v>
      </c>
      <c r="K2505" t="s">
        <v>29</v>
      </c>
      <c r="L2505">
        <v>1</v>
      </c>
      <c r="M2505">
        <v>1</v>
      </c>
      <c r="N2505">
        <v>2.6</v>
      </c>
      <c r="O2505">
        <v>7.9</v>
      </c>
      <c r="P2505">
        <v>5</v>
      </c>
      <c r="Q2505">
        <v>4</v>
      </c>
      <c r="R2505">
        <v>733183</v>
      </c>
      <c r="S2505">
        <f>Table1[[#This Row],[Revenue]]-Table1[[#This Row],[Operating_Costs]]</f>
        <v>228234</v>
      </c>
      <c r="T2505">
        <v>504949</v>
      </c>
      <c r="U2505">
        <v>58</v>
      </c>
      <c r="V2505">
        <v>58</v>
      </c>
      <c r="W2505">
        <v>7.7</v>
      </c>
    </row>
    <row r="2506" spans="1:23" x14ac:dyDescent="0.25">
      <c r="A2506">
        <v>7</v>
      </c>
      <c r="B2506" t="s">
        <v>49</v>
      </c>
      <c r="C2506" s="1">
        <v>44688</v>
      </c>
      <c r="D2506" t="s">
        <v>71</v>
      </c>
      <c r="E2506">
        <v>0</v>
      </c>
      <c r="F2506">
        <v>46</v>
      </c>
      <c r="G2506" t="str">
        <f t="shared" si="47"/>
        <v>41-60</v>
      </c>
      <c r="H2506" t="s">
        <v>35</v>
      </c>
      <c r="I2506" t="s">
        <v>60</v>
      </c>
      <c r="J2506" t="s">
        <v>59</v>
      </c>
      <c r="K2506" t="s">
        <v>26</v>
      </c>
      <c r="L2506">
        <v>1</v>
      </c>
      <c r="M2506">
        <v>1</v>
      </c>
      <c r="N2506">
        <v>5.7</v>
      </c>
      <c r="O2506">
        <v>7.9</v>
      </c>
      <c r="P2506">
        <v>6</v>
      </c>
      <c r="Q2506">
        <v>7</v>
      </c>
      <c r="R2506">
        <v>815460</v>
      </c>
      <c r="S2506">
        <f>Table1[[#This Row],[Revenue]]-Table1[[#This Row],[Operating_Costs]]</f>
        <v>278586</v>
      </c>
      <c r="T2506">
        <v>536874</v>
      </c>
      <c r="U2506">
        <v>56</v>
      </c>
      <c r="V2506">
        <v>57</v>
      </c>
      <c r="W2506">
        <v>7.6</v>
      </c>
    </row>
    <row r="2507" spans="1:23" x14ac:dyDescent="0.25">
      <c r="A2507">
        <v>7</v>
      </c>
      <c r="B2507" t="s">
        <v>49</v>
      </c>
      <c r="C2507" s="1">
        <v>45645</v>
      </c>
      <c r="D2507" t="s">
        <v>71</v>
      </c>
      <c r="E2507">
        <v>0</v>
      </c>
      <c r="F2507">
        <v>50</v>
      </c>
      <c r="G2507" t="str">
        <f t="shared" si="47"/>
        <v>41-60</v>
      </c>
      <c r="H2507" t="s">
        <v>23</v>
      </c>
      <c r="I2507" t="s">
        <v>61</v>
      </c>
      <c r="J2507" t="s">
        <v>62</v>
      </c>
      <c r="K2507" t="s">
        <v>33</v>
      </c>
      <c r="L2507">
        <v>1</v>
      </c>
      <c r="M2507">
        <v>1</v>
      </c>
      <c r="N2507">
        <v>6.1</v>
      </c>
      <c r="O2507">
        <v>7.6</v>
      </c>
      <c r="P2507">
        <v>4</v>
      </c>
      <c r="Q2507">
        <v>4</v>
      </c>
      <c r="R2507">
        <v>603991</v>
      </c>
      <c r="S2507">
        <f>Table1[[#This Row],[Revenue]]-Table1[[#This Row],[Operating_Costs]]</f>
        <v>100585</v>
      </c>
      <c r="T2507">
        <v>503406</v>
      </c>
      <c r="U2507">
        <v>50</v>
      </c>
      <c r="V2507">
        <v>65</v>
      </c>
      <c r="W2507">
        <v>10.4</v>
      </c>
    </row>
    <row r="2508" spans="1:23" x14ac:dyDescent="0.25">
      <c r="A2508">
        <v>7</v>
      </c>
      <c r="B2508" t="s">
        <v>49</v>
      </c>
      <c r="C2508" s="1">
        <v>45645</v>
      </c>
      <c r="D2508" t="s">
        <v>71</v>
      </c>
      <c r="E2508">
        <v>0</v>
      </c>
      <c r="F2508">
        <v>84</v>
      </c>
      <c r="G2508" t="str">
        <f t="shared" si="47"/>
        <v>81+</v>
      </c>
      <c r="H2508" t="s">
        <v>23</v>
      </c>
      <c r="I2508" t="s">
        <v>58</v>
      </c>
      <c r="J2508" t="s">
        <v>59</v>
      </c>
      <c r="K2508" t="s">
        <v>33</v>
      </c>
      <c r="L2508">
        <v>1</v>
      </c>
      <c r="M2508">
        <v>1</v>
      </c>
      <c r="N2508">
        <v>3.8</v>
      </c>
      <c r="O2508">
        <v>10</v>
      </c>
      <c r="P2508">
        <v>4</v>
      </c>
      <c r="Q2508">
        <v>3</v>
      </c>
      <c r="R2508">
        <v>744808</v>
      </c>
      <c r="S2508">
        <f>Table1[[#This Row],[Revenue]]-Table1[[#This Row],[Operating_Costs]]</f>
        <v>148672</v>
      </c>
      <c r="T2508">
        <v>596136</v>
      </c>
      <c r="U2508">
        <v>45</v>
      </c>
      <c r="V2508">
        <v>59</v>
      </c>
      <c r="W2508">
        <v>9.8000000000000007</v>
      </c>
    </row>
    <row r="2509" spans="1:23" x14ac:dyDescent="0.25">
      <c r="A2509">
        <v>7</v>
      </c>
      <c r="B2509" t="s">
        <v>49</v>
      </c>
      <c r="C2509" s="1">
        <v>45466</v>
      </c>
      <c r="D2509" t="s">
        <v>71</v>
      </c>
      <c r="E2509">
        <v>0</v>
      </c>
      <c r="F2509">
        <v>78</v>
      </c>
      <c r="G2509" t="str">
        <f t="shared" si="47"/>
        <v>61-80</v>
      </c>
      <c r="H2509" t="s">
        <v>35</v>
      </c>
      <c r="I2509" t="s">
        <v>46</v>
      </c>
      <c r="J2509" t="s">
        <v>47</v>
      </c>
      <c r="K2509" t="s">
        <v>38</v>
      </c>
      <c r="L2509">
        <v>1</v>
      </c>
      <c r="M2509">
        <v>1</v>
      </c>
      <c r="N2509">
        <v>2.7</v>
      </c>
      <c r="O2509">
        <v>8.9</v>
      </c>
      <c r="P2509">
        <v>3</v>
      </c>
      <c r="Q2509">
        <v>4</v>
      </c>
      <c r="R2509">
        <v>730091</v>
      </c>
      <c r="S2509">
        <f>Table1[[#This Row],[Revenue]]-Table1[[#This Row],[Operating_Costs]]</f>
        <v>167392</v>
      </c>
      <c r="T2509">
        <v>562699</v>
      </c>
      <c r="U2509">
        <v>59</v>
      </c>
      <c r="V2509">
        <v>62</v>
      </c>
      <c r="W2509">
        <v>14.9</v>
      </c>
    </row>
    <row r="2510" spans="1:23" x14ac:dyDescent="0.25">
      <c r="A2510">
        <v>7</v>
      </c>
      <c r="B2510" t="s">
        <v>49</v>
      </c>
      <c r="C2510" s="1">
        <v>44814</v>
      </c>
      <c r="D2510" t="s">
        <v>71</v>
      </c>
      <c r="E2510">
        <v>0</v>
      </c>
      <c r="F2510">
        <v>51</v>
      </c>
      <c r="G2510" t="str">
        <f t="shared" si="47"/>
        <v>41-60</v>
      </c>
      <c r="H2510" t="s">
        <v>35</v>
      </c>
      <c r="I2510" t="s">
        <v>61</v>
      </c>
      <c r="J2510" t="s">
        <v>62</v>
      </c>
      <c r="K2510" t="s">
        <v>26</v>
      </c>
      <c r="L2510">
        <v>1</v>
      </c>
      <c r="M2510">
        <v>1</v>
      </c>
      <c r="N2510">
        <v>3.7</v>
      </c>
      <c r="O2510">
        <v>7.2</v>
      </c>
      <c r="P2510">
        <v>7</v>
      </c>
      <c r="Q2510">
        <v>6</v>
      </c>
      <c r="R2510">
        <v>686501</v>
      </c>
      <c r="S2510">
        <f>Table1[[#This Row],[Revenue]]-Table1[[#This Row],[Operating_Costs]]</f>
        <v>155434</v>
      </c>
      <c r="T2510">
        <v>531067</v>
      </c>
      <c r="U2510">
        <v>57</v>
      </c>
      <c r="V2510">
        <v>61</v>
      </c>
      <c r="W2510">
        <v>6.8</v>
      </c>
    </row>
    <row r="2511" spans="1:23" x14ac:dyDescent="0.25">
      <c r="A2511">
        <v>7</v>
      </c>
      <c r="B2511" t="s">
        <v>49</v>
      </c>
      <c r="C2511" s="1">
        <v>44204</v>
      </c>
      <c r="D2511" t="s">
        <v>71</v>
      </c>
      <c r="E2511">
        <v>0</v>
      </c>
      <c r="F2511">
        <v>44</v>
      </c>
      <c r="G2511" t="str">
        <f t="shared" si="47"/>
        <v>41-60</v>
      </c>
      <c r="H2511" t="s">
        <v>35</v>
      </c>
      <c r="I2511" t="s">
        <v>36</v>
      </c>
      <c r="J2511" t="s">
        <v>37</v>
      </c>
      <c r="K2511" t="s">
        <v>26</v>
      </c>
      <c r="L2511">
        <v>1</v>
      </c>
      <c r="M2511">
        <v>1</v>
      </c>
      <c r="N2511">
        <v>5.0999999999999996</v>
      </c>
      <c r="O2511">
        <v>9.8000000000000007</v>
      </c>
      <c r="P2511">
        <v>6</v>
      </c>
      <c r="Q2511">
        <v>3</v>
      </c>
      <c r="R2511">
        <v>771461</v>
      </c>
      <c r="S2511">
        <f>Table1[[#This Row],[Revenue]]-Table1[[#This Row],[Operating_Costs]]</f>
        <v>252654</v>
      </c>
      <c r="T2511">
        <v>518807</v>
      </c>
      <c r="U2511">
        <v>57</v>
      </c>
      <c r="V2511">
        <v>61</v>
      </c>
      <c r="W2511">
        <v>13.5</v>
      </c>
    </row>
    <row r="2512" spans="1:23" x14ac:dyDescent="0.25">
      <c r="A2512">
        <v>7</v>
      </c>
      <c r="B2512" t="s">
        <v>49</v>
      </c>
      <c r="C2512" s="1">
        <v>44664</v>
      </c>
      <c r="D2512" t="s">
        <v>71</v>
      </c>
      <c r="E2512">
        <v>0</v>
      </c>
      <c r="F2512">
        <v>69</v>
      </c>
      <c r="G2512" t="str">
        <f t="shared" si="47"/>
        <v>61-80</v>
      </c>
      <c r="H2512" t="s">
        <v>35</v>
      </c>
      <c r="I2512" t="s">
        <v>50</v>
      </c>
      <c r="J2512" t="s">
        <v>51</v>
      </c>
      <c r="K2512" t="s">
        <v>42</v>
      </c>
      <c r="L2512">
        <v>1</v>
      </c>
      <c r="M2512">
        <v>1</v>
      </c>
      <c r="N2512">
        <v>2.8</v>
      </c>
      <c r="O2512">
        <v>7.6</v>
      </c>
      <c r="P2512">
        <v>3</v>
      </c>
      <c r="Q2512">
        <v>6</v>
      </c>
      <c r="R2512">
        <v>606125</v>
      </c>
      <c r="S2512">
        <f>Table1[[#This Row],[Revenue]]-Table1[[#This Row],[Operating_Costs]]</f>
        <v>48840</v>
      </c>
      <c r="T2512">
        <v>557285</v>
      </c>
      <c r="U2512">
        <v>43</v>
      </c>
      <c r="V2512">
        <v>57</v>
      </c>
      <c r="W2512">
        <v>8.6999999999999993</v>
      </c>
    </row>
    <row r="2513" spans="1:23" x14ac:dyDescent="0.25">
      <c r="A2513">
        <v>7</v>
      </c>
      <c r="B2513" t="s">
        <v>49</v>
      </c>
      <c r="C2513" s="1">
        <v>44260</v>
      </c>
      <c r="D2513" t="s">
        <v>71</v>
      </c>
      <c r="E2513">
        <v>0</v>
      </c>
      <c r="F2513">
        <v>73</v>
      </c>
      <c r="G2513" t="str">
        <f t="shared" si="47"/>
        <v>61-80</v>
      </c>
      <c r="H2513" t="s">
        <v>23</v>
      </c>
      <c r="I2513" t="s">
        <v>31</v>
      </c>
      <c r="J2513" t="s">
        <v>28</v>
      </c>
      <c r="K2513" t="s">
        <v>38</v>
      </c>
      <c r="L2513">
        <v>1</v>
      </c>
      <c r="M2513">
        <v>1</v>
      </c>
      <c r="N2513">
        <v>4.9000000000000004</v>
      </c>
      <c r="O2513">
        <v>7.5</v>
      </c>
      <c r="P2513">
        <v>3</v>
      </c>
      <c r="Q2513">
        <v>7</v>
      </c>
      <c r="R2513">
        <v>651670</v>
      </c>
      <c r="S2513">
        <f>Table1[[#This Row],[Revenue]]-Table1[[#This Row],[Operating_Costs]]</f>
        <v>63994</v>
      </c>
      <c r="T2513">
        <v>587676</v>
      </c>
      <c r="U2513">
        <v>51</v>
      </c>
      <c r="V2513">
        <v>55</v>
      </c>
      <c r="W2513">
        <v>7.6</v>
      </c>
    </row>
    <row r="2514" spans="1:23" x14ac:dyDescent="0.25">
      <c r="A2514">
        <v>7</v>
      </c>
      <c r="B2514" t="s">
        <v>49</v>
      </c>
      <c r="C2514" s="1">
        <v>44550</v>
      </c>
      <c r="D2514" t="s">
        <v>71</v>
      </c>
      <c r="E2514">
        <v>0</v>
      </c>
      <c r="F2514">
        <v>33</v>
      </c>
      <c r="G2514" t="str">
        <f t="shared" si="47"/>
        <v>21-40</v>
      </c>
      <c r="H2514" t="s">
        <v>35</v>
      </c>
      <c r="I2514" t="s">
        <v>40</v>
      </c>
      <c r="J2514" t="s">
        <v>41</v>
      </c>
      <c r="K2514" t="s">
        <v>26</v>
      </c>
      <c r="L2514">
        <v>1</v>
      </c>
      <c r="M2514">
        <v>1</v>
      </c>
      <c r="N2514">
        <v>4.4000000000000004</v>
      </c>
      <c r="O2514">
        <v>7.7</v>
      </c>
      <c r="P2514">
        <v>4</v>
      </c>
      <c r="Q2514">
        <v>4</v>
      </c>
      <c r="R2514">
        <v>685056</v>
      </c>
      <c r="S2514">
        <f>Table1[[#This Row],[Revenue]]-Table1[[#This Row],[Operating_Costs]]</f>
        <v>107321</v>
      </c>
      <c r="T2514">
        <v>577735</v>
      </c>
      <c r="U2514">
        <v>56</v>
      </c>
      <c r="V2514">
        <v>57</v>
      </c>
      <c r="W2514">
        <v>12.4</v>
      </c>
    </row>
    <row r="2515" spans="1:23" x14ac:dyDescent="0.25">
      <c r="A2515">
        <v>7</v>
      </c>
      <c r="B2515" t="s">
        <v>49</v>
      </c>
      <c r="C2515" s="1">
        <v>44283</v>
      </c>
      <c r="D2515" t="s">
        <v>71</v>
      </c>
      <c r="E2515">
        <v>0</v>
      </c>
      <c r="F2515">
        <v>50</v>
      </c>
      <c r="G2515" t="str">
        <f t="shared" si="47"/>
        <v>41-60</v>
      </c>
      <c r="H2515" t="s">
        <v>23</v>
      </c>
      <c r="I2515" t="s">
        <v>27</v>
      </c>
      <c r="J2515" t="s">
        <v>28</v>
      </c>
      <c r="K2515" t="s">
        <v>38</v>
      </c>
      <c r="L2515">
        <v>1</v>
      </c>
      <c r="M2515">
        <v>1</v>
      </c>
      <c r="N2515">
        <v>5.8</v>
      </c>
      <c r="O2515">
        <v>9.6</v>
      </c>
      <c r="P2515">
        <v>6</v>
      </c>
      <c r="Q2515">
        <v>7</v>
      </c>
      <c r="R2515">
        <v>841657</v>
      </c>
      <c r="S2515">
        <f>Table1[[#This Row],[Revenue]]-Table1[[#This Row],[Operating_Costs]]</f>
        <v>282970</v>
      </c>
      <c r="T2515">
        <v>558687</v>
      </c>
      <c r="U2515">
        <v>50</v>
      </c>
      <c r="V2515">
        <v>62</v>
      </c>
      <c r="W2515">
        <v>13.3</v>
      </c>
    </row>
    <row r="2516" spans="1:23" x14ac:dyDescent="0.25">
      <c r="A2516">
        <v>7</v>
      </c>
      <c r="B2516" t="s">
        <v>49</v>
      </c>
      <c r="C2516" s="1">
        <v>44483</v>
      </c>
      <c r="D2516" t="s">
        <v>71</v>
      </c>
      <c r="E2516">
        <v>0</v>
      </c>
      <c r="F2516">
        <v>36</v>
      </c>
      <c r="G2516" t="str">
        <f t="shared" si="47"/>
        <v>21-40</v>
      </c>
      <c r="H2516" t="s">
        <v>23</v>
      </c>
      <c r="I2516" t="s">
        <v>50</v>
      </c>
      <c r="J2516" t="s">
        <v>51</v>
      </c>
      <c r="K2516" t="s">
        <v>26</v>
      </c>
      <c r="L2516">
        <v>1</v>
      </c>
      <c r="M2516">
        <v>1</v>
      </c>
      <c r="N2516">
        <v>5.8</v>
      </c>
      <c r="O2516">
        <v>8.3000000000000007</v>
      </c>
      <c r="P2516">
        <v>4</v>
      </c>
      <c r="Q2516">
        <v>6</v>
      </c>
      <c r="R2516">
        <v>665132</v>
      </c>
      <c r="S2516">
        <f>Table1[[#This Row],[Revenue]]-Table1[[#This Row],[Operating_Costs]]</f>
        <v>146771</v>
      </c>
      <c r="T2516">
        <v>518361</v>
      </c>
      <c r="U2516">
        <v>54</v>
      </c>
      <c r="V2516">
        <v>56</v>
      </c>
      <c r="W2516">
        <v>14.9</v>
      </c>
    </row>
    <row r="2517" spans="1:23" x14ac:dyDescent="0.25">
      <c r="A2517">
        <v>7</v>
      </c>
      <c r="B2517" t="s">
        <v>49</v>
      </c>
      <c r="C2517" s="1">
        <v>45341</v>
      </c>
      <c r="D2517" t="s">
        <v>71</v>
      </c>
      <c r="E2517">
        <v>0</v>
      </c>
      <c r="F2517">
        <v>43</v>
      </c>
      <c r="G2517" t="str">
        <f t="shared" si="47"/>
        <v>41-60</v>
      </c>
      <c r="H2517" t="s">
        <v>23</v>
      </c>
      <c r="I2517" t="s">
        <v>43</v>
      </c>
      <c r="J2517" t="s">
        <v>25</v>
      </c>
      <c r="K2517" t="s">
        <v>33</v>
      </c>
      <c r="L2517">
        <v>1</v>
      </c>
      <c r="M2517">
        <v>1</v>
      </c>
      <c r="N2517">
        <v>2.9</v>
      </c>
      <c r="O2517">
        <v>8.1</v>
      </c>
      <c r="P2517">
        <v>6</v>
      </c>
      <c r="Q2517">
        <v>7</v>
      </c>
      <c r="R2517">
        <v>829526</v>
      </c>
      <c r="S2517">
        <f>Table1[[#This Row],[Revenue]]-Table1[[#This Row],[Operating_Costs]]</f>
        <v>263908</v>
      </c>
      <c r="T2517">
        <v>565618</v>
      </c>
      <c r="U2517">
        <v>42</v>
      </c>
      <c r="V2517">
        <v>62</v>
      </c>
      <c r="W2517">
        <v>6.5</v>
      </c>
    </row>
    <row r="2518" spans="1:23" x14ac:dyDescent="0.25">
      <c r="A2518">
        <v>7</v>
      </c>
      <c r="B2518" t="s">
        <v>49</v>
      </c>
      <c r="C2518" s="1">
        <v>44432</v>
      </c>
      <c r="D2518" t="s">
        <v>71</v>
      </c>
      <c r="E2518">
        <v>0</v>
      </c>
      <c r="F2518">
        <v>72</v>
      </c>
      <c r="G2518" t="str">
        <f t="shared" si="47"/>
        <v>61-80</v>
      </c>
      <c r="H2518" t="s">
        <v>35</v>
      </c>
      <c r="I2518" t="s">
        <v>36</v>
      </c>
      <c r="J2518" t="s">
        <v>37</v>
      </c>
      <c r="K2518" t="s">
        <v>29</v>
      </c>
      <c r="L2518">
        <v>1</v>
      </c>
      <c r="M2518">
        <v>1</v>
      </c>
      <c r="N2518">
        <v>4.7</v>
      </c>
      <c r="O2518">
        <v>8.1</v>
      </c>
      <c r="P2518">
        <v>5</v>
      </c>
      <c r="Q2518">
        <v>5</v>
      </c>
      <c r="R2518">
        <v>747440</v>
      </c>
      <c r="S2518">
        <f>Table1[[#This Row],[Revenue]]-Table1[[#This Row],[Operating_Costs]]</f>
        <v>245732</v>
      </c>
      <c r="T2518">
        <v>501708</v>
      </c>
      <c r="U2518">
        <v>56</v>
      </c>
      <c r="V2518">
        <v>55</v>
      </c>
      <c r="W2518">
        <v>12.3</v>
      </c>
    </row>
    <row r="2519" spans="1:23" x14ac:dyDescent="0.25">
      <c r="A2519">
        <v>7</v>
      </c>
      <c r="B2519" t="s">
        <v>49</v>
      </c>
      <c r="C2519" s="1">
        <v>44608</v>
      </c>
      <c r="D2519" t="s">
        <v>71</v>
      </c>
      <c r="E2519">
        <v>0</v>
      </c>
      <c r="F2519">
        <v>22</v>
      </c>
      <c r="G2519" t="str">
        <f t="shared" si="47"/>
        <v>21-40</v>
      </c>
      <c r="H2519" t="s">
        <v>23</v>
      </c>
      <c r="I2519" t="s">
        <v>31</v>
      </c>
      <c r="J2519" t="s">
        <v>28</v>
      </c>
      <c r="K2519" t="s">
        <v>26</v>
      </c>
      <c r="L2519">
        <v>1</v>
      </c>
      <c r="M2519">
        <v>1</v>
      </c>
      <c r="N2519">
        <v>1.5</v>
      </c>
      <c r="O2519">
        <v>7.3</v>
      </c>
      <c r="P2519">
        <v>7</v>
      </c>
      <c r="Q2519">
        <v>6</v>
      </c>
      <c r="R2519">
        <v>819502</v>
      </c>
      <c r="S2519">
        <f>Table1[[#This Row],[Revenue]]-Table1[[#This Row],[Operating_Costs]]</f>
        <v>279331</v>
      </c>
      <c r="T2519">
        <v>540171</v>
      </c>
      <c r="U2519">
        <v>45</v>
      </c>
      <c r="V2519">
        <v>65</v>
      </c>
      <c r="W2519">
        <v>10.6</v>
      </c>
    </row>
    <row r="2520" spans="1:23" x14ac:dyDescent="0.25">
      <c r="A2520">
        <v>7</v>
      </c>
      <c r="B2520" t="s">
        <v>49</v>
      </c>
      <c r="C2520" s="1">
        <v>45492</v>
      </c>
      <c r="D2520" t="s">
        <v>71</v>
      </c>
      <c r="E2520">
        <v>0</v>
      </c>
      <c r="F2520">
        <v>43</v>
      </c>
      <c r="G2520" t="str">
        <f t="shared" si="47"/>
        <v>41-60</v>
      </c>
      <c r="H2520" t="s">
        <v>23</v>
      </c>
      <c r="I2520" t="s">
        <v>61</v>
      </c>
      <c r="J2520" t="s">
        <v>62</v>
      </c>
      <c r="K2520" t="s">
        <v>42</v>
      </c>
      <c r="L2520">
        <v>1</v>
      </c>
      <c r="M2520">
        <v>1</v>
      </c>
      <c r="N2520">
        <v>1.3</v>
      </c>
      <c r="O2520">
        <v>9.6999999999999993</v>
      </c>
      <c r="P2520">
        <v>6</v>
      </c>
      <c r="Q2520">
        <v>7</v>
      </c>
      <c r="R2520">
        <v>784227</v>
      </c>
      <c r="S2520">
        <f>Table1[[#This Row],[Revenue]]-Table1[[#This Row],[Operating_Costs]]</f>
        <v>250945</v>
      </c>
      <c r="T2520">
        <v>533282</v>
      </c>
      <c r="U2520">
        <v>57</v>
      </c>
      <c r="V2520">
        <v>57</v>
      </c>
      <c r="W2520">
        <v>6.9</v>
      </c>
    </row>
    <row r="2521" spans="1:23" x14ac:dyDescent="0.25">
      <c r="A2521">
        <v>7</v>
      </c>
      <c r="B2521" t="s">
        <v>49</v>
      </c>
      <c r="C2521" s="1">
        <v>44580</v>
      </c>
      <c r="D2521" t="s">
        <v>71</v>
      </c>
      <c r="E2521">
        <v>0</v>
      </c>
      <c r="F2521">
        <v>83</v>
      </c>
      <c r="G2521" t="str">
        <f t="shared" si="47"/>
        <v>81+</v>
      </c>
      <c r="H2521" t="s">
        <v>23</v>
      </c>
      <c r="I2521" t="s">
        <v>40</v>
      </c>
      <c r="J2521" t="s">
        <v>41</v>
      </c>
      <c r="K2521" t="s">
        <v>42</v>
      </c>
      <c r="L2521">
        <v>1</v>
      </c>
      <c r="M2521">
        <v>1</v>
      </c>
      <c r="N2521">
        <v>3.6</v>
      </c>
      <c r="O2521">
        <v>8.5</v>
      </c>
      <c r="P2521">
        <v>6</v>
      </c>
      <c r="Q2521">
        <v>3</v>
      </c>
      <c r="R2521">
        <v>659761</v>
      </c>
      <c r="S2521">
        <f>Table1[[#This Row],[Revenue]]-Table1[[#This Row],[Operating_Costs]]</f>
        <v>83305</v>
      </c>
      <c r="T2521">
        <v>576456</v>
      </c>
      <c r="U2521">
        <v>44</v>
      </c>
      <c r="V2521">
        <v>60</v>
      </c>
      <c r="W2521">
        <v>8.4</v>
      </c>
    </row>
    <row r="2522" spans="1:23" x14ac:dyDescent="0.25">
      <c r="A2522">
        <v>7</v>
      </c>
      <c r="B2522" t="s">
        <v>49</v>
      </c>
      <c r="C2522" s="1">
        <v>44659</v>
      </c>
      <c r="D2522" t="s">
        <v>71</v>
      </c>
      <c r="E2522">
        <v>0</v>
      </c>
      <c r="F2522">
        <v>87</v>
      </c>
      <c r="G2522" t="str">
        <f t="shared" si="47"/>
        <v>81+</v>
      </c>
      <c r="H2522" t="s">
        <v>23</v>
      </c>
      <c r="I2522" t="s">
        <v>43</v>
      </c>
      <c r="J2522" t="s">
        <v>25</v>
      </c>
      <c r="K2522" t="s">
        <v>26</v>
      </c>
      <c r="L2522">
        <v>1</v>
      </c>
      <c r="M2522">
        <v>1</v>
      </c>
      <c r="N2522">
        <v>2.6</v>
      </c>
      <c r="O2522">
        <v>8.5</v>
      </c>
      <c r="P2522">
        <v>7</v>
      </c>
      <c r="Q2522">
        <v>4</v>
      </c>
      <c r="R2522">
        <v>667009</v>
      </c>
      <c r="S2522">
        <f>Table1[[#This Row],[Revenue]]-Table1[[#This Row],[Operating_Costs]]</f>
        <v>95556</v>
      </c>
      <c r="T2522">
        <v>571453</v>
      </c>
      <c r="U2522">
        <v>52</v>
      </c>
      <c r="V2522">
        <v>63</v>
      </c>
      <c r="W2522">
        <v>7.2</v>
      </c>
    </row>
    <row r="2523" spans="1:23" x14ac:dyDescent="0.25">
      <c r="A2523">
        <v>7</v>
      </c>
      <c r="B2523" t="s">
        <v>49</v>
      </c>
      <c r="C2523" s="1">
        <v>44275</v>
      </c>
      <c r="D2523" t="s">
        <v>71</v>
      </c>
      <c r="E2523">
        <v>0</v>
      </c>
      <c r="F2523">
        <v>45</v>
      </c>
      <c r="G2523" t="str">
        <f t="shared" si="47"/>
        <v>41-60</v>
      </c>
      <c r="H2523" t="s">
        <v>35</v>
      </c>
      <c r="I2523" t="s">
        <v>60</v>
      </c>
      <c r="J2523" t="s">
        <v>59</v>
      </c>
      <c r="K2523" t="s">
        <v>38</v>
      </c>
      <c r="L2523">
        <v>1</v>
      </c>
      <c r="M2523">
        <v>1</v>
      </c>
      <c r="N2523">
        <v>4.5</v>
      </c>
      <c r="O2523">
        <v>9.6</v>
      </c>
      <c r="P2523">
        <v>4</v>
      </c>
      <c r="Q2523">
        <v>4</v>
      </c>
      <c r="R2523">
        <v>660104</v>
      </c>
      <c r="S2523">
        <f>Table1[[#This Row],[Revenue]]-Table1[[#This Row],[Operating_Costs]]</f>
        <v>124018</v>
      </c>
      <c r="T2523">
        <v>536086</v>
      </c>
      <c r="U2523">
        <v>41</v>
      </c>
      <c r="V2523">
        <v>54</v>
      </c>
      <c r="W2523">
        <v>9.6999999999999993</v>
      </c>
    </row>
    <row r="2524" spans="1:23" x14ac:dyDescent="0.25">
      <c r="A2524">
        <v>7</v>
      </c>
      <c r="B2524" t="s">
        <v>49</v>
      </c>
      <c r="C2524" s="1">
        <v>44902</v>
      </c>
      <c r="D2524" t="s">
        <v>71</v>
      </c>
      <c r="E2524">
        <v>0</v>
      </c>
      <c r="F2524">
        <v>69</v>
      </c>
      <c r="G2524" t="str">
        <f t="shared" si="47"/>
        <v>61-80</v>
      </c>
      <c r="H2524" t="s">
        <v>35</v>
      </c>
      <c r="I2524" t="s">
        <v>31</v>
      </c>
      <c r="J2524" t="s">
        <v>28</v>
      </c>
      <c r="K2524" t="s">
        <v>33</v>
      </c>
      <c r="L2524">
        <v>1</v>
      </c>
      <c r="M2524">
        <v>1</v>
      </c>
      <c r="N2524">
        <v>4.9000000000000004</v>
      </c>
      <c r="O2524">
        <v>7.6</v>
      </c>
      <c r="P2524">
        <v>7</v>
      </c>
      <c r="Q2524">
        <v>6</v>
      </c>
      <c r="R2524">
        <v>649568</v>
      </c>
      <c r="S2524">
        <f>Table1[[#This Row],[Revenue]]-Table1[[#This Row],[Operating_Costs]]</f>
        <v>120522</v>
      </c>
      <c r="T2524">
        <v>529046</v>
      </c>
      <c r="U2524">
        <v>56</v>
      </c>
      <c r="V2524">
        <v>56</v>
      </c>
      <c r="W2524">
        <v>5.4</v>
      </c>
    </row>
    <row r="2525" spans="1:23" x14ac:dyDescent="0.25">
      <c r="A2525">
        <v>7</v>
      </c>
      <c r="B2525" t="s">
        <v>49</v>
      </c>
      <c r="C2525" s="1">
        <v>44731</v>
      </c>
      <c r="D2525" t="s">
        <v>71</v>
      </c>
      <c r="E2525">
        <v>0</v>
      </c>
      <c r="F2525">
        <v>47</v>
      </c>
      <c r="G2525" t="str">
        <f t="shared" si="47"/>
        <v>41-60</v>
      </c>
      <c r="H2525" t="s">
        <v>23</v>
      </c>
      <c r="I2525" t="s">
        <v>55</v>
      </c>
      <c r="J2525" t="s">
        <v>56</v>
      </c>
      <c r="K2525" t="s">
        <v>26</v>
      </c>
      <c r="L2525">
        <v>1</v>
      </c>
      <c r="M2525">
        <v>1</v>
      </c>
      <c r="N2525">
        <v>2.1</v>
      </c>
      <c r="O2525">
        <v>7.4</v>
      </c>
      <c r="P2525">
        <v>6</v>
      </c>
      <c r="Q2525">
        <v>3</v>
      </c>
      <c r="R2525">
        <v>732360</v>
      </c>
      <c r="S2525">
        <f>Table1[[#This Row],[Revenue]]-Table1[[#This Row],[Operating_Costs]]</f>
        <v>216934</v>
      </c>
      <c r="T2525">
        <v>515426</v>
      </c>
      <c r="U2525">
        <v>46</v>
      </c>
      <c r="V2525">
        <v>66</v>
      </c>
      <c r="W2525">
        <v>8.4</v>
      </c>
    </row>
    <row r="2526" spans="1:23" x14ac:dyDescent="0.25">
      <c r="A2526">
        <v>7</v>
      </c>
      <c r="B2526" t="s">
        <v>49</v>
      </c>
      <c r="C2526" s="1">
        <v>45571</v>
      </c>
      <c r="D2526" t="s">
        <v>71</v>
      </c>
      <c r="E2526">
        <v>0</v>
      </c>
      <c r="F2526">
        <v>86</v>
      </c>
      <c r="G2526" t="str">
        <f t="shared" si="47"/>
        <v>81+</v>
      </c>
      <c r="H2526" t="s">
        <v>35</v>
      </c>
      <c r="I2526" t="s">
        <v>60</v>
      </c>
      <c r="J2526" t="s">
        <v>59</v>
      </c>
      <c r="K2526" t="s">
        <v>38</v>
      </c>
      <c r="L2526">
        <v>1</v>
      </c>
      <c r="M2526">
        <v>1</v>
      </c>
      <c r="N2526">
        <v>2.6</v>
      </c>
      <c r="O2526">
        <v>7.3</v>
      </c>
      <c r="P2526">
        <v>4</v>
      </c>
      <c r="Q2526">
        <v>6</v>
      </c>
      <c r="R2526">
        <v>766603</v>
      </c>
      <c r="S2526">
        <f>Table1[[#This Row],[Revenue]]-Table1[[#This Row],[Operating_Costs]]</f>
        <v>257800</v>
      </c>
      <c r="T2526">
        <v>508803</v>
      </c>
      <c r="U2526">
        <v>46</v>
      </c>
      <c r="V2526">
        <v>60</v>
      </c>
      <c r="W2526">
        <v>5.6</v>
      </c>
    </row>
    <row r="2527" spans="1:23" x14ac:dyDescent="0.25">
      <c r="A2527">
        <v>7</v>
      </c>
      <c r="B2527" t="s">
        <v>49</v>
      </c>
      <c r="C2527" s="1">
        <v>45248</v>
      </c>
      <c r="D2527" t="s">
        <v>71</v>
      </c>
      <c r="E2527">
        <v>0</v>
      </c>
      <c r="F2527">
        <v>43</v>
      </c>
      <c r="G2527" t="str">
        <f t="shared" si="47"/>
        <v>41-60</v>
      </c>
      <c r="H2527" t="s">
        <v>23</v>
      </c>
      <c r="I2527" t="s">
        <v>40</v>
      </c>
      <c r="J2527" t="s">
        <v>41</v>
      </c>
      <c r="K2527" t="s">
        <v>29</v>
      </c>
      <c r="L2527">
        <v>1</v>
      </c>
      <c r="M2527">
        <v>1</v>
      </c>
      <c r="N2527">
        <v>2.9</v>
      </c>
      <c r="O2527">
        <v>7.5</v>
      </c>
      <c r="P2527">
        <v>5</v>
      </c>
      <c r="Q2527">
        <v>3</v>
      </c>
      <c r="R2527">
        <v>783652</v>
      </c>
      <c r="S2527">
        <f>Table1[[#This Row],[Revenue]]-Table1[[#This Row],[Operating_Costs]]</f>
        <v>282188</v>
      </c>
      <c r="T2527">
        <v>501464</v>
      </c>
      <c r="U2527">
        <v>43</v>
      </c>
      <c r="V2527">
        <v>61</v>
      </c>
      <c r="W2527">
        <v>12</v>
      </c>
    </row>
    <row r="2528" spans="1:23" x14ac:dyDescent="0.25">
      <c r="A2528">
        <v>7</v>
      </c>
      <c r="B2528" t="s">
        <v>49</v>
      </c>
      <c r="C2528" s="1">
        <v>44996</v>
      </c>
      <c r="D2528" t="s">
        <v>71</v>
      </c>
      <c r="E2528">
        <v>0</v>
      </c>
      <c r="F2528">
        <v>37</v>
      </c>
      <c r="G2528" t="str">
        <f t="shared" si="47"/>
        <v>21-40</v>
      </c>
      <c r="H2528" t="s">
        <v>23</v>
      </c>
      <c r="I2528" t="s">
        <v>27</v>
      </c>
      <c r="J2528" t="s">
        <v>28</v>
      </c>
      <c r="K2528" t="s">
        <v>38</v>
      </c>
      <c r="L2528">
        <v>1</v>
      </c>
      <c r="M2528">
        <v>1</v>
      </c>
      <c r="N2528">
        <v>1.6</v>
      </c>
      <c r="O2528">
        <v>7.8</v>
      </c>
      <c r="P2528">
        <v>5</v>
      </c>
      <c r="Q2528">
        <v>7</v>
      </c>
      <c r="R2528">
        <v>871327</v>
      </c>
      <c r="S2528">
        <f>Table1[[#This Row],[Revenue]]-Table1[[#This Row],[Operating_Costs]]</f>
        <v>338255</v>
      </c>
      <c r="T2528">
        <v>533072</v>
      </c>
      <c r="U2528">
        <v>42</v>
      </c>
      <c r="V2528">
        <v>59</v>
      </c>
      <c r="W2528">
        <v>10.8</v>
      </c>
    </row>
    <row r="2529" spans="1:23" x14ac:dyDescent="0.25">
      <c r="A2529">
        <v>7</v>
      </c>
      <c r="B2529" t="s">
        <v>49</v>
      </c>
      <c r="C2529" s="1">
        <v>44626</v>
      </c>
      <c r="D2529" t="s">
        <v>71</v>
      </c>
      <c r="E2529">
        <v>0</v>
      </c>
      <c r="F2529">
        <v>46</v>
      </c>
      <c r="G2529" t="str">
        <f t="shared" si="47"/>
        <v>41-60</v>
      </c>
      <c r="H2529" t="s">
        <v>35</v>
      </c>
      <c r="I2529" t="s">
        <v>36</v>
      </c>
      <c r="J2529" t="s">
        <v>37</v>
      </c>
      <c r="K2529" t="s">
        <v>33</v>
      </c>
      <c r="L2529">
        <v>1</v>
      </c>
      <c r="M2529">
        <v>1</v>
      </c>
      <c r="N2529">
        <v>3.7</v>
      </c>
      <c r="O2529">
        <v>7.2</v>
      </c>
      <c r="P2529">
        <v>4</v>
      </c>
      <c r="Q2529">
        <v>3</v>
      </c>
      <c r="R2529">
        <v>842258</v>
      </c>
      <c r="S2529">
        <f>Table1[[#This Row],[Revenue]]-Table1[[#This Row],[Operating_Costs]]</f>
        <v>325818</v>
      </c>
      <c r="T2529">
        <v>516440</v>
      </c>
      <c r="U2529">
        <v>51</v>
      </c>
      <c r="V2529">
        <v>65</v>
      </c>
      <c r="W2529">
        <v>8</v>
      </c>
    </row>
    <row r="2530" spans="1:23" x14ac:dyDescent="0.25">
      <c r="A2530">
        <v>7</v>
      </c>
      <c r="B2530" t="s">
        <v>49</v>
      </c>
      <c r="C2530" s="1">
        <v>44819</v>
      </c>
      <c r="D2530" t="s">
        <v>71</v>
      </c>
      <c r="E2530">
        <v>0</v>
      </c>
      <c r="F2530">
        <v>53</v>
      </c>
      <c r="G2530" t="str">
        <f t="shared" si="47"/>
        <v>41-60</v>
      </c>
      <c r="H2530" t="s">
        <v>35</v>
      </c>
      <c r="I2530" t="s">
        <v>58</v>
      </c>
      <c r="J2530" t="s">
        <v>59</v>
      </c>
      <c r="K2530" t="s">
        <v>38</v>
      </c>
      <c r="L2530">
        <v>1</v>
      </c>
      <c r="M2530">
        <v>1</v>
      </c>
      <c r="N2530">
        <v>2.4</v>
      </c>
      <c r="O2530">
        <v>9.4</v>
      </c>
      <c r="P2530">
        <v>4</v>
      </c>
      <c r="Q2530">
        <v>3</v>
      </c>
      <c r="R2530">
        <v>614904</v>
      </c>
      <c r="S2530">
        <f>Table1[[#This Row],[Revenue]]-Table1[[#This Row],[Operating_Costs]]</f>
        <v>72554</v>
      </c>
      <c r="T2530">
        <v>542350</v>
      </c>
      <c r="U2530">
        <v>44</v>
      </c>
      <c r="V2530">
        <v>57</v>
      </c>
      <c r="W2530">
        <v>13.8</v>
      </c>
    </row>
    <row r="2531" spans="1:23" x14ac:dyDescent="0.25">
      <c r="A2531">
        <v>7</v>
      </c>
      <c r="B2531" t="s">
        <v>49</v>
      </c>
      <c r="C2531" s="1">
        <v>44938</v>
      </c>
      <c r="D2531" t="s">
        <v>71</v>
      </c>
      <c r="E2531">
        <v>0</v>
      </c>
      <c r="F2531">
        <v>47</v>
      </c>
      <c r="G2531" t="str">
        <f t="shared" si="47"/>
        <v>41-60</v>
      </c>
      <c r="H2531" t="s">
        <v>23</v>
      </c>
      <c r="I2531" t="s">
        <v>61</v>
      </c>
      <c r="J2531" t="s">
        <v>62</v>
      </c>
      <c r="K2531" t="s">
        <v>29</v>
      </c>
      <c r="L2531">
        <v>1</v>
      </c>
      <c r="M2531">
        <v>1</v>
      </c>
      <c r="N2531">
        <v>5.9</v>
      </c>
      <c r="O2531">
        <v>9</v>
      </c>
      <c r="P2531">
        <v>6</v>
      </c>
      <c r="Q2531">
        <v>6</v>
      </c>
      <c r="R2531">
        <v>899907</v>
      </c>
      <c r="S2531">
        <f>Table1[[#This Row],[Revenue]]-Table1[[#This Row],[Operating_Costs]]</f>
        <v>383446</v>
      </c>
      <c r="T2531">
        <v>516461</v>
      </c>
      <c r="U2531">
        <v>51</v>
      </c>
      <c r="V2531">
        <v>56</v>
      </c>
      <c r="W2531">
        <v>13</v>
      </c>
    </row>
    <row r="2532" spans="1:23" x14ac:dyDescent="0.25">
      <c r="A2532">
        <v>7</v>
      </c>
      <c r="B2532" t="s">
        <v>49</v>
      </c>
      <c r="C2532" s="1">
        <v>44465</v>
      </c>
      <c r="D2532" t="s">
        <v>71</v>
      </c>
      <c r="E2532">
        <v>0</v>
      </c>
      <c r="F2532">
        <v>36</v>
      </c>
      <c r="G2532" t="str">
        <f t="shared" si="47"/>
        <v>21-40</v>
      </c>
      <c r="H2532" t="s">
        <v>35</v>
      </c>
      <c r="I2532" t="s">
        <v>61</v>
      </c>
      <c r="J2532" t="s">
        <v>62</v>
      </c>
      <c r="K2532" t="s">
        <v>42</v>
      </c>
      <c r="L2532">
        <v>1</v>
      </c>
      <c r="M2532">
        <v>1</v>
      </c>
      <c r="N2532">
        <v>5.0999999999999996</v>
      </c>
      <c r="O2532">
        <v>8.4</v>
      </c>
      <c r="P2532">
        <v>5</v>
      </c>
      <c r="Q2532">
        <v>4</v>
      </c>
      <c r="R2532">
        <v>672461</v>
      </c>
      <c r="S2532">
        <f>Table1[[#This Row],[Revenue]]-Table1[[#This Row],[Operating_Costs]]</f>
        <v>141017</v>
      </c>
      <c r="T2532">
        <v>531444</v>
      </c>
      <c r="U2532">
        <v>52</v>
      </c>
      <c r="V2532">
        <v>64</v>
      </c>
      <c r="W2532">
        <v>36.9</v>
      </c>
    </row>
    <row r="2533" spans="1:23" x14ac:dyDescent="0.25">
      <c r="A2533">
        <v>7</v>
      </c>
      <c r="B2533" t="s">
        <v>49</v>
      </c>
      <c r="C2533" s="1">
        <v>44860</v>
      </c>
      <c r="D2533" t="s">
        <v>71</v>
      </c>
      <c r="E2533">
        <v>0</v>
      </c>
      <c r="F2533">
        <v>90</v>
      </c>
      <c r="G2533" t="str">
        <f t="shared" si="47"/>
        <v>81+</v>
      </c>
      <c r="H2533" t="s">
        <v>23</v>
      </c>
      <c r="I2533" t="s">
        <v>50</v>
      </c>
      <c r="J2533" t="s">
        <v>51</v>
      </c>
      <c r="K2533" t="s">
        <v>26</v>
      </c>
      <c r="L2533">
        <v>1</v>
      </c>
      <c r="M2533">
        <v>1</v>
      </c>
      <c r="N2533">
        <v>5</v>
      </c>
      <c r="O2533">
        <v>7.9</v>
      </c>
      <c r="P2533">
        <v>7</v>
      </c>
      <c r="Q2533">
        <v>6</v>
      </c>
      <c r="R2533">
        <v>859221</v>
      </c>
      <c r="S2533">
        <f>Table1[[#This Row],[Revenue]]-Table1[[#This Row],[Operating_Costs]]</f>
        <v>322218</v>
      </c>
      <c r="T2533">
        <v>537003</v>
      </c>
      <c r="U2533">
        <v>52</v>
      </c>
      <c r="V2533">
        <v>62</v>
      </c>
      <c r="W2533">
        <v>5.8</v>
      </c>
    </row>
    <row r="2534" spans="1:23" x14ac:dyDescent="0.25">
      <c r="A2534">
        <v>7</v>
      </c>
      <c r="B2534" t="s">
        <v>49</v>
      </c>
      <c r="C2534" s="1">
        <v>44558</v>
      </c>
      <c r="D2534" t="s">
        <v>71</v>
      </c>
      <c r="E2534">
        <v>0</v>
      </c>
      <c r="F2534">
        <v>44</v>
      </c>
      <c r="G2534" t="str">
        <f t="shared" si="47"/>
        <v>41-60</v>
      </c>
      <c r="H2534" t="s">
        <v>23</v>
      </c>
      <c r="I2534" t="s">
        <v>24</v>
      </c>
      <c r="J2534" t="s">
        <v>25</v>
      </c>
      <c r="K2534" t="s">
        <v>29</v>
      </c>
      <c r="L2534">
        <v>1</v>
      </c>
      <c r="M2534">
        <v>1</v>
      </c>
      <c r="N2534">
        <v>3.7</v>
      </c>
      <c r="O2534">
        <v>7.4</v>
      </c>
      <c r="P2534">
        <v>5</v>
      </c>
      <c r="Q2534">
        <v>4</v>
      </c>
      <c r="R2534">
        <v>787675</v>
      </c>
      <c r="S2534">
        <f>Table1[[#This Row],[Revenue]]-Table1[[#This Row],[Operating_Costs]]</f>
        <v>222115</v>
      </c>
      <c r="T2534">
        <v>565560</v>
      </c>
      <c r="U2534">
        <v>58</v>
      </c>
      <c r="V2534">
        <v>65</v>
      </c>
      <c r="W2534">
        <v>13</v>
      </c>
    </row>
    <row r="2535" spans="1:23" x14ac:dyDescent="0.25">
      <c r="A2535">
        <v>7</v>
      </c>
      <c r="B2535" t="s">
        <v>49</v>
      </c>
      <c r="C2535" s="1">
        <v>44789</v>
      </c>
      <c r="D2535" t="s">
        <v>71</v>
      </c>
      <c r="E2535">
        <v>0</v>
      </c>
      <c r="F2535">
        <v>39</v>
      </c>
      <c r="G2535" t="str">
        <f t="shared" si="47"/>
        <v>21-40</v>
      </c>
      <c r="H2535" t="s">
        <v>23</v>
      </c>
      <c r="I2535" t="s">
        <v>27</v>
      </c>
      <c r="J2535" t="s">
        <v>28</v>
      </c>
      <c r="K2535" t="s">
        <v>29</v>
      </c>
      <c r="L2535">
        <v>1</v>
      </c>
      <c r="M2535">
        <v>1</v>
      </c>
      <c r="N2535">
        <v>4.5</v>
      </c>
      <c r="O2535">
        <v>8.6999999999999993</v>
      </c>
      <c r="P2535">
        <v>6</v>
      </c>
      <c r="Q2535">
        <v>5</v>
      </c>
      <c r="R2535">
        <v>792284</v>
      </c>
      <c r="S2535">
        <f>Table1[[#This Row],[Revenue]]-Table1[[#This Row],[Operating_Costs]]</f>
        <v>251897</v>
      </c>
      <c r="T2535">
        <v>540387</v>
      </c>
      <c r="U2535">
        <v>59</v>
      </c>
      <c r="V2535">
        <v>60</v>
      </c>
      <c r="W2535">
        <v>13.6</v>
      </c>
    </row>
    <row r="2536" spans="1:23" x14ac:dyDescent="0.25">
      <c r="A2536">
        <v>7</v>
      </c>
      <c r="B2536" t="s">
        <v>49</v>
      </c>
      <c r="C2536" s="1">
        <v>44822</v>
      </c>
      <c r="D2536" t="s">
        <v>71</v>
      </c>
      <c r="E2536">
        <v>0</v>
      </c>
      <c r="F2536">
        <v>42</v>
      </c>
      <c r="G2536" t="str">
        <f t="shared" si="47"/>
        <v>41-60</v>
      </c>
      <c r="H2536" t="s">
        <v>23</v>
      </c>
      <c r="I2536" t="s">
        <v>67</v>
      </c>
      <c r="J2536" t="s">
        <v>68</v>
      </c>
      <c r="K2536" t="s">
        <v>29</v>
      </c>
      <c r="L2536">
        <v>1</v>
      </c>
      <c r="M2536">
        <v>1</v>
      </c>
      <c r="N2536">
        <v>6.8</v>
      </c>
      <c r="O2536">
        <v>9.5</v>
      </c>
      <c r="P2536">
        <v>7</v>
      </c>
      <c r="Q2536">
        <v>3</v>
      </c>
      <c r="R2536">
        <v>642739</v>
      </c>
      <c r="S2536">
        <f>Table1[[#This Row],[Revenue]]-Table1[[#This Row],[Operating_Costs]]</f>
        <v>90438</v>
      </c>
      <c r="T2536">
        <v>552301</v>
      </c>
      <c r="U2536">
        <v>47</v>
      </c>
      <c r="V2536">
        <v>63</v>
      </c>
      <c r="W2536">
        <v>13.8</v>
      </c>
    </row>
    <row r="2537" spans="1:23" x14ac:dyDescent="0.25">
      <c r="A2537">
        <v>7</v>
      </c>
      <c r="B2537" t="s">
        <v>49</v>
      </c>
      <c r="C2537" s="1">
        <v>44866</v>
      </c>
      <c r="D2537" t="s">
        <v>71</v>
      </c>
      <c r="E2537">
        <v>0</v>
      </c>
      <c r="F2537">
        <v>37</v>
      </c>
      <c r="G2537" t="str">
        <f t="shared" si="47"/>
        <v>21-40</v>
      </c>
      <c r="H2537" t="s">
        <v>23</v>
      </c>
      <c r="I2537" t="s">
        <v>58</v>
      </c>
      <c r="J2537" t="s">
        <v>59</v>
      </c>
      <c r="K2537" t="s">
        <v>42</v>
      </c>
      <c r="L2537">
        <v>1</v>
      </c>
      <c r="M2537">
        <v>1</v>
      </c>
      <c r="N2537">
        <v>6.6</v>
      </c>
      <c r="O2537">
        <v>9</v>
      </c>
      <c r="P2537">
        <v>6</v>
      </c>
      <c r="Q2537">
        <v>5</v>
      </c>
      <c r="R2537">
        <v>799336</v>
      </c>
      <c r="S2537">
        <f>Table1[[#This Row],[Revenue]]-Table1[[#This Row],[Operating_Costs]]</f>
        <v>288382</v>
      </c>
      <c r="T2537">
        <v>510954</v>
      </c>
      <c r="U2537">
        <v>43</v>
      </c>
      <c r="V2537">
        <v>59</v>
      </c>
      <c r="W2537">
        <v>36.9</v>
      </c>
    </row>
    <row r="2538" spans="1:23" x14ac:dyDescent="0.25">
      <c r="A2538">
        <v>7</v>
      </c>
      <c r="B2538" t="s">
        <v>49</v>
      </c>
      <c r="C2538" s="1">
        <v>44250</v>
      </c>
      <c r="D2538" t="s">
        <v>71</v>
      </c>
      <c r="E2538">
        <v>0</v>
      </c>
      <c r="F2538">
        <v>28</v>
      </c>
      <c r="G2538" t="str">
        <f t="shared" si="47"/>
        <v>21-40</v>
      </c>
      <c r="H2538" t="s">
        <v>35</v>
      </c>
      <c r="I2538" t="s">
        <v>31</v>
      </c>
      <c r="J2538" t="s">
        <v>28</v>
      </c>
      <c r="K2538" t="s">
        <v>26</v>
      </c>
      <c r="L2538">
        <v>1</v>
      </c>
      <c r="M2538">
        <v>1</v>
      </c>
      <c r="N2538">
        <v>3.5</v>
      </c>
      <c r="O2538">
        <v>9.5</v>
      </c>
      <c r="P2538">
        <v>7</v>
      </c>
      <c r="Q2538">
        <v>7</v>
      </c>
      <c r="R2538">
        <v>743366</v>
      </c>
      <c r="S2538">
        <f>Table1[[#This Row],[Revenue]]-Table1[[#This Row],[Operating_Costs]]</f>
        <v>180891</v>
      </c>
      <c r="T2538">
        <v>562475</v>
      </c>
      <c r="U2538">
        <v>60</v>
      </c>
      <c r="V2538">
        <v>57</v>
      </c>
      <c r="W2538">
        <v>8.3000000000000007</v>
      </c>
    </row>
    <row r="2539" spans="1:23" x14ac:dyDescent="0.25">
      <c r="A2539">
        <v>7</v>
      </c>
      <c r="B2539" t="s">
        <v>49</v>
      </c>
      <c r="C2539" s="1">
        <v>44691</v>
      </c>
      <c r="D2539" t="s">
        <v>71</v>
      </c>
      <c r="E2539">
        <v>0</v>
      </c>
      <c r="F2539">
        <v>46</v>
      </c>
      <c r="G2539" t="str">
        <f t="shared" si="47"/>
        <v>41-60</v>
      </c>
      <c r="H2539" t="s">
        <v>35</v>
      </c>
      <c r="I2539" t="s">
        <v>50</v>
      </c>
      <c r="J2539" t="s">
        <v>51</v>
      </c>
      <c r="K2539" t="s">
        <v>29</v>
      </c>
      <c r="L2539">
        <v>1</v>
      </c>
      <c r="M2539">
        <v>1</v>
      </c>
      <c r="N2539">
        <v>4.2</v>
      </c>
      <c r="O2539">
        <v>8.9</v>
      </c>
      <c r="P2539">
        <v>5</v>
      </c>
      <c r="Q2539">
        <v>4</v>
      </c>
      <c r="R2539">
        <v>642921</v>
      </c>
      <c r="S2539">
        <f>Table1[[#This Row],[Revenue]]-Table1[[#This Row],[Operating_Costs]]</f>
        <v>92233</v>
      </c>
      <c r="T2539">
        <v>550688</v>
      </c>
      <c r="U2539">
        <v>45</v>
      </c>
      <c r="V2539">
        <v>60</v>
      </c>
      <c r="W2539">
        <v>13.2</v>
      </c>
    </row>
    <row r="2540" spans="1:23" x14ac:dyDescent="0.25">
      <c r="A2540">
        <v>7</v>
      </c>
      <c r="B2540" t="s">
        <v>49</v>
      </c>
      <c r="C2540" s="1">
        <v>44262</v>
      </c>
      <c r="D2540" t="s">
        <v>71</v>
      </c>
      <c r="E2540">
        <v>0</v>
      </c>
      <c r="F2540">
        <v>60</v>
      </c>
      <c r="G2540" t="str">
        <f t="shared" si="47"/>
        <v>41-60</v>
      </c>
      <c r="H2540" t="s">
        <v>23</v>
      </c>
      <c r="I2540" t="s">
        <v>31</v>
      </c>
      <c r="J2540" t="s">
        <v>28</v>
      </c>
      <c r="K2540" t="s">
        <v>33</v>
      </c>
      <c r="L2540">
        <v>1</v>
      </c>
      <c r="M2540">
        <v>1</v>
      </c>
      <c r="N2540">
        <v>4.2</v>
      </c>
      <c r="O2540">
        <v>8.5</v>
      </c>
      <c r="P2540">
        <v>6</v>
      </c>
      <c r="Q2540">
        <v>5</v>
      </c>
      <c r="R2540">
        <v>834240</v>
      </c>
      <c r="S2540">
        <f>Table1[[#This Row],[Revenue]]-Table1[[#This Row],[Operating_Costs]]</f>
        <v>247447</v>
      </c>
      <c r="T2540">
        <v>586793</v>
      </c>
      <c r="U2540">
        <v>60</v>
      </c>
      <c r="V2540">
        <v>56</v>
      </c>
      <c r="W2540">
        <v>9.1999999999999993</v>
      </c>
    </row>
    <row r="2541" spans="1:23" x14ac:dyDescent="0.25">
      <c r="A2541">
        <v>7</v>
      </c>
      <c r="B2541" t="s">
        <v>49</v>
      </c>
      <c r="C2541" s="1">
        <v>44579</v>
      </c>
      <c r="D2541" t="s">
        <v>71</v>
      </c>
      <c r="E2541">
        <v>0</v>
      </c>
      <c r="F2541">
        <v>27</v>
      </c>
      <c r="G2541" t="str">
        <f t="shared" si="47"/>
        <v>21-40</v>
      </c>
      <c r="H2541" t="s">
        <v>23</v>
      </c>
      <c r="I2541" t="s">
        <v>43</v>
      </c>
      <c r="J2541" t="s">
        <v>25</v>
      </c>
      <c r="K2541" t="s">
        <v>33</v>
      </c>
      <c r="L2541">
        <v>1</v>
      </c>
      <c r="M2541">
        <v>1</v>
      </c>
      <c r="N2541">
        <v>2.2000000000000002</v>
      </c>
      <c r="O2541">
        <v>8.1999999999999993</v>
      </c>
      <c r="P2541">
        <v>7</v>
      </c>
      <c r="Q2541">
        <v>7</v>
      </c>
      <c r="R2541">
        <v>656376</v>
      </c>
      <c r="S2541">
        <f>Table1[[#This Row],[Revenue]]-Table1[[#This Row],[Operating_Costs]]</f>
        <v>156331</v>
      </c>
      <c r="T2541">
        <v>500045</v>
      </c>
      <c r="U2541">
        <v>59</v>
      </c>
      <c r="V2541">
        <v>60</v>
      </c>
      <c r="W2541">
        <v>6.8</v>
      </c>
    </row>
    <row r="2542" spans="1:23" x14ac:dyDescent="0.25">
      <c r="A2542">
        <v>7</v>
      </c>
      <c r="B2542" t="s">
        <v>49</v>
      </c>
      <c r="C2542" s="1">
        <v>45065</v>
      </c>
      <c r="D2542" t="s">
        <v>71</v>
      </c>
      <c r="E2542">
        <v>0</v>
      </c>
      <c r="F2542">
        <v>41</v>
      </c>
      <c r="G2542" t="str">
        <f t="shared" si="47"/>
        <v>41-60</v>
      </c>
      <c r="H2542" t="s">
        <v>35</v>
      </c>
      <c r="I2542" t="s">
        <v>55</v>
      </c>
      <c r="J2542" t="s">
        <v>56</v>
      </c>
      <c r="K2542" t="s">
        <v>26</v>
      </c>
      <c r="L2542">
        <v>1</v>
      </c>
      <c r="M2542">
        <v>1</v>
      </c>
      <c r="N2542">
        <v>2.4</v>
      </c>
      <c r="O2542">
        <v>8.8000000000000007</v>
      </c>
      <c r="P2542">
        <v>5</v>
      </c>
      <c r="Q2542">
        <v>3</v>
      </c>
      <c r="R2542">
        <v>856907</v>
      </c>
      <c r="S2542">
        <f>Table1[[#This Row],[Revenue]]-Table1[[#This Row],[Operating_Costs]]</f>
        <v>313837</v>
      </c>
      <c r="T2542">
        <v>543070</v>
      </c>
      <c r="U2542">
        <v>44</v>
      </c>
      <c r="V2542">
        <v>64</v>
      </c>
      <c r="W2542">
        <v>9.5</v>
      </c>
    </row>
    <row r="2543" spans="1:23" x14ac:dyDescent="0.25">
      <c r="A2543">
        <v>7</v>
      </c>
      <c r="B2543" t="s">
        <v>49</v>
      </c>
      <c r="C2543" s="1">
        <v>45039</v>
      </c>
      <c r="D2543" t="s">
        <v>71</v>
      </c>
      <c r="E2543">
        <v>0</v>
      </c>
      <c r="F2543">
        <v>44</v>
      </c>
      <c r="G2543" t="str">
        <f t="shared" si="47"/>
        <v>41-60</v>
      </c>
      <c r="H2543" t="s">
        <v>23</v>
      </c>
      <c r="I2543" t="s">
        <v>50</v>
      </c>
      <c r="J2543" t="s">
        <v>51</v>
      </c>
      <c r="K2543" t="s">
        <v>42</v>
      </c>
      <c r="L2543">
        <v>1</v>
      </c>
      <c r="M2543">
        <v>1</v>
      </c>
      <c r="N2543">
        <v>3.8</v>
      </c>
      <c r="O2543">
        <v>9.1</v>
      </c>
      <c r="P2543">
        <v>3</v>
      </c>
      <c r="Q2543">
        <v>3</v>
      </c>
      <c r="R2543">
        <v>861748</v>
      </c>
      <c r="S2543">
        <f>Table1[[#This Row],[Revenue]]-Table1[[#This Row],[Operating_Costs]]</f>
        <v>332722</v>
      </c>
      <c r="T2543">
        <v>529026</v>
      </c>
      <c r="U2543">
        <v>50</v>
      </c>
      <c r="V2543">
        <v>59</v>
      </c>
      <c r="W2543">
        <v>14.5</v>
      </c>
    </row>
    <row r="2544" spans="1:23" x14ac:dyDescent="0.25">
      <c r="A2544">
        <v>7</v>
      </c>
      <c r="B2544" t="s">
        <v>49</v>
      </c>
      <c r="C2544" s="1">
        <v>45463</v>
      </c>
      <c r="D2544" t="s">
        <v>71</v>
      </c>
      <c r="E2544">
        <v>0</v>
      </c>
      <c r="F2544">
        <v>40</v>
      </c>
      <c r="G2544" t="str">
        <f t="shared" si="47"/>
        <v>21-40</v>
      </c>
      <c r="H2544" t="s">
        <v>23</v>
      </c>
      <c r="I2544" t="s">
        <v>50</v>
      </c>
      <c r="J2544" t="s">
        <v>51</v>
      </c>
      <c r="K2544" t="s">
        <v>38</v>
      </c>
      <c r="L2544">
        <v>1</v>
      </c>
      <c r="M2544">
        <v>1</v>
      </c>
      <c r="N2544">
        <v>4.0999999999999996</v>
      </c>
      <c r="O2544">
        <v>9.3000000000000007</v>
      </c>
      <c r="P2544">
        <v>6</v>
      </c>
      <c r="Q2544">
        <v>6</v>
      </c>
      <c r="R2544">
        <v>688570</v>
      </c>
      <c r="S2544">
        <f>Table1[[#This Row],[Revenue]]-Table1[[#This Row],[Operating_Costs]]</f>
        <v>95665</v>
      </c>
      <c r="T2544">
        <v>592905</v>
      </c>
      <c r="U2544">
        <v>51</v>
      </c>
      <c r="V2544">
        <v>58</v>
      </c>
      <c r="W2544">
        <v>8.3000000000000007</v>
      </c>
    </row>
    <row r="2545" spans="1:23" x14ac:dyDescent="0.25">
      <c r="A2545">
        <v>7</v>
      </c>
      <c r="B2545" t="s">
        <v>49</v>
      </c>
      <c r="C2545" s="1">
        <v>44732</v>
      </c>
      <c r="D2545" t="s">
        <v>71</v>
      </c>
      <c r="E2545">
        <v>0</v>
      </c>
      <c r="F2545">
        <v>80</v>
      </c>
      <c r="G2545" t="str">
        <f t="shared" si="47"/>
        <v>61-80</v>
      </c>
      <c r="H2545" t="s">
        <v>35</v>
      </c>
      <c r="I2545" t="s">
        <v>46</v>
      </c>
      <c r="J2545" t="s">
        <v>47</v>
      </c>
      <c r="K2545" t="s">
        <v>29</v>
      </c>
      <c r="L2545">
        <v>1</v>
      </c>
      <c r="M2545">
        <v>1</v>
      </c>
      <c r="N2545">
        <v>2</v>
      </c>
      <c r="O2545">
        <v>8.1</v>
      </c>
      <c r="P2545">
        <v>3</v>
      </c>
      <c r="Q2545">
        <v>5</v>
      </c>
      <c r="R2545">
        <v>694623</v>
      </c>
      <c r="S2545">
        <f>Table1[[#This Row],[Revenue]]-Table1[[#This Row],[Operating_Costs]]</f>
        <v>103876</v>
      </c>
      <c r="T2545">
        <v>590747</v>
      </c>
      <c r="U2545">
        <v>58</v>
      </c>
      <c r="V2545">
        <v>54</v>
      </c>
      <c r="W2545">
        <v>8</v>
      </c>
    </row>
    <row r="2546" spans="1:23" x14ac:dyDescent="0.25">
      <c r="A2546">
        <v>7</v>
      </c>
      <c r="B2546" t="s">
        <v>49</v>
      </c>
      <c r="C2546" s="1">
        <v>45135</v>
      </c>
      <c r="D2546" t="s">
        <v>71</v>
      </c>
      <c r="E2546">
        <v>0</v>
      </c>
      <c r="F2546">
        <v>61</v>
      </c>
      <c r="G2546" t="str">
        <f t="shared" si="47"/>
        <v>61-80</v>
      </c>
      <c r="H2546" t="s">
        <v>23</v>
      </c>
      <c r="I2546" t="s">
        <v>64</v>
      </c>
      <c r="J2546" t="s">
        <v>65</v>
      </c>
      <c r="K2546" t="s">
        <v>33</v>
      </c>
      <c r="L2546">
        <v>1</v>
      </c>
      <c r="M2546">
        <v>1</v>
      </c>
      <c r="N2546">
        <v>5.6</v>
      </c>
      <c r="O2546">
        <v>8.9</v>
      </c>
      <c r="P2546">
        <v>7</v>
      </c>
      <c r="Q2546">
        <v>7</v>
      </c>
      <c r="R2546">
        <v>736430</v>
      </c>
      <c r="S2546">
        <f>Table1[[#This Row],[Revenue]]-Table1[[#This Row],[Operating_Costs]]</f>
        <v>210461</v>
      </c>
      <c r="T2546">
        <v>525969</v>
      </c>
      <c r="U2546">
        <v>58</v>
      </c>
      <c r="V2546">
        <v>56</v>
      </c>
      <c r="W2546">
        <v>10</v>
      </c>
    </row>
    <row r="2547" spans="1:23" x14ac:dyDescent="0.25">
      <c r="A2547">
        <v>7</v>
      </c>
      <c r="B2547" t="s">
        <v>49</v>
      </c>
      <c r="C2547" s="1">
        <v>45381</v>
      </c>
      <c r="D2547" t="s">
        <v>71</v>
      </c>
      <c r="E2547">
        <v>0</v>
      </c>
      <c r="F2547">
        <v>87</v>
      </c>
      <c r="G2547" t="str">
        <f t="shared" si="47"/>
        <v>81+</v>
      </c>
      <c r="H2547" t="s">
        <v>35</v>
      </c>
      <c r="I2547" t="s">
        <v>58</v>
      </c>
      <c r="J2547" t="s">
        <v>59</v>
      </c>
      <c r="K2547" t="s">
        <v>29</v>
      </c>
      <c r="L2547">
        <v>1</v>
      </c>
      <c r="M2547">
        <v>1</v>
      </c>
      <c r="N2547">
        <v>6.8</v>
      </c>
      <c r="O2547">
        <v>7.1</v>
      </c>
      <c r="P2547">
        <v>6</v>
      </c>
      <c r="Q2547">
        <v>5</v>
      </c>
      <c r="R2547">
        <v>853430</v>
      </c>
      <c r="S2547">
        <f>Table1[[#This Row],[Revenue]]-Table1[[#This Row],[Operating_Costs]]</f>
        <v>299384</v>
      </c>
      <c r="T2547">
        <v>554046</v>
      </c>
      <c r="U2547">
        <v>43</v>
      </c>
      <c r="V2547">
        <v>56</v>
      </c>
      <c r="W2547">
        <v>14.1</v>
      </c>
    </row>
    <row r="2548" spans="1:23" x14ac:dyDescent="0.25">
      <c r="A2548">
        <v>7</v>
      </c>
      <c r="B2548" t="s">
        <v>49</v>
      </c>
      <c r="C2548" s="1">
        <v>44341</v>
      </c>
      <c r="D2548" t="s">
        <v>71</v>
      </c>
      <c r="E2548">
        <v>0</v>
      </c>
      <c r="F2548">
        <v>86</v>
      </c>
      <c r="G2548" t="str">
        <f t="shared" si="47"/>
        <v>81+</v>
      </c>
      <c r="H2548" t="s">
        <v>35</v>
      </c>
      <c r="I2548" t="s">
        <v>46</v>
      </c>
      <c r="J2548" t="s">
        <v>47</v>
      </c>
      <c r="K2548" t="s">
        <v>29</v>
      </c>
      <c r="L2548">
        <v>1</v>
      </c>
      <c r="M2548">
        <v>1</v>
      </c>
      <c r="N2548">
        <v>1.2</v>
      </c>
      <c r="O2548">
        <v>7.7</v>
      </c>
      <c r="P2548">
        <v>6</v>
      </c>
      <c r="Q2548">
        <v>5</v>
      </c>
      <c r="R2548">
        <v>814258</v>
      </c>
      <c r="S2548">
        <f>Table1[[#This Row],[Revenue]]-Table1[[#This Row],[Operating_Costs]]</f>
        <v>288321</v>
      </c>
      <c r="T2548">
        <v>525937</v>
      </c>
      <c r="U2548">
        <v>46</v>
      </c>
      <c r="V2548">
        <v>64</v>
      </c>
      <c r="W2548">
        <v>8</v>
      </c>
    </row>
    <row r="2549" spans="1:23" x14ac:dyDescent="0.25">
      <c r="A2549">
        <v>7</v>
      </c>
      <c r="B2549" t="s">
        <v>49</v>
      </c>
      <c r="C2549" s="1">
        <v>44715</v>
      </c>
      <c r="D2549" t="s">
        <v>71</v>
      </c>
      <c r="E2549">
        <v>0</v>
      </c>
      <c r="F2549">
        <v>74</v>
      </c>
      <c r="G2549" t="str">
        <f t="shared" si="47"/>
        <v>61-80</v>
      </c>
      <c r="H2549" t="s">
        <v>23</v>
      </c>
      <c r="I2549" t="s">
        <v>24</v>
      </c>
      <c r="J2549" t="s">
        <v>25</v>
      </c>
      <c r="K2549" t="s">
        <v>42</v>
      </c>
      <c r="L2549">
        <v>1</v>
      </c>
      <c r="M2549">
        <v>1</v>
      </c>
      <c r="N2549">
        <v>2.9</v>
      </c>
      <c r="O2549">
        <v>7.8</v>
      </c>
      <c r="P2549">
        <v>6</v>
      </c>
      <c r="Q2549">
        <v>3</v>
      </c>
      <c r="R2549">
        <v>644893</v>
      </c>
      <c r="S2549">
        <f>Table1[[#This Row],[Revenue]]-Table1[[#This Row],[Operating_Costs]]</f>
        <v>58363</v>
      </c>
      <c r="T2549">
        <v>586530</v>
      </c>
      <c r="U2549">
        <v>43</v>
      </c>
      <c r="V2549">
        <v>63</v>
      </c>
      <c r="W2549">
        <v>14.1</v>
      </c>
    </row>
    <row r="2550" spans="1:23" x14ac:dyDescent="0.25">
      <c r="A2550">
        <v>7</v>
      </c>
      <c r="B2550" t="s">
        <v>49</v>
      </c>
      <c r="C2550" s="1">
        <v>44411</v>
      </c>
      <c r="D2550" t="s">
        <v>71</v>
      </c>
      <c r="E2550">
        <v>0</v>
      </c>
      <c r="F2550">
        <v>80</v>
      </c>
      <c r="G2550" t="str">
        <f t="shared" si="47"/>
        <v>61-80</v>
      </c>
      <c r="H2550" t="s">
        <v>35</v>
      </c>
      <c r="I2550" t="s">
        <v>36</v>
      </c>
      <c r="J2550" t="s">
        <v>37</v>
      </c>
      <c r="K2550" t="s">
        <v>26</v>
      </c>
      <c r="L2550">
        <v>1</v>
      </c>
      <c r="M2550">
        <v>1</v>
      </c>
      <c r="N2550">
        <v>4.0999999999999996</v>
      </c>
      <c r="O2550">
        <v>7.5</v>
      </c>
      <c r="P2550">
        <v>6</v>
      </c>
      <c r="Q2550">
        <v>3</v>
      </c>
      <c r="R2550">
        <v>857296</v>
      </c>
      <c r="S2550">
        <f>Table1[[#This Row],[Revenue]]-Table1[[#This Row],[Operating_Costs]]</f>
        <v>262481</v>
      </c>
      <c r="T2550">
        <v>594815</v>
      </c>
      <c r="U2550">
        <v>60</v>
      </c>
      <c r="V2550">
        <v>63</v>
      </c>
      <c r="W2550">
        <v>12.9</v>
      </c>
    </row>
    <row r="2551" spans="1:23" x14ac:dyDescent="0.25">
      <c r="A2551">
        <v>7</v>
      </c>
      <c r="B2551" t="s">
        <v>49</v>
      </c>
      <c r="C2551" s="1">
        <v>45325</v>
      </c>
      <c r="D2551" t="s">
        <v>71</v>
      </c>
      <c r="E2551">
        <v>0</v>
      </c>
      <c r="F2551">
        <v>49</v>
      </c>
      <c r="G2551" t="str">
        <f t="shared" si="47"/>
        <v>41-60</v>
      </c>
      <c r="H2551" t="s">
        <v>23</v>
      </c>
      <c r="I2551" t="s">
        <v>67</v>
      </c>
      <c r="J2551" t="s">
        <v>68</v>
      </c>
      <c r="K2551" t="s">
        <v>33</v>
      </c>
      <c r="L2551">
        <v>1</v>
      </c>
      <c r="M2551">
        <v>1</v>
      </c>
      <c r="N2551">
        <v>6.5</v>
      </c>
      <c r="O2551">
        <v>9.3000000000000007</v>
      </c>
      <c r="P2551">
        <v>5</v>
      </c>
      <c r="Q2551">
        <v>6</v>
      </c>
      <c r="R2551">
        <v>882368</v>
      </c>
      <c r="S2551">
        <f>Table1[[#This Row],[Revenue]]-Table1[[#This Row],[Operating_Costs]]</f>
        <v>300817</v>
      </c>
      <c r="T2551">
        <v>581551</v>
      </c>
      <c r="U2551">
        <v>41</v>
      </c>
      <c r="V2551">
        <v>66</v>
      </c>
      <c r="W2551">
        <v>10.7</v>
      </c>
    </row>
    <row r="2552" spans="1:23" x14ac:dyDescent="0.25">
      <c r="A2552">
        <v>7</v>
      </c>
      <c r="B2552" t="s">
        <v>49</v>
      </c>
      <c r="C2552" s="1">
        <v>45528</v>
      </c>
      <c r="D2552" t="s">
        <v>71</v>
      </c>
      <c r="E2552">
        <v>0</v>
      </c>
      <c r="F2552">
        <v>32</v>
      </c>
      <c r="G2552" t="str">
        <f t="shared" si="47"/>
        <v>21-40</v>
      </c>
      <c r="H2552" t="s">
        <v>35</v>
      </c>
      <c r="I2552" t="s">
        <v>36</v>
      </c>
      <c r="J2552" t="s">
        <v>37</v>
      </c>
      <c r="K2552" t="s">
        <v>29</v>
      </c>
      <c r="L2552">
        <v>1</v>
      </c>
      <c r="M2552">
        <v>1</v>
      </c>
      <c r="N2552">
        <v>5.5</v>
      </c>
      <c r="O2552">
        <v>9.8000000000000007</v>
      </c>
      <c r="P2552">
        <v>4</v>
      </c>
      <c r="Q2552">
        <v>6</v>
      </c>
      <c r="R2552">
        <v>603028</v>
      </c>
      <c r="S2552">
        <f>Table1[[#This Row],[Revenue]]-Table1[[#This Row],[Operating_Costs]]</f>
        <v>3449</v>
      </c>
      <c r="T2552">
        <v>599579</v>
      </c>
      <c r="U2552">
        <v>54</v>
      </c>
      <c r="V2552">
        <v>65</v>
      </c>
      <c r="W2552">
        <v>8.4</v>
      </c>
    </row>
    <row r="2553" spans="1:23" x14ac:dyDescent="0.25">
      <c r="A2553">
        <v>7</v>
      </c>
      <c r="B2553" t="s">
        <v>49</v>
      </c>
      <c r="C2553" s="1">
        <v>44300</v>
      </c>
      <c r="D2553" t="s">
        <v>71</v>
      </c>
      <c r="E2553">
        <v>0</v>
      </c>
      <c r="F2553">
        <v>38</v>
      </c>
      <c r="G2553" t="str">
        <f t="shared" si="47"/>
        <v>21-40</v>
      </c>
      <c r="H2553" t="s">
        <v>23</v>
      </c>
      <c r="I2553" t="s">
        <v>24</v>
      </c>
      <c r="J2553" t="s">
        <v>25</v>
      </c>
      <c r="K2553" t="s">
        <v>42</v>
      </c>
      <c r="L2553">
        <v>1</v>
      </c>
      <c r="M2553">
        <v>1</v>
      </c>
      <c r="N2553">
        <v>7</v>
      </c>
      <c r="O2553">
        <v>8.1</v>
      </c>
      <c r="P2553">
        <v>4</v>
      </c>
      <c r="Q2553">
        <v>6</v>
      </c>
      <c r="R2553">
        <v>681054</v>
      </c>
      <c r="S2553">
        <f>Table1[[#This Row],[Revenue]]-Table1[[#This Row],[Operating_Costs]]</f>
        <v>83011</v>
      </c>
      <c r="T2553">
        <v>598043</v>
      </c>
      <c r="U2553">
        <v>47</v>
      </c>
      <c r="V2553">
        <v>59</v>
      </c>
      <c r="W2553">
        <v>12.8</v>
      </c>
    </row>
    <row r="2554" spans="1:23" x14ac:dyDescent="0.25">
      <c r="A2554">
        <v>7</v>
      </c>
      <c r="B2554" t="s">
        <v>49</v>
      </c>
      <c r="C2554" s="1">
        <v>45372</v>
      </c>
      <c r="D2554" t="s">
        <v>71</v>
      </c>
      <c r="E2554">
        <v>0</v>
      </c>
      <c r="F2554">
        <v>74</v>
      </c>
      <c r="G2554" t="str">
        <f t="shared" si="47"/>
        <v>61-80</v>
      </c>
      <c r="H2554" t="s">
        <v>35</v>
      </c>
      <c r="I2554" t="s">
        <v>60</v>
      </c>
      <c r="J2554" t="s">
        <v>59</v>
      </c>
      <c r="K2554" t="s">
        <v>42</v>
      </c>
      <c r="L2554">
        <v>1</v>
      </c>
      <c r="M2554">
        <v>1</v>
      </c>
      <c r="N2554">
        <v>2.2000000000000002</v>
      </c>
      <c r="O2554">
        <v>8.9</v>
      </c>
      <c r="P2554">
        <v>7</v>
      </c>
      <c r="Q2554">
        <v>4</v>
      </c>
      <c r="R2554">
        <v>819625</v>
      </c>
      <c r="S2554">
        <f>Table1[[#This Row],[Revenue]]-Table1[[#This Row],[Operating_Costs]]</f>
        <v>220780</v>
      </c>
      <c r="T2554">
        <v>598845</v>
      </c>
      <c r="U2554">
        <v>41</v>
      </c>
      <c r="V2554">
        <v>66</v>
      </c>
      <c r="W2554">
        <v>36.5</v>
      </c>
    </row>
    <row r="2555" spans="1:23" x14ac:dyDescent="0.25">
      <c r="A2555">
        <v>7</v>
      </c>
      <c r="B2555" t="s">
        <v>49</v>
      </c>
      <c r="C2555" s="1">
        <v>44661</v>
      </c>
      <c r="D2555" t="s">
        <v>71</v>
      </c>
      <c r="E2555">
        <v>0</v>
      </c>
      <c r="F2555">
        <v>23</v>
      </c>
      <c r="G2555" t="str">
        <f t="shared" si="47"/>
        <v>21-40</v>
      </c>
      <c r="H2555" t="s">
        <v>35</v>
      </c>
      <c r="I2555" t="s">
        <v>31</v>
      </c>
      <c r="J2555" t="s">
        <v>28</v>
      </c>
      <c r="K2555" t="s">
        <v>33</v>
      </c>
      <c r="L2555">
        <v>1</v>
      </c>
      <c r="M2555">
        <v>1</v>
      </c>
      <c r="N2555">
        <v>5.4</v>
      </c>
      <c r="O2555">
        <v>10</v>
      </c>
      <c r="P2555">
        <v>3</v>
      </c>
      <c r="Q2555">
        <v>5</v>
      </c>
      <c r="R2555">
        <v>736366</v>
      </c>
      <c r="S2555">
        <f>Table1[[#This Row],[Revenue]]-Table1[[#This Row],[Operating_Costs]]</f>
        <v>205632</v>
      </c>
      <c r="T2555">
        <v>530734</v>
      </c>
      <c r="U2555">
        <v>57</v>
      </c>
      <c r="V2555">
        <v>57</v>
      </c>
      <c r="W2555">
        <v>14.4</v>
      </c>
    </row>
    <row r="2556" spans="1:23" x14ac:dyDescent="0.25">
      <c r="A2556">
        <v>7</v>
      </c>
      <c r="B2556" t="s">
        <v>49</v>
      </c>
      <c r="C2556" s="1">
        <v>45005</v>
      </c>
      <c r="D2556" t="s">
        <v>71</v>
      </c>
      <c r="E2556">
        <v>0</v>
      </c>
      <c r="F2556">
        <v>62</v>
      </c>
      <c r="G2556" t="str">
        <f t="shared" si="47"/>
        <v>61-80</v>
      </c>
      <c r="H2556" t="s">
        <v>23</v>
      </c>
      <c r="I2556" t="s">
        <v>58</v>
      </c>
      <c r="J2556" t="s">
        <v>59</v>
      </c>
      <c r="K2556" t="s">
        <v>33</v>
      </c>
      <c r="L2556">
        <v>1</v>
      </c>
      <c r="M2556">
        <v>1</v>
      </c>
      <c r="N2556">
        <v>1.7</v>
      </c>
      <c r="O2556">
        <v>8.4</v>
      </c>
      <c r="P2556">
        <v>7</v>
      </c>
      <c r="Q2556">
        <v>7</v>
      </c>
      <c r="R2556">
        <v>737235</v>
      </c>
      <c r="S2556">
        <f>Table1[[#This Row],[Revenue]]-Table1[[#This Row],[Operating_Costs]]</f>
        <v>204001</v>
      </c>
      <c r="T2556">
        <v>533234</v>
      </c>
      <c r="U2556">
        <v>60</v>
      </c>
      <c r="V2556">
        <v>54</v>
      </c>
      <c r="W2556">
        <v>12</v>
      </c>
    </row>
    <row r="2557" spans="1:23" x14ac:dyDescent="0.25">
      <c r="A2557">
        <v>7</v>
      </c>
      <c r="B2557" t="s">
        <v>49</v>
      </c>
      <c r="C2557" s="1">
        <v>45159</v>
      </c>
      <c r="D2557" t="s">
        <v>71</v>
      </c>
      <c r="E2557">
        <v>0</v>
      </c>
      <c r="F2557">
        <v>36</v>
      </c>
      <c r="G2557" t="str">
        <f t="shared" si="47"/>
        <v>21-40</v>
      </c>
      <c r="H2557" t="s">
        <v>23</v>
      </c>
      <c r="I2557" t="s">
        <v>46</v>
      </c>
      <c r="J2557" t="s">
        <v>47</v>
      </c>
      <c r="K2557" t="s">
        <v>26</v>
      </c>
      <c r="L2557">
        <v>1</v>
      </c>
      <c r="M2557">
        <v>1</v>
      </c>
      <c r="N2557">
        <v>6.9</v>
      </c>
      <c r="O2557">
        <v>10</v>
      </c>
      <c r="P2557">
        <v>6</v>
      </c>
      <c r="Q2557">
        <v>6</v>
      </c>
      <c r="R2557">
        <v>898565</v>
      </c>
      <c r="S2557">
        <f>Table1[[#This Row],[Revenue]]-Table1[[#This Row],[Operating_Costs]]</f>
        <v>308326</v>
      </c>
      <c r="T2557">
        <v>590239</v>
      </c>
      <c r="U2557">
        <v>54</v>
      </c>
      <c r="V2557">
        <v>54</v>
      </c>
      <c r="W2557">
        <v>10.7</v>
      </c>
    </row>
    <row r="2558" spans="1:23" x14ac:dyDescent="0.25">
      <c r="A2558">
        <v>7</v>
      </c>
      <c r="B2558" t="s">
        <v>49</v>
      </c>
      <c r="C2558" s="1">
        <v>44562</v>
      </c>
      <c r="D2558" t="s">
        <v>71</v>
      </c>
      <c r="E2558">
        <v>0</v>
      </c>
      <c r="F2558">
        <v>29</v>
      </c>
      <c r="G2558" t="str">
        <f t="shared" si="47"/>
        <v>21-40</v>
      </c>
      <c r="H2558" t="s">
        <v>23</v>
      </c>
      <c r="I2558" t="s">
        <v>46</v>
      </c>
      <c r="J2558" t="s">
        <v>47</v>
      </c>
      <c r="K2558" t="s">
        <v>29</v>
      </c>
      <c r="L2558">
        <v>1</v>
      </c>
      <c r="M2558">
        <v>1</v>
      </c>
      <c r="N2558">
        <v>4</v>
      </c>
      <c r="O2558">
        <v>8.3000000000000007</v>
      </c>
      <c r="P2558">
        <v>6</v>
      </c>
      <c r="Q2558">
        <v>7</v>
      </c>
      <c r="R2558">
        <v>747958</v>
      </c>
      <c r="S2558">
        <f>Table1[[#This Row],[Revenue]]-Table1[[#This Row],[Operating_Costs]]</f>
        <v>232968</v>
      </c>
      <c r="T2558">
        <v>514990</v>
      </c>
      <c r="U2558">
        <v>49</v>
      </c>
      <c r="V2558">
        <v>54</v>
      </c>
      <c r="W2558">
        <v>9.9</v>
      </c>
    </row>
    <row r="2559" spans="1:23" x14ac:dyDescent="0.25">
      <c r="A2559">
        <v>7</v>
      </c>
      <c r="B2559" t="s">
        <v>49</v>
      </c>
      <c r="C2559" s="1">
        <v>44711</v>
      </c>
      <c r="D2559" t="s">
        <v>71</v>
      </c>
      <c r="E2559">
        <v>0</v>
      </c>
      <c r="F2559">
        <v>35</v>
      </c>
      <c r="G2559" t="str">
        <f t="shared" si="47"/>
        <v>21-40</v>
      </c>
      <c r="H2559" t="s">
        <v>35</v>
      </c>
      <c r="I2559" t="s">
        <v>64</v>
      </c>
      <c r="J2559" t="s">
        <v>65</v>
      </c>
      <c r="K2559" t="s">
        <v>33</v>
      </c>
      <c r="L2559">
        <v>1</v>
      </c>
      <c r="M2559">
        <v>1</v>
      </c>
      <c r="N2559">
        <v>6.6</v>
      </c>
      <c r="O2559">
        <v>9.6</v>
      </c>
      <c r="P2559">
        <v>4</v>
      </c>
      <c r="Q2559">
        <v>4</v>
      </c>
      <c r="R2559">
        <v>806713</v>
      </c>
      <c r="S2559">
        <f>Table1[[#This Row],[Revenue]]-Table1[[#This Row],[Operating_Costs]]</f>
        <v>254962</v>
      </c>
      <c r="T2559">
        <v>551751</v>
      </c>
      <c r="U2559">
        <v>57</v>
      </c>
      <c r="V2559">
        <v>57</v>
      </c>
      <c r="W2559">
        <v>7</v>
      </c>
    </row>
    <row r="2560" spans="1:23" x14ac:dyDescent="0.25">
      <c r="A2560">
        <v>7</v>
      </c>
      <c r="B2560" t="s">
        <v>49</v>
      </c>
      <c r="C2560" s="1">
        <v>44679</v>
      </c>
      <c r="D2560" t="s">
        <v>71</v>
      </c>
      <c r="E2560">
        <v>0</v>
      </c>
      <c r="F2560">
        <v>30</v>
      </c>
      <c r="G2560" t="str">
        <f t="shared" si="47"/>
        <v>21-40</v>
      </c>
      <c r="H2560" t="s">
        <v>35</v>
      </c>
      <c r="I2560" t="s">
        <v>40</v>
      </c>
      <c r="J2560" t="s">
        <v>41</v>
      </c>
      <c r="K2560" t="s">
        <v>33</v>
      </c>
      <c r="L2560">
        <v>1</v>
      </c>
      <c r="M2560">
        <v>1</v>
      </c>
      <c r="N2560">
        <v>3.8</v>
      </c>
      <c r="O2560">
        <v>8.3000000000000007</v>
      </c>
      <c r="P2560">
        <v>6</v>
      </c>
      <c r="Q2560">
        <v>5</v>
      </c>
      <c r="R2560">
        <v>857335</v>
      </c>
      <c r="S2560">
        <f>Table1[[#This Row],[Revenue]]-Table1[[#This Row],[Operating_Costs]]</f>
        <v>355623</v>
      </c>
      <c r="T2560">
        <v>501712</v>
      </c>
      <c r="U2560">
        <v>48</v>
      </c>
      <c r="V2560">
        <v>55</v>
      </c>
      <c r="W2560">
        <v>6.9</v>
      </c>
    </row>
    <row r="2561" spans="1:23" x14ac:dyDescent="0.25">
      <c r="A2561">
        <v>7</v>
      </c>
      <c r="B2561" t="s">
        <v>49</v>
      </c>
      <c r="C2561" s="1">
        <v>44439</v>
      </c>
      <c r="D2561" t="s">
        <v>71</v>
      </c>
      <c r="E2561">
        <v>0</v>
      </c>
      <c r="F2561">
        <v>71</v>
      </c>
      <c r="G2561" t="str">
        <f t="shared" si="47"/>
        <v>61-80</v>
      </c>
      <c r="H2561" t="s">
        <v>23</v>
      </c>
      <c r="I2561" t="s">
        <v>31</v>
      </c>
      <c r="J2561" t="s">
        <v>28</v>
      </c>
      <c r="K2561" t="s">
        <v>42</v>
      </c>
      <c r="L2561">
        <v>1</v>
      </c>
      <c r="M2561">
        <v>1</v>
      </c>
      <c r="N2561">
        <v>6.1</v>
      </c>
      <c r="O2561">
        <v>7.2</v>
      </c>
      <c r="P2561">
        <v>5</v>
      </c>
      <c r="Q2561">
        <v>7</v>
      </c>
      <c r="R2561">
        <v>808607</v>
      </c>
      <c r="S2561">
        <f>Table1[[#This Row],[Revenue]]-Table1[[#This Row],[Operating_Costs]]</f>
        <v>211285</v>
      </c>
      <c r="T2561">
        <v>597322</v>
      </c>
      <c r="U2561">
        <v>40</v>
      </c>
      <c r="V2561">
        <v>60</v>
      </c>
      <c r="W2561">
        <v>9.4</v>
      </c>
    </row>
    <row r="2562" spans="1:23" x14ac:dyDescent="0.25">
      <c r="A2562">
        <v>7</v>
      </c>
      <c r="B2562" t="s">
        <v>49</v>
      </c>
      <c r="C2562" s="1">
        <v>45113</v>
      </c>
      <c r="D2562" t="s">
        <v>71</v>
      </c>
      <c r="E2562">
        <v>0</v>
      </c>
      <c r="F2562">
        <v>66</v>
      </c>
      <c r="G2562" t="str">
        <f t="shared" si="47"/>
        <v>61-80</v>
      </c>
      <c r="H2562" t="s">
        <v>35</v>
      </c>
      <c r="I2562" t="s">
        <v>31</v>
      </c>
      <c r="J2562" t="s">
        <v>28</v>
      </c>
      <c r="K2562" t="s">
        <v>42</v>
      </c>
      <c r="L2562">
        <v>1</v>
      </c>
      <c r="M2562">
        <v>1</v>
      </c>
      <c r="N2562">
        <v>6.3</v>
      </c>
      <c r="O2562">
        <v>9.8000000000000007</v>
      </c>
      <c r="P2562">
        <v>6</v>
      </c>
      <c r="Q2562">
        <v>3</v>
      </c>
      <c r="R2562">
        <v>814884</v>
      </c>
      <c r="S2562">
        <f>Table1[[#This Row],[Revenue]]-Table1[[#This Row],[Operating_Costs]]</f>
        <v>227964</v>
      </c>
      <c r="T2562">
        <v>586920</v>
      </c>
      <c r="U2562">
        <v>41</v>
      </c>
      <c r="V2562">
        <v>57</v>
      </c>
      <c r="W2562">
        <v>13.5</v>
      </c>
    </row>
    <row r="2563" spans="1:23" x14ac:dyDescent="0.25">
      <c r="A2563">
        <v>7</v>
      </c>
      <c r="B2563" t="s">
        <v>49</v>
      </c>
      <c r="C2563" s="1">
        <v>44423</v>
      </c>
      <c r="D2563" t="s">
        <v>71</v>
      </c>
      <c r="E2563">
        <v>0</v>
      </c>
      <c r="F2563">
        <v>33</v>
      </c>
      <c r="G2563" t="str">
        <f t="shared" ref="G2563:G2626" si="48">IF(F2563&lt;=20,"0-20",IF(F2563&lt;=40,"21-40",IF(F2563&lt;=60,"41-60",IF(F2563&lt;=80,"61-80","81+"))))</f>
        <v>21-40</v>
      </c>
      <c r="H2563" t="s">
        <v>35</v>
      </c>
      <c r="I2563" t="s">
        <v>36</v>
      </c>
      <c r="J2563" t="s">
        <v>37</v>
      </c>
      <c r="K2563" t="s">
        <v>29</v>
      </c>
      <c r="L2563">
        <v>1</v>
      </c>
      <c r="M2563">
        <v>1</v>
      </c>
      <c r="N2563">
        <v>1.3</v>
      </c>
      <c r="O2563">
        <v>8.8000000000000007</v>
      </c>
      <c r="P2563">
        <v>6</v>
      </c>
      <c r="Q2563">
        <v>5</v>
      </c>
      <c r="R2563">
        <v>807767</v>
      </c>
      <c r="S2563">
        <f>Table1[[#This Row],[Revenue]]-Table1[[#This Row],[Operating_Costs]]</f>
        <v>287195</v>
      </c>
      <c r="T2563">
        <v>520572</v>
      </c>
      <c r="U2563">
        <v>44</v>
      </c>
      <c r="V2563">
        <v>59</v>
      </c>
      <c r="W2563">
        <v>9.1</v>
      </c>
    </row>
    <row r="2564" spans="1:23" x14ac:dyDescent="0.25">
      <c r="A2564">
        <v>7</v>
      </c>
      <c r="B2564" t="s">
        <v>49</v>
      </c>
      <c r="C2564" s="1">
        <v>44204</v>
      </c>
      <c r="D2564" t="s">
        <v>71</v>
      </c>
      <c r="E2564">
        <v>0</v>
      </c>
      <c r="F2564">
        <v>79</v>
      </c>
      <c r="G2564" t="str">
        <f t="shared" si="48"/>
        <v>61-80</v>
      </c>
      <c r="H2564" t="s">
        <v>35</v>
      </c>
      <c r="I2564" t="s">
        <v>36</v>
      </c>
      <c r="J2564" t="s">
        <v>37</v>
      </c>
      <c r="K2564" t="s">
        <v>38</v>
      </c>
      <c r="L2564">
        <v>1</v>
      </c>
      <c r="M2564">
        <v>1</v>
      </c>
      <c r="N2564">
        <v>4.2</v>
      </c>
      <c r="O2564">
        <v>8.1</v>
      </c>
      <c r="P2564">
        <v>4</v>
      </c>
      <c r="Q2564">
        <v>7</v>
      </c>
      <c r="R2564">
        <v>634985</v>
      </c>
      <c r="S2564">
        <f>Table1[[#This Row],[Revenue]]-Table1[[#This Row],[Operating_Costs]]</f>
        <v>133157</v>
      </c>
      <c r="T2564">
        <v>501828</v>
      </c>
      <c r="U2564">
        <v>42</v>
      </c>
      <c r="V2564">
        <v>54</v>
      </c>
      <c r="W2564">
        <v>6.5</v>
      </c>
    </row>
    <row r="2565" spans="1:23" x14ac:dyDescent="0.25">
      <c r="A2565">
        <v>7</v>
      </c>
      <c r="B2565" t="s">
        <v>49</v>
      </c>
      <c r="C2565" s="1">
        <v>45143</v>
      </c>
      <c r="D2565" t="s">
        <v>71</v>
      </c>
      <c r="E2565">
        <v>0</v>
      </c>
      <c r="F2565">
        <v>44</v>
      </c>
      <c r="G2565" t="str">
        <f t="shared" si="48"/>
        <v>41-60</v>
      </c>
      <c r="H2565" t="s">
        <v>35</v>
      </c>
      <c r="I2565" t="s">
        <v>40</v>
      </c>
      <c r="J2565" t="s">
        <v>41</v>
      </c>
      <c r="K2565" t="s">
        <v>29</v>
      </c>
      <c r="L2565">
        <v>1</v>
      </c>
      <c r="M2565">
        <v>1</v>
      </c>
      <c r="N2565">
        <v>1.8</v>
      </c>
      <c r="O2565">
        <v>8</v>
      </c>
      <c r="P2565">
        <v>3</v>
      </c>
      <c r="Q2565">
        <v>5</v>
      </c>
      <c r="R2565">
        <v>639767</v>
      </c>
      <c r="S2565">
        <f>Table1[[#This Row],[Revenue]]-Table1[[#This Row],[Operating_Costs]]</f>
        <v>104573</v>
      </c>
      <c r="T2565">
        <v>535194</v>
      </c>
      <c r="U2565">
        <v>55</v>
      </c>
      <c r="V2565">
        <v>54</v>
      </c>
      <c r="W2565">
        <v>14.5</v>
      </c>
    </row>
    <row r="2566" spans="1:23" x14ac:dyDescent="0.25">
      <c r="A2566">
        <v>7</v>
      </c>
      <c r="B2566" t="s">
        <v>49</v>
      </c>
      <c r="C2566" s="1">
        <v>45565</v>
      </c>
      <c r="D2566" t="s">
        <v>71</v>
      </c>
      <c r="E2566">
        <v>0</v>
      </c>
      <c r="F2566">
        <v>30</v>
      </c>
      <c r="G2566" t="str">
        <f t="shared" si="48"/>
        <v>21-40</v>
      </c>
      <c r="H2566" t="s">
        <v>35</v>
      </c>
      <c r="I2566" t="s">
        <v>46</v>
      </c>
      <c r="J2566" t="s">
        <v>47</v>
      </c>
      <c r="K2566" t="s">
        <v>33</v>
      </c>
      <c r="L2566">
        <v>1</v>
      </c>
      <c r="M2566">
        <v>1</v>
      </c>
      <c r="N2566">
        <v>6.2</v>
      </c>
      <c r="O2566">
        <v>8.4</v>
      </c>
      <c r="P2566">
        <v>3</v>
      </c>
      <c r="Q2566">
        <v>4</v>
      </c>
      <c r="R2566">
        <v>839437</v>
      </c>
      <c r="S2566">
        <f>Table1[[#This Row],[Revenue]]-Table1[[#This Row],[Operating_Costs]]</f>
        <v>296945</v>
      </c>
      <c r="T2566">
        <v>542492</v>
      </c>
      <c r="U2566">
        <v>58</v>
      </c>
      <c r="V2566">
        <v>66</v>
      </c>
      <c r="W2566">
        <v>13.4</v>
      </c>
    </row>
    <row r="2567" spans="1:23" x14ac:dyDescent="0.25">
      <c r="A2567">
        <v>7</v>
      </c>
      <c r="B2567" t="s">
        <v>49</v>
      </c>
      <c r="C2567" s="1">
        <v>44230</v>
      </c>
      <c r="D2567" t="s">
        <v>71</v>
      </c>
      <c r="E2567">
        <v>0</v>
      </c>
      <c r="F2567">
        <v>75</v>
      </c>
      <c r="G2567" t="str">
        <f t="shared" si="48"/>
        <v>61-80</v>
      </c>
      <c r="H2567" t="s">
        <v>23</v>
      </c>
      <c r="I2567" t="s">
        <v>55</v>
      </c>
      <c r="J2567" t="s">
        <v>56</v>
      </c>
      <c r="K2567" t="s">
        <v>38</v>
      </c>
      <c r="L2567">
        <v>1</v>
      </c>
      <c r="M2567">
        <v>1</v>
      </c>
      <c r="N2567">
        <v>2.6</v>
      </c>
      <c r="O2567">
        <v>8.4</v>
      </c>
      <c r="P2567">
        <v>7</v>
      </c>
      <c r="Q2567">
        <v>3</v>
      </c>
      <c r="R2567">
        <v>699597</v>
      </c>
      <c r="S2567">
        <f>Table1[[#This Row],[Revenue]]-Table1[[#This Row],[Operating_Costs]]</f>
        <v>174426</v>
      </c>
      <c r="T2567">
        <v>525171</v>
      </c>
      <c r="U2567">
        <v>47</v>
      </c>
      <c r="V2567">
        <v>64</v>
      </c>
      <c r="W2567">
        <v>36</v>
      </c>
    </row>
    <row r="2568" spans="1:23" x14ac:dyDescent="0.25">
      <c r="A2568">
        <v>7</v>
      </c>
      <c r="B2568" t="s">
        <v>49</v>
      </c>
      <c r="C2568" s="1">
        <v>45301</v>
      </c>
      <c r="D2568" t="s">
        <v>71</v>
      </c>
      <c r="E2568">
        <v>0</v>
      </c>
      <c r="F2568">
        <v>50</v>
      </c>
      <c r="G2568" t="str">
        <f t="shared" si="48"/>
        <v>41-60</v>
      </c>
      <c r="H2568" t="s">
        <v>23</v>
      </c>
      <c r="I2568" t="s">
        <v>24</v>
      </c>
      <c r="J2568" t="s">
        <v>25</v>
      </c>
      <c r="K2568" t="s">
        <v>26</v>
      </c>
      <c r="L2568">
        <v>1</v>
      </c>
      <c r="M2568">
        <v>1</v>
      </c>
      <c r="N2568">
        <v>1.6</v>
      </c>
      <c r="O2568">
        <v>7.9</v>
      </c>
      <c r="P2568">
        <v>5</v>
      </c>
      <c r="Q2568">
        <v>5</v>
      </c>
      <c r="R2568">
        <v>803128</v>
      </c>
      <c r="S2568">
        <f>Table1[[#This Row],[Revenue]]-Table1[[#This Row],[Operating_Costs]]</f>
        <v>232580</v>
      </c>
      <c r="T2568">
        <v>570548</v>
      </c>
      <c r="U2568">
        <v>43</v>
      </c>
      <c r="V2568">
        <v>64</v>
      </c>
      <c r="W2568">
        <v>14.3</v>
      </c>
    </row>
    <row r="2569" spans="1:23" x14ac:dyDescent="0.25">
      <c r="A2569">
        <v>7</v>
      </c>
      <c r="B2569" t="s">
        <v>49</v>
      </c>
      <c r="C2569" s="1">
        <v>44262</v>
      </c>
      <c r="D2569" t="s">
        <v>71</v>
      </c>
      <c r="E2569">
        <v>0</v>
      </c>
      <c r="F2569">
        <v>37</v>
      </c>
      <c r="G2569" t="str">
        <f t="shared" si="48"/>
        <v>21-40</v>
      </c>
      <c r="H2569" t="s">
        <v>35</v>
      </c>
      <c r="I2569" t="s">
        <v>55</v>
      </c>
      <c r="J2569" t="s">
        <v>56</v>
      </c>
      <c r="K2569" t="s">
        <v>29</v>
      </c>
      <c r="L2569">
        <v>1</v>
      </c>
      <c r="M2569">
        <v>1</v>
      </c>
      <c r="N2569">
        <v>2.9</v>
      </c>
      <c r="O2569">
        <v>9</v>
      </c>
      <c r="P2569">
        <v>6</v>
      </c>
      <c r="Q2569">
        <v>5</v>
      </c>
      <c r="R2569">
        <v>617405</v>
      </c>
      <c r="S2569">
        <f>Table1[[#This Row],[Revenue]]-Table1[[#This Row],[Operating_Costs]]</f>
        <v>107411</v>
      </c>
      <c r="T2569">
        <v>509994</v>
      </c>
      <c r="U2569">
        <v>51</v>
      </c>
      <c r="V2569">
        <v>56</v>
      </c>
      <c r="W2569">
        <v>6.3</v>
      </c>
    </row>
    <row r="2570" spans="1:23" x14ac:dyDescent="0.25">
      <c r="A2570">
        <v>7</v>
      </c>
      <c r="B2570" t="s">
        <v>49</v>
      </c>
      <c r="C2570" s="1">
        <v>45533</v>
      </c>
      <c r="D2570" t="s">
        <v>71</v>
      </c>
      <c r="E2570">
        <v>0</v>
      </c>
      <c r="F2570">
        <v>26</v>
      </c>
      <c r="G2570" t="str">
        <f t="shared" si="48"/>
        <v>21-40</v>
      </c>
      <c r="H2570" t="s">
        <v>23</v>
      </c>
      <c r="I2570" t="s">
        <v>31</v>
      </c>
      <c r="J2570" t="s">
        <v>28</v>
      </c>
      <c r="K2570" t="s">
        <v>26</v>
      </c>
      <c r="L2570">
        <v>1</v>
      </c>
      <c r="M2570">
        <v>1</v>
      </c>
      <c r="N2570">
        <v>4</v>
      </c>
      <c r="O2570">
        <v>8.9</v>
      </c>
      <c r="P2570">
        <v>6</v>
      </c>
      <c r="Q2570">
        <v>6</v>
      </c>
      <c r="R2570">
        <v>671442</v>
      </c>
      <c r="S2570">
        <f>Table1[[#This Row],[Revenue]]-Table1[[#This Row],[Operating_Costs]]</f>
        <v>127382</v>
      </c>
      <c r="T2570">
        <v>544060</v>
      </c>
      <c r="U2570">
        <v>60</v>
      </c>
      <c r="V2570">
        <v>56</v>
      </c>
      <c r="W2570">
        <v>5.9</v>
      </c>
    </row>
    <row r="2571" spans="1:23" x14ac:dyDescent="0.25">
      <c r="A2571">
        <v>7</v>
      </c>
      <c r="B2571" t="s">
        <v>49</v>
      </c>
      <c r="C2571" s="1">
        <v>44809</v>
      </c>
      <c r="D2571" t="s">
        <v>71</v>
      </c>
      <c r="E2571">
        <v>0</v>
      </c>
      <c r="F2571">
        <v>37</v>
      </c>
      <c r="G2571" t="str">
        <f t="shared" si="48"/>
        <v>21-40</v>
      </c>
      <c r="H2571" t="s">
        <v>35</v>
      </c>
      <c r="I2571" t="s">
        <v>64</v>
      </c>
      <c r="J2571" t="s">
        <v>65</v>
      </c>
      <c r="K2571" t="s">
        <v>38</v>
      </c>
      <c r="L2571">
        <v>1</v>
      </c>
      <c r="M2571">
        <v>1</v>
      </c>
      <c r="N2571">
        <v>1.9</v>
      </c>
      <c r="O2571">
        <v>8.9</v>
      </c>
      <c r="P2571">
        <v>7</v>
      </c>
      <c r="Q2571">
        <v>4</v>
      </c>
      <c r="R2571">
        <v>809669</v>
      </c>
      <c r="S2571">
        <f>Table1[[#This Row],[Revenue]]-Table1[[#This Row],[Operating_Costs]]</f>
        <v>240971</v>
      </c>
      <c r="T2571">
        <v>568698</v>
      </c>
      <c r="U2571">
        <v>60</v>
      </c>
      <c r="V2571">
        <v>58</v>
      </c>
      <c r="W2571">
        <v>10.199999999999999</v>
      </c>
    </row>
    <row r="2572" spans="1:23" x14ac:dyDescent="0.25">
      <c r="A2572">
        <v>7</v>
      </c>
      <c r="B2572" t="s">
        <v>49</v>
      </c>
      <c r="C2572" s="1">
        <v>45024</v>
      </c>
      <c r="D2572" t="s">
        <v>71</v>
      </c>
      <c r="E2572">
        <v>0</v>
      </c>
      <c r="F2572">
        <v>56</v>
      </c>
      <c r="G2572" t="str">
        <f t="shared" si="48"/>
        <v>41-60</v>
      </c>
      <c r="H2572" t="s">
        <v>23</v>
      </c>
      <c r="I2572" t="s">
        <v>31</v>
      </c>
      <c r="J2572" t="s">
        <v>28</v>
      </c>
      <c r="K2572" t="s">
        <v>26</v>
      </c>
      <c r="L2572">
        <v>1</v>
      </c>
      <c r="M2572">
        <v>1</v>
      </c>
      <c r="N2572">
        <v>6.4</v>
      </c>
      <c r="O2572">
        <v>8.1</v>
      </c>
      <c r="P2572">
        <v>5</v>
      </c>
      <c r="Q2572">
        <v>5</v>
      </c>
      <c r="R2572">
        <v>646405</v>
      </c>
      <c r="S2572">
        <f>Table1[[#This Row],[Revenue]]-Table1[[#This Row],[Operating_Costs]]</f>
        <v>51769</v>
      </c>
      <c r="T2572">
        <v>594636</v>
      </c>
      <c r="U2572">
        <v>50</v>
      </c>
      <c r="V2572">
        <v>55</v>
      </c>
      <c r="W2572">
        <v>9.6999999999999993</v>
      </c>
    </row>
    <row r="2573" spans="1:23" x14ac:dyDescent="0.25">
      <c r="A2573">
        <v>7</v>
      </c>
      <c r="B2573" t="s">
        <v>49</v>
      </c>
      <c r="C2573" s="1">
        <v>44384</v>
      </c>
      <c r="D2573" t="s">
        <v>71</v>
      </c>
      <c r="E2573">
        <v>0</v>
      </c>
      <c r="F2573">
        <v>40</v>
      </c>
      <c r="G2573" t="str">
        <f t="shared" si="48"/>
        <v>21-40</v>
      </c>
      <c r="H2573" t="s">
        <v>35</v>
      </c>
      <c r="I2573" t="s">
        <v>61</v>
      </c>
      <c r="J2573" t="s">
        <v>62</v>
      </c>
      <c r="K2573" t="s">
        <v>29</v>
      </c>
      <c r="L2573">
        <v>1</v>
      </c>
      <c r="M2573">
        <v>1</v>
      </c>
      <c r="N2573">
        <v>3.2</v>
      </c>
      <c r="O2573">
        <v>9.4</v>
      </c>
      <c r="P2573">
        <v>6</v>
      </c>
      <c r="Q2573">
        <v>6</v>
      </c>
      <c r="R2573">
        <v>793459</v>
      </c>
      <c r="S2573">
        <f>Table1[[#This Row],[Revenue]]-Table1[[#This Row],[Operating_Costs]]</f>
        <v>291211</v>
      </c>
      <c r="T2573">
        <v>502248</v>
      </c>
      <c r="U2573">
        <v>53</v>
      </c>
      <c r="V2573">
        <v>65</v>
      </c>
      <c r="W2573">
        <v>6.4</v>
      </c>
    </row>
    <row r="2574" spans="1:23" x14ac:dyDescent="0.25">
      <c r="A2574">
        <v>7</v>
      </c>
      <c r="B2574" t="s">
        <v>49</v>
      </c>
      <c r="C2574" s="1">
        <v>44289</v>
      </c>
      <c r="D2574" t="s">
        <v>71</v>
      </c>
      <c r="E2574">
        <v>0</v>
      </c>
      <c r="F2574">
        <v>63</v>
      </c>
      <c r="G2574" t="str">
        <f t="shared" si="48"/>
        <v>61-80</v>
      </c>
      <c r="H2574" t="s">
        <v>35</v>
      </c>
      <c r="I2574" t="s">
        <v>53</v>
      </c>
      <c r="J2574" t="s">
        <v>54</v>
      </c>
      <c r="K2574" t="s">
        <v>42</v>
      </c>
      <c r="L2574">
        <v>1</v>
      </c>
      <c r="M2574">
        <v>1</v>
      </c>
      <c r="N2574">
        <v>2.9</v>
      </c>
      <c r="O2574">
        <v>8.6999999999999993</v>
      </c>
      <c r="P2574">
        <v>4</v>
      </c>
      <c r="Q2574">
        <v>3</v>
      </c>
      <c r="R2574">
        <v>634876</v>
      </c>
      <c r="S2574">
        <f>Table1[[#This Row],[Revenue]]-Table1[[#This Row],[Operating_Costs]]</f>
        <v>110730</v>
      </c>
      <c r="T2574">
        <v>524146</v>
      </c>
      <c r="U2574">
        <v>47</v>
      </c>
      <c r="V2574">
        <v>61</v>
      </c>
      <c r="W2574">
        <v>12.1</v>
      </c>
    </row>
    <row r="2575" spans="1:23" x14ac:dyDescent="0.25">
      <c r="A2575">
        <v>7</v>
      </c>
      <c r="B2575" t="s">
        <v>49</v>
      </c>
      <c r="C2575" s="1">
        <v>44474</v>
      </c>
      <c r="D2575" t="s">
        <v>71</v>
      </c>
      <c r="E2575">
        <v>0</v>
      </c>
      <c r="F2575">
        <v>81</v>
      </c>
      <c r="G2575" t="str">
        <f t="shared" si="48"/>
        <v>81+</v>
      </c>
      <c r="H2575" t="s">
        <v>23</v>
      </c>
      <c r="I2575" t="s">
        <v>50</v>
      </c>
      <c r="J2575" t="s">
        <v>51</v>
      </c>
      <c r="K2575" t="s">
        <v>38</v>
      </c>
      <c r="L2575">
        <v>1</v>
      </c>
      <c r="M2575">
        <v>1</v>
      </c>
      <c r="N2575">
        <v>2.1</v>
      </c>
      <c r="O2575">
        <v>7.2</v>
      </c>
      <c r="P2575">
        <v>6</v>
      </c>
      <c r="Q2575">
        <v>3</v>
      </c>
      <c r="R2575">
        <v>608191</v>
      </c>
      <c r="S2575">
        <f>Table1[[#This Row],[Revenue]]-Table1[[#This Row],[Operating_Costs]]</f>
        <v>22296</v>
      </c>
      <c r="T2575">
        <v>585895</v>
      </c>
      <c r="U2575">
        <v>54</v>
      </c>
      <c r="V2575">
        <v>55</v>
      </c>
      <c r="W2575">
        <v>10.4</v>
      </c>
    </row>
    <row r="2576" spans="1:23" x14ac:dyDescent="0.25">
      <c r="A2576">
        <v>7</v>
      </c>
      <c r="B2576" t="s">
        <v>49</v>
      </c>
      <c r="C2576" s="1">
        <v>45413</v>
      </c>
      <c r="D2576" t="s">
        <v>71</v>
      </c>
      <c r="E2576">
        <v>0</v>
      </c>
      <c r="F2576">
        <v>27</v>
      </c>
      <c r="G2576" t="str">
        <f t="shared" si="48"/>
        <v>21-40</v>
      </c>
      <c r="H2576" t="s">
        <v>35</v>
      </c>
      <c r="I2576" t="s">
        <v>40</v>
      </c>
      <c r="J2576" t="s">
        <v>41</v>
      </c>
      <c r="K2576" t="s">
        <v>26</v>
      </c>
      <c r="L2576">
        <v>1</v>
      </c>
      <c r="M2576">
        <v>1</v>
      </c>
      <c r="N2576">
        <v>2.7</v>
      </c>
      <c r="O2576">
        <v>8.8000000000000007</v>
      </c>
      <c r="P2576">
        <v>6</v>
      </c>
      <c r="Q2576">
        <v>7</v>
      </c>
      <c r="R2576">
        <v>876323</v>
      </c>
      <c r="S2576">
        <f>Table1[[#This Row],[Revenue]]-Table1[[#This Row],[Operating_Costs]]</f>
        <v>372551</v>
      </c>
      <c r="T2576">
        <v>503772</v>
      </c>
      <c r="U2576">
        <v>40</v>
      </c>
      <c r="V2576">
        <v>58</v>
      </c>
      <c r="W2576">
        <v>14.2</v>
      </c>
    </row>
    <row r="2577" spans="1:23" x14ac:dyDescent="0.25">
      <c r="A2577">
        <v>7</v>
      </c>
      <c r="B2577" t="s">
        <v>49</v>
      </c>
      <c r="C2577" s="1">
        <v>45329</v>
      </c>
      <c r="D2577" t="s">
        <v>71</v>
      </c>
      <c r="E2577">
        <v>0</v>
      </c>
      <c r="F2577">
        <v>28</v>
      </c>
      <c r="G2577" t="str">
        <f t="shared" si="48"/>
        <v>21-40</v>
      </c>
      <c r="H2577" t="s">
        <v>35</v>
      </c>
      <c r="I2577" t="s">
        <v>46</v>
      </c>
      <c r="J2577" t="s">
        <v>47</v>
      </c>
      <c r="K2577" t="s">
        <v>26</v>
      </c>
      <c r="L2577">
        <v>1</v>
      </c>
      <c r="M2577">
        <v>1</v>
      </c>
      <c r="N2577">
        <v>1.9</v>
      </c>
      <c r="O2577">
        <v>8.9</v>
      </c>
      <c r="P2577">
        <v>6</v>
      </c>
      <c r="Q2577">
        <v>7</v>
      </c>
      <c r="R2577">
        <v>666182</v>
      </c>
      <c r="S2577">
        <f>Table1[[#This Row],[Revenue]]-Table1[[#This Row],[Operating_Costs]]</f>
        <v>123818</v>
      </c>
      <c r="T2577">
        <v>542364</v>
      </c>
      <c r="U2577">
        <v>55</v>
      </c>
      <c r="V2577">
        <v>60</v>
      </c>
      <c r="W2577">
        <v>6.8</v>
      </c>
    </row>
    <row r="2578" spans="1:23" x14ac:dyDescent="0.25">
      <c r="A2578">
        <v>7</v>
      </c>
      <c r="B2578" t="s">
        <v>49</v>
      </c>
      <c r="C2578" s="1">
        <v>44429</v>
      </c>
      <c r="D2578" t="s">
        <v>71</v>
      </c>
      <c r="E2578">
        <v>0</v>
      </c>
      <c r="F2578">
        <v>65</v>
      </c>
      <c r="G2578" t="str">
        <f t="shared" si="48"/>
        <v>61-80</v>
      </c>
      <c r="H2578" t="s">
        <v>35</v>
      </c>
      <c r="I2578" t="s">
        <v>36</v>
      </c>
      <c r="J2578" t="s">
        <v>37</v>
      </c>
      <c r="K2578" t="s">
        <v>29</v>
      </c>
      <c r="L2578">
        <v>1</v>
      </c>
      <c r="M2578">
        <v>1</v>
      </c>
      <c r="N2578">
        <v>5</v>
      </c>
      <c r="O2578">
        <v>9.3000000000000007</v>
      </c>
      <c r="P2578">
        <v>6</v>
      </c>
      <c r="Q2578">
        <v>3</v>
      </c>
      <c r="R2578">
        <v>825624</v>
      </c>
      <c r="S2578">
        <f>Table1[[#This Row],[Revenue]]-Table1[[#This Row],[Operating_Costs]]</f>
        <v>305668</v>
      </c>
      <c r="T2578">
        <v>519956</v>
      </c>
      <c r="U2578">
        <v>56</v>
      </c>
      <c r="V2578">
        <v>54</v>
      </c>
      <c r="W2578">
        <v>5.7</v>
      </c>
    </row>
    <row r="2579" spans="1:23" x14ac:dyDescent="0.25">
      <c r="A2579">
        <v>7</v>
      </c>
      <c r="B2579" t="s">
        <v>49</v>
      </c>
      <c r="C2579" s="1">
        <v>44679</v>
      </c>
      <c r="D2579" t="s">
        <v>71</v>
      </c>
      <c r="E2579">
        <v>0</v>
      </c>
      <c r="F2579">
        <v>73</v>
      </c>
      <c r="G2579" t="str">
        <f t="shared" si="48"/>
        <v>61-80</v>
      </c>
      <c r="H2579" t="s">
        <v>23</v>
      </c>
      <c r="I2579" t="s">
        <v>43</v>
      </c>
      <c r="J2579" t="s">
        <v>25</v>
      </c>
      <c r="K2579" t="s">
        <v>38</v>
      </c>
      <c r="L2579">
        <v>1</v>
      </c>
      <c r="M2579">
        <v>1</v>
      </c>
      <c r="N2579">
        <v>6.1</v>
      </c>
      <c r="O2579">
        <v>9.3000000000000007</v>
      </c>
      <c r="P2579">
        <v>7</v>
      </c>
      <c r="Q2579">
        <v>5</v>
      </c>
      <c r="R2579">
        <v>725062</v>
      </c>
      <c r="S2579">
        <f>Table1[[#This Row],[Revenue]]-Table1[[#This Row],[Operating_Costs]]</f>
        <v>211959</v>
      </c>
      <c r="T2579">
        <v>513103</v>
      </c>
      <c r="U2579">
        <v>51</v>
      </c>
      <c r="V2579">
        <v>63</v>
      </c>
      <c r="W2579">
        <v>36.9</v>
      </c>
    </row>
    <row r="2580" spans="1:23" x14ac:dyDescent="0.25">
      <c r="A2580">
        <v>7</v>
      </c>
      <c r="B2580" t="s">
        <v>49</v>
      </c>
      <c r="C2580" s="1">
        <v>44648</v>
      </c>
      <c r="D2580" t="s">
        <v>71</v>
      </c>
      <c r="E2580">
        <v>0</v>
      </c>
      <c r="F2580">
        <v>24</v>
      </c>
      <c r="G2580" t="str">
        <f t="shared" si="48"/>
        <v>21-40</v>
      </c>
      <c r="H2580" t="s">
        <v>35</v>
      </c>
      <c r="I2580" t="s">
        <v>61</v>
      </c>
      <c r="J2580" t="s">
        <v>62</v>
      </c>
      <c r="K2580" t="s">
        <v>33</v>
      </c>
      <c r="L2580">
        <v>1</v>
      </c>
      <c r="M2580">
        <v>1</v>
      </c>
      <c r="N2580">
        <v>2.8</v>
      </c>
      <c r="O2580">
        <v>9.6</v>
      </c>
      <c r="P2580">
        <v>5</v>
      </c>
      <c r="Q2580">
        <v>6</v>
      </c>
      <c r="R2580">
        <v>607336</v>
      </c>
      <c r="S2580">
        <f>Table1[[#This Row],[Revenue]]-Table1[[#This Row],[Operating_Costs]]</f>
        <v>15980</v>
      </c>
      <c r="T2580">
        <v>591356</v>
      </c>
      <c r="U2580">
        <v>56</v>
      </c>
      <c r="V2580">
        <v>58</v>
      </c>
      <c r="W2580">
        <v>5.3</v>
      </c>
    </row>
    <row r="2581" spans="1:23" x14ac:dyDescent="0.25">
      <c r="A2581">
        <v>7</v>
      </c>
      <c r="B2581" t="s">
        <v>49</v>
      </c>
      <c r="C2581" s="1">
        <v>44533</v>
      </c>
      <c r="D2581" t="s">
        <v>71</v>
      </c>
      <c r="E2581">
        <v>0</v>
      </c>
      <c r="F2581">
        <v>34</v>
      </c>
      <c r="G2581" t="str">
        <f t="shared" si="48"/>
        <v>21-40</v>
      </c>
      <c r="H2581" t="s">
        <v>35</v>
      </c>
      <c r="I2581" t="s">
        <v>61</v>
      </c>
      <c r="J2581" t="s">
        <v>62</v>
      </c>
      <c r="K2581" t="s">
        <v>26</v>
      </c>
      <c r="L2581">
        <v>1</v>
      </c>
      <c r="M2581">
        <v>1</v>
      </c>
      <c r="N2581">
        <v>5.7</v>
      </c>
      <c r="O2581">
        <v>8.4</v>
      </c>
      <c r="P2581">
        <v>4</v>
      </c>
      <c r="Q2581">
        <v>6</v>
      </c>
      <c r="R2581">
        <v>673238</v>
      </c>
      <c r="S2581">
        <f>Table1[[#This Row],[Revenue]]-Table1[[#This Row],[Operating_Costs]]</f>
        <v>155851</v>
      </c>
      <c r="T2581">
        <v>517387</v>
      </c>
      <c r="U2581">
        <v>59</v>
      </c>
      <c r="V2581">
        <v>57</v>
      </c>
      <c r="W2581">
        <v>10.3</v>
      </c>
    </row>
    <row r="2582" spans="1:23" x14ac:dyDescent="0.25">
      <c r="A2582">
        <v>7</v>
      </c>
      <c r="B2582" t="s">
        <v>49</v>
      </c>
      <c r="C2582" s="1">
        <v>45037</v>
      </c>
      <c r="D2582" t="s">
        <v>71</v>
      </c>
      <c r="E2582">
        <v>0</v>
      </c>
      <c r="F2582">
        <v>67</v>
      </c>
      <c r="G2582" t="str">
        <f t="shared" si="48"/>
        <v>61-80</v>
      </c>
      <c r="H2582" t="s">
        <v>23</v>
      </c>
      <c r="I2582" t="s">
        <v>55</v>
      </c>
      <c r="J2582" t="s">
        <v>56</v>
      </c>
      <c r="K2582" t="s">
        <v>33</v>
      </c>
      <c r="L2582">
        <v>1</v>
      </c>
      <c r="M2582">
        <v>1</v>
      </c>
      <c r="N2582">
        <v>1.3</v>
      </c>
      <c r="O2582">
        <v>9.8000000000000007</v>
      </c>
      <c r="P2582">
        <v>7</v>
      </c>
      <c r="Q2582">
        <v>3</v>
      </c>
      <c r="R2582">
        <v>745444</v>
      </c>
      <c r="S2582">
        <f>Table1[[#This Row],[Revenue]]-Table1[[#This Row],[Operating_Costs]]</f>
        <v>158859</v>
      </c>
      <c r="T2582">
        <v>586585</v>
      </c>
      <c r="U2582">
        <v>46</v>
      </c>
      <c r="V2582">
        <v>56</v>
      </c>
      <c r="W2582">
        <v>13.7</v>
      </c>
    </row>
    <row r="2583" spans="1:23" x14ac:dyDescent="0.25">
      <c r="A2583">
        <v>7</v>
      </c>
      <c r="B2583" t="s">
        <v>49</v>
      </c>
      <c r="C2583" s="1">
        <v>45185</v>
      </c>
      <c r="D2583" t="s">
        <v>71</v>
      </c>
      <c r="E2583">
        <v>0</v>
      </c>
      <c r="F2583">
        <v>48</v>
      </c>
      <c r="G2583" t="str">
        <f t="shared" si="48"/>
        <v>41-60</v>
      </c>
      <c r="H2583" t="s">
        <v>23</v>
      </c>
      <c r="I2583" t="s">
        <v>55</v>
      </c>
      <c r="J2583" t="s">
        <v>56</v>
      </c>
      <c r="K2583" t="s">
        <v>42</v>
      </c>
      <c r="L2583">
        <v>1</v>
      </c>
      <c r="M2583">
        <v>1</v>
      </c>
      <c r="N2583">
        <v>4.3</v>
      </c>
      <c r="O2583">
        <v>8.5</v>
      </c>
      <c r="P2583">
        <v>3</v>
      </c>
      <c r="Q2583">
        <v>4</v>
      </c>
      <c r="R2583">
        <v>814341</v>
      </c>
      <c r="S2583">
        <f>Table1[[#This Row],[Revenue]]-Table1[[#This Row],[Operating_Costs]]</f>
        <v>234451</v>
      </c>
      <c r="T2583">
        <v>579890</v>
      </c>
      <c r="U2583">
        <v>44</v>
      </c>
      <c r="V2583">
        <v>62</v>
      </c>
      <c r="W2583">
        <v>7.4</v>
      </c>
    </row>
    <row r="2584" spans="1:23" x14ac:dyDescent="0.25">
      <c r="A2584">
        <v>7</v>
      </c>
      <c r="B2584" t="s">
        <v>49</v>
      </c>
      <c r="C2584" s="1">
        <v>44895</v>
      </c>
      <c r="D2584" t="s">
        <v>71</v>
      </c>
      <c r="E2584">
        <v>0</v>
      </c>
      <c r="F2584">
        <v>40</v>
      </c>
      <c r="G2584" t="str">
        <f t="shared" si="48"/>
        <v>21-40</v>
      </c>
      <c r="H2584" t="s">
        <v>35</v>
      </c>
      <c r="I2584" t="s">
        <v>61</v>
      </c>
      <c r="J2584" t="s">
        <v>62</v>
      </c>
      <c r="K2584" t="s">
        <v>38</v>
      </c>
      <c r="L2584">
        <v>1</v>
      </c>
      <c r="M2584">
        <v>1</v>
      </c>
      <c r="N2584">
        <v>6.8</v>
      </c>
      <c r="O2584">
        <v>8.8000000000000007</v>
      </c>
      <c r="P2584">
        <v>6</v>
      </c>
      <c r="Q2584">
        <v>7</v>
      </c>
      <c r="R2584">
        <v>677167</v>
      </c>
      <c r="S2584">
        <f>Table1[[#This Row],[Revenue]]-Table1[[#This Row],[Operating_Costs]]</f>
        <v>141223</v>
      </c>
      <c r="T2584">
        <v>535944</v>
      </c>
      <c r="U2584">
        <v>56</v>
      </c>
      <c r="V2584">
        <v>57</v>
      </c>
      <c r="W2584">
        <v>8.3000000000000007</v>
      </c>
    </row>
    <row r="2585" spans="1:23" x14ac:dyDescent="0.25">
      <c r="A2585">
        <v>7</v>
      </c>
      <c r="B2585" t="s">
        <v>49</v>
      </c>
      <c r="C2585" s="1">
        <v>45136</v>
      </c>
      <c r="D2585" t="s">
        <v>71</v>
      </c>
      <c r="E2585">
        <v>0</v>
      </c>
      <c r="F2585">
        <v>51</v>
      </c>
      <c r="G2585" t="str">
        <f t="shared" si="48"/>
        <v>41-60</v>
      </c>
      <c r="H2585" t="s">
        <v>35</v>
      </c>
      <c r="I2585" t="s">
        <v>61</v>
      </c>
      <c r="J2585" t="s">
        <v>62</v>
      </c>
      <c r="K2585" t="s">
        <v>29</v>
      </c>
      <c r="L2585">
        <v>1</v>
      </c>
      <c r="M2585">
        <v>1</v>
      </c>
      <c r="N2585">
        <v>1.2</v>
      </c>
      <c r="O2585">
        <v>7.1</v>
      </c>
      <c r="P2585">
        <v>6</v>
      </c>
      <c r="Q2585">
        <v>3</v>
      </c>
      <c r="R2585">
        <v>755323</v>
      </c>
      <c r="S2585">
        <f>Table1[[#This Row],[Revenue]]-Table1[[#This Row],[Operating_Costs]]</f>
        <v>222248</v>
      </c>
      <c r="T2585">
        <v>533075</v>
      </c>
      <c r="U2585">
        <v>48</v>
      </c>
      <c r="V2585">
        <v>55</v>
      </c>
      <c r="W2585">
        <v>14.6</v>
      </c>
    </row>
    <row r="2586" spans="1:23" x14ac:dyDescent="0.25">
      <c r="A2586">
        <v>7</v>
      </c>
      <c r="B2586" t="s">
        <v>49</v>
      </c>
      <c r="C2586" s="1">
        <v>45451</v>
      </c>
      <c r="D2586" t="s">
        <v>71</v>
      </c>
      <c r="E2586">
        <v>0</v>
      </c>
      <c r="F2586">
        <v>59</v>
      </c>
      <c r="G2586" t="str">
        <f t="shared" si="48"/>
        <v>41-60</v>
      </c>
      <c r="H2586" t="s">
        <v>35</v>
      </c>
      <c r="I2586" t="s">
        <v>61</v>
      </c>
      <c r="J2586" t="s">
        <v>62</v>
      </c>
      <c r="K2586" t="s">
        <v>26</v>
      </c>
      <c r="L2586">
        <v>1</v>
      </c>
      <c r="M2586">
        <v>1</v>
      </c>
      <c r="N2586">
        <v>2.8</v>
      </c>
      <c r="O2586">
        <v>7.3</v>
      </c>
      <c r="P2586">
        <v>5</v>
      </c>
      <c r="Q2586">
        <v>6</v>
      </c>
      <c r="R2586">
        <v>643683</v>
      </c>
      <c r="S2586">
        <f>Table1[[#This Row],[Revenue]]-Table1[[#This Row],[Operating_Costs]]</f>
        <v>98602</v>
      </c>
      <c r="T2586">
        <v>545081</v>
      </c>
      <c r="U2586">
        <v>44</v>
      </c>
      <c r="V2586">
        <v>57</v>
      </c>
      <c r="W2586">
        <v>10.3</v>
      </c>
    </row>
    <row r="2587" spans="1:23" x14ac:dyDescent="0.25">
      <c r="A2587">
        <v>7</v>
      </c>
      <c r="B2587" t="s">
        <v>49</v>
      </c>
      <c r="C2587" s="1">
        <v>45207</v>
      </c>
      <c r="D2587" t="s">
        <v>71</v>
      </c>
      <c r="E2587">
        <v>0</v>
      </c>
      <c r="F2587">
        <v>40</v>
      </c>
      <c r="G2587" t="str">
        <f t="shared" si="48"/>
        <v>21-40</v>
      </c>
      <c r="H2587" t="s">
        <v>35</v>
      </c>
      <c r="I2587" t="s">
        <v>36</v>
      </c>
      <c r="J2587" t="s">
        <v>37</v>
      </c>
      <c r="K2587" t="s">
        <v>29</v>
      </c>
      <c r="L2587">
        <v>1</v>
      </c>
      <c r="M2587">
        <v>1</v>
      </c>
      <c r="N2587">
        <v>3.8</v>
      </c>
      <c r="O2587">
        <v>7.4</v>
      </c>
      <c r="P2587">
        <v>4</v>
      </c>
      <c r="Q2587">
        <v>4</v>
      </c>
      <c r="R2587">
        <v>858045</v>
      </c>
      <c r="S2587">
        <f>Table1[[#This Row],[Revenue]]-Table1[[#This Row],[Operating_Costs]]</f>
        <v>258577</v>
      </c>
      <c r="T2587">
        <v>599468</v>
      </c>
      <c r="U2587">
        <v>53</v>
      </c>
      <c r="V2587">
        <v>56</v>
      </c>
      <c r="W2587">
        <v>8.1</v>
      </c>
    </row>
    <row r="2588" spans="1:23" x14ac:dyDescent="0.25">
      <c r="A2588">
        <v>7</v>
      </c>
      <c r="B2588" t="s">
        <v>49</v>
      </c>
      <c r="C2588" s="1">
        <v>44646</v>
      </c>
      <c r="D2588" t="s">
        <v>71</v>
      </c>
      <c r="E2588">
        <v>0</v>
      </c>
      <c r="F2588">
        <v>61</v>
      </c>
      <c r="G2588" t="str">
        <f t="shared" si="48"/>
        <v>61-80</v>
      </c>
      <c r="H2588" t="s">
        <v>23</v>
      </c>
      <c r="I2588" t="s">
        <v>61</v>
      </c>
      <c r="J2588" t="s">
        <v>62</v>
      </c>
      <c r="K2588" t="s">
        <v>42</v>
      </c>
      <c r="L2588">
        <v>1</v>
      </c>
      <c r="M2588">
        <v>1</v>
      </c>
      <c r="N2588">
        <v>4.3</v>
      </c>
      <c r="O2588">
        <v>9.8000000000000007</v>
      </c>
      <c r="P2588">
        <v>3</v>
      </c>
      <c r="Q2588">
        <v>3</v>
      </c>
      <c r="R2588">
        <v>693795</v>
      </c>
      <c r="S2588">
        <f>Table1[[#This Row],[Revenue]]-Table1[[#This Row],[Operating_Costs]]</f>
        <v>135244</v>
      </c>
      <c r="T2588">
        <v>558551</v>
      </c>
      <c r="U2588">
        <v>53</v>
      </c>
      <c r="V2588">
        <v>56</v>
      </c>
      <c r="W2588">
        <v>36.6</v>
      </c>
    </row>
    <row r="2589" spans="1:23" x14ac:dyDescent="0.25">
      <c r="A2589">
        <v>8</v>
      </c>
      <c r="B2589" t="s">
        <v>52</v>
      </c>
      <c r="C2589" s="1">
        <v>44294</v>
      </c>
      <c r="D2589" t="s">
        <v>71</v>
      </c>
      <c r="E2589">
        <v>0</v>
      </c>
      <c r="F2589">
        <v>87</v>
      </c>
      <c r="G2589" t="str">
        <f t="shared" si="48"/>
        <v>81+</v>
      </c>
      <c r="H2589" t="s">
        <v>35</v>
      </c>
      <c r="I2589" t="s">
        <v>40</v>
      </c>
      <c r="J2589" t="s">
        <v>41</v>
      </c>
      <c r="K2589" t="s">
        <v>29</v>
      </c>
      <c r="L2589">
        <v>1</v>
      </c>
      <c r="M2589">
        <v>1</v>
      </c>
      <c r="N2589">
        <v>5.7</v>
      </c>
      <c r="O2589">
        <v>9.3000000000000007</v>
      </c>
      <c r="P2589">
        <v>4</v>
      </c>
      <c r="Q2589">
        <v>5</v>
      </c>
      <c r="R2589">
        <v>960674</v>
      </c>
      <c r="S2589">
        <f>Table1[[#This Row],[Revenue]]-Table1[[#This Row],[Operating_Costs]]</f>
        <v>67733</v>
      </c>
      <c r="T2589">
        <v>892941</v>
      </c>
      <c r="U2589">
        <v>32</v>
      </c>
      <c r="V2589">
        <v>59</v>
      </c>
      <c r="W2589">
        <v>36</v>
      </c>
    </row>
    <row r="2590" spans="1:23" x14ac:dyDescent="0.25">
      <c r="A2590">
        <v>7</v>
      </c>
      <c r="B2590" t="s">
        <v>49</v>
      </c>
      <c r="C2590" s="1">
        <v>44575</v>
      </c>
      <c r="D2590" t="s">
        <v>71</v>
      </c>
      <c r="E2590">
        <v>0</v>
      </c>
      <c r="F2590">
        <v>74</v>
      </c>
      <c r="G2590" t="str">
        <f t="shared" si="48"/>
        <v>61-80</v>
      </c>
      <c r="H2590" t="s">
        <v>23</v>
      </c>
      <c r="I2590" t="s">
        <v>43</v>
      </c>
      <c r="J2590" t="s">
        <v>25</v>
      </c>
      <c r="K2590" t="s">
        <v>33</v>
      </c>
      <c r="L2590">
        <v>1</v>
      </c>
      <c r="M2590">
        <v>1</v>
      </c>
      <c r="N2590">
        <v>5.7</v>
      </c>
      <c r="O2590">
        <v>7.9</v>
      </c>
      <c r="P2590">
        <v>5</v>
      </c>
      <c r="Q2590">
        <v>3</v>
      </c>
      <c r="R2590">
        <v>851559</v>
      </c>
      <c r="S2590">
        <f>Table1[[#This Row],[Revenue]]-Table1[[#This Row],[Operating_Costs]]</f>
        <v>292771</v>
      </c>
      <c r="T2590">
        <v>558788</v>
      </c>
      <c r="U2590">
        <v>54</v>
      </c>
      <c r="V2590">
        <v>57</v>
      </c>
      <c r="W2590">
        <v>10.199999999999999</v>
      </c>
    </row>
    <row r="2591" spans="1:23" x14ac:dyDescent="0.25">
      <c r="A2591">
        <v>7</v>
      </c>
      <c r="B2591" t="s">
        <v>49</v>
      </c>
      <c r="C2591" s="1">
        <v>44780</v>
      </c>
      <c r="D2591" t="s">
        <v>71</v>
      </c>
      <c r="E2591">
        <v>0</v>
      </c>
      <c r="F2591">
        <v>28</v>
      </c>
      <c r="G2591" t="str">
        <f t="shared" si="48"/>
        <v>21-40</v>
      </c>
      <c r="H2591" t="s">
        <v>35</v>
      </c>
      <c r="I2591" t="s">
        <v>46</v>
      </c>
      <c r="J2591" t="s">
        <v>47</v>
      </c>
      <c r="K2591" t="s">
        <v>29</v>
      </c>
      <c r="L2591">
        <v>1</v>
      </c>
      <c r="M2591">
        <v>1</v>
      </c>
      <c r="N2591">
        <v>5.5</v>
      </c>
      <c r="O2591">
        <v>8.4</v>
      </c>
      <c r="P2591">
        <v>6</v>
      </c>
      <c r="Q2591">
        <v>6</v>
      </c>
      <c r="R2591">
        <v>803281</v>
      </c>
      <c r="S2591">
        <f>Table1[[#This Row],[Revenue]]-Table1[[#This Row],[Operating_Costs]]</f>
        <v>263138</v>
      </c>
      <c r="T2591">
        <v>540143</v>
      </c>
      <c r="U2591">
        <v>41</v>
      </c>
      <c r="V2591">
        <v>61</v>
      </c>
      <c r="W2591">
        <v>7.7</v>
      </c>
    </row>
    <row r="2592" spans="1:23" x14ac:dyDescent="0.25">
      <c r="A2592">
        <v>7</v>
      </c>
      <c r="B2592" t="s">
        <v>49</v>
      </c>
      <c r="C2592" s="1">
        <v>45387</v>
      </c>
      <c r="D2592" t="s">
        <v>71</v>
      </c>
      <c r="E2592">
        <v>0</v>
      </c>
      <c r="F2592">
        <v>64</v>
      </c>
      <c r="G2592" t="str">
        <f t="shared" si="48"/>
        <v>61-80</v>
      </c>
      <c r="H2592" t="s">
        <v>23</v>
      </c>
      <c r="I2592" t="s">
        <v>46</v>
      </c>
      <c r="J2592" t="s">
        <v>47</v>
      </c>
      <c r="K2592" t="s">
        <v>26</v>
      </c>
      <c r="L2592">
        <v>1</v>
      </c>
      <c r="M2592">
        <v>1</v>
      </c>
      <c r="N2592">
        <v>4.4000000000000004</v>
      </c>
      <c r="O2592">
        <v>10</v>
      </c>
      <c r="P2592">
        <v>6</v>
      </c>
      <c r="Q2592">
        <v>7</v>
      </c>
      <c r="R2592">
        <v>829443</v>
      </c>
      <c r="S2592">
        <f>Table1[[#This Row],[Revenue]]-Table1[[#This Row],[Operating_Costs]]</f>
        <v>298567</v>
      </c>
      <c r="T2592">
        <v>530876</v>
      </c>
      <c r="U2592">
        <v>47</v>
      </c>
      <c r="V2592">
        <v>65</v>
      </c>
      <c r="W2592">
        <v>10.6</v>
      </c>
    </row>
    <row r="2593" spans="1:23" x14ac:dyDescent="0.25">
      <c r="A2593">
        <v>7</v>
      </c>
      <c r="B2593" t="s">
        <v>49</v>
      </c>
      <c r="C2593" s="1">
        <v>45152</v>
      </c>
      <c r="D2593" t="s">
        <v>71</v>
      </c>
      <c r="E2593">
        <v>0</v>
      </c>
      <c r="F2593">
        <v>87</v>
      </c>
      <c r="G2593" t="str">
        <f t="shared" si="48"/>
        <v>81+</v>
      </c>
      <c r="H2593" t="s">
        <v>23</v>
      </c>
      <c r="I2593" t="s">
        <v>24</v>
      </c>
      <c r="J2593" t="s">
        <v>25</v>
      </c>
      <c r="K2593" t="s">
        <v>26</v>
      </c>
      <c r="L2593">
        <v>1</v>
      </c>
      <c r="M2593">
        <v>1</v>
      </c>
      <c r="N2593">
        <v>5.4</v>
      </c>
      <c r="O2593">
        <v>7.2</v>
      </c>
      <c r="P2593">
        <v>6</v>
      </c>
      <c r="Q2593">
        <v>3</v>
      </c>
      <c r="R2593">
        <v>739938</v>
      </c>
      <c r="S2593">
        <f>Table1[[#This Row],[Revenue]]-Table1[[#This Row],[Operating_Costs]]</f>
        <v>152067</v>
      </c>
      <c r="T2593">
        <v>587871</v>
      </c>
      <c r="U2593">
        <v>45</v>
      </c>
      <c r="V2593">
        <v>58</v>
      </c>
      <c r="W2593">
        <v>36.1</v>
      </c>
    </row>
    <row r="2594" spans="1:23" x14ac:dyDescent="0.25">
      <c r="A2594">
        <v>8</v>
      </c>
      <c r="B2594" t="s">
        <v>52</v>
      </c>
      <c r="C2594" s="1">
        <v>45320</v>
      </c>
      <c r="D2594" t="s">
        <v>71</v>
      </c>
      <c r="E2594">
        <v>0</v>
      </c>
      <c r="F2594">
        <v>85</v>
      </c>
      <c r="G2594" t="str">
        <f t="shared" si="48"/>
        <v>81+</v>
      </c>
      <c r="H2594" t="s">
        <v>23</v>
      </c>
      <c r="I2594" t="s">
        <v>43</v>
      </c>
      <c r="J2594" t="s">
        <v>25</v>
      </c>
      <c r="K2594" t="s">
        <v>42</v>
      </c>
      <c r="L2594">
        <v>1</v>
      </c>
      <c r="M2594">
        <v>1</v>
      </c>
      <c r="N2594">
        <v>6.3</v>
      </c>
      <c r="O2594">
        <v>7.9</v>
      </c>
      <c r="P2594">
        <v>6</v>
      </c>
      <c r="Q2594">
        <v>6</v>
      </c>
      <c r="R2594">
        <v>902590</v>
      </c>
      <c r="S2594">
        <f>Table1[[#This Row],[Revenue]]-Table1[[#This Row],[Operating_Costs]]</f>
        <v>52766</v>
      </c>
      <c r="T2594">
        <v>849824</v>
      </c>
      <c r="U2594">
        <v>34</v>
      </c>
      <c r="V2594">
        <v>59</v>
      </c>
      <c r="W2594">
        <v>12</v>
      </c>
    </row>
    <row r="2595" spans="1:23" x14ac:dyDescent="0.25">
      <c r="A2595">
        <v>8</v>
      </c>
      <c r="B2595" t="s">
        <v>52</v>
      </c>
      <c r="C2595" s="1">
        <v>45242</v>
      </c>
      <c r="D2595" t="s">
        <v>71</v>
      </c>
      <c r="E2595">
        <v>0</v>
      </c>
      <c r="F2595">
        <v>28</v>
      </c>
      <c r="G2595" t="str">
        <f t="shared" si="48"/>
        <v>21-40</v>
      </c>
      <c r="H2595" t="s">
        <v>23</v>
      </c>
      <c r="I2595" t="s">
        <v>61</v>
      </c>
      <c r="J2595" t="s">
        <v>62</v>
      </c>
      <c r="K2595" t="s">
        <v>26</v>
      </c>
      <c r="L2595">
        <v>1</v>
      </c>
      <c r="M2595">
        <v>1</v>
      </c>
      <c r="N2595">
        <v>1.1000000000000001</v>
      </c>
      <c r="O2595">
        <v>8.3000000000000007</v>
      </c>
      <c r="P2595">
        <v>6</v>
      </c>
      <c r="Q2595">
        <v>4</v>
      </c>
      <c r="R2595">
        <v>965681</v>
      </c>
      <c r="S2595">
        <f>Table1[[#This Row],[Revenue]]-Table1[[#This Row],[Operating_Costs]]</f>
        <v>112073</v>
      </c>
      <c r="T2595">
        <v>853608</v>
      </c>
      <c r="U2595">
        <v>31</v>
      </c>
      <c r="V2595">
        <v>63</v>
      </c>
      <c r="W2595">
        <v>7.1</v>
      </c>
    </row>
    <row r="2596" spans="1:23" x14ac:dyDescent="0.25">
      <c r="A2596">
        <v>8</v>
      </c>
      <c r="B2596" t="s">
        <v>52</v>
      </c>
      <c r="C2596" s="1">
        <v>44505</v>
      </c>
      <c r="D2596" t="s">
        <v>71</v>
      </c>
      <c r="E2596">
        <v>0</v>
      </c>
      <c r="F2596">
        <v>52</v>
      </c>
      <c r="G2596" t="str">
        <f t="shared" si="48"/>
        <v>41-60</v>
      </c>
      <c r="H2596" t="s">
        <v>35</v>
      </c>
      <c r="I2596" t="s">
        <v>36</v>
      </c>
      <c r="J2596" t="s">
        <v>37</v>
      </c>
      <c r="K2596" t="s">
        <v>38</v>
      </c>
      <c r="L2596">
        <v>1</v>
      </c>
      <c r="M2596">
        <v>1</v>
      </c>
      <c r="N2596">
        <v>6.2</v>
      </c>
      <c r="O2596">
        <v>8.3000000000000007</v>
      </c>
      <c r="P2596">
        <v>6</v>
      </c>
      <c r="Q2596">
        <v>6</v>
      </c>
      <c r="R2596">
        <v>900536</v>
      </c>
      <c r="S2596">
        <f>Table1[[#This Row],[Revenue]]-Table1[[#This Row],[Operating_Costs]]</f>
        <v>28190</v>
      </c>
      <c r="T2596">
        <v>872346</v>
      </c>
      <c r="U2596">
        <v>40</v>
      </c>
      <c r="V2596">
        <v>66</v>
      </c>
      <c r="W2596">
        <v>10.8</v>
      </c>
    </row>
    <row r="2597" spans="1:23" x14ac:dyDescent="0.25">
      <c r="A2597">
        <v>8</v>
      </c>
      <c r="B2597" t="s">
        <v>52</v>
      </c>
      <c r="C2597" s="1">
        <v>44385</v>
      </c>
      <c r="D2597" t="s">
        <v>71</v>
      </c>
      <c r="E2597">
        <v>0</v>
      </c>
      <c r="F2597">
        <v>23</v>
      </c>
      <c r="G2597" t="str">
        <f t="shared" si="48"/>
        <v>21-40</v>
      </c>
      <c r="H2597" t="s">
        <v>35</v>
      </c>
      <c r="I2597" t="s">
        <v>61</v>
      </c>
      <c r="J2597" t="s">
        <v>62</v>
      </c>
      <c r="K2597" t="s">
        <v>42</v>
      </c>
      <c r="L2597">
        <v>1</v>
      </c>
      <c r="M2597">
        <v>1</v>
      </c>
      <c r="N2597">
        <v>4.2</v>
      </c>
      <c r="O2597">
        <v>9</v>
      </c>
      <c r="P2597">
        <v>7</v>
      </c>
      <c r="Q2597">
        <v>3</v>
      </c>
      <c r="R2597">
        <v>954246</v>
      </c>
      <c r="S2597">
        <f>Table1[[#This Row],[Revenue]]-Table1[[#This Row],[Operating_Costs]]</f>
        <v>105274</v>
      </c>
      <c r="T2597">
        <v>848972</v>
      </c>
      <c r="U2597">
        <v>36</v>
      </c>
      <c r="V2597">
        <v>61</v>
      </c>
      <c r="W2597">
        <v>36.9</v>
      </c>
    </row>
    <row r="2598" spans="1:23" x14ac:dyDescent="0.25">
      <c r="A2598">
        <v>8</v>
      </c>
      <c r="B2598" t="s">
        <v>52</v>
      </c>
      <c r="C2598" s="1">
        <v>44264</v>
      </c>
      <c r="D2598" t="s">
        <v>71</v>
      </c>
      <c r="E2598">
        <v>0</v>
      </c>
      <c r="F2598">
        <v>79</v>
      </c>
      <c r="G2598" t="str">
        <f t="shared" si="48"/>
        <v>61-80</v>
      </c>
      <c r="H2598" t="s">
        <v>23</v>
      </c>
      <c r="I2598" t="s">
        <v>64</v>
      </c>
      <c r="J2598" t="s">
        <v>65</v>
      </c>
      <c r="K2598" t="s">
        <v>26</v>
      </c>
      <c r="L2598">
        <v>1</v>
      </c>
      <c r="M2598">
        <v>1</v>
      </c>
      <c r="N2598">
        <v>5.5</v>
      </c>
      <c r="O2598">
        <v>9.5</v>
      </c>
      <c r="P2598">
        <v>7</v>
      </c>
      <c r="Q2598">
        <v>3</v>
      </c>
      <c r="R2598">
        <v>988049</v>
      </c>
      <c r="S2598">
        <f>Table1[[#This Row],[Revenue]]-Table1[[#This Row],[Operating_Costs]]</f>
        <v>142077</v>
      </c>
      <c r="T2598">
        <v>845972</v>
      </c>
      <c r="U2598">
        <v>35</v>
      </c>
      <c r="V2598">
        <v>58</v>
      </c>
      <c r="W2598">
        <v>9.1999999999999993</v>
      </c>
    </row>
    <row r="2599" spans="1:23" x14ac:dyDescent="0.25">
      <c r="A2599">
        <v>8</v>
      </c>
      <c r="B2599" t="s">
        <v>52</v>
      </c>
      <c r="C2599" s="1">
        <v>45338</v>
      </c>
      <c r="D2599" t="s">
        <v>71</v>
      </c>
      <c r="E2599">
        <v>0</v>
      </c>
      <c r="F2599">
        <v>32</v>
      </c>
      <c r="G2599" t="str">
        <f t="shared" si="48"/>
        <v>21-40</v>
      </c>
      <c r="H2599" t="s">
        <v>23</v>
      </c>
      <c r="I2599" t="s">
        <v>61</v>
      </c>
      <c r="J2599" t="s">
        <v>62</v>
      </c>
      <c r="K2599" t="s">
        <v>38</v>
      </c>
      <c r="L2599">
        <v>1</v>
      </c>
      <c r="M2599">
        <v>1</v>
      </c>
      <c r="N2599">
        <v>2.6</v>
      </c>
      <c r="O2599">
        <v>8.3000000000000007</v>
      </c>
      <c r="P2599">
        <v>4</v>
      </c>
      <c r="Q2599">
        <v>6</v>
      </c>
      <c r="R2599">
        <v>922637</v>
      </c>
      <c r="S2599">
        <f>Table1[[#This Row],[Revenue]]-Table1[[#This Row],[Operating_Costs]]</f>
        <v>87611</v>
      </c>
      <c r="T2599">
        <v>835026</v>
      </c>
      <c r="U2599">
        <v>40</v>
      </c>
      <c r="V2599">
        <v>60</v>
      </c>
      <c r="W2599">
        <v>10.9</v>
      </c>
    </row>
    <row r="2600" spans="1:23" x14ac:dyDescent="0.25">
      <c r="A2600">
        <v>8</v>
      </c>
      <c r="B2600" t="s">
        <v>52</v>
      </c>
      <c r="C2600" s="1">
        <v>45038</v>
      </c>
      <c r="D2600" t="s">
        <v>71</v>
      </c>
      <c r="E2600">
        <v>0</v>
      </c>
      <c r="F2600">
        <v>88</v>
      </c>
      <c r="G2600" t="str">
        <f t="shared" si="48"/>
        <v>81+</v>
      </c>
      <c r="H2600" t="s">
        <v>35</v>
      </c>
      <c r="I2600" t="s">
        <v>50</v>
      </c>
      <c r="J2600" t="s">
        <v>51</v>
      </c>
      <c r="K2600" t="s">
        <v>33</v>
      </c>
      <c r="L2600">
        <v>1</v>
      </c>
      <c r="M2600">
        <v>1</v>
      </c>
      <c r="N2600">
        <v>1.5</v>
      </c>
      <c r="O2600">
        <v>9.4</v>
      </c>
      <c r="P2600">
        <v>5</v>
      </c>
      <c r="Q2600">
        <v>5</v>
      </c>
      <c r="R2600">
        <v>999855</v>
      </c>
      <c r="S2600">
        <f>Table1[[#This Row],[Revenue]]-Table1[[#This Row],[Operating_Costs]]</f>
        <v>160775</v>
      </c>
      <c r="T2600">
        <v>839080</v>
      </c>
      <c r="U2600">
        <v>33</v>
      </c>
      <c r="V2600">
        <v>62</v>
      </c>
      <c r="W2600">
        <v>7</v>
      </c>
    </row>
    <row r="2601" spans="1:23" x14ac:dyDescent="0.25">
      <c r="A2601">
        <v>8</v>
      </c>
      <c r="B2601" t="s">
        <v>52</v>
      </c>
      <c r="C2601" s="1">
        <v>44348</v>
      </c>
      <c r="D2601" t="s">
        <v>71</v>
      </c>
      <c r="E2601">
        <v>0</v>
      </c>
      <c r="F2601">
        <v>23</v>
      </c>
      <c r="G2601" t="str">
        <f t="shared" si="48"/>
        <v>21-40</v>
      </c>
      <c r="H2601" t="s">
        <v>35</v>
      </c>
      <c r="I2601" t="s">
        <v>31</v>
      </c>
      <c r="J2601" t="s">
        <v>28</v>
      </c>
      <c r="K2601" t="s">
        <v>42</v>
      </c>
      <c r="L2601">
        <v>1</v>
      </c>
      <c r="M2601">
        <v>1</v>
      </c>
      <c r="N2601">
        <v>4.8</v>
      </c>
      <c r="O2601">
        <v>9.9</v>
      </c>
      <c r="P2601">
        <v>3</v>
      </c>
      <c r="Q2601">
        <v>3</v>
      </c>
      <c r="R2601">
        <v>994616</v>
      </c>
      <c r="S2601">
        <f>Table1[[#This Row],[Revenue]]-Table1[[#This Row],[Operating_Costs]]</f>
        <v>106065</v>
      </c>
      <c r="T2601">
        <v>888551</v>
      </c>
      <c r="U2601">
        <v>35</v>
      </c>
      <c r="V2601">
        <v>64</v>
      </c>
      <c r="W2601">
        <v>14.6</v>
      </c>
    </row>
    <row r="2602" spans="1:23" x14ac:dyDescent="0.25">
      <c r="A2602">
        <v>8</v>
      </c>
      <c r="B2602" t="s">
        <v>52</v>
      </c>
      <c r="C2602" s="1">
        <v>44909</v>
      </c>
      <c r="D2602" t="s">
        <v>71</v>
      </c>
      <c r="E2602">
        <v>0</v>
      </c>
      <c r="F2602">
        <v>50</v>
      </c>
      <c r="G2602" t="str">
        <f t="shared" si="48"/>
        <v>41-60</v>
      </c>
      <c r="H2602" t="s">
        <v>23</v>
      </c>
      <c r="I2602" t="s">
        <v>64</v>
      </c>
      <c r="J2602" t="s">
        <v>65</v>
      </c>
      <c r="K2602" t="s">
        <v>29</v>
      </c>
      <c r="L2602">
        <v>1</v>
      </c>
      <c r="M2602">
        <v>1</v>
      </c>
      <c r="N2602">
        <v>3.1</v>
      </c>
      <c r="O2602">
        <v>8.4</v>
      </c>
      <c r="P2602">
        <v>3</v>
      </c>
      <c r="Q2602">
        <v>6</v>
      </c>
      <c r="R2602">
        <v>925421</v>
      </c>
      <c r="S2602">
        <f>Table1[[#This Row],[Revenue]]-Table1[[#This Row],[Operating_Costs]]</f>
        <v>93670</v>
      </c>
      <c r="T2602">
        <v>831751</v>
      </c>
      <c r="U2602">
        <v>40</v>
      </c>
      <c r="V2602">
        <v>54</v>
      </c>
      <c r="W2602">
        <v>36.700000000000003</v>
      </c>
    </row>
    <row r="2603" spans="1:23" x14ac:dyDescent="0.25">
      <c r="A2603">
        <v>8</v>
      </c>
      <c r="B2603" t="s">
        <v>52</v>
      </c>
      <c r="C2603" s="1">
        <v>45545</v>
      </c>
      <c r="D2603" t="s">
        <v>71</v>
      </c>
      <c r="E2603">
        <v>0</v>
      </c>
      <c r="F2603">
        <v>56</v>
      </c>
      <c r="G2603" t="str">
        <f t="shared" si="48"/>
        <v>41-60</v>
      </c>
      <c r="H2603" t="s">
        <v>23</v>
      </c>
      <c r="I2603" t="s">
        <v>58</v>
      </c>
      <c r="J2603" t="s">
        <v>59</v>
      </c>
      <c r="K2603" t="s">
        <v>33</v>
      </c>
      <c r="L2603">
        <v>1</v>
      </c>
      <c r="M2603">
        <v>1</v>
      </c>
      <c r="N2603">
        <v>3.1</v>
      </c>
      <c r="O2603">
        <v>9.6</v>
      </c>
      <c r="P2603">
        <v>6</v>
      </c>
      <c r="Q2603">
        <v>5</v>
      </c>
      <c r="R2603">
        <v>966909</v>
      </c>
      <c r="S2603">
        <f>Table1[[#This Row],[Revenue]]-Table1[[#This Row],[Operating_Costs]]</f>
        <v>103481</v>
      </c>
      <c r="T2603">
        <v>863428</v>
      </c>
      <c r="U2603">
        <v>33</v>
      </c>
      <c r="V2603">
        <v>58</v>
      </c>
      <c r="W2603">
        <v>9.8000000000000007</v>
      </c>
    </row>
    <row r="2604" spans="1:23" x14ac:dyDescent="0.25">
      <c r="A2604">
        <v>8</v>
      </c>
      <c r="B2604" t="s">
        <v>52</v>
      </c>
      <c r="C2604" s="1">
        <v>45609</v>
      </c>
      <c r="D2604" t="s">
        <v>71</v>
      </c>
      <c r="E2604">
        <v>0</v>
      </c>
      <c r="F2604">
        <v>89</v>
      </c>
      <c r="G2604" t="str">
        <f t="shared" si="48"/>
        <v>81+</v>
      </c>
      <c r="H2604" t="s">
        <v>35</v>
      </c>
      <c r="I2604" t="s">
        <v>61</v>
      </c>
      <c r="J2604" t="s">
        <v>62</v>
      </c>
      <c r="K2604" t="s">
        <v>29</v>
      </c>
      <c r="L2604">
        <v>1</v>
      </c>
      <c r="M2604">
        <v>1</v>
      </c>
      <c r="N2604">
        <v>6.7</v>
      </c>
      <c r="O2604">
        <v>7.9</v>
      </c>
      <c r="P2604">
        <v>3</v>
      </c>
      <c r="Q2604">
        <v>6</v>
      </c>
      <c r="R2604">
        <v>966665</v>
      </c>
      <c r="S2604">
        <f>Table1[[#This Row],[Revenue]]-Table1[[#This Row],[Operating_Costs]]</f>
        <v>144991</v>
      </c>
      <c r="T2604">
        <v>821674</v>
      </c>
      <c r="U2604">
        <v>39</v>
      </c>
      <c r="V2604">
        <v>64</v>
      </c>
      <c r="W2604">
        <v>6</v>
      </c>
    </row>
    <row r="2605" spans="1:23" x14ac:dyDescent="0.25">
      <c r="A2605">
        <v>8</v>
      </c>
      <c r="B2605" t="s">
        <v>52</v>
      </c>
      <c r="C2605" s="1">
        <v>45150</v>
      </c>
      <c r="D2605" t="s">
        <v>71</v>
      </c>
      <c r="E2605">
        <v>0</v>
      </c>
      <c r="F2605">
        <v>41</v>
      </c>
      <c r="G2605" t="str">
        <f t="shared" si="48"/>
        <v>41-60</v>
      </c>
      <c r="H2605" t="s">
        <v>35</v>
      </c>
      <c r="I2605" t="s">
        <v>55</v>
      </c>
      <c r="J2605" t="s">
        <v>56</v>
      </c>
      <c r="K2605" t="s">
        <v>29</v>
      </c>
      <c r="L2605">
        <v>1</v>
      </c>
      <c r="M2605">
        <v>1</v>
      </c>
      <c r="N2605">
        <v>6.9</v>
      </c>
      <c r="O2605">
        <v>8.1</v>
      </c>
      <c r="P2605">
        <v>5</v>
      </c>
      <c r="Q2605">
        <v>5</v>
      </c>
      <c r="R2605">
        <v>944395</v>
      </c>
      <c r="S2605">
        <f>Table1[[#This Row],[Revenue]]-Table1[[#This Row],[Operating_Costs]]</f>
        <v>139055</v>
      </c>
      <c r="T2605">
        <v>805340</v>
      </c>
      <c r="U2605">
        <v>35</v>
      </c>
      <c r="V2605">
        <v>62</v>
      </c>
      <c r="W2605">
        <v>5.5</v>
      </c>
    </row>
    <row r="2606" spans="1:23" x14ac:dyDescent="0.25">
      <c r="A2606">
        <v>8</v>
      </c>
      <c r="B2606" t="s">
        <v>52</v>
      </c>
      <c r="C2606" s="1">
        <v>45063</v>
      </c>
      <c r="D2606" t="s">
        <v>71</v>
      </c>
      <c r="E2606">
        <v>0</v>
      </c>
      <c r="F2606">
        <v>29</v>
      </c>
      <c r="G2606" t="str">
        <f t="shared" si="48"/>
        <v>21-40</v>
      </c>
      <c r="H2606" t="s">
        <v>23</v>
      </c>
      <c r="I2606" t="s">
        <v>24</v>
      </c>
      <c r="J2606" t="s">
        <v>25</v>
      </c>
      <c r="K2606" t="s">
        <v>42</v>
      </c>
      <c r="L2606">
        <v>1</v>
      </c>
      <c r="M2606">
        <v>1</v>
      </c>
      <c r="N2606">
        <v>4.2</v>
      </c>
      <c r="O2606">
        <v>8.8000000000000007</v>
      </c>
      <c r="P2606">
        <v>3</v>
      </c>
      <c r="Q2606">
        <v>5</v>
      </c>
      <c r="R2606">
        <v>902412</v>
      </c>
      <c r="S2606">
        <f>Table1[[#This Row],[Revenue]]-Table1[[#This Row],[Operating_Costs]]</f>
        <v>95775</v>
      </c>
      <c r="T2606">
        <v>806637</v>
      </c>
      <c r="U2606">
        <v>38</v>
      </c>
      <c r="V2606">
        <v>61</v>
      </c>
      <c r="W2606">
        <v>9.8000000000000007</v>
      </c>
    </row>
    <row r="2607" spans="1:23" x14ac:dyDescent="0.25">
      <c r="A2607">
        <v>8</v>
      </c>
      <c r="B2607" t="s">
        <v>52</v>
      </c>
      <c r="C2607" s="1">
        <v>44274</v>
      </c>
      <c r="D2607" t="s">
        <v>71</v>
      </c>
      <c r="E2607">
        <v>0</v>
      </c>
      <c r="F2607">
        <v>67</v>
      </c>
      <c r="G2607" t="str">
        <f t="shared" si="48"/>
        <v>61-80</v>
      </c>
      <c r="H2607" t="s">
        <v>35</v>
      </c>
      <c r="I2607" t="s">
        <v>27</v>
      </c>
      <c r="J2607" t="s">
        <v>28</v>
      </c>
      <c r="K2607" t="s">
        <v>42</v>
      </c>
      <c r="L2607">
        <v>1</v>
      </c>
      <c r="M2607">
        <v>1</v>
      </c>
      <c r="N2607">
        <v>6</v>
      </c>
      <c r="O2607">
        <v>9</v>
      </c>
      <c r="P2607">
        <v>4</v>
      </c>
      <c r="Q2607">
        <v>5</v>
      </c>
      <c r="R2607">
        <v>937067</v>
      </c>
      <c r="S2607">
        <f>Table1[[#This Row],[Revenue]]-Table1[[#This Row],[Operating_Costs]]</f>
        <v>132741</v>
      </c>
      <c r="T2607">
        <v>804326</v>
      </c>
      <c r="U2607">
        <v>38</v>
      </c>
      <c r="V2607">
        <v>66</v>
      </c>
      <c r="W2607">
        <v>36.5</v>
      </c>
    </row>
    <row r="2608" spans="1:23" x14ac:dyDescent="0.25">
      <c r="A2608">
        <v>8</v>
      </c>
      <c r="B2608" t="s">
        <v>52</v>
      </c>
      <c r="C2608" s="1">
        <v>45352</v>
      </c>
      <c r="D2608" t="s">
        <v>71</v>
      </c>
      <c r="E2608">
        <v>0</v>
      </c>
      <c r="F2608">
        <v>74</v>
      </c>
      <c r="G2608" t="str">
        <f t="shared" si="48"/>
        <v>61-80</v>
      </c>
      <c r="H2608" t="s">
        <v>35</v>
      </c>
      <c r="I2608" t="s">
        <v>64</v>
      </c>
      <c r="J2608" t="s">
        <v>65</v>
      </c>
      <c r="K2608" t="s">
        <v>26</v>
      </c>
      <c r="L2608">
        <v>1</v>
      </c>
      <c r="M2608">
        <v>1</v>
      </c>
      <c r="N2608">
        <v>4.2</v>
      </c>
      <c r="O2608">
        <v>8.5</v>
      </c>
      <c r="P2608">
        <v>6</v>
      </c>
      <c r="Q2608">
        <v>4</v>
      </c>
      <c r="R2608">
        <v>955551</v>
      </c>
      <c r="S2608">
        <f>Table1[[#This Row],[Revenue]]-Table1[[#This Row],[Operating_Costs]]</f>
        <v>145009</v>
      </c>
      <c r="T2608">
        <v>810542</v>
      </c>
      <c r="U2608">
        <v>38</v>
      </c>
      <c r="V2608">
        <v>57</v>
      </c>
      <c r="W2608">
        <v>12.9</v>
      </c>
    </row>
    <row r="2609" spans="1:23" x14ac:dyDescent="0.25">
      <c r="A2609">
        <v>8</v>
      </c>
      <c r="B2609" t="s">
        <v>52</v>
      </c>
      <c r="C2609" s="1">
        <v>44698</v>
      </c>
      <c r="D2609" t="s">
        <v>71</v>
      </c>
      <c r="E2609">
        <v>0</v>
      </c>
      <c r="F2609">
        <v>52</v>
      </c>
      <c r="G2609" t="str">
        <f t="shared" si="48"/>
        <v>41-60</v>
      </c>
      <c r="H2609" t="s">
        <v>23</v>
      </c>
      <c r="I2609" t="s">
        <v>27</v>
      </c>
      <c r="J2609" t="s">
        <v>28</v>
      </c>
      <c r="K2609" t="s">
        <v>42</v>
      </c>
      <c r="L2609">
        <v>1</v>
      </c>
      <c r="M2609">
        <v>1</v>
      </c>
      <c r="N2609">
        <v>3.4</v>
      </c>
      <c r="O2609">
        <v>10</v>
      </c>
      <c r="P2609">
        <v>3</v>
      </c>
      <c r="Q2609">
        <v>3</v>
      </c>
      <c r="R2609">
        <v>960296</v>
      </c>
      <c r="S2609">
        <f>Table1[[#This Row],[Revenue]]-Table1[[#This Row],[Operating_Costs]]</f>
        <v>68111</v>
      </c>
      <c r="T2609">
        <v>892185</v>
      </c>
      <c r="U2609">
        <v>31</v>
      </c>
      <c r="V2609">
        <v>56</v>
      </c>
      <c r="W2609">
        <v>12.8</v>
      </c>
    </row>
    <row r="2610" spans="1:23" x14ac:dyDescent="0.25">
      <c r="A2610">
        <v>8</v>
      </c>
      <c r="B2610" t="s">
        <v>52</v>
      </c>
      <c r="C2610" s="1">
        <v>44252</v>
      </c>
      <c r="D2610" t="s">
        <v>71</v>
      </c>
      <c r="E2610">
        <v>0</v>
      </c>
      <c r="F2610">
        <v>65</v>
      </c>
      <c r="G2610" t="str">
        <f t="shared" si="48"/>
        <v>61-80</v>
      </c>
      <c r="H2610" t="s">
        <v>35</v>
      </c>
      <c r="I2610" t="s">
        <v>27</v>
      </c>
      <c r="J2610" t="s">
        <v>28</v>
      </c>
      <c r="K2610" t="s">
        <v>38</v>
      </c>
      <c r="L2610">
        <v>1</v>
      </c>
      <c r="M2610">
        <v>1</v>
      </c>
      <c r="N2610">
        <v>5.5</v>
      </c>
      <c r="O2610">
        <v>8.9</v>
      </c>
      <c r="P2610">
        <v>6</v>
      </c>
      <c r="Q2610">
        <v>6</v>
      </c>
      <c r="R2610">
        <v>921426</v>
      </c>
      <c r="S2610">
        <f>Table1[[#This Row],[Revenue]]-Table1[[#This Row],[Operating_Costs]]</f>
        <v>65870</v>
      </c>
      <c r="T2610">
        <v>855556</v>
      </c>
      <c r="U2610">
        <v>33</v>
      </c>
      <c r="V2610">
        <v>57</v>
      </c>
      <c r="W2610">
        <v>6.2</v>
      </c>
    </row>
    <row r="2611" spans="1:23" x14ac:dyDescent="0.25">
      <c r="A2611">
        <v>8</v>
      </c>
      <c r="B2611" t="s">
        <v>52</v>
      </c>
      <c r="C2611" s="1">
        <v>44610</v>
      </c>
      <c r="D2611" t="s">
        <v>71</v>
      </c>
      <c r="E2611">
        <v>0</v>
      </c>
      <c r="F2611">
        <v>52</v>
      </c>
      <c r="G2611" t="str">
        <f t="shared" si="48"/>
        <v>41-60</v>
      </c>
      <c r="H2611" t="s">
        <v>23</v>
      </c>
      <c r="I2611" t="s">
        <v>31</v>
      </c>
      <c r="J2611" t="s">
        <v>28</v>
      </c>
      <c r="K2611" t="s">
        <v>26</v>
      </c>
      <c r="L2611">
        <v>1</v>
      </c>
      <c r="M2611">
        <v>1</v>
      </c>
      <c r="N2611">
        <v>3.4</v>
      </c>
      <c r="O2611">
        <v>8</v>
      </c>
      <c r="P2611">
        <v>3</v>
      </c>
      <c r="Q2611">
        <v>6</v>
      </c>
      <c r="R2611">
        <v>960280</v>
      </c>
      <c r="S2611">
        <f>Table1[[#This Row],[Revenue]]-Table1[[#This Row],[Operating_Costs]]</f>
        <v>113153</v>
      </c>
      <c r="T2611">
        <v>847127</v>
      </c>
      <c r="U2611">
        <v>39</v>
      </c>
      <c r="V2611">
        <v>63</v>
      </c>
      <c r="W2611">
        <v>5.5</v>
      </c>
    </row>
    <row r="2612" spans="1:23" x14ac:dyDescent="0.25">
      <c r="A2612">
        <v>8</v>
      </c>
      <c r="B2612" t="s">
        <v>52</v>
      </c>
      <c r="C2612" s="1">
        <v>45127</v>
      </c>
      <c r="D2612" t="s">
        <v>71</v>
      </c>
      <c r="E2612">
        <v>0</v>
      </c>
      <c r="F2612">
        <v>49</v>
      </c>
      <c r="G2612" t="str">
        <f t="shared" si="48"/>
        <v>41-60</v>
      </c>
      <c r="H2612" t="s">
        <v>35</v>
      </c>
      <c r="I2612" t="s">
        <v>40</v>
      </c>
      <c r="J2612" t="s">
        <v>41</v>
      </c>
      <c r="K2612" t="s">
        <v>38</v>
      </c>
      <c r="L2612">
        <v>1</v>
      </c>
      <c r="M2612">
        <v>1</v>
      </c>
      <c r="N2612">
        <v>2.2000000000000002</v>
      </c>
      <c r="O2612">
        <v>8.3000000000000007</v>
      </c>
      <c r="P2612">
        <v>4</v>
      </c>
      <c r="Q2612">
        <v>5</v>
      </c>
      <c r="R2612">
        <v>936515</v>
      </c>
      <c r="S2612">
        <f>Table1[[#This Row],[Revenue]]-Table1[[#This Row],[Operating_Costs]]</f>
        <v>61450</v>
      </c>
      <c r="T2612">
        <v>875065</v>
      </c>
      <c r="U2612">
        <v>40</v>
      </c>
      <c r="V2612">
        <v>56</v>
      </c>
      <c r="W2612">
        <v>9.6</v>
      </c>
    </row>
    <row r="2613" spans="1:23" x14ac:dyDescent="0.25">
      <c r="A2613">
        <v>8</v>
      </c>
      <c r="B2613" t="s">
        <v>52</v>
      </c>
      <c r="C2613" s="1">
        <v>45438</v>
      </c>
      <c r="D2613" t="s">
        <v>71</v>
      </c>
      <c r="E2613">
        <v>0</v>
      </c>
      <c r="F2613">
        <v>78</v>
      </c>
      <c r="G2613" t="str">
        <f t="shared" si="48"/>
        <v>61-80</v>
      </c>
      <c r="H2613" t="s">
        <v>35</v>
      </c>
      <c r="I2613" t="s">
        <v>64</v>
      </c>
      <c r="J2613" t="s">
        <v>65</v>
      </c>
      <c r="K2613" t="s">
        <v>38</v>
      </c>
      <c r="L2613">
        <v>1</v>
      </c>
      <c r="M2613">
        <v>1</v>
      </c>
      <c r="N2613">
        <v>6.2</v>
      </c>
      <c r="O2613">
        <v>8.1999999999999993</v>
      </c>
      <c r="P2613">
        <v>6</v>
      </c>
      <c r="Q2613">
        <v>6</v>
      </c>
      <c r="R2613">
        <v>943609</v>
      </c>
      <c r="S2613">
        <f>Table1[[#This Row],[Revenue]]-Table1[[#This Row],[Operating_Costs]]</f>
        <v>128401</v>
      </c>
      <c r="T2613">
        <v>815208</v>
      </c>
      <c r="U2613">
        <v>37</v>
      </c>
      <c r="V2613">
        <v>66</v>
      </c>
      <c r="W2613">
        <v>14.4</v>
      </c>
    </row>
    <row r="2614" spans="1:23" x14ac:dyDescent="0.25">
      <c r="A2614">
        <v>8</v>
      </c>
      <c r="B2614" t="s">
        <v>52</v>
      </c>
      <c r="C2614" s="1">
        <v>44623</v>
      </c>
      <c r="D2614" t="s">
        <v>71</v>
      </c>
      <c r="E2614">
        <v>0</v>
      </c>
      <c r="F2614">
        <v>81</v>
      </c>
      <c r="G2614" t="str">
        <f t="shared" si="48"/>
        <v>81+</v>
      </c>
      <c r="H2614" t="s">
        <v>35</v>
      </c>
      <c r="I2614" t="s">
        <v>58</v>
      </c>
      <c r="J2614" t="s">
        <v>59</v>
      </c>
      <c r="K2614" t="s">
        <v>33</v>
      </c>
      <c r="L2614">
        <v>1</v>
      </c>
      <c r="M2614">
        <v>1</v>
      </c>
      <c r="N2614">
        <v>1.6</v>
      </c>
      <c r="O2614">
        <v>7.2</v>
      </c>
      <c r="P2614">
        <v>4</v>
      </c>
      <c r="Q2614">
        <v>3</v>
      </c>
      <c r="R2614">
        <v>979069</v>
      </c>
      <c r="S2614">
        <f>Table1[[#This Row],[Revenue]]-Table1[[#This Row],[Operating_Costs]]</f>
        <v>98170</v>
      </c>
      <c r="T2614">
        <v>880899</v>
      </c>
      <c r="U2614">
        <v>34</v>
      </c>
      <c r="V2614">
        <v>61</v>
      </c>
      <c r="W2614">
        <v>13</v>
      </c>
    </row>
    <row r="2615" spans="1:23" x14ac:dyDescent="0.25">
      <c r="A2615">
        <v>8</v>
      </c>
      <c r="B2615" t="s">
        <v>52</v>
      </c>
      <c r="C2615" s="1">
        <v>44260</v>
      </c>
      <c r="D2615" t="s">
        <v>71</v>
      </c>
      <c r="E2615">
        <v>0</v>
      </c>
      <c r="F2615">
        <v>43</v>
      </c>
      <c r="G2615" t="str">
        <f t="shared" si="48"/>
        <v>41-60</v>
      </c>
      <c r="H2615" t="s">
        <v>23</v>
      </c>
      <c r="I2615" t="s">
        <v>31</v>
      </c>
      <c r="J2615" t="s">
        <v>28</v>
      </c>
      <c r="K2615" t="s">
        <v>42</v>
      </c>
      <c r="L2615">
        <v>1</v>
      </c>
      <c r="M2615">
        <v>1</v>
      </c>
      <c r="N2615">
        <v>3.3</v>
      </c>
      <c r="O2615">
        <v>8</v>
      </c>
      <c r="P2615">
        <v>5</v>
      </c>
      <c r="Q2615">
        <v>4</v>
      </c>
      <c r="R2615">
        <v>904594</v>
      </c>
      <c r="S2615">
        <f>Table1[[#This Row],[Revenue]]-Table1[[#This Row],[Operating_Costs]]</f>
        <v>27678</v>
      </c>
      <c r="T2615">
        <v>876916</v>
      </c>
      <c r="U2615">
        <v>40</v>
      </c>
      <c r="V2615">
        <v>59</v>
      </c>
      <c r="W2615">
        <v>12</v>
      </c>
    </row>
    <row r="2616" spans="1:23" x14ac:dyDescent="0.25">
      <c r="A2616">
        <v>8</v>
      </c>
      <c r="B2616" t="s">
        <v>52</v>
      </c>
      <c r="C2616" s="1">
        <v>45380</v>
      </c>
      <c r="D2616" t="s">
        <v>71</v>
      </c>
      <c r="E2616">
        <v>0</v>
      </c>
      <c r="F2616">
        <v>85</v>
      </c>
      <c r="G2616" t="str">
        <f t="shared" si="48"/>
        <v>81+</v>
      </c>
      <c r="H2616" t="s">
        <v>35</v>
      </c>
      <c r="I2616" t="s">
        <v>36</v>
      </c>
      <c r="J2616" t="s">
        <v>37</v>
      </c>
      <c r="K2616" t="s">
        <v>26</v>
      </c>
      <c r="L2616">
        <v>1</v>
      </c>
      <c r="M2616">
        <v>1</v>
      </c>
      <c r="N2616">
        <v>5.2</v>
      </c>
      <c r="O2616">
        <v>8</v>
      </c>
      <c r="P2616">
        <v>7</v>
      </c>
      <c r="Q2616">
        <v>7</v>
      </c>
      <c r="R2616">
        <v>966244</v>
      </c>
      <c r="S2616">
        <f>Table1[[#This Row],[Revenue]]-Table1[[#This Row],[Operating_Costs]]</f>
        <v>93579</v>
      </c>
      <c r="T2616">
        <v>872665</v>
      </c>
      <c r="U2616">
        <v>31</v>
      </c>
      <c r="V2616">
        <v>59</v>
      </c>
      <c r="W2616">
        <v>9.6999999999999993</v>
      </c>
    </row>
    <row r="2617" spans="1:23" x14ac:dyDescent="0.25">
      <c r="A2617">
        <v>8</v>
      </c>
      <c r="B2617" t="s">
        <v>52</v>
      </c>
      <c r="C2617" s="1">
        <v>45460</v>
      </c>
      <c r="D2617" t="s">
        <v>71</v>
      </c>
      <c r="E2617">
        <v>0</v>
      </c>
      <c r="F2617">
        <v>75</v>
      </c>
      <c r="G2617" t="str">
        <f t="shared" si="48"/>
        <v>61-80</v>
      </c>
      <c r="H2617" t="s">
        <v>35</v>
      </c>
      <c r="I2617" t="s">
        <v>53</v>
      </c>
      <c r="J2617" t="s">
        <v>54</v>
      </c>
      <c r="K2617" t="s">
        <v>29</v>
      </c>
      <c r="L2617">
        <v>1</v>
      </c>
      <c r="M2617">
        <v>1</v>
      </c>
      <c r="N2617">
        <v>3.8</v>
      </c>
      <c r="O2617">
        <v>7.1</v>
      </c>
      <c r="P2617">
        <v>4</v>
      </c>
      <c r="Q2617">
        <v>5</v>
      </c>
      <c r="R2617">
        <v>981706</v>
      </c>
      <c r="S2617">
        <f>Table1[[#This Row],[Revenue]]-Table1[[#This Row],[Operating_Costs]]</f>
        <v>137898</v>
      </c>
      <c r="T2617">
        <v>843808</v>
      </c>
      <c r="U2617">
        <v>39</v>
      </c>
      <c r="V2617">
        <v>60</v>
      </c>
      <c r="W2617">
        <v>7.6</v>
      </c>
    </row>
    <row r="2618" spans="1:23" x14ac:dyDescent="0.25">
      <c r="A2618">
        <v>8</v>
      </c>
      <c r="B2618" t="s">
        <v>52</v>
      </c>
      <c r="C2618" s="1">
        <v>44455</v>
      </c>
      <c r="D2618" t="s">
        <v>71</v>
      </c>
      <c r="E2618">
        <v>0</v>
      </c>
      <c r="F2618">
        <v>56</v>
      </c>
      <c r="G2618" t="str">
        <f t="shared" si="48"/>
        <v>41-60</v>
      </c>
      <c r="H2618" t="s">
        <v>23</v>
      </c>
      <c r="I2618" t="s">
        <v>61</v>
      </c>
      <c r="J2618" t="s">
        <v>62</v>
      </c>
      <c r="K2618" t="s">
        <v>29</v>
      </c>
      <c r="L2618">
        <v>1</v>
      </c>
      <c r="M2618">
        <v>1</v>
      </c>
      <c r="N2618">
        <v>5.4</v>
      </c>
      <c r="O2618">
        <v>7.7</v>
      </c>
      <c r="P2618">
        <v>3</v>
      </c>
      <c r="Q2618">
        <v>4</v>
      </c>
      <c r="R2618">
        <v>975245</v>
      </c>
      <c r="S2618">
        <f>Table1[[#This Row],[Revenue]]-Table1[[#This Row],[Operating_Costs]]</f>
        <v>154149</v>
      </c>
      <c r="T2618">
        <v>821096</v>
      </c>
      <c r="U2618">
        <v>31</v>
      </c>
      <c r="V2618">
        <v>63</v>
      </c>
      <c r="W2618">
        <v>8</v>
      </c>
    </row>
    <row r="2619" spans="1:23" x14ac:dyDescent="0.25">
      <c r="A2619">
        <v>8</v>
      </c>
      <c r="B2619" t="s">
        <v>52</v>
      </c>
      <c r="C2619" s="1">
        <v>44502</v>
      </c>
      <c r="D2619" t="s">
        <v>71</v>
      </c>
      <c r="E2619">
        <v>0</v>
      </c>
      <c r="F2619">
        <v>39</v>
      </c>
      <c r="G2619" t="str">
        <f t="shared" si="48"/>
        <v>21-40</v>
      </c>
      <c r="H2619" t="s">
        <v>35</v>
      </c>
      <c r="I2619" t="s">
        <v>53</v>
      </c>
      <c r="J2619" t="s">
        <v>54</v>
      </c>
      <c r="K2619" t="s">
        <v>38</v>
      </c>
      <c r="L2619">
        <v>1</v>
      </c>
      <c r="M2619">
        <v>1</v>
      </c>
      <c r="N2619">
        <v>6.6</v>
      </c>
      <c r="O2619">
        <v>9.9</v>
      </c>
      <c r="P2619">
        <v>4</v>
      </c>
      <c r="Q2619">
        <v>4</v>
      </c>
      <c r="R2619">
        <v>988838</v>
      </c>
      <c r="S2619">
        <f>Table1[[#This Row],[Revenue]]-Table1[[#This Row],[Operating_Costs]]</f>
        <v>161002</v>
      </c>
      <c r="T2619">
        <v>827836</v>
      </c>
      <c r="U2619">
        <v>36</v>
      </c>
      <c r="V2619">
        <v>58</v>
      </c>
      <c r="W2619">
        <v>12.6</v>
      </c>
    </row>
    <row r="2620" spans="1:23" x14ac:dyDescent="0.25">
      <c r="A2620">
        <v>8</v>
      </c>
      <c r="B2620" t="s">
        <v>52</v>
      </c>
      <c r="C2620" s="1">
        <v>44221</v>
      </c>
      <c r="D2620" t="s">
        <v>71</v>
      </c>
      <c r="E2620">
        <v>0</v>
      </c>
      <c r="F2620">
        <v>23</v>
      </c>
      <c r="G2620" t="str">
        <f t="shared" si="48"/>
        <v>21-40</v>
      </c>
      <c r="H2620" t="s">
        <v>35</v>
      </c>
      <c r="I2620" t="s">
        <v>58</v>
      </c>
      <c r="J2620" t="s">
        <v>59</v>
      </c>
      <c r="K2620" t="s">
        <v>26</v>
      </c>
      <c r="L2620">
        <v>1</v>
      </c>
      <c r="M2620">
        <v>1</v>
      </c>
      <c r="N2620">
        <v>1.5</v>
      </c>
      <c r="O2620">
        <v>9</v>
      </c>
      <c r="P2620">
        <v>3</v>
      </c>
      <c r="Q2620">
        <v>7</v>
      </c>
      <c r="R2620">
        <v>937492</v>
      </c>
      <c r="S2620">
        <f>Table1[[#This Row],[Revenue]]-Table1[[#This Row],[Operating_Costs]]</f>
        <v>62993</v>
      </c>
      <c r="T2620">
        <v>874499</v>
      </c>
      <c r="U2620">
        <v>33</v>
      </c>
      <c r="V2620">
        <v>56</v>
      </c>
      <c r="W2620">
        <v>10.9</v>
      </c>
    </row>
    <row r="2621" spans="1:23" x14ac:dyDescent="0.25">
      <c r="A2621">
        <v>8</v>
      </c>
      <c r="B2621" t="s">
        <v>52</v>
      </c>
      <c r="C2621" s="1">
        <v>44279</v>
      </c>
      <c r="D2621" t="s">
        <v>71</v>
      </c>
      <c r="E2621">
        <v>0</v>
      </c>
      <c r="F2621">
        <v>33</v>
      </c>
      <c r="G2621" t="str">
        <f t="shared" si="48"/>
        <v>21-40</v>
      </c>
      <c r="H2621" t="s">
        <v>35</v>
      </c>
      <c r="I2621" t="s">
        <v>36</v>
      </c>
      <c r="J2621" t="s">
        <v>37</v>
      </c>
      <c r="K2621" t="s">
        <v>29</v>
      </c>
      <c r="L2621">
        <v>1</v>
      </c>
      <c r="M2621">
        <v>1</v>
      </c>
      <c r="N2621">
        <v>4.7</v>
      </c>
      <c r="O2621">
        <v>7</v>
      </c>
      <c r="P2621">
        <v>6</v>
      </c>
      <c r="Q2621">
        <v>3</v>
      </c>
      <c r="R2621">
        <v>933222</v>
      </c>
      <c r="S2621">
        <f>Table1[[#This Row],[Revenue]]-Table1[[#This Row],[Operating_Costs]]</f>
        <v>54014</v>
      </c>
      <c r="T2621">
        <v>879208</v>
      </c>
      <c r="U2621">
        <v>33</v>
      </c>
      <c r="V2621">
        <v>60</v>
      </c>
      <c r="W2621">
        <v>12.3</v>
      </c>
    </row>
    <row r="2622" spans="1:23" x14ac:dyDescent="0.25">
      <c r="A2622">
        <v>8</v>
      </c>
      <c r="B2622" t="s">
        <v>52</v>
      </c>
      <c r="C2622" s="1">
        <v>44334</v>
      </c>
      <c r="D2622" t="s">
        <v>71</v>
      </c>
      <c r="E2622">
        <v>0</v>
      </c>
      <c r="F2622">
        <v>48</v>
      </c>
      <c r="G2622" t="str">
        <f t="shared" si="48"/>
        <v>41-60</v>
      </c>
      <c r="H2622" t="s">
        <v>23</v>
      </c>
      <c r="I2622" t="s">
        <v>43</v>
      </c>
      <c r="J2622" t="s">
        <v>25</v>
      </c>
      <c r="K2622" t="s">
        <v>33</v>
      </c>
      <c r="L2622">
        <v>1</v>
      </c>
      <c r="M2622">
        <v>1</v>
      </c>
      <c r="N2622">
        <v>1.9</v>
      </c>
      <c r="O2622">
        <v>9.4</v>
      </c>
      <c r="P2622">
        <v>5</v>
      </c>
      <c r="Q2622">
        <v>7</v>
      </c>
      <c r="R2622">
        <v>986139</v>
      </c>
      <c r="S2622">
        <f>Table1[[#This Row],[Revenue]]-Table1[[#This Row],[Operating_Costs]]</f>
        <v>123802</v>
      </c>
      <c r="T2622">
        <v>862337</v>
      </c>
      <c r="U2622">
        <v>31</v>
      </c>
      <c r="V2622">
        <v>57</v>
      </c>
      <c r="W2622">
        <v>36.299999999999997</v>
      </c>
    </row>
    <row r="2623" spans="1:23" x14ac:dyDescent="0.25">
      <c r="A2623">
        <v>8</v>
      </c>
      <c r="B2623" t="s">
        <v>52</v>
      </c>
      <c r="C2623" s="1">
        <v>44993</v>
      </c>
      <c r="D2623" t="s">
        <v>71</v>
      </c>
      <c r="E2623">
        <v>0</v>
      </c>
      <c r="F2623">
        <v>22</v>
      </c>
      <c r="G2623" t="str">
        <f t="shared" si="48"/>
        <v>21-40</v>
      </c>
      <c r="H2623" t="s">
        <v>23</v>
      </c>
      <c r="I2623" t="s">
        <v>61</v>
      </c>
      <c r="J2623" t="s">
        <v>62</v>
      </c>
      <c r="K2623" t="s">
        <v>29</v>
      </c>
      <c r="L2623">
        <v>1</v>
      </c>
      <c r="M2623">
        <v>1</v>
      </c>
      <c r="N2623">
        <v>1.3</v>
      </c>
      <c r="O2623">
        <v>9.6</v>
      </c>
      <c r="P2623">
        <v>3</v>
      </c>
      <c r="Q2623">
        <v>6</v>
      </c>
      <c r="R2623">
        <v>915724</v>
      </c>
      <c r="S2623">
        <f>Table1[[#This Row],[Revenue]]-Table1[[#This Row],[Operating_Costs]]</f>
        <v>65132</v>
      </c>
      <c r="T2623">
        <v>850592</v>
      </c>
      <c r="U2623">
        <v>35</v>
      </c>
      <c r="V2623">
        <v>62</v>
      </c>
      <c r="W2623">
        <v>14.4</v>
      </c>
    </row>
    <row r="2624" spans="1:23" x14ac:dyDescent="0.25">
      <c r="A2624">
        <v>8</v>
      </c>
      <c r="B2624" t="s">
        <v>52</v>
      </c>
      <c r="C2624" s="1">
        <v>44518</v>
      </c>
      <c r="D2624" t="s">
        <v>71</v>
      </c>
      <c r="E2624">
        <v>0</v>
      </c>
      <c r="F2624">
        <v>44</v>
      </c>
      <c r="G2624" t="str">
        <f t="shared" si="48"/>
        <v>41-60</v>
      </c>
      <c r="H2624" t="s">
        <v>35</v>
      </c>
      <c r="I2624" t="s">
        <v>36</v>
      </c>
      <c r="J2624" t="s">
        <v>37</v>
      </c>
      <c r="K2624" t="s">
        <v>33</v>
      </c>
      <c r="L2624">
        <v>1</v>
      </c>
      <c r="M2624">
        <v>1</v>
      </c>
      <c r="N2624">
        <v>3.1</v>
      </c>
      <c r="O2624">
        <v>7.3</v>
      </c>
      <c r="P2624">
        <v>7</v>
      </c>
      <c r="Q2624">
        <v>4</v>
      </c>
      <c r="R2624">
        <v>922923</v>
      </c>
      <c r="S2624">
        <f>Table1[[#This Row],[Revenue]]-Table1[[#This Row],[Operating_Costs]]</f>
        <v>62585</v>
      </c>
      <c r="T2624">
        <v>860338</v>
      </c>
      <c r="U2624">
        <v>34</v>
      </c>
      <c r="V2624">
        <v>56</v>
      </c>
      <c r="W2624">
        <v>13.2</v>
      </c>
    </row>
    <row r="2625" spans="1:23" x14ac:dyDescent="0.25">
      <c r="A2625">
        <v>8</v>
      </c>
      <c r="B2625" t="s">
        <v>52</v>
      </c>
      <c r="C2625" s="1">
        <v>44951</v>
      </c>
      <c r="D2625" t="s">
        <v>71</v>
      </c>
      <c r="E2625">
        <v>0</v>
      </c>
      <c r="F2625">
        <v>37</v>
      </c>
      <c r="G2625" t="str">
        <f t="shared" si="48"/>
        <v>21-40</v>
      </c>
      <c r="H2625" t="s">
        <v>35</v>
      </c>
      <c r="I2625" t="s">
        <v>27</v>
      </c>
      <c r="J2625" t="s">
        <v>28</v>
      </c>
      <c r="K2625" t="s">
        <v>38</v>
      </c>
      <c r="L2625">
        <v>1</v>
      </c>
      <c r="M2625">
        <v>1</v>
      </c>
      <c r="N2625">
        <v>2.6</v>
      </c>
      <c r="O2625">
        <v>7.5</v>
      </c>
      <c r="P2625">
        <v>7</v>
      </c>
      <c r="Q2625">
        <v>6</v>
      </c>
      <c r="R2625">
        <v>910166</v>
      </c>
      <c r="S2625">
        <f>Table1[[#This Row],[Revenue]]-Table1[[#This Row],[Operating_Costs]]</f>
        <v>68493</v>
      </c>
      <c r="T2625">
        <v>841673</v>
      </c>
      <c r="U2625">
        <v>30</v>
      </c>
      <c r="V2625">
        <v>62</v>
      </c>
      <c r="W2625">
        <v>9.9</v>
      </c>
    </row>
    <row r="2626" spans="1:23" x14ac:dyDescent="0.25">
      <c r="A2626">
        <v>8</v>
      </c>
      <c r="B2626" t="s">
        <v>52</v>
      </c>
      <c r="C2626" s="1">
        <v>45495</v>
      </c>
      <c r="D2626" t="s">
        <v>71</v>
      </c>
      <c r="E2626">
        <v>0</v>
      </c>
      <c r="F2626">
        <v>89</v>
      </c>
      <c r="G2626" t="str">
        <f t="shared" si="48"/>
        <v>81+</v>
      </c>
      <c r="H2626" t="s">
        <v>23</v>
      </c>
      <c r="I2626" t="s">
        <v>31</v>
      </c>
      <c r="J2626" t="s">
        <v>28</v>
      </c>
      <c r="K2626" t="s">
        <v>42</v>
      </c>
      <c r="L2626">
        <v>1</v>
      </c>
      <c r="M2626">
        <v>1</v>
      </c>
      <c r="N2626">
        <v>3.3</v>
      </c>
      <c r="O2626">
        <v>9.1999999999999993</v>
      </c>
      <c r="P2626">
        <v>3</v>
      </c>
      <c r="Q2626">
        <v>5</v>
      </c>
      <c r="R2626">
        <v>916574</v>
      </c>
      <c r="S2626">
        <f>Table1[[#This Row],[Revenue]]-Table1[[#This Row],[Operating_Costs]]</f>
        <v>23194</v>
      </c>
      <c r="T2626">
        <v>893380</v>
      </c>
      <c r="U2626">
        <v>39</v>
      </c>
      <c r="V2626">
        <v>61</v>
      </c>
      <c r="W2626">
        <v>6.8</v>
      </c>
    </row>
    <row r="2627" spans="1:23" x14ac:dyDescent="0.25">
      <c r="A2627">
        <v>8</v>
      </c>
      <c r="B2627" t="s">
        <v>52</v>
      </c>
      <c r="C2627" s="1">
        <v>44938</v>
      </c>
      <c r="D2627" t="s">
        <v>71</v>
      </c>
      <c r="E2627">
        <v>0</v>
      </c>
      <c r="F2627">
        <v>49</v>
      </c>
      <c r="G2627" t="str">
        <f t="shared" ref="G2627:G2690" si="49">IF(F2627&lt;=20,"0-20",IF(F2627&lt;=40,"21-40",IF(F2627&lt;=60,"41-60",IF(F2627&lt;=80,"61-80","81+"))))</f>
        <v>41-60</v>
      </c>
      <c r="H2627" t="s">
        <v>23</v>
      </c>
      <c r="I2627" t="s">
        <v>50</v>
      </c>
      <c r="J2627" t="s">
        <v>51</v>
      </c>
      <c r="K2627" t="s">
        <v>33</v>
      </c>
      <c r="L2627">
        <v>1</v>
      </c>
      <c r="M2627">
        <v>1</v>
      </c>
      <c r="N2627">
        <v>4</v>
      </c>
      <c r="O2627">
        <v>8.4</v>
      </c>
      <c r="P2627">
        <v>5</v>
      </c>
      <c r="Q2627">
        <v>7</v>
      </c>
      <c r="R2627">
        <v>980030</v>
      </c>
      <c r="S2627">
        <f>Table1[[#This Row],[Revenue]]-Table1[[#This Row],[Operating_Costs]]</f>
        <v>136901</v>
      </c>
      <c r="T2627">
        <v>843129</v>
      </c>
      <c r="U2627">
        <v>30</v>
      </c>
      <c r="V2627">
        <v>57</v>
      </c>
      <c r="W2627">
        <v>9.3000000000000007</v>
      </c>
    </row>
    <row r="2628" spans="1:23" x14ac:dyDescent="0.25">
      <c r="A2628">
        <v>8</v>
      </c>
      <c r="B2628" t="s">
        <v>52</v>
      </c>
      <c r="C2628" s="1">
        <v>44578</v>
      </c>
      <c r="D2628" t="s">
        <v>71</v>
      </c>
      <c r="E2628">
        <v>0</v>
      </c>
      <c r="F2628">
        <v>85</v>
      </c>
      <c r="G2628" t="str">
        <f t="shared" si="49"/>
        <v>81+</v>
      </c>
      <c r="H2628" t="s">
        <v>23</v>
      </c>
      <c r="I2628" t="s">
        <v>31</v>
      </c>
      <c r="J2628" t="s">
        <v>28</v>
      </c>
      <c r="K2628" t="s">
        <v>38</v>
      </c>
      <c r="L2628">
        <v>1</v>
      </c>
      <c r="M2628">
        <v>1</v>
      </c>
      <c r="N2628">
        <v>6.8</v>
      </c>
      <c r="O2628">
        <v>8.5</v>
      </c>
      <c r="P2628">
        <v>5</v>
      </c>
      <c r="Q2628">
        <v>4</v>
      </c>
      <c r="R2628">
        <v>982028</v>
      </c>
      <c r="S2628">
        <f>Table1[[#This Row],[Revenue]]-Table1[[#This Row],[Operating_Costs]]</f>
        <v>149668</v>
      </c>
      <c r="T2628">
        <v>832360</v>
      </c>
      <c r="U2628">
        <v>39</v>
      </c>
      <c r="V2628">
        <v>58</v>
      </c>
      <c r="W2628">
        <v>9.1</v>
      </c>
    </row>
    <row r="2629" spans="1:23" x14ac:dyDescent="0.25">
      <c r="A2629">
        <v>8</v>
      </c>
      <c r="B2629" t="s">
        <v>52</v>
      </c>
      <c r="C2629" s="1">
        <v>45198</v>
      </c>
      <c r="D2629" t="s">
        <v>71</v>
      </c>
      <c r="E2629">
        <v>0</v>
      </c>
      <c r="F2629">
        <v>37</v>
      </c>
      <c r="G2629" t="str">
        <f t="shared" si="49"/>
        <v>21-40</v>
      </c>
      <c r="H2629" t="s">
        <v>35</v>
      </c>
      <c r="I2629" t="s">
        <v>58</v>
      </c>
      <c r="J2629" t="s">
        <v>59</v>
      </c>
      <c r="K2629" t="s">
        <v>26</v>
      </c>
      <c r="L2629">
        <v>1</v>
      </c>
      <c r="M2629">
        <v>1</v>
      </c>
      <c r="N2629">
        <v>4.3</v>
      </c>
      <c r="O2629">
        <v>9.1999999999999993</v>
      </c>
      <c r="P2629">
        <v>7</v>
      </c>
      <c r="Q2629">
        <v>6</v>
      </c>
      <c r="R2629">
        <v>968363</v>
      </c>
      <c r="S2629">
        <f>Table1[[#This Row],[Revenue]]-Table1[[#This Row],[Operating_Costs]]</f>
        <v>120333</v>
      </c>
      <c r="T2629">
        <v>848030</v>
      </c>
      <c r="U2629">
        <v>40</v>
      </c>
      <c r="V2629">
        <v>63</v>
      </c>
      <c r="W2629">
        <v>8.9</v>
      </c>
    </row>
    <row r="2630" spans="1:23" x14ac:dyDescent="0.25">
      <c r="A2630">
        <v>8</v>
      </c>
      <c r="B2630" t="s">
        <v>52</v>
      </c>
      <c r="C2630" s="1">
        <v>45279</v>
      </c>
      <c r="D2630" t="s">
        <v>71</v>
      </c>
      <c r="E2630">
        <v>0</v>
      </c>
      <c r="F2630">
        <v>71</v>
      </c>
      <c r="G2630" t="str">
        <f t="shared" si="49"/>
        <v>61-80</v>
      </c>
      <c r="H2630" t="s">
        <v>35</v>
      </c>
      <c r="I2630" t="s">
        <v>31</v>
      </c>
      <c r="J2630" t="s">
        <v>28</v>
      </c>
      <c r="K2630" t="s">
        <v>29</v>
      </c>
      <c r="L2630">
        <v>1</v>
      </c>
      <c r="M2630">
        <v>1</v>
      </c>
      <c r="N2630">
        <v>5.6</v>
      </c>
      <c r="O2630">
        <v>8.1999999999999993</v>
      </c>
      <c r="P2630">
        <v>7</v>
      </c>
      <c r="Q2630">
        <v>7</v>
      </c>
      <c r="R2630">
        <v>966524</v>
      </c>
      <c r="S2630">
        <f>Table1[[#This Row],[Revenue]]-Table1[[#This Row],[Operating_Costs]]</f>
        <v>134859</v>
      </c>
      <c r="T2630">
        <v>831665</v>
      </c>
      <c r="U2630">
        <v>37</v>
      </c>
      <c r="V2630">
        <v>65</v>
      </c>
      <c r="W2630">
        <v>9.1999999999999993</v>
      </c>
    </row>
    <row r="2631" spans="1:23" x14ac:dyDescent="0.25">
      <c r="A2631">
        <v>8</v>
      </c>
      <c r="B2631" t="s">
        <v>52</v>
      </c>
      <c r="C2631" s="1">
        <v>44501</v>
      </c>
      <c r="D2631" t="s">
        <v>71</v>
      </c>
      <c r="E2631">
        <v>0</v>
      </c>
      <c r="F2631">
        <v>58</v>
      </c>
      <c r="G2631" t="str">
        <f t="shared" si="49"/>
        <v>41-60</v>
      </c>
      <c r="H2631" t="s">
        <v>23</v>
      </c>
      <c r="I2631" t="s">
        <v>50</v>
      </c>
      <c r="J2631" t="s">
        <v>51</v>
      </c>
      <c r="K2631" t="s">
        <v>42</v>
      </c>
      <c r="L2631">
        <v>1</v>
      </c>
      <c r="M2631">
        <v>1</v>
      </c>
      <c r="N2631">
        <v>5.8</v>
      </c>
      <c r="O2631">
        <v>8.9</v>
      </c>
      <c r="P2631">
        <v>5</v>
      </c>
      <c r="Q2631">
        <v>4</v>
      </c>
      <c r="R2631">
        <v>937165</v>
      </c>
      <c r="S2631">
        <f>Table1[[#This Row],[Revenue]]-Table1[[#This Row],[Operating_Costs]]</f>
        <v>121117</v>
      </c>
      <c r="T2631">
        <v>816048</v>
      </c>
      <c r="U2631">
        <v>39</v>
      </c>
      <c r="V2631">
        <v>55</v>
      </c>
      <c r="W2631">
        <v>12</v>
      </c>
    </row>
    <row r="2632" spans="1:23" x14ac:dyDescent="0.25">
      <c r="A2632">
        <v>8</v>
      </c>
      <c r="B2632" t="s">
        <v>52</v>
      </c>
      <c r="C2632" s="1">
        <v>44952</v>
      </c>
      <c r="D2632" t="s">
        <v>71</v>
      </c>
      <c r="E2632">
        <v>0</v>
      </c>
      <c r="F2632">
        <v>41</v>
      </c>
      <c r="G2632" t="str">
        <f t="shared" si="49"/>
        <v>41-60</v>
      </c>
      <c r="H2632" t="s">
        <v>35</v>
      </c>
      <c r="I2632" t="s">
        <v>61</v>
      </c>
      <c r="J2632" t="s">
        <v>62</v>
      </c>
      <c r="K2632" t="s">
        <v>38</v>
      </c>
      <c r="L2632">
        <v>1</v>
      </c>
      <c r="M2632">
        <v>1</v>
      </c>
      <c r="N2632">
        <v>5</v>
      </c>
      <c r="O2632">
        <v>9</v>
      </c>
      <c r="P2632">
        <v>6</v>
      </c>
      <c r="Q2632">
        <v>5</v>
      </c>
      <c r="R2632">
        <v>910103</v>
      </c>
      <c r="S2632">
        <f>Table1[[#This Row],[Revenue]]-Table1[[#This Row],[Operating_Costs]]</f>
        <v>33586</v>
      </c>
      <c r="T2632">
        <v>876517</v>
      </c>
      <c r="U2632">
        <v>38</v>
      </c>
      <c r="V2632">
        <v>54</v>
      </c>
      <c r="W2632">
        <v>7.7</v>
      </c>
    </row>
    <row r="2633" spans="1:23" x14ac:dyDescent="0.25">
      <c r="A2633">
        <v>8</v>
      </c>
      <c r="B2633" t="s">
        <v>52</v>
      </c>
      <c r="C2633" s="1">
        <v>45109</v>
      </c>
      <c r="D2633" t="s">
        <v>71</v>
      </c>
      <c r="E2633">
        <v>0</v>
      </c>
      <c r="F2633">
        <v>66</v>
      </c>
      <c r="G2633" t="str">
        <f t="shared" si="49"/>
        <v>61-80</v>
      </c>
      <c r="H2633" t="s">
        <v>23</v>
      </c>
      <c r="I2633" t="s">
        <v>31</v>
      </c>
      <c r="J2633" t="s">
        <v>28</v>
      </c>
      <c r="K2633" t="s">
        <v>29</v>
      </c>
      <c r="L2633">
        <v>1</v>
      </c>
      <c r="M2633">
        <v>1</v>
      </c>
      <c r="N2633">
        <v>1.3</v>
      </c>
      <c r="O2633">
        <v>8.9</v>
      </c>
      <c r="P2633">
        <v>6</v>
      </c>
      <c r="Q2633">
        <v>7</v>
      </c>
      <c r="R2633">
        <v>983967</v>
      </c>
      <c r="S2633">
        <f>Table1[[#This Row],[Revenue]]-Table1[[#This Row],[Operating_Costs]]</f>
        <v>118460</v>
      </c>
      <c r="T2633">
        <v>865507</v>
      </c>
      <c r="U2633">
        <v>34</v>
      </c>
      <c r="V2633">
        <v>63</v>
      </c>
      <c r="W2633">
        <v>12.6</v>
      </c>
    </row>
    <row r="2634" spans="1:23" x14ac:dyDescent="0.25">
      <c r="A2634">
        <v>8</v>
      </c>
      <c r="B2634" t="s">
        <v>52</v>
      </c>
      <c r="C2634" s="1">
        <v>45447</v>
      </c>
      <c r="D2634" t="s">
        <v>71</v>
      </c>
      <c r="E2634">
        <v>0</v>
      </c>
      <c r="F2634">
        <v>34</v>
      </c>
      <c r="G2634" t="str">
        <f t="shared" si="49"/>
        <v>21-40</v>
      </c>
      <c r="H2634" t="s">
        <v>35</v>
      </c>
      <c r="I2634" t="s">
        <v>36</v>
      </c>
      <c r="J2634" t="s">
        <v>37</v>
      </c>
      <c r="K2634" t="s">
        <v>26</v>
      </c>
      <c r="L2634">
        <v>1</v>
      </c>
      <c r="M2634">
        <v>1</v>
      </c>
      <c r="N2634">
        <v>6.6</v>
      </c>
      <c r="O2634">
        <v>7.8</v>
      </c>
      <c r="P2634">
        <v>4</v>
      </c>
      <c r="Q2634">
        <v>6</v>
      </c>
      <c r="R2634">
        <v>972733</v>
      </c>
      <c r="S2634">
        <f>Table1[[#This Row],[Revenue]]-Table1[[#This Row],[Operating_Costs]]</f>
        <v>73017</v>
      </c>
      <c r="T2634">
        <v>899716</v>
      </c>
      <c r="U2634">
        <v>32</v>
      </c>
      <c r="V2634">
        <v>56</v>
      </c>
      <c r="W2634">
        <v>10.3</v>
      </c>
    </row>
    <row r="2635" spans="1:23" x14ac:dyDescent="0.25">
      <c r="A2635">
        <v>8</v>
      </c>
      <c r="B2635" t="s">
        <v>52</v>
      </c>
      <c r="C2635" s="1">
        <v>44415</v>
      </c>
      <c r="D2635" t="s">
        <v>71</v>
      </c>
      <c r="E2635">
        <v>0</v>
      </c>
      <c r="F2635">
        <v>59</v>
      </c>
      <c r="G2635" t="str">
        <f t="shared" si="49"/>
        <v>41-60</v>
      </c>
      <c r="H2635" t="s">
        <v>23</v>
      </c>
      <c r="I2635" t="s">
        <v>55</v>
      </c>
      <c r="J2635" t="s">
        <v>56</v>
      </c>
      <c r="K2635" t="s">
        <v>29</v>
      </c>
      <c r="L2635">
        <v>1</v>
      </c>
      <c r="M2635">
        <v>1</v>
      </c>
      <c r="N2635">
        <v>2.9</v>
      </c>
      <c r="O2635">
        <v>7</v>
      </c>
      <c r="P2635">
        <v>7</v>
      </c>
      <c r="Q2635">
        <v>5</v>
      </c>
      <c r="R2635">
        <v>913587</v>
      </c>
      <c r="S2635">
        <f>Table1[[#This Row],[Revenue]]-Table1[[#This Row],[Operating_Costs]]</f>
        <v>58362</v>
      </c>
      <c r="T2635">
        <v>855225</v>
      </c>
      <c r="U2635">
        <v>38</v>
      </c>
      <c r="V2635">
        <v>58</v>
      </c>
      <c r="W2635">
        <v>5.4</v>
      </c>
    </row>
    <row r="2636" spans="1:23" x14ac:dyDescent="0.25">
      <c r="A2636">
        <v>8</v>
      </c>
      <c r="B2636" t="s">
        <v>52</v>
      </c>
      <c r="C2636" s="1">
        <v>44420</v>
      </c>
      <c r="D2636" t="s">
        <v>71</v>
      </c>
      <c r="E2636">
        <v>0</v>
      </c>
      <c r="F2636">
        <v>49</v>
      </c>
      <c r="G2636" t="str">
        <f t="shared" si="49"/>
        <v>41-60</v>
      </c>
      <c r="H2636" t="s">
        <v>23</v>
      </c>
      <c r="I2636" t="s">
        <v>24</v>
      </c>
      <c r="J2636" t="s">
        <v>25</v>
      </c>
      <c r="K2636" t="s">
        <v>38</v>
      </c>
      <c r="L2636">
        <v>1</v>
      </c>
      <c r="M2636">
        <v>1</v>
      </c>
      <c r="N2636">
        <v>4.3</v>
      </c>
      <c r="O2636">
        <v>7.7</v>
      </c>
      <c r="P2636">
        <v>7</v>
      </c>
      <c r="Q2636">
        <v>7</v>
      </c>
      <c r="R2636">
        <v>914361</v>
      </c>
      <c r="S2636">
        <f>Table1[[#This Row],[Revenue]]-Table1[[#This Row],[Operating_Costs]]</f>
        <v>35059</v>
      </c>
      <c r="T2636">
        <v>879302</v>
      </c>
      <c r="U2636">
        <v>40</v>
      </c>
      <c r="V2636">
        <v>58</v>
      </c>
      <c r="W2636">
        <v>7.7</v>
      </c>
    </row>
    <row r="2637" spans="1:23" x14ac:dyDescent="0.25">
      <c r="A2637">
        <v>8</v>
      </c>
      <c r="B2637" t="s">
        <v>52</v>
      </c>
      <c r="C2637" s="1">
        <v>44661</v>
      </c>
      <c r="D2637" t="s">
        <v>71</v>
      </c>
      <c r="E2637">
        <v>0</v>
      </c>
      <c r="F2637">
        <v>69</v>
      </c>
      <c r="G2637" t="str">
        <f t="shared" si="49"/>
        <v>61-80</v>
      </c>
      <c r="H2637" t="s">
        <v>23</v>
      </c>
      <c r="I2637" t="s">
        <v>40</v>
      </c>
      <c r="J2637" t="s">
        <v>41</v>
      </c>
      <c r="K2637" t="s">
        <v>42</v>
      </c>
      <c r="L2637">
        <v>1</v>
      </c>
      <c r="M2637">
        <v>1</v>
      </c>
      <c r="N2637">
        <v>3.9</v>
      </c>
      <c r="O2637">
        <v>9.6999999999999993</v>
      </c>
      <c r="P2637">
        <v>7</v>
      </c>
      <c r="Q2637">
        <v>5</v>
      </c>
      <c r="R2637">
        <v>992256</v>
      </c>
      <c r="S2637">
        <f>Table1[[#This Row],[Revenue]]-Table1[[#This Row],[Operating_Costs]]</f>
        <v>120135</v>
      </c>
      <c r="T2637">
        <v>872121</v>
      </c>
      <c r="U2637">
        <v>32</v>
      </c>
      <c r="V2637">
        <v>57</v>
      </c>
      <c r="W2637">
        <v>13.3</v>
      </c>
    </row>
    <row r="2638" spans="1:23" x14ac:dyDescent="0.25">
      <c r="A2638">
        <v>8</v>
      </c>
      <c r="B2638" t="s">
        <v>52</v>
      </c>
      <c r="C2638" s="1">
        <v>44833</v>
      </c>
      <c r="D2638" t="s">
        <v>71</v>
      </c>
      <c r="E2638">
        <v>0</v>
      </c>
      <c r="F2638">
        <v>65</v>
      </c>
      <c r="G2638" t="str">
        <f t="shared" si="49"/>
        <v>61-80</v>
      </c>
      <c r="H2638" t="s">
        <v>23</v>
      </c>
      <c r="I2638" t="s">
        <v>61</v>
      </c>
      <c r="J2638" t="s">
        <v>62</v>
      </c>
      <c r="K2638" t="s">
        <v>29</v>
      </c>
      <c r="L2638">
        <v>1</v>
      </c>
      <c r="M2638">
        <v>1</v>
      </c>
      <c r="N2638">
        <v>4.5999999999999996</v>
      </c>
      <c r="O2638">
        <v>8.8000000000000007</v>
      </c>
      <c r="P2638">
        <v>5</v>
      </c>
      <c r="Q2638">
        <v>7</v>
      </c>
      <c r="R2638">
        <v>990372</v>
      </c>
      <c r="S2638">
        <f>Table1[[#This Row],[Revenue]]-Table1[[#This Row],[Operating_Costs]]</f>
        <v>142768</v>
      </c>
      <c r="T2638">
        <v>847604</v>
      </c>
      <c r="U2638">
        <v>35</v>
      </c>
      <c r="V2638">
        <v>54</v>
      </c>
      <c r="W2638">
        <v>14.4</v>
      </c>
    </row>
    <row r="2639" spans="1:23" x14ac:dyDescent="0.25">
      <c r="A2639">
        <v>8</v>
      </c>
      <c r="B2639" t="s">
        <v>52</v>
      </c>
      <c r="C2639" s="1">
        <v>44646</v>
      </c>
      <c r="D2639" t="s">
        <v>71</v>
      </c>
      <c r="E2639">
        <v>0</v>
      </c>
      <c r="F2639">
        <v>85</v>
      </c>
      <c r="G2639" t="str">
        <f t="shared" si="49"/>
        <v>81+</v>
      </c>
      <c r="H2639" t="s">
        <v>23</v>
      </c>
      <c r="I2639" t="s">
        <v>24</v>
      </c>
      <c r="J2639" t="s">
        <v>25</v>
      </c>
      <c r="K2639" t="s">
        <v>38</v>
      </c>
      <c r="L2639">
        <v>1</v>
      </c>
      <c r="M2639">
        <v>1</v>
      </c>
      <c r="N2639">
        <v>3.5</v>
      </c>
      <c r="O2639">
        <v>7.9</v>
      </c>
      <c r="P2639">
        <v>7</v>
      </c>
      <c r="Q2639">
        <v>3</v>
      </c>
      <c r="R2639">
        <v>921986</v>
      </c>
      <c r="S2639">
        <f>Table1[[#This Row],[Revenue]]-Table1[[#This Row],[Operating_Costs]]</f>
        <v>25686</v>
      </c>
      <c r="T2639">
        <v>896300</v>
      </c>
      <c r="U2639">
        <v>39</v>
      </c>
      <c r="V2639">
        <v>66</v>
      </c>
      <c r="W2639">
        <v>8.1999999999999993</v>
      </c>
    </row>
    <row r="2640" spans="1:23" x14ac:dyDescent="0.25">
      <c r="A2640">
        <v>8</v>
      </c>
      <c r="B2640" t="s">
        <v>52</v>
      </c>
      <c r="C2640" s="1">
        <v>44710</v>
      </c>
      <c r="D2640" t="s">
        <v>71</v>
      </c>
      <c r="E2640">
        <v>0</v>
      </c>
      <c r="F2640">
        <v>57</v>
      </c>
      <c r="G2640" t="str">
        <f t="shared" si="49"/>
        <v>41-60</v>
      </c>
      <c r="H2640" t="s">
        <v>35</v>
      </c>
      <c r="I2640" t="s">
        <v>50</v>
      </c>
      <c r="J2640" t="s">
        <v>51</v>
      </c>
      <c r="K2640" t="s">
        <v>26</v>
      </c>
      <c r="L2640">
        <v>1</v>
      </c>
      <c r="M2640">
        <v>1</v>
      </c>
      <c r="N2640">
        <v>4.9000000000000004</v>
      </c>
      <c r="O2640">
        <v>7</v>
      </c>
      <c r="P2640">
        <v>3</v>
      </c>
      <c r="Q2640">
        <v>7</v>
      </c>
      <c r="R2640">
        <v>977963</v>
      </c>
      <c r="S2640">
        <f>Table1[[#This Row],[Revenue]]-Table1[[#This Row],[Operating_Costs]]</f>
        <v>107591</v>
      </c>
      <c r="T2640">
        <v>870372</v>
      </c>
      <c r="U2640">
        <v>30</v>
      </c>
      <c r="V2640">
        <v>66</v>
      </c>
      <c r="W2640">
        <v>5.0999999999999996</v>
      </c>
    </row>
    <row r="2641" spans="1:23" x14ac:dyDescent="0.25">
      <c r="A2641">
        <v>8</v>
      </c>
      <c r="B2641" t="s">
        <v>52</v>
      </c>
      <c r="C2641" s="1">
        <v>44334</v>
      </c>
      <c r="D2641" t="s">
        <v>71</v>
      </c>
      <c r="E2641">
        <v>0</v>
      </c>
      <c r="F2641">
        <v>65</v>
      </c>
      <c r="G2641" t="str">
        <f t="shared" si="49"/>
        <v>61-80</v>
      </c>
      <c r="H2641" t="s">
        <v>23</v>
      </c>
      <c r="I2641" t="s">
        <v>55</v>
      </c>
      <c r="J2641" t="s">
        <v>56</v>
      </c>
      <c r="K2641" t="s">
        <v>38</v>
      </c>
      <c r="L2641">
        <v>1</v>
      </c>
      <c r="M2641">
        <v>1</v>
      </c>
      <c r="N2641">
        <v>5.7</v>
      </c>
      <c r="O2641">
        <v>9.1999999999999993</v>
      </c>
      <c r="P2641">
        <v>4</v>
      </c>
      <c r="Q2641">
        <v>3</v>
      </c>
      <c r="R2641">
        <v>967818</v>
      </c>
      <c r="S2641">
        <f>Table1[[#This Row],[Revenue]]-Table1[[#This Row],[Operating_Costs]]</f>
        <v>118425</v>
      </c>
      <c r="T2641">
        <v>849393</v>
      </c>
      <c r="U2641">
        <v>36</v>
      </c>
      <c r="V2641">
        <v>63</v>
      </c>
      <c r="W2641">
        <v>7.6</v>
      </c>
    </row>
    <row r="2642" spans="1:23" x14ac:dyDescent="0.25">
      <c r="A2642">
        <v>8</v>
      </c>
      <c r="B2642" t="s">
        <v>52</v>
      </c>
      <c r="C2642" s="1">
        <v>44500</v>
      </c>
      <c r="D2642" t="s">
        <v>71</v>
      </c>
      <c r="E2642">
        <v>0</v>
      </c>
      <c r="F2642">
        <v>89</v>
      </c>
      <c r="G2642" t="str">
        <f t="shared" si="49"/>
        <v>81+</v>
      </c>
      <c r="H2642" t="s">
        <v>23</v>
      </c>
      <c r="I2642" t="s">
        <v>50</v>
      </c>
      <c r="J2642" t="s">
        <v>51</v>
      </c>
      <c r="K2642" t="s">
        <v>38</v>
      </c>
      <c r="L2642">
        <v>1</v>
      </c>
      <c r="M2642">
        <v>1</v>
      </c>
      <c r="N2642">
        <v>6.7</v>
      </c>
      <c r="O2642">
        <v>8.1999999999999993</v>
      </c>
      <c r="P2642">
        <v>4</v>
      </c>
      <c r="Q2642">
        <v>5</v>
      </c>
      <c r="R2642">
        <v>957853</v>
      </c>
      <c r="S2642">
        <f>Table1[[#This Row],[Revenue]]-Table1[[#This Row],[Operating_Costs]]</f>
        <v>114731</v>
      </c>
      <c r="T2642">
        <v>843122</v>
      </c>
      <c r="U2642">
        <v>40</v>
      </c>
      <c r="V2642">
        <v>63</v>
      </c>
      <c r="W2642">
        <v>14.3</v>
      </c>
    </row>
    <row r="2643" spans="1:23" x14ac:dyDescent="0.25">
      <c r="A2643">
        <v>8</v>
      </c>
      <c r="B2643" t="s">
        <v>52</v>
      </c>
      <c r="C2643" s="1">
        <v>45078</v>
      </c>
      <c r="D2643" t="s">
        <v>71</v>
      </c>
      <c r="E2643">
        <v>0</v>
      </c>
      <c r="F2643">
        <v>54</v>
      </c>
      <c r="G2643" t="str">
        <f t="shared" si="49"/>
        <v>41-60</v>
      </c>
      <c r="H2643" t="s">
        <v>23</v>
      </c>
      <c r="I2643" t="s">
        <v>61</v>
      </c>
      <c r="J2643" t="s">
        <v>62</v>
      </c>
      <c r="K2643" t="s">
        <v>38</v>
      </c>
      <c r="L2643">
        <v>1</v>
      </c>
      <c r="M2643">
        <v>1</v>
      </c>
      <c r="N2643">
        <v>4.8</v>
      </c>
      <c r="O2643">
        <v>7.1</v>
      </c>
      <c r="P2643">
        <v>6</v>
      </c>
      <c r="Q2643">
        <v>3</v>
      </c>
      <c r="R2643">
        <v>921275</v>
      </c>
      <c r="S2643">
        <f>Table1[[#This Row],[Revenue]]-Table1[[#This Row],[Operating_Costs]]</f>
        <v>25206</v>
      </c>
      <c r="T2643">
        <v>896069</v>
      </c>
      <c r="U2643">
        <v>37</v>
      </c>
      <c r="V2643">
        <v>62</v>
      </c>
      <c r="W2643">
        <v>10.5</v>
      </c>
    </row>
    <row r="2644" spans="1:23" x14ac:dyDescent="0.25">
      <c r="A2644">
        <v>8</v>
      </c>
      <c r="B2644" t="s">
        <v>52</v>
      </c>
      <c r="C2644" s="1">
        <v>44315</v>
      </c>
      <c r="D2644" t="s">
        <v>71</v>
      </c>
      <c r="E2644">
        <v>0</v>
      </c>
      <c r="F2644">
        <v>31</v>
      </c>
      <c r="G2644" t="str">
        <f t="shared" si="49"/>
        <v>21-40</v>
      </c>
      <c r="H2644" t="s">
        <v>35</v>
      </c>
      <c r="I2644" t="s">
        <v>61</v>
      </c>
      <c r="J2644" t="s">
        <v>62</v>
      </c>
      <c r="K2644" t="s">
        <v>26</v>
      </c>
      <c r="L2644">
        <v>1</v>
      </c>
      <c r="M2644">
        <v>1</v>
      </c>
      <c r="N2644">
        <v>1.9</v>
      </c>
      <c r="O2644">
        <v>9.1</v>
      </c>
      <c r="P2644">
        <v>3</v>
      </c>
      <c r="Q2644">
        <v>4</v>
      </c>
      <c r="R2644">
        <v>972308</v>
      </c>
      <c r="S2644">
        <f>Table1[[#This Row],[Revenue]]-Table1[[#This Row],[Operating_Costs]]</f>
        <v>129122</v>
      </c>
      <c r="T2644">
        <v>843186</v>
      </c>
      <c r="U2644">
        <v>32</v>
      </c>
      <c r="V2644">
        <v>58</v>
      </c>
      <c r="W2644">
        <v>9.3000000000000007</v>
      </c>
    </row>
    <row r="2645" spans="1:23" x14ac:dyDescent="0.25">
      <c r="A2645">
        <v>8</v>
      </c>
      <c r="B2645" t="s">
        <v>52</v>
      </c>
      <c r="C2645" s="1">
        <v>45405</v>
      </c>
      <c r="D2645" t="s">
        <v>71</v>
      </c>
      <c r="E2645">
        <v>0</v>
      </c>
      <c r="F2645">
        <v>24</v>
      </c>
      <c r="G2645" t="str">
        <f t="shared" si="49"/>
        <v>21-40</v>
      </c>
      <c r="H2645" t="s">
        <v>23</v>
      </c>
      <c r="I2645" t="s">
        <v>64</v>
      </c>
      <c r="J2645" t="s">
        <v>65</v>
      </c>
      <c r="K2645" t="s">
        <v>33</v>
      </c>
      <c r="L2645">
        <v>1</v>
      </c>
      <c r="M2645">
        <v>1</v>
      </c>
      <c r="N2645">
        <v>3.7</v>
      </c>
      <c r="O2645">
        <v>8.6999999999999993</v>
      </c>
      <c r="P2645">
        <v>4</v>
      </c>
      <c r="Q2645">
        <v>7</v>
      </c>
      <c r="R2645">
        <v>925868</v>
      </c>
      <c r="S2645">
        <f>Table1[[#This Row],[Revenue]]-Table1[[#This Row],[Operating_Costs]]</f>
        <v>58583</v>
      </c>
      <c r="T2645">
        <v>867285</v>
      </c>
      <c r="U2645">
        <v>30</v>
      </c>
      <c r="V2645">
        <v>60</v>
      </c>
      <c r="W2645">
        <v>12.2</v>
      </c>
    </row>
    <row r="2646" spans="1:23" x14ac:dyDescent="0.25">
      <c r="A2646">
        <v>8</v>
      </c>
      <c r="B2646" t="s">
        <v>52</v>
      </c>
      <c r="C2646" s="1">
        <v>45415</v>
      </c>
      <c r="D2646" t="s">
        <v>71</v>
      </c>
      <c r="E2646">
        <v>0</v>
      </c>
      <c r="F2646">
        <v>25</v>
      </c>
      <c r="G2646" t="str">
        <f t="shared" si="49"/>
        <v>21-40</v>
      </c>
      <c r="H2646" t="s">
        <v>35</v>
      </c>
      <c r="I2646" t="s">
        <v>31</v>
      </c>
      <c r="J2646" t="s">
        <v>28</v>
      </c>
      <c r="K2646" t="s">
        <v>29</v>
      </c>
      <c r="L2646">
        <v>1</v>
      </c>
      <c r="M2646">
        <v>1</v>
      </c>
      <c r="N2646">
        <v>5.4</v>
      </c>
      <c r="O2646">
        <v>7.9</v>
      </c>
      <c r="P2646">
        <v>6</v>
      </c>
      <c r="Q2646">
        <v>6</v>
      </c>
      <c r="R2646">
        <v>986129</v>
      </c>
      <c r="S2646">
        <f>Table1[[#This Row],[Revenue]]-Table1[[#This Row],[Operating_Costs]]</f>
        <v>101364</v>
      </c>
      <c r="T2646">
        <v>884765</v>
      </c>
      <c r="U2646">
        <v>36</v>
      </c>
      <c r="V2646">
        <v>64</v>
      </c>
      <c r="W2646">
        <v>14.6</v>
      </c>
    </row>
    <row r="2647" spans="1:23" x14ac:dyDescent="0.25">
      <c r="A2647">
        <v>8</v>
      </c>
      <c r="B2647" t="s">
        <v>52</v>
      </c>
      <c r="C2647" s="1">
        <v>44891</v>
      </c>
      <c r="D2647" t="s">
        <v>71</v>
      </c>
      <c r="E2647">
        <v>0</v>
      </c>
      <c r="F2647">
        <v>33</v>
      </c>
      <c r="G2647" t="str">
        <f t="shared" si="49"/>
        <v>21-40</v>
      </c>
      <c r="H2647" t="s">
        <v>35</v>
      </c>
      <c r="I2647" t="s">
        <v>58</v>
      </c>
      <c r="J2647" t="s">
        <v>59</v>
      </c>
      <c r="K2647" t="s">
        <v>33</v>
      </c>
      <c r="L2647">
        <v>1</v>
      </c>
      <c r="M2647">
        <v>1</v>
      </c>
      <c r="N2647">
        <v>6.1</v>
      </c>
      <c r="O2647">
        <v>9.4</v>
      </c>
      <c r="P2647">
        <v>7</v>
      </c>
      <c r="Q2647">
        <v>3</v>
      </c>
      <c r="R2647">
        <v>992671</v>
      </c>
      <c r="S2647">
        <f>Table1[[#This Row],[Revenue]]-Table1[[#This Row],[Operating_Costs]]</f>
        <v>120591</v>
      </c>
      <c r="T2647">
        <v>872080</v>
      </c>
      <c r="U2647">
        <v>36</v>
      </c>
      <c r="V2647">
        <v>57</v>
      </c>
      <c r="W2647">
        <v>10</v>
      </c>
    </row>
    <row r="2648" spans="1:23" x14ac:dyDescent="0.25">
      <c r="A2648">
        <v>8</v>
      </c>
      <c r="B2648" t="s">
        <v>52</v>
      </c>
      <c r="C2648" s="1">
        <v>44201</v>
      </c>
      <c r="D2648" t="s">
        <v>71</v>
      </c>
      <c r="E2648">
        <v>0</v>
      </c>
      <c r="F2648">
        <v>43</v>
      </c>
      <c r="G2648" t="str">
        <f t="shared" si="49"/>
        <v>41-60</v>
      </c>
      <c r="H2648" t="s">
        <v>35</v>
      </c>
      <c r="I2648" t="s">
        <v>61</v>
      </c>
      <c r="J2648" t="s">
        <v>62</v>
      </c>
      <c r="K2648" t="s">
        <v>29</v>
      </c>
      <c r="L2648">
        <v>1</v>
      </c>
      <c r="M2648">
        <v>1</v>
      </c>
      <c r="N2648">
        <v>6.4</v>
      </c>
      <c r="O2648">
        <v>8.4</v>
      </c>
      <c r="P2648">
        <v>3</v>
      </c>
      <c r="Q2648">
        <v>4</v>
      </c>
      <c r="R2648">
        <v>901752</v>
      </c>
      <c r="S2648">
        <f>Table1[[#This Row],[Revenue]]-Table1[[#This Row],[Operating_Costs]]</f>
        <v>18087</v>
      </c>
      <c r="T2648">
        <v>883665</v>
      </c>
      <c r="U2648">
        <v>37</v>
      </c>
      <c r="V2648">
        <v>58</v>
      </c>
      <c r="W2648">
        <v>12.4</v>
      </c>
    </row>
    <row r="2649" spans="1:23" x14ac:dyDescent="0.25">
      <c r="A2649">
        <v>8</v>
      </c>
      <c r="B2649" t="s">
        <v>52</v>
      </c>
      <c r="C2649" s="1">
        <v>45002</v>
      </c>
      <c r="D2649" t="s">
        <v>71</v>
      </c>
      <c r="E2649">
        <v>0</v>
      </c>
      <c r="F2649">
        <v>25</v>
      </c>
      <c r="G2649" t="str">
        <f t="shared" si="49"/>
        <v>21-40</v>
      </c>
      <c r="H2649" t="s">
        <v>23</v>
      </c>
      <c r="I2649" t="s">
        <v>61</v>
      </c>
      <c r="J2649" t="s">
        <v>62</v>
      </c>
      <c r="K2649" t="s">
        <v>29</v>
      </c>
      <c r="L2649">
        <v>1</v>
      </c>
      <c r="M2649">
        <v>1</v>
      </c>
      <c r="N2649">
        <v>5.4</v>
      </c>
      <c r="O2649">
        <v>8.3000000000000007</v>
      </c>
      <c r="P2649">
        <v>5</v>
      </c>
      <c r="Q2649">
        <v>7</v>
      </c>
      <c r="R2649">
        <v>964460</v>
      </c>
      <c r="S2649">
        <f>Table1[[#This Row],[Revenue]]-Table1[[#This Row],[Operating_Costs]]</f>
        <v>117394</v>
      </c>
      <c r="T2649">
        <v>847066</v>
      </c>
      <c r="U2649">
        <v>37</v>
      </c>
      <c r="V2649">
        <v>56</v>
      </c>
      <c r="W2649">
        <v>13.6</v>
      </c>
    </row>
    <row r="2650" spans="1:23" x14ac:dyDescent="0.25">
      <c r="A2650">
        <v>8</v>
      </c>
      <c r="B2650" t="s">
        <v>52</v>
      </c>
      <c r="C2650" s="1">
        <v>45135</v>
      </c>
      <c r="D2650" t="s">
        <v>71</v>
      </c>
      <c r="E2650">
        <v>0</v>
      </c>
      <c r="F2650">
        <v>85</v>
      </c>
      <c r="G2650" t="str">
        <f t="shared" si="49"/>
        <v>81+</v>
      </c>
      <c r="H2650" t="s">
        <v>23</v>
      </c>
      <c r="I2650" t="s">
        <v>61</v>
      </c>
      <c r="J2650" t="s">
        <v>62</v>
      </c>
      <c r="K2650" t="s">
        <v>38</v>
      </c>
      <c r="L2650">
        <v>1</v>
      </c>
      <c r="M2650">
        <v>1</v>
      </c>
      <c r="N2650">
        <v>2.7</v>
      </c>
      <c r="O2650">
        <v>7.4</v>
      </c>
      <c r="P2650">
        <v>4</v>
      </c>
      <c r="Q2650">
        <v>7</v>
      </c>
      <c r="R2650">
        <v>990451</v>
      </c>
      <c r="S2650">
        <f>Table1[[#This Row],[Revenue]]-Table1[[#This Row],[Operating_Costs]]</f>
        <v>148969</v>
      </c>
      <c r="T2650">
        <v>841482</v>
      </c>
      <c r="U2650">
        <v>38</v>
      </c>
      <c r="V2650">
        <v>57</v>
      </c>
      <c r="W2650">
        <v>14.8</v>
      </c>
    </row>
    <row r="2651" spans="1:23" x14ac:dyDescent="0.25">
      <c r="A2651">
        <v>8</v>
      </c>
      <c r="B2651" t="s">
        <v>52</v>
      </c>
      <c r="C2651" s="1">
        <v>44894</v>
      </c>
      <c r="D2651" t="s">
        <v>71</v>
      </c>
      <c r="E2651">
        <v>0</v>
      </c>
      <c r="F2651">
        <v>34</v>
      </c>
      <c r="G2651" t="str">
        <f t="shared" si="49"/>
        <v>21-40</v>
      </c>
      <c r="H2651" t="s">
        <v>35</v>
      </c>
      <c r="I2651" t="s">
        <v>61</v>
      </c>
      <c r="J2651" t="s">
        <v>62</v>
      </c>
      <c r="K2651" t="s">
        <v>26</v>
      </c>
      <c r="L2651">
        <v>1</v>
      </c>
      <c r="M2651">
        <v>1</v>
      </c>
      <c r="N2651">
        <v>5.4</v>
      </c>
      <c r="O2651">
        <v>7.9</v>
      </c>
      <c r="P2651">
        <v>3</v>
      </c>
      <c r="Q2651">
        <v>4</v>
      </c>
      <c r="R2651">
        <v>997507</v>
      </c>
      <c r="S2651">
        <f>Table1[[#This Row],[Revenue]]-Table1[[#This Row],[Operating_Costs]]</f>
        <v>157800</v>
      </c>
      <c r="T2651">
        <v>839707</v>
      </c>
      <c r="U2651">
        <v>32</v>
      </c>
      <c r="V2651">
        <v>61</v>
      </c>
      <c r="W2651">
        <v>12.1</v>
      </c>
    </row>
    <row r="2652" spans="1:23" x14ac:dyDescent="0.25">
      <c r="A2652">
        <v>8</v>
      </c>
      <c r="B2652" t="s">
        <v>52</v>
      </c>
      <c r="C2652" s="1">
        <v>45349</v>
      </c>
      <c r="D2652" t="s">
        <v>71</v>
      </c>
      <c r="E2652">
        <v>0</v>
      </c>
      <c r="F2652">
        <v>77</v>
      </c>
      <c r="G2652" t="str">
        <f t="shared" si="49"/>
        <v>61-80</v>
      </c>
      <c r="H2652" t="s">
        <v>35</v>
      </c>
      <c r="I2652" t="s">
        <v>36</v>
      </c>
      <c r="J2652" t="s">
        <v>37</v>
      </c>
      <c r="K2652" t="s">
        <v>26</v>
      </c>
      <c r="L2652">
        <v>1</v>
      </c>
      <c r="M2652">
        <v>1</v>
      </c>
      <c r="N2652">
        <v>1.5</v>
      </c>
      <c r="O2652">
        <v>7.6</v>
      </c>
      <c r="P2652">
        <v>7</v>
      </c>
      <c r="Q2652">
        <v>4</v>
      </c>
      <c r="R2652">
        <v>958231</v>
      </c>
      <c r="S2652">
        <f>Table1[[#This Row],[Revenue]]-Table1[[#This Row],[Operating_Costs]]</f>
        <v>78093</v>
      </c>
      <c r="T2652">
        <v>880138</v>
      </c>
      <c r="U2652">
        <v>38</v>
      </c>
      <c r="V2652">
        <v>57</v>
      </c>
      <c r="W2652">
        <v>10.7</v>
      </c>
    </row>
    <row r="2653" spans="1:23" x14ac:dyDescent="0.25">
      <c r="A2653">
        <v>8</v>
      </c>
      <c r="B2653" t="s">
        <v>52</v>
      </c>
      <c r="C2653" s="1">
        <v>44264</v>
      </c>
      <c r="D2653" t="s">
        <v>71</v>
      </c>
      <c r="E2653">
        <v>0</v>
      </c>
      <c r="F2653">
        <v>24</v>
      </c>
      <c r="G2653" t="str">
        <f t="shared" si="49"/>
        <v>21-40</v>
      </c>
      <c r="H2653" t="s">
        <v>35</v>
      </c>
      <c r="I2653" t="s">
        <v>40</v>
      </c>
      <c r="J2653" t="s">
        <v>41</v>
      </c>
      <c r="K2653" t="s">
        <v>33</v>
      </c>
      <c r="L2653">
        <v>1</v>
      </c>
      <c r="M2653">
        <v>1</v>
      </c>
      <c r="N2653">
        <v>4.3</v>
      </c>
      <c r="O2653">
        <v>7.8</v>
      </c>
      <c r="P2653">
        <v>6</v>
      </c>
      <c r="Q2653">
        <v>3</v>
      </c>
      <c r="R2653">
        <v>924468</v>
      </c>
      <c r="S2653">
        <f>Table1[[#This Row],[Revenue]]-Table1[[#This Row],[Operating_Costs]]</f>
        <v>41980</v>
      </c>
      <c r="T2653">
        <v>882488</v>
      </c>
      <c r="U2653">
        <v>35</v>
      </c>
      <c r="V2653">
        <v>60</v>
      </c>
      <c r="W2653">
        <v>12.5</v>
      </c>
    </row>
    <row r="2654" spans="1:23" x14ac:dyDescent="0.25">
      <c r="A2654">
        <v>8</v>
      </c>
      <c r="B2654" t="s">
        <v>52</v>
      </c>
      <c r="C2654" s="1">
        <v>44972</v>
      </c>
      <c r="D2654" t="s">
        <v>71</v>
      </c>
      <c r="E2654">
        <v>0</v>
      </c>
      <c r="F2654">
        <v>85</v>
      </c>
      <c r="G2654" t="str">
        <f t="shared" si="49"/>
        <v>81+</v>
      </c>
      <c r="H2654" t="s">
        <v>35</v>
      </c>
      <c r="I2654" t="s">
        <v>27</v>
      </c>
      <c r="J2654" t="s">
        <v>28</v>
      </c>
      <c r="K2654" t="s">
        <v>42</v>
      </c>
      <c r="L2654">
        <v>1</v>
      </c>
      <c r="M2654">
        <v>1</v>
      </c>
      <c r="N2654">
        <v>6.3</v>
      </c>
      <c r="O2654">
        <v>9.8000000000000007</v>
      </c>
      <c r="P2654">
        <v>3</v>
      </c>
      <c r="Q2654">
        <v>6</v>
      </c>
      <c r="R2654">
        <v>927507</v>
      </c>
      <c r="S2654">
        <f>Table1[[#This Row],[Revenue]]-Table1[[#This Row],[Operating_Costs]]</f>
        <v>46530</v>
      </c>
      <c r="T2654">
        <v>880977</v>
      </c>
      <c r="U2654">
        <v>39</v>
      </c>
      <c r="V2654">
        <v>61</v>
      </c>
      <c r="W2654">
        <v>36</v>
      </c>
    </row>
    <row r="2655" spans="1:23" x14ac:dyDescent="0.25">
      <c r="A2655">
        <v>8</v>
      </c>
      <c r="B2655" t="s">
        <v>52</v>
      </c>
      <c r="C2655" s="1">
        <v>44682</v>
      </c>
      <c r="D2655" t="s">
        <v>71</v>
      </c>
      <c r="E2655">
        <v>0</v>
      </c>
      <c r="F2655">
        <v>36</v>
      </c>
      <c r="G2655" t="str">
        <f t="shared" si="49"/>
        <v>21-40</v>
      </c>
      <c r="H2655" t="s">
        <v>23</v>
      </c>
      <c r="I2655" t="s">
        <v>64</v>
      </c>
      <c r="J2655" t="s">
        <v>65</v>
      </c>
      <c r="K2655" t="s">
        <v>26</v>
      </c>
      <c r="L2655">
        <v>1</v>
      </c>
      <c r="M2655">
        <v>1</v>
      </c>
      <c r="N2655">
        <v>6.4</v>
      </c>
      <c r="O2655">
        <v>9</v>
      </c>
      <c r="P2655">
        <v>5</v>
      </c>
      <c r="Q2655">
        <v>6</v>
      </c>
      <c r="R2655">
        <v>903573</v>
      </c>
      <c r="S2655">
        <f>Table1[[#This Row],[Revenue]]-Table1[[#This Row],[Operating_Costs]]</f>
        <v>103332</v>
      </c>
      <c r="T2655">
        <v>800241</v>
      </c>
      <c r="U2655">
        <v>39</v>
      </c>
      <c r="V2655">
        <v>56</v>
      </c>
      <c r="W2655">
        <v>9.6999999999999993</v>
      </c>
    </row>
    <row r="2656" spans="1:23" x14ac:dyDescent="0.25">
      <c r="A2656">
        <v>8</v>
      </c>
      <c r="B2656" t="s">
        <v>52</v>
      </c>
      <c r="C2656" s="1">
        <v>45164</v>
      </c>
      <c r="D2656" t="s">
        <v>71</v>
      </c>
      <c r="E2656">
        <v>0</v>
      </c>
      <c r="F2656">
        <v>41</v>
      </c>
      <c r="G2656" t="str">
        <f t="shared" si="49"/>
        <v>41-60</v>
      </c>
      <c r="H2656" t="s">
        <v>23</v>
      </c>
      <c r="I2656" t="s">
        <v>50</v>
      </c>
      <c r="J2656" t="s">
        <v>51</v>
      </c>
      <c r="K2656" t="s">
        <v>26</v>
      </c>
      <c r="L2656">
        <v>1</v>
      </c>
      <c r="M2656">
        <v>1</v>
      </c>
      <c r="N2656">
        <v>1.5</v>
      </c>
      <c r="O2656">
        <v>7.2</v>
      </c>
      <c r="P2656">
        <v>6</v>
      </c>
      <c r="Q2656">
        <v>3</v>
      </c>
      <c r="R2656">
        <v>962312</v>
      </c>
      <c r="S2656">
        <f>Table1[[#This Row],[Revenue]]-Table1[[#This Row],[Operating_Costs]]</f>
        <v>100136</v>
      </c>
      <c r="T2656">
        <v>862176</v>
      </c>
      <c r="U2656">
        <v>31</v>
      </c>
      <c r="V2656">
        <v>56</v>
      </c>
      <c r="W2656">
        <v>12.1</v>
      </c>
    </row>
    <row r="2657" spans="1:23" x14ac:dyDescent="0.25">
      <c r="A2657">
        <v>8</v>
      </c>
      <c r="B2657" t="s">
        <v>52</v>
      </c>
      <c r="C2657" s="1">
        <v>44993</v>
      </c>
      <c r="D2657" t="s">
        <v>71</v>
      </c>
      <c r="E2657">
        <v>0</v>
      </c>
      <c r="F2657">
        <v>25</v>
      </c>
      <c r="G2657" t="str">
        <f t="shared" si="49"/>
        <v>21-40</v>
      </c>
      <c r="H2657" t="s">
        <v>23</v>
      </c>
      <c r="I2657" t="s">
        <v>43</v>
      </c>
      <c r="J2657" t="s">
        <v>25</v>
      </c>
      <c r="K2657" t="s">
        <v>38</v>
      </c>
      <c r="L2657">
        <v>1</v>
      </c>
      <c r="M2657">
        <v>1</v>
      </c>
      <c r="N2657">
        <v>3.2</v>
      </c>
      <c r="O2657">
        <v>9.6999999999999993</v>
      </c>
      <c r="P2657">
        <v>7</v>
      </c>
      <c r="Q2657">
        <v>4</v>
      </c>
      <c r="R2657">
        <v>960747</v>
      </c>
      <c r="S2657">
        <f>Table1[[#This Row],[Revenue]]-Table1[[#This Row],[Operating_Costs]]</f>
        <v>137117</v>
      </c>
      <c r="T2657">
        <v>823630</v>
      </c>
      <c r="U2657">
        <v>33</v>
      </c>
      <c r="V2657">
        <v>54</v>
      </c>
      <c r="W2657">
        <v>10.6</v>
      </c>
    </row>
    <row r="2658" spans="1:23" x14ac:dyDescent="0.25">
      <c r="A2658">
        <v>8</v>
      </c>
      <c r="B2658" t="s">
        <v>52</v>
      </c>
      <c r="C2658" s="1">
        <v>45243</v>
      </c>
      <c r="D2658" t="s">
        <v>71</v>
      </c>
      <c r="E2658">
        <v>0</v>
      </c>
      <c r="F2658">
        <v>43</v>
      </c>
      <c r="G2658" t="str">
        <f t="shared" si="49"/>
        <v>41-60</v>
      </c>
      <c r="H2658" t="s">
        <v>23</v>
      </c>
      <c r="I2658" t="s">
        <v>67</v>
      </c>
      <c r="J2658" t="s">
        <v>68</v>
      </c>
      <c r="K2658" t="s">
        <v>33</v>
      </c>
      <c r="L2658">
        <v>1</v>
      </c>
      <c r="M2658">
        <v>1</v>
      </c>
      <c r="N2658">
        <v>6.3</v>
      </c>
      <c r="O2658">
        <v>9.9</v>
      </c>
      <c r="P2658">
        <v>3</v>
      </c>
      <c r="Q2658">
        <v>4</v>
      </c>
      <c r="R2658">
        <v>937381</v>
      </c>
      <c r="S2658">
        <f>Table1[[#This Row],[Revenue]]-Table1[[#This Row],[Operating_Costs]]</f>
        <v>61006</v>
      </c>
      <c r="T2658">
        <v>876375</v>
      </c>
      <c r="U2658">
        <v>39</v>
      </c>
      <c r="V2658">
        <v>55</v>
      </c>
      <c r="W2658">
        <v>5.9</v>
      </c>
    </row>
    <row r="2659" spans="1:23" x14ac:dyDescent="0.25">
      <c r="A2659">
        <v>8</v>
      </c>
      <c r="B2659" t="s">
        <v>52</v>
      </c>
      <c r="C2659" s="1">
        <v>44597</v>
      </c>
      <c r="D2659" t="s">
        <v>71</v>
      </c>
      <c r="E2659">
        <v>0</v>
      </c>
      <c r="F2659">
        <v>60</v>
      </c>
      <c r="G2659" t="str">
        <f t="shared" si="49"/>
        <v>41-60</v>
      </c>
      <c r="H2659" t="s">
        <v>23</v>
      </c>
      <c r="I2659" t="s">
        <v>31</v>
      </c>
      <c r="J2659" t="s">
        <v>28</v>
      </c>
      <c r="K2659" t="s">
        <v>26</v>
      </c>
      <c r="L2659">
        <v>1</v>
      </c>
      <c r="M2659">
        <v>1</v>
      </c>
      <c r="N2659">
        <v>2.2999999999999998</v>
      </c>
      <c r="O2659">
        <v>8.6999999999999993</v>
      </c>
      <c r="P2659">
        <v>7</v>
      </c>
      <c r="Q2659">
        <v>5</v>
      </c>
      <c r="R2659">
        <v>997914</v>
      </c>
      <c r="S2659">
        <f>Table1[[#This Row],[Revenue]]-Table1[[#This Row],[Operating_Costs]]</f>
        <v>101431</v>
      </c>
      <c r="T2659">
        <v>896483</v>
      </c>
      <c r="U2659">
        <v>31</v>
      </c>
      <c r="V2659">
        <v>56</v>
      </c>
      <c r="W2659">
        <v>9.4</v>
      </c>
    </row>
    <row r="2660" spans="1:23" x14ac:dyDescent="0.25">
      <c r="A2660">
        <v>8</v>
      </c>
      <c r="B2660" t="s">
        <v>52</v>
      </c>
      <c r="C2660" s="1">
        <v>45055</v>
      </c>
      <c r="D2660" t="s">
        <v>71</v>
      </c>
      <c r="E2660">
        <v>0</v>
      </c>
      <c r="F2660">
        <v>67</v>
      </c>
      <c r="G2660" t="str">
        <f t="shared" si="49"/>
        <v>61-80</v>
      </c>
      <c r="H2660" t="s">
        <v>35</v>
      </c>
      <c r="I2660" t="s">
        <v>61</v>
      </c>
      <c r="J2660" t="s">
        <v>62</v>
      </c>
      <c r="K2660" t="s">
        <v>42</v>
      </c>
      <c r="L2660">
        <v>1</v>
      </c>
      <c r="M2660">
        <v>1</v>
      </c>
      <c r="N2660">
        <v>1</v>
      </c>
      <c r="O2660">
        <v>7.3</v>
      </c>
      <c r="P2660">
        <v>3</v>
      </c>
      <c r="Q2660">
        <v>3</v>
      </c>
      <c r="R2660">
        <v>989001</v>
      </c>
      <c r="S2660">
        <f>Table1[[#This Row],[Revenue]]-Table1[[#This Row],[Operating_Costs]]</f>
        <v>162361</v>
      </c>
      <c r="T2660">
        <v>826640</v>
      </c>
      <c r="U2660">
        <v>39</v>
      </c>
      <c r="V2660">
        <v>63</v>
      </c>
      <c r="W2660">
        <v>10.1</v>
      </c>
    </row>
    <row r="2661" spans="1:23" x14ac:dyDescent="0.25">
      <c r="A2661">
        <v>8</v>
      </c>
      <c r="B2661" t="s">
        <v>52</v>
      </c>
      <c r="C2661" s="1">
        <v>44382</v>
      </c>
      <c r="D2661" t="s">
        <v>71</v>
      </c>
      <c r="E2661">
        <v>0</v>
      </c>
      <c r="F2661">
        <v>59</v>
      </c>
      <c r="G2661" t="str">
        <f t="shared" si="49"/>
        <v>41-60</v>
      </c>
      <c r="H2661" t="s">
        <v>23</v>
      </c>
      <c r="I2661" t="s">
        <v>58</v>
      </c>
      <c r="J2661" t="s">
        <v>59</v>
      </c>
      <c r="K2661" t="s">
        <v>42</v>
      </c>
      <c r="L2661">
        <v>1</v>
      </c>
      <c r="M2661">
        <v>1</v>
      </c>
      <c r="N2661">
        <v>2.2999999999999998</v>
      </c>
      <c r="O2661">
        <v>8.3000000000000007</v>
      </c>
      <c r="P2661">
        <v>5</v>
      </c>
      <c r="Q2661">
        <v>4</v>
      </c>
      <c r="R2661">
        <v>922755</v>
      </c>
      <c r="S2661">
        <f>Table1[[#This Row],[Revenue]]-Table1[[#This Row],[Operating_Costs]]</f>
        <v>26582</v>
      </c>
      <c r="T2661">
        <v>896173</v>
      </c>
      <c r="U2661">
        <v>34</v>
      </c>
      <c r="V2661">
        <v>66</v>
      </c>
      <c r="W2661">
        <v>36.6</v>
      </c>
    </row>
    <row r="2662" spans="1:23" x14ac:dyDescent="0.25">
      <c r="A2662">
        <v>8</v>
      </c>
      <c r="B2662" t="s">
        <v>52</v>
      </c>
      <c r="C2662" s="1">
        <v>45634</v>
      </c>
      <c r="D2662" t="s">
        <v>71</v>
      </c>
      <c r="E2662">
        <v>0</v>
      </c>
      <c r="F2662">
        <v>55</v>
      </c>
      <c r="G2662" t="str">
        <f t="shared" si="49"/>
        <v>41-60</v>
      </c>
      <c r="H2662" t="s">
        <v>23</v>
      </c>
      <c r="I2662" t="s">
        <v>61</v>
      </c>
      <c r="J2662" t="s">
        <v>62</v>
      </c>
      <c r="K2662" t="s">
        <v>38</v>
      </c>
      <c r="L2662">
        <v>1</v>
      </c>
      <c r="M2662">
        <v>1</v>
      </c>
      <c r="N2662">
        <v>3.6</v>
      </c>
      <c r="O2662">
        <v>9.3000000000000007</v>
      </c>
      <c r="P2662">
        <v>4</v>
      </c>
      <c r="Q2662">
        <v>7</v>
      </c>
      <c r="R2662">
        <v>908684</v>
      </c>
      <c r="S2662">
        <f>Table1[[#This Row],[Revenue]]-Table1[[#This Row],[Operating_Costs]]</f>
        <v>64118</v>
      </c>
      <c r="T2662">
        <v>844566</v>
      </c>
      <c r="U2662">
        <v>32</v>
      </c>
      <c r="V2662">
        <v>56</v>
      </c>
      <c r="W2662">
        <v>6.5</v>
      </c>
    </row>
    <row r="2663" spans="1:23" x14ac:dyDescent="0.25">
      <c r="A2663">
        <v>8</v>
      </c>
      <c r="B2663" t="s">
        <v>52</v>
      </c>
      <c r="C2663" s="1">
        <v>45410</v>
      </c>
      <c r="D2663" t="s">
        <v>71</v>
      </c>
      <c r="E2663">
        <v>0</v>
      </c>
      <c r="F2663">
        <v>88</v>
      </c>
      <c r="G2663" t="str">
        <f t="shared" si="49"/>
        <v>81+</v>
      </c>
      <c r="H2663" t="s">
        <v>35</v>
      </c>
      <c r="I2663" t="s">
        <v>58</v>
      </c>
      <c r="J2663" t="s">
        <v>59</v>
      </c>
      <c r="K2663" t="s">
        <v>42</v>
      </c>
      <c r="L2663">
        <v>1</v>
      </c>
      <c r="M2663">
        <v>1</v>
      </c>
      <c r="N2663">
        <v>1.8</v>
      </c>
      <c r="O2663">
        <v>7.6</v>
      </c>
      <c r="P2663">
        <v>7</v>
      </c>
      <c r="Q2663">
        <v>7</v>
      </c>
      <c r="R2663">
        <v>951569</v>
      </c>
      <c r="S2663">
        <f>Table1[[#This Row],[Revenue]]-Table1[[#This Row],[Operating_Costs]]</f>
        <v>117870</v>
      </c>
      <c r="T2663">
        <v>833699</v>
      </c>
      <c r="U2663">
        <v>39</v>
      </c>
      <c r="V2663">
        <v>64</v>
      </c>
      <c r="W2663">
        <v>14.1</v>
      </c>
    </row>
    <row r="2664" spans="1:23" x14ac:dyDescent="0.25">
      <c r="A2664">
        <v>8</v>
      </c>
      <c r="B2664" t="s">
        <v>52</v>
      </c>
      <c r="C2664" s="1">
        <v>44712</v>
      </c>
      <c r="D2664" t="s">
        <v>71</v>
      </c>
      <c r="E2664">
        <v>0</v>
      </c>
      <c r="F2664">
        <v>43</v>
      </c>
      <c r="G2664" t="str">
        <f t="shared" si="49"/>
        <v>41-60</v>
      </c>
      <c r="H2664" t="s">
        <v>23</v>
      </c>
      <c r="I2664" t="s">
        <v>24</v>
      </c>
      <c r="J2664" t="s">
        <v>25</v>
      </c>
      <c r="K2664" t="s">
        <v>42</v>
      </c>
      <c r="L2664">
        <v>1</v>
      </c>
      <c r="M2664">
        <v>1</v>
      </c>
      <c r="N2664">
        <v>2.1</v>
      </c>
      <c r="O2664">
        <v>9.8000000000000007</v>
      </c>
      <c r="P2664">
        <v>6</v>
      </c>
      <c r="Q2664">
        <v>4</v>
      </c>
      <c r="R2664">
        <v>914240</v>
      </c>
      <c r="S2664">
        <f>Table1[[#This Row],[Revenue]]-Table1[[#This Row],[Operating_Costs]]</f>
        <v>98661</v>
      </c>
      <c r="T2664">
        <v>815579</v>
      </c>
      <c r="U2664">
        <v>40</v>
      </c>
      <c r="V2664">
        <v>65</v>
      </c>
      <c r="W2664">
        <v>8.4</v>
      </c>
    </row>
    <row r="2665" spans="1:23" x14ac:dyDescent="0.25">
      <c r="A2665">
        <v>8</v>
      </c>
      <c r="B2665" t="s">
        <v>52</v>
      </c>
      <c r="C2665" s="1">
        <v>44747</v>
      </c>
      <c r="D2665" t="s">
        <v>71</v>
      </c>
      <c r="E2665">
        <v>0</v>
      </c>
      <c r="F2665">
        <v>46</v>
      </c>
      <c r="G2665" t="str">
        <f t="shared" si="49"/>
        <v>41-60</v>
      </c>
      <c r="H2665" t="s">
        <v>35</v>
      </c>
      <c r="I2665" t="s">
        <v>36</v>
      </c>
      <c r="J2665" t="s">
        <v>37</v>
      </c>
      <c r="K2665" t="s">
        <v>42</v>
      </c>
      <c r="L2665">
        <v>1</v>
      </c>
      <c r="M2665">
        <v>1</v>
      </c>
      <c r="N2665">
        <v>5.0999999999999996</v>
      </c>
      <c r="O2665">
        <v>8.9</v>
      </c>
      <c r="P2665">
        <v>6</v>
      </c>
      <c r="Q2665">
        <v>4</v>
      </c>
      <c r="R2665">
        <v>909122</v>
      </c>
      <c r="S2665">
        <f>Table1[[#This Row],[Revenue]]-Table1[[#This Row],[Operating_Costs]]</f>
        <v>46183</v>
      </c>
      <c r="T2665">
        <v>862939</v>
      </c>
      <c r="U2665">
        <v>39</v>
      </c>
      <c r="V2665">
        <v>63</v>
      </c>
      <c r="W2665">
        <v>36.700000000000003</v>
      </c>
    </row>
    <row r="2666" spans="1:23" x14ac:dyDescent="0.25">
      <c r="A2666">
        <v>8</v>
      </c>
      <c r="B2666" t="s">
        <v>52</v>
      </c>
      <c r="C2666" s="1">
        <v>44545</v>
      </c>
      <c r="D2666" t="s">
        <v>71</v>
      </c>
      <c r="E2666">
        <v>0</v>
      </c>
      <c r="F2666">
        <v>69</v>
      </c>
      <c r="G2666" t="str">
        <f t="shared" si="49"/>
        <v>61-80</v>
      </c>
      <c r="H2666" t="s">
        <v>23</v>
      </c>
      <c r="I2666" t="s">
        <v>50</v>
      </c>
      <c r="J2666" t="s">
        <v>51</v>
      </c>
      <c r="K2666" t="s">
        <v>33</v>
      </c>
      <c r="L2666">
        <v>1</v>
      </c>
      <c r="M2666">
        <v>1</v>
      </c>
      <c r="N2666">
        <v>3.1</v>
      </c>
      <c r="O2666">
        <v>8.6</v>
      </c>
      <c r="P2666">
        <v>4</v>
      </c>
      <c r="Q2666">
        <v>7</v>
      </c>
      <c r="R2666">
        <v>929514</v>
      </c>
      <c r="S2666">
        <f>Table1[[#This Row],[Revenue]]-Table1[[#This Row],[Operating_Costs]]</f>
        <v>70361</v>
      </c>
      <c r="T2666">
        <v>859153</v>
      </c>
      <c r="U2666">
        <v>39</v>
      </c>
      <c r="V2666">
        <v>59</v>
      </c>
      <c r="W2666">
        <v>36.1</v>
      </c>
    </row>
    <row r="2667" spans="1:23" x14ac:dyDescent="0.25">
      <c r="A2667">
        <v>8</v>
      </c>
      <c r="B2667" t="s">
        <v>52</v>
      </c>
      <c r="C2667" s="1">
        <v>44645</v>
      </c>
      <c r="D2667" t="s">
        <v>71</v>
      </c>
      <c r="E2667">
        <v>0</v>
      </c>
      <c r="F2667">
        <v>58</v>
      </c>
      <c r="G2667" t="str">
        <f t="shared" si="49"/>
        <v>41-60</v>
      </c>
      <c r="H2667" t="s">
        <v>35</v>
      </c>
      <c r="I2667" t="s">
        <v>58</v>
      </c>
      <c r="J2667" t="s">
        <v>59</v>
      </c>
      <c r="K2667" t="s">
        <v>29</v>
      </c>
      <c r="L2667">
        <v>1</v>
      </c>
      <c r="M2667">
        <v>1</v>
      </c>
      <c r="N2667">
        <v>6.9</v>
      </c>
      <c r="O2667">
        <v>8.1999999999999993</v>
      </c>
      <c r="P2667">
        <v>3</v>
      </c>
      <c r="Q2667">
        <v>4</v>
      </c>
      <c r="R2667">
        <v>905416</v>
      </c>
      <c r="S2667">
        <f>Table1[[#This Row],[Revenue]]-Table1[[#This Row],[Operating_Costs]]</f>
        <v>52112</v>
      </c>
      <c r="T2667">
        <v>853304</v>
      </c>
      <c r="U2667">
        <v>34</v>
      </c>
      <c r="V2667">
        <v>54</v>
      </c>
      <c r="W2667">
        <v>10.6</v>
      </c>
    </row>
    <row r="2668" spans="1:23" x14ac:dyDescent="0.25">
      <c r="A2668">
        <v>8</v>
      </c>
      <c r="B2668" t="s">
        <v>52</v>
      </c>
      <c r="C2668" s="1">
        <v>45015</v>
      </c>
      <c r="D2668" t="s">
        <v>71</v>
      </c>
      <c r="E2668">
        <v>0</v>
      </c>
      <c r="F2668">
        <v>47</v>
      </c>
      <c r="G2668" t="str">
        <f t="shared" si="49"/>
        <v>41-60</v>
      </c>
      <c r="H2668" t="s">
        <v>35</v>
      </c>
      <c r="I2668" t="s">
        <v>64</v>
      </c>
      <c r="J2668" t="s">
        <v>65</v>
      </c>
      <c r="K2668" t="s">
        <v>29</v>
      </c>
      <c r="L2668">
        <v>1</v>
      </c>
      <c r="M2668">
        <v>1</v>
      </c>
      <c r="N2668">
        <v>6.1</v>
      </c>
      <c r="O2668">
        <v>7.5</v>
      </c>
      <c r="P2668">
        <v>6</v>
      </c>
      <c r="Q2668">
        <v>4</v>
      </c>
      <c r="R2668">
        <v>905315</v>
      </c>
      <c r="S2668">
        <f>Table1[[#This Row],[Revenue]]-Table1[[#This Row],[Operating_Costs]]</f>
        <v>56552</v>
      </c>
      <c r="T2668">
        <v>848763</v>
      </c>
      <c r="U2668">
        <v>30</v>
      </c>
      <c r="V2668">
        <v>62</v>
      </c>
      <c r="W2668">
        <v>9.5</v>
      </c>
    </row>
    <row r="2669" spans="1:23" x14ac:dyDescent="0.25">
      <c r="A2669">
        <v>8</v>
      </c>
      <c r="B2669" t="s">
        <v>52</v>
      </c>
      <c r="C2669" s="1">
        <v>44596</v>
      </c>
      <c r="D2669" t="s">
        <v>71</v>
      </c>
      <c r="E2669">
        <v>0</v>
      </c>
      <c r="F2669">
        <v>39</v>
      </c>
      <c r="G2669" t="str">
        <f t="shared" si="49"/>
        <v>21-40</v>
      </c>
      <c r="H2669" t="s">
        <v>23</v>
      </c>
      <c r="I2669" t="s">
        <v>64</v>
      </c>
      <c r="J2669" t="s">
        <v>65</v>
      </c>
      <c r="K2669" t="s">
        <v>26</v>
      </c>
      <c r="L2669">
        <v>1</v>
      </c>
      <c r="M2669">
        <v>1</v>
      </c>
      <c r="N2669">
        <v>2.2000000000000002</v>
      </c>
      <c r="O2669">
        <v>9.6</v>
      </c>
      <c r="P2669">
        <v>4</v>
      </c>
      <c r="Q2669">
        <v>7</v>
      </c>
      <c r="R2669">
        <v>994750</v>
      </c>
      <c r="S2669">
        <f>Table1[[#This Row],[Revenue]]-Table1[[#This Row],[Operating_Costs]]</f>
        <v>102190</v>
      </c>
      <c r="T2669">
        <v>892560</v>
      </c>
      <c r="U2669">
        <v>35</v>
      </c>
      <c r="V2669">
        <v>64</v>
      </c>
      <c r="W2669">
        <v>12.3</v>
      </c>
    </row>
    <row r="2670" spans="1:23" x14ac:dyDescent="0.25">
      <c r="A2670">
        <v>8</v>
      </c>
      <c r="B2670" t="s">
        <v>52</v>
      </c>
      <c r="C2670" s="1">
        <v>45133</v>
      </c>
      <c r="D2670" t="s">
        <v>71</v>
      </c>
      <c r="E2670">
        <v>0</v>
      </c>
      <c r="F2670">
        <v>44</v>
      </c>
      <c r="G2670" t="str">
        <f t="shared" si="49"/>
        <v>41-60</v>
      </c>
      <c r="H2670" t="s">
        <v>35</v>
      </c>
      <c r="I2670" t="s">
        <v>50</v>
      </c>
      <c r="J2670" t="s">
        <v>51</v>
      </c>
      <c r="K2670" t="s">
        <v>38</v>
      </c>
      <c r="L2670">
        <v>1</v>
      </c>
      <c r="M2670">
        <v>1</v>
      </c>
      <c r="N2670">
        <v>3.3</v>
      </c>
      <c r="O2670">
        <v>7</v>
      </c>
      <c r="P2670">
        <v>4</v>
      </c>
      <c r="Q2670">
        <v>4</v>
      </c>
      <c r="R2670">
        <v>901651</v>
      </c>
      <c r="S2670">
        <f>Table1[[#This Row],[Revenue]]-Table1[[#This Row],[Operating_Costs]]</f>
        <v>12608</v>
      </c>
      <c r="T2670">
        <v>889043</v>
      </c>
      <c r="U2670">
        <v>30</v>
      </c>
      <c r="V2670">
        <v>61</v>
      </c>
      <c r="W2670">
        <v>14.4</v>
      </c>
    </row>
    <row r="2671" spans="1:23" x14ac:dyDescent="0.25">
      <c r="A2671">
        <v>8</v>
      </c>
      <c r="B2671" t="s">
        <v>52</v>
      </c>
      <c r="C2671" s="1">
        <v>44206</v>
      </c>
      <c r="D2671" t="s">
        <v>71</v>
      </c>
      <c r="E2671">
        <v>0</v>
      </c>
      <c r="F2671">
        <v>28</v>
      </c>
      <c r="G2671" t="str">
        <f t="shared" si="49"/>
        <v>21-40</v>
      </c>
      <c r="H2671" t="s">
        <v>35</v>
      </c>
      <c r="I2671" t="s">
        <v>36</v>
      </c>
      <c r="J2671" t="s">
        <v>37</v>
      </c>
      <c r="K2671" t="s">
        <v>38</v>
      </c>
      <c r="L2671">
        <v>1</v>
      </c>
      <c r="M2671">
        <v>1</v>
      </c>
      <c r="N2671">
        <v>1.4</v>
      </c>
      <c r="O2671">
        <v>7.3</v>
      </c>
      <c r="P2671">
        <v>4</v>
      </c>
      <c r="Q2671">
        <v>3</v>
      </c>
      <c r="R2671">
        <v>971320</v>
      </c>
      <c r="S2671">
        <f>Table1[[#This Row],[Revenue]]-Table1[[#This Row],[Operating_Costs]]</f>
        <v>105294</v>
      </c>
      <c r="T2671">
        <v>866026</v>
      </c>
      <c r="U2671">
        <v>38</v>
      </c>
      <c r="V2671">
        <v>59</v>
      </c>
      <c r="W2671">
        <v>10.199999999999999</v>
      </c>
    </row>
    <row r="2672" spans="1:23" x14ac:dyDescent="0.25">
      <c r="A2672">
        <v>8</v>
      </c>
      <c r="B2672" t="s">
        <v>52</v>
      </c>
      <c r="C2672" s="1">
        <v>44418</v>
      </c>
      <c r="D2672" t="s">
        <v>71</v>
      </c>
      <c r="E2672">
        <v>0</v>
      </c>
      <c r="F2672">
        <v>37</v>
      </c>
      <c r="G2672" t="str">
        <f t="shared" si="49"/>
        <v>21-40</v>
      </c>
      <c r="H2672" t="s">
        <v>23</v>
      </c>
      <c r="I2672" t="s">
        <v>55</v>
      </c>
      <c r="J2672" t="s">
        <v>56</v>
      </c>
      <c r="K2672" t="s">
        <v>38</v>
      </c>
      <c r="L2672">
        <v>1</v>
      </c>
      <c r="M2672">
        <v>1</v>
      </c>
      <c r="N2672">
        <v>5.5</v>
      </c>
      <c r="O2672">
        <v>9.4</v>
      </c>
      <c r="P2672">
        <v>5</v>
      </c>
      <c r="Q2672">
        <v>5</v>
      </c>
      <c r="R2672">
        <v>984706</v>
      </c>
      <c r="S2672">
        <f>Table1[[#This Row],[Revenue]]-Table1[[#This Row],[Operating_Costs]]</f>
        <v>87619</v>
      </c>
      <c r="T2672">
        <v>897087</v>
      </c>
      <c r="U2672">
        <v>34</v>
      </c>
      <c r="V2672">
        <v>54</v>
      </c>
      <c r="W2672">
        <v>36.4</v>
      </c>
    </row>
    <row r="2673" spans="1:23" x14ac:dyDescent="0.25">
      <c r="A2673">
        <v>8</v>
      </c>
      <c r="B2673" t="s">
        <v>52</v>
      </c>
      <c r="C2673" s="1">
        <v>44785</v>
      </c>
      <c r="D2673" t="s">
        <v>71</v>
      </c>
      <c r="E2673">
        <v>0</v>
      </c>
      <c r="F2673">
        <v>79</v>
      </c>
      <c r="G2673" t="str">
        <f t="shared" si="49"/>
        <v>61-80</v>
      </c>
      <c r="H2673" t="s">
        <v>35</v>
      </c>
      <c r="I2673" t="s">
        <v>46</v>
      </c>
      <c r="J2673" t="s">
        <v>47</v>
      </c>
      <c r="K2673" t="s">
        <v>29</v>
      </c>
      <c r="L2673">
        <v>1</v>
      </c>
      <c r="M2673">
        <v>1</v>
      </c>
      <c r="N2673">
        <v>4.8</v>
      </c>
      <c r="O2673">
        <v>7.3</v>
      </c>
      <c r="P2673">
        <v>7</v>
      </c>
      <c r="Q2673">
        <v>3</v>
      </c>
      <c r="R2673">
        <v>960717</v>
      </c>
      <c r="S2673">
        <f>Table1[[#This Row],[Revenue]]-Table1[[#This Row],[Operating_Costs]]</f>
        <v>151434</v>
      </c>
      <c r="T2673">
        <v>809283</v>
      </c>
      <c r="U2673">
        <v>35</v>
      </c>
      <c r="V2673">
        <v>58</v>
      </c>
      <c r="W2673">
        <v>13.9</v>
      </c>
    </row>
    <row r="2674" spans="1:23" x14ac:dyDescent="0.25">
      <c r="A2674">
        <v>8</v>
      </c>
      <c r="B2674" t="s">
        <v>52</v>
      </c>
      <c r="C2674" s="1">
        <v>45153</v>
      </c>
      <c r="D2674" t="s">
        <v>71</v>
      </c>
      <c r="E2674">
        <v>0</v>
      </c>
      <c r="F2674">
        <v>27</v>
      </c>
      <c r="G2674" t="str">
        <f t="shared" si="49"/>
        <v>21-40</v>
      </c>
      <c r="H2674" t="s">
        <v>35</v>
      </c>
      <c r="I2674" t="s">
        <v>31</v>
      </c>
      <c r="J2674" t="s">
        <v>28</v>
      </c>
      <c r="K2674" t="s">
        <v>29</v>
      </c>
      <c r="L2674">
        <v>1</v>
      </c>
      <c r="M2674">
        <v>1</v>
      </c>
      <c r="N2674">
        <v>5.8</v>
      </c>
      <c r="O2674">
        <v>7.4</v>
      </c>
      <c r="P2674">
        <v>5</v>
      </c>
      <c r="Q2674">
        <v>6</v>
      </c>
      <c r="R2674">
        <v>906522</v>
      </c>
      <c r="S2674">
        <f>Table1[[#This Row],[Revenue]]-Table1[[#This Row],[Operating_Costs]]</f>
        <v>81985</v>
      </c>
      <c r="T2674">
        <v>824537</v>
      </c>
      <c r="U2674">
        <v>40</v>
      </c>
      <c r="V2674">
        <v>63</v>
      </c>
      <c r="W2674">
        <v>10.8</v>
      </c>
    </row>
    <row r="2675" spans="1:23" x14ac:dyDescent="0.25">
      <c r="A2675">
        <v>8</v>
      </c>
      <c r="B2675" t="s">
        <v>52</v>
      </c>
      <c r="C2675" s="1">
        <v>45390</v>
      </c>
      <c r="D2675" t="s">
        <v>71</v>
      </c>
      <c r="E2675">
        <v>0</v>
      </c>
      <c r="F2675">
        <v>39</v>
      </c>
      <c r="G2675" t="str">
        <f t="shared" si="49"/>
        <v>21-40</v>
      </c>
      <c r="H2675" t="s">
        <v>35</v>
      </c>
      <c r="I2675" t="s">
        <v>61</v>
      </c>
      <c r="J2675" t="s">
        <v>62</v>
      </c>
      <c r="K2675" t="s">
        <v>29</v>
      </c>
      <c r="L2675">
        <v>1</v>
      </c>
      <c r="M2675">
        <v>1</v>
      </c>
      <c r="N2675">
        <v>6.6</v>
      </c>
      <c r="O2675">
        <v>9.4</v>
      </c>
      <c r="P2675">
        <v>7</v>
      </c>
      <c r="Q2675">
        <v>6</v>
      </c>
      <c r="R2675">
        <v>908180</v>
      </c>
      <c r="S2675">
        <f>Table1[[#This Row],[Revenue]]-Table1[[#This Row],[Operating_Costs]]</f>
        <v>19430</v>
      </c>
      <c r="T2675">
        <v>888750</v>
      </c>
      <c r="U2675">
        <v>39</v>
      </c>
      <c r="V2675">
        <v>59</v>
      </c>
      <c r="W2675">
        <v>9.9</v>
      </c>
    </row>
    <row r="2676" spans="1:23" x14ac:dyDescent="0.25">
      <c r="A2676">
        <v>8</v>
      </c>
      <c r="B2676" t="s">
        <v>52</v>
      </c>
      <c r="C2676" s="1">
        <v>45467</v>
      </c>
      <c r="D2676" t="s">
        <v>71</v>
      </c>
      <c r="E2676">
        <v>0</v>
      </c>
      <c r="F2676">
        <v>55</v>
      </c>
      <c r="G2676" t="str">
        <f t="shared" si="49"/>
        <v>41-60</v>
      </c>
      <c r="H2676" t="s">
        <v>35</v>
      </c>
      <c r="I2676" t="s">
        <v>46</v>
      </c>
      <c r="J2676" t="s">
        <v>47</v>
      </c>
      <c r="K2676" t="s">
        <v>33</v>
      </c>
      <c r="L2676">
        <v>1</v>
      </c>
      <c r="M2676">
        <v>1</v>
      </c>
      <c r="N2676">
        <v>2</v>
      </c>
      <c r="O2676">
        <v>7.7</v>
      </c>
      <c r="P2676">
        <v>3</v>
      </c>
      <c r="Q2676">
        <v>5</v>
      </c>
      <c r="R2676">
        <v>946875</v>
      </c>
      <c r="S2676">
        <f>Table1[[#This Row],[Revenue]]-Table1[[#This Row],[Operating_Costs]]</f>
        <v>100065</v>
      </c>
      <c r="T2676">
        <v>846810</v>
      </c>
      <c r="U2676">
        <v>39</v>
      </c>
      <c r="V2676">
        <v>65</v>
      </c>
      <c r="W2676">
        <v>10.199999999999999</v>
      </c>
    </row>
    <row r="2677" spans="1:23" x14ac:dyDescent="0.25">
      <c r="A2677">
        <v>8</v>
      </c>
      <c r="B2677" t="s">
        <v>52</v>
      </c>
      <c r="C2677" s="1">
        <v>44744</v>
      </c>
      <c r="D2677" t="s">
        <v>71</v>
      </c>
      <c r="E2677">
        <v>0</v>
      </c>
      <c r="F2677">
        <v>35</v>
      </c>
      <c r="G2677" t="str">
        <f t="shared" si="49"/>
        <v>21-40</v>
      </c>
      <c r="H2677" t="s">
        <v>35</v>
      </c>
      <c r="I2677" t="s">
        <v>46</v>
      </c>
      <c r="J2677" t="s">
        <v>47</v>
      </c>
      <c r="K2677" t="s">
        <v>38</v>
      </c>
      <c r="L2677">
        <v>1</v>
      </c>
      <c r="M2677">
        <v>1</v>
      </c>
      <c r="N2677">
        <v>1.7</v>
      </c>
      <c r="O2677">
        <v>7.2</v>
      </c>
      <c r="P2677">
        <v>6</v>
      </c>
      <c r="Q2677">
        <v>7</v>
      </c>
      <c r="R2677">
        <v>959937</v>
      </c>
      <c r="S2677">
        <f>Table1[[#This Row],[Revenue]]-Table1[[#This Row],[Operating_Costs]]</f>
        <v>102492</v>
      </c>
      <c r="T2677">
        <v>857445</v>
      </c>
      <c r="U2677">
        <v>34</v>
      </c>
      <c r="V2677">
        <v>58</v>
      </c>
      <c r="W2677">
        <v>6.5</v>
      </c>
    </row>
    <row r="2678" spans="1:23" x14ac:dyDescent="0.25">
      <c r="A2678">
        <v>8</v>
      </c>
      <c r="B2678" t="s">
        <v>52</v>
      </c>
      <c r="C2678" s="1">
        <v>45351</v>
      </c>
      <c r="D2678" t="s">
        <v>71</v>
      </c>
      <c r="E2678">
        <v>0</v>
      </c>
      <c r="F2678">
        <v>33</v>
      </c>
      <c r="G2678" t="str">
        <f t="shared" si="49"/>
        <v>21-40</v>
      </c>
      <c r="H2678" t="s">
        <v>23</v>
      </c>
      <c r="I2678" t="s">
        <v>64</v>
      </c>
      <c r="J2678" t="s">
        <v>65</v>
      </c>
      <c r="K2678" t="s">
        <v>33</v>
      </c>
      <c r="L2678">
        <v>1</v>
      </c>
      <c r="M2678">
        <v>1</v>
      </c>
      <c r="N2678">
        <v>2.9</v>
      </c>
      <c r="O2678">
        <v>8.6999999999999993</v>
      </c>
      <c r="P2678">
        <v>3</v>
      </c>
      <c r="Q2678">
        <v>7</v>
      </c>
      <c r="R2678">
        <v>983050</v>
      </c>
      <c r="S2678">
        <f>Table1[[#This Row],[Revenue]]-Table1[[#This Row],[Operating_Costs]]</f>
        <v>109401</v>
      </c>
      <c r="T2678">
        <v>873649</v>
      </c>
      <c r="U2678">
        <v>38</v>
      </c>
      <c r="V2678">
        <v>56</v>
      </c>
      <c r="W2678">
        <v>13.9</v>
      </c>
    </row>
    <row r="2679" spans="1:23" x14ac:dyDescent="0.25">
      <c r="A2679">
        <v>8</v>
      </c>
      <c r="B2679" t="s">
        <v>52</v>
      </c>
      <c r="C2679" s="1">
        <v>45634</v>
      </c>
      <c r="D2679" t="s">
        <v>71</v>
      </c>
      <c r="E2679">
        <v>0</v>
      </c>
      <c r="F2679">
        <v>43</v>
      </c>
      <c r="G2679" t="str">
        <f t="shared" si="49"/>
        <v>41-60</v>
      </c>
      <c r="H2679" t="s">
        <v>23</v>
      </c>
      <c r="I2679" t="s">
        <v>31</v>
      </c>
      <c r="J2679" t="s">
        <v>28</v>
      </c>
      <c r="K2679" t="s">
        <v>38</v>
      </c>
      <c r="L2679">
        <v>1</v>
      </c>
      <c r="M2679">
        <v>1</v>
      </c>
      <c r="N2679">
        <v>5</v>
      </c>
      <c r="O2679">
        <v>8.9</v>
      </c>
      <c r="P2679">
        <v>7</v>
      </c>
      <c r="Q2679">
        <v>4</v>
      </c>
      <c r="R2679">
        <v>964526</v>
      </c>
      <c r="S2679">
        <f>Table1[[#This Row],[Revenue]]-Table1[[#This Row],[Operating_Costs]]</f>
        <v>134087</v>
      </c>
      <c r="T2679">
        <v>830439</v>
      </c>
      <c r="U2679">
        <v>40</v>
      </c>
      <c r="V2679">
        <v>64</v>
      </c>
      <c r="W2679">
        <v>12.1</v>
      </c>
    </row>
    <row r="2680" spans="1:23" x14ac:dyDescent="0.25">
      <c r="A2680">
        <v>8</v>
      </c>
      <c r="B2680" t="s">
        <v>52</v>
      </c>
      <c r="C2680" s="1">
        <v>44840</v>
      </c>
      <c r="D2680" t="s">
        <v>71</v>
      </c>
      <c r="E2680">
        <v>0</v>
      </c>
      <c r="F2680">
        <v>80</v>
      </c>
      <c r="G2680" t="str">
        <f t="shared" si="49"/>
        <v>61-80</v>
      </c>
      <c r="H2680" t="s">
        <v>23</v>
      </c>
      <c r="I2680" t="s">
        <v>31</v>
      </c>
      <c r="J2680" t="s">
        <v>28</v>
      </c>
      <c r="K2680" t="s">
        <v>26</v>
      </c>
      <c r="L2680">
        <v>1</v>
      </c>
      <c r="M2680">
        <v>1</v>
      </c>
      <c r="N2680">
        <v>6.9</v>
      </c>
      <c r="O2680">
        <v>8.5</v>
      </c>
      <c r="P2680">
        <v>6</v>
      </c>
      <c r="Q2680">
        <v>6</v>
      </c>
      <c r="R2680">
        <v>932923</v>
      </c>
      <c r="S2680">
        <f>Table1[[#This Row],[Revenue]]-Table1[[#This Row],[Operating_Costs]]</f>
        <v>77125</v>
      </c>
      <c r="T2680">
        <v>855798</v>
      </c>
      <c r="U2680">
        <v>31</v>
      </c>
      <c r="V2680">
        <v>66</v>
      </c>
      <c r="W2680">
        <v>10.1</v>
      </c>
    </row>
    <row r="2681" spans="1:23" x14ac:dyDescent="0.25">
      <c r="A2681">
        <v>8</v>
      </c>
      <c r="B2681" t="s">
        <v>52</v>
      </c>
      <c r="C2681" s="1">
        <v>44957</v>
      </c>
      <c r="D2681" t="s">
        <v>71</v>
      </c>
      <c r="E2681">
        <v>0</v>
      </c>
      <c r="F2681">
        <v>69</v>
      </c>
      <c r="G2681" t="str">
        <f t="shared" si="49"/>
        <v>61-80</v>
      </c>
      <c r="H2681" t="s">
        <v>23</v>
      </c>
      <c r="I2681" t="s">
        <v>58</v>
      </c>
      <c r="J2681" t="s">
        <v>59</v>
      </c>
      <c r="K2681" t="s">
        <v>42</v>
      </c>
      <c r="L2681">
        <v>1</v>
      </c>
      <c r="M2681">
        <v>1</v>
      </c>
      <c r="N2681">
        <v>2.6</v>
      </c>
      <c r="O2681">
        <v>8.9</v>
      </c>
      <c r="P2681">
        <v>5</v>
      </c>
      <c r="Q2681">
        <v>7</v>
      </c>
      <c r="R2681">
        <v>959336</v>
      </c>
      <c r="S2681">
        <f>Table1[[#This Row],[Revenue]]-Table1[[#This Row],[Operating_Costs]]</f>
        <v>87526</v>
      </c>
      <c r="T2681">
        <v>871810</v>
      </c>
      <c r="U2681">
        <v>32</v>
      </c>
      <c r="V2681">
        <v>55</v>
      </c>
      <c r="W2681">
        <v>8.5</v>
      </c>
    </row>
    <row r="2682" spans="1:23" x14ac:dyDescent="0.25">
      <c r="A2682">
        <v>8</v>
      </c>
      <c r="B2682" t="s">
        <v>52</v>
      </c>
      <c r="C2682" s="1">
        <v>44751</v>
      </c>
      <c r="D2682" t="s">
        <v>71</v>
      </c>
      <c r="E2682">
        <v>0</v>
      </c>
      <c r="F2682">
        <v>28</v>
      </c>
      <c r="G2682" t="str">
        <f t="shared" si="49"/>
        <v>21-40</v>
      </c>
      <c r="H2682" t="s">
        <v>35</v>
      </c>
      <c r="I2682" t="s">
        <v>36</v>
      </c>
      <c r="J2682" t="s">
        <v>37</v>
      </c>
      <c r="K2682" t="s">
        <v>26</v>
      </c>
      <c r="L2682">
        <v>1</v>
      </c>
      <c r="M2682">
        <v>1</v>
      </c>
      <c r="N2682">
        <v>3.3</v>
      </c>
      <c r="O2682">
        <v>7.4</v>
      </c>
      <c r="P2682">
        <v>3</v>
      </c>
      <c r="Q2682">
        <v>5</v>
      </c>
      <c r="R2682">
        <v>956696</v>
      </c>
      <c r="S2682">
        <f>Table1[[#This Row],[Revenue]]-Table1[[#This Row],[Operating_Costs]]</f>
        <v>131430</v>
      </c>
      <c r="T2682">
        <v>825266</v>
      </c>
      <c r="U2682">
        <v>31</v>
      </c>
      <c r="V2682">
        <v>64</v>
      </c>
      <c r="W2682">
        <v>12.1</v>
      </c>
    </row>
    <row r="2683" spans="1:23" x14ac:dyDescent="0.25">
      <c r="A2683">
        <v>8</v>
      </c>
      <c r="B2683" t="s">
        <v>52</v>
      </c>
      <c r="C2683" s="1">
        <v>44307</v>
      </c>
      <c r="D2683" t="s">
        <v>71</v>
      </c>
      <c r="E2683">
        <v>0</v>
      </c>
      <c r="F2683">
        <v>86</v>
      </c>
      <c r="G2683" t="str">
        <f t="shared" si="49"/>
        <v>81+</v>
      </c>
      <c r="H2683" t="s">
        <v>23</v>
      </c>
      <c r="I2683" t="s">
        <v>50</v>
      </c>
      <c r="J2683" t="s">
        <v>51</v>
      </c>
      <c r="K2683" t="s">
        <v>26</v>
      </c>
      <c r="L2683">
        <v>1</v>
      </c>
      <c r="M2683">
        <v>1</v>
      </c>
      <c r="N2683">
        <v>3.7</v>
      </c>
      <c r="O2683">
        <v>7.4</v>
      </c>
      <c r="P2683">
        <v>4</v>
      </c>
      <c r="Q2683">
        <v>3</v>
      </c>
      <c r="R2683">
        <v>955636</v>
      </c>
      <c r="S2683">
        <f>Table1[[#This Row],[Revenue]]-Table1[[#This Row],[Operating_Costs]]</f>
        <v>142737</v>
      </c>
      <c r="T2683">
        <v>812899</v>
      </c>
      <c r="U2683">
        <v>36</v>
      </c>
      <c r="V2683">
        <v>54</v>
      </c>
      <c r="W2683">
        <v>6</v>
      </c>
    </row>
    <row r="2684" spans="1:23" x14ac:dyDescent="0.25">
      <c r="A2684">
        <v>8</v>
      </c>
      <c r="B2684" t="s">
        <v>52</v>
      </c>
      <c r="C2684" s="1">
        <v>44584</v>
      </c>
      <c r="D2684" t="s">
        <v>71</v>
      </c>
      <c r="E2684">
        <v>0</v>
      </c>
      <c r="F2684">
        <v>25</v>
      </c>
      <c r="G2684" t="str">
        <f t="shared" si="49"/>
        <v>21-40</v>
      </c>
      <c r="H2684" t="s">
        <v>23</v>
      </c>
      <c r="I2684" t="s">
        <v>31</v>
      </c>
      <c r="J2684" t="s">
        <v>28</v>
      </c>
      <c r="K2684" t="s">
        <v>38</v>
      </c>
      <c r="L2684">
        <v>1</v>
      </c>
      <c r="M2684">
        <v>1</v>
      </c>
      <c r="N2684">
        <v>1.9</v>
      </c>
      <c r="O2684">
        <v>8.1999999999999993</v>
      </c>
      <c r="P2684">
        <v>7</v>
      </c>
      <c r="Q2684">
        <v>3</v>
      </c>
      <c r="R2684">
        <v>922255</v>
      </c>
      <c r="S2684">
        <f>Table1[[#This Row],[Revenue]]-Table1[[#This Row],[Operating_Costs]]</f>
        <v>49064</v>
      </c>
      <c r="T2684">
        <v>873191</v>
      </c>
      <c r="U2684">
        <v>35</v>
      </c>
      <c r="V2684">
        <v>65</v>
      </c>
      <c r="W2684">
        <v>8.4</v>
      </c>
    </row>
    <row r="2685" spans="1:23" x14ac:dyDescent="0.25">
      <c r="A2685">
        <v>8</v>
      </c>
      <c r="B2685" t="s">
        <v>52</v>
      </c>
      <c r="C2685" s="1">
        <v>45262</v>
      </c>
      <c r="D2685" t="s">
        <v>71</v>
      </c>
      <c r="E2685">
        <v>0</v>
      </c>
      <c r="F2685">
        <v>37</v>
      </c>
      <c r="G2685" t="str">
        <f t="shared" si="49"/>
        <v>21-40</v>
      </c>
      <c r="H2685" t="s">
        <v>23</v>
      </c>
      <c r="I2685" t="s">
        <v>24</v>
      </c>
      <c r="J2685" t="s">
        <v>25</v>
      </c>
      <c r="K2685" t="s">
        <v>42</v>
      </c>
      <c r="L2685">
        <v>1</v>
      </c>
      <c r="M2685">
        <v>1</v>
      </c>
      <c r="N2685">
        <v>6.3</v>
      </c>
      <c r="O2685">
        <v>7.5</v>
      </c>
      <c r="P2685">
        <v>5</v>
      </c>
      <c r="Q2685">
        <v>4</v>
      </c>
      <c r="R2685">
        <v>913545</v>
      </c>
      <c r="S2685">
        <f>Table1[[#This Row],[Revenue]]-Table1[[#This Row],[Operating_Costs]]</f>
        <v>102999</v>
      </c>
      <c r="T2685">
        <v>810546</v>
      </c>
      <c r="U2685">
        <v>39</v>
      </c>
      <c r="V2685">
        <v>66</v>
      </c>
      <c r="W2685">
        <v>9.4</v>
      </c>
    </row>
    <row r="2686" spans="1:23" x14ac:dyDescent="0.25">
      <c r="A2686">
        <v>8</v>
      </c>
      <c r="B2686" t="s">
        <v>52</v>
      </c>
      <c r="C2686" s="1">
        <v>44600</v>
      </c>
      <c r="D2686" t="s">
        <v>71</v>
      </c>
      <c r="E2686">
        <v>0</v>
      </c>
      <c r="F2686">
        <v>51</v>
      </c>
      <c r="G2686" t="str">
        <f t="shared" si="49"/>
        <v>41-60</v>
      </c>
      <c r="H2686" t="s">
        <v>35</v>
      </c>
      <c r="I2686" t="s">
        <v>46</v>
      </c>
      <c r="J2686" t="s">
        <v>47</v>
      </c>
      <c r="K2686" t="s">
        <v>33</v>
      </c>
      <c r="L2686">
        <v>1</v>
      </c>
      <c r="M2686">
        <v>1</v>
      </c>
      <c r="N2686">
        <v>3.1</v>
      </c>
      <c r="O2686">
        <v>8.4</v>
      </c>
      <c r="P2686">
        <v>4</v>
      </c>
      <c r="Q2686">
        <v>5</v>
      </c>
      <c r="R2686">
        <v>985504</v>
      </c>
      <c r="S2686">
        <f>Table1[[#This Row],[Revenue]]-Table1[[#This Row],[Operating_Costs]]</f>
        <v>109987</v>
      </c>
      <c r="T2686">
        <v>875517</v>
      </c>
      <c r="U2686">
        <v>38</v>
      </c>
      <c r="V2686">
        <v>59</v>
      </c>
      <c r="W2686">
        <v>5.7</v>
      </c>
    </row>
    <row r="2687" spans="1:23" x14ac:dyDescent="0.25">
      <c r="A2687">
        <v>8</v>
      </c>
      <c r="B2687" t="s">
        <v>52</v>
      </c>
      <c r="C2687" s="1">
        <v>45578</v>
      </c>
      <c r="D2687" t="s">
        <v>71</v>
      </c>
      <c r="E2687">
        <v>0</v>
      </c>
      <c r="F2687">
        <v>35</v>
      </c>
      <c r="G2687" t="str">
        <f t="shared" si="49"/>
        <v>21-40</v>
      </c>
      <c r="H2687" t="s">
        <v>23</v>
      </c>
      <c r="I2687" t="s">
        <v>43</v>
      </c>
      <c r="J2687" t="s">
        <v>25</v>
      </c>
      <c r="K2687" t="s">
        <v>33</v>
      </c>
      <c r="L2687">
        <v>1</v>
      </c>
      <c r="M2687">
        <v>1</v>
      </c>
      <c r="N2687">
        <v>5.5</v>
      </c>
      <c r="O2687">
        <v>7.3</v>
      </c>
      <c r="P2687">
        <v>4</v>
      </c>
      <c r="Q2687">
        <v>6</v>
      </c>
      <c r="R2687">
        <v>986077</v>
      </c>
      <c r="S2687">
        <f>Table1[[#This Row],[Revenue]]-Table1[[#This Row],[Operating_Costs]]</f>
        <v>148422</v>
      </c>
      <c r="T2687">
        <v>837655</v>
      </c>
      <c r="U2687">
        <v>39</v>
      </c>
      <c r="V2687">
        <v>62</v>
      </c>
      <c r="W2687">
        <v>36.5</v>
      </c>
    </row>
    <row r="2688" spans="1:23" x14ac:dyDescent="0.25">
      <c r="A2688">
        <v>8</v>
      </c>
      <c r="B2688" t="s">
        <v>52</v>
      </c>
      <c r="C2688" s="1">
        <v>45211</v>
      </c>
      <c r="D2688" t="s">
        <v>71</v>
      </c>
      <c r="E2688">
        <v>0</v>
      </c>
      <c r="F2688">
        <v>39</v>
      </c>
      <c r="G2688" t="str">
        <f t="shared" si="49"/>
        <v>21-40</v>
      </c>
      <c r="H2688" t="s">
        <v>23</v>
      </c>
      <c r="I2688" t="s">
        <v>61</v>
      </c>
      <c r="J2688" t="s">
        <v>62</v>
      </c>
      <c r="K2688" t="s">
        <v>38</v>
      </c>
      <c r="L2688">
        <v>1</v>
      </c>
      <c r="M2688">
        <v>1</v>
      </c>
      <c r="N2688">
        <v>2.4</v>
      </c>
      <c r="O2688">
        <v>9.4</v>
      </c>
      <c r="P2688">
        <v>6</v>
      </c>
      <c r="Q2688">
        <v>4</v>
      </c>
      <c r="R2688">
        <v>967995</v>
      </c>
      <c r="S2688">
        <f>Table1[[#This Row],[Revenue]]-Table1[[#This Row],[Operating_Costs]]</f>
        <v>71476</v>
      </c>
      <c r="T2688">
        <v>896519</v>
      </c>
      <c r="U2688">
        <v>31</v>
      </c>
      <c r="V2688">
        <v>58</v>
      </c>
      <c r="W2688">
        <v>12.2</v>
      </c>
    </row>
    <row r="2689" spans="1:23" x14ac:dyDescent="0.25">
      <c r="A2689">
        <v>8</v>
      </c>
      <c r="B2689" t="s">
        <v>52</v>
      </c>
      <c r="C2689" s="1">
        <v>45612</v>
      </c>
      <c r="D2689" t="s">
        <v>71</v>
      </c>
      <c r="E2689">
        <v>0</v>
      </c>
      <c r="F2689">
        <v>26</v>
      </c>
      <c r="G2689" t="str">
        <f t="shared" si="49"/>
        <v>21-40</v>
      </c>
      <c r="H2689" t="s">
        <v>23</v>
      </c>
      <c r="I2689" t="s">
        <v>31</v>
      </c>
      <c r="J2689" t="s">
        <v>28</v>
      </c>
      <c r="K2689" t="s">
        <v>33</v>
      </c>
      <c r="L2689">
        <v>1</v>
      </c>
      <c r="M2689">
        <v>1</v>
      </c>
      <c r="N2689">
        <v>5.9</v>
      </c>
      <c r="O2689">
        <v>9</v>
      </c>
      <c r="P2689">
        <v>6</v>
      </c>
      <c r="Q2689">
        <v>4</v>
      </c>
      <c r="R2689">
        <v>991622</v>
      </c>
      <c r="S2689">
        <f>Table1[[#This Row],[Revenue]]-Table1[[#This Row],[Operating_Costs]]</f>
        <v>105931</v>
      </c>
      <c r="T2689">
        <v>885691</v>
      </c>
      <c r="U2689">
        <v>32</v>
      </c>
      <c r="V2689">
        <v>55</v>
      </c>
      <c r="W2689">
        <v>14</v>
      </c>
    </row>
    <row r="2690" spans="1:23" x14ac:dyDescent="0.25">
      <c r="A2690">
        <v>8</v>
      </c>
      <c r="B2690" t="s">
        <v>52</v>
      </c>
      <c r="C2690" s="1">
        <v>44374</v>
      </c>
      <c r="D2690" t="s">
        <v>71</v>
      </c>
      <c r="E2690">
        <v>0</v>
      </c>
      <c r="F2690">
        <v>40</v>
      </c>
      <c r="G2690" t="str">
        <f t="shared" si="49"/>
        <v>21-40</v>
      </c>
      <c r="H2690" t="s">
        <v>23</v>
      </c>
      <c r="I2690" t="s">
        <v>58</v>
      </c>
      <c r="J2690" t="s">
        <v>59</v>
      </c>
      <c r="K2690" t="s">
        <v>42</v>
      </c>
      <c r="L2690">
        <v>1</v>
      </c>
      <c r="M2690">
        <v>1</v>
      </c>
      <c r="N2690">
        <v>4.4000000000000004</v>
      </c>
      <c r="O2690">
        <v>8.9</v>
      </c>
      <c r="P2690">
        <v>3</v>
      </c>
      <c r="Q2690">
        <v>4</v>
      </c>
      <c r="R2690">
        <v>917597</v>
      </c>
      <c r="S2690">
        <f>Table1[[#This Row],[Revenue]]-Table1[[#This Row],[Operating_Costs]]</f>
        <v>31570</v>
      </c>
      <c r="T2690">
        <v>886027</v>
      </c>
      <c r="U2690">
        <v>35</v>
      </c>
      <c r="V2690">
        <v>61</v>
      </c>
      <c r="W2690">
        <v>36.6</v>
      </c>
    </row>
    <row r="2691" spans="1:23" x14ac:dyDescent="0.25">
      <c r="A2691">
        <v>8</v>
      </c>
      <c r="B2691" t="s">
        <v>52</v>
      </c>
      <c r="C2691" s="1">
        <v>45597</v>
      </c>
      <c r="D2691" t="s">
        <v>71</v>
      </c>
      <c r="E2691">
        <v>0</v>
      </c>
      <c r="F2691">
        <v>33</v>
      </c>
      <c r="G2691" t="str">
        <f t="shared" ref="G2691:G2754" si="50">IF(F2691&lt;=20,"0-20",IF(F2691&lt;=40,"21-40",IF(F2691&lt;=60,"41-60",IF(F2691&lt;=80,"61-80","81+"))))</f>
        <v>21-40</v>
      </c>
      <c r="H2691" t="s">
        <v>35</v>
      </c>
      <c r="I2691" t="s">
        <v>40</v>
      </c>
      <c r="J2691" t="s">
        <v>41</v>
      </c>
      <c r="K2691" t="s">
        <v>38</v>
      </c>
      <c r="L2691">
        <v>1</v>
      </c>
      <c r="M2691">
        <v>1</v>
      </c>
      <c r="N2691">
        <v>2.2999999999999998</v>
      </c>
      <c r="O2691">
        <v>8.4</v>
      </c>
      <c r="P2691">
        <v>6</v>
      </c>
      <c r="Q2691">
        <v>4</v>
      </c>
      <c r="R2691">
        <v>955451</v>
      </c>
      <c r="S2691">
        <f>Table1[[#This Row],[Revenue]]-Table1[[#This Row],[Operating_Costs]]</f>
        <v>99525</v>
      </c>
      <c r="T2691">
        <v>855926</v>
      </c>
      <c r="U2691">
        <v>34</v>
      </c>
      <c r="V2691">
        <v>64</v>
      </c>
      <c r="W2691">
        <v>5.3</v>
      </c>
    </row>
    <row r="2692" spans="1:23" x14ac:dyDescent="0.25">
      <c r="A2692">
        <v>8</v>
      </c>
      <c r="B2692" t="s">
        <v>52</v>
      </c>
      <c r="C2692" s="1">
        <v>44478</v>
      </c>
      <c r="D2692" t="s">
        <v>71</v>
      </c>
      <c r="E2692">
        <v>0</v>
      </c>
      <c r="F2692">
        <v>80</v>
      </c>
      <c r="G2692" t="str">
        <f t="shared" si="50"/>
        <v>61-80</v>
      </c>
      <c r="H2692" t="s">
        <v>35</v>
      </c>
      <c r="I2692" t="s">
        <v>50</v>
      </c>
      <c r="J2692" t="s">
        <v>51</v>
      </c>
      <c r="K2692" t="s">
        <v>42</v>
      </c>
      <c r="L2692">
        <v>1</v>
      </c>
      <c r="M2692">
        <v>1</v>
      </c>
      <c r="N2692">
        <v>5.7</v>
      </c>
      <c r="O2692">
        <v>8.8000000000000007</v>
      </c>
      <c r="P2692">
        <v>5</v>
      </c>
      <c r="Q2692">
        <v>4</v>
      </c>
      <c r="R2692">
        <v>947539</v>
      </c>
      <c r="S2692">
        <f>Table1[[#This Row],[Revenue]]-Table1[[#This Row],[Operating_Costs]]</f>
        <v>97691</v>
      </c>
      <c r="T2692">
        <v>849848</v>
      </c>
      <c r="U2692">
        <v>34</v>
      </c>
      <c r="V2692">
        <v>60</v>
      </c>
      <c r="W2692">
        <v>13.2</v>
      </c>
    </row>
    <row r="2693" spans="1:23" x14ac:dyDescent="0.25">
      <c r="A2693">
        <v>8</v>
      </c>
      <c r="B2693" t="s">
        <v>52</v>
      </c>
      <c r="C2693" s="1">
        <v>44677</v>
      </c>
      <c r="D2693" t="s">
        <v>71</v>
      </c>
      <c r="E2693">
        <v>0</v>
      </c>
      <c r="F2693">
        <v>62</v>
      </c>
      <c r="G2693" t="str">
        <f t="shared" si="50"/>
        <v>61-80</v>
      </c>
      <c r="H2693" t="s">
        <v>35</v>
      </c>
      <c r="I2693" t="s">
        <v>27</v>
      </c>
      <c r="J2693" t="s">
        <v>28</v>
      </c>
      <c r="K2693" t="s">
        <v>42</v>
      </c>
      <c r="L2693">
        <v>1</v>
      </c>
      <c r="M2693">
        <v>1</v>
      </c>
      <c r="N2693">
        <v>2.8</v>
      </c>
      <c r="O2693">
        <v>9.3000000000000007</v>
      </c>
      <c r="P2693">
        <v>4</v>
      </c>
      <c r="Q2693">
        <v>5</v>
      </c>
      <c r="R2693">
        <v>967690</v>
      </c>
      <c r="S2693">
        <f>Table1[[#This Row],[Revenue]]-Table1[[#This Row],[Operating_Costs]]</f>
        <v>95407</v>
      </c>
      <c r="T2693">
        <v>872283</v>
      </c>
      <c r="U2693">
        <v>36</v>
      </c>
      <c r="V2693">
        <v>58</v>
      </c>
      <c r="W2693">
        <v>6</v>
      </c>
    </row>
    <row r="2694" spans="1:23" x14ac:dyDescent="0.25">
      <c r="A2694">
        <v>8</v>
      </c>
      <c r="B2694" t="s">
        <v>52</v>
      </c>
      <c r="C2694" s="1">
        <v>45053</v>
      </c>
      <c r="D2694" t="s">
        <v>71</v>
      </c>
      <c r="E2694">
        <v>0</v>
      </c>
      <c r="F2694">
        <v>21</v>
      </c>
      <c r="G2694" t="str">
        <f t="shared" si="50"/>
        <v>21-40</v>
      </c>
      <c r="H2694" t="s">
        <v>23</v>
      </c>
      <c r="I2694" t="s">
        <v>50</v>
      </c>
      <c r="J2694" t="s">
        <v>51</v>
      </c>
      <c r="K2694" t="s">
        <v>26</v>
      </c>
      <c r="L2694">
        <v>1</v>
      </c>
      <c r="M2694">
        <v>1</v>
      </c>
      <c r="N2694">
        <v>2.2000000000000002</v>
      </c>
      <c r="O2694">
        <v>9.3000000000000007</v>
      </c>
      <c r="P2694">
        <v>5</v>
      </c>
      <c r="Q2694">
        <v>5</v>
      </c>
      <c r="R2694">
        <v>997957</v>
      </c>
      <c r="S2694">
        <f>Table1[[#This Row],[Revenue]]-Table1[[#This Row],[Operating_Costs]]</f>
        <v>166638</v>
      </c>
      <c r="T2694">
        <v>831319</v>
      </c>
      <c r="U2694">
        <v>40</v>
      </c>
      <c r="V2694">
        <v>57</v>
      </c>
      <c r="W2694">
        <v>12.8</v>
      </c>
    </row>
    <row r="2695" spans="1:23" x14ac:dyDescent="0.25">
      <c r="A2695">
        <v>8</v>
      </c>
      <c r="B2695" t="s">
        <v>52</v>
      </c>
      <c r="C2695" s="1">
        <v>44700</v>
      </c>
      <c r="D2695" t="s">
        <v>71</v>
      </c>
      <c r="E2695">
        <v>0</v>
      </c>
      <c r="F2695">
        <v>86</v>
      </c>
      <c r="G2695" t="str">
        <f t="shared" si="50"/>
        <v>81+</v>
      </c>
      <c r="H2695" t="s">
        <v>23</v>
      </c>
      <c r="I2695" t="s">
        <v>46</v>
      </c>
      <c r="J2695" t="s">
        <v>47</v>
      </c>
      <c r="K2695" t="s">
        <v>29</v>
      </c>
      <c r="L2695">
        <v>1</v>
      </c>
      <c r="M2695">
        <v>1</v>
      </c>
      <c r="N2695">
        <v>1.8</v>
      </c>
      <c r="O2695">
        <v>9.4</v>
      </c>
      <c r="P2695">
        <v>5</v>
      </c>
      <c r="Q2695">
        <v>3</v>
      </c>
      <c r="R2695">
        <v>978996</v>
      </c>
      <c r="S2695">
        <f>Table1[[#This Row],[Revenue]]-Table1[[#This Row],[Operating_Costs]]</f>
        <v>140769</v>
      </c>
      <c r="T2695">
        <v>838227</v>
      </c>
      <c r="U2695">
        <v>36</v>
      </c>
      <c r="V2695">
        <v>54</v>
      </c>
      <c r="W2695">
        <v>12.6</v>
      </c>
    </row>
    <row r="2696" spans="1:23" x14ac:dyDescent="0.25">
      <c r="A2696">
        <v>8</v>
      </c>
      <c r="B2696" t="s">
        <v>52</v>
      </c>
      <c r="C2696" s="1">
        <v>44678</v>
      </c>
      <c r="D2696" t="s">
        <v>71</v>
      </c>
      <c r="E2696">
        <v>0</v>
      </c>
      <c r="F2696">
        <v>44</v>
      </c>
      <c r="G2696" t="str">
        <f t="shared" si="50"/>
        <v>41-60</v>
      </c>
      <c r="H2696" t="s">
        <v>23</v>
      </c>
      <c r="I2696" t="s">
        <v>24</v>
      </c>
      <c r="J2696" t="s">
        <v>25</v>
      </c>
      <c r="K2696" t="s">
        <v>26</v>
      </c>
      <c r="L2696">
        <v>1</v>
      </c>
      <c r="M2696">
        <v>1</v>
      </c>
      <c r="N2696">
        <v>6.1</v>
      </c>
      <c r="O2696">
        <v>8.4</v>
      </c>
      <c r="P2696">
        <v>5</v>
      </c>
      <c r="Q2696">
        <v>3</v>
      </c>
      <c r="R2696">
        <v>937050</v>
      </c>
      <c r="S2696">
        <f>Table1[[#This Row],[Revenue]]-Table1[[#This Row],[Operating_Costs]]</f>
        <v>122445</v>
      </c>
      <c r="T2696">
        <v>814605</v>
      </c>
      <c r="U2696">
        <v>37</v>
      </c>
      <c r="V2696">
        <v>64</v>
      </c>
      <c r="W2696">
        <v>6</v>
      </c>
    </row>
    <row r="2697" spans="1:23" x14ac:dyDescent="0.25">
      <c r="A2697">
        <v>8</v>
      </c>
      <c r="B2697" t="s">
        <v>52</v>
      </c>
      <c r="C2697" s="1">
        <v>44305</v>
      </c>
      <c r="D2697" t="s">
        <v>71</v>
      </c>
      <c r="E2697">
        <v>0</v>
      </c>
      <c r="F2697">
        <v>75</v>
      </c>
      <c r="G2697" t="str">
        <f t="shared" si="50"/>
        <v>61-80</v>
      </c>
      <c r="H2697" t="s">
        <v>23</v>
      </c>
      <c r="I2697" t="s">
        <v>46</v>
      </c>
      <c r="J2697" t="s">
        <v>47</v>
      </c>
      <c r="K2697" t="s">
        <v>42</v>
      </c>
      <c r="L2697">
        <v>1</v>
      </c>
      <c r="M2697">
        <v>1</v>
      </c>
      <c r="N2697">
        <v>3</v>
      </c>
      <c r="O2697">
        <v>9.9</v>
      </c>
      <c r="P2697">
        <v>4</v>
      </c>
      <c r="Q2697">
        <v>3</v>
      </c>
      <c r="R2697">
        <v>942470</v>
      </c>
      <c r="S2697">
        <f>Table1[[#This Row],[Revenue]]-Table1[[#This Row],[Operating_Costs]]</f>
        <v>103751</v>
      </c>
      <c r="T2697">
        <v>838719</v>
      </c>
      <c r="U2697">
        <v>39</v>
      </c>
      <c r="V2697">
        <v>64</v>
      </c>
      <c r="W2697">
        <v>7.3</v>
      </c>
    </row>
    <row r="2698" spans="1:23" x14ac:dyDescent="0.25">
      <c r="A2698">
        <v>8</v>
      </c>
      <c r="B2698" t="s">
        <v>52</v>
      </c>
      <c r="C2698" s="1">
        <v>44231</v>
      </c>
      <c r="D2698" t="s">
        <v>71</v>
      </c>
      <c r="E2698">
        <v>0</v>
      </c>
      <c r="F2698">
        <v>80</v>
      </c>
      <c r="G2698" t="str">
        <f t="shared" si="50"/>
        <v>61-80</v>
      </c>
      <c r="H2698" t="s">
        <v>35</v>
      </c>
      <c r="I2698" t="s">
        <v>46</v>
      </c>
      <c r="J2698" t="s">
        <v>47</v>
      </c>
      <c r="K2698" t="s">
        <v>38</v>
      </c>
      <c r="L2698">
        <v>1</v>
      </c>
      <c r="M2698">
        <v>1</v>
      </c>
      <c r="N2698">
        <v>3.4</v>
      </c>
      <c r="O2698">
        <v>7.1</v>
      </c>
      <c r="P2698">
        <v>3</v>
      </c>
      <c r="Q2698">
        <v>4</v>
      </c>
      <c r="R2698">
        <v>971048</v>
      </c>
      <c r="S2698">
        <f>Table1[[#This Row],[Revenue]]-Table1[[#This Row],[Operating_Costs]]</f>
        <v>143692</v>
      </c>
      <c r="T2698">
        <v>827356</v>
      </c>
      <c r="U2698">
        <v>34</v>
      </c>
      <c r="V2698">
        <v>59</v>
      </c>
      <c r="W2698">
        <v>13.1</v>
      </c>
    </row>
    <row r="2699" spans="1:23" x14ac:dyDescent="0.25">
      <c r="A2699">
        <v>8</v>
      </c>
      <c r="B2699" t="s">
        <v>52</v>
      </c>
      <c r="C2699" s="1">
        <v>44777</v>
      </c>
      <c r="D2699" t="s">
        <v>71</v>
      </c>
      <c r="E2699">
        <v>0</v>
      </c>
      <c r="F2699">
        <v>39</v>
      </c>
      <c r="G2699" t="str">
        <f t="shared" si="50"/>
        <v>21-40</v>
      </c>
      <c r="H2699" t="s">
        <v>35</v>
      </c>
      <c r="I2699" t="s">
        <v>58</v>
      </c>
      <c r="J2699" t="s">
        <v>59</v>
      </c>
      <c r="K2699" t="s">
        <v>29</v>
      </c>
      <c r="L2699">
        <v>1</v>
      </c>
      <c r="M2699">
        <v>1</v>
      </c>
      <c r="N2699">
        <v>2.8</v>
      </c>
      <c r="O2699">
        <v>7.6</v>
      </c>
      <c r="P2699">
        <v>4</v>
      </c>
      <c r="Q2699">
        <v>4</v>
      </c>
      <c r="R2699">
        <v>958829</v>
      </c>
      <c r="S2699">
        <f>Table1[[#This Row],[Revenue]]-Table1[[#This Row],[Operating_Costs]]</f>
        <v>80276</v>
      </c>
      <c r="T2699">
        <v>878553</v>
      </c>
      <c r="U2699">
        <v>38</v>
      </c>
      <c r="V2699">
        <v>56</v>
      </c>
      <c r="W2699">
        <v>7</v>
      </c>
    </row>
    <row r="2700" spans="1:23" x14ac:dyDescent="0.25">
      <c r="A2700">
        <v>8</v>
      </c>
      <c r="B2700" t="s">
        <v>52</v>
      </c>
      <c r="C2700" s="1">
        <v>44605</v>
      </c>
      <c r="D2700" t="s">
        <v>71</v>
      </c>
      <c r="E2700">
        <v>0</v>
      </c>
      <c r="F2700">
        <v>66</v>
      </c>
      <c r="G2700" t="str">
        <f t="shared" si="50"/>
        <v>61-80</v>
      </c>
      <c r="H2700" t="s">
        <v>35</v>
      </c>
      <c r="I2700" t="s">
        <v>40</v>
      </c>
      <c r="J2700" t="s">
        <v>41</v>
      </c>
      <c r="K2700" t="s">
        <v>29</v>
      </c>
      <c r="L2700">
        <v>1</v>
      </c>
      <c r="M2700">
        <v>1</v>
      </c>
      <c r="N2700">
        <v>3.7</v>
      </c>
      <c r="O2700">
        <v>7.3</v>
      </c>
      <c r="P2700">
        <v>7</v>
      </c>
      <c r="Q2700">
        <v>6</v>
      </c>
      <c r="R2700">
        <v>999293</v>
      </c>
      <c r="S2700">
        <f>Table1[[#This Row],[Revenue]]-Table1[[#This Row],[Operating_Costs]]</f>
        <v>100804</v>
      </c>
      <c r="T2700">
        <v>898489</v>
      </c>
      <c r="U2700">
        <v>40</v>
      </c>
      <c r="V2700">
        <v>65</v>
      </c>
      <c r="W2700">
        <v>8.9</v>
      </c>
    </row>
    <row r="2701" spans="1:23" x14ac:dyDescent="0.25">
      <c r="A2701">
        <v>8</v>
      </c>
      <c r="B2701" t="s">
        <v>52</v>
      </c>
      <c r="C2701" s="1">
        <v>45223</v>
      </c>
      <c r="D2701" t="s">
        <v>71</v>
      </c>
      <c r="E2701">
        <v>0</v>
      </c>
      <c r="F2701">
        <v>69</v>
      </c>
      <c r="G2701" t="str">
        <f t="shared" si="50"/>
        <v>61-80</v>
      </c>
      <c r="H2701" t="s">
        <v>35</v>
      </c>
      <c r="I2701" t="s">
        <v>36</v>
      </c>
      <c r="J2701" t="s">
        <v>37</v>
      </c>
      <c r="K2701" t="s">
        <v>42</v>
      </c>
      <c r="L2701">
        <v>1</v>
      </c>
      <c r="M2701">
        <v>1</v>
      </c>
      <c r="N2701">
        <v>6.6</v>
      </c>
      <c r="O2701">
        <v>7.4</v>
      </c>
      <c r="P2701">
        <v>4</v>
      </c>
      <c r="Q2701">
        <v>4</v>
      </c>
      <c r="R2701">
        <v>938958</v>
      </c>
      <c r="S2701">
        <f>Table1[[#This Row],[Revenue]]-Table1[[#This Row],[Operating_Costs]]</f>
        <v>67205</v>
      </c>
      <c r="T2701">
        <v>871753</v>
      </c>
      <c r="U2701">
        <v>36</v>
      </c>
      <c r="V2701">
        <v>55</v>
      </c>
      <c r="W2701">
        <v>6.9</v>
      </c>
    </row>
    <row r="2702" spans="1:23" x14ac:dyDescent="0.25">
      <c r="A2702">
        <v>8</v>
      </c>
      <c r="B2702" t="s">
        <v>52</v>
      </c>
      <c r="C2702" s="1">
        <v>45656</v>
      </c>
      <c r="D2702" t="s">
        <v>71</v>
      </c>
      <c r="E2702">
        <v>0</v>
      </c>
      <c r="F2702">
        <v>59</v>
      </c>
      <c r="G2702" t="str">
        <f t="shared" si="50"/>
        <v>41-60</v>
      </c>
      <c r="H2702" t="s">
        <v>23</v>
      </c>
      <c r="I2702" t="s">
        <v>58</v>
      </c>
      <c r="J2702" t="s">
        <v>59</v>
      </c>
      <c r="K2702" t="s">
        <v>26</v>
      </c>
      <c r="L2702">
        <v>1</v>
      </c>
      <c r="M2702">
        <v>1</v>
      </c>
      <c r="N2702">
        <v>3.6</v>
      </c>
      <c r="O2702">
        <v>8.1999999999999993</v>
      </c>
      <c r="P2702">
        <v>4</v>
      </c>
      <c r="Q2702">
        <v>7</v>
      </c>
      <c r="R2702">
        <v>921204</v>
      </c>
      <c r="S2702">
        <f>Table1[[#This Row],[Revenue]]-Table1[[#This Row],[Operating_Costs]]</f>
        <v>28034</v>
      </c>
      <c r="T2702">
        <v>893170</v>
      </c>
      <c r="U2702">
        <v>33</v>
      </c>
      <c r="V2702">
        <v>54</v>
      </c>
      <c r="W2702">
        <v>14.9</v>
      </c>
    </row>
    <row r="2703" spans="1:23" x14ac:dyDescent="0.25">
      <c r="A2703">
        <v>8</v>
      </c>
      <c r="B2703" t="s">
        <v>52</v>
      </c>
      <c r="C2703" s="1">
        <v>44421</v>
      </c>
      <c r="D2703" t="s">
        <v>71</v>
      </c>
      <c r="E2703">
        <v>0</v>
      </c>
      <c r="F2703">
        <v>47</v>
      </c>
      <c r="G2703" t="str">
        <f t="shared" si="50"/>
        <v>41-60</v>
      </c>
      <c r="H2703" t="s">
        <v>23</v>
      </c>
      <c r="I2703" t="s">
        <v>24</v>
      </c>
      <c r="J2703" t="s">
        <v>25</v>
      </c>
      <c r="K2703" t="s">
        <v>26</v>
      </c>
      <c r="L2703">
        <v>1</v>
      </c>
      <c r="M2703">
        <v>1</v>
      </c>
      <c r="N2703">
        <v>6.8</v>
      </c>
      <c r="O2703">
        <v>7.8</v>
      </c>
      <c r="P2703">
        <v>7</v>
      </c>
      <c r="Q2703">
        <v>5</v>
      </c>
      <c r="R2703">
        <v>939972</v>
      </c>
      <c r="S2703">
        <f>Table1[[#This Row],[Revenue]]-Table1[[#This Row],[Operating_Costs]]</f>
        <v>72209</v>
      </c>
      <c r="T2703">
        <v>867763</v>
      </c>
      <c r="U2703">
        <v>39</v>
      </c>
      <c r="V2703">
        <v>58</v>
      </c>
      <c r="W2703">
        <v>8.6</v>
      </c>
    </row>
    <row r="2704" spans="1:23" x14ac:dyDescent="0.25">
      <c r="A2704">
        <v>8</v>
      </c>
      <c r="B2704" t="s">
        <v>52</v>
      </c>
      <c r="C2704" s="1">
        <v>45068</v>
      </c>
      <c r="D2704" t="s">
        <v>71</v>
      </c>
      <c r="E2704">
        <v>0</v>
      </c>
      <c r="F2704">
        <v>29</v>
      </c>
      <c r="G2704" t="str">
        <f t="shared" si="50"/>
        <v>21-40</v>
      </c>
      <c r="H2704" t="s">
        <v>35</v>
      </c>
      <c r="I2704" t="s">
        <v>61</v>
      </c>
      <c r="J2704" t="s">
        <v>62</v>
      </c>
      <c r="K2704" t="s">
        <v>26</v>
      </c>
      <c r="L2704">
        <v>1</v>
      </c>
      <c r="M2704">
        <v>1</v>
      </c>
      <c r="N2704">
        <v>4.2</v>
      </c>
      <c r="O2704">
        <v>7</v>
      </c>
      <c r="P2704">
        <v>7</v>
      </c>
      <c r="Q2704">
        <v>4</v>
      </c>
      <c r="R2704">
        <v>917280</v>
      </c>
      <c r="S2704">
        <f>Table1[[#This Row],[Revenue]]-Table1[[#This Row],[Operating_Costs]]</f>
        <v>66327</v>
      </c>
      <c r="T2704">
        <v>850953</v>
      </c>
      <c r="U2704">
        <v>37</v>
      </c>
      <c r="V2704">
        <v>54</v>
      </c>
      <c r="W2704">
        <v>8.1999999999999993</v>
      </c>
    </row>
    <row r="2705" spans="1:23" x14ac:dyDescent="0.25">
      <c r="A2705">
        <v>8</v>
      </c>
      <c r="B2705" t="s">
        <v>52</v>
      </c>
      <c r="C2705" s="1">
        <v>44910</v>
      </c>
      <c r="D2705" t="s">
        <v>71</v>
      </c>
      <c r="E2705">
        <v>0</v>
      </c>
      <c r="F2705">
        <v>31</v>
      </c>
      <c r="G2705" t="str">
        <f t="shared" si="50"/>
        <v>21-40</v>
      </c>
      <c r="H2705" t="s">
        <v>35</v>
      </c>
      <c r="I2705" t="s">
        <v>36</v>
      </c>
      <c r="J2705" t="s">
        <v>37</v>
      </c>
      <c r="K2705" t="s">
        <v>42</v>
      </c>
      <c r="L2705">
        <v>1</v>
      </c>
      <c r="M2705">
        <v>1</v>
      </c>
      <c r="N2705">
        <v>1.5</v>
      </c>
      <c r="O2705">
        <v>8.3000000000000007</v>
      </c>
      <c r="P2705">
        <v>6</v>
      </c>
      <c r="Q2705">
        <v>7</v>
      </c>
      <c r="R2705">
        <v>954359</v>
      </c>
      <c r="S2705">
        <f>Table1[[#This Row],[Revenue]]-Table1[[#This Row],[Operating_Costs]]</f>
        <v>152153</v>
      </c>
      <c r="T2705">
        <v>802206</v>
      </c>
      <c r="U2705">
        <v>30</v>
      </c>
      <c r="V2705">
        <v>64</v>
      </c>
      <c r="W2705">
        <v>5.8</v>
      </c>
    </row>
    <row r="2706" spans="1:23" x14ac:dyDescent="0.25">
      <c r="A2706">
        <v>8</v>
      </c>
      <c r="B2706" t="s">
        <v>52</v>
      </c>
      <c r="C2706" s="1">
        <v>44566</v>
      </c>
      <c r="D2706" t="s">
        <v>71</v>
      </c>
      <c r="E2706">
        <v>0</v>
      </c>
      <c r="F2706">
        <v>25</v>
      </c>
      <c r="G2706" t="str">
        <f t="shared" si="50"/>
        <v>21-40</v>
      </c>
      <c r="H2706" t="s">
        <v>35</v>
      </c>
      <c r="I2706" t="s">
        <v>27</v>
      </c>
      <c r="J2706" t="s">
        <v>28</v>
      </c>
      <c r="K2706" t="s">
        <v>29</v>
      </c>
      <c r="L2706">
        <v>1</v>
      </c>
      <c r="M2706">
        <v>1</v>
      </c>
      <c r="N2706">
        <v>5.9</v>
      </c>
      <c r="O2706">
        <v>9</v>
      </c>
      <c r="P2706">
        <v>7</v>
      </c>
      <c r="Q2706">
        <v>4</v>
      </c>
      <c r="R2706">
        <v>967128</v>
      </c>
      <c r="S2706">
        <f>Table1[[#This Row],[Revenue]]-Table1[[#This Row],[Operating_Costs]]</f>
        <v>147931</v>
      </c>
      <c r="T2706">
        <v>819197</v>
      </c>
      <c r="U2706">
        <v>32</v>
      </c>
      <c r="V2706">
        <v>54</v>
      </c>
      <c r="W2706">
        <v>10.8</v>
      </c>
    </row>
    <row r="2707" spans="1:23" x14ac:dyDescent="0.25">
      <c r="A2707">
        <v>8</v>
      </c>
      <c r="B2707" t="s">
        <v>52</v>
      </c>
      <c r="C2707" s="1">
        <v>44703</v>
      </c>
      <c r="D2707" t="s">
        <v>71</v>
      </c>
      <c r="E2707">
        <v>0</v>
      </c>
      <c r="F2707">
        <v>55</v>
      </c>
      <c r="G2707" t="str">
        <f t="shared" si="50"/>
        <v>41-60</v>
      </c>
      <c r="H2707" t="s">
        <v>35</v>
      </c>
      <c r="I2707" t="s">
        <v>31</v>
      </c>
      <c r="J2707" t="s">
        <v>28</v>
      </c>
      <c r="K2707" t="s">
        <v>26</v>
      </c>
      <c r="L2707">
        <v>1</v>
      </c>
      <c r="M2707">
        <v>1</v>
      </c>
      <c r="N2707">
        <v>3</v>
      </c>
      <c r="O2707">
        <v>9.8000000000000007</v>
      </c>
      <c r="P2707">
        <v>6</v>
      </c>
      <c r="Q2707">
        <v>7</v>
      </c>
      <c r="R2707">
        <v>984514</v>
      </c>
      <c r="S2707">
        <f>Table1[[#This Row],[Revenue]]-Table1[[#This Row],[Operating_Costs]]</f>
        <v>87948</v>
      </c>
      <c r="T2707">
        <v>896566</v>
      </c>
      <c r="U2707">
        <v>38</v>
      </c>
      <c r="V2707">
        <v>58</v>
      </c>
      <c r="W2707">
        <v>10.3</v>
      </c>
    </row>
    <row r="2708" spans="1:23" x14ac:dyDescent="0.25">
      <c r="A2708">
        <v>8</v>
      </c>
      <c r="B2708" t="s">
        <v>52</v>
      </c>
      <c r="C2708" s="1">
        <v>45453</v>
      </c>
      <c r="D2708" t="s">
        <v>71</v>
      </c>
      <c r="E2708">
        <v>0</v>
      </c>
      <c r="F2708">
        <v>43</v>
      </c>
      <c r="G2708" t="str">
        <f t="shared" si="50"/>
        <v>41-60</v>
      </c>
      <c r="H2708" t="s">
        <v>35</v>
      </c>
      <c r="I2708" t="s">
        <v>64</v>
      </c>
      <c r="J2708" t="s">
        <v>65</v>
      </c>
      <c r="K2708" t="s">
        <v>26</v>
      </c>
      <c r="L2708">
        <v>1</v>
      </c>
      <c r="M2708">
        <v>1</v>
      </c>
      <c r="N2708">
        <v>5.9</v>
      </c>
      <c r="O2708">
        <v>8.1999999999999993</v>
      </c>
      <c r="P2708">
        <v>4</v>
      </c>
      <c r="Q2708">
        <v>4</v>
      </c>
      <c r="R2708">
        <v>980028</v>
      </c>
      <c r="S2708">
        <f>Table1[[#This Row],[Revenue]]-Table1[[#This Row],[Operating_Costs]]</f>
        <v>120006</v>
      </c>
      <c r="T2708">
        <v>860022</v>
      </c>
      <c r="U2708">
        <v>37</v>
      </c>
      <c r="V2708">
        <v>55</v>
      </c>
      <c r="W2708">
        <v>10.1</v>
      </c>
    </row>
    <row r="2709" spans="1:23" x14ac:dyDescent="0.25">
      <c r="A2709">
        <v>8</v>
      </c>
      <c r="B2709" t="s">
        <v>52</v>
      </c>
      <c r="C2709" s="1">
        <v>45462</v>
      </c>
      <c r="D2709" t="s">
        <v>71</v>
      </c>
      <c r="E2709">
        <v>0</v>
      </c>
      <c r="F2709">
        <v>32</v>
      </c>
      <c r="G2709" t="str">
        <f t="shared" si="50"/>
        <v>21-40</v>
      </c>
      <c r="H2709" t="s">
        <v>35</v>
      </c>
      <c r="I2709" t="s">
        <v>36</v>
      </c>
      <c r="J2709" t="s">
        <v>37</v>
      </c>
      <c r="K2709" t="s">
        <v>33</v>
      </c>
      <c r="L2709">
        <v>1</v>
      </c>
      <c r="M2709">
        <v>1</v>
      </c>
      <c r="N2709">
        <v>2.6</v>
      </c>
      <c r="O2709">
        <v>8</v>
      </c>
      <c r="P2709">
        <v>5</v>
      </c>
      <c r="Q2709">
        <v>4</v>
      </c>
      <c r="R2709">
        <v>944486</v>
      </c>
      <c r="S2709">
        <f>Table1[[#This Row],[Revenue]]-Table1[[#This Row],[Operating_Costs]]</f>
        <v>77896</v>
      </c>
      <c r="T2709">
        <v>866590</v>
      </c>
      <c r="U2709">
        <v>38</v>
      </c>
      <c r="V2709">
        <v>60</v>
      </c>
      <c r="W2709">
        <v>5.0999999999999996</v>
      </c>
    </row>
    <row r="2710" spans="1:23" x14ac:dyDescent="0.25">
      <c r="A2710">
        <v>8</v>
      </c>
      <c r="B2710" t="s">
        <v>52</v>
      </c>
      <c r="C2710" s="1">
        <v>44872</v>
      </c>
      <c r="D2710" t="s">
        <v>71</v>
      </c>
      <c r="E2710">
        <v>0</v>
      </c>
      <c r="F2710">
        <v>60</v>
      </c>
      <c r="G2710" t="str">
        <f t="shared" si="50"/>
        <v>41-60</v>
      </c>
      <c r="H2710" t="s">
        <v>23</v>
      </c>
      <c r="I2710" t="s">
        <v>24</v>
      </c>
      <c r="J2710" t="s">
        <v>25</v>
      </c>
      <c r="K2710" t="s">
        <v>33</v>
      </c>
      <c r="L2710">
        <v>1</v>
      </c>
      <c r="M2710">
        <v>1</v>
      </c>
      <c r="N2710">
        <v>1.2</v>
      </c>
      <c r="O2710">
        <v>7.2</v>
      </c>
      <c r="P2710">
        <v>3</v>
      </c>
      <c r="Q2710">
        <v>4</v>
      </c>
      <c r="R2710">
        <v>951436</v>
      </c>
      <c r="S2710">
        <f>Table1[[#This Row],[Revenue]]-Table1[[#This Row],[Operating_Costs]]</f>
        <v>99902</v>
      </c>
      <c r="T2710">
        <v>851534</v>
      </c>
      <c r="U2710">
        <v>38</v>
      </c>
      <c r="V2710">
        <v>59</v>
      </c>
      <c r="W2710">
        <v>13.5</v>
      </c>
    </row>
    <row r="2711" spans="1:23" x14ac:dyDescent="0.25">
      <c r="A2711">
        <v>8</v>
      </c>
      <c r="B2711" t="s">
        <v>52</v>
      </c>
      <c r="C2711" s="1">
        <v>44852</v>
      </c>
      <c r="D2711" t="s">
        <v>71</v>
      </c>
      <c r="E2711">
        <v>0</v>
      </c>
      <c r="F2711">
        <v>43</v>
      </c>
      <c r="G2711" t="str">
        <f t="shared" si="50"/>
        <v>41-60</v>
      </c>
      <c r="H2711" t="s">
        <v>35</v>
      </c>
      <c r="I2711" t="s">
        <v>55</v>
      </c>
      <c r="J2711" t="s">
        <v>56</v>
      </c>
      <c r="K2711" t="s">
        <v>29</v>
      </c>
      <c r="L2711">
        <v>1</v>
      </c>
      <c r="M2711">
        <v>1</v>
      </c>
      <c r="N2711">
        <v>2.1</v>
      </c>
      <c r="O2711">
        <v>9.9</v>
      </c>
      <c r="P2711">
        <v>3</v>
      </c>
      <c r="Q2711">
        <v>7</v>
      </c>
      <c r="R2711">
        <v>919400</v>
      </c>
      <c r="S2711">
        <f>Table1[[#This Row],[Revenue]]-Table1[[#This Row],[Operating_Costs]]</f>
        <v>75070</v>
      </c>
      <c r="T2711">
        <v>844330</v>
      </c>
      <c r="U2711">
        <v>32</v>
      </c>
      <c r="V2711">
        <v>64</v>
      </c>
      <c r="W2711">
        <v>10.3</v>
      </c>
    </row>
    <row r="2712" spans="1:23" x14ac:dyDescent="0.25">
      <c r="A2712">
        <v>8</v>
      </c>
      <c r="B2712" t="s">
        <v>52</v>
      </c>
      <c r="C2712" s="1">
        <v>45038</v>
      </c>
      <c r="D2712" t="s">
        <v>71</v>
      </c>
      <c r="E2712">
        <v>0</v>
      </c>
      <c r="F2712">
        <v>26</v>
      </c>
      <c r="G2712" t="str">
        <f t="shared" si="50"/>
        <v>21-40</v>
      </c>
      <c r="H2712" t="s">
        <v>23</v>
      </c>
      <c r="I2712" t="s">
        <v>24</v>
      </c>
      <c r="J2712" t="s">
        <v>25</v>
      </c>
      <c r="K2712" t="s">
        <v>33</v>
      </c>
      <c r="L2712">
        <v>1</v>
      </c>
      <c r="M2712">
        <v>1</v>
      </c>
      <c r="N2712">
        <v>5</v>
      </c>
      <c r="O2712">
        <v>8.6999999999999993</v>
      </c>
      <c r="P2712">
        <v>4</v>
      </c>
      <c r="Q2712">
        <v>3</v>
      </c>
      <c r="R2712">
        <v>984456</v>
      </c>
      <c r="S2712">
        <f>Table1[[#This Row],[Revenue]]-Table1[[#This Row],[Operating_Costs]]</f>
        <v>153132</v>
      </c>
      <c r="T2712">
        <v>831324</v>
      </c>
      <c r="U2712">
        <v>37</v>
      </c>
      <c r="V2712">
        <v>57</v>
      </c>
      <c r="W2712">
        <v>5.9</v>
      </c>
    </row>
    <row r="2713" spans="1:23" x14ac:dyDescent="0.25">
      <c r="A2713">
        <v>8</v>
      </c>
      <c r="B2713" t="s">
        <v>52</v>
      </c>
      <c r="C2713" s="1">
        <v>44746</v>
      </c>
      <c r="D2713" t="s">
        <v>71</v>
      </c>
      <c r="E2713">
        <v>0</v>
      </c>
      <c r="F2713">
        <v>29</v>
      </c>
      <c r="G2713" t="str">
        <f t="shared" si="50"/>
        <v>21-40</v>
      </c>
      <c r="H2713" t="s">
        <v>35</v>
      </c>
      <c r="I2713" t="s">
        <v>58</v>
      </c>
      <c r="J2713" t="s">
        <v>59</v>
      </c>
      <c r="K2713" t="s">
        <v>29</v>
      </c>
      <c r="L2713">
        <v>1</v>
      </c>
      <c r="M2713">
        <v>1</v>
      </c>
      <c r="N2713">
        <v>2.4</v>
      </c>
      <c r="O2713">
        <v>9.3000000000000007</v>
      </c>
      <c r="P2713">
        <v>3</v>
      </c>
      <c r="Q2713">
        <v>5</v>
      </c>
      <c r="R2713">
        <v>953596</v>
      </c>
      <c r="S2713">
        <f>Table1[[#This Row],[Revenue]]-Table1[[#This Row],[Operating_Costs]]</f>
        <v>132130</v>
      </c>
      <c r="T2713">
        <v>821466</v>
      </c>
      <c r="U2713">
        <v>32</v>
      </c>
      <c r="V2713">
        <v>66</v>
      </c>
      <c r="W2713">
        <v>9.3000000000000007</v>
      </c>
    </row>
    <row r="2714" spans="1:23" x14ac:dyDescent="0.25">
      <c r="A2714">
        <v>8</v>
      </c>
      <c r="B2714" t="s">
        <v>52</v>
      </c>
      <c r="C2714" s="1">
        <v>44781</v>
      </c>
      <c r="D2714" t="s">
        <v>71</v>
      </c>
      <c r="E2714">
        <v>0</v>
      </c>
      <c r="F2714">
        <v>43</v>
      </c>
      <c r="G2714" t="str">
        <f t="shared" si="50"/>
        <v>41-60</v>
      </c>
      <c r="H2714" t="s">
        <v>23</v>
      </c>
      <c r="I2714" t="s">
        <v>46</v>
      </c>
      <c r="J2714" t="s">
        <v>47</v>
      </c>
      <c r="K2714" t="s">
        <v>42</v>
      </c>
      <c r="L2714">
        <v>1</v>
      </c>
      <c r="M2714">
        <v>1</v>
      </c>
      <c r="N2714">
        <v>2.2999999999999998</v>
      </c>
      <c r="O2714">
        <v>9.5</v>
      </c>
      <c r="P2714">
        <v>3</v>
      </c>
      <c r="Q2714">
        <v>6</v>
      </c>
      <c r="R2714">
        <v>924616</v>
      </c>
      <c r="S2714">
        <f>Table1[[#This Row],[Revenue]]-Table1[[#This Row],[Operating_Costs]]</f>
        <v>109525</v>
      </c>
      <c r="T2714">
        <v>815091</v>
      </c>
      <c r="U2714">
        <v>40</v>
      </c>
      <c r="V2714">
        <v>60</v>
      </c>
      <c r="W2714">
        <v>5.4</v>
      </c>
    </row>
    <row r="2715" spans="1:23" x14ac:dyDescent="0.25">
      <c r="A2715">
        <v>8</v>
      </c>
      <c r="B2715" t="s">
        <v>52</v>
      </c>
      <c r="C2715" s="1">
        <v>44775</v>
      </c>
      <c r="D2715" t="s">
        <v>71</v>
      </c>
      <c r="E2715">
        <v>0</v>
      </c>
      <c r="F2715">
        <v>47</v>
      </c>
      <c r="G2715" t="str">
        <f t="shared" si="50"/>
        <v>41-60</v>
      </c>
      <c r="H2715" t="s">
        <v>23</v>
      </c>
      <c r="I2715" t="s">
        <v>24</v>
      </c>
      <c r="J2715" t="s">
        <v>25</v>
      </c>
      <c r="K2715" t="s">
        <v>42</v>
      </c>
      <c r="L2715">
        <v>1</v>
      </c>
      <c r="M2715">
        <v>1</v>
      </c>
      <c r="N2715">
        <v>6.3</v>
      </c>
      <c r="O2715">
        <v>9</v>
      </c>
      <c r="P2715">
        <v>6</v>
      </c>
      <c r="Q2715">
        <v>5</v>
      </c>
      <c r="R2715">
        <v>906226</v>
      </c>
      <c r="S2715">
        <f>Table1[[#This Row],[Revenue]]-Table1[[#This Row],[Operating_Costs]]</f>
        <v>71091</v>
      </c>
      <c r="T2715">
        <v>835135</v>
      </c>
      <c r="U2715">
        <v>38</v>
      </c>
      <c r="V2715">
        <v>60</v>
      </c>
      <c r="W2715">
        <v>5.4</v>
      </c>
    </row>
    <row r="2716" spans="1:23" x14ac:dyDescent="0.25">
      <c r="A2716">
        <v>8</v>
      </c>
      <c r="B2716" t="s">
        <v>52</v>
      </c>
      <c r="C2716" s="1">
        <v>45378</v>
      </c>
      <c r="D2716" t="s">
        <v>71</v>
      </c>
      <c r="E2716">
        <v>0</v>
      </c>
      <c r="F2716">
        <v>58</v>
      </c>
      <c r="G2716" t="str">
        <f t="shared" si="50"/>
        <v>41-60</v>
      </c>
      <c r="H2716" t="s">
        <v>23</v>
      </c>
      <c r="I2716" t="s">
        <v>40</v>
      </c>
      <c r="J2716" t="s">
        <v>41</v>
      </c>
      <c r="K2716" t="s">
        <v>33</v>
      </c>
      <c r="L2716">
        <v>1</v>
      </c>
      <c r="M2716">
        <v>1</v>
      </c>
      <c r="N2716">
        <v>6.4</v>
      </c>
      <c r="O2716">
        <v>7.3</v>
      </c>
      <c r="P2716">
        <v>7</v>
      </c>
      <c r="Q2716">
        <v>3</v>
      </c>
      <c r="R2716">
        <v>975367</v>
      </c>
      <c r="S2716">
        <f>Table1[[#This Row],[Revenue]]-Table1[[#This Row],[Operating_Costs]]</f>
        <v>79183</v>
      </c>
      <c r="T2716">
        <v>896184</v>
      </c>
      <c r="U2716">
        <v>39</v>
      </c>
      <c r="V2716">
        <v>66</v>
      </c>
      <c r="W2716">
        <v>12.7</v>
      </c>
    </row>
    <row r="2717" spans="1:23" x14ac:dyDescent="0.25">
      <c r="A2717">
        <v>8</v>
      </c>
      <c r="B2717" t="s">
        <v>52</v>
      </c>
      <c r="C2717" s="1">
        <v>45162</v>
      </c>
      <c r="D2717" t="s">
        <v>71</v>
      </c>
      <c r="E2717">
        <v>0</v>
      </c>
      <c r="F2717">
        <v>38</v>
      </c>
      <c r="G2717" t="str">
        <f t="shared" si="50"/>
        <v>21-40</v>
      </c>
      <c r="H2717" t="s">
        <v>23</v>
      </c>
      <c r="I2717" t="s">
        <v>64</v>
      </c>
      <c r="J2717" t="s">
        <v>65</v>
      </c>
      <c r="K2717" t="s">
        <v>33</v>
      </c>
      <c r="L2717">
        <v>1</v>
      </c>
      <c r="M2717">
        <v>1</v>
      </c>
      <c r="N2717">
        <v>1.1000000000000001</v>
      </c>
      <c r="O2717">
        <v>7.5</v>
      </c>
      <c r="P2717">
        <v>7</v>
      </c>
      <c r="Q2717">
        <v>5</v>
      </c>
      <c r="R2717">
        <v>977854</v>
      </c>
      <c r="S2717">
        <f>Table1[[#This Row],[Revenue]]-Table1[[#This Row],[Operating_Costs]]</f>
        <v>159044</v>
      </c>
      <c r="T2717">
        <v>818810</v>
      </c>
      <c r="U2717">
        <v>34</v>
      </c>
      <c r="V2717">
        <v>64</v>
      </c>
      <c r="W2717">
        <v>12.1</v>
      </c>
    </row>
    <row r="2718" spans="1:23" x14ac:dyDescent="0.25">
      <c r="A2718">
        <v>8</v>
      </c>
      <c r="B2718" t="s">
        <v>52</v>
      </c>
      <c r="C2718" s="1">
        <v>45219</v>
      </c>
      <c r="D2718" t="s">
        <v>71</v>
      </c>
      <c r="E2718">
        <v>0</v>
      </c>
      <c r="F2718">
        <v>40</v>
      </c>
      <c r="G2718" t="str">
        <f t="shared" si="50"/>
        <v>21-40</v>
      </c>
      <c r="H2718" t="s">
        <v>35</v>
      </c>
      <c r="I2718" t="s">
        <v>53</v>
      </c>
      <c r="J2718" t="s">
        <v>54</v>
      </c>
      <c r="K2718" t="s">
        <v>38</v>
      </c>
      <c r="L2718">
        <v>1</v>
      </c>
      <c r="M2718">
        <v>1</v>
      </c>
      <c r="N2718">
        <v>4</v>
      </c>
      <c r="O2718">
        <v>8.9</v>
      </c>
      <c r="P2718">
        <v>7</v>
      </c>
      <c r="Q2718">
        <v>5</v>
      </c>
      <c r="R2718">
        <v>984250</v>
      </c>
      <c r="S2718">
        <f>Table1[[#This Row],[Revenue]]-Table1[[#This Row],[Operating_Costs]]</f>
        <v>103340</v>
      </c>
      <c r="T2718">
        <v>880910</v>
      </c>
      <c r="U2718">
        <v>34</v>
      </c>
      <c r="V2718">
        <v>64</v>
      </c>
      <c r="W2718">
        <v>5.8</v>
      </c>
    </row>
    <row r="2719" spans="1:23" x14ac:dyDescent="0.25">
      <c r="A2719">
        <v>8</v>
      </c>
      <c r="B2719" t="s">
        <v>52</v>
      </c>
      <c r="C2719" s="1">
        <v>45264</v>
      </c>
      <c r="D2719" t="s">
        <v>71</v>
      </c>
      <c r="E2719">
        <v>0</v>
      </c>
      <c r="F2719">
        <v>82</v>
      </c>
      <c r="G2719" t="str">
        <f t="shared" si="50"/>
        <v>81+</v>
      </c>
      <c r="H2719" t="s">
        <v>35</v>
      </c>
      <c r="I2719" t="s">
        <v>40</v>
      </c>
      <c r="J2719" t="s">
        <v>41</v>
      </c>
      <c r="K2719" t="s">
        <v>33</v>
      </c>
      <c r="L2719">
        <v>1</v>
      </c>
      <c r="M2719">
        <v>1</v>
      </c>
      <c r="N2719">
        <v>6.9</v>
      </c>
      <c r="O2719">
        <v>8.4</v>
      </c>
      <c r="P2719">
        <v>5</v>
      </c>
      <c r="Q2719">
        <v>5</v>
      </c>
      <c r="R2719">
        <v>919135</v>
      </c>
      <c r="S2719">
        <f>Table1[[#This Row],[Revenue]]-Table1[[#This Row],[Operating_Costs]]</f>
        <v>68136</v>
      </c>
      <c r="T2719">
        <v>850999</v>
      </c>
      <c r="U2719">
        <v>35</v>
      </c>
      <c r="V2719">
        <v>55</v>
      </c>
      <c r="W2719">
        <v>14.4</v>
      </c>
    </row>
    <row r="2720" spans="1:23" x14ac:dyDescent="0.25">
      <c r="A2720">
        <v>8</v>
      </c>
      <c r="B2720" t="s">
        <v>52</v>
      </c>
      <c r="C2720" s="1">
        <v>44608</v>
      </c>
      <c r="D2720" t="s">
        <v>71</v>
      </c>
      <c r="E2720">
        <v>0</v>
      </c>
      <c r="F2720">
        <v>54</v>
      </c>
      <c r="G2720" t="str">
        <f t="shared" si="50"/>
        <v>41-60</v>
      </c>
      <c r="H2720" t="s">
        <v>23</v>
      </c>
      <c r="I2720" t="s">
        <v>61</v>
      </c>
      <c r="J2720" t="s">
        <v>62</v>
      </c>
      <c r="K2720" t="s">
        <v>38</v>
      </c>
      <c r="L2720">
        <v>1</v>
      </c>
      <c r="M2720">
        <v>1</v>
      </c>
      <c r="N2720">
        <v>2.6</v>
      </c>
      <c r="O2720">
        <v>8.8000000000000007</v>
      </c>
      <c r="P2720">
        <v>3</v>
      </c>
      <c r="Q2720">
        <v>7</v>
      </c>
      <c r="R2720">
        <v>936703</v>
      </c>
      <c r="S2720">
        <f>Table1[[#This Row],[Revenue]]-Table1[[#This Row],[Operating_Costs]]</f>
        <v>127269</v>
      </c>
      <c r="T2720">
        <v>809434</v>
      </c>
      <c r="U2720">
        <v>36</v>
      </c>
      <c r="V2720">
        <v>64</v>
      </c>
      <c r="W2720">
        <v>7.9</v>
      </c>
    </row>
    <row r="2721" spans="1:23" x14ac:dyDescent="0.25">
      <c r="A2721">
        <v>8</v>
      </c>
      <c r="B2721" t="s">
        <v>52</v>
      </c>
      <c r="C2721" s="1">
        <v>44579</v>
      </c>
      <c r="D2721" t="s">
        <v>71</v>
      </c>
      <c r="E2721">
        <v>0</v>
      </c>
      <c r="F2721">
        <v>46</v>
      </c>
      <c r="G2721" t="str">
        <f t="shared" si="50"/>
        <v>41-60</v>
      </c>
      <c r="H2721" t="s">
        <v>35</v>
      </c>
      <c r="I2721" t="s">
        <v>50</v>
      </c>
      <c r="J2721" t="s">
        <v>51</v>
      </c>
      <c r="K2721" t="s">
        <v>26</v>
      </c>
      <c r="L2721">
        <v>1</v>
      </c>
      <c r="M2721">
        <v>1</v>
      </c>
      <c r="N2721">
        <v>6</v>
      </c>
      <c r="O2721">
        <v>9.4</v>
      </c>
      <c r="P2721">
        <v>6</v>
      </c>
      <c r="Q2721">
        <v>3</v>
      </c>
      <c r="R2721">
        <v>968290</v>
      </c>
      <c r="S2721">
        <f>Table1[[#This Row],[Revenue]]-Table1[[#This Row],[Operating_Costs]]</f>
        <v>159718</v>
      </c>
      <c r="T2721">
        <v>808572</v>
      </c>
      <c r="U2721">
        <v>40</v>
      </c>
      <c r="V2721">
        <v>66</v>
      </c>
      <c r="W2721">
        <v>6</v>
      </c>
    </row>
    <row r="2722" spans="1:23" x14ac:dyDescent="0.25">
      <c r="A2722">
        <v>8</v>
      </c>
      <c r="B2722" t="s">
        <v>52</v>
      </c>
      <c r="C2722" s="1">
        <v>44811</v>
      </c>
      <c r="D2722" t="s">
        <v>71</v>
      </c>
      <c r="E2722">
        <v>0</v>
      </c>
      <c r="F2722">
        <v>86</v>
      </c>
      <c r="G2722" t="str">
        <f t="shared" si="50"/>
        <v>81+</v>
      </c>
      <c r="H2722" t="s">
        <v>35</v>
      </c>
      <c r="I2722" t="s">
        <v>60</v>
      </c>
      <c r="J2722" t="s">
        <v>59</v>
      </c>
      <c r="K2722" t="s">
        <v>42</v>
      </c>
      <c r="L2722">
        <v>1</v>
      </c>
      <c r="M2722">
        <v>1</v>
      </c>
      <c r="N2722">
        <v>2.7</v>
      </c>
      <c r="O2722">
        <v>7.8</v>
      </c>
      <c r="P2722">
        <v>5</v>
      </c>
      <c r="Q2722">
        <v>7</v>
      </c>
      <c r="R2722">
        <v>902734</v>
      </c>
      <c r="S2722">
        <f>Table1[[#This Row],[Revenue]]-Table1[[#This Row],[Operating_Costs]]</f>
        <v>36375</v>
      </c>
      <c r="T2722">
        <v>866359</v>
      </c>
      <c r="U2722">
        <v>37</v>
      </c>
      <c r="V2722">
        <v>59</v>
      </c>
      <c r="W2722">
        <v>14.3</v>
      </c>
    </row>
    <row r="2723" spans="1:23" x14ac:dyDescent="0.25">
      <c r="A2723">
        <v>8</v>
      </c>
      <c r="B2723" t="s">
        <v>52</v>
      </c>
      <c r="C2723" s="1">
        <v>45307</v>
      </c>
      <c r="D2723" t="s">
        <v>71</v>
      </c>
      <c r="E2723">
        <v>0</v>
      </c>
      <c r="F2723">
        <v>26</v>
      </c>
      <c r="G2723" t="str">
        <f t="shared" si="50"/>
        <v>21-40</v>
      </c>
      <c r="H2723" t="s">
        <v>23</v>
      </c>
      <c r="I2723" t="s">
        <v>40</v>
      </c>
      <c r="J2723" t="s">
        <v>41</v>
      </c>
      <c r="K2723" t="s">
        <v>38</v>
      </c>
      <c r="L2723">
        <v>1</v>
      </c>
      <c r="M2723">
        <v>1</v>
      </c>
      <c r="N2723">
        <v>4.3</v>
      </c>
      <c r="O2723">
        <v>9.5</v>
      </c>
      <c r="P2723">
        <v>6</v>
      </c>
      <c r="Q2723">
        <v>6</v>
      </c>
      <c r="R2723">
        <v>919278</v>
      </c>
      <c r="S2723">
        <f>Table1[[#This Row],[Revenue]]-Table1[[#This Row],[Operating_Costs]]</f>
        <v>98648</v>
      </c>
      <c r="T2723">
        <v>820630</v>
      </c>
      <c r="U2723">
        <v>34</v>
      </c>
      <c r="V2723">
        <v>63</v>
      </c>
      <c r="W2723">
        <v>5.9</v>
      </c>
    </row>
    <row r="2724" spans="1:23" x14ac:dyDescent="0.25">
      <c r="A2724">
        <v>8</v>
      </c>
      <c r="B2724" t="s">
        <v>52</v>
      </c>
      <c r="C2724" s="1">
        <v>44968</v>
      </c>
      <c r="D2724" t="s">
        <v>71</v>
      </c>
      <c r="E2724">
        <v>0</v>
      </c>
      <c r="F2724">
        <v>87</v>
      </c>
      <c r="G2724" t="str">
        <f t="shared" si="50"/>
        <v>81+</v>
      </c>
      <c r="H2724" t="s">
        <v>35</v>
      </c>
      <c r="I2724" t="s">
        <v>31</v>
      </c>
      <c r="J2724" t="s">
        <v>28</v>
      </c>
      <c r="K2724" t="s">
        <v>29</v>
      </c>
      <c r="L2724">
        <v>1</v>
      </c>
      <c r="M2724">
        <v>1</v>
      </c>
      <c r="N2724">
        <v>5.2</v>
      </c>
      <c r="O2724">
        <v>8.9</v>
      </c>
      <c r="P2724">
        <v>7</v>
      </c>
      <c r="Q2724">
        <v>5</v>
      </c>
      <c r="R2724">
        <v>919378</v>
      </c>
      <c r="S2724">
        <f>Table1[[#This Row],[Revenue]]-Table1[[#This Row],[Operating_Costs]]</f>
        <v>84555</v>
      </c>
      <c r="T2724">
        <v>834823</v>
      </c>
      <c r="U2724">
        <v>36</v>
      </c>
      <c r="V2724">
        <v>56</v>
      </c>
      <c r="W2724">
        <v>14.6</v>
      </c>
    </row>
    <row r="2725" spans="1:23" x14ac:dyDescent="0.25">
      <c r="A2725">
        <v>8</v>
      </c>
      <c r="B2725" t="s">
        <v>52</v>
      </c>
      <c r="C2725" s="1">
        <v>44486</v>
      </c>
      <c r="D2725" t="s">
        <v>71</v>
      </c>
      <c r="E2725">
        <v>0</v>
      </c>
      <c r="F2725">
        <v>44</v>
      </c>
      <c r="G2725" t="str">
        <f t="shared" si="50"/>
        <v>41-60</v>
      </c>
      <c r="H2725" t="s">
        <v>35</v>
      </c>
      <c r="I2725" t="s">
        <v>36</v>
      </c>
      <c r="J2725" t="s">
        <v>37</v>
      </c>
      <c r="K2725" t="s">
        <v>38</v>
      </c>
      <c r="L2725">
        <v>1</v>
      </c>
      <c r="M2725">
        <v>1</v>
      </c>
      <c r="N2725">
        <v>5.6</v>
      </c>
      <c r="O2725">
        <v>7.2</v>
      </c>
      <c r="P2725">
        <v>4</v>
      </c>
      <c r="Q2725">
        <v>4</v>
      </c>
      <c r="R2725">
        <v>902455</v>
      </c>
      <c r="S2725">
        <f>Table1[[#This Row],[Revenue]]-Table1[[#This Row],[Operating_Costs]]</f>
        <v>80023</v>
      </c>
      <c r="T2725">
        <v>822432</v>
      </c>
      <c r="U2725">
        <v>35</v>
      </c>
      <c r="V2725">
        <v>66</v>
      </c>
      <c r="W2725">
        <v>14.1</v>
      </c>
    </row>
    <row r="2726" spans="1:23" x14ac:dyDescent="0.25">
      <c r="A2726">
        <v>8</v>
      </c>
      <c r="B2726" t="s">
        <v>52</v>
      </c>
      <c r="C2726" s="1">
        <v>44588</v>
      </c>
      <c r="D2726" t="s">
        <v>71</v>
      </c>
      <c r="E2726">
        <v>0</v>
      </c>
      <c r="F2726">
        <v>42</v>
      </c>
      <c r="G2726" t="str">
        <f t="shared" si="50"/>
        <v>41-60</v>
      </c>
      <c r="H2726" t="s">
        <v>23</v>
      </c>
      <c r="I2726" t="s">
        <v>61</v>
      </c>
      <c r="J2726" t="s">
        <v>62</v>
      </c>
      <c r="K2726" t="s">
        <v>29</v>
      </c>
      <c r="L2726">
        <v>1</v>
      </c>
      <c r="M2726">
        <v>1</v>
      </c>
      <c r="N2726">
        <v>5</v>
      </c>
      <c r="O2726">
        <v>8.6</v>
      </c>
      <c r="P2726">
        <v>3</v>
      </c>
      <c r="Q2726">
        <v>5</v>
      </c>
      <c r="R2726">
        <v>924495</v>
      </c>
      <c r="S2726">
        <f>Table1[[#This Row],[Revenue]]-Table1[[#This Row],[Operating_Costs]]</f>
        <v>98141</v>
      </c>
      <c r="T2726">
        <v>826354</v>
      </c>
      <c r="U2726">
        <v>37</v>
      </c>
      <c r="V2726">
        <v>60</v>
      </c>
      <c r="W2726">
        <v>12.9</v>
      </c>
    </row>
    <row r="2727" spans="1:23" x14ac:dyDescent="0.25">
      <c r="A2727">
        <v>8</v>
      </c>
      <c r="B2727" t="s">
        <v>52</v>
      </c>
      <c r="C2727" s="1">
        <v>45634</v>
      </c>
      <c r="D2727" t="s">
        <v>71</v>
      </c>
      <c r="E2727">
        <v>0</v>
      </c>
      <c r="F2727">
        <v>89</v>
      </c>
      <c r="G2727" t="str">
        <f t="shared" si="50"/>
        <v>81+</v>
      </c>
      <c r="H2727" t="s">
        <v>23</v>
      </c>
      <c r="I2727" t="s">
        <v>24</v>
      </c>
      <c r="J2727" t="s">
        <v>25</v>
      </c>
      <c r="K2727" t="s">
        <v>38</v>
      </c>
      <c r="L2727">
        <v>1</v>
      </c>
      <c r="M2727">
        <v>1</v>
      </c>
      <c r="N2727">
        <v>1.7</v>
      </c>
      <c r="O2727">
        <v>8.8000000000000007</v>
      </c>
      <c r="P2727">
        <v>6</v>
      </c>
      <c r="Q2727">
        <v>3</v>
      </c>
      <c r="R2727">
        <v>970423</v>
      </c>
      <c r="S2727">
        <f>Table1[[#This Row],[Revenue]]-Table1[[#This Row],[Operating_Costs]]</f>
        <v>136537</v>
      </c>
      <c r="T2727">
        <v>833886</v>
      </c>
      <c r="U2727">
        <v>39</v>
      </c>
      <c r="V2727">
        <v>60</v>
      </c>
      <c r="W2727">
        <v>14.5</v>
      </c>
    </row>
    <row r="2728" spans="1:23" x14ac:dyDescent="0.25">
      <c r="A2728">
        <v>8</v>
      </c>
      <c r="B2728" t="s">
        <v>52</v>
      </c>
      <c r="C2728" s="1">
        <v>45564</v>
      </c>
      <c r="D2728" t="s">
        <v>71</v>
      </c>
      <c r="E2728">
        <v>0</v>
      </c>
      <c r="F2728">
        <v>55</v>
      </c>
      <c r="G2728" t="str">
        <f t="shared" si="50"/>
        <v>41-60</v>
      </c>
      <c r="H2728" t="s">
        <v>23</v>
      </c>
      <c r="I2728" t="s">
        <v>55</v>
      </c>
      <c r="J2728" t="s">
        <v>56</v>
      </c>
      <c r="K2728" t="s">
        <v>42</v>
      </c>
      <c r="L2728">
        <v>1</v>
      </c>
      <c r="M2728">
        <v>1</v>
      </c>
      <c r="N2728">
        <v>3</v>
      </c>
      <c r="O2728">
        <v>9.1999999999999993</v>
      </c>
      <c r="P2728">
        <v>4</v>
      </c>
      <c r="Q2728">
        <v>5</v>
      </c>
      <c r="R2728">
        <v>948809</v>
      </c>
      <c r="S2728">
        <f>Table1[[#This Row],[Revenue]]-Table1[[#This Row],[Operating_Costs]]</f>
        <v>135113</v>
      </c>
      <c r="T2728">
        <v>813696</v>
      </c>
      <c r="U2728">
        <v>31</v>
      </c>
      <c r="V2728">
        <v>56</v>
      </c>
      <c r="W2728">
        <v>13.3</v>
      </c>
    </row>
    <row r="2729" spans="1:23" x14ac:dyDescent="0.25">
      <c r="A2729">
        <v>8</v>
      </c>
      <c r="B2729" t="s">
        <v>52</v>
      </c>
      <c r="C2729" s="1">
        <v>44602</v>
      </c>
      <c r="D2729" t="s">
        <v>71</v>
      </c>
      <c r="E2729">
        <v>0</v>
      </c>
      <c r="F2729">
        <v>74</v>
      </c>
      <c r="G2729" t="str">
        <f t="shared" si="50"/>
        <v>61-80</v>
      </c>
      <c r="H2729" t="s">
        <v>35</v>
      </c>
      <c r="I2729" t="s">
        <v>46</v>
      </c>
      <c r="J2729" t="s">
        <v>47</v>
      </c>
      <c r="K2729" t="s">
        <v>33</v>
      </c>
      <c r="L2729">
        <v>1</v>
      </c>
      <c r="M2729">
        <v>1</v>
      </c>
      <c r="N2729">
        <v>1.8</v>
      </c>
      <c r="O2729">
        <v>8.9</v>
      </c>
      <c r="P2729">
        <v>6</v>
      </c>
      <c r="Q2729">
        <v>4</v>
      </c>
      <c r="R2729">
        <v>905268</v>
      </c>
      <c r="S2729">
        <f>Table1[[#This Row],[Revenue]]-Table1[[#This Row],[Operating_Costs]]</f>
        <v>8311</v>
      </c>
      <c r="T2729">
        <v>896957</v>
      </c>
      <c r="U2729">
        <v>36</v>
      </c>
      <c r="V2729">
        <v>62</v>
      </c>
      <c r="W2729">
        <v>12.6</v>
      </c>
    </row>
    <row r="2730" spans="1:23" x14ac:dyDescent="0.25">
      <c r="A2730">
        <v>7</v>
      </c>
      <c r="B2730" t="s">
        <v>49</v>
      </c>
      <c r="C2730" s="1">
        <v>45225</v>
      </c>
      <c r="D2730" t="s">
        <v>71</v>
      </c>
      <c r="E2730">
        <v>0</v>
      </c>
      <c r="F2730">
        <v>21</v>
      </c>
      <c r="G2730" t="str">
        <f t="shared" si="50"/>
        <v>21-40</v>
      </c>
      <c r="H2730" t="s">
        <v>23</v>
      </c>
      <c r="I2730" t="s">
        <v>61</v>
      </c>
      <c r="J2730" t="s">
        <v>62</v>
      </c>
      <c r="K2730" t="s">
        <v>38</v>
      </c>
      <c r="L2730">
        <v>1</v>
      </c>
      <c r="M2730">
        <v>1</v>
      </c>
      <c r="N2730">
        <v>4.9000000000000004</v>
      </c>
      <c r="O2730">
        <v>8.3000000000000007</v>
      </c>
      <c r="P2730">
        <v>3</v>
      </c>
      <c r="Q2730">
        <v>3</v>
      </c>
      <c r="R2730">
        <v>757632</v>
      </c>
      <c r="S2730">
        <f>Table1[[#This Row],[Revenue]]-Table1[[#This Row],[Operating_Costs]]</f>
        <v>215897</v>
      </c>
      <c r="T2730">
        <v>541735</v>
      </c>
      <c r="U2730">
        <v>48</v>
      </c>
      <c r="V2730">
        <v>64</v>
      </c>
      <c r="W2730">
        <v>36.5</v>
      </c>
    </row>
    <row r="2731" spans="1:23" x14ac:dyDescent="0.25">
      <c r="A2731">
        <v>8</v>
      </c>
      <c r="B2731" t="s">
        <v>52</v>
      </c>
      <c r="C2731" s="1">
        <v>44949</v>
      </c>
      <c r="D2731" t="s">
        <v>71</v>
      </c>
      <c r="E2731">
        <v>0</v>
      </c>
      <c r="F2731">
        <v>45</v>
      </c>
      <c r="G2731" t="str">
        <f t="shared" si="50"/>
        <v>41-60</v>
      </c>
      <c r="H2731" t="s">
        <v>23</v>
      </c>
      <c r="I2731" t="s">
        <v>31</v>
      </c>
      <c r="J2731" t="s">
        <v>28</v>
      </c>
      <c r="K2731" t="s">
        <v>29</v>
      </c>
      <c r="L2731">
        <v>1</v>
      </c>
      <c r="M2731">
        <v>1</v>
      </c>
      <c r="N2731">
        <v>6.2</v>
      </c>
      <c r="O2731">
        <v>8.1</v>
      </c>
      <c r="P2731">
        <v>4</v>
      </c>
      <c r="Q2731">
        <v>6</v>
      </c>
      <c r="R2731">
        <v>906571</v>
      </c>
      <c r="S2731">
        <f>Table1[[#This Row],[Revenue]]-Table1[[#This Row],[Operating_Costs]]</f>
        <v>35485</v>
      </c>
      <c r="T2731">
        <v>871086</v>
      </c>
      <c r="U2731">
        <v>36</v>
      </c>
      <c r="V2731">
        <v>61</v>
      </c>
      <c r="W2731">
        <v>10.8</v>
      </c>
    </row>
    <row r="2732" spans="1:23" x14ac:dyDescent="0.25">
      <c r="A2732">
        <v>8</v>
      </c>
      <c r="B2732" t="s">
        <v>52</v>
      </c>
      <c r="C2732" s="1">
        <v>45171</v>
      </c>
      <c r="D2732" t="s">
        <v>71</v>
      </c>
      <c r="E2732">
        <v>0</v>
      </c>
      <c r="F2732">
        <v>32</v>
      </c>
      <c r="G2732" t="str">
        <f t="shared" si="50"/>
        <v>21-40</v>
      </c>
      <c r="H2732" t="s">
        <v>35</v>
      </c>
      <c r="I2732" t="s">
        <v>55</v>
      </c>
      <c r="J2732" t="s">
        <v>56</v>
      </c>
      <c r="K2732" t="s">
        <v>29</v>
      </c>
      <c r="L2732">
        <v>1</v>
      </c>
      <c r="M2732">
        <v>1</v>
      </c>
      <c r="N2732">
        <v>4.7</v>
      </c>
      <c r="O2732">
        <v>9.6</v>
      </c>
      <c r="P2732">
        <v>7</v>
      </c>
      <c r="Q2732">
        <v>6</v>
      </c>
      <c r="R2732">
        <v>954398</v>
      </c>
      <c r="S2732">
        <f>Table1[[#This Row],[Revenue]]-Table1[[#This Row],[Operating_Costs]]</f>
        <v>103072</v>
      </c>
      <c r="T2732">
        <v>851326</v>
      </c>
      <c r="U2732">
        <v>32</v>
      </c>
      <c r="V2732">
        <v>64</v>
      </c>
      <c r="W2732">
        <v>36.4</v>
      </c>
    </row>
    <row r="2733" spans="1:23" x14ac:dyDescent="0.25">
      <c r="A2733">
        <v>8</v>
      </c>
      <c r="B2733" t="s">
        <v>52</v>
      </c>
      <c r="C2733" s="1">
        <v>44731</v>
      </c>
      <c r="D2733" t="s">
        <v>71</v>
      </c>
      <c r="E2733">
        <v>0</v>
      </c>
      <c r="F2733">
        <v>45</v>
      </c>
      <c r="G2733" t="str">
        <f t="shared" si="50"/>
        <v>41-60</v>
      </c>
      <c r="H2733" t="s">
        <v>35</v>
      </c>
      <c r="I2733" t="s">
        <v>64</v>
      </c>
      <c r="J2733" t="s">
        <v>65</v>
      </c>
      <c r="K2733" t="s">
        <v>38</v>
      </c>
      <c r="L2733">
        <v>1</v>
      </c>
      <c r="M2733">
        <v>1</v>
      </c>
      <c r="N2733">
        <v>1.1000000000000001</v>
      </c>
      <c r="O2733">
        <v>9.4</v>
      </c>
      <c r="P2733">
        <v>4</v>
      </c>
      <c r="Q2733">
        <v>4</v>
      </c>
      <c r="R2733">
        <v>922799</v>
      </c>
      <c r="S2733">
        <f>Table1[[#This Row],[Revenue]]-Table1[[#This Row],[Operating_Costs]]</f>
        <v>92433</v>
      </c>
      <c r="T2733">
        <v>830366</v>
      </c>
      <c r="U2733">
        <v>34</v>
      </c>
      <c r="V2733">
        <v>55</v>
      </c>
      <c r="W2733">
        <v>7</v>
      </c>
    </row>
    <row r="2734" spans="1:23" x14ac:dyDescent="0.25">
      <c r="A2734">
        <v>8</v>
      </c>
      <c r="B2734" t="s">
        <v>52</v>
      </c>
      <c r="C2734" s="1">
        <v>45435</v>
      </c>
      <c r="D2734" t="s">
        <v>71</v>
      </c>
      <c r="E2734">
        <v>0</v>
      </c>
      <c r="F2734">
        <v>64</v>
      </c>
      <c r="G2734" t="str">
        <f t="shared" si="50"/>
        <v>61-80</v>
      </c>
      <c r="H2734" t="s">
        <v>23</v>
      </c>
      <c r="I2734" t="s">
        <v>46</v>
      </c>
      <c r="J2734" t="s">
        <v>47</v>
      </c>
      <c r="K2734" t="s">
        <v>29</v>
      </c>
      <c r="L2734">
        <v>1</v>
      </c>
      <c r="M2734">
        <v>1</v>
      </c>
      <c r="N2734">
        <v>2.7</v>
      </c>
      <c r="O2734">
        <v>9.6999999999999993</v>
      </c>
      <c r="P2734">
        <v>4</v>
      </c>
      <c r="Q2734">
        <v>4</v>
      </c>
      <c r="R2734">
        <v>933125</v>
      </c>
      <c r="S2734">
        <f>Table1[[#This Row],[Revenue]]-Table1[[#This Row],[Operating_Costs]]</f>
        <v>100928</v>
      </c>
      <c r="T2734">
        <v>832197</v>
      </c>
      <c r="U2734">
        <v>34</v>
      </c>
      <c r="V2734">
        <v>65</v>
      </c>
      <c r="W2734">
        <v>7.4</v>
      </c>
    </row>
    <row r="2735" spans="1:23" x14ac:dyDescent="0.25">
      <c r="A2735">
        <v>8</v>
      </c>
      <c r="B2735" t="s">
        <v>52</v>
      </c>
      <c r="C2735" s="1">
        <v>44512</v>
      </c>
      <c r="D2735" t="s">
        <v>71</v>
      </c>
      <c r="E2735">
        <v>0</v>
      </c>
      <c r="F2735">
        <v>86</v>
      </c>
      <c r="G2735" t="str">
        <f t="shared" si="50"/>
        <v>81+</v>
      </c>
      <c r="H2735" t="s">
        <v>23</v>
      </c>
      <c r="I2735" t="s">
        <v>46</v>
      </c>
      <c r="J2735" t="s">
        <v>47</v>
      </c>
      <c r="K2735" t="s">
        <v>33</v>
      </c>
      <c r="L2735">
        <v>1</v>
      </c>
      <c r="M2735">
        <v>1</v>
      </c>
      <c r="N2735">
        <v>1.1000000000000001</v>
      </c>
      <c r="O2735">
        <v>9.8000000000000007</v>
      </c>
      <c r="P2735">
        <v>6</v>
      </c>
      <c r="Q2735">
        <v>6</v>
      </c>
      <c r="R2735">
        <v>987660</v>
      </c>
      <c r="S2735">
        <f>Table1[[#This Row],[Revenue]]-Table1[[#This Row],[Operating_Costs]]</f>
        <v>140586</v>
      </c>
      <c r="T2735">
        <v>847074</v>
      </c>
      <c r="U2735">
        <v>37</v>
      </c>
      <c r="V2735">
        <v>55</v>
      </c>
      <c r="W2735">
        <v>12.4</v>
      </c>
    </row>
    <row r="2736" spans="1:23" x14ac:dyDescent="0.25">
      <c r="A2736">
        <v>7</v>
      </c>
      <c r="B2736" t="s">
        <v>49</v>
      </c>
      <c r="C2736" s="1">
        <v>45035</v>
      </c>
      <c r="D2736" t="s">
        <v>71</v>
      </c>
      <c r="E2736">
        <v>0</v>
      </c>
      <c r="F2736">
        <v>35</v>
      </c>
      <c r="G2736" t="str">
        <f t="shared" si="50"/>
        <v>21-40</v>
      </c>
      <c r="H2736" t="s">
        <v>23</v>
      </c>
      <c r="I2736" t="s">
        <v>40</v>
      </c>
      <c r="J2736" t="s">
        <v>41</v>
      </c>
      <c r="K2736" t="s">
        <v>42</v>
      </c>
      <c r="L2736">
        <v>1</v>
      </c>
      <c r="M2736">
        <v>1</v>
      </c>
      <c r="N2736">
        <v>1.4</v>
      </c>
      <c r="O2736">
        <v>7.5</v>
      </c>
      <c r="P2736">
        <v>7</v>
      </c>
      <c r="Q2736">
        <v>7</v>
      </c>
      <c r="R2736">
        <v>875008</v>
      </c>
      <c r="S2736">
        <f>Table1[[#This Row],[Revenue]]-Table1[[#This Row],[Operating_Costs]]</f>
        <v>335250</v>
      </c>
      <c r="T2736">
        <v>539758</v>
      </c>
      <c r="U2736">
        <v>58</v>
      </c>
      <c r="V2736">
        <v>62</v>
      </c>
      <c r="W2736">
        <v>36.9</v>
      </c>
    </row>
    <row r="2737" spans="1:23" x14ac:dyDescent="0.25">
      <c r="A2737">
        <v>8</v>
      </c>
      <c r="B2737" t="s">
        <v>52</v>
      </c>
      <c r="C2737" s="1">
        <v>45452</v>
      </c>
      <c r="D2737" t="s">
        <v>71</v>
      </c>
      <c r="E2737">
        <v>0</v>
      </c>
      <c r="F2737">
        <v>38</v>
      </c>
      <c r="G2737" t="str">
        <f t="shared" si="50"/>
        <v>21-40</v>
      </c>
      <c r="H2737" t="s">
        <v>23</v>
      </c>
      <c r="I2737" t="s">
        <v>31</v>
      </c>
      <c r="J2737" t="s">
        <v>28</v>
      </c>
      <c r="K2737" t="s">
        <v>29</v>
      </c>
      <c r="L2737">
        <v>1</v>
      </c>
      <c r="M2737">
        <v>1</v>
      </c>
      <c r="N2737">
        <v>4.9000000000000004</v>
      </c>
      <c r="O2737">
        <v>10</v>
      </c>
      <c r="P2737">
        <v>4</v>
      </c>
      <c r="Q2737">
        <v>4</v>
      </c>
      <c r="R2737">
        <v>937543</v>
      </c>
      <c r="S2737">
        <f>Table1[[#This Row],[Revenue]]-Table1[[#This Row],[Operating_Costs]]</f>
        <v>121133</v>
      </c>
      <c r="T2737">
        <v>816410</v>
      </c>
      <c r="U2737">
        <v>31</v>
      </c>
      <c r="V2737">
        <v>60</v>
      </c>
      <c r="W2737">
        <v>7.4</v>
      </c>
    </row>
    <row r="2738" spans="1:23" x14ac:dyDescent="0.25">
      <c r="A2738">
        <v>8</v>
      </c>
      <c r="B2738" t="s">
        <v>52</v>
      </c>
      <c r="C2738" s="1">
        <v>45213</v>
      </c>
      <c r="D2738" t="s">
        <v>71</v>
      </c>
      <c r="E2738">
        <v>0</v>
      </c>
      <c r="F2738">
        <v>79</v>
      </c>
      <c r="G2738" t="str">
        <f t="shared" si="50"/>
        <v>61-80</v>
      </c>
      <c r="H2738" t="s">
        <v>35</v>
      </c>
      <c r="I2738" t="s">
        <v>53</v>
      </c>
      <c r="J2738" t="s">
        <v>54</v>
      </c>
      <c r="K2738" t="s">
        <v>42</v>
      </c>
      <c r="L2738">
        <v>1</v>
      </c>
      <c r="M2738">
        <v>1</v>
      </c>
      <c r="N2738">
        <v>4.5</v>
      </c>
      <c r="O2738">
        <v>7.8</v>
      </c>
      <c r="P2738">
        <v>6</v>
      </c>
      <c r="Q2738">
        <v>3</v>
      </c>
      <c r="R2738">
        <v>990882</v>
      </c>
      <c r="S2738">
        <f>Table1[[#This Row],[Revenue]]-Table1[[#This Row],[Operating_Costs]]</f>
        <v>141666</v>
      </c>
      <c r="T2738">
        <v>849216</v>
      </c>
      <c r="U2738">
        <v>31</v>
      </c>
      <c r="V2738">
        <v>62</v>
      </c>
      <c r="W2738">
        <v>6</v>
      </c>
    </row>
    <row r="2739" spans="1:23" x14ac:dyDescent="0.25">
      <c r="A2739">
        <v>8</v>
      </c>
      <c r="B2739" t="s">
        <v>52</v>
      </c>
      <c r="C2739" s="1">
        <v>44249</v>
      </c>
      <c r="D2739" t="s">
        <v>71</v>
      </c>
      <c r="E2739">
        <v>0</v>
      </c>
      <c r="F2739">
        <v>76</v>
      </c>
      <c r="G2739" t="str">
        <f t="shared" si="50"/>
        <v>61-80</v>
      </c>
      <c r="H2739" t="s">
        <v>35</v>
      </c>
      <c r="I2739" t="s">
        <v>40</v>
      </c>
      <c r="J2739" t="s">
        <v>41</v>
      </c>
      <c r="K2739" t="s">
        <v>38</v>
      </c>
      <c r="L2739">
        <v>1</v>
      </c>
      <c r="M2739">
        <v>1</v>
      </c>
      <c r="N2739">
        <v>1.6</v>
      </c>
      <c r="O2739">
        <v>8.6</v>
      </c>
      <c r="P2739">
        <v>7</v>
      </c>
      <c r="Q2739">
        <v>7</v>
      </c>
      <c r="R2739">
        <v>931308</v>
      </c>
      <c r="S2739">
        <f>Table1[[#This Row],[Revenue]]-Table1[[#This Row],[Operating_Costs]]</f>
        <v>128253</v>
      </c>
      <c r="T2739">
        <v>803055</v>
      </c>
      <c r="U2739">
        <v>37</v>
      </c>
      <c r="V2739">
        <v>60</v>
      </c>
      <c r="W2739">
        <v>13.1</v>
      </c>
    </row>
    <row r="2740" spans="1:23" x14ac:dyDescent="0.25">
      <c r="A2740">
        <v>8</v>
      </c>
      <c r="B2740" t="s">
        <v>52</v>
      </c>
      <c r="C2740" s="1">
        <v>45139</v>
      </c>
      <c r="D2740" t="s">
        <v>71</v>
      </c>
      <c r="E2740">
        <v>0</v>
      </c>
      <c r="F2740">
        <v>43</v>
      </c>
      <c r="G2740" t="str">
        <f t="shared" si="50"/>
        <v>41-60</v>
      </c>
      <c r="H2740" t="s">
        <v>23</v>
      </c>
      <c r="I2740" t="s">
        <v>31</v>
      </c>
      <c r="J2740" t="s">
        <v>28</v>
      </c>
      <c r="K2740" t="s">
        <v>29</v>
      </c>
      <c r="L2740">
        <v>1</v>
      </c>
      <c r="M2740">
        <v>1</v>
      </c>
      <c r="N2740">
        <v>6.3</v>
      </c>
      <c r="O2740">
        <v>9.1999999999999993</v>
      </c>
      <c r="P2740">
        <v>7</v>
      </c>
      <c r="Q2740">
        <v>3</v>
      </c>
      <c r="R2740">
        <v>904577</v>
      </c>
      <c r="S2740">
        <f>Table1[[#This Row],[Revenue]]-Table1[[#This Row],[Operating_Costs]]</f>
        <v>45185</v>
      </c>
      <c r="T2740">
        <v>859392</v>
      </c>
      <c r="U2740">
        <v>40</v>
      </c>
      <c r="V2740">
        <v>64</v>
      </c>
      <c r="W2740">
        <v>9.6</v>
      </c>
    </row>
    <row r="2741" spans="1:23" x14ac:dyDescent="0.25">
      <c r="A2741">
        <v>8</v>
      </c>
      <c r="B2741" t="s">
        <v>52</v>
      </c>
      <c r="C2741" s="1">
        <v>44818</v>
      </c>
      <c r="D2741" t="s">
        <v>71</v>
      </c>
      <c r="E2741">
        <v>0</v>
      </c>
      <c r="F2741">
        <v>82</v>
      </c>
      <c r="G2741" t="str">
        <f t="shared" si="50"/>
        <v>81+</v>
      </c>
      <c r="H2741" t="s">
        <v>23</v>
      </c>
      <c r="I2741" t="s">
        <v>43</v>
      </c>
      <c r="J2741" t="s">
        <v>25</v>
      </c>
      <c r="K2741" t="s">
        <v>33</v>
      </c>
      <c r="L2741">
        <v>1</v>
      </c>
      <c r="M2741">
        <v>1</v>
      </c>
      <c r="N2741">
        <v>2.9</v>
      </c>
      <c r="O2741">
        <v>8.8000000000000007</v>
      </c>
      <c r="P2741">
        <v>5</v>
      </c>
      <c r="Q2741">
        <v>6</v>
      </c>
      <c r="R2741">
        <v>975261</v>
      </c>
      <c r="S2741">
        <f>Table1[[#This Row],[Revenue]]-Table1[[#This Row],[Operating_Costs]]</f>
        <v>172945</v>
      </c>
      <c r="T2741">
        <v>802316</v>
      </c>
      <c r="U2741">
        <v>38</v>
      </c>
      <c r="V2741">
        <v>62</v>
      </c>
      <c r="W2741">
        <v>9.1</v>
      </c>
    </row>
    <row r="2742" spans="1:23" x14ac:dyDescent="0.25">
      <c r="A2742">
        <v>7</v>
      </c>
      <c r="B2742" t="s">
        <v>49</v>
      </c>
      <c r="C2742" s="1">
        <v>44749</v>
      </c>
      <c r="D2742" t="s">
        <v>71</v>
      </c>
      <c r="E2742">
        <v>0</v>
      </c>
      <c r="F2742">
        <v>50</v>
      </c>
      <c r="G2742" t="str">
        <f t="shared" si="50"/>
        <v>41-60</v>
      </c>
      <c r="H2742" t="s">
        <v>23</v>
      </c>
      <c r="I2742" t="s">
        <v>43</v>
      </c>
      <c r="J2742" t="s">
        <v>25</v>
      </c>
      <c r="K2742" t="s">
        <v>38</v>
      </c>
      <c r="L2742">
        <v>1</v>
      </c>
      <c r="M2742">
        <v>1</v>
      </c>
      <c r="N2742">
        <v>6.6</v>
      </c>
      <c r="O2742">
        <v>7.5</v>
      </c>
      <c r="P2742">
        <v>3</v>
      </c>
      <c r="Q2742">
        <v>3</v>
      </c>
      <c r="R2742">
        <v>618188</v>
      </c>
      <c r="S2742">
        <f>Table1[[#This Row],[Revenue]]-Table1[[#This Row],[Operating_Costs]]</f>
        <v>43013</v>
      </c>
      <c r="T2742">
        <v>575175</v>
      </c>
      <c r="U2742">
        <v>42</v>
      </c>
      <c r="V2742">
        <v>66</v>
      </c>
      <c r="W2742">
        <v>5.2</v>
      </c>
    </row>
    <row r="2743" spans="1:23" x14ac:dyDescent="0.25">
      <c r="A2743">
        <v>8</v>
      </c>
      <c r="B2743" t="s">
        <v>52</v>
      </c>
      <c r="C2743" s="1">
        <v>45638</v>
      </c>
      <c r="D2743" t="s">
        <v>71</v>
      </c>
      <c r="E2743">
        <v>0</v>
      </c>
      <c r="F2743">
        <v>28</v>
      </c>
      <c r="G2743" t="str">
        <f t="shared" si="50"/>
        <v>21-40</v>
      </c>
      <c r="H2743" t="s">
        <v>35</v>
      </c>
      <c r="I2743" t="s">
        <v>53</v>
      </c>
      <c r="J2743" t="s">
        <v>54</v>
      </c>
      <c r="K2743" t="s">
        <v>38</v>
      </c>
      <c r="L2743">
        <v>1</v>
      </c>
      <c r="M2743">
        <v>1</v>
      </c>
      <c r="N2743">
        <v>5.5</v>
      </c>
      <c r="O2743">
        <v>9.6</v>
      </c>
      <c r="P2743">
        <v>3</v>
      </c>
      <c r="Q2743">
        <v>5</v>
      </c>
      <c r="R2743">
        <v>996661</v>
      </c>
      <c r="S2743">
        <f>Table1[[#This Row],[Revenue]]-Table1[[#This Row],[Operating_Costs]]</f>
        <v>162257</v>
      </c>
      <c r="T2743">
        <v>834404</v>
      </c>
      <c r="U2743">
        <v>37</v>
      </c>
      <c r="V2743">
        <v>55</v>
      </c>
      <c r="W2743">
        <v>36.1</v>
      </c>
    </row>
    <row r="2744" spans="1:23" x14ac:dyDescent="0.25">
      <c r="A2744">
        <v>8</v>
      </c>
      <c r="B2744" t="s">
        <v>52</v>
      </c>
      <c r="C2744" s="1">
        <v>45188</v>
      </c>
      <c r="D2744" t="s">
        <v>71</v>
      </c>
      <c r="E2744">
        <v>0</v>
      </c>
      <c r="F2744">
        <v>73</v>
      </c>
      <c r="G2744" t="str">
        <f t="shared" si="50"/>
        <v>61-80</v>
      </c>
      <c r="H2744" t="s">
        <v>35</v>
      </c>
      <c r="I2744" t="s">
        <v>31</v>
      </c>
      <c r="J2744" t="s">
        <v>28</v>
      </c>
      <c r="K2744" t="s">
        <v>42</v>
      </c>
      <c r="L2744">
        <v>1</v>
      </c>
      <c r="M2744">
        <v>1</v>
      </c>
      <c r="N2744">
        <v>1.6</v>
      </c>
      <c r="O2744">
        <v>9.6999999999999993</v>
      </c>
      <c r="P2744">
        <v>7</v>
      </c>
      <c r="Q2744">
        <v>4</v>
      </c>
      <c r="R2744">
        <v>902704</v>
      </c>
      <c r="S2744">
        <f>Table1[[#This Row],[Revenue]]-Table1[[#This Row],[Operating_Costs]]</f>
        <v>86694</v>
      </c>
      <c r="T2744">
        <v>816010</v>
      </c>
      <c r="U2744">
        <v>35</v>
      </c>
      <c r="V2744">
        <v>56</v>
      </c>
      <c r="W2744">
        <v>12.6</v>
      </c>
    </row>
    <row r="2745" spans="1:23" x14ac:dyDescent="0.25">
      <c r="A2745">
        <v>8</v>
      </c>
      <c r="B2745" t="s">
        <v>52</v>
      </c>
      <c r="C2745" s="1">
        <v>44885</v>
      </c>
      <c r="D2745" t="s">
        <v>71</v>
      </c>
      <c r="E2745">
        <v>0</v>
      </c>
      <c r="F2745">
        <v>89</v>
      </c>
      <c r="G2745" t="str">
        <f t="shared" si="50"/>
        <v>81+</v>
      </c>
      <c r="H2745" t="s">
        <v>23</v>
      </c>
      <c r="I2745" t="s">
        <v>55</v>
      </c>
      <c r="J2745" t="s">
        <v>56</v>
      </c>
      <c r="K2745" t="s">
        <v>38</v>
      </c>
      <c r="L2745">
        <v>1</v>
      </c>
      <c r="M2745">
        <v>1</v>
      </c>
      <c r="N2745">
        <v>5.4</v>
      </c>
      <c r="O2745">
        <v>8</v>
      </c>
      <c r="P2745">
        <v>4</v>
      </c>
      <c r="Q2745">
        <v>3</v>
      </c>
      <c r="R2745">
        <v>927716</v>
      </c>
      <c r="S2745">
        <f>Table1[[#This Row],[Revenue]]-Table1[[#This Row],[Operating_Costs]]</f>
        <v>114875</v>
      </c>
      <c r="T2745">
        <v>812841</v>
      </c>
      <c r="U2745">
        <v>35</v>
      </c>
      <c r="V2745">
        <v>62</v>
      </c>
      <c r="W2745">
        <v>12</v>
      </c>
    </row>
    <row r="2746" spans="1:23" x14ac:dyDescent="0.25">
      <c r="A2746">
        <v>8</v>
      </c>
      <c r="B2746" t="s">
        <v>52</v>
      </c>
      <c r="C2746" s="1">
        <v>44430</v>
      </c>
      <c r="D2746" t="s">
        <v>71</v>
      </c>
      <c r="E2746">
        <v>0</v>
      </c>
      <c r="F2746">
        <v>49</v>
      </c>
      <c r="G2746" t="str">
        <f t="shared" si="50"/>
        <v>41-60</v>
      </c>
      <c r="H2746" t="s">
        <v>35</v>
      </c>
      <c r="I2746" t="s">
        <v>36</v>
      </c>
      <c r="J2746" t="s">
        <v>37</v>
      </c>
      <c r="K2746" t="s">
        <v>26</v>
      </c>
      <c r="L2746">
        <v>1</v>
      </c>
      <c r="M2746">
        <v>1</v>
      </c>
      <c r="N2746">
        <v>1.3</v>
      </c>
      <c r="O2746">
        <v>7.8</v>
      </c>
      <c r="P2746">
        <v>5</v>
      </c>
      <c r="Q2746">
        <v>4</v>
      </c>
      <c r="R2746">
        <v>912366</v>
      </c>
      <c r="S2746">
        <f>Table1[[#This Row],[Revenue]]-Table1[[#This Row],[Operating_Costs]]</f>
        <v>15434</v>
      </c>
      <c r="T2746">
        <v>896932</v>
      </c>
      <c r="U2746">
        <v>37</v>
      </c>
      <c r="V2746">
        <v>60</v>
      </c>
      <c r="W2746">
        <v>14.5</v>
      </c>
    </row>
    <row r="2747" spans="1:23" x14ac:dyDescent="0.25">
      <c r="A2747">
        <v>8</v>
      </c>
      <c r="B2747" t="s">
        <v>52</v>
      </c>
      <c r="C2747" s="1">
        <v>44988</v>
      </c>
      <c r="D2747" t="s">
        <v>71</v>
      </c>
      <c r="E2747">
        <v>0</v>
      </c>
      <c r="F2747">
        <v>49</v>
      </c>
      <c r="G2747" t="str">
        <f t="shared" si="50"/>
        <v>41-60</v>
      </c>
      <c r="H2747" t="s">
        <v>35</v>
      </c>
      <c r="I2747" t="s">
        <v>27</v>
      </c>
      <c r="J2747" t="s">
        <v>28</v>
      </c>
      <c r="K2747" t="s">
        <v>29</v>
      </c>
      <c r="L2747">
        <v>1</v>
      </c>
      <c r="M2747">
        <v>1</v>
      </c>
      <c r="N2747">
        <v>1.6</v>
      </c>
      <c r="O2747">
        <v>8.1</v>
      </c>
      <c r="P2747">
        <v>7</v>
      </c>
      <c r="Q2747">
        <v>7</v>
      </c>
      <c r="R2747">
        <v>973166</v>
      </c>
      <c r="S2747">
        <f>Table1[[#This Row],[Revenue]]-Table1[[#This Row],[Operating_Costs]]</f>
        <v>80331</v>
      </c>
      <c r="T2747">
        <v>892835</v>
      </c>
      <c r="U2747">
        <v>35</v>
      </c>
      <c r="V2747">
        <v>58</v>
      </c>
      <c r="W2747">
        <v>14.7</v>
      </c>
    </row>
    <row r="2748" spans="1:23" x14ac:dyDescent="0.25">
      <c r="A2748">
        <v>8</v>
      </c>
      <c r="B2748" t="s">
        <v>52</v>
      </c>
      <c r="C2748" s="1">
        <v>44644</v>
      </c>
      <c r="D2748" t="s">
        <v>71</v>
      </c>
      <c r="E2748">
        <v>0</v>
      </c>
      <c r="F2748">
        <v>43</v>
      </c>
      <c r="G2748" t="str">
        <f t="shared" si="50"/>
        <v>41-60</v>
      </c>
      <c r="H2748" t="s">
        <v>23</v>
      </c>
      <c r="I2748" t="s">
        <v>64</v>
      </c>
      <c r="J2748" t="s">
        <v>65</v>
      </c>
      <c r="K2748" t="s">
        <v>29</v>
      </c>
      <c r="L2748">
        <v>1</v>
      </c>
      <c r="M2748">
        <v>1</v>
      </c>
      <c r="N2748">
        <v>7</v>
      </c>
      <c r="O2748">
        <v>9.9</v>
      </c>
      <c r="P2748">
        <v>6</v>
      </c>
      <c r="Q2748">
        <v>7</v>
      </c>
      <c r="R2748">
        <v>958329</v>
      </c>
      <c r="S2748">
        <f>Table1[[#This Row],[Revenue]]-Table1[[#This Row],[Operating_Costs]]</f>
        <v>100859</v>
      </c>
      <c r="T2748">
        <v>857470</v>
      </c>
      <c r="U2748">
        <v>33</v>
      </c>
      <c r="V2748">
        <v>54</v>
      </c>
      <c r="W2748">
        <v>13.5</v>
      </c>
    </row>
    <row r="2749" spans="1:23" x14ac:dyDescent="0.25">
      <c r="A2749">
        <v>8</v>
      </c>
      <c r="B2749" t="s">
        <v>52</v>
      </c>
      <c r="C2749" s="1">
        <v>44837</v>
      </c>
      <c r="D2749" t="s">
        <v>71</v>
      </c>
      <c r="E2749">
        <v>0</v>
      </c>
      <c r="F2749">
        <v>76</v>
      </c>
      <c r="G2749" t="str">
        <f t="shared" si="50"/>
        <v>61-80</v>
      </c>
      <c r="H2749" t="s">
        <v>23</v>
      </c>
      <c r="I2749" t="s">
        <v>55</v>
      </c>
      <c r="J2749" t="s">
        <v>56</v>
      </c>
      <c r="K2749" t="s">
        <v>38</v>
      </c>
      <c r="L2749">
        <v>1</v>
      </c>
      <c r="M2749">
        <v>1</v>
      </c>
      <c r="N2749">
        <v>5.9</v>
      </c>
      <c r="O2749">
        <v>9.4</v>
      </c>
      <c r="P2749">
        <v>5</v>
      </c>
      <c r="Q2749">
        <v>6</v>
      </c>
      <c r="R2749">
        <v>947572</v>
      </c>
      <c r="S2749">
        <f>Table1[[#This Row],[Revenue]]-Table1[[#This Row],[Operating_Costs]]</f>
        <v>106017</v>
      </c>
      <c r="T2749">
        <v>841555</v>
      </c>
      <c r="U2749">
        <v>36</v>
      </c>
      <c r="V2749">
        <v>60</v>
      </c>
      <c r="W2749">
        <v>7</v>
      </c>
    </row>
    <row r="2750" spans="1:23" x14ac:dyDescent="0.25">
      <c r="A2750">
        <v>8</v>
      </c>
      <c r="B2750" t="s">
        <v>52</v>
      </c>
      <c r="C2750" s="1">
        <v>44725</v>
      </c>
      <c r="D2750" t="s">
        <v>71</v>
      </c>
      <c r="E2750">
        <v>0</v>
      </c>
      <c r="F2750">
        <v>37</v>
      </c>
      <c r="G2750" t="str">
        <f t="shared" si="50"/>
        <v>21-40</v>
      </c>
      <c r="H2750" t="s">
        <v>35</v>
      </c>
      <c r="I2750" t="s">
        <v>36</v>
      </c>
      <c r="J2750" t="s">
        <v>37</v>
      </c>
      <c r="K2750" t="s">
        <v>38</v>
      </c>
      <c r="L2750">
        <v>1</v>
      </c>
      <c r="M2750">
        <v>1</v>
      </c>
      <c r="N2750">
        <v>5.5</v>
      </c>
      <c r="O2750">
        <v>7.7</v>
      </c>
      <c r="P2750">
        <v>7</v>
      </c>
      <c r="Q2750">
        <v>7</v>
      </c>
      <c r="R2750">
        <v>955390</v>
      </c>
      <c r="S2750">
        <f>Table1[[#This Row],[Revenue]]-Table1[[#This Row],[Operating_Costs]]</f>
        <v>112517</v>
      </c>
      <c r="T2750">
        <v>842873</v>
      </c>
      <c r="U2750">
        <v>33</v>
      </c>
      <c r="V2750">
        <v>66</v>
      </c>
      <c r="W2750">
        <v>14.6</v>
      </c>
    </row>
    <row r="2751" spans="1:23" x14ac:dyDescent="0.25">
      <c r="A2751">
        <v>8</v>
      </c>
      <c r="B2751" t="s">
        <v>52</v>
      </c>
      <c r="C2751" s="1">
        <v>44965</v>
      </c>
      <c r="D2751" t="s">
        <v>71</v>
      </c>
      <c r="E2751">
        <v>0</v>
      </c>
      <c r="F2751">
        <v>65</v>
      </c>
      <c r="G2751" t="str">
        <f t="shared" si="50"/>
        <v>61-80</v>
      </c>
      <c r="H2751" t="s">
        <v>23</v>
      </c>
      <c r="I2751" t="s">
        <v>50</v>
      </c>
      <c r="J2751" t="s">
        <v>51</v>
      </c>
      <c r="K2751" t="s">
        <v>42</v>
      </c>
      <c r="L2751">
        <v>1</v>
      </c>
      <c r="M2751">
        <v>1</v>
      </c>
      <c r="N2751">
        <v>6.4</v>
      </c>
      <c r="O2751">
        <v>7.2</v>
      </c>
      <c r="P2751">
        <v>4</v>
      </c>
      <c r="Q2751">
        <v>5</v>
      </c>
      <c r="R2751">
        <v>947771</v>
      </c>
      <c r="S2751">
        <f>Table1[[#This Row],[Revenue]]-Table1[[#This Row],[Operating_Costs]]</f>
        <v>80291</v>
      </c>
      <c r="T2751">
        <v>867480</v>
      </c>
      <c r="U2751">
        <v>40</v>
      </c>
      <c r="V2751">
        <v>61</v>
      </c>
      <c r="W2751">
        <v>14.6</v>
      </c>
    </row>
    <row r="2752" spans="1:23" x14ac:dyDescent="0.25">
      <c r="A2752">
        <v>8</v>
      </c>
      <c r="B2752" t="s">
        <v>52</v>
      </c>
      <c r="C2752" s="1">
        <v>45164</v>
      </c>
      <c r="D2752" t="s">
        <v>71</v>
      </c>
      <c r="E2752">
        <v>0</v>
      </c>
      <c r="F2752">
        <v>38</v>
      </c>
      <c r="G2752" t="str">
        <f t="shared" si="50"/>
        <v>21-40</v>
      </c>
      <c r="H2752" t="s">
        <v>35</v>
      </c>
      <c r="I2752" t="s">
        <v>40</v>
      </c>
      <c r="J2752" t="s">
        <v>41</v>
      </c>
      <c r="K2752" t="s">
        <v>33</v>
      </c>
      <c r="L2752">
        <v>1</v>
      </c>
      <c r="M2752">
        <v>1</v>
      </c>
      <c r="N2752">
        <v>3.4</v>
      </c>
      <c r="O2752">
        <v>9.6999999999999993</v>
      </c>
      <c r="P2752">
        <v>5</v>
      </c>
      <c r="Q2752">
        <v>3</v>
      </c>
      <c r="R2752">
        <v>965213</v>
      </c>
      <c r="S2752">
        <f>Table1[[#This Row],[Revenue]]-Table1[[#This Row],[Operating_Costs]]</f>
        <v>158304</v>
      </c>
      <c r="T2752">
        <v>806909</v>
      </c>
      <c r="U2752">
        <v>33</v>
      </c>
      <c r="V2752">
        <v>62</v>
      </c>
      <c r="W2752">
        <v>10.5</v>
      </c>
    </row>
    <row r="2753" spans="1:23" x14ac:dyDescent="0.25">
      <c r="A2753">
        <v>8</v>
      </c>
      <c r="B2753" t="s">
        <v>52</v>
      </c>
      <c r="C2753" s="1">
        <v>44298</v>
      </c>
      <c r="D2753" t="s">
        <v>71</v>
      </c>
      <c r="E2753">
        <v>0</v>
      </c>
      <c r="F2753">
        <v>53</v>
      </c>
      <c r="G2753" t="str">
        <f t="shared" si="50"/>
        <v>41-60</v>
      </c>
      <c r="H2753" t="s">
        <v>35</v>
      </c>
      <c r="I2753" t="s">
        <v>58</v>
      </c>
      <c r="J2753" t="s">
        <v>59</v>
      </c>
      <c r="K2753" t="s">
        <v>29</v>
      </c>
      <c r="L2753">
        <v>1</v>
      </c>
      <c r="M2753">
        <v>1</v>
      </c>
      <c r="N2753">
        <v>4.5999999999999996</v>
      </c>
      <c r="O2753">
        <v>9.6999999999999993</v>
      </c>
      <c r="P2753">
        <v>7</v>
      </c>
      <c r="Q2753">
        <v>3</v>
      </c>
      <c r="R2753">
        <v>930501</v>
      </c>
      <c r="S2753">
        <f>Table1[[#This Row],[Revenue]]-Table1[[#This Row],[Operating_Costs]]</f>
        <v>37340</v>
      </c>
      <c r="T2753">
        <v>893161</v>
      </c>
      <c r="U2753">
        <v>34</v>
      </c>
      <c r="V2753">
        <v>59</v>
      </c>
      <c r="W2753">
        <v>10.5</v>
      </c>
    </row>
    <row r="2754" spans="1:23" x14ac:dyDescent="0.25">
      <c r="A2754">
        <v>8</v>
      </c>
      <c r="B2754" t="s">
        <v>52</v>
      </c>
      <c r="C2754" s="1">
        <v>44956</v>
      </c>
      <c r="D2754" t="s">
        <v>71</v>
      </c>
      <c r="E2754">
        <v>0</v>
      </c>
      <c r="F2754">
        <v>34</v>
      </c>
      <c r="G2754" t="str">
        <f t="shared" si="50"/>
        <v>21-40</v>
      </c>
      <c r="H2754" t="s">
        <v>35</v>
      </c>
      <c r="I2754" t="s">
        <v>50</v>
      </c>
      <c r="J2754" t="s">
        <v>51</v>
      </c>
      <c r="K2754" t="s">
        <v>38</v>
      </c>
      <c r="L2754">
        <v>1</v>
      </c>
      <c r="M2754">
        <v>1</v>
      </c>
      <c r="N2754">
        <v>6.5</v>
      </c>
      <c r="O2754">
        <v>9.8000000000000007</v>
      </c>
      <c r="P2754">
        <v>3</v>
      </c>
      <c r="Q2754">
        <v>4</v>
      </c>
      <c r="R2754">
        <v>969909</v>
      </c>
      <c r="S2754">
        <f>Table1[[#This Row],[Revenue]]-Table1[[#This Row],[Operating_Costs]]</f>
        <v>151639</v>
      </c>
      <c r="T2754">
        <v>818270</v>
      </c>
      <c r="U2754">
        <v>40</v>
      </c>
      <c r="V2754">
        <v>65</v>
      </c>
      <c r="W2754">
        <v>6.2</v>
      </c>
    </row>
    <row r="2755" spans="1:23" x14ac:dyDescent="0.25">
      <c r="A2755">
        <v>8</v>
      </c>
      <c r="B2755" t="s">
        <v>52</v>
      </c>
      <c r="C2755" s="1">
        <v>44480</v>
      </c>
      <c r="D2755" t="s">
        <v>71</v>
      </c>
      <c r="E2755">
        <v>0</v>
      </c>
      <c r="F2755">
        <v>57</v>
      </c>
      <c r="G2755" t="str">
        <f t="shared" ref="G2755:G2818" si="51">IF(F2755&lt;=20,"0-20",IF(F2755&lt;=40,"21-40",IF(F2755&lt;=60,"41-60",IF(F2755&lt;=80,"61-80","81+"))))</f>
        <v>41-60</v>
      </c>
      <c r="H2755" t="s">
        <v>35</v>
      </c>
      <c r="I2755" t="s">
        <v>46</v>
      </c>
      <c r="J2755" t="s">
        <v>47</v>
      </c>
      <c r="K2755" t="s">
        <v>26</v>
      </c>
      <c r="L2755">
        <v>1</v>
      </c>
      <c r="M2755">
        <v>1</v>
      </c>
      <c r="N2755">
        <v>2.2999999999999998</v>
      </c>
      <c r="O2755">
        <v>7.1</v>
      </c>
      <c r="P2755">
        <v>6</v>
      </c>
      <c r="Q2755">
        <v>6</v>
      </c>
      <c r="R2755">
        <v>954886</v>
      </c>
      <c r="S2755">
        <f>Table1[[#This Row],[Revenue]]-Table1[[#This Row],[Operating_Costs]]</f>
        <v>94281</v>
      </c>
      <c r="T2755">
        <v>860605</v>
      </c>
      <c r="U2755">
        <v>30</v>
      </c>
      <c r="V2755">
        <v>63</v>
      </c>
      <c r="W2755">
        <v>6.1</v>
      </c>
    </row>
    <row r="2756" spans="1:23" x14ac:dyDescent="0.25">
      <c r="A2756">
        <v>8</v>
      </c>
      <c r="B2756" t="s">
        <v>52</v>
      </c>
      <c r="C2756" s="1">
        <v>45103</v>
      </c>
      <c r="D2756" t="s">
        <v>71</v>
      </c>
      <c r="E2756">
        <v>0</v>
      </c>
      <c r="F2756">
        <v>49</v>
      </c>
      <c r="G2756" t="str">
        <f t="shared" si="51"/>
        <v>41-60</v>
      </c>
      <c r="H2756" t="s">
        <v>23</v>
      </c>
      <c r="I2756" t="s">
        <v>50</v>
      </c>
      <c r="J2756" t="s">
        <v>51</v>
      </c>
      <c r="K2756" t="s">
        <v>29</v>
      </c>
      <c r="L2756">
        <v>1</v>
      </c>
      <c r="M2756">
        <v>1</v>
      </c>
      <c r="N2756">
        <v>1.6</v>
      </c>
      <c r="O2756">
        <v>9.4</v>
      </c>
      <c r="P2756">
        <v>4</v>
      </c>
      <c r="Q2756">
        <v>4</v>
      </c>
      <c r="R2756">
        <v>948846</v>
      </c>
      <c r="S2756">
        <f>Table1[[#This Row],[Revenue]]-Table1[[#This Row],[Operating_Costs]]</f>
        <v>115994</v>
      </c>
      <c r="T2756">
        <v>832852</v>
      </c>
      <c r="U2756">
        <v>39</v>
      </c>
      <c r="V2756">
        <v>58</v>
      </c>
      <c r="W2756">
        <v>12.4</v>
      </c>
    </row>
    <row r="2757" spans="1:23" x14ac:dyDescent="0.25">
      <c r="A2757">
        <v>8</v>
      </c>
      <c r="B2757" t="s">
        <v>52</v>
      </c>
      <c r="C2757" s="1">
        <v>44637</v>
      </c>
      <c r="D2757" t="s">
        <v>71</v>
      </c>
      <c r="E2757">
        <v>0</v>
      </c>
      <c r="F2757">
        <v>81</v>
      </c>
      <c r="G2757" t="str">
        <f t="shared" si="51"/>
        <v>81+</v>
      </c>
      <c r="H2757" t="s">
        <v>23</v>
      </c>
      <c r="I2757" t="s">
        <v>24</v>
      </c>
      <c r="J2757" t="s">
        <v>25</v>
      </c>
      <c r="K2757" t="s">
        <v>33</v>
      </c>
      <c r="L2757">
        <v>1</v>
      </c>
      <c r="M2757">
        <v>1</v>
      </c>
      <c r="N2757">
        <v>5.2</v>
      </c>
      <c r="O2757">
        <v>7.8</v>
      </c>
      <c r="P2757">
        <v>4</v>
      </c>
      <c r="Q2757">
        <v>6</v>
      </c>
      <c r="R2757">
        <v>997543</v>
      </c>
      <c r="S2757">
        <f>Table1[[#This Row],[Revenue]]-Table1[[#This Row],[Operating_Costs]]</f>
        <v>104874</v>
      </c>
      <c r="T2757">
        <v>892669</v>
      </c>
      <c r="U2757">
        <v>31</v>
      </c>
      <c r="V2757">
        <v>56</v>
      </c>
      <c r="W2757">
        <v>7.9</v>
      </c>
    </row>
    <row r="2758" spans="1:23" x14ac:dyDescent="0.25">
      <c r="A2758">
        <v>8</v>
      </c>
      <c r="B2758" t="s">
        <v>52</v>
      </c>
      <c r="C2758" s="1">
        <v>44268</v>
      </c>
      <c r="D2758" t="s">
        <v>71</v>
      </c>
      <c r="E2758">
        <v>0</v>
      </c>
      <c r="F2758">
        <v>65</v>
      </c>
      <c r="G2758" t="str">
        <f t="shared" si="51"/>
        <v>61-80</v>
      </c>
      <c r="H2758" t="s">
        <v>35</v>
      </c>
      <c r="I2758" t="s">
        <v>50</v>
      </c>
      <c r="J2758" t="s">
        <v>51</v>
      </c>
      <c r="K2758" t="s">
        <v>29</v>
      </c>
      <c r="L2758">
        <v>1</v>
      </c>
      <c r="M2758">
        <v>1</v>
      </c>
      <c r="N2758">
        <v>3.8</v>
      </c>
      <c r="O2758">
        <v>8.1</v>
      </c>
      <c r="P2758">
        <v>7</v>
      </c>
      <c r="Q2758">
        <v>3</v>
      </c>
      <c r="R2758">
        <v>933582</v>
      </c>
      <c r="S2758">
        <f>Table1[[#This Row],[Revenue]]-Table1[[#This Row],[Operating_Costs]]</f>
        <v>47552</v>
      </c>
      <c r="T2758">
        <v>886030</v>
      </c>
      <c r="U2758">
        <v>30</v>
      </c>
      <c r="V2758">
        <v>61</v>
      </c>
      <c r="W2758">
        <v>13.4</v>
      </c>
    </row>
    <row r="2759" spans="1:23" x14ac:dyDescent="0.25">
      <c r="A2759">
        <v>8</v>
      </c>
      <c r="B2759" t="s">
        <v>52</v>
      </c>
      <c r="C2759" s="1">
        <v>44997</v>
      </c>
      <c r="D2759" t="s">
        <v>71</v>
      </c>
      <c r="E2759">
        <v>0</v>
      </c>
      <c r="F2759">
        <v>79</v>
      </c>
      <c r="G2759" t="str">
        <f t="shared" si="51"/>
        <v>61-80</v>
      </c>
      <c r="H2759" t="s">
        <v>23</v>
      </c>
      <c r="I2759" t="s">
        <v>46</v>
      </c>
      <c r="J2759" t="s">
        <v>47</v>
      </c>
      <c r="K2759" t="s">
        <v>26</v>
      </c>
      <c r="L2759">
        <v>1</v>
      </c>
      <c r="M2759">
        <v>1</v>
      </c>
      <c r="N2759">
        <v>4.4000000000000004</v>
      </c>
      <c r="O2759">
        <v>7.6</v>
      </c>
      <c r="P2759">
        <v>4</v>
      </c>
      <c r="Q2759">
        <v>6</v>
      </c>
      <c r="R2759">
        <v>924271</v>
      </c>
      <c r="S2759">
        <f>Table1[[#This Row],[Revenue]]-Table1[[#This Row],[Operating_Costs]]</f>
        <v>94098</v>
      </c>
      <c r="T2759">
        <v>830173</v>
      </c>
      <c r="U2759">
        <v>39</v>
      </c>
      <c r="V2759">
        <v>65</v>
      </c>
      <c r="W2759">
        <v>5.0999999999999996</v>
      </c>
    </row>
    <row r="2760" spans="1:23" x14ac:dyDescent="0.25">
      <c r="A2760">
        <v>8</v>
      </c>
      <c r="B2760" t="s">
        <v>52</v>
      </c>
      <c r="C2760" s="1">
        <v>44588</v>
      </c>
      <c r="D2760" t="s">
        <v>71</v>
      </c>
      <c r="E2760">
        <v>0</v>
      </c>
      <c r="F2760">
        <v>43</v>
      </c>
      <c r="G2760" t="str">
        <f t="shared" si="51"/>
        <v>41-60</v>
      </c>
      <c r="H2760" t="s">
        <v>23</v>
      </c>
      <c r="I2760" t="s">
        <v>24</v>
      </c>
      <c r="J2760" t="s">
        <v>25</v>
      </c>
      <c r="K2760" t="s">
        <v>33</v>
      </c>
      <c r="L2760">
        <v>1</v>
      </c>
      <c r="M2760">
        <v>1</v>
      </c>
      <c r="N2760">
        <v>1.5</v>
      </c>
      <c r="O2760">
        <v>9.4</v>
      </c>
      <c r="P2760">
        <v>6</v>
      </c>
      <c r="Q2760">
        <v>4</v>
      </c>
      <c r="R2760">
        <v>901869</v>
      </c>
      <c r="S2760">
        <f>Table1[[#This Row],[Revenue]]-Table1[[#This Row],[Operating_Costs]]</f>
        <v>28414</v>
      </c>
      <c r="T2760">
        <v>873455</v>
      </c>
      <c r="U2760">
        <v>31</v>
      </c>
      <c r="V2760">
        <v>64</v>
      </c>
      <c r="W2760">
        <v>5.8</v>
      </c>
    </row>
    <row r="2761" spans="1:23" x14ac:dyDescent="0.25">
      <c r="A2761">
        <v>8</v>
      </c>
      <c r="B2761" t="s">
        <v>52</v>
      </c>
      <c r="C2761" s="1">
        <v>45117</v>
      </c>
      <c r="D2761" t="s">
        <v>71</v>
      </c>
      <c r="E2761">
        <v>0</v>
      </c>
      <c r="F2761">
        <v>54</v>
      </c>
      <c r="G2761" t="str">
        <f t="shared" si="51"/>
        <v>41-60</v>
      </c>
      <c r="H2761" t="s">
        <v>35</v>
      </c>
      <c r="I2761" t="s">
        <v>36</v>
      </c>
      <c r="J2761" t="s">
        <v>37</v>
      </c>
      <c r="K2761" t="s">
        <v>38</v>
      </c>
      <c r="L2761">
        <v>1</v>
      </c>
      <c r="M2761">
        <v>1</v>
      </c>
      <c r="N2761">
        <v>1.2</v>
      </c>
      <c r="O2761">
        <v>9</v>
      </c>
      <c r="P2761">
        <v>7</v>
      </c>
      <c r="Q2761">
        <v>4</v>
      </c>
      <c r="R2761">
        <v>977999</v>
      </c>
      <c r="S2761">
        <f>Table1[[#This Row],[Revenue]]-Table1[[#This Row],[Operating_Costs]]</f>
        <v>129585</v>
      </c>
      <c r="T2761">
        <v>848414</v>
      </c>
      <c r="U2761">
        <v>40</v>
      </c>
      <c r="V2761">
        <v>55</v>
      </c>
      <c r="W2761">
        <v>10.199999999999999</v>
      </c>
    </row>
    <row r="2762" spans="1:23" x14ac:dyDescent="0.25">
      <c r="A2762">
        <v>8</v>
      </c>
      <c r="B2762" t="s">
        <v>52</v>
      </c>
      <c r="C2762" s="1">
        <v>45346</v>
      </c>
      <c r="D2762" t="s">
        <v>71</v>
      </c>
      <c r="E2762">
        <v>0</v>
      </c>
      <c r="F2762">
        <v>46</v>
      </c>
      <c r="G2762" t="str">
        <f t="shared" si="51"/>
        <v>41-60</v>
      </c>
      <c r="H2762" t="s">
        <v>35</v>
      </c>
      <c r="I2762" t="s">
        <v>46</v>
      </c>
      <c r="J2762" t="s">
        <v>47</v>
      </c>
      <c r="K2762" t="s">
        <v>29</v>
      </c>
      <c r="L2762">
        <v>1</v>
      </c>
      <c r="M2762">
        <v>1</v>
      </c>
      <c r="N2762">
        <v>4.8</v>
      </c>
      <c r="O2762">
        <v>8.9</v>
      </c>
      <c r="P2762">
        <v>7</v>
      </c>
      <c r="Q2762">
        <v>3</v>
      </c>
      <c r="R2762">
        <v>910459</v>
      </c>
      <c r="S2762">
        <f>Table1[[#This Row],[Revenue]]-Table1[[#This Row],[Operating_Costs]]</f>
        <v>13218</v>
      </c>
      <c r="T2762">
        <v>897241</v>
      </c>
      <c r="U2762">
        <v>32</v>
      </c>
      <c r="V2762">
        <v>63</v>
      </c>
      <c r="W2762">
        <v>7.7</v>
      </c>
    </row>
    <row r="2763" spans="1:23" x14ac:dyDescent="0.25">
      <c r="A2763">
        <v>8</v>
      </c>
      <c r="B2763" t="s">
        <v>52</v>
      </c>
      <c r="C2763" s="1">
        <v>44225</v>
      </c>
      <c r="D2763" t="s">
        <v>71</v>
      </c>
      <c r="E2763">
        <v>0</v>
      </c>
      <c r="F2763">
        <v>66</v>
      </c>
      <c r="G2763" t="str">
        <f t="shared" si="51"/>
        <v>61-80</v>
      </c>
      <c r="H2763" t="s">
        <v>35</v>
      </c>
      <c r="I2763" t="s">
        <v>46</v>
      </c>
      <c r="J2763" t="s">
        <v>47</v>
      </c>
      <c r="K2763" t="s">
        <v>42</v>
      </c>
      <c r="L2763">
        <v>1</v>
      </c>
      <c r="M2763">
        <v>1</v>
      </c>
      <c r="N2763">
        <v>1.3</v>
      </c>
      <c r="O2763">
        <v>7.8</v>
      </c>
      <c r="P2763">
        <v>5</v>
      </c>
      <c r="Q2763">
        <v>4</v>
      </c>
      <c r="R2763">
        <v>998081</v>
      </c>
      <c r="S2763">
        <f>Table1[[#This Row],[Revenue]]-Table1[[#This Row],[Operating_Costs]]</f>
        <v>191256</v>
      </c>
      <c r="T2763">
        <v>806825</v>
      </c>
      <c r="U2763">
        <v>31</v>
      </c>
      <c r="V2763">
        <v>58</v>
      </c>
      <c r="W2763">
        <v>10.5</v>
      </c>
    </row>
    <row r="2764" spans="1:23" x14ac:dyDescent="0.25">
      <c r="A2764">
        <v>8</v>
      </c>
      <c r="B2764" t="s">
        <v>52</v>
      </c>
      <c r="C2764" s="1">
        <v>44298</v>
      </c>
      <c r="D2764" t="s">
        <v>71</v>
      </c>
      <c r="E2764">
        <v>0</v>
      </c>
      <c r="F2764">
        <v>39</v>
      </c>
      <c r="G2764" t="str">
        <f t="shared" si="51"/>
        <v>21-40</v>
      </c>
      <c r="H2764" t="s">
        <v>23</v>
      </c>
      <c r="I2764" t="s">
        <v>31</v>
      </c>
      <c r="J2764" t="s">
        <v>28</v>
      </c>
      <c r="K2764" t="s">
        <v>33</v>
      </c>
      <c r="L2764">
        <v>1</v>
      </c>
      <c r="M2764">
        <v>1</v>
      </c>
      <c r="N2764">
        <v>3.3</v>
      </c>
      <c r="O2764">
        <v>8.5</v>
      </c>
      <c r="P2764">
        <v>3</v>
      </c>
      <c r="Q2764">
        <v>6</v>
      </c>
      <c r="R2764">
        <v>935456</v>
      </c>
      <c r="S2764">
        <f>Table1[[#This Row],[Revenue]]-Table1[[#This Row],[Operating_Costs]]</f>
        <v>97860</v>
      </c>
      <c r="T2764">
        <v>837596</v>
      </c>
      <c r="U2764">
        <v>34</v>
      </c>
      <c r="V2764">
        <v>57</v>
      </c>
      <c r="W2764">
        <v>14.4</v>
      </c>
    </row>
    <row r="2765" spans="1:23" x14ac:dyDescent="0.25">
      <c r="A2765">
        <v>8</v>
      </c>
      <c r="B2765" t="s">
        <v>52</v>
      </c>
      <c r="C2765" s="1">
        <v>45348</v>
      </c>
      <c r="D2765" t="s">
        <v>71</v>
      </c>
      <c r="E2765">
        <v>0</v>
      </c>
      <c r="F2765">
        <v>44</v>
      </c>
      <c r="G2765" t="str">
        <f t="shared" si="51"/>
        <v>41-60</v>
      </c>
      <c r="H2765" t="s">
        <v>23</v>
      </c>
      <c r="I2765" t="s">
        <v>67</v>
      </c>
      <c r="J2765" t="s">
        <v>68</v>
      </c>
      <c r="K2765" t="s">
        <v>26</v>
      </c>
      <c r="L2765">
        <v>1</v>
      </c>
      <c r="M2765">
        <v>1</v>
      </c>
      <c r="N2765">
        <v>3.9</v>
      </c>
      <c r="O2765">
        <v>8.6999999999999993</v>
      </c>
      <c r="P2765">
        <v>4</v>
      </c>
      <c r="Q2765">
        <v>4</v>
      </c>
      <c r="R2765">
        <v>953982</v>
      </c>
      <c r="S2765">
        <f>Table1[[#This Row],[Revenue]]-Table1[[#This Row],[Operating_Costs]]</f>
        <v>69607</v>
      </c>
      <c r="T2765">
        <v>884375</v>
      </c>
      <c r="U2765">
        <v>39</v>
      </c>
      <c r="V2765">
        <v>56</v>
      </c>
      <c r="W2765">
        <v>7.4</v>
      </c>
    </row>
    <row r="2766" spans="1:23" x14ac:dyDescent="0.25">
      <c r="A2766">
        <v>8</v>
      </c>
      <c r="B2766" t="s">
        <v>52</v>
      </c>
      <c r="C2766" s="1">
        <v>45275</v>
      </c>
      <c r="D2766" t="s">
        <v>71</v>
      </c>
      <c r="E2766">
        <v>0</v>
      </c>
      <c r="F2766">
        <v>25</v>
      </c>
      <c r="G2766" t="str">
        <f t="shared" si="51"/>
        <v>21-40</v>
      </c>
      <c r="H2766" t="s">
        <v>23</v>
      </c>
      <c r="I2766" t="s">
        <v>31</v>
      </c>
      <c r="J2766" t="s">
        <v>28</v>
      </c>
      <c r="K2766" t="s">
        <v>33</v>
      </c>
      <c r="L2766">
        <v>1</v>
      </c>
      <c r="M2766">
        <v>1</v>
      </c>
      <c r="N2766">
        <v>4.5999999999999996</v>
      </c>
      <c r="O2766">
        <v>7</v>
      </c>
      <c r="P2766">
        <v>5</v>
      </c>
      <c r="Q2766">
        <v>5</v>
      </c>
      <c r="R2766">
        <v>930908</v>
      </c>
      <c r="S2766">
        <f>Table1[[#This Row],[Revenue]]-Table1[[#This Row],[Operating_Costs]]</f>
        <v>114873</v>
      </c>
      <c r="T2766">
        <v>816035</v>
      </c>
      <c r="U2766">
        <v>36</v>
      </c>
      <c r="V2766">
        <v>56</v>
      </c>
      <c r="W2766">
        <v>9.9</v>
      </c>
    </row>
    <row r="2767" spans="1:23" x14ac:dyDescent="0.25">
      <c r="A2767">
        <v>8</v>
      </c>
      <c r="B2767" t="s">
        <v>52</v>
      </c>
      <c r="C2767" s="1">
        <v>44847</v>
      </c>
      <c r="D2767" t="s">
        <v>71</v>
      </c>
      <c r="E2767">
        <v>0</v>
      </c>
      <c r="F2767">
        <v>37</v>
      </c>
      <c r="G2767" t="str">
        <f t="shared" si="51"/>
        <v>21-40</v>
      </c>
      <c r="H2767" t="s">
        <v>23</v>
      </c>
      <c r="I2767" t="s">
        <v>40</v>
      </c>
      <c r="J2767" t="s">
        <v>41</v>
      </c>
      <c r="K2767" t="s">
        <v>42</v>
      </c>
      <c r="L2767">
        <v>1</v>
      </c>
      <c r="M2767">
        <v>1</v>
      </c>
      <c r="N2767">
        <v>1.9</v>
      </c>
      <c r="O2767">
        <v>9.5</v>
      </c>
      <c r="P2767">
        <v>6</v>
      </c>
      <c r="Q2767">
        <v>6</v>
      </c>
      <c r="R2767">
        <v>952356</v>
      </c>
      <c r="S2767">
        <f>Table1[[#This Row],[Revenue]]-Table1[[#This Row],[Operating_Costs]]</f>
        <v>102208</v>
      </c>
      <c r="T2767">
        <v>850148</v>
      </c>
      <c r="U2767">
        <v>32</v>
      </c>
      <c r="V2767">
        <v>66</v>
      </c>
      <c r="W2767">
        <v>7.5</v>
      </c>
    </row>
    <row r="2768" spans="1:23" x14ac:dyDescent="0.25">
      <c r="A2768">
        <v>8</v>
      </c>
      <c r="B2768" t="s">
        <v>52</v>
      </c>
      <c r="C2768" s="1">
        <v>45504</v>
      </c>
      <c r="D2768" t="s">
        <v>71</v>
      </c>
      <c r="E2768">
        <v>0</v>
      </c>
      <c r="F2768">
        <v>80</v>
      </c>
      <c r="G2768" t="str">
        <f t="shared" si="51"/>
        <v>61-80</v>
      </c>
      <c r="H2768" t="s">
        <v>23</v>
      </c>
      <c r="I2768" t="s">
        <v>46</v>
      </c>
      <c r="J2768" t="s">
        <v>47</v>
      </c>
      <c r="K2768" t="s">
        <v>26</v>
      </c>
      <c r="L2768">
        <v>1</v>
      </c>
      <c r="M2768">
        <v>1</v>
      </c>
      <c r="N2768">
        <v>1.3</v>
      </c>
      <c r="O2768">
        <v>9.8000000000000007</v>
      </c>
      <c r="P2768">
        <v>3</v>
      </c>
      <c r="Q2768">
        <v>3</v>
      </c>
      <c r="R2768">
        <v>901360</v>
      </c>
      <c r="S2768">
        <f>Table1[[#This Row],[Revenue]]-Table1[[#This Row],[Operating_Costs]]</f>
        <v>71619</v>
      </c>
      <c r="T2768">
        <v>829741</v>
      </c>
      <c r="U2768">
        <v>35</v>
      </c>
      <c r="V2768">
        <v>54</v>
      </c>
      <c r="W2768">
        <v>8.6</v>
      </c>
    </row>
    <row r="2769" spans="1:23" x14ac:dyDescent="0.25">
      <c r="A2769">
        <v>8</v>
      </c>
      <c r="B2769" t="s">
        <v>52</v>
      </c>
      <c r="C2769" s="1">
        <v>44728</v>
      </c>
      <c r="D2769" t="s">
        <v>71</v>
      </c>
      <c r="E2769">
        <v>0</v>
      </c>
      <c r="F2769">
        <v>46</v>
      </c>
      <c r="G2769" t="str">
        <f t="shared" si="51"/>
        <v>41-60</v>
      </c>
      <c r="H2769" t="s">
        <v>35</v>
      </c>
      <c r="I2769" t="s">
        <v>60</v>
      </c>
      <c r="J2769" t="s">
        <v>59</v>
      </c>
      <c r="K2769" t="s">
        <v>33</v>
      </c>
      <c r="L2769">
        <v>1</v>
      </c>
      <c r="M2769">
        <v>1</v>
      </c>
      <c r="N2769">
        <v>3.8</v>
      </c>
      <c r="O2769">
        <v>7.9</v>
      </c>
      <c r="P2769">
        <v>7</v>
      </c>
      <c r="Q2769">
        <v>3</v>
      </c>
      <c r="R2769">
        <v>918708</v>
      </c>
      <c r="S2769">
        <f>Table1[[#This Row],[Revenue]]-Table1[[#This Row],[Operating_Costs]]</f>
        <v>116113</v>
      </c>
      <c r="T2769">
        <v>802595</v>
      </c>
      <c r="U2769">
        <v>40</v>
      </c>
      <c r="V2769">
        <v>66</v>
      </c>
      <c r="W2769">
        <v>9</v>
      </c>
    </row>
    <row r="2770" spans="1:23" x14ac:dyDescent="0.25">
      <c r="A2770">
        <v>8</v>
      </c>
      <c r="B2770" t="s">
        <v>52</v>
      </c>
      <c r="C2770" s="1">
        <v>45181</v>
      </c>
      <c r="D2770" t="s">
        <v>71</v>
      </c>
      <c r="E2770">
        <v>0</v>
      </c>
      <c r="F2770">
        <v>88</v>
      </c>
      <c r="G2770" t="str">
        <f t="shared" si="51"/>
        <v>81+</v>
      </c>
      <c r="H2770" t="s">
        <v>35</v>
      </c>
      <c r="I2770" t="s">
        <v>46</v>
      </c>
      <c r="J2770" t="s">
        <v>47</v>
      </c>
      <c r="K2770" t="s">
        <v>38</v>
      </c>
      <c r="L2770">
        <v>1</v>
      </c>
      <c r="M2770">
        <v>1</v>
      </c>
      <c r="N2770">
        <v>6.2</v>
      </c>
      <c r="O2770">
        <v>9.8000000000000007</v>
      </c>
      <c r="P2770">
        <v>5</v>
      </c>
      <c r="Q2770">
        <v>4</v>
      </c>
      <c r="R2770">
        <v>977366</v>
      </c>
      <c r="S2770">
        <f>Table1[[#This Row],[Revenue]]-Table1[[#This Row],[Operating_Costs]]</f>
        <v>106786</v>
      </c>
      <c r="T2770">
        <v>870580</v>
      </c>
      <c r="U2770">
        <v>37</v>
      </c>
      <c r="V2770">
        <v>62</v>
      </c>
      <c r="W2770">
        <v>8</v>
      </c>
    </row>
    <row r="2771" spans="1:23" x14ac:dyDescent="0.25">
      <c r="A2771">
        <v>8</v>
      </c>
      <c r="B2771" t="s">
        <v>52</v>
      </c>
      <c r="C2771" s="1">
        <v>44581</v>
      </c>
      <c r="D2771" t="s">
        <v>71</v>
      </c>
      <c r="E2771">
        <v>0</v>
      </c>
      <c r="F2771">
        <v>32</v>
      </c>
      <c r="G2771" t="str">
        <f t="shared" si="51"/>
        <v>21-40</v>
      </c>
      <c r="H2771" t="s">
        <v>35</v>
      </c>
      <c r="I2771" t="s">
        <v>58</v>
      </c>
      <c r="J2771" t="s">
        <v>59</v>
      </c>
      <c r="K2771" t="s">
        <v>26</v>
      </c>
      <c r="L2771">
        <v>1</v>
      </c>
      <c r="M2771">
        <v>1</v>
      </c>
      <c r="N2771">
        <v>4.5</v>
      </c>
      <c r="O2771">
        <v>8.9</v>
      </c>
      <c r="P2771">
        <v>5</v>
      </c>
      <c r="Q2771">
        <v>7</v>
      </c>
      <c r="R2771">
        <v>921293</v>
      </c>
      <c r="S2771">
        <f>Table1[[#This Row],[Revenue]]-Table1[[#This Row],[Operating_Costs]]</f>
        <v>108679</v>
      </c>
      <c r="T2771">
        <v>812614</v>
      </c>
      <c r="U2771">
        <v>39</v>
      </c>
      <c r="V2771">
        <v>59</v>
      </c>
      <c r="W2771">
        <v>36.299999999999997</v>
      </c>
    </row>
    <row r="2772" spans="1:23" x14ac:dyDescent="0.25">
      <c r="A2772">
        <v>8</v>
      </c>
      <c r="B2772" t="s">
        <v>52</v>
      </c>
      <c r="C2772" s="1">
        <v>44676</v>
      </c>
      <c r="D2772" t="s">
        <v>71</v>
      </c>
      <c r="E2772">
        <v>0</v>
      </c>
      <c r="F2772">
        <v>40</v>
      </c>
      <c r="G2772" t="str">
        <f t="shared" si="51"/>
        <v>21-40</v>
      </c>
      <c r="H2772" t="s">
        <v>23</v>
      </c>
      <c r="I2772" t="s">
        <v>50</v>
      </c>
      <c r="J2772" t="s">
        <v>51</v>
      </c>
      <c r="K2772" t="s">
        <v>26</v>
      </c>
      <c r="L2772">
        <v>1</v>
      </c>
      <c r="M2772">
        <v>1</v>
      </c>
      <c r="N2772">
        <v>6.3</v>
      </c>
      <c r="O2772">
        <v>8.3000000000000007</v>
      </c>
      <c r="P2772">
        <v>6</v>
      </c>
      <c r="Q2772">
        <v>5</v>
      </c>
      <c r="R2772">
        <v>965430</v>
      </c>
      <c r="S2772">
        <f>Table1[[#This Row],[Revenue]]-Table1[[#This Row],[Operating_Costs]]</f>
        <v>69325</v>
      </c>
      <c r="T2772">
        <v>896105</v>
      </c>
      <c r="U2772">
        <v>36</v>
      </c>
      <c r="V2772">
        <v>64</v>
      </c>
      <c r="W2772">
        <v>9.5</v>
      </c>
    </row>
    <row r="2773" spans="1:23" x14ac:dyDescent="0.25">
      <c r="A2773">
        <v>8</v>
      </c>
      <c r="B2773" t="s">
        <v>52</v>
      </c>
      <c r="C2773" s="1">
        <v>45367</v>
      </c>
      <c r="D2773" t="s">
        <v>71</v>
      </c>
      <c r="E2773">
        <v>0</v>
      </c>
      <c r="F2773">
        <v>43</v>
      </c>
      <c r="G2773" t="str">
        <f t="shared" si="51"/>
        <v>41-60</v>
      </c>
      <c r="H2773" t="s">
        <v>23</v>
      </c>
      <c r="I2773" t="s">
        <v>24</v>
      </c>
      <c r="J2773" t="s">
        <v>25</v>
      </c>
      <c r="K2773" t="s">
        <v>33</v>
      </c>
      <c r="L2773">
        <v>1</v>
      </c>
      <c r="M2773">
        <v>1</v>
      </c>
      <c r="N2773">
        <v>5.5</v>
      </c>
      <c r="O2773">
        <v>7.4</v>
      </c>
      <c r="P2773">
        <v>5</v>
      </c>
      <c r="Q2773">
        <v>5</v>
      </c>
      <c r="R2773">
        <v>962315</v>
      </c>
      <c r="S2773">
        <f>Table1[[#This Row],[Revenue]]-Table1[[#This Row],[Operating_Costs]]</f>
        <v>67432</v>
      </c>
      <c r="T2773">
        <v>894883</v>
      </c>
      <c r="U2773">
        <v>30</v>
      </c>
      <c r="V2773">
        <v>63</v>
      </c>
      <c r="W2773">
        <v>6.4</v>
      </c>
    </row>
    <row r="2774" spans="1:23" x14ac:dyDescent="0.25">
      <c r="A2774">
        <v>8</v>
      </c>
      <c r="B2774" t="s">
        <v>52</v>
      </c>
      <c r="C2774" s="1">
        <v>44941</v>
      </c>
      <c r="D2774" t="s">
        <v>71</v>
      </c>
      <c r="E2774">
        <v>0</v>
      </c>
      <c r="F2774">
        <v>30</v>
      </c>
      <c r="G2774" t="str">
        <f t="shared" si="51"/>
        <v>21-40</v>
      </c>
      <c r="H2774" t="s">
        <v>23</v>
      </c>
      <c r="I2774" t="s">
        <v>27</v>
      </c>
      <c r="J2774" t="s">
        <v>28</v>
      </c>
      <c r="K2774" t="s">
        <v>42</v>
      </c>
      <c r="L2774">
        <v>1</v>
      </c>
      <c r="M2774">
        <v>1</v>
      </c>
      <c r="N2774">
        <v>1.6</v>
      </c>
      <c r="O2774">
        <v>9</v>
      </c>
      <c r="P2774">
        <v>6</v>
      </c>
      <c r="Q2774">
        <v>4</v>
      </c>
      <c r="R2774">
        <v>962389</v>
      </c>
      <c r="S2774">
        <f>Table1[[#This Row],[Revenue]]-Table1[[#This Row],[Operating_Costs]]</f>
        <v>109430</v>
      </c>
      <c r="T2774">
        <v>852959</v>
      </c>
      <c r="U2774">
        <v>36</v>
      </c>
      <c r="V2774">
        <v>61</v>
      </c>
      <c r="W2774">
        <v>6.5</v>
      </c>
    </row>
    <row r="2775" spans="1:23" x14ac:dyDescent="0.25">
      <c r="A2775">
        <v>8</v>
      </c>
      <c r="B2775" t="s">
        <v>52</v>
      </c>
      <c r="C2775" s="1">
        <v>45190</v>
      </c>
      <c r="D2775" t="s">
        <v>71</v>
      </c>
      <c r="E2775">
        <v>0</v>
      </c>
      <c r="F2775">
        <v>74</v>
      </c>
      <c r="G2775" t="str">
        <f t="shared" si="51"/>
        <v>61-80</v>
      </c>
      <c r="H2775" t="s">
        <v>23</v>
      </c>
      <c r="I2775" t="s">
        <v>31</v>
      </c>
      <c r="J2775" t="s">
        <v>28</v>
      </c>
      <c r="K2775" t="s">
        <v>29</v>
      </c>
      <c r="L2775">
        <v>1</v>
      </c>
      <c r="M2775">
        <v>1</v>
      </c>
      <c r="N2775">
        <v>5.2</v>
      </c>
      <c r="O2775">
        <v>7.5</v>
      </c>
      <c r="P2775">
        <v>6</v>
      </c>
      <c r="Q2775">
        <v>3</v>
      </c>
      <c r="R2775">
        <v>983536</v>
      </c>
      <c r="S2775">
        <f>Table1[[#This Row],[Revenue]]-Table1[[#This Row],[Operating_Costs]]</f>
        <v>97391</v>
      </c>
      <c r="T2775">
        <v>886145</v>
      </c>
      <c r="U2775">
        <v>34</v>
      </c>
      <c r="V2775">
        <v>63</v>
      </c>
      <c r="W2775">
        <v>6.9</v>
      </c>
    </row>
    <row r="2776" spans="1:23" x14ac:dyDescent="0.25">
      <c r="A2776">
        <v>8</v>
      </c>
      <c r="B2776" t="s">
        <v>52</v>
      </c>
      <c r="C2776" s="1">
        <v>45623</v>
      </c>
      <c r="D2776" t="s">
        <v>71</v>
      </c>
      <c r="E2776">
        <v>0</v>
      </c>
      <c r="F2776">
        <v>64</v>
      </c>
      <c r="G2776" t="str">
        <f t="shared" si="51"/>
        <v>61-80</v>
      </c>
      <c r="H2776" t="s">
        <v>35</v>
      </c>
      <c r="I2776" t="s">
        <v>40</v>
      </c>
      <c r="J2776" t="s">
        <v>41</v>
      </c>
      <c r="K2776" t="s">
        <v>29</v>
      </c>
      <c r="L2776">
        <v>1</v>
      </c>
      <c r="M2776">
        <v>1</v>
      </c>
      <c r="N2776">
        <v>2.6</v>
      </c>
      <c r="O2776">
        <v>8.5</v>
      </c>
      <c r="P2776">
        <v>5</v>
      </c>
      <c r="Q2776">
        <v>4</v>
      </c>
      <c r="R2776">
        <v>931655</v>
      </c>
      <c r="S2776">
        <f>Table1[[#This Row],[Revenue]]-Table1[[#This Row],[Operating_Costs]]</f>
        <v>91228</v>
      </c>
      <c r="T2776">
        <v>840427</v>
      </c>
      <c r="U2776">
        <v>34</v>
      </c>
      <c r="V2776">
        <v>57</v>
      </c>
      <c r="W2776">
        <v>7.5</v>
      </c>
    </row>
    <row r="2777" spans="1:23" x14ac:dyDescent="0.25">
      <c r="A2777">
        <v>8</v>
      </c>
      <c r="B2777" t="s">
        <v>52</v>
      </c>
      <c r="C2777" s="1">
        <v>44472</v>
      </c>
      <c r="D2777" t="s">
        <v>71</v>
      </c>
      <c r="E2777">
        <v>0</v>
      </c>
      <c r="F2777">
        <v>44</v>
      </c>
      <c r="G2777" t="str">
        <f t="shared" si="51"/>
        <v>41-60</v>
      </c>
      <c r="H2777" t="s">
        <v>23</v>
      </c>
      <c r="I2777" t="s">
        <v>61</v>
      </c>
      <c r="J2777" t="s">
        <v>62</v>
      </c>
      <c r="K2777" t="s">
        <v>26</v>
      </c>
      <c r="L2777">
        <v>1</v>
      </c>
      <c r="M2777">
        <v>1</v>
      </c>
      <c r="N2777">
        <v>4.3</v>
      </c>
      <c r="O2777">
        <v>8.1</v>
      </c>
      <c r="P2777">
        <v>5</v>
      </c>
      <c r="Q2777">
        <v>5</v>
      </c>
      <c r="R2777">
        <v>990137</v>
      </c>
      <c r="S2777">
        <f>Table1[[#This Row],[Revenue]]-Table1[[#This Row],[Operating_Costs]]</f>
        <v>153590</v>
      </c>
      <c r="T2777">
        <v>836547</v>
      </c>
      <c r="U2777">
        <v>40</v>
      </c>
      <c r="V2777">
        <v>63</v>
      </c>
      <c r="W2777">
        <v>10.8</v>
      </c>
    </row>
    <row r="2778" spans="1:23" x14ac:dyDescent="0.25">
      <c r="A2778">
        <v>8</v>
      </c>
      <c r="B2778" t="s">
        <v>52</v>
      </c>
      <c r="C2778" s="1">
        <v>45440</v>
      </c>
      <c r="D2778" t="s">
        <v>71</v>
      </c>
      <c r="E2778">
        <v>0</v>
      </c>
      <c r="F2778">
        <v>74</v>
      </c>
      <c r="G2778" t="str">
        <f t="shared" si="51"/>
        <v>61-80</v>
      </c>
      <c r="H2778" t="s">
        <v>35</v>
      </c>
      <c r="I2778" t="s">
        <v>36</v>
      </c>
      <c r="J2778" t="s">
        <v>37</v>
      </c>
      <c r="K2778" t="s">
        <v>33</v>
      </c>
      <c r="L2778">
        <v>1</v>
      </c>
      <c r="M2778">
        <v>1</v>
      </c>
      <c r="N2778">
        <v>3</v>
      </c>
      <c r="O2778">
        <v>9.5</v>
      </c>
      <c r="P2778">
        <v>7</v>
      </c>
      <c r="Q2778">
        <v>4</v>
      </c>
      <c r="R2778">
        <v>993416</v>
      </c>
      <c r="S2778">
        <f>Table1[[#This Row],[Revenue]]-Table1[[#This Row],[Operating_Costs]]</f>
        <v>157517</v>
      </c>
      <c r="T2778">
        <v>835899</v>
      </c>
      <c r="U2778">
        <v>37</v>
      </c>
      <c r="V2778">
        <v>58</v>
      </c>
      <c r="W2778">
        <v>9.1</v>
      </c>
    </row>
    <row r="2779" spans="1:23" x14ac:dyDescent="0.25">
      <c r="A2779">
        <v>8</v>
      </c>
      <c r="B2779" t="s">
        <v>52</v>
      </c>
      <c r="C2779" s="1">
        <v>44833</v>
      </c>
      <c r="D2779" t="s">
        <v>71</v>
      </c>
      <c r="E2779">
        <v>0</v>
      </c>
      <c r="F2779">
        <v>40</v>
      </c>
      <c r="G2779" t="str">
        <f t="shared" si="51"/>
        <v>21-40</v>
      </c>
      <c r="H2779" t="s">
        <v>35</v>
      </c>
      <c r="I2779" t="s">
        <v>31</v>
      </c>
      <c r="J2779" t="s">
        <v>28</v>
      </c>
      <c r="K2779" t="s">
        <v>38</v>
      </c>
      <c r="L2779">
        <v>1</v>
      </c>
      <c r="M2779">
        <v>1</v>
      </c>
      <c r="N2779">
        <v>3.7</v>
      </c>
      <c r="O2779">
        <v>7.2</v>
      </c>
      <c r="P2779">
        <v>7</v>
      </c>
      <c r="Q2779">
        <v>6</v>
      </c>
      <c r="R2779">
        <v>939934</v>
      </c>
      <c r="S2779">
        <f>Table1[[#This Row],[Revenue]]-Table1[[#This Row],[Operating_Costs]]</f>
        <v>43136</v>
      </c>
      <c r="T2779">
        <v>896798</v>
      </c>
      <c r="U2779">
        <v>35</v>
      </c>
      <c r="V2779">
        <v>63</v>
      </c>
      <c r="W2779">
        <v>12.3</v>
      </c>
    </row>
    <row r="2780" spans="1:23" x14ac:dyDescent="0.25">
      <c r="A2780">
        <v>8</v>
      </c>
      <c r="B2780" t="s">
        <v>52</v>
      </c>
      <c r="C2780" s="1">
        <v>44641</v>
      </c>
      <c r="D2780" t="s">
        <v>71</v>
      </c>
      <c r="E2780">
        <v>0</v>
      </c>
      <c r="F2780">
        <v>60</v>
      </c>
      <c r="G2780" t="str">
        <f t="shared" si="51"/>
        <v>41-60</v>
      </c>
      <c r="H2780" t="s">
        <v>35</v>
      </c>
      <c r="I2780" t="s">
        <v>58</v>
      </c>
      <c r="J2780" t="s">
        <v>59</v>
      </c>
      <c r="K2780" t="s">
        <v>29</v>
      </c>
      <c r="L2780">
        <v>1</v>
      </c>
      <c r="M2780">
        <v>1</v>
      </c>
      <c r="N2780">
        <v>4.5999999999999996</v>
      </c>
      <c r="O2780">
        <v>9.5</v>
      </c>
      <c r="P2780">
        <v>7</v>
      </c>
      <c r="Q2780">
        <v>4</v>
      </c>
      <c r="R2780">
        <v>909364</v>
      </c>
      <c r="S2780">
        <f>Table1[[#This Row],[Revenue]]-Table1[[#This Row],[Operating_Costs]]</f>
        <v>28330</v>
      </c>
      <c r="T2780">
        <v>881034</v>
      </c>
      <c r="U2780">
        <v>36</v>
      </c>
      <c r="V2780">
        <v>65</v>
      </c>
      <c r="W2780">
        <v>12.4</v>
      </c>
    </row>
    <row r="2781" spans="1:23" x14ac:dyDescent="0.25">
      <c r="A2781">
        <v>8</v>
      </c>
      <c r="B2781" t="s">
        <v>52</v>
      </c>
      <c r="C2781" s="1">
        <v>44273</v>
      </c>
      <c r="D2781" t="s">
        <v>71</v>
      </c>
      <c r="E2781">
        <v>0</v>
      </c>
      <c r="F2781">
        <v>64</v>
      </c>
      <c r="G2781" t="str">
        <f t="shared" si="51"/>
        <v>61-80</v>
      </c>
      <c r="H2781" t="s">
        <v>23</v>
      </c>
      <c r="I2781" t="s">
        <v>31</v>
      </c>
      <c r="J2781" t="s">
        <v>28</v>
      </c>
      <c r="K2781" t="s">
        <v>29</v>
      </c>
      <c r="L2781">
        <v>1</v>
      </c>
      <c r="M2781">
        <v>1</v>
      </c>
      <c r="N2781">
        <v>4.7</v>
      </c>
      <c r="O2781">
        <v>7.5</v>
      </c>
      <c r="P2781">
        <v>7</v>
      </c>
      <c r="Q2781">
        <v>6</v>
      </c>
      <c r="R2781">
        <v>979669</v>
      </c>
      <c r="S2781">
        <f>Table1[[#This Row],[Revenue]]-Table1[[#This Row],[Operating_Costs]]</f>
        <v>80838</v>
      </c>
      <c r="T2781">
        <v>898831</v>
      </c>
      <c r="U2781">
        <v>37</v>
      </c>
      <c r="V2781">
        <v>62</v>
      </c>
      <c r="W2781">
        <v>13.9</v>
      </c>
    </row>
    <row r="2782" spans="1:23" x14ac:dyDescent="0.25">
      <c r="A2782">
        <v>8</v>
      </c>
      <c r="B2782" t="s">
        <v>52</v>
      </c>
      <c r="C2782" s="1">
        <v>44952</v>
      </c>
      <c r="D2782" t="s">
        <v>71</v>
      </c>
      <c r="E2782">
        <v>0</v>
      </c>
      <c r="F2782">
        <v>89</v>
      </c>
      <c r="G2782" t="str">
        <f t="shared" si="51"/>
        <v>81+</v>
      </c>
      <c r="H2782" t="s">
        <v>35</v>
      </c>
      <c r="I2782" t="s">
        <v>50</v>
      </c>
      <c r="J2782" t="s">
        <v>51</v>
      </c>
      <c r="K2782" t="s">
        <v>38</v>
      </c>
      <c r="L2782">
        <v>1</v>
      </c>
      <c r="M2782">
        <v>1</v>
      </c>
      <c r="N2782">
        <v>6.1</v>
      </c>
      <c r="O2782">
        <v>7.5</v>
      </c>
      <c r="P2782">
        <v>4</v>
      </c>
      <c r="Q2782">
        <v>3</v>
      </c>
      <c r="R2782">
        <v>935344</v>
      </c>
      <c r="S2782">
        <f>Table1[[#This Row],[Revenue]]-Table1[[#This Row],[Operating_Costs]]</f>
        <v>75125</v>
      </c>
      <c r="T2782">
        <v>860219</v>
      </c>
      <c r="U2782">
        <v>30</v>
      </c>
      <c r="V2782">
        <v>60</v>
      </c>
      <c r="W2782">
        <v>14.2</v>
      </c>
    </row>
    <row r="2783" spans="1:23" x14ac:dyDescent="0.25">
      <c r="A2783">
        <v>8</v>
      </c>
      <c r="B2783" t="s">
        <v>52</v>
      </c>
      <c r="C2783" s="1">
        <v>45555</v>
      </c>
      <c r="D2783" t="s">
        <v>71</v>
      </c>
      <c r="E2783">
        <v>0</v>
      </c>
      <c r="F2783">
        <v>25</v>
      </c>
      <c r="G2783" t="str">
        <f t="shared" si="51"/>
        <v>21-40</v>
      </c>
      <c r="H2783" t="s">
        <v>35</v>
      </c>
      <c r="I2783" t="s">
        <v>36</v>
      </c>
      <c r="J2783" t="s">
        <v>37</v>
      </c>
      <c r="K2783" t="s">
        <v>29</v>
      </c>
      <c r="L2783">
        <v>1</v>
      </c>
      <c r="M2783">
        <v>1</v>
      </c>
      <c r="N2783">
        <v>3.1</v>
      </c>
      <c r="O2783">
        <v>9.5</v>
      </c>
      <c r="P2783">
        <v>4</v>
      </c>
      <c r="Q2783">
        <v>5</v>
      </c>
      <c r="R2783">
        <v>948364</v>
      </c>
      <c r="S2783">
        <f>Table1[[#This Row],[Revenue]]-Table1[[#This Row],[Operating_Costs]]</f>
        <v>54865</v>
      </c>
      <c r="T2783">
        <v>893499</v>
      </c>
      <c r="U2783">
        <v>32</v>
      </c>
      <c r="V2783">
        <v>59</v>
      </c>
      <c r="W2783">
        <v>14.9</v>
      </c>
    </row>
    <row r="2784" spans="1:23" x14ac:dyDescent="0.25">
      <c r="A2784">
        <v>8</v>
      </c>
      <c r="B2784" t="s">
        <v>52</v>
      </c>
      <c r="C2784" s="1">
        <v>44923</v>
      </c>
      <c r="D2784" t="s">
        <v>71</v>
      </c>
      <c r="E2784">
        <v>0</v>
      </c>
      <c r="F2784">
        <v>73</v>
      </c>
      <c r="G2784" t="str">
        <f t="shared" si="51"/>
        <v>61-80</v>
      </c>
      <c r="H2784" t="s">
        <v>23</v>
      </c>
      <c r="I2784" t="s">
        <v>40</v>
      </c>
      <c r="J2784" t="s">
        <v>41</v>
      </c>
      <c r="K2784" t="s">
        <v>42</v>
      </c>
      <c r="L2784">
        <v>1</v>
      </c>
      <c r="M2784">
        <v>1</v>
      </c>
      <c r="N2784">
        <v>1.8</v>
      </c>
      <c r="O2784">
        <v>8.8000000000000007</v>
      </c>
      <c r="P2784">
        <v>3</v>
      </c>
      <c r="Q2784">
        <v>7</v>
      </c>
      <c r="R2784">
        <v>952324</v>
      </c>
      <c r="S2784">
        <f>Table1[[#This Row],[Revenue]]-Table1[[#This Row],[Operating_Costs]]</f>
        <v>133173</v>
      </c>
      <c r="T2784">
        <v>819151</v>
      </c>
      <c r="U2784">
        <v>39</v>
      </c>
      <c r="V2784">
        <v>66</v>
      </c>
      <c r="W2784">
        <v>8.1</v>
      </c>
    </row>
    <row r="2785" spans="1:23" x14ac:dyDescent="0.25">
      <c r="A2785">
        <v>8</v>
      </c>
      <c r="B2785" t="s">
        <v>52</v>
      </c>
      <c r="C2785" s="1">
        <v>44630</v>
      </c>
      <c r="D2785" t="s">
        <v>71</v>
      </c>
      <c r="E2785">
        <v>0</v>
      </c>
      <c r="F2785">
        <v>34</v>
      </c>
      <c r="G2785" t="str">
        <f t="shared" si="51"/>
        <v>21-40</v>
      </c>
      <c r="H2785" t="s">
        <v>35</v>
      </c>
      <c r="I2785" t="s">
        <v>64</v>
      </c>
      <c r="J2785" t="s">
        <v>65</v>
      </c>
      <c r="K2785" t="s">
        <v>38</v>
      </c>
      <c r="L2785">
        <v>1</v>
      </c>
      <c r="M2785">
        <v>1</v>
      </c>
      <c r="N2785">
        <v>3.9</v>
      </c>
      <c r="O2785">
        <v>8.3000000000000007</v>
      </c>
      <c r="P2785">
        <v>6</v>
      </c>
      <c r="Q2785">
        <v>7</v>
      </c>
      <c r="R2785">
        <v>906663</v>
      </c>
      <c r="S2785">
        <f>Table1[[#This Row],[Revenue]]-Table1[[#This Row],[Operating_Costs]]</f>
        <v>39350</v>
      </c>
      <c r="T2785">
        <v>867313</v>
      </c>
      <c r="U2785">
        <v>39</v>
      </c>
      <c r="V2785">
        <v>62</v>
      </c>
      <c r="W2785">
        <v>14.5</v>
      </c>
    </row>
    <row r="2786" spans="1:23" x14ac:dyDescent="0.25">
      <c r="A2786">
        <v>8</v>
      </c>
      <c r="B2786" t="s">
        <v>52</v>
      </c>
      <c r="C2786" s="1">
        <v>44683</v>
      </c>
      <c r="D2786" t="s">
        <v>71</v>
      </c>
      <c r="E2786">
        <v>0</v>
      </c>
      <c r="F2786">
        <v>36</v>
      </c>
      <c r="G2786" t="str">
        <f t="shared" si="51"/>
        <v>21-40</v>
      </c>
      <c r="H2786" t="s">
        <v>23</v>
      </c>
      <c r="I2786" t="s">
        <v>58</v>
      </c>
      <c r="J2786" t="s">
        <v>59</v>
      </c>
      <c r="K2786" t="s">
        <v>33</v>
      </c>
      <c r="L2786">
        <v>1</v>
      </c>
      <c r="M2786">
        <v>1</v>
      </c>
      <c r="N2786">
        <v>4.3</v>
      </c>
      <c r="O2786">
        <v>9.6999999999999993</v>
      </c>
      <c r="P2786">
        <v>7</v>
      </c>
      <c r="Q2786">
        <v>4</v>
      </c>
      <c r="R2786">
        <v>908238</v>
      </c>
      <c r="S2786">
        <f>Table1[[#This Row],[Revenue]]-Table1[[#This Row],[Operating_Costs]]</f>
        <v>81932</v>
      </c>
      <c r="T2786">
        <v>826306</v>
      </c>
      <c r="U2786">
        <v>36</v>
      </c>
      <c r="V2786">
        <v>61</v>
      </c>
      <c r="W2786">
        <v>9.5</v>
      </c>
    </row>
    <row r="2787" spans="1:23" x14ac:dyDescent="0.25">
      <c r="A2787">
        <v>8</v>
      </c>
      <c r="B2787" t="s">
        <v>52</v>
      </c>
      <c r="C2787" s="1">
        <v>44330</v>
      </c>
      <c r="D2787" t="s">
        <v>71</v>
      </c>
      <c r="E2787">
        <v>0</v>
      </c>
      <c r="F2787">
        <v>37</v>
      </c>
      <c r="G2787" t="str">
        <f t="shared" si="51"/>
        <v>21-40</v>
      </c>
      <c r="H2787" t="s">
        <v>35</v>
      </c>
      <c r="I2787" t="s">
        <v>46</v>
      </c>
      <c r="J2787" t="s">
        <v>47</v>
      </c>
      <c r="K2787" t="s">
        <v>26</v>
      </c>
      <c r="L2787">
        <v>1</v>
      </c>
      <c r="M2787">
        <v>1</v>
      </c>
      <c r="N2787">
        <v>4.2</v>
      </c>
      <c r="O2787">
        <v>8.1999999999999993</v>
      </c>
      <c r="P2787">
        <v>7</v>
      </c>
      <c r="Q2787">
        <v>5</v>
      </c>
      <c r="R2787">
        <v>923394</v>
      </c>
      <c r="S2787">
        <f>Table1[[#This Row],[Revenue]]-Table1[[#This Row],[Operating_Costs]]</f>
        <v>102081</v>
      </c>
      <c r="T2787">
        <v>821313</v>
      </c>
      <c r="U2787">
        <v>36</v>
      </c>
      <c r="V2787">
        <v>63</v>
      </c>
      <c r="W2787">
        <v>36.4</v>
      </c>
    </row>
    <row r="2788" spans="1:23" x14ac:dyDescent="0.25">
      <c r="A2788">
        <v>8</v>
      </c>
      <c r="B2788" t="s">
        <v>52</v>
      </c>
      <c r="C2788" s="1">
        <v>44537</v>
      </c>
      <c r="D2788" t="s">
        <v>71</v>
      </c>
      <c r="E2788">
        <v>0</v>
      </c>
      <c r="F2788">
        <v>77</v>
      </c>
      <c r="G2788" t="str">
        <f t="shared" si="51"/>
        <v>61-80</v>
      </c>
      <c r="H2788" t="s">
        <v>23</v>
      </c>
      <c r="I2788" t="s">
        <v>67</v>
      </c>
      <c r="J2788" t="s">
        <v>68</v>
      </c>
      <c r="K2788" t="s">
        <v>26</v>
      </c>
      <c r="L2788">
        <v>1</v>
      </c>
      <c r="M2788">
        <v>1</v>
      </c>
      <c r="N2788">
        <v>2.6</v>
      </c>
      <c r="O2788">
        <v>7.4</v>
      </c>
      <c r="P2788">
        <v>5</v>
      </c>
      <c r="Q2788">
        <v>4</v>
      </c>
      <c r="R2788">
        <v>956776</v>
      </c>
      <c r="S2788">
        <f>Table1[[#This Row],[Revenue]]-Table1[[#This Row],[Operating_Costs]]</f>
        <v>84100</v>
      </c>
      <c r="T2788">
        <v>872676</v>
      </c>
      <c r="U2788">
        <v>30</v>
      </c>
      <c r="V2788">
        <v>64</v>
      </c>
      <c r="W2788">
        <v>5.5</v>
      </c>
    </row>
    <row r="2789" spans="1:23" x14ac:dyDescent="0.25">
      <c r="A2789">
        <v>7</v>
      </c>
      <c r="B2789" t="s">
        <v>49</v>
      </c>
      <c r="C2789" s="1">
        <v>44568</v>
      </c>
      <c r="D2789" t="s">
        <v>71</v>
      </c>
      <c r="E2789">
        <v>0</v>
      </c>
      <c r="F2789">
        <v>87</v>
      </c>
      <c r="G2789" t="str">
        <f t="shared" si="51"/>
        <v>81+</v>
      </c>
      <c r="H2789" t="s">
        <v>35</v>
      </c>
      <c r="I2789" t="s">
        <v>31</v>
      </c>
      <c r="J2789" t="s">
        <v>28</v>
      </c>
      <c r="K2789" t="s">
        <v>38</v>
      </c>
      <c r="L2789">
        <v>1</v>
      </c>
      <c r="M2789">
        <v>1</v>
      </c>
      <c r="N2789">
        <v>4.5999999999999996</v>
      </c>
      <c r="O2789">
        <v>9.3000000000000007</v>
      </c>
      <c r="P2789">
        <v>4</v>
      </c>
      <c r="Q2789">
        <v>3</v>
      </c>
      <c r="R2789">
        <v>748403</v>
      </c>
      <c r="S2789">
        <f>Table1[[#This Row],[Revenue]]-Table1[[#This Row],[Operating_Costs]]</f>
        <v>198042</v>
      </c>
      <c r="T2789">
        <v>550361</v>
      </c>
      <c r="U2789">
        <v>43</v>
      </c>
      <c r="V2789">
        <v>56</v>
      </c>
      <c r="W2789">
        <v>14.3</v>
      </c>
    </row>
    <row r="2790" spans="1:23" x14ac:dyDescent="0.25">
      <c r="A2790">
        <v>8</v>
      </c>
      <c r="B2790" t="s">
        <v>52</v>
      </c>
      <c r="C2790" s="1">
        <v>44456</v>
      </c>
      <c r="D2790" t="s">
        <v>71</v>
      </c>
      <c r="E2790">
        <v>0</v>
      </c>
      <c r="F2790">
        <v>31</v>
      </c>
      <c r="G2790" t="str">
        <f t="shared" si="51"/>
        <v>21-40</v>
      </c>
      <c r="H2790" t="s">
        <v>23</v>
      </c>
      <c r="I2790" t="s">
        <v>50</v>
      </c>
      <c r="J2790" t="s">
        <v>51</v>
      </c>
      <c r="K2790" t="s">
        <v>33</v>
      </c>
      <c r="L2790">
        <v>1</v>
      </c>
      <c r="M2790">
        <v>1</v>
      </c>
      <c r="N2790">
        <v>2.8</v>
      </c>
      <c r="O2790">
        <v>8.5</v>
      </c>
      <c r="P2790">
        <v>7</v>
      </c>
      <c r="Q2790">
        <v>7</v>
      </c>
      <c r="R2790">
        <v>937726</v>
      </c>
      <c r="S2790">
        <f>Table1[[#This Row],[Revenue]]-Table1[[#This Row],[Operating_Costs]]</f>
        <v>101507</v>
      </c>
      <c r="T2790">
        <v>836219</v>
      </c>
      <c r="U2790">
        <v>32</v>
      </c>
      <c r="V2790">
        <v>65</v>
      </c>
      <c r="W2790">
        <v>36.700000000000003</v>
      </c>
    </row>
    <row r="2791" spans="1:23" x14ac:dyDescent="0.25">
      <c r="A2791">
        <v>8</v>
      </c>
      <c r="B2791" t="s">
        <v>52</v>
      </c>
      <c r="C2791" s="1">
        <v>44837</v>
      </c>
      <c r="D2791" t="s">
        <v>71</v>
      </c>
      <c r="E2791">
        <v>0</v>
      </c>
      <c r="F2791">
        <v>33</v>
      </c>
      <c r="G2791" t="str">
        <f t="shared" si="51"/>
        <v>21-40</v>
      </c>
      <c r="H2791" t="s">
        <v>23</v>
      </c>
      <c r="I2791" t="s">
        <v>61</v>
      </c>
      <c r="J2791" t="s">
        <v>62</v>
      </c>
      <c r="K2791" t="s">
        <v>26</v>
      </c>
      <c r="L2791">
        <v>1</v>
      </c>
      <c r="M2791">
        <v>1</v>
      </c>
      <c r="N2791">
        <v>2.9</v>
      </c>
      <c r="O2791">
        <v>8.4</v>
      </c>
      <c r="P2791">
        <v>6</v>
      </c>
      <c r="Q2791">
        <v>3</v>
      </c>
      <c r="R2791">
        <v>929229</v>
      </c>
      <c r="S2791">
        <f>Table1[[#This Row],[Revenue]]-Table1[[#This Row],[Operating_Costs]]</f>
        <v>35323</v>
      </c>
      <c r="T2791">
        <v>893906</v>
      </c>
      <c r="U2791">
        <v>31</v>
      </c>
      <c r="V2791">
        <v>64</v>
      </c>
      <c r="W2791">
        <v>8.9</v>
      </c>
    </row>
    <row r="2792" spans="1:23" x14ac:dyDescent="0.25">
      <c r="A2792">
        <v>7</v>
      </c>
      <c r="B2792" t="s">
        <v>49</v>
      </c>
      <c r="C2792" s="1">
        <v>45649</v>
      </c>
      <c r="D2792" t="s">
        <v>71</v>
      </c>
      <c r="E2792">
        <v>0</v>
      </c>
      <c r="F2792">
        <v>27</v>
      </c>
      <c r="G2792" t="str">
        <f t="shared" si="51"/>
        <v>21-40</v>
      </c>
      <c r="H2792" t="s">
        <v>23</v>
      </c>
      <c r="I2792" t="s">
        <v>31</v>
      </c>
      <c r="J2792" t="s">
        <v>28</v>
      </c>
      <c r="K2792" t="s">
        <v>29</v>
      </c>
      <c r="L2792">
        <v>1</v>
      </c>
      <c r="M2792">
        <v>1</v>
      </c>
      <c r="N2792">
        <v>3.3</v>
      </c>
      <c r="O2792">
        <v>7.6</v>
      </c>
      <c r="P2792">
        <v>5</v>
      </c>
      <c r="Q2792">
        <v>7</v>
      </c>
      <c r="R2792">
        <v>852988</v>
      </c>
      <c r="S2792">
        <f>Table1[[#This Row],[Revenue]]-Table1[[#This Row],[Operating_Costs]]</f>
        <v>294523</v>
      </c>
      <c r="T2792">
        <v>558465</v>
      </c>
      <c r="U2792">
        <v>46</v>
      </c>
      <c r="V2792">
        <v>62</v>
      </c>
      <c r="W2792">
        <v>8.6</v>
      </c>
    </row>
    <row r="2793" spans="1:23" x14ac:dyDescent="0.25">
      <c r="A2793">
        <v>8</v>
      </c>
      <c r="B2793" t="s">
        <v>52</v>
      </c>
      <c r="C2793" s="1">
        <v>45416</v>
      </c>
      <c r="D2793" t="s">
        <v>71</v>
      </c>
      <c r="E2793">
        <v>0</v>
      </c>
      <c r="F2793">
        <v>46</v>
      </c>
      <c r="G2793" t="str">
        <f t="shared" si="51"/>
        <v>41-60</v>
      </c>
      <c r="H2793" t="s">
        <v>23</v>
      </c>
      <c r="I2793" t="s">
        <v>43</v>
      </c>
      <c r="J2793" t="s">
        <v>25</v>
      </c>
      <c r="K2793" t="s">
        <v>33</v>
      </c>
      <c r="L2793">
        <v>1</v>
      </c>
      <c r="M2793">
        <v>1</v>
      </c>
      <c r="N2793">
        <v>2.1</v>
      </c>
      <c r="O2793">
        <v>9.1</v>
      </c>
      <c r="P2793">
        <v>7</v>
      </c>
      <c r="Q2793">
        <v>3</v>
      </c>
      <c r="R2793">
        <v>919172</v>
      </c>
      <c r="S2793">
        <f>Table1[[#This Row],[Revenue]]-Table1[[#This Row],[Operating_Costs]]</f>
        <v>48891</v>
      </c>
      <c r="T2793">
        <v>870281</v>
      </c>
      <c r="U2793">
        <v>39</v>
      </c>
      <c r="V2793">
        <v>55</v>
      </c>
      <c r="W2793">
        <v>5</v>
      </c>
    </row>
    <row r="2794" spans="1:23" x14ac:dyDescent="0.25">
      <c r="A2794">
        <v>7</v>
      </c>
      <c r="B2794" t="s">
        <v>49</v>
      </c>
      <c r="C2794" s="1">
        <v>45291</v>
      </c>
      <c r="D2794" t="s">
        <v>71</v>
      </c>
      <c r="E2794">
        <v>0</v>
      </c>
      <c r="F2794">
        <v>49</v>
      </c>
      <c r="G2794" t="str">
        <f t="shared" si="51"/>
        <v>41-60</v>
      </c>
      <c r="H2794" t="s">
        <v>35</v>
      </c>
      <c r="I2794" t="s">
        <v>58</v>
      </c>
      <c r="J2794" t="s">
        <v>59</v>
      </c>
      <c r="K2794" t="s">
        <v>38</v>
      </c>
      <c r="L2794">
        <v>1</v>
      </c>
      <c r="M2794">
        <v>1</v>
      </c>
      <c r="N2794">
        <v>6.7</v>
      </c>
      <c r="O2794">
        <v>7.1</v>
      </c>
      <c r="P2794">
        <v>7</v>
      </c>
      <c r="Q2794">
        <v>6</v>
      </c>
      <c r="R2794">
        <v>854781</v>
      </c>
      <c r="S2794">
        <f>Table1[[#This Row],[Revenue]]-Table1[[#This Row],[Operating_Costs]]</f>
        <v>299987</v>
      </c>
      <c r="T2794">
        <v>554794</v>
      </c>
      <c r="U2794">
        <v>46</v>
      </c>
      <c r="V2794">
        <v>65</v>
      </c>
      <c r="W2794">
        <v>10.3</v>
      </c>
    </row>
    <row r="2795" spans="1:23" x14ac:dyDescent="0.25">
      <c r="A2795">
        <v>8</v>
      </c>
      <c r="B2795" t="s">
        <v>52</v>
      </c>
      <c r="C2795" s="1">
        <v>44827</v>
      </c>
      <c r="D2795" t="s">
        <v>71</v>
      </c>
      <c r="E2795">
        <v>0</v>
      </c>
      <c r="F2795">
        <v>35</v>
      </c>
      <c r="G2795" t="str">
        <f t="shared" si="51"/>
        <v>21-40</v>
      </c>
      <c r="H2795" t="s">
        <v>23</v>
      </c>
      <c r="I2795" t="s">
        <v>55</v>
      </c>
      <c r="J2795" t="s">
        <v>56</v>
      </c>
      <c r="K2795" t="s">
        <v>38</v>
      </c>
      <c r="L2795">
        <v>1</v>
      </c>
      <c r="M2795">
        <v>1</v>
      </c>
      <c r="N2795">
        <v>6.4</v>
      </c>
      <c r="O2795">
        <v>9.6</v>
      </c>
      <c r="P2795">
        <v>3</v>
      </c>
      <c r="Q2795">
        <v>5</v>
      </c>
      <c r="R2795">
        <v>926476</v>
      </c>
      <c r="S2795">
        <f>Table1[[#This Row],[Revenue]]-Table1[[#This Row],[Operating_Costs]]</f>
        <v>96701</v>
      </c>
      <c r="T2795">
        <v>829775</v>
      </c>
      <c r="U2795">
        <v>39</v>
      </c>
      <c r="V2795">
        <v>57</v>
      </c>
      <c r="W2795">
        <v>13.6</v>
      </c>
    </row>
    <row r="2796" spans="1:23" x14ac:dyDescent="0.25">
      <c r="A2796">
        <v>7</v>
      </c>
      <c r="B2796" t="s">
        <v>49</v>
      </c>
      <c r="C2796" s="1">
        <v>45607</v>
      </c>
      <c r="D2796" t="s">
        <v>71</v>
      </c>
      <c r="E2796">
        <v>0</v>
      </c>
      <c r="F2796">
        <v>22</v>
      </c>
      <c r="G2796" t="str">
        <f t="shared" si="51"/>
        <v>21-40</v>
      </c>
      <c r="H2796" t="s">
        <v>35</v>
      </c>
      <c r="I2796" t="s">
        <v>61</v>
      </c>
      <c r="J2796" t="s">
        <v>62</v>
      </c>
      <c r="K2796" t="s">
        <v>42</v>
      </c>
      <c r="L2796">
        <v>1</v>
      </c>
      <c r="M2796">
        <v>1</v>
      </c>
      <c r="N2796">
        <v>1.5</v>
      </c>
      <c r="O2796">
        <v>7.8</v>
      </c>
      <c r="P2796">
        <v>7</v>
      </c>
      <c r="Q2796">
        <v>5</v>
      </c>
      <c r="R2796">
        <v>607433</v>
      </c>
      <c r="S2796">
        <f>Table1[[#This Row],[Revenue]]-Table1[[#This Row],[Operating_Costs]]</f>
        <v>71259</v>
      </c>
      <c r="T2796">
        <v>536174</v>
      </c>
      <c r="U2796">
        <v>41</v>
      </c>
      <c r="V2796">
        <v>57</v>
      </c>
      <c r="W2796">
        <v>13.9</v>
      </c>
    </row>
    <row r="2797" spans="1:23" x14ac:dyDescent="0.25">
      <c r="A2797">
        <v>8</v>
      </c>
      <c r="B2797" t="s">
        <v>52</v>
      </c>
      <c r="C2797" s="1">
        <v>44434</v>
      </c>
      <c r="D2797" t="s">
        <v>71</v>
      </c>
      <c r="E2797">
        <v>0</v>
      </c>
      <c r="F2797">
        <v>66</v>
      </c>
      <c r="G2797" t="str">
        <f t="shared" si="51"/>
        <v>61-80</v>
      </c>
      <c r="H2797" t="s">
        <v>23</v>
      </c>
      <c r="I2797" t="s">
        <v>55</v>
      </c>
      <c r="J2797" t="s">
        <v>56</v>
      </c>
      <c r="K2797" t="s">
        <v>33</v>
      </c>
      <c r="L2797">
        <v>1</v>
      </c>
      <c r="M2797">
        <v>1</v>
      </c>
      <c r="N2797">
        <v>2.1</v>
      </c>
      <c r="O2797">
        <v>9.1</v>
      </c>
      <c r="P2797">
        <v>6</v>
      </c>
      <c r="Q2797">
        <v>7</v>
      </c>
      <c r="R2797">
        <v>944921</v>
      </c>
      <c r="S2797">
        <f>Table1[[#This Row],[Revenue]]-Table1[[#This Row],[Operating_Costs]]</f>
        <v>51247</v>
      </c>
      <c r="T2797">
        <v>893674</v>
      </c>
      <c r="U2797">
        <v>31</v>
      </c>
      <c r="V2797">
        <v>56</v>
      </c>
      <c r="W2797">
        <v>9.4</v>
      </c>
    </row>
    <row r="2798" spans="1:23" x14ac:dyDescent="0.25">
      <c r="A2798">
        <v>7</v>
      </c>
      <c r="B2798" t="s">
        <v>49</v>
      </c>
      <c r="C2798" s="1">
        <v>44888</v>
      </c>
      <c r="D2798" t="s">
        <v>71</v>
      </c>
      <c r="E2798">
        <v>0</v>
      </c>
      <c r="F2798">
        <v>31</v>
      </c>
      <c r="G2798" t="str">
        <f t="shared" si="51"/>
        <v>21-40</v>
      </c>
      <c r="H2798" t="s">
        <v>23</v>
      </c>
      <c r="I2798" t="s">
        <v>24</v>
      </c>
      <c r="J2798" t="s">
        <v>25</v>
      </c>
      <c r="K2798" t="s">
        <v>33</v>
      </c>
      <c r="L2798">
        <v>1</v>
      </c>
      <c r="M2798">
        <v>1</v>
      </c>
      <c r="N2798">
        <v>3.3</v>
      </c>
      <c r="O2798">
        <v>9.5</v>
      </c>
      <c r="P2798">
        <v>3</v>
      </c>
      <c r="Q2798">
        <v>6</v>
      </c>
      <c r="R2798">
        <v>630678</v>
      </c>
      <c r="S2798">
        <f>Table1[[#This Row],[Revenue]]-Table1[[#This Row],[Operating_Costs]]</f>
        <v>87310</v>
      </c>
      <c r="T2798">
        <v>543368</v>
      </c>
      <c r="U2798">
        <v>60</v>
      </c>
      <c r="V2798">
        <v>66</v>
      </c>
      <c r="W2798">
        <v>14.1</v>
      </c>
    </row>
    <row r="2799" spans="1:23" x14ac:dyDescent="0.25">
      <c r="A2799">
        <v>8</v>
      </c>
      <c r="B2799" t="s">
        <v>52</v>
      </c>
      <c r="C2799" s="1">
        <v>44606</v>
      </c>
      <c r="D2799" t="s">
        <v>71</v>
      </c>
      <c r="E2799">
        <v>0</v>
      </c>
      <c r="F2799">
        <v>45</v>
      </c>
      <c r="G2799" t="str">
        <f t="shared" si="51"/>
        <v>41-60</v>
      </c>
      <c r="H2799" t="s">
        <v>35</v>
      </c>
      <c r="I2799" t="s">
        <v>40</v>
      </c>
      <c r="J2799" t="s">
        <v>41</v>
      </c>
      <c r="K2799" t="s">
        <v>29</v>
      </c>
      <c r="L2799">
        <v>1</v>
      </c>
      <c r="M2799">
        <v>1</v>
      </c>
      <c r="N2799">
        <v>4.9000000000000004</v>
      </c>
      <c r="O2799">
        <v>8.5</v>
      </c>
      <c r="P2799">
        <v>3</v>
      </c>
      <c r="Q2799">
        <v>6</v>
      </c>
      <c r="R2799">
        <v>936516</v>
      </c>
      <c r="S2799">
        <f>Table1[[#This Row],[Revenue]]-Table1[[#This Row],[Operating_Costs]]</f>
        <v>82840</v>
      </c>
      <c r="T2799">
        <v>853676</v>
      </c>
      <c r="U2799">
        <v>40</v>
      </c>
      <c r="V2799">
        <v>58</v>
      </c>
      <c r="W2799">
        <v>7.3</v>
      </c>
    </row>
    <row r="2800" spans="1:23" x14ac:dyDescent="0.25">
      <c r="A2800">
        <v>8</v>
      </c>
      <c r="B2800" t="s">
        <v>52</v>
      </c>
      <c r="C2800" s="1">
        <v>44419</v>
      </c>
      <c r="D2800" t="s">
        <v>71</v>
      </c>
      <c r="E2800">
        <v>0</v>
      </c>
      <c r="F2800">
        <v>39</v>
      </c>
      <c r="G2800" t="str">
        <f t="shared" si="51"/>
        <v>21-40</v>
      </c>
      <c r="H2800" t="s">
        <v>23</v>
      </c>
      <c r="I2800" t="s">
        <v>50</v>
      </c>
      <c r="J2800" t="s">
        <v>51</v>
      </c>
      <c r="K2800" t="s">
        <v>33</v>
      </c>
      <c r="L2800">
        <v>1</v>
      </c>
      <c r="M2800">
        <v>1</v>
      </c>
      <c r="N2800">
        <v>6.7</v>
      </c>
      <c r="O2800">
        <v>9.1999999999999993</v>
      </c>
      <c r="P2800">
        <v>6</v>
      </c>
      <c r="Q2800">
        <v>5</v>
      </c>
      <c r="R2800">
        <v>926555</v>
      </c>
      <c r="S2800">
        <f>Table1[[#This Row],[Revenue]]-Table1[[#This Row],[Operating_Costs]]</f>
        <v>122925</v>
      </c>
      <c r="T2800">
        <v>803630</v>
      </c>
      <c r="U2800">
        <v>34</v>
      </c>
      <c r="V2800">
        <v>59</v>
      </c>
      <c r="W2800">
        <v>10.7</v>
      </c>
    </row>
    <row r="2801" spans="1:23" x14ac:dyDescent="0.25">
      <c r="A2801">
        <v>7</v>
      </c>
      <c r="B2801" t="s">
        <v>49</v>
      </c>
      <c r="C2801" s="1">
        <v>44554</v>
      </c>
      <c r="D2801" t="s">
        <v>71</v>
      </c>
      <c r="E2801">
        <v>0</v>
      </c>
      <c r="F2801">
        <v>78</v>
      </c>
      <c r="G2801" t="str">
        <f t="shared" si="51"/>
        <v>61-80</v>
      </c>
      <c r="H2801" t="s">
        <v>35</v>
      </c>
      <c r="I2801" t="s">
        <v>58</v>
      </c>
      <c r="J2801" t="s">
        <v>59</v>
      </c>
      <c r="K2801" t="s">
        <v>29</v>
      </c>
      <c r="L2801">
        <v>1</v>
      </c>
      <c r="M2801">
        <v>1</v>
      </c>
      <c r="N2801">
        <v>6.1</v>
      </c>
      <c r="O2801">
        <v>7.1</v>
      </c>
      <c r="P2801">
        <v>5</v>
      </c>
      <c r="Q2801">
        <v>4</v>
      </c>
      <c r="R2801">
        <v>840250</v>
      </c>
      <c r="S2801">
        <f>Table1[[#This Row],[Revenue]]-Table1[[#This Row],[Operating_Costs]]</f>
        <v>298816</v>
      </c>
      <c r="T2801">
        <v>541434</v>
      </c>
      <c r="U2801">
        <v>54</v>
      </c>
      <c r="V2801">
        <v>56</v>
      </c>
      <c r="W2801">
        <v>13.8</v>
      </c>
    </row>
    <row r="2802" spans="1:23" x14ac:dyDescent="0.25">
      <c r="A2802">
        <v>8</v>
      </c>
      <c r="B2802" t="s">
        <v>52</v>
      </c>
      <c r="C2802" s="1">
        <v>44222</v>
      </c>
      <c r="D2802" t="s">
        <v>71</v>
      </c>
      <c r="E2802">
        <v>0</v>
      </c>
      <c r="F2802">
        <v>56</v>
      </c>
      <c r="G2802" t="str">
        <f t="shared" si="51"/>
        <v>41-60</v>
      </c>
      <c r="H2802" t="s">
        <v>35</v>
      </c>
      <c r="I2802" t="s">
        <v>61</v>
      </c>
      <c r="J2802" t="s">
        <v>62</v>
      </c>
      <c r="K2802" t="s">
        <v>42</v>
      </c>
      <c r="L2802">
        <v>1</v>
      </c>
      <c r="M2802">
        <v>1</v>
      </c>
      <c r="N2802">
        <v>1.2</v>
      </c>
      <c r="O2802">
        <v>8.4</v>
      </c>
      <c r="P2802">
        <v>6</v>
      </c>
      <c r="Q2802">
        <v>5</v>
      </c>
      <c r="R2802">
        <v>995109</v>
      </c>
      <c r="S2802">
        <f>Table1[[#This Row],[Revenue]]-Table1[[#This Row],[Operating_Costs]]</f>
        <v>154306</v>
      </c>
      <c r="T2802">
        <v>840803</v>
      </c>
      <c r="U2802">
        <v>36</v>
      </c>
      <c r="V2802">
        <v>56</v>
      </c>
      <c r="W2802">
        <v>9.4</v>
      </c>
    </row>
    <row r="2803" spans="1:23" x14ac:dyDescent="0.25">
      <c r="A2803">
        <v>8</v>
      </c>
      <c r="B2803" t="s">
        <v>52</v>
      </c>
      <c r="C2803" s="1">
        <v>44486</v>
      </c>
      <c r="D2803" t="s">
        <v>71</v>
      </c>
      <c r="E2803">
        <v>0</v>
      </c>
      <c r="F2803">
        <v>79</v>
      </c>
      <c r="G2803" t="str">
        <f t="shared" si="51"/>
        <v>61-80</v>
      </c>
      <c r="H2803" t="s">
        <v>35</v>
      </c>
      <c r="I2803" t="s">
        <v>46</v>
      </c>
      <c r="J2803" t="s">
        <v>47</v>
      </c>
      <c r="K2803" t="s">
        <v>26</v>
      </c>
      <c r="L2803">
        <v>1</v>
      </c>
      <c r="M2803">
        <v>1</v>
      </c>
      <c r="N2803">
        <v>1.9</v>
      </c>
      <c r="O2803">
        <v>9.3000000000000007</v>
      </c>
      <c r="P2803">
        <v>5</v>
      </c>
      <c r="Q2803">
        <v>6</v>
      </c>
      <c r="R2803">
        <v>958759</v>
      </c>
      <c r="S2803">
        <f>Table1[[#This Row],[Revenue]]-Table1[[#This Row],[Operating_Costs]]</f>
        <v>73004</v>
      </c>
      <c r="T2803">
        <v>885755</v>
      </c>
      <c r="U2803">
        <v>34</v>
      </c>
      <c r="V2803">
        <v>55</v>
      </c>
      <c r="W2803">
        <v>12.1</v>
      </c>
    </row>
    <row r="2804" spans="1:23" x14ac:dyDescent="0.25">
      <c r="A2804">
        <v>8</v>
      </c>
      <c r="B2804" t="s">
        <v>52</v>
      </c>
      <c r="C2804" s="1">
        <v>44790</v>
      </c>
      <c r="D2804" t="s">
        <v>71</v>
      </c>
      <c r="E2804">
        <v>0</v>
      </c>
      <c r="F2804">
        <v>55</v>
      </c>
      <c r="G2804" t="str">
        <f t="shared" si="51"/>
        <v>41-60</v>
      </c>
      <c r="H2804" t="s">
        <v>23</v>
      </c>
      <c r="I2804" t="s">
        <v>24</v>
      </c>
      <c r="J2804" t="s">
        <v>25</v>
      </c>
      <c r="K2804" t="s">
        <v>29</v>
      </c>
      <c r="L2804">
        <v>1</v>
      </c>
      <c r="M2804">
        <v>1</v>
      </c>
      <c r="N2804">
        <v>1.3</v>
      </c>
      <c r="O2804">
        <v>7.6</v>
      </c>
      <c r="P2804">
        <v>5</v>
      </c>
      <c r="Q2804">
        <v>3</v>
      </c>
      <c r="R2804">
        <v>961238</v>
      </c>
      <c r="S2804">
        <f>Table1[[#This Row],[Revenue]]-Table1[[#This Row],[Operating_Costs]]</f>
        <v>149088</v>
      </c>
      <c r="T2804">
        <v>812150</v>
      </c>
      <c r="U2804">
        <v>36</v>
      </c>
      <c r="V2804">
        <v>66</v>
      </c>
      <c r="W2804">
        <v>8</v>
      </c>
    </row>
    <row r="2805" spans="1:23" x14ac:dyDescent="0.25">
      <c r="A2805">
        <v>8</v>
      </c>
      <c r="B2805" t="s">
        <v>52</v>
      </c>
      <c r="C2805" s="1">
        <v>45131</v>
      </c>
      <c r="D2805" t="s">
        <v>71</v>
      </c>
      <c r="E2805">
        <v>0</v>
      </c>
      <c r="F2805">
        <v>74</v>
      </c>
      <c r="G2805" t="str">
        <f t="shared" si="51"/>
        <v>61-80</v>
      </c>
      <c r="H2805" t="s">
        <v>23</v>
      </c>
      <c r="I2805" t="s">
        <v>27</v>
      </c>
      <c r="J2805" t="s">
        <v>28</v>
      </c>
      <c r="K2805" t="s">
        <v>26</v>
      </c>
      <c r="L2805">
        <v>1</v>
      </c>
      <c r="M2805">
        <v>1</v>
      </c>
      <c r="N2805">
        <v>6.3</v>
      </c>
      <c r="O2805">
        <v>8.8000000000000007</v>
      </c>
      <c r="P2805">
        <v>7</v>
      </c>
      <c r="Q2805">
        <v>5</v>
      </c>
      <c r="R2805">
        <v>938286</v>
      </c>
      <c r="S2805">
        <f>Table1[[#This Row],[Revenue]]-Table1[[#This Row],[Operating_Costs]]</f>
        <v>104661</v>
      </c>
      <c r="T2805">
        <v>833625</v>
      </c>
      <c r="U2805">
        <v>36</v>
      </c>
      <c r="V2805">
        <v>64</v>
      </c>
      <c r="W2805">
        <v>10.7</v>
      </c>
    </row>
    <row r="2806" spans="1:23" x14ac:dyDescent="0.25">
      <c r="A2806">
        <v>8</v>
      </c>
      <c r="B2806" t="s">
        <v>52</v>
      </c>
      <c r="C2806" s="1">
        <v>45368</v>
      </c>
      <c r="D2806" t="s">
        <v>71</v>
      </c>
      <c r="E2806">
        <v>0</v>
      </c>
      <c r="F2806">
        <v>41</v>
      </c>
      <c r="G2806" t="str">
        <f t="shared" si="51"/>
        <v>41-60</v>
      </c>
      <c r="H2806" t="s">
        <v>35</v>
      </c>
      <c r="I2806" t="s">
        <v>36</v>
      </c>
      <c r="J2806" t="s">
        <v>37</v>
      </c>
      <c r="K2806" t="s">
        <v>42</v>
      </c>
      <c r="L2806">
        <v>1</v>
      </c>
      <c r="M2806">
        <v>1</v>
      </c>
      <c r="N2806">
        <v>1.8</v>
      </c>
      <c r="O2806">
        <v>9.4</v>
      </c>
      <c r="P2806">
        <v>5</v>
      </c>
      <c r="Q2806">
        <v>4</v>
      </c>
      <c r="R2806">
        <v>971490</v>
      </c>
      <c r="S2806">
        <f>Table1[[#This Row],[Revenue]]-Table1[[#This Row],[Operating_Costs]]</f>
        <v>168343</v>
      </c>
      <c r="T2806">
        <v>803147</v>
      </c>
      <c r="U2806">
        <v>32</v>
      </c>
      <c r="V2806">
        <v>58</v>
      </c>
      <c r="W2806">
        <v>9.4</v>
      </c>
    </row>
    <row r="2807" spans="1:23" x14ac:dyDescent="0.25">
      <c r="A2807">
        <v>8</v>
      </c>
      <c r="B2807" t="s">
        <v>52</v>
      </c>
      <c r="C2807" s="1">
        <v>44988</v>
      </c>
      <c r="D2807" t="s">
        <v>71</v>
      </c>
      <c r="E2807">
        <v>0</v>
      </c>
      <c r="F2807">
        <v>68</v>
      </c>
      <c r="G2807" t="str">
        <f t="shared" si="51"/>
        <v>61-80</v>
      </c>
      <c r="H2807" t="s">
        <v>35</v>
      </c>
      <c r="I2807" t="s">
        <v>61</v>
      </c>
      <c r="J2807" t="s">
        <v>62</v>
      </c>
      <c r="K2807" t="s">
        <v>42</v>
      </c>
      <c r="L2807">
        <v>1</v>
      </c>
      <c r="M2807">
        <v>1</v>
      </c>
      <c r="N2807">
        <v>5.3</v>
      </c>
      <c r="O2807">
        <v>8.9</v>
      </c>
      <c r="P2807">
        <v>4</v>
      </c>
      <c r="Q2807">
        <v>3</v>
      </c>
      <c r="R2807">
        <v>994258</v>
      </c>
      <c r="S2807">
        <f>Table1[[#This Row],[Revenue]]-Table1[[#This Row],[Operating_Costs]]</f>
        <v>184922</v>
      </c>
      <c r="T2807">
        <v>809336</v>
      </c>
      <c r="U2807">
        <v>30</v>
      </c>
      <c r="V2807">
        <v>54</v>
      </c>
      <c r="W2807">
        <v>10</v>
      </c>
    </row>
    <row r="2808" spans="1:23" x14ac:dyDescent="0.25">
      <c r="A2808">
        <v>8</v>
      </c>
      <c r="B2808" t="s">
        <v>52</v>
      </c>
      <c r="C2808" s="1">
        <v>45561</v>
      </c>
      <c r="D2808" t="s">
        <v>71</v>
      </c>
      <c r="E2808">
        <v>0</v>
      </c>
      <c r="F2808">
        <v>70</v>
      </c>
      <c r="G2808" t="str">
        <f t="shared" si="51"/>
        <v>61-80</v>
      </c>
      <c r="H2808" t="s">
        <v>35</v>
      </c>
      <c r="I2808" t="s">
        <v>36</v>
      </c>
      <c r="J2808" t="s">
        <v>37</v>
      </c>
      <c r="K2808" t="s">
        <v>33</v>
      </c>
      <c r="L2808">
        <v>1</v>
      </c>
      <c r="M2808">
        <v>1</v>
      </c>
      <c r="N2808">
        <v>5.8</v>
      </c>
      <c r="O2808">
        <v>9.6999999999999993</v>
      </c>
      <c r="P2808">
        <v>4</v>
      </c>
      <c r="Q2808">
        <v>7</v>
      </c>
      <c r="R2808">
        <v>963102</v>
      </c>
      <c r="S2808">
        <f>Table1[[#This Row],[Revenue]]-Table1[[#This Row],[Operating_Costs]]</f>
        <v>101270</v>
      </c>
      <c r="T2808">
        <v>861832</v>
      </c>
      <c r="U2808">
        <v>36</v>
      </c>
      <c r="V2808">
        <v>64</v>
      </c>
      <c r="W2808">
        <v>14.7</v>
      </c>
    </row>
    <row r="2809" spans="1:23" x14ac:dyDescent="0.25">
      <c r="A2809">
        <v>8</v>
      </c>
      <c r="B2809" t="s">
        <v>52</v>
      </c>
      <c r="C2809" s="1">
        <v>44332</v>
      </c>
      <c r="D2809" t="s">
        <v>71</v>
      </c>
      <c r="E2809">
        <v>0</v>
      </c>
      <c r="F2809">
        <v>30</v>
      </c>
      <c r="G2809" t="str">
        <f t="shared" si="51"/>
        <v>21-40</v>
      </c>
      <c r="H2809" t="s">
        <v>23</v>
      </c>
      <c r="I2809" t="s">
        <v>27</v>
      </c>
      <c r="J2809" t="s">
        <v>28</v>
      </c>
      <c r="K2809" t="s">
        <v>26</v>
      </c>
      <c r="L2809">
        <v>1</v>
      </c>
      <c r="M2809">
        <v>1</v>
      </c>
      <c r="N2809">
        <v>3.4</v>
      </c>
      <c r="O2809">
        <v>8.1</v>
      </c>
      <c r="P2809">
        <v>4</v>
      </c>
      <c r="Q2809">
        <v>7</v>
      </c>
      <c r="R2809">
        <v>901867</v>
      </c>
      <c r="S2809">
        <f>Table1[[#This Row],[Revenue]]-Table1[[#This Row],[Operating_Costs]]</f>
        <v>78789</v>
      </c>
      <c r="T2809">
        <v>823078</v>
      </c>
      <c r="U2809">
        <v>35</v>
      </c>
      <c r="V2809">
        <v>62</v>
      </c>
      <c r="W2809">
        <v>13.3</v>
      </c>
    </row>
    <row r="2810" spans="1:23" x14ac:dyDescent="0.25">
      <c r="A2810">
        <v>8</v>
      </c>
      <c r="B2810" t="s">
        <v>52</v>
      </c>
      <c r="C2810" s="1">
        <v>44847</v>
      </c>
      <c r="D2810" t="s">
        <v>71</v>
      </c>
      <c r="E2810">
        <v>0</v>
      </c>
      <c r="F2810">
        <v>82</v>
      </c>
      <c r="G2810" t="str">
        <f t="shared" si="51"/>
        <v>81+</v>
      </c>
      <c r="H2810" t="s">
        <v>35</v>
      </c>
      <c r="I2810" t="s">
        <v>58</v>
      </c>
      <c r="J2810" t="s">
        <v>59</v>
      </c>
      <c r="K2810" t="s">
        <v>42</v>
      </c>
      <c r="L2810">
        <v>1</v>
      </c>
      <c r="M2810">
        <v>1</v>
      </c>
      <c r="N2810">
        <v>2.6</v>
      </c>
      <c r="O2810">
        <v>8.1</v>
      </c>
      <c r="P2810">
        <v>4</v>
      </c>
      <c r="Q2810">
        <v>3</v>
      </c>
      <c r="R2810">
        <v>940789</v>
      </c>
      <c r="S2810">
        <f>Table1[[#This Row],[Revenue]]-Table1[[#This Row],[Operating_Costs]]</f>
        <v>68570</v>
      </c>
      <c r="T2810">
        <v>872219</v>
      </c>
      <c r="U2810">
        <v>34</v>
      </c>
      <c r="V2810">
        <v>65</v>
      </c>
      <c r="W2810">
        <v>36.299999999999997</v>
      </c>
    </row>
    <row r="2811" spans="1:23" x14ac:dyDescent="0.25">
      <c r="A2811">
        <v>8</v>
      </c>
      <c r="B2811" t="s">
        <v>52</v>
      </c>
      <c r="C2811" s="1">
        <v>45538</v>
      </c>
      <c r="D2811" t="s">
        <v>71</v>
      </c>
      <c r="E2811">
        <v>0</v>
      </c>
      <c r="F2811">
        <v>76</v>
      </c>
      <c r="G2811" t="str">
        <f t="shared" si="51"/>
        <v>61-80</v>
      </c>
      <c r="H2811" t="s">
        <v>23</v>
      </c>
      <c r="I2811" t="s">
        <v>43</v>
      </c>
      <c r="J2811" t="s">
        <v>25</v>
      </c>
      <c r="K2811" t="s">
        <v>42</v>
      </c>
      <c r="L2811">
        <v>1</v>
      </c>
      <c r="M2811">
        <v>1</v>
      </c>
      <c r="N2811">
        <v>5.6</v>
      </c>
      <c r="O2811">
        <v>9.8000000000000007</v>
      </c>
      <c r="P2811">
        <v>5</v>
      </c>
      <c r="Q2811">
        <v>5</v>
      </c>
      <c r="R2811">
        <v>936771</v>
      </c>
      <c r="S2811">
        <f>Table1[[#This Row],[Revenue]]-Table1[[#This Row],[Operating_Costs]]</f>
        <v>73755</v>
      </c>
      <c r="T2811">
        <v>863016</v>
      </c>
      <c r="U2811">
        <v>36</v>
      </c>
      <c r="V2811">
        <v>66</v>
      </c>
      <c r="W2811">
        <v>14.7</v>
      </c>
    </row>
    <row r="2812" spans="1:23" x14ac:dyDescent="0.25">
      <c r="A2812">
        <v>8</v>
      </c>
      <c r="B2812" t="s">
        <v>52</v>
      </c>
      <c r="C2812" s="1">
        <v>44925</v>
      </c>
      <c r="D2812" t="s">
        <v>71</v>
      </c>
      <c r="E2812">
        <v>0</v>
      </c>
      <c r="F2812">
        <v>60</v>
      </c>
      <c r="G2812" t="str">
        <f t="shared" si="51"/>
        <v>41-60</v>
      </c>
      <c r="H2812" t="s">
        <v>23</v>
      </c>
      <c r="I2812" t="s">
        <v>40</v>
      </c>
      <c r="J2812" t="s">
        <v>41</v>
      </c>
      <c r="K2812" t="s">
        <v>29</v>
      </c>
      <c r="L2812">
        <v>1</v>
      </c>
      <c r="M2812">
        <v>1</v>
      </c>
      <c r="N2812">
        <v>3.4</v>
      </c>
      <c r="O2812">
        <v>8.6999999999999993</v>
      </c>
      <c r="P2812">
        <v>4</v>
      </c>
      <c r="Q2812">
        <v>6</v>
      </c>
      <c r="R2812">
        <v>913488</v>
      </c>
      <c r="S2812">
        <f>Table1[[#This Row],[Revenue]]-Table1[[#This Row],[Operating_Costs]]</f>
        <v>44629</v>
      </c>
      <c r="T2812">
        <v>868859</v>
      </c>
      <c r="U2812">
        <v>39</v>
      </c>
      <c r="V2812">
        <v>55</v>
      </c>
      <c r="W2812">
        <v>9.5</v>
      </c>
    </row>
    <row r="2813" spans="1:23" x14ac:dyDescent="0.25">
      <c r="A2813">
        <v>8</v>
      </c>
      <c r="B2813" t="s">
        <v>52</v>
      </c>
      <c r="C2813" s="1">
        <v>45154</v>
      </c>
      <c r="D2813" t="s">
        <v>71</v>
      </c>
      <c r="E2813">
        <v>0</v>
      </c>
      <c r="F2813">
        <v>78</v>
      </c>
      <c r="G2813" t="str">
        <f t="shared" si="51"/>
        <v>61-80</v>
      </c>
      <c r="H2813" t="s">
        <v>35</v>
      </c>
      <c r="I2813" t="s">
        <v>31</v>
      </c>
      <c r="J2813" t="s">
        <v>28</v>
      </c>
      <c r="K2813" t="s">
        <v>26</v>
      </c>
      <c r="L2813">
        <v>1</v>
      </c>
      <c r="M2813">
        <v>1</v>
      </c>
      <c r="N2813">
        <v>5.6</v>
      </c>
      <c r="O2813">
        <v>9.1</v>
      </c>
      <c r="P2813">
        <v>3</v>
      </c>
      <c r="Q2813">
        <v>3</v>
      </c>
      <c r="R2813">
        <v>976203</v>
      </c>
      <c r="S2813">
        <f>Table1[[#This Row],[Revenue]]-Table1[[#This Row],[Operating_Costs]]</f>
        <v>168442</v>
      </c>
      <c r="T2813">
        <v>807761</v>
      </c>
      <c r="U2813">
        <v>34</v>
      </c>
      <c r="V2813">
        <v>57</v>
      </c>
      <c r="W2813">
        <v>10.6</v>
      </c>
    </row>
    <row r="2814" spans="1:23" x14ac:dyDescent="0.25">
      <c r="A2814">
        <v>8</v>
      </c>
      <c r="B2814" t="s">
        <v>52</v>
      </c>
      <c r="C2814" s="1">
        <v>45331</v>
      </c>
      <c r="D2814" t="s">
        <v>71</v>
      </c>
      <c r="E2814">
        <v>0</v>
      </c>
      <c r="F2814">
        <v>46</v>
      </c>
      <c r="G2814" t="str">
        <f t="shared" si="51"/>
        <v>41-60</v>
      </c>
      <c r="H2814" t="s">
        <v>23</v>
      </c>
      <c r="I2814" t="s">
        <v>31</v>
      </c>
      <c r="J2814" t="s">
        <v>28</v>
      </c>
      <c r="K2814" t="s">
        <v>29</v>
      </c>
      <c r="L2814">
        <v>1</v>
      </c>
      <c r="M2814">
        <v>1</v>
      </c>
      <c r="N2814">
        <v>2.4</v>
      </c>
      <c r="O2814">
        <v>9</v>
      </c>
      <c r="P2814">
        <v>6</v>
      </c>
      <c r="Q2814">
        <v>3</v>
      </c>
      <c r="R2814">
        <v>927951</v>
      </c>
      <c r="S2814">
        <f>Table1[[#This Row],[Revenue]]-Table1[[#This Row],[Operating_Costs]]</f>
        <v>66098</v>
      </c>
      <c r="T2814">
        <v>861853</v>
      </c>
      <c r="U2814">
        <v>38</v>
      </c>
      <c r="V2814">
        <v>60</v>
      </c>
      <c r="W2814">
        <v>5.4</v>
      </c>
    </row>
    <row r="2815" spans="1:23" x14ac:dyDescent="0.25">
      <c r="A2815">
        <v>8</v>
      </c>
      <c r="B2815" t="s">
        <v>52</v>
      </c>
      <c r="C2815" s="1">
        <v>45590</v>
      </c>
      <c r="D2815" t="s">
        <v>71</v>
      </c>
      <c r="E2815">
        <v>0</v>
      </c>
      <c r="F2815">
        <v>38</v>
      </c>
      <c r="G2815" t="str">
        <f t="shared" si="51"/>
        <v>21-40</v>
      </c>
      <c r="H2815" t="s">
        <v>35</v>
      </c>
      <c r="I2815" t="s">
        <v>40</v>
      </c>
      <c r="J2815" t="s">
        <v>41</v>
      </c>
      <c r="K2815" t="s">
        <v>38</v>
      </c>
      <c r="L2815">
        <v>1</v>
      </c>
      <c r="M2815">
        <v>1</v>
      </c>
      <c r="N2815">
        <v>3.2</v>
      </c>
      <c r="O2815">
        <v>9.3000000000000007</v>
      </c>
      <c r="P2815">
        <v>6</v>
      </c>
      <c r="Q2815">
        <v>7</v>
      </c>
      <c r="R2815">
        <v>975166</v>
      </c>
      <c r="S2815">
        <f>Table1[[#This Row],[Revenue]]-Table1[[#This Row],[Operating_Costs]]</f>
        <v>128445</v>
      </c>
      <c r="T2815">
        <v>846721</v>
      </c>
      <c r="U2815">
        <v>37</v>
      </c>
      <c r="V2815">
        <v>55</v>
      </c>
      <c r="W2815">
        <v>13</v>
      </c>
    </row>
    <row r="2816" spans="1:23" x14ac:dyDescent="0.25">
      <c r="A2816">
        <v>8</v>
      </c>
      <c r="B2816" t="s">
        <v>52</v>
      </c>
      <c r="C2816" s="1">
        <v>44498</v>
      </c>
      <c r="D2816" t="s">
        <v>71</v>
      </c>
      <c r="E2816">
        <v>0</v>
      </c>
      <c r="F2816">
        <v>68</v>
      </c>
      <c r="G2816" t="str">
        <f t="shared" si="51"/>
        <v>61-80</v>
      </c>
      <c r="H2816" t="s">
        <v>35</v>
      </c>
      <c r="I2816" t="s">
        <v>31</v>
      </c>
      <c r="J2816" t="s">
        <v>28</v>
      </c>
      <c r="K2816" t="s">
        <v>26</v>
      </c>
      <c r="L2816">
        <v>1</v>
      </c>
      <c r="M2816">
        <v>1</v>
      </c>
      <c r="N2816">
        <v>3.9</v>
      </c>
      <c r="O2816">
        <v>7.9</v>
      </c>
      <c r="P2816">
        <v>3</v>
      </c>
      <c r="Q2816">
        <v>5</v>
      </c>
      <c r="R2816">
        <v>996737</v>
      </c>
      <c r="S2816">
        <f>Table1[[#This Row],[Revenue]]-Table1[[#This Row],[Operating_Costs]]</f>
        <v>97297</v>
      </c>
      <c r="T2816">
        <v>899440</v>
      </c>
      <c r="U2816">
        <v>33</v>
      </c>
      <c r="V2816">
        <v>58</v>
      </c>
      <c r="W2816">
        <v>10.199999999999999</v>
      </c>
    </row>
    <row r="2817" spans="1:23" x14ac:dyDescent="0.25">
      <c r="A2817">
        <v>8</v>
      </c>
      <c r="B2817" t="s">
        <v>52</v>
      </c>
      <c r="C2817" s="1">
        <v>45194</v>
      </c>
      <c r="D2817" t="s">
        <v>71</v>
      </c>
      <c r="E2817">
        <v>0</v>
      </c>
      <c r="F2817">
        <v>37</v>
      </c>
      <c r="G2817" t="str">
        <f t="shared" si="51"/>
        <v>21-40</v>
      </c>
      <c r="H2817" t="s">
        <v>35</v>
      </c>
      <c r="I2817" t="s">
        <v>60</v>
      </c>
      <c r="J2817" t="s">
        <v>59</v>
      </c>
      <c r="K2817" t="s">
        <v>42</v>
      </c>
      <c r="L2817">
        <v>1</v>
      </c>
      <c r="M2817">
        <v>1</v>
      </c>
      <c r="N2817">
        <v>2.5</v>
      </c>
      <c r="O2817">
        <v>7.2</v>
      </c>
      <c r="P2817">
        <v>5</v>
      </c>
      <c r="Q2817">
        <v>7</v>
      </c>
      <c r="R2817">
        <v>957851</v>
      </c>
      <c r="S2817">
        <f>Table1[[#This Row],[Revenue]]-Table1[[#This Row],[Operating_Costs]]</f>
        <v>148763</v>
      </c>
      <c r="T2817">
        <v>809088</v>
      </c>
      <c r="U2817">
        <v>32</v>
      </c>
      <c r="V2817">
        <v>55</v>
      </c>
      <c r="W2817">
        <v>7.5</v>
      </c>
    </row>
    <row r="2818" spans="1:23" x14ac:dyDescent="0.25">
      <c r="A2818">
        <v>8</v>
      </c>
      <c r="B2818" t="s">
        <v>52</v>
      </c>
      <c r="C2818" s="1">
        <v>44498</v>
      </c>
      <c r="D2818" t="s">
        <v>71</v>
      </c>
      <c r="E2818">
        <v>0</v>
      </c>
      <c r="F2818">
        <v>73</v>
      </c>
      <c r="G2818" t="str">
        <f t="shared" si="51"/>
        <v>61-80</v>
      </c>
      <c r="H2818" t="s">
        <v>23</v>
      </c>
      <c r="I2818" t="s">
        <v>24</v>
      </c>
      <c r="J2818" t="s">
        <v>25</v>
      </c>
      <c r="K2818" t="s">
        <v>29</v>
      </c>
      <c r="L2818">
        <v>1</v>
      </c>
      <c r="M2818">
        <v>1</v>
      </c>
      <c r="N2818">
        <v>4.8</v>
      </c>
      <c r="O2818">
        <v>7</v>
      </c>
      <c r="P2818">
        <v>7</v>
      </c>
      <c r="Q2818">
        <v>3</v>
      </c>
      <c r="R2818">
        <v>914053</v>
      </c>
      <c r="S2818">
        <f>Table1[[#This Row],[Revenue]]-Table1[[#This Row],[Operating_Costs]]</f>
        <v>63521</v>
      </c>
      <c r="T2818">
        <v>850532</v>
      </c>
      <c r="U2818">
        <v>30</v>
      </c>
      <c r="V2818">
        <v>66</v>
      </c>
      <c r="W2818">
        <v>5.2</v>
      </c>
    </row>
    <row r="2819" spans="1:23" x14ac:dyDescent="0.25">
      <c r="A2819">
        <v>8</v>
      </c>
      <c r="B2819" t="s">
        <v>52</v>
      </c>
      <c r="C2819" s="1">
        <v>44299</v>
      </c>
      <c r="D2819" t="s">
        <v>71</v>
      </c>
      <c r="E2819">
        <v>0</v>
      </c>
      <c r="F2819">
        <v>64</v>
      </c>
      <c r="G2819" t="str">
        <f t="shared" ref="G2819:G2882" si="52">IF(F2819&lt;=20,"0-20",IF(F2819&lt;=40,"21-40",IF(F2819&lt;=60,"41-60",IF(F2819&lt;=80,"61-80","81+"))))</f>
        <v>61-80</v>
      </c>
      <c r="H2819" t="s">
        <v>23</v>
      </c>
      <c r="I2819" t="s">
        <v>24</v>
      </c>
      <c r="J2819" t="s">
        <v>25</v>
      </c>
      <c r="K2819" t="s">
        <v>33</v>
      </c>
      <c r="L2819">
        <v>1</v>
      </c>
      <c r="M2819">
        <v>1</v>
      </c>
      <c r="N2819">
        <v>3.9</v>
      </c>
      <c r="O2819">
        <v>7.9</v>
      </c>
      <c r="P2819">
        <v>4</v>
      </c>
      <c r="Q2819">
        <v>4</v>
      </c>
      <c r="R2819">
        <v>947960</v>
      </c>
      <c r="S2819">
        <f>Table1[[#This Row],[Revenue]]-Table1[[#This Row],[Operating_Costs]]</f>
        <v>82798</v>
      </c>
      <c r="T2819">
        <v>865162</v>
      </c>
      <c r="U2819">
        <v>30</v>
      </c>
      <c r="V2819">
        <v>65</v>
      </c>
      <c r="W2819">
        <v>14.7</v>
      </c>
    </row>
    <row r="2820" spans="1:23" x14ac:dyDescent="0.25">
      <c r="A2820">
        <v>8</v>
      </c>
      <c r="B2820" t="s">
        <v>52</v>
      </c>
      <c r="C2820" s="1">
        <v>45208</v>
      </c>
      <c r="D2820" t="s">
        <v>71</v>
      </c>
      <c r="E2820">
        <v>0</v>
      </c>
      <c r="F2820">
        <v>62</v>
      </c>
      <c r="G2820" t="str">
        <f t="shared" si="52"/>
        <v>61-80</v>
      </c>
      <c r="H2820" t="s">
        <v>35</v>
      </c>
      <c r="I2820" t="s">
        <v>36</v>
      </c>
      <c r="J2820" t="s">
        <v>37</v>
      </c>
      <c r="K2820" t="s">
        <v>29</v>
      </c>
      <c r="L2820">
        <v>1</v>
      </c>
      <c r="M2820">
        <v>1</v>
      </c>
      <c r="N2820">
        <v>3.2</v>
      </c>
      <c r="O2820">
        <v>9.1999999999999993</v>
      </c>
      <c r="P2820">
        <v>5</v>
      </c>
      <c r="Q2820">
        <v>4</v>
      </c>
      <c r="R2820">
        <v>948662</v>
      </c>
      <c r="S2820">
        <f>Table1[[#This Row],[Revenue]]-Table1[[#This Row],[Operating_Costs]]</f>
        <v>119782</v>
      </c>
      <c r="T2820">
        <v>828880</v>
      </c>
      <c r="U2820">
        <v>37</v>
      </c>
      <c r="V2820">
        <v>61</v>
      </c>
      <c r="W2820">
        <v>10.1</v>
      </c>
    </row>
    <row r="2821" spans="1:23" x14ac:dyDescent="0.25">
      <c r="A2821">
        <v>8</v>
      </c>
      <c r="B2821" t="s">
        <v>52</v>
      </c>
      <c r="C2821" s="1">
        <v>45612</v>
      </c>
      <c r="D2821" t="s">
        <v>71</v>
      </c>
      <c r="E2821">
        <v>0</v>
      </c>
      <c r="F2821">
        <v>39</v>
      </c>
      <c r="G2821" t="str">
        <f t="shared" si="52"/>
        <v>21-40</v>
      </c>
      <c r="H2821" t="s">
        <v>35</v>
      </c>
      <c r="I2821" t="s">
        <v>58</v>
      </c>
      <c r="J2821" t="s">
        <v>59</v>
      </c>
      <c r="K2821" t="s">
        <v>38</v>
      </c>
      <c r="L2821">
        <v>1</v>
      </c>
      <c r="M2821">
        <v>1</v>
      </c>
      <c r="N2821">
        <v>6.1</v>
      </c>
      <c r="O2821">
        <v>8.3000000000000007</v>
      </c>
      <c r="P2821">
        <v>6</v>
      </c>
      <c r="Q2821">
        <v>4</v>
      </c>
      <c r="R2821">
        <v>989659</v>
      </c>
      <c r="S2821">
        <f>Table1[[#This Row],[Revenue]]-Table1[[#This Row],[Operating_Costs]]</f>
        <v>95918</v>
      </c>
      <c r="T2821">
        <v>893741</v>
      </c>
      <c r="U2821">
        <v>38</v>
      </c>
      <c r="V2821">
        <v>58</v>
      </c>
      <c r="W2821">
        <v>6.3</v>
      </c>
    </row>
    <row r="2822" spans="1:23" x14ac:dyDescent="0.25">
      <c r="A2822">
        <v>8</v>
      </c>
      <c r="B2822" t="s">
        <v>52</v>
      </c>
      <c r="C2822" s="1">
        <v>44471</v>
      </c>
      <c r="D2822" t="s">
        <v>71</v>
      </c>
      <c r="E2822">
        <v>0</v>
      </c>
      <c r="F2822">
        <v>79</v>
      </c>
      <c r="G2822" t="str">
        <f t="shared" si="52"/>
        <v>61-80</v>
      </c>
      <c r="H2822" t="s">
        <v>23</v>
      </c>
      <c r="I2822" t="s">
        <v>24</v>
      </c>
      <c r="J2822" t="s">
        <v>25</v>
      </c>
      <c r="K2822" t="s">
        <v>42</v>
      </c>
      <c r="L2822">
        <v>1</v>
      </c>
      <c r="M2822">
        <v>1</v>
      </c>
      <c r="N2822">
        <v>5.9</v>
      </c>
      <c r="O2822">
        <v>9.1</v>
      </c>
      <c r="P2822">
        <v>3</v>
      </c>
      <c r="Q2822">
        <v>5</v>
      </c>
      <c r="R2822">
        <v>904236</v>
      </c>
      <c r="S2822">
        <f>Table1[[#This Row],[Revenue]]-Table1[[#This Row],[Operating_Costs]]</f>
        <v>82663</v>
      </c>
      <c r="T2822">
        <v>821573</v>
      </c>
      <c r="U2822">
        <v>34</v>
      </c>
      <c r="V2822">
        <v>55</v>
      </c>
      <c r="W2822">
        <v>7.2</v>
      </c>
    </row>
    <row r="2823" spans="1:23" x14ac:dyDescent="0.25">
      <c r="A2823">
        <v>8</v>
      </c>
      <c r="B2823" t="s">
        <v>52</v>
      </c>
      <c r="C2823" s="1">
        <v>45361</v>
      </c>
      <c r="D2823" t="s">
        <v>71</v>
      </c>
      <c r="E2823">
        <v>0</v>
      </c>
      <c r="F2823">
        <v>53</v>
      </c>
      <c r="G2823" t="str">
        <f t="shared" si="52"/>
        <v>41-60</v>
      </c>
      <c r="H2823" t="s">
        <v>35</v>
      </c>
      <c r="I2823" t="s">
        <v>50</v>
      </c>
      <c r="J2823" t="s">
        <v>51</v>
      </c>
      <c r="K2823" t="s">
        <v>26</v>
      </c>
      <c r="L2823">
        <v>1</v>
      </c>
      <c r="M2823">
        <v>1</v>
      </c>
      <c r="N2823">
        <v>3</v>
      </c>
      <c r="O2823">
        <v>7.2</v>
      </c>
      <c r="P2823">
        <v>7</v>
      </c>
      <c r="Q2823">
        <v>3</v>
      </c>
      <c r="R2823">
        <v>918757</v>
      </c>
      <c r="S2823">
        <f>Table1[[#This Row],[Revenue]]-Table1[[#This Row],[Operating_Costs]]</f>
        <v>34990</v>
      </c>
      <c r="T2823">
        <v>883767</v>
      </c>
      <c r="U2823">
        <v>39</v>
      </c>
      <c r="V2823">
        <v>56</v>
      </c>
      <c r="W2823">
        <v>10.9</v>
      </c>
    </row>
    <row r="2824" spans="1:23" x14ac:dyDescent="0.25">
      <c r="A2824">
        <v>8</v>
      </c>
      <c r="B2824" t="s">
        <v>52</v>
      </c>
      <c r="C2824" s="1">
        <v>44643</v>
      </c>
      <c r="D2824" t="s">
        <v>71</v>
      </c>
      <c r="E2824">
        <v>0</v>
      </c>
      <c r="F2824">
        <v>23</v>
      </c>
      <c r="G2824" t="str">
        <f t="shared" si="52"/>
        <v>21-40</v>
      </c>
      <c r="H2824" t="s">
        <v>35</v>
      </c>
      <c r="I2824" t="s">
        <v>46</v>
      </c>
      <c r="J2824" t="s">
        <v>47</v>
      </c>
      <c r="K2824" t="s">
        <v>29</v>
      </c>
      <c r="L2824">
        <v>1</v>
      </c>
      <c r="M2824">
        <v>1</v>
      </c>
      <c r="N2824">
        <v>5</v>
      </c>
      <c r="O2824">
        <v>7.4</v>
      </c>
      <c r="P2824">
        <v>5</v>
      </c>
      <c r="Q2824">
        <v>5</v>
      </c>
      <c r="R2824">
        <v>925678</v>
      </c>
      <c r="S2824">
        <f>Table1[[#This Row],[Revenue]]-Table1[[#This Row],[Operating_Costs]]</f>
        <v>72475</v>
      </c>
      <c r="T2824">
        <v>853203</v>
      </c>
      <c r="U2824">
        <v>37</v>
      </c>
      <c r="V2824">
        <v>54</v>
      </c>
      <c r="W2824">
        <v>36.1</v>
      </c>
    </row>
    <row r="2825" spans="1:23" x14ac:dyDescent="0.25">
      <c r="A2825">
        <v>8</v>
      </c>
      <c r="B2825" t="s">
        <v>52</v>
      </c>
      <c r="C2825" s="1">
        <v>45410</v>
      </c>
      <c r="D2825" t="s">
        <v>71</v>
      </c>
      <c r="E2825">
        <v>0</v>
      </c>
      <c r="F2825">
        <v>21</v>
      </c>
      <c r="G2825" t="str">
        <f t="shared" si="52"/>
        <v>21-40</v>
      </c>
      <c r="H2825" t="s">
        <v>23</v>
      </c>
      <c r="I2825" t="s">
        <v>24</v>
      </c>
      <c r="J2825" t="s">
        <v>25</v>
      </c>
      <c r="K2825" t="s">
        <v>42</v>
      </c>
      <c r="L2825">
        <v>1</v>
      </c>
      <c r="M2825">
        <v>1</v>
      </c>
      <c r="N2825">
        <v>4.3</v>
      </c>
      <c r="O2825">
        <v>7.3</v>
      </c>
      <c r="P2825">
        <v>7</v>
      </c>
      <c r="Q2825">
        <v>5</v>
      </c>
      <c r="R2825">
        <v>947586</v>
      </c>
      <c r="S2825">
        <f>Table1[[#This Row],[Revenue]]-Table1[[#This Row],[Operating_Costs]]</f>
        <v>127346</v>
      </c>
      <c r="T2825">
        <v>820240</v>
      </c>
      <c r="U2825">
        <v>31</v>
      </c>
      <c r="V2825">
        <v>63</v>
      </c>
      <c r="W2825">
        <v>7.1</v>
      </c>
    </row>
    <row r="2826" spans="1:23" x14ac:dyDescent="0.25">
      <c r="A2826">
        <v>8</v>
      </c>
      <c r="B2826" t="s">
        <v>52</v>
      </c>
      <c r="C2826" s="1">
        <v>45144</v>
      </c>
      <c r="D2826" t="s">
        <v>71</v>
      </c>
      <c r="E2826">
        <v>0</v>
      </c>
      <c r="F2826">
        <v>39</v>
      </c>
      <c r="G2826" t="str">
        <f t="shared" si="52"/>
        <v>21-40</v>
      </c>
      <c r="H2826" t="s">
        <v>23</v>
      </c>
      <c r="I2826" t="s">
        <v>67</v>
      </c>
      <c r="J2826" t="s">
        <v>68</v>
      </c>
      <c r="K2826" t="s">
        <v>38</v>
      </c>
      <c r="L2826">
        <v>1</v>
      </c>
      <c r="M2826">
        <v>1</v>
      </c>
      <c r="N2826">
        <v>1.2</v>
      </c>
      <c r="O2826">
        <v>8</v>
      </c>
      <c r="P2826">
        <v>3</v>
      </c>
      <c r="Q2826">
        <v>5</v>
      </c>
      <c r="R2826">
        <v>999322</v>
      </c>
      <c r="S2826">
        <f>Table1[[#This Row],[Revenue]]-Table1[[#This Row],[Operating_Costs]]</f>
        <v>123883</v>
      </c>
      <c r="T2826">
        <v>875439</v>
      </c>
      <c r="U2826">
        <v>33</v>
      </c>
      <c r="V2826">
        <v>66</v>
      </c>
      <c r="W2826">
        <v>13</v>
      </c>
    </row>
    <row r="2827" spans="1:23" x14ac:dyDescent="0.25">
      <c r="A2827">
        <v>8</v>
      </c>
      <c r="B2827" t="s">
        <v>52</v>
      </c>
      <c r="C2827" s="1">
        <v>44705</v>
      </c>
      <c r="D2827" t="s">
        <v>71</v>
      </c>
      <c r="E2827">
        <v>0</v>
      </c>
      <c r="F2827">
        <v>40</v>
      </c>
      <c r="G2827" t="str">
        <f t="shared" si="52"/>
        <v>21-40</v>
      </c>
      <c r="H2827" t="s">
        <v>23</v>
      </c>
      <c r="I2827" t="s">
        <v>50</v>
      </c>
      <c r="J2827" t="s">
        <v>51</v>
      </c>
      <c r="K2827" t="s">
        <v>38</v>
      </c>
      <c r="L2827">
        <v>1</v>
      </c>
      <c r="M2827">
        <v>1</v>
      </c>
      <c r="N2827">
        <v>6.7</v>
      </c>
      <c r="O2827">
        <v>9.5</v>
      </c>
      <c r="P2827">
        <v>5</v>
      </c>
      <c r="Q2827">
        <v>7</v>
      </c>
      <c r="R2827">
        <v>930500</v>
      </c>
      <c r="S2827">
        <f>Table1[[#This Row],[Revenue]]-Table1[[#This Row],[Operating_Costs]]</f>
        <v>113267</v>
      </c>
      <c r="T2827">
        <v>817233</v>
      </c>
      <c r="U2827">
        <v>31</v>
      </c>
      <c r="V2827">
        <v>61</v>
      </c>
      <c r="W2827">
        <v>13.7</v>
      </c>
    </row>
    <row r="2828" spans="1:23" x14ac:dyDescent="0.25">
      <c r="A2828">
        <v>8</v>
      </c>
      <c r="B2828" t="s">
        <v>52</v>
      </c>
      <c r="C2828" s="1">
        <v>45392</v>
      </c>
      <c r="D2828" t="s">
        <v>71</v>
      </c>
      <c r="E2828">
        <v>0</v>
      </c>
      <c r="F2828">
        <v>70</v>
      </c>
      <c r="G2828" t="str">
        <f t="shared" si="52"/>
        <v>61-80</v>
      </c>
      <c r="H2828" t="s">
        <v>35</v>
      </c>
      <c r="I2828" t="s">
        <v>50</v>
      </c>
      <c r="J2828" t="s">
        <v>51</v>
      </c>
      <c r="K2828" t="s">
        <v>42</v>
      </c>
      <c r="L2828">
        <v>1</v>
      </c>
      <c r="M2828">
        <v>1</v>
      </c>
      <c r="N2828">
        <v>6.5</v>
      </c>
      <c r="O2828">
        <v>10</v>
      </c>
      <c r="P2828">
        <v>4</v>
      </c>
      <c r="Q2828">
        <v>5</v>
      </c>
      <c r="R2828">
        <v>933184</v>
      </c>
      <c r="S2828">
        <f>Table1[[#This Row],[Revenue]]-Table1[[#This Row],[Operating_Costs]]</f>
        <v>41952</v>
      </c>
      <c r="T2828">
        <v>891232</v>
      </c>
      <c r="U2828">
        <v>31</v>
      </c>
      <c r="V2828">
        <v>64</v>
      </c>
      <c r="W2828">
        <v>10.5</v>
      </c>
    </row>
    <row r="2829" spans="1:23" x14ac:dyDescent="0.25">
      <c r="A2829">
        <v>8</v>
      </c>
      <c r="B2829" t="s">
        <v>52</v>
      </c>
      <c r="C2829" s="1">
        <v>45453</v>
      </c>
      <c r="D2829" t="s">
        <v>71</v>
      </c>
      <c r="E2829">
        <v>0</v>
      </c>
      <c r="F2829">
        <v>66</v>
      </c>
      <c r="G2829" t="str">
        <f t="shared" si="52"/>
        <v>61-80</v>
      </c>
      <c r="H2829" t="s">
        <v>35</v>
      </c>
      <c r="I2829" t="s">
        <v>36</v>
      </c>
      <c r="J2829" t="s">
        <v>37</v>
      </c>
      <c r="K2829" t="s">
        <v>38</v>
      </c>
      <c r="L2829">
        <v>1</v>
      </c>
      <c r="M2829">
        <v>1</v>
      </c>
      <c r="N2829">
        <v>3.4</v>
      </c>
      <c r="O2829">
        <v>8.8000000000000007</v>
      </c>
      <c r="P2829">
        <v>6</v>
      </c>
      <c r="Q2829">
        <v>4</v>
      </c>
      <c r="R2829">
        <v>983196</v>
      </c>
      <c r="S2829">
        <f>Table1[[#This Row],[Revenue]]-Table1[[#This Row],[Operating_Costs]]</f>
        <v>153211</v>
      </c>
      <c r="T2829">
        <v>829985</v>
      </c>
      <c r="U2829">
        <v>34</v>
      </c>
      <c r="V2829">
        <v>58</v>
      </c>
      <c r="W2829">
        <v>9.6999999999999993</v>
      </c>
    </row>
    <row r="2830" spans="1:23" x14ac:dyDescent="0.25">
      <c r="A2830">
        <v>8</v>
      </c>
      <c r="B2830" t="s">
        <v>52</v>
      </c>
      <c r="C2830" s="1">
        <v>44995</v>
      </c>
      <c r="D2830" t="s">
        <v>71</v>
      </c>
      <c r="E2830">
        <v>0</v>
      </c>
      <c r="F2830">
        <v>39</v>
      </c>
      <c r="G2830" t="str">
        <f t="shared" si="52"/>
        <v>21-40</v>
      </c>
      <c r="H2830" t="s">
        <v>23</v>
      </c>
      <c r="I2830" t="s">
        <v>64</v>
      </c>
      <c r="J2830" t="s">
        <v>65</v>
      </c>
      <c r="K2830" t="s">
        <v>42</v>
      </c>
      <c r="L2830">
        <v>1</v>
      </c>
      <c r="M2830">
        <v>1</v>
      </c>
      <c r="N2830">
        <v>2.2999999999999998</v>
      </c>
      <c r="O2830">
        <v>8.1</v>
      </c>
      <c r="P2830">
        <v>7</v>
      </c>
      <c r="Q2830">
        <v>3</v>
      </c>
      <c r="R2830">
        <v>904543</v>
      </c>
      <c r="S2830">
        <f>Table1[[#This Row],[Revenue]]-Table1[[#This Row],[Operating_Costs]]</f>
        <v>63037</v>
      </c>
      <c r="T2830">
        <v>841506</v>
      </c>
      <c r="U2830">
        <v>31</v>
      </c>
      <c r="V2830">
        <v>61</v>
      </c>
      <c r="W2830">
        <v>7.9</v>
      </c>
    </row>
    <row r="2831" spans="1:23" x14ac:dyDescent="0.25">
      <c r="A2831">
        <v>8</v>
      </c>
      <c r="B2831" t="s">
        <v>52</v>
      </c>
      <c r="C2831" s="1">
        <v>45355</v>
      </c>
      <c r="D2831" t="s">
        <v>71</v>
      </c>
      <c r="E2831">
        <v>0</v>
      </c>
      <c r="F2831">
        <v>67</v>
      </c>
      <c r="G2831" t="str">
        <f t="shared" si="52"/>
        <v>61-80</v>
      </c>
      <c r="H2831" t="s">
        <v>35</v>
      </c>
      <c r="I2831" t="s">
        <v>53</v>
      </c>
      <c r="J2831" t="s">
        <v>54</v>
      </c>
      <c r="K2831" t="s">
        <v>42</v>
      </c>
      <c r="L2831">
        <v>1</v>
      </c>
      <c r="M2831">
        <v>1</v>
      </c>
      <c r="N2831">
        <v>4.3</v>
      </c>
      <c r="O2831">
        <v>7.9</v>
      </c>
      <c r="P2831">
        <v>7</v>
      </c>
      <c r="Q2831">
        <v>6</v>
      </c>
      <c r="R2831">
        <v>961351</v>
      </c>
      <c r="S2831">
        <f>Table1[[#This Row],[Revenue]]-Table1[[#This Row],[Operating_Costs]]</f>
        <v>134657</v>
      </c>
      <c r="T2831">
        <v>826694</v>
      </c>
      <c r="U2831">
        <v>40</v>
      </c>
      <c r="V2831">
        <v>54</v>
      </c>
      <c r="W2831">
        <v>9.5</v>
      </c>
    </row>
    <row r="2832" spans="1:23" x14ac:dyDescent="0.25">
      <c r="A2832">
        <v>8</v>
      </c>
      <c r="B2832" t="s">
        <v>52</v>
      </c>
      <c r="C2832" s="1">
        <v>44737</v>
      </c>
      <c r="D2832" t="s">
        <v>71</v>
      </c>
      <c r="E2832">
        <v>0</v>
      </c>
      <c r="F2832">
        <v>83</v>
      </c>
      <c r="G2832" t="str">
        <f t="shared" si="52"/>
        <v>81+</v>
      </c>
      <c r="H2832" t="s">
        <v>35</v>
      </c>
      <c r="I2832" t="s">
        <v>40</v>
      </c>
      <c r="J2832" t="s">
        <v>41</v>
      </c>
      <c r="K2832" t="s">
        <v>29</v>
      </c>
      <c r="L2832">
        <v>1</v>
      </c>
      <c r="M2832">
        <v>1</v>
      </c>
      <c r="N2832">
        <v>4.4000000000000004</v>
      </c>
      <c r="O2832">
        <v>8.8000000000000007</v>
      </c>
      <c r="P2832">
        <v>4</v>
      </c>
      <c r="Q2832">
        <v>7</v>
      </c>
      <c r="R2832">
        <v>936537</v>
      </c>
      <c r="S2832">
        <f>Table1[[#This Row],[Revenue]]-Table1[[#This Row],[Operating_Costs]]</f>
        <v>90834</v>
      </c>
      <c r="T2832">
        <v>845703</v>
      </c>
      <c r="U2832">
        <v>38</v>
      </c>
      <c r="V2832">
        <v>58</v>
      </c>
      <c r="W2832">
        <v>9.8000000000000007</v>
      </c>
    </row>
    <row r="2833" spans="1:23" x14ac:dyDescent="0.25">
      <c r="A2833">
        <v>8</v>
      </c>
      <c r="B2833" t="s">
        <v>52</v>
      </c>
      <c r="C2833" s="1">
        <v>45627</v>
      </c>
      <c r="D2833" t="s">
        <v>71</v>
      </c>
      <c r="E2833">
        <v>0</v>
      </c>
      <c r="F2833">
        <v>73</v>
      </c>
      <c r="G2833" t="str">
        <f t="shared" si="52"/>
        <v>61-80</v>
      </c>
      <c r="H2833" t="s">
        <v>35</v>
      </c>
      <c r="I2833" t="s">
        <v>27</v>
      </c>
      <c r="J2833" t="s">
        <v>28</v>
      </c>
      <c r="K2833" t="s">
        <v>42</v>
      </c>
      <c r="L2833">
        <v>1</v>
      </c>
      <c r="M2833">
        <v>1</v>
      </c>
      <c r="N2833">
        <v>5</v>
      </c>
      <c r="O2833">
        <v>9.8000000000000007</v>
      </c>
      <c r="P2833">
        <v>6</v>
      </c>
      <c r="Q2833">
        <v>6</v>
      </c>
      <c r="R2833">
        <v>933433</v>
      </c>
      <c r="S2833">
        <f>Table1[[#This Row],[Revenue]]-Table1[[#This Row],[Operating_Costs]]</f>
        <v>114044</v>
      </c>
      <c r="T2833">
        <v>819389</v>
      </c>
      <c r="U2833">
        <v>40</v>
      </c>
      <c r="V2833">
        <v>64</v>
      </c>
      <c r="W2833">
        <v>13.1</v>
      </c>
    </row>
    <row r="2834" spans="1:23" x14ac:dyDescent="0.25">
      <c r="A2834">
        <v>8</v>
      </c>
      <c r="B2834" t="s">
        <v>52</v>
      </c>
      <c r="C2834" s="1">
        <v>44393</v>
      </c>
      <c r="D2834" t="s">
        <v>71</v>
      </c>
      <c r="E2834">
        <v>0</v>
      </c>
      <c r="F2834">
        <v>77</v>
      </c>
      <c r="G2834" t="str">
        <f t="shared" si="52"/>
        <v>61-80</v>
      </c>
      <c r="H2834" t="s">
        <v>23</v>
      </c>
      <c r="I2834" t="s">
        <v>61</v>
      </c>
      <c r="J2834" t="s">
        <v>62</v>
      </c>
      <c r="K2834" t="s">
        <v>42</v>
      </c>
      <c r="L2834">
        <v>1</v>
      </c>
      <c r="M2834">
        <v>1</v>
      </c>
      <c r="N2834">
        <v>3.2</v>
      </c>
      <c r="O2834">
        <v>8.3000000000000007</v>
      </c>
      <c r="P2834">
        <v>6</v>
      </c>
      <c r="Q2834">
        <v>5</v>
      </c>
      <c r="R2834">
        <v>954873</v>
      </c>
      <c r="S2834">
        <f>Table1[[#This Row],[Revenue]]-Table1[[#This Row],[Operating_Costs]]</f>
        <v>89540</v>
      </c>
      <c r="T2834">
        <v>865333</v>
      </c>
      <c r="U2834">
        <v>30</v>
      </c>
      <c r="V2834">
        <v>58</v>
      </c>
      <c r="W2834">
        <v>10.7</v>
      </c>
    </row>
    <row r="2835" spans="1:23" x14ac:dyDescent="0.25">
      <c r="A2835">
        <v>8</v>
      </c>
      <c r="B2835" t="s">
        <v>52</v>
      </c>
      <c r="C2835" s="1">
        <v>44642</v>
      </c>
      <c r="D2835" t="s">
        <v>71</v>
      </c>
      <c r="E2835">
        <v>0</v>
      </c>
      <c r="F2835">
        <v>39</v>
      </c>
      <c r="G2835" t="str">
        <f t="shared" si="52"/>
        <v>21-40</v>
      </c>
      <c r="H2835" t="s">
        <v>35</v>
      </c>
      <c r="I2835" t="s">
        <v>50</v>
      </c>
      <c r="J2835" t="s">
        <v>51</v>
      </c>
      <c r="K2835" t="s">
        <v>42</v>
      </c>
      <c r="L2835">
        <v>1</v>
      </c>
      <c r="M2835">
        <v>1</v>
      </c>
      <c r="N2835">
        <v>4.2</v>
      </c>
      <c r="O2835">
        <v>10</v>
      </c>
      <c r="P2835">
        <v>4</v>
      </c>
      <c r="Q2835">
        <v>6</v>
      </c>
      <c r="R2835">
        <v>928537</v>
      </c>
      <c r="S2835">
        <f>Table1[[#This Row],[Revenue]]-Table1[[#This Row],[Operating_Costs]]</f>
        <v>95141</v>
      </c>
      <c r="T2835">
        <v>833396</v>
      </c>
      <c r="U2835">
        <v>32</v>
      </c>
      <c r="V2835">
        <v>65</v>
      </c>
      <c r="W2835">
        <v>36.200000000000003</v>
      </c>
    </row>
    <row r="2836" spans="1:23" x14ac:dyDescent="0.25">
      <c r="A2836">
        <v>8</v>
      </c>
      <c r="B2836" t="s">
        <v>52</v>
      </c>
      <c r="C2836" s="1">
        <v>45230</v>
      </c>
      <c r="D2836" t="s">
        <v>71</v>
      </c>
      <c r="E2836">
        <v>0</v>
      </c>
      <c r="F2836">
        <v>41</v>
      </c>
      <c r="G2836" t="str">
        <f t="shared" si="52"/>
        <v>41-60</v>
      </c>
      <c r="H2836" t="s">
        <v>35</v>
      </c>
      <c r="I2836" t="s">
        <v>46</v>
      </c>
      <c r="J2836" t="s">
        <v>47</v>
      </c>
      <c r="K2836" t="s">
        <v>33</v>
      </c>
      <c r="L2836">
        <v>1</v>
      </c>
      <c r="M2836">
        <v>1</v>
      </c>
      <c r="N2836">
        <v>5.8</v>
      </c>
      <c r="O2836">
        <v>9.5</v>
      </c>
      <c r="P2836">
        <v>4</v>
      </c>
      <c r="Q2836">
        <v>5</v>
      </c>
      <c r="R2836">
        <v>917955</v>
      </c>
      <c r="S2836">
        <f>Table1[[#This Row],[Revenue]]-Table1[[#This Row],[Operating_Costs]]</f>
        <v>70667</v>
      </c>
      <c r="T2836">
        <v>847288</v>
      </c>
      <c r="U2836">
        <v>31</v>
      </c>
      <c r="V2836">
        <v>65</v>
      </c>
      <c r="W2836">
        <v>7.1</v>
      </c>
    </row>
    <row r="2837" spans="1:23" x14ac:dyDescent="0.25">
      <c r="A2837">
        <v>8</v>
      </c>
      <c r="B2837" t="s">
        <v>52</v>
      </c>
      <c r="C2837" s="1">
        <v>44806</v>
      </c>
      <c r="D2837" t="s">
        <v>71</v>
      </c>
      <c r="E2837">
        <v>0</v>
      </c>
      <c r="F2837">
        <v>49</v>
      </c>
      <c r="G2837" t="str">
        <f t="shared" si="52"/>
        <v>41-60</v>
      </c>
      <c r="H2837" t="s">
        <v>35</v>
      </c>
      <c r="I2837" t="s">
        <v>58</v>
      </c>
      <c r="J2837" t="s">
        <v>59</v>
      </c>
      <c r="K2837" t="s">
        <v>29</v>
      </c>
      <c r="L2837">
        <v>1</v>
      </c>
      <c r="M2837">
        <v>1</v>
      </c>
      <c r="N2837">
        <v>6.8</v>
      </c>
      <c r="O2837">
        <v>8</v>
      </c>
      <c r="P2837">
        <v>4</v>
      </c>
      <c r="Q2837">
        <v>4</v>
      </c>
      <c r="R2837">
        <v>933473</v>
      </c>
      <c r="S2837">
        <f>Table1[[#This Row],[Revenue]]-Table1[[#This Row],[Operating_Costs]]</f>
        <v>35227</v>
      </c>
      <c r="T2837">
        <v>898246</v>
      </c>
      <c r="U2837">
        <v>30</v>
      </c>
      <c r="V2837">
        <v>65</v>
      </c>
      <c r="W2837">
        <v>36.200000000000003</v>
      </c>
    </row>
    <row r="2838" spans="1:23" x14ac:dyDescent="0.25">
      <c r="A2838">
        <v>8</v>
      </c>
      <c r="B2838" t="s">
        <v>52</v>
      </c>
      <c r="C2838" s="1">
        <v>44885</v>
      </c>
      <c r="D2838" t="s">
        <v>71</v>
      </c>
      <c r="E2838">
        <v>0</v>
      </c>
      <c r="F2838">
        <v>65</v>
      </c>
      <c r="G2838" t="str">
        <f t="shared" si="52"/>
        <v>61-80</v>
      </c>
      <c r="H2838" t="s">
        <v>23</v>
      </c>
      <c r="I2838" t="s">
        <v>61</v>
      </c>
      <c r="J2838" t="s">
        <v>62</v>
      </c>
      <c r="K2838" t="s">
        <v>29</v>
      </c>
      <c r="L2838">
        <v>1</v>
      </c>
      <c r="M2838">
        <v>1</v>
      </c>
      <c r="N2838">
        <v>6.7</v>
      </c>
      <c r="O2838">
        <v>8.6999999999999993</v>
      </c>
      <c r="P2838">
        <v>6</v>
      </c>
      <c r="Q2838">
        <v>7</v>
      </c>
      <c r="R2838">
        <v>913970</v>
      </c>
      <c r="S2838">
        <f>Table1[[#This Row],[Revenue]]-Table1[[#This Row],[Operating_Costs]]</f>
        <v>86484</v>
      </c>
      <c r="T2838">
        <v>827486</v>
      </c>
      <c r="U2838">
        <v>40</v>
      </c>
      <c r="V2838">
        <v>61</v>
      </c>
      <c r="W2838">
        <v>14.9</v>
      </c>
    </row>
    <row r="2839" spans="1:23" x14ac:dyDescent="0.25">
      <c r="A2839">
        <v>8</v>
      </c>
      <c r="B2839" t="s">
        <v>52</v>
      </c>
      <c r="C2839" s="1">
        <v>45448</v>
      </c>
      <c r="D2839" t="s">
        <v>71</v>
      </c>
      <c r="E2839">
        <v>0</v>
      </c>
      <c r="F2839">
        <v>41</v>
      </c>
      <c r="G2839" t="str">
        <f t="shared" si="52"/>
        <v>41-60</v>
      </c>
      <c r="H2839" t="s">
        <v>23</v>
      </c>
      <c r="I2839" t="s">
        <v>24</v>
      </c>
      <c r="J2839" t="s">
        <v>25</v>
      </c>
      <c r="K2839" t="s">
        <v>26</v>
      </c>
      <c r="L2839">
        <v>1</v>
      </c>
      <c r="M2839">
        <v>1</v>
      </c>
      <c r="N2839">
        <v>2</v>
      </c>
      <c r="O2839">
        <v>7.2</v>
      </c>
      <c r="P2839">
        <v>6</v>
      </c>
      <c r="Q2839">
        <v>4</v>
      </c>
      <c r="R2839">
        <v>963432</v>
      </c>
      <c r="S2839">
        <f>Table1[[#This Row],[Revenue]]-Table1[[#This Row],[Operating_Costs]]</f>
        <v>69687</v>
      </c>
      <c r="T2839">
        <v>893745</v>
      </c>
      <c r="U2839">
        <v>31</v>
      </c>
      <c r="V2839">
        <v>61</v>
      </c>
      <c r="W2839">
        <v>12.6</v>
      </c>
    </row>
    <row r="2840" spans="1:23" x14ac:dyDescent="0.25">
      <c r="A2840">
        <v>8</v>
      </c>
      <c r="B2840" t="s">
        <v>52</v>
      </c>
      <c r="C2840" s="1">
        <v>45443</v>
      </c>
      <c r="D2840" t="s">
        <v>71</v>
      </c>
      <c r="E2840">
        <v>0</v>
      </c>
      <c r="F2840">
        <v>76</v>
      </c>
      <c r="G2840" t="str">
        <f t="shared" si="52"/>
        <v>61-80</v>
      </c>
      <c r="H2840" t="s">
        <v>35</v>
      </c>
      <c r="I2840" t="s">
        <v>36</v>
      </c>
      <c r="J2840" t="s">
        <v>37</v>
      </c>
      <c r="K2840" t="s">
        <v>26</v>
      </c>
      <c r="L2840">
        <v>1</v>
      </c>
      <c r="M2840">
        <v>1</v>
      </c>
      <c r="N2840">
        <v>3.4</v>
      </c>
      <c r="O2840">
        <v>7.5</v>
      </c>
      <c r="P2840">
        <v>3</v>
      </c>
      <c r="Q2840">
        <v>3</v>
      </c>
      <c r="R2840">
        <v>948338</v>
      </c>
      <c r="S2840">
        <f>Table1[[#This Row],[Revenue]]-Table1[[#This Row],[Operating_Costs]]</f>
        <v>137352</v>
      </c>
      <c r="T2840">
        <v>810986</v>
      </c>
      <c r="U2840">
        <v>33</v>
      </c>
      <c r="V2840">
        <v>62</v>
      </c>
      <c r="W2840">
        <v>13.4</v>
      </c>
    </row>
    <row r="2841" spans="1:23" x14ac:dyDescent="0.25">
      <c r="A2841">
        <v>8</v>
      </c>
      <c r="B2841" t="s">
        <v>52</v>
      </c>
      <c r="C2841" s="1">
        <v>44749</v>
      </c>
      <c r="D2841" t="s">
        <v>71</v>
      </c>
      <c r="E2841">
        <v>0</v>
      </c>
      <c r="F2841">
        <v>90</v>
      </c>
      <c r="G2841" t="str">
        <f t="shared" si="52"/>
        <v>81+</v>
      </c>
      <c r="H2841" t="s">
        <v>23</v>
      </c>
      <c r="I2841" t="s">
        <v>58</v>
      </c>
      <c r="J2841" t="s">
        <v>59</v>
      </c>
      <c r="K2841" t="s">
        <v>33</v>
      </c>
      <c r="L2841">
        <v>1</v>
      </c>
      <c r="M2841">
        <v>1</v>
      </c>
      <c r="N2841">
        <v>1.2</v>
      </c>
      <c r="O2841">
        <v>9.9</v>
      </c>
      <c r="P2841">
        <v>3</v>
      </c>
      <c r="Q2841">
        <v>3</v>
      </c>
      <c r="R2841">
        <v>919826</v>
      </c>
      <c r="S2841">
        <f>Table1[[#This Row],[Revenue]]-Table1[[#This Row],[Operating_Costs]]</f>
        <v>67050</v>
      </c>
      <c r="T2841">
        <v>852776</v>
      </c>
      <c r="U2841">
        <v>32</v>
      </c>
      <c r="V2841">
        <v>65</v>
      </c>
      <c r="W2841">
        <v>13.4</v>
      </c>
    </row>
    <row r="2842" spans="1:23" x14ac:dyDescent="0.25">
      <c r="A2842">
        <v>8</v>
      </c>
      <c r="B2842" t="s">
        <v>52</v>
      </c>
      <c r="C2842" s="1">
        <v>44758</v>
      </c>
      <c r="D2842" t="s">
        <v>71</v>
      </c>
      <c r="E2842">
        <v>0</v>
      </c>
      <c r="F2842">
        <v>24</v>
      </c>
      <c r="G2842" t="str">
        <f t="shared" si="52"/>
        <v>21-40</v>
      </c>
      <c r="H2842" t="s">
        <v>35</v>
      </c>
      <c r="I2842" t="s">
        <v>40</v>
      </c>
      <c r="J2842" t="s">
        <v>41</v>
      </c>
      <c r="K2842" t="s">
        <v>26</v>
      </c>
      <c r="L2842">
        <v>1</v>
      </c>
      <c r="M2842">
        <v>1</v>
      </c>
      <c r="N2842">
        <v>1.5</v>
      </c>
      <c r="O2842">
        <v>8.4</v>
      </c>
      <c r="P2842">
        <v>4</v>
      </c>
      <c r="Q2842">
        <v>4</v>
      </c>
      <c r="R2842">
        <v>933798</v>
      </c>
      <c r="S2842">
        <f>Table1[[#This Row],[Revenue]]-Table1[[#This Row],[Operating_Costs]]</f>
        <v>45757</v>
      </c>
      <c r="T2842">
        <v>888041</v>
      </c>
      <c r="U2842">
        <v>37</v>
      </c>
      <c r="V2842">
        <v>57</v>
      </c>
      <c r="W2842">
        <v>36.799999999999997</v>
      </c>
    </row>
    <row r="2843" spans="1:23" x14ac:dyDescent="0.25">
      <c r="A2843">
        <v>8</v>
      </c>
      <c r="B2843" t="s">
        <v>52</v>
      </c>
      <c r="C2843" s="1">
        <v>44930</v>
      </c>
      <c r="D2843" t="s">
        <v>71</v>
      </c>
      <c r="E2843">
        <v>0</v>
      </c>
      <c r="F2843">
        <v>36</v>
      </c>
      <c r="G2843" t="str">
        <f t="shared" si="52"/>
        <v>21-40</v>
      </c>
      <c r="H2843" t="s">
        <v>35</v>
      </c>
      <c r="I2843" t="s">
        <v>36</v>
      </c>
      <c r="J2843" t="s">
        <v>37</v>
      </c>
      <c r="K2843" t="s">
        <v>38</v>
      </c>
      <c r="L2843">
        <v>1</v>
      </c>
      <c r="M2843">
        <v>1</v>
      </c>
      <c r="N2843">
        <v>2.1</v>
      </c>
      <c r="O2843">
        <v>7.1</v>
      </c>
      <c r="P2843">
        <v>7</v>
      </c>
      <c r="Q2843">
        <v>3</v>
      </c>
      <c r="R2843">
        <v>992747</v>
      </c>
      <c r="S2843">
        <f>Table1[[#This Row],[Revenue]]-Table1[[#This Row],[Operating_Costs]]</f>
        <v>147325</v>
      </c>
      <c r="T2843">
        <v>845422</v>
      </c>
      <c r="U2843">
        <v>40</v>
      </c>
      <c r="V2843">
        <v>58</v>
      </c>
      <c r="W2843">
        <v>5.4</v>
      </c>
    </row>
    <row r="2844" spans="1:23" x14ac:dyDescent="0.25">
      <c r="A2844">
        <v>8</v>
      </c>
      <c r="B2844" t="s">
        <v>52</v>
      </c>
      <c r="C2844" s="1">
        <v>45175</v>
      </c>
      <c r="D2844" t="s">
        <v>71</v>
      </c>
      <c r="E2844">
        <v>0</v>
      </c>
      <c r="F2844">
        <v>78</v>
      </c>
      <c r="G2844" t="str">
        <f t="shared" si="52"/>
        <v>61-80</v>
      </c>
      <c r="H2844" t="s">
        <v>23</v>
      </c>
      <c r="I2844" t="s">
        <v>27</v>
      </c>
      <c r="J2844" t="s">
        <v>28</v>
      </c>
      <c r="K2844" t="s">
        <v>33</v>
      </c>
      <c r="L2844">
        <v>1</v>
      </c>
      <c r="M2844">
        <v>1</v>
      </c>
      <c r="N2844">
        <v>1.3</v>
      </c>
      <c r="O2844">
        <v>7</v>
      </c>
      <c r="P2844">
        <v>7</v>
      </c>
      <c r="Q2844">
        <v>4</v>
      </c>
      <c r="R2844">
        <v>970773</v>
      </c>
      <c r="S2844">
        <f>Table1[[#This Row],[Revenue]]-Table1[[#This Row],[Operating_Costs]]</f>
        <v>134265</v>
      </c>
      <c r="T2844">
        <v>836508</v>
      </c>
      <c r="U2844">
        <v>35</v>
      </c>
      <c r="V2844">
        <v>55</v>
      </c>
      <c r="W2844">
        <v>15</v>
      </c>
    </row>
    <row r="2845" spans="1:23" x14ac:dyDescent="0.25">
      <c r="A2845">
        <v>8</v>
      </c>
      <c r="B2845" t="s">
        <v>52</v>
      </c>
      <c r="C2845" s="1">
        <v>45076</v>
      </c>
      <c r="D2845" t="s">
        <v>71</v>
      </c>
      <c r="E2845">
        <v>0</v>
      </c>
      <c r="F2845">
        <v>38</v>
      </c>
      <c r="G2845" t="str">
        <f t="shared" si="52"/>
        <v>21-40</v>
      </c>
      <c r="H2845" t="s">
        <v>23</v>
      </c>
      <c r="I2845" t="s">
        <v>61</v>
      </c>
      <c r="J2845" t="s">
        <v>62</v>
      </c>
      <c r="K2845" t="s">
        <v>38</v>
      </c>
      <c r="L2845">
        <v>1</v>
      </c>
      <c r="M2845">
        <v>1</v>
      </c>
      <c r="N2845">
        <v>4.2</v>
      </c>
      <c r="O2845">
        <v>9.9</v>
      </c>
      <c r="P2845">
        <v>5</v>
      </c>
      <c r="Q2845">
        <v>7</v>
      </c>
      <c r="R2845">
        <v>980955</v>
      </c>
      <c r="S2845">
        <f>Table1[[#This Row],[Revenue]]-Table1[[#This Row],[Operating_Costs]]</f>
        <v>146604</v>
      </c>
      <c r="T2845">
        <v>834351</v>
      </c>
      <c r="U2845">
        <v>33</v>
      </c>
      <c r="V2845">
        <v>54</v>
      </c>
      <c r="W2845">
        <v>14.5</v>
      </c>
    </row>
    <row r="2846" spans="1:23" x14ac:dyDescent="0.25">
      <c r="A2846">
        <v>8</v>
      </c>
      <c r="B2846" t="s">
        <v>52</v>
      </c>
      <c r="C2846" s="1">
        <v>44850</v>
      </c>
      <c r="D2846" t="s">
        <v>71</v>
      </c>
      <c r="E2846">
        <v>0</v>
      </c>
      <c r="F2846">
        <v>29</v>
      </c>
      <c r="G2846" t="str">
        <f t="shared" si="52"/>
        <v>21-40</v>
      </c>
      <c r="H2846" t="s">
        <v>23</v>
      </c>
      <c r="I2846" t="s">
        <v>24</v>
      </c>
      <c r="J2846" t="s">
        <v>25</v>
      </c>
      <c r="K2846" t="s">
        <v>33</v>
      </c>
      <c r="L2846">
        <v>1</v>
      </c>
      <c r="M2846">
        <v>1</v>
      </c>
      <c r="N2846">
        <v>4.2</v>
      </c>
      <c r="O2846">
        <v>7.6</v>
      </c>
      <c r="P2846">
        <v>3</v>
      </c>
      <c r="Q2846">
        <v>3</v>
      </c>
      <c r="R2846">
        <v>952614</v>
      </c>
      <c r="S2846">
        <f>Table1[[#This Row],[Revenue]]-Table1[[#This Row],[Operating_Costs]]</f>
        <v>145238</v>
      </c>
      <c r="T2846">
        <v>807376</v>
      </c>
      <c r="U2846">
        <v>32</v>
      </c>
      <c r="V2846">
        <v>64</v>
      </c>
      <c r="W2846">
        <v>9.6999999999999993</v>
      </c>
    </row>
    <row r="2847" spans="1:23" x14ac:dyDescent="0.25">
      <c r="A2847">
        <v>8</v>
      </c>
      <c r="B2847" t="s">
        <v>52</v>
      </c>
      <c r="C2847" s="1">
        <v>45461</v>
      </c>
      <c r="D2847" t="s">
        <v>71</v>
      </c>
      <c r="E2847">
        <v>0</v>
      </c>
      <c r="F2847">
        <v>75</v>
      </c>
      <c r="G2847" t="str">
        <f t="shared" si="52"/>
        <v>61-80</v>
      </c>
      <c r="H2847" t="s">
        <v>23</v>
      </c>
      <c r="I2847" t="s">
        <v>24</v>
      </c>
      <c r="J2847" t="s">
        <v>25</v>
      </c>
      <c r="K2847" t="s">
        <v>33</v>
      </c>
      <c r="L2847">
        <v>1</v>
      </c>
      <c r="M2847">
        <v>1</v>
      </c>
      <c r="N2847">
        <v>3.4</v>
      </c>
      <c r="O2847">
        <v>9.1999999999999993</v>
      </c>
      <c r="P2847">
        <v>6</v>
      </c>
      <c r="Q2847">
        <v>6</v>
      </c>
      <c r="R2847">
        <v>923792</v>
      </c>
      <c r="S2847">
        <f>Table1[[#This Row],[Revenue]]-Table1[[#This Row],[Operating_Costs]]</f>
        <v>83406</v>
      </c>
      <c r="T2847">
        <v>840386</v>
      </c>
      <c r="U2847">
        <v>31</v>
      </c>
      <c r="V2847">
        <v>64</v>
      </c>
      <c r="W2847">
        <v>8</v>
      </c>
    </row>
    <row r="2848" spans="1:23" x14ac:dyDescent="0.25">
      <c r="A2848">
        <v>8</v>
      </c>
      <c r="B2848" t="s">
        <v>52</v>
      </c>
      <c r="C2848" s="1">
        <v>44470</v>
      </c>
      <c r="D2848" t="s">
        <v>71</v>
      </c>
      <c r="E2848">
        <v>0</v>
      </c>
      <c r="F2848">
        <v>83</v>
      </c>
      <c r="G2848" t="str">
        <f t="shared" si="52"/>
        <v>81+</v>
      </c>
      <c r="H2848" t="s">
        <v>35</v>
      </c>
      <c r="I2848" t="s">
        <v>61</v>
      </c>
      <c r="J2848" t="s">
        <v>62</v>
      </c>
      <c r="K2848" t="s">
        <v>26</v>
      </c>
      <c r="L2848">
        <v>1</v>
      </c>
      <c r="M2848">
        <v>1</v>
      </c>
      <c r="N2848">
        <v>2.6</v>
      </c>
      <c r="O2848">
        <v>9.6999999999999993</v>
      </c>
      <c r="P2848">
        <v>4</v>
      </c>
      <c r="Q2848">
        <v>6</v>
      </c>
      <c r="R2848">
        <v>953055</v>
      </c>
      <c r="S2848">
        <f>Table1[[#This Row],[Revenue]]-Table1[[#This Row],[Operating_Costs]]</f>
        <v>144959</v>
      </c>
      <c r="T2848">
        <v>808096</v>
      </c>
      <c r="U2848">
        <v>37</v>
      </c>
      <c r="V2848">
        <v>54</v>
      </c>
      <c r="W2848">
        <v>12.3</v>
      </c>
    </row>
    <row r="2849" spans="1:23" x14ac:dyDescent="0.25">
      <c r="A2849">
        <v>8</v>
      </c>
      <c r="B2849" t="s">
        <v>52</v>
      </c>
      <c r="C2849" s="1">
        <v>45254</v>
      </c>
      <c r="D2849" t="s">
        <v>71</v>
      </c>
      <c r="E2849">
        <v>0</v>
      </c>
      <c r="F2849">
        <v>41</v>
      </c>
      <c r="G2849" t="str">
        <f t="shared" si="52"/>
        <v>41-60</v>
      </c>
      <c r="H2849" t="s">
        <v>35</v>
      </c>
      <c r="I2849" t="s">
        <v>46</v>
      </c>
      <c r="J2849" t="s">
        <v>47</v>
      </c>
      <c r="K2849" t="s">
        <v>26</v>
      </c>
      <c r="L2849">
        <v>1</v>
      </c>
      <c r="M2849">
        <v>1</v>
      </c>
      <c r="N2849">
        <v>3.8</v>
      </c>
      <c r="O2849">
        <v>9.1999999999999993</v>
      </c>
      <c r="P2849">
        <v>4</v>
      </c>
      <c r="Q2849">
        <v>5</v>
      </c>
      <c r="R2849">
        <v>953630</v>
      </c>
      <c r="S2849">
        <f>Table1[[#This Row],[Revenue]]-Table1[[#This Row],[Operating_Costs]]</f>
        <v>92404</v>
      </c>
      <c r="T2849">
        <v>861226</v>
      </c>
      <c r="U2849">
        <v>35</v>
      </c>
      <c r="V2849">
        <v>57</v>
      </c>
      <c r="W2849">
        <v>14.5</v>
      </c>
    </row>
    <row r="2850" spans="1:23" x14ac:dyDescent="0.25">
      <c r="A2850">
        <v>8</v>
      </c>
      <c r="B2850" t="s">
        <v>52</v>
      </c>
      <c r="C2850" s="1">
        <v>45299</v>
      </c>
      <c r="D2850" t="s">
        <v>71</v>
      </c>
      <c r="E2850">
        <v>0</v>
      </c>
      <c r="F2850">
        <v>78</v>
      </c>
      <c r="G2850" t="str">
        <f t="shared" si="52"/>
        <v>61-80</v>
      </c>
      <c r="H2850" t="s">
        <v>35</v>
      </c>
      <c r="I2850" t="s">
        <v>55</v>
      </c>
      <c r="J2850" t="s">
        <v>56</v>
      </c>
      <c r="K2850" t="s">
        <v>42</v>
      </c>
      <c r="L2850">
        <v>1</v>
      </c>
      <c r="M2850">
        <v>1</v>
      </c>
      <c r="N2850">
        <v>1.8</v>
      </c>
      <c r="O2850">
        <v>7.2</v>
      </c>
      <c r="P2850">
        <v>7</v>
      </c>
      <c r="Q2850">
        <v>5</v>
      </c>
      <c r="R2850">
        <v>988166</v>
      </c>
      <c r="S2850">
        <f>Table1[[#This Row],[Revenue]]-Table1[[#This Row],[Operating_Costs]]</f>
        <v>146721</v>
      </c>
      <c r="T2850">
        <v>841445</v>
      </c>
      <c r="U2850">
        <v>30</v>
      </c>
      <c r="V2850">
        <v>57</v>
      </c>
      <c r="W2850">
        <v>6.3</v>
      </c>
    </row>
    <row r="2851" spans="1:23" x14ac:dyDescent="0.25">
      <c r="A2851">
        <v>8</v>
      </c>
      <c r="B2851" t="s">
        <v>52</v>
      </c>
      <c r="C2851" s="1">
        <v>45646</v>
      </c>
      <c r="D2851" t="s">
        <v>71</v>
      </c>
      <c r="E2851">
        <v>0</v>
      </c>
      <c r="F2851">
        <v>74</v>
      </c>
      <c r="G2851" t="str">
        <f t="shared" si="52"/>
        <v>61-80</v>
      </c>
      <c r="H2851" t="s">
        <v>35</v>
      </c>
      <c r="I2851" t="s">
        <v>31</v>
      </c>
      <c r="J2851" t="s">
        <v>28</v>
      </c>
      <c r="K2851" t="s">
        <v>33</v>
      </c>
      <c r="L2851">
        <v>1</v>
      </c>
      <c r="M2851">
        <v>1</v>
      </c>
      <c r="N2851">
        <v>1.3</v>
      </c>
      <c r="O2851">
        <v>9.1</v>
      </c>
      <c r="P2851">
        <v>6</v>
      </c>
      <c r="Q2851">
        <v>7</v>
      </c>
      <c r="R2851">
        <v>945335</v>
      </c>
      <c r="S2851">
        <f>Table1[[#This Row],[Revenue]]-Table1[[#This Row],[Operating_Costs]]</f>
        <v>46344</v>
      </c>
      <c r="T2851">
        <v>898991</v>
      </c>
      <c r="U2851">
        <v>33</v>
      </c>
      <c r="V2851">
        <v>62</v>
      </c>
      <c r="W2851">
        <v>9.4</v>
      </c>
    </row>
    <row r="2852" spans="1:23" x14ac:dyDescent="0.25">
      <c r="A2852">
        <v>8</v>
      </c>
      <c r="B2852" t="s">
        <v>52</v>
      </c>
      <c r="C2852" s="1">
        <v>45417</v>
      </c>
      <c r="D2852" t="s">
        <v>71</v>
      </c>
      <c r="E2852">
        <v>0</v>
      </c>
      <c r="F2852">
        <v>88</v>
      </c>
      <c r="G2852" t="str">
        <f t="shared" si="52"/>
        <v>81+</v>
      </c>
      <c r="H2852" t="s">
        <v>35</v>
      </c>
      <c r="I2852" t="s">
        <v>36</v>
      </c>
      <c r="J2852" t="s">
        <v>37</v>
      </c>
      <c r="K2852" t="s">
        <v>38</v>
      </c>
      <c r="L2852">
        <v>1</v>
      </c>
      <c r="M2852">
        <v>1</v>
      </c>
      <c r="N2852">
        <v>6.1</v>
      </c>
      <c r="O2852">
        <v>9.8000000000000007</v>
      </c>
      <c r="P2852">
        <v>3</v>
      </c>
      <c r="Q2852">
        <v>6</v>
      </c>
      <c r="R2852">
        <v>976429</v>
      </c>
      <c r="S2852">
        <f>Table1[[#This Row],[Revenue]]-Table1[[#This Row],[Operating_Costs]]</f>
        <v>130211</v>
      </c>
      <c r="T2852">
        <v>846218</v>
      </c>
      <c r="U2852">
        <v>35</v>
      </c>
      <c r="V2852">
        <v>58</v>
      </c>
      <c r="W2852">
        <v>14.4</v>
      </c>
    </row>
    <row r="2853" spans="1:23" x14ac:dyDescent="0.25">
      <c r="A2853">
        <v>8</v>
      </c>
      <c r="B2853" t="s">
        <v>52</v>
      </c>
      <c r="C2853" s="1">
        <v>44678</v>
      </c>
      <c r="D2853" t="s">
        <v>71</v>
      </c>
      <c r="E2853">
        <v>0</v>
      </c>
      <c r="F2853">
        <v>43</v>
      </c>
      <c r="G2853" t="str">
        <f t="shared" si="52"/>
        <v>41-60</v>
      </c>
      <c r="H2853" t="s">
        <v>23</v>
      </c>
      <c r="I2853" t="s">
        <v>55</v>
      </c>
      <c r="J2853" t="s">
        <v>56</v>
      </c>
      <c r="K2853" t="s">
        <v>42</v>
      </c>
      <c r="L2853">
        <v>1</v>
      </c>
      <c r="M2853">
        <v>1</v>
      </c>
      <c r="N2853">
        <v>6.7</v>
      </c>
      <c r="O2853">
        <v>9.5</v>
      </c>
      <c r="P2853">
        <v>7</v>
      </c>
      <c r="Q2853">
        <v>6</v>
      </c>
      <c r="R2853">
        <v>995694</v>
      </c>
      <c r="S2853">
        <f>Table1[[#This Row],[Revenue]]-Table1[[#This Row],[Operating_Costs]]</f>
        <v>124650</v>
      </c>
      <c r="T2853">
        <v>871044</v>
      </c>
      <c r="U2853">
        <v>39</v>
      </c>
      <c r="V2853">
        <v>54</v>
      </c>
      <c r="W2853">
        <v>36.6</v>
      </c>
    </row>
    <row r="2854" spans="1:23" x14ac:dyDescent="0.25">
      <c r="A2854">
        <v>8</v>
      </c>
      <c r="B2854" t="s">
        <v>52</v>
      </c>
      <c r="C2854" s="1">
        <v>44242</v>
      </c>
      <c r="D2854" t="s">
        <v>71</v>
      </c>
      <c r="E2854">
        <v>0</v>
      </c>
      <c r="F2854">
        <v>43</v>
      </c>
      <c r="G2854" t="str">
        <f t="shared" si="52"/>
        <v>41-60</v>
      </c>
      <c r="H2854" t="s">
        <v>23</v>
      </c>
      <c r="I2854" t="s">
        <v>43</v>
      </c>
      <c r="J2854" t="s">
        <v>25</v>
      </c>
      <c r="K2854" t="s">
        <v>26</v>
      </c>
      <c r="L2854">
        <v>1</v>
      </c>
      <c r="M2854">
        <v>1</v>
      </c>
      <c r="N2854">
        <v>2.5</v>
      </c>
      <c r="O2854">
        <v>8</v>
      </c>
      <c r="P2854">
        <v>7</v>
      </c>
      <c r="Q2854">
        <v>5</v>
      </c>
      <c r="R2854">
        <v>996959</v>
      </c>
      <c r="S2854">
        <f>Table1[[#This Row],[Revenue]]-Table1[[#This Row],[Operating_Costs]]</f>
        <v>105259</v>
      </c>
      <c r="T2854">
        <v>891700</v>
      </c>
      <c r="U2854">
        <v>39</v>
      </c>
      <c r="V2854">
        <v>65</v>
      </c>
      <c r="W2854">
        <v>5.3</v>
      </c>
    </row>
    <row r="2855" spans="1:23" x14ac:dyDescent="0.25">
      <c r="A2855">
        <v>8</v>
      </c>
      <c r="B2855" t="s">
        <v>52</v>
      </c>
      <c r="C2855" s="1">
        <v>45583</v>
      </c>
      <c r="D2855" t="s">
        <v>71</v>
      </c>
      <c r="E2855">
        <v>0</v>
      </c>
      <c r="F2855">
        <v>56</v>
      </c>
      <c r="G2855" t="str">
        <f t="shared" si="52"/>
        <v>41-60</v>
      </c>
      <c r="H2855" t="s">
        <v>35</v>
      </c>
      <c r="I2855" t="s">
        <v>46</v>
      </c>
      <c r="J2855" t="s">
        <v>47</v>
      </c>
      <c r="K2855" t="s">
        <v>38</v>
      </c>
      <c r="L2855">
        <v>1</v>
      </c>
      <c r="M2855">
        <v>1</v>
      </c>
      <c r="N2855">
        <v>1.5</v>
      </c>
      <c r="O2855">
        <v>7.1</v>
      </c>
      <c r="P2855">
        <v>7</v>
      </c>
      <c r="Q2855">
        <v>5</v>
      </c>
      <c r="R2855">
        <v>959706</v>
      </c>
      <c r="S2855">
        <f>Table1[[#This Row],[Revenue]]-Table1[[#This Row],[Operating_Costs]]</f>
        <v>154869</v>
      </c>
      <c r="T2855">
        <v>804837</v>
      </c>
      <c r="U2855">
        <v>33</v>
      </c>
      <c r="V2855">
        <v>59</v>
      </c>
      <c r="W2855">
        <v>9.9</v>
      </c>
    </row>
    <row r="2856" spans="1:23" x14ac:dyDescent="0.25">
      <c r="A2856">
        <v>8</v>
      </c>
      <c r="B2856" t="s">
        <v>52</v>
      </c>
      <c r="C2856" s="1">
        <v>44708</v>
      </c>
      <c r="D2856" t="s">
        <v>71</v>
      </c>
      <c r="E2856">
        <v>0</v>
      </c>
      <c r="F2856">
        <v>71</v>
      </c>
      <c r="G2856" t="str">
        <f t="shared" si="52"/>
        <v>61-80</v>
      </c>
      <c r="H2856" t="s">
        <v>35</v>
      </c>
      <c r="I2856" t="s">
        <v>46</v>
      </c>
      <c r="J2856" t="s">
        <v>47</v>
      </c>
      <c r="K2856" t="s">
        <v>38</v>
      </c>
      <c r="L2856">
        <v>1</v>
      </c>
      <c r="M2856">
        <v>1</v>
      </c>
      <c r="N2856">
        <v>2.5</v>
      </c>
      <c r="O2856">
        <v>7.5</v>
      </c>
      <c r="P2856">
        <v>3</v>
      </c>
      <c r="Q2856">
        <v>5</v>
      </c>
      <c r="R2856">
        <v>936868</v>
      </c>
      <c r="S2856">
        <f>Table1[[#This Row],[Revenue]]-Table1[[#This Row],[Operating_Costs]]</f>
        <v>117865</v>
      </c>
      <c r="T2856">
        <v>819003</v>
      </c>
      <c r="U2856">
        <v>31</v>
      </c>
      <c r="V2856">
        <v>61</v>
      </c>
      <c r="W2856">
        <v>8.6999999999999993</v>
      </c>
    </row>
    <row r="2857" spans="1:23" x14ac:dyDescent="0.25">
      <c r="A2857">
        <v>8</v>
      </c>
      <c r="B2857" t="s">
        <v>52</v>
      </c>
      <c r="C2857" s="1">
        <v>45090</v>
      </c>
      <c r="D2857" t="s">
        <v>71</v>
      </c>
      <c r="E2857">
        <v>0</v>
      </c>
      <c r="F2857">
        <v>40</v>
      </c>
      <c r="G2857" t="str">
        <f t="shared" si="52"/>
        <v>21-40</v>
      </c>
      <c r="H2857" t="s">
        <v>35</v>
      </c>
      <c r="I2857" t="s">
        <v>46</v>
      </c>
      <c r="J2857" t="s">
        <v>47</v>
      </c>
      <c r="K2857" t="s">
        <v>33</v>
      </c>
      <c r="L2857">
        <v>1</v>
      </c>
      <c r="M2857">
        <v>1</v>
      </c>
      <c r="N2857">
        <v>5.8</v>
      </c>
      <c r="O2857">
        <v>7.3</v>
      </c>
      <c r="P2857">
        <v>5</v>
      </c>
      <c r="Q2857">
        <v>4</v>
      </c>
      <c r="R2857">
        <v>915213</v>
      </c>
      <c r="S2857">
        <f>Table1[[#This Row],[Revenue]]-Table1[[#This Row],[Operating_Costs]]</f>
        <v>28312</v>
      </c>
      <c r="T2857">
        <v>886901</v>
      </c>
      <c r="U2857">
        <v>37</v>
      </c>
      <c r="V2857">
        <v>59</v>
      </c>
      <c r="W2857">
        <v>5.0999999999999996</v>
      </c>
    </row>
    <row r="2858" spans="1:23" x14ac:dyDescent="0.25">
      <c r="A2858">
        <v>8</v>
      </c>
      <c r="B2858" t="s">
        <v>52</v>
      </c>
      <c r="C2858" s="1">
        <v>44506</v>
      </c>
      <c r="D2858" t="s">
        <v>71</v>
      </c>
      <c r="E2858">
        <v>0</v>
      </c>
      <c r="F2858">
        <v>58</v>
      </c>
      <c r="G2858" t="str">
        <f t="shared" si="52"/>
        <v>41-60</v>
      </c>
      <c r="H2858" t="s">
        <v>35</v>
      </c>
      <c r="I2858" t="s">
        <v>40</v>
      </c>
      <c r="J2858" t="s">
        <v>41</v>
      </c>
      <c r="K2858" t="s">
        <v>33</v>
      </c>
      <c r="L2858">
        <v>1</v>
      </c>
      <c r="M2858">
        <v>1</v>
      </c>
      <c r="N2858">
        <v>3.9</v>
      </c>
      <c r="O2858">
        <v>7.5</v>
      </c>
      <c r="P2858">
        <v>6</v>
      </c>
      <c r="Q2858">
        <v>7</v>
      </c>
      <c r="R2858">
        <v>920998</v>
      </c>
      <c r="S2858">
        <f>Table1[[#This Row],[Revenue]]-Table1[[#This Row],[Operating_Costs]]</f>
        <v>84673</v>
      </c>
      <c r="T2858">
        <v>836325</v>
      </c>
      <c r="U2858">
        <v>34</v>
      </c>
      <c r="V2858">
        <v>57</v>
      </c>
      <c r="W2858">
        <v>7.5</v>
      </c>
    </row>
    <row r="2859" spans="1:23" x14ac:dyDescent="0.25">
      <c r="A2859">
        <v>8</v>
      </c>
      <c r="B2859" t="s">
        <v>52</v>
      </c>
      <c r="C2859" s="1">
        <v>45181</v>
      </c>
      <c r="D2859" t="s">
        <v>71</v>
      </c>
      <c r="E2859">
        <v>0</v>
      </c>
      <c r="F2859">
        <v>37</v>
      </c>
      <c r="G2859" t="str">
        <f t="shared" si="52"/>
        <v>21-40</v>
      </c>
      <c r="H2859" t="s">
        <v>23</v>
      </c>
      <c r="I2859" t="s">
        <v>24</v>
      </c>
      <c r="J2859" t="s">
        <v>25</v>
      </c>
      <c r="K2859" t="s">
        <v>38</v>
      </c>
      <c r="L2859">
        <v>1</v>
      </c>
      <c r="M2859">
        <v>1</v>
      </c>
      <c r="N2859">
        <v>5.3</v>
      </c>
      <c r="O2859">
        <v>8.3000000000000007</v>
      </c>
      <c r="P2859">
        <v>4</v>
      </c>
      <c r="Q2859">
        <v>5</v>
      </c>
      <c r="R2859">
        <v>998148</v>
      </c>
      <c r="S2859">
        <f>Table1[[#This Row],[Revenue]]-Table1[[#This Row],[Operating_Costs]]</f>
        <v>128175</v>
      </c>
      <c r="T2859">
        <v>869973</v>
      </c>
      <c r="U2859">
        <v>38</v>
      </c>
      <c r="V2859">
        <v>65</v>
      </c>
      <c r="W2859">
        <v>6</v>
      </c>
    </row>
    <row r="2860" spans="1:23" x14ac:dyDescent="0.25">
      <c r="A2860">
        <v>8</v>
      </c>
      <c r="B2860" t="s">
        <v>52</v>
      </c>
      <c r="C2860" s="1">
        <v>44474</v>
      </c>
      <c r="D2860" t="s">
        <v>71</v>
      </c>
      <c r="E2860">
        <v>0</v>
      </c>
      <c r="F2860">
        <v>74</v>
      </c>
      <c r="G2860" t="str">
        <f t="shared" si="52"/>
        <v>61-80</v>
      </c>
      <c r="H2860" t="s">
        <v>35</v>
      </c>
      <c r="I2860" t="s">
        <v>40</v>
      </c>
      <c r="J2860" t="s">
        <v>41</v>
      </c>
      <c r="K2860" t="s">
        <v>38</v>
      </c>
      <c r="L2860">
        <v>1</v>
      </c>
      <c r="M2860">
        <v>1</v>
      </c>
      <c r="N2860">
        <v>1.9</v>
      </c>
      <c r="O2860">
        <v>8.3000000000000007</v>
      </c>
      <c r="P2860">
        <v>4</v>
      </c>
      <c r="Q2860">
        <v>5</v>
      </c>
      <c r="R2860">
        <v>987151</v>
      </c>
      <c r="S2860">
        <f>Table1[[#This Row],[Revenue]]-Table1[[#This Row],[Operating_Costs]]</f>
        <v>146070</v>
      </c>
      <c r="T2860">
        <v>841081</v>
      </c>
      <c r="U2860">
        <v>38</v>
      </c>
      <c r="V2860">
        <v>65</v>
      </c>
      <c r="W2860">
        <v>12.1</v>
      </c>
    </row>
    <row r="2861" spans="1:23" x14ac:dyDescent="0.25">
      <c r="A2861">
        <v>8</v>
      </c>
      <c r="B2861" t="s">
        <v>52</v>
      </c>
      <c r="C2861" s="1">
        <v>44573</v>
      </c>
      <c r="D2861" t="s">
        <v>71</v>
      </c>
      <c r="E2861">
        <v>0</v>
      </c>
      <c r="F2861">
        <v>34</v>
      </c>
      <c r="G2861" t="str">
        <f t="shared" si="52"/>
        <v>21-40</v>
      </c>
      <c r="H2861" t="s">
        <v>35</v>
      </c>
      <c r="I2861" t="s">
        <v>36</v>
      </c>
      <c r="J2861" t="s">
        <v>37</v>
      </c>
      <c r="K2861" t="s">
        <v>38</v>
      </c>
      <c r="L2861">
        <v>1</v>
      </c>
      <c r="M2861">
        <v>1</v>
      </c>
      <c r="N2861">
        <v>2.9</v>
      </c>
      <c r="O2861">
        <v>8.3000000000000007</v>
      </c>
      <c r="P2861">
        <v>3</v>
      </c>
      <c r="Q2861">
        <v>4</v>
      </c>
      <c r="R2861">
        <v>992627</v>
      </c>
      <c r="S2861">
        <f>Table1[[#This Row],[Revenue]]-Table1[[#This Row],[Operating_Costs]]</f>
        <v>156931</v>
      </c>
      <c r="T2861">
        <v>835696</v>
      </c>
      <c r="U2861">
        <v>30</v>
      </c>
      <c r="V2861">
        <v>65</v>
      </c>
      <c r="W2861">
        <v>6.3</v>
      </c>
    </row>
    <row r="2862" spans="1:23" x14ac:dyDescent="0.25">
      <c r="A2862">
        <v>8</v>
      </c>
      <c r="B2862" t="s">
        <v>52</v>
      </c>
      <c r="C2862" s="1">
        <v>45609</v>
      </c>
      <c r="D2862" t="s">
        <v>71</v>
      </c>
      <c r="E2862">
        <v>0</v>
      </c>
      <c r="F2862">
        <v>62</v>
      </c>
      <c r="G2862" t="str">
        <f t="shared" si="52"/>
        <v>61-80</v>
      </c>
      <c r="H2862" t="s">
        <v>23</v>
      </c>
      <c r="I2862" t="s">
        <v>61</v>
      </c>
      <c r="J2862" t="s">
        <v>62</v>
      </c>
      <c r="K2862" t="s">
        <v>26</v>
      </c>
      <c r="L2862">
        <v>1</v>
      </c>
      <c r="M2862">
        <v>1</v>
      </c>
      <c r="N2862">
        <v>3.3</v>
      </c>
      <c r="O2862">
        <v>7.7</v>
      </c>
      <c r="P2862">
        <v>3</v>
      </c>
      <c r="Q2862">
        <v>7</v>
      </c>
      <c r="R2862">
        <v>937780</v>
      </c>
      <c r="S2862">
        <f>Table1[[#This Row],[Revenue]]-Table1[[#This Row],[Operating_Costs]]</f>
        <v>78646</v>
      </c>
      <c r="T2862">
        <v>859134</v>
      </c>
      <c r="U2862">
        <v>30</v>
      </c>
      <c r="V2862">
        <v>63</v>
      </c>
      <c r="W2862">
        <v>14</v>
      </c>
    </row>
    <row r="2863" spans="1:23" x14ac:dyDescent="0.25">
      <c r="A2863">
        <v>8</v>
      </c>
      <c r="B2863" t="s">
        <v>52</v>
      </c>
      <c r="C2863" s="1">
        <v>45651</v>
      </c>
      <c r="D2863" t="s">
        <v>71</v>
      </c>
      <c r="E2863">
        <v>0</v>
      </c>
      <c r="F2863">
        <v>26</v>
      </c>
      <c r="G2863" t="str">
        <f t="shared" si="52"/>
        <v>21-40</v>
      </c>
      <c r="H2863" t="s">
        <v>35</v>
      </c>
      <c r="I2863" t="s">
        <v>40</v>
      </c>
      <c r="J2863" t="s">
        <v>41</v>
      </c>
      <c r="K2863" t="s">
        <v>33</v>
      </c>
      <c r="L2863">
        <v>1</v>
      </c>
      <c r="M2863">
        <v>1</v>
      </c>
      <c r="N2863">
        <v>6.4</v>
      </c>
      <c r="O2863">
        <v>9.1999999999999993</v>
      </c>
      <c r="P2863">
        <v>6</v>
      </c>
      <c r="Q2863">
        <v>6</v>
      </c>
      <c r="R2863">
        <v>958274</v>
      </c>
      <c r="S2863">
        <f>Table1[[#This Row],[Revenue]]-Table1[[#This Row],[Operating_Costs]]</f>
        <v>94168</v>
      </c>
      <c r="T2863">
        <v>864106</v>
      </c>
      <c r="U2863">
        <v>30</v>
      </c>
      <c r="V2863">
        <v>64</v>
      </c>
      <c r="W2863">
        <v>14.6</v>
      </c>
    </row>
    <row r="2864" spans="1:23" x14ac:dyDescent="0.25">
      <c r="A2864">
        <v>8</v>
      </c>
      <c r="B2864" t="s">
        <v>52</v>
      </c>
      <c r="C2864" s="1">
        <v>45196</v>
      </c>
      <c r="D2864" t="s">
        <v>71</v>
      </c>
      <c r="E2864">
        <v>0</v>
      </c>
      <c r="F2864">
        <v>26</v>
      </c>
      <c r="G2864" t="str">
        <f t="shared" si="52"/>
        <v>21-40</v>
      </c>
      <c r="H2864" t="s">
        <v>35</v>
      </c>
      <c r="I2864" t="s">
        <v>36</v>
      </c>
      <c r="J2864" t="s">
        <v>37</v>
      </c>
      <c r="K2864" t="s">
        <v>38</v>
      </c>
      <c r="L2864">
        <v>1</v>
      </c>
      <c r="M2864">
        <v>1</v>
      </c>
      <c r="N2864">
        <v>6.5</v>
      </c>
      <c r="O2864">
        <v>7.9</v>
      </c>
      <c r="P2864">
        <v>6</v>
      </c>
      <c r="Q2864">
        <v>4</v>
      </c>
      <c r="R2864">
        <v>982659</v>
      </c>
      <c r="S2864">
        <f>Table1[[#This Row],[Revenue]]-Table1[[#This Row],[Operating_Costs]]</f>
        <v>89497</v>
      </c>
      <c r="T2864">
        <v>893162</v>
      </c>
      <c r="U2864">
        <v>35</v>
      </c>
      <c r="V2864">
        <v>62</v>
      </c>
      <c r="W2864">
        <v>8.3000000000000007</v>
      </c>
    </row>
    <row r="2865" spans="1:23" x14ac:dyDescent="0.25">
      <c r="A2865">
        <v>8</v>
      </c>
      <c r="B2865" t="s">
        <v>52</v>
      </c>
      <c r="C2865" s="1">
        <v>44726</v>
      </c>
      <c r="D2865" t="s">
        <v>71</v>
      </c>
      <c r="E2865">
        <v>0</v>
      </c>
      <c r="F2865">
        <v>42</v>
      </c>
      <c r="G2865" t="str">
        <f t="shared" si="52"/>
        <v>41-60</v>
      </c>
      <c r="H2865" t="s">
        <v>35</v>
      </c>
      <c r="I2865" t="s">
        <v>36</v>
      </c>
      <c r="J2865" t="s">
        <v>37</v>
      </c>
      <c r="K2865" t="s">
        <v>33</v>
      </c>
      <c r="L2865">
        <v>1</v>
      </c>
      <c r="M2865">
        <v>1</v>
      </c>
      <c r="N2865">
        <v>2.4</v>
      </c>
      <c r="O2865">
        <v>8.4</v>
      </c>
      <c r="P2865">
        <v>6</v>
      </c>
      <c r="Q2865">
        <v>7</v>
      </c>
      <c r="R2865">
        <v>998968</v>
      </c>
      <c r="S2865">
        <f>Table1[[#This Row],[Revenue]]-Table1[[#This Row],[Operating_Costs]]</f>
        <v>182650</v>
      </c>
      <c r="T2865">
        <v>816318</v>
      </c>
      <c r="U2865">
        <v>37</v>
      </c>
      <c r="V2865">
        <v>56</v>
      </c>
      <c r="W2865">
        <v>13.4</v>
      </c>
    </row>
    <row r="2866" spans="1:23" x14ac:dyDescent="0.25">
      <c r="A2866">
        <v>8</v>
      </c>
      <c r="B2866" t="s">
        <v>52</v>
      </c>
      <c r="C2866" s="1">
        <v>45199</v>
      </c>
      <c r="D2866" t="s">
        <v>71</v>
      </c>
      <c r="E2866">
        <v>0</v>
      </c>
      <c r="F2866">
        <v>47</v>
      </c>
      <c r="G2866" t="str">
        <f t="shared" si="52"/>
        <v>41-60</v>
      </c>
      <c r="H2866" t="s">
        <v>23</v>
      </c>
      <c r="I2866" t="s">
        <v>58</v>
      </c>
      <c r="J2866" t="s">
        <v>59</v>
      </c>
      <c r="K2866" t="s">
        <v>38</v>
      </c>
      <c r="L2866">
        <v>1</v>
      </c>
      <c r="M2866">
        <v>1</v>
      </c>
      <c r="N2866">
        <v>4.2</v>
      </c>
      <c r="O2866">
        <v>7.7</v>
      </c>
      <c r="P2866">
        <v>5</v>
      </c>
      <c r="Q2866">
        <v>3</v>
      </c>
      <c r="R2866">
        <v>918087</v>
      </c>
      <c r="S2866">
        <f>Table1[[#This Row],[Revenue]]-Table1[[#This Row],[Operating_Costs]]</f>
        <v>89106</v>
      </c>
      <c r="T2866">
        <v>828981</v>
      </c>
      <c r="U2866">
        <v>36</v>
      </c>
      <c r="V2866">
        <v>58</v>
      </c>
      <c r="W2866">
        <v>7.4</v>
      </c>
    </row>
    <row r="2867" spans="1:23" x14ac:dyDescent="0.25">
      <c r="A2867">
        <v>8</v>
      </c>
      <c r="B2867" t="s">
        <v>52</v>
      </c>
      <c r="C2867" s="1">
        <v>45034</v>
      </c>
      <c r="D2867" t="s">
        <v>71</v>
      </c>
      <c r="E2867">
        <v>0</v>
      </c>
      <c r="F2867">
        <v>43</v>
      </c>
      <c r="G2867" t="str">
        <f t="shared" si="52"/>
        <v>41-60</v>
      </c>
      <c r="H2867" t="s">
        <v>35</v>
      </c>
      <c r="I2867" t="s">
        <v>60</v>
      </c>
      <c r="J2867" t="s">
        <v>59</v>
      </c>
      <c r="K2867" t="s">
        <v>26</v>
      </c>
      <c r="L2867">
        <v>1</v>
      </c>
      <c r="M2867">
        <v>1</v>
      </c>
      <c r="N2867">
        <v>5.0999999999999996</v>
      </c>
      <c r="O2867">
        <v>7.7</v>
      </c>
      <c r="P2867">
        <v>4</v>
      </c>
      <c r="Q2867">
        <v>4</v>
      </c>
      <c r="R2867">
        <v>995680</v>
      </c>
      <c r="S2867">
        <f>Table1[[#This Row],[Revenue]]-Table1[[#This Row],[Operating_Costs]]</f>
        <v>190648</v>
      </c>
      <c r="T2867">
        <v>805032</v>
      </c>
      <c r="U2867">
        <v>34</v>
      </c>
      <c r="V2867">
        <v>64</v>
      </c>
      <c r="W2867">
        <v>13.7</v>
      </c>
    </row>
    <row r="2868" spans="1:23" x14ac:dyDescent="0.25">
      <c r="A2868">
        <v>8</v>
      </c>
      <c r="B2868" t="s">
        <v>52</v>
      </c>
      <c r="C2868" s="1">
        <v>44730</v>
      </c>
      <c r="D2868" t="s">
        <v>71</v>
      </c>
      <c r="E2868">
        <v>0</v>
      </c>
      <c r="F2868">
        <v>64</v>
      </c>
      <c r="G2868" t="str">
        <f t="shared" si="52"/>
        <v>61-80</v>
      </c>
      <c r="H2868" t="s">
        <v>23</v>
      </c>
      <c r="I2868" t="s">
        <v>43</v>
      </c>
      <c r="J2868" t="s">
        <v>25</v>
      </c>
      <c r="K2868" t="s">
        <v>33</v>
      </c>
      <c r="L2868">
        <v>1</v>
      </c>
      <c r="M2868">
        <v>1</v>
      </c>
      <c r="N2868">
        <v>4.2</v>
      </c>
      <c r="O2868">
        <v>8.9</v>
      </c>
      <c r="P2868">
        <v>3</v>
      </c>
      <c r="Q2868">
        <v>6</v>
      </c>
      <c r="R2868">
        <v>914665</v>
      </c>
      <c r="S2868">
        <f>Table1[[#This Row],[Revenue]]-Table1[[#This Row],[Operating_Costs]]</f>
        <v>57191</v>
      </c>
      <c r="T2868">
        <v>857474</v>
      </c>
      <c r="U2868">
        <v>39</v>
      </c>
      <c r="V2868">
        <v>64</v>
      </c>
      <c r="W2868">
        <v>14.4</v>
      </c>
    </row>
    <row r="2869" spans="1:23" x14ac:dyDescent="0.25">
      <c r="A2869">
        <v>8</v>
      </c>
      <c r="B2869" t="s">
        <v>52</v>
      </c>
      <c r="C2869" s="1">
        <v>44394</v>
      </c>
      <c r="D2869" t="s">
        <v>71</v>
      </c>
      <c r="E2869">
        <v>0</v>
      </c>
      <c r="F2869">
        <v>39</v>
      </c>
      <c r="G2869" t="str">
        <f t="shared" si="52"/>
        <v>21-40</v>
      </c>
      <c r="H2869" t="s">
        <v>23</v>
      </c>
      <c r="I2869" t="s">
        <v>24</v>
      </c>
      <c r="J2869" t="s">
        <v>25</v>
      </c>
      <c r="K2869" t="s">
        <v>26</v>
      </c>
      <c r="L2869">
        <v>1</v>
      </c>
      <c r="M2869">
        <v>1</v>
      </c>
      <c r="N2869">
        <v>6.7</v>
      </c>
      <c r="O2869">
        <v>8.4</v>
      </c>
      <c r="P2869">
        <v>5</v>
      </c>
      <c r="Q2869">
        <v>3</v>
      </c>
      <c r="R2869">
        <v>939426</v>
      </c>
      <c r="S2869">
        <f>Table1[[#This Row],[Revenue]]-Table1[[#This Row],[Operating_Costs]]</f>
        <v>41546</v>
      </c>
      <c r="T2869">
        <v>897880</v>
      </c>
      <c r="U2869">
        <v>35</v>
      </c>
      <c r="V2869">
        <v>63</v>
      </c>
      <c r="W2869">
        <v>10.5</v>
      </c>
    </row>
    <row r="2870" spans="1:23" x14ac:dyDescent="0.25">
      <c r="A2870">
        <v>8</v>
      </c>
      <c r="B2870" t="s">
        <v>52</v>
      </c>
      <c r="C2870" s="1">
        <v>45557</v>
      </c>
      <c r="D2870" t="s">
        <v>71</v>
      </c>
      <c r="E2870">
        <v>0</v>
      </c>
      <c r="F2870">
        <v>63</v>
      </c>
      <c r="G2870" t="str">
        <f t="shared" si="52"/>
        <v>61-80</v>
      </c>
      <c r="H2870" t="s">
        <v>23</v>
      </c>
      <c r="I2870" t="s">
        <v>50</v>
      </c>
      <c r="J2870" t="s">
        <v>51</v>
      </c>
      <c r="K2870" t="s">
        <v>33</v>
      </c>
      <c r="L2870">
        <v>1</v>
      </c>
      <c r="M2870">
        <v>1</v>
      </c>
      <c r="N2870">
        <v>1.7</v>
      </c>
      <c r="O2870">
        <v>9.9</v>
      </c>
      <c r="P2870">
        <v>5</v>
      </c>
      <c r="Q2870">
        <v>7</v>
      </c>
      <c r="R2870">
        <v>961617</v>
      </c>
      <c r="S2870">
        <f>Table1[[#This Row],[Revenue]]-Table1[[#This Row],[Operating_Costs]]</f>
        <v>72727</v>
      </c>
      <c r="T2870">
        <v>888890</v>
      </c>
      <c r="U2870">
        <v>39</v>
      </c>
      <c r="V2870">
        <v>63</v>
      </c>
      <c r="W2870">
        <v>9.5</v>
      </c>
    </row>
    <row r="2871" spans="1:23" x14ac:dyDescent="0.25">
      <c r="A2871">
        <v>8</v>
      </c>
      <c r="B2871" t="s">
        <v>52</v>
      </c>
      <c r="C2871" s="1">
        <v>44289</v>
      </c>
      <c r="D2871" t="s">
        <v>71</v>
      </c>
      <c r="E2871">
        <v>0</v>
      </c>
      <c r="F2871">
        <v>33</v>
      </c>
      <c r="G2871" t="str">
        <f t="shared" si="52"/>
        <v>21-40</v>
      </c>
      <c r="H2871" t="s">
        <v>23</v>
      </c>
      <c r="I2871" t="s">
        <v>67</v>
      </c>
      <c r="J2871" t="s">
        <v>68</v>
      </c>
      <c r="K2871" t="s">
        <v>29</v>
      </c>
      <c r="L2871">
        <v>1</v>
      </c>
      <c r="M2871">
        <v>1</v>
      </c>
      <c r="N2871">
        <v>5</v>
      </c>
      <c r="O2871">
        <v>7.5</v>
      </c>
      <c r="P2871">
        <v>5</v>
      </c>
      <c r="Q2871">
        <v>6</v>
      </c>
      <c r="R2871">
        <v>999094</v>
      </c>
      <c r="S2871">
        <f>Table1[[#This Row],[Revenue]]-Table1[[#This Row],[Operating_Costs]]</f>
        <v>176334</v>
      </c>
      <c r="T2871">
        <v>822760</v>
      </c>
      <c r="U2871">
        <v>36</v>
      </c>
      <c r="V2871">
        <v>61</v>
      </c>
      <c r="W2871">
        <v>9.4</v>
      </c>
    </row>
    <row r="2872" spans="1:23" x14ac:dyDescent="0.25">
      <c r="A2872">
        <v>9</v>
      </c>
      <c r="B2872" t="s">
        <v>44</v>
      </c>
      <c r="C2872" s="1">
        <v>45004</v>
      </c>
      <c r="D2872" t="s">
        <v>71</v>
      </c>
      <c r="E2872">
        <v>0</v>
      </c>
      <c r="F2872">
        <v>78</v>
      </c>
      <c r="G2872" t="str">
        <f t="shared" si="52"/>
        <v>61-80</v>
      </c>
      <c r="H2872" t="s">
        <v>23</v>
      </c>
      <c r="I2872" t="s">
        <v>61</v>
      </c>
      <c r="J2872" t="s">
        <v>62</v>
      </c>
      <c r="K2872" t="s">
        <v>29</v>
      </c>
      <c r="L2872">
        <v>1</v>
      </c>
      <c r="M2872">
        <v>1</v>
      </c>
      <c r="N2872">
        <v>3.9</v>
      </c>
      <c r="O2872">
        <v>8.1999999999999993</v>
      </c>
      <c r="P2872">
        <v>3</v>
      </c>
      <c r="Q2872">
        <v>6</v>
      </c>
      <c r="R2872">
        <v>546659</v>
      </c>
      <c r="S2872">
        <f>Table1[[#This Row],[Revenue]]-Table1[[#This Row],[Operating_Costs]]</f>
        <v>79003</v>
      </c>
      <c r="T2872">
        <v>467656</v>
      </c>
      <c r="U2872">
        <v>37</v>
      </c>
      <c r="V2872">
        <v>60</v>
      </c>
      <c r="W2872">
        <v>12.7</v>
      </c>
    </row>
    <row r="2873" spans="1:23" x14ac:dyDescent="0.25">
      <c r="A2873">
        <v>9</v>
      </c>
      <c r="B2873" t="s">
        <v>44</v>
      </c>
      <c r="C2873" s="1">
        <v>44912</v>
      </c>
      <c r="D2873" t="s">
        <v>71</v>
      </c>
      <c r="E2873">
        <v>0</v>
      </c>
      <c r="F2873">
        <v>30</v>
      </c>
      <c r="G2873" t="str">
        <f t="shared" si="52"/>
        <v>21-40</v>
      </c>
      <c r="H2873" t="s">
        <v>23</v>
      </c>
      <c r="I2873" t="s">
        <v>27</v>
      </c>
      <c r="J2873" t="s">
        <v>28</v>
      </c>
      <c r="K2873" t="s">
        <v>33</v>
      </c>
      <c r="L2873">
        <v>1</v>
      </c>
      <c r="M2873">
        <v>1</v>
      </c>
      <c r="N2873">
        <v>6.8</v>
      </c>
      <c r="O2873">
        <v>8.9</v>
      </c>
      <c r="P2873">
        <v>5</v>
      </c>
      <c r="Q2873">
        <v>7</v>
      </c>
      <c r="R2873">
        <v>584759</v>
      </c>
      <c r="S2873">
        <f>Table1[[#This Row],[Revenue]]-Table1[[#This Row],[Operating_Costs]]</f>
        <v>130902</v>
      </c>
      <c r="T2873">
        <v>453857</v>
      </c>
      <c r="U2873">
        <v>36</v>
      </c>
      <c r="V2873">
        <v>56</v>
      </c>
      <c r="W2873">
        <v>5.7</v>
      </c>
    </row>
    <row r="2874" spans="1:23" x14ac:dyDescent="0.25">
      <c r="A2874">
        <v>9</v>
      </c>
      <c r="B2874" t="s">
        <v>44</v>
      </c>
      <c r="C2874" s="1">
        <v>45165</v>
      </c>
      <c r="D2874" t="s">
        <v>71</v>
      </c>
      <c r="E2874">
        <v>0</v>
      </c>
      <c r="F2874">
        <v>83</v>
      </c>
      <c r="G2874" t="str">
        <f t="shared" si="52"/>
        <v>81+</v>
      </c>
      <c r="H2874" t="s">
        <v>23</v>
      </c>
      <c r="I2874" t="s">
        <v>58</v>
      </c>
      <c r="J2874" t="s">
        <v>59</v>
      </c>
      <c r="K2874" t="s">
        <v>29</v>
      </c>
      <c r="L2874">
        <v>1</v>
      </c>
      <c r="M2874">
        <v>1</v>
      </c>
      <c r="N2874">
        <v>3.7</v>
      </c>
      <c r="O2874">
        <v>8.1</v>
      </c>
      <c r="P2874">
        <v>4</v>
      </c>
      <c r="Q2874">
        <v>5</v>
      </c>
      <c r="R2874">
        <v>526504</v>
      </c>
      <c r="S2874">
        <f>Table1[[#This Row],[Revenue]]-Table1[[#This Row],[Operating_Costs]]</f>
        <v>70857</v>
      </c>
      <c r="T2874">
        <v>455647</v>
      </c>
      <c r="U2874">
        <v>36</v>
      </c>
      <c r="V2874">
        <v>64</v>
      </c>
      <c r="W2874">
        <v>13.3</v>
      </c>
    </row>
    <row r="2875" spans="1:23" x14ac:dyDescent="0.25">
      <c r="A2875">
        <v>7</v>
      </c>
      <c r="B2875" t="s">
        <v>49</v>
      </c>
      <c r="C2875" s="1">
        <v>45071</v>
      </c>
      <c r="D2875" t="s">
        <v>71</v>
      </c>
      <c r="E2875">
        <v>0</v>
      </c>
      <c r="F2875">
        <v>25</v>
      </c>
      <c r="G2875" t="str">
        <f t="shared" si="52"/>
        <v>21-40</v>
      </c>
      <c r="H2875" t="s">
        <v>35</v>
      </c>
      <c r="I2875" t="s">
        <v>60</v>
      </c>
      <c r="J2875" t="s">
        <v>59</v>
      </c>
      <c r="K2875" t="s">
        <v>42</v>
      </c>
      <c r="L2875">
        <v>1</v>
      </c>
      <c r="M2875">
        <v>1</v>
      </c>
      <c r="N2875">
        <v>6</v>
      </c>
      <c r="O2875">
        <v>7.4</v>
      </c>
      <c r="P2875">
        <v>5</v>
      </c>
      <c r="Q2875">
        <v>3</v>
      </c>
      <c r="R2875">
        <v>703841</v>
      </c>
      <c r="S2875">
        <f>Table1[[#This Row],[Revenue]]-Table1[[#This Row],[Operating_Costs]]</f>
        <v>119568</v>
      </c>
      <c r="T2875">
        <v>584273</v>
      </c>
      <c r="U2875">
        <v>51</v>
      </c>
      <c r="V2875">
        <v>57</v>
      </c>
      <c r="W2875">
        <v>6.5</v>
      </c>
    </row>
    <row r="2876" spans="1:23" x14ac:dyDescent="0.25">
      <c r="A2876">
        <v>9</v>
      </c>
      <c r="B2876" t="s">
        <v>44</v>
      </c>
      <c r="C2876" s="1">
        <v>44758</v>
      </c>
      <c r="D2876" t="s">
        <v>71</v>
      </c>
      <c r="E2876">
        <v>0</v>
      </c>
      <c r="F2876">
        <v>47</v>
      </c>
      <c r="G2876" t="str">
        <f t="shared" si="52"/>
        <v>41-60</v>
      </c>
      <c r="H2876" t="s">
        <v>35</v>
      </c>
      <c r="I2876" t="s">
        <v>31</v>
      </c>
      <c r="J2876" t="s">
        <v>28</v>
      </c>
      <c r="K2876" t="s">
        <v>33</v>
      </c>
      <c r="L2876">
        <v>1</v>
      </c>
      <c r="M2876">
        <v>1</v>
      </c>
      <c r="N2876">
        <v>4.5999999999999996</v>
      </c>
      <c r="O2876">
        <v>8.9</v>
      </c>
      <c r="P2876">
        <v>4</v>
      </c>
      <c r="Q2876">
        <v>6</v>
      </c>
      <c r="R2876">
        <v>538927</v>
      </c>
      <c r="S2876">
        <f>Table1[[#This Row],[Revenue]]-Table1[[#This Row],[Operating_Costs]]</f>
        <v>124229</v>
      </c>
      <c r="T2876">
        <v>414698</v>
      </c>
      <c r="U2876">
        <v>39</v>
      </c>
      <c r="V2876">
        <v>57</v>
      </c>
      <c r="W2876">
        <v>7.4</v>
      </c>
    </row>
    <row r="2877" spans="1:23" x14ac:dyDescent="0.25">
      <c r="A2877">
        <v>8</v>
      </c>
      <c r="B2877" t="s">
        <v>52</v>
      </c>
      <c r="C2877" s="1">
        <v>44941</v>
      </c>
      <c r="D2877" t="s">
        <v>71</v>
      </c>
      <c r="E2877">
        <v>0</v>
      </c>
      <c r="F2877">
        <v>22</v>
      </c>
      <c r="G2877" t="str">
        <f t="shared" si="52"/>
        <v>21-40</v>
      </c>
      <c r="H2877" t="s">
        <v>35</v>
      </c>
      <c r="I2877" t="s">
        <v>46</v>
      </c>
      <c r="J2877" t="s">
        <v>47</v>
      </c>
      <c r="K2877" t="s">
        <v>29</v>
      </c>
      <c r="L2877">
        <v>1</v>
      </c>
      <c r="M2877">
        <v>1</v>
      </c>
      <c r="N2877">
        <v>5.0999999999999996</v>
      </c>
      <c r="O2877">
        <v>7.3</v>
      </c>
      <c r="P2877">
        <v>5</v>
      </c>
      <c r="Q2877">
        <v>4</v>
      </c>
      <c r="R2877">
        <v>989284</v>
      </c>
      <c r="S2877">
        <f>Table1[[#This Row],[Revenue]]-Table1[[#This Row],[Operating_Costs]]</f>
        <v>129211</v>
      </c>
      <c r="T2877">
        <v>860073</v>
      </c>
      <c r="U2877">
        <v>34</v>
      </c>
      <c r="V2877">
        <v>64</v>
      </c>
      <c r="W2877">
        <v>7.9</v>
      </c>
    </row>
    <row r="2878" spans="1:23" x14ac:dyDescent="0.25">
      <c r="A2878">
        <v>9</v>
      </c>
      <c r="B2878" t="s">
        <v>44</v>
      </c>
      <c r="C2878" s="1">
        <v>45135</v>
      </c>
      <c r="D2878" t="s">
        <v>71</v>
      </c>
      <c r="E2878">
        <v>0</v>
      </c>
      <c r="F2878">
        <v>58</v>
      </c>
      <c r="G2878" t="str">
        <f t="shared" si="52"/>
        <v>41-60</v>
      </c>
      <c r="H2878" t="s">
        <v>35</v>
      </c>
      <c r="I2878" t="s">
        <v>53</v>
      </c>
      <c r="J2878" t="s">
        <v>54</v>
      </c>
      <c r="K2878" t="s">
        <v>38</v>
      </c>
      <c r="L2878">
        <v>1</v>
      </c>
      <c r="M2878">
        <v>1</v>
      </c>
      <c r="N2878">
        <v>4.9000000000000004</v>
      </c>
      <c r="O2878">
        <v>8.1999999999999993</v>
      </c>
      <c r="P2878">
        <v>3</v>
      </c>
      <c r="Q2878">
        <v>7</v>
      </c>
      <c r="R2878">
        <v>525644</v>
      </c>
      <c r="S2878">
        <f>Table1[[#This Row],[Revenue]]-Table1[[#This Row],[Operating_Costs]]</f>
        <v>88600</v>
      </c>
      <c r="T2878">
        <v>437044</v>
      </c>
      <c r="U2878">
        <v>39</v>
      </c>
      <c r="V2878">
        <v>56</v>
      </c>
      <c r="W2878">
        <v>12.3</v>
      </c>
    </row>
    <row r="2879" spans="1:23" x14ac:dyDescent="0.25">
      <c r="A2879">
        <v>7</v>
      </c>
      <c r="B2879" t="s">
        <v>49</v>
      </c>
      <c r="C2879" s="1">
        <v>45481</v>
      </c>
      <c r="D2879" t="s">
        <v>71</v>
      </c>
      <c r="E2879">
        <v>0</v>
      </c>
      <c r="F2879">
        <v>30</v>
      </c>
      <c r="G2879" t="str">
        <f t="shared" si="52"/>
        <v>21-40</v>
      </c>
      <c r="H2879" t="s">
        <v>23</v>
      </c>
      <c r="I2879" t="s">
        <v>58</v>
      </c>
      <c r="J2879" t="s">
        <v>59</v>
      </c>
      <c r="K2879" t="s">
        <v>33</v>
      </c>
      <c r="L2879">
        <v>1</v>
      </c>
      <c r="M2879">
        <v>1</v>
      </c>
      <c r="N2879">
        <v>4.5999999999999996</v>
      </c>
      <c r="O2879">
        <v>8.6999999999999993</v>
      </c>
      <c r="P2879">
        <v>6</v>
      </c>
      <c r="Q2879">
        <v>6</v>
      </c>
      <c r="R2879">
        <v>840584</v>
      </c>
      <c r="S2879">
        <f>Table1[[#This Row],[Revenue]]-Table1[[#This Row],[Operating_Costs]]</f>
        <v>332694</v>
      </c>
      <c r="T2879">
        <v>507890</v>
      </c>
      <c r="U2879">
        <v>47</v>
      </c>
      <c r="V2879">
        <v>54</v>
      </c>
      <c r="W2879">
        <v>12.4</v>
      </c>
    </row>
    <row r="2880" spans="1:23" x14ac:dyDescent="0.25">
      <c r="A2880">
        <v>7</v>
      </c>
      <c r="B2880" t="s">
        <v>49</v>
      </c>
      <c r="C2880" s="1">
        <v>44338</v>
      </c>
      <c r="D2880" t="s">
        <v>71</v>
      </c>
      <c r="E2880">
        <v>0</v>
      </c>
      <c r="F2880">
        <v>29</v>
      </c>
      <c r="G2880" t="str">
        <f t="shared" si="52"/>
        <v>21-40</v>
      </c>
      <c r="H2880" t="s">
        <v>23</v>
      </c>
      <c r="I2880" t="s">
        <v>40</v>
      </c>
      <c r="J2880" t="s">
        <v>41</v>
      </c>
      <c r="K2880" t="s">
        <v>33</v>
      </c>
      <c r="L2880">
        <v>1</v>
      </c>
      <c r="M2880">
        <v>1</v>
      </c>
      <c r="N2880">
        <v>4</v>
      </c>
      <c r="O2880">
        <v>9.3000000000000007</v>
      </c>
      <c r="P2880">
        <v>3</v>
      </c>
      <c r="Q2880">
        <v>5</v>
      </c>
      <c r="R2880">
        <v>770768</v>
      </c>
      <c r="S2880">
        <f>Table1[[#This Row],[Revenue]]-Table1[[#This Row],[Operating_Costs]]</f>
        <v>186639</v>
      </c>
      <c r="T2880">
        <v>584129</v>
      </c>
      <c r="U2880">
        <v>41</v>
      </c>
      <c r="V2880">
        <v>60</v>
      </c>
      <c r="W2880">
        <v>13</v>
      </c>
    </row>
    <row r="2881" spans="1:23" x14ac:dyDescent="0.25">
      <c r="A2881">
        <v>9</v>
      </c>
      <c r="B2881" t="s">
        <v>44</v>
      </c>
      <c r="C2881" s="1">
        <v>44845</v>
      </c>
      <c r="D2881" t="s">
        <v>71</v>
      </c>
      <c r="E2881">
        <v>0</v>
      </c>
      <c r="F2881">
        <v>39</v>
      </c>
      <c r="G2881" t="str">
        <f t="shared" si="52"/>
        <v>21-40</v>
      </c>
      <c r="H2881" t="s">
        <v>23</v>
      </c>
      <c r="I2881" t="s">
        <v>24</v>
      </c>
      <c r="J2881" t="s">
        <v>25</v>
      </c>
      <c r="K2881" t="s">
        <v>38</v>
      </c>
      <c r="L2881">
        <v>1</v>
      </c>
      <c r="M2881">
        <v>1</v>
      </c>
      <c r="N2881">
        <v>4.0999999999999996</v>
      </c>
      <c r="O2881">
        <v>8.1</v>
      </c>
      <c r="P2881">
        <v>5</v>
      </c>
      <c r="Q2881">
        <v>4</v>
      </c>
      <c r="R2881">
        <v>590658</v>
      </c>
      <c r="S2881">
        <f>Table1[[#This Row],[Revenue]]-Table1[[#This Row],[Operating_Costs]]</f>
        <v>102751</v>
      </c>
      <c r="T2881">
        <v>487907</v>
      </c>
      <c r="U2881">
        <v>38</v>
      </c>
      <c r="V2881">
        <v>60</v>
      </c>
      <c r="W2881">
        <v>7.9</v>
      </c>
    </row>
    <row r="2882" spans="1:23" x14ac:dyDescent="0.25">
      <c r="A2882">
        <v>9</v>
      </c>
      <c r="B2882" t="s">
        <v>44</v>
      </c>
      <c r="C2882" s="1">
        <v>44786</v>
      </c>
      <c r="D2882" t="s">
        <v>71</v>
      </c>
      <c r="E2882">
        <v>0</v>
      </c>
      <c r="F2882">
        <v>28</v>
      </c>
      <c r="G2882" t="str">
        <f t="shared" si="52"/>
        <v>21-40</v>
      </c>
      <c r="H2882" t="s">
        <v>35</v>
      </c>
      <c r="I2882" t="s">
        <v>36</v>
      </c>
      <c r="J2882" t="s">
        <v>37</v>
      </c>
      <c r="K2882" t="s">
        <v>33</v>
      </c>
      <c r="L2882">
        <v>1</v>
      </c>
      <c r="M2882">
        <v>1</v>
      </c>
      <c r="N2882">
        <v>4</v>
      </c>
      <c r="O2882">
        <v>7.7</v>
      </c>
      <c r="P2882">
        <v>6</v>
      </c>
      <c r="Q2882">
        <v>3</v>
      </c>
      <c r="R2882">
        <v>565972</v>
      </c>
      <c r="S2882">
        <f>Table1[[#This Row],[Revenue]]-Table1[[#This Row],[Operating_Costs]]</f>
        <v>162501</v>
      </c>
      <c r="T2882">
        <v>403471</v>
      </c>
      <c r="U2882">
        <v>36</v>
      </c>
      <c r="V2882">
        <v>63</v>
      </c>
      <c r="W2882">
        <v>14.1</v>
      </c>
    </row>
    <row r="2883" spans="1:23" x14ac:dyDescent="0.25">
      <c r="A2883">
        <v>9</v>
      </c>
      <c r="B2883" t="s">
        <v>44</v>
      </c>
      <c r="C2883" s="1">
        <v>44469</v>
      </c>
      <c r="D2883" t="s">
        <v>71</v>
      </c>
      <c r="E2883">
        <v>0</v>
      </c>
      <c r="F2883">
        <v>27</v>
      </c>
      <c r="G2883" t="str">
        <f t="shared" ref="G2883:G2946" si="53">IF(F2883&lt;=20,"0-20",IF(F2883&lt;=40,"21-40",IF(F2883&lt;=60,"41-60",IF(F2883&lt;=80,"61-80","81+"))))</f>
        <v>21-40</v>
      </c>
      <c r="H2883" t="s">
        <v>23</v>
      </c>
      <c r="I2883" t="s">
        <v>61</v>
      </c>
      <c r="J2883" t="s">
        <v>62</v>
      </c>
      <c r="K2883" t="s">
        <v>26</v>
      </c>
      <c r="L2883">
        <v>1</v>
      </c>
      <c r="M2883">
        <v>1</v>
      </c>
      <c r="N2883">
        <v>2.8</v>
      </c>
      <c r="O2883">
        <v>7</v>
      </c>
      <c r="P2883">
        <v>6</v>
      </c>
      <c r="Q2883">
        <v>4</v>
      </c>
      <c r="R2883">
        <v>544850</v>
      </c>
      <c r="S2883">
        <f>Table1[[#This Row],[Revenue]]-Table1[[#This Row],[Operating_Costs]]</f>
        <v>113126</v>
      </c>
      <c r="T2883">
        <v>431724</v>
      </c>
      <c r="U2883">
        <v>38</v>
      </c>
      <c r="V2883">
        <v>55</v>
      </c>
      <c r="W2883">
        <v>8.6999999999999993</v>
      </c>
    </row>
    <row r="2884" spans="1:23" x14ac:dyDescent="0.25">
      <c r="A2884">
        <v>8</v>
      </c>
      <c r="B2884" t="s">
        <v>52</v>
      </c>
      <c r="C2884" s="1">
        <v>44767</v>
      </c>
      <c r="D2884" t="s">
        <v>71</v>
      </c>
      <c r="E2884">
        <v>0</v>
      </c>
      <c r="F2884">
        <v>39</v>
      </c>
      <c r="G2884" t="str">
        <f t="shared" si="53"/>
        <v>21-40</v>
      </c>
      <c r="H2884" t="s">
        <v>35</v>
      </c>
      <c r="I2884" t="s">
        <v>46</v>
      </c>
      <c r="J2884" t="s">
        <v>47</v>
      </c>
      <c r="K2884" t="s">
        <v>38</v>
      </c>
      <c r="L2884">
        <v>1</v>
      </c>
      <c r="M2884">
        <v>1</v>
      </c>
      <c r="N2884">
        <v>2.2999999999999998</v>
      </c>
      <c r="O2884">
        <v>8.8000000000000007</v>
      </c>
      <c r="P2884">
        <v>3</v>
      </c>
      <c r="Q2884">
        <v>7</v>
      </c>
      <c r="R2884">
        <v>962253</v>
      </c>
      <c r="S2884">
        <f>Table1[[#This Row],[Revenue]]-Table1[[#This Row],[Operating_Costs]]</f>
        <v>94856</v>
      </c>
      <c r="T2884">
        <v>867397</v>
      </c>
      <c r="U2884">
        <v>31</v>
      </c>
      <c r="V2884">
        <v>65</v>
      </c>
      <c r="W2884">
        <v>5.8</v>
      </c>
    </row>
    <row r="2885" spans="1:23" x14ac:dyDescent="0.25">
      <c r="A2885">
        <v>8</v>
      </c>
      <c r="B2885" t="s">
        <v>52</v>
      </c>
      <c r="C2885" s="1">
        <v>44887</v>
      </c>
      <c r="D2885" t="s">
        <v>71</v>
      </c>
      <c r="E2885">
        <v>0</v>
      </c>
      <c r="F2885">
        <v>86</v>
      </c>
      <c r="G2885" t="str">
        <f t="shared" si="53"/>
        <v>81+</v>
      </c>
      <c r="H2885" t="s">
        <v>35</v>
      </c>
      <c r="I2885" t="s">
        <v>55</v>
      </c>
      <c r="J2885" t="s">
        <v>56</v>
      </c>
      <c r="K2885" t="s">
        <v>38</v>
      </c>
      <c r="L2885">
        <v>1</v>
      </c>
      <c r="M2885">
        <v>1</v>
      </c>
      <c r="N2885">
        <v>2.6</v>
      </c>
      <c r="O2885">
        <v>9.4</v>
      </c>
      <c r="P2885">
        <v>5</v>
      </c>
      <c r="Q2885">
        <v>7</v>
      </c>
      <c r="R2885">
        <v>927121</v>
      </c>
      <c r="S2885">
        <f>Table1[[#This Row],[Revenue]]-Table1[[#This Row],[Operating_Costs]]</f>
        <v>125209</v>
      </c>
      <c r="T2885">
        <v>801912</v>
      </c>
      <c r="U2885">
        <v>34</v>
      </c>
      <c r="V2885">
        <v>66</v>
      </c>
      <c r="W2885">
        <v>6.1</v>
      </c>
    </row>
    <row r="2886" spans="1:23" x14ac:dyDescent="0.25">
      <c r="A2886">
        <v>9</v>
      </c>
      <c r="B2886" t="s">
        <v>44</v>
      </c>
      <c r="C2886" s="1">
        <v>44730</v>
      </c>
      <c r="D2886" t="s">
        <v>71</v>
      </c>
      <c r="E2886">
        <v>0</v>
      </c>
      <c r="F2886">
        <v>84</v>
      </c>
      <c r="G2886" t="str">
        <f t="shared" si="53"/>
        <v>81+</v>
      </c>
      <c r="H2886" t="s">
        <v>35</v>
      </c>
      <c r="I2886" t="s">
        <v>64</v>
      </c>
      <c r="J2886" t="s">
        <v>65</v>
      </c>
      <c r="K2886" t="s">
        <v>26</v>
      </c>
      <c r="L2886">
        <v>1</v>
      </c>
      <c r="M2886">
        <v>1</v>
      </c>
      <c r="N2886">
        <v>6.2</v>
      </c>
      <c r="O2886">
        <v>9.6</v>
      </c>
      <c r="P2886">
        <v>4</v>
      </c>
      <c r="Q2886">
        <v>6</v>
      </c>
      <c r="R2886">
        <v>588182</v>
      </c>
      <c r="S2886">
        <f>Table1[[#This Row],[Revenue]]-Table1[[#This Row],[Operating_Costs]]</f>
        <v>151144</v>
      </c>
      <c r="T2886">
        <v>437038</v>
      </c>
      <c r="U2886">
        <v>35</v>
      </c>
      <c r="V2886">
        <v>57</v>
      </c>
      <c r="W2886">
        <v>13.9</v>
      </c>
    </row>
    <row r="2887" spans="1:23" x14ac:dyDescent="0.25">
      <c r="A2887">
        <v>7</v>
      </c>
      <c r="B2887" t="s">
        <v>49</v>
      </c>
      <c r="C2887" s="1">
        <v>45037</v>
      </c>
      <c r="D2887" t="s">
        <v>71</v>
      </c>
      <c r="E2887">
        <v>0</v>
      </c>
      <c r="F2887">
        <v>31</v>
      </c>
      <c r="G2887" t="str">
        <f t="shared" si="53"/>
        <v>21-40</v>
      </c>
      <c r="H2887" t="s">
        <v>23</v>
      </c>
      <c r="I2887" t="s">
        <v>55</v>
      </c>
      <c r="J2887" t="s">
        <v>56</v>
      </c>
      <c r="K2887" t="s">
        <v>29</v>
      </c>
      <c r="L2887">
        <v>1</v>
      </c>
      <c r="M2887">
        <v>1</v>
      </c>
      <c r="N2887">
        <v>5.2</v>
      </c>
      <c r="O2887">
        <v>8.9</v>
      </c>
      <c r="P2887">
        <v>4</v>
      </c>
      <c r="Q2887">
        <v>6</v>
      </c>
      <c r="R2887">
        <v>702529</v>
      </c>
      <c r="S2887">
        <f>Table1[[#This Row],[Revenue]]-Table1[[#This Row],[Operating_Costs]]</f>
        <v>175859</v>
      </c>
      <c r="T2887">
        <v>526670</v>
      </c>
      <c r="U2887">
        <v>43</v>
      </c>
      <c r="V2887">
        <v>58</v>
      </c>
      <c r="W2887">
        <v>7.7</v>
      </c>
    </row>
    <row r="2888" spans="1:23" x14ac:dyDescent="0.25">
      <c r="A2888">
        <v>9</v>
      </c>
      <c r="B2888" t="s">
        <v>44</v>
      </c>
      <c r="C2888" s="1">
        <v>45376</v>
      </c>
      <c r="D2888" t="s">
        <v>71</v>
      </c>
      <c r="E2888">
        <v>0</v>
      </c>
      <c r="F2888">
        <v>90</v>
      </c>
      <c r="G2888" t="str">
        <f t="shared" si="53"/>
        <v>81+</v>
      </c>
      <c r="H2888" t="s">
        <v>35</v>
      </c>
      <c r="I2888" t="s">
        <v>40</v>
      </c>
      <c r="J2888" t="s">
        <v>41</v>
      </c>
      <c r="K2888" t="s">
        <v>26</v>
      </c>
      <c r="L2888">
        <v>1</v>
      </c>
      <c r="M2888">
        <v>1</v>
      </c>
      <c r="N2888">
        <v>6.9</v>
      </c>
      <c r="O2888">
        <v>8.1</v>
      </c>
      <c r="P2888">
        <v>6</v>
      </c>
      <c r="Q2888">
        <v>6</v>
      </c>
      <c r="R2888">
        <v>506674</v>
      </c>
      <c r="S2888">
        <f>Table1[[#This Row],[Revenue]]-Table1[[#This Row],[Operating_Costs]]</f>
        <v>85442</v>
      </c>
      <c r="T2888">
        <v>421232</v>
      </c>
      <c r="U2888">
        <v>37</v>
      </c>
      <c r="V2888">
        <v>60</v>
      </c>
      <c r="W2888">
        <v>7.6</v>
      </c>
    </row>
    <row r="2889" spans="1:23" x14ac:dyDescent="0.25">
      <c r="A2889">
        <v>8</v>
      </c>
      <c r="B2889" t="s">
        <v>52</v>
      </c>
      <c r="C2889" s="1">
        <v>45315</v>
      </c>
      <c r="D2889" t="s">
        <v>71</v>
      </c>
      <c r="E2889">
        <v>0</v>
      </c>
      <c r="F2889">
        <v>87</v>
      </c>
      <c r="G2889" t="str">
        <f t="shared" si="53"/>
        <v>81+</v>
      </c>
      <c r="H2889" t="s">
        <v>35</v>
      </c>
      <c r="I2889" t="s">
        <v>46</v>
      </c>
      <c r="J2889" t="s">
        <v>47</v>
      </c>
      <c r="K2889" t="s">
        <v>33</v>
      </c>
      <c r="L2889">
        <v>1</v>
      </c>
      <c r="M2889">
        <v>1</v>
      </c>
      <c r="N2889">
        <v>3.9</v>
      </c>
      <c r="O2889">
        <v>8.3000000000000007</v>
      </c>
      <c r="P2889">
        <v>7</v>
      </c>
      <c r="Q2889">
        <v>3</v>
      </c>
      <c r="R2889">
        <v>920653</v>
      </c>
      <c r="S2889">
        <f>Table1[[#This Row],[Revenue]]-Table1[[#This Row],[Operating_Costs]]</f>
        <v>40648</v>
      </c>
      <c r="T2889">
        <v>880005</v>
      </c>
      <c r="U2889">
        <v>31</v>
      </c>
      <c r="V2889">
        <v>63</v>
      </c>
      <c r="W2889">
        <v>14</v>
      </c>
    </row>
    <row r="2890" spans="1:23" x14ac:dyDescent="0.25">
      <c r="A2890">
        <v>8</v>
      </c>
      <c r="B2890" t="s">
        <v>52</v>
      </c>
      <c r="C2890" s="1">
        <v>45267</v>
      </c>
      <c r="D2890" t="s">
        <v>71</v>
      </c>
      <c r="E2890">
        <v>0</v>
      </c>
      <c r="F2890">
        <v>47</v>
      </c>
      <c r="G2890" t="str">
        <f t="shared" si="53"/>
        <v>41-60</v>
      </c>
      <c r="H2890" t="s">
        <v>35</v>
      </c>
      <c r="I2890" t="s">
        <v>58</v>
      </c>
      <c r="J2890" t="s">
        <v>59</v>
      </c>
      <c r="K2890" t="s">
        <v>26</v>
      </c>
      <c r="L2890">
        <v>1</v>
      </c>
      <c r="M2890">
        <v>1</v>
      </c>
      <c r="N2890">
        <v>4.8</v>
      </c>
      <c r="O2890">
        <v>7.5</v>
      </c>
      <c r="P2890">
        <v>4</v>
      </c>
      <c r="Q2890">
        <v>5</v>
      </c>
      <c r="R2890">
        <v>981666</v>
      </c>
      <c r="S2890">
        <f>Table1[[#This Row],[Revenue]]-Table1[[#This Row],[Operating_Costs]]</f>
        <v>162009</v>
      </c>
      <c r="T2890">
        <v>819657</v>
      </c>
      <c r="U2890">
        <v>34</v>
      </c>
      <c r="V2890">
        <v>62</v>
      </c>
      <c r="W2890">
        <v>5.6</v>
      </c>
    </row>
    <row r="2891" spans="1:23" x14ac:dyDescent="0.25">
      <c r="A2891">
        <v>9</v>
      </c>
      <c r="B2891" t="s">
        <v>44</v>
      </c>
      <c r="C2891" s="1">
        <v>44879</v>
      </c>
      <c r="D2891" t="s">
        <v>71</v>
      </c>
      <c r="E2891">
        <v>0</v>
      </c>
      <c r="F2891">
        <v>25</v>
      </c>
      <c r="G2891" t="str">
        <f t="shared" si="53"/>
        <v>21-40</v>
      </c>
      <c r="H2891" t="s">
        <v>23</v>
      </c>
      <c r="I2891" t="s">
        <v>43</v>
      </c>
      <c r="J2891" t="s">
        <v>25</v>
      </c>
      <c r="K2891" t="s">
        <v>29</v>
      </c>
      <c r="L2891">
        <v>1</v>
      </c>
      <c r="M2891">
        <v>1</v>
      </c>
      <c r="N2891">
        <v>2.7</v>
      </c>
      <c r="O2891">
        <v>7</v>
      </c>
      <c r="P2891">
        <v>6</v>
      </c>
      <c r="Q2891">
        <v>4</v>
      </c>
      <c r="R2891">
        <v>543982</v>
      </c>
      <c r="S2891">
        <f>Table1[[#This Row],[Revenue]]-Table1[[#This Row],[Operating_Costs]]</f>
        <v>71034</v>
      </c>
      <c r="T2891">
        <v>472948</v>
      </c>
      <c r="U2891">
        <v>35</v>
      </c>
      <c r="V2891">
        <v>66</v>
      </c>
      <c r="W2891">
        <v>36.5</v>
      </c>
    </row>
    <row r="2892" spans="1:23" x14ac:dyDescent="0.25">
      <c r="A2892">
        <v>9</v>
      </c>
      <c r="B2892" t="s">
        <v>44</v>
      </c>
      <c r="C2892" s="1">
        <v>44814</v>
      </c>
      <c r="D2892" t="s">
        <v>71</v>
      </c>
      <c r="E2892">
        <v>0</v>
      </c>
      <c r="F2892">
        <v>46</v>
      </c>
      <c r="G2892" t="str">
        <f t="shared" si="53"/>
        <v>41-60</v>
      </c>
      <c r="H2892" t="s">
        <v>35</v>
      </c>
      <c r="I2892" t="s">
        <v>36</v>
      </c>
      <c r="J2892" t="s">
        <v>37</v>
      </c>
      <c r="K2892" t="s">
        <v>33</v>
      </c>
      <c r="L2892">
        <v>1</v>
      </c>
      <c r="M2892">
        <v>1</v>
      </c>
      <c r="N2892">
        <v>3.2</v>
      </c>
      <c r="O2892">
        <v>10</v>
      </c>
      <c r="P2892">
        <v>7</v>
      </c>
      <c r="Q2892">
        <v>6</v>
      </c>
      <c r="R2892">
        <v>524966</v>
      </c>
      <c r="S2892">
        <f>Table1[[#This Row],[Revenue]]-Table1[[#This Row],[Operating_Costs]]</f>
        <v>86176</v>
      </c>
      <c r="T2892">
        <v>438790</v>
      </c>
      <c r="U2892">
        <v>35</v>
      </c>
      <c r="V2892">
        <v>64</v>
      </c>
      <c r="W2892">
        <v>12.8</v>
      </c>
    </row>
    <row r="2893" spans="1:23" x14ac:dyDescent="0.25">
      <c r="A2893">
        <v>8</v>
      </c>
      <c r="B2893" t="s">
        <v>52</v>
      </c>
      <c r="C2893" s="1">
        <v>45217</v>
      </c>
      <c r="D2893" t="s">
        <v>71</v>
      </c>
      <c r="E2893">
        <v>0</v>
      </c>
      <c r="F2893">
        <v>46</v>
      </c>
      <c r="G2893" t="str">
        <f t="shared" si="53"/>
        <v>41-60</v>
      </c>
      <c r="H2893" t="s">
        <v>35</v>
      </c>
      <c r="I2893" t="s">
        <v>53</v>
      </c>
      <c r="J2893" t="s">
        <v>54</v>
      </c>
      <c r="K2893" t="s">
        <v>38</v>
      </c>
      <c r="L2893">
        <v>1</v>
      </c>
      <c r="M2893">
        <v>1</v>
      </c>
      <c r="N2893">
        <v>4.9000000000000004</v>
      </c>
      <c r="O2893">
        <v>7.7</v>
      </c>
      <c r="P2893">
        <v>6</v>
      </c>
      <c r="Q2893">
        <v>7</v>
      </c>
      <c r="R2893">
        <v>945945</v>
      </c>
      <c r="S2893">
        <f>Table1[[#This Row],[Revenue]]-Table1[[#This Row],[Operating_Costs]]</f>
        <v>104876</v>
      </c>
      <c r="T2893">
        <v>841069</v>
      </c>
      <c r="U2893">
        <v>40</v>
      </c>
      <c r="V2893">
        <v>54</v>
      </c>
      <c r="W2893">
        <v>13.6</v>
      </c>
    </row>
    <row r="2894" spans="1:23" x14ac:dyDescent="0.25">
      <c r="A2894">
        <v>9</v>
      </c>
      <c r="B2894" t="s">
        <v>44</v>
      </c>
      <c r="C2894" s="1">
        <v>44689</v>
      </c>
      <c r="D2894" t="s">
        <v>71</v>
      </c>
      <c r="E2894">
        <v>0</v>
      </c>
      <c r="F2894">
        <v>60</v>
      </c>
      <c r="G2894" t="str">
        <f t="shared" si="53"/>
        <v>41-60</v>
      </c>
      <c r="H2894" t="s">
        <v>35</v>
      </c>
      <c r="I2894" t="s">
        <v>64</v>
      </c>
      <c r="J2894" t="s">
        <v>65</v>
      </c>
      <c r="K2894" t="s">
        <v>29</v>
      </c>
      <c r="L2894">
        <v>1</v>
      </c>
      <c r="M2894">
        <v>1</v>
      </c>
      <c r="N2894">
        <v>5.6</v>
      </c>
      <c r="O2894">
        <v>9.5</v>
      </c>
      <c r="P2894">
        <v>6</v>
      </c>
      <c r="Q2894">
        <v>6</v>
      </c>
      <c r="R2894">
        <v>502376</v>
      </c>
      <c r="S2894">
        <f>Table1[[#This Row],[Revenue]]-Table1[[#This Row],[Operating_Costs]]</f>
        <v>95503</v>
      </c>
      <c r="T2894">
        <v>406873</v>
      </c>
      <c r="U2894">
        <v>36</v>
      </c>
      <c r="V2894">
        <v>61</v>
      </c>
      <c r="W2894">
        <v>8.6999999999999993</v>
      </c>
    </row>
    <row r="2895" spans="1:23" x14ac:dyDescent="0.25">
      <c r="A2895">
        <v>7</v>
      </c>
      <c r="B2895" t="s">
        <v>49</v>
      </c>
      <c r="C2895" s="1">
        <v>45118</v>
      </c>
      <c r="D2895" t="s">
        <v>71</v>
      </c>
      <c r="E2895">
        <v>0</v>
      </c>
      <c r="F2895">
        <v>82</v>
      </c>
      <c r="G2895" t="str">
        <f t="shared" si="53"/>
        <v>81+</v>
      </c>
      <c r="H2895" t="s">
        <v>35</v>
      </c>
      <c r="I2895" t="s">
        <v>58</v>
      </c>
      <c r="J2895" t="s">
        <v>59</v>
      </c>
      <c r="K2895" t="s">
        <v>29</v>
      </c>
      <c r="L2895">
        <v>1</v>
      </c>
      <c r="M2895">
        <v>1</v>
      </c>
      <c r="N2895">
        <v>2.2000000000000002</v>
      </c>
      <c r="O2895">
        <v>7.6</v>
      </c>
      <c r="P2895">
        <v>3</v>
      </c>
      <c r="Q2895">
        <v>5</v>
      </c>
      <c r="R2895">
        <v>600326</v>
      </c>
      <c r="S2895">
        <f>Table1[[#This Row],[Revenue]]-Table1[[#This Row],[Operating_Costs]]</f>
        <v>93127</v>
      </c>
      <c r="T2895">
        <v>507199</v>
      </c>
      <c r="U2895">
        <v>42</v>
      </c>
      <c r="V2895">
        <v>64</v>
      </c>
      <c r="W2895">
        <v>13.5</v>
      </c>
    </row>
    <row r="2896" spans="1:23" x14ac:dyDescent="0.25">
      <c r="A2896">
        <v>8</v>
      </c>
      <c r="B2896" t="s">
        <v>52</v>
      </c>
      <c r="C2896" s="1">
        <v>45087</v>
      </c>
      <c r="D2896" t="s">
        <v>71</v>
      </c>
      <c r="E2896">
        <v>0</v>
      </c>
      <c r="F2896">
        <v>58</v>
      </c>
      <c r="G2896" t="str">
        <f t="shared" si="53"/>
        <v>41-60</v>
      </c>
      <c r="H2896" t="s">
        <v>23</v>
      </c>
      <c r="I2896" t="s">
        <v>43</v>
      </c>
      <c r="J2896" t="s">
        <v>25</v>
      </c>
      <c r="K2896" t="s">
        <v>38</v>
      </c>
      <c r="L2896">
        <v>1</v>
      </c>
      <c r="M2896">
        <v>1</v>
      </c>
      <c r="N2896">
        <v>2.2000000000000002</v>
      </c>
      <c r="O2896">
        <v>8.4</v>
      </c>
      <c r="P2896">
        <v>7</v>
      </c>
      <c r="Q2896">
        <v>4</v>
      </c>
      <c r="R2896">
        <v>998307</v>
      </c>
      <c r="S2896">
        <f>Table1[[#This Row],[Revenue]]-Table1[[#This Row],[Operating_Costs]]</f>
        <v>143343</v>
      </c>
      <c r="T2896">
        <v>854964</v>
      </c>
      <c r="U2896">
        <v>38</v>
      </c>
      <c r="V2896">
        <v>59</v>
      </c>
      <c r="W2896">
        <v>12.5</v>
      </c>
    </row>
    <row r="2897" spans="1:23" x14ac:dyDescent="0.25">
      <c r="A2897">
        <v>8</v>
      </c>
      <c r="B2897" t="s">
        <v>52</v>
      </c>
      <c r="C2897" s="1">
        <v>45250</v>
      </c>
      <c r="D2897" t="s">
        <v>71</v>
      </c>
      <c r="E2897">
        <v>0</v>
      </c>
      <c r="F2897">
        <v>23</v>
      </c>
      <c r="G2897" t="str">
        <f t="shared" si="53"/>
        <v>21-40</v>
      </c>
      <c r="H2897" t="s">
        <v>35</v>
      </c>
      <c r="I2897" t="s">
        <v>36</v>
      </c>
      <c r="J2897" t="s">
        <v>37</v>
      </c>
      <c r="K2897" t="s">
        <v>33</v>
      </c>
      <c r="L2897">
        <v>1</v>
      </c>
      <c r="M2897">
        <v>1</v>
      </c>
      <c r="N2897">
        <v>2.4</v>
      </c>
      <c r="O2897">
        <v>9.8000000000000007</v>
      </c>
      <c r="P2897">
        <v>4</v>
      </c>
      <c r="Q2897">
        <v>7</v>
      </c>
      <c r="R2897">
        <v>917199</v>
      </c>
      <c r="S2897">
        <f>Table1[[#This Row],[Revenue]]-Table1[[#This Row],[Operating_Costs]]</f>
        <v>53074</v>
      </c>
      <c r="T2897">
        <v>864125</v>
      </c>
      <c r="U2897">
        <v>39</v>
      </c>
      <c r="V2897">
        <v>55</v>
      </c>
      <c r="W2897">
        <v>7.7</v>
      </c>
    </row>
    <row r="2898" spans="1:23" x14ac:dyDescent="0.25">
      <c r="A2898">
        <v>9</v>
      </c>
      <c r="B2898" t="s">
        <v>44</v>
      </c>
      <c r="C2898" s="1">
        <v>44486</v>
      </c>
      <c r="D2898" t="s">
        <v>71</v>
      </c>
      <c r="E2898">
        <v>0</v>
      </c>
      <c r="F2898">
        <v>49</v>
      </c>
      <c r="G2898" t="str">
        <f t="shared" si="53"/>
        <v>41-60</v>
      </c>
      <c r="H2898" t="s">
        <v>35</v>
      </c>
      <c r="I2898" t="s">
        <v>60</v>
      </c>
      <c r="J2898" t="s">
        <v>59</v>
      </c>
      <c r="K2898" t="s">
        <v>42</v>
      </c>
      <c r="L2898">
        <v>1</v>
      </c>
      <c r="M2898">
        <v>1</v>
      </c>
      <c r="N2898">
        <v>6.5</v>
      </c>
      <c r="O2898">
        <v>7.8</v>
      </c>
      <c r="P2898">
        <v>6</v>
      </c>
      <c r="Q2898">
        <v>7</v>
      </c>
      <c r="R2898">
        <v>550410</v>
      </c>
      <c r="S2898">
        <f>Table1[[#This Row],[Revenue]]-Table1[[#This Row],[Operating_Costs]]</f>
        <v>113573</v>
      </c>
      <c r="T2898">
        <v>436837</v>
      </c>
      <c r="U2898">
        <v>37</v>
      </c>
      <c r="V2898">
        <v>64</v>
      </c>
      <c r="W2898">
        <v>12</v>
      </c>
    </row>
    <row r="2899" spans="1:23" x14ac:dyDescent="0.25">
      <c r="A2899">
        <v>8</v>
      </c>
      <c r="B2899" t="s">
        <v>52</v>
      </c>
      <c r="C2899" s="1">
        <v>45491</v>
      </c>
      <c r="D2899" t="s">
        <v>71</v>
      </c>
      <c r="E2899">
        <v>0</v>
      </c>
      <c r="F2899">
        <v>84</v>
      </c>
      <c r="G2899" t="str">
        <f t="shared" si="53"/>
        <v>81+</v>
      </c>
      <c r="H2899" t="s">
        <v>35</v>
      </c>
      <c r="I2899" t="s">
        <v>58</v>
      </c>
      <c r="J2899" t="s">
        <v>59</v>
      </c>
      <c r="K2899" t="s">
        <v>42</v>
      </c>
      <c r="L2899">
        <v>1</v>
      </c>
      <c r="M2899">
        <v>1</v>
      </c>
      <c r="N2899">
        <v>2.5</v>
      </c>
      <c r="O2899">
        <v>7.7</v>
      </c>
      <c r="P2899">
        <v>7</v>
      </c>
      <c r="Q2899">
        <v>5</v>
      </c>
      <c r="R2899">
        <v>957255</v>
      </c>
      <c r="S2899">
        <f>Table1[[#This Row],[Revenue]]-Table1[[#This Row],[Operating_Costs]]</f>
        <v>149840</v>
      </c>
      <c r="T2899">
        <v>807415</v>
      </c>
      <c r="U2899">
        <v>32</v>
      </c>
      <c r="V2899">
        <v>64</v>
      </c>
      <c r="W2899">
        <v>13.4</v>
      </c>
    </row>
    <row r="2900" spans="1:23" x14ac:dyDescent="0.25">
      <c r="A2900">
        <v>8</v>
      </c>
      <c r="B2900" t="s">
        <v>52</v>
      </c>
      <c r="C2900" s="1">
        <v>45001</v>
      </c>
      <c r="D2900" t="s">
        <v>71</v>
      </c>
      <c r="E2900">
        <v>0</v>
      </c>
      <c r="F2900">
        <v>58</v>
      </c>
      <c r="G2900" t="str">
        <f t="shared" si="53"/>
        <v>41-60</v>
      </c>
      <c r="H2900" t="s">
        <v>35</v>
      </c>
      <c r="I2900" t="s">
        <v>36</v>
      </c>
      <c r="J2900" t="s">
        <v>37</v>
      </c>
      <c r="K2900" t="s">
        <v>38</v>
      </c>
      <c r="L2900">
        <v>1</v>
      </c>
      <c r="M2900">
        <v>1</v>
      </c>
      <c r="N2900">
        <v>1.8</v>
      </c>
      <c r="O2900">
        <v>7.8</v>
      </c>
      <c r="P2900">
        <v>3</v>
      </c>
      <c r="Q2900">
        <v>5</v>
      </c>
      <c r="R2900">
        <v>947006</v>
      </c>
      <c r="S2900">
        <f>Table1[[#This Row],[Revenue]]-Table1[[#This Row],[Operating_Costs]]</f>
        <v>117806</v>
      </c>
      <c r="T2900">
        <v>829200</v>
      </c>
      <c r="U2900">
        <v>32</v>
      </c>
      <c r="V2900">
        <v>56</v>
      </c>
      <c r="W2900">
        <v>36.299999999999997</v>
      </c>
    </row>
    <row r="2901" spans="1:23" x14ac:dyDescent="0.25">
      <c r="A2901">
        <v>9</v>
      </c>
      <c r="B2901" t="s">
        <v>44</v>
      </c>
      <c r="C2901" s="1">
        <v>44944</v>
      </c>
      <c r="D2901" t="s">
        <v>71</v>
      </c>
      <c r="E2901">
        <v>0</v>
      </c>
      <c r="F2901">
        <v>80</v>
      </c>
      <c r="G2901" t="str">
        <f t="shared" si="53"/>
        <v>61-80</v>
      </c>
      <c r="H2901" t="s">
        <v>35</v>
      </c>
      <c r="I2901" t="s">
        <v>61</v>
      </c>
      <c r="J2901" t="s">
        <v>62</v>
      </c>
      <c r="K2901" t="s">
        <v>29</v>
      </c>
      <c r="L2901">
        <v>1</v>
      </c>
      <c r="M2901">
        <v>1</v>
      </c>
      <c r="N2901">
        <v>3.4</v>
      </c>
      <c r="O2901">
        <v>9.5</v>
      </c>
      <c r="P2901">
        <v>6</v>
      </c>
      <c r="Q2901">
        <v>7</v>
      </c>
      <c r="R2901">
        <v>514201</v>
      </c>
      <c r="S2901">
        <f>Table1[[#This Row],[Revenue]]-Table1[[#This Row],[Operating_Costs]]</f>
        <v>51763</v>
      </c>
      <c r="T2901">
        <v>462438</v>
      </c>
      <c r="U2901">
        <v>36</v>
      </c>
      <c r="V2901">
        <v>59</v>
      </c>
      <c r="W2901">
        <v>5.9</v>
      </c>
    </row>
    <row r="2902" spans="1:23" x14ac:dyDescent="0.25">
      <c r="A2902">
        <v>9</v>
      </c>
      <c r="B2902" t="s">
        <v>44</v>
      </c>
      <c r="C2902" s="1">
        <v>44653</v>
      </c>
      <c r="D2902" t="s">
        <v>71</v>
      </c>
      <c r="E2902">
        <v>0</v>
      </c>
      <c r="F2902">
        <v>66</v>
      </c>
      <c r="G2902" t="str">
        <f t="shared" si="53"/>
        <v>61-80</v>
      </c>
      <c r="H2902" t="s">
        <v>23</v>
      </c>
      <c r="I2902" t="s">
        <v>24</v>
      </c>
      <c r="J2902" t="s">
        <v>25</v>
      </c>
      <c r="K2902" t="s">
        <v>42</v>
      </c>
      <c r="L2902">
        <v>1</v>
      </c>
      <c r="M2902">
        <v>1</v>
      </c>
      <c r="N2902">
        <v>3.8</v>
      </c>
      <c r="O2902">
        <v>7.9</v>
      </c>
      <c r="P2902">
        <v>3</v>
      </c>
      <c r="Q2902">
        <v>7</v>
      </c>
      <c r="R2902">
        <v>520173</v>
      </c>
      <c r="S2902">
        <f>Table1[[#This Row],[Revenue]]-Table1[[#This Row],[Operating_Costs]]</f>
        <v>95986</v>
      </c>
      <c r="T2902">
        <v>424187</v>
      </c>
      <c r="U2902">
        <v>40</v>
      </c>
      <c r="V2902">
        <v>61</v>
      </c>
      <c r="W2902">
        <v>5</v>
      </c>
    </row>
    <row r="2903" spans="1:23" x14ac:dyDescent="0.25">
      <c r="A2903">
        <v>9</v>
      </c>
      <c r="B2903" t="s">
        <v>44</v>
      </c>
      <c r="C2903" s="1">
        <v>45634</v>
      </c>
      <c r="D2903" t="s">
        <v>71</v>
      </c>
      <c r="E2903">
        <v>0</v>
      </c>
      <c r="F2903">
        <v>81</v>
      </c>
      <c r="G2903" t="str">
        <f t="shared" si="53"/>
        <v>81+</v>
      </c>
      <c r="H2903" t="s">
        <v>23</v>
      </c>
      <c r="I2903" t="s">
        <v>43</v>
      </c>
      <c r="J2903" t="s">
        <v>25</v>
      </c>
      <c r="K2903" t="s">
        <v>38</v>
      </c>
      <c r="L2903">
        <v>1</v>
      </c>
      <c r="M2903">
        <v>1</v>
      </c>
      <c r="N2903">
        <v>2</v>
      </c>
      <c r="O2903">
        <v>8.6999999999999993</v>
      </c>
      <c r="P2903">
        <v>6</v>
      </c>
      <c r="Q2903">
        <v>6</v>
      </c>
      <c r="R2903">
        <v>572149</v>
      </c>
      <c r="S2903">
        <f>Table1[[#This Row],[Revenue]]-Table1[[#This Row],[Operating_Costs]]</f>
        <v>121188</v>
      </c>
      <c r="T2903">
        <v>450961</v>
      </c>
      <c r="U2903">
        <v>38</v>
      </c>
      <c r="V2903">
        <v>55</v>
      </c>
      <c r="W2903">
        <v>36.5</v>
      </c>
    </row>
    <row r="2904" spans="1:23" x14ac:dyDescent="0.25">
      <c r="A2904">
        <v>7</v>
      </c>
      <c r="B2904" t="s">
        <v>49</v>
      </c>
      <c r="C2904" s="1">
        <v>44537</v>
      </c>
      <c r="D2904" t="s">
        <v>71</v>
      </c>
      <c r="E2904">
        <v>0</v>
      </c>
      <c r="F2904">
        <v>36</v>
      </c>
      <c r="G2904" t="str">
        <f t="shared" si="53"/>
        <v>21-40</v>
      </c>
      <c r="H2904" t="s">
        <v>23</v>
      </c>
      <c r="I2904" t="s">
        <v>24</v>
      </c>
      <c r="J2904" t="s">
        <v>25</v>
      </c>
      <c r="K2904" t="s">
        <v>29</v>
      </c>
      <c r="L2904">
        <v>1</v>
      </c>
      <c r="M2904">
        <v>1</v>
      </c>
      <c r="N2904">
        <v>2</v>
      </c>
      <c r="O2904">
        <v>7.4</v>
      </c>
      <c r="P2904">
        <v>6</v>
      </c>
      <c r="Q2904">
        <v>7</v>
      </c>
      <c r="R2904">
        <v>696335</v>
      </c>
      <c r="S2904">
        <f>Table1[[#This Row],[Revenue]]-Table1[[#This Row],[Operating_Costs]]</f>
        <v>162636</v>
      </c>
      <c r="T2904">
        <v>533699</v>
      </c>
      <c r="U2904">
        <v>53</v>
      </c>
      <c r="V2904">
        <v>61</v>
      </c>
      <c r="W2904">
        <v>9.5</v>
      </c>
    </row>
    <row r="2905" spans="1:23" x14ac:dyDescent="0.25">
      <c r="A2905">
        <v>9</v>
      </c>
      <c r="B2905" t="s">
        <v>44</v>
      </c>
      <c r="C2905" s="1">
        <v>44638</v>
      </c>
      <c r="D2905" t="s">
        <v>71</v>
      </c>
      <c r="E2905">
        <v>0</v>
      </c>
      <c r="F2905">
        <v>78</v>
      </c>
      <c r="G2905" t="str">
        <f t="shared" si="53"/>
        <v>61-80</v>
      </c>
      <c r="H2905" t="s">
        <v>35</v>
      </c>
      <c r="I2905" t="s">
        <v>61</v>
      </c>
      <c r="J2905" t="s">
        <v>62</v>
      </c>
      <c r="K2905" t="s">
        <v>33</v>
      </c>
      <c r="L2905">
        <v>1</v>
      </c>
      <c r="M2905">
        <v>1</v>
      </c>
      <c r="N2905">
        <v>6.1</v>
      </c>
      <c r="O2905">
        <v>7.7</v>
      </c>
      <c r="P2905">
        <v>5</v>
      </c>
      <c r="Q2905">
        <v>6</v>
      </c>
      <c r="R2905">
        <v>573362</v>
      </c>
      <c r="S2905">
        <f>Table1[[#This Row],[Revenue]]-Table1[[#This Row],[Operating_Costs]]</f>
        <v>104891</v>
      </c>
      <c r="T2905">
        <v>468471</v>
      </c>
      <c r="U2905">
        <v>37</v>
      </c>
      <c r="V2905">
        <v>56</v>
      </c>
      <c r="W2905">
        <v>7.2</v>
      </c>
    </row>
    <row r="2906" spans="1:23" x14ac:dyDescent="0.25">
      <c r="A2906">
        <v>8</v>
      </c>
      <c r="B2906" t="s">
        <v>52</v>
      </c>
      <c r="C2906" s="1">
        <v>45342</v>
      </c>
      <c r="D2906" t="s">
        <v>71</v>
      </c>
      <c r="E2906">
        <v>0</v>
      </c>
      <c r="F2906">
        <v>27</v>
      </c>
      <c r="G2906" t="str">
        <f t="shared" si="53"/>
        <v>21-40</v>
      </c>
      <c r="H2906" t="s">
        <v>23</v>
      </c>
      <c r="I2906" t="s">
        <v>24</v>
      </c>
      <c r="J2906" t="s">
        <v>25</v>
      </c>
      <c r="K2906" t="s">
        <v>38</v>
      </c>
      <c r="L2906">
        <v>1</v>
      </c>
      <c r="M2906">
        <v>1</v>
      </c>
      <c r="N2906">
        <v>3</v>
      </c>
      <c r="O2906">
        <v>9.8000000000000007</v>
      </c>
      <c r="P2906">
        <v>3</v>
      </c>
      <c r="Q2906">
        <v>4</v>
      </c>
      <c r="R2906">
        <v>927778</v>
      </c>
      <c r="S2906">
        <f>Table1[[#This Row],[Revenue]]-Table1[[#This Row],[Operating_Costs]]</f>
        <v>106099</v>
      </c>
      <c r="T2906">
        <v>821679</v>
      </c>
      <c r="U2906">
        <v>34</v>
      </c>
      <c r="V2906">
        <v>66</v>
      </c>
      <c r="W2906">
        <v>8.6999999999999993</v>
      </c>
    </row>
    <row r="2907" spans="1:23" x14ac:dyDescent="0.25">
      <c r="A2907">
        <v>8</v>
      </c>
      <c r="B2907" t="s">
        <v>52</v>
      </c>
      <c r="C2907" s="1">
        <v>45056</v>
      </c>
      <c r="D2907" t="s">
        <v>71</v>
      </c>
      <c r="E2907">
        <v>0</v>
      </c>
      <c r="F2907">
        <v>86</v>
      </c>
      <c r="G2907" t="str">
        <f t="shared" si="53"/>
        <v>81+</v>
      </c>
      <c r="H2907" t="s">
        <v>35</v>
      </c>
      <c r="I2907" t="s">
        <v>53</v>
      </c>
      <c r="J2907" t="s">
        <v>54</v>
      </c>
      <c r="K2907" t="s">
        <v>33</v>
      </c>
      <c r="L2907">
        <v>1</v>
      </c>
      <c r="M2907">
        <v>1</v>
      </c>
      <c r="N2907">
        <v>5.0999999999999996</v>
      </c>
      <c r="O2907">
        <v>9</v>
      </c>
      <c r="P2907">
        <v>5</v>
      </c>
      <c r="Q2907">
        <v>6</v>
      </c>
      <c r="R2907">
        <v>914153</v>
      </c>
      <c r="S2907">
        <f>Table1[[#This Row],[Revenue]]-Table1[[#This Row],[Operating_Costs]]</f>
        <v>59783</v>
      </c>
      <c r="T2907">
        <v>854370</v>
      </c>
      <c r="U2907">
        <v>37</v>
      </c>
      <c r="V2907">
        <v>61</v>
      </c>
      <c r="W2907">
        <v>36.200000000000003</v>
      </c>
    </row>
    <row r="2908" spans="1:23" x14ac:dyDescent="0.25">
      <c r="A2908">
        <v>8</v>
      </c>
      <c r="B2908" t="s">
        <v>52</v>
      </c>
      <c r="C2908" s="1">
        <v>44555</v>
      </c>
      <c r="D2908" t="s">
        <v>71</v>
      </c>
      <c r="E2908">
        <v>0</v>
      </c>
      <c r="F2908">
        <v>35</v>
      </c>
      <c r="G2908" t="str">
        <f t="shared" si="53"/>
        <v>21-40</v>
      </c>
      <c r="H2908" t="s">
        <v>35</v>
      </c>
      <c r="I2908" t="s">
        <v>61</v>
      </c>
      <c r="J2908" t="s">
        <v>62</v>
      </c>
      <c r="K2908" t="s">
        <v>33</v>
      </c>
      <c r="L2908">
        <v>1</v>
      </c>
      <c r="M2908">
        <v>1</v>
      </c>
      <c r="N2908">
        <v>3.8</v>
      </c>
      <c r="O2908">
        <v>8.9</v>
      </c>
      <c r="P2908">
        <v>6</v>
      </c>
      <c r="Q2908">
        <v>5</v>
      </c>
      <c r="R2908">
        <v>906388</v>
      </c>
      <c r="S2908">
        <f>Table1[[#This Row],[Revenue]]-Table1[[#This Row],[Operating_Costs]]</f>
        <v>65933</v>
      </c>
      <c r="T2908">
        <v>840455</v>
      </c>
      <c r="U2908">
        <v>37</v>
      </c>
      <c r="V2908">
        <v>64</v>
      </c>
      <c r="W2908">
        <v>36.799999999999997</v>
      </c>
    </row>
    <row r="2909" spans="1:23" x14ac:dyDescent="0.25">
      <c r="A2909">
        <v>8</v>
      </c>
      <c r="B2909" t="s">
        <v>52</v>
      </c>
      <c r="C2909" s="1">
        <v>45577</v>
      </c>
      <c r="D2909" t="s">
        <v>71</v>
      </c>
      <c r="E2909">
        <v>0</v>
      </c>
      <c r="F2909">
        <v>37</v>
      </c>
      <c r="G2909" t="str">
        <f t="shared" si="53"/>
        <v>21-40</v>
      </c>
      <c r="H2909" t="s">
        <v>23</v>
      </c>
      <c r="I2909" t="s">
        <v>40</v>
      </c>
      <c r="J2909" t="s">
        <v>41</v>
      </c>
      <c r="K2909" t="s">
        <v>33</v>
      </c>
      <c r="L2909">
        <v>1</v>
      </c>
      <c r="M2909">
        <v>1</v>
      </c>
      <c r="N2909">
        <v>5.7</v>
      </c>
      <c r="O2909">
        <v>7.4</v>
      </c>
      <c r="P2909">
        <v>3</v>
      </c>
      <c r="Q2909">
        <v>6</v>
      </c>
      <c r="R2909">
        <v>954082</v>
      </c>
      <c r="S2909">
        <f>Table1[[#This Row],[Revenue]]-Table1[[#This Row],[Operating_Costs]]</f>
        <v>90705</v>
      </c>
      <c r="T2909">
        <v>863377</v>
      </c>
      <c r="U2909">
        <v>39</v>
      </c>
      <c r="V2909">
        <v>56</v>
      </c>
      <c r="W2909">
        <v>6.5</v>
      </c>
    </row>
    <row r="2910" spans="1:23" x14ac:dyDescent="0.25">
      <c r="A2910">
        <v>8</v>
      </c>
      <c r="B2910" t="s">
        <v>52</v>
      </c>
      <c r="C2910" s="1">
        <v>45565</v>
      </c>
      <c r="D2910" t="s">
        <v>71</v>
      </c>
      <c r="E2910">
        <v>0</v>
      </c>
      <c r="F2910">
        <v>22</v>
      </c>
      <c r="G2910" t="str">
        <f t="shared" si="53"/>
        <v>21-40</v>
      </c>
      <c r="H2910" t="s">
        <v>35</v>
      </c>
      <c r="I2910" t="s">
        <v>61</v>
      </c>
      <c r="J2910" t="s">
        <v>62</v>
      </c>
      <c r="K2910" t="s">
        <v>42</v>
      </c>
      <c r="L2910">
        <v>1</v>
      </c>
      <c r="M2910">
        <v>1</v>
      </c>
      <c r="N2910">
        <v>2.2000000000000002</v>
      </c>
      <c r="O2910">
        <v>8.6999999999999993</v>
      </c>
      <c r="P2910">
        <v>3</v>
      </c>
      <c r="Q2910">
        <v>6</v>
      </c>
      <c r="R2910">
        <v>936382</v>
      </c>
      <c r="S2910">
        <f>Table1[[#This Row],[Revenue]]-Table1[[#This Row],[Operating_Costs]]</f>
        <v>43590</v>
      </c>
      <c r="T2910">
        <v>892792</v>
      </c>
      <c r="U2910">
        <v>39</v>
      </c>
      <c r="V2910">
        <v>63</v>
      </c>
      <c r="W2910">
        <v>6.7</v>
      </c>
    </row>
    <row r="2911" spans="1:23" x14ac:dyDescent="0.25">
      <c r="A2911">
        <v>8</v>
      </c>
      <c r="B2911" t="s">
        <v>52</v>
      </c>
      <c r="C2911" s="1">
        <v>44880</v>
      </c>
      <c r="D2911" t="s">
        <v>71</v>
      </c>
      <c r="E2911">
        <v>0</v>
      </c>
      <c r="F2911">
        <v>37</v>
      </c>
      <c r="G2911" t="str">
        <f t="shared" si="53"/>
        <v>21-40</v>
      </c>
      <c r="H2911" t="s">
        <v>23</v>
      </c>
      <c r="I2911" t="s">
        <v>43</v>
      </c>
      <c r="J2911" t="s">
        <v>25</v>
      </c>
      <c r="K2911" t="s">
        <v>42</v>
      </c>
      <c r="L2911">
        <v>1</v>
      </c>
      <c r="M2911">
        <v>1</v>
      </c>
      <c r="N2911">
        <v>4.0999999999999996</v>
      </c>
      <c r="O2911">
        <v>7.3</v>
      </c>
      <c r="P2911">
        <v>4</v>
      </c>
      <c r="Q2911">
        <v>7</v>
      </c>
      <c r="R2911">
        <v>976987</v>
      </c>
      <c r="S2911">
        <f>Table1[[#This Row],[Revenue]]-Table1[[#This Row],[Operating_Costs]]</f>
        <v>107151</v>
      </c>
      <c r="T2911">
        <v>869836</v>
      </c>
      <c r="U2911">
        <v>35</v>
      </c>
      <c r="V2911">
        <v>61</v>
      </c>
      <c r="W2911">
        <v>9.1999999999999993</v>
      </c>
    </row>
    <row r="2912" spans="1:23" x14ac:dyDescent="0.25">
      <c r="A2912">
        <v>8</v>
      </c>
      <c r="B2912" t="s">
        <v>52</v>
      </c>
      <c r="C2912" s="1">
        <v>45240</v>
      </c>
      <c r="D2912" t="s">
        <v>71</v>
      </c>
      <c r="E2912">
        <v>0</v>
      </c>
      <c r="F2912">
        <v>24</v>
      </c>
      <c r="G2912" t="str">
        <f t="shared" si="53"/>
        <v>21-40</v>
      </c>
      <c r="H2912" t="s">
        <v>23</v>
      </c>
      <c r="I2912" t="s">
        <v>58</v>
      </c>
      <c r="J2912" t="s">
        <v>59</v>
      </c>
      <c r="K2912" t="s">
        <v>33</v>
      </c>
      <c r="L2912">
        <v>1</v>
      </c>
      <c r="M2912">
        <v>1</v>
      </c>
      <c r="N2912">
        <v>3.2</v>
      </c>
      <c r="O2912">
        <v>8.3000000000000007</v>
      </c>
      <c r="P2912">
        <v>5</v>
      </c>
      <c r="Q2912">
        <v>6</v>
      </c>
      <c r="R2912">
        <v>981638</v>
      </c>
      <c r="S2912">
        <f>Table1[[#This Row],[Revenue]]-Table1[[#This Row],[Operating_Costs]]</f>
        <v>115042</v>
      </c>
      <c r="T2912">
        <v>866596</v>
      </c>
      <c r="U2912">
        <v>39</v>
      </c>
      <c r="V2912">
        <v>55</v>
      </c>
      <c r="W2912">
        <v>12.8</v>
      </c>
    </row>
    <row r="2913" spans="1:23" x14ac:dyDescent="0.25">
      <c r="A2913">
        <v>8</v>
      </c>
      <c r="B2913" t="s">
        <v>52</v>
      </c>
      <c r="C2913" s="1">
        <v>44349</v>
      </c>
      <c r="D2913" t="s">
        <v>71</v>
      </c>
      <c r="E2913">
        <v>0</v>
      </c>
      <c r="F2913">
        <v>39</v>
      </c>
      <c r="G2913" t="str">
        <f t="shared" si="53"/>
        <v>21-40</v>
      </c>
      <c r="H2913" t="s">
        <v>35</v>
      </c>
      <c r="I2913" t="s">
        <v>27</v>
      </c>
      <c r="J2913" t="s">
        <v>28</v>
      </c>
      <c r="K2913" t="s">
        <v>26</v>
      </c>
      <c r="L2913">
        <v>1</v>
      </c>
      <c r="M2913">
        <v>1</v>
      </c>
      <c r="N2913">
        <v>5.4</v>
      </c>
      <c r="O2913">
        <v>7</v>
      </c>
      <c r="P2913">
        <v>4</v>
      </c>
      <c r="Q2913">
        <v>6</v>
      </c>
      <c r="R2913">
        <v>953856</v>
      </c>
      <c r="S2913">
        <f>Table1[[#This Row],[Revenue]]-Table1[[#This Row],[Operating_Costs]]</f>
        <v>96891</v>
      </c>
      <c r="T2913">
        <v>856965</v>
      </c>
      <c r="U2913">
        <v>37</v>
      </c>
      <c r="V2913">
        <v>61</v>
      </c>
      <c r="W2913">
        <v>13</v>
      </c>
    </row>
    <row r="2914" spans="1:23" x14ac:dyDescent="0.25">
      <c r="A2914">
        <v>9</v>
      </c>
      <c r="B2914" t="s">
        <v>44</v>
      </c>
      <c r="C2914" s="1">
        <v>45138</v>
      </c>
      <c r="D2914" t="s">
        <v>71</v>
      </c>
      <c r="E2914">
        <v>0</v>
      </c>
      <c r="F2914">
        <v>85</v>
      </c>
      <c r="G2914" t="str">
        <f t="shared" si="53"/>
        <v>81+</v>
      </c>
      <c r="H2914" t="s">
        <v>35</v>
      </c>
      <c r="I2914" t="s">
        <v>31</v>
      </c>
      <c r="J2914" t="s">
        <v>28</v>
      </c>
      <c r="K2914" t="s">
        <v>26</v>
      </c>
      <c r="L2914">
        <v>1</v>
      </c>
      <c r="M2914">
        <v>1</v>
      </c>
      <c r="N2914">
        <v>2.9</v>
      </c>
      <c r="O2914">
        <v>9.4</v>
      </c>
      <c r="P2914">
        <v>6</v>
      </c>
      <c r="Q2914">
        <v>4</v>
      </c>
      <c r="R2914">
        <v>521944</v>
      </c>
      <c r="S2914">
        <f>Table1[[#This Row],[Revenue]]-Table1[[#This Row],[Operating_Costs]]</f>
        <v>115380</v>
      </c>
      <c r="T2914">
        <v>406564</v>
      </c>
      <c r="U2914">
        <v>39</v>
      </c>
      <c r="V2914">
        <v>54</v>
      </c>
      <c r="W2914">
        <v>13</v>
      </c>
    </row>
    <row r="2915" spans="1:23" x14ac:dyDescent="0.25">
      <c r="A2915">
        <v>9</v>
      </c>
      <c r="B2915" t="s">
        <v>44</v>
      </c>
      <c r="C2915" s="1">
        <v>44329</v>
      </c>
      <c r="D2915" t="s">
        <v>71</v>
      </c>
      <c r="E2915">
        <v>0</v>
      </c>
      <c r="F2915">
        <v>47</v>
      </c>
      <c r="G2915" t="str">
        <f t="shared" si="53"/>
        <v>41-60</v>
      </c>
      <c r="H2915" t="s">
        <v>35</v>
      </c>
      <c r="I2915" t="s">
        <v>40</v>
      </c>
      <c r="J2915" t="s">
        <v>41</v>
      </c>
      <c r="K2915" t="s">
        <v>26</v>
      </c>
      <c r="L2915">
        <v>1</v>
      </c>
      <c r="M2915">
        <v>1</v>
      </c>
      <c r="N2915">
        <v>6</v>
      </c>
      <c r="O2915">
        <v>7.1</v>
      </c>
      <c r="P2915">
        <v>3</v>
      </c>
      <c r="Q2915">
        <v>5</v>
      </c>
      <c r="R2915">
        <v>557354</v>
      </c>
      <c r="S2915">
        <f>Table1[[#This Row],[Revenue]]-Table1[[#This Row],[Operating_Costs]]</f>
        <v>136006</v>
      </c>
      <c r="T2915">
        <v>421348</v>
      </c>
      <c r="U2915">
        <v>36</v>
      </c>
      <c r="V2915">
        <v>62</v>
      </c>
      <c r="W2915">
        <v>14</v>
      </c>
    </row>
    <row r="2916" spans="1:23" x14ac:dyDescent="0.25">
      <c r="A2916">
        <v>9</v>
      </c>
      <c r="B2916" t="s">
        <v>44</v>
      </c>
      <c r="C2916" s="1">
        <v>44405</v>
      </c>
      <c r="D2916" t="s">
        <v>71</v>
      </c>
      <c r="E2916">
        <v>0</v>
      </c>
      <c r="F2916">
        <v>44</v>
      </c>
      <c r="G2916" t="str">
        <f t="shared" si="53"/>
        <v>41-60</v>
      </c>
      <c r="H2916" t="s">
        <v>23</v>
      </c>
      <c r="I2916" t="s">
        <v>40</v>
      </c>
      <c r="J2916" t="s">
        <v>41</v>
      </c>
      <c r="K2916" t="s">
        <v>38</v>
      </c>
      <c r="L2916">
        <v>1</v>
      </c>
      <c r="M2916">
        <v>1</v>
      </c>
      <c r="N2916">
        <v>1.3</v>
      </c>
      <c r="O2916">
        <v>7.3</v>
      </c>
      <c r="P2916">
        <v>4</v>
      </c>
      <c r="Q2916">
        <v>6</v>
      </c>
      <c r="R2916">
        <v>500412</v>
      </c>
      <c r="S2916">
        <f>Table1[[#This Row],[Revenue]]-Table1[[#This Row],[Operating_Costs]]</f>
        <v>105625</v>
      </c>
      <c r="T2916">
        <v>394787</v>
      </c>
      <c r="U2916">
        <v>35</v>
      </c>
      <c r="V2916">
        <v>63</v>
      </c>
      <c r="W2916">
        <v>8.4</v>
      </c>
    </row>
    <row r="2917" spans="1:23" x14ac:dyDescent="0.25">
      <c r="A2917">
        <v>9</v>
      </c>
      <c r="B2917" t="s">
        <v>44</v>
      </c>
      <c r="C2917" s="1">
        <v>44970</v>
      </c>
      <c r="D2917" t="s">
        <v>71</v>
      </c>
      <c r="E2917">
        <v>0</v>
      </c>
      <c r="F2917">
        <v>39</v>
      </c>
      <c r="G2917" t="str">
        <f t="shared" si="53"/>
        <v>21-40</v>
      </c>
      <c r="H2917" t="s">
        <v>35</v>
      </c>
      <c r="I2917" t="s">
        <v>55</v>
      </c>
      <c r="J2917" t="s">
        <v>56</v>
      </c>
      <c r="K2917" t="s">
        <v>29</v>
      </c>
      <c r="L2917">
        <v>1</v>
      </c>
      <c r="M2917">
        <v>1</v>
      </c>
      <c r="N2917">
        <v>1.6</v>
      </c>
      <c r="O2917">
        <v>7</v>
      </c>
      <c r="P2917">
        <v>7</v>
      </c>
      <c r="Q2917">
        <v>7</v>
      </c>
      <c r="R2917">
        <v>577730</v>
      </c>
      <c r="S2917">
        <f>Table1[[#This Row],[Revenue]]-Table1[[#This Row],[Operating_Costs]]</f>
        <v>139476</v>
      </c>
      <c r="T2917">
        <v>438254</v>
      </c>
      <c r="U2917">
        <v>36</v>
      </c>
      <c r="V2917">
        <v>62</v>
      </c>
      <c r="W2917">
        <v>9.5</v>
      </c>
    </row>
    <row r="2918" spans="1:23" x14ac:dyDescent="0.25">
      <c r="A2918">
        <v>9</v>
      </c>
      <c r="B2918" t="s">
        <v>44</v>
      </c>
      <c r="C2918" s="1">
        <v>44359</v>
      </c>
      <c r="D2918" t="s">
        <v>71</v>
      </c>
      <c r="E2918">
        <v>0</v>
      </c>
      <c r="F2918">
        <v>61</v>
      </c>
      <c r="G2918" t="str">
        <f t="shared" si="53"/>
        <v>61-80</v>
      </c>
      <c r="H2918" t="s">
        <v>23</v>
      </c>
      <c r="I2918" t="s">
        <v>67</v>
      </c>
      <c r="J2918" t="s">
        <v>68</v>
      </c>
      <c r="K2918" t="s">
        <v>26</v>
      </c>
      <c r="L2918">
        <v>1</v>
      </c>
      <c r="M2918">
        <v>1</v>
      </c>
      <c r="N2918">
        <v>3.2</v>
      </c>
      <c r="O2918">
        <v>7.6</v>
      </c>
      <c r="P2918">
        <v>3</v>
      </c>
      <c r="Q2918">
        <v>5</v>
      </c>
      <c r="R2918">
        <v>537804</v>
      </c>
      <c r="S2918">
        <f>Table1[[#This Row],[Revenue]]-Table1[[#This Row],[Operating_Costs]]</f>
        <v>76428</v>
      </c>
      <c r="T2918">
        <v>461376</v>
      </c>
      <c r="U2918">
        <v>35</v>
      </c>
      <c r="V2918">
        <v>55</v>
      </c>
      <c r="W2918">
        <v>8.6999999999999993</v>
      </c>
    </row>
    <row r="2919" spans="1:23" x14ac:dyDescent="0.25">
      <c r="A2919">
        <v>9</v>
      </c>
      <c r="B2919" t="s">
        <v>44</v>
      </c>
      <c r="C2919" s="1">
        <v>44354</v>
      </c>
      <c r="D2919" t="s">
        <v>71</v>
      </c>
      <c r="E2919">
        <v>0</v>
      </c>
      <c r="F2919">
        <v>82</v>
      </c>
      <c r="G2919" t="str">
        <f t="shared" si="53"/>
        <v>81+</v>
      </c>
      <c r="H2919" t="s">
        <v>35</v>
      </c>
      <c r="I2919" t="s">
        <v>55</v>
      </c>
      <c r="J2919" t="s">
        <v>56</v>
      </c>
      <c r="K2919" t="s">
        <v>29</v>
      </c>
      <c r="L2919">
        <v>1</v>
      </c>
      <c r="M2919">
        <v>1</v>
      </c>
      <c r="N2919">
        <v>3.6</v>
      </c>
      <c r="O2919">
        <v>8.3000000000000007</v>
      </c>
      <c r="P2919">
        <v>6</v>
      </c>
      <c r="Q2919">
        <v>4</v>
      </c>
      <c r="R2919">
        <v>556937</v>
      </c>
      <c r="S2919">
        <f>Table1[[#This Row],[Revenue]]-Table1[[#This Row],[Operating_Costs]]</f>
        <v>129650</v>
      </c>
      <c r="T2919">
        <v>427287</v>
      </c>
      <c r="U2919">
        <v>38</v>
      </c>
      <c r="V2919">
        <v>56</v>
      </c>
      <c r="W2919">
        <v>7.7</v>
      </c>
    </row>
    <row r="2920" spans="1:23" x14ac:dyDescent="0.25">
      <c r="A2920">
        <v>9</v>
      </c>
      <c r="B2920" t="s">
        <v>44</v>
      </c>
      <c r="C2920" s="1">
        <v>44631</v>
      </c>
      <c r="D2920" t="s">
        <v>71</v>
      </c>
      <c r="E2920">
        <v>0</v>
      </c>
      <c r="F2920">
        <v>26</v>
      </c>
      <c r="G2920" t="str">
        <f t="shared" si="53"/>
        <v>21-40</v>
      </c>
      <c r="H2920" t="s">
        <v>35</v>
      </c>
      <c r="I2920" t="s">
        <v>31</v>
      </c>
      <c r="J2920" t="s">
        <v>28</v>
      </c>
      <c r="K2920" t="s">
        <v>38</v>
      </c>
      <c r="L2920">
        <v>1</v>
      </c>
      <c r="M2920">
        <v>1</v>
      </c>
      <c r="N2920">
        <v>5.9</v>
      </c>
      <c r="O2920">
        <v>7.1</v>
      </c>
      <c r="P2920">
        <v>7</v>
      </c>
      <c r="Q2920">
        <v>3</v>
      </c>
      <c r="R2920">
        <v>587350</v>
      </c>
      <c r="S2920">
        <f>Table1[[#This Row],[Revenue]]-Table1[[#This Row],[Operating_Costs]]</f>
        <v>183749</v>
      </c>
      <c r="T2920">
        <v>403601</v>
      </c>
      <c r="U2920">
        <v>35</v>
      </c>
      <c r="V2920">
        <v>54</v>
      </c>
      <c r="W2920">
        <v>12.4</v>
      </c>
    </row>
    <row r="2921" spans="1:23" x14ac:dyDescent="0.25">
      <c r="A2921">
        <v>9</v>
      </c>
      <c r="B2921" t="s">
        <v>44</v>
      </c>
      <c r="C2921" s="1">
        <v>44916</v>
      </c>
      <c r="D2921" t="s">
        <v>71</v>
      </c>
      <c r="E2921">
        <v>0</v>
      </c>
      <c r="F2921">
        <v>39</v>
      </c>
      <c r="G2921" t="str">
        <f t="shared" si="53"/>
        <v>21-40</v>
      </c>
      <c r="H2921" t="s">
        <v>23</v>
      </c>
      <c r="I2921" t="s">
        <v>43</v>
      </c>
      <c r="J2921" t="s">
        <v>25</v>
      </c>
      <c r="K2921" t="s">
        <v>29</v>
      </c>
      <c r="L2921">
        <v>1</v>
      </c>
      <c r="M2921">
        <v>1</v>
      </c>
      <c r="N2921">
        <v>3.3</v>
      </c>
      <c r="O2921">
        <v>7.8</v>
      </c>
      <c r="P2921">
        <v>4</v>
      </c>
      <c r="Q2921">
        <v>6</v>
      </c>
      <c r="R2921">
        <v>504212</v>
      </c>
      <c r="S2921">
        <f>Table1[[#This Row],[Revenue]]-Table1[[#This Row],[Operating_Costs]]</f>
        <v>36503</v>
      </c>
      <c r="T2921">
        <v>467709</v>
      </c>
      <c r="U2921">
        <v>37</v>
      </c>
      <c r="V2921">
        <v>57</v>
      </c>
      <c r="W2921">
        <v>8.8000000000000007</v>
      </c>
    </row>
    <row r="2922" spans="1:23" x14ac:dyDescent="0.25">
      <c r="A2922">
        <v>9</v>
      </c>
      <c r="B2922" t="s">
        <v>44</v>
      </c>
      <c r="C2922" s="1">
        <v>44467</v>
      </c>
      <c r="D2922" t="s">
        <v>71</v>
      </c>
      <c r="E2922">
        <v>0</v>
      </c>
      <c r="F2922">
        <v>75</v>
      </c>
      <c r="G2922" t="str">
        <f t="shared" si="53"/>
        <v>61-80</v>
      </c>
      <c r="H2922" t="s">
        <v>35</v>
      </c>
      <c r="I2922" t="s">
        <v>61</v>
      </c>
      <c r="J2922" t="s">
        <v>62</v>
      </c>
      <c r="K2922" t="s">
        <v>26</v>
      </c>
      <c r="L2922">
        <v>1</v>
      </c>
      <c r="M2922">
        <v>1</v>
      </c>
      <c r="N2922">
        <v>2.6</v>
      </c>
      <c r="O2922">
        <v>9.9</v>
      </c>
      <c r="P2922">
        <v>4</v>
      </c>
      <c r="Q2922">
        <v>4</v>
      </c>
      <c r="R2922">
        <v>594689</v>
      </c>
      <c r="S2922">
        <f>Table1[[#This Row],[Revenue]]-Table1[[#This Row],[Operating_Costs]]</f>
        <v>131544</v>
      </c>
      <c r="T2922">
        <v>463145</v>
      </c>
      <c r="U2922">
        <v>40</v>
      </c>
      <c r="V2922">
        <v>56</v>
      </c>
      <c r="W2922">
        <v>36</v>
      </c>
    </row>
    <row r="2923" spans="1:23" x14ac:dyDescent="0.25">
      <c r="A2923">
        <v>9</v>
      </c>
      <c r="B2923" t="s">
        <v>44</v>
      </c>
      <c r="C2923" s="1">
        <v>44882</v>
      </c>
      <c r="D2923" t="s">
        <v>71</v>
      </c>
      <c r="E2923">
        <v>0</v>
      </c>
      <c r="F2923">
        <v>40</v>
      </c>
      <c r="G2923" t="str">
        <f t="shared" si="53"/>
        <v>21-40</v>
      </c>
      <c r="H2923" t="s">
        <v>23</v>
      </c>
      <c r="I2923" t="s">
        <v>24</v>
      </c>
      <c r="J2923" t="s">
        <v>25</v>
      </c>
      <c r="K2923" t="s">
        <v>29</v>
      </c>
      <c r="L2923">
        <v>1</v>
      </c>
      <c r="M2923">
        <v>1</v>
      </c>
      <c r="N2923">
        <v>3.9</v>
      </c>
      <c r="O2923">
        <v>9.9</v>
      </c>
      <c r="P2923">
        <v>6</v>
      </c>
      <c r="Q2923">
        <v>3</v>
      </c>
      <c r="R2923">
        <v>500707</v>
      </c>
      <c r="S2923">
        <f>Table1[[#This Row],[Revenue]]-Table1[[#This Row],[Operating_Costs]]</f>
        <v>68560</v>
      </c>
      <c r="T2923">
        <v>432147</v>
      </c>
      <c r="U2923">
        <v>35</v>
      </c>
      <c r="V2923">
        <v>62</v>
      </c>
      <c r="W2923">
        <v>8.4</v>
      </c>
    </row>
    <row r="2924" spans="1:23" x14ac:dyDescent="0.25">
      <c r="A2924">
        <v>9</v>
      </c>
      <c r="B2924" t="s">
        <v>44</v>
      </c>
      <c r="C2924" s="1">
        <v>45523</v>
      </c>
      <c r="D2924" t="s">
        <v>71</v>
      </c>
      <c r="E2924">
        <v>0</v>
      </c>
      <c r="F2924">
        <v>46</v>
      </c>
      <c r="G2924" t="str">
        <f t="shared" si="53"/>
        <v>41-60</v>
      </c>
      <c r="H2924" t="s">
        <v>23</v>
      </c>
      <c r="I2924" t="s">
        <v>64</v>
      </c>
      <c r="J2924" t="s">
        <v>65</v>
      </c>
      <c r="K2924" t="s">
        <v>29</v>
      </c>
      <c r="L2924">
        <v>1</v>
      </c>
      <c r="M2924">
        <v>1</v>
      </c>
      <c r="N2924">
        <v>3.4</v>
      </c>
      <c r="O2924">
        <v>8.4</v>
      </c>
      <c r="P2924">
        <v>4</v>
      </c>
      <c r="Q2924">
        <v>4</v>
      </c>
      <c r="R2924">
        <v>549448</v>
      </c>
      <c r="S2924">
        <f>Table1[[#This Row],[Revenue]]-Table1[[#This Row],[Operating_Costs]]</f>
        <v>145801</v>
      </c>
      <c r="T2924">
        <v>403647</v>
      </c>
      <c r="U2924">
        <v>37</v>
      </c>
      <c r="V2924">
        <v>61</v>
      </c>
      <c r="W2924">
        <v>8.3000000000000007</v>
      </c>
    </row>
    <row r="2925" spans="1:23" x14ac:dyDescent="0.25">
      <c r="A2925">
        <v>9</v>
      </c>
      <c r="B2925" t="s">
        <v>44</v>
      </c>
      <c r="C2925" s="1">
        <v>45049</v>
      </c>
      <c r="D2925" t="s">
        <v>71</v>
      </c>
      <c r="E2925">
        <v>0</v>
      </c>
      <c r="F2925">
        <v>51</v>
      </c>
      <c r="G2925" t="str">
        <f t="shared" si="53"/>
        <v>41-60</v>
      </c>
      <c r="H2925" t="s">
        <v>35</v>
      </c>
      <c r="I2925" t="s">
        <v>60</v>
      </c>
      <c r="J2925" t="s">
        <v>59</v>
      </c>
      <c r="K2925" t="s">
        <v>29</v>
      </c>
      <c r="L2925">
        <v>1</v>
      </c>
      <c r="M2925">
        <v>1</v>
      </c>
      <c r="N2925">
        <v>3.9</v>
      </c>
      <c r="O2925">
        <v>9.3000000000000007</v>
      </c>
      <c r="P2925">
        <v>3</v>
      </c>
      <c r="Q2925">
        <v>5</v>
      </c>
      <c r="R2925">
        <v>581666</v>
      </c>
      <c r="S2925">
        <f>Table1[[#This Row],[Revenue]]-Table1[[#This Row],[Operating_Costs]]</f>
        <v>101265</v>
      </c>
      <c r="T2925">
        <v>480401</v>
      </c>
      <c r="U2925">
        <v>37</v>
      </c>
      <c r="V2925">
        <v>60</v>
      </c>
      <c r="W2925">
        <v>6.4</v>
      </c>
    </row>
    <row r="2926" spans="1:23" x14ac:dyDescent="0.25">
      <c r="A2926">
        <v>9</v>
      </c>
      <c r="B2926" t="s">
        <v>44</v>
      </c>
      <c r="C2926" s="1">
        <v>44904</v>
      </c>
      <c r="D2926" t="s">
        <v>71</v>
      </c>
      <c r="E2926">
        <v>0</v>
      </c>
      <c r="F2926">
        <v>34</v>
      </c>
      <c r="G2926" t="str">
        <f t="shared" si="53"/>
        <v>21-40</v>
      </c>
      <c r="H2926" t="s">
        <v>35</v>
      </c>
      <c r="I2926" t="s">
        <v>40</v>
      </c>
      <c r="J2926" t="s">
        <v>41</v>
      </c>
      <c r="K2926" t="s">
        <v>26</v>
      </c>
      <c r="L2926">
        <v>1</v>
      </c>
      <c r="M2926">
        <v>1</v>
      </c>
      <c r="N2926">
        <v>2.8</v>
      </c>
      <c r="O2926">
        <v>8.9</v>
      </c>
      <c r="P2926">
        <v>7</v>
      </c>
      <c r="Q2926">
        <v>7</v>
      </c>
      <c r="R2926">
        <v>587887</v>
      </c>
      <c r="S2926">
        <f>Table1[[#This Row],[Revenue]]-Table1[[#This Row],[Operating_Costs]]</f>
        <v>112114</v>
      </c>
      <c r="T2926">
        <v>475773</v>
      </c>
      <c r="U2926">
        <v>35</v>
      </c>
      <c r="V2926">
        <v>65</v>
      </c>
      <c r="W2926">
        <v>10.7</v>
      </c>
    </row>
    <row r="2927" spans="1:23" x14ac:dyDescent="0.25">
      <c r="A2927">
        <v>9</v>
      </c>
      <c r="B2927" t="s">
        <v>44</v>
      </c>
      <c r="C2927" s="1">
        <v>45440</v>
      </c>
      <c r="D2927" t="s">
        <v>71</v>
      </c>
      <c r="E2927">
        <v>0</v>
      </c>
      <c r="F2927">
        <v>23</v>
      </c>
      <c r="G2927" t="str">
        <f t="shared" si="53"/>
        <v>21-40</v>
      </c>
      <c r="H2927" t="s">
        <v>35</v>
      </c>
      <c r="I2927" t="s">
        <v>36</v>
      </c>
      <c r="J2927" t="s">
        <v>37</v>
      </c>
      <c r="K2927" t="s">
        <v>26</v>
      </c>
      <c r="L2927">
        <v>1</v>
      </c>
      <c r="M2927">
        <v>1</v>
      </c>
      <c r="N2927">
        <v>5.9</v>
      </c>
      <c r="O2927">
        <v>8.3000000000000007</v>
      </c>
      <c r="P2927">
        <v>7</v>
      </c>
      <c r="Q2927">
        <v>5</v>
      </c>
      <c r="R2927">
        <v>522356</v>
      </c>
      <c r="S2927">
        <f>Table1[[#This Row],[Revenue]]-Table1[[#This Row],[Operating_Costs]]</f>
        <v>87843</v>
      </c>
      <c r="T2927">
        <v>434513</v>
      </c>
      <c r="U2927">
        <v>39</v>
      </c>
      <c r="V2927">
        <v>63</v>
      </c>
      <c r="W2927">
        <v>12.7</v>
      </c>
    </row>
    <row r="2928" spans="1:23" x14ac:dyDescent="0.25">
      <c r="A2928">
        <v>9</v>
      </c>
      <c r="B2928" t="s">
        <v>44</v>
      </c>
      <c r="C2928" s="1">
        <v>45355</v>
      </c>
      <c r="D2928" t="s">
        <v>71</v>
      </c>
      <c r="E2928">
        <v>0</v>
      </c>
      <c r="F2928">
        <v>72</v>
      </c>
      <c r="G2928" t="str">
        <f t="shared" si="53"/>
        <v>61-80</v>
      </c>
      <c r="H2928" t="s">
        <v>23</v>
      </c>
      <c r="I2928" t="s">
        <v>24</v>
      </c>
      <c r="J2928" t="s">
        <v>25</v>
      </c>
      <c r="K2928" t="s">
        <v>42</v>
      </c>
      <c r="L2928">
        <v>1</v>
      </c>
      <c r="M2928">
        <v>1</v>
      </c>
      <c r="N2928">
        <v>6.9</v>
      </c>
      <c r="O2928">
        <v>8.5</v>
      </c>
      <c r="P2928">
        <v>6</v>
      </c>
      <c r="Q2928">
        <v>4</v>
      </c>
      <c r="R2928">
        <v>509967</v>
      </c>
      <c r="S2928">
        <f>Table1[[#This Row],[Revenue]]-Table1[[#This Row],[Operating_Costs]]</f>
        <v>128431</v>
      </c>
      <c r="T2928">
        <v>381536</v>
      </c>
      <c r="U2928">
        <v>36</v>
      </c>
      <c r="V2928">
        <v>60</v>
      </c>
      <c r="W2928">
        <v>9.6999999999999993</v>
      </c>
    </row>
    <row r="2929" spans="1:23" x14ac:dyDescent="0.25">
      <c r="A2929">
        <v>9</v>
      </c>
      <c r="B2929" t="s">
        <v>44</v>
      </c>
      <c r="C2929" s="1">
        <v>44689</v>
      </c>
      <c r="D2929" t="s">
        <v>71</v>
      </c>
      <c r="E2929">
        <v>0</v>
      </c>
      <c r="F2929">
        <v>40</v>
      </c>
      <c r="G2929" t="str">
        <f t="shared" si="53"/>
        <v>21-40</v>
      </c>
      <c r="H2929" t="s">
        <v>23</v>
      </c>
      <c r="I2929" t="s">
        <v>58</v>
      </c>
      <c r="J2929" t="s">
        <v>59</v>
      </c>
      <c r="K2929" t="s">
        <v>42</v>
      </c>
      <c r="L2929">
        <v>1</v>
      </c>
      <c r="M2929">
        <v>1</v>
      </c>
      <c r="N2929">
        <v>5.7</v>
      </c>
      <c r="O2929">
        <v>8.9</v>
      </c>
      <c r="P2929">
        <v>5</v>
      </c>
      <c r="Q2929">
        <v>4</v>
      </c>
      <c r="R2929">
        <v>536018</v>
      </c>
      <c r="S2929">
        <f>Table1[[#This Row],[Revenue]]-Table1[[#This Row],[Operating_Costs]]</f>
        <v>50013</v>
      </c>
      <c r="T2929">
        <v>486005</v>
      </c>
      <c r="U2929">
        <v>38</v>
      </c>
      <c r="V2929">
        <v>58</v>
      </c>
      <c r="W2929">
        <v>12.2</v>
      </c>
    </row>
    <row r="2930" spans="1:23" x14ac:dyDescent="0.25">
      <c r="A2930">
        <v>9</v>
      </c>
      <c r="B2930" t="s">
        <v>44</v>
      </c>
      <c r="C2930" s="1">
        <v>45341</v>
      </c>
      <c r="D2930" t="s">
        <v>71</v>
      </c>
      <c r="E2930">
        <v>0</v>
      </c>
      <c r="F2930">
        <v>29</v>
      </c>
      <c r="G2930" t="str">
        <f t="shared" si="53"/>
        <v>21-40</v>
      </c>
      <c r="H2930" t="s">
        <v>23</v>
      </c>
      <c r="I2930" t="s">
        <v>24</v>
      </c>
      <c r="J2930" t="s">
        <v>25</v>
      </c>
      <c r="K2930" t="s">
        <v>42</v>
      </c>
      <c r="L2930">
        <v>1</v>
      </c>
      <c r="M2930">
        <v>1</v>
      </c>
      <c r="N2930">
        <v>3.5</v>
      </c>
      <c r="O2930">
        <v>8.1</v>
      </c>
      <c r="P2930">
        <v>4</v>
      </c>
      <c r="Q2930">
        <v>6</v>
      </c>
      <c r="R2930">
        <v>514363</v>
      </c>
      <c r="S2930">
        <f>Table1[[#This Row],[Revenue]]-Table1[[#This Row],[Operating_Costs]]</f>
        <v>40525</v>
      </c>
      <c r="T2930">
        <v>473838</v>
      </c>
      <c r="U2930">
        <v>40</v>
      </c>
      <c r="V2930">
        <v>62</v>
      </c>
      <c r="W2930">
        <v>9.6999999999999993</v>
      </c>
    </row>
    <row r="2931" spans="1:23" x14ac:dyDescent="0.25">
      <c r="A2931">
        <v>9</v>
      </c>
      <c r="B2931" t="s">
        <v>44</v>
      </c>
      <c r="C2931" s="1">
        <v>44758</v>
      </c>
      <c r="D2931" t="s">
        <v>71</v>
      </c>
      <c r="E2931">
        <v>0</v>
      </c>
      <c r="F2931">
        <v>88</v>
      </c>
      <c r="G2931" t="str">
        <f t="shared" si="53"/>
        <v>81+</v>
      </c>
      <c r="H2931" t="s">
        <v>23</v>
      </c>
      <c r="I2931" t="s">
        <v>40</v>
      </c>
      <c r="J2931" t="s">
        <v>41</v>
      </c>
      <c r="K2931" t="s">
        <v>38</v>
      </c>
      <c r="L2931">
        <v>1</v>
      </c>
      <c r="M2931">
        <v>1</v>
      </c>
      <c r="N2931">
        <v>1.6</v>
      </c>
      <c r="O2931">
        <v>8.8000000000000007</v>
      </c>
      <c r="P2931">
        <v>5</v>
      </c>
      <c r="Q2931">
        <v>3</v>
      </c>
      <c r="R2931">
        <v>598221</v>
      </c>
      <c r="S2931">
        <f>Table1[[#This Row],[Revenue]]-Table1[[#This Row],[Operating_Costs]]</f>
        <v>215378</v>
      </c>
      <c r="T2931">
        <v>382843</v>
      </c>
      <c r="U2931">
        <v>38</v>
      </c>
      <c r="V2931">
        <v>59</v>
      </c>
      <c r="W2931">
        <v>9.9</v>
      </c>
    </row>
    <row r="2932" spans="1:23" x14ac:dyDescent="0.25">
      <c r="A2932">
        <v>9</v>
      </c>
      <c r="B2932" t="s">
        <v>44</v>
      </c>
      <c r="C2932" s="1">
        <v>44917</v>
      </c>
      <c r="D2932" t="s">
        <v>71</v>
      </c>
      <c r="E2932">
        <v>0</v>
      </c>
      <c r="F2932">
        <v>87</v>
      </c>
      <c r="G2932" t="str">
        <f t="shared" si="53"/>
        <v>81+</v>
      </c>
      <c r="H2932" t="s">
        <v>35</v>
      </c>
      <c r="I2932" t="s">
        <v>31</v>
      </c>
      <c r="J2932" t="s">
        <v>28</v>
      </c>
      <c r="K2932" t="s">
        <v>38</v>
      </c>
      <c r="L2932">
        <v>1</v>
      </c>
      <c r="M2932">
        <v>1</v>
      </c>
      <c r="N2932">
        <v>5.4</v>
      </c>
      <c r="O2932">
        <v>9.5</v>
      </c>
      <c r="P2932">
        <v>4</v>
      </c>
      <c r="Q2932">
        <v>5</v>
      </c>
      <c r="R2932">
        <v>559543</v>
      </c>
      <c r="S2932">
        <f>Table1[[#This Row],[Revenue]]-Table1[[#This Row],[Operating_Costs]]</f>
        <v>168506</v>
      </c>
      <c r="T2932">
        <v>391037</v>
      </c>
      <c r="U2932">
        <v>37</v>
      </c>
      <c r="V2932">
        <v>59</v>
      </c>
      <c r="W2932">
        <v>6.2</v>
      </c>
    </row>
    <row r="2933" spans="1:23" x14ac:dyDescent="0.25">
      <c r="A2933">
        <v>9</v>
      </c>
      <c r="B2933" t="s">
        <v>44</v>
      </c>
      <c r="C2933" s="1">
        <v>44469</v>
      </c>
      <c r="D2933" t="s">
        <v>71</v>
      </c>
      <c r="E2933">
        <v>0</v>
      </c>
      <c r="F2933">
        <v>28</v>
      </c>
      <c r="G2933" t="str">
        <f t="shared" si="53"/>
        <v>21-40</v>
      </c>
      <c r="H2933" t="s">
        <v>23</v>
      </c>
      <c r="I2933" t="s">
        <v>43</v>
      </c>
      <c r="J2933" t="s">
        <v>25</v>
      </c>
      <c r="K2933" t="s">
        <v>38</v>
      </c>
      <c r="L2933">
        <v>1</v>
      </c>
      <c r="M2933">
        <v>1</v>
      </c>
      <c r="N2933">
        <v>6.6</v>
      </c>
      <c r="O2933">
        <v>9.1</v>
      </c>
      <c r="P2933">
        <v>3</v>
      </c>
      <c r="Q2933">
        <v>6</v>
      </c>
      <c r="R2933">
        <v>593724</v>
      </c>
      <c r="S2933">
        <f>Table1[[#This Row],[Revenue]]-Table1[[#This Row],[Operating_Costs]]</f>
        <v>136873</v>
      </c>
      <c r="T2933">
        <v>456851</v>
      </c>
      <c r="U2933">
        <v>36</v>
      </c>
      <c r="V2933">
        <v>59</v>
      </c>
      <c r="W2933">
        <v>12</v>
      </c>
    </row>
    <row r="2934" spans="1:23" x14ac:dyDescent="0.25">
      <c r="A2934">
        <v>9</v>
      </c>
      <c r="B2934" t="s">
        <v>44</v>
      </c>
      <c r="C2934" s="1">
        <v>44673</v>
      </c>
      <c r="D2934" t="s">
        <v>71</v>
      </c>
      <c r="E2934">
        <v>0</v>
      </c>
      <c r="F2934">
        <v>55</v>
      </c>
      <c r="G2934" t="str">
        <f t="shared" si="53"/>
        <v>41-60</v>
      </c>
      <c r="H2934" t="s">
        <v>23</v>
      </c>
      <c r="I2934" t="s">
        <v>24</v>
      </c>
      <c r="J2934" t="s">
        <v>25</v>
      </c>
      <c r="K2934" t="s">
        <v>33</v>
      </c>
      <c r="L2934">
        <v>1</v>
      </c>
      <c r="M2934">
        <v>1</v>
      </c>
      <c r="N2934">
        <v>5.9</v>
      </c>
      <c r="O2934">
        <v>7.7</v>
      </c>
      <c r="P2934">
        <v>5</v>
      </c>
      <c r="Q2934">
        <v>3</v>
      </c>
      <c r="R2934">
        <v>552064</v>
      </c>
      <c r="S2934">
        <f>Table1[[#This Row],[Revenue]]-Table1[[#This Row],[Operating_Costs]]</f>
        <v>131771</v>
      </c>
      <c r="T2934">
        <v>420293</v>
      </c>
      <c r="U2934">
        <v>36</v>
      </c>
      <c r="V2934">
        <v>55</v>
      </c>
      <c r="W2934">
        <v>36.700000000000003</v>
      </c>
    </row>
    <row r="2935" spans="1:23" x14ac:dyDescent="0.25">
      <c r="A2935">
        <v>9</v>
      </c>
      <c r="B2935" t="s">
        <v>44</v>
      </c>
      <c r="C2935" s="1">
        <v>45390</v>
      </c>
      <c r="D2935" t="s">
        <v>71</v>
      </c>
      <c r="E2935">
        <v>0</v>
      </c>
      <c r="F2935">
        <v>30</v>
      </c>
      <c r="G2935" t="str">
        <f t="shared" si="53"/>
        <v>21-40</v>
      </c>
      <c r="H2935" t="s">
        <v>23</v>
      </c>
      <c r="I2935" t="s">
        <v>50</v>
      </c>
      <c r="J2935" t="s">
        <v>51</v>
      </c>
      <c r="K2935" t="s">
        <v>26</v>
      </c>
      <c r="L2935">
        <v>1</v>
      </c>
      <c r="M2935">
        <v>1</v>
      </c>
      <c r="N2935">
        <v>2</v>
      </c>
      <c r="O2935">
        <v>7.4</v>
      </c>
      <c r="P2935">
        <v>5</v>
      </c>
      <c r="Q2935">
        <v>6</v>
      </c>
      <c r="R2935">
        <v>505308</v>
      </c>
      <c r="S2935">
        <f>Table1[[#This Row],[Revenue]]-Table1[[#This Row],[Operating_Costs]]</f>
        <v>46964</v>
      </c>
      <c r="T2935">
        <v>458344</v>
      </c>
      <c r="U2935">
        <v>37</v>
      </c>
      <c r="V2935">
        <v>62</v>
      </c>
      <c r="W2935">
        <v>13.8</v>
      </c>
    </row>
    <row r="2936" spans="1:23" x14ac:dyDescent="0.25">
      <c r="A2936">
        <v>9</v>
      </c>
      <c r="B2936" t="s">
        <v>44</v>
      </c>
      <c r="C2936" s="1">
        <v>44347</v>
      </c>
      <c r="D2936" t="s">
        <v>71</v>
      </c>
      <c r="E2936">
        <v>0</v>
      </c>
      <c r="F2936">
        <v>39</v>
      </c>
      <c r="G2936" t="str">
        <f t="shared" si="53"/>
        <v>21-40</v>
      </c>
      <c r="H2936" t="s">
        <v>35</v>
      </c>
      <c r="I2936" t="s">
        <v>36</v>
      </c>
      <c r="J2936" t="s">
        <v>37</v>
      </c>
      <c r="K2936" t="s">
        <v>26</v>
      </c>
      <c r="L2936">
        <v>1</v>
      </c>
      <c r="M2936">
        <v>1</v>
      </c>
      <c r="N2936">
        <v>3.5</v>
      </c>
      <c r="O2936">
        <v>8.6999999999999993</v>
      </c>
      <c r="P2936">
        <v>4</v>
      </c>
      <c r="Q2936">
        <v>3</v>
      </c>
      <c r="R2936">
        <v>587278</v>
      </c>
      <c r="S2936">
        <f>Table1[[#This Row],[Revenue]]-Table1[[#This Row],[Operating_Costs]]</f>
        <v>185913</v>
      </c>
      <c r="T2936">
        <v>401365</v>
      </c>
      <c r="U2936">
        <v>37</v>
      </c>
      <c r="V2936">
        <v>65</v>
      </c>
      <c r="W2936">
        <v>7</v>
      </c>
    </row>
    <row r="2937" spans="1:23" x14ac:dyDescent="0.25">
      <c r="A2937">
        <v>9</v>
      </c>
      <c r="B2937" t="s">
        <v>44</v>
      </c>
      <c r="C2937" s="1">
        <v>45413</v>
      </c>
      <c r="D2937" t="s">
        <v>71</v>
      </c>
      <c r="E2937">
        <v>0</v>
      </c>
      <c r="F2937">
        <v>61</v>
      </c>
      <c r="G2937" t="str">
        <f t="shared" si="53"/>
        <v>61-80</v>
      </c>
      <c r="H2937" t="s">
        <v>23</v>
      </c>
      <c r="I2937" t="s">
        <v>24</v>
      </c>
      <c r="J2937" t="s">
        <v>25</v>
      </c>
      <c r="K2937" t="s">
        <v>29</v>
      </c>
      <c r="L2937">
        <v>1</v>
      </c>
      <c r="M2937">
        <v>1</v>
      </c>
      <c r="N2937">
        <v>1.4</v>
      </c>
      <c r="O2937">
        <v>8.8000000000000007</v>
      </c>
      <c r="P2937">
        <v>4</v>
      </c>
      <c r="Q2937">
        <v>6</v>
      </c>
      <c r="R2937">
        <v>539554</v>
      </c>
      <c r="S2937">
        <f>Table1[[#This Row],[Revenue]]-Table1[[#This Row],[Operating_Costs]]</f>
        <v>54189</v>
      </c>
      <c r="T2937">
        <v>485365</v>
      </c>
      <c r="U2937">
        <v>38</v>
      </c>
      <c r="V2937">
        <v>66</v>
      </c>
      <c r="W2937">
        <v>36.1</v>
      </c>
    </row>
    <row r="2938" spans="1:23" x14ac:dyDescent="0.25">
      <c r="A2938">
        <v>9</v>
      </c>
      <c r="B2938" t="s">
        <v>44</v>
      </c>
      <c r="C2938" s="1">
        <v>44622</v>
      </c>
      <c r="D2938" t="s">
        <v>71</v>
      </c>
      <c r="E2938">
        <v>0</v>
      </c>
      <c r="F2938">
        <v>34</v>
      </c>
      <c r="G2938" t="str">
        <f t="shared" si="53"/>
        <v>21-40</v>
      </c>
      <c r="H2938" t="s">
        <v>23</v>
      </c>
      <c r="I2938" t="s">
        <v>64</v>
      </c>
      <c r="J2938" t="s">
        <v>65</v>
      </c>
      <c r="K2938" t="s">
        <v>38</v>
      </c>
      <c r="L2938">
        <v>1</v>
      </c>
      <c r="M2938">
        <v>1</v>
      </c>
      <c r="N2938">
        <v>1.1000000000000001</v>
      </c>
      <c r="O2938">
        <v>8.1</v>
      </c>
      <c r="P2938">
        <v>7</v>
      </c>
      <c r="Q2938">
        <v>3</v>
      </c>
      <c r="R2938">
        <v>518536</v>
      </c>
      <c r="S2938">
        <f>Table1[[#This Row],[Revenue]]-Table1[[#This Row],[Operating_Costs]]</f>
        <v>131043</v>
      </c>
      <c r="T2938">
        <v>387493</v>
      </c>
      <c r="U2938">
        <v>38</v>
      </c>
      <c r="V2938">
        <v>65</v>
      </c>
      <c r="W2938">
        <v>36.700000000000003</v>
      </c>
    </row>
    <row r="2939" spans="1:23" x14ac:dyDescent="0.25">
      <c r="A2939">
        <v>9</v>
      </c>
      <c r="B2939" t="s">
        <v>44</v>
      </c>
      <c r="C2939" s="1">
        <v>45162</v>
      </c>
      <c r="D2939" t="s">
        <v>71</v>
      </c>
      <c r="E2939">
        <v>0</v>
      </c>
      <c r="F2939">
        <v>36</v>
      </c>
      <c r="G2939" t="str">
        <f t="shared" si="53"/>
        <v>21-40</v>
      </c>
      <c r="H2939" t="s">
        <v>35</v>
      </c>
      <c r="I2939" t="s">
        <v>58</v>
      </c>
      <c r="J2939" t="s">
        <v>59</v>
      </c>
      <c r="K2939" t="s">
        <v>29</v>
      </c>
      <c r="L2939">
        <v>1</v>
      </c>
      <c r="M2939">
        <v>1</v>
      </c>
      <c r="N2939">
        <v>4.5</v>
      </c>
      <c r="O2939">
        <v>7.6</v>
      </c>
      <c r="P2939">
        <v>7</v>
      </c>
      <c r="Q2939">
        <v>5</v>
      </c>
      <c r="R2939">
        <v>598373</v>
      </c>
      <c r="S2939">
        <f>Table1[[#This Row],[Revenue]]-Table1[[#This Row],[Operating_Costs]]</f>
        <v>194941</v>
      </c>
      <c r="T2939">
        <v>403432</v>
      </c>
      <c r="U2939">
        <v>40</v>
      </c>
      <c r="V2939">
        <v>57</v>
      </c>
      <c r="W2939">
        <v>8.3000000000000007</v>
      </c>
    </row>
    <row r="2940" spans="1:23" x14ac:dyDescent="0.25">
      <c r="A2940">
        <v>9</v>
      </c>
      <c r="B2940" t="s">
        <v>44</v>
      </c>
      <c r="C2940" s="1">
        <v>44417</v>
      </c>
      <c r="D2940" t="s">
        <v>71</v>
      </c>
      <c r="E2940">
        <v>0</v>
      </c>
      <c r="F2940">
        <v>45</v>
      </c>
      <c r="G2940" t="str">
        <f t="shared" si="53"/>
        <v>41-60</v>
      </c>
      <c r="H2940" t="s">
        <v>35</v>
      </c>
      <c r="I2940" t="s">
        <v>36</v>
      </c>
      <c r="J2940" t="s">
        <v>37</v>
      </c>
      <c r="K2940" t="s">
        <v>33</v>
      </c>
      <c r="L2940">
        <v>1</v>
      </c>
      <c r="M2940">
        <v>1</v>
      </c>
      <c r="N2940">
        <v>2.5</v>
      </c>
      <c r="O2940">
        <v>10</v>
      </c>
      <c r="P2940">
        <v>5</v>
      </c>
      <c r="Q2940">
        <v>4</v>
      </c>
      <c r="R2940">
        <v>540751</v>
      </c>
      <c r="S2940">
        <f>Table1[[#This Row],[Revenue]]-Table1[[#This Row],[Operating_Costs]]</f>
        <v>90306</v>
      </c>
      <c r="T2940">
        <v>450445</v>
      </c>
      <c r="U2940">
        <v>35</v>
      </c>
      <c r="V2940">
        <v>57</v>
      </c>
      <c r="W2940">
        <v>10.4</v>
      </c>
    </row>
    <row r="2941" spans="1:23" x14ac:dyDescent="0.25">
      <c r="A2941">
        <v>9</v>
      </c>
      <c r="B2941" t="s">
        <v>44</v>
      </c>
      <c r="C2941" s="1">
        <v>44390</v>
      </c>
      <c r="D2941" t="s">
        <v>71</v>
      </c>
      <c r="E2941">
        <v>0</v>
      </c>
      <c r="F2941">
        <v>71</v>
      </c>
      <c r="G2941" t="str">
        <f t="shared" si="53"/>
        <v>61-80</v>
      </c>
      <c r="H2941" t="s">
        <v>23</v>
      </c>
      <c r="I2941" t="s">
        <v>61</v>
      </c>
      <c r="J2941" t="s">
        <v>62</v>
      </c>
      <c r="K2941" t="s">
        <v>33</v>
      </c>
      <c r="L2941">
        <v>1</v>
      </c>
      <c r="M2941">
        <v>1</v>
      </c>
      <c r="N2941">
        <v>3</v>
      </c>
      <c r="O2941">
        <v>9.5</v>
      </c>
      <c r="P2941">
        <v>4</v>
      </c>
      <c r="Q2941">
        <v>4</v>
      </c>
      <c r="R2941">
        <v>552758</v>
      </c>
      <c r="S2941">
        <f>Table1[[#This Row],[Revenue]]-Table1[[#This Row],[Operating_Costs]]</f>
        <v>77123</v>
      </c>
      <c r="T2941">
        <v>475635</v>
      </c>
      <c r="U2941">
        <v>37</v>
      </c>
      <c r="V2941">
        <v>58</v>
      </c>
      <c r="W2941">
        <v>13</v>
      </c>
    </row>
    <row r="2942" spans="1:23" x14ac:dyDescent="0.25">
      <c r="A2942">
        <v>9</v>
      </c>
      <c r="B2942" t="s">
        <v>44</v>
      </c>
      <c r="C2942" s="1">
        <v>44439</v>
      </c>
      <c r="D2942" t="s">
        <v>71</v>
      </c>
      <c r="E2942">
        <v>0</v>
      </c>
      <c r="F2942">
        <v>36</v>
      </c>
      <c r="G2942" t="str">
        <f t="shared" si="53"/>
        <v>21-40</v>
      </c>
      <c r="H2942" t="s">
        <v>23</v>
      </c>
      <c r="I2942" t="s">
        <v>24</v>
      </c>
      <c r="J2942" t="s">
        <v>25</v>
      </c>
      <c r="K2942" t="s">
        <v>29</v>
      </c>
      <c r="L2942">
        <v>1</v>
      </c>
      <c r="M2942">
        <v>1</v>
      </c>
      <c r="N2942">
        <v>1.8</v>
      </c>
      <c r="O2942">
        <v>8.6999999999999993</v>
      </c>
      <c r="P2942">
        <v>7</v>
      </c>
      <c r="Q2942">
        <v>6</v>
      </c>
      <c r="R2942">
        <v>550086</v>
      </c>
      <c r="S2942">
        <f>Table1[[#This Row],[Revenue]]-Table1[[#This Row],[Operating_Costs]]</f>
        <v>120326</v>
      </c>
      <c r="T2942">
        <v>429760</v>
      </c>
      <c r="U2942">
        <v>38</v>
      </c>
      <c r="V2942">
        <v>57</v>
      </c>
      <c r="W2942">
        <v>7.6</v>
      </c>
    </row>
    <row r="2943" spans="1:23" x14ac:dyDescent="0.25">
      <c r="A2943">
        <v>9</v>
      </c>
      <c r="B2943" t="s">
        <v>44</v>
      </c>
      <c r="C2943" s="1">
        <v>44615</v>
      </c>
      <c r="D2943" t="s">
        <v>71</v>
      </c>
      <c r="E2943">
        <v>0</v>
      </c>
      <c r="F2943">
        <v>47</v>
      </c>
      <c r="G2943" t="str">
        <f t="shared" si="53"/>
        <v>41-60</v>
      </c>
      <c r="H2943" t="s">
        <v>23</v>
      </c>
      <c r="I2943" t="s">
        <v>24</v>
      </c>
      <c r="J2943" t="s">
        <v>25</v>
      </c>
      <c r="K2943" t="s">
        <v>38</v>
      </c>
      <c r="L2943">
        <v>1</v>
      </c>
      <c r="M2943">
        <v>1</v>
      </c>
      <c r="N2943">
        <v>4.9000000000000004</v>
      </c>
      <c r="O2943">
        <v>9.1</v>
      </c>
      <c r="P2943">
        <v>6</v>
      </c>
      <c r="Q2943">
        <v>7</v>
      </c>
      <c r="R2943">
        <v>589453</v>
      </c>
      <c r="S2943">
        <f>Table1[[#This Row],[Revenue]]-Table1[[#This Row],[Operating_Costs]]</f>
        <v>118852</v>
      </c>
      <c r="T2943">
        <v>470601</v>
      </c>
      <c r="U2943">
        <v>35</v>
      </c>
      <c r="V2943">
        <v>66</v>
      </c>
      <c r="W2943">
        <v>13.6</v>
      </c>
    </row>
    <row r="2944" spans="1:23" x14ac:dyDescent="0.25">
      <c r="A2944">
        <v>9</v>
      </c>
      <c r="B2944" t="s">
        <v>44</v>
      </c>
      <c r="C2944" s="1">
        <v>45271</v>
      </c>
      <c r="D2944" t="s">
        <v>71</v>
      </c>
      <c r="E2944">
        <v>0</v>
      </c>
      <c r="F2944">
        <v>63</v>
      </c>
      <c r="G2944" t="str">
        <f t="shared" si="53"/>
        <v>61-80</v>
      </c>
      <c r="H2944" t="s">
        <v>23</v>
      </c>
      <c r="I2944" t="s">
        <v>61</v>
      </c>
      <c r="J2944" t="s">
        <v>62</v>
      </c>
      <c r="K2944" t="s">
        <v>29</v>
      </c>
      <c r="L2944">
        <v>1</v>
      </c>
      <c r="M2944">
        <v>1</v>
      </c>
      <c r="N2944">
        <v>5.9</v>
      </c>
      <c r="O2944">
        <v>8.8000000000000007</v>
      </c>
      <c r="P2944">
        <v>4</v>
      </c>
      <c r="Q2944">
        <v>4</v>
      </c>
      <c r="R2944">
        <v>513621</v>
      </c>
      <c r="S2944">
        <f>Table1[[#This Row],[Revenue]]-Table1[[#This Row],[Operating_Costs]]</f>
        <v>120359</v>
      </c>
      <c r="T2944">
        <v>393262</v>
      </c>
      <c r="U2944">
        <v>37</v>
      </c>
      <c r="V2944">
        <v>64</v>
      </c>
      <c r="W2944">
        <v>36.200000000000003</v>
      </c>
    </row>
    <row r="2945" spans="1:23" x14ac:dyDescent="0.25">
      <c r="A2945">
        <v>9</v>
      </c>
      <c r="B2945" t="s">
        <v>44</v>
      </c>
      <c r="C2945" s="1">
        <v>44535</v>
      </c>
      <c r="D2945" t="s">
        <v>71</v>
      </c>
      <c r="E2945">
        <v>0</v>
      </c>
      <c r="F2945">
        <v>33</v>
      </c>
      <c r="G2945" t="str">
        <f t="shared" si="53"/>
        <v>21-40</v>
      </c>
      <c r="H2945" t="s">
        <v>35</v>
      </c>
      <c r="I2945" t="s">
        <v>40</v>
      </c>
      <c r="J2945" t="s">
        <v>41</v>
      </c>
      <c r="K2945" t="s">
        <v>29</v>
      </c>
      <c r="L2945">
        <v>1</v>
      </c>
      <c r="M2945">
        <v>1</v>
      </c>
      <c r="N2945">
        <v>6.8</v>
      </c>
      <c r="O2945">
        <v>7.8</v>
      </c>
      <c r="P2945">
        <v>7</v>
      </c>
      <c r="Q2945">
        <v>6</v>
      </c>
      <c r="R2945">
        <v>519279</v>
      </c>
      <c r="S2945">
        <f>Table1[[#This Row],[Revenue]]-Table1[[#This Row],[Operating_Costs]]</f>
        <v>45291</v>
      </c>
      <c r="T2945">
        <v>473988</v>
      </c>
      <c r="U2945">
        <v>36</v>
      </c>
      <c r="V2945">
        <v>60</v>
      </c>
      <c r="W2945">
        <v>8.1</v>
      </c>
    </row>
    <row r="2946" spans="1:23" x14ac:dyDescent="0.25">
      <c r="A2946">
        <v>9</v>
      </c>
      <c r="B2946" t="s">
        <v>44</v>
      </c>
      <c r="C2946" s="1">
        <v>44210</v>
      </c>
      <c r="D2946" t="s">
        <v>71</v>
      </c>
      <c r="E2946">
        <v>0</v>
      </c>
      <c r="F2946">
        <v>25</v>
      </c>
      <c r="G2946" t="str">
        <f t="shared" si="53"/>
        <v>21-40</v>
      </c>
      <c r="H2946" t="s">
        <v>35</v>
      </c>
      <c r="I2946" t="s">
        <v>46</v>
      </c>
      <c r="J2946" t="s">
        <v>47</v>
      </c>
      <c r="K2946" t="s">
        <v>29</v>
      </c>
      <c r="L2946">
        <v>1</v>
      </c>
      <c r="M2946">
        <v>1</v>
      </c>
      <c r="N2946">
        <v>5</v>
      </c>
      <c r="O2946">
        <v>7.7</v>
      </c>
      <c r="P2946">
        <v>6</v>
      </c>
      <c r="Q2946">
        <v>4</v>
      </c>
      <c r="R2946">
        <v>573530</v>
      </c>
      <c r="S2946">
        <f>Table1[[#This Row],[Revenue]]-Table1[[#This Row],[Operating_Costs]]</f>
        <v>116654</v>
      </c>
      <c r="T2946">
        <v>456876</v>
      </c>
      <c r="U2946">
        <v>38</v>
      </c>
      <c r="V2946">
        <v>54</v>
      </c>
      <c r="W2946">
        <v>8.1999999999999993</v>
      </c>
    </row>
    <row r="2947" spans="1:23" x14ac:dyDescent="0.25">
      <c r="A2947">
        <v>9</v>
      </c>
      <c r="B2947" t="s">
        <v>44</v>
      </c>
      <c r="C2947" s="1">
        <v>45590</v>
      </c>
      <c r="D2947" t="s">
        <v>71</v>
      </c>
      <c r="E2947">
        <v>0</v>
      </c>
      <c r="F2947">
        <v>56</v>
      </c>
      <c r="G2947" t="str">
        <f t="shared" ref="G2947:G3010" si="54">IF(F2947&lt;=20,"0-20",IF(F2947&lt;=40,"21-40",IF(F2947&lt;=60,"41-60",IF(F2947&lt;=80,"61-80","81+"))))</f>
        <v>41-60</v>
      </c>
      <c r="H2947" t="s">
        <v>35</v>
      </c>
      <c r="I2947" t="s">
        <v>61</v>
      </c>
      <c r="J2947" t="s">
        <v>62</v>
      </c>
      <c r="K2947" t="s">
        <v>38</v>
      </c>
      <c r="L2947">
        <v>1</v>
      </c>
      <c r="M2947">
        <v>1</v>
      </c>
      <c r="N2947">
        <v>2.7</v>
      </c>
      <c r="O2947">
        <v>9.3000000000000007</v>
      </c>
      <c r="P2947">
        <v>6</v>
      </c>
      <c r="Q2947">
        <v>7</v>
      </c>
      <c r="R2947">
        <v>581327</v>
      </c>
      <c r="S2947">
        <f>Table1[[#This Row],[Revenue]]-Table1[[#This Row],[Operating_Costs]]</f>
        <v>125235</v>
      </c>
      <c r="T2947">
        <v>456092</v>
      </c>
      <c r="U2947">
        <v>37</v>
      </c>
      <c r="V2947">
        <v>61</v>
      </c>
      <c r="W2947">
        <v>12.2</v>
      </c>
    </row>
    <row r="2948" spans="1:23" x14ac:dyDescent="0.25">
      <c r="A2948">
        <v>9</v>
      </c>
      <c r="B2948" t="s">
        <v>44</v>
      </c>
      <c r="C2948" s="1">
        <v>44585</v>
      </c>
      <c r="D2948" t="s">
        <v>71</v>
      </c>
      <c r="E2948">
        <v>0</v>
      </c>
      <c r="F2948">
        <v>40</v>
      </c>
      <c r="G2948" t="str">
        <f t="shared" si="54"/>
        <v>21-40</v>
      </c>
      <c r="H2948" t="s">
        <v>35</v>
      </c>
      <c r="I2948" t="s">
        <v>61</v>
      </c>
      <c r="J2948" t="s">
        <v>62</v>
      </c>
      <c r="K2948" t="s">
        <v>42</v>
      </c>
      <c r="L2948">
        <v>1</v>
      </c>
      <c r="M2948">
        <v>1</v>
      </c>
      <c r="N2948">
        <v>1.7</v>
      </c>
      <c r="O2948">
        <v>8</v>
      </c>
      <c r="P2948">
        <v>6</v>
      </c>
      <c r="Q2948">
        <v>5</v>
      </c>
      <c r="R2948">
        <v>565351</v>
      </c>
      <c r="S2948">
        <f>Table1[[#This Row],[Revenue]]-Table1[[#This Row],[Operating_Costs]]</f>
        <v>119338</v>
      </c>
      <c r="T2948">
        <v>446013</v>
      </c>
      <c r="U2948">
        <v>35</v>
      </c>
      <c r="V2948">
        <v>59</v>
      </c>
      <c r="W2948">
        <v>10.8</v>
      </c>
    </row>
    <row r="2949" spans="1:23" x14ac:dyDescent="0.25">
      <c r="A2949">
        <v>9</v>
      </c>
      <c r="B2949" t="s">
        <v>44</v>
      </c>
      <c r="C2949" s="1">
        <v>44830</v>
      </c>
      <c r="D2949" t="s">
        <v>71</v>
      </c>
      <c r="E2949">
        <v>0</v>
      </c>
      <c r="F2949">
        <v>78</v>
      </c>
      <c r="G2949" t="str">
        <f t="shared" si="54"/>
        <v>61-80</v>
      </c>
      <c r="H2949" t="s">
        <v>23</v>
      </c>
      <c r="I2949" t="s">
        <v>46</v>
      </c>
      <c r="J2949" t="s">
        <v>47</v>
      </c>
      <c r="K2949" t="s">
        <v>33</v>
      </c>
      <c r="L2949">
        <v>1</v>
      </c>
      <c r="M2949">
        <v>1</v>
      </c>
      <c r="N2949">
        <v>2.8</v>
      </c>
      <c r="O2949">
        <v>8.3000000000000007</v>
      </c>
      <c r="P2949">
        <v>3</v>
      </c>
      <c r="Q2949">
        <v>7</v>
      </c>
      <c r="R2949">
        <v>596154</v>
      </c>
      <c r="S2949">
        <f>Table1[[#This Row],[Revenue]]-Table1[[#This Row],[Operating_Costs]]</f>
        <v>209518</v>
      </c>
      <c r="T2949">
        <v>386636</v>
      </c>
      <c r="U2949">
        <v>39</v>
      </c>
      <c r="V2949">
        <v>57</v>
      </c>
      <c r="W2949">
        <v>8.6</v>
      </c>
    </row>
    <row r="2950" spans="1:23" x14ac:dyDescent="0.25">
      <c r="A2950">
        <v>9</v>
      </c>
      <c r="B2950" t="s">
        <v>44</v>
      </c>
      <c r="C2950" s="1">
        <v>44283</v>
      </c>
      <c r="D2950" t="s">
        <v>71</v>
      </c>
      <c r="E2950">
        <v>0</v>
      </c>
      <c r="F2950">
        <v>26</v>
      </c>
      <c r="G2950" t="str">
        <f t="shared" si="54"/>
        <v>21-40</v>
      </c>
      <c r="H2950" t="s">
        <v>35</v>
      </c>
      <c r="I2950" t="s">
        <v>46</v>
      </c>
      <c r="J2950" t="s">
        <v>47</v>
      </c>
      <c r="K2950" t="s">
        <v>42</v>
      </c>
      <c r="L2950">
        <v>1</v>
      </c>
      <c r="M2950">
        <v>1</v>
      </c>
      <c r="N2950">
        <v>1.3</v>
      </c>
      <c r="O2950">
        <v>9.6</v>
      </c>
      <c r="P2950">
        <v>5</v>
      </c>
      <c r="Q2950">
        <v>3</v>
      </c>
      <c r="R2950">
        <v>570934</v>
      </c>
      <c r="S2950">
        <f>Table1[[#This Row],[Revenue]]-Table1[[#This Row],[Operating_Costs]]</f>
        <v>152378</v>
      </c>
      <c r="T2950">
        <v>418556</v>
      </c>
      <c r="U2950">
        <v>37</v>
      </c>
      <c r="V2950">
        <v>58</v>
      </c>
      <c r="W2950">
        <v>13.2</v>
      </c>
    </row>
    <row r="2951" spans="1:23" x14ac:dyDescent="0.25">
      <c r="A2951">
        <v>9</v>
      </c>
      <c r="B2951" t="s">
        <v>44</v>
      </c>
      <c r="C2951" s="1">
        <v>45299</v>
      </c>
      <c r="D2951" t="s">
        <v>71</v>
      </c>
      <c r="E2951">
        <v>0</v>
      </c>
      <c r="F2951">
        <v>49</v>
      </c>
      <c r="G2951" t="str">
        <f t="shared" si="54"/>
        <v>41-60</v>
      </c>
      <c r="H2951" t="s">
        <v>23</v>
      </c>
      <c r="I2951" t="s">
        <v>27</v>
      </c>
      <c r="J2951" t="s">
        <v>28</v>
      </c>
      <c r="K2951" t="s">
        <v>26</v>
      </c>
      <c r="L2951">
        <v>1</v>
      </c>
      <c r="M2951">
        <v>1</v>
      </c>
      <c r="N2951">
        <v>6.4</v>
      </c>
      <c r="O2951">
        <v>7.9</v>
      </c>
      <c r="P2951">
        <v>5</v>
      </c>
      <c r="Q2951">
        <v>5</v>
      </c>
      <c r="R2951">
        <v>587953</v>
      </c>
      <c r="S2951">
        <f>Table1[[#This Row],[Revenue]]-Table1[[#This Row],[Operating_Costs]]</f>
        <v>155680</v>
      </c>
      <c r="T2951">
        <v>432273</v>
      </c>
      <c r="U2951">
        <v>38</v>
      </c>
      <c r="V2951">
        <v>61</v>
      </c>
      <c r="W2951">
        <v>6.4</v>
      </c>
    </row>
    <row r="2952" spans="1:23" x14ac:dyDescent="0.25">
      <c r="A2952">
        <v>9</v>
      </c>
      <c r="B2952" t="s">
        <v>44</v>
      </c>
      <c r="C2952" s="1">
        <v>45188</v>
      </c>
      <c r="D2952" t="s">
        <v>71</v>
      </c>
      <c r="E2952">
        <v>0</v>
      </c>
      <c r="F2952">
        <v>37</v>
      </c>
      <c r="G2952" t="str">
        <f t="shared" si="54"/>
        <v>21-40</v>
      </c>
      <c r="H2952" t="s">
        <v>35</v>
      </c>
      <c r="I2952" t="s">
        <v>53</v>
      </c>
      <c r="J2952" t="s">
        <v>54</v>
      </c>
      <c r="K2952" t="s">
        <v>38</v>
      </c>
      <c r="L2952">
        <v>1</v>
      </c>
      <c r="M2952">
        <v>1</v>
      </c>
      <c r="N2952">
        <v>6.4</v>
      </c>
      <c r="O2952">
        <v>9.6</v>
      </c>
      <c r="P2952">
        <v>5</v>
      </c>
      <c r="Q2952">
        <v>3</v>
      </c>
      <c r="R2952">
        <v>574099</v>
      </c>
      <c r="S2952">
        <f>Table1[[#This Row],[Revenue]]-Table1[[#This Row],[Operating_Costs]]</f>
        <v>183922</v>
      </c>
      <c r="T2952">
        <v>390177</v>
      </c>
      <c r="U2952">
        <v>35</v>
      </c>
      <c r="V2952">
        <v>61</v>
      </c>
      <c r="W2952">
        <v>12</v>
      </c>
    </row>
    <row r="2953" spans="1:23" x14ac:dyDescent="0.25">
      <c r="A2953">
        <v>9</v>
      </c>
      <c r="B2953" t="s">
        <v>44</v>
      </c>
      <c r="C2953" s="1">
        <v>45614</v>
      </c>
      <c r="D2953" t="s">
        <v>71</v>
      </c>
      <c r="E2953">
        <v>0</v>
      </c>
      <c r="F2953">
        <v>49</v>
      </c>
      <c r="G2953" t="str">
        <f t="shared" si="54"/>
        <v>41-60</v>
      </c>
      <c r="H2953" t="s">
        <v>23</v>
      </c>
      <c r="I2953" t="s">
        <v>55</v>
      </c>
      <c r="J2953" t="s">
        <v>56</v>
      </c>
      <c r="K2953" t="s">
        <v>29</v>
      </c>
      <c r="L2953">
        <v>1</v>
      </c>
      <c r="M2953">
        <v>1</v>
      </c>
      <c r="N2953">
        <v>5.4</v>
      </c>
      <c r="O2953">
        <v>7.3</v>
      </c>
      <c r="P2953">
        <v>3</v>
      </c>
      <c r="Q2953">
        <v>5</v>
      </c>
      <c r="R2953">
        <v>525415</v>
      </c>
      <c r="S2953">
        <f>Table1[[#This Row],[Revenue]]-Table1[[#This Row],[Operating_Costs]]</f>
        <v>80852</v>
      </c>
      <c r="T2953">
        <v>444563</v>
      </c>
      <c r="U2953">
        <v>40</v>
      </c>
      <c r="V2953">
        <v>57</v>
      </c>
      <c r="W2953">
        <v>5</v>
      </c>
    </row>
    <row r="2954" spans="1:23" x14ac:dyDescent="0.25">
      <c r="A2954">
        <v>9</v>
      </c>
      <c r="B2954" t="s">
        <v>44</v>
      </c>
      <c r="C2954" s="1">
        <v>44683</v>
      </c>
      <c r="D2954" t="s">
        <v>71</v>
      </c>
      <c r="E2954">
        <v>0</v>
      </c>
      <c r="F2954">
        <v>75</v>
      </c>
      <c r="G2954" t="str">
        <f t="shared" si="54"/>
        <v>61-80</v>
      </c>
      <c r="H2954" t="s">
        <v>35</v>
      </c>
      <c r="I2954" t="s">
        <v>36</v>
      </c>
      <c r="J2954" t="s">
        <v>37</v>
      </c>
      <c r="K2954" t="s">
        <v>33</v>
      </c>
      <c r="L2954">
        <v>1</v>
      </c>
      <c r="M2954">
        <v>1</v>
      </c>
      <c r="N2954">
        <v>2.2999999999999998</v>
      </c>
      <c r="O2954">
        <v>8.1999999999999993</v>
      </c>
      <c r="P2954">
        <v>5</v>
      </c>
      <c r="Q2954">
        <v>4</v>
      </c>
      <c r="R2954">
        <v>583829</v>
      </c>
      <c r="S2954">
        <f>Table1[[#This Row],[Revenue]]-Table1[[#This Row],[Operating_Costs]]</f>
        <v>94249</v>
      </c>
      <c r="T2954">
        <v>489580</v>
      </c>
      <c r="U2954">
        <v>40</v>
      </c>
      <c r="V2954">
        <v>57</v>
      </c>
      <c r="W2954">
        <v>7.2</v>
      </c>
    </row>
    <row r="2955" spans="1:23" x14ac:dyDescent="0.25">
      <c r="A2955">
        <v>9</v>
      </c>
      <c r="B2955" t="s">
        <v>44</v>
      </c>
      <c r="C2955" s="1">
        <v>45087</v>
      </c>
      <c r="D2955" t="s">
        <v>71</v>
      </c>
      <c r="E2955">
        <v>0</v>
      </c>
      <c r="F2955">
        <v>36</v>
      </c>
      <c r="G2955" t="str">
        <f t="shared" si="54"/>
        <v>21-40</v>
      </c>
      <c r="H2955" t="s">
        <v>35</v>
      </c>
      <c r="I2955" t="s">
        <v>55</v>
      </c>
      <c r="J2955" t="s">
        <v>56</v>
      </c>
      <c r="K2955" t="s">
        <v>26</v>
      </c>
      <c r="L2955">
        <v>1</v>
      </c>
      <c r="M2955">
        <v>1</v>
      </c>
      <c r="N2955">
        <v>2.2000000000000002</v>
      </c>
      <c r="O2955">
        <v>7.4</v>
      </c>
      <c r="P2955">
        <v>5</v>
      </c>
      <c r="Q2955">
        <v>4</v>
      </c>
      <c r="R2955">
        <v>593691</v>
      </c>
      <c r="S2955">
        <f>Table1[[#This Row],[Revenue]]-Table1[[#This Row],[Operating_Costs]]</f>
        <v>115460</v>
      </c>
      <c r="T2955">
        <v>478231</v>
      </c>
      <c r="U2955">
        <v>37</v>
      </c>
      <c r="V2955">
        <v>55</v>
      </c>
      <c r="W2955">
        <v>8.6999999999999993</v>
      </c>
    </row>
    <row r="2956" spans="1:23" x14ac:dyDescent="0.25">
      <c r="A2956">
        <v>9</v>
      </c>
      <c r="B2956" t="s">
        <v>44</v>
      </c>
      <c r="C2956" s="1">
        <v>44906</v>
      </c>
      <c r="D2956" t="s">
        <v>71</v>
      </c>
      <c r="E2956">
        <v>0</v>
      </c>
      <c r="F2956">
        <v>75</v>
      </c>
      <c r="G2956" t="str">
        <f t="shared" si="54"/>
        <v>61-80</v>
      </c>
      <c r="H2956" t="s">
        <v>35</v>
      </c>
      <c r="I2956" t="s">
        <v>36</v>
      </c>
      <c r="J2956" t="s">
        <v>37</v>
      </c>
      <c r="K2956" t="s">
        <v>42</v>
      </c>
      <c r="L2956">
        <v>1</v>
      </c>
      <c r="M2956">
        <v>1</v>
      </c>
      <c r="N2956">
        <v>2.2000000000000002</v>
      </c>
      <c r="O2956">
        <v>7.2</v>
      </c>
      <c r="P2956">
        <v>3</v>
      </c>
      <c r="Q2956">
        <v>6</v>
      </c>
      <c r="R2956">
        <v>500342</v>
      </c>
      <c r="S2956">
        <f>Table1[[#This Row],[Revenue]]-Table1[[#This Row],[Operating_Costs]]</f>
        <v>81111</v>
      </c>
      <c r="T2956">
        <v>419231</v>
      </c>
      <c r="U2956">
        <v>35</v>
      </c>
      <c r="V2956">
        <v>61</v>
      </c>
      <c r="W2956">
        <v>6.8</v>
      </c>
    </row>
    <row r="2957" spans="1:23" x14ac:dyDescent="0.25">
      <c r="A2957">
        <v>7</v>
      </c>
      <c r="B2957" t="s">
        <v>49</v>
      </c>
      <c r="C2957" s="1">
        <v>45330</v>
      </c>
      <c r="D2957" t="s">
        <v>71</v>
      </c>
      <c r="E2957">
        <v>0</v>
      </c>
      <c r="F2957">
        <v>29</v>
      </c>
      <c r="G2957" t="str">
        <f t="shared" si="54"/>
        <v>21-40</v>
      </c>
      <c r="H2957" t="s">
        <v>35</v>
      </c>
      <c r="I2957" t="s">
        <v>31</v>
      </c>
      <c r="J2957" t="s">
        <v>28</v>
      </c>
      <c r="K2957" t="s">
        <v>33</v>
      </c>
      <c r="L2957">
        <v>1</v>
      </c>
      <c r="M2957">
        <v>1</v>
      </c>
      <c r="N2957">
        <v>6</v>
      </c>
      <c r="O2957">
        <v>9.1999999999999993</v>
      </c>
      <c r="P2957">
        <v>6</v>
      </c>
      <c r="Q2957">
        <v>3</v>
      </c>
      <c r="R2957">
        <v>800706</v>
      </c>
      <c r="S2957">
        <f>Table1[[#This Row],[Revenue]]-Table1[[#This Row],[Operating_Costs]]</f>
        <v>212038</v>
      </c>
      <c r="T2957">
        <v>588668</v>
      </c>
      <c r="U2957">
        <v>40</v>
      </c>
      <c r="V2957">
        <v>59</v>
      </c>
      <c r="W2957">
        <v>14.5</v>
      </c>
    </row>
    <row r="2958" spans="1:23" x14ac:dyDescent="0.25">
      <c r="A2958">
        <v>7</v>
      </c>
      <c r="B2958" t="s">
        <v>49</v>
      </c>
      <c r="C2958" s="1">
        <v>44737</v>
      </c>
      <c r="D2958" t="s">
        <v>71</v>
      </c>
      <c r="E2958">
        <v>0</v>
      </c>
      <c r="F2958">
        <v>76</v>
      </c>
      <c r="G2958" t="str">
        <f t="shared" si="54"/>
        <v>61-80</v>
      </c>
      <c r="H2958" t="s">
        <v>35</v>
      </c>
      <c r="I2958" t="s">
        <v>36</v>
      </c>
      <c r="J2958" t="s">
        <v>37</v>
      </c>
      <c r="K2958" t="s">
        <v>42</v>
      </c>
      <c r="L2958">
        <v>1</v>
      </c>
      <c r="M2958">
        <v>1</v>
      </c>
      <c r="N2958">
        <v>4.2</v>
      </c>
      <c r="O2958">
        <v>8.3000000000000007</v>
      </c>
      <c r="P2958">
        <v>4</v>
      </c>
      <c r="Q2958">
        <v>6</v>
      </c>
      <c r="R2958">
        <v>820892</v>
      </c>
      <c r="S2958">
        <f>Table1[[#This Row],[Revenue]]-Table1[[#This Row],[Operating_Costs]]</f>
        <v>253912</v>
      </c>
      <c r="T2958">
        <v>566980</v>
      </c>
      <c r="U2958">
        <v>54</v>
      </c>
      <c r="V2958">
        <v>66</v>
      </c>
      <c r="W2958">
        <v>13</v>
      </c>
    </row>
    <row r="2959" spans="1:23" x14ac:dyDescent="0.25">
      <c r="A2959">
        <v>7</v>
      </c>
      <c r="B2959" t="s">
        <v>49</v>
      </c>
      <c r="C2959" s="1">
        <v>45380</v>
      </c>
      <c r="D2959" t="s">
        <v>71</v>
      </c>
      <c r="E2959">
        <v>0</v>
      </c>
      <c r="F2959">
        <v>46</v>
      </c>
      <c r="G2959" t="str">
        <f t="shared" si="54"/>
        <v>41-60</v>
      </c>
      <c r="H2959" t="s">
        <v>35</v>
      </c>
      <c r="I2959" t="s">
        <v>58</v>
      </c>
      <c r="J2959" t="s">
        <v>59</v>
      </c>
      <c r="K2959" t="s">
        <v>38</v>
      </c>
      <c r="L2959">
        <v>1</v>
      </c>
      <c r="M2959">
        <v>1</v>
      </c>
      <c r="N2959">
        <v>3.7</v>
      </c>
      <c r="O2959">
        <v>9.6</v>
      </c>
      <c r="P2959">
        <v>7</v>
      </c>
      <c r="Q2959">
        <v>3</v>
      </c>
      <c r="R2959">
        <v>744145</v>
      </c>
      <c r="S2959">
        <f>Table1[[#This Row],[Revenue]]-Table1[[#This Row],[Operating_Costs]]</f>
        <v>230665</v>
      </c>
      <c r="T2959">
        <v>513480</v>
      </c>
      <c r="U2959">
        <v>47</v>
      </c>
      <c r="V2959">
        <v>54</v>
      </c>
      <c r="W2959">
        <v>14.5</v>
      </c>
    </row>
    <row r="2960" spans="1:23" x14ac:dyDescent="0.25">
      <c r="A2960">
        <v>7</v>
      </c>
      <c r="B2960" t="s">
        <v>49</v>
      </c>
      <c r="C2960" s="1">
        <v>45233</v>
      </c>
      <c r="D2960" t="s">
        <v>71</v>
      </c>
      <c r="E2960">
        <v>0</v>
      </c>
      <c r="F2960">
        <v>44</v>
      </c>
      <c r="G2960" t="str">
        <f t="shared" si="54"/>
        <v>41-60</v>
      </c>
      <c r="H2960" t="s">
        <v>35</v>
      </c>
      <c r="I2960" t="s">
        <v>61</v>
      </c>
      <c r="J2960" t="s">
        <v>62</v>
      </c>
      <c r="K2960" t="s">
        <v>38</v>
      </c>
      <c r="L2960">
        <v>1</v>
      </c>
      <c r="M2960">
        <v>1</v>
      </c>
      <c r="N2960">
        <v>1</v>
      </c>
      <c r="O2960">
        <v>8.6999999999999993</v>
      </c>
      <c r="P2960">
        <v>7</v>
      </c>
      <c r="Q2960">
        <v>3</v>
      </c>
      <c r="R2960">
        <v>748193</v>
      </c>
      <c r="S2960">
        <f>Table1[[#This Row],[Revenue]]-Table1[[#This Row],[Operating_Costs]]</f>
        <v>203505</v>
      </c>
      <c r="T2960">
        <v>544688</v>
      </c>
      <c r="U2960">
        <v>49</v>
      </c>
      <c r="V2960">
        <v>55</v>
      </c>
      <c r="W2960">
        <v>7.7</v>
      </c>
    </row>
    <row r="2961" spans="1:23" x14ac:dyDescent="0.25">
      <c r="A2961">
        <v>9</v>
      </c>
      <c r="B2961" t="s">
        <v>44</v>
      </c>
      <c r="C2961" s="1">
        <v>44578</v>
      </c>
      <c r="D2961" t="s">
        <v>71</v>
      </c>
      <c r="E2961">
        <v>0</v>
      </c>
      <c r="F2961">
        <v>66</v>
      </c>
      <c r="G2961" t="str">
        <f t="shared" si="54"/>
        <v>61-80</v>
      </c>
      <c r="H2961" t="s">
        <v>23</v>
      </c>
      <c r="I2961" t="s">
        <v>58</v>
      </c>
      <c r="J2961" t="s">
        <v>59</v>
      </c>
      <c r="K2961" t="s">
        <v>42</v>
      </c>
      <c r="L2961">
        <v>1</v>
      </c>
      <c r="M2961">
        <v>1</v>
      </c>
      <c r="N2961">
        <v>5.7</v>
      </c>
      <c r="O2961">
        <v>9.6999999999999993</v>
      </c>
      <c r="P2961">
        <v>3</v>
      </c>
      <c r="Q2961">
        <v>6</v>
      </c>
      <c r="R2961">
        <v>521265</v>
      </c>
      <c r="S2961">
        <f>Table1[[#This Row],[Revenue]]-Table1[[#This Row],[Operating_Costs]]</f>
        <v>106006</v>
      </c>
      <c r="T2961">
        <v>415259</v>
      </c>
      <c r="U2961">
        <v>37</v>
      </c>
      <c r="V2961">
        <v>55</v>
      </c>
      <c r="W2961">
        <v>6.3</v>
      </c>
    </row>
    <row r="2962" spans="1:23" x14ac:dyDescent="0.25">
      <c r="A2962">
        <v>7</v>
      </c>
      <c r="B2962" t="s">
        <v>49</v>
      </c>
      <c r="C2962" s="1">
        <v>45637</v>
      </c>
      <c r="D2962" t="s">
        <v>71</v>
      </c>
      <c r="E2962">
        <v>0</v>
      </c>
      <c r="F2962">
        <v>74</v>
      </c>
      <c r="G2962" t="str">
        <f t="shared" si="54"/>
        <v>61-80</v>
      </c>
      <c r="H2962" t="s">
        <v>23</v>
      </c>
      <c r="I2962" t="s">
        <v>67</v>
      </c>
      <c r="J2962" t="s">
        <v>68</v>
      </c>
      <c r="K2962" t="s">
        <v>29</v>
      </c>
      <c r="L2962">
        <v>1</v>
      </c>
      <c r="M2962">
        <v>1</v>
      </c>
      <c r="N2962">
        <v>2.4</v>
      </c>
      <c r="O2962">
        <v>9.4</v>
      </c>
      <c r="P2962">
        <v>4</v>
      </c>
      <c r="Q2962">
        <v>5</v>
      </c>
      <c r="R2962">
        <v>833713</v>
      </c>
      <c r="S2962">
        <f>Table1[[#This Row],[Revenue]]-Table1[[#This Row],[Operating_Costs]]</f>
        <v>279071</v>
      </c>
      <c r="T2962">
        <v>554642</v>
      </c>
      <c r="U2962">
        <v>53</v>
      </c>
      <c r="V2962">
        <v>58</v>
      </c>
      <c r="W2962">
        <v>9.6</v>
      </c>
    </row>
    <row r="2963" spans="1:23" x14ac:dyDescent="0.25">
      <c r="A2963">
        <v>9</v>
      </c>
      <c r="B2963" t="s">
        <v>44</v>
      </c>
      <c r="C2963" s="1">
        <v>45471</v>
      </c>
      <c r="D2963" t="s">
        <v>71</v>
      </c>
      <c r="E2963">
        <v>0</v>
      </c>
      <c r="F2963">
        <v>76</v>
      </c>
      <c r="G2963" t="str">
        <f t="shared" si="54"/>
        <v>61-80</v>
      </c>
      <c r="H2963" t="s">
        <v>23</v>
      </c>
      <c r="I2963" t="s">
        <v>24</v>
      </c>
      <c r="J2963" t="s">
        <v>25</v>
      </c>
      <c r="K2963" t="s">
        <v>33</v>
      </c>
      <c r="L2963">
        <v>1</v>
      </c>
      <c r="M2963">
        <v>1</v>
      </c>
      <c r="N2963">
        <v>4.0999999999999996</v>
      </c>
      <c r="O2963">
        <v>9.9</v>
      </c>
      <c r="P2963">
        <v>5</v>
      </c>
      <c r="Q2963">
        <v>7</v>
      </c>
      <c r="R2963">
        <v>516672</v>
      </c>
      <c r="S2963">
        <f>Table1[[#This Row],[Revenue]]-Table1[[#This Row],[Operating_Costs]]</f>
        <v>97849</v>
      </c>
      <c r="T2963">
        <v>418823</v>
      </c>
      <c r="U2963">
        <v>36</v>
      </c>
      <c r="V2963">
        <v>63</v>
      </c>
      <c r="W2963">
        <v>12.9</v>
      </c>
    </row>
    <row r="2964" spans="1:23" x14ac:dyDescent="0.25">
      <c r="A2964">
        <v>7</v>
      </c>
      <c r="B2964" t="s">
        <v>49</v>
      </c>
      <c r="C2964" s="1">
        <v>45102</v>
      </c>
      <c r="D2964" t="s">
        <v>71</v>
      </c>
      <c r="E2964">
        <v>0</v>
      </c>
      <c r="F2964">
        <v>26</v>
      </c>
      <c r="G2964" t="str">
        <f t="shared" si="54"/>
        <v>21-40</v>
      </c>
      <c r="H2964" t="s">
        <v>35</v>
      </c>
      <c r="I2964" t="s">
        <v>60</v>
      </c>
      <c r="J2964" t="s">
        <v>59</v>
      </c>
      <c r="K2964" t="s">
        <v>26</v>
      </c>
      <c r="L2964">
        <v>1</v>
      </c>
      <c r="M2964">
        <v>1</v>
      </c>
      <c r="N2964">
        <v>3.9</v>
      </c>
      <c r="O2964">
        <v>8.5</v>
      </c>
      <c r="P2964">
        <v>5</v>
      </c>
      <c r="Q2964">
        <v>5</v>
      </c>
      <c r="R2964">
        <v>765196</v>
      </c>
      <c r="S2964">
        <f>Table1[[#This Row],[Revenue]]-Table1[[#This Row],[Operating_Costs]]</f>
        <v>208279</v>
      </c>
      <c r="T2964">
        <v>556917</v>
      </c>
      <c r="U2964">
        <v>43</v>
      </c>
      <c r="V2964">
        <v>66</v>
      </c>
      <c r="W2964">
        <v>14.7</v>
      </c>
    </row>
    <row r="2965" spans="1:23" x14ac:dyDescent="0.25">
      <c r="A2965">
        <v>9</v>
      </c>
      <c r="B2965" t="s">
        <v>44</v>
      </c>
      <c r="C2965" s="1">
        <v>45560</v>
      </c>
      <c r="D2965" t="s">
        <v>71</v>
      </c>
      <c r="E2965">
        <v>0</v>
      </c>
      <c r="F2965">
        <v>48</v>
      </c>
      <c r="G2965" t="str">
        <f t="shared" si="54"/>
        <v>41-60</v>
      </c>
      <c r="H2965" t="s">
        <v>23</v>
      </c>
      <c r="I2965" t="s">
        <v>67</v>
      </c>
      <c r="J2965" t="s">
        <v>68</v>
      </c>
      <c r="K2965" t="s">
        <v>38</v>
      </c>
      <c r="L2965">
        <v>1</v>
      </c>
      <c r="M2965">
        <v>1</v>
      </c>
      <c r="N2965">
        <v>6.9</v>
      </c>
      <c r="O2965">
        <v>8.8000000000000007</v>
      </c>
      <c r="P2965">
        <v>5</v>
      </c>
      <c r="Q2965">
        <v>3</v>
      </c>
      <c r="R2965">
        <v>558764</v>
      </c>
      <c r="S2965">
        <f>Table1[[#This Row],[Revenue]]-Table1[[#This Row],[Operating_Costs]]</f>
        <v>130401</v>
      </c>
      <c r="T2965">
        <v>428363</v>
      </c>
      <c r="U2965">
        <v>39</v>
      </c>
      <c r="V2965">
        <v>63</v>
      </c>
      <c r="W2965">
        <v>9.3000000000000007</v>
      </c>
    </row>
    <row r="2966" spans="1:23" x14ac:dyDescent="0.25">
      <c r="A2966">
        <v>7</v>
      </c>
      <c r="B2966" t="s">
        <v>49</v>
      </c>
      <c r="C2966" s="1">
        <v>44946</v>
      </c>
      <c r="D2966" t="s">
        <v>71</v>
      </c>
      <c r="E2966">
        <v>0</v>
      </c>
      <c r="F2966">
        <v>40</v>
      </c>
      <c r="G2966" t="str">
        <f t="shared" si="54"/>
        <v>21-40</v>
      </c>
      <c r="H2966" t="s">
        <v>35</v>
      </c>
      <c r="I2966" t="s">
        <v>40</v>
      </c>
      <c r="J2966" t="s">
        <v>41</v>
      </c>
      <c r="K2966" t="s">
        <v>42</v>
      </c>
      <c r="L2966">
        <v>1</v>
      </c>
      <c r="M2966">
        <v>1</v>
      </c>
      <c r="N2966">
        <v>5.8</v>
      </c>
      <c r="O2966">
        <v>8.1</v>
      </c>
      <c r="P2966">
        <v>7</v>
      </c>
      <c r="Q2966">
        <v>3</v>
      </c>
      <c r="R2966">
        <v>648393</v>
      </c>
      <c r="S2966">
        <f>Table1[[#This Row],[Revenue]]-Table1[[#This Row],[Operating_Costs]]</f>
        <v>81431</v>
      </c>
      <c r="T2966">
        <v>566962</v>
      </c>
      <c r="U2966">
        <v>48</v>
      </c>
      <c r="V2966">
        <v>60</v>
      </c>
      <c r="W2966">
        <v>12.5</v>
      </c>
    </row>
    <row r="2967" spans="1:23" x14ac:dyDescent="0.25">
      <c r="A2967">
        <v>9</v>
      </c>
      <c r="B2967" t="s">
        <v>44</v>
      </c>
      <c r="C2967" s="1">
        <v>44212</v>
      </c>
      <c r="D2967" t="s">
        <v>71</v>
      </c>
      <c r="E2967">
        <v>0</v>
      </c>
      <c r="F2967">
        <v>90</v>
      </c>
      <c r="G2967" t="str">
        <f t="shared" si="54"/>
        <v>81+</v>
      </c>
      <c r="H2967" t="s">
        <v>35</v>
      </c>
      <c r="I2967" t="s">
        <v>53</v>
      </c>
      <c r="J2967" t="s">
        <v>54</v>
      </c>
      <c r="K2967" t="s">
        <v>33</v>
      </c>
      <c r="L2967">
        <v>1</v>
      </c>
      <c r="M2967">
        <v>1</v>
      </c>
      <c r="N2967">
        <v>3.4</v>
      </c>
      <c r="O2967">
        <v>8.1</v>
      </c>
      <c r="P2967">
        <v>5</v>
      </c>
      <c r="Q2967">
        <v>7</v>
      </c>
      <c r="R2967">
        <v>542185</v>
      </c>
      <c r="S2967">
        <f>Table1[[#This Row],[Revenue]]-Table1[[#This Row],[Operating_Costs]]</f>
        <v>59183</v>
      </c>
      <c r="T2967">
        <v>483002</v>
      </c>
      <c r="U2967">
        <v>40</v>
      </c>
      <c r="V2967">
        <v>66</v>
      </c>
      <c r="W2967">
        <v>12.8</v>
      </c>
    </row>
    <row r="2968" spans="1:23" x14ac:dyDescent="0.25">
      <c r="A2968">
        <v>9</v>
      </c>
      <c r="B2968" t="s">
        <v>44</v>
      </c>
      <c r="C2968" s="1">
        <v>44545</v>
      </c>
      <c r="D2968" t="s">
        <v>71</v>
      </c>
      <c r="E2968">
        <v>0</v>
      </c>
      <c r="F2968">
        <v>40</v>
      </c>
      <c r="G2968" t="str">
        <f t="shared" si="54"/>
        <v>21-40</v>
      </c>
      <c r="H2968" t="s">
        <v>23</v>
      </c>
      <c r="I2968" t="s">
        <v>58</v>
      </c>
      <c r="J2968" t="s">
        <v>59</v>
      </c>
      <c r="K2968" t="s">
        <v>42</v>
      </c>
      <c r="L2968">
        <v>1</v>
      </c>
      <c r="M2968">
        <v>1</v>
      </c>
      <c r="N2968">
        <v>4.9000000000000004</v>
      </c>
      <c r="O2968">
        <v>7.3</v>
      </c>
      <c r="P2968">
        <v>7</v>
      </c>
      <c r="Q2968">
        <v>6</v>
      </c>
      <c r="R2968">
        <v>585253</v>
      </c>
      <c r="S2968">
        <f>Table1[[#This Row],[Revenue]]-Table1[[#This Row],[Operating_Costs]]</f>
        <v>188760</v>
      </c>
      <c r="T2968">
        <v>396493</v>
      </c>
      <c r="U2968">
        <v>38</v>
      </c>
      <c r="V2968">
        <v>54</v>
      </c>
      <c r="W2968">
        <v>12.7</v>
      </c>
    </row>
    <row r="2969" spans="1:23" x14ac:dyDescent="0.25">
      <c r="A2969">
        <v>9</v>
      </c>
      <c r="B2969" t="s">
        <v>44</v>
      </c>
      <c r="C2969" s="1">
        <v>44724</v>
      </c>
      <c r="D2969" t="s">
        <v>71</v>
      </c>
      <c r="E2969">
        <v>0</v>
      </c>
      <c r="F2969">
        <v>39</v>
      </c>
      <c r="G2969" t="str">
        <f t="shared" si="54"/>
        <v>21-40</v>
      </c>
      <c r="H2969" t="s">
        <v>23</v>
      </c>
      <c r="I2969" t="s">
        <v>24</v>
      </c>
      <c r="J2969" t="s">
        <v>25</v>
      </c>
      <c r="K2969" t="s">
        <v>33</v>
      </c>
      <c r="L2969">
        <v>1</v>
      </c>
      <c r="M2969">
        <v>1</v>
      </c>
      <c r="N2969">
        <v>5.6</v>
      </c>
      <c r="O2969">
        <v>8.6999999999999993</v>
      </c>
      <c r="P2969">
        <v>6</v>
      </c>
      <c r="Q2969">
        <v>3</v>
      </c>
      <c r="R2969">
        <v>517361</v>
      </c>
      <c r="S2969">
        <f>Table1[[#This Row],[Revenue]]-Table1[[#This Row],[Operating_Costs]]</f>
        <v>54734</v>
      </c>
      <c r="T2969">
        <v>462627</v>
      </c>
      <c r="U2969">
        <v>38</v>
      </c>
      <c r="V2969">
        <v>57</v>
      </c>
      <c r="W2969">
        <v>13.4</v>
      </c>
    </row>
    <row r="2970" spans="1:23" x14ac:dyDescent="0.25">
      <c r="A2970">
        <v>7</v>
      </c>
      <c r="B2970" t="s">
        <v>49</v>
      </c>
      <c r="C2970" s="1">
        <v>44347</v>
      </c>
      <c r="D2970" t="s">
        <v>71</v>
      </c>
      <c r="E2970">
        <v>0</v>
      </c>
      <c r="F2970">
        <v>75</v>
      </c>
      <c r="G2970" t="str">
        <f t="shared" si="54"/>
        <v>61-80</v>
      </c>
      <c r="H2970" t="s">
        <v>23</v>
      </c>
      <c r="I2970" t="s">
        <v>40</v>
      </c>
      <c r="J2970" t="s">
        <v>41</v>
      </c>
      <c r="K2970" t="s">
        <v>42</v>
      </c>
      <c r="L2970">
        <v>1</v>
      </c>
      <c r="M2970">
        <v>1</v>
      </c>
      <c r="N2970">
        <v>2.5</v>
      </c>
      <c r="O2970">
        <v>7.8</v>
      </c>
      <c r="P2970">
        <v>4</v>
      </c>
      <c r="Q2970">
        <v>7</v>
      </c>
      <c r="R2970">
        <v>792578</v>
      </c>
      <c r="S2970">
        <f>Table1[[#This Row],[Revenue]]-Table1[[#This Row],[Operating_Costs]]</f>
        <v>224027</v>
      </c>
      <c r="T2970">
        <v>568551</v>
      </c>
      <c r="U2970">
        <v>58</v>
      </c>
      <c r="V2970">
        <v>62</v>
      </c>
      <c r="W2970">
        <v>10.3</v>
      </c>
    </row>
    <row r="2971" spans="1:23" x14ac:dyDescent="0.25">
      <c r="A2971">
        <v>9</v>
      </c>
      <c r="B2971" t="s">
        <v>44</v>
      </c>
      <c r="C2971" s="1">
        <v>44548</v>
      </c>
      <c r="D2971" t="s">
        <v>71</v>
      </c>
      <c r="E2971">
        <v>0</v>
      </c>
      <c r="F2971">
        <v>67</v>
      </c>
      <c r="G2971" t="str">
        <f t="shared" si="54"/>
        <v>61-80</v>
      </c>
      <c r="H2971" t="s">
        <v>35</v>
      </c>
      <c r="I2971" t="s">
        <v>27</v>
      </c>
      <c r="J2971" t="s">
        <v>28</v>
      </c>
      <c r="K2971" t="s">
        <v>26</v>
      </c>
      <c r="L2971">
        <v>1</v>
      </c>
      <c r="M2971">
        <v>1</v>
      </c>
      <c r="N2971">
        <v>2.7</v>
      </c>
      <c r="O2971">
        <v>7.5</v>
      </c>
      <c r="P2971">
        <v>6</v>
      </c>
      <c r="Q2971">
        <v>4</v>
      </c>
      <c r="R2971">
        <v>524560</v>
      </c>
      <c r="S2971">
        <f>Table1[[#This Row],[Revenue]]-Table1[[#This Row],[Operating_Costs]]</f>
        <v>143327</v>
      </c>
      <c r="T2971">
        <v>381233</v>
      </c>
      <c r="U2971">
        <v>36</v>
      </c>
      <c r="V2971">
        <v>57</v>
      </c>
      <c r="W2971">
        <v>36.4</v>
      </c>
    </row>
    <row r="2972" spans="1:23" x14ac:dyDescent="0.25">
      <c r="A2972">
        <v>9</v>
      </c>
      <c r="B2972" t="s">
        <v>44</v>
      </c>
      <c r="C2972" s="1">
        <v>45218</v>
      </c>
      <c r="D2972" t="s">
        <v>71</v>
      </c>
      <c r="E2972">
        <v>0</v>
      </c>
      <c r="F2972">
        <v>68</v>
      </c>
      <c r="G2972" t="str">
        <f t="shared" si="54"/>
        <v>61-80</v>
      </c>
      <c r="H2972" t="s">
        <v>35</v>
      </c>
      <c r="I2972" t="s">
        <v>27</v>
      </c>
      <c r="J2972" t="s">
        <v>28</v>
      </c>
      <c r="K2972" t="s">
        <v>26</v>
      </c>
      <c r="L2972">
        <v>1</v>
      </c>
      <c r="M2972">
        <v>1</v>
      </c>
      <c r="N2972">
        <v>5.4</v>
      </c>
      <c r="O2972">
        <v>8.3000000000000007</v>
      </c>
      <c r="P2972">
        <v>7</v>
      </c>
      <c r="Q2972">
        <v>3</v>
      </c>
      <c r="R2972">
        <v>577016</v>
      </c>
      <c r="S2972">
        <f>Table1[[#This Row],[Revenue]]-Table1[[#This Row],[Operating_Costs]]</f>
        <v>110259</v>
      </c>
      <c r="T2972">
        <v>466757</v>
      </c>
      <c r="U2972">
        <v>40</v>
      </c>
      <c r="V2972">
        <v>58</v>
      </c>
      <c r="W2972">
        <v>5.4</v>
      </c>
    </row>
    <row r="2973" spans="1:23" x14ac:dyDescent="0.25">
      <c r="A2973">
        <v>9</v>
      </c>
      <c r="B2973" t="s">
        <v>44</v>
      </c>
      <c r="C2973" s="1">
        <v>44208</v>
      </c>
      <c r="D2973" t="s">
        <v>71</v>
      </c>
      <c r="E2973">
        <v>0</v>
      </c>
      <c r="F2973">
        <v>36</v>
      </c>
      <c r="G2973" t="str">
        <f t="shared" si="54"/>
        <v>21-40</v>
      </c>
      <c r="H2973" t="s">
        <v>35</v>
      </c>
      <c r="I2973" t="s">
        <v>53</v>
      </c>
      <c r="J2973" t="s">
        <v>54</v>
      </c>
      <c r="K2973" t="s">
        <v>42</v>
      </c>
      <c r="L2973">
        <v>1</v>
      </c>
      <c r="M2973">
        <v>1</v>
      </c>
      <c r="N2973">
        <v>3.2</v>
      </c>
      <c r="O2973">
        <v>8.3000000000000007</v>
      </c>
      <c r="P2973">
        <v>5</v>
      </c>
      <c r="Q2973">
        <v>6</v>
      </c>
      <c r="R2973">
        <v>535597</v>
      </c>
      <c r="S2973">
        <f>Table1[[#This Row],[Revenue]]-Table1[[#This Row],[Operating_Costs]]</f>
        <v>134949</v>
      </c>
      <c r="T2973">
        <v>400648</v>
      </c>
      <c r="U2973">
        <v>36</v>
      </c>
      <c r="V2973">
        <v>62</v>
      </c>
      <c r="W2973">
        <v>7.1</v>
      </c>
    </row>
    <row r="2974" spans="1:23" x14ac:dyDescent="0.25">
      <c r="A2974">
        <v>7</v>
      </c>
      <c r="B2974" t="s">
        <v>49</v>
      </c>
      <c r="C2974" s="1">
        <v>45084</v>
      </c>
      <c r="D2974" t="s">
        <v>71</v>
      </c>
      <c r="E2974">
        <v>0</v>
      </c>
      <c r="F2974">
        <v>54</v>
      </c>
      <c r="G2974" t="str">
        <f t="shared" si="54"/>
        <v>41-60</v>
      </c>
      <c r="H2974" t="s">
        <v>35</v>
      </c>
      <c r="I2974" t="s">
        <v>40</v>
      </c>
      <c r="J2974" t="s">
        <v>41</v>
      </c>
      <c r="K2974" t="s">
        <v>26</v>
      </c>
      <c r="L2974">
        <v>1</v>
      </c>
      <c r="M2974">
        <v>1</v>
      </c>
      <c r="N2974">
        <v>1.6</v>
      </c>
      <c r="O2974">
        <v>9.6</v>
      </c>
      <c r="P2974">
        <v>4</v>
      </c>
      <c r="Q2974">
        <v>3</v>
      </c>
      <c r="R2974">
        <v>672567</v>
      </c>
      <c r="S2974">
        <f>Table1[[#This Row],[Revenue]]-Table1[[#This Row],[Operating_Costs]]</f>
        <v>73095</v>
      </c>
      <c r="T2974">
        <v>599472</v>
      </c>
      <c r="U2974">
        <v>56</v>
      </c>
      <c r="V2974">
        <v>62</v>
      </c>
      <c r="W2974">
        <v>13.9</v>
      </c>
    </row>
    <row r="2975" spans="1:23" x14ac:dyDescent="0.25">
      <c r="A2975">
        <v>9</v>
      </c>
      <c r="B2975" t="s">
        <v>44</v>
      </c>
      <c r="C2975" s="1">
        <v>45324</v>
      </c>
      <c r="D2975" t="s">
        <v>71</v>
      </c>
      <c r="E2975">
        <v>0</v>
      </c>
      <c r="F2975">
        <v>85</v>
      </c>
      <c r="G2975" t="str">
        <f t="shared" si="54"/>
        <v>81+</v>
      </c>
      <c r="H2975" t="s">
        <v>23</v>
      </c>
      <c r="I2975" t="s">
        <v>55</v>
      </c>
      <c r="J2975" t="s">
        <v>56</v>
      </c>
      <c r="K2975" t="s">
        <v>38</v>
      </c>
      <c r="L2975">
        <v>1</v>
      </c>
      <c r="M2975">
        <v>1</v>
      </c>
      <c r="N2975">
        <v>5.2</v>
      </c>
      <c r="O2975">
        <v>8.8000000000000007</v>
      </c>
      <c r="P2975">
        <v>5</v>
      </c>
      <c r="Q2975">
        <v>4</v>
      </c>
      <c r="R2975">
        <v>510185</v>
      </c>
      <c r="S2975">
        <f>Table1[[#This Row],[Revenue]]-Table1[[#This Row],[Operating_Costs]]</f>
        <v>80772</v>
      </c>
      <c r="T2975">
        <v>429413</v>
      </c>
      <c r="U2975">
        <v>38</v>
      </c>
      <c r="V2975">
        <v>54</v>
      </c>
      <c r="W2975">
        <v>7.3</v>
      </c>
    </row>
    <row r="2976" spans="1:23" x14ac:dyDescent="0.25">
      <c r="A2976">
        <v>7</v>
      </c>
      <c r="B2976" t="s">
        <v>49</v>
      </c>
      <c r="C2976" s="1">
        <v>44751</v>
      </c>
      <c r="D2976" t="s">
        <v>71</v>
      </c>
      <c r="E2976">
        <v>0</v>
      </c>
      <c r="F2976">
        <v>38</v>
      </c>
      <c r="G2976" t="str">
        <f t="shared" si="54"/>
        <v>21-40</v>
      </c>
      <c r="H2976" t="s">
        <v>35</v>
      </c>
      <c r="I2976" t="s">
        <v>31</v>
      </c>
      <c r="J2976" t="s">
        <v>28</v>
      </c>
      <c r="K2976" t="s">
        <v>33</v>
      </c>
      <c r="L2976">
        <v>1</v>
      </c>
      <c r="M2976">
        <v>1</v>
      </c>
      <c r="N2976">
        <v>6.1</v>
      </c>
      <c r="O2976">
        <v>7</v>
      </c>
      <c r="P2976">
        <v>3</v>
      </c>
      <c r="Q2976">
        <v>3</v>
      </c>
      <c r="R2976">
        <v>614699</v>
      </c>
      <c r="S2976">
        <f>Table1[[#This Row],[Revenue]]-Table1[[#This Row],[Operating_Costs]]</f>
        <v>97318</v>
      </c>
      <c r="T2976">
        <v>517381</v>
      </c>
      <c r="U2976">
        <v>57</v>
      </c>
      <c r="V2976">
        <v>60</v>
      </c>
      <c r="W2976">
        <v>6</v>
      </c>
    </row>
    <row r="2977" spans="1:23" x14ac:dyDescent="0.25">
      <c r="A2977">
        <v>9</v>
      </c>
      <c r="B2977" t="s">
        <v>44</v>
      </c>
      <c r="C2977" s="1">
        <v>44540</v>
      </c>
      <c r="D2977" t="s">
        <v>71</v>
      </c>
      <c r="E2977">
        <v>0</v>
      </c>
      <c r="F2977">
        <v>59</v>
      </c>
      <c r="G2977" t="str">
        <f t="shared" si="54"/>
        <v>41-60</v>
      </c>
      <c r="H2977" t="s">
        <v>23</v>
      </c>
      <c r="I2977" t="s">
        <v>46</v>
      </c>
      <c r="J2977" t="s">
        <v>47</v>
      </c>
      <c r="K2977" t="s">
        <v>42</v>
      </c>
      <c r="L2977">
        <v>1</v>
      </c>
      <c r="M2977">
        <v>1</v>
      </c>
      <c r="N2977">
        <v>4</v>
      </c>
      <c r="O2977">
        <v>9.1</v>
      </c>
      <c r="P2977">
        <v>5</v>
      </c>
      <c r="Q2977">
        <v>7</v>
      </c>
      <c r="R2977">
        <v>522718</v>
      </c>
      <c r="S2977">
        <f>Table1[[#This Row],[Revenue]]-Table1[[#This Row],[Operating_Costs]]</f>
        <v>80986</v>
      </c>
      <c r="T2977">
        <v>441732</v>
      </c>
      <c r="U2977">
        <v>37</v>
      </c>
      <c r="V2977">
        <v>55</v>
      </c>
      <c r="W2977">
        <v>9.1999999999999993</v>
      </c>
    </row>
    <row r="2978" spans="1:23" x14ac:dyDescent="0.25">
      <c r="A2978">
        <v>9</v>
      </c>
      <c r="B2978" t="s">
        <v>44</v>
      </c>
      <c r="C2978" s="1">
        <v>44912</v>
      </c>
      <c r="D2978" t="s">
        <v>71</v>
      </c>
      <c r="E2978">
        <v>0</v>
      </c>
      <c r="F2978">
        <v>52</v>
      </c>
      <c r="G2978" t="str">
        <f t="shared" si="54"/>
        <v>41-60</v>
      </c>
      <c r="H2978" t="s">
        <v>23</v>
      </c>
      <c r="I2978" t="s">
        <v>40</v>
      </c>
      <c r="J2978" t="s">
        <v>41</v>
      </c>
      <c r="K2978" t="s">
        <v>38</v>
      </c>
      <c r="L2978">
        <v>1</v>
      </c>
      <c r="M2978">
        <v>1</v>
      </c>
      <c r="N2978">
        <v>3</v>
      </c>
      <c r="O2978">
        <v>8.6</v>
      </c>
      <c r="P2978">
        <v>4</v>
      </c>
      <c r="Q2978">
        <v>6</v>
      </c>
      <c r="R2978">
        <v>537722</v>
      </c>
      <c r="S2978">
        <f>Table1[[#This Row],[Revenue]]-Table1[[#This Row],[Operating_Costs]]</f>
        <v>116897</v>
      </c>
      <c r="T2978">
        <v>420825</v>
      </c>
      <c r="U2978">
        <v>39</v>
      </c>
      <c r="V2978">
        <v>63</v>
      </c>
      <c r="W2978">
        <v>5.6</v>
      </c>
    </row>
    <row r="2979" spans="1:23" x14ac:dyDescent="0.25">
      <c r="A2979">
        <v>7</v>
      </c>
      <c r="B2979" t="s">
        <v>49</v>
      </c>
      <c r="C2979" s="1">
        <v>44740</v>
      </c>
      <c r="D2979" t="s">
        <v>71</v>
      </c>
      <c r="E2979">
        <v>0</v>
      </c>
      <c r="F2979">
        <v>29</v>
      </c>
      <c r="G2979" t="str">
        <f t="shared" si="54"/>
        <v>21-40</v>
      </c>
      <c r="H2979" t="s">
        <v>23</v>
      </c>
      <c r="I2979" t="s">
        <v>67</v>
      </c>
      <c r="J2979" t="s">
        <v>68</v>
      </c>
      <c r="K2979" t="s">
        <v>33</v>
      </c>
      <c r="L2979">
        <v>1</v>
      </c>
      <c r="M2979">
        <v>1</v>
      </c>
      <c r="N2979">
        <v>1.7</v>
      </c>
      <c r="O2979">
        <v>8.1999999999999993</v>
      </c>
      <c r="P2979">
        <v>6</v>
      </c>
      <c r="Q2979">
        <v>3</v>
      </c>
      <c r="R2979">
        <v>662284</v>
      </c>
      <c r="S2979">
        <f>Table1[[#This Row],[Revenue]]-Table1[[#This Row],[Operating_Costs]]</f>
        <v>144502</v>
      </c>
      <c r="T2979">
        <v>517782</v>
      </c>
      <c r="U2979">
        <v>52</v>
      </c>
      <c r="V2979">
        <v>59</v>
      </c>
      <c r="W2979">
        <v>36.4</v>
      </c>
    </row>
    <row r="2980" spans="1:23" x14ac:dyDescent="0.25">
      <c r="A2980">
        <v>9</v>
      </c>
      <c r="B2980" t="s">
        <v>44</v>
      </c>
      <c r="C2980" s="1">
        <v>45295</v>
      </c>
      <c r="D2980" t="s">
        <v>71</v>
      </c>
      <c r="E2980">
        <v>0</v>
      </c>
      <c r="F2980">
        <v>59</v>
      </c>
      <c r="G2980" t="str">
        <f t="shared" si="54"/>
        <v>41-60</v>
      </c>
      <c r="H2980" t="s">
        <v>35</v>
      </c>
      <c r="I2980" t="s">
        <v>58</v>
      </c>
      <c r="J2980" t="s">
        <v>59</v>
      </c>
      <c r="K2980" t="s">
        <v>42</v>
      </c>
      <c r="L2980">
        <v>1</v>
      </c>
      <c r="M2980">
        <v>1</v>
      </c>
      <c r="N2980">
        <v>3.2</v>
      </c>
      <c r="O2980">
        <v>8.5</v>
      </c>
      <c r="P2980">
        <v>7</v>
      </c>
      <c r="Q2980">
        <v>6</v>
      </c>
      <c r="R2980">
        <v>533644</v>
      </c>
      <c r="S2980">
        <f>Table1[[#This Row],[Revenue]]-Table1[[#This Row],[Operating_Costs]]</f>
        <v>103567</v>
      </c>
      <c r="T2980">
        <v>430077</v>
      </c>
      <c r="U2980">
        <v>40</v>
      </c>
      <c r="V2980">
        <v>57</v>
      </c>
      <c r="W2980">
        <v>13.9</v>
      </c>
    </row>
    <row r="2981" spans="1:23" x14ac:dyDescent="0.25">
      <c r="A2981">
        <v>9</v>
      </c>
      <c r="B2981" t="s">
        <v>44</v>
      </c>
      <c r="C2981" s="1">
        <v>45597</v>
      </c>
      <c r="D2981" t="s">
        <v>71</v>
      </c>
      <c r="E2981">
        <v>0</v>
      </c>
      <c r="F2981">
        <v>31</v>
      </c>
      <c r="G2981" t="str">
        <f t="shared" si="54"/>
        <v>21-40</v>
      </c>
      <c r="H2981" t="s">
        <v>35</v>
      </c>
      <c r="I2981" t="s">
        <v>31</v>
      </c>
      <c r="J2981" t="s">
        <v>28</v>
      </c>
      <c r="K2981" t="s">
        <v>33</v>
      </c>
      <c r="L2981">
        <v>1</v>
      </c>
      <c r="M2981">
        <v>1</v>
      </c>
      <c r="N2981">
        <v>4.7</v>
      </c>
      <c r="O2981">
        <v>7.7</v>
      </c>
      <c r="P2981">
        <v>4</v>
      </c>
      <c r="Q2981">
        <v>5</v>
      </c>
      <c r="R2981">
        <v>593094</v>
      </c>
      <c r="S2981">
        <f>Table1[[#This Row],[Revenue]]-Table1[[#This Row],[Operating_Costs]]</f>
        <v>109891</v>
      </c>
      <c r="T2981">
        <v>483203</v>
      </c>
      <c r="U2981">
        <v>36</v>
      </c>
      <c r="V2981">
        <v>65</v>
      </c>
      <c r="W2981">
        <v>14.1</v>
      </c>
    </row>
    <row r="2982" spans="1:23" x14ac:dyDescent="0.25">
      <c r="A2982">
        <v>9</v>
      </c>
      <c r="B2982" t="s">
        <v>44</v>
      </c>
      <c r="C2982" s="1">
        <v>44398</v>
      </c>
      <c r="D2982" t="s">
        <v>71</v>
      </c>
      <c r="E2982">
        <v>0</v>
      </c>
      <c r="F2982">
        <v>40</v>
      </c>
      <c r="G2982" t="str">
        <f t="shared" si="54"/>
        <v>21-40</v>
      </c>
      <c r="H2982" t="s">
        <v>23</v>
      </c>
      <c r="I2982" t="s">
        <v>67</v>
      </c>
      <c r="J2982" t="s">
        <v>68</v>
      </c>
      <c r="K2982" t="s">
        <v>42</v>
      </c>
      <c r="L2982">
        <v>1</v>
      </c>
      <c r="M2982">
        <v>1</v>
      </c>
      <c r="N2982">
        <v>1.1000000000000001</v>
      </c>
      <c r="O2982">
        <v>9.6</v>
      </c>
      <c r="P2982">
        <v>5</v>
      </c>
      <c r="Q2982">
        <v>3</v>
      </c>
      <c r="R2982">
        <v>551457</v>
      </c>
      <c r="S2982">
        <f>Table1[[#This Row],[Revenue]]-Table1[[#This Row],[Operating_Costs]]</f>
        <v>92558</v>
      </c>
      <c r="T2982">
        <v>458899</v>
      </c>
      <c r="U2982">
        <v>37</v>
      </c>
      <c r="V2982">
        <v>57</v>
      </c>
      <c r="W2982">
        <v>5.0999999999999996</v>
      </c>
    </row>
    <row r="2983" spans="1:23" x14ac:dyDescent="0.25">
      <c r="A2983">
        <v>9</v>
      </c>
      <c r="B2983" t="s">
        <v>44</v>
      </c>
      <c r="C2983" s="1">
        <v>45323</v>
      </c>
      <c r="D2983" t="s">
        <v>71</v>
      </c>
      <c r="E2983">
        <v>0</v>
      </c>
      <c r="F2983">
        <v>90</v>
      </c>
      <c r="G2983" t="str">
        <f t="shared" si="54"/>
        <v>81+</v>
      </c>
      <c r="H2983" t="s">
        <v>23</v>
      </c>
      <c r="I2983" t="s">
        <v>24</v>
      </c>
      <c r="J2983" t="s">
        <v>25</v>
      </c>
      <c r="K2983" t="s">
        <v>42</v>
      </c>
      <c r="L2983">
        <v>1</v>
      </c>
      <c r="M2983">
        <v>1</v>
      </c>
      <c r="N2983">
        <v>3.2</v>
      </c>
      <c r="O2983">
        <v>7.9</v>
      </c>
      <c r="P2983">
        <v>7</v>
      </c>
      <c r="Q2983">
        <v>6</v>
      </c>
      <c r="R2983">
        <v>533652</v>
      </c>
      <c r="S2983">
        <f>Table1[[#This Row],[Revenue]]-Table1[[#This Row],[Operating_Costs]]</f>
        <v>113901</v>
      </c>
      <c r="T2983">
        <v>419751</v>
      </c>
      <c r="U2983">
        <v>35</v>
      </c>
      <c r="V2983">
        <v>57</v>
      </c>
      <c r="W2983">
        <v>7.2</v>
      </c>
    </row>
    <row r="2984" spans="1:23" x14ac:dyDescent="0.25">
      <c r="A2984">
        <v>9</v>
      </c>
      <c r="B2984" t="s">
        <v>44</v>
      </c>
      <c r="C2984" s="1">
        <v>45590</v>
      </c>
      <c r="D2984" t="s">
        <v>71</v>
      </c>
      <c r="E2984">
        <v>0</v>
      </c>
      <c r="F2984">
        <v>28</v>
      </c>
      <c r="G2984" t="str">
        <f t="shared" si="54"/>
        <v>21-40</v>
      </c>
      <c r="H2984" t="s">
        <v>23</v>
      </c>
      <c r="I2984" t="s">
        <v>40</v>
      </c>
      <c r="J2984" t="s">
        <v>41</v>
      </c>
      <c r="K2984" t="s">
        <v>38</v>
      </c>
      <c r="L2984">
        <v>1</v>
      </c>
      <c r="M2984">
        <v>1</v>
      </c>
      <c r="N2984">
        <v>4.8</v>
      </c>
      <c r="O2984">
        <v>7.3</v>
      </c>
      <c r="P2984">
        <v>7</v>
      </c>
      <c r="Q2984">
        <v>7</v>
      </c>
      <c r="R2984">
        <v>512362</v>
      </c>
      <c r="S2984">
        <f>Table1[[#This Row],[Revenue]]-Table1[[#This Row],[Operating_Costs]]</f>
        <v>116306</v>
      </c>
      <c r="T2984">
        <v>396056</v>
      </c>
      <c r="U2984">
        <v>38</v>
      </c>
      <c r="V2984">
        <v>58</v>
      </c>
      <c r="W2984">
        <v>6.1</v>
      </c>
    </row>
    <row r="2985" spans="1:23" x14ac:dyDescent="0.25">
      <c r="A2985">
        <v>9</v>
      </c>
      <c r="B2985" t="s">
        <v>44</v>
      </c>
      <c r="C2985" s="1">
        <v>45482</v>
      </c>
      <c r="D2985" t="s">
        <v>71</v>
      </c>
      <c r="E2985">
        <v>0</v>
      </c>
      <c r="F2985">
        <v>40</v>
      </c>
      <c r="G2985" t="str">
        <f t="shared" si="54"/>
        <v>21-40</v>
      </c>
      <c r="H2985" t="s">
        <v>23</v>
      </c>
      <c r="I2985" t="s">
        <v>67</v>
      </c>
      <c r="J2985" t="s">
        <v>68</v>
      </c>
      <c r="K2985" t="s">
        <v>38</v>
      </c>
      <c r="L2985">
        <v>1</v>
      </c>
      <c r="M2985">
        <v>1</v>
      </c>
      <c r="N2985">
        <v>5.5</v>
      </c>
      <c r="O2985">
        <v>9.5</v>
      </c>
      <c r="P2985">
        <v>7</v>
      </c>
      <c r="Q2985">
        <v>5</v>
      </c>
      <c r="R2985">
        <v>588217</v>
      </c>
      <c r="S2985">
        <f>Table1[[#This Row],[Revenue]]-Table1[[#This Row],[Operating_Costs]]</f>
        <v>160274</v>
      </c>
      <c r="T2985">
        <v>427943</v>
      </c>
      <c r="U2985">
        <v>35</v>
      </c>
      <c r="V2985">
        <v>62</v>
      </c>
      <c r="W2985">
        <v>14.5</v>
      </c>
    </row>
    <row r="2986" spans="1:23" x14ac:dyDescent="0.25">
      <c r="A2986">
        <v>9</v>
      </c>
      <c r="B2986" t="s">
        <v>44</v>
      </c>
      <c r="C2986" s="1">
        <v>45434</v>
      </c>
      <c r="D2986" t="s">
        <v>71</v>
      </c>
      <c r="E2986">
        <v>0</v>
      </c>
      <c r="F2986">
        <v>30</v>
      </c>
      <c r="G2986" t="str">
        <f t="shared" si="54"/>
        <v>21-40</v>
      </c>
      <c r="H2986" t="s">
        <v>35</v>
      </c>
      <c r="I2986" t="s">
        <v>55</v>
      </c>
      <c r="J2986" t="s">
        <v>56</v>
      </c>
      <c r="K2986" t="s">
        <v>29</v>
      </c>
      <c r="L2986">
        <v>1</v>
      </c>
      <c r="M2986">
        <v>1</v>
      </c>
      <c r="N2986">
        <v>1.5</v>
      </c>
      <c r="O2986">
        <v>9.9</v>
      </c>
      <c r="P2986">
        <v>5</v>
      </c>
      <c r="Q2986">
        <v>6</v>
      </c>
      <c r="R2986">
        <v>521290</v>
      </c>
      <c r="S2986">
        <f>Table1[[#This Row],[Revenue]]-Table1[[#This Row],[Operating_Costs]]</f>
        <v>97029</v>
      </c>
      <c r="T2986">
        <v>424261</v>
      </c>
      <c r="U2986">
        <v>38</v>
      </c>
      <c r="V2986">
        <v>64</v>
      </c>
      <c r="W2986">
        <v>8.4</v>
      </c>
    </row>
    <row r="2987" spans="1:23" x14ac:dyDescent="0.25">
      <c r="A2987">
        <v>9</v>
      </c>
      <c r="B2987" t="s">
        <v>44</v>
      </c>
      <c r="C2987" s="1">
        <v>45562</v>
      </c>
      <c r="D2987" t="s">
        <v>71</v>
      </c>
      <c r="E2987">
        <v>0</v>
      </c>
      <c r="F2987">
        <v>25</v>
      </c>
      <c r="G2987" t="str">
        <f t="shared" si="54"/>
        <v>21-40</v>
      </c>
      <c r="H2987" t="s">
        <v>23</v>
      </c>
      <c r="I2987" t="s">
        <v>67</v>
      </c>
      <c r="J2987" t="s">
        <v>68</v>
      </c>
      <c r="K2987" t="s">
        <v>33</v>
      </c>
      <c r="L2987">
        <v>1</v>
      </c>
      <c r="M2987">
        <v>1</v>
      </c>
      <c r="N2987">
        <v>4.3</v>
      </c>
      <c r="O2987">
        <v>7.2</v>
      </c>
      <c r="P2987">
        <v>5</v>
      </c>
      <c r="Q2987">
        <v>5</v>
      </c>
      <c r="R2987">
        <v>526620</v>
      </c>
      <c r="S2987">
        <f>Table1[[#This Row],[Revenue]]-Table1[[#This Row],[Operating_Costs]]</f>
        <v>136434</v>
      </c>
      <c r="T2987">
        <v>390186</v>
      </c>
      <c r="U2987">
        <v>35</v>
      </c>
      <c r="V2987">
        <v>63</v>
      </c>
      <c r="W2987">
        <v>14.1</v>
      </c>
    </row>
    <row r="2988" spans="1:23" x14ac:dyDescent="0.25">
      <c r="A2988">
        <v>9</v>
      </c>
      <c r="B2988" t="s">
        <v>44</v>
      </c>
      <c r="C2988" s="1">
        <v>44989</v>
      </c>
      <c r="D2988" t="s">
        <v>71</v>
      </c>
      <c r="E2988">
        <v>0</v>
      </c>
      <c r="F2988">
        <v>59</v>
      </c>
      <c r="G2988" t="str">
        <f t="shared" si="54"/>
        <v>41-60</v>
      </c>
      <c r="H2988" t="s">
        <v>35</v>
      </c>
      <c r="I2988" t="s">
        <v>36</v>
      </c>
      <c r="J2988" t="s">
        <v>37</v>
      </c>
      <c r="K2988" t="s">
        <v>38</v>
      </c>
      <c r="L2988">
        <v>1</v>
      </c>
      <c r="M2988">
        <v>1</v>
      </c>
      <c r="N2988">
        <v>6.9</v>
      </c>
      <c r="O2988">
        <v>8.6999999999999993</v>
      </c>
      <c r="P2988">
        <v>3</v>
      </c>
      <c r="Q2988">
        <v>7</v>
      </c>
      <c r="R2988">
        <v>589493</v>
      </c>
      <c r="S2988">
        <f>Table1[[#This Row],[Revenue]]-Table1[[#This Row],[Operating_Costs]]</f>
        <v>169598</v>
      </c>
      <c r="T2988">
        <v>419895</v>
      </c>
      <c r="U2988">
        <v>39</v>
      </c>
      <c r="V2988">
        <v>59</v>
      </c>
      <c r="W2988">
        <v>7.1</v>
      </c>
    </row>
    <row r="2989" spans="1:23" x14ac:dyDescent="0.25">
      <c r="A2989">
        <v>9</v>
      </c>
      <c r="B2989" t="s">
        <v>44</v>
      </c>
      <c r="C2989" s="1">
        <v>45087</v>
      </c>
      <c r="D2989" t="s">
        <v>71</v>
      </c>
      <c r="E2989">
        <v>0</v>
      </c>
      <c r="F2989">
        <v>88</v>
      </c>
      <c r="G2989" t="str">
        <f t="shared" si="54"/>
        <v>81+</v>
      </c>
      <c r="H2989" t="s">
        <v>23</v>
      </c>
      <c r="I2989" t="s">
        <v>61</v>
      </c>
      <c r="J2989" t="s">
        <v>62</v>
      </c>
      <c r="K2989" t="s">
        <v>26</v>
      </c>
      <c r="L2989">
        <v>1</v>
      </c>
      <c r="M2989">
        <v>1</v>
      </c>
      <c r="N2989">
        <v>4.3</v>
      </c>
      <c r="O2989">
        <v>9.3000000000000007</v>
      </c>
      <c r="P2989">
        <v>5</v>
      </c>
      <c r="Q2989">
        <v>3</v>
      </c>
      <c r="R2989">
        <v>508581</v>
      </c>
      <c r="S2989">
        <f>Table1[[#This Row],[Revenue]]-Table1[[#This Row],[Operating_Costs]]</f>
        <v>52405</v>
      </c>
      <c r="T2989">
        <v>456176</v>
      </c>
      <c r="U2989">
        <v>36</v>
      </c>
      <c r="V2989">
        <v>59</v>
      </c>
      <c r="W2989">
        <v>14.4</v>
      </c>
    </row>
    <row r="2990" spans="1:23" x14ac:dyDescent="0.25">
      <c r="A2990">
        <v>7</v>
      </c>
      <c r="B2990" t="s">
        <v>49</v>
      </c>
      <c r="C2990" s="1">
        <v>44321</v>
      </c>
      <c r="D2990" t="s">
        <v>71</v>
      </c>
      <c r="E2990">
        <v>0</v>
      </c>
      <c r="F2990">
        <v>46</v>
      </c>
      <c r="G2990" t="str">
        <f t="shared" si="54"/>
        <v>41-60</v>
      </c>
      <c r="H2990" t="s">
        <v>23</v>
      </c>
      <c r="I2990" t="s">
        <v>27</v>
      </c>
      <c r="J2990" t="s">
        <v>28</v>
      </c>
      <c r="K2990" t="s">
        <v>42</v>
      </c>
      <c r="L2990">
        <v>1</v>
      </c>
      <c r="M2990">
        <v>1</v>
      </c>
      <c r="N2990">
        <v>1.9</v>
      </c>
      <c r="O2990">
        <v>9.3000000000000007</v>
      </c>
      <c r="P2990">
        <v>5</v>
      </c>
      <c r="Q2990">
        <v>7</v>
      </c>
      <c r="R2990">
        <v>746099</v>
      </c>
      <c r="S2990">
        <f>Table1[[#This Row],[Revenue]]-Table1[[#This Row],[Operating_Costs]]</f>
        <v>209933</v>
      </c>
      <c r="T2990">
        <v>536166</v>
      </c>
      <c r="U2990">
        <v>49</v>
      </c>
      <c r="V2990">
        <v>66</v>
      </c>
      <c r="W2990">
        <v>6.6</v>
      </c>
    </row>
    <row r="2991" spans="1:23" x14ac:dyDescent="0.25">
      <c r="A2991">
        <v>7</v>
      </c>
      <c r="B2991" t="s">
        <v>49</v>
      </c>
      <c r="C2991" s="1">
        <v>45635</v>
      </c>
      <c r="D2991" t="s">
        <v>71</v>
      </c>
      <c r="E2991">
        <v>0</v>
      </c>
      <c r="F2991">
        <v>89</v>
      </c>
      <c r="G2991" t="str">
        <f t="shared" si="54"/>
        <v>81+</v>
      </c>
      <c r="H2991" t="s">
        <v>23</v>
      </c>
      <c r="I2991" t="s">
        <v>46</v>
      </c>
      <c r="J2991" t="s">
        <v>47</v>
      </c>
      <c r="K2991" t="s">
        <v>38</v>
      </c>
      <c r="L2991">
        <v>1</v>
      </c>
      <c r="M2991">
        <v>1</v>
      </c>
      <c r="N2991">
        <v>6.2</v>
      </c>
      <c r="O2991">
        <v>8</v>
      </c>
      <c r="P2991">
        <v>4</v>
      </c>
      <c r="Q2991">
        <v>4</v>
      </c>
      <c r="R2991">
        <v>799705</v>
      </c>
      <c r="S2991">
        <f>Table1[[#This Row],[Revenue]]-Table1[[#This Row],[Operating_Costs]]</f>
        <v>248203</v>
      </c>
      <c r="T2991">
        <v>551502</v>
      </c>
      <c r="U2991">
        <v>49</v>
      </c>
      <c r="V2991">
        <v>60</v>
      </c>
      <c r="W2991">
        <v>10</v>
      </c>
    </row>
    <row r="2992" spans="1:23" x14ac:dyDescent="0.25">
      <c r="A2992">
        <v>9</v>
      </c>
      <c r="B2992" t="s">
        <v>44</v>
      </c>
      <c r="C2992" s="1">
        <v>44624</v>
      </c>
      <c r="D2992" t="s">
        <v>71</v>
      </c>
      <c r="E2992">
        <v>0</v>
      </c>
      <c r="F2992">
        <v>48</v>
      </c>
      <c r="G2992" t="str">
        <f t="shared" si="54"/>
        <v>41-60</v>
      </c>
      <c r="H2992" t="s">
        <v>23</v>
      </c>
      <c r="I2992" t="s">
        <v>61</v>
      </c>
      <c r="J2992" t="s">
        <v>62</v>
      </c>
      <c r="K2992" t="s">
        <v>42</v>
      </c>
      <c r="L2992">
        <v>1</v>
      </c>
      <c r="M2992">
        <v>1</v>
      </c>
      <c r="N2992">
        <v>4.4000000000000004</v>
      </c>
      <c r="O2992">
        <v>9.1999999999999993</v>
      </c>
      <c r="P2992">
        <v>5</v>
      </c>
      <c r="Q2992">
        <v>5</v>
      </c>
      <c r="R2992">
        <v>516575</v>
      </c>
      <c r="S2992">
        <f>Table1[[#This Row],[Revenue]]-Table1[[#This Row],[Operating_Costs]]</f>
        <v>108203</v>
      </c>
      <c r="T2992">
        <v>408372</v>
      </c>
      <c r="U2992">
        <v>39</v>
      </c>
      <c r="V2992">
        <v>59</v>
      </c>
      <c r="W2992">
        <v>8.8000000000000007</v>
      </c>
    </row>
    <row r="2993" spans="1:23" x14ac:dyDescent="0.25">
      <c r="A2993">
        <v>9</v>
      </c>
      <c r="B2993" t="s">
        <v>44</v>
      </c>
      <c r="C2993" s="1">
        <v>45464</v>
      </c>
      <c r="D2993" t="s">
        <v>71</v>
      </c>
      <c r="E2993">
        <v>0</v>
      </c>
      <c r="F2993">
        <v>85</v>
      </c>
      <c r="G2993" t="str">
        <f t="shared" si="54"/>
        <v>81+</v>
      </c>
      <c r="H2993" t="s">
        <v>23</v>
      </c>
      <c r="I2993" t="s">
        <v>40</v>
      </c>
      <c r="J2993" t="s">
        <v>41</v>
      </c>
      <c r="K2993" t="s">
        <v>29</v>
      </c>
      <c r="L2993">
        <v>1</v>
      </c>
      <c r="M2993">
        <v>1</v>
      </c>
      <c r="N2993">
        <v>4.0999999999999996</v>
      </c>
      <c r="O2993">
        <v>8.1999999999999993</v>
      </c>
      <c r="P2993">
        <v>6</v>
      </c>
      <c r="Q2993">
        <v>6</v>
      </c>
      <c r="R2993">
        <v>588236</v>
      </c>
      <c r="S2993">
        <f>Table1[[#This Row],[Revenue]]-Table1[[#This Row],[Operating_Costs]]</f>
        <v>180373</v>
      </c>
      <c r="T2993">
        <v>407863</v>
      </c>
      <c r="U2993">
        <v>38</v>
      </c>
      <c r="V2993">
        <v>61</v>
      </c>
      <c r="W2993">
        <v>10.9</v>
      </c>
    </row>
    <row r="2994" spans="1:23" x14ac:dyDescent="0.25">
      <c r="A2994">
        <v>8</v>
      </c>
      <c r="B2994" t="s">
        <v>52</v>
      </c>
      <c r="C2994" s="1">
        <v>45367</v>
      </c>
      <c r="D2994" t="s">
        <v>71</v>
      </c>
      <c r="E2994">
        <v>0</v>
      </c>
      <c r="F2994">
        <v>33</v>
      </c>
      <c r="G2994" t="str">
        <f t="shared" si="54"/>
        <v>21-40</v>
      </c>
      <c r="H2994" t="s">
        <v>35</v>
      </c>
      <c r="I2994" t="s">
        <v>36</v>
      </c>
      <c r="J2994" t="s">
        <v>37</v>
      </c>
      <c r="K2994" t="s">
        <v>29</v>
      </c>
      <c r="L2994">
        <v>1</v>
      </c>
      <c r="M2994">
        <v>1</v>
      </c>
      <c r="N2994">
        <v>3.9</v>
      </c>
      <c r="O2994">
        <v>9.5</v>
      </c>
      <c r="P2994">
        <v>3</v>
      </c>
      <c r="Q2994">
        <v>6</v>
      </c>
      <c r="R2994">
        <v>931227</v>
      </c>
      <c r="S2994">
        <f>Table1[[#This Row],[Revenue]]-Table1[[#This Row],[Operating_Costs]]</f>
        <v>103485</v>
      </c>
      <c r="T2994">
        <v>827742</v>
      </c>
      <c r="U2994">
        <v>38</v>
      </c>
      <c r="V2994">
        <v>59</v>
      </c>
      <c r="W2994">
        <v>36.700000000000003</v>
      </c>
    </row>
    <row r="2995" spans="1:23" x14ac:dyDescent="0.25">
      <c r="A2995">
        <v>9</v>
      </c>
      <c r="B2995" t="s">
        <v>44</v>
      </c>
      <c r="C2995" s="1">
        <v>45474</v>
      </c>
      <c r="D2995" t="s">
        <v>71</v>
      </c>
      <c r="E2995">
        <v>0</v>
      </c>
      <c r="F2995">
        <v>40</v>
      </c>
      <c r="G2995" t="str">
        <f t="shared" si="54"/>
        <v>21-40</v>
      </c>
      <c r="H2995" t="s">
        <v>35</v>
      </c>
      <c r="I2995" t="s">
        <v>50</v>
      </c>
      <c r="J2995" t="s">
        <v>51</v>
      </c>
      <c r="K2995" t="s">
        <v>38</v>
      </c>
      <c r="L2995">
        <v>1</v>
      </c>
      <c r="M2995">
        <v>1</v>
      </c>
      <c r="N2995">
        <v>6.7</v>
      </c>
      <c r="O2995">
        <v>9.6999999999999993</v>
      </c>
      <c r="P2995">
        <v>5</v>
      </c>
      <c r="Q2995">
        <v>6</v>
      </c>
      <c r="R2995">
        <v>576036</v>
      </c>
      <c r="S2995">
        <f>Table1[[#This Row],[Revenue]]-Table1[[#This Row],[Operating_Costs]]</f>
        <v>90765</v>
      </c>
      <c r="T2995">
        <v>485271</v>
      </c>
      <c r="U2995">
        <v>38</v>
      </c>
      <c r="V2995">
        <v>65</v>
      </c>
      <c r="W2995">
        <v>13.6</v>
      </c>
    </row>
    <row r="2996" spans="1:23" x14ac:dyDescent="0.25">
      <c r="A2996">
        <v>9</v>
      </c>
      <c r="B2996" t="s">
        <v>44</v>
      </c>
      <c r="C2996" s="1">
        <v>44847</v>
      </c>
      <c r="D2996" t="s">
        <v>71</v>
      </c>
      <c r="E2996">
        <v>0</v>
      </c>
      <c r="F2996">
        <v>35</v>
      </c>
      <c r="G2996" t="str">
        <f t="shared" si="54"/>
        <v>21-40</v>
      </c>
      <c r="H2996" t="s">
        <v>35</v>
      </c>
      <c r="I2996" t="s">
        <v>36</v>
      </c>
      <c r="J2996" t="s">
        <v>37</v>
      </c>
      <c r="K2996" t="s">
        <v>42</v>
      </c>
      <c r="L2996">
        <v>1</v>
      </c>
      <c r="M2996">
        <v>1</v>
      </c>
      <c r="N2996">
        <v>4</v>
      </c>
      <c r="O2996">
        <v>9.6999999999999993</v>
      </c>
      <c r="P2996">
        <v>4</v>
      </c>
      <c r="Q2996">
        <v>7</v>
      </c>
      <c r="R2996">
        <v>545269</v>
      </c>
      <c r="S2996">
        <f>Table1[[#This Row],[Revenue]]-Table1[[#This Row],[Operating_Costs]]</f>
        <v>135089</v>
      </c>
      <c r="T2996">
        <v>410180</v>
      </c>
      <c r="U2996">
        <v>37</v>
      </c>
      <c r="V2996">
        <v>59</v>
      </c>
      <c r="W2996">
        <v>14.1</v>
      </c>
    </row>
    <row r="2997" spans="1:23" x14ac:dyDescent="0.25">
      <c r="A2997">
        <v>9</v>
      </c>
      <c r="B2997" t="s">
        <v>44</v>
      </c>
      <c r="C2997" s="1">
        <v>45573</v>
      </c>
      <c r="D2997" t="s">
        <v>71</v>
      </c>
      <c r="E2997">
        <v>0</v>
      </c>
      <c r="F2997">
        <v>38</v>
      </c>
      <c r="G2997" t="str">
        <f t="shared" si="54"/>
        <v>21-40</v>
      </c>
      <c r="H2997" t="s">
        <v>23</v>
      </c>
      <c r="I2997" t="s">
        <v>24</v>
      </c>
      <c r="J2997" t="s">
        <v>25</v>
      </c>
      <c r="K2997" t="s">
        <v>42</v>
      </c>
      <c r="L2997">
        <v>1</v>
      </c>
      <c r="M2997">
        <v>1</v>
      </c>
      <c r="N2997">
        <v>1.2</v>
      </c>
      <c r="O2997">
        <v>7.5</v>
      </c>
      <c r="P2997">
        <v>3</v>
      </c>
      <c r="Q2997">
        <v>6</v>
      </c>
      <c r="R2997">
        <v>521409</v>
      </c>
      <c r="S2997">
        <f>Table1[[#This Row],[Revenue]]-Table1[[#This Row],[Operating_Costs]]</f>
        <v>119780</v>
      </c>
      <c r="T2997">
        <v>401629</v>
      </c>
      <c r="U2997">
        <v>37</v>
      </c>
      <c r="V2997">
        <v>55</v>
      </c>
      <c r="W2997">
        <v>12</v>
      </c>
    </row>
    <row r="2998" spans="1:23" x14ac:dyDescent="0.25">
      <c r="A2998">
        <v>9</v>
      </c>
      <c r="B2998" t="s">
        <v>44</v>
      </c>
      <c r="C2998" s="1">
        <v>44556</v>
      </c>
      <c r="D2998" t="s">
        <v>71</v>
      </c>
      <c r="E2998">
        <v>0</v>
      </c>
      <c r="F2998">
        <v>65</v>
      </c>
      <c r="G2998" t="str">
        <f t="shared" si="54"/>
        <v>61-80</v>
      </c>
      <c r="H2998" t="s">
        <v>23</v>
      </c>
      <c r="I2998" t="s">
        <v>50</v>
      </c>
      <c r="J2998" t="s">
        <v>51</v>
      </c>
      <c r="K2998" t="s">
        <v>33</v>
      </c>
      <c r="L2998">
        <v>1</v>
      </c>
      <c r="M2998">
        <v>1</v>
      </c>
      <c r="N2998">
        <v>5.6</v>
      </c>
      <c r="O2998">
        <v>9.6999999999999993</v>
      </c>
      <c r="P2998">
        <v>4</v>
      </c>
      <c r="Q2998">
        <v>3</v>
      </c>
      <c r="R2998">
        <v>598378</v>
      </c>
      <c r="S2998">
        <f>Table1[[#This Row],[Revenue]]-Table1[[#This Row],[Operating_Costs]]</f>
        <v>116217</v>
      </c>
      <c r="T2998">
        <v>482161</v>
      </c>
      <c r="U2998">
        <v>37</v>
      </c>
      <c r="V2998">
        <v>54</v>
      </c>
      <c r="W2998">
        <v>13.2</v>
      </c>
    </row>
    <row r="2999" spans="1:23" x14ac:dyDescent="0.25">
      <c r="A2999">
        <v>9</v>
      </c>
      <c r="B2999" t="s">
        <v>44</v>
      </c>
      <c r="C2999" s="1">
        <v>45218</v>
      </c>
      <c r="D2999" t="s">
        <v>71</v>
      </c>
      <c r="E2999">
        <v>0</v>
      </c>
      <c r="F2999">
        <v>23</v>
      </c>
      <c r="G2999" t="str">
        <f t="shared" si="54"/>
        <v>21-40</v>
      </c>
      <c r="H2999" t="s">
        <v>23</v>
      </c>
      <c r="I2999" t="s">
        <v>61</v>
      </c>
      <c r="J2999" t="s">
        <v>62</v>
      </c>
      <c r="K2999" t="s">
        <v>33</v>
      </c>
      <c r="L2999">
        <v>1</v>
      </c>
      <c r="M2999">
        <v>1</v>
      </c>
      <c r="N2999">
        <v>2.1</v>
      </c>
      <c r="O2999">
        <v>8</v>
      </c>
      <c r="P2999">
        <v>7</v>
      </c>
      <c r="Q2999">
        <v>5</v>
      </c>
      <c r="R2999">
        <v>595644</v>
      </c>
      <c r="S2999">
        <f>Table1[[#This Row],[Revenue]]-Table1[[#This Row],[Operating_Costs]]</f>
        <v>172051</v>
      </c>
      <c r="T2999">
        <v>423593</v>
      </c>
      <c r="U2999">
        <v>39</v>
      </c>
      <c r="V2999">
        <v>64</v>
      </c>
      <c r="W2999">
        <v>36.200000000000003</v>
      </c>
    </row>
    <row r="3000" spans="1:23" x14ac:dyDescent="0.25">
      <c r="A3000">
        <v>9</v>
      </c>
      <c r="B3000" t="s">
        <v>44</v>
      </c>
      <c r="C3000" s="1">
        <v>45445</v>
      </c>
      <c r="D3000" t="s">
        <v>71</v>
      </c>
      <c r="E3000">
        <v>0</v>
      </c>
      <c r="F3000">
        <v>83</v>
      </c>
      <c r="G3000" t="str">
        <f t="shared" si="54"/>
        <v>81+</v>
      </c>
      <c r="H3000" t="s">
        <v>23</v>
      </c>
      <c r="I3000" t="s">
        <v>43</v>
      </c>
      <c r="J3000" t="s">
        <v>25</v>
      </c>
      <c r="K3000" t="s">
        <v>33</v>
      </c>
      <c r="L3000">
        <v>1</v>
      </c>
      <c r="M3000">
        <v>1</v>
      </c>
      <c r="N3000">
        <v>2.8</v>
      </c>
      <c r="O3000">
        <v>7</v>
      </c>
      <c r="P3000">
        <v>4</v>
      </c>
      <c r="Q3000">
        <v>5</v>
      </c>
      <c r="R3000">
        <v>510310</v>
      </c>
      <c r="S3000">
        <f>Table1[[#This Row],[Revenue]]-Table1[[#This Row],[Operating_Costs]]</f>
        <v>33260</v>
      </c>
      <c r="T3000">
        <v>477050</v>
      </c>
      <c r="U3000">
        <v>35</v>
      </c>
      <c r="V3000">
        <v>62</v>
      </c>
      <c r="W3000">
        <v>8.3000000000000007</v>
      </c>
    </row>
    <row r="3001" spans="1:23" x14ac:dyDescent="0.25">
      <c r="A3001">
        <v>9</v>
      </c>
      <c r="B3001" t="s">
        <v>44</v>
      </c>
      <c r="C3001" s="1">
        <v>45468</v>
      </c>
      <c r="D3001" t="s">
        <v>71</v>
      </c>
      <c r="E3001">
        <v>0</v>
      </c>
      <c r="F3001">
        <v>85</v>
      </c>
      <c r="G3001" t="str">
        <f t="shared" si="54"/>
        <v>81+</v>
      </c>
      <c r="H3001" t="s">
        <v>35</v>
      </c>
      <c r="I3001" t="s">
        <v>31</v>
      </c>
      <c r="J3001" t="s">
        <v>28</v>
      </c>
      <c r="K3001" t="s">
        <v>38</v>
      </c>
      <c r="L3001">
        <v>1</v>
      </c>
      <c r="M3001">
        <v>1</v>
      </c>
      <c r="N3001">
        <v>1</v>
      </c>
      <c r="O3001">
        <v>9.9</v>
      </c>
      <c r="P3001">
        <v>3</v>
      </c>
      <c r="Q3001">
        <v>3</v>
      </c>
      <c r="R3001">
        <v>568331</v>
      </c>
      <c r="S3001">
        <f>Table1[[#This Row],[Revenue]]-Table1[[#This Row],[Operating_Costs]]</f>
        <v>102546</v>
      </c>
      <c r="T3001">
        <v>465785</v>
      </c>
      <c r="U3001">
        <v>40</v>
      </c>
      <c r="V3001">
        <v>60</v>
      </c>
      <c r="W3001">
        <v>8.8000000000000007</v>
      </c>
    </row>
    <row r="3002" spans="1:23" x14ac:dyDescent="0.25">
      <c r="A3002">
        <v>8</v>
      </c>
      <c r="B3002" t="s">
        <v>52</v>
      </c>
      <c r="C3002" s="1">
        <v>45205</v>
      </c>
      <c r="D3002" t="s">
        <v>71</v>
      </c>
      <c r="E3002">
        <v>0</v>
      </c>
      <c r="F3002">
        <v>49</v>
      </c>
      <c r="G3002" t="str">
        <f t="shared" si="54"/>
        <v>41-60</v>
      </c>
      <c r="H3002" t="s">
        <v>35</v>
      </c>
      <c r="I3002" t="s">
        <v>58</v>
      </c>
      <c r="J3002" t="s">
        <v>59</v>
      </c>
      <c r="K3002" t="s">
        <v>38</v>
      </c>
      <c r="L3002">
        <v>1</v>
      </c>
      <c r="M3002">
        <v>1</v>
      </c>
      <c r="N3002">
        <v>6</v>
      </c>
      <c r="O3002">
        <v>8.1</v>
      </c>
      <c r="P3002">
        <v>4</v>
      </c>
      <c r="Q3002">
        <v>4</v>
      </c>
      <c r="R3002">
        <v>980534</v>
      </c>
      <c r="S3002">
        <f>Table1[[#This Row],[Revenue]]-Table1[[#This Row],[Operating_Costs]]</f>
        <v>173760</v>
      </c>
      <c r="T3002">
        <v>806774</v>
      </c>
      <c r="U3002">
        <v>38</v>
      </c>
      <c r="V3002">
        <v>55</v>
      </c>
      <c r="W3002">
        <v>36.4</v>
      </c>
    </row>
    <row r="3003" spans="1:23" x14ac:dyDescent="0.25">
      <c r="A3003">
        <v>9</v>
      </c>
      <c r="B3003" t="s">
        <v>44</v>
      </c>
      <c r="C3003" s="1">
        <v>44384</v>
      </c>
      <c r="D3003" t="s">
        <v>71</v>
      </c>
      <c r="E3003">
        <v>0</v>
      </c>
      <c r="F3003">
        <v>47</v>
      </c>
      <c r="G3003" t="str">
        <f t="shared" si="54"/>
        <v>41-60</v>
      </c>
      <c r="H3003" t="s">
        <v>35</v>
      </c>
      <c r="I3003" t="s">
        <v>27</v>
      </c>
      <c r="J3003" t="s">
        <v>28</v>
      </c>
      <c r="K3003" t="s">
        <v>26</v>
      </c>
      <c r="L3003">
        <v>1</v>
      </c>
      <c r="M3003">
        <v>1</v>
      </c>
      <c r="N3003">
        <v>4.5999999999999996</v>
      </c>
      <c r="O3003">
        <v>8.6999999999999993</v>
      </c>
      <c r="P3003">
        <v>7</v>
      </c>
      <c r="Q3003">
        <v>4</v>
      </c>
      <c r="R3003">
        <v>570331</v>
      </c>
      <c r="S3003">
        <f>Table1[[#This Row],[Revenue]]-Table1[[#This Row],[Operating_Costs]]</f>
        <v>149556</v>
      </c>
      <c r="T3003">
        <v>420775</v>
      </c>
      <c r="U3003">
        <v>35</v>
      </c>
      <c r="V3003">
        <v>64</v>
      </c>
      <c r="W3003">
        <v>12.9</v>
      </c>
    </row>
    <row r="3004" spans="1:23" x14ac:dyDescent="0.25">
      <c r="A3004">
        <v>9</v>
      </c>
      <c r="B3004" t="s">
        <v>44</v>
      </c>
      <c r="C3004" s="1">
        <v>45251</v>
      </c>
      <c r="D3004" t="s">
        <v>71</v>
      </c>
      <c r="E3004">
        <v>0</v>
      </c>
      <c r="F3004">
        <v>31</v>
      </c>
      <c r="G3004" t="str">
        <f t="shared" si="54"/>
        <v>21-40</v>
      </c>
      <c r="H3004" t="s">
        <v>23</v>
      </c>
      <c r="I3004" t="s">
        <v>27</v>
      </c>
      <c r="J3004" t="s">
        <v>28</v>
      </c>
      <c r="K3004" t="s">
        <v>38</v>
      </c>
      <c r="L3004">
        <v>1</v>
      </c>
      <c r="M3004">
        <v>1</v>
      </c>
      <c r="N3004">
        <v>5.7</v>
      </c>
      <c r="O3004">
        <v>7.3</v>
      </c>
      <c r="P3004">
        <v>6</v>
      </c>
      <c r="Q3004">
        <v>4</v>
      </c>
      <c r="R3004">
        <v>502401</v>
      </c>
      <c r="S3004">
        <f>Table1[[#This Row],[Revenue]]-Table1[[#This Row],[Operating_Costs]]</f>
        <v>48229</v>
      </c>
      <c r="T3004">
        <v>454172</v>
      </c>
      <c r="U3004">
        <v>40</v>
      </c>
      <c r="V3004">
        <v>66</v>
      </c>
      <c r="W3004">
        <v>6.1</v>
      </c>
    </row>
    <row r="3005" spans="1:23" x14ac:dyDescent="0.25">
      <c r="A3005">
        <v>9</v>
      </c>
      <c r="B3005" t="s">
        <v>44</v>
      </c>
      <c r="C3005" s="1">
        <v>44626</v>
      </c>
      <c r="D3005" t="s">
        <v>71</v>
      </c>
      <c r="E3005">
        <v>0</v>
      </c>
      <c r="F3005">
        <v>23</v>
      </c>
      <c r="G3005" t="str">
        <f t="shared" si="54"/>
        <v>21-40</v>
      </c>
      <c r="H3005" t="s">
        <v>23</v>
      </c>
      <c r="I3005" t="s">
        <v>24</v>
      </c>
      <c r="J3005" t="s">
        <v>25</v>
      </c>
      <c r="K3005" t="s">
        <v>29</v>
      </c>
      <c r="L3005">
        <v>1</v>
      </c>
      <c r="M3005">
        <v>1</v>
      </c>
      <c r="N3005">
        <v>5.9</v>
      </c>
      <c r="O3005">
        <v>7</v>
      </c>
      <c r="P3005">
        <v>6</v>
      </c>
      <c r="Q3005">
        <v>3</v>
      </c>
      <c r="R3005">
        <v>587159</v>
      </c>
      <c r="S3005">
        <f>Table1[[#This Row],[Revenue]]-Table1[[#This Row],[Operating_Costs]]</f>
        <v>168058</v>
      </c>
      <c r="T3005">
        <v>419101</v>
      </c>
      <c r="U3005">
        <v>37</v>
      </c>
      <c r="V3005">
        <v>64</v>
      </c>
      <c r="W3005">
        <v>5.8</v>
      </c>
    </row>
    <row r="3006" spans="1:23" x14ac:dyDescent="0.25">
      <c r="A3006">
        <v>9</v>
      </c>
      <c r="B3006" t="s">
        <v>44</v>
      </c>
      <c r="C3006" s="1">
        <v>44860</v>
      </c>
      <c r="D3006" t="s">
        <v>71</v>
      </c>
      <c r="E3006">
        <v>0</v>
      </c>
      <c r="F3006">
        <v>25</v>
      </c>
      <c r="G3006" t="str">
        <f t="shared" si="54"/>
        <v>21-40</v>
      </c>
      <c r="H3006" t="s">
        <v>23</v>
      </c>
      <c r="I3006" t="s">
        <v>43</v>
      </c>
      <c r="J3006" t="s">
        <v>25</v>
      </c>
      <c r="K3006" t="s">
        <v>38</v>
      </c>
      <c r="L3006">
        <v>1</v>
      </c>
      <c r="M3006">
        <v>1</v>
      </c>
      <c r="N3006">
        <v>3.8</v>
      </c>
      <c r="O3006">
        <v>8.5</v>
      </c>
      <c r="P3006">
        <v>6</v>
      </c>
      <c r="Q3006">
        <v>6</v>
      </c>
      <c r="R3006">
        <v>505616</v>
      </c>
      <c r="S3006">
        <f>Table1[[#This Row],[Revenue]]-Table1[[#This Row],[Operating_Costs]]</f>
        <v>114978</v>
      </c>
      <c r="T3006">
        <v>390638</v>
      </c>
      <c r="U3006">
        <v>38</v>
      </c>
      <c r="V3006">
        <v>59</v>
      </c>
      <c r="W3006">
        <v>15</v>
      </c>
    </row>
    <row r="3007" spans="1:23" x14ac:dyDescent="0.25">
      <c r="A3007">
        <v>9</v>
      </c>
      <c r="B3007" t="s">
        <v>44</v>
      </c>
      <c r="C3007" s="1">
        <v>45416</v>
      </c>
      <c r="D3007" t="s">
        <v>71</v>
      </c>
      <c r="E3007">
        <v>0</v>
      </c>
      <c r="F3007">
        <v>69</v>
      </c>
      <c r="G3007" t="str">
        <f t="shared" si="54"/>
        <v>61-80</v>
      </c>
      <c r="H3007" t="s">
        <v>23</v>
      </c>
      <c r="I3007" t="s">
        <v>64</v>
      </c>
      <c r="J3007" t="s">
        <v>65</v>
      </c>
      <c r="K3007" t="s">
        <v>42</v>
      </c>
      <c r="L3007">
        <v>1</v>
      </c>
      <c r="M3007">
        <v>1</v>
      </c>
      <c r="N3007">
        <v>4.4000000000000004</v>
      </c>
      <c r="O3007">
        <v>7.2</v>
      </c>
      <c r="P3007">
        <v>6</v>
      </c>
      <c r="Q3007">
        <v>7</v>
      </c>
      <c r="R3007">
        <v>562519</v>
      </c>
      <c r="S3007">
        <f>Table1[[#This Row],[Revenue]]-Table1[[#This Row],[Operating_Costs]]</f>
        <v>81036</v>
      </c>
      <c r="T3007">
        <v>481483</v>
      </c>
      <c r="U3007">
        <v>38</v>
      </c>
      <c r="V3007">
        <v>56</v>
      </c>
      <c r="W3007">
        <v>8.1</v>
      </c>
    </row>
    <row r="3008" spans="1:23" x14ac:dyDescent="0.25">
      <c r="A3008">
        <v>9</v>
      </c>
      <c r="B3008" t="s">
        <v>44</v>
      </c>
      <c r="C3008" s="1">
        <v>45539</v>
      </c>
      <c r="D3008" t="s">
        <v>71</v>
      </c>
      <c r="E3008">
        <v>0</v>
      </c>
      <c r="F3008">
        <v>59</v>
      </c>
      <c r="G3008" t="str">
        <f t="shared" si="54"/>
        <v>41-60</v>
      </c>
      <c r="H3008" t="s">
        <v>23</v>
      </c>
      <c r="I3008" t="s">
        <v>61</v>
      </c>
      <c r="J3008" t="s">
        <v>62</v>
      </c>
      <c r="K3008" t="s">
        <v>38</v>
      </c>
      <c r="L3008">
        <v>1</v>
      </c>
      <c r="M3008">
        <v>1</v>
      </c>
      <c r="N3008">
        <v>3.8</v>
      </c>
      <c r="O3008">
        <v>9.8000000000000007</v>
      </c>
      <c r="P3008">
        <v>6</v>
      </c>
      <c r="Q3008">
        <v>4</v>
      </c>
      <c r="R3008">
        <v>526341</v>
      </c>
      <c r="S3008">
        <f>Table1[[#This Row],[Revenue]]-Table1[[#This Row],[Operating_Costs]]</f>
        <v>76894</v>
      </c>
      <c r="T3008">
        <v>449447</v>
      </c>
      <c r="U3008">
        <v>36</v>
      </c>
      <c r="V3008">
        <v>66</v>
      </c>
      <c r="W3008">
        <v>8.3000000000000007</v>
      </c>
    </row>
    <row r="3009" spans="1:23" x14ac:dyDescent="0.25">
      <c r="A3009">
        <v>9</v>
      </c>
      <c r="B3009" t="s">
        <v>44</v>
      </c>
      <c r="C3009" s="1">
        <v>44399</v>
      </c>
      <c r="D3009" t="s">
        <v>71</v>
      </c>
      <c r="E3009">
        <v>0</v>
      </c>
      <c r="F3009">
        <v>45</v>
      </c>
      <c r="G3009" t="str">
        <f t="shared" si="54"/>
        <v>41-60</v>
      </c>
      <c r="H3009" t="s">
        <v>23</v>
      </c>
      <c r="I3009" t="s">
        <v>64</v>
      </c>
      <c r="J3009" t="s">
        <v>65</v>
      </c>
      <c r="K3009" t="s">
        <v>38</v>
      </c>
      <c r="L3009">
        <v>1</v>
      </c>
      <c r="M3009">
        <v>1</v>
      </c>
      <c r="N3009">
        <v>3.8</v>
      </c>
      <c r="O3009">
        <v>7.9</v>
      </c>
      <c r="P3009">
        <v>7</v>
      </c>
      <c r="Q3009">
        <v>6</v>
      </c>
      <c r="R3009">
        <v>550176</v>
      </c>
      <c r="S3009">
        <f>Table1[[#This Row],[Revenue]]-Table1[[#This Row],[Operating_Costs]]</f>
        <v>127524</v>
      </c>
      <c r="T3009">
        <v>422652</v>
      </c>
      <c r="U3009">
        <v>37</v>
      </c>
      <c r="V3009">
        <v>66</v>
      </c>
      <c r="W3009">
        <v>14.1</v>
      </c>
    </row>
    <row r="3010" spans="1:23" x14ac:dyDescent="0.25">
      <c r="A3010">
        <v>9</v>
      </c>
      <c r="B3010" t="s">
        <v>44</v>
      </c>
      <c r="C3010" s="1">
        <v>44214</v>
      </c>
      <c r="D3010" t="s">
        <v>71</v>
      </c>
      <c r="E3010">
        <v>0</v>
      </c>
      <c r="F3010">
        <v>46</v>
      </c>
      <c r="G3010" t="str">
        <f t="shared" si="54"/>
        <v>41-60</v>
      </c>
      <c r="H3010" t="s">
        <v>35</v>
      </c>
      <c r="I3010" t="s">
        <v>36</v>
      </c>
      <c r="J3010" t="s">
        <v>37</v>
      </c>
      <c r="K3010" t="s">
        <v>42</v>
      </c>
      <c r="L3010">
        <v>1</v>
      </c>
      <c r="M3010">
        <v>1</v>
      </c>
      <c r="N3010">
        <v>7</v>
      </c>
      <c r="O3010">
        <v>7.9</v>
      </c>
      <c r="P3010">
        <v>3</v>
      </c>
      <c r="Q3010">
        <v>6</v>
      </c>
      <c r="R3010">
        <v>523767</v>
      </c>
      <c r="S3010">
        <f>Table1[[#This Row],[Revenue]]-Table1[[#This Row],[Operating_Costs]]</f>
        <v>118828</v>
      </c>
      <c r="T3010">
        <v>404939</v>
      </c>
      <c r="U3010">
        <v>35</v>
      </c>
      <c r="V3010">
        <v>56</v>
      </c>
      <c r="W3010">
        <v>6.2</v>
      </c>
    </row>
    <row r="3011" spans="1:23" x14ac:dyDescent="0.25">
      <c r="A3011">
        <v>9</v>
      </c>
      <c r="B3011" t="s">
        <v>44</v>
      </c>
      <c r="C3011" s="1">
        <v>44486</v>
      </c>
      <c r="D3011" t="s">
        <v>71</v>
      </c>
      <c r="E3011">
        <v>0</v>
      </c>
      <c r="F3011">
        <v>54</v>
      </c>
      <c r="G3011" t="str">
        <f t="shared" ref="G3011:G3074" si="55">IF(F3011&lt;=20,"0-20",IF(F3011&lt;=40,"21-40",IF(F3011&lt;=60,"41-60",IF(F3011&lt;=80,"61-80","81+"))))</f>
        <v>41-60</v>
      </c>
      <c r="H3011" t="s">
        <v>23</v>
      </c>
      <c r="I3011" t="s">
        <v>61</v>
      </c>
      <c r="J3011" t="s">
        <v>62</v>
      </c>
      <c r="K3011" t="s">
        <v>38</v>
      </c>
      <c r="L3011">
        <v>1</v>
      </c>
      <c r="M3011">
        <v>1</v>
      </c>
      <c r="N3011">
        <v>3</v>
      </c>
      <c r="O3011">
        <v>7.6</v>
      </c>
      <c r="P3011">
        <v>3</v>
      </c>
      <c r="Q3011">
        <v>7</v>
      </c>
      <c r="R3011">
        <v>530618</v>
      </c>
      <c r="S3011">
        <f>Table1[[#This Row],[Revenue]]-Table1[[#This Row],[Operating_Costs]]</f>
        <v>55675</v>
      </c>
      <c r="T3011">
        <v>474943</v>
      </c>
      <c r="U3011">
        <v>35</v>
      </c>
      <c r="V3011">
        <v>56</v>
      </c>
      <c r="W3011">
        <v>7.3</v>
      </c>
    </row>
    <row r="3012" spans="1:23" x14ac:dyDescent="0.25">
      <c r="A3012">
        <v>9</v>
      </c>
      <c r="B3012" t="s">
        <v>44</v>
      </c>
      <c r="C3012" s="1">
        <v>45460</v>
      </c>
      <c r="D3012" t="s">
        <v>71</v>
      </c>
      <c r="E3012">
        <v>0</v>
      </c>
      <c r="F3012">
        <v>58</v>
      </c>
      <c r="G3012" t="str">
        <f t="shared" si="55"/>
        <v>41-60</v>
      </c>
      <c r="H3012" t="s">
        <v>35</v>
      </c>
      <c r="I3012" t="s">
        <v>64</v>
      </c>
      <c r="J3012" t="s">
        <v>65</v>
      </c>
      <c r="K3012" t="s">
        <v>38</v>
      </c>
      <c r="L3012">
        <v>1</v>
      </c>
      <c r="M3012">
        <v>1</v>
      </c>
      <c r="N3012">
        <v>6.3</v>
      </c>
      <c r="O3012">
        <v>7.9</v>
      </c>
      <c r="P3012">
        <v>4</v>
      </c>
      <c r="Q3012">
        <v>7</v>
      </c>
      <c r="R3012">
        <v>585493</v>
      </c>
      <c r="S3012">
        <f>Table1[[#This Row],[Revenue]]-Table1[[#This Row],[Operating_Costs]]</f>
        <v>131954</v>
      </c>
      <c r="T3012">
        <v>453539</v>
      </c>
      <c r="U3012">
        <v>39</v>
      </c>
      <c r="V3012">
        <v>54</v>
      </c>
      <c r="W3012">
        <v>5.4</v>
      </c>
    </row>
    <row r="3013" spans="1:23" x14ac:dyDescent="0.25">
      <c r="A3013">
        <v>9</v>
      </c>
      <c r="B3013" t="s">
        <v>44</v>
      </c>
      <c r="C3013" s="1">
        <v>45006</v>
      </c>
      <c r="D3013" t="s">
        <v>71</v>
      </c>
      <c r="E3013">
        <v>0</v>
      </c>
      <c r="F3013">
        <v>57</v>
      </c>
      <c r="G3013" t="str">
        <f t="shared" si="55"/>
        <v>41-60</v>
      </c>
      <c r="H3013" t="s">
        <v>35</v>
      </c>
      <c r="I3013" t="s">
        <v>40</v>
      </c>
      <c r="J3013" t="s">
        <v>41</v>
      </c>
      <c r="K3013" t="s">
        <v>33</v>
      </c>
      <c r="L3013">
        <v>1</v>
      </c>
      <c r="M3013">
        <v>1</v>
      </c>
      <c r="N3013">
        <v>2.4</v>
      </c>
      <c r="O3013">
        <v>8.1</v>
      </c>
      <c r="P3013">
        <v>7</v>
      </c>
      <c r="Q3013">
        <v>7</v>
      </c>
      <c r="R3013">
        <v>555531</v>
      </c>
      <c r="S3013">
        <f>Table1[[#This Row],[Revenue]]-Table1[[#This Row],[Operating_Costs]]</f>
        <v>83986</v>
      </c>
      <c r="T3013">
        <v>471545</v>
      </c>
      <c r="U3013">
        <v>39</v>
      </c>
      <c r="V3013">
        <v>61</v>
      </c>
      <c r="W3013">
        <v>10</v>
      </c>
    </row>
    <row r="3014" spans="1:23" x14ac:dyDescent="0.25">
      <c r="A3014">
        <v>9</v>
      </c>
      <c r="B3014" t="s">
        <v>44</v>
      </c>
      <c r="C3014" s="1">
        <v>44542</v>
      </c>
      <c r="D3014" t="s">
        <v>71</v>
      </c>
      <c r="E3014">
        <v>0</v>
      </c>
      <c r="F3014">
        <v>47</v>
      </c>
      <c r="G3014" t="str">
        <f t="shared" si="55"/>
        <v>41-60</v>
      </c>
      <c r="H3014" t="s">
        <v>23</v>
      </c>
      <c r="I3014" t="s">
        <v>61</v>
      </c>
      <c r="J3014" t="s">
        <v>62</v>
      </c>
      <c r="K3014" t="s">
        <v>38</v>
      </c>
      <c r="L3014">
        <v>1</v>
      </c>
      <c r="M3014">
        <v>1</v>
      </c>
      <c r="N3014">
        <v>3.2</v>
      </c>
      <c r="O3014">
        <v>8.5</v>
      </c>
      <c r="P3014">
        <v>7</v>
      </c>
      <c r="Q3014">
        <v>4</v>
      </c>
      <c r="R3014">
        <v>505788</v>
      </c>
      <c r="S3014">
        <f>Table1[[#This Row],[Revenue]]-Table1[[#This Row],[Operating_Costs]]</f>
        <v>102833</v>
      </c>
      <c r="T3014">
        <v>402955</v>
      </c>
      <c r="U3014">
        <v>40</v>
      </c>
      <c r="V3014">
        <v>64</v>
      </c>
      <c r="W3014">
        <v>36.1</v>
      </c>
    </row>
    <row r="3015" spans="1:23" x14ac:dyDescent="0.25">
      <c r="A3015">
        <v>9</v>
      </c>
      <c r="B3015" t="s">
        <v>44</v>
      </c>
      <c r="C3015" s="1">
        <v>45136</v>
      </c>
      <c r="D3015" t="s">
        <v>71</v>
      </c>
      <c r="E3015">
        <v>0</v>
      </c>
      <c r="F3015">
        <v>56</v>
      </c>
      <c r="G3015" t="str">
        <f t="shared" si="55"/>
        <v>41-60</v>
      </c>
      <c r="H3015" t="s">
        <v>35</v>
      </c>
      <c r="I3015" t="s">
        <v>31</v>
      </c>
      <c r="J3015" t="s">
        <v>28</v>
      </c>
      <c r="K3015" t="s">
        <v>38</v>
      </c>
      <c r="L3015">
        <v>1</v>
      </c>
      <c r="M3015">
        <v>1</v>
      </c>
      <c r="N3015">
        <v>1.7</v>
      </c>
      <c r="O3015">
        <v>7.4</v>
      </c>
      <c r="P3015">
        <v>6</v>
      </c>
      <c r="Q3015">
        <v>4</v>
      </c>
      <c r="R3015">
        <v>593381</v>
      </c>
      <c r="S3015">
        <f>Table1[[#This Row],[Revenue]]-Table1[[#This Row],[Operating_Costs]]</f>
        <v>110776</v>
      </c>
      <c r="T3015">
        <v>482605</v>
      </c>
      <c r="U3015">
        <v>36</v>
      </c>
      <c r="V3015">
        <v>60</v>
      </c>
      <c r="W3015">
        <v>12.4</v>
      </c>
    </row>
    <row r="3016" spans="1:23" x14ac:dyDescent="0.25">
      <c r="A3016">
        <v>9</v>
      </c>
      <c r="B3016" t="s">
        <v>44</v>
      </c>
      <c r="C3016" s="1">
        <v>44474</v>
      </c>
      <c r="D3016" t="s">
        <v>71</v>
      </c>
      <c r="E3016">
        <v>0</v>
      </c>
      <c r="F3016">
        <v>28</v>
      </c>
      <c r="G3016" t="str">
        <f t="shared" si="55"/>
        <v>21-40</v>
      </c>
      <c r="H3016" t="s">
        <v>23</v>
      </c>
      <c r="I3016" t="s">
        <v>61</v>
      </c>
      <c r="J3016" t="s">
        <v>62</v>
      </c>
      <c r="K3016" t="s">
        <v>38</v>
      </c>
      <c r="L3016">
        <v>1</v>
      </c>
      <c r="M3016">
        <v>1</v>
      </c>
      <c r="N3016">
        <v>2.5</v>
      </c>
      <c r="O3016">
        <v>9</v>
      </c>
      <c r="P3016">
        <v>6</v>
      </c>
      <c r="Q3016">
        <v>6</v>
      </c>
      <c r="R3016">
        <v>560443</v>
      </c>
      <c r="S3016">
        <f>Table1[[#This Row],[Revenue]]-Table1[[#This Row],[Operating_Costs]]</f>
        <v>117171</v>
      </c>
      <c r="T3016">
        <v>443272</v>
      </c>
      <c r="U3016">
        <v>36</v>
      </c>
      <c r="V3016">
        <v>58</v>
      </c>
      <c r="W3016">
        <v>7.7</v>
      </c>
    </row>
    <row r="3017" spans="1:23" x14ac:dyDescent="0.25">
      <c r="A3017">
        <v>8</v>
      </c>
      <c r="B3017" t="s">
        <v>52</v>
      </c>
      <c r="C3017" s="1">
        <v>45190</v>
      </c>
      <c r="D3017" t="s">
        <v>71</v>
      </c>
      <c r="E3017">
        <v>0</v>
      </c>
      <c r="F3017">
        <v>65</v>
      </c>
      <c r="G3017" t="str">
        <f t="shared" si="55"/>
        <v>61-80</v>
      </c>
      <c r="H3017" t="s">
        <v>35</v>
      </c>
      <c r="I3017" t="s">
        <v>40</v>
      </c>
      <c r="J3017" t="s">
        <v>41</v>
      </c>
      <c r="K3017" t="s">
        <v>38</v>
      </c>
      <c r="L3017">
        <v>1</v>
      </c>
      <c r="M3017">
        <v>1</v>
      </c>
      <c r="N3017">
        <v>5.0999999999999996</v>
      </c>
      <c r="O3017">
        <v>8.8000000000000007</v>
      </c>
      <c r="P3017">
        <v>6</v>
      </c>
      <c r="Q3017">
        <v>5</v>
      </c>
      <c r="R3017">
        <v>936662</v>
      </c>
      <c r="S3017">
        <f>Table1[[#This Row],[Revenue]]-Table1[[#This Row],[Operating_Costs]]</f>
        <v>41825</v>
      </c>
      <c r="T3017">
        <v>894837</v>
      </c>
      <c r="U3017">
        <v>37</v>
      </c>
      <c r="V3017">
        <v>63</v>
      </c>
      <c r="W3017">
        <v>10.5</v>
      </c>
    </row>
    <row r="3018" spans="1:23" x14ac:dyDescent="0.25">
      <c r="A3018">
        <v>9</v>
      </c>
      <c r="B3018" t="s">
        <v>44</v>
      </c>
      <c r="C3018" s="1">
        <v>45270</v>
      </c>
      <c r="D3018" t="s">
        <v>71</v>
      </c>
      <c r="E3018">
        <v>0</v>
      </c>
      <c r="F3018">
        <v>83</v>
      </c>
      <c r="G3018" t="str">
        <f t="shared" si="55"/>
        <v>81+</v>
      </c>
      <c r="H3018" t="s">
        <v>35</v>
      </c>
      <c r="I3018" t="s">
        <v>55</v>
      </c>
      <c r="J3018" t="s">
        <v>56</v>
      </c>
      <c r="K3018" t="s">
        <v>42</v>
      </c>
      <c r="L3018">
        <v>1</v>
      </c>
      <c r="M3018">
        <v>1</v>
      </c>
      <c r="N3018">
        <v>5.5</v>
      </c>
      <c r="O3018">
        <v>7.7</v>
      </c>
      <c r="P3018">
        <v>5</v>
      </c>
      <c r="Q3018">
        <v>5</v>
      </c>
      <c r="R3018">
        <v>592595</v>
      </c>
      <c r="S3018">
        <f>Table1[[#This Row],[Revenue]]-Table1[[#This Row],[Operating_Costs]]</f>
        <v>135076</v>
      </c>
      <c r="T3018">
        <v>457519</v>
      </c>
      <c r="U3018">
        <v>35</v>
      </c>
      <c r="V3018">
        <v>65</v>
      </c>
      <c r="W3018">
        <v>12</v>
      </c>
    </row>
    <row r="3019" spans="1:23" x14ac:dyDescent="0.25">
      <c r="A3019">
        <v>9</v>
      </c>
      <c r="B3019" t="s">
        <v>44</v>
      </c>
      <c r="C3019" s="1">
        <v>45632</v>
      </c>
      <c r="D3019" t="s">
        <v>71</v>
      </c>
      <c r="E3019">
        <v>0</v>
      </c>
      <c r="F3019">
        <v>31</v>
      </c>
      <c r="G3019" t="str">
        <f t="shared" si="55"/>
        <v>21-40</v>
      </c>
      <c r="H3019" t="s">
        <v>35</v>
      </c>
      <c r="I3019" t="s">
        <v>31</v>
      </c>
      <c r="J3019" t="s">
        <v>28</v>
      </c>
      <c r="K3019" t="s">
        <v>33</v>
      </c>
      <c r="L3019">
        <v>1</v>
      </c>
      <c r="M3019">
        <v>1</v>
      </c>
      <c r="N3019">
        <v>6.6</v>
      </c>
      <c r="O3019">
        <v>8.5</v>
      </c>
      <c r="P3019">
        <v>3</v>
      </c>
      <c r="Q3019">
        <v>4</v>
      </c>
      <c r="R3019">
        <v>556955</v>
      </c>
      <c r="S3019">
        <f>Table1[[#This Row],[Revenue]]-Table1[[#This Row],[Operating_Costs]]</f>
        <v>158982</v>
      </c>
      <c r="T3019">
        <v>397973</v>
      </c>
      <c r="U3019">
        <v>37</v>
      </c>
      <c r="V3019">
        <v>61</v>
      </c>
      <c r="W3019">
        <v>6.2</v>
      </c>
    </row>
    <row r="3020" spans="1:23" x14ac:dyDescent="0.25">
      <c r="A3020">
        <v>9</v>
      </c>
      <c r="B3020" t="s">
        <v>44</v>
      </c>
      <c r="C3020" s="1">
        <v>44900</v>
      </c>
      <c r="D3020" t="s">
        <v>71</v>
      </c>
      <c r="E3020">
        <v>0</v>
      </c>
      <c r="F3020">
        <v>47</v>
      </c>
      <c r="G3020" t="str">
        <f t="shared" si="55"/>
        <v>41-60</v>
      </c>
      <c r="H3020" t="s">
        <v>23</v>
      </c>
      <c r="I3020" t="s">
        <v>61</v>
      </c>
      <c r="J3020" t="s">
        <v>62</v>
      </c>
      <c r="K3020" t="s">
        <v>42</v>
      </c>
      <c r="L3020">
        <v>1</v>
      </c>
      <c r="M3020">
        <v>1</v>
      </c>
      <c r="N3020">
        <v>2.2000000000000002</v>
      </c>
      <c r="O3020">
        <v>8.1999999999999993</v>
      </c>
      <c r="P3020">
        <v>7</v>
      </c>
      <c r="Q3020">
        <v>6</v>
      </c>
      <c r="R3020">
        <v>589604</v>
      </c>
      <c r="S3020">
        <f>Table1[[#This Row],[Revenue]]-Table1[[#This Row],[Operating_Costs]]</f>
        <v>187482</v>
      </c>
      <c r="T3020">
        <v>402122</v>
      </c>
      <c r="U3020">
        <v>40</v>
      </c>
      <c r="V3020">
        <v>54</v>
      </c>
      <c r="W3020">
        <v>12.7</v>
      </c>
    </row>
    <row r="3021" spans="1:23" x14ac:dyDescent="0.25">
      <c r="A3021">
        <v>9</v>
      </c>
      <c r="B3021" t="s">
        <v>44</v>
      </c>
      <c r="C3021" s="1">
        <v>44482</v>
      </c>
      <c r="D3021" t="s">
        <v>71</v>
      </c>
      <c r="E3021">
        <v>0</v>
      </c>
      <c r="F3021">
        <v>62</v>
      </c>
      <c r="G3021" t="str">
        <f t="shared" si="55"/>
        <v>61-80</v>
      </c>
      <c r="H3021" t="s">
        <v>35</v>
      </c>
      <c r="I3021" t="s">
        <v>55</v>
      </c>
      <c r="J3021" t="s">
        <v>56</v>
      </c>
      <c r="K3021" t="s">
        <v>29</v>
      </c>
      <c r="L3021">
        <v>1</v>
      </c>
      <c r="M3021">
        <v>1</v>
      </c>
      <c r="N3021">
        <v>3.3</v>
      </c>
      <c r="O3021">
        <v>8.1</v>
      </c>
      <c r="P3021">
        <v>4</v>
      </c>
      <c r="Q3021">
        <v>5</v>
      </c>
      <c r="R3021">
        <v>578954</v>
      </c>
      <c r="S3021">
        <f>Table1[[#This Row],[Revenue]]-Table1[[#This Row],[Operating_Costs]]</f>
        <v>161087</v>
      </c>
      <c r="T3021">
        <v>417867</v>
      </c>
      <c r="U3021">
        <v>40</v>
      </c>
      <c r="V3021">
        <v>60</v>
      </c>
      <c r="W3021">
        <v>8.4</v>
      </c>
    </row>
    <row r="3022" spans="1:23" x14ac:dyDescent="0.25">
      <c r="A3022">
        <v>8</v>
      </c>
      <c r="B3022" t="s">
        <v>52</v>
      </c>
      <c r="C3022" s="1">
        <v>44247</v>
      </c>
      <c r="D3022" t="s">
        <v>71</v>
      </c>
      <c r="E3022">
        <v>0</v>
      </c>
      <c r="F3022">
        <v>66</v>
      </c>
      <c r="G3022" t="str">
        <f t="shared" si="55"/>
        <v>61-80</v>
      </c>
      <c r="H3022" t="s">
        <v>23</v>
      </c>
      <c r="I3022" t="s">
        <v>50</v>
      </c>
      <c r="J3022" t="s">
        <v>51</v>
      </c>
      <c r="K3022" t="s">
        <v>38</v>
      </c>
      <c r="L3022">
        <v>1</v>
      </c>
      <c r="M3022">
        <v>1</v>
      </c>
      <c r="N3022">
        <v>2.9</v>
      </c>
      <c r="O3022">
        <v>9.3000000000000007</v>
      </c>
      <c r="P3022">
        <v>7</v>
      </c>
      <c r="Q3022">
        <v>3</v>
      </c>
      <c r="R3022">
        <v>923776</v>
      </c>
      <c r="S3022">
        <f>Table1[[#This Row],[Revenue]]-Table1[[#This Row],[Operating_Costs]]</f>
        <v>103335</v>
      </c>
      <c r="T3022">
        <v>820441</v>
      </c>
      <c r="U3022">
        <v>39</v>
      </c>
      <c r="V3022">
        <v>66</v>
      </c>
      <c r="W3022">
        <v>36.1</v>
      </c>
    </row>
    <row r="3023" spans="1:23" x14ac:dyDescent="0.25">
      <c r="A3023">
        <v>9</v>
      </c>
      <c r="B3023" t="s">
        <v>44</v>
      </c>
      <c r="C3023" s="1">
        <v>44550</v>
      </c>
      <c r="D3023" t="s">
        <v>71</v>
      </c>
      <c r="E3023">
        <v>0</v>
      </c>
      <c r="F3023">
        <v>39</v>
      </c>
      <c r="G3023" t="str">
        <f t="shared" si="55"/>
        <v>21-40</v>
      </c>
      <c r="H3023" t="s">
        <v>23</v>
      </c>
      <c r="I3023" t="s">
        <v>61</v>
      </c>
      <c r="J3023" t="s">
        <v>62</v>
      </c>
      <c r="K3023" t="s">
        <v>33</v>
      </c>
      <c r="L3023">
        <v>1</v>
      </c>
      <c r="M3023">
        <v>1</v>
      </c>
      <c r="N3023">
        <v>2</v>
      </c>
      <c r="O3023">
        <v>8.8000000000000007</v>
      </c>
      <c r="P3023">
        <v>4</v>
      </c>
      <c r="Q3023">
        <v>7</v>
      </c>
      <c r="R3023">
        <v>536503</v>
      </c>
      <c r="S3023">
        <f>Table1[[#This Row],[Revenue]]-Table1[[#This Row],[Operating_Costs]]</f>
        <v>147946</v>
      </c>
      <c r="T3023">
        <v>388557</v>
      </c>
      <c r="U3023">
        <v>39</v>
      </c>
      <c r="V3023">
        <v>57</v>
      </c>
      <c r="W3023">
        <v>5.7</v>
      </c>
    </row>
    <row r="3024" spans="1:23" x14ac:dyDescent="0.25">
      <c r="A3024">
        <v>9</v>
      </c>
      <c r="B3024" t="s">
        <v>44</v>
      </c>
      <c r="C3024" s="1">
        <v>45324</v>
      </c>
      <c r="D3024" t="s">
        <v>71</v>
      </c>
      <c r="E3024">
        <v>0</v>
      </c>
      <c r="F3024">
        <v>86</v>
      </c>
      <c r="G3024" t="str">
        <f t="shared" si="55"/>
        <v>81+</v>
      </c>
      <c r="H3024" t="s">
        <v>23</v>
      </c>
      <c r="I3024" t="s">
        <v>24</v>
      </c>
      <c r="J3024" t="s">
        <v>25</v>
      </c>
      <c r="K3024" t="s">
        <v>42</v>
      </c>
      <c r="L3024">
        <v>1</v>
      </c>
      <c r="M3024">
        <v>1</v>
      </c>
      <c r="N3024">
        <v>5.5</v>
      </c>
      <c r="O3024">
        <v>8.1999999999999993</v>
      </c>
      <c r="P3024">
        <v>3</v>
      </c>
      <c r="Q3024">
        <v>7</v>
      </c>
      <c r="R3024">
        <v>597124</v>
      </c>
      <c r="S3024">
        <f>Table1[[#This Row],[Revenue]]-Table1[[#This Row],[Operating_Costs]]</f>
        <v>160781</v>
      </c>
      <c r="T3024">
        <v>436343</v>
      </c>
      <c r="U3024">
        <v>40</v>
      </c>
      <c r="V3024">
        <v>56</v>
      </c>
      <c r="W3024">
        <v>5.2</v>
      </c>
    </row>
    <row r="3025" spans="1:23" x14ac:dyDescent="0.25">
      <c r="A3025">
        <v>9</v>
      </c>
      <c r="B3025" t="s">
        <v>44</v>
      </c>
      <c r="C3025" s="1">
        <v>44701</v>
      </c>
      <c r="D3025" t="s">
        <v>71</v>
      </c>
      <c r="E3025">
        <v>0</v>
      </c>
      <c r="F3025">
        <v>34</v>
      </c>
      <c r="G3025" t="str">
        <f t="shared" si="55"/>
        <v>21-40</v>
      </c>
      <c r="H3025" t="s">
        <v>35</v>
      </c>
      <c r="I3025" t="s">
        <v>36</v>
      </c>
      <c r="J3025" t="s">
        <v>37</v>
      </c>
      <c r="K3025" t="s">
        <v>26</v>
      </c>
      <c r="L3025">
        <v>1</v>
      </c>
      <c r="M3025">
        <v>1</v>
      </c>
      <c r="N3025">
        <v>5.3</v>
      </c>
      <c r="O3025">
        <v>7.5</v>
      </c>
      <c r="P3025">
        <v>4</v>
      </c>
      <c r="Q3025">
        <v>7</v>
      </c>
      <c r="R3025">
        <v>538107</v>
      </c>
      <c r="S3025">
        <f>Table1[[#This Row],[Revenue]]-Table1[[#This Row],[Operating_Costs]]</f>
        <v>53506</v>
      </c>
      <c r="T3025">
        <v>484601</v>
      </c>
      <c r="U3025">
        <v>36</v>
      </c>
      <c r="V3025">
        <v>64</v>
      </c>
      <c r="W3025">
        <v>12.8</v>
      </c>
    </row>
    <row r="3026" spans="1:23" x14ac:dyDescent="0.25">
      <c r="A3026">
        <v>9</v>
      </c>
      <c r="B3026" t="s">
        <v>44</v>
      </c>
      <c r="C3026" s="1">
        <v>44329</v>
      </c>
      <c r="D3026" t="s">
        <v>71</v>
      </c>
      <c r="E3026">
        <v>0</v>
      </c>
      <c r="F3026">
        <v>39</v>
      </c>
      <c r="G3026" t="str">
        <f t="shared" si="55"/>
        <v>21-40</v>
      </c>
      <c r="H3026" t="s">
        <v>23</v>
      </c>
      <c r="I3026" t="s">
        <v>31</v>
      </c>
      <c r="J3026" t="s">
        <v>28</v>
      </c>
      <c r="K3026" t="s">
        <v>33</v>
      </c>
      <c r="L3026">
        <v>1</v>
      </c>
      <c r="M3026">
        <v>1</v>
      </c>
      <c r="N3026">
        <v>1.2</v>
      </c>
      <c r="O3026">
        <v>9.3000000000000007</v>
      </c>
      <c r="P3026">
        <v>6</v>
      </c>
      <c r="Q3026">
        <v>3</v>
      </c>
      <c r="R3026">
        <v>535459</v>
      </c>
      <c r="S3026">
        <f>Table1[[#This Row],[Revenue]]-Table1[[#This Row],[Operating_Costs]]</f>
        <v>150384</v>
      </c>
      <c r="T3026">
        <v>385075</v>
      </c>
      <c r="U3026">
        <v>38</v>
      </c>
      <c r="V3026">
        <v>63</v>
      </c>
      <c r="W3026">
        <v>9</v>
      </c>
    </row>
    <row r="3027" spans="1:23" x14ac:dyDescent="0.25">
      <c r="A3027">
        <v>9</v>
      </c>
      <c r="B3027" t="s">
        <v>44</v>
      </c>
      <c r="C3027" s="1">
        <v>45547</v>
      </c>
      <c r="D3027" t="s">
        <v>71</v>
      </c>
      <c r="E3027">
        <v>0</v>
      </c>
      <c r="F3027">
        <v>45</v>
      </c>
      <c r="G3027" t="str">
        <f t="shared" si="55"/>
        <v>41-60</v>
      </c>
      <c r="H3027" t="s">
        <v>23</v>
      </c>
      <c r="I3027" t="s">
        <v>55</v>
      </c>
      <c r="J3027" t="s">
        <v>56</v>
      </c>
      <c r="K3027" t="s">
        <v>33</v>
      </c>
      <c r="L3027">
        <v>1</v>
      </c>
      <c r="M3027">
        <v>1</v>
      </c>
      <c r="N3027">
        <v>2.2999999999999998</v>
      </c>
      <c r="O3027">
        <v>8.6999999999999993</v>
      </c>
      <c r="P3027">
        <v>4</v>
      </c>
      <c r="Q3027">
        <v>6</v>
      </c>
      <c r="R3027">
        <v>507872</v>
      </c>
      <c r="S3027">
        <f>Table1[[#This Row],[Revenue]]-Table1[[#This Row],[Operating_Costs]]</f>
        <v>92209</v>
      </c>
      <c r="T3027">
        <v>415663</v>
      </c>
      <c r="U3027">
        <v>40</v>
      </c>
      <c r="V3027">
        <v>65</v>
      </c>
      <c r="W3027">
        <v>9.6</v>
      </c>
    </row>
    <row r="3028" spans="1:23" x14ac:dyDescent="0.25">
      <c r="A3028">
        <v>9</v>
      </c>
      <c r="B3028" t="s">
        <v>44</v>
      </c>
      <c r="C3028" s="1">
        <v>45093</v>
      </c>
      <c r="D3028" t="s">
        <v>71</v>
      </c>
      <c r="E3028">
        <v>0</v>
      </c>
      <c r="F3028">
        <v>62</v>
      </c>
      <c r="G3028" t="str">
        <f t="shared" si="55"/>
        <v>61-80</v>
      </c>
      <c r="H3028" t="s">
        <v>35</v>
      </c>
      <c r="I3028" t="s">
        <v>46</v>
      </c>
      <c r="J3028" t="s">
        <v>47</v>
      </c>
      <c r="K3028" t="s">
        <v>29</v>
      </c>
      <c r="L3028">
        <v>1</v>
      </c>
      <c r="M3028">
        <v>1</v>
      </c>
      <c r="N3028">
        <v>1.6</v>
      </c>
      <c r="O3028">
        <v>8.1999999999999993</v>
      </c>
      <c r="P3028">
        <v>4</v>
      </c>
      <c r="Q3028">
        <v>3</v>
      </c>
      <c r="R3028">
        <v>555480</v>
      </c>
      <c r="S3028">
        <f>Table1[[#This Row],[Revenue]]-Table1[[#This Row],[Operating_Costs]]</f>
        <v>118275</v>
      </c>
      <c r="T3028">
        <v>437205</v>
      </c>
      <c r="U3028">
        <v>35</v>
      </c>
      <c r="V3028">
        <v>58</v>
      </c>
      <c r="W3028">
        <v>6.5</v>
      </c>
    </row>
    <row r="3029" spans="1:23" x14ac:dyDescent="0.25">
      <c r="A3029">
        <v>9</v>
      </c>
      <c r="B3029" t="s">
        <v>44</v>
      </c>
      <c r="C3029" s="1">
        <v>45603</v>
      </c>
      <c r="D3029" t="s">
        <v>71</v>
      </c>
      <c r="E3029">
        <v>0</v>
      </c>
      <c r="F3029">
        <v>60</v>
      </c>
      <c r="G3029" t="str">
        <f t="shared" si="55"/>
        <v>41-60</v>
      </c>
      <c r="H3029" t="s">
        <v>23</v>
      </c>
      <c r="I3029" t="s">
        <v>55</v>
      </c>
      <c r="J3029" t="s">
        <v>56</v>
      </c>
      <c r="K3029" t="s">
        <v>26</v>
      </c>
      <c r="L3029">
        <v>1</v>
      </c>
      <c r="M3029">
        <v>1</v>
      </c>
      <c r="N3029">
        <v>1.2</v>
      </c>
      <c r="O3029">
        <v>7.7</v>
      </c>
      <c r="P3029">
        <v>6</v>
      </c>
      <c r="Q3029">
        <v>3</v>
      </c>
      <c r="R3029">
        <v>536584</v>
      </c>
      <c r="S3029">
        <f>Table1[[#This Row],[Revenue]]-Table1[[#This Row],[Operating_Costs]]</f>
        <v>57428</v>
      </c>
      <c r="T3029">
        <v>479156</v>
      </c>
      <c r="U3029">
        <v>35</v>
      </c>
      <c r="V3029">
        <v>66</v>
      </c>
      <c r="W3029">
        <v>6.4</v>
      </c>
    </row>
    <row r="3030" spans="1:23" x14ac:dyDescent="0.25">
      <c r="A3030">
        <v>9</v>
      </c>
      <c r="B3030" t="s">
        <v>44</v>
      </c>
      <c r="C3030" s="1">
        <v>44871</v>
      </c>
      <c r="D3030" t="s">
        <v>71</v>
      </c>
      <c r="E3030">
        <v>0</v>
      </c>
      <c r="F3030">
        <v>31</v>
      </c>
      <c r="G3030" t="str">
        <f t="shared" si="55"/>
        <v>21-40</v>
      </c>
      <c r="H3030" t="s">
        <v>23</v>
      </c>
      <c r="I3030" t="s">
        <v>31</v>
      </c>
      <c r="J3030" t="s">
        <v>28</v>
      </c>
      <c r="K3030" t="s">
        <v>38</v>
      </c>
      <c r="L3030">
        <v>1</v>
      </c>
      <c r="M3030">
        <v>1</v>
      </c>
      <c r="N3030">
        <v>5.5</v>
      </c>
      <c r="O3030">
        <v>7.7</v>
      </c>
      <c r="P3030">
        <v>3</v>
      </c>
      <c r="Q3030">
        <v>5</v>
      </c>
      <c r="R3030">
        <v>547843</v>
      </c>
      <c r="S3030">
        <f>Table1[[#This Row],[Revenue]]-Table1[[#This Row],[Operating_Costs]]</f>
        <v>64043</v>
      </c>
      <c r="T3030">
        <v>483800</v>
      </c>
      <c r="U3030">
        <v>38</v>
      </c>
      <c r="V3030">
        <v>59</v>
      </c>
      <c r="W3030">
        <v>6.1</v>
      </c>
    </row>
    <row r="3031" spans="1:23" x14ac:dyDescent="0.25">
      <c r="A3031">
        <v>9</v>
      </c>
      <c r="B3031" t="s">
        <v>44</v>
      </c>
      <c r="C3031" s="1">
        <v>44755</v>
      </c>
      <c r="D3031" t="s">
        <v>71</v>
      </c>
      <c r="E3031">
        <v>0</v>
      </c>
      <c r="F3031">
        <v>66</v>
      </c>
      <c r="G3031" t="str">
        <f t="shared" si="55"/>
        <v>61-80</v>
      </c>
      <c r="H3031" t="s">
        <v>35</v>
      </c>
      <c r="I3031" t="s">
        <v>36</v>
      </c>
      <c r="J3031" t="s">
        <v>37</v>
      </c>
      <c r="K3031" t="s">
        <v>38</v>
      </c>
      <c r="L3031">
        <v>1</v>
      </c>
      <c r="M3031">
        <v>1</v>
      </c>
      <c r="N3031">
        <v>5.5</v>
      </c>
      <c r="O3031">
        <v>7</v>
      </c>
      <c r="P3031">
        <v>3</v>
      </c>
      <c r="Q3031">
        <v>3</v>
      </c>
      <c r="R3031">
        <v>500673</v>
      </c>
      <c r="S3031">
        <f>Table1[[#This Row],[Revenue]]-Table1[[#This Row],[Operating_Costs]]</f>
        <v>29593</v>
      </c>
      <c r="T3031">
        <v>471080</v>
      </c>
      <c r="U3031">
        <v>40</v>
      </c>
      <c r="V3031">
        <v>60</v>
      </c>
      <c r="W3031">
        <v>7.1</v>
      </c>
    </row>
    <row r="3032" spans="1:23" x14ac:dyDescent="0.25">
      <c r="A3032">
        <v>9</v>
      </c>
      <c r="B3032" t="s">
        <v>44</v>
      </c>
      <c r="C3032" s="1">
        <v>44332</v>
      </c>
      <c r="D3032" t="s">
        <v>71</v>
      </c>
      <c r="E3032">
        <v>0</v>
      </c>
      <c r="F3032">
        <v>72</v>
      </c>
      <c r="G3032" t="str">
        <f t="shared" si="55"/>
        <v>61-80</v>
      </c>
      <c r="H3032" t="s">
        <v>35</v>
      </c>
      <c r="I3032" t="s">
        <v>64</v>
      </c>
      <c r="J3032" t="s">
        <v>65</v>
      </c>
      <c r="K3032" t="s">
        <v>42</v>
      </c>
      <c r="L3032">
        <v>1</v>
      </c>
      <c r="M3032">
        <v>1</v>
      </c>
      <c r="N3032">
        <v>6.4</v>
      </c>
      <c r="O3032">
        <v>9</v>
      </c>
      <c r="P3032">
        <v>5</v>
      </c>
      <c r="Q3032">
        <v>5</v>
      </c>
      <c r="R3032">
        <v>595968</v>
      </c>
      <c r="S3032">
        <f>Table1[[#This Row],[Revenue]]-Table1[[#This Row],[Operating_Costs]]</f>
        <v>139580</v>
      </c>
      <c r="T3032">
        <v>456388</v>
      </c>
      <c r="U3032">
        <v>38</v>
      </c>
      <c r="V3032">
        <v>66</v>
      </c>
      <c r="W3032">
        <v>36.4</v>
      </c>
    </row>
    <row r="3033" spans="1:23" x14ac:dyDescent="0.25">
      <c r="A3033">
        <v>8</v>
      </c>
      <c r="B3033" t="s">
        <v>52</v>
      </c>
      <c r="C3033" s="1">
        <v>44362</v>
      </c>
      <c r="D3033" t="s">
        <v>71</v>
      </c>
      <c r="E3033">
        <v>0</v>
      </c>
      <c r="F3033">
        <v>33</v>
      </c>
      <c r="G3033" t="str">
        <f t="shared" si="55"/>
        <v>21-40</v>
      </c>
      <c r="H3033" t="s">
        <v>23</v>
      </c>
      <c r="I3033" t="s">
        <v>31</v>
      </c>
      <c r="J3033" t="s">
        <v>28</v>
      </c>
      <c r="K3033" t="s">
        <v>26</v>
      </c>
      <c r="L3033">
        <v>1</v>
      </c>
      <c r="M3033">
        <v>1</v>
      </c>
      <c r="N3033">
        <v>4.5</v>
      </c>
      <c r="O3033">
        <v>9.1</v>
      </c>
      <c r="P3033">
        <v>7</v>
      </c>
      <c r="Q3033">
        <v>5</v>
      </c>
      <c r="R3033">
        <v>931265</v>
      </c>
      <c r="S3033">
        <f>Table1[[#This Row],[Revenue]]-Table1[[#This Row],[Operating_Costs]]</f>
        <v>108319</v>
      </c>
      <c r="T3033">
        <v>822946</v>
      </c>
      <c r="U3033">
        <v>30</v>
      </c>
      <c r="V3033">
        <v>64</v>
      </c>
      <c r="W3033">
        <v>6.1</v>
      </c>
    </row>
    <row r="3034" spans="1:23" x14ac:dyDescent="0.25">
      <c r="A3034">
        <v>9</v>
      </c>
      <c r="B3034" t="s">
        <v>44</v>
      </c>
      <c r="C3034" s="1">
        <v>44520</v>
      </c>
      <c r="D3034" t="s">
        <v>71</v>
      </c>
      <c r="E3034">
        <v>0</v>
      </c>
      <c r="F3034">
        <v>46</v>
      </c>
      <c r="G3034" t="str">
        <f t="shared" si="55"/>
        <v>41-60</v>
      </c>
      <c r="H3034" t="s">
        <v>35</v>
      </c>
      <c r="I3034" t="s">
        <v>61</v>
      </c>
      <c r="J3034" t="s">
        <v>62</v>
      </c>
      <c r="K3034" t="s">
        <v>29</v>
      </c>
      <c r="L3034">
        <v>1</v>
      </c>
      <c r="M3034">
        <v>1</v>
      </c>
      <c r="N3034">
        <v>4.0999999999999996</v>
      </c>
      <c r="O3034">
        <v>7.1</v>
      </c>
      <c r="P3034">
        <v>6</v>
      </c>
      <c r="Q3034">
        <v>4</v>
      </c>
      <c r="R3034">
        <v>540832</v>
      </c>
      <c r="S3034">
        <f>Table1[[#This Row],[Revenue]]-Table1[[#This Row],[Operating_Costs]]</f>
        <v>80467</v>
      </c>
      <c r="T3034">
        <v>460365</v>
      </c>
      <c r="U3034">
        <v>40</v>
      </c>
      <c r="V3034">
        <v>64</v>
      </c>
      <c r="W3034">
        <v>5</v>
      </c>
    </row>
    <row r="3035" spans="1:23" x14ac:dyDescent="0.25">
      <c r="A3035">
        <v>9</v>
      </c>
      <c r="B3035" t="s">
        <v>44</v>
      </c>
      <c r="C3035" s="1">
        <v>44803</v>
      </c>
      <c r="D3035" t="s">
        <v>71</v>
      </c>
      <c r="E3035">
        <v>0</v>
      </c>
      <c r="F3035">
        <v>31</v>
      </c>
      <c r="G3035" t="str">
        <f t="shared" si="55"/>
        <v>21-40</v>
      </c>
      <c r="H3035" t="s">
        <v>23</v>
      </c>
      <c r="I3035" t="s">
        <v>43</v>
      </c>
      <c r="J3035" t="s">
        <v>25</v>
      </c>
      <c r="K3035" t="s">
        <v>26</v>
      </c>
      <c r="L3035">
        <v>1</v>
      </c>
      <c r="M3035">
        <v>1</v>
      </c>
      <c r="N3035">
        <v>6.4</v>
      </c>
      <c r="O3035">
        <v>8.1</v>
      </c>
      <c r="P3035">
        <v>3</v>
      </c>
      <c r="Q3035">
        <v>6</v>
      </c>
      <c r="R3035">
        <v>531422</v>
      </c>
      <c r="S3035">
        <f>Table1[[#This Row],[Revenue]]-Table1[[#This Row],[Operating_Costs]]</f>
        <v>127323</v>
      </c>
      <c r="T3035">
        <v>404099</v>
      </c>
      <c r="U3035">
        <v>39</v>
      </c>
      <c r="V3035">
        <v>64</v>
      </c>
      <c r="W3035">
        <v>6.7</v>
      </c>
    </row>
    <row r="3036" spans="1:23" x14ac:dyDescent="0.25">
      <c r="A3036">
        <v>9</v>
      </c>
      <c r="B3036" t="s">
        <v>44</v>
      </c>
      <c r="C3036" s="1">
        <v>44383</v>
      </c>
      <c r="D3036" t="s">
        <v>71</v>
      </c>
      <c r="E3036">
        <v>0</v>
      </c>
      <c r="F3036">
        <v>74</v>
      </c>
      <c r="G3036" t="str">
        <f t="shared" si="55"/>
        <v>61-80</v>
      </c>
      <c r="H3036" t="s">
        <v>23</v>
      </c>
      <c r="I3036" t="s">
        <v>55</v>
      </c>
      <c r="J3036" t="s">
        <v>56</v>
      </c>
      <c r="K3036" t="s">
        <v>29</v>
      </c>
      <c r="L3036">
        <v>1</v>
      </c>
      <c r="M3036">
        <v>1</v>
      </c>
      <c r="N3036">
        <v>1.3</v>
      </c>
      <c r="O3036">
        <v>7.4</v>
      </c>
      <c r="P3036">
        <v>7</v>
      </c>
      <c r="Q3036">
        <v>6</v>
      </c>
      <c r="R3036">
        <v>512392</v>
      </c>
      <c r="S3036">
        <f>Table1[[#This Row],[Revenue]]-Table1[[#This Row],[Operating_Costs]]</f>
        <v>66934</v>
      </c>
      <c r="T3036">
        <v>445458</v>
      </c>
      <c r="U3036">
        <v>38</v>
      </c>
      <c r="V3036">
        <v>63</v>
      </c>
      <c r="W3036">
        <v>14</v>
      </c>
    </row>
    <row r="3037" spans="1:23" x14ac:dyDescent="0.25">
      <c r="A3037">
        <v>9</v>
      </c>
      <c r="B3037" t="s">
        <v>44</v>
      </c>
      <c r="C3037" s="1">
        <v>44771</v>
      </c>
      <c r="D3037" t="s">
        <v>71</v>
      </c>
      <c r="E3037">
        <v>0</v>
      </c>
      <c r="F3037">
        <v>27</v>
      </c>
      <c r="G3037" t="str">
        <f t="shared" si="55"/>
        <v>21-40</v>
      </c>
      <c r="H3037" t="s">
        <v>23</v>
      </c>
      <c r="I3037" t="s">
        <v>24</v>
      </c>
      <c r="J3037" t="s">
        <v>25</v>
      </c>
      <c r="K3037" t="s">
        <v>33</v>
      </c>
      <c r="L3037">
        <v>1</v>
      </c>
      <c r="M3037">
        <v>1</v>
      </c>
      <c r="N3037">
        <v>4.8</v>
      </c>
      <c r="O3037">
        <v>8.6999999999999993</v>
      </c>
      <c r="P3037">
        <v>6</v>
      </c>
      <c r="Q3037">
        <v>5</v>
      </c>
      <c r="R3037">
        <v>566333</v>
      </c>
      <c r="S3037">
        <f>Table1[[#This Row],[Revenue]]-Table1[[#This Row],[Operating_Costs]]</f>
        <v>183990</v>
      </c>
      <c r="T3037">
        <v>382343</v>
      </c>
      <c r="U3037">
        <v>35</v>
      </c>
      <c r="V3037">
        <v>55</v>
      </c>
      <c r="W3037">
        <v>12.1</v>
      </c>
    </row>
    <row r="3038" spans="1:23" x14ac:dyDescent="0.25">
      <c r="A3038">
        <v>9</v>
      </c>
      <c r="B3038" t="s">
        <v>44</v>
      </c>
      <c r="C3038" s="1">
        <v>44240</v>
      </c>
      <c r="D3038" t="s">
        <v>71</v>
      </c>
      <c r="E3038">
        <v>0</v>
      </c>
      <c r="F3038">
        <v>66</v>
      </c>
      <c r="G3038" t="str">
        <f t="shared" si="55"/>
        <v>61-80</v>
      </c>
      <c r="H3038" t="s">
        <v>35</v>
      </c>
      <c r="I3038" t="s">
        <v>55</v>
      </c>
      <c r="J3038" t="s">
        <v>56</v>
      </c>
      <c r="K3038" t="s">
        <v>33</v>
      </c>
      <c r="L3038">
        <v>1</v>
      </c>
      <c r="M3038">
        <v>1</v>
      </c>
      <c r="N3038">
        <v>4.3</v>
      </c>
      <c r="O3038">
        <v>9.6</v>
      </c>
      <c r="P3038">
        <v>5</v>
      </c>
      <c r="Q3038">
        <v>3</v>
      </c>
      <c r="R3038">
        <v>504231</v>
      </c>
      <c r="S3038">
        <f>Table1[[#This Row],[Revenue]]-Table1[[#This Row],[Operating_Costs]]</f>
        <v>47171</v>
      </c>
      <c r="T3038">
        <v>457060</v>
      </c>
      <c r="U3038">
        <v>35</v>
      </c>
      <c r="V3038">
        <v>64</v>
      </c>
      <c r="W3038">
        <v>12.9</v>
      </c>
    </row>
    <row r="3039" spans="1:23" x14ac:dyDescent="0.25">
      <c r="A3039">
        <v>9</v>
      </c>
      <c r="B3039" t="s">
        <v>44</v>
      </c>
      <c r="C3039" s="1">
        <v>45641</v>
      </c>
      <c r="D3039" t="s">
        <v>71</v>
      </c>
      <c r="E3039">
        <v>0</v>
      </c>
      <c r="F3039">
        <v>53</v>
      </c>
      <c r="G3039" t="str">
        <f t="shared" si="55"/>
        <v>41-60</v>
      </c>
      <c r="H3039" t="s">
        <v>23</v>
      </c>
      <c r="I3039" t="s">
        <v>27</v>
      </c>
      <c r="J3039" t="s">
        <v>28</v>
      </c>
      <c r="K3039" t="s">
        <v>42</v>
      </c>
      <c r="L3039">
        <v>1</v>
      </c>
      <c r="M3039">
        <v>1</v>
      </c>
      <c r="N3039">
        <v>2.2000000000000002</v>
      </c>
      <c r="O3039">
        <v>7.6</v>
      </c>
      <c r="P3039">
        <v>4</v>
      </c>
      <c r="Q3039">
        <v>7</v>
      </c>
      <c r="R3039">
        <v>563983</v>
      </c>
      <c r="S3039">
        <f>Table1[[#This Row],[Revenue]]-Table1[[#This Row],[Operating_Costs]]</f>
        <v>117962</v>
      </c>
      <c r="T3039">
        <v>446021</v>
      </c>
      <c r="U3039">
        <v>38</v>
      </c>
      <c r="V3039">
        <v>57</v>
      </c>
      <c r="W3039">
        <v>7.3</v>
      </c>
    </row>
    <row r="3040" spans="1:23" x14ac:dyDescent="0.25">
      <c r="A3040">
        <v>9</v>
      </c>
      <c r="B3040" t="s">
        <v>44</v>
      </c>
      <c r="C3040" s="1">
        <v>45155</v>
      </c>
      <c r="D3040" t="s">
        <v>71</v>
      </c>
      <c r="E3040">
        <v>0</v>
      </c>
      <c r="F3040">
        <v>73</v>
      </c>
      <c r="G3040" t="str">
        <f t="shared" si="55"/>
        <v>61-80</v>
      </c>
      <c r="H3040" t="s">
        <v>23</v>
      </c>
      <c r="I3040" t="s">
        <v>58</v>
      </c>
      <c r="J3040" t="s">
        <v>59</v>
      </c>
      <c r="K3040" t="s">
        <v>42</v>
      </c>
      <c r="L3040">
        <v>1</v>
      </c>
      <c r="M3040">
        <v>1</v>
      </c>
      <c r="N3040">
        <v>1.9</v>
      </c>
      <c r="O3040">
        <v>9.6</v>
      </c>
      <c r="P3040">
        <v>5</v>
      </c>
      <c r="Q3040">
        <v>7</v>
      </c>
      <c r="R3040">
        <v>592630</v>
      </c>
      <c r="S3040">
        <f>Table1[[#This Row],[Revenue]]-Table1[[#This Row],[Operating_Costs]]</f>
        <v>131586</v>
      </c>
      <c r="T3040">
        <v>461044</v>
      </c>
      <c r="U3040">
        <v>37</v>
      </c>
      <c r="V3040">
        <v>58</v>
      </c>
      <c r="W3040">
        <v>10.5</v>
      </c>
    </row>
    <row r="3041" spans="1:23" x14ac:dyDescent="0.25">
      <c r="A3041">
        <v>9</v>
      </c>
      <c r="B3041" t="s">
        <v>44</v>
      </c>
      <c r="C3041" s="1">
        <v>44275</v>
      </c>
      <c r="D3041" t="s">
        <v>71</v>
      </c>
      <c r="E3041">
        <v>0</v>
      </c>
      <c r="F3041">
        <v>79</v>
      </c>
      <c r="G3041" t="str">
        <f t="shared" si="55"/>
        <v>61-80</v>
      </c>
      <c r="H3041" t="s">
        <v>23</v>
      </c>
      <c r="I3041" t="s">
        <v>61</v>
      </c>
      <c r="J3041" t="s">
        <v>62</v>
      </c>
      <c r="K3041" t="s">
        <v>38</v>
      </c>
      <c r="L3041">
        <v>1</v>
      </c>
      <c r="M3041">
        <v>1</v>
      </c>
      <c r="N3041">
        <v>6.1</v>
      </c>
      <c r="O3041">
        <v>7.3</v>
      </c>
      <c r="P3041">
        <v>3</v>
      </c>
      <c r="Q3041">
        <v>5</v>
      </c>
      <c r="R3041">
        <v>533684</v>
      </c>
      <c r="S3041">
        <f>Table1[[#This Row],[Revenue]]-Table1[[#This Row],[Operating_Costs]]</f>
        <v>105360</v>
      </c>
      <c r="T3041">
        <v>428324</v>
      </c>
      <c r="U3041">
        <v>38</v>
      </c>
      <c r="V3041">
        <v>62</v>
      </c>
      <c r="W3041">
        <v>14.3</v>
      </c>
    </row>
    <row r="3042" spans="1:23" x14ac:dyDescent="0.25">
      <c r="A3042">
        <v>9</v>
      </c>
      <c r="B3042" t="s">
        <v>44</v>
      </c>
      <c r="C3042" s="1">
        <v>44509</v>
      </c>
      <c r="D3042" t="s">
        <v>71</v>
      </c>
      <c r="E3042">
        <v>0</v>
      </c>
      <c r="F3042">
        <v>40</v>
      </c>
      <c r="G3042" t="str">
        <f t="shared" si="55"/>
        <v>21-40</v>
      </c>
      <c r="H3042" t="s">
        <v>23</v>
      </c>
      <c r="I3042" t="s">
        <v>64</v>
      </c>
      <c r="J3042" t="s">
        <v>65</v>
      </c>
      <c r="K3042" t="s">
        <v>26</v>
      </c>
      <c r="L3042">
        <v>1</v>
      </c>
      <c r="M3042">
        <v>1</v>
      </c>
      <c r="N3042">
        <v>1</v>
      </c>
      <c r="O3042">
        <v>7.4</v>
      </c>
      <c r="P3042">
        <v>5</v>
      </c>
      <c r="Q3042">
        <v>3</v>
      </c>
      <c r="R3042">
        <v>599186</v>
      </c>
      <c r="S3042">
        <f>Table1[[#This Row],[Revenue]]-Table1[[#This Row],[Operating_Costs]]</f>
        <v>160815</v>
      </c>
      <c r="T3042">
        <v>438371</v>
      </c>
      <c r="U3042">
        <v>36</v>
      </c>
      <c r="V3042">
        <v>58</v>
      </c>
      <c r="W3042">
        <v>6.1</v>
      </c>
    </row>
    <row r="3043" spans="1:23" x14ac:dyDescent="0.25">
      <c r="A3043">
        <v>9</v>
      </c>
      <c r="B3043" t="s">
        <v>44</v>
      </c>
      <c r="C3043" s="1">
        <v>44734</v>
      </c>
      <c r="D3043" t="s">
        <v>71</v>
      </c>
      <c r="E3043">
        <v>0</v>
      </c>
      <c r="F3043">
        <v>33</v>
      </c>
      <c r="G3043" t="str">
        <f t="shared" si="55"/>
        <v>21-40</v>
      </c>
      <c r="H3043" t="s">
        <v>35</v>
      </c>
      <c r="I3043" t="s">
        <v>40</v>
      </c>
      <c r="J3043" t="s">
        <v>41</v>
      </c>
      <c r="K3043" t="s">
        <v>33</v>
      </c>
      <c r="L3043">
        <v>1</v>
      </c>
      <c r="M3043">
        <v>1</v>
      </c>
      <c r="N3043">
        <v>2.2000000000000002</v>
      </c>
      <c r="O3043">
        <v>8.3000000000000007</v>
      </c>
      <c r="P3043">
        <v>6</v>
      </c>
      <c r="Q3043">
        <v>7</v>
      </c>
      <c r="R3043">
        <v>505533</v>
      </c>
      <c r="S3043">
        <f>Table1[[#This Row],[Revenue]]-Table1[[#This Row],[Operating_Costs]]</f>
        <v>25633</v>
      </c>
      <c r="T3043">
        <v>479900</v>
      </c>
      <c r="U3043">
        <v>35</v>
      </c>
      <c r="V3043">
        <v>55</v>
      </c>
      <c r="W3043">
        <v>12.4</v>
      </c>
    </row>
    <row r="3044" spans="1:23" x14ac:dyDescent="0.25">
      <c r="A3044">
        <v>9</v>
      </c>
      <c r="B3044" t="s">
        <v>44</v>
      </c>
      <c r="C3044" s="1">
        <v>45606</v>
      </c>
      <c r="D3044" t="s">
        <v>71</v>
      </c>
      <c r="E3044">
        <v>0</v>
      </c>
      <c r="F3044">
        <v>29</v>
      </c>
      <c r="G3044" t="str">
        <f t="shared" si="55"/>
        <v>21-40</v>
      </c>
      <c r="H3044" t="s">
        <v>35</v>
      </c>
      <c r="I3044" t="s">
        <v>31</v>
      </c>
      <c r="J3044" t="s">
        <v>28</v>
      </c>
      <c r="K3044" t="s">
        <v>29</v>
      </c>
      <c r="L3044">
        <v>1</v>
      </c>
      <c r="M3044">
        <v>1</v>
      </c>
      <c r="N3044">
        <v>4.0999999999999996</v>
      </c>
      <c r="O3044">
        <v>8.1</v>
      </c>
      <c r="P3044">
        <v>6</v>
      </c>
      <c r="Q3044">
        <v>4</v>
      </c>
      <c r="R3044">
        <v>572700</v>
      </c>
      <c r="S3044">
        <f>Table1[[#This Row],[Revenue]]-Table1[[#This Row],[Operating_Costs]]</f>
        <v>90485</v>
      </c>
      <c r="T3044">
        <v>482215</v>
      </c>
      <c r="U3044">
        <v>38</v>
      </c>
      <c r="V3044">
        <v>56</v>
      </c>
      <c r="W3044">
        <v>7.7</v>
      </c>
    </row>
    <row r="3045" spans="1:23" x14ac:dyDescent="0.25">
      <c r="A3045">
        <v>9</v>
      </c>
      <c r="B3045" t="s">
        <v>44</v>
      </c>
      <c r="C3045" s="1">
        <v>44464</v>
      </c>
      <c r="D3045" t="s">
        <v>71</v>
      </c>
      <c r="E3045">
        <v>0</v>
      </c>
      <c r="F3045">
        <v>73</v>
      </c>
      <c r="G3045" t="str">
        <f t="shared" si="55"/>
        <v>61-80</v>
      </c>
      <c r="H3045" t="s">
        <v>35</v>
      </c>
      <c r="I3045" t="s">
        <v>64</v>
      </c>
      <c r="J3045" t="s">
        <v>65</v>
      </c>
      <c r="K3045" t="s">
        <v>38</v>
      </c>
      <c r="L3045">
        <v>1</v>
      </c>
      <c r="M3045">
        <v>1</v>
      </c>
      <c r="N3045">
        <v>1.6</v>
      </c>
      <c r="O3045">
        <v>9.5</v>
      </c>
      <c r="P3045">
        <v>6</v>
      </c>
      <c r="Q3045">
        <v>5</v>
      </c>
      <c r="R3045">
        <v>588744</v>
      </c>
      <c r="S3045">
        <f>Table1[[#This Row],[Revenue]]-Table1[[#This Row],[Operating_Costs]]</f>
        <v>114161</v>
      </c>
      <c r="T3045">
        <v>474583</v>
      </c>
      <c r="U3045">
        <v>39</v>
      </c>
      <c r="V3045">
        <v>55</v>
      </c>
      <c r="W3045">
        <v>8.9</v>
      </c>
    </row>
    <row r="3046" spans="1:23" x14ac:dyDescent="0.25">
      <c r="A3046">
        <v>9</v>
      </c>
      <c r="B3046" t="s">
        <v>44</v>
      </c>
      <c r="C3046" s="1">
        <v>45153</v>
      </c>
      <c r="D3046" t="s">
        <v>71</v>
      </c>
      <c r="E3046">
        <v>0</v>
      </c>
      <c r="F3046">
        <v>28</v>
      </c>
      <c r="G3046" t="str">
        <f t="shared" si="55"/>
        <v>21-40</v>
      </c>
      <c r="H3046" t="s">
        <v>23</v>
      </c>
      <c r="I3046" t="s">
        <v>46</v>
      </c>
      <c r="J3046" t="s">
        <v>47</v>
      </c>
      <c r="K3046" t="s">
        <v>33</v>
      </c>
      <c r="L3046">
        <v>1</v>
      </c>
      <c r="M3046">
        <v>1</v>
      </c>
      <c r="N3046">
        <v>1.9</v>
      </c>
      <c r="O3046">
        <v>8.1999999999999993</v>
      </c>
      <c r="P3046">
        <v>5</v>
      </c>
      <c r="Q3046">
        <v>3</v>
      </c>
      <c r="R3046">
        <v>555783</v>
      </c>
      <c r="S3046">
        <f>Table1[[#This Row],[Revenue]]-Table1[[#This Row],[Operating_Costs]]</f>
        <v>139623</v>
      </c>
      <c r="T3046">
        <v>416160</v>
      </c>
      <c r="U3046">
        <v>37</v>
      </c>
      <c r="V3046">
        <v>62</v>
      </c>
      <c r="W3046">
        <v>10.5</v>
      </c>
    </row>
    <row r="3047" spans="1:23" x14ac:dyDescent="0.25">
      <c r="A3047">
        <v>9</v>
      </c>
      <c r="B3047" t="s">
        <v>44</v>
      </c>
      <c r="C3047" s="1">
        <v>45300</v>
      </c>
      <c r="D3047" t="s">
        <v>71</v>
      </c>
      <c r="E3047">
        <v>0</v>
      </c>
      <c r="F3047">
        <v>66</v>
      </c>
      <c r="G3047" t="str">
        <f t="shared" si="55"/>
        <v>61-80</v>
      </c>
      <c r="H3047" t="s">
        <v>23</v>
      </c>
      <c r="I3047" t="s">
        <v>31</v>
      </c>
      <c r="J3047" t="s">
        <v>28</v>
      </c>
      <c r="K3047" t="s">
        <v>26</v>
      </c>
      <c r="L3047">
        <v>1</v>
      </c>
      <c r="M3047">
        <v>1</v>
      </c>
      <c r="N3047">
        <v>2.4</v>
      </c>
      <c r="O3047">
        <v>7.6</v>
      </c>
      <c r="P3047">
        <v>5</v>
      </c>
      <c r="Q3047">
        <v>7</v>
      </c>
      <c r="R3047">
        <v>588177</v>
      </c>
      <c r="S3047">
        <f>Table1[[#This Row],[Revenue]]-Table1[[#This Row],[Operating_Costs]]</f>
        <v>132104</v>
      </c>
      <c r="T3047">
        <v>456073</v>
      </c>
      <c r="U3047">
        <v>39</v>
      </c>
      <c r="V3047">
        <v>57</v>
      </c>
      <c r="W3047">
        <v>10.4</v>
      </c>
    </row>
    <row r="3048" spans="1:23" x14ac:dyDescent="0.25">
      <c r="A3048">
        <v>9</v>
      </c>
      <c r="B3048" t="s">
        <v>44</v>
      </c>
      <c r="C3048" s="1">
        <v>44838</v>
      </c>
      <c r="D3048" t="s">
        <v>71</v>
      </c>
      <c r="E3048">
        <v>0</v>
      </c>
      <c r="F3048">
        <v>49</v>
      </c>
      <c r="G3048" t="str">
        <f t="shared" si="55"/>
        <v>41-60</v>
      </c>
      <c r="H3048" t="s">
        <v>35</v>
      </c>
      <c r="I3048" t="s">
        <v>61</v>
      </c>
      <c r="J3048" t="s">
        <v>62</v>
      </c>
      <c r="K3048" t="s">
        <v>42</v>
      </c>
      <c r="L3048">
        <v>1</v>
      </c>
      <c r="M3048">
        <v>1</v>
      </c>
      <c r="N3048">
        <v>5.7</v>
      </c>
      <c r="O3048">
        <v>8.4</v>
      </c>
      <c r="P3048">
        <v>6</v>
      </c>
      <c r="Q3048">
        <v>3</v>
      </c>
      <c r="R3048">
        <v>547741</v>
      </c>
      <c r="S3048">
        <f>Table1[[#This Row],[Revenue]]-Table1[[#This Row],[Operating_Costs]]</f>
        <v>161136</v>
      </c>
      <c r="T3048">
        <v>386605</v>
      </c>
      <c r="U3048">
        <v>39</v>
      </c>
      <c r="V3048">
        <v>59</v>
      </c>
      <c r="W3048">
        <v>8.3000000000000007</v>
      </c>
    </row>
    <row r="3049" spans="1:23" x14ac:dyDescent="0.25">
      <c r="A3049">
        <v>9</v>
      </c>
      <c r="B3049" t="s">
        <v>44</v>
      </c>
      <c r="C3049" s="1">
        <v>44854</v>
      </c>
      <c r="D3049" t="s">
        <v>71</v>
      </c>
      <c r="E3049">
        <v>0</v>
      </c>
      <c r="F3049">
        <v>46</v>
      </c>
      <c r="G3049" t="str">
        <f t="shared" si="55"/>
        <v>41-60</v>
      </c>
      <c r="H3049" t="s">
        <v>35</v>
      </c>
      <c r="I3049" t="s">
        <v>61</v>
      </c>
      <c r="J3049" t="s">
        <v>62</v>
      </c>
      <c r="K3049" t="s">
        <v>33</v>
      </c>
      <c r="L3049">
        <v>1</v>
      </c>
      <c r="M3049">
        <v>1</v>
      </c>
      <c r="N3049">
        <v>4.2</v>
      </c>
      <c r="O3049">
        <v>7.8</v>
      </c>
      <c r="P3049">
        <v>3</v>
      </c>
      <c r="Q3049">
        <v>3</v>
      </c>
      <c r="R3049">
        <v>568484</v>
      </c>
      <c r="S3049">
        <f>Table1[[#This Row],[Revenue]]-Table1[[#This Row],[Operating_Costs]]</f>
        <v>154988</v>
      </c>
      <c r="T3049">
        <v>413496</v>
      </c>
      <c r="U3049">
        <v>37</v>
      </c>
      <c r="V3049">
        <v>54</v>
      </c>
      <c r="W3049">
        <v>6.6</v>
      </c>
    </row>
    <row r="3050" spans="1:23" x14ac:dyDescent="0.25">
      <c r="A3050">
        <v>9</v>
      </c>
      <c r="B3050" t="s">
        <v>44</v>
      </c>
      <c r="C3050" s="1">
        <v>44911</v>
      </c>
      <c r="D3050" t="s">
        <v>71</v>
      </c>
      <c r="E3050">
        <v>0</v>
      </c>
      <c r="F3050">
        <v>78</v>
      </c>
      <c r="G3050" t="str">
        <f t="shared" si="55"/>
        <v>61-80</v>
      </c>
      <c r="H3050" t="s">
        <v>23</v>
      </c>
      <c r="I3050" t="s">
        <v>55</v>
      </c>
      <c r="J3050" t="s">
        <v>56</v>
      </c>
      <c r="K3050" t="s">
        <v>33</v>
      </c>
      <c r="L3050">
        <v>1</v>
      </c>
      <c r="M3050">
        <v>1</v>
      </c>
      <c r="N3050">
        <v>5.8</v>
      </c>
      <c r="O3050">
        <v>7.3</v>
      </c>
      <c r="P3050">
        <v>7</v>
      </c>
      <c r="Q3050">
        <v>6</v>
      </c>
      <c r="R3050">
        <v>584007</v>
      </c>
      <c r="S3050">
        <f>Table1[[#This Row],[Revenue]]-Table1[[#This Row],[Operating_Costs]]</f>
        <v>110434</v>
      </c>
      <c r="T3050">
        <v>473573</v>
      </c>
      <c r="U3050">
        <v>35</v>
      </c>
      <c r="V3050">
        <v>65</v>
      </c>
      <c r="W3050">
        <v>6.6</v>
      </c>
    </row>
    <row r="3051" spans="1:23" x14ac:dyDescent="0.25">
      <c r="A3051">
        <v>9</v>
      </c>
      <c r="B3051" t="s">
        <v>44</v>
      </c>
      <c r="C3051" s="1">
        <v>44559</v>
      </c>
      <c r="D3051" t="s">
        <v>71</v>
      </c>
      <c r="E3051">
        <v>0</v>
      </c>
      <c r="F3051">
        <v>84</v>
      </c>
      <c r="G3051" t="str">
        <f t="shared" si="55"/>
        <v>81+</v>
      </c>
      <c r="H3051" t="s">
        <v>35</v>
      </c>
      <c r="I3051" t="s">
        <v>50</v>
      </c>
      <c r="J3051" t="s">
        <v>51</v>
      </c>
      <c r="K3051" t="s">
        <v>26</v>
      </c>
      <c r="L3051">
        <v>1</v>
      </c>
      <c r="M3051">
        <v>1</v>
      </c>
      <c r="N3051">
        <v>6.8</v>
      </c>
      <c r="O3051">
        <v>8.1999999999999993</v>
      </c>
      <c r="P3051">
        <v>7</v>
      </c>
      <c r="Q3051">
        <v>6</v>
      </c>
      <c r="R3051">
        <v>534551</v>
      </c>
      <c r="S3051">
        <f>Table1[[#This Row],[Revenue]]-Table1[[#This Row],[Operating_Costs]]</f>
        <v>103820</v>
      </c>
      <c r="T3051">
        <v>430731</v>
      </c>
      <c r="U3051">
        <v>36</v>
      </c>
      <c r="V3051">
        <v>54</v>
      </c>
      <c r="W3051">
        <v>36.1</v>
      </c>
    </row>
    <row r="3052" spans="1:23" x14ac:dyDescent="0.25">
      <c r="A3052">
        <v>9</v>
      </c>
      <c r="B3052" t="s">
        <v>44</v>
      </c>
      <c r="C3052" s="1">
        <v>45554</v>
      </c>
      <c r="D3052" t="s">
        <v>71</v>
      </c>
      <c r="E3052">
        <v>0</v>
      </c>
      <c r="F3052">
        <v>43</v>
      </c>
      <c r="G3052" t="str">
        <f t="shared" si="55"/>
        <v>41-60</v>
      </c>
      <c r="H3052" t="s">
        <v>35</v>
      </c>
      <c r="I3052" t="s">
        <v>36</v>
      </c>
      <c r="J3052" t="s">
        <v>37</v>
      </c>
      <c r="K3052" t="s">
        <v>26</v>
      </c>
      <c r="L3052">
        <v>1</v>
      </c>
      <c r="M3052">
        <v>1</v>
      </c>
      <c r="N3052">
        <v>4.4000000000000004</v>
      </c>
      <c r="O3052">
        <v>8.5</v>
      </c>
      <c r="P3052">
        <v>4</v>
      </c>
      <c r="Q3052">
        <v>7</v>
      </c>
      <c r="R3052">
        <v>554555</v>
      </c>
      <c r="S3052">
        <f>Table1[[#This Row],[Revenue]]-Table1[[#This Row],[Operating_Costs]]</f>
        <v>96819</v>
      </c>
      <c r="T3052">
        <v>457736</v>
      </c>
      <c r="U3052">
        <v>35</v>
      </c>
      <c r="V3052">
        <v>55</v>
      </c>
      <c r="W3052">
        <v>10.199999999999999</v>
      </c>
    </row>
    <row r="3053" spans="1:23" x14ac:dyDescent="0.25">
      <c r="A3053">
        <v>9</v>
      </c>
      <c r="B3053" t="s">
        <v>44</v>
      </c>
      <c r="C3053" s="1">
        <v>44241</v>
      </c>
      <c r="D3053" t="s">
        <v>71</v>
      </c>
      <c r="E3053">
        <v>0</v>
      </c>
      <c r="F3053">
        <v>86</v>
      </c>
      <c r="G3053" t="str">
        <f t="shared" si="55"/>
        <v>81+</v>
      </c>
      <c r="H3053" t="s">
        <v>35</v>
      </c>
      <c r="I3053" t="s">
        <v>60</v>
      </c>
      <c r="J3053" t="s">
        <v>59</v>
      </c>
      <c r="K3053" t="s">
        <v>38</v>
      </c>
      <c r="L3053">
        <v>1</v>
      </c>
      <c r="M3053">
        <v>1</v>
      </c>
      <c r="N3053">
        <v>4.5999999999999996</v>
      </c>
      <c r="O3053">
        <v>9.1999999999999993</v>
      </c>
      <c r="P3053">
        <v>7</v>
      </c>
      <c r="Q3053">
        <v>7</v>
      </c>
      <c r="R3053">
        <v>599901</v>
      </c>
      <c r="S3053">
        <f>Table1[[#This Row],[Revenue]]-Table1[[#This Row],[Operating_Costs]]</f>
        <v>170081</v>
      </c>
      <c r="T3053">
        <v>429820</v>
      </c>
      <c r="U3053">
        <v>35</v>
      </c>
      <c r="V3053">
        <v>60</v>
      </c>
      <c r="W3053">
        <v>13.4</v>
      </c>
    </row>
    <row r="3054" spans="1:23" x14ac:dyDescent="0.25">
      <c r="A3054">
        <v>9</v>
      </c>
      <c r="B3054" t="s">
        <v>44</v>
      </c>
      <c r="C3054" s="1">
        <v>44841</v>
      </c>
      <c r="D3054" t="s">
        <v>71</v>
      </c>
      <c r="E3054">
        <v>0</v>
      </c>
      <c r="F3054">
        <v>27</v>
      </c>
      <c r="G3054" t="str">
        <f t="shared" si="55"/>
        <v>21-40</v>
      </c>
      <c r="H3054" t="s">
        <v>35</v>
      </c>
      <c r="I3054" t="s">
        <v>36</v>
      </c>
      <c r="J3054" t="s">
        <v>37</v>
      </c>
      <c r="K3054" t="s">
        <v>26</v>
      </c>
      <c r="L3054">
        <v>1</v>
      </c>
      <c r="M3054">
        <v>1</v>
      </c>
      <c r="N3054">
        <v>5.9</v>
      </c>
      <c r="O3054">
        <v>8.3000000000000007</v>
      </c>
      <c r="P3054">
        <v>4</v>
      </c>
      <c r="Q3054">
        <v>7</v>
      </c>
      <c r="R3054">
        <v>504466</v>
      </c>
      <c r="S3054">
        <f>Table1[[#This Row],[Revenue]]-Table1[[#This Row],[Operating_Costs]]</f>
        <v>45448</v>
      </c>
      <c r="T3054">
        <v>459018</v>
      </c>
      <c r="U3054">
        <v>37</v>
      </c>
      <c r="V3054">
        <v>57</v>
      </c>
      <c r="W3054">
        <v>9</v>
      </c>
    </row>
    <row r="3055" spans="1:23" x14ac:dyDescent="0.25">
      <c r="A3055">
        <v>9</v>
      </c>
      <c r="B3055" t="s">
        <v>44</v>
      </c>
      <c r="C3055" s="1">
        <v>44615</v>
      </c>
      <c r="D3055" t="s">
        <v>71</v>
      </c>
      <c r="E3055">
        <v>0</v>
      </c>
      <c r="F3055">
        <v>37</v>
      </c>
      <c r="G3055" t="str">
        <f t="shared" si="55"/>
        <v>21-40</v>
      </c>
      <c r="H3055" t="s">
        <v>35</v>
      </c>
      <c r="I3055" t="s">
        <v>53</v>
      </c>
      <c r="J3055" t="s">
        <v>54</v>
      </c>
      <c r="K3055" t="s">
        <v>29</v>
      </c>
      <c r="L3055">
        <v>1</v>
      </c>
      <c r="M3055">
        <v>1</v>
      </c>
      <c r="N3055">
        <v>2.6</v>
      </c>
      <c r="O3055">
        <v>8.3000000000000007</v>
      </c>
      <c r="P3055">
        <v>7</v>
      </c>
      <c r="Q3055">
        <v>5</v>
      </c>
      <c r="R3055">
        <v>553275</v>
      </c>
      <c r="S3055">
        <f>Table1[[#This Row],[Revenue]]-Table1[[#This Row],[Operating_Costs]]</f>
        <v>100367</v>
      </c>
      <c r="T3055">
        <v>452908</v>
      </c>
      <c r="U3055">
        <v>40</v>
      </c>
      <c r="V3055">
        <v>66</v>
      </c>
      <c r="W3055">
        <v>8.6999999999999993</v>
      </c>
    </row>
    <row r="3056" spans="1:23" x14ac:dyDescent="0.25">
      <c r="A3056">
        <v>9</v>
      </c>
      <c r="B3056" t="s">
        <v>44</v>
      </c>
      <c r="C3056" s="1">
        <v>45323</v>
      </c>
      <c r="D3056" t="s">
        <v>71</v>
      </c>
      <c r="E3056">
        <v>0</v>
      </c>
      <c r="F3056">
        <v>74</v>
      </c>
      <c r="G3056" t="str">
        <f t="shared" si="55"/>
        <v>61-80</v>
      </c>
      <c r="H3056" t="s">
        <v>23</v>
      </c>
      <c r="I3056" t="s">
        <v>31</v>
      </c>
      <c r="J3056" t="s">
        <v>28</v>
      </c>
      <c r="K3056" t="s">
        <v>33</v>
      </c>
      <c r="L3056">
        <v>1</v>
      </c>
      <c r="M3056">
        <v>1</v>
      </c>
      <c r="N3056">
        <v>6</v>
      </c>
      <c r="O3056">
        <v>7.1</v>
      </c>
      <c r="P3056">
        <v>6</v>
      </c>
      <c r="Q3056">
        <v>4</v>
      </c>
      <c r="R3056">
        <v>587736</v>
      </c>
      <c r="S3056">
        <f>Table1[[#This Row],[Revenue]]-Table1[[#This Row],[Operating_Costs]]</f>
        <v>136287</v>
      </c>
      <c r="T3056">
        <v>451449</v>
      </c>
      <c r="U3056">
        <v>38</v>
      </c>
      <c r="V3056">
        <v>56</v>
      </c>
      <c r="W3056">
        <v>36.9</v>
      </c>
    </row>
    <row r="3057" spans="1:23" x14ac:dyDescent="0.25">
      <c r="A3057">
        <v>9</v>
      </c>
      <c r="B3057" t="s">
        <v>44</v>
      </c>
      <c r="C3057" s="1">
        <v>45620</v>
      </c>
      <c r="D3057" t="s">
        <v>71</v>
      </c>
      <c r="E3057">
        <v>0</v>
      </c>
      <c r="F3057">
        <v>59</v>
      </c>
      <c r="G3057" t="str">
        <f t="shared" si="55"/>
        <v>41-60</v>
      </c>
      <c r="H3057" t="s">
        <v>35</v>
      </c>
      <c r="I3057" t="s">
        <v>55</v>
      </c>
      <c r="J3057" t="s">
        <v>56</v>
      </c>
      <c r="K3057" t="s">
        <v>38</v>
      </c>
      <c r="L3057">
        <v>1</v>
      </c>
      <c r="M3057">
        <v>1</v>
      </c>
      <c r="N3057">
        <v>6.8</v>
      </c>
      <c r="O3057">
        <v>8.1999999999999993</v>
      </c>
      <c r="P3057">
        <v>5</v>
      </c>
      <c r="Q3057">
        <v>4</v>
      </c>
      <c r="R3057">
        <v>589492</v>
      </c>
      <c r="S3057">
        <f>Table1[[#This Row],[Revenue]]-Table1[[#This Row],[Operating_Costs]]</f>
        <v>193383</v>
      </c>
      <c r="T3057">
        <v>396109</v>
      </c>
      <c r="U3057">
        <v>36</v>
      </c>
      <c r="V3057">
        <v>61</v>
      </c>
      <c r="W3057">
        <v>6.8</v>
      </c>
    </row>
    <row r="3058" spans="1:23" x14ac:dyDescent="0.25">
      <c r="A3058">
        <v>8</v>
      </c>
      <c r="B3058" t="s">
        <v>52</v>
      </c>
      <c r="C3058" s="1">
        <v>44881</v>
      </c>
      <c r="D3058" t="s">
        <v>71</v>
      </c>
      <c r="E3058">
        <v>0</v>
      </c>
      <c r="F3058">
        <v>59</v>
      </c>
      <c r="G3058" t="str">
        <f t="shared" si="55"/>
        <v>41-60</v>
      </c>
      <c r="H3058" t="s">
        <v>35</v>
      </c>
      <c r="I3058" t="s">
        <v>58</v>
      </c>
      <c r="J3058" t="s">
        <v>59</v>
      </c>
      <c r="K3058" t="s">
        <v>42</v>
      </c>
      <c r="L3058">
        <v>1</v>
      </c>
      <c r="M3058">
        <v>1</v>
      </c>
      <c r="N3058">
        <v>6.9</v>
      </c>
      <c r="O3058">
        <v>7.3</v>
      </c>
      <c r="P3058">
        <v>6</v>
      </c>
      <c r="Q3058">
        <v>7</v>
      </c>
      <c r="R3058">
        <v>991445</v>
      </c>
      <c r="S3058">
        <f>Table1[[#This Row],[Revenue]]-Table1[[#This Row],[Operating_Costs]]</f>
        <v>101469</v>
      </c>
      <c r="T3058">
        <v>889976</v>
      </c>
      <c r="U3058">
        <v>30</v>
      </c>
      <c r="V3058">
        <v>56</v>
      </c>
      <c r="W3058">
        <v>36.299999999999997</v>
      </c>
    </row>
    <row r="3059" spans="1:23" x14ac:dyDescent="0.25">
      <c r="A3059">
        <v>9</v>
      </c>
      <c r="B3059" t="s">
        <v>44</v>
      </c>
      <c r="C3059" s="1">
        <v>44367</v>
      </c>
      <c r="D3059" t="s">
        <v>71</v>
      </c>
      <c r="E3059">
        <v>0</v>
      </c>
      <c r="F3059">
        <v>73</v>
      </c>
      <c r="G3059" t="str">
        <f t="shared" si="55"/>
        <v>61-80</v>
      </c>
      <c r="H3059" t="s">
        <v>23</v>
      </c>
      <c r="I3059" t="s">
        <v>58</v>
      </c>
      <c r="J3059" t="s">
        <v>59</v>
      </c>
      <c r="K3059" t="s">
        <v>38</v>
      </c>
      <c r="L3059">
        <v>1</v>
      </c>
      <c r="M3059">
        <v>1</v>
      </c>
      <c r="N3059">
        <v>5.7</v>
      </c>
      <c r="O3059">
        <v>9</v>
      </c>
      <c r="P3059">
        <v>3</v>
      </c>
      <c r="Q3059">
        <v>7</v>
      </c>
      <c r="R3059">
        <v>555354</v>
      </c>
      <c r="S3059">
        <f>Table1[[#This Row],[Revenue]]-Table1[[#This Row],[Operating_Costs]]</f>
        <v>131814</v>
      </c>
      <c r="T3059">
        <v>423540</v>
      </c>
      <c r="U3059">
        <v>40</v>
      </c>
      <c r="V3059">
        <v>60</v>
      </c>
      <c r="W3059">
        <v>14.1</v>
      </c>
    </row>
    <row r="3060" spans="1:23" x14ac:dyDescent="0.25">
      <c r="A3060">
        <v>9</v>
      </c>
      <c r="B3060" t="s">
        <v>44</v>
      </c>
      <c r="C3060" s="1">
        <v>44395</v>
      </c>
      <c r="D3060" t="s">
        <v>71</v>
      </c>
      <c r="E3060">
        <v>0</v>
      </c>
      <c r="F3060">
        <v>36</v>
      </c>
      <c r="G3060" t="str">
        <f t="shared" si="55"/>
        <v>21-40</v>
      </c>
      <c r="H3060" t="s">
        <v>23</v>
      </c>
      <c r="I3060" t="s">
        <v>40</v>
      </c>
      <c r="J3060" t="s">
        <v>41</v>
      </c>
      <c r="K3060" t="s">
        <v>29</v>
      </c>
      <c r="L3060">
        <v>1</v>
      </c>
      <c r="M3060">
        <v>1</v>
      </c>
      <c r="N3060">
        <v>1.2</v>
      </c>
      <c r="O3060">
        <v>9.6</v>
      </c>
      <c r="P3060">
        <v>7</v>
      </c>
      <c r="Q3060">
        <v>5</v>
      </c>
      <c r="R3060">
        <v>598449</v>
      </c>
      <c r="S3060">
        <f>Table1[[#This Row],[Revenue]]-Table1[[#This Row],[Operating_Costs]]</f>
        <v>198094</v>
      </c>
      <c r="T3060">
        <v>400355</v>
      </c>
      <c r="U3060">
        <v>37</v>
      </c>
      <c r="V3060">
        <v>60</v>
      </c>
      <c r="W3060">
        <v>10.6</v>
      </c>
    </row>
    <row r="3061" spans="1:23" x14ac:dyDescent="0.25">
      <c r="A3061">
        <v>9</v>
      </c>
      <c r="B3061" t="s">
        <v>44</v>
      </c>
      <c r="C3061" s="1">
        <v>45268</v>
      </c>
      <c r="D3061" t="s">
        <v>71</v>
      </c>
      <c r="E3061">
        <v>0</v>
      </c>
      <c r="F3061">
        <v>59</v>
      </c>
      <c r="G3061" t="str">
        <f t="shared" si="55"/>
        <v>41-60</v>
      </c>
      <c r="H3061" t="s">
        <v>35</v>
      </c>
      <c r="I3061" t="s">
        <v>61</v>
      </c>
      <c r="J3061" t="s">
        <v>62</v>
      </c>
      <c r="K3061" t="s">
        <v>42</v>
      </c>
      <c r="L3061">
        <v>1</v>
      </c>
      <c r="M3061">
        <v>1</v>
      </c>
      <c r="N3061">
        <v>3.7</v>
      </c>
      <c r="O3061">
        <v>9.3000000000000007</v>
      </c>
      <c r="P3061">
        <v>5</v>
      </c>
      <c r="Q3061">
        <v>4</v>
      </c>
      <c r="R3061">
        <v>532469</v>
      </c>
      <c r="S3061">
        <f>Table1[[#This Row],[Revenue]]-Table1[[#This Row],[Operating_Costs]]</f>
        <v>112151</v>
      </c>
      <c r="T3061">
        <v>420318</v>
      </c>
      <c r="U3061">
        <v>36</v>
      </c>
      <c r="V3061">
        <v>55</v>
      </c>
      <c r="W3061">
        <v>6.4</v>
      </c>
    </row>
    <row r="3062" spans="1:23" x14ac:dyDescent="0.25">
      <c r="A3062">
        <v>9</v>
      </c>
      <c r="B3062" t="s">
        <v>44</v>
      </c>
      <c r="C3062" s="1">
        <v>44291</v>
      </c>
      <c r="D3062" t="s">
        <v>71</v>
      </c>
      <c r="E3062">
        <v>0</v>
      </c>
      <c r="F3062">
        <v>47</v>
      </c>
      <c r="G3062" t="str">
        <f t="shared" si="55"/>
        <v>41-60</v>
      </c>
      <c r="H3062" t="s">
        <v>35</v>
      </c>
      <c r="I3062" t="s">
        <v>31</v>
      </c>
      <c r="J3062" t="s">
        <v>28</v>
      </c>
      <c r="K3062" t="s">
        <v>29</v>
      </c>
      <c r="L3062">
        <v>1</v>
      </c>
      <c r="M3062">
        <v>1</v>
      </c>
      <c r="N3062">
        <v>5.7</v>
      </c>
      <c r="O3062">
        <v>9.1999999999999993</v>
      </c>
      <c r="P3062">
        <v>7</v>
      </c>
      <c r="Q3062">
        <v>5</v>
      </c>
      <c r="R3062">
        <v>568801</v>
      </c>
      <c r="S3062">
        <f>Table1[[#This Row],[Revenue]]-Table1[[#This Row],[Operating_Costs]]</f>
        <v>185186</v>
      </c>
      <c r="T3062">
        <v>383615</v>
      </c>
      <c r="U3062">
        <v>39</v>
      </c>
      <c r="V3062">
        <v>63</v>
      </c>
      <c r="W3062">
        <v>13.8</v>
      </c>
    </row>
    <row r="3063" spans="1:23" x14ac:dyDescent="0.25">
      <c r="A3063">
        <v>9</v>
      </c>
      <c r="B3063" t="s">
        <v>44</v>
      </c>
      <c r="C3063" s="1">
        <v>44254</v>
      </c>
      <c r="D3063" t="s">
        <v>71</v>
      </c>
      <c r="E3063">
        <v>0</v>
      </c>
      <c r="F3063">
        <v>27</v>
      </c>
      <c r="G3063" t="str">
        <f t="shared" si="55"/>
        <v>21-40</v>
      </c>
      <c r="H3063" t="s">
        <v>35</v>
      </c>
      <c r="I3063" t="s">
        <v>27</v>
      </c>
      <c r="J3063" t="s">
        <v>28</v>
      </c>
      <c r="K3063" t="s">
        <v>33</v>
      </c>
      <c r="L3063">
        <v>1</v>
      </c>
      <c r="M3063">
        <v>1</v>
      </c>
      <c r="N3063">
        <v>5.3</v>
      </c>
      <c r="O3063">
        <v>9.5</v>
      </c>
      <c r="P3063">
        <v>3</v>
      </c>
      <c r="Q3063">
        <v>7</v>
      </c>
      <c r="R3063">
        <v>581407</v>
      </c>
      <c r="S3063">
        <f>Table1[[#This Row],[Revenue]]-Table1[[#This Row],[Operating_Costs]]</f>
        <v>130164</v>
      </c>
      <c r="T3063">
        <v>451243</v>
      </c>
      <c r="U3063">
        <v>37</v>
      </c>
      <c r="V3063">
        <v>63</v>
      </c>
      <c r="W3063">
        <v>9.3000000000000007</v>
      </c>
    </row>
    <row r="3064" spans="1:23" x14ac:dyDescent="0.25">
      <c r="A3064">
        <v>8</v>
      </c>
      <c r="B3064" t="s">
        <v>52</v>
      </c>
      <c r="C3064" s="1">
        <v>44820</v>
      </c>
      <c r="D3064" t="s">
        <v>71</v>
      </c>
      <c r="E3064">
        <v>0</v>
      </c>
      <c r="F3064">
        <v>61</v>
      </c>
      <c r="G3064" t="str">
        <f t="shared" si="55"/>
        <v>61-80</v>
      </c>
      <c r="H3064" t="s">
        <v>35</v>
      </c>
      <c r="I3064" t="s">
        <v>31</v>
      </c>
      <c r="J3064" t="s">
        <v>28</v>
      </c>
      <c r="K3064" t="s">
        <v>38</v>
      </c>
      <c r="L3064">
        <v>1</v>
      </c>
      <c r="M3064">
        <v>1</v>
      </c>
      <c r="N3064">
        <v>5.7</v>
      </c>
      <c r="O3064">
        <v>7.7</v>
      </c>
      <c r="P3064">
        <v>4</v>
      </c>
      <c r="Q3064">
        <v>7</v>
      </c>
      <c r="R3064">
        <v>920966</v>
      </c>
      <c r="S3064">
        <f>Table1[[#This Row],[Revenue]]-Table1[[#This Row],[Operating_Costs]]</f>
        <v>84062</v>
      </c>
      <c r="T3064">
        <v>836904</v>
      </c>
      <c r="U3064">
        <v>30</v>
      </c>
      <c r="V3064">
        <v>57</v>
      </c>
      <c r="W3064">
        <v>12.3</v>
      </c>
    </row>
    <row r="3065" spans="1:23" x14ac:dyDescent="0.25">
      <c r="A3065">
        <v>9</v>
      </c>
      <c r="B3065" t="s">
        <v>44</v>
      </c>
      <c r="C3065" s="1">
        <v>45531</v>
      </c>
      <c r="D3065" t="s">
        <v>71</v>
      </c>
      <c r="E3065">
        <v>0</v>
      </c>
      <c r="F3065">
        <v>65</v>
      </c>
      <c r="G3065" t="str">
        <f t="shared" si="55"/>
        <v>61-80</v>
      </c>
      <c r="H3065" t="s">
        <v>35</v>
      </c>
      <c r="I3065" t="s">
        <v>55</v>
      </c>
      <c r="J3065" t="s">
        <v>56</v>
      </c>
      <c r="K3065" t="s">
        <v>42</v>
      </c>
      <c r="L3065">
        <v>1</v>
      </c>
      <c r="M3065">
        <v>1</v>
      </c>
      <c r="N3065">
        <v>4.8</v>
      </c>
      <c r="O3065">
        <v>7.7</v>
      </c>
      <c r="P3065">
        <v>7</v>
      </c>
      <c r="Q3065">
        <v>7</v>
      </c>
      <c r="R3065">
        <v>520407</v>
      </c>
      <c r="S3065">
        <f>Table1[[#This Row],[Revenue]]-Table1[[#This Row],[Operating_Costs]]</f>
        <v>97432</v>
      </c>
      <c r="T3065">
        <v>422975</v>
      </c>
      <c r="U3065">
        <v>36</v>
      </c>
      <c r="V3065">
        <v>56</v>
      </c>
      <c r="W3065">
        <v>6.3</v>
      </c>
    </row>
    <row r="3066" spans="1:23" x14ac:dyDescent="0.25">
      <c r="A3066">
        <v>9</v>
      </c>
      <c r="B3066" t="s">
        <v>44</v>
      </c>
      <c r="C3066" s="1">
        <v>44827</v>
      </c>
      <c r="D3066" t="s">
        <v>71</v>
      </c>
      <c r="E3066">
        <v>0</v>
      </c>
      <c r="F3066">
        <v>36</v>
      </c>
      <c r="G3066" t="str">
        <f t="shared" si="55"/>
        <v>21-40</v>
      </c>
      <c r="H3066" t="s">
        <v>35</v>
      </c>
      <c r="I3066" t="s">
        <v>53</v>
      </c>
      <c r="J3066" t="s">
        <v>54</v>
      </c>
      <c r="K3066" t="s">
        <v>38</v>
      </c>
      <c r="L3066">
        <v>1</v>
      </c>
      <c r="M3066">
        <v>1</v>
      </c>
      <c r="N3066">
        <v>1.4</v>
      </c>
      <c r="O3066">
        <v>9.1</v>
      </c>
      <c r="P3066">
        <v>7</v>
      </c>
      <c r="Q3066">
        <v>4</v>
      </c>
      <c r="R3066">
        <v>532968</v>
      </c>
      <c r="S3066">
        <f>Table1[[#This Row],[Revenue]]-Table1[[#This Row],[Operating_Costs]]</f>
        <v>127926</v>
      </c>
      <c r="T3066">
        <v>405042</v>
      </c>
      <c r="U3066">
        <v>39</v>
      </c>
      <c r="V3066">
        <v>63</v>
      </c>
      <c r="W3066">
        <v>36</v>
      </c>
    </row>
    <row r="3067" spans="1:23" x14ac:dyDescent="0.25">
      <c r="A3067">
        <v>9</v>
      </c>
      <c r="B3067" t="s">
        <v>44</v>
      </c>
      <c r="C3067" s="1">
        <v>44381</v>
      </c>
      <c r="D3067" t="s">
        <v>71</v>
      </c>
      <c r="E3067">
        <v>0</v>
      </c>
      <c r="F3067">
        <v>34</v>
      </c>
      <c r="G3067" t="str">
        <f t="shared" si="55"/>
        <v>21-40</v>
      </c>
      <c r="H3067" t="s">
        <v>35</v>
      </c>
      <c r="I3067" t="s">
        <v>40</v>
      </c>
      <c r="J3067" t="s">
        <v>41</v>
      </c>
      <c r="K3067" t="s">
        <v>33</v>
      </c>
      <c r="L3067">
        <v>1</v>
      </c>
      <c r="M3067">
        <v>1</v>
      </c>
      <c r="N3067">
        <v>5.5</v>
      </c>
      <c r="O3067">
        <v>7.8</v>
      </c>
      <c r="P3067">
        <v>6</v>
      </c>
      <c r="Q3067">
        <v>3</v>
      </c>
      <c r="R3067">
        <v>524196</v>
      </c>
      <c r="S3067">
        <f>Table1[[#This Row],[Revenue]]-Table1[[#This Row],[Operating_Costs]]</f>
        <v>60133</v>
      </c>
      <c r="T3067">
        <v>464063</v>
      </c>
      <c r="U3067">
        <v>37</v>
      </c>
      <c r="V3067">
        <v>54</v>
      </c>
      <c r="W3067">
        <v>13</v>
      </c>
    </row>
    <row r="3068" spans="1:23" x14ac:dyDescent="0.25">
      <c r="A3068">
        <v>9</v>
      </c>
      <c r="B3068" t="s">
        <v>44</v>
      </c>
      <c r="C3068" s="1">
        <v>45551</v>
      </c>
      <c r="D3068" t="s">
        <v>71</v>
      </c>
      <c r="E3068">
        <v>0</v>
      </c>
      <c r="F3068">
        <v>84</v>
      </c>
      <c r="G3068" t="str">
        <f t="shared" si="55"/>
        <v>81+</v>
      </c>
      <c r="H3068" t="s">
        <v>23</v>
      </c>
      <c r="I3068" t="s">
        <v>40</v>
      </c>
      <c r="J3068" t="s">
        <v>41</v>
      </c>
      <c r="K3068" t="s">
        <v>33</v>
      </c>
      <c r="L3068">
        <v>1</v>
      </c>
      <c r="M3068">
        <v>1</v>
      </c>
      <c r="N3068">
        <v>6</v>
      </c>
      <c r="O3068">
        <v>9.8000000000000007</v>
      </c>
      <c r="P3068">
        <v>7</v>
      </c>
      <c r="Q3068">
        <v>7</v>
      </c>
      <c r="R3068">
        <v>555210</v>
      </c>
      <c r="S3068">
        <f>Table1[[#This Row],[Revenue]]-Table1[[#This Row],[Operating_Costs]]</f>
        <v>132854</v>
      </c>
      <c r="T3068">
        <v>422356</v>
      </c>
      <c r="U3068">
        <v>36</v>
      </c>
      <c r="V3068">
        <v>62</v>
      </c>
      <c r="W3068">
        <v>6.2</v>
      </c>
    </row>
    <row r="3069" spans="1:23" x14ac:dyDescent="0.25">
      <c r="A3069">
        <v>9</v>
      </c>
      <c r="B3069" t="s">
        <v>44</v>
      </c>
      <c r="C3069" s="1">
        <v>45110</v>
      </c>
      <c r="D3069" t="s">
        <v>71</v>
      </c>
      <c r="E3069">
        <v>0</v>
      </c>
      <c r="F3069">
        <v>22</v>
      </c>
      <c r="G3069" t="str">
        <f t="shared" si="55"/>
        <v>21-40</v>
      </c>
      <c r="H3069" t="s">
        <v>35</v>
      </c>
      <c r="I3069" t="s">
        <v>61</v>
      </c>
      <c r="J3069" t="s">
        <v>62</v>
      </c>
      <c r="K3069" t="s">
        <v>33</v>
      </c>
      <c r="L3069">
        <v>1</v>
      </c>
      <c r="M3069">
        <v>1</v>
      </c>
      <c r="N3069">
        <v>7</v>
      </c>
      <c r="O3069">
        <v>7</v>
      </c>
      <c r="P3069">
        <v>6</v>
      </c>
      <c r="Q3069">
        <v>5</v>
      </c>
      <c r="R3069">
        <v>557971</v>
      </c>
      <c r="S3069">
        <f>Table1[[#This Row],[Revenue]]-Table1[[#This Row],[Operating_Costs]]</f>
        <v>167797</v>
      </c>
      <c r="T3069">
        <v>390174</v>
      </c>
      <c r="U3069">
        <v>36</v>
      </c>
      <c r="V3069">
        <v>55</v>
      </c>
      <c r="W3069">
        <v>36</v>
      </c>
    </row>
    <row r="3070" spans="1:23" x14ac:dyDescent="0.25">
      <c r="A3070">
        <v>9</v>
      </c>
      <c r="B3070" t="s">
        <v>44</v>
      </c>
      <c r="C3070" s="1">
        <v>44799</v>
      </c>
      <c r="D3070" t="s">
        <v>71</v>
      </c>
      <c r="E3070">
        <v>0</v>
      </c>
      <c r="F3070">
        <v>81</v>
      </c>
      <c r="G3070" t="str">
        <f t="shared" si="55"/>
        <v>81+</v>
      </c>
      <c r="H3070" t="s">
        <v>23</v>
      </c>
      <c r="I3070" t="s">
        <v>61</v>
      </c>
      <c r="J3070" t="s">
        <v>62</v>
      </c>
      <c r="K3070" t="s">
        <v>42</v>
      </c>
      <c r="L3070">
        <v>1</v>
      </c>
      <c r="M3070">
        <v>1</v>
      </c>
      <c r="N3070">
        <v>3.5</v>
      </c>
      <c r="O3070">
        <v>9.3000000000000007</v>
      </c>
      <c r="P3070">
        <v>3</v>
      </c>
      <c r="Q3070">
        <v>3</v>
      </c>
      <c r="R3070">
        <v>524859</v>
      </c>
      <c r="S3070">
        <f>Table1[[#This Row],[Revenue]]-Table1[[#This Row],[Operating_Costs]]</f>
        <v>51581</v>
      </c>
      <c r="T3070">
        <v>473278</v>
      </c>
      <c r="U3070">
        <v>37</v>
      </c>
      <c r="V3070">
        <v>63</v>
      </c>
      <c r="W3070">
        <v>13.2</v>
      </c>
    </row>
    <row r="3071" spans="1:23" x14ac:dyDescent="0.25">
      <c r="A3071">
        <v>8</v>
      </c>
      <c r="B3071" t="s">
        <v>52</v>
      </c>
      <c r="C3071" s="1">
        <v>45290</v>
      </c>
      <c r="D3071" t="s">
        <v>71</v>
      </c>
      <c r="E3071">
        <v>0</v>
      </c>
      <c r="F3071">
        <v>43</v>
      </c>
      <c r="G3071" t="str">
        <f t="shared" si="55"/>
        <v>41-60</v>
      </c>
      <c r="H3071" t="s">
        <v>23</v>
      </c>
      <c r="I3071" t="s">
        <v>61</v>
      </c>
      <c r="J3071" t="s">
        <v>62</v>
      </c>
      <c r="K3071" t="s">
        <v>42</v>
      </c>
      <c r="L3071">
        <v>1</v>
      </c>
      <c r="M3071">
        <v>1</v>
      </c>
      <c r="N3071">
        <v>4.4000000000000004</v>
      </c>
      <c r="O3071">
        <v>7.3</v>
      </c>
      <c r="P3071">
        <v>7</v>
      </c>
      <c r="Q3071">
        <v>3</v>
      </c>
      <c r="R3071">
        <v>968752</v>
      </c>
      <c r="S3071">
        <f>Table1[[#This Row],[Revenue]]-Table1[[#This Row],[Operating_Costs]]</f>
        <v>114090</v>
      </c>
      <c r="T3071">
        <v>854662</v>
      </c>
      <c r="U3071">
        <v>34</v>
      </c>
      <c r="V3071">
        <v>55</v>
      </c>
      <c r="W3071">
        <v>5.5</v>
      </c>
    </row>
    <row r="3072" spans="1:23" x14ac:dyDescent="0.25">
      <c r="A3072">
        <v>9</v>
      </c>
      <c r="B3072" t="s">
        <v>44</v>
      </c>
      <c r="C3072" s="1">
        <v>44262</v>
      </c>
      <c r="D3072" t="s">
        <v>71</v>
      </c>
      <c r="E3072">
        <v>0</v>
      </c>
      <c r="F3072">
        <v>49</v>
      </c>
      <c r="G3072" t="str">
        <f t="shared" si="55"/>
        <v>41-60</v>
      </c>
      <c r="H3072" t="s">
        <v>23</v>
      </c>
      <c r="I3072" t="s">
        <v>61</v>
      </c>
      <c r="J3072" t="s">
        <v>62</v>
      </c>
      <c r="K3072" t="s">
        <v>42</v>
      </c>
      <c r="L3072">
        <v>1</v>
      </c>
      <c r="M3072">
        <v>1</v>
      </c>
      <c r="N3072">
        <v>3.5</v>
      </c>
      <c r="O3072">
        <v>8.5</v>
      </c>
      <c r="P3072">
        <v>7</v>
      </c>
      <c r="Q3072">
        <v>7</v>
      </c>
      <c r="R3072">
        <v>517989</v>
      </c>
      <c r="S3072">
        <f>Table1[[#This Row],[Revenue]]-Table1[[#This Row],[Operating_Costs]]</f>
        <v>70980</v>
      </c>
      <c r="T3072">
        <v>447009</v>
      </c>
      <c r="U3072">
        <v>37</v>
      </c>
      <c r="V3072">
        <v>54</v>
      </c>
      <c r="W3072">
        <v>9.9</v>
      </c>
    </row>
    <row r="3073" spans="1:23" x14ac:dyDescent="0.25">
      <c r="A3073">
        <v>9</v>
      </c>
      <c r="B3073" t="s">
        <v>44</v>
      </c>
      <c r="C3073" s="1">
        <v>45266</v>
      </c>
      <c r="D3073" t="s">
        <v>71</v>
      </c>
      <c r="E3073">
        <v>0</v>
      </c>
      <c r="F3073">
        <v>27</v>
      </c>
      <c r="G3073" t="str">
        <f t="shared" si="55"/>
        <v>21-40</v>
      </c>
      <c r="H3073" t="s">
        <v>23</v>
      </c>
      <c r="I3073" t="s">
        <v>58</v>
      </c>
      <c r="J3073" t="s">
        <v>59</v>
      </c>
      <c r="K3073" t="s">
        <v>26</v>
      </c>
      <c r="L3073">
        <v>1</v>
      </c>
      <c r="M3073">
        <v>1</v>
      </c>
      <c r="N3073">
        <v>5.3</v>
      </c>
      <c r="O3073">
        <v>8.3000000000000007</v>
      </c>
      <c r="P3073">
        <v>4</v>
      </c>
      <c r="Q3073">
        <v>5</v>
      </c>
      <c r="R3073">
        <v>598877</v>
      </c>
      <c r="S3073">
        <f>Table1[[#This Row],[Revenue]]-Table1[[#This Row],[Operating_Costs]]</f>
        <v>123997</v>
      </c>
      <c r="T3073">
        <v>474880</v>
      </c>
      <c r="U3073">
        <v>35</v>
      </c>
      <c r="V3073">
        <v>55</v>
      </c>
      <c r="W3073">
        <v>9.1</v>
      </c>
    </row>
    <row r="3074" spans="1:23" x14ac:dyDescent="0.25">
      <c r="A3074">
        <v>9</v>
      </c>
      <c r="B3074" t="s">
        <v>44</v>
      </c>
      <c r="C3074" s="1">
        <v>44304</v>
      </c>
      <c r="D3074" t="s">
        <v>71</v>
      </c>
      <c r="E3074">
        <v>0</v>
      </c>
      <c r="F3074">
        <v>40</v>
      </c>
      <c r="G3074" t="str">
        <f t="shared" si="55"/>
        <v>21-40</v>
      </c>
      <c r="H3074" t="s">
        <v>35</v>
      </c>
      <c r="I3074" t="s">
        <v>58</v>
      </c>
      <c r="J3074" t="s">
        <v>59</v>
      </c>
      <c r="K3074" t="s">
        <v>29</v>
      </c>
      <c r="L3074">
        <v>1</v>
      </c>
      <c r="M3074">
        <v>1</v>
      </c>
      <c r="N3074">
        <v>2.5</v>
      </c>
      <c r="O3074">
        <v>7.6</v>
      </c>
      <c r="P3074">
        <v>6</v>
      </c>
      <c r="Q3074">
        <v>3</v>
      </c>
      <c r="R3074">
        <v>553558</v>
      </c>
      <c r="S3074">
        <f>Table1[[#This Row],[Revenue]]-Table1[[#This Row],[Operating_Costs]]</f>
        <v>141400</v>
      </c>
      <c r="T3074">
        <v>412158</v>
      </c>
      <c r="U3074">
        <v>35</v>
      </c>
      <c r="V3074">
        <v>55</v>
      </c>
      <c r="W3074">
        <v>9.8000000000000007</v>
      </c>
    </row>
    <row r="3075" spans="1:23" x14ac:dyDescent="0.25">
      <c r="A3075">
        <v>9</v>
      </c>
      <c r="B3075" t="s">
        <v>44</v>
      </c>
      <c r="C3075" s="1">
        <v>44548</v>
      </c>
      <c r="D3075" t="s">
        <v>71</v>
      </c>
      <c r="E3075">
        <v>0</v>
      </c>
      <c r="F3075">
        <v>32</v>
      </c>
      <c r="G3075" t="str">
        <f t="shared" ref="G3075:G3138" si="56">IF(F3075&lt;=20,"0-20",IF(F3075&lt;=40,"21-40",IF(F3075&lt;=60,"41-60",IF(F3075&lt;=80,"61-80","81+"))))</f>
        <v>21-40</v>
      </c>
      <c r="H3075" t="s">
        <v>35</v>
      </c>
      <c r="I3075" t="s">
        <v>55</v>
      </c>
      <c r="J3075" t="s">
        <v>56</v>
      </c>
      <c r="K3075" t="s">
        <v>33</v>
      </c>
      <c r="L3075">
        <v>1</v>
      </c>
      <c r="M3075">
        <v>1</v>
      </c>
      <c r="N3075">
        <v>4.5999999999999996</v>
      </c>
      <c r="O3075">
        <v>9</v>
      </c>
      <c r="P3075">
        <v>6</v>
      </c>
      <c r="Q3075">
        <v>6</v>
      </c>
      <c r="R3075">
        <v>546179</v>
      </c>
      <c r="S3075">
        <f>Table1[[#This Row],[Revenue]]-Table1[[#This Row],[Operating_Costs]]</f>
        <v>152337</v>
      </c>
      <c r="T3075">
        <v>393842</v>
      </c>
      <c r="U3075">
        <v>38</v>
      </c>
      <c r="V3075">
        <v>56</v>
      </c>
      <c r="W3075">
        <v>36.5</v>
      </c>
    </row>
    <row r="3076" spans="1:23" x14ac:dyDescent="0.25">
      <c r="A3076">
        <v>9</v>
      </c>
      <c r="B3076" t="s">
        <v>44</v>
      </c>
      <c r="C3076" s="1">
        <v>44821</v>
      </c>
      <c r="D3076" t="s">
        <v>71</v>
      </c>
      <c r="E3076">
        <v>0</v>
      </c>
      <c r="F3076">
        <v>71</v>
      </c>
      <c r="G3076" t="str">
        <f t="shared" si="56"/>
        <v>61-80</v>
      </c>
      <c r="H3076" t="s">
        <v>23</v>
      </c>
      <c r="I3076" t="s">
        <v>61</v>
      </c>
      <c r="J3076" t="s">
        <v>62</v>
      </c>
      <c r="K3076" t="s">
        <v>26</v>
      </c>
      <c r="L3076">
        <v>1</v>
      </c>
      <c r="M3076">
        <v>1</v>
      </c>
      <c r="N3076">
        <v>1.2</v>
      </c>
      <c r="O3076">
        <v>7.7</v>
      </c>
      <c r="P3076">
        <v>3</v>
      </c>
      <c r="Q3076">
        <v>6</v>
      </c>
      <c r="R3076">
        <v>552035</v>
      </c>
      <c r="S3076">
        <f>Table1[[#This Row],[Revenue]]-Table1[[#This Row],[Operating_Costs]]</f>
        <v>138060</v>
      </c>
      <c r="T3076">
        <v>413975</v>
      </c>
      <c r="U3076">
        <v>36</v>
      </c>
      <c r="V3076">
        <v>60</v>
      </c>
      <c r="W3076">
        <v>6.8</v>
      </c>
    </row>
    <row r="3077" spans="1:23" x14ac:dyDescent="0.25">
      <c r="A3077">
        <v>9</v>
      </c>
      <c r="B3077" t="s">
        <v>44</v>
      </c>
      <c r="C3077" s="1">
        <v>44601</v>
      </c>
      <c r="D3077" t="s">
        <v>71</v>
      </c>
      <c r="E3077">
        <v>0</v>
      </c>
      <c r="F3077">
        <v>35</v>
      </c>
      <c r="G3077" t="str">
        <f t="shared" si="56"/>
        <v>21-40</v>
      </c>
      <c r="H3077" t="s">
        <v>23</v>
      </c>
      <c r="I3077" t="s">
        <v>24</v>
      </c>
      <c r="J3077" t="s">
        <v>25</v>
      </c>
      <c r="K3077" t="s">
        <v>26</v>
      </c>
      <c r="L3077">
        <v>1</v>
      </c>
      <c r="M3077">
        <v>1</v>
      </c>
      <c r="N3077">
        <v>2.8</v>
      </c>
      <c r="O3077">
        <v>7.7</v>
      </c>
      <c r="P3077">
        <v>3</v>
      </c>
      <c r="Q3077">
        <v>7</v>
      </c>
      <c r="R3077">
        <v>500022</v>
      </c>
      <c r="S3077">
        <f>Table1[[#This Row],[Revenue]]-Table1[[#This Row],[Operating_Costs]]</f>
        <v>46657</v>
      </c>
      <c r="T3077">
        <v>453365</v>
      </c>
      <c r="U3077">
        <v>39</v>
      </c>
      <c r="V3077">
        <v>57</v>
      </c>
      <c r="W3077">
        <v>5</v>
      </c>
    </row>
    <row r="3078" spans="1:23" x14ac:dyDescent="0.25">
      <c r="A3078">
        <v>9</v>
      </c>
      <c r="B3078" t="s">
        <v>44</v>
      </c>
      <c r="C3078" s="1">
        <v>44489</v>
      </c>
      <c r="D3078" t="s">
        <v>71</v>
      </c>
      <c r="E3078">
        <v>0</v>
      </c>
      <c r="F3078">
        <v>24</v>
      </c>
      <c r="G3078" t="str">
        <f t="shared" si="56"/>
        <v>21-40</v>
      </c>
      <c r="H3078" t="s">
        <v>35</v>
      </c>
      <c r="I3078" t="s">
        <v>50</v>
      </c>
      <c r="J3078" t="s">
        <v>51</v>
      </c>
      <c r="K3078" t="s">
        <v>29</v>
      </c>
      <c r="L3078">
        <v>1</v>
      </c>
      <c r="M3078">
        <v>1</v>
      </c>
      <c r="N3078">
        <v>2.9</v>
      </c>
      <c r="O3078">
        <v>7.2</v>
      </c>
      <c r="P3078">
        <v>4</v>
      </c>
      <c r="Q3078">
        <v>7</v>
      </c>
      <c r="R3078">
        <v>598192</v>
      </c>
      <c r="S3078">
        <f>Table1[[#This Row],[Revenue]]-Table1[[#This Row],[Operating_Costs]]</f>
        <v>146310</v>
      </c>
      <c r="T3078">
        <v>451882</v>
      </c>
      <c r="U3078">
        <v>40</v>
      </c>
      <c r="V3078">
        <v>62</v>
      </c>
      <c r="W3078">
        <v>13.2</v>
      </c>
    </row>
    <row r="3079" spans="1:23" x14ac:dyDescent="0.25">
      <c r="A3079">
        <v>9</v>
      </c>
      <c r="B3079" t="s">
        <v>44</v>
      </c>
      <c r="C3079" s="1">
        <v>44794</v>
      </c>
      <c r="D3079" t="s">
        <v>71</v>
      </c>
      <c r="E3079">
        <v>0</v>
      </c>
      <c r="F3079">
        <v>29</v>
      </c>
      <c r="G3079" t="str">
        <f t="shared" si="56"/>
        <v>21-40</v>
      </c>
      <c r="H3079" t="s">
        <v>35</v>
      </c>
      <c r="I3079" t="s">
        <v>53</v>
      </c>
      <c r="J3079" t="s">
        <v>54</v>
      </c>
      <c r="K3079" t="s">
        <v>33</v>
      </c>
      <c r="L3079">
        <v>1</v>
      </c>
      <c r="M3079">
        <v>1</v>
      </c>
      <c r="N3079">
        <v>5</v>
      </c>
      <c r="O3079">
        <v>7.4</v>
      </c>
      <c r="P3079">
        <v>6</v>
      </c>
      <c r="Q3079">
        <v>7</v>
      </c>
      <c r="R3079">
        <v>535482</v>
      </c>
      <c r="S3079">
        <f>Table1[[#This Row],[Revenue]]-Table1[[#This Row],[Operating_Costs]]</f>
        <v>49896</v>
      </c>
      <c r="T3079">
        <v>485586</v>
      </c>
      <c r="U3079">
        <v>39</v>
      </c>
      <c r="V3079">
        <v>65</v>
      </c>
      <c r="W3079">
        <v>9.8000000000000007</v>
      </c>
    </row>
    <row r="3080" spans="1:23" x14ac:dyDescent="0.25">
      <c r="A3080">
        <v>9</v>
      </c>
      <c r="B3080" t="s">
        <v>44</v>
      </c>
      <c r="C3080" s="1">
        <v>44519</v>
      </c>
      <c r="D3080" t="s">
        <v>71</v>
      </c>
      <c r="E3080">
        <v>0</v>
      </c>
      <c r="F3080">
        <v>21</v>
      </c>
      <c r="G3080" t="str">
        <f t="shared" si="56"/>
        <v>21-40</v>
      </c>
      <c r="H3080" t="s">
        <v>23</v>
      </c>
      <c r="I3080" t="s">
        <v>24</v>
      </c>
      <c r="J3080" t="s">
        <v>25</v>
      </c>
      <c r="K3080" t="s">
        <v>42</v>
      </c>
      <c r="L3080">
        <v>1</v>
      </c>
      <c r="M3080">
        <v>1</v>
      </c>
      <c r="N3080">
        <v>3.4</v>
      </c>
      <c r="O3080">
        <v>9.1999999999999993</v>
      </c>
      <c r="P3080">
        <v>3</v>
      </c>
      <c r="Q3080">
        <v>7</v>
      </c>
      <c r="R3080">
        <v>592307</v>
      </c>
      <c r="S3080">
        <f>Table1[[#This Row],[Revenue]]-Table1[[#This Row],[Operating_Costs]]</f>
        <v>189610</v>
      </c>
      <c r="T3080">
        <v>402697</v>
      </c>
      <c r="U3080">
        <v>39</v>
      </c>
      <c r="V3080">
        <v>55</v>
      </c>
      <c r="W3080">
        <v>7.9</v>
      </c>
    </row>
    <row r="3081" spans="1:23" x14ac:dyDescent="0.25">
      <c r="A3081">
        <v>9</v>
      </c>
      <c r="B3081" t="s">
        <v>44</v>
      </c>
      <c r="C3081" s="1">
        <v>44994</v>
      </c>
      <c r="D3081" t="s">
        <v>71</v>
      </c>
      <c r="E3081">
        <v>0</v>
      </c>
      <c r="F3081">
        <v>58</v>
      </c>
      <c r="G3081" t="str">
        <f t="shared" si="56"/>
        <v>41-60</v>
      </c>
      <c r="H3081" t="s">
        <v>23</v>
      </c>
      <c r="I3081" t="s">
        <v>67</v>
      </c>
      <c r="J3081" t="s">
        <v>68</v>
      </c>
      <c r="K3081" t="s">
        <v>33</v>
      </c>
      <c r="L3081">
        <v>1</v>
      </c>
      <c r="M3081">
        <v>1</v>
      </c>
      <c r="N3081">
        <v>3.4</v>
      </c>
      <c r="O3081">
        <v>7.8</v>
      </c>
      <c r="P3081">
        <v>3</v>
      </c>
      <c r="Q3081">
        <v>5</v>
      </c>
      <c r="R3081">
        <v>521352</v>
      </c>
      <c r="S3081">
        <f>Table1[[#This Row],[Revenue]]-Table1[[#This Row],[Operating_Costs]]</f>
        <v>55019</v>
      </c>
      <c r="T3081">
        <v>466333</v>
      </c>
      <c r="U3081">
        <v>35</v>
      </c>
      <c r="V3081">
        <v>56</v>
      </c>
      <c r="W3081">
        <v>36.9</v>
      </c>
    </row>
    <row r="3082" spans="1:23" x14ac:dyDescent="0.25">
      <c r="A3082">
        <v>9</v>
      </c>
      <c r="B3082" t="s">
        <v>44</v>
      </c>
      <c r="C3082" s="1">
        <v>45209</v>
      </c>
      <c r="D3082" t="s">
        <v>71</v>
      </c>
      <c r="E3082">
        <v>0</v>
      </c>
      <c r="F3082">
        <v>28</v>
      </c>
      <c r="G3082" t="str">
        <f t="shared" si="56"/>
        <v>21-40</v>
      </c>
      <c r="H3082" t="s">
        <v>23</v>
      </c>
      <c r="I3082" t="s">
        <v>24</v>
      </c>
      <c r="J3082" t="s">
        <v>25</v>
      </c>
      <c r="K3082" t="s">
        <v>33</v>
      </c>
      <c r="L3082">
        <v>1</v>
      </c>
      <c r="M3082">
        <v>1</v>
      </c>
      <c r="N3082">
        <v>5.3</v>
      </c>
      <c r="O3082">
        <v>8.1</v>
      </c>
      <c r="P3082">
        <v>4</v>
      </c>
      <c r="Q3082">
        <v>4</v>
      </c>
      <c r="R3082">
        <v>591587</v>
      </c>
      <c r="S3082">
        <f>Table1[[#This Row],[Revenue]]-Table1[[#This Row],[Operating_Costs]]</f>
        <v>120853</v>
      </c>
      <c r="T3082">
        <v>470734</v>
      </c>
      <c r="U3082">
        <v>39</v>
      </c>
      <c r="V3082">
        <v>66</v>
      </c>
      <c r="W3082">
        <v>5.2</v>
      </c>
    </row>
    <row r="3083" spans="1:23" x14ac:dyDescent="0.25">
      <c r="A3083">
        <v>9</v>
      </c>
      <c r="B3083" t="s">
        <v>44</v>
      </c>
      <c r="C3083" s="1">
        <v>44202</v>
      </c>
      <c r="D3083" t="s">
        <v>71</v>
      </c>
      <c r="E3083">
        <v>0</v>
      </c>
      <c r="F3083">
        <v>63</v>
      </c>
      <c r="G3083" t="str">
        <f t="shared" si="56"/>
        <v>61-80</v>
      </c>
      <c r="H3083" t="s">
        <v>23</v>
      </c>
      <c r="I3083" t="s">
        <v>43</v>
      </c>
      <c r="J3083" t="s">
        <v>25</v>
      </c>
      <c r="K3083" t="s">
        <v>29</v>
      </c>
      <c r="L3083">
        <v>1</v>
      </c>
      <c r="M3083">
        <v>1</v>
      </c>
      <c r="N3083">
        <v>6.3</v>
      </c>
      <c r="O3083">
        <v>9.8000000000000007</v>
      </c>
      <c r="P3083">
        <v>3</v>
      </c>
      <c r="Q3083">
        <v>4</v>
      </c>
      <c r="R3083">
        <v>595214</v>
      </c>
      <c r="S3083">
        <f>Table1[[#This Row],[Revenue]]-Table1[[#This Row],[Operating_Costs]]</f>
        <v>208663</v>
      </c>
      <c r="T3083">
        <v>386551</v>
      </c>
      <c r="U3083">
        <v>35</v>
      </c>
      <c r="V3083">
        <v>55</v>
      </c>
      <c r="W3083">
        <v>6.6</v>
      </c>
    </row>
    <row r="3084" spans="1:23" x14ac:dyDescent="0.25">
      <c r="A3084">
        <v>9</v>
      </c>
      <c r="B3084" t="s">
        <v>44</v>
      </c>
      <c r="C3084" s="1">
        <v>44970</v>
      </c>
      <c r="D3084" t="s">
        <v>71</v>
      </c>
      <c r="E3084">
        <v>0</v>
      </c>
      <c r="F3084">
        <v>26</v>
      </c>
      <c r="G3084" t="str">
        <f t="shared" si="56"/>
        <v>21-40</v>
      </c>
      <c r="H3084" t="s">
        <v>23</v>
      </c>
      <c r="I3084" t="s">
        <v>46</v>
      </c>
      <c r="J3084" t="s">
        <v>47</v>
      </c>
      <c r="K3084" t="s">
        <v>33</v>
      </c>
      <c r="L3084">
        <v>1</v>
      </c>
      <c r="M3084">
        <v>1</v>
      </c>
      <c r="N3084">
        <v>3</v>
      </c>
      <c r="O3084">
        <v>9.9</v>
      </c>
      <c r="P3084">
        <v>5</v>
      </c>
      <c r="Q3084">
        <v>7</v>
      </c>
      <c r="R3084">
        <v>544777</v>
      </c>
      <c r="S3084">
        <f>Table1[[#This Row],[Revenue]]-Table1[[#This Row],[Operating_Costs]]</f>
        <v>129676</v>
      </c>
      <c r="T3084">
        <v>415101</v>
      </c>
      <c r="U3084">
        <v>38</v>
      </c>
      <c r="V3084">
        <v>61</v>
      </c>
      <c r="W3084">
        <v>6.5</v>
      </c>
    </row>
    <row r="3085" spans="1:23" x14ac:dyDescent="0.25">
      <c r="A3085">
        <v>9</v>
      </c>
      <c r="B3085" t="s">
        <v>44</v>
      </c>
      <c r="C3085" s="1">
        <v>44884</v>
      </c>
      <c r="D3085" t="s">
        <v>71</v>
      </c>
      <c r="E3085">
        <v>0</v>
      </c>
      <c r="F3085">
        <v>53</v>
      </c>
      <c r="G3085" t="str">
        <f t="shared" si="56"/>
        <v>41-60</v>
      </c>
      <c r="H3085" t="s">
        <v>35</v>
      </c>
      <c r="I3085" t="s">
        <v>36</v>
      </c>
      <c r="J3085" t="s">
        <v>37</v>
      </c>
      <c r="K3085" t="s">
        <v>38</v>
      </c>
      <c r="L3085">
        <v>1</v>
      </c>
      <c r="M3085">
        <v>1</v>
      </c>
      <c r="N3085">
        <v>1.6</v>
      </c>
      <c r="O3085">
        <v>8.8000000000000007</v>
      </c>
      <c r="P3085">
        <v>7</v>
      </c>
      <c r="Q3085">
        <v>7</v>
      </c>
      <c r="R3085">
        <v>512055</v>
      </c>
      <c r="S3085">
        <f>Table1[[#This Row],[Revenue]]-Table1[[#This Row],[Operating_Costs]]</f>
        <v>123233</v>
      </c>
      <c r="T3085">
        <v>388822</v>
      </c>
      <c r="U3085">
        <v>38</v>
      </c>
      <c r="V3085">
        <v>61</v>
      </c>
      <c r="W3085">
        <v>8.9</v>
      </c>
    </row>
    <row r="3086" spans="1:23" x14ac:dyDescent="0.25">
      <c r="A3086">
        <v>9</v>
      </c>
      <c r="B3086" t="s">
        <v>44</v>
      </c>
      <c r="C3086" s="1">
        <v>45531</v>
      </c>
      <c r="D3086" t="s">
        <v>71</v>
      </c>
      <c r="E3086">
        <v>0</v>
      </c>
      <c r="F3086">
        <v>52</v>
      </c>
      <c r="G3086" t="str">
        <f t="shared" si="56"/>
        <v>41-60</v>
      </c>
      <c r="H3086" t="s">
        <v>35</v>
      </c>
      <c r="I3086" t="s">
        <v>40</v>
      </c>
      <c r="J3086" t="s">
        <v>41</v>
      </c>
      <c r="K3086" t="s">
        <v>29</v>
      </c>
      <c r="L3086">
        <v>1</v>
      </c>
      <c r="M3086">
        <v>1</v>
      </c>
      <c r="N3086">
        <v>2.6</v>
      </c>
      <c r="O3086">
        <v>9.6</v>
      </c>
      <c r="P3086">
        <v>3</v>
      </c>
      <c r="Q3086">
        <v>4</v>
      </c>
      <c r="R3086">
        <v>562560</v>
      </c>
      <c r="S3086">
        <f>Table1[[#This Row],[Revenue]]-Table1[[#This Row],[Operating_Costs]]</f>
        <v>138134</v>
      </c>
      <c r="T3086">
        <v>424426</v>
      </c>
      <c r="U3086">
        <v>39</v>
      </c>
      <c r="V3086">
        <v>63</v>
      </c>
      <c r="W3086">
        <v>5.6</v>
      </c>
    </row>
    <row r="3087" spans="1:23" x14ac:dyDescent="0.25">
      <c r="A3087">
        <v>9</v>
      </c>
      <c r="B3087" t="s">
        <v>44</v>
      </c>
      <c r="C3087" s="1">
        <v>45030</v>
      </c>
      <c r="D3087" t="s">
        <v>71</v>
      </c>
      <c r="E3087">
        <v>0</v>
      </c>
      <c r="F3087">
        <v>49</v>
      </c>
      <c r="G3087" t="str">
        <f t="shared" si="56"/>
        <v>41-60</v>
      </c>
      <c r="H3087" t="s">
        <v>35</v>
      </c>
      <c r="I3087" t="s">
        <v>61</v>
      </c>
      <c r="J3087" t="s">
        <v>62</v>
      </c>
      <c r="K3087" t="s">
        <v>42</v>
      </c>
      <c r="L3087">
        <v>1</v>
      </c>
      <c r="M3087">
        <v>1</v>
      </c>
      <c r="N3087">
        <v>2.2000000000000002</v>
      </c>
      <c r="O3087">
        <v>9.5</v>
      </c>
      <c r="P3087">
        <v>5</v>
      </c>
      <c r="Q3087">
        <v>3</v>
      </c>
      <c r="R3087">
        <v>506233</v>
      </c>
      <c r="S3087">
        <f>Table1[[#This Row],[Revenue]]-Table1[[#This Row],[Operating_Costs]]</f>
        <v>85010</v>
      </c>
      <c r="T3087">
        <v>421223</v>
      </c>
      <c r="U3087">
        <v>39</v>
      </c>
      <c r="V3087">
        <v>58</v>
      </c>
      <c r="W3087">
        <v>12.7</v>
      </c>
    </row>
    <row r="3088" spans="1:23" x14ac:dyDescent="0.25">
      <c r="A3088">
        <v>8</v>
      </c>
      <c r="B3088" t="s">
        <v>52</v>
      </c>
      <c r="C3088" s="1">
        <v>44308</v>
      </c>
      <c r="D3088" t="s">
        <v>71</v>
      </c>
      <c r="E3088">
        <v>0</v>
      </c>
      <c r="F3088">
        <v>46</v>
      </c>
      <c r="G3088" t="str">
        <f t="shared" si="56"/>
        <v>41-60</v>
      </c>
      <c r="H3088" t="s">
        <v>23</v>
      </c>
      <c r="I3088" t="s">
        <v>61</v>
      </c>
      <c r="J3088" t="s">
        <v>62</v>
      </c>
      <c r="K3088" t="s">
        <v>42</v>
      </c>
      <c r="L3088">
        <v>1</v>
      </c>
      <c r="M3088">
        <v>1</v>
      </c>
      <c r="N3088">
        <v>1.5</v>
      </c>
      <c r="O3088">
        <v>7.6</v>
      </c>
      <c r="P3088">
        <v>7</v>
      </c>
      <c r="Q3088">
        <v>3</v>
      </c>
      <c r="R3088">
        <v>964100</v>
      </c>
      <c r="S3088">
        <f>Table1[[#This Row],[Revenue]]-Table1[[#This Row],[Operating_Costs]]</f>
        <v>119070</v>
      </c>
      <c r="T3088">
        <v>845030</v>
      </c>
      <c r="U3088">
        <v>30</v>
      </c>
      <c r="V3088">
        <v>59</v>
      </c>
      <c r="W3088">
        <v>9</v>
      </c>
    </row>
    <row r="3089" spans="1:23" x14ac:dyDescent="0.25">
      <c r="A3089">
        <v>8</v>
      </c>
      <c r="B3089" t="s">
        <v>52</v>
      </c>
      <c r="C3089" s="1">
        <v>44553</v>
      </c>
      <c r="D3089" t="s">
        <v>71</v>
      </c>
      <c r="E3089">
        <v>0</v>
      </c>
      <c r="F3089">
        <v>35</v>
      </c>
      <c r="G3089" t="str">
        <f t="shared" si="56"/>
        <v>21-40</v>
      </c>
      <c r="H3089" t="s">
        <v>35</v>
      </c>
      <c r="I3089" t="s">
        <v>46</v>
      </c>
      <c r="J3089" t="s">
        <v>47</v>
      </c>
      <c r="K3089" t="s">
        <v>38</v>
      </c>
      <c r="L3089">
        <v>1</v>
      </c>
      <c r="M3089">
        <v>1</v>
      </c>
      <c r="N3089">
        <v>2.8</v>
      </c>
      <c r="O3089">
        <v>8.8000000000000007</v>
      </c>
      <c r="P3089">
        <v>7</v>
      </c>
      <c r="Q3089">
        <v>6</v>
      </c>
      <c r="R3089">
        <v>978306</v>
      </c>
      <c r="S3089">
        <f>Table1[[#This Row],[Revenue]]-Table1[[#This Row],[Operating_Costs]]</f>
        <v>133113</v>
      </c>
      <c r="T3089">
        <v>845193</v>
      </c>
      <c r="U3089">
        <v>40</v>
      </c>
      <c r="V3089">
        <v>64</v>
      </c>
      <c r="W3089">
        <v>6.3</v>
      </c>
    </row>
    <row r="3090" spans="1:23" x14ac:dyDescent="0.25">
      <c r="A3090">
        <v>9</v>
      </c>
      <c r="B3090" t="s">
        <v>44</v>
      </c>
      <c r="C3090" s="1">
        <v>45546</v>
      </c>
      <c r="D3090" t="s">
        <v>71</v>
      </c>
      <c r="E3090">
        <v>0</v>
      </c>
      <c r="F3090">
        <v>52</v>
      </c>
      <c r="G3090" t="str">
        <f t="shared" si="56"/>
        <v>41-60</v>
      </c>
      <c r="H3090" t="s">
        <v>23</v>
      </c>
      <c r="I3090" t="s">
        <v>61</v>
      </c>
      <c r="J3090" t="s">
        <v>62</v>
      </c>
      <c r="K3090" t="s">
        <v>42</v>
      </c>
      <c r="L3090">
        <v>1</v>
      </c>
      <c r="M3090">
        <v>1</v>
      </c>
      <c r="N3090">
        <v>6.1</v>
      </c>
      <c r="O3090">
        <v>10</v>
      </c>
      <c r="P3090">
        <v>5</v>
      </c>
      <c r="Q3090">
        <v>6</v>
      </c>
      <c r="R3090">
        <v>534577</v>
      </c>
      <c r="S3090">
        <f>Table1[[#This Row],[Revenue]]-Table1[[#This Row],[Operating_Costs]]</f>
        <v>47927</v>
      </c>
      <c r="T3090">
        <v>486650</v>
      </c>
      <c r="U3090">
        <v>40</v>
      </c>
      <c r="V3090">
        <v>59</v>
      </c>
      <c r="W3090">
        <v>7.8</v>
      </c>
    </row>
    <row r="3091" spans="1:23" x14ac:dyDescent="0.25">
      <c r="A3091">
        <v>8</v>
      </c>
      <c r="B3091" t="s">
        <v>52</v>
      </c>
      <c r="C3091" s="1">
        <v>44888</v>
      </c>
      <c r="D3091" t="s">
        <v>71</v>
      </c>
      <c r="E3091">
        <v>0</v>
      </c>
      <c r="F3091">
        <v>49</v>
      </c>
      <c r="G3091" t="str">
        <f t="shared" si="56"/>
        <v>41-60</v>
      </c>
      <c r="H3091" t="s">
        <v>35</v>
      </c>
      <c r="I3091" t="s">
        <v>64</v>
      </c>
      <c r="J3091" t="s">
        <v>65</v>
      </c>
      <c r="K3091" t="s">
        <v>42</v>
      </c>
      <c r="L3091">
        <v>1</v>
      </c>
      <c r="M3091">
        <v>1</v>
      </c>
      <c r="N3091">
        <v>3.3</v>
      </c>
      <c r="O3091">
        <v>8.9</v>
      </c>
      <c r="P3091">
        <v>5</v>
      </c>
      <c r="Q3091">
        <v>5</v>
      </c>
      <c r="R3091">
        <v>907374</v>
      </c>
      <c r="S3091">
        <f>Table1[[#This Row],[Revenue]]-Table1[[#This Row],[Operating_Costs]]</f>
        <v>9814</v>
      </c>
      <c r="T3091">
        <v>897560</v>
      </c>
      <c r="U3091">
        <v>33</v>
      </c>
      <c r="V3091">
        <v>63</v>
      </c>
      <c r="W3091">
        <v>8</v>
      </c>
    </row>
    <row r="3092" spans="1:23" x14ac:dyDescent="0.25">
      <c r="A3092">
        <v>8</v>
      </c>
      <c r="B3092" t="s">
        <v>52</v>
      </c>
      <c r="C3092" s="1">
        <v>45421</v>
      </c>
      <c r="D3092" t="s">
        <v>71</v>
      </c>
      <c r="E3092">
        <v>0</v>
      </c>
      <c r="F3092">
        <v>45</v>
      </c>
      <c r="G3092" t="str">
        <f t="shared" si="56"/>
        <v>41-60</v>
      </c>
      <c r="H3092" t="s">
        <v>35</v>
      </c>
      <c r="I3092" t="s">
        <v>61</v>
      </c>
      <c r="J3092" t="s">
        <v>62</v>
      </c>
      <c r="K3092" t="s">
        <v>42</v>
      </c>
      <c r="L3092">
        <v>1</v>
      </c>
      <c r="M3092">
        <v>1</v>
      </c>
      <c r="N3092">
        <v>6</v>
      </c>
      <c r="O3092">
        <v>8.9</v>
      </c>
      <c r="P3092">
        <v>7</v>
      </c>
      <c r="Q3092">
        <v>7</v>
      </c>
      <c r="R3092">
        <v>950441</v>
      </c>
      <c r="S3092">
        <f>Table1[[#This Row],[Revenue]]-Table1[[#This Row],[Operating_Costs]]</f>
        <v>69237</v>
      </c>
      <c r="T3092">
        <v>881204</v>
      </c>
      <c r="U3092">
        <v>40</v>
      </c>
      <c r="V3092">
        <v>55</v>
      </c>
      <c r="W3092">
        <v>10.7</v>
      </c>
    </row>
    <row r="3093" spans="1:23" x14ac:dyDescent="0.25">
      <c r="A3093">
        <v>8</v>
      </c>
      <c r="B3093" t="s">
        <v>52</v>
      </c>
      <c r="C3093" s="1">
        <v>44693</v>
      </c>
      <c r="D3093" t="s">
        <v>71</v>
      </c>
      <c r="E3093">
        <v>0</v>
      </c>
      <c r="F3093">
        <v>78</v>
      </c>
      <c r="G3093" t="str">
        <f t="shared" si="56"/>
        <v>61-80</v>
      </c>
      <c r="H3093" t="s">
        <v>23</v>
      </c>
      <c r="I3093" t="s">
        <v>61</v>
      </c>
      <c r="J3093" t="s">
        <v>62</v>
      </c>
      <c r="K3093" t="s">
        <v>38</v>
      </c>
      <c r="L3093">
        <v>1</v>
      </c>
      <c r="M3093">
        <v>1</v>
      </c>
      <c r="N3093">
        <v>6.8</v>
      </c>
      <c r="O3093">
        <v>7.8</v>
      </c>
      <c r="P3093">
        <v>6</v>
      </c>
      <c r="Q3093">
        <v>7</v>
      </c>
      <c r="R3093">
        <v>964251</v>
      </c>
      <c r="S3093">
        <f>Table1[[#This Row],[Revenue]]-Table1[[#This Row],[Operating_Costs]]</f>
        <v>160900</v>
      </c>
      <c r="T3093">
        <v>803351</v>
      </c>
      <c r="U3093">
        <v>32</v>
      </c>
      <c r="V3093">
        <v>66</v>
      </c>
      <c r="W3093">
        <v>7.2</v>
      </c>
    </row>
    <row r="3094" spans="1:23" x14ac:dyDescent="0.25">
      <c r="A3094">
        <v>8</v>
      </c>
      <c r="B3094" t="s">
        <v>52</v>
      </c>
      <c r="C3094" s="1">
        <v>45057</v>
      </c>
      <c r="D3094" t="s">
        <v>71</v>
      </c>
      <c r="E3094">
        <v>0</v>
      </c>
      <c r="F3094">
        <v>89</v>
      </c>
      <c r="G3094" t="str">
        <f t="shared" si="56"/>
        <v>81+</v>
      </c>
      <c r="H3094" t="s">
        <v>35</v>
      </c>
      <c r="I3094" t="s">
        <v>36</v>
      </c>
      <c r="J3094" t="s">
        <v>37</v>
      </c>
      <c r="K3094" t="s">
        <v>26</v>
      </c>
      <c r="L3094">
        <v>1</v>
      </c>
      <c r="M3094">
        <v>1</v>
      </c>
      <c r="N3094">
        <v>3.1</v>
      </c>
      <c r="O3094">
        <v>9.8000000000000007</v>
      </c>
      <c r="P3094">
        <v>3</v>
      </c>
      <c r="Q3094">
        <v>3</v>
      </c>
      <c r="R3094">
        <v>987414</v>
      </c>
      <c r="S3094">
        <f>Table1[[#This Row],[Revenue]]-Table1[[#This Row],[Operating_Costs]]</f>
        <v>105476</v>
      </c>
      <c r="T3094">
        <v>881938</v>
      </c>
      <c r="U3094">
        <v>31</v>
      </c>
      <c r="V3094">
        <v>58</v>
      </c>
      <c r="W3094">
        <v>7.3</v>
      </c>
    </row>
    <row r="3095" spans="1:23" x14ac:dyDescent="0.25">
      <c r="A3095">
        <v>9</v>
      </c>
      <c r="B3095" t="s">
        <v>44</v>
      </c>
      <c r="C3095" s="1">
        <v>44926</v>
      </c>
      <c r="D3095" t="s">
        <v>71</v>
      </c>
      <c r="E3095">
        <v>0</v>
      </c>
      <c r="F3095">
        <v>65</v>
      </c>
      <c r="G3095" t="str">
        <f t="shared" si="56"/>
        <v>61-80</v>
      </c>
      <c r="H3095" t="s">
        <v>35</v>
      </c>
      <c r="I3095" t="s">
        <v>40</v>
      </c>
      <c r="J3095" t="s">
        <v>41</v>
      </c>
      <c r="K3095" t="s">
        <v>29</v>
      </c>
      <c r="L3095">
        <v>1</v>
      </c>
      <c r="M3095">
        <v>1</v>
      </c>
      <c r="N3095">
        <v>5.0999999999999996</v>
      </c>
      <c r="O3095">
        <v>8.1</v>
      </c>
      <c r="P3095">
        <v>3</v>
      </c>
      <c r="Q3095">
        <v>4</v>
      </c>
      <c r="R3095">
        <v>563407</v>
      </c>
      <c r="S3095">
        <f>Table1[[#This Row],[Revenue]]-Table1[[#This Row],[Operating_Costs]]</f>
        <v>132484</v>
      </c>
      <c r="T3095">
        <v>430923</v>
      </c>
      <c r="U3095">
        <v>35</v>
      </c>
      <c r="V3095">
        <v>54</v>
      </c>
      <c r="W3095">
        <v>7.8</v>
      </c>
    </row>
    <row r="3096" spans="1:23" x14ac:dyDescent="0.25">
      <c r="A3096">
        <v>9</v>
      </c>
      <c r="B3096" t="s">
        <v>44</v>
      </c>
      <c r="C3096" s="1">
        <v>44943</v>
      </c>
      <c r="D3096" t="s">
        <v>71</v>
      </c>
      <c r="E3096">
        <v>0</v>
      </c>
      <c r="F3096">
        <v>86</v>
      </c>
      <c r="G3096" t="str">
        <f t="shared" si="56"/>
        <v>81+</v>
      </c>
      <c r="H3096" t="s">
        <v>35</v>
      </c>
      <c r="I3096" t="s">
        <v>31</v>
      </c>
      <c r="J3096" t="s">
        <v>28</v>
      </c>
      <c r="K3096" t="s">
        <v>26</v>
      </c>
      <c r="L3096">
        <v>1</v>
      </c>
      <c r="M3096">
        <v>1</v>
      </c>
      <c r="N3096">
        <v>4.7</v>
      </c>
      <c r="O3096">
        <v>7.7</v>
      </c>
      <c r="P3096">
        <v>6</v>
      </c>
      <c r="Q3096">
        <v>7</v>
      </c>
      <c r="R3096">
        <v>523303</v>
      </c>
      <c r="S3096">
        <f>Table1[[#This Row],[Revenue]]-Table1[[#This Row],[Operating_Costs]]</f>
        <v>130280</v>
      </c>
      <c r="T3096">
        <v>393023</v>
      </c>
      <c r="U3096">
        <v>36</v>
      </c>
      <c r="V3096">
        <v>63</v>
      </c>
      <c r="W3096">
        <v>5.6</v>
      </c>
    </row>
    <row r="3097" spans="1:23" x14ac:dyDescent="0.25">
      <c r="A3097">
        <v>9</v>
      </c>
      <c r="B3097" t="s">
        <v>44</v>
      </c>
      <c r="C3097" s="1">
        <v>44381</v>
      </c>
      <c r="D3097" t="s">
        <v>71</v>
      </c>
      <c r="E3097">
        <v>0</v>
      </c>
      <c r="F3097">
        <v>51</v>
      </c>
      <c r="G3097" t="str">
        <f t="shared" si="56"/>
        <v>41-60</v>
      </c>
      <c r="H3097" t="s">
        <v>35</v>
      </c>
      <c r="I3097" t="s">
        <v>58</v>
      </c>
      <c r="J3097" t="s">
        <v>59</v>
      </c>
      <c r="K3097" t="s">
        <v>29</v>
      </c>
      <c r="L3097">
        <v>1</v>
      </c>
      <c r="M3097">
        <v>1</v>
      </c>
      <c r="N3097">
        <v>6.3</v>
      </c>
      <c r="O3097">
        <v>7.1</v>
      </c>
      <c r="P3097">
        <v>4</v>
      </c>
      <c r="Q3097">
        <v>7</v>
      </c>
      <c r="R3097">
        <v>599933</v>
      </c>
      <c r="S3097">
        <f>Table1[[#This Row],[Revenue]]-Table1[[#This Row],[Operating_Costs]]</f>
        <v>201552</v>
      </c>
      <c r="T3097">
        <v>398381</v>
      </c>
      <c r="U3097">
        <v>40</v>
      </c>
      <c r="V3097">
        <v>59</v>
      </c>
      <c r="W3097">
        <v>9.1999999999999993</v>
      </c>
    </row>
    <row r="3098" spans="1:23" x14ac:dyDescent="0.25">
      <c r="A3098">
        <v>9</v>
      </c>
      <c r="B3098" t="s">
        <v>44</v>
      </c>
      <c r="C3098" s="1">
        <v>45302</v>
      </c>
      <c r="D3098" t="s">
        <v>71</v>
      </c>
      <c r="E3098">
        <v>0</v>
      </c>
      <c r="F3098">
        <v>70</v>
      </c>
      <c r="G3098" t="str">
        <f t="shared" si="56"/>
        <v>61-80</v>
      </c>
      <c r="H3098" t="s">
        <v>35</v>
      </c>
      <c r="I3098" t="s">
        <v>55</v>
      </c>
      <c r="J3098" t="s">
        <v>56</v>
      </c>
      <c r="K3098" t="s">
        <v>26</v>
      </c>
      <c r="L3098">
        <v>1</v>
      </c>
      <c r="M3098">
        <v>1</v>
      </c>
      <c r="N3098">
        <v>6.9</v>
      </c>
      <c r="O3098">
        <v>9.4</v>
      </c>
      <c r="P3098">
        <v>3</v>
      </c>
      <c r="Q3098">
        <v>6</v>
      </c>
      <c r="R3098">
        <v>538647</v>
      </c>
      <c r="S3098">
        <f>Table1[[#This Row],[Revenue]]-Table1[[#This Row],[Operating_Costs]]</f>
        <v>131242</v>
      </c>
      <c r="T3098">
        <v>407405</v>
      </c>
      <c r="U3098">
        <v>36</v>
      </c>
      <c r="V3098">
        <v>59</v>
      </c>
      <c r="W3098">
        <v>10.9</v>
      </c>
    </row>
    <row r="3099" spans="1:23" x14ac:dyDescent="0.25">
      <c r="A3099">
        <v>9</v>
      </c>
      <c r="B3099" t="s">
        <v>44</v>
      </c>
      <c r="C3099" s="1">
        <v>44975</v>
      </c>
      <c r="D3099" t="s">
        <v>71</v>
      </c>
      <c r="E3099">
        <v>0</v>
      </c>
      <c r="F3099">
        <v>88</v>
      </c>
      <c r="G3099" t="str">
        <f t="shared" si="56"/>
        <v>81+</v>
      </c>
      <c r="H3099" t="s">
        <v>23</v>
      </c>
      <c r="I3099" t="s">
        <v>40</v>
      </c>
      <c r="J3099" t="s">
        <v>41</v>
      </c>
      <c r="K3099" t="s">
        <v>42</v>
      </c>
      <c r="L3099">
        <v>1</v>
      </c>
      <c r="M3099">
        <v>1</v>
      </c>
      <c r="N3099">
        <v>4.2</v>
      </c>
      <c r="O3099">
        <v>7.8</v>
      </c>
      <c r="P3099">
        <v>3</v>
      </c>
      <c r="Q3099">
        <v>7</v>
      </c>
      <c r="R3099">
        <v>541636</v>
      </c>
      <c r="S3099">
        <f>Table1[[#This Row],[Revenue]]-Table1[[#This Row],[Operating_Costs]]</f>
        <v>151912</v>
      </c>
      <c r="T3099">
        <v>389724</v>
      </c>
      <c r="U3099">
        <v>40</v>
      </c>
      <c r="V3099">
        <v>63</v>
      </c>
      <c r="W3099">
        <v>8.4</v>
      </c>
    </row>
    <row r="3100" spans="1:23" x14ac:dyDescent="0.25">
      <c r="A3100">
        <v>9</v>
      </c>
      <c r="B3100" t="s">
        <v>44</v>
      </c>
      <c r="C3100" s="1">
        <v>44587</v>
      </c>
      <c r="D3100" t="s">
        <v>71</v>
      </c>
      <c r="E3100">
        <v>0</v>
      </c>
      <c r="F3100">
        <v>47</v>
      </c>
      <c r="G3100" t="str">
        <f t="shared" si="56"/>
        <v>41-60</v>
      </c>
      <c r="H3100" t="s">
        <v>35</v>
      </c>
      <c r="I3100" t="s">
        <v>64</v>
      </c>
      <c r="J3100" t="s">
        <v>65</v>
      </c>
      <c r="K3100" t="s">
        <v>42</v>
      </c>
      <c r="L3100">
        <v>1</v>
      </c>
      <c r="M3100">
        <v>1</v>
      </c>
      <c r="N3100">
        <v>2.2000000000000002</v>
      </c>
      <c r="O3100">
        <v>8.4</v>
      </c>
      <c r="P3100">
        <v>7</v>
      </c>
      <c r="Q3100">
        <v>4</v>
      </c>
      <c r="R3100">
        <v>548481</v>
      </c>
      <c r="S3100">
        <f>Table1[[#This Row],[Revenue]]-Table1[[#This Row],[Operating_Costs]]</f>
        <v>151279</v>
      </c>
      <c r="T3100">
        <v>397202</v>
      </c>
      <c r="U3100">
        <v>39</v>
      </c>
      <c r="V3100">
        <v>64</v>
      </c>
      <c r="W3100">
        <v>12.7</v>
      </c>
    </row>
    <row r="3101" spans="1:23" x14ac:dyDescent="0.25">
      <c r="A3101">
        <v>9</v>
      </c>
      <c r="B3101" t="s">
        <v>44</v>
      </c>
      <c r="C3101" s="1">
        <v>44787</v>
      </c>
      <c r="D3101" t="s">
        <v>71</v>
      </c>
      <c r="E3101">
        <v>0</v>
      </c>
      <c r="F3101">
        <v>40</v>
      </c>
      <c r="G3101" t="str">
        <f t="shared" si="56"/>
        <v>21-40</v>
      </c>
      <c r="H3101" t="s">
        <v>23</v>
      </c>
      <c r="I3101" t="s">
        <v>24</v>
      </c>
      <c r="J3101" t="s">
        <v>25</v>
      </c>
      <c r="K3101" t="s">
        <v>26</v>
      </c>
      <c r="L3101">
        <v>1</v>
      </c>
      <c r="M3101">
        <v>1</v>
      </c>
      <c r="N3101">
        <v>3.6</v>
      </c>
      <c r="O3101">
        <v>7.7</v>
      </c>
      <c r="P3101">
        <v>7</v>
      </c>
      <c r="Q3101">
        <v>4</v>
      </c>
      <c r="R3101">
        <v>589465</v>
      </c>
      <c r="S3101">
        <f>Table1[[#This Row],[Revenue]]-Table1[[#This Row],[Operating_Costs]]</f>
        <v>185694</v>
      </c>
      <c r="T3101">
        <v>403771</v>
      </c>
      <c r="U3101">
        <v>37</v>
      </c>
      <c r="V3101">
        <v>60</v>
      </c>
      <c r="W3101">
        <v>6.5</v>
      </c>
    </row>
    <row r="3102" spans="1:23" x14ac:dyDescent="0.25">
      <c r="A3102">
        <v>9</v>
      </c>
      <c r="B3102" t="s">
        <v>44</v>
      </c>
      <c r="C3102" s="1">
        <v>44725</v>
      </c>
      <c r="D3102" t="s">
        <v>71</v>
      </c>
      <c r="E3102">
        <v>0</v>
      </c>
      <c r="F3102">
        <v>28</v>
      </c>
      <c r="G3102" t="str">
        <f t="shared" si="56"/>
        <v>21-40</v>
      </c>
      <c r="H3102" t="s">
        <v>23</v>
      </c>
      <c r="I3102" t="s">
        <v>58</v>
      </c>
      <c r="J3102" t="s">
        <v>59</v>
      </c>
      <c r="K3102" t="s">
        <v>42</v>
      </c>
      <c r="L3102">
        <v>1</v>
      </c>
      <c r="M3102">
        <v>1</v>
      </c>
      <c r="N3102">
        <v>5</v>
      </c>
      <c r="O3102">
        <v>7.5</v>
      </c>
      <c r="P3102">
        <v>3</v>
      </c>
      <c r="Q3102">
        <v>7</v>
      </c>
      <c r="R3102">
        <v>579675</v>
      </c>
      <c r="S3102">
        <f>Table1[[#This Row],[Revenue]]-Table1[[#This Row],[Operating_Costs]]</f>
        <v>142762</v>
      </c>
      <c r="T3102">
        <v>436913</v>
      </c>
      <c r="U3102">
        <v>37</v>
      </c>
      <c r="V3102">
        <v>55</v>
      </c>
      <c r="W3102">
        <v>36</v>
      </c>
    </row>
    <row r="3103" spans="1:23" x14ac:dyDescent="0.25">
      <c r="A3103">
        <v>9</v>
      </c>
      <c r="B3103" t="s">
        <v>44</v>
      </c>
      <c r="C3103" s="1">
        <v>45326</v>
      </c>
      <c r="D3103" t="s">
        <v>71</v>
      </c>
      <c r="E3103">
        <v>0</v>
      </c>
      <c r="F3103">
        <v>22</v>
      </c>
      <c r="G3103" t="str">
        <f t="shared" si="56"/>
        <v>21-40</v>
      </c>
      <c r="H3103" t="s">
        <v>23</v>
      </c>
      <c r="I3103" t="s">
        <v>27</v>
      </c>
      <c r="J3103" t="s">
        <v>28</v>
      </c>
      <c r="K3103" t="s">
        <v>42</v>
      </c>
      <c r="L3103">
        <v>1</v>
      </c>
      <c r="M3103">
        <v>1</v>
      </c>
      <c r="N3103">
        <v>2.6</v>
      </c>
      <c r="O3103">
        <v>7.6</v>
      </c>
      <c r="P3103">
        <v>5</v>
      </c>
      <c r="Q3103">
        <v>4</v>
      </c>
      <c r="R3103">
        <v>536053</v>
      </c>
      <c r="S3103">
        <f>Table1[[#This Row],[Revenue]]-Table1[[#This Row],[Operating_Costs]]</f>
        <v>103778</v>
      </c>
      <c r="T3103">
        <v>432275</v>
      </c>
      <c r="U3103">
        <v>37</v>
      </c>
      <c r="V3103">
        <v>56</v>
      </c>
      <c r="W3103">
        <v>6.1</v>
      </c>
    </row>
    <row r="3104" spans="1:23" x14ac:dyDescent="0.25">
      <c r="A3104">
        <v>9</v>
      </c>
      <c r="B3104" t="s">
        <v>44</v>
      </c>
      <c r="C3104" s="1">
        <v>44303</v>
      </c>
      <c r="D3104" t="s">
        <v>71</v>
      </c>
      <c r="E3104">
        <v>0</v>
      </c>
      <c r="F3104">
        <v>35</v>
      </c>
      <c r="G3104" t="str">
        <f t="shared" si="56"/>
        <v>21-40</v>
      </c>
      <c r="H3104" t="s">
        <v>23</v>
      </c>
      <c r="I3104" t="s">
        <v>24</v>
      </c>
      <c r="J3104" t="s">
        <v>25</v>
      </c>
      <c r="K3104" t="s">
        <v>33</v>
      </c>
      <c r="L3104">
        <v>1</v>
      </c>
      <c r="M3104">
        <v>1</v>
      </c>
      <c r="N3104">
        <v>4.0999999999999996</v>
      </c>
      <c r="O3104">
        <v>9.5</v>
      </c>
      <c r="P3104">
        <v>4</v>
      </c>
      <c r="Q3104">
        <v>7</v>
      </c>
      <c r="R3104">
        <v>508407</v>
      </c>
      <c r="S3104">
        <f>Table1[[#This Row],[Revenue]]-Table1[[#This Row],[Operating_Costs]]</f>
        <v>66976</v>
      </c>
      <c r="T3104">
        <v>441431</v>
      </c>
      <c r="U3104">
        <v>39</v>
      </c>
      <c r="V3104">
        <v>57</v>
      </c>
      <c r="W3104">
        <v>12.7</v>
      </c>
    </row>
    <row r="3105" spans="1:23" x14ac:dyDescent="0.25">
      <c r="A3105">
        <v>9</v>
      </c>
      <c r="B3105" t="s">
        <v>44</v>
      </c>
      <c r="C3105" s="1">
        <v>45303</v>
      </c>
      <c r="D3105" t="s">
        <v>71</v>
      </c>
      <c r="E3105">
        <v>0</v>
      </c>
      <c r="F3105">
        <v>21</v>
      </c>
      <c r="G3105" t="str">
        <f t="shared" si="56"/>
        <v>21-40</v>
      </c>
      <c r="H3105" t="s">
        <v>23</v>
      </c>
      <c r="I3105" t="s">
        <v>50</v>
      </c>
      <c r="J3105" t="s">
        <v>51</v>
      </c>
      <c r="K3105" t="s">
        <v>29</v>
      </c>
      <c r="L3105">
        <v>1</v>
      </c>
      <c r="M3105">
        <v>1</v>
      </c>
      <c r="N3105">
        <v>2</v>
      </c>
      <c r="O3105">
        <v>7.5</v>
      </c>
      <c r="P3105">
        <v>6</v>
      </c>
      <c r="Q3105">
        <v>5</v>
      </c>
      <c r="R3105">
        <v>581582</v>
      </c>
      <c r="S3105">
        <f>Table1[[#This Row],[Revenue]]-Table1[[#This Row],[Operating_Costs]]</f>
        <v>117390</v>
      </c>
      <c r="T3105">
        <v>464192</v>
      </c>
      <c r="U3105">
        <v>40</v>
      </c>
      <c r="V3105">
        <v>56</v>
      </c>
      <c r="W3105">
        <v>6.7</v>
      </c>
    </row>
    <row r="3106" spans="1:23" x14ac:dyDescent="0.25">
      <c r="A3106">
        <v>9</v>
      </c>
      <c r="B3106" t="s">
        <v>44</v>
      </c>
      <c r="C3106" s="1">
        <v>45154</v>
      </c>
      <c r="D3106" t="s">
        <v>71</v>
      </c>
      <c r="E3106">
        <v>0</v>
      </c>
      <c r="F3106">
        <v>82</v>
      </c>
      <c r="G3106" t="str">
        <f t="shared" si="56"/>
        <v>81+</v>
      </c>
      <c r="H3106" t="s">
        <v>23</v>
      </c>
      <c r="I3106" t="s">
        <v>40</v>
      </c>
      <c r="J3106" t="s">
        <v>41</v>
      </c>
      <c r="K3106" t="s">
        <v>26</v>
      </c>
      <c r="L3106">
        <v>1</v>
      </c>
      <c r="M3106">
        <v>1</v>
      </c>
      <c r="N3106">
        <v>3.4</v>
      </c>
      <c r="O3106">
        <v>9.5</v>
      </c>
      <c r="P3106">
        <v>5</v>
      </c>
      <c r="Q3106">
        <v>7</v>
      </c>
      <c r="R3106">
        <v>595202</v>
      </c>
      <c r="S3106">
        <f>Table1[[#This Row],[Revenue]]-Table1[[#This Row],[Operating_Costs]]</f>
        <v>132024</v>
      </c>
      <c r="T3106">
        <v>463178</v>
      </c>
      <c r="U3106">
        <v>40</v>
      </c>
      <c r="V3106">
        <v>61</v>
      </c>
      <c r="W3106">
        <v>10.5</v>
      </c>
    </row>
    <row r="3107" spans="1:23" x14ac:dyDescent="0.25">
      <c r="A3107">
        <v>9</v>
      </c>
      <c r="B3107" t="s">
        <v>44</v>
      </c>
      <c r="C3107" s="1">
        <v>45155</v>
      </c>
      <c r="D3107" t="s">
        <v>71</v>
      </c>
      <c r="E3107">
        <v>0</v>
      </c>
      <c r="F3107">
        <v>57</v>
      </c>
      <c r="G3107" t="str">
        <f t="shared" si="56"/>
        <v>41-60</v>
      </c>
      <c r="H3107" t="s">
        <v>23</v>
      </c>
      <c r="I3107" t="s">
        <v>43</v>
      </c>
      <c r="J3107" t="s">
        <v>25</v>
      </c>
      <c r="K3107" t="s">
        <v>29</v>
      </c>
      <c r="L3107">
        <v>1</v>
      </c>
      <c r="M3107">
        <v>1</v>
      </c>
      <c r="N3107">
        <v>2.5</v>
      </c>
      <c r="O3107">
        <v>7.6</v>
      </c>
      <c r="P3107">
        <v>3</v>
      </c>
      <c r="Q3107">
        <v>6</v>
      </c>
      <c r="R3107">
        <v>573632</v>
      </c>
      <c r="S3107">
        <f>Table1[[#This Row],[Revenue]]-Table1[[#This Row],[Operating_Costs]]</f>
        <v>116190</v>
      </c>
      <c r="T3107">
        <v>457442</v>
      </c>
      <c r="U3107">
        <v>39</v>
      </c>
      <c r="V3107">
        <v>54</v>
      </c>
      <c r="W3107">
        <v>14.8</v>
      </c>
    </row>
    <row r="3108" spans="1:23" x14ac:dyDescent="0.25">
      <c r="A3108">
        <v>9</v>
      </c>
      <c r="B3108" t="s">
        <v>44</v>
      </c>
      <c r="C3108" s="1">
        <v>45649</v>
      </c>
      <c r="D3108" t="s">
        <v>71</v>
      </c>
      <c r="E3108">
        <v>0</v>
      </c>
      <c r="F3108">
        <v>23</v>
      </c>
      <c r="G3108" t="str">
        <f t="shared" si="56"/>
        <v>21-40</v>
      </c>
      <c r="H3108" t="s">
        <v>23</v>
      </c>
      <c r="I3108" t="s">
        <v>50</v>
      </c>
      <c r="J3108" t="s">
        <v>51</v>
      </c>
      <c r="K3108" t="s">
        <v>42</v>
      </c>
      <c r="L3108">
        <v>1</v>
      </c>
      <c r="M3108">
        <v>1</v>
      </c>
      <c r="N3108">
        <v>6.6</v>
      </c>
      <c r="O3108">
        <v>7.4</v>
      </c>
      <c r="P3108">
        <v>6</v>
      </c>
      <c r="Q3108">
        <v>5</v>
      </c>
      <c r="R3108">
        <v>529474</v>
      </c>
      <c r="S3108">
        <f>Table1[[#This Row],[Revenue]]-Table1[[#This Row],[Operating_Costs]]</f>
        <v>43744</v>
      </c>
      <c r="T3108">
        <v>485730</v>
      </c>
      <c r="U3108">
        <v>35</v>
      </c>
      <c r="V3108">
        <v>65</v>
      </c>
      <c r="W3108">
        <v>7.4</v>
      </c>
    </row>
    <row r="3109" spans="1:23" x14ac:dyDescent="0.25">
      <c r="A3109">
        <v>9</v>
      </c>
      <c r="B3109" t="s">
        <v>44</v>
      </c>
      <c r="C3109" s="1">
        <v>45223</v>
      </c>
      <c r="D3109" t="s">
        <v>71</v>
      </c>
      <c r="E3109">
        <v>0</v>
      </c>
      <c r="F3109">
        <v>57</v>
      </c>
      <c r="G3109" t="str">
        <f t="shared" si="56"/>
        <v>41-60</v>
      </c>
      <c r="H3109" t="s">
        <v>35</v>
      </c>
      <c r="I3109" t="s">
        <v>53</v>
      </c>
      <c r="J3109" t="s">
        <v>54</v>
      </c>
      <c r="K3109" t="s">
        <v>29</v>
      </c>
      <c r="L3109">
        <v>1</v>
      </c>
      <c r="M3109">
        <v>1</v>
      </c>
      <c r="N3109">
        <v>5.9</v>
      </c>
      <c r="O3109">
        <v>8.6999999999999993</v>
      </c>
      <c r="P3109">
        <v>6</v>
      </c>
      <c r="Q3109">
        <v>4</v>
      </c>
      <c r="R3109">
        <v>552318</v>
      </c>
      <c r="S3109">
        <f>Table1[[#This Row],[Revenue]]-Table1[[#This Row],[Operating_Costs]]</f>
        <v>77090</v>
      </c>
      <c r="T3109">
        <v>475228</v>
      </c>
      <c r="U3109">
        <v>37</v>
      </c>
      <c r="V3109">
        <v>55</v>
      </c>
      <c r="W3109">
        <v>10.199999999999999</v>
      </c>
    </row>
    <row r="3110" spans="1:23" x14ac:dyDescent="0.25">
      <c r="A3110">
        <v>9</v>
      </c>
      <c r="B3110" t="s">
        <v>44</v>
      </c>
      <c r="C3110" s="1">
        <v>45587</v>
      </c>
      <c r="D3110" t="s">
        <v>71</v>
      </c>
      <c r="E3110">
        <v>0</v>
      </c>
      <c r="F3110">
        <v>57</v>
      </c>
      <c r="G3110" t="str">
        <f t="shared" si="56"/>
        <v>41-60</v>
      </c>
      <c r="H3110" t="s">
        <v>35</v>
      </c>
      <c r="I3110" t="s">
        <v>55</v>
      </c>
      <c r="J3110" t="s">
        <v>56</v>
      </c>
      <c r="K3110" t="s">
        <v>42</v>
      </c>
      <c r="L3110">
        <v>1</v>
      </c>
      <c r="M3110">
        <v>1</v>
      </c>
      <c r="N3110">
        <v>6.2</v>
      </c>
      <c r="O3110">
        <v>9.1</v>
      </c>
      <c r="P3110">
        <v>4</v>
      </c>
      <c r="Q3110">
        <v>5</v>
      </c>
      <c r="R3110">
        <v>552855</v>
      </c>
      <c r="S3110">
        <f>Table1[[#This Row],[Revenue]]-Table1[[#This Row],[Operating_Costs]]</f>
        <v>102607</v>
      </c>
      <c r="T3110">
        <v>450248</v>
      </c>
      <c r="U3110">
        <v>38</v>
      </c>
      <c r="V3110">
        <v>61</v>
      </c>
      <c r="W3110">
        <v>6.8</v>
      </c>
    </row>
    <row r="3111" spans="1:23" x14ac:dyDescent="0.25">
      <c r="A3111">
        <v>9</v>
      </c>
      <c r="B3111" t="s">
        <v>44</v>
      </c>
      <c r="C3111" s="1">
        <v>44858</v>
      </c>
      <c r="D3111" t="s">
        <v>71</v>
      </c>
      <c r="E3111">
        <v>0</v>
      </c>
      <c r="F3111">
        <v>46</v>
      </c>
      <c r="G3111" t="str">
        <f t="shared" si="56"/>
        <v>41-60</v>
      </c>
      <c r="H3111" t="s">
        <v>23</v>
      </c>
      <c r="I3111" t="s">
        <v>55</v>
      </c>
      <c r="J3111" t="s">
        <v>56</v>
      </c>
      <c r="K3111" t="s">
        <v>38</v>
      </c>
      <c r="L3111">
        <v>1</v>
      </c>
      <c r="M3111">
        <v>1</v>
      </c>
      <c r="N3111">
        <v>1.2</v>
      </c>
      <c r="O3111">
        <v>7.5</v>
      </c>
      <c r="P3111">
        <v>4</v>
      </c>
      <c r="Q3111">
        <v>4</v>
      </c>
      <c r="R3111">
        <v>596823</v>
      </c>
      <c r="S3111">
        <f>Table1[[#This Row],[Revenue]]-Table1[[#This Row],[Operating_Costs]]</f>
        <v>113197</v>
      </c>
      <c r="T3111">
        <v>483626</v>
      </c>
      <c r="U3111">
        <v>37</v>
      </c>
      <c r="V3111">
        <v>64</v>
      </c>
      <c r="W3111">
        <v>8.6999999999999993</v>
      </c>
    </row>
    <row r="3112" spans="1:23" x14ac:dyDescent="0.25">
      <c r="A3112">
        <v>9</v>
      </c>
      <c r="B3112" t="s">
        <v>44</v>
      </c>
      <c r="C3112" s="1">
        <v>44953</v>
      </c>
      <c r="D3112" t="s">
        <v>71</v>
      </c>
      <c r="E3112">
        <v>0</v>
      </c>
      <c r="F3112">
        <v>40</v>
      </c>
      <c r="G3112" t="str">
        <f t="shared" si="56"/>
        <v>21-40</v>
      </c>
      <c r="H3112" t="s">
        <v>23</v>
      </c>
      <c r="I3112" t="s">
        <v>31</v>
      </c>
      <c r="J3112" t="s">
        <v>28</v>
      </c>
      <c r="K3112" t="s">
        <v>26</v>
      </c>
      <c r="L3112">
        <v>1</v>
      </c>
      <c r="M3112">
        <v>1</v>
      </c>
      <c r="N3112">
        <v>5.6</v>
      </c>
      <c r="O3112">
        <v>8.1</v>
      </c>
      <c r="P3112">
        <v>5</v>
      </c>
      <c r="Q3112">
        <v>5</v>
      </c>
      <c r="R3112">
        <v>522445</v>
      </c>
      <c r="S3112">
        <f>Table1[[#This Row],[Revenue]]-Table1[[#This Row],[Operating_Costs]]</f>
        <v>121578</v>
      </c>
      <c r="T3112">
        <v>400867</v>
      </c>
      <c r="U3112">
        <v>36</v>
      </c>
      <c r="V3112">
        <v>54</v>
      </c>
      <c r="W3112">
        <v>10</v>
      </c>
    </row>
    <row r="3113" spans="1:23" x14ac:dyDescent="0.25">
      <c r="A3113">
        <v>9</v>
      </c>
      <c r="B3113" t="s">
        <v>44</v>
      </c>
      <c r="C3113" s="1">
        <v>45519</v>
      </c>
      <c r="D3113" t="s">
        <v>71</v>
      </c>
      <c r="E3113">
        <v>0</v>
      </c>
      <c r="F3113">
        <v>27</v>
      </c>
      <c r="G3113" t="str">
        <f t="shared" si="56"/>
        <v>21-40</v>
      </c>
      <c r="H3113" t="s">
        <v>35</v>
      </c>
      <c r="I3113" t="s">
        <v>58</v>
      </c>
      <c r="J3113" t="s">
        <v>59</v>
      </c>
      <c r="K3113" t="s">
        <v>33</v>
      </c>
      <c r="L3113">
        <v>1</v>
      </c>
      <c r="M3113">
        <v>1</v>
      </c>
      <c r="N3113">
        <v>2.2000000000000002</v>
      </c>
      <c r="O3113">
        <v>9.1</v>
      </c>
      <c r="P3113">
        <v>4</v>
      </c>
      <c r="Q3113">
        <v>4</v>
      </c>
      <c r="R3113">
        <v>522967</v>
      </c>
      <c r="S3113">
        <f>Table1[[#This Row],[Revenue]]-Table1[[#This Row],[Operating_Costs]]</f>
        <v>114136</v>
      </c>
      <c r="T3113">
        <v>408831</v>
      </c>
      <c r="U3113">
        <v>37</v>
      </c>
      <c r="V3113">
        <v>54</v>
      </c>
      <c r="W3113">
        <v>7.2</v>
      </c>
    </row>
    <row r="3114" spans="1:23" x14ac:dyDescent="0.25">
      <c r="A3114">
        <v>9</v>
      </c>
      <c r="B3114" t="s">
        <v>44</v>
      </c>
      <c r="C3114" s="1">
        <v>45463</v>
      </c>
      <c r="D3114" t="s">
        <v>71</v>
      </c>
      <c r="E3114">
        <v>0</v>
      </c>
      <c r="F3114">
        <v>72</v>
      </c>
      <c r="G3114" t="str">
        <f t="shared" si="56"/>
        <v>61-80</v>
      </c>
      <c r="H3114" t="s">
        <v>35</v>
      </c>
      <c r="I3114" t="s">
        <v>60</v>
      </c>
      <c r="J3114" t="s">
        <v>59</v>
      </c>
      <c r="K3114" t="s">
        <v>38</v>
      </c>
      <c r="L3114">
        <v>1</v>
      </c>
      <c r="M3114">
        <v>1</v>
      </c>
      <c r="N3114">
        <v>1.8</v>
      </c>
      <c r="O3114">
        <v>7.4</v>
      </c>
      <c r="P3114">
        <v>3</v>
      </c>
      <c r="Q3114">
        <v>5</v>
      </c>
      <c r="R3114">
        <v>509872</v>
      </c>
      <c r="S3114">
        <f>Table1[[#This Row],[Revenue]]-Table1[[#This Row],[Operating_Costs]]</f>
        <v>80749</v>
      </c>
      <c r="T3114">
        <v>429123</v>
      </c>
      <c r="U3114">
        <v>35</v>
      </c>
      <c r="V3114">
        <v>54</v>
      </c>
      <c r="W3114">
        <v>6.7</v>
      </c>
    </row>
    <row r="3115" spans="1:23" x14ac:dyDescent="0.25">
      <c r="A3115">
        <v>9</v>
      </c>
      <c r="B3115" t="s">
        <v>44</v>
      </c>
      <c r="C3115" s="1">
        <v>45350</v>
      </c>
      <c r="D3115" t="s">
        <v>71</v>
      </c>
      <c r="E3115">
        <v>0</v>
      </c>
      <c r="F3115">
        <v>40</v>
      </c>
      <c r="G3115" t="str">
        <f t="shared" si="56"/>
        <v>21-40</v>
      </c>
      <c r="H3115" t="s">
        <v>35</v>
      </c>
      <c r="I3115" t="s">
        <v>27</v>
      </c>
      <c r="J3115" t="s">
        <v>28</v>
      </c>
      <c r="K3115" t="s">
        <v>38</v>
      </c>
      <c r="L3115">
        <v>1</v>
      </c>
      <c r="M3115">
        <v>1</v>
      </c>
      <c r="N3115">
        <v>5.7</v>
      </c>
      <c r="O3115">
        <v>9.1999999999999993</v>
      </c>
      <c r="P3115">
        <v>6</v>
      </c>
      <c r="Q3115">
        <v>5</v>
      </c>
      <c r="R3115">
        <v>575417</v>
      </c>
      <c r="S3115">
        <f>Table1[[#This Row],[Revenue]]-Table1[[#This Row],[Operating_Costs]]</f>
        <v>182256</v>
      </c>
      <c r="T3115">
        <v>393161</v>
      </c>
      <c r="U3115">
        <v>39</v>
      </c>
      <c r="V3115">
        <v>59</v>
      </c>
      <c r="W3115">
        <v>13.5</v>
      </c>
    </row>
    <row r="3116" spans="1:23" x14ac:dyDescent="0.25">
      <c r="A3116">
        <v>9</v>
      </c>
      <c r="B3116" t="s">
        <v>44</v>
      </c>
      <c r="C3116" s="1">
        <v>44607</v>
      </c>
      <c r="D3116" t="s">
        <v>71</v>
      </c>
      <c r="E3116">
        <v>0</v>
      </c>
      <c r="F3116">
        <v>47</v>
      </c>
      <c r="G3116" t="str">
        <f t="shared" si="56"/>
        <v>41-60</v>
      </c>
      <c r="H3116" t="s">
        <v>23</v>
      </c>
      <c r="I3116" t="s">
        <v>61</v>
      </c>
      <c r="J3116" t="s">
        <v>62</v>
      </c>
      <c r="K3116" t="s">
        <v>33</v>
      </c>
      <c r="L3116">
        <v>1</v>
      </c>
      <c r="M3116">
        <v>1</v>
      </c>
      <c r="N3116">
        <v>1.3</v>
      </c>
      <c r="O3116">
        <v>9.6999999999999993</v>
      </c>
      <c r="P3116">
        <v>7</v>
      </c>
      <c r="Q3116">
        <v>5</v>
      </c>
      <c r="R3116">
        <v>502476</v>
      </c>
      <c r="S3116">
        <f>Table1[[#This Row],[Revenue]]-Table1[[#This Row],[Operating_Costs]]</f>
        <v>82721</v>
      </c>
      <c r="T3116">
        <v>419755</v>
      </c>
      <c r="U3116">
        <v>40</v>
      </c>
      <c r="V3116">
        <v>55</v>
      </c>
      <c r="W3116">
        <v>36</v>
      </c>
    </row>
    <row r="3117" spans="1:23" x14ac:dyDescent="0.25">
      <c r="A3117">
        <v>9</v>
      </c>
      <c r="B3117" t="s">
        <v>44</v>
      </c>
      <c r="C3117" s="1">
        <v>44783</v>
      </c>
      <c r="D3117" t="s">
        <v>71</v>
      </c>
      <c r="E3117">
        <v>0</v>
      </c>
      <c r="F3117">
        <v>25</v>
      </c>
      <c r="G3117" t="str">
        <f t="shared" si="56"/>
        <v>21-40</v>
      </c>
      <c r="H3117" t="s">
        <v>23</v>
      </c>
      <c r="I3117" t="s">
        <v>43</v>
      </c>
      <c r="J3117" t="s">
        <v>25</v>
      </c>
      <c r="K3117" t="s">
        <v>29</v>
      </c>
      <c r="L3117">
        <v>1</v>
      </c>
      <c r="M3117">
        <v>1</v>
      </c>
      <c r="N3117">
        <v>1.9</v>
      </c>
      <c r="O3117">
        <v>8.3000000000000007</v>
      </c>
      <c r="P3117">
        <v>7</v>
      </c>
      <c r="Q3117">
        <v>3</v>
      </c>
      <c r="R3117">
        <v>565233</v>
      </c>
      <c r="S3117">
        <f>Table1[[#This Row],[Revenue]]-Table1[[#This Row],[Operating_Costs]]</f>
        <v>182989</v>
      </c>
      <c r="T3117">
        <v>382244</v>
      </c>
      <c r="U3117">
        <v>39</v>
      </c>
      <c r="V3117">
        <v>65</v>
      </c>
      <c r="W3117">
        <v>13.4</v>
      </c>
    </row>
    <row r="3118" spans="1:23" x14ac:dyDescent="0.25">
      <c r="A3118">
        <v>9</v>
      </c>
      <c r="B3118" t="s">
        <v>44</v>
      </c>
      <c r="C3118" s="1">
        <v>45493</v>
      </c>
      <c r="D3118" t="s">
        <v>71</v>
      </c>
      <c r="E3118">
        <v>0</v>
      </c>
      <c r="F3118">
        <v>34</v>
      </c>
      <c r="G3118" t="str">
        <f t="shared" si="56"/>
        <v>21-40</v>
      </c>
      <c r="H3118" t="s">
        <v>35</v>
      </c>
      <c r="I3118" t="s">
        <v>27</v>
      </c>
      <c r="J3118" t="s">
        <v>28</v>
      </c>
      <c r="K3118" t="s">
        <v>26</v>
      </c>
      <c r="L3118">
        <v>1</v>
      </c>
      <c r="M3118">
        <v>1</v>
      </c>
      <c r="N3118">
        <v>4.4000000000000004</v>
      </c>
      <c r="O3118">
        <v>9.1999999999999993</v>
      </c>
      <c r="P3118">
        <v>3</v>
      </c>
      <c r="Q3118">
        <v>4</v>
      </c>
      <c r="R3118">
        <v>555386</v>
      </c>
      <c r="S3118">
        <f>Table1[[#This Row],[Revenue]]-Table1[[#This Row],[Operating_Costs]]</f>
        <v>80857</v>
      </c>
      <c r="T3118">
        <v>474529</v>
      </c>
      <c r="U3118">
        <v>40</v>
      </c>
      <c r="V3118">
        <v>63</v>
      </c>
      <c r="W3118">
        <v>36.6</v>
      </c>
    </row>
    <row r="3119" spans="1:23" x14ac:dyDescent="0.25">
      <c r="A3119">
        <v>9</v>
      </c>
      <c r="B3119" t="s">
        <v>44</v>
      </c>
      <c r="C3119" s="1">
        <v>45269</v>
      </c>
      <c r="D3119" t="s">
        <v>71</v>
      </c>
      <c r="E3119">
        <v>0</v>
      </c>
      <c r="F3119">
        <v>77</v>
      </c>
      <c r="G3119" t="str">
        <f t="shared" si="56"/>
        <v>61-80</v>
      </c>
      <c r="H3119" t="s">
        <v>35</v>
      </c>
      <c r="I3119" t="s">
        <v>58</v>
      </c>
      <c r="J3119" t="s">
        <v>59</v>
      </c>
      <c r="K3119" t="s">
        <v>33</v>
      </c>
      <c r="L3119">
        <v>1</v>
      </c>
      <c r="M3119">
        <v>1</v>
      </c>
      <c r="N3119">
        <v>6.4</v>
      </c>
      <c r="O3119">
        <v>8.6999999999999993</v>
      </c>
      <c r="P3119">
        <v>6</v>
      </c>
      <c r="Q3119">
        <v>5</v>
      </c>
      <c r="R3119">
        <v>541678</v>
      </c>
      <c r="S3119">
        <f>Table1[[#This Row],[Revenue]]-Table1[[#This Row],[Operating_Costs]]</f>
        <v>106165</v>
      </c>
      <c r="T3119">
        <v>435513</v>
      </c>
      <c r="U3119">
        <v>35</v>
      </c>
      <c r="V3119">
        <v>55</v>
      </c>
      <c r="W3119">
        <v>5.6</v>
      </c>
    </row>
    <row r="3120" spans="1:23" x14ac:dyDescent="0.25">
      <c r="A3120">
        <v>9</v>
      </c>
      <c r="B3120" t="s">
        <v>44</v>
      </c>
      <c r="C3120" s="1">
        <v>44893</v>
      </c>
      <c r="D3120" t="s">
        <v>71</v>
      </c>
      <c r="E3120">
        <v>0</v>
      </c>
      <c r="F3120">
        <v>26</v>
      </c>
      <c r="G3120" t="str">
        <f t="shared" si="56"/>
        <v>21-40</v>
      </c>
      <c r="H3120" t="s">
        <v>35</v>
      </c>
      <c r="I3120" t="s">
        <v>31</v>
      </c>
      <c r="J3120" t="s">
        <v>28</v>
      </c>
      <c r="K3120" t="s">
        <v>42</v>
      </c>
      <c r="L3120">
        <v>1</v>
      </c>
      <c r="M3120">
        <v>1</v>
      </c>
      <c r="N3120">
        <v>2.9</v>
      </c>
      <c r="O3120">
        <v>9.5</v>
      </c>
      <c r="P3120">
        <v>6</v>
      </c>
      <c r="Q3120">
        <v>7</v>
      </c>
      <c r="R3120">
        <v>514059</v>
      </c>
      <c r="S3120">
        <f>Table1[[#This Row],[Revenue]]-Table1[[#This Row],[Operating_Costs]]</f>
        <v>30369</v>
      </c>
      <c r="T3120">
        <v>483690</v>
      </c>
      <c r="U3120">
        <v>39</v>
      </c>
      <c r="V3120">
        <v>58</v>
      </c>
      <c r="W3120">
        <v>7.9</v>
      </c>
    </row>
    <row r="3121" spans="1:23" x14ac:dyDescent="0.25">
      <c r="A3121">
        <v>9</v>
      </c>
      <c r="B3121" t="s">
        <v>44</v>
      </c>
      <c r="C3121" s="1">
        <v>45572</v>
      </c>
      <c r="D3121" t="s">
        <v>71</v>
      </c>
      <c r="E3121">
        <v>0</v>
      </c>
      <c r="F3121">
        <v>39</v>
      </c>
      <c r="G3121" t="str">
        <f t="shared" si="56"/>
        <v>21-40</v>
      </c>
      <c r="H3121" t="s">
        <v>23</v>
      </c>
      <c r="I3121" t="s">
        <v>24</v>
      </c>
      <c r="J3121" t="s">
        <v>25</v>
      </c>
      <c r="K3121" t="s">
        <v>26</v>
      </c>
      <c r="L3121">
        <v>1</v>
      </c>
      <c r="M3121">
        <v>1</v>
      </c>
      <c r="N3121">
        <v>6.5</v>
      </c>
      <c r="O3121">
        <v>9.4</v>
      </c>
      <c r="P3121">
        <v>7</v>
      </c>
      <c r="Q3121">
        <v>7</v>
      </c>
      <c r="R3121">
        <v>529739</v>
      </c>
      <c r="S3121">
        <f>Table1[[#This Row],[Revenue]]-Table1[[#This Row],[Operating_Costs]]</f>
        <v>137679</v>
      </c>
      <c r="T3121">
        <v>392060</v>
      </c>
      <c r="U3121">
        <v>38</v>
      </c>
      <c r="V3121">
        <v>66</v>
      </c>
      <c r="W3121">
        <v>8.6999999999999993</v>
      </c>
    </row>
    <row r="3122" spans="1:23" x14ac:dyDescent="0.25">
      <c r="A3122">
        <v>9</v>
      </c>
      <c r="B3122" t="s">
        <v>44</v>
      </c>
      <c r="C3122" s="1">
        <v>45402</v>
      </c>
      <c r="D3122" t="s">
        <v>71</v>
      </c>
      <c r="E3122">
        <v>0</v>
      </c>
      <c r="F3122">
        <v>26</v>
      </c>
      <c r="G3122" t="str">
        <f t="shared" si="56"/>
        <v>21-40</v>
      </c>
      <c r="H3122" t="s">
        <v>23</v>
      </c>
      <c r="I3122" t="s">
        <v>31</v>
      </c>
      <c r="J3122" t="s">
        <v>28</v>
      </c>
      <c r="K3122" t="s">
        <v>42</v>
      </c>
      <c r="L3122">
        <v>1</v>
      </c>
      <c r="M3122">
        <v>1</v>
      </c>
      <c r="N3122">
        <v>4.7</v>
      </c>
      <c r="O3122">
        <v>7.4</v>
      </c>
      <c r="P3122">
        <v>5</v>
      </c>
      <c r="Q3122">
        <v>4</v>
      </c>
      <c r="R3122">
        <v>581401</v>
      </c>
      <c r="S3122">
        <f>Table1[[#This Row],[Revenue]]-Table1[[#This Row],[Operating_Costs]]</f>
        <v>175726</v>
      </c>
      <c r="T3122">
        <v>405675</v>
      </c>
      <c r="U3122">
        <v>40</v>
      </c>
      <c r="V3122">
        <v>54</v>
      </c>
      <c r="W3122">
        <v>12.1</v>
      </c>
    </row>
    <row r="3123" spans="1:23" x14ac:dyDescent="0.25">
      <c r="A3123">
        <v>9</v>
      </c>
      <c r="B3123" t="s">
        <v>44</v>
      </c>
      <c r="C3123" s="1">
        <v>45019</v>
      </c>
      <c r="D3123" t="s">
        <v>71</v>
      </c>
      <c r="E3123">
        <v>0</v>
      </c>
      <c r="F3123">
        <v>47</v>
      </c>
      <c r="G3123" t="str">
        <f t="shared" si="56"/>
        <v>41-60</v>
      </c>
      <c r="H3123" t="s">
        <v>35</v>
      </c>
      <c r="I3123" t="s">
        <v>31</v>
      </c>
      <c r="J3123" t="s">
        <v>28</v>
      </c>
      <c r="K3123" t="s">
        <v>26</v>
      </c>
      <c r="L3123">
        <v>1</v>
      </c>
      <c r="M3123">
        <v>1</v>
      </c>
      <c r="N3123">
        <v>4.3</v>
      </c>
      <c r="O3123">
        <v>7.7</v>
      </c>
      <c r="P3123">
        <v>3</v>
      </c>
      <c r="Q3123">
        <v>5</v>
      </c>
      <c r="R3123">
        <v>523584</v>
      </c>
      <c r="S3123">
        <f>Table1[[#This Row],[Revenue]]-Table1[[#This Row],[Operating_Costs]]</f>
        <v>116588</v>
      </c>
      <c r="T3123">
        <v>406996</v>
      </c>
      <c r="U3123">
        <v>35</v>
      </c>
      <c r="V3123">
        <v>62</v>
      </c>
      <c r="W3123">
        <v>10.3</v>
      </c>
    </row>
    <row r="3124" spans="1:23" x14ac:dyDescent="0.25">
      <c r="A3124">
        <v>9</v>
      </c>
      <c r="B3124" t="s">
        <v>44</v>
      </c>
      <c r="C3124" s="1">
        <v>44468</v>
      </c>
      <c r="D3124" t="s">
        <v>71</v>
      </c>
      <c r="E3124">
        <v>0</v>
      </c>
      <c r="F3124">
        <v>44</v>
      </c>
      <c r="G3124" t="str">
        <f t="shared" si="56"/>
        <v>41-60</v>
      </c>
      <c r="H3124" t="s">
        <v>35</v>
      </c>
      <c r="I3124" t="s">
        <v>46</v>
      </c>
      <c r="J3124" t="s">
        <v>47</v>
      </c>
      <c r="K3124" t="s">
        <v>42</v>
      </c>
      <c r="L3124">
        <v>1</v>
      </c>
      <c r="M3124">
        <v>1</v>
      </c>
      <c r="N3124">
        <v>3.5</v>
      </c>
      <c r="O3124">
        <v>7.1</v>
      </c>
      <c r="P3124">
        <v>5</v>
      </c>
      <c r="Q3124">
        <v>6</v>
      </c>
      <c r="R3124">
        <v>515739</v>
      </c>
      <c r="S3124">
        <f>Table1[[#This Row],[Revenue]]-Table1[[#This Row],[Operating_Costs]]</f>
        <v>110737</v>
      </c>
      <c r="T3124">
        <v>405002</v>
      </c>
      <c r="U3124">
        <v>36</v>
      </c>
      <c r="V3124">
        <v>66</v>
      </c>
      <c r="W3124">
        <v>14.8</v>
      </c>
    </row>
    <row r="3125" spans="1:23" x14ac:dyDescent="0.25">
      <c r="A3125">
        <v>9</v>
      </c>
      <c r="B3125" t="s">
        <v>44</v>
      </c>
      <c r="C3125" s="1">
        <v>45410</v>
      </c>
      <c r="D3125" t="s">
        <v>71</v>
      </c>
      <c r="E3125">
        <v>0</v>
      </c>
      <c r="F3125">
        <v>43</v>
      </c>
      <c r="G3125" t="str">
        <f t="shared" si="56"/>
        <v>41-60</v>
      </c>
      <c r="H3125" t="s">
        <v>23</v>
      </c>
      <c r="I3125" t="s">
        <v>31</v>
      </c>
      <c r="J3125" t="s">
        <v>28</v>
      </c>
      <c r="K3125" t="s">
        <v>33</v>
      </c>
      <c r="L3125">
        <v>1</v>
      </c>
      <c r="M3125">
        <v>1</v>
      </c>
      <c r="N3125">
        <v>4.4000000000000004</v>
      </c>
      <c r="O3125">
        <v>9.9</v>
      </c>
      <c r="P3125">
        <v>7</v>
      </c>
      <c r="Q3125">
        <v>4</v>
      </c>
      <c r="R3125">
        <v>595923</v>
      </c>
      <c r="S3125">
        <f>Table1[[#This Row],[Revenue]]-Table1[[#This Row],[Operating_Costs]]</f>
        <v>148676</v>
      </c>
      <c r="T3125">
        <v>447247</v>
      </c>
      <c r="U3125">
        <v>39</v>
      </c>
      <c r="V3125">
        <v>64</v>
      </c>
      <c r="W3125">
        <v>9</v>
      </c>
    </row>
    <row r="3126" spans="1:23" x14ac:dyDescent="0.25">
      <c r="A3126">
        <v>9</v>
      </c>
      <c r="B3126" t="s">
        <v>44</v>
      </c>
      <c r="C3126" s="1">
        <v>44316</v>
      </c>
      <c r="D3126" t="s">
        <v>71</v>
      </c>
      <c r="E3126">
        <v>0</v>
      </c>
      <c r="F3126">
        <v>22</v>
      </c>
      <c r="G3126" t="str">
        <f t="shared" si="56"/>
        <v>21-40</v>
      </c>
      <c r="H3126" t="s">
        <v>35</v>
      </c>
      <c r="I3126" t="s">
        <v>36</v>
      </c>
      <c r="J3126" t="s">
        <v>37</v>
      </c>
      <c r="K3126" t="s">
        <v>38</v>
      </c>
      <c r="L3126">
        <v>1</v>
      </c>
      <c r="M3126">
        <v>1</v>
      </c>
      <c r="N3126">
        <v>6.8</v>
      </c>
      <c r="O3126">
        <v>8.9</v>
      </c>
      <c r="P3126">
        <v>6</v>
      </c>
      <c r="Q3126">
        <v>5</v>
      </c>
      <c r="R3126">
        <v>516434</v>
      </c>
      <c r="S3126">
        <f>Table1[[#This Row],[Revenue]]-Table1[[#This Row],[Operating_Costs]]</f>
        <v>133301</v>
      </c>
      <c r="T3126">
        <v>383133</v>
      </c>
      <c r="U3126">
        <v>40</v>
      </c>
      <c r="V3126">
        <v>60</v>
      </c>
      <c r="W3126">
        <v>14.7</v>
      </c>
    </row>
    <row r="3127" spans="1:23" x14ac:dyDescent="0.25">
      <c r="A3127">
        <v>9</v>
      </c>
      <c r="B3127" t="s">
        <v>44</v>
      </c>
      <c r="C3127" s="1">
        <v>45145</v>
      </c>
      <c r="D3127" t="s">
        <v>71</v>
      </c>
      <c r="E3127">
        <v>0</v>
      </c>
      <c r="F3127">
        <v>63</v>
      </c>
      <c r="G3127" t="str">
        <f t="shared" si="56"/>
        <v>61-80</v>
      </c>
      <c r="H3127" t="s">
        <v>35</v>
      </c>
      <c r="I3127" t="s">
        <v>27</v>
      </c>
      <c r="J3127" t="s">
        <v>28</v>
      </c>
      <c r="K3127" t="s">
        <v>42</v>
      </c>
      <c r="L3127">
        <v>1</v>
      </c>
      <c r="M3127">
        <v>1</v>
      </c>
      <c r="N3127">
        <v>1.8</v>
      </c>
      <c r="O3127">
        <v>8.8000000000000007</v>
      </c>
      <c r="P3127">
        <v>4</v>
      </c>
      <c r="Q3127">
        <v>5</v>
      </c>
      <c r="R3127">
        <v>595912</v>
      </c>
      <c r="S3127">
        <f>Table1[[#This Row],[Revenue]]-Table1[[#This Row],[Operating_Costs]]</f>
        <v>175965</v>
      </c>
      <c r="T3127">
        <v>419947</v>
      </c>
      <c r="U3127">
        <v>37</v>
      </c>
      <c r="V3127">
        <v>60</v>
      </c>
      <c r="W3127">
        <v>8</v>
      </c>
    </row>
    <row r="3128" spans="1:23" x14ac:dyDescent="0.25">
      <c r="A3128">
        <v>9</v>
      </c>
      <c r="B3128" t="s">
        <v>44</v>
      </c>
      <c r="C3128" s="1">
        <v>45298</v>
      </c>
      <c r="D3128" t="s">
        <v>71</v>
      </c>
      <c r="E3128">
        <v>0</v>
      </c>
      <c r="F3128">
        <v>32</v>
      </c>
      <c r="G3128" t="str">
        <f t="shared" si="56"/>
        <v>21-40</v>
      </c>
      <c r="H3128" t="s">
        <v>23</v>
      </c>
      <c r="I3128" t="s">
        <v>50</v>
      </c>
      <c r="J3128" t="s">
        <v>51</v>
      </c>
      <c r="K3128" t="s">
        <v>29</v>
      </c>
      <c r="L3128">
        <v>1</v>
      </c>
      <c r="M3128">
        <v>1</v>
      </c>
      <c r="N3128">
        <v>2.8</v>
      </c>
      <c r="O3128">
        <v>9.9</v>
      </c>
      <c r="P3128">
        <v>5</v>
      </c>
      <c r="Q3128">
        <v>6</v>
      </c>
      <c r="R3128">
        <v>505108</v>
      </c>
      <c r="S3128">
        <f>Table1[[#This Row],[Revenue]]-Table1[[#This Row],[Operating_Costs]]</f>
        <v>68625</v>
      </c>
      <c r="T3128">
        <v>436483</v>
      </c>
      <c r="U3128">
        <v>39</v>
      </c>
      <c r="V3128">
        <v>64</v>
      </c>
      <c r="W3128">
        <v>12.6</v>
      </c>
    </row>
    <row r="3129" spans="1:23" x14ac:dyDescent="0.25">
      <c r="A3129">
        <v>9</v>
      </c>
      <c r="B3129" t="s">
        <v>44</v>
      </c>
      <c r="C3129" s="1">
        <v>44600</v>
      </c>
      <c r="D3129" t="s">
        <v>71</v>
      </c>
      <c r="E3129">
        <v>0</v>
      </c>
      <c r="F3129">
        <v>69</v>
      </c>
      <c r="G3129" t="str">
        <f t="shared" si="56"/>
        <v>61-80</v>
      </c>
      <c r="H3129" t="s">
        <v>23</v>
      </c>
      <c r="I3129" t="s">
        <v>55</v>
      </c>
      <c r="J3129" t="s">
        <v>56</v>
      </c>
      <c r="K3129" t="s">
        <v>38</v>
      </c>
      <c r="L3129">
        <v>1</v>
      </c>
      <c r="M3129">
        <v>1</v>
      </c>
      <c r="N3129">
        <v>4.8</v>
      </c>
      <c r="O3129">
        <v>10</v>
      </c>
      <c r="P3129">
        <v>7</v>
      </c>
      <c r="Q3129">
        <v>3</v>
      </c>
      <c r="R3129">
        <v>544074</v>
      </c>
      <c r="S3129">
        <f>Table1[[#This Row],[Revenue]]-Table1[[#This Row],[Operating_Costs]]</f>
        <v>144784</v>
      </c>
      <c r="T3129">
        <v>399290</v>
      </c>
      <c r="U3129">
        <v>35</v>
      </c>
      <c r="V3129">
        <v>58</v>
      </c>
      <c r="W3129">
        <v>9.3000000000000007</v>
      </c>
    </row>
    <row r="3130" spans="1:23" x14ac:dyDescent="0.25">
      <c r="A3130">
        <v>9</v>
      </c>
      <c r="B3130" t="s">
        <v>44</v>
      </c>
      <c r="C3130" s="1">
        <v>45438</v>
      </c>
      <c r="D3130" t="s">
        <v>71</v>
      </c>
      <c r="E3130">
        <v>0</v>
      </c>
      <c r="F3130">
        <v>40</v>
      </c>
      <c r="G3130" t="str">
        <f t="shared" si="56"/>
        <v>21-40</v>
      </c>
      <c r="H3130" t="s">
        <v>35</v>
      </c>
      <c r="I3130" t="s">
        <v>58</v>
      </c>
      <c r="J3130" t="s">
        <v>59</v>
      </c>
      <c r="K3130" t="s">
        <v>38</v>
      </c>
      <c r="L3130">
        <v>1</v>
      </c>
      <c r="M3130">
        <v>1</v>
      </c>
      <c r="N3130">
        <v>6.8</v>
      </c>
      <c r="O3130">
        <v>7.4</v>
      </c>
      <c r="P3130">
        <v>4</v>
      </c>
      <c r="Q3130">
        <v>7</v>
      </c>
      <c r="R3130">
        <v>504186</v>
      </c>
      <c r="S3130">
        <f>Table1[[#This Row],[Revenue]]-Table1[[#This Row],[Operating_Costs]]</f>
        <v>14804</v>
      </c>
      <c r="T3130">
        <v>489382</v>
      </c>
      <c r="U3130">
        <v>36</v>
      </c>
      <c r="V3130">
        <v>62</v>
      </c>
      <c r="W3130">
        <v>9.1999999999999993</v>
      </c>
    </row>
    <row r="3131" spans="1:23" x14ac:dyDescent="0.25">
      <c r="A3131">
        <v>9</v>
      </c>
      <c r="B3131" t="s">
        <v>44</v>
      </c>
      <c r="C3131" s="1">
        <v>44627</v>
      </c>
      <c r="D3131" t="s">
        <v>71</v>
      </c>
      <c r="E3131">
        <v>0</v>
      </c>
      <c r="F3131">
        <v>35</v>
      </c>
      <c r="G3131" t="str">
        <f t="shared" si="56"/>
        <v>21-40</v>
      </c>
      <c r="H3131" t="s">
        <v>35</v>
      </c>
      <c r="I3131" t="s">
        <v>40</v>
      </c>
      <c r="J3131" t="s">
        <v>41</v>
      </c>
      <c r="K3131" t="s">
        <v>42</v>
      </c>
      <c r="L3131">
        <v>1</v>
      </c>
      <c r="M3131">
        <v>1</v>
      </c>
      <c r="N3131">
        <v>2.6</v>
      </c>
      <c r="O3131">
        <v>7.4</v>
      </c>
      <c r="P3131">
        <v>3</v>
      </c>
      <c r="Q3131">
        <v>5</v>
      </c>
      <c r="R3131">
        <v>557589</v>
      </c>
      <c r="S3131">
        <f>Table1[[#This Row],[Revenue]]-Table1[[#This Row],[Operating_Costs]]</f>
        <v>109167</v>
      </c>
      <c r="T3131">
        <v>448422</v>
      </c>
      <c r="U3131">
        <v>38</v>
      </c>
      <c r="V3131">
        <v>57</v>
      </c>
      <c r="W3131">
        <v>13.6</v>
      </c>
    </row>
    <row r="3132" spans="1:23" x14ac:dyDescent="0.25">
      <c r="A3132">
        <v>9</v>
      </c>
      <c r="B3132" t="s">
        <v>44</v>
      </c>
      <c r="C3132" s="1">
        <v>44965</v>
      </c>
      <c r="D3132" t="s">
        <v>71</v>
      </c>
      <c r="E3132">
        <v>0</v>
      </c>
      <c r="F3132">
        <v>67</v>
      </c>
      <c r="G3132" t="str">
        <f t="shared" si="56"/>
        <v>61-80</v>
      </c>
      <c r="H3132" t="s">
        <v>23</v>
      </c>
      <c r="I3132" t="s">
        <v>61</v>
      </c>
      <c r="J3132" t="s">
        <v>62</v>
      </c>
      <c r="K3132" t="s">
        <v>29</v>
      </c>
      <c r="L3132">
        <v>1</v>
      </c>
      <c r="M3132">
        <v>1</v>
      </c>
      <c r="N3132">
        <v>5.6</v>
      </c>
      <c r="O3132">
        <v>7.1</v>
      </c>
      <c r="P3132">
        <v>7</v>
      </c>
      <c r="Q3132">
        <v>7</v>
      </c>
      <c r="R3132">
        <v>563244</v>
      </c>
      <c r="S3132">
        <f>Table1[[#This Row],[Revenue]]-Table1[[#This Row],[Operating_Costs]]</f>
        <v>164442</v>
      </c>
      <c r="T3132">
        <v>398802</v>
      </c>
      <c r="U3132">
        <v>40</v>
      </c>
      <c r="V3132">
        <v>54</v>
      </c>
      <c r="W3132">
        <v>9</v>
      </c>
    </row>
    <row r="3133" spans="1:23" x14ac:dyDescent="0.25">
      <c r="A3133">
        <v>9</v>
      </c>
      <c r="B3133" t="s">
        <v>44</v>
      </c>
      <c r="C3133" s="1">
        <v>44561</v>
      </c>
      <c r="D3133" t="s">
        <v>71</v>
      </c>
      <c r="E3133">
        <v>0</v>
      </c>
      <c r="F3133">
        <v>39</v>
      </c>
      <c r="G3133" t="str">
        <f t="shared" si="56"/>
        <v>21-40</v>
      </c>
      <c r="H3133" t="s">
        <v>23</v>
      </c>
      <c r="I3133" t="s">
        <v>31</v>
      </c>
      <c r="J3133" t="s">
        <v>28</v>
      </c>
      <c r="K3133" t="s">
        <v>38</v>
      </c>
      <c r="L3133">
        <v>1</v>
      </c>
      <c r="M3133">
        <v>1</v>
      </c>
      <c r="N3133">
        <v>1.2</v>
      </c>
      <c r="O3133">
        <v>7.3</v>
      </c>
      <c r="P3133">
        <v>7</v>
      </c>
      <c r="Q3133">
        <v>5</v>
      </c>
      <c r="R3133">
        <v>545677</v>
      </c>
      <c r="S3133">
        <f>Table1[[#This Row],[Revenue]]-Table1[[#This Row],[Operating_Costs]]</f>
        <v>141215</v>
      </c>
      <c r="T3133">
        <v>404462</v>
      </c>
      <c r="U3133">
        <v>35</v>
      </c>
      <c r="V3133">
        <v>61</v>
      </c>
      <c r="W3133">
        <v>5.8</v>
      </c>
    </row>
    <row r="3134" spans="1:23" x14ac:dyDescent="0.25">
      <c r="A3134">
        <v>9</v>
      </c>
      <c r="B3134" t="s">
        <v>44</v>
      </c>
      <c r="C3134" s="1">
        <v>44782</v>
      </c>
      <c r="D3134" t="s">
        <v>71</v>
      </c>
      <c r="E3134">
        <v>0</v>
      </c>
      <c r="F3134">
        <v>33</v>
      </c>
      <c r="G3134" t="str">
        <f t="shared" si="56"/>
        <v>21-40</v>
      </c>
      <c r="H3134" t="s">
        <v>35</v>
      </c>
      <c r="I3134" t="s">
        <v>36</v>
      </c>
      <c r="J3134" t="s">
        <v>37</v>
      </c>
      <c r="K3134" t="s">
        <v>33</v>
      </c>
      <c r="L3134">
        <v>1</v>
      </c>
      <c r="M3134">
        <v>1</v>
      </c>
      <c r="N3134">
        <v>4.0999999999999996</v>
      </c>
      <c r="O3134">
        <v>7</v>
      </c>
      <c r="P3134">
        <v>3</v>
      </c>
      <c r="Q3134">
        <v>7</v>
      </c>
      <c r="R3134">
        <v>509761</v>
      </c>
      <c r="S3134">
        <f>Table1[[#This Row],[Revenue]]-Table1[[#This Row],[Operating_Costs]]</f>
        <v>59916</v>
      </c>
      <c r="T3134">
        <v>449845</v>
      </c>
      <c r="U3134">
        <v>35</v>
      </c>
      <c r="V3134">
        <v>55</v>
      </c>
      <c r="W3134">
        <v>9.1</v>
      </c>
    </row>
    <row r="3135" spans="1:23" x14ac:dyDescent="0.25">
      <c r="A3135">
        <v>9</v>
      </c>
      <c r="B3135" t="s">
        <v>44</v>
      </c>
      <c r="C3135" s="1">
        <v>45400</v>
      </c>
      <c r="D3135" t="s">
        <v>71</v>
      </c>
      <c r="E3135">
        <v>0</v>
      </c>
      <c r="F3135">
        <v>64</v>
      </c>
      <c r="G3135" t="str">
        <f t="shared" si="56"/>
        <v>61-80</v>
      </c>
      <c r="H3135" t="s">
        <v>35</v>
      </c>
      <c r="I3135" t="s">
        <v>31</v>
      </c>
      <c r="J3135" t="s">
        <v>28</v>
      </c>
      <c r="K3135" t="s">
        <v>29</v>
      </c>
      <c r="L3135">
        <v>1</v>
      </c>
      <c r="M3135">
        <v>1</v>
      </c>
      <c r="N3135">
        <v>3.7</v>
      </c>
      <c r="O3135">
        <v>9.1</v>
      </c>
      <c r="P3135">
        <v>3</v>
      </c>
      <c r="Q3135">
        <v>5</v>
      </c>
      <c r="R3135">
        <v>594315</v>
      </c>
      <c r="S3135">
        <f>Table1[[#This Row],[Revenue]]-Table1[[#This Row],[Operating_Costs]]</f>
        <v>157267</v>
      </c>
      <c r="T3135">
        <v>437048</v>
      </c>
      <c r="U3135">
        <v>39</v>
      </c>
      <c r="V3135">
        <v>57</v>
      </c>
      <c r="W3135">
        <v>36.6</v>
      </c>
    </row>
    <row r="3136" spans="1:23" x14ac:dyDescent="0.25">
      <c r="A3136">
        <v>8</v>
      </c>
      <c r="B3136" t="s">
        <v>52</v>
      </c>
      <c r="C3136" s="1">
        <v>44600</v>
      </c>
      <c r="D3136" t="s">
        <v>71</v>
      </c>
      <c r="E3136">
        <v>0</v>
      </c>
      <c r="F3136">
        <v>49</v>
      </c>
      <c r="G3136" t="str">
        <f t="shared" si="56"/>
        <v>41-60</v>
      </c>
      <c r="H3136" t="s">
        <v>35</v>
      </c>
      <c r="I3136" t="s">
        <v>55</v>
      </c>
      <c r="J3136" t="s">
        <v>56</v>
      </c>
      <c r="K3136" t="s">
        <v>38</v>
      </c>
      <c r="L3136">
        <v>1</v>
      </c>
      <c r="M3136">
        <v>1</v>
      </c>
      <c r="N3136">
        <v>5.5</v>
      </c>
      <c r="O3136">
        <v>8.6</v>
      </c>
      <c r="P3136">
        <v>6</v>
      </c>
      <c r="Q3136">
        <v>6</v>
      </c>
      <c r="R3136">
        <v>992844</v>
      </c>
      <c r="S3136">
        <f>Table1[[#This Row],[Revenue]]-Table1[[#This Row],[Operating_Costs]]</f>
        <v>121998</v>
      </c>
      <c r="T3136">
        <v>870846</v>
      </c>
      <c r="U3136">
        <v>37</v>
      </c>
      <c r="V3136">
        <v>56</v>
      </c>
      <c r="W3136">
        <v>36.799999999999997</v>
      </c>
    </row>
    <row r="3137" spans="1:23" x14ac:dyDescent="0.25">
      <c r="A3137">
        <v>9</v>
      </c>
      <c r="B3137" t="s">
        <v>44</v>
      </c>
      <c r="C3137" s="1">
        <v>45583</v>
      </c>
      <c r="D3137" t="s">
        <v>71</v>
      </c>
      <c r="E3137">
        <v>0</v>
      </c>
      <c r="F3137">
        <v>77</v>
      </c>
      <c r="G3137" t="str">
        <f t="shared" si="56"/>
        <v>61-80</v>
      </c>
      <c r="H3137" t="s">
        <v>35</v>
      </c>
      <c r="I3137" t="s">
        <v>31</v>
      </c>
      <c r="J3137" t="s">
        <v>28</v>
      </c>
      <c r="K3137" t="s">
        <v>38</v>
      </c>
      <c r="L3137">
        <v>1</v>
      </c>
      <c r="M3137">
        <v>1</v>
      </c>
      <c r="N3137">
        <v>5.5</v>
      </c>
      <c r="O3137">
        <v>8.4</v>
      </c>
      <c r="P3137">
        <v>6</v>
      </c>
      <c r="Q3137">
        <v>5</v>
      </c>
      <c r="R3137">
        <v>566194</v>
      </c>
      <c r="S3137">
        <f>Table1[[#This Row],[Revenue]]-Table1[[#This Row],[Operating_Costs]]</f>
        <v>148416</v>
      </c>
      <c r="T3137">
        <v>417778</v>
      </c>
      <c r="U3137">
        <v>35</v>
      </c>
      <c r="V3137">
        <v>60</v>
      </c>
      <c r="W3137">
        <v>5.2</v>
      </c>
    </row>
    <row r="3138" spans="1:23" x14ac:dyDescent="0.25">
      <c r="A3138">
        <v>9</v>
      </c>
      <c r="B3138" t="s">
        <v>44</v>
      </c>
      <c r="C3138" s="1">
        <v>45300</v>
      </c>
      <c r="D3138" t="s">
        <v>71</v>
      </c>
      <c r="E3138">
        <v>0</v>
      </c>
      <c r="F3138">
        <v>52</v>
      </c>
      <c r="G3138" t="str">
        <f t="shared" si="56"/>
        <v>41-60</v>
      </c>
      <c r="H3138" t="s">
        <v>35</v>
      </c>
      <c r="I3138" t="s">
        <v>46</v>
      </c>
      <c r="J3138" t="s">
        <v>47</v>
      </c>
      <c r="K3138" t="s">
        <v>42</v>
      </c>
      <c r="L3138">
        <v>1</v>
      </c>
      <c r="M3138">
        <v>1</v>
      </c>
      <c r="N3138">
        <v>1.9</v>
      </c>
      <c r="O3138">
        <v>9.4</v>
      </c>
      <c r="P3138">
        <v>3</v>
      </c>
      <c r="Q3138">
        <v>4</v>
      </c>
      <c r="R3138">
        <v>559287</v>
      </c>
      <c r="S3138">
        <f>Table1[[#This Row],[Revenue]]-Table1[[#This Row],[Operating_Costs]]</f>
        <v>154106</v>
      </c>
      <c r="T3138">
        <v>405181</v>
      </c>
      <c r="U3138">
        <v>38</v>
      </c>
      <c r="V3138">
        <v>66</v>
      </c>
      <c r="W3138">
        <v>12.6</v>
      </c>
    </row>
    <row r="3139" spans="1:23" x14ac:dyDescent="0.25">
      <c r="A3139">
        <v>9</v>
      </c>
      <c r="B3139" t="s">
        <v>44</v>
      </c>
      <c r="C3139" s="1">
        <v>44394</v>
      </c>
      <c r="D3139" t="s">
        <v>71</v>
      </c>
      <c r="E3139">
        <v>0</v>
      </c>
      <c r="F3139">
        <v>87</v>
      </c>
      <c r="G3139" t="str">
        <f t="shared" ref="G3139:G3202" si="57">IF(F3139&lt;=20,"0-20",IF(F3139&lt;=40,"21-40",IF(F3139&lt;=60,"41-60",IF(F3139&lt;=80,"61-80","81+"))))</f>
        <v>81+</v>
      </c>
      <c r="H3139" t="s">
        <v>23</v>
      </c>
      <c r="I3139" t="s">
        <v>43</v>
      </c>
      <c r="J3139" t="s">
        <v>25</v>
      </c>
      <c r="K3139" t="s">
        <v>26</v>
      </c>
      <c r="L3139">
        <v>1</v>
      </c>
      <c r="M3139">
        <v>1</v>
      </c>
      <c r="N3139">
        <v>1.2</v>
      </c>
      <c r="O3139">
        <v>7.8</v>
      </c>
      <c r="P3139">
        <v>7</v>
      </c>
      <c r="Q3139">
        <v>6</v>
      </c>
      <c r="R3139">
        <v>562262</v>
      </c>
      <c r="S3139">
        <f>Table1[[#This Row],[Revenue]]-Table1[[#This Row],[Operating_Costs]]</f>
        <v>137390</v>
      </c>
      <c r="T3139">
        <v>424872</v>
      </c>
      <c r="U3139">
        <v>37</v>
      </c>
      <c r="V3139">
        <v>65</v>
      </c>
      <c r="W3139">
        <v>5.2</v>
      </c>
    </row>
    <row r="3140" spans="1:23" x14ac:dyDescent="0.25">
      <c r="A3140">
        <v>9</v>
      </c>
      <c r="B3140" t="s">
        <v>44</v>
      </c>
      <c r="C3140" s="1">
        <v>44737</v>
      </c>
      <c r="D3140" t="s">
        <v>71</v>
      </c>
      <c r="E3140">
        <v>0</v>
      </c>
      <c r="F3140">
        <v>39</v>
      </c>
      <c r="G3140" t="str">
        <f t="shared" si="57"/>
        <v>21-40</v>
      </c>
      <c r="H3140" t="s">
        <v>23</v>
      </c>
      <c r="I3140" t="s">
        <v>61</v>
      </c>
      <c r="J3140" t="s">
        <v>62</v>
      </c>
      <c r="K3140" t="s">
        <v>42</v>
      </c>
      <c r="L3140">
        <v>1</v>
      </c>
      <c r="M3140">
        <v>1</v>
      </c>
      <c r="N3140">
        <v>5.3</v>
      </c>
      <c r="O3140">
        <v>7.1</v>
      </c>
      <c r="P3140">
        <v>7</v>
      </c>
      <c r="Q3140">
        <v>3</v>
      </c>
      <c r="R3140">
        <v>573034</v>
      </c>
      <c r="S3140">
        <f>Table1[[#This Row],[Revenue]]-Table1[[#This Row],[Operating_Costs]]</f>
        <v>188754</v>
      </c>
      <c r="T3140">
        <v>384280</v>
      </c>
      <c r="U3140">
        <v>39</v>
      </c>
      <c r="V3140">
        <v>66</v>
      </c>
      <c r="W3140">
        <v>5.4</v>
      </c>
    </row>
    <row r="3141" spans="1:23" x14ac:dyDescent="0.25">
      <c r="A3141">
        <v>9</v>
      </c>
      <c r="B3141" t="s">
        <v>44</v>
      </c>
      <c r="C3141" s="1">
        <v>45322</v>
      </c>
      <c r="D3141" t="s">
        <v>71</v>
      </c>
      <c r="E3141">
        <v>0</v>
      </c>
      <c r="F3141">
        <v>87</v>
      </c>
      <c r="G3141" t="str">
        <f t="shared" si="57"/>
        <v>81+</v>
      </c>
      <c r="H3141" t="s">
        <v>23</v>
      </c>
      <c r="I3141" t="s">
        <v>50</v>
      </c>
      <c r="J3141" t="s">
        <v>51</v>
      </c>
      <c r="K3141" t="s">
        <v>29</v>
      </c>
      <c r="L3141">
        <v>1</v>
      </c>
      <c r="M3141">
        <v>1</v>
      </c>
      <c r="N3141">
        <v>2.2000000000000002</v>
      </c>
      <c r="O3141">
        <v>7.6</v>
      </c>
      <c r="P3141">
        <v>4</v>
      </c>
      <c r="Q3141">
        <v>6</v>
      </c>
      <c r="R3141">
        <v>592456</v>
      </c>
      <c r="S3141">
        <f>Table1[[#This Row],[Revenue]]-Table1[[#This Row],[Operating_Costs]]</f>
        <v>168826</v>
      </c>
      <c r="T3141">
        <v>423630</v>
      </c>
      <c r="U3141">
        <v>39</v>
      </c>
      <c r="V3141">
        <v>62</v>
      </c>
      <c r="W3141">
        <v>14.8</v>
      </c>
    </row>
    <row r="3142" spans="1:23" x14ac:dyDescent="0.25">
      <c r="A3142">
        <v>9</v>
      </c>
      <c r="B3142" t="s">
        <v>44</v>
      </c>
      <c r="C3142" s="1">
        <v>44671</v>
      </c>
      <c r="D3142" t="s">
        <v>71</v>
      </c>
      <c r="E3142">
        <v>0</v>
      </c>
      <c r="F3142">
        <v>27</v>
      </c>
      <c r="G3142" t="str">
        <f t="shared" si="57"/>
        <v>21-40</v>
      </c>
      <c r="H3142" t="s">
        <v>35</v>
      </c>
      <c r="I3142" t="s">
        <v>31</v>
      </c>
      <c r="J3142" t="s">
        <v>28</v>
      </c>
      <c r="K3142" t="s">
        <v>33</v>
      </c>
      <c r="L3142">
        <v>1</v>
      </c>
      <c r="M3142">
        <v>1</v>
      </c>
      <c r="N3142">
        <v>6</v>
      </c>
      <c r="O3142">
        <v>10</v>
      </c>
      <c r="P3142">
        <v>6</v>
      </c>
      <c r="Q3142">
        <v>5</v>
      </c>
      <c r="R3142">
        <v>550169</v>
      </c>
      <c r="S3142">
        <f>Table1[[#This Row],[Revenue]]-Table1[[#This Row],[Operating_Costs]]</f>
        <v>156391</v>
      </c>
      <c r="T3142">
        <v>393778</v>
      </c>
      <c r="U3142">
        <v>38</v>
      </c>
      <c r="V3142">
        <v>57</v>
      </c>
      <c r="W3142">
        <v>10.9</v>
      </c>
    </row>
    <row r="3143" spans="1:23" x14ac:dyDescent="0.25">
      <c r="A3143">
        <v>9</v>
      </c>
      <c r="B3143" t="s">
        <v>44</v>
      </c>
      <c r="C3143" s="1">
        <v>45631</v>
      </c>
      <c r="D3143" t="s">
        <v>71</v>
      </c>
      <c r="E3143">
        <v>0</v>
      </c>
      <c r="F3143">
        <v>40</v>
      </c>
      <c r="G3143" t="str">
        <f t="shared" si="57"/>
        <v>21-40</v>
      </c>
      <c r="H3143" t="s">
        <v>23</v>
      </c>
      <c r="I3143" t="s">
        <v>61</v>
      </c>
      <c r="J3143" t="s">
        <v>62</v>
      </c>
      <c r="K3143" t="s">
        <v>42</v>
      </c>
      <c r="L3143">
        <v>1</v>
      </c>
      <c r="M3143">
        <v>1</v>
      </c>
      <c r="N3143">
        <v>6.1</v>
      </c>
      <c r="O3143">
        <v>8.1999999999999993</v>
      </c>
      <c r="P3143">
        <v>3</v>
      </c>
      <c r="Q3143">
        <v>4</v>
      </c>
      <c r="R3143">
        <v>591357</v>
      </c>
      <c r="S3143">
        <f>Table1[[#This Row],[Revenue]]-Table1[[#This Row],[Operating_Costs]]</f>
        <v>202093</v>
      </c>
      <c r="T3143">
        <v>389264</v>
      </c>
      <c r="U3143">
        <v>40</v>
      </c>
      <c r="V3143">
        <v>61</v>
      </c>
      <c r="W3143">
        <v>13.9</v>
      </c>
    </row>
    <row r="3144" spans="1:23" x14ac:dyDescent="0.25">
      <c r="A3144">
        <v>9</v>
      </c>
      <c r="B3144" t="s">
        <v>44</v>
      </c>
      <c r="C3144" s="1">
        <v>44906</v>
      </c>
      <c r="D3144" t="s">
        <v>71</v>
      </c>
      <c r="E3144">
        <v>0</v>
      </c>
      <c r="F3144">
        <v>85</v>
      </c>
      <c r="G3144" t="str">
        <f t="shared" si="57"/>
        <v>81+</v>
      </c>
      <c r="H3144" t="s">
        <v>35</v>
      </c>
      <c r="I3144" t="s">
        <v>36</v>
      </c>
      <c r="J3144" t="s">
        <v>37</v>
      </c>
      <c r="K3144" t="s">
        <v>26</v>
      </c>
      <c r="L3144">
        <v>1</v>
      </c>
      <c r="M3144">
        <v>1</v>
      </c>
      <c r="N3144">
        <v>1.9</v>
      </c>
      <c r="O3144">
        <v>7</v>
      </c>
      <c r="P3144">
        <v>5</v>
      </c>
      <c r="Q3144">
        <v>7</v>
      </c>
      <c r="R3144">
        <v>559994</v>
      </c>
      <c r="S3144">
        <f>Table1[[#This Row],[Revenue]]-Table1[[#This Row],[Operating_Costs]]</f>
        <v>165503</v>
      </c>
      <c r="T3144">
        <v>394491</v>
      </c>
      <c r="U3144">
        <v>36</v>
      </c>
      <c r="V3144">
        <v>59</v>
      </c>
      <c r="W3144">
        <v>13.7</v>
      </c>
    </row>
    <row r="3145" spans="1:23" x14ac:dyDescent="0.25">
      <c r="A3145">
        <v>9</v>
      </c>
      <c r="B3145" t="s">
        <v>44</v>
      </c>
      <c r="C3145" s="1">
        <v>45066</v>
      </c>
      <c r="D3145" t="s">
        <v>71</v>
      </c>
      <c r="E3145">
        <v>0</v>
      </c>
      <c r="F3145">
        <v>28</v>
      </c>
      <c r="G3145" t="str">
        <f t="shared" si="57"/>
        <v>21-40</v>
      </c>
      <c r="H3145" t="s">
        <v>35</v>
      </c>
      <c r="I3145" t="s">
        <v>61</v>
      </c>
      <c r="J3145" t="s">
        <v>62</v>
      </c>
      <c r="K3145" t="s">
        <v>29</v>
      </c>
      <c r="L3145">
        <v>1</v>
      </c>
      <c r="M3145">
        <v>1</v>
      </c>
      <c r="N3145">
        <v>1.6</v>
      </c>
      <c r="O3145">
        <v>9.1</v>
      </c>
      <c r="P3145">
        <v>5</v>
      </c>
      <c r="Q3145">
        <v>5</v>
      </c>
      <c r="R3145">
        <v>584952</v>
      </c>
      <c r="S3145">
        <f>Table1[[#This Row],[Revenue]]-Table1[[#This Row],[Operating_Costs]]</f>
        <v>203172</v>
      </c>
      <c r="T3145">
        <v>381780</v>
      </c>
      <c r="U3145">
        <v>37</v>
      </c>
      <c r="V3145">
        <v>54</v>
      </c>
      <c r="W3145">
        <v>10.7</v>
      </c>
    </row>
    <row r="3146" spans="1:23" x14ac:dyDescent="0.25">
      <c r="A3146">
        <v>9</v>
      </c>
      <c r="B3146" t="s">
        <v>44</v>
      </c>
      <c r="C3146" s="1">
        <v>45318</v>
      </c>
      <c r="D3146" t="s">
        <v>71</v>
      </c>
      <c r="E3146">
        <v>0</v>
      </c>
      <c r="F3146">
        <v>90</v>
      </c>
      <c r="G3146" t="str">
        <f t="shared" si="57"/>
        <v>81+</v>
      </c>
      <c r="H3146" t="s">
        <v>23</v>
      </c>
      <c r="I3146" t="s">
        <v>50</v>
      </c>
      <c r="J3146" t="s">
        <v>51</v>
      </c>
      <c r="K3146" t="s">
        <v>42</v>
      </c>
      <c r="L3146">
        <v>1</v>
      </c>
      <c r="M3146">
        <v>1</v>
      </c>
      <c r="N3146">
        <v>6.5</v>
      </c>
      <c r="O3146">
        <v>7.7</v>
      </c>
      <c r="P3146">
        <v>4</v>
      </c>
      <c r="Q3146">
        <v>7</v>
      </c>
      <c r="R3146">
        <v>515946</v>
      </c>
      <c r="S3146">
        <f>Table1[[#This Row],[Revenue]]-Table1[[#This Row],[Operating_Costs]]</f>
        <v>95538</v>
      </c>
      <c r="T3146">
        <v>420408</v>
      </c>
      <c r="U3146">
        <v>36</v>
      </c>
      <c r="V3146">
        <v>63</v>
      </c>
      <c r="W3146">
        <v>36.4</v>
      </c>
    </row>
    <row r="3147" spans="1:23" x14ac:dyDescent="0.25">
      <c r="A3147">
        <v>9</v>
      </c>
      <c r="B3147" t="s">
        <v>44</v>
      </c>
      <c r="C3147" s="1">
        <v>44868</v>
      </c>
      <c r="D3147" t="s">
        <v>71</v>
      </c>
      <c r="E3147">
        <v>0</v>
      </c>
      <c r="F3147">
        <v>48</v>
      </c>
      <c r="G3147" t="str">
        <f t="shared" si="57"/>
        <v>41-60</v>
      </c>
      <c r="H3147" t="s">
        <v>35</v>
      </c>
      <c r="I3147" t="s">
        <v>53</v>
      </c>
      <c r="J3147" t="s">
        <v>54</v>
      </c>
      <c r="K3147" t="s">
        <v>42</v>
      </c>
      <c r="L3147">
        <v>1</v>
      </c>
      <c r="M3147">
        <v>1</v>
      </c>
      <c r="N3147">
        <v>4.2</v>
      </c>
      <c r="O3147">
        <v>9.5</v>
      </c>
      <c r="P3147">
        <v>7</v>
      </c>
      <c r="Q3147">
        <v>5</v>
      </c>
      <c r="R3147">
        <v>566188</v>
      </c>
      <c r="S3147">
        <f>Table1[[#This Row],[Revenue]]-Table1[[#This Row],[Operating_Costs]]</f>
        <v>129456</v>
      </c>
      <c r="T3147">
        <v>436732</v>
      </c>
      <c r="U3147">
        <v>35</v>
      </c>
      <c r="V3147">
        <v>61</v>
      </c>
      <c r="W3147">
        <v>5.9</v>
      </c>
    </row>
    <row r="3148" spans="1:23" x14ac:dyDescent="0.25">
      <c r="A3148">
        <v>9</v>
      </c>
      <c r="B3148" t="s">
        <v>44</v>
      </c>
      <c r="C3148" s="1">
        <v>44836</v>
      </c>
      <c r="D3148" t="s">
        <v>71</v>
      </c>
      <c r="E3148">
        <v>0</v>
      </c>
      <c r="F3148">
        <v>39</v>
      </c>
      <c r="G3148" t="str">
        <f t="shared" si="57"/>
        <v>21-40</v>
      </c>
      <c r="H3148" t="s">
        <v>23</v>
      </c>
      <c r="I3148" t="s">
        <v>43</v>
      </c>
      <c r="J3148" t="s">
        <v>25</v>
      </c>
      <c r="K3148" t="s">
        <v>26</v>
      </c>
      <c r="L3148">
        <v>1</v>
      </c>
      <c r="M3148">
        <v>1</v>
      </c>
      <c r="N3148">
        <v>4.0999999999999996</v>
      </c>
      <c r="O3148">
        <v>8.9</v>
      </c>
      <c r="P3148">
        <v>7</v>
      </c>
      <c r="Q3148">
        <v>3</v>
      </c>
      <c r="R3148">
        <v>570068</v>
      </c>
      <c r="S3148">
        <f>Table1[[#This Row],[Revenue]]-Table1[[#This Row],[Operating_Costs]]</f>
        <v>86469</v>
      </c>
      <c r="T3148">
        <v>483599</v>
      </c>
      <c r="U3148">
        <v>35</v>
      </c>
      <c r="V3148">
        <v>62</v>
      </c>
      <c r="W3148">
        <v>10.3</v>
      </c>
    </row>
    <row r="3149" spans="1:23" x14ac:dyDescent="0.25">
      <c r="A3149">
        <v>9</v>
      </c>
      <c r="B3149" t="s">
        <v>44</v>
      </c>
      <c r="C3149" s="1">
        <v>45348</v>
      </c>
      <c r="D3149" t="s">
        <v>71</v>
      </c>
      <c r="E3149">
        <v>0</v>
      </c>
      <c r="F3149">
        <v>38</v>
      </c>
      <c r="G3149" t="str">
        <f t="shared" si="57"/>
        <v>21-40</v>
      </c>
      <c r="H3149" t="s">
        <v>35</v>
      </c>
      <c r="I3149" t="s">
        <v>50</v>
      </c>
      <c r="J3149" t="s">
        <v>51</v>
      </c>
      <c r="K3149" t="s">
        <v>29</v>
      </c>
      <c r="L3149">
        <v>1</v>
      </c>
      <c r="M3149">
        <v>1</v>
      </c>
      <c r="N3149">
        <v>6</v>
      </c>
      <c r="O3149">
        <v>8.8000000000000007</v>
      </c>
      <c r="P3149">
        <v>7</v>
      </c>
      <c r="Q3149">
        <v>4</v>
      </c>
      <c r="R3149">
        <v>553513</v>
      </c>
      <c r="S3149">
        <f>Table1[[#This Row],[Revenue]]-Table1[[#This Row],[Operating_Costs]]</f>
        <v>155042</v>
      </c>
      <c r="T3149">
        <v>398471</v>
      </c>
      <c r="U3149">
        <v>40</v>
      </c>
      <c r="V3149">
        <v>64</v>
      </c>
      <c r="W3149">
        <v>8.6</v>
      </c>
    </row>
    <row r="3150" spans="1:23" x14ac:dyDescent="0.25">
      <c r="A3150">
        <v>9</v>
      </c>
      <c r="B3150" t="s">
        <v>44</v>
      </c>
      <c r="C3150" s="1">
        <v>45192</v>
      </c>
      <c r="D3150" t="s">
        <v>71</v>
      </c>
      <c r="E3150">
        <v>0</v>
      </c>
      <c r="F3150">
        <v>68</v>
      </c>
      <c r="G3150" t="str">
        <f t="shared" si="57"/>
        <v>61-80</v>
      </c>
      <c r="H3150" t="s">
        <v>23</v>
      </c>
      <c r="I3150" t="s">
        <v>24</v>
      </c>
      <c r="J3150" t="s">
        <v>25</v>
      </c>
      <c r="K3150" t="s">
        <v>29</v>
      </c>
      <c r="L3150">
        <v>1</v>
      </c>
      <c r="M3150">
        <v>1</v>
      </c>
      <c r="N3150">
        <v>6.2</v>
      </c>
      <c r="O3150">
        <v>8.4</v>
      </c>
      <c r="P3150">
        <v>4</v>
      </c>
      <c r="Q3150">
        <v>7</v>
      </c>
      <c r="R3150">
        <v>564784</v>
      </c>
      <c r="S3150">
        <f>Table1[[#This Row],[Revenue]]-Table1[[#This Row],[Operating_Costs]]</f>
        <v>115022</v>
      </c>
      <c r="T3150">
        <v>449762</v>
      </c>
      <c r="U3150">
        <v>35</v>
      </c>
      <c r="V3150">
        <v>63</v>
      </c>
      <c r="W3150">
        <v>8.6</v>
      </c>
    </row>
    <row r="3151" spans="1:23" x14ac:dyDescent="0.25">
      <c r="A3151">
        <v>9</v>
      </c>
      <c r="B3151" t="s">
        <v>44</v>
      </c>
      <c r="C3151" s="1">
        <v>45104</v>
      </c>
      <c r="D3151" t="s">
        <v>71</v>
      </c>
      <c r="E3151">
        <v>0</v>
      </c>
      <c r="F3151">
        <v>35</v>
      </c>
      <c r="G3151" t="str">
        <f t="shared" si="57"/>
        <v>21-40</v>
      </c>
      <c r="H3151" t="s">
        <v>35</v>
      </c>
      <c r="I3151" t="s">
        <v>58</v>
      </c>
      <c r="J3151" t="s">
        <v>59</v>
      </c>
      <c r="K3151" t="s">
        <v>42</v>
      </c>
      <c r="L3151">
        <v>1</v>
      </c>
      <c r="M3151">
        <v>1</v>
      </c>
      <c r="N3151">
        <v>5.8</v>
      </c>
      <c r="O3151">
        <v>8.3000000000000007</v>
      </c>
      <c r="P3151">
        <v>4</v>
      </c>
      <c r="Q3151">
        <v>5</v>
      </c>
      <c r="R3151">
        <v>599681</v>
      </c>
      <c r="S3151">
        <f>Table1[[#This Row],[Revenue]]-Table1[[#This Row],[Operating_Costs]]</f>
        <v>160296</v>
      </c>
      <c r="T3151">
        <v>439385</v>
      </c>
      <c r="U3151">
        <v>40</v>
      </c>
      <c r="V3151">
        <v>63</v>
      </c>
      <c r="W3151">
        <v>5.6</v>
      </c>
    </row>
    <row r="3152" spans="1:23" x14ac:dyDescent="0.25">
      <c r="A3152">
        <v>9</v>
      </c>
      <c r="B3152" t="s">
        <v>44</v>
      </c>
      <c r="C3152" s="1">
        <v>45268</v>
      </c>
      <c r="D3152" t="s">
        <v>71</v>
      </c>
      <c r="E3152">
        <v>0</v>
      </c>
      <c r="F3152">
        <v>40</v>
      </c>
      <c r="G3152" t="str">
        <f t="shared" si="57"/>
        <v>21-40</v>
      </c>
      <c r="H3152" t="s">
        <v>35</v>
      </c>
      <c r="I3152" t="s">
        <v>40</v>
      </c>
      <c r="J3152" t="s">
        <v>41</v>
      </c>
      <c r="K3152" t="s">
        <v>26</v>
      </c>
      <c r="L3152">
        <v>1</v>
      </c>
      <c r="M3152">
        <v>1</v>
      </c>
      <c r="N3152">
        <v>6.2</v>
      </c>
      <c r="O3152">
        <v>8.6</v>
      </c>
      <c r="P3152">
        <v>4</v>
      </c>
      <c r="Q3152">
        <v>3</v>
      </c>
      <c r="R3152">
        <v>520700</v>
      </c>
      <c r="S3152">
        <f>Table1[[#This Row],[Revenue]]-Table1[[#This Row],[Operating_Costs]]</f>
        <v>72291</v>
      </c>
      <c r="T3152">
        <v>448409</v>
      </c>
      <c r="U3152">
        <v>35</v>
      </c>
      <c r="V3152">
        <v>55</v>
      </c>
      <c r="W3152">
        <v>12.4</v>
      </c>
    </row>
    <row r="3153" spans="1:23" x14ac:dyDescent="0.25">
      <c r="A3153">
        <v>9</v>
      </c>
      <c r="B3153" t="s">
        <v>44</v>
      </c>
      <c r="C3153" s="1">
        <v>45034</v>
      </c>
      <c r="D3153" t="s">
        <v>71</v>
      </c>
      <c r="E3153">
        <v>0</v>
      </c>
      <c r="F3153">
        <v>73</v>
      </c>
      <c r="G3153" t="str">
        <f t="shared" si="57"/>
        <v>61-80</v>
      </c>
      <c r="H3153" t="s">
        <v>23</v>
      </c>
      <c r="I3153" t="s">
        <v>43</v>
      </c>
      <c r="J3153" t="s">
        <v>25</v>
      </c>
      <c r="K3153" t="s">
        <v>38</v>
      </c>
      <c r="L3153">
        <v>1</v>
      </c>
      <c r="M3153">
        <v>1</v>
      </c>
      <c r="N3153">
        <v>3.5</v>
      </c>
      <c r="O3153">
        <v>7.2</v>
      </c>
      <c r="P3153">
        <v>7</v>
      </c>
      <c r="Q3153">
        <v>6</v>
      </c>
      <c r="R3153">
        <v>578991</v>
      </c>
      <c r="S3153">
        <f>Table1[[#This Row],[Revenue]]-Table1[[#This Row],[Operating_Costs]]</f>
        <v>101514</v>
      </c>
      <c r="T3153">
        <v>477477</v>
      </c>
      <c r="U3153">
        <v>35</v>
      </c>
      <c r="V3153">
        <v>61</v>
      </c>
      <c r="W3153">
        <v>14.7</v>
      </c>
    </row>
    <row r="3154" spans="1:23" x14ac:dyDescent="0.25">
      <c r="A3154">
        <v>9</v>
      </c>
      <c r="B3154" t="s">
        <v>44</v>
      </c>
      <c r="C3154" s="1">
        <v>45037</v>
      </c>
      <c r="D3154" t="s">
        <v>71</v>
      </c>
      <c r="E3154">
        <v>0</v>
      </c>
      <c r="F3154">
        <v>40</v>
      </c>
      <c r="G3154" t="str">
        <f t="shared" si="57"/>
        <v>21-40</v>
      </c>
      <c r="H3154" t="s">
        <v>23</v>
      </c>
      <c r="I3154" t="s">
        <v>31</v>
      </c>
      <c r="J3154" t="s">
        <v>28</v>
      </c>
      <c r="K3154" t="s">
        <v>38</v>
      </c>
      <c r="L3154">
        <v>1</v>
      </c>
      <c r="M3154">
        <v>1</v>
      </c>
      <c r="N3154">
        <v>1.6</v>
      </c>
      <c r="O3154">
        <v>7.4</v>
      </c>
      <c r="P3154">
        <v>7</v>
      </c>
      <c r="Q3154">
        <v>6</v>
      </c>
      <c r="R3154">
        <v>589153</v>
      </c>
      <c r="S3154">
        <f>Table1[[#This Row],[Revenue]]-Table1[[#This Row],[Operating_Costs]]</f>
        <v>204597</v>
      </c>
      <c r="T3154">
        <v>384556</v>
      </c>
      <c r="U3154">
        <v>39</v>
      </c>
      <c r="V3154">
        <v>61</v>
      </c>
      <c r="W3154">
        <v>36</v>
      </c>
    </row>
    <row r="3155" spans="1:23" x14ac:dyDescent="0.25">
      <c r="A3155">
        <v>9</v>
      </c>
      <c r="B3155" t="s">
        <v>44</v>
      </c>
      <c r="C3155" s="1">
        <v>45039</v>
      </c>
      <c r="D3155" t="s">
        <v>71</v>
      </c>
      <c r="E3155">
        <v>0</v>
      </c>
      <c r="F3155">
        <v>49</v>
      </c>
      <c r="G3155" t="str">
        <f t="shared" si="57"/>
        <v>41-60</v>
      </c>
      <c r="H3155" t="s">
        <v>35</v>
      </c>
      <c r="I3155" t="s">
        <v>61</v>
      </c>
      <c r="J3155" t="s">
        <v>62</v>
      </c>
      <c r="K3155" t="s">
        <v>33</v>
      </c>
      <c r="L3155">
        <v>1</v>
      </c>
      <c r="M3155">
        <v>1</v>
      </c>
      <c r="N3155">
        <v>3.2</v>
      </c>
      <c r="O3155">
        <v>7.2</v>
      </c>
      <c r="P3155">
        <v>3</v>
      </c>
      <c r="Q3155">
        <v>4</v>
      </c>
      <c r="R3155">
        <v>551395</v>
      </c>
      <c r="S3155">
        <f>Table1[[#This Row],[Revenue]]-Table1[[#This Row],[Operating_Costs]]</f>
        <v>115618</v>
      </c>
      <c r="T3155">
        <v>435777</v>
      </c>
      <c r="U3155">
        <v>35</v>
      </c>
      <c r="V3155">
        <v>65</v>
      </c>
      <c r="W3155">
        <v>10.1</v>
      </c>
    </row>
    <row r="3156" spans="1:23" x14ac:dyDescent="0.25">
      <c r="A3156">
        <v>9</v>
      </c>
      <c r="B3156" t="s">
        <v>44</v>
      </c>
      <c r="C3156" s="1">
        <v>44297</v>
      </c>
      <c r="D3156" t="s">
        <v>71</v>
      </c>
      <c r="E3156">
        <v>0</v>
      </c>
      <c r="F3156">
        <v>43</v>
      </c>
      <c r="G3156" t="str">
        <f t="shared" si="57"/>
        <v>41-60</v>
      </c>
      <c r="H3156" t="s">
        <v>23</v>
      </c>
      <c r="I3156" t="s">
        <v>61</v>
      </c>
      <c r="J3156" t="s">
        <v>62</v>
      </c>
      <c r="K3156" t="s">
        <v>42</v>
      </c>
      <c r="L3156">
        <v>1</v>
      </c>
      <c r="M3156">
        <v>1</v>
      </c>
      <c r="N3156">
        <v>3.8</v>
      </c>
      <c r="O3156">
        <v>7.2</v>
      </c>
      <c r="P3156">
        <v>3</v>
      </c>
      <c r="Q3156">
        <v>3</v>
      </c>
      <c r="R3156">
        <v>542735</v>
      </c>
      <c r="S3156">
        <f>Table1[[#This Row],[Revenue]]-Table1[[#This Row],[Operating_Costs]]</f>
        <v>107792</v>
      </c>
      <c r="T3156">
        <v>434943</v>
      </c>
      <c r="U3156">
        <v>40</v>
      </c>
      <c r="V3156">
        <v>57</v>
      </c>
      <c r="W3156">
        <v>7.6</v>
      </c>
    </row>
    <row r="3157" spans="1:23" x14ac:dyDescent="0.25">
      <c r="A3157">
        <v>9</v>
      </c>
      <c r="B3157" t="s">
        <v>44</v>
      </c>
      <c r="C3157" s="1">
        <v>45343</v>
      </c>
      <c r="D3157" t="s">
        <v>71</v>
      </c>
      <c r="E3157">
        <v>0</v>
      </c>
      <c r="F3157">
        <v>28</v>
      </c>
      <c r="G3157" t="str">
        <f t="shared" si="57"/>
        <v>21-40</v>
      </c>
      <c r="H3157" t="s">
        <v>23</v>
      </c>
      <c r="I3157" t="s">
        <v>43</v>
      </c>
      <c r="J3157" t="s">
        <v>25</v>
      </c>
      <c r="K3157" t="s">
        <v>38</v>
      </c>
      <c r="L3157">
        <v>1</v>
      </c>
      <c r="M3157">
        <v>1</v>
      </c>
      <c r="N3157">
        <v>6.3</v>
      </c>
      <c r="O3157">
        <v>7.7</v>
      </c>
      <c r="P3157">
        <v>6</v>
      </c>
      <c r="Q3157">
        <v>7</v>
      </c>
      <c r="R3157">
        <v>567226</v>
      </c>
      <c r="S3157">
        <f>Table1[[#This Row],[Revenue]]-Table1[[#This Row],[Operating_Costs]]</f>
        <v>138612</v>
      </c>
      <c r="T3157">
        <v>428614</v>
      </c>
      <c r="U3157">
        <v>36</v>
      </c>
      <c r="V3157">
        <v>57</v>
      </c>
      <c r="W3157">
        <v>7</v>
      </c>
    </row>
    <row r="3158" spans="1:23" x14ac:dyDescent="0.25">
      <c r="A3158">
        <v>9</v>
      </c>
      <c r="B3158" t="s">
        <v>44</v>
      </c>
      <c r="C3158" s="1">
        <v>44722</v>
      </c>
      <c r="D3158" t="s">
        <v>71</v>
      </c>
      <c r="E3158">
        <v>0</v>
      </c>
      <c r="F3158">
        <v>54</v>
      </c>
      <c r="G3158" t="str">
        <f t="shared" si="57"/>
        <v>41-60</v>
      </c>
      <c r="H3158" t="s">
        <v>23</v>
      </c>
      <c r="I3158" t="s">
        <v>24</v>
      </c>
      <c r="J3158" t="s">
        <v>25</v>
      </c>
      <c r="K3158" t="s">
        <v>33</v>
      </c>
      <c r="L3158">
        <v>1</v>
      </c>
      <c r="M3158">
        <v>1</v>
      </c>
      <c r="N3158">
        <v>6.5</v>
      </c>
      <c r="O3158">
        <v>9.6</v>
      </c>
      <c r="P3158">
        <v>7</v>
      </c>
      <c r="Q3158">
        <v>3</v>
      </c>
      <c r="R3158">
        <v>557946</v>
      </c>
      <c r="S3158">
        <f>Table1[[#This Row],[Revenue]]-Table1[[#This Row],[Operating_Costs]]</f>
        <v>80244</v>
      </c>
      <c r="T3158">
        <v>477702</v>
      </c>
      <c r="U3158">
        <v>38</v>
      </c>
      <c r="V3158">
        <v>63</v>
      </c>
      <c r="W3158">
        <v>9.6</v>
      </c>
    </row>
    <row r="3159" spans="1:23" x14ac:dyDescent="0.25">
      <c r="A3159">
        <v>9</v>
      </c>
      <c r="B3159" t="s">
        <v>44</v>
      </c>
      <c r="C3159" s="1">
        <v>44418</v>
      </c>
      <c r="D3159" t="s">
        <v>71</v>
      </c>
      <c r="E3159">
        <v>0</v>
      </c>
      <c r="F3159">
        <v>66</v>
      </c>
      <c r="G3159" t="str">
        <f t="shared" si="57"/>
        <v>61-80</v>
      </c>
      <c r="H3159" t="s">
        <v>35</v>
      </c>
      <c r="I3159" t="s">
        <v>61</v>
      </c>
      <c r="J3159" t="s">
        <v>62</v>
      </c>
      <c r="K3159" t="s">
        <v>38</v>
      </c>
      <c r="L3159">
        <v>1</v>
      </c>
      <c r="M3159">
        <v>1</v>
      </c>
      <c r="N3159">
        <v>2.4</v>
      </c>
      <c r="O3159">
        <v>7.1</v>
      </c>
      <c r="P3159">
        <v>7</v>
      </c>
      <c r="Q3159">
        <v>6</v>
      </c>
      <c r="R3159">
        <v>585371</v>
      </c>
      <c r="S3159">
        <f>Table1[[#This Row],[Revenue]]-Table1[[#This Row],[Operating_Costs]]</f>
        <v>198975</v>
      </c>
      <c r="T3159">
        <v>386396</v>
      </c>
      <c r="U3159">
        <v>39</v>
      </c>
      <c r="V3159">
        <v>65</v>
      </c>
      <c r="W3159">
        <v>14.4</v>
      </c>
    </row>
    <row r="3160" spans="1:23" x14ac:dyDescent="0.25">
      <c r="A3160">
        <v>9</v>
      </c>
      <c r="B3160" t="s">
        <v>44</v>
      </c>
      <c r="C3160" s="1">
        <v>45098</v>
      </c>
      <c r="D3160" t="s">
        <v>71</v>
      </c>
      <c r="E3160">
        <v>0</v>
      </c>
      <c r="F3160">
        <v>82</v>
      </c>
      <c r="G3160" t="str">
        <f t="shared" si="57"/>
        <v>81+</v>
      </c>
      <c r="H3160" t="s">
        <v>35</v>
      </c>
      <c r="I3160" t="s">
        <v>40</v>
      </c>
      <c r="J3160" t="s">
        <v>41</v>
      </c>
      <c r="K3160" t="s">
        <v>33</v>
      </c>
      <c r="L3160">
        <v>1</v>
      </c>
      <c r="M3160">
        <v>1</v>
      </c>
      <c r="N3160">
        <v>3.7</v>
      </c>
      <c r="O3160">
        <v>7.6</v>
      </c>
      <c r="P3160">
        <v>3</v>
      </c>
      <c r="Q3160">
        <v>4</v>
      </c>
      <c r="R3160">
        <v>599088</v>
      </c>
      <c r="S3160">
        <f>Table1[[#This Row],[Revenue]]-Table1[[#This Row],[Operating_Costs]]</f>
        <v>135870</v>
      </c>
      <c r="T3160">
        <v>463218</v>
      </c>
      <c r="U3160">
        <v>36</v>
      </c>
      <c r="V3160">
        <v>57</v>
      </c>
      <c r="W3160">
        <v>10.3</v>
      </c>
    </row>
    <row r="3161" spans="1:23" x14ac:dyDescent="0.25">
      <c r="A3161">
        <v>9</v>
      </c>
      <c r="B3161" t="s">
        <v>44</v>
      </c>
      <c r="C3161" s="1">
        <v>45143</v>
      </c>
      <c r="D3161" t="s">
        <v>71</v>
      </c>
      <c r="E3161">
        <v>0</v>
      </c>
      <c r="F3161">
        <v>80</v>
      </c>
      <c r="G3161" t="str">
        <f t="shared" si="57"/>
        <v>61-80</v>
      </c>
      <c r="H3161" t="s">
        <v>23</v>
      </c>
      <c r="I3161" t="s">
        <v>24</v>
      </c>
      <c r="J3161" t="s">
        <v>25</v>
      </c>
      <c r="K3161" t="s">
        <v>38</v>
      </c>
      <c r="L3161">
        <v>1</v>
      </c>
      <c r="M3161">
        <v>1</v>
      </c>
      <c r="N3161">
        <v>6.7</v>
      </c>
      <c r="O3161">
        <v>8.1999999999999993</v>
      </c>
      <c r="P3161">
        <v>5</v>
      </c>
      <c r="Q3161">
        <v>7</v>
      </c>
      <c r="R3161">
        <v>560865</v>
      </c>
      <c r="S3161">
        <f>Table1[[#This Row],[Revenue]]-Table1[[#This Row],[Operating_Costs]]</f>
        <v>108548</v>
      </c>
      <c r="T3161">
        <v>452317</v>
      </c>
      <c r="U3161">
        <v>38</v>
      </c>
      <c r="V3161">
        <v>61</v>
      </c>
      <c r="W3161">
        <v>10.3</v>
      </c>
    </row>
    <row r="3162" spans="1:23" x14ac:dyDescent="0.25">
      <c r="A3162">
        <v>9</v>
      </c>
      <c r="B3162" t="s">
        <v>44</v>
      </c>
      <c r="C3162" s="1">
        <v>45026</v>
      </c>
      <c r="D3162" t="s">
        <v>71</v>
      </c>
      <c r="E3162">
        <v>0</v>
      </c>
      <c r="F3162">
        <v>29</v>
      </c>
      <c r="G3162" t="str">
        <f t="shared" si="57"/>
        <v>21-40</v>
      </c>
      <c r="H3162" t="s">
        <v>23</v>
      </c>
      <c r="I3162" t="s">
        <v>40</v>
      </c>
      <c r="J3162" t="s">
        <v>41</v>
      </c>
      <c r="K3162" t="s">
        <v>42</v>
      </c>
      <c r="L3162">
        <v>1</v>
      </c>
      <c r="M3162">
        <v>1</v>
      </c>
      <c r="N3162">
        <v>1.5</v>
      </c>
      <c r="O3162">
        <v>7.7</v>
      </c>
      <c r="P3162">
        <v>6</v>
      </c>
      <c r="Q3162">
        <v>3</v>
      </c>
      <c r="R3162">
        <v>508406</v>
      </c>
      <c r="S3162">
        <f>Table1[[#This Row],[Revenue]]-Table1[[#This Row],[Operating_Costs]]</f>
        <v>126356</v>
      </c>
      <c r="T3162">
        <v>382050</v>
      </c>
      <c r="U3162">
        <v>39</v>
      </c>
      <c r="V3162">
        <v>63</v>
      </c>
      <c r="W3162">
        <v>9.1</v>
      </c>
    </row>
    <row r="3163" spans="1:23" x14ac:dyDescent="0.25">
      <c r="A3163">
        <v>9</v>
      </c>
      <c r="B3163" t="s">
        <v>44</v>
      </c>
      <c r="C3163" s="1">
        <v>45038</v>
      </c>
      <c r="D3163" t="s">
        <v>71</v>
      </c>
      <c r="E3163">
        <v>0</v>
      </c>
      <c r="F3163">
        <v>23</v>
      </c>
      <c r="G3163" t="str">
        <f t="shared" si="57"/>
        <v>21-40</v>
      </c>
      <c r="H3163" t="s">
        <v>23</v>
      </c>
      <c r="I3163" t="s">
        <v>27</v>
      </c>
      <c r="J3163" t="s">
        <v>28</v>
      </c>
      <c r="K3163" t="s">
        <v>42</v>
      </c>
      <c r="L3163">
        <v>1</v>
      </c>
      <c r="M3163">
        <v>1</v>
      </c>
      <c r="N3163">
        <v>7</v>
      </c>
      <c r="O3163">
        <v>9.1</v>
      </c>
      <c r="P3163">
        <v>3</v>
      </c>
      <c r="Q3163">
        <v>5</v>
      </c>
      <c r="R3163">
        <v>519160</v>
      </c>
      <c r="S3163">
        <f>Table1[[#This Row],[Revenue]]-Table1[[#This Row],[Operating_Costs]]</f>
        <v>124276</v>
      </c>
      <c r="T3163">
        <v>394884</v>
      </c>
      <c r="U3163">
        <v>36</v>
      </c>
      <c r="V3163">
        <v>65</v>
      </c>
      <c r="W3163">
        <v>10.7</v>
      </c>
    </row>
    <row r="3164" spans="1:23" x14ac:dyDescent="0.25">
      <c r="A3164">
        <v>9</v>
      </c>
      <c r="B3164" t="s">
        <v>44</v>
      </c>
      <c r="C3164" s="1">
        <v>45302</v>
      </c>
      <c r="D3164" t="s">
        <v>71</v>
      </c>
      <c r="E3164">
        <v>0</v>
      </c>
      <c r="F3164">
        <v>28</v>
      </c>
      <c r="G3164" t="str">
        <f t="shared" si="57"/>
        <v>21-40</v>
      </c>
      <c r="H3164" t="s">
        <v>23</v>
      </c>
      <c r="I3164" t="s">
        <v>64</v>
      </c>
      <c r="J3164" t="s">
        <v>65</v>
      </c>
      <c r="K3164" t="s">
        <v>38</v>
      </c>
      <c r="L3164">
        <v>1</v>
      </c>
      <c r="M3164">
        <v>1</v>
      </c>
      <c r="N3164">
        <v>5.0999999999999996</v>
      </c>
      <c r="O3164">
        <v>7.8</v>
      </c>
      <c r="P3164">
        <v>4</v>
      </c>
      <c r="Q3164">
        <v>6</v>
      </c>
      <c r="R3164">
        <v>570424</v>
      </c>
      <c r="S3164">
        <f>Table1[[#This Row],[Revenue]]-Table1[[#This Row],[Operating_Costs]]</f>
        <v>119562</v>
      </c>
      <c r="T3164">
        <v>450862</v>
      </c>
      <c r="U3164">
        <v>40</v>
      </c>
      <c r="V3164">
        <v>57</v>
      </c>
      <c r="W3164">
        <v>9</v>
      </c>
    </row>
    <row r="3165" spans="1:23" x14ac:dyDescent="0.25">
      <c r="A3165">
        <v>9</v>
      </c>
      <c r="B3165" t="s">
        <v>44</v>
      </c>
      <c r="C3165" s="1">
        <v>45372</v>
      </c>
      <c r="D3165" t="s">
        <v>71</v>
      </c>
      <c r="E3165">
        <v>0</v>
      </c>
      <c r="F3165">
        <v>59</v>
      </c>
      <c r="G3165" t="str">
        <f t="shared" si="57"/>
        <v>41-60</v>
      </c>
      <c r="H3165" t="s">
        <v>35</v>
      </c>
      <c r="I3165" t="s">
        <v>50</v>
      </c>
      <c r="J3165" t="s">
        <v>51</v>
      </c>
      <c r="K3165" t="s">
        <v>42</v>
      </c>
      <c r="L3165">
        <v>1</v>
      </c>
      <c r="M3165">
        <v>1</v>
      </c>
      <c r="N3165">
        <v>2.4</v>
      </c>
      <c r="O3165">
        <v>8.9</v>
      </c>
      <c r="P3165">
        <v>5</v>
      </c>
      <c r="Q3165">
        <v>4</v>
      </c>
      <c r="R3165">
        <v>578919</v>
      </c>
      <c r="S3165">
        <f>Table1[[#This Row],[Revenue]]-Table1[[#This Row],[Operating_Costs]]</f>
        <v>100646</v>
      </c>
      <c r="T3165">
        <v>478273</v>
      </c>
      <c r="U3165">
        <v>37</v>
      </c>
      <c r="V3165">
        <v>55</v>
      </c>
      <c r="W3165">
        <v>9.9</v>
      </c>
    </row>
    <row r="3166" spans="1:23" x14ac:dyDescent="0.25">
      <c r="A3166">
        <v>9</v>
      </c>
      <c r="B3166" t="s">
        <v>44</v>
      </c>
      <c r="C3166" s="1">
        <v>44364</v>
      </c>
      <c r="D3166" t="s">
        <v>71</v>
      </c>
      <c r="E3166">
        <v>0</v>
      </c>
      <c r="F3166">
        <v>84</v>
      </c>
      <c r="G3166" t="str">
        <f t="shared" si="57"/>
        <v>81+</v>
      </c>
      <c r="H3166" t="s">
        <v>23</v>
      </c>
      <c r="I3166" t="s">
        <v>55</v>
      </c>
      <c r="J3166" t="s">
        <v>56</v>
      </c>
      <c r="K3166" t="s">
        <v>33</v>
      </c>
      <c r="L3166">
        <v>1</v>
      </c>
      <c r="M3166">
        <v>1</v>
      </c>
      <c r="N3166">
        <v>5.7</v>
      </c>
      <c r="O3166">
        <v>7.4</v>
      </c>
      <c r="P3166">
        <v>4</v>
      </c>
      <c r="Q3166">
        <v>4</v>
      </c>
      <c r="R3166">
        <v>572354</v>
      </c>
      <c r="S3166">
        <f>Table1[[#This Row],[Revenue]]-Table1[[#This Row],[Operating_Costs]]</f>
        <v>127259</v>
      </c>
      <c r="T3166">
        <v>445095</v>
      </c>
      <c r="U3166">
        <v>35</v>
      </c>
      <c r="V3166">
        <v>56</v>
      </c>
      <c r="W3166">
        <v>36.200000000000003</v>
      </c>
    </row>
    <row r="3167" spans="1:23" x14ac:dyDescent="0.25">
      <c r="A3167">
        <v>9</v>
      </c>
      <c r="B3167" t="s">
        <v>44</v>
      </c>
      <c r="C3167" s="1">
        <v>44724</v>
      </c>
      <c r="D3167" t="s">
        <v>71</v>
      </c>
      <c r="E3167">
        <v>0</v>
      </c>
      <c r="F3167">
        <v>71</v>
      </c>
      <c r="G3167" t="str">
        <f t="shared" si="57"/>
        <v>61-80</v>
      </c>
      <c r="H3167" t="s">
        <v>23</v>
      </c>
      <c r="I3167" t="s">
        <v>27</v>
      </c>
      <c r="J3167" t="s">
        <v>28</v>
      </c>
      <c r="K3167" t="s">
        <v>38</v>
      </c>
      <c r="L3167">
        <v>1</v>
      </c>
      <c r="M3167">
        <v>1</v>
      </c>
      <c r="N3167">
        <v>1.3</v>
      </c>
      <c r="O3167">
        <v>8.3000000000000007</v>
      </c>
      <c r="P3167">
        <v>4</v>
      </c>
      <c r="Q3167">
        <v>6</v>
      </c>
      <c r="R3167">
        <v>534577</v>
      </c>
      <c r="S3167">
        <f>Table1[[#This Row],[Revenue]]-Table1[[#This Row],[Operating_Costs]]</f>
        <v>79212</v>
      </c>
      <c r="T3167">
        <v>455365</v>
      </c>
      <c r="U3167">
        <v>38</v>
      </c>
      <c r="V3167">
        <v>58</v>
      </c>
      <c r="W3167">
        <v>8</v>
      </c>
    </row>
    <row r="3168" spans="1:23" x14ac:dyDescent="0.25">
      <c r="A3168">
        <v>9</v>
      </c>
      <c r="B3168" t="s">
        <v>44</v>
      </c>
      <c r="C3168" s="1">
        <v>45316</v>
      </c>
      <c r="D3168" t="s">
        <v>71</v>
      </c>
      <c r="E3168">
        <v>0</v>
      </c>
      <c r="F3168">
        <v>43</v>
      </c>
      <c r="G3168" t="str">
        <f t="shared" si="57"/>
        <v>41-60</v>
      </c>
      <c r="H3168" t="s">
        <v>35</v>
      </c>
      <c r="I3168" t="s">
        <v>46</v>
      </c>
      <c r="J3168" t="s">
        <v>47</v>
      </c>
      <c r="K3168" t="s">
        <v>33</v>
      </c>
      <c r="L3168">
        <v>1</v>
      </c>
      <c r="M3168">
        <v>1</v>
      </c>
      <c r="N3168">
        <v>4.5999999999999996</v>
      </c>
      <c r="O3168">
        <v>9.4</v>
      </c>
      <c r="P3168">
        <v>7</v>
      </c>
      <c r="Q3168">
        <v>3</v>
      </c>
      <c r="R3168">
        <v>573759</v>
      </c>
      <c r="S3168">
        <f>Table1[[#This Row],[Revenue]]-Table1[[#This Row],[Operating_Costs]]</f>
        <v>175464</v>
      </c>
      <c r="T3168">
        <v>398295</v>
      </c>
      <c r="U3168">
        <v>35</v>
      </c>
      <c r="V3168">
        <v>64</v>
      </c>
      <c r="W3168">
        <v>13.7</v>
      </c>
    </row>
    <row r="3169" spans="1:23" x14ac:dyDescent="0.25">
      <c r="A3169">
        <v>9</v>
      </c>
      <c r="B3169" t="s">
        <v>44</v>
      </c>
      <c r="C3169" s="1">
        <v>45248</v>
      </c>
      <c r="D3169" t="s">
        <v>71</v>
      </c>
      <c r="E3169">
        <v>0</v>
      </c>
      <c r="F3169">
        <v>65</v>
      </c>
      <c r="G3169" t="str">
        <f t="shared" si="57"/>
        <v>61-80</v>
      </c>
      <c r="H3169" t="s">
        <v>23</v>
      </c>
      <c r="I3169" t="s">
        <v>31</v>
      </c>
      <c r="J3169" t="s">
        <v>28</v>
      </c>
      <c r="K3169" t="s">
        <v>29</v>
      </c>
      <c r="L3169">
        <v>1</v>
      </c>
      <c r="M3169">
        <v>1</v>
      </c>
      <c r="N3169">
        <v>3.8</v>
      </c>
      <c r="O3169">
        <v>8</v>
      </c>
      <c r="P3169">
        <v>3</v>
      </c>
      <c r="Q3169">
        <v>4</v>
      </c>
      <c r="R3169">
        <v>545801</v>
      </c>
      <c r="S3169">
        <f>Table1[[#This Row],[Revenue]]-Table1[[#This Row],[Operating_Costs]]</f>
        <v>102864</v>
      </c>
      <c r="T3169">
        <v>442937</v>
      </c>
      <c r="U3169">
        <v>38</v>
      </c>
      <c r="V3169">
        <v>63</v>
      </c>
      <c r="W3169">
        <v>8.5</v>
      </c>
    </row>
    <row r="3170" spans="1:23" x14ac:dyDescent="0.25">
      <c r="A3170">
        <v>9</v>
      </c>
      <c r="B3170" t="s">
        <v>44</v>
      </c>
      <c r="C3170" s="1">
        <v>45268</v>
      </c>
      <c r="D3170" t="s">
        <v>71</v>
      </c>
      <c r="E3170">
        <v>0</v>
      </c>
      <c r="F3170">
        <v>30</v>
      </c>
      <c r="G3170" t="str">
        <f t="shared" si="57"/>
        <v>21-40</v>
      </c>
      <c r="H3170" t="s">
        <v>35</v>
      </c>
      <c r="I3170" t="s">
        <v>55</v>
      </c>
      <c r="J3170" t="s">
        <v>56</v>
      </c>
      <c r="K3170" t="s">
        <v>42</v>
      </c>
      <c r="L3170">
        <v>1</v>
      </c>
      <c r="M3170">
        <v>1</v>
      </c>
      <c r="N3170">
        <v>5.7</v>
      </c>
      <c r="O3170">
        <v>9.3000000000000007</v>
      </c>
      <c r="P3170">
        <v>4</v>
      </c>
      <c r="Q3170">
        <v>7</v>
      </c>
      <c r="R3170">
        <v>562349</v>
      </c>
      <c r="S3170">
        <f>Table1[[#This Row],[Revenue]]-Table1[[#This Row],[Operating_Costs]]</f>
        <v>167657</v>
      </c>
      <c r="T3170">
        <v>394692</v>
      </c>
      <c r="U3170">
        <v>38</v>
      </c>
      <c r="V3170">
        <v>54</v>
      </c>
      <c r="W3170">
        <v>6.9</v>
      </c>
    </row>
    <row r="3171" spans="1:23" x14ac:dyDescent="0.25">
      <c r="A3171">
        <v>9</v>
      </c>
      <c r="B3171" t="s">
        <v>44</v>
      </c>
      <c r="C3171" s="1">
        <v>45009</v>
      </c>
      <c r="D3171" t="s">
        <v>71</v>
      </c>
      <c r="E3171">
        <v>0</v>
      </c>
      <c r="F3171">
        <v>47</v>
      </c>
      <c r="G3171" t="str">
        <f t="shared" si="57"/>
        <v>41-60</v>
      </c>
      <c r="H3171" t="s">
        <v>35</v>
      </c>
      <c r="I3171" t="s">
        <v>40</v>
      </c>
      <c r="J3171" t="s">
        <v>41</v>
      </c>
      <c r="K3171" t="s">
        <v>29</v>
      </c>
      <c r="L3171">
        <v>1</v>
      </c>
      <c r="M3171">
        <v>1</v>
      </c>
      <c r="N3171">
        <v>1.3</v>
      </c>
      <c r="O3171">
        <v>9.1999999999999993</v>
      </c>
      <c r="P3171">
        <v>3</v>
      </c>
      <c r="Q3171">
        <v>6</v>
      </c>
      <c r="R3171">
        <v>518681</v>
      </c>
      <c r="S3171">
        <f>Table1[[#This Row],[Revenue]]-Table1[[#This Row],[Operating_Costs]]</f>
        <v>67071</v>
      </c>
      <c r="T3171">
        <v>451610</v>
      </c>
      <c r="U3171">
        <v>40</v>
      </c>
      <c r="V3171">
        <v>56</v>
      </c>
      <c r="W3171">
        <v>36.799999999999997</v>
      </c>
    </row>
    <row r="3172" spans="1:23" x14ac:dyDescent="0.25">
      <c r="A3172">
        <v>9</v>
      </c>
      <c r="B3172" t="s">
        <v>44</v>
      </c>
      <c r="C3172" s="1">
        <v>45483</v>
      </c>
      <c r="D3172" t="s">
        <v>71</v>
      </c>
      <c r="E3172">
        <v>0</v>
      </c>
      <c r="F3172">
        <v>54</v>
      </c>
      <c r="G3172" t="str">
        <f t="shared" si="57"/>
        <v>41-60</v>
      </c>
      <c r="H3172" t="s">
        <v>23</v>
      </c>
      <c r="I3172" t="s">
        <v>55</v>
      </c>
      <c r="J3172" t="s">
        <v>56</v>
      </c>
      <c r="K3172" t="s">
        <v>38</v>
      </c>
      <c r="L3172">
        <v>1</v>
      </c>
      <c r="M3172">
        <v>1</v>
      </c>
      <c r="N3172">
        <v>5</v>
      </c>
      <c r="O3172">
        <v>7.5</v>
      </c>
      <c r="P3172">
        <v>3</v>
      </c>
      <c r="Q3172">
        <v>4</v>
      </c>
      <c r="R3172">
        <v>585047</v>
      </c>
      <c r="S3172">
        <f>Table1[[#This Row],[Revenue]]-Table1[[#This Row],[Operating_Costs]]</f>
        <v>136940</v>
      </c>
      <c r="T3172">
        <v>448107</v>
      </c>
      <c r="U3172">
        <v>39</v>
      </c>
      <c r="V3172">
        <v>63</v>
      </c>
      <c r="W3172">
        <v>10</v>
      </c>
    </row>
    <row r="3173" spans="1:23" x14ac:dyDescent="0.25">
      <c r="A3173">
        <v>9</v>
      </c>
      <c r="B3173" t="s">
        <v>44</v>
      </c>
      <c r="C3173" s="1">
        <v>44951</v>
      </c>
      <c r="D3173" t="s">
        <v>71</v>
      </c>
      <c r="E3173">
        <v>0</v>
      </c>
      <c r="F3173">
        <v>76</v>
      </c>
      <c r="G3173" t="str">
        <f t="shared" si="57"/>
        <v>61-80</v>
      </c>
      <c r="H3173" t="s">
        <v>23</v>
      </c>
      <c r="I3173" t="s">
        <v>64</v>
      </c>
      <c r="J3173" t="s">
        <v>65</v>
      </c>
      <c r="K3173" t="s">
        <v>26</v>
      </c>
      <c r="L3173">
        <v>1</v>
      </c>
      <c r="M3173">
        <v>1</v>
      </c>
      <c r="N3173">
        <v>3.1</v>
      </c>
      <c r="O3173">
        <v>8.6</v>
      </c>
      <c r="P3173">
        <v>6</v>
      </c>
      <c r="Q3173">
        <v>7</v>
      </c>
      <c r="R3173">
        <v>542082</v>
      </c>
      <c r="S3173">
        <f>Table1[[#This Row],[Revenue]]-Table1[[#This Row],[Operating_Costs]]</f>
        <v>139013</v>
      </c>
      <c r="T3173">
        <v>403069</v>
      </c>
      <c r="U3173">
        <v>37</v>
      </c>
      <c r="V3173">
        <v>61</v>
      </c>
      <c r="W3173">
        <v>9.9</v>
      </c>
    </row>
    <row r="3174" spans="1:23" x14ac:dyDescent="0.25">
      <c r="A3174">
        <v>9</v>
      </c>
      <c r="B3174" t="s">
        <v>44</v>
      </c>
      <c r="C3174" s="1">
        <v>44517</v>
      </c>
      <c r="D3174" t="s">
        <v>71</v>
      </c>
      <c r="E3174">
        <v>0</v>
      </c>
      <c r="F3174">
        <v>76</v>
      </c>
      <c r="G3174" t="str">
        <f t="shared" si="57"/>
        <v>61-80</v>
      </c>
      <c r="H3174" t="s">
        <v>35</v>
      </c>
      <c r="I3174" t="s">
        <v>36</v>
      </c>
      <c r="J3174" t="s">
        <v>37</v>
      </c>
      <c r="K3174" t="s">
        <v>26</v>
      </c>
      <c r="L3174">
        <v>1</v>
      </c>
      <c r="M3174">
        <v>1</v>
      </c>
      <c r="N3174">
        <v>2.2000000000000002</v>
      </c>
      <c r="O3174">
        <v>8.1</v>
      </c>
      <c r="P3174">
        <v>3</v>
      </c>
      <c r="Q3174">
        <v>6</v>
      </c>
      <c r="R3174">
        <v>501954</v>
      </c>
      <c r="S3174">
        <f>Table1[[#This Row],[Revenue]]-Table1[[#This Row],[Operating_Costs]]</f>
        <v>46110</v>
      </c>
      <c r="T3174">
        <v>455844</v>
      </c>
      <c r="U3174">
        <v>39</v>
      </c>
      <c r="V3174">
        <v>54</v>
      </c>
      <c r="W3174">
        <v>13.8</v>
      </c>
    </row>
    <row r="3175" spans="1:23" x14ac:dyDescent="0.25">
      <c r="A3175">
        <v>9</v>
      </c>
      <c r="B3175" t="s">
        <v>44</v>
      </c>
      <c r="C3175" s="1">
        <v>45437</v>
      </c>
      <c r="D3175" t="s">
        <v>71</v>
      </c>
      <c r="E3175">
        <v>0</v>
      </c>
      <c r="F3175">
        <v>46</v>
      </c>
      <c r="G3175" t="str">
        <f t="shared" si="57"/>
        <v>41-60</v>
      </c>
      <c r="H3175" t="s">
        <v>23</v>
      </c>
      <c r="I3175" t="s">
        <v>50</v>
      </c>
      <c r="J3175" t="s">
        <v>51</v>
      </c>
      <c r="K3175" t="s">
        <v>29</v>
      </c>
      <c r="L3175">
        <v>1</v>
      </c>
      <c r="M3175">
        <v>1</v>
      </c>
      <c r="N3175">
        <v>2.2000000000000002</v>
      </c>
      <c r="O3175">
        <v>9.1</v>
      </c>
      <c r="P3175">
        <v>6</v>
      </c>
      <c r="Q3175">
        <v>3</v>
      </c>
      <c r="R3175">
        <v>558350</v>
      </c>
      <c r="S3175">
        <f>Table1[[#This Row],[Revenue]]-Table1[[#This Row],[Operating_Costs]]</f>
        <v>120784</v>
      </c>
      <c r="T3175">
        <v>437566</v>
      </c>
      <c r="U3175">
        <v>38</v>
      </c>
      <c r="V3175">
        <v>54</v>
      </c>
      <c r="W3175">
        <v>9.8000000000000007</v>
      </c>
    </row>
    <row r="3176" spans="1:23" x14ac:dyDescent="0.25">
      <c r="A3176">
        <v>9</v>
      </c>
      <c r="B3176" t="s">
        <v>44</v>
      </c>
      <c r="C3176" s="1">
        <v>45578</v>
      </c>
      <c r="D3176" t="s">
        <v>71</v>
      </c>
      <c r="E3176">
        <v>0</v>
      </c>
      <c r="F3176">
        <v>43</v>
      </c>
      <c r="G3176" t="str">
        <f t="shared" si="57"/>
        <v>41-60</v>
      </c>
      <c r="H3176" t="s">
        <v>35</v>
      </c>
      <c r="I3176" t="s">
        <v>36</v>
      </c>
      <c r="J3176" t="s">
        <v>37</v>
      </c>
      <c r="K3176" t="s">
        <v>33</v>
      </c>
      <c r="L3176">
        <v>1</v>
      </c>
      <c r="M3176">
        <v>1</v>
      </c>
      <c r="N3176">
        <v>3</v>
      </c>
      <c r="O3176">
        <v>9.5</v>
      </c>
      <c r="P3176">
        <v>3</v>
      </c>
      <c r="Q3176">
        <v>6</v>
      </c>
      <c r="R3176">
        <v>591449</v>
      </c>
      <c r="S3176">
        <f>Table1[[#This Row],[Revenue]]-Table1[[#This Row],[Operating_Costs]]</f>
        <v>182873</v>
      </c>
      <c r="T3176">
        <v>408576</v>
      </c>
      <c r="U3176">
        <v>38</v>
      </c>
      <c r="V3176">
        <v>57</v>
      </c>
      <c r="W3176">
        <v>7.2</v>
      </c>
    </row>
    <row r="3177" spans="1:23" x14ac:dyDescent="0.25">
      <c r="A3177">
        <v>9</v>
      </c>
      <c r="B3177" t="s">
        <v>44</v>
      </c>
      <c r="C3177" s="1">
        <v>44505</v>
      </c>
      <c r="D3177" t="s">
        <v>71</v>
      </c>
      <c r="E3177">
        <v>0</v>
      </c>
      <c r="F3177">
        <v>58</v>
      </c>
      <c r="G3177" t="str">
        <f t="shared" si="57"/>
        <v>41-60</v>
      </c>
      <c r="H3177" t="s">
        <v>35</v>
      </c>
      <c r="I3177" t="s">
        <v>53</v>
      </c>
      <c r="J3177" t="s">
        <v>54</v>
      </c>
      <c r="K3177" t="s">
        <v>33</v>
      </c>
      <c r="L3177">
        <v>1</v>
      </c>
      <c r="M3177">
        <v>1</v>
      </c>
      <c r="N3177">
        <v>5.3</v>
      </c>
      <c r="O3177">
        <v>7.4</v>
      </c>
      <c r="P3177">
        <v>6</v>
      </c>
      <c r="Q3177">
        <v>6</v>
      </c>
      <c r="R3177">
        <v>558651</v>
      </c>
      <c r="S3177">
        <f>Table1[[#This Row],[Revenue]]-Table1[[#This Row],[Operating_Costs]]</f>
        <v>105370</v>
      </c>
      <c r="T3177">
        <v>453281</v>
      </c>
      <c r="U3177">
        <v>36</v>
      </c>
      <c r="V3177">
        <v>59</v>
      </c>
      <c r="W3177">
        <v>9.1</v>
      </c>
    </row>
    <row r="3178" spans="1:23" x14ac:dyDescent="0.25">
      <c r="A3178">
        <v>9</v>
      </c>
      <c r="B3178" t="s">
        <v>44</v>
      </c>
      <c r="C3178" s="1">
        <v>44406</v>
      </c>
      <c r="D3178" t="s">
        <v>71</v>
      </c>
      <c r="E3178">
        <v>0</v>
      </c>
      <c r="F3178">
        <v>88</v>
      </c>
      <c r="G3178" t="str">
        <f t="shared" si="57"/>
        <v>81+</v>
      </c>
      <c r="H3178" t="s">
        <v>35</v>
      </c>
      <c r="I3178" t="s">
        <v>60</v>
      </c>
      <c r="J3178" t="s">
        <v>59</v>
      </c>
      <c r="K3178" t="s">
        <v>33</v>
      </c>
      <c r="L3178">
        <v>1</v>
      </c>
      <c r="M3178">
        <v>1</v>
      </c>
      <c r="N3178">
        <v>5.2</v>
      </c>
      <c r="O3178">
        <v>9.8000000000000007</v>
      </c>
      <c r="P3178">
        <v>4</v>
      </c>
      <c r="Q3178">
        <v>6</v>
      </c>
      <c r="R3178">
        <v>508806</v>
      </c>
      <c r="S3178">
        <f>Table1[[#This Row],[Revenue]]-Table1[[#This Row],[Operating_Costs]]</f>
        <v>108042</v>
      </c>
      <c r="T3178">
        <v>400764</v>
      </c>
      <c r="U3178">
        <v>38</v>
      </c>
      <c r="V3178">
        <v>56</v>
      </c>
      <c r="W3178">
        <v>13.4</v>
      </c>
    </row>
    <row r="3179" spans="1:23" x14ac:dyDescent="0.25">
      <c r="A3179">
        <v>10</v>
      </c>
      <c r="B3179" t="s">
        <v>34</v>
      </c>
      <c r="C3179" s="1">
        <v>44397</v>
      </c>
      <c r="D3179" t="s">
        <v>71</v>
      </c>
      <c r="E3179">
        <v>0</v>
      </c>
      <c r="F3179">
        <v>41</v>
      </c>
      <c r="G3179" t="str">
        <f t="shared" si="57"/>
        <v>41-60</v>
      </c>
      <c r="H3179" t="s">
        <v>23</v>
      </c>
      <c r="I3179" t="s">
        <v>31</v>
      </c>
      <c r="J3179" t="s">
        <v>28</v>
      </c>
      <c r="K3179" t="s">
        <v>38</v>
      </c>
      <c r="L3179">
        <v>1</v>
      </c>
      <c r="M3179">
        <v>1</v>
      </c>
      <c r="N3179">
        <v>3</v>
      </c>
      <c r="O3179">
        <v>8.5</v>
      </c>
      <c r="P3179">
        <v>6</v>
      </c>
      <c r="Q3179">
        <v>7</v>
      </c>
      <c r="R3179">
        <v>962689</v>
      </c>
      <c r="S3179">
        <f>Table1[[#This Row],[Revenue]]-Table1[[#This Row],[Operating_Costs]]</f>
        <v>427344</v>
      </c>
      <c r="T3179">
        <v>535345</v>
      </c>
      <c r="U3179">
        <v>64</v>
      </c>
      <c r="V3179">
        <v>60</v>
      </c>
      <c r="W3179">
        <v>10</v>
      </c>
    </row>
    <row r="3180" spans="1:23" x14ac:dyDescent="0.25">
      <c r="A3180">
        <v>10</v>
      </c>
      <c r="B3180" t="s">
        <v>34</v>
      </c>
      <c r="C3180" s="1">
        <v>44797</v>
      </c>
      <c r="D3180" t="s">
        <v>71</v>
      </c>
      <c r="E3180">
        <v>0</v>
      </c>
      <c r="F3180">
        <v>46</v>
      </c>
      <c r="G3180" t="str">
        <f t="shared" si="57"/>
        <v>41-60</v>
      </c>
      <c r="H3180" t="s">
        <v>35</v>
      </c>
      <c r="I3180" t="s">
        <v>31</v>
      </c>
      <c r="J3180" t="s">
        <v>28</v>
      </c>
      <c r="K3180" t="s">
        <v>42</v>
      </c>
      <c r="L3180">
        <v>1</v>
      </c>
      <c r="M3180">
        <v>1</v>
      </c>
      <c r="N3180">
        <v>6.8</v>
      </c>
      <c r="O3180">
        <v>9.1999999999999993</v>
      </c>
      <c r="P3180">
        <v>5</v>
      </c>
      <c r="Q3180">
        <v>7</v>
      </c>
      <c r="R3180">
        <v>990641</v>
      </c>
      <c r="S3180">
        <f>Table1[[#This Row],[Revenue]]-Table1[[#This Row],[Operating_Costs]]</f>
        <v>471444</v>
      </c>
      <c r="T3180">
        <v>519197</v>
      </c>
      <c r="U3180">
        <v>58</v>
      </c>
      <c r="V3180">
        <v>63</v>
      </c>
      <c r="W3180">
        <v>7.4</v>
      </c>
    </row>
    <row r="3181" spans="1:23" x14ac:dyDescent="0.25">
      <c r="A3181">
        <v>10</v>
      </c>
      <c r="B3181" t="s">
        <v>34</v>
      </c>
      <c r="C3181" s="1">
        <v>45598</v>
      </c>
      <c r="D3181" t="s">
        <v>71</v>
      </c>
      <c r="E3181">
        <v>0</v>
      </c>
      <c r="F3181">
        <v>86</v>
      </c>
      <c r="G3181" t="str">
        <f t="shared" si="57"/>
        <v>81+</v>
      </c>
      <c r="H3181" t="s">
        <v>35</v>
      </c>
      <c r="I3181" t="s">
        <v>60</v>
      </c>
      <c r="J3181" t="s">
        <v>59</v>
      </c>
      <c r="K3181" t="s">
        <v>38</v>
      </c>
      <c r="L3181">
        <v>1</v>
      </c>
      <c r="M3181">
        <v>1</v>
      </c>
      <c r="N3181">
        <v>3.9</v>
      </c>
      <c r="O3181">
        <v>7.7</v>
      </c>
      <c r="P3181">
        <v>3</v>
      </c>
      <c r="Q3181">
        <v>7</v>
      </c>
      <c r="R3181">
        <v>886893</v>
      </c>
      <c r="S3181">
        <f>Table1[[#This Row],[Revenue]]-Table1[[#This Row],[Operating_Costs]]</f>
        <v>247224</v>
      </c>
      <c r="T3181">
        <v>639669</v>
      </c>
      <c r="U3181">
        <v>68</v>
      </c>
      <c r="V3181">
        <v>66</v>
      </c>
      <c r="W3181">
        <v>12.3</v>
      </c>
    </row>
    <row r="3182" spans="1:23" x14ac:dyDescent="0.25">
      <c r="A3182">
        <v>10</v>
      </c>
      <c r="B3182" t="s">
        <v>34</v>
      </c>
      <c r="C3182" s="1">
        <v>45466</v>
      </c>
      <c r="D3182" t="s">
        <v>71</v>
      </c>
      <c r="E3182">
        <v>0</v>
      </c>
      <c r="F3182">
        <v>29</v>
      </c>
      <c r="G3182" t="str">
        <f t="shared" si="57"/>
        <v>21-40</v>
      </c>
      <c r="H3182" t="s">
        <v>23</v>
      </c>
      <c r="I3182" t="s">
        <v>61</v>
      </c>
      <c r="J3182" t="s">
        <v>62</v>
      </c>
      <c r="K3182" t="s">
        <v>38</v>
      </c>
      <c r="L3182">
        <v>1</v>
      </c>
      <c r="M3182">
        <v>1</v>
      </c>
      <c r="N3182">
        <v>6.6</v>
      </c>
      <c r="O3182">
        <v>8.1999999999999993</v>
      </c>
      <c r="P3182">
        <v>6</v>
      </c>
      <c r="Q3182">
        <v>5</v>
      </c>
      <c r="R3182">
        <v>915448</v>
      </c>
      <c r="S3182">
        <f>Table1[[#This Row],[Revenue]]-Table1[[#This Row],[Operating_Costs]]</f>
        <v>386148</v>
      </c>
      <c r="T3182">
        <v>529300</v>
      </c>
      <c r="U3182">
        <v>52</v>
      </c>
      <c r="V3182">
        <v>59</v>
      </c>
      <c r="W3182">
        <v>36.9</v>
      </c>
    </row>
    <row r="3183" spans="1:23" x14ac:dyDescent="0.25">
      <c r="A3183">
        <v>10</v>
      </c>
      <c r="B3183" t="s">
        <v>34</v>
      </c>
      <c r="C3183" s="1">
        <v>44364</v>
      </c>
      <c r="D3183" t="s">
        <v>71</v>
      </c>
      <c r="E3183">
        <v>0</v>
      </c>
      <c r="F3183">
        <v>80</v>
      </c>
      <c r="G3183" t="str">
        <f t="shared" si="57"/>
        <v>61-80</v>
      </c>
      <c r="H3183" t="s">
        <v>23</v>
      </c>
      <c r="I3183" t="s">
        <v>24</v>
      </c>
      <c r="J3183" t="s">
        <v>25</v>
      </c>
      <c r="K3183" t="s">
        <v>29</v>
      </c>
      <c r="L3183">
        <v>1</v>
      </c>
      <c r="M3183">
        <v>1</v>
      </c>
      <c r="N3183">
        <v>1.8</v>
      </c>
      <c r="O3183">
        <v>8</v>
      </c>
      <c r="P3183">
        <v>4</v>
      </c>
      <c r="Q3183">
        <v>6</v>
      </c>
      <c r="R3183">
        <v>971224</v>
      </c>
      <c r="S3183">
        <f>Table1[[#This Row],[Revenue]]-Table1[[#This Row],[Operating_Costs]]</f>
        <v>404649</v>
      </c>
      <c r="T3183">
        <v>566575</v>
      </c>
      <c r="U3183">
        <v>54</v>
      </c>
      <c r="V3183">
        <v>56</v>
      </c>
      <c r="W3183">
        <v>6.6</v>
      </c>
    </row>
    <row r="3184" spans="1:23" x14ac:dyDescent="0.25">
      <c r="A3184">
        <v>10</v>
      </c>
      <c r="B3184" t="s">
        <v>34</v>
      </c>
      <c r="C3184" s="1">
        <v>44998</v>
      </c>
      <c r="D3184" t="s">
        <v>71</v>
      </c>
      <c r="E3184">
        <v>0</v>
      </c>
      <c r="F3184">
        <v>27</v>
      </c>
      <c r="G3184" t="str">
        <f t="shared" si="57"/>
        <v>21-40</v>
      </c>
      <c r="H3184" t="s">
        <v>35</v>
      </c>
      <c r="I3184" t="s">
        <v>55</v>
      </c>
      <c r="J3184" t="s">
        <v>56</v>
      </c>
      <c r="K3184" t="s">
        <v>42</v>
      </c>
      <c r="L3184">
        <v>1</v>
      </c>
      <c r="M3184">
        <v>1</v>
      </c>
      <c r="N3184">
        <v>2.7</v>
      </c>
      <c r="O3184">
        <v>7.6</v>
      </c>
      <c r="P3184">
        <v>7</v>
      </c>
      <c r="Q3184">
        <v>4</v>
      </c>
      <c r="R3184">
        <v>927425</v>
      </c>
      <c r="S3184">
        <f>Table1[[#This Row],[Revenue]]-Table1[[#This Row],[Operating_Costs]]</f>
        <v>382703</v>
      </c>
      <c r="T3184">
        <v>544722</v>
      </c>
      <c r="U3184">
        <v>66</v>
      </c>
      <c r="V3184">
        <v>54</v>
      </c>
      <c r="W3184">
        <v>14.6</v>
      </c>
    </row>
    <row r="3185" spans="1:23" x14ac:dyDescent="0.25">
      <c r="A3185">
        <v>10</v>
      </c>
      <c r="B3185" t="s">
        <v>34</v>
      </c>
      <c r="C3185" s="1">
        <v>45554</v>
      </c>
      <c r="D3185" t="s">
        <v>71</v>
      </c>
      <c r="E3185">
        <v>0</v>
      </c>
      <c r="F3185">
        <v>54</v>
      </c>
      <c r="G3185" t="str">
        <f t="shared" si="57"/>
        <v>41-60</v>
      </c>
      <c r="H3185" t="s">
        <v>35</v>
      </c>
      <c r="I3185" t="s">
        <v>36</v>
      </c>
      <c r="J3185" t="s">
        <v>37</v>
      </c>
      <c r="K3185" t="s">
        <v>33</v>
      </c>
      <c r="L3185">
        <v>1</v>
      </c>
      <c r="M3185">
        <v>1</v>
      </c>
      <c r="N3185">
        <v>6</v>
      </c>
      <c r="O3185">
        <v>9.1</v>
      </c>
      <c r="P3185">
        <v>4</v>
      </c>
      <c r="Q3185">
        <v>4</v>
      </c>
      <c r="R3185">
        <v>882188</v>
      </c>
      <c r="S3185">
        <f>Table1[[#This Row],[Revenue]]-Table1[[#This Row],[Operating_Costs]]</f>
        <v>223702</v>
      </c>
      <c r="T3185">
        <v>658486</v>
      </c>
      <c r="U3185">
        <v>70</v>
      </c>
      <c r="V3185">
        <v>62</v>
      </c>
      <c r="W3185">
        <v>14.8</v>
      </c>
    </row>
    <row r="3186" spans="1:23" x14ac:dyDescent="0.25">
      <c r="A3186">
        <v>10</v>
      </c>
      <c r="B3186" t="s">
        <v>34</v>
      </c>
      <c r="C3186" s="1">
        <v>45582</v>
      </c>
      <c r="D3186" t="s">
        <v>71</v>
      </c>
      <c r="E3186">
        <v>0</v>
      </c>
      <c r="F3186">
        <v>56</v>
      </c>
      <c r="G3186" t="str">
        <f t="shared" si="57"/>
        <v>41-60</v>
      </c>
      <c r="H3186" t="s">
        <v>23</v>
      </c>
      <c r="I3186" t="s">
        <v>55</v>
      </c>
      <c r="J3186" t="s">
        <v>56</v>
      </c>
      <c r="K3186" t="s">
        <v>26</v>
      </c>
      <c r="L3186">
        <v>1</v>
      </c>
      <c r="M3186">
        <v>1</v>
      </c>
      <c r="N3186">
        <v>6.8</v>
      </c>
      <c r="O3186">
        <v>8</v>
      </c>
      <c r="P3186">
        <v>3</v>
      </c>
      <c r="Q3186">
        <v>3</v>
      </c>
      <c r="R3186">
        <v>903985</v>
      </c>
      <c r="S3186">
        <f>Table1[[#This Row],[Revenue]]-Table1[[#This Row],[Operating_Costs]]</f>
        <v>312489</v>
      </c>
      <c r="T3186">
        <v>591496</v>
      </c>
      <c r="U3186">
        <v>58</v>
      </c>
      <c r="V3186">
        <v>55</v>
      </c>
      <c r="W3186">
        <v>5.7</v>
      </c>
    </row>
    <row r="3187" spans="1:23" x14ac:dyDescent="0.25">
      <c r="A3187">
        <v>10</v>
      </c>
      <c r="B3187" t="s">
        <v>34</v>
      </c>
      <c r="C3187" s="1">
        <v>45251</v>
      </c>
      <c r="D3187" t="s">
        <v>71</v>
      </c>
      <c r="E3187">
        <v>0</v>
      </c>
      <c r="F3187">
        <v>33</v>
      </c>
      <c r="G3187" t="str">
        <f t="shared" si="57"/>
        <v>21-40</v>
      </c>
      <c r="H3187" t="s">
        <v>23</v>
      </c>
      <c r="I3187" t="s">
        <v>31</v>
      </c>
      <c r="J3187" t="s">
        <v>28</v>
      </c>
      <c r="K3187" t="s">
        <v>33</v>
      </c>
      <c r="L3187">
        <v>1</v>
      </c>
      <c r="M3187">
        <v>1</v>
      </c>
      <c r="N3187">
        <v>3.8</v>
      </c>
      <c r="O3187">
        <v>8.1</v>
      </c>
      <c r="P3187">
        <v>3</v>
      </c>
      <c r="Q3187">
        <v>7</v>
      </c>
      <c r="R3187">
        <v>979920</v>
      </c>
      <c r="S3187">
        <f>Table1[[#This Row],[Revenue]]-Table1[[#This Row],[Operating_Costs]]</f>
        <v>318900</v>
      </c>
      <c r="T3187">
        <v>661020</v>
      </c>
      <c r="U3187">
        <v>67</v>
      </c>
      <c r="V3187">
        <v>66</v>
      </c>
      <c r="W3187">
        <v>7.5</v>
      </c>
    </row>
    <row r="3188" spans="1:23" x14ac:dyDescent="0.25">
      <c r="A3188">
        <v>10</v>
      </c>
      <c r="B3188" t="s">
        <v>34</v>
      </c>
      <c r="C3188" s="1">
        <v>45115</v>
      </c>
      <c r="D3188" t="s">
        <v>71</v>
      </c>
      <c r="E3188">
        <v>0</v>
      </c>
      <c r="F3188">
        <v>68</v>
      </c>
      <c r="G3188" t="str">
        <f t="shared" si="57"/>
        <v>61-80</v>
      </c>
      <c r="H3188" t="s">
        <v>35</v>
      </c>
      <c r="I3188" t="s">
        <v>60</v>
      </c>
      <c r="J3188" t="s">
        <v>59</v>
      </c>
      <c r="K3188" t="s">
        <v>26</v>
      </c>
      <c r="L3188">
        <v>1</v>
      </c>
      <c r="M3188">
        <v>1</v>
      </c>
      <c r="N3188">
        <v>5.4</v>
      </c>
      <c r="O3188">
        <v>8</v>
      </c>
      <c r="P3188">
        <v>7</v>
      </c>
      <c r="Q3188">
        <v>3</v>
      </c>
      <c r="R3188">
        <v>841947</v>
      </c>
      <c r="S3188">
        <f>Table1[[#This Row],[Revenue]]-Table1[[#This Row],[Operating_Costs]]</f>
        <v>294420</v>
      </c>
      <c r="T3188">
        <v>547527</v>
      </c>
      <c r="U3188">
        <v>67</v>
      </c>
      <c r="V3188">
        <v>65</v>
      </c>
      <c r="W3188">
        <v>8.1</v>
      </c>
    </row>
    <row r="3189" spans="1:23" x14ac:dyDescent="0.25">
      <c r="A3189">
        <v>10</v>
      </c>
      <c r="B3189" t="s">
        <v>34</v>
      </c>
      <c r="C3189" s="1">
        <v>45542</v>
      </c>
      <c r="D3189" t="s">
        <v>71</v>
      </c>
      <c r="E3189">
        <v>0</v>
      </c>
      <c r="F3189">
        <v>59</v>
      </c>
      <c r="G3189" t="str">
        <f t="shared" si="57"/>
        <v>41-60</v>
      </c>
      <c r="H3189" t="s">
        <v>35</v>
      </c>
      <c r="I3189" t="s">
        <v>50</v>
      </c>
      <c r="J3189" t="s">
        <v>51</v>
      </c>
      <c r="K3189" t="s">
        <v>42</v>
      </c>
      <c r="L3189">
        <v>1</v>
      </c>
      <c r="M3189">
        <v>1</v>
      </c>
      <c r="N3189">
        <v>2.4</v>
      </c>
      <c r="O3189">
        <v>7.7</v>
      </c>
      <c r="P3189">
        <v>7</v>
      </c>
      <c r="Q3189">
        <v>3</v>
      </c>
      <c r="R3189">
        <v>951241</v>
      </c>
      <c r="S3189">
        <f>Table1[[#This Row],[Revenue]]-Table1[[#This Row],[Operating_Costs]]</f>
        <v>415089</v>
      </c>
      <c r="T3189">
        <v>536152</v>
      </c>
      <c r="U3189">
        <v>57</v>
      </c>
      <c r="V3189">
        <v>56</v>
      </c>
      <c r="W3189">
        <v>6.1</v>
      </c>
    </row>
    <row r="3190" spans="1:23" x14ac:dyDescent="0.25">
      <c r="A3190">
        <v>10</v>
      </c>
      <c r="B3190" t="s">
        <v>34</v>
      </c>
      <c r="C3190" s="1">
        <v>45612</v>
      </c>
      <c r="D3190" t="s">
        <v>71</v>
      </c>
      <c r="E3190">
        <v>0</v>
      </c>
      <c r="F3190">
        <v>54</v>
      </c>
      <c r="G3190" t="str">
        <f t="shared" si="57"/>
        <v>41-60</v>
      </c>
      <c r="H3190" t="s">
        <v>35</v>
      </c>
      <c r="I3190" t="s">
        <v>58</v>
      </c>
      <c r="J3190" t="s">
        <v>59</v>
      </c>
      <c r="K3190" t="s">
        <v>38</v>
      </c>
      <c r="L3190">
        <v>1</v>
      </c>
      <c r="M3190">
        <v>1</v>
      </c>
      <c r="N3190">
        <v>2.4</v>
      </c>
      <c r="O3190">
        <v>9.8000000000000007</v>
      </c>
      <c r="P3190">
        <v>3</v>
      </c>
      <c r="Q3190">
        <v>7</v>
      </c>
      <c r="R3190">
        <v>986765</v>
      </c>
      <c r="S3190">
        <f>Table1[[#This Row],[Revenue]]-Table1[[#This Row],[Operating_Costs]]</f>
        <v>343333</v>
      </c>
      <c r="T3190">
        <v>643432</v>
      </c>
      <c r="U3190">
        <v>60</v>
      </c>
      <c r="V3190">
        <v>58</v>
      </c>
      <c r="W3190">
        <v>14.4</v>
      </c>
    </row>
    <row r="3191" spans="1:23" x14ac:dyDescent="0.25">
      <c r="A3191">
        <v>10</v>
      </c>
      <c r="B3191" t="s">
        <v>34</v>
      </c>
      <c r="C3191" s="1">
        <v>44412</v>
      </c>
      <c r="D3191" t="s">
        <v>71</v>
      </c>
      <c r="E3191">
        <v>0</v>
      </c>
      <c r="F3191">
        <v>85</v>
      </c>
      <c r="G3191" t="str">
        <f t="shared" si="57"/>
        <v>81+</v>
      </c>
      <c r="H3191" t="s">
        <v>23</v>
      </c>
      <c r="I3191" t="s">
        <v>55</v>
      </c>
      <c r="J3191" t="s">
        <v>56</v>
      </c>
      <c r="K3191" t="s">
        <v>38</v>
      </c>
      <c r="L3191">
        <v>1</v>
      </c>
      <c r="M3191">
        <v>1</v>
      </c>
      <c r="N3191">
        <v>1.6</v>
      </c>
      <c r="O3191">
        <v>8.5</v>
      </c>
      <c r="P3191">
        <v>4</v>
      </c>
      <c r="Q3191">
        <v>3</v>
      </c>
      <c r="R3191">
        <v>970678</v>
      </c>
      <c r="S3191">
        <f>Table1[[#This Row],[Revenue]]-Table1[[#This Row],[Operating_Costs]]</f>
        <v>423124</v>
      </c>
      <c r="T3191">
        <v>547554</v>
      </c>
      <c r="U3191">
        <v>50</v>
      </c>
      <c r="V3191">
        <v>54</v>
      </c>
      <c r="W3191">
        <v>36.6</v>
      </c>
    </row>
    <row r="3192" spans="1:23" x14ac:dyDescent="0.25">
      <c r="A3192">
        <v>10</v>
      </c>
      <c r="B3192" t="s">
        <v>34</v>
      </c>
      <c r="C3192" s="1">
        <v>45057</v>
      </c>
      <c r="D3192" t="s">
        <v>71</v>
      </c>
      <c r="E3192">
        <v>0</v>
      </c>
      <c r="F3192">
        <v>44</v>
      </c>
      <c r="G3192" t="str">
        <f t="shared" si="57"/>
        <v>41-60</v>
      </c>
      <c r="H3192" t="s">
        <v>35</v>
      </c>
      <c r="I3192" t="s">
        <v>31</v>
      </c>
      <c r="J3192" t="s">
        <v>28</v>
      </c>
      <c r="K3192" t="s">
        <v>42</v>
      </c>
      <c r="L3192">
        <v>1</v>
      </c>
      <c r="M3192">
        <v>1</v>
      </c>
      <c r="N3192">
        <v>3.4</v>
      </c>
      <c r="O3192">
        <v>7.5</v>
      </c>
      <c r="P3192">
        <v>7</v>
      </c>
      <c r="Q3192">
        <v>3</v>
      </c>
      <c r="R3192">
        <v>903694</v>
      </c>
      <c r="S3192">
        <f>Table1[[#This Row],[Revenue]]-Table1[[#This Row],[Operating_Costs]]</f>
        <v>357840</v>
      </c>
      <c r="T3192">
        <v>545854</v>
      </c>
      <c r="U3192">
        <v>61</v>
      </c>
      <c r="V3192">
        <v>55</v>
      </c>
      <c r="W3192">
        <v>12.3</v>
      </c>
    </row>
    <row r="3193" spans="1:23" x14ac:dyDescent="0.25">
      <c r="A3193">
        <v>10</v>
      </c>
      <c r="B3193" t="s">
        <v>34</v>
      </c>
      <c r="C3193" s="1">
        <v>44212</v>
      </c>
      <c r="D3193" t="s">
        <v>71</v>
      </c>
      <c r="E3193">
        <v>0</v>
      </c>
      <c r="F3193">
        <v>47</v>
      </c>
      <c r="G3193" t="str">
        <f t="shared" si="57"/>
        <v>41-60</v>
      </c>
      <c r="H3193" t="s">
        <v>23</v>
      </c>
      <c r="I3193" t="s">
        <v>61</v>
      </c>
      <c r="J3193" t="s">
        <v>62</v>
      </c>
      <c r="K3193" t="s">
        <v>26</v>
      </c>
      <c r="L3193">
        <v>1</v>
      </c>
      <c r="M3193">
        <v>1</v>
      </c>
      <c r="N3193">
        <v>4.4000000000000004</v>
      </c>
      <c r="O3193">
        <v>9.1</v>
      </c>
      <c r="P3193">
        <v>6</v>
      </c>
      <c r="Q3193">
        <v>3</v>
      </c>
      <c r="R3193">
        <v>855822</v>
      </c>
      <c r="S3193">
        <f>Table1[[#This Row],[Revenue]]-Table1[[#This Row],[Operating_Costs]]</f>
        <v>276874</v>
      </c>
      <c r="T3193">
        <v>578948</v>
      </c>
      <c r="U3193">
        <v>52</v>
      </c>
      <c r="V3193">
        <v>59</v>
      </c>
      <c r="W3193">
        <v>36.6</v>
      </c>
    </row>
    <row r="3194" spans="1:23" x14ac:dyDescent="0.25">
      <c r="A3194">
        <v>10</v>
      </c>
      <c r="B3194" t="s">
        <v>34</v>
      </c>
      <c r="C3194" s="1">
        <v>44662</v>
      </c>
      <c r="D3194" t="s">
        <v>71</v>
      </c>
      <c r="E3194">
        <v>0</v>
      </c>
      <c r="F3194">
        <v>90</v>
      </c>
      <c r="G3194" t="str">
        <f t="shared" si="57"/>
        <v>81+</v>
      </c>
      <c r="H3194" t="s">
        <v>23</v>
      </c>
      <c r="I3194" t="s">
        <v>24</v>
      </c>
      <c r="J3194" t="s">
        <v>25</v>
      </c>
      <c r="K3194" t="s">
        <v>38</v>
      </c>
      <c r="L3194">
        <v>1</v>
      </c>
      <c r="M3194">
        <v>1</v>
      </c>
      <c r="N3194">
        <v>3.7</v>
      </c>
      <c r="O3194">
        <v>9.1999999999999993</v>
      </c>
      <c r="P3194">
        <v>6</v>
      </c>
      <c r="Q3194">
        <v>4</v>
      </c>
      <c r="R3194">
        <v>951254</v>
      </c>
      <c r="S3194">
        <f>Table1[[#This Row],[Revenue]]-Table1[[#This Row],[Operating_Costs]]</f>
        <v>281291</v>
      </c>
      <c r="T3194">
        <v>669963</v>
      </c>
      <c r="U3194">
        <v>59</v>
      </c>
      <c r="V3194">
        <v>66</v>
      </c>
      <c r="W3194">
        <v>8.4</v>
      </c>
    </row>
    <row r="3195" spans="1:23" x14ac:dyDescent="0.25">
      <c r="A3195">
        <v>10</v>
      </c>
      <c r="B3195" t="s">
        <v>34</v>
      </c>
      <c r="C3195" s="1">
        <v>45270</v>
      </c>
      <c r="D3195" t="s">
        <v>71</v>
      </c>
      <c r="E3195">
        <v>0</v>
      </c>
      <c r="F3195">
        <v>23</v>
      </c>
      <c r="G3195" t="str">
        <f t="shared" si="57"/>
        <v>21-40</v>
      </c>
      <c r="H3195" t="s">
        <v>35</v>
      </c>
      <c r="I3195" t="s">
        <v>40</v>
      </c>
      <c r="J3195" t="s">
        <v>41</v>
      </c>
      <c r="K3195" t="s">
        <v>42</v>
      </c>
      <c r="L3195">
        <v>1</v>
      </c>
      <c r="M3195">
        <v>1</v>
      </c>
      <c r="N3195">
        <v>3.1</v>
      </c>
      <c r="O3195">
        <v>8.9</v>
      </c>
      <c r="P3195">
        <v>7</v>
      </c>
      <c r="Q3195">
        <v>7</v>
      </c>
      <c r="R3195">
        <v>822963</v>
      </c>
      <c r="S3195">
        <f>Table1[[#This Row],[Revenue]]-Table1[[#This Row],[Operating_Costs]]</f>
        <v>305449</v>
      </c>
      <c r="T3195">
        <v>517514</v>
      </c>
      <c r="U3195">
        <v>58</v>
      </c>
      <c r="V3195">
        <v>65</v>
      </c>
      <c r="W3195">
        <v>14.6</v>
      </c>
    </row>
    <row r="3196" spans="1:23" x14ac:dyDescent="0.25">
      <c r="A3196">
        <v>10</v>
      </c>
      <c r="B3196" t="s">
        <v>34</v>
      </c>
      <c r="C3196" s="1">
        <v>45343</v>
      </c>
      <c r="D3196" t="s">
        <v>71</v>
      </c>
      <c r="E3196">
        <v>0</v>
      </c>
      <c r="F3196">
        <v>71</v>
      </c>
      <c r="G3196" t="str">
        <f t="shared" si="57"/>
        <v>61-80</v>
      </c>
      <c r="H3196" t="s">
        <v>35</v>
      </c>
      <c r="I3196" t="s">
        <v>31</v>
      </c>
      <c r="J3196" t="s">
        <v>28</v>
      </c>
      <c r="K3196" t="s">
        <v>33</v>
      </c>
      <c r="L3196">
        <v>1</v>
      </c>
      <c r="M3196">
        <v>1</v>
      </c>
      <c r="N3196">
        <v>2.1</v>
      </c>
      <c r="O3196">
        <v>8.4</v>
      </c>
      <c r="P3196">
        <v>6</v>
      </c>
      <c r="Q3196">
        <v>7</v>
      </c>
      <c r="R3196">
        <v>888583</v>
      </c>
      <c r="S3196">
        <f>Table1[[#This Row],[Revenue]]-Table1[[#This Row],[Operating_Costs]]</f>
        <v>317342</v>
      </c>
      <c r="T3196">
        <v>571241</v>
      </c>
      <c r="U3196">
        <v>61</v>
      </c>
      <c r="V3196">
        <v>54</v>
      </c>
      <c r="W3196">
        <v>8.1999999999999993</v>
      </c>
    </row>
    <row r="3197" spans="1:23" x14ac:dyDescent="0.25">
      <c r="A3197">
        <v>10</v>
      </c>
      <c r="B3197" t="s">
        <v>34</v>
      </c>
      <c r="C3197" s="1">
        <v>44215</v>
      </c>
      <c r="D3197" t="s">
        <v>71</v>
      </c>
      <c r="E3197">
        <v>0</v>
      </c>
      <c r="F3197">
        <v>46</v>
      </c>
      <c r="G3197" t="str">
        <f t="shared" si="57"/>
        <v>41-60</v>
      </c>
      <c r="H3197" t="s">
        <v>35</v>
      </c>
      <c r="I3197" t="s">
        <v>60</v>
      </c>
      <c r="J3197" t="s">
        <v>59</v>
      </c>
      <c r="K3197" t="s">
        <v>42</v>
      </c>
      <c r="L3197">
        <v>1</v>
      </c>
      <c r="M3197">
        <v>1</v>
      </c>
      <c r="N3197">
        <v>1.5</v>
      </c>
      <c r="O3197">
        <v>8.1999999999999993</v>
      </c>
      <c r="P3197">
        <v>5</v>
      </c>
      <c r="Q3197">
        <v>6</v>
      </c>
      <c r="R3197">
        <v>945264</v>
      </c>
      <c r="S3197">
        <f>Table1[[#This Row],[Revenue]]-Table1[[#This Row],[Operating_Costs]]</f>
        <v>347329</v>
      </c>
      <c r="T3197">
        <v>597935</v>
      </c>
      <c r="U3197">
        <v>57</v>
      </c>
      <c r="V3197">
        <v>65</v>
      </c>
      <c r="W3197">
        <v>7.3</v>
      </c>
    </row>
    <row r="3198" spans="1:23" x14ac:dyDescent="0.25">
      <c r="A3198">
        <v>10</v>
      </c>
      <c r="B3198" t="s">
        <v>34</v>
      </c>
      <c r="C3198" s="1">
        <v>45383</v>
      </c>
      <c r="D3198" t="s">
        <v>71</v>
      </c>
      <c r="E3198">
        <v>0</v>
      </c>
      <c r="F3198">
        <v>72</v>
      </c>
      <c r="G3198" t="str">
        <f t="shared" si="57"/>
        <v>61-80</v>
      </c>
      <c r="H3198" t="s">
        <v>35</v>
      </c>
      <c r="I3198" t="s">
        <v>36</v>
      </c>
      <c r="J3198" t="s">
        <v>37</v>
      </c>
      <c r="K3198" t="s">
        <v>26</v>
      </c>
      <c r="L3198">
        <v>1</v>
      </c>
      <c r="M3198">
        <v>1</v>
      </c>
      <c r="N3198">
        <v>5.5</v>
      </c>
      <c r="O3198">
        <v>9.3000000000000007</v>
      </c>
      <c r="P3198">
        <v>5</v>
      </c>
      <c r="Q3198">
        <v>5</v>
      </c>
      <c r="R3198">
        <v>865703</v>
      </c>
      <c r="S3198">
        <f>Table1[[#This Row],[Revenue]]-Table1[[#This Row],[Operating_Costs]]</f>
        <v>299647</v>
      </c>
      <c r="T3198">
        <v>566056</v>
      </c>
      <c r="U3198">
        <v>67</v>
      </c>
      <c r="V3198">
        <v>64</v>
      </c>
      <c r="W3198">
        <v>13.8</v>
      </c>
    </row>
    <row r="3199" spans="1:23" x14ac:dyDescent="0.25">
      <c r="A3199">
        <v>10</v>
      </c>
      <c r="B3199" t="s">
        <v>34</v>
      </c>
      <c r="C3199" s="1">
        <v>45469</v>
      </c>
      <c r="D3199" t="s">
        <v>71</v>
      </c>
      <c r="E3199">
        <v>0</v>
      </c>
      <c r="F3199">
        <v>74</v>
      </c>
      <c r="G3199" t="str">
        <f t="shared" si="57"/>
        <v>61-80</v>
      </c>
      <c r="H3199" t="s">
        <v>23</v>
      </c>
      <c r="I3199" t="s">
        <v>43</v>
      </c>
      <c r="J3199" t="s">
        <v>25</v>
      </c>
      <c r="K3199" t="s">
        <v>29</v>
      </c>
      <c r="L3199">
        <v>1</v>
      </c>
      <c r="M3199">
        <v>1</v>
      </c>
      <c r="N3199">
        <v>1.2</v>
      </c>
      <c r="O3199">
        <v>8.1999999999999993</v>
      </c>
      <c r="P3199">
        <v>7</v>
      </c>
      <c r="Q3199">
        <v>6</v>
      </c>
      <c r="R3199">
        <v>989878</v>
      </c>
      <c r="S3199">
        <f>Table1[[#This Row],[Revenue]]-Table1[[#This Row],[Operating_Costs]]</f>
        <v>291850</v>
      </c>
      <c r="T3199">
        <v>698028</v>
      </c>
      <c r="U3199">
        <v>59</v>
      </c>
      <c r="V3199">
        <v>64</v>
      </c>
      <c r="W3199">
        <v>6.7</v>
      </c>
    </row>
    <row r="3200" spans="1:23" x14ac:dyDescent="0.25">
      <c r="A3200">
        <v>10</v>
      </c>
      <c r="B3200" t="s">
        <v>34</v>
      </c>
      <c r="C3200" s="1">
        <v>44244</v>
      </c>
      <c r="D3200" t="s">
        <v>71</v>
      </c>
      <c r="E3200">
        <v>0</v>
      </c>
      <c r="F3200">
        <v>37</v>
      </c>
      <c r="G3200" t="str">
        <f t="shared" si="57"/>
        <v>21-40</v>
      </c>
      <c r="H3200" t="s">
        <v>35</v>
      </c>
      <c r="I3200" t="s">
        <v>50</v>
      </c>
      <c r="J3200" t="s">
        <v>51</v>
      </c>
      <c r="K3200" t="s">
        <v>38</v>
      </c>
      <c r="L3200">
        <v>1</v>
      </c>
      <c r="M3200">
        <v>1</v>
      </c>
      <c r="N3200">
        <v>4.2</v>
      </c>
      <c r="O3200">
        <v>8.9</v>
      </c>
      <c r="P3200">
        <v>4</v>
      </c>
      <c r="Q3200">
        <v>7</v>
      </c>
      <c r="R3200">
        <v>832056</v>
      </c>
      <c r="S3200">
        <f>Table1[[#This Row],[Revenue]]-Table1[[#This Row],[Operating_Costs]]</f>
        <v>245207</v>
      </c>
      <c r="T3200">
        <v>586849</v>
      </c>
      <c r="U3200">
        <v>56</v>
      </c>
      <c r="V3200">
        <v>66</v>
      </c>
      <c r="W3200">
        <v>9</v>
      </c>
    </row>
    <row r="3201" spans="1:23" x14ac:dyDescent="0.25">
      <c r="A3201">
        <v>10</v>
      </c>
      <c r="B3201" t="s">
        <v>34</v>
      </c>
      <c r="C3201" s="1">
        <v>44660</v>
      </c>
      <c r="D3201" t="s">
        <v>71</v>
      </c>
      <c r="E3201">
        <v>0</v>
      </c>
      <c r="F3201">
        <v>29</v>
      </c>
      <c r="G3201" t="str">
        <f t="shared" si="57"/>
        <v>21-40</v>
      </c>
      <c r="H3201" t="s">
        <v>35</v>
      </c>
      <c r="I3201" t="s">
        <v>61</v>
      </c>
      <c r="J3201" t="s">
        <v>62</v>
      </c>
      <c r="K3201" t="s">
        <v>26</v>
      </c>
      <c r="L3201">
        <v>1</v>
      </c>
      <c r="M3201">
        <v>1</v>
      </c>
      <c r="N3201">
        <v>4.5</v>
      </c>
      <c r="O3201">
        <v>7.6</v>
      </c>
      <c r="P3201">
        <v>6</v>
      </c>
      <c r="Q3201">
        <v>7</v>
      </c>
      <c r="R3201">
        <v>927677</v>
      </c>
      <c r="S3201">
        <f>Table1[[#This Row],[Revenue]]-Table1[[#This Row],[Operating_Costs]]</f>
        <v>393068</v>
      </c>
      <c r="T3201">
        <v>534609</v>
      </c>
      <c r="U3201">
        <v>55</v>
      </c>
      <c r="V3201">
        <v>58</v>
      </c>
      <c r="W3201">
        <v>36.1</v>
      </c>
    </row>
    <row r="3202" spans="1:23" x14ac:dyDescent="0.25">
      <c r="A3202">
        <v>10</v>
      </c>
      <c r="B3202" t="s">
        <v>34</v>
      </c>
      <c r="C3202" s="1">
        <v>44996</v>
      </c>
      <c r="D3202" t="s">
        <v>71</v>
      </c>
      <c r="E3202">
        <v>0</v>
      </c>
      <c r="F3202">
        <v>68</v>
      </c>
      <c r="G3202" t="str">
        <f t="shared" si="57"/>
        <v>61-80</v>
      </c>
      <c r="H3202" t="s">
        <v>23</v>
      </c>
      <c r="I3202" t="s">
        <v>43</v>
      </c>
      <c r="J3202" t="s">
        <v>25</v>
      </c>
      <c r="K3202" t="s">
        <v>26</v>
      </c>
      <c r="L3202">
        <v>1</v>
      </c>
      <c r="M3202">
        <v>1</v>
      </c>
      <c r="N3202">
        <v>3.6</v>
      </c>
      <c r="O3202">
        <v>8.8000000000000007</v>
      </c>
      <c r="P3202">
        <v>5</v>
      </c>
      <c r="Q3202">
        <v>3</v>
      </c>
      <c r="R3202">
        <v>833400</v>
      </c>
      <c r="S3202">
        <f>Table1[[#This Row],[Revenue]]-Table1[[#This Row],[Operating_Costs]]</f>
        <v>163659</v>
      </c>
      <c r="T3202">
        <v>669741</v>
      </c>
      <c r="U3202">
        <v>70</v>
      </c>
      <c r="V3202">
        <v>55</v>
      </c>
      <c r="W3202">
        <v>5.0999999999999996</v>
      </c>
    </row>
    <row r="3203" spans="1:23" x14ac:dyDescent="0.25">
      <c r="A3203">
        <v>10</v>
      </c>
      <c r="B3203" t="s">
        <v>34</v>
      </c>
      <c r="C3203" s="1">
        <v>45436</v>
      </c>
      <c r="D3203" t="s">
        <v>71</v>
      </c>
      <c r="E3203">
        <v>0</v>
      </c>
      <c r="F3203">
        <v>78</v>
      </c>
      <c r="G3203" t="str">
        <f t="shared" ref="G3203:G3266" si="58">IF(F3203&lt;=20,"0-20",IF(F3203&lt;=40,"21-40",IF(F3203&lt;=60,"41-60",IF(F3203&lt;=80,"61-80","81+"))))</f>
        <v>61-80</v>
      </c>
      <c r="H3203" t="s">
        <v>23</v>
      </c>
      <c r="I3203" t="s">
        <v>61</v>
      </c>
      <c r="J3203" t="s">
        <v>62</v>
      </c>
      <c r="K3203" t="s">
        <v>33</v>
      </c>
      <c r="L3203">
        <v>1</v>
      </c>
      <c r="M3203">
        <v>1</v>
      </c>
      <c r="N3203">
        <v>2.7</v>
      </c>
      <c r="O3203">
        <v>7.1</v>
      </c>
      <c r="P3203">
        <v>4</v>
      </c>
      <c r="Q3203">
        <v>3</v>
      </c>
      <c r="R3203">
        <v>935227</v>
      </c>
      <c r="S3203">
        <f>Table1[[#This Row],[Revenue]]-Table1[[#This Row],[Operating_Costs]]</f>
        <v>361421</v>
      </c>
      <c r="T3203">
        <v>573806</v>
      </c>
      <c r="U3203">
        <v>58</v>
      </c>
      <c r="V3203">
        <v>66</v>
      </c>
      <c r="W3203">
        <v>36.6</v>
      </c>
    </row>
    <row r="3204" spans="1:23" x14ac:dyDescent="0.25">
      <c r="A3204">
        <v>10</v>
      </c>
      <c r="B3204" t="s">
        <v>34</v>
      </c>
      <c r="C3204" s="1">
        <v>44221</v>
      </c>
      <c r="D3204" t="s">
        <v>71</v>
      </c>
      <c r="E3204">
        <v>0</v>
      </c>
      <c r="F3204">
        <v>77</v>
      </c>
      <c r="G3204" t="str">
        <f t="shared" si="58"/>
        <v>61-80</v>
      </c>
      <c r="H3204" t="s">
        <v>23</v>
      </c>
      <c r="I3204" t="s">
        <v>61</v>
      </c>
      <c r="J3204" t="s">
        <v>62</v>
      </c>
      <c r="K3204" t="s">
        <v>33</v>
      </c>
      <c r="L3204">
        <v>1</v>
      </c>
      <c r="M3204">
        <v>1</v>
      </c>
      <c r="N3204">
        <v>4.4000000000000004</v>
      </c>
      <c r="O3204">
        <v>9.4</v>
      </c>
      <c r="P3204">
        <v>7</v>
      </c>
      <c r="Q3204">
        <v>6</v>
      </c>
      <c r="R3204">
        <v>949970</v>
      </c>
      <c r="S3204">
        <f>Table1[[#This Row],[Revenue]]-Table1[[#This Row],[Operating_Costs]]</f>
        <v>357428</v>
      </c>
      <c r="T3204">
        <v>592542</v>
      </c>
      <c r="U3204">
        <v>58</v>
      </c>
      <c r="V3204">
        <v>56</v>
      </c>
      <c r="W3204">
        <v>13.2</v>
      </c>
    </row>
    <row r="3205" spans="1:23" x14ac:dyDescent="0.25">
      <c r="A3205">
        <v>10</v>
      </c>
      <c r="B3205" t="s">
        <v>34</v>
      </c>
      <c r="C3205" s="1">
        <v>44923</v>
      </c>
      <c r="D3205" t="s">
        <v>71</v>
      </c>
      <c r="E3205">
        <v>0</v>
      </c>
      <c r="F3205">
        <v>66</v>
      </c>
      <c r="G3205" t="str">
        <f t="shared" si="58"/>
        <v>61-80</v>
      </c>
      <c r="H3205" t="s">
        <v>35</v>
      </c>
      <c r="I3205" t="s">
        <v>46</v>
      </c>
      <c r="J3205" t="s">
        <v>47</v>
      </c>
      <c r="K3205" t="s">
        <v>29</v>
      </c>
      <c r="L3205">
        <v>1</v>
      </c>
      <c r="M3205">
        <v>1</v>
      </c>
      <c r="N3205">
        <v>4.5999999999999996</v>
      </c>
      <c r="O3205">
        <v>8.4</v>
      </c>
      <c r="P3205">
        <v>4</v>
      </c>
      <c r="Q3205">
        <v>7</v>
      </c>
      <c r="R3205">
        <v>916723</v>
      </c>
      <c r="S3205">
        <f>Table1[[#This Row],[Revenue]]-Table1[[#This Row],[Operating_Costs]]</f>
        <v>268030</v>
      </c>
      <c r="T3205">
        <v>648693</v>
      </c>
      <c r="U3205">
        <v>50</v>
      </c>
      <c r="V3205">
        <v>55</v>
      </c>
      <c r="W3205">
        <v>8</v>
      </c>
    </row>
    <row r="3206" spans="1:23" x14ac:dyDescent="0.25">
      <c r="A3206">
        <v>10</v>
      </c>
      <c r="B3206" t="s">
        <v>34</v>
      </c>
      <c r="C3206" s="1">
        <v>45546</v>
      </c>
      <c r="D3206" t="s">
        <v>71</v>
      </c>
      <c r="E3206">
        <v>0</v>
      </c>
      <c r="F3206">
        <v>47</v>
      </c>
      <c r="G3206" t="str">
        <f t="shared" si="58"/>
        <v>41-60</v>
      </c>
      <c r="H3206" t="s">
        <v>23</v>
      </c>
      <c r="I3206" t="s">
        <v>50</v>
      </c>
      <c r="J3206" t="s">
        <v>51</v>
      </c>
      <c r="K3206" t="s">
        <v>29</v>
      </c>
      <c r="L3206">
        <v>1</v>
      </c>
      <c r="M3206">
        <v>1</v>
      </c>
      <c r="N3206">
        <v>2.2000000000000002</v>
      </c>
      <c r="O3206">
        <v>8</v>
      </c>
      <c r="P3206">
        <v>5</v>
      </c>
      <c r="Q3206">
        <v>6</v>
      </c>
      <c r="R3206">
        <v>826817</v>
      </c>
      <c r="S3206">
        <f>Table1[[#This Row],[Revenue]]-Table1[[#This Row],[Operating_Costs]]</f>
        <v>241658</v>
      </c>
      <c r="T3206">
        <v>585159</v>
      </c>
      <c r="U3206">
        <v>50</v>
      </c>
      <c r="V3206">
        <v>62</v>
      </c>
      <c r="W3206">
        <v>5.0999999999999996</v>
      </c>
    </row>
    <row r="3207" spans="1:23" x14ac:dyDescent="0.25">
      <c r="A3207">
        <v>10</v>
      </c>
      <c r="B3207" t="s">
        <v>34</v>
      </c>
      <c r="C3207" s="1">
        <v>45187</v>
      </c>
      <c r="D3207" t="s">
        <v>71</v>
      </c>
      <c r="E3207">
        <v>0</v>
      </c>
      <c r="F3207">
        <v>68</v>
      </c>
      <c r="G3207" t="str">
        <f t="shared" si="58"/>
        <v>61-80</v>
      </c>
      <c r="H3207" t="s">
        <v>23</v>
      </c>
      <c r="I3207" t="s">
        <v>40</v>
      </c>
      <c r="J3207" t="s">
        <v>41</v>
      </c>
      <c r="K3207" t="s">
        <v>26</v>
      </c>
      <c r="L3207">
        <v>1</v>
      </c>
      <c r="M3207">
        <v>1</v>
      </c>
      <c r="N3207">
        <v>2.4</v>
      </c>
      <c r="O3207">
        <v>7.9</v>
      </c>
      <c r="P3207">
        <v>5</v>
      </c>
      <c r="Q3207">
        <v>7</v>
      </c>
      <c r="R3207">
        <v>842870</v>
      </c>
      <c r="S3207">
        <f>Table1[[#This Row],[Revenue]]-Table1[[#This Row],[Operating_Costs]]</f>
        <v>214715</v>
      </c>
      <c r="T3207">
        <v>628155</v>
      </c>
      <c r="U3207">
        <v>68</v>
      </c>
      <c r="V3207">
        <v>58</v>
      </c>
      <c r="W3207">
        <v>9.4</v>
      </c>
    </row>
    <row r="3208" spans="1:23" x14ac:dyDescent="0.25">
      <c r="A3208">
        <v>10</v>
      </c>
      <c r="B3208" t="s">
        <v>34</v>
      </c>
      <c r="C3208" s="1">
        <v>45035</v>
      </c>
      <c r="D3208" t="s">
        <v>71</v>
      </c>
      <c r="E3208">
        <v>0</v>
      </c>
      <c r="F3208">
        <v>85</v>
      </c>
      <c r="G3208" t="str">
        <f t="shared" si="58"/>
        <v>81+</v>
      </c>
      <c r="H3208" t="s">
        <v>35</v>
      </c>
      <c r="I3208" t="s">
        <v>53</v>
      </c>
      <c r="J3208" t="s">
        <v>54</v>
      </c>
      <c r="K3208" t="s">
        <v>42</v>
      </c>
      <c r="L3208">
        <v>1</v>
      </c>
      <c r="M3208">
        <v>1</v>
      </c>
      <c r="N3208">
        <v>3.9</v>
      </c>
      <c r="O3208">
        <v>8</v>
      </c>
      <c r="P3208">
        <v>7</v>
      </c>
      <c r="Q3208">
        <v>3</v>
      </c>
      <c r="R3208">
        <v>803836</v>
      </c>
      <c r="S3208">
        <f>Table1[[#This Row],[Revenue]]-Table1[[#This Row],[Operating_Costs]]</f>
        <v>156186</v>
      </c>
      <c r="T3208">
        <v>647650</v>
      </c>
      <c r="U3208">
        <v>64</v>
      </c>
      <c r="V3208">
        <v>59</v>
      </c>
      <c r="W3208">
        <v>7.8</v>
      </c>
    </row>
    <row r="3209" spans="1:23" x14ac:dyDescent="0.25">
      <c r="A3209">
        <v>10</v>
      </c>
      <c r="B3209" t="s">
        <v>34</v>
      </c>
      <c r="C3209" s="1">
        <v>44220</v>
      </c>
      <c r="D3209" t="s">
        <v>71</v>
      </c>
      <c r="E3209">
        <v>0</v>
      </c>
      <c r="F3209">
        <v>28</v>
      </c>
      <c r="G3209" t="str">
        <f t="shared" si="58"/>
        <v>21-40</v>
      </c>
      <c r="H3209" t="s">
        <v>23</v>
      </c>
      <c r="I3209" t="s">
        <v>55</v>
      </c>
      <c r="J3209" t="s">
        <v>56</v>
      </c>
      <c r="K3209" t="s">
        <v>33</v>
      </c>
      <c r="L3209">
        <v>1</v>
      </c>
      <c r="M3209">
        <v>1</v>
      </c>
      <c r="N3209">
        <v>3.7</v>
      </c>
      <c r="O3209">
        <v>9.1</v>
      </c>
      <c r="P3209">
        <v>3</v>
      </c>
      <c r="Q3209">
        <v>4</v>
      </c>
      <c r="R3209">
        <v>950823</v>
      </c>
      <c r="S3209">
        <f>Table1[[#This Row],[Revenue]]-Table1[[#This Row],[Operating_Costs]]</f>
        <v>417279</v>
      </c>
      <c r="T3209">
        <v>533544</v>
      </c>
      <c r="U3209">
        <v>70</v>
      </c>
      <c r="V3209">
        <v>66</v>
      </c>
      <c r="W3209">
        <v>9.1</v>
      </c>
    </row>
    <row r="3210" spans="1:23" x14ac:dyDescent="0.25">
      <c r="A3210">
        <v>10</v>
      </c>
      <c r="B3210" t="s">
        <v>34</v>
      </c>
      <c r="C3210" s="1">
        <v>44227</v>
      </c>
      <c r="D3210" t="s">
        <v>71</v>
      </c>
      <c r="E3210">
        <v>0</v>
      </c>
      <c r="F3210">
        <v>53</v>
      </c>
      <c r="G3210" t="str">
        <f t="shared" si="58"/>
        <v>41-60</v>
      </c>
      <c r="H3210" t="s">
        <v>23</v>
      </c>
      <c r="I3210" t="s">
        <v>55</v>
      </c>
      <c r="J3210" t="s">
        <v>56</v>
      </c>
      <c r="K3210" t="s">
        <v>33</v>
      </c>
      <c r="L3210">
        <v>1</v>
      </c>
      <c r="M3210">
        <v>1</v>
      </c>
      <c r="N3210">
        <v>4.3</v>
      </c>
      <c r="O3210">
        <v>8.9</v>
      </c>
      <c r="P3210">
        <v>5</v>
      </c>
      <c r="Q3210">
        <v>7</v>
      </c>
      <c r="R3210">
        <v>925187</v>
      </c>
      <c r="S3210">
        <f>Table1[[#This Row],[Revenue]]-Table1[[#This Row],[Operating_Costs]]</f>
        <v>307755</v>
      </c>
      <c r="T3210">
        <v>617432</v>
      </c>
      <c r="U3210">
        <v>63</v>
      </c>
      <c r="V3210">
        <v>63</v>
      </c>
      <c r="W3210">
        <v>10.199999999999999</v>
      </c>
    </row>
    <row r="3211" spans="1:23" x14ac:dyDescent="0.25">
      <c r="A3211">
        <v>10</v>
      </c>
      <c r="B3211" t="s">
        <v>34</v>
      </c>
      <c r="C3211" s="1">
        <v>44941</v>
      </c>
      <c r="D3211" t="s">
        <v>71</v>
      </c>
      <c r="E3211">
        <v>0</v>
      </c>
      <c r="F3211">
        <v>52</v>
      </c>
      <c r="G3211" t="str">
        <f t="shared" si="58"/>
        <v>41-60</v>
      </c>
      <c r="H3211" t="s">
        <v>35</v>
      </c>
      <c r="I3211" t="s">
        <v>40</v>
      </c>
      <c r="J3211" t="s">
        <v>41</v>
      </c>
      <c r="K3211" t="s">
        <v>38</v>
      </c>
      <c r="L3211">
        <v>1</v>
      </c>
      <c r="M3211">
        <v>1</v>
      </c>
      <c r="N3211">
        <v>2.2000000000000002</v>
      </c>
      <c r="O3211">
        <v>8</v>
      </c>
      <c r="P3211">
        <v>6</v>
      </c>
      <c r="Q3211">
        <v>6</v>
      </c>
      <c r="R3211">
        <v>957105</v>
      </c>
      <c r="S3211">
        <f>Table1[[#This Row],[Revenue]]-Table1[[#This Row],[Operating_Costs]]</f>
        <v>400661</v>
      </c>
      <c r="T3211">
        <v>556444</v>
      </c>
      <c r="U3211">
        <v>63</v>
      </c>
      <c r="V3211">
        <v>59</v>
      </c>
      <c r="W3211">
        <v>9.4</v>
      </c>
    </row>
    <row r="3212" spans="1:23" x14ac:dyDescent="0.25">
      <c r="A3212">
        <v>10</v>
      </c>
      <c r="B3212" t="s">
        <v>34</v>
      </c>
      <c r="C3212" s="1">
        <v>44462</v>
      </c>
      <c r="D3212" t="s">
        <v>71</v>
      </c>
      <c r="E3212">
        <v>0</v>
      </c>
      <c r="F3212">
        <v>56</v>
      </c>
      <c r="G3212" t="str">
        <f t="shared" si="58"/>
        <v>41-60</v>
      </c>
      <c r="H3212" t="s">
        <v>23</v>
      </c>
      <c r="I3212" t="s">
        <v>46</v>
      </c>
      <c r="J3212" t="s">
        <v>47</v>
      </c>
      <c r="K3212" t="s">
        <v>38</v>
      </c>
      <c r="L3212">
        <v>1</v>
      </c>
      <c r="M3212">
        <v>1</v>
      </c>
      <c r="N3212">
        <v>2.8</v>
      </c>
      <c r="O3212">
        <v>7.4</v>
      </c>
      <c r="P3212">
        <v>6</v>
      </c>
      <c r="Q3212">
        <v>6</v>
      </c>
      <c r="R3212">
        <v>888205</v>
      </c>
      <c r="S3212">
        <f>Table1[[#This Row],[Revenue]]-Table1[[#This Row],[Operating_Costs]]</f>
        <v>306502</v>
      </c>
      <c r="T3212">
        <v>581703</v>
      </c>
      <c r="U3212">
        <v>50</v>
      </c>
      <c r="V3212">
        <v>58</v>
      </c>
      <c r="W3212">
        <v>6.1</v>
      </c>
    </row>
    <row r="3213" spans="1:23" x14ac:dyDescent="0.25">
      <c r="A3213">
        <v>9</v>
      </c>
      <c r="B3213" t="s">
        <v>44</v>
      </c>
      <c r="C3213" s="1">
        <v>44684</v>
      </c>
      <c r="D3213" t="s">
        <v>71</v>
      </c>
      <c r="E3213">
        <v>0</v>
      </c>
      <c r="F3213">
        <v>33</v>
      </c>
      <c r="G3213" t="str">
        <f t="shared" si="58"/>
        <v>21-40</v>
      </c>
      <c r="H3213" t="s">
        <v>35</v>
      </c>
      <c r="I3213" t="s">
        <v>40</v>
      </c>
      <c r="J3213" t="s">
        <v>41</v>
      </c>
      <c r="K3213" t="s">
        <v>26</v>
      </c>
      <c r="L3213">
        <v>1</v>
      </c>
      <c r="M3213">
        <v>1</v>
      </c>
      <c r="N3213">
        <v>1.2</v>
      </c>
      <c r="O3213">
        <v>8.6999999999999993</v>
      </c>
      <c r="P3213">
        <v>4</v>
      </c>
      <c r="Q3213">
        <v>3</v>
      </c>
      <c r="R3213">
        <v>571419</v>
      </c>
      <c r="S3213">
        <f>Table1[[#This Row],[Revenue]]-Table1[[#This Row],[Operating_Costs]]</f>
        <v>179887</v>
      </c>
      <c r="T3213">
        <v>391532</v>
      </c>
      <c r="U3213">
        <v>36</v>
      </c>
      <c r="V3213">
        <v>65</v>
      </c>
      <c r="W3213">
        <v>5.8</v>
      </c>
    </row>
    <row r="3214" spans="1:23" x14ac:dyDescent="0.25">
      <c r="A3214">
        <v>9</v>
      </c>
      <c r="B3214" t="s">
        <v>44</v>
      </c>
      <c r="C3214" s="1">
        <v>44389</v>
      </c>
      <c r="D3214" t="s">
        <v>71</v>
      </c>
      <c r="E3214">
        <v>0</v>
      </c>
      <c r="F3214">
        <v>52</v>
      </c>
      <c r="G3214" t="str">
        <f t="shared" si="58"/>
        <v>41-60</v>
      </c>
      <c r="H3214" t="s">
        <v>35</v>
      </c>
      <c r="I3214" t="s">
        <v>60</v>
      </c>
      <c r="J3214" t="s">
        <v>59</v>
      </c>
      <c r="K3214" t="s">
        <v>29</v>
      </c>
      <c r="L3214">
        <v>1</v>
      </c>
      <c r="M3214">
        <v>1</v>
      </c>
      <c r="N3214">
        <v>6.7</v>
      </c>
      <c r="O3214">
        <v>7.9</v>
      </c>
      <c r="P3214">
        <v>3</v>
      </c>
      <c r="Q3214">
        <v>4</v>
      </c>
      <c r="R3214">
        <v>505645</v>
      </c>
      <c r="S3214">
        <f>Table1[[#This Row],[Revenue]]-Table1[[#This Row],[Operating_Costs]]</f>
        <v>105774</v>
      </c>
      <c r="T3214">
        <v>399871</v>
      </c>
      <c r="U3214">
        <v>40</v>
      </c>
      <c r="V3214">
        <v>54</v>
      </c>
      <c r="W3214">
        <v>13.2</v>
      </c>
    </row>
    <row r="3215" spans="1:23" x14ac:dyDescent="0.25">
      <c r="A3215">
        <v>9</v>
      </c>
      <c r="B3215" t="s">
        <v>44</v>
      </c>
      <c r="C3215" s="1">
        <v>44510</v>
      </c>
      <c r="D3215" t="s">
        <v>71</v>
      </c>
      <c r="E3215">
        <v>0</v>
      </c>
      <c r="F3215">
        <v>26</v>
      </c>
      <c r="G3215" t="str">
        <f t="shared" si="58"/>
        <v>21-40</v>
      </c>
      <c r="H3215" t="s">
        <v>23</v>
      </c>
      <c r="I3215" t="s">
        <v>55</v>
      </c>
      <c r="J3215" t="s">
        <v>56</v>
      </c>
      <c r="K3215" t="s">
        <v>38</v>
      </c>
      <c r="L3215">
        <v>1</v>
      </c>
      <c r="M3215">
        <v>1</v>
      </c>
      <c r="N3215">
        <v>2.1</v>
      </c>
      <c r="O3215">
        <v>7.2</v>
      </c>
      <c r="P3215">
        <v>3</v>
      </c>
      <c r="Q3215">
        <v>4</v>
      </c>
      <c r="R3215">
        <v>517064</v>
      </c>
      <c r="S3215">
        <f>Table1[[#This Row],[Revenue]]-Table1[[#This Row],[Operating_Costs]]</f>
        <v>57816</v>
      </c>
      <c r="T3215">
        <v>459248</v>
      </c>
      <c r="U3215">
        <v>39</v>
      </c>
      <c r="V3215">
        <v>65</v>
      </c>
      <c r="W3215">
        <v>10.1</v>
      </c>
    </row>
    <row r="3216" spans="1:23" x14ac:dyDescent="0.25">
      <c r="A3216">
        <v>10</v>
      </c>
      <c r="B3216" t="s">
        <v>34</v>
      </c>
      <c r="C3216" s="1">
        <v>44913</v>
      </c>
      <c r="D3216" t="s">
        <v>71</v>
      </c>
      <c r="E3216">
        <v>0</v>
      </c>
      <c r="F3216">
        <v>38</v>
      </c>
      <c r="G3216" t="str">
        <f t="shared" si="58"/>
        <v>21-40</v>
      </c>
      <c r="H3216" t="s">
        <v>35</v>
      </c>
      <c r="I3216" t="s">
        <v>55</v>
      </c>
      <c r="J3216" t="s">
        <v>56</v>
      </c>
      <c r="K3216" t="s">
        <v>33</v>
      </c>
      <c r="L3216">
        <v>1</v>
      </c>
      <c r="M3216">
        <v>1</v>
      </c>
      <c r="N3216">
        <v>3.5</v>
      </c>
      <c r="O3216">
        <v>7.9</v>
      </c>
      <c r="P3216">
        <v>6</v>
      </c>
      <c r="Q3216">
        <v>3</v>
      </c>
      <c r="R3216">
        <v>986038</v>
      </c>
      <c r="S3216">
        <f>Table1[[#This Row],[Revenue]]-Table1[[#This Row],[Operating_Costs]]</f>
        <v>431137</v>
      </c>
      <c r="T3216">
        <v>554901</v>
      </c>
      <c r="U3216">
        <v>64</v>
      </c>
      <c r="V3216">
        <v>54</v>
      </c>
      <c r="W3216">
        <v>8.4</v>
      </c>
    </row>
    <row r="3217" spans="1:23" x14ac:dyDescent="0.25">
      <c r="A3217">
        <v>9</v>
      </c>
      <c r="B3217" t="s">
        <v>44</v>
      </c>
      <c r="C3217" s="1">
        <v>45002</v>
      </c>
      <c r="D3217" t="s">
        <v>71</v>
      </c>
      <c r="E3217">
        <v>0</v>
      </c>
      <c r="F3217">
        <v>31</v>
      </c>
      <c r="G3217" t="str">
        <f t="shared" si="58"/>
        <v>21-40</v>
      </c>
      <c r="H3217" t="s">
        <v>35</v>
      </c>
      <c r="I3217" t="s">
        <v>46</v>
      </c>
      <c r="J3217" t="s">
        <v>47</v>
      </c>
      <c r="K3217" t="s">
        <v>26</v>
      </c>
      <c r="L3217">
        <v>1</v>
      </c>
      <c r="M3217">
        <v>1</v>
      </c>
      <c r="N3217">
        <v>2.5</v>
      </c>
      <c r="O3217">
        <v>8.1</v>
      </c>
      <c r="P3217">
        <v>5</v>
      </c>
      <c r="Q3217">
        <v>3</v>
      </c>
      <c r="R3217">
        <v>502461</v>
      </c>
      <c r="S3217">
        <f>Table1[[#This Row],[Revenue]]-Table1[[#This Row],[Operating_Costs]]</f>
        <v>97973</v>
      </c>
      <c r="T3217">
        <v>404488</v>
      </c>
      <c r="U3217">
        <v>36</v>
      </c>
      <c r="V3217">
        <v>54</v>
      </c>
      <c r="W3217">
        <v>8.5</v>
      </c>
    </row>
    <row r="3218" spans="1:23" x14ac:dyDescent="0.25">
      <c r="A3218">
        <v>10</v>
      </c>
      <c r="B3218" t="s">
        <v>34</v>
      </c>
      <c r="C3218" s="1">
        <v>44578</v>
      </c>
      <c r="D3218" t="s">
        <v>71</v>
      </c>
      <c r="E3218">
        <v>0</v>
      </c>
      <c r="F3218">
        <v>52</v>
      </c>
      <c r="G3218" t="str">
        <f t="shared" si="58"/>
        <v>41-60</v>
      </c>
      <c r="H3218" t="s">
        <v>23</v>
      </c>
      <c r="I3218" t="s">
        <v>27</v>
      </c>
      <c r="J3218" t="s">
        <v>28</v>
      </c>
      <c r="K3218" t="s">
        <v>33</v>
      </c>
      <c r="L3218">
        <v>1</v>
      </c>
      <c r="M3218">
        <v>1</v>
      </c>
      <c r="N3218">
        <v>5.2</v>
      </c>
      <c r="O3218">
        <v>7</v>
      </c>
      <c r="P3218">
        <v>5</v>
      </c>
      <c r="Q3218">
        <v>6</v>
      </c>
      <c r="R3218">
        <v>829724</v>
      </c>
      <c r="S3218">
        <f>Table1[[#This Row],[Revenue]]-Table1[[#This Row],[Operating_Costs]]</f>
        <v>208778</v>
      </c>
      <c r="T3218">
        <v>620946</v>
      </c>
      <c r="U3218">
        <v>52</v>
      </c>
      <c r="V3218">
        <v>56</v>
      </c>
      <c r="W3218">
        <v>7.1</v>
      </c>
    </row>
    <row r="3219" spans="1:23" x14ac:dyDescent="0.25">
      <c r="A3219">
        <v>10</v>
      </c>
      <c r="B3219" t="s">
        <v>34</v>
      </c>
      <c r="C3219" s="1">
        <v>45547</v>
      </c>
      <c r="D3219" t="s">
        <v>71</v>
      </c>
      <c r="E3219">
        <v>0</v>
      </c>
      <c r="F3219">
        <v>54</v>
      </c>
      <c r="G3219" t="str">
        <f t="shared" si="58"/>
        <v>41-60</v>
      </c>
      <c r="H3219" t="s">
        <v>23</v>
      </c>
      <c r="I3219" t="s">
        <v>31</v>
      </c>
      <c r="J3219" t="s">
        <v>28</v>
      </c>
      <c r="K3219" t="s">
        <v>26</v>
      </c>
      <c r="L3219">
        <v>1</v>
      </c>
      <c r="M3219">
        <v>1</v>
      </c>
      <c r="N3219">
        <v>4.0999999999999996</v>
      </c>
      <c r="O3219">
        <v>9.1999999999999993</v>
      </c>
      <c r="P3219">
        <v>3</v>
      </c>
      <c r="Q3219">
        <v>4</v>
      </c>
      <c r="R3219">
        <v>883777</v>
      </c>
      <c r="S3219">
        <f>Table1[[#This Row],[Revenue]]-Table1[[#This Row],[Operating_Costs]]</f>
        <v>330539</v>
      </c>
      <c r="T3219">
        <v>553238</v>
      </c>
      <c r="U3219">
        <v>50</v>
      </c>
      <c r="V3219">
        <v>64</v>
      </c>
      <c r="W3219">
        <v>8.6999999999999993</v>
      </c>
    </row>
    <row r="3220" spans="1:23" x14ac:dyDescent="0.25">
      <c r="A3220">
        <v>9</v>
      </c>
      <c r="B3220" t="s">
        <v>44</v>
      </c>
      <c r="C3220" s="1">
        <v>44299</v>
      </c>
      <c r="D3220" t="s">
        <v>71</v>
      </c>
      <c r="E3220">
        <v>0</v>
      </c>
      <c r="F3220">
        <v>81</v>
      </c>
      <c r="G3220" t="str">
        <f t="shared" si="58"/>
        <v>81+</v>
      </c>
      <c r="H3220" t="s">
        <v>35</v>
      </c>
      <c r="I3220" t="s">
        <v>31</v>
      </c>
      <c r="J3220" t="s">
        <v>28</v>
      </c>
      <c r="K3220" t="s">
        <v>42</v>
      </c>
      <c r="L3220">
        <v>1</v>
      </c>
      <c r="M3220">
        <v>1</v>
      </c>
      <c r="N3220">
        <v>1.3</v>
      </c>
      <c r="O3220">
        <v>8.4</v>
      </c>
      <c r="P3220">
        <v>4</v>
      </c>
      <c r="Q3220">
        <v>6</v>
      </c>
      <c r="R3220">
        <v>536422</v>
      </c>
      <c r="S3220">
        <f>Table1[[#This Row],[Revenue]]-Table1[[#This Row],[Operating_Costs]]</f>
        <v>55128</v>
      </c>
      <c r="T3220">
        <v>481294</v>
      </c>
      <c r="U3220">
        <v>35</v>
      </c>
      <c r="V3220">
        <v>60</v>
      </c>
      <c r="W3220">
        <v>5.4</v>
      </c>
    </row>
    <row r="3221" spans="1:23" x14ac:dyDescent="0.25">
      <c r="A3221">
        <v>10</v>
      </c>
      <c r="B3221" t="s">
        <v>34</v>
      </c>
      <c r="C3221" s="1">
        <v>45063</v>
      </c>
      <c r="D3221" t="s">
        <v>71</v>
      </c>
      <c r="E3221">
        <v>0</v>
      </c>
      <c r="F3221">
        <v>37</v>
      </c>
      <c r="G3221" t="str">
        <f t="shared" si="58"/>
        <v>21-40</v>
      </c>
      <c r="H3221" t="s">
        <v>23</v>
      </c>
      <c r="I3221" t="s">
        <v>31</v>
      </c>
      <c r="J3221" t="s">
        <v>28</v>
      </c>
      <c r="K3221" t="s">
        <v>42</v>
      </c>
      <c r="L3221">
        <v>1</v>
      </c>
      <c r="M3221">
        <v>1</v>
      </c>
      <c r="N3221">
        <v>4.8</v>
      </c>
      <c r="O3221">
        <v>9.3000000000000007</v>
      </c>
      <c r="P3221">
        <v>3</v>
      </c>
      <c r="Q3221">
        <v>4</v>
      </c>
      <c r="R3221">
        <v>889202</v>
      </c>
      <c r="S3221">
        <f>Table1[[#This Row],[Revenue]]-Table1[[#This Row],[Operating_Costs]]</f>
        <v>356428</v>
      </c>
      <c r="T3221">
        <v>532774</v>
      </c>
      <c r="U3221">
        <v>68</v>
      </c>
      <c r="V3221">
        <v>66</v>
      </c>
      <c r="W3221">
        <v>5.4</v>
      </c>
    </row>
    <row r="3222" spans="1:23" x14ac:dyDescent="0.25">
      <c r="A3222">
        <v>9</v>
      </c>
      <c r="B3222" t="s">
        <v>44</v>
      </c>
      <c r="C3222" s="1">
        <v>44970</v>
      </c>
      <c r="D3222" t="s">
        <v>71</v>
      </c>
      <c r="E3222">
        <v>0</v>
      </c>
      <c r="F3222">
        <v>39</v>
      </c>
      <c r="G3222" t="str">
        <f t="shared" si="58"/>
        <v>21-40</v>
      </c>
      <c r="H3222" t="s">
        <v>23</v>
      </c>
      <c r="I3222" t="s">
        <v>55</v>
      </c>
      <c r="J3222" t="s">
        <v>56</v>
      </c>
      <c r="K3222" t="s">
        <v>29</v>
      </c>
      <c r="L3222">
        <v>1</v>
      </c>
      <c r="M3222">
        <v>1</v>
      </c>
      <c r="N3222">
        <v>5.6</v>
      </c>
      <c r="O3222">
        <v>8.4</v>
      </c>
      <c r="P3222">
        <v>5</v>
      </c>
      <c r="Q3222">
        <v>7</v>
      </c>
      <c r="R3222">
        <v>524357</v>
      </c>
      <c r="S3222">
        <f>Table1[[#This Row],[Revenue]]-Table1[[#This Row],[Operating_Costs]]</f>
        <v>94309</v>
      </c>
      <c r="T3222">
        <v>430048</v>
      </c>
      <c r="U3222">
        <v>36</v>
      </c>
      <c r="V3222">
        <v>64</v>
      </c>
      <c r="W3222">
        <v>9.3000000000000007</v>
      </c>
    </row>
    <row r="3223" spans="1:23" x14ac:dyDescent="0.25">
      <c r="A3223">
        <v>10</v>
      </c>
      <c r="B3223" t="s">
        <v>34</v>
      </c>
      <c r="C3223" s="1">
        <v>44856</v>
      </c>
      <c r="D3223" t="s">
        <v>71</v>
      </c>
      <c r="E3223">
        <v>0</v>
      </c>
      <c r="F3223">
        <v>46</v>
      </c>
      <c r="G3223" t="str">
        <f t="shared" si="58"/>
        <v>41-60</v>
      </c>
      <c r="H3223" t="s">
        <v>23</v>
      </c>
      <c r="I3223" t="s">
        <v>67</v>
      </c>
      <c r="J3223" t="s">
        <v>68</v>
      </c>
      <c r="K3223" t="s">
        <v>33</v>
      </c>
      <c r="L3223">
        <v>1</v>
      </c>
      <c r="M3223">
        <v>1</v>
      </c>
      <c r="N3223">
        <v>4.0999999999999996</v>
      </c>
      <c r="O3223">
        <v>8.1</v>
      </c>
      <c r="P3223">
        <v>3</v>
      </c>
      <c r="Q3223">
        <v>6</v>
      </c>
      <c r="R3223">
        <v>939263</v>
      </c>
      <c r="S3223">
        <f>Table1[[#This Row],[Revenue]]-Table1[[#This Row],[Operating_Costs]]</f>
        <v>437643</v>
      </c>
      <c r="T3223">
        <v>501620</v>
      </c>
      <c r="U3223">
        <v>66</v>
      </c>
      <c r="V3223">
        <v>54</v>
      </c>
      <c r="W3223">
        <v>36.799999999999997</v>
      </c>
    </row>
    <row r="3224" spans="1:23" x14ac:dyDescent="0.25">
      <c r="A3224">
        <v>10</v>
      </c>
      <c r="B3224" t="s">
        <v>34</v>
      </c>
      <c r="C3224" s="1">
        <v>44759</v>
      </c>
      <c r="D3224" t="s">
        <v>71</v>
      </c>
      <c r="E3224">
        <v>0</v>
      </c>
      <c r="F3224">
        <v>33</v>
      </c>
      <c r="G3224" t="str">
        <f t="shared" si="58"/>
        <v>21-40</v>
      </c>
      <c r="H3224" t="s">
        <v>35</v>
      </c>
      <c r="I3224" t="s">
        <v>36</v>
      </c>
      <c r="J3224" t="s">
        <v>37</v>
      </c>
      <c r="K3224" t="s">
        <v>38</v>
      </c>
      <c r="L3224">
        <v>1</v>
      </c>
      <c r="M3224">
        <v>1</v>
      </c>
      <c r="N3224">
        <v>4.0999999999999996</v>
      </c>
      <c r="O3224">
        <v>9.4</v>
      </c>
      <c r="P3224">
        <v>6</v>
      </c>
      <c r="Q3224">
        <v>5</v>
      </c>
      <c r="R3224">
        <v>953263</v>
      </c>
      <c r="S3224">
        <f>Table1[[#This Row],[Revenue]]-Table1[[#This Row],[Operating_Costs]]</f>
        <v>422281</v>
      </c>
      <c r="T3224">
        <v>530982</v>
      </c>
      <c r="U3224">
        <v>55</v>
      </c>
      <c r="V3224">
        <v>66</v>
      </c>
      <c r="W3224">
        <v>14.4</v>
      </c>
    </row>
    <row r="3225" spans="1:23" x14ac:dyDescent="0.25">
      <c r="A3225">
        <v>10</v>
      </c>
      <c r="B3225" t="s">
        <v>34</v>
      </c>
      <c r="C3225" s="1">
        <v>45250</v>
      </c>
      <c r="D3225" t="s">
        <v>71</v>
      </c>
      <c r="E3225">
        <v>0</v>
      </c>
      <c r="F3225">
        <v>44</v>
      </c>
      <c r="G3225" t="str">
        <f t="shared" si="58"/>
        <v>41-60</v>
      </c>
      <c r="H3225" t="s">
        <v>35</v>
      </c>
      <c r="I3225" t="s">
        <v>53</v>
      </c>
      <c r="J3225" t="s">
        <v>54</v>
      </c>
      <c r="K3225" t="s">
        <v>42</v>
      </c>
      <c r="L3225">
        <v>1</v>
      </c>
      <c r="M3225">
        <v>1</v>
      </c>
      <c r="N3225">
        <v>4.0999999999999996</v>
      </c>
      <c r="O3225">
        <v>8.3000000000000007</v>
      </c>
      <c r="P3225">
        <v>3</v>
      </c>
      <c r="Q3225">
        <v>7</v>
      </c>
      <c r="R3225">
        <v>858523</v>
      </c>
      <c r="S3225">
        <f>Table1[[#This Row],[Revenue]]-Table1[[#This Row],[Operating_Costs]]</f>
        <v>342276</v>
      </c>
      <c r="T3225">
        <v>516247</v>
      </c>
      <c r="U3225">
        <v>61</v>
      </c>
      <c r="V3225">
        <v>63</v>
      </c>
      <c r="W3225">
        <v>10.3</v>
      </c>
    </row>
    <row r="3226" spans="1:23" x14ac:dyDescent="0.25">
      <c r="A3226">
        <v>10</v>
      </c>
      <c r="B3226" t="s">
        <v>34</v>
      </c>
      <c r="C3226" s="1">
        <v>45547</v>
      </c>
      <c r="D3226" t="s">
        <v>71</v>
      </c>
      <c r="E3226">
        <v>0</v>
      </c>
      <c r="F3226">
        <v>34</v>
      </c>
      <c r="G3226" t="str">
        <f t="shared" si="58"/>
        <v>21-40</v>
      </c>
      <c r="H3226" t="s">
        <v>23</v>
      </c>
      <c r="I3226" t="s">
        <v>64</v>
      </c>
      <c r="J3226" t="s">
        <v>65</v>
      </c>
      <c r="K3226" t="s">
        <v>33</v>
      </c>
      <c r="L3226">
        <v>1</v>
      </c>
      <c r="M3226">
        <v>1</v>
      </c>
      <c r="N3226">
        <v>1.9</v>
      </c>
      <c r="O3226">
        <v>7.4</v>
      </c>
      <c r="P3226">
        <v>6</v>
      </c>
      <c r="Q3226">
        <v>6</v>
      </c>
      <c r="R3226">
        <v>924260</v>
      </c>
      <c r="S3226">
        <f>Table1[[#This Row],[Revenue]]-Table1[[#This Row],[Operating_Costs]]</f>
        <v>409589</v>
      </c>
      <c r="T3226">
        <v>514671</v>
      </c>
      <c r="U3226">
        <v>66</v>
      </c>
      <c r="V3226">
        <v>55</v>
      </c>
      <c r="W3226">
        <v>6.6</v>
      </c>
    </row>
    <row r="3227" spans="1:23" x14ac:dyDescent="0.25">
      <c r="A3227">
        <v>9</v>
      </c>
      <c r="B3227" t="s">
        <v>44</v>
      </c>
      <c r="C3227" s="1">
        <v>45451</v>
      </c>
      <c r="D3227" t="s">
        <v>71</v>
      </c>
      <c r="E3227">
        <v>0</v>
      </c>
      <c r="F3227">
        <v>87</v>
      </c>
      <c r="G3227" t="str">
        <f t="shared" si="58"/>
        <v>81+</v>
      </c>
      <c r="H3227" t="s">
        <v>35</v>
      </c>
      <c r="I3227" t="s">
        <v>46</v>
      </c>
      <c r="J3227" t="s">
        <v>47</v>
      </c>
      <c r="K3227" t="s">
        <v>29</v>
      </c>
      <c r="L3227">
        <v>1</v>
      </c>
      <c r="M3227">
        <v>1</v>
      </c>
      <c r="N3227">
        <v>5.9</v>
      </c>
      <c r="O3227">
        <v>8.1999999999999993</v>
      </c>
      <c r="P3227">
        <v>4</v>
      </c>
      <c r="Q3227">
        <v>5</v>
      </c>
      <c r="R3227">
        <v>563367</v>
      </c>
      <c r="S3227">
        <f>Table1[[#This Row],[Revenue]]-Table1[[#This Row],[Operating_Costs]]</f>
        <v>129489</v>
      </c>
      <c r="T3227">
        <v>433878</v>
      </c>
      <c r="U3227">
        <v>35</v>
      </c>
      <c r="V3227">
        <v>66</v>
      </c>
      <c r="W3227">
        <v>8</v>
      </c>
    </row>
    <row r="3228" spans="1:23" x14ac:dyDescent="0.25">
      <c r="A3228">
        <v>10</v>
      </c>
      <c r="B3228" t="s">
        <v>34</v>
      </c>
      <c r="C3228" s="1">
        <v>45552</v>
      </c>
      <c r="D3228" t="s">
        <v>71</v>
      </c>
      <c r="E3228">
        <v>0</v>
      </c>
      <c r="F3228">
        <v>52</v>
      </c>
      <c r="G3228" t="str">
        <f t="shared" si="58"/>
        <v>41-60</v>
      </c>
      <c r="H3228" t="s">
        <v>23</v>
      </c>
      <c r="I3228" t="s">
        <v>31</v>
      </c>
      <c r="J3228" t="s">
        <v>28</v>
      </c>
      <c r="K3228" t="s">
        <v>26</v>
      </c>
      <c r="L3228">
        <v>1</v>
      </c>
      <c r="M3228">
        <v>1</v>
      </c>
      <c r="N3228">
        <v>6.7</v>
      </c>
      <c r="O3228">
        <v>7.7</v>
      </c>
      <c r="P3228">
        <v>4</v>
      </c>
      <c r="Q3228">
        <v>5</v>
      </c>
      <c r="R3228">
        <v>805621</v>
      </c>
      <c r="S3228">
        <f>Table1[[#This Row],[Revenue]]-Table1[[#This Row],[Operating_Costs]]</f>
        <v>123581</v>
      </c>
      <c r="T3228">
        <v>682040</v>
      </c>
      <c r="U3228">
        <v>51</v>
      </c>
      <c r="V3228">
        <v>55</v>
      </c>
      <c r="W3228">
        <v>5.3</v>
      </c>
    </row>
    <row r="3229" spans="1:23" x14ac:dyDescent="0.25">
      <c r="A3229">
        <v>9</v>
      </c>
      <c r="B3229" t="s">
        <v>44</v>
      </c>
      <c r="C3229" s="1">
        <v>44936</v>
      </c>
      <c r="D3229" t="s">
        <v>71</v>
      </c>
      <c r="E3229">
        <v>0</v>
      </c>
      <c r="F3229">
        <v>88</v>
      </c>
      <c r="G3229" t="str">
        <f t="shared" si="58"/>
        <v>81+</v>
      </c>
      <c r="H3229" t="s">
        <v>35</v>
      </c>
      <c r="I3229" t="s">
        <v>36</v>
      </c>
      <c r="J3229" t="s">
        <v>37</v>
      </c>
      <c r="K3229" t="s">
        <v>42</v>
      </c>
      <c r="L3229">
        <v>1</v>
      </c>
      <c r="M3229">
        <v>1</v>
      </c>
      <c r="N3229">
        <v>5.2</v>
      </c>
      <c r="O3229">
        <v>9.5</v>
      </c>
      <c r="P3229">
        <v>6</v>
      </c>
      <c r="Q3229">
        <v>5</v>
      </c>
      <c r="R3229">
        <v>520498</v>
      </c>
      <c r="S3229">
        <f>Table1[[#This Row],[Revenue]]-Table1[[#This Row],[Operating_Costs]]</f>
        <v>105833</v>
      </c>
      <c r="T3229">
        <v>414665</v>
      </c>
      <c r="U3229">
        <v>38</v>
      </c>
      <c r="V3229">
        <v>65</v>
      </c>
      <c r="W3229">
        <v>10.199999999999999</v>
      </c>
    </row>
    <row r="3230" spans="1:23" x14ac:dyDescent="0.25">
      <c r="A3230">
        <v>9</v>
      </c>
      <c r="B3230" t="s">
        <v>44</v>
      </c>
      <c r="C3230" s="1">
        <v>44252</v>
      </c>
      <c r="D3230" t="s">
        <v>71</v>
      </c>
      <c r="E3230">
        <v>0</v>
      </c>
      <c r="F3230">
        <v>48</v>
      </c>
      <c r="G3230" t="str">
        <f t="shared" si="58"/>
        <v>41-60</v>
      </c>
      <c r="H3230" t="s">
        <v>23</v>
      </c>
      <c r="I3230" t="s">
        <v>27</v>
      </c>
      <c r="J3230" t="s">
        <v>28</v>
      </c>
      <c r="K3230" t="s">
        <v>33</v>
      </c>
      <c r="L3230">
        <v>1</v>
      </c>
      <c r="M3230">
        <v>1</v>
      </c>
      <c r="N3230">
        <v>1.7</v>
      </c>
      <c r="O3230">
        <v>8.6999999999999993</v>
      </c>
      <c r="P3230">
        <v>4</v>
      </c>
      <c r="Q3230">
        <v>5</v>
      </c>
      <c r="R3230">
        <v>558240</v>
      </c>
      <c r="S3230">
        <f>Table1[[#This Row],[Revenue]]-Table1[[#This Row],[Operating_Costs]]</f>
        <v>118347</v>
      </c>
      <c r="T3230">
        <v>439893</v>
      </c>
      <c r="U3230">
        <v>40</v>
      </c>
      <c r="V3230">
        <v>65</v>
      </c>
      <c r="W3230">
        <v>6.7</v>
      </c>
    </row>
    <row r="3231" spans="1:23" x14ac:dyDescent="0.25">
      <c r="A3231">
        <v>9</v>
      </c>
      <c r="B3231" t="s">
        <v>44</v>
      </c>
      <c r="C3231" s="1">
        <v>45137</v>
      </c>
      <c r="D3231" t="s">
        <v>71</v>
      </c>
      <c r="E3231">
        <v>0</v>
      </c>
      <c r="F3231">
        <v>21</v>
      </c>
      <c r="G3231" t="str">
        <f t="shared" si="58"/>
        <v>21-40</v>
      </c>
      <c r="H3231" t="s">
        <v>35</v>
      </c>
      <c r="I3231" t="s">
        <v>36</v>
      </c>
      <c r="J3231" t="s">
        <v>37</v>
      </c>
      <c r="K3231" t="s">
        <v>42</v>
      </c>
      <c r="L3231">
        <v>1</v>
      </c>
      <c r="M3231">
        <v>1</v>
      </c>
      <c r="N3231">
        <v>3.9</v>
      </c>
      <c r="O3231">
        <v>8.8000000000000007</v>
      </c>
      <c r="P3231">
        <v>3</v>
      </c>
      <c r="Q3231">
        <v>4</v>
      </c>
      <c r="R3231">
        <v>598363</v>
      </c>
      <c r="S3231">
        <f>Table1[[#This Row],[Revenue]]-Table1[[#This Row],[Operating_Costs]]</f>
        <v>179334</v>
      </c>
      <c r="T3231">
        <v>419029</v>
      </c>
      <c r="U3231">
        <v>38</v>
      </c>
      <c r="V3231">
        <v>65</v>
      </c>
      <c r="W3231">
        <v>8.8000000000000007</v>
      </c>
    </row>
    <row r="3232" spans="1:23" x14ac:dyDescent="0.25">
      <c r="A3232">
        <v>10</v>
      </c>
      <c r="B3232" t="s">
        <v>34</v>
      </c>
      <c r="C3232" s="1">
        <v>44747</v>
      </c>
      <c r="D3232" t="s">
        <v>71</v>
      </c>
      <c r="E3232">
        <v>0</v>
      </c>
      <c r="F3232">
        <v>65</v>
      </c>
      <c r="G3232" t="str">
        <f t="shared" si="58"/>
        <v>61-80</v>
      </c>
      <c r="H3232" t="s">
        <v>23</v>
      </c>
      <c r="I3232" t="s">
        <v>46</v>
      </c>
      <c r="J3232" t="s">
        <v>47</v>
      </c>
      <c r="K3232" t="s">
        <v>38</v>
      </c>
      <c r="L3232">
        <v>1</v>
      </c>
      <c r="M3232">
        <v>1</v>
      </c>
      <c r="N3232">
        <v>5.3</v>
      </c>
      <c r="O3232">
        <v>8.3000000000000007</v>
      </c>
      <c r="P3232">
        <v>4</v>
      </c>
      <c r="Q3232">
        <v>4</v>
      </c>
      <c r="R3232">
        <v>825532</v>
      </c>
      <c r="S3232">
        <f>Table1[[#This Row],[Revenue]]-Table1[[#This Row],[Operating_Costs]]</f>
        <v>269792</v>
      </c>
      <c r="T3232">
        <v>555740</v>
      </c>
      <c r="U3232">
        <v>69</v>
      </c>
      <c r="V3232">
        <v>60</v>
      </c>
      <c r="W3232">
        <v>14.5</v>
      </c>
    </row>
    <row r="3233" spans="1:23" x14ac:dyDescent="0.25">
      <c r="A3233">
        <v>9</v>
      </c>
      <c r="B3233" t="s">
        <v>44</v>
      </c>
      <c r="C3233" s="1">
        <v>44558</v>
      </c>
      <c r="D3233" t="s">
        <v>71</v>
      </c>
      <c r="E3233">
        <v>0</v>
      </c>
      <c r="F3233">
        <v>67</v>
      </c>
      <c r="G3233" t="str">
        <f t="shared" si="58"/>
        <v>61-80</v>
      </c>
      <c r="H3233" t="s">
        <v>23</v>
      </c>
      <c r="I3233" t="s">
        <v>55</v>
      </c>
      <c r="J3233" t="s">
        <v>56</v>
      </c>
      <c r="K3233" t="s">
        <v>26</v>
      </c>
      <c r="L3233">
        <v>1</v>
      </c>
      <c r="M3233">
        <v>1</v>
      </c>
      <c r="N3233">
        <v>3.6</v>
      </c>
      <c r="O3233">
        <v>7.8</v>
      </c>
      <c r="P3233">
        <v>6</v>
      </c>
      <c r="Q3233">
        <v>7</v>
      </c>
      <c r="R3233">
        <v>518075</v>
      </c>
      <c r="S3233">
        <f>Table1[[#This Row],[Revenue]]-Table1[[#This Row],[Operating_Costs]]</f>
        <v>117160</v>
      </c>
      <c r="T3233">
        <v>400915</v>
      </c>
      <c r="U3233">
        <v>38</v>
      </c>
      <c r="V3233">
        <v>65</v>
      </c>
      <c r="W3233">
        <v>7.5</v>
      </c>
    </row>
    <row r="3234" spans="1:23" x14ac:dyDescent="0.25">
      <c r="A3234">
        <v>9</v>
      </c>
      <c r="B3234" t="s">
        <v>44</v>
      </c>
      <c r="C3234" s="1">
        <v>45647</v>
      </c>
      <c r="D3234" t="s">
        <v>71</v>
      </c>
      <c r="E3234">
        <v>0</v>
      </c>
      <c r="F3234">
        <v>34</v>
      </c>
      <c r="G3234" t="str">
        <f t="shared" si="58"/>
        <v>21-40</v>
      </c>
      <c r="H3234" t="s">
        <v>35</v>
      </c>
      <c r="I3234" t="s">
        <v>53</v>
      </c>
      <c r="J3234" t="s">
        <v>54</v>
      </c>
      <c r="K3234" t="s">
        <v>33</v>
      </c>
      <c r="L3234">
        <v>1</v>
      </c>
      <c r="M3234">
        <v>1</v>
      </c>
      <c r="N3234">
        <v>4.4000000000000004</v>
      </c>
      <c r="O3234">
        <v>8.9</v>
      </c>
      <c r="P3234">
        <v>5</v>
      </c>
      <c r="Q3234">
        <v>7</v>
      </c>
      <c r="R3234">
        <v>569907</v>
      </c>
      <c r="S3234">
        <f>Table1[[#This Row],[Revenue]]-Table1[[#This Row],[Operating_Costs]]</f>
        <v>126461</v>
      </c>
      <c r="T3234">
        <v>443446</v>
      </c>
      <c r="U3234">
        <v>38</v>
      </c>
      <c r="V3234">
        <v>66</v>
      </c>
      <c r="W3234">
        <v>8.1999999999999993</v>
      </c>
    </row>
    <row r="3235" spans="1:23" x14ac:dyDescent="0.25">
      <c r="A3235">
        <v>10</v>
      </c>
      <c r="B3235" t="s">
        <v>34</v>
      </c>
      <c r="C3235" s="1">
        <v>44703</v>
      </c>
      <c r="D3235" t="s">
        <v>71</v>
      </c>
      <c r="E3235">
        <v>0</v>
      </c>
      <c r="F3235">
        <v>41</v>
      </c>
      <c r="G3235" t="str">
        <f t="shared" si="58"/>
        <v>41-60</v>
      </c>
      <c r="H3235" t="s">
        <v>35</v>
      </c>
      <c r="I3235" t="s">
        <v>27</v>
      </c>
      <c r="J3235" t="s">
        <v>28</v>
      </c>
      <c r="K3235" t="s">
        <v>29</v>
      </c>
      <c r="L3235">
        <v>1</v>
      </c>
      <c r="M3235">
        <v>1</v>
      </c>
      <c r="N3235">
        <v>4.4000000000000004</v>
      </c>
      <c r="O3235">
        <v>7.8</v>
      </c>
      <c r="P3235">
        <v>6</v>
      </c>
      <c r="Q3235">
        <v>3</v>
      </c>
      <c r="R3235">
        <v>866206</v>
      </c>
      <c r="S3235">
        <f>Table1[[#This Row],[Revenue]]-Table1[[#This Row],[Operating_Costs]]</f>
        <v>231100</v>
      </c>
      <c r="T3235">
        <v>635106</v>
      </c>
      <c r="U3235">
        <v>58</v>
      </c>
      <c r="V3235">
        <v>63</v>
      </c>
      <c r="W3235">
        <v>14</v>
      </c>
    </row>
    <row r="3236" spans="1:23" x14ac:dyDescent="0.25">
      <c r="A3236">
        <v>10</v>
      </c>
      <c r="B3236" t="s">
        <v>34</v>
      </c>
      <c r="C3236" s="1">
        <v>45285</v>
      </c>
      <c r="D3236" t="s">
        <v>71</v>
      </c>
      <c r="E3236">
        <v>0</v>
      </c>
      <c r="F3236">
        <v>74</v>
      </c>
      <c r="G3236" t="str">
        <f t="shared" si="58"/>
        <v>61-80</v>
      </c>
      <c r="H3236" t="s">
        <v>23</v>
      </c>
      <c r="I3236" t="s">
        <v>61</v>
      </c>
      <c r="J3236" t="s">
        <v>62</v>
      </c>
      <c r="K3236" t="s">
        <v>38</v>
      </c>
      <c r="L3236">
        <v>1</v>
      </c>
      <c r="M3236">
        <v>1</v>
      </c>
      <c r="N3236">
        <v>4.5999999999999996</v>
      </c>
      <c r="O3236">
        <v>7.5</v>
      </c>
      <c r="P3236">
        <v>5</v>
      </c>
      <c r="Q3236">
        <v>6</v>
      </c>
      <c r="R3236">
        <v>926710</v>
      </c>
      <c r="S3236">
        <f>Table1[[#This Row],[Revenue]]-Table1[[#This Row],[Operating_Costs]]</f>
        <v>296843</v>
      </c>
      <c r="T3236">
        <v>629867</v>
      </c>
      <c r="U3236">
        <v>61</v>
      </c>
      <c r="V3236">
        <v>66</v>
      </c>
      <c r="W3236">
        <v>7.1</v>
      </c>
    </row>
    <row r="3237" spans="1:23" x14ac:dyDescent="0.25">
      <c r="A3237">
        <v>10</v>
      </c>
      <c r="B3237" t="s">
        <v>34</v>
      </c>
      <c r="C3237" s="1">
        <v>45598</v>
      </c>
      <c r="D3237" t="s">
        <v>71</v>
      </c>
      <c r="E3237">
        <v>0</v>
      </c>
      <c r="F3237">
        <v>86</v>
      </c>
      <c r="G3237" t="str">
        <f t="shared" si="58"/>
        <v>81+</v>
      </c>
      <c r="H3237" t="s">
        <v>35</v>
      </c>
      <c r="I3237" t="s">
        <v>58</v>
      </c>
      <c r="J3237" t="s">
        <v>59</v>
      </c>
      <c r="K3237" t="s">
        <v>38</v>
      </c>
      <c r="L3237">
        <v>1</v>
      </c>
      <c r="M3237">
        <v>1</v>
      </c>
      <c r="N3237">
        <v>6.6</v>
      </c>
      <c r="O3237">
        <v>8.1999999999999993</v>
      </c>
      <c r="P3237">
        <v>3</v>
      </c>
      <c r="Q3237">
        <v>5</v>
      </c>
      <c r="R3237">
        <v>865990</v>
      </c>
      <c r="S3237">
        <f>Table1[[#This Row],[Revenue]]-Table1[[#This Row],[Operating_Costs]]</f>
        <v>349480</v>
      </c>
      <c r="T3237">
        <v>516510</v>
      </c>
      <c r="U3237">
        <v>58</v>
      </c>
      <c r="V3237">
        <v>56</v>
      </c>
      <c r="W3237">
        <v>5.9</v>
      </c>
    </row>
    <row r="3238" spans="1:23" x14ac:dyDescent="0.25">
      <c r="A3238">
        <v>10</v>
      </c>
      <c r="B3238" t="s">
        <v>34</v>
      </c>
      <c r="C3238" s="1">
        <v>45178</v>
      </c>
      <c r="D3238" t="s">
        <v>71</v>
      </c>
      <c r="E3238">
        <v>0</v>
      </c>
      <c r="F3238">
        <v>81</v>
      </c>
      <c r="G3238" t="str">
        <f t="shared" si="58"/>
        <v>81+</v>
      </c>
      <c r="H3238" t="s">
        <v>35</v>
      </c>
      <c r="I3238" t="s">
        <v>27</v>
      </c>
      <c r="J3238" t="s">
        <v>28</v>
      </c>
      <c r="K3238" t="s">
        <v>26</v>
      </c>
      <c r="L3238">
        <v>1</v>
      </c>
      <c r="M3238">
        <v>1</v>
      </c>
      <c r="N3238">
        <v>4.9000000000000004</v>
      </c>
      <c r="O3238">
        <v>9.8000000000000007</v>
      </c>
      <c r="P3238">
        <v>4</v>
      </c>
      <c r="Q3238">
        <v>5</v>
      </c>
      <c r="R3238">
        <v>838139</v>
      </c>
      <c r="S3238">
        <f>Table1[[#This Row],[Revenue]]-Table1[[#This Row],[Operating_Costs]]</f>
        <v>284059</v>
      </c>
      <c r="T3238">
        <v>554080</v>
      </c>
      <c r="U3238">
        <v>65</v>
      </c>
      <c r="V3238">
        <v>59</v>
      </c>
      <c r="W3238">
        <v>36.299999999999997</v>
      </c>
    </row>
    <row r="3239" spans="1:23" x14ac:dyDescent="0.25">
      <c r="A3239">
        <v>10</v>
      </c>
      <c r="B3239" t="s">
        <v>34</v>
      </c>
      <c r="C3239" s="1">
        <v>44991</v>
      </c>
      <c r="D3239" t="s">
        <v>71</v>
      </c>
      <c r="E3239">
        <v>0</v>
      </c>
      <c r="F3239">
        <v>47</v>
      </c>
      <c r="G3239" t="str">
        <f t="shared" si="58"/>
        <v>41-60</v>
      </c>
      <c r="H3239" t="s">
        <v>35</v>
      </c>
      <c r="I3239" t="s">
        <v>31</v>
      </c>
      <c r="J3239" t="s">
        <v>28</v>
      </c>
      <c r="K3239" t="s">
        <v>33</v>
      </c>
      <c r="L3239">
        <v>1</v>
      </c>
      <c r="M3239">
        <v>1</v>
      </c>
      <c r="N3239">
        <v>1.9</v>
      </c>
      <c r="O3239">
        <v>7.8</v>
      </c>
      <c r="P3239">
        <v>4</v>
      </c>
      <c r="Q3239">
        <v>5</v>
      </c>
      <c r="R3239">
        <v>807423</v>
      </c>
      <c r="S3239">
        <f>Table1[[#This Row],[Revenue]]-Table1[[#This Row],[Operating_Costs]]</f>
        <v>142794</v>
      </c>
      <c r="T3239">
        <v>664629</v>
      </c>
      <c r="U3239">
        <v>57</v>
      </c>
      <c r="V3239">
        <v>54</v>
      </c>
      <c r="W3239">
        <v>12.3</v>
      </c>
    </row>
    <row r="3240" spans="1:23" x14ac:dyDescent="0.25">
      <c r="A3240">
        <v>10</v>
      </c>
      <c r="B3240" t="s">
        <v>34</v>
      </c>
      <c r="C3240" s="1">
        <v>44681</v>
      </c>
      <c r="D3240" t="s">
        <v>71</v>
      </c>
      <c r="E3240">
        <v>0</v>
      </c>
      <c r="F3240">
        <v>72</v>
      </c>
      <c r="G3240" t="str">
        <f t="shared" si="58"/>
        <v>61-80</v>
      </c>
      <c r="H3240" t="s">
        <v>23</v>
      </c>
      <c r="I3240" t="s">
        <v>61</v>
      </c>
      <c r="J3240" t="s">
        <v>62</v>
      </c>
      <c r="K3240" t="s">
        <v>38</v>
      </c>
      <c r="L3240">
        <v>1</v>
      </c>
      <c r="M3240">
        <v>1</v>
      </c>
      <c r="N3240">
        <v>3.5</v>
      </c>
      <c r="O3240">
        <v>8.9</v>
      </c>
      <c r="P3240">
        <v>3</v>
      </c>
      <c r="Q3240">
        <v>6</v>
      </c>
      <c r="R3240">
        <v>993609</v>
      </c>
      <c r="S3240">
        <f>Table1[[#This Row],[Revenue]]-Table1[[#This Row],[Operating_Costs]]</f>
        <v>337690</v>
      </c>
      <c r="T3240">
        <v>655919</v>
      </c>
      <c r="U3240">
        <v>55</v>
      </c>
      <c r="V3240">
        <v>54</v>
      </c>
      <c r="W3240">
        <v>14.1</v>
      </c>
    </row>
    <row r="3241" spans="1:23" x14ac:dyDescent="0.25">
      <c r="A3241">
        <v>10</v>
      </c>
      <c r="B3241" t="s">
        <v>34</v>
      </c>
      <c r="C3241" s="1">
        <v>45621</v>
      </c>
      <c r="D3241" t="s">
        <v>71</v>
      </c>
      <c r="E3241">
        <v>0</v>
      </c>
      <c r="F3241">
        <v>90</v>
      </c>
      <c r="G3241" t="str">
        <f t="shared" si="58"/>
        <v>81+</v>
      </c>
      <c r="H3241" t="s">
        <v>35</v>
      </c>
      <c r="I3241" t="s">
        <v>36</v>
      </c>
      <c r="J3241" t="s">
        <v>37</v>
      </c>
      <c r="K3241" t="s">
        <v>29</v>
      </c>
      <c r="L3241">
        <v>1</v>
      </c>
      <c r="M3241">
        <v>1</v>
      </c>
      <c r="N3241">
        <v>3.8</v>
      </c>
      <c r="O3241">
        <v>9</v>
      </c>
      <c r="P3241">
        <v>5</v>
      </c>
      <c r="Q3241">
        <v>3</v>
      </c>
      <c r="R3241">
        <v>852732</v>
      </c>
      <c r="S3241">
        <f>Table1[[#This Row],[Revenue]]-Table1[[#This Row],[Operating_Costs]]</f>
        <v>243344</v>
      </c>
      <c r="T3241">
        <v>609388</v>
      </c>
      <c r="U3241">
        <v>62</v>
      </c>
      <c r="V3241">
        <v>66</v>
      </c>
      <c r="W3241">
        <v>14</v>
      </c>
    </row>
    <row r="3242" spans="1:23" x14ac:dyDescent="0.25">
      <c r="A3242">
        <v>10</v>
      </c>
      <c r="B3242" t="s">
        <v>34</v>
      </c>
      <c r="C3242" s="1">
        <v>45371</v>
      </c>
      <c r="D3242" t="s">
        <v>71</v>
      </c>
      <c r="E3242">
        <v>0</v>
      </c>
      <c r="F3242">
        <v>62</v>
      </c>
      <c r="G3242" t="str">
        <f t="shared" si="58"/>
        <v>61-80</v>
      </c>
      <c r="H3242" t="s">
        <v>35</v>
      </c>
      <c r="I3242" t="s">
        <v>61</v>
      </c>
      <c r="J3242" t="s">
        <v>62</v>
      </c>
      <c r="K3242" t="s">
        <v>29</v>
      </c>
      <c r="L3242">
        <v>1</v>
      </c>
      <c r="M3242">
        <v>1</v>
      </c>
      <c r="N3242">
        <v>5.6</v>
      </c>
      <c r="O3242">
        <v>9.6</v>
      </c>
      <c r="P3242">
        <v>7</v>
      </c>
      <c r="Q3242">
        <v>3</v>
      </c>
      <c r="R3242">
        <v>928649</v>
      </c>
      <c r="S3242">
        <f>Table1[[#This Row],[Revenue]]-Table1[[#This Row],[Operating_Costs]]</f>
        <v>320770</v>
      </c>
      <c r="T3242">
        <v>607879</v>
      </c>
      <c r="U3242">
        <v>54</v>
      </c>
      <c r="V3242">
        <v>62</v>
      </c>
      <c r="W3242">
        <v>9.5</v>
      </c>
    </row>
    <row r="3243" spans="1:23" x14ac:dyDescent="0.25">
      <c r="A3243">
        <v>10</v>
      </c>
      <c r="B3243" t="s">
        <v>34</v>
      </c>
      <c r="C3243" s="1">
        <v>44582</v>
      </c>
      <c r="D3243" t="s">
        <v>71</v>
      </c>
      <c r="E3243">
        <v>0</v>
      </c>
      <c r="F3243">
        <v>34</v>
      </c>
      <c r="G3243" t="str">
        <f t="shared" si="58"/>
        <v>21-40</v>
      </c>
      <c r="H3243" t="s">
        <v>35</v>
      </c>
      <c r="I3243" t="s">
        <v>60</v>
      </c>
      <c r="J3243" t="s">
        <v>59</v>
      </c>
      <c r="K3243" t="s">
        <v>26</v>
      </c>
      <c r="L3243">
        <v>1</v>
      </c>
      <c r="M3243">
        <v>1</v>
      </c>
      <c r="N3243">
        <v>6.1</v>
      </c>
      <c r="O3243">
        <v>8.3000000000000007</v>
      </c>
      <c r="P3243">
        <v>5</v>
      </c>
      <c r="Q3243">
        <v>5</v>
      </c>
      <c r="R3243">
        <v>938485</v>
      </c>
      <c r="S3243">
        <f>Table1[[#This Row],[Revenue]]-Table1[[#This Row],[Operating_Costs]]</f>
        <v>348778</v>
      </c>
      <c r="T3243">
        <v>589707</v>
      </c>
      <c r="U3243">
        <v>61</v>
      </c>
      <c r="V3243">
        <v>63</v>
      </c>
      <c r="W3243">
        <v>10.6</v>
      </c>
    </row>
    <row r="3244" spans="1:23" x14ac:dyDescent="0.25">
      <c r="A3244">
        <v>10</v>
      </c>
      <c r="B3244" t="s">
        <v>34</v>
      </c>
      <c r="C3244" s="1">
        <v>44706</v>
      </c>
      <c r="D3244" t="s">
        <v>71</v>
      </c>
      <c r="E3244">
        <v>0</v>
      </c>
      <c r="F3244">
        <v>29</v>
      </c>
      <c r="G3244" t="str">
        <f t="shared" si="58"/>
        <v>21-40</v>
      </c>
      <c r="H3244" t="s">
        <v>23</v>
      </c>
      <c r="I3244" t="s">
        <v>24</v>
      </c>
      <c r="J3244" t="s">
        <v>25</v>
      </c>
      <c r="K3244" t="s">
        <v>33</v>
      </c>
      <c r="L3244">
        <v>1</v>
      </c>
      <c r="M3244">
        <v>1</v>
      </c>
      <c r="N3244">
        <v>4.9000000000000004</v>
      </c>
      <c r="O3244">
        <v>10</v>
      </c>
      <c r="P3244">
        <v>4</v>
      </c>
      <c r="Q3244">
        <v>5</v>
      </c>
      <c r="R3244">
        <v>839310</v>
      </c>
      <c r="S3244">
        <f>Table1[[#This Row],[Revenue]]-Table1[[#This Row],[Operating_Costs]]</f>
        <v>322084</v>
      </c>
      <c r="T3244">
        <v>517226</v>
      </c>
      <c r="U3244">
        <v>66</v>
      </c>
      <c r="V3244">
        <v>61</v>
      </c>
      <c r="W3244">
        <v>6.7</v>
      </c>
    </row>
    <row r="3245" spans="1:23" x14ac:dyDescent="0.25">
      <c r="A3245">
        <v>10</v>
      </c>
      <c r="B3245" t="s">
        <v>34</v>
      </c>
      <c r="C3245" s="1">
        <v>44481</v>
      </c>
      <c r="D3245" t="s">
        <v>71</v>
      </c>
      <c r="E3245">
        <v>0</v>
      </c>
      <c r="F3245">
        <v>35</v>
      </c>
      <c r="G3245" t="str">
        <f t="shared" si="58"/>
        <v>21-40</v>
      </c>
      <c r="H3245" t="s">
        <v>23</v>
      </c>
      <c r="I3245" t="s">
        <v>46</v>
      </c>
      <c r="J3245" t="s">
        <v>47</v>
      </c>
      <c r="K3245" t="s">
        <v>42</v>
      </c>
      <c r="L3245">
        <v>1</v>
      </c>
      <c r="M3245">
        <v>1</v>
      </c>
      <c r="N3245">
        <v>4</v>
      </c>
      <c r="O3245">
        <v>9.5</v>
      </c>
      <c r="P3245">
        <v>7</v>
      </c>
      <c r="Q3245">
        <v>4</v>
      </c>
      <c r="R3245">
        <v>865793</v>
      </c>
      <c r="S3245">
        <f>Table1[[#This Row],[Revenue]]-Table1[[#This Row],[Operating_Costs]]</f>
        <v>362994</v>
      </c>
      <c r="T3245">
        <v>502799</v>
      </c>
      <c r="U3245">
        <v>54</v>
      </c>
      <c r="V3245">
        <v>56</v>
      </c>
      <c r="W3245">
        <v>10.8</v>
      </c>
    </row>
    <row r="3246" spans="1:23" x14ac:dyDescent="0.25">
      <c r="A3246">
        <v>10</v>
      </c>
      <c r="B3246" t="s">
        <v>34</v>
      </c>
      <c r="C3246" s="1">
        <v>45364</v>
      </c>
      <c r="D3246" t="s">
        <v>71</v>
      </c>
      <c r="E3246">
        <v>0</v>
      </c>
      <c r="F3246">
        <v>83</v>
      </c>
      <c r="G3246" t="str">
        <f t="shared" si="58"/>
        <v>81+</v>
      </c>
      <c r="H3246" t="s">
        <v>35</v>
      </c>
      <c r="I3246" t="s">
        <v>36</v>
      </c>
      <c r="J3246" t="s">
        <v>37</v>
      </c>
      <c r="K3246" t="s">
        <v>42</v>
      </c>
      <c r="L3246">
        <v>1</v>
      </c>
      <c r="M3246">
        <v>1</v>
      </c>
      <c r="N3246">
        <v>5</v>
      </c>
      <c r="O3246">
        <v>9.9</v>
      </c>
      <c r="P3246">
        <v>5</v>
      </c>
      <c r="Q3246">
        <v>3</v>
      </c>
      <c r="R3246">
        <v>937472</v>
      </c>
      <c r="S3246">
        <f>Table1[[#This Row],[Revenue]]-Table1[[#This Row],[Operating_Costs]]</f>
        <v>352188</v>
      </c>
      <c r="T3246">
        <v>585284</v>
      </c>
      <c r="U3246">
        <v>51</v>
      </c>
      <c r="V3246">
        <v>56</v>
      </c>
      <c r="W3246">
        <v>8.5</v>
      </c>
    </row>
    <row r="3247" spans="1:23" x14ac:dyDescent="0.25">
      <c r="A3247">
        <v>10</v>
      </c>
      <c r="B3247" t="s">
        <v>34</v>
      </c>
      <c r="C3247" s="1">
        <v>45434</v>
      </c>
      <c r="D3247" t="s">
        <v>71</v>
      </c>
      <c r="E3247">
        <v>0</v>
      </c>
      <c r="F3247">
        <v>26</v>
      </c>
      <c r="G3247" t="str">
        <f t="shared" si="58"/>
        <v>21-40</v>
      </c>
      <c r="H3247" t="s">
        <v>23</v>
      </c>
      <c r="I3247" t="s">
        <v>50</v>
      </c>
      <c r="J3247" t="s">
        <v>51</v>
      </c>
      <c r="K3247" t="s">
        <v>38</v>
      </c>
      <c r="L3247">
        <v>1</v>
      </c>
      <c r="M3247">
        <v>1</v>
      </c>
      <c r="N3247">
        <v>5</v>
      </c>
      <c r="O3247">
        <v>9.6999999999999993</v>
      </c>
      <c r="P3247">
        <v>6</v>
      </c>
      <c r="Q3247">
        <v>7</v>
      </c>
      <c r="R3247">
        <v>903863</v>
      </c>
      <c r="S3247">
        <f>Table1[[#This Row],[Revenue]]-Table1[[#This Row],[Operating_Costs]]</f>
        <v>386157</v>
      </c>
      <c r="T3247">
        <v>517706</v>
      </c>
      <c r="U3247">
        <v>53</v>
      </c>
      <c r="V3247">
        <v>59</v>
      </c>
      <c r="W3247">
        <v>5.5</v>
      </c>
    </row>
    <row r="3248" spans="1:23" x14ac:dyDescent="0.25">
      <c r="A3248">
        <v>10</v>
      </c>
      <c r="B3248" t="s">
        <v>34</v>
      </c>
      <c r="C3248" s="1">
        <v>44833</v>
      </c>
      <c r="D3248" t="s">
        <v>71</v>
      </c>
      <c r="E3248">
        <v>0</v>
      </c>
      <c r="F3248">
        <v>36</v>
      </c>
      <c r="G3248" t="str">
        <f t="shared" si="58"/>
        <v>21-40</v>
      </c>
      <c r="H3248" t="s">
        <v>23</v>
      </c>
      <c r="I3248" t="s">
        <v>61</v>
      </c>
      <c r="J3248" t="s">
        <v>62</v>
      </c>
      <c r="K3248" t="s">
        <v>33</v>
      </c>
      <c r="L3248">
        <v>1</v>
      </c>
      <c r="M3248">
        <v>1</v>
      </c>
      <c r="N3248">
        <v>2.2999999999999998</v>
      </c>
      <c r="O3248">
        <v>7.6</v>
      </c>
      <c r="P3248">
        <v>4</v>
      </c>
      <c r="Q3248">
        <v>4</v>
      </c>
      <c r="R3248">
        <v>862769</v>
      </c>
      <c r="S3248">
        <f>Table1[[#This Row],[Revenue]]-Table1[[#This Row],[Operating_Costs]]</f>
        <v>339625</v>
      </c>
      <c r="T3248">
        <v>523144</v>
      </c>
      <c r="U3248">
        <v>54</v>
      </c>
      <c r="V3248">
        <v>66</v>
      </c>
      <c r="W3248">
        <v>13.5</v>
      </c>
    </row>
    <row r="3249" spans="1:23" x14ac:dyDescent="0.25">
      <c r="A3249">
        <v>10</v>
      </c>
      <c r="B3249" t="s">
        <v>34</v>
      </c>
      <c r="C3249" s="1">
        <v>44379</v>
      </c>
      <c r="D3249" t="s">
        <v>71</v>
      </c>
      <c r="E3249">
        <v>0</v>
      </c>
      <c r="F3249">
        <v>86</v>
      </c>
      <c r="G3249" t="str">
        <f t="shared" si="58"/>
        <v>81+</v>
      </c>
      <c r="H3249" t="s">
        <v>35</v>
      </c>
      <c r="I3249" t="s">
        <v>58</v>
      </c>
      <c r="J3249" t="s">
        <v>59</v>
      </c>
      <c r="K3249" t="s">
        <v>42</v>
      </c>
      <c r="L3249">
        <v>1</v>
      </c>
      <c r="M3249">
        <v>1</v>
      </c>
      <c r="N3249">
        <v>2.4</v>
      </c>
      <c r="O3249">
        <v>7.1</v>
      </c>
      <c r="P3249">
        <v>5</v>
      </c>
      <c r="Q3249">
        <v>7</v>
      </c>
      <c r="R3249">
        <v>922180</v>
      </c>
      <c r="S3249">
        <f>Table1[[#This Row],[Revenue]]-Table1[[#This Row],[Operating_Costs]]</f>
        <v>266499</v>
      </c>
      <c r="T3249">
        <v>655681</v>
      </c>
      <c r="U3249">
        <v>63</v>
      </c>
      <c r="V3249">
        <v>60</v>
      </c>
      <c r="W3249">
        <v>12.7</v>
      </c>
    </row>
    <row r="3250" spans="1:23" x14ac:dyDescent="0.25">
      <c r="A3250">
        <v>10</v>
      </c>
      <c r="B3250" t="s">
        <v>34</v>
      </c>
      <c r="C3250" s="1">
        <v>44999</v>
      </c>
      <c r="D3250" t="s">
        <v>71</v>
      </c>
      <c r="E3250">
        <v>0</v>
      </c>
      <c r="F3250">
        <v>76</v>
      </c>
      <c r="G3250" t="str">
        <f t="shared" si="58"/>
        <v>61-80</v>
      </c>
      <c r="H3250" t="s">
        <v>35</v>
      </c>
      <c r="I3250" t="s">
        <v>50</v>
      </c>
      <c r="J3250" t="s">
        <v>51</v>
      </c>
      <c r="K3250" t="s">
        <v>26</v>
      </c>
      <c r="L3250">
        <v>1</v>
      </c>
      <c r="M3250">
        <v>1</v>
      </c>
      <c r="N3250">
        <v>5.5</v>
      </c>
      <c r="O3250">
        <v>7.2</v>
      </c>
      <c r="P3250">
        <v>3</v>
      </c>
      <c r="Q3250">
        <v>6</v>
      </c>
      <c r="R3250">
        <v>917353</v>
      </c>
      <c r="S3250">
        <f>Table1[[#This Row],[Revenue]]-Table1[[#This Row],[Operating_Costs]]</f>
        <v>389002</v>
      </c>
      <c r="T3250">
        <v>528351</v>
      </c>
      <c r="U3250">
        <v>60</v>
      </c>
      <c r="V3250">
        <v>65</v>
      </c>
      <c r="W3250">
        <v>7.6</v>
      </c>
    </row>
    <row r="3251" spans="1:23" x14ac:dyDescent="0.25">
      <c r="A3251">
        <v>10</v>
      </c>
      <c r="B3251" t="s">
        <v>34</v>
      </c>
      <c r="C3251" s="1">
        <v>45578</v>
      </c>
      <c r="D3251" t="s">
        <v>71</v>
      </c>
      <c r="E3251">
        <v>0</v>
      </c>
      <c r="F3251">
        <v>40</v>
      </c>
      <c r="G3251" t="str">
        <f t="shared" si="58"/>
        <v>21-40</v>
      </c>
      <c r="H3251" t="s">
        <v>23</v>
      </c>
      <c r="I3251" t="s">
        <v>24</v>
      </c>
      <c r="J3251" t="s">
        <v>25</v>
      </c>
      <c r="K3251" t="s">
        <v>33</v>
      </c>
      <c r="L3251">
        <v>1</v>
      </c>
      <c r="M3251">
        <v>1</v>
      </c>
      <c r="N3251">
        <v>2.7</v>
      </c>
      <c r="O3251">
        <v>8.5</v>
      </c>
      <c r="P3251">
        <v>4</v>
      </c>
      <c r="Q3251">
        <v>4</v>
      </c>
      <c r="R3251">
        <v>933412</v>
      </c>
      <c r="S3251">
        <f>Table1[[#This Row],[Revenue]]-Table1[[#This Row],[Operating_Costs]]</f>
        <v>387175</v>
      </c>
      <c r="T3251">
        <v>546237</v>
      </c>
      <c r="U3251">
        <v>50</v>
      </c>
      <c r="V3251">
        <v>62</v>
      </c>
      <c r="W3251">
        <v>5.7</v>
      </c>
    </row>
    <row r="3252" spans="1:23" x14ac:dyDescent="0.25">
      <c r="A3252">
        <v>10</v>
      </c>
      <c r="B3252" t="s">
        <v>34</v>
      </c>
      <c r="C3252" s="1">
        <v>44532</v>
      </c>
      <c r="D3252" t="s">
        <v>71</v>
      </c>
      <c r="E3252">
        <v>0</v>
      </c>
      <c r="F3252">
        <v>50</v>
      </c>
      <c r="G3252" t="str">
        <f t="shared" si="58"/>
        <v>41-60</v>
      </c>
      <c r="H3252" t="s">
        <v>23</v>
      </c>
      <c r="I3252" t="s">
        <v>43</v>
      </c>
      <c r="J3252" t="s">
        <v>25</v>
      </c>
      <c r="K3252" t="s">
        <v>26</v>
      </c>
      <c r="L3252">
        <v>1</v>
      </c>
      <c r="M3252">
        <v>1</v>
      </c>
      <c r="N3252">
        <v>5.7</v>
      </c>
      <c r="O3252">
        <v>8.1999999999999993</v>
      </c>
      <c r="P3252">
        <v>7</v>
      </c>
      <c r="Q3252">
        <v>6</v>
      </c>
      <c r="R3252">
        <v>831054</v>
      </c>
      <c r="S3252">
        <f>Table1[[#This Row],[Revenue]]-Table1[[#This Row],[Operating_Costs]]</f>
        <v>257440</v>
      </c>
      <c r="T3252">
        <v>573614</v>
      </c>
      <c r="U3252">
        <v>55</v>
      </c>
      <c r="V3252">
        <v>57</v>
      </c>
      <c r="W3252">
        <v>12.9</v>
      </c>
    </row>
    <row r="3253" spans="1:23" x14ac:dyDescent="0.25">
      <c r="A3253">
        <v>10</v>
      </c>
      <c r="B3253" t="s">
        <v>34</v>
      </c>
      <c r="C3253" s="1">
        <v>45578</v>
      </c>
      <c r="D3253" t="s">
        <v>71</v>
      </c>
      <c r="E3253">
        <v>0</v>
      </c>
      <c r="F3253">
        <v>82</v>
      </c>
      <c r="G3253" t="str">
        <f t="shared" si="58"/>
        <v>81+</v>
      </c>
      <c r="H3253" t="s">
        <v>23</v>
      </c>
      <c r="I3253" t="s">
        <v>64</v>
      </c>
      <c r="J3253" t="s">
        <v>65</v>
      </c>
      <c r="K3253" t="s">
        <v>38</v>
      </c>
      <c r="L3253">
        <v>1</v>
      </c>
      <c r="M3253">
        <v>1</v>
      </c>
      <c r="N3253">
        <v>4.4000000000000004</v>
      </c>
      <c r="O3253">
        <v>7.8</v>
      </c>
      <c r="P3253">
        <v>3</v>
      </c>
      <c r="Q3253">
        <v>7</v>
      </c>
      <c r="R3253">
        <v>908404</v>
      </c>
      <c r="S3253">
        <f>Table1[[#This Row],[Revenue]]-Table1[[#This Row],[Operating_Costs]]</f>
        <v>246216</v>
      </c>
      <c r="T3253">
        <v>662188</v>
      </c>
      <c r="U3253">
        <v>55</v>
      </c>
      <c r="V3253">
        <v>58</v>
      </c>
      <c r="W3253">
        <v>14.8</v>
      </c>
    </row>
    <row r="3254" spans="1:23" x14ac:dyDescent="0.25">
      <c r="A3254">
        <v>10</v>
      </c>
      <c r="B3254" t="s">
        <v>34</v>
      </c>
      <c r="C3254" s="1">
        <v>44437</v>
      </c>
      <c r="D3254" t="s">
        <v>71</v>
      </c>
      <c r="E3254">
        <v>0</v>
      </c>
      <c r="F3254">
        <v>47</v>
      </c>
      <c r="G3254" t="str">
        <f t="shared" si="58"/>
        <v>41-60</v>
      </c>
      <c r="H3254" t="s">
        <v>35</v>
      </c>
      <c r="I3254" t="s">
        <v>46</v>
      </c>
      <c r="J3254" t="s">
        <v>47</v>
      </c>
      <c r="K3254" t="s">
        <v>29</v>
      </c>
      <c r="L3254">
        <v>1</v>
      </c>
      <c r="M3254">
        <v>1</v>
      </c>
      <c r="N3254">
        <v>4.8</v>
      </c>
      <c r="O3254">
        <v>9.9</v>
      </c>
      <c r="P3254">
        <v>6</v>
      </c>
      <c r="Q3254">
        <v>4</v>
      </c>
      <c r="R3254">
        <v>836640</v>
      </c>
      <c r="S3254">
        <f>Table1[[#This Row],[Revenue]]-Table1[[#This Row],[Operating_Costs]]</f>
        <v>148611</v>
      </c>
      <c r="T3254">
        <v>688029</v>
      </c>
      <c r="U3254">
        <v>62</v>
      </c>
      <c r="V3254">
        <v>58</v>
      </c>
      <c r="W3254">
        <v>13.5</v>
      </c>
    </row>
    <row r="3255" spans="1:23" x14ac:dyDescent="0.25">
      <c r="A3255">
        <v>10</v>
      </c>
      <c r="B3255" t="s">
        <v>34</v>
      </c>
      <c r="C3255" s="1">
        <v>45030</v>
      </c>
      <c r="D3255" t="s">
        <v>71</v>
      </c>
      <c r="E3255">
        <v>0</v>
      </c>
      <c r="F3255">
        <v>44</v>
      </c>
      <c r="G3255" t="str">
        <f t="shared" si="58"/>
        <v>41-60</v>
      </c>
      <c r="H3255" t="s">
        <v>35</v>
      </c>
      <c r="I3255" t="s">
        <v>36</v>
      </c>
      <c r="J3255" t="s">
        <v>37</v>
      </c>
      <c r="K3255" t="s">
        <v>26</v>
      </c>
      <c r="L3255">
        <v>1</v>
      </c>
      <c r="M3255">
        <v>1</v>
      </c>
      <c r="N3255">
        <v>3</v>
      </c>
      <c r="O3255">
        <v>9.1999999999999993</v>
      </c>
      <c r="P3255">
        <v>7</v>
      </c>
      <c r="Q3255">
        <v>3</v>
      </c>
      <c r="R3255">
        <v>886964</v>
      </c>
      <c r="S3255">
        <f>Table1[[#This Row],[Revenue]]-Table1[[#This Row],[Operating_Costs]]</f>
        <v>262535</v>
      </c>
      <c r="T3255">
        <v>624429</v>
      </c>
      <c r="U3255">
        <v>60</v>
      </c>
      <c r="V3255">
        <v>59</v>
      </c>
      <c r="W3255">
        <v>36.700000000000003</v>
      </c>
    </row>
    <row r="3256" spans="1:23" x14ac:dyDescent="0.25">
      <c r="A3256">
        <v>10</v>
      </c>
      <c r="B3256" t="s">
        <v>34</v>
      </c>
      <c r="C3256" s="1">
        <v>45090</v>
      </c>
      <c r="D3256" t="s">
        <v>71</v>
      </c>
      <c r="E3256">
        <v>0</v>
      </c>
      <c r="F3256">
        <v>80</v>
      </c>
      <c r="G3256" t="str">
        <f t="shared" si="58"/>
        <v>61-80</v>
      </c>
      <c r="H3256" t="s">
        <v>35</v>
      </c>
      <c r="I3256" t="s">
        <v>50</v>
      </c>
      <c r="J3256" t="s">
        <v>51</v>
      </c>
      <c r="K3256" t="s">
        <v>33</v>
      </c>
      <c r="L3256">
        <v>1</v>
      </c>
      <c r="M3256">
        <v>1</v>
      </c>
      <c r="N3256">
        <v>2.2000000000000002</v>
      </c>
      <c r="O3256">
        <v>8.1999999999999993</v>
      </c>
      <c r="P3256">
        <v>5</v>
      </c>
      <c r="Q3256">
        <v>3</v>
      </c>
      <c r="R3256">
        <v>899396</v>
      </c>
      <c r="S3256">
        <f>Table1[[#This Row],[Revenue]]-Table1[[#This Row],[Operating_Costs]]</f>
        <v>343742</v>
      </c>
      <c r="T3256">
        <v>555654</v>
      </c>
      <c r="U3256">
        <v>69</v>
      </c>
      <c r="V3256">
        <v>57</v>
      </c>
      <c r="W3256">
        <v>7.4</v>
      </c>
    </row>
    <row r="3257" spans="1:23" x14ac:dyDescent="0.25">
      <c r="A3257">
        <v>10</v>
      </c>
      <c r="B3257" t="s">
        <v>34</v>
      </c>
      <c r="C3257" s="1">
        <v>45599</v>
      </c>
      <c r="D3257" t="s">
        <v>71</v>
      </c>
      <c r="E3257">
        <v>0</v>
      </c>
      <c r="F3257">
        <v>42</v>
      </c>
      <c r="G3257" t="str">
        <f t="shared" si="58"/>
        <v>41-60</v>
      </c>
      <c r="H3257" t="s">
        <v>35</v>
      </c>
      <c r="I3257" t="s">
        <v>55</v>
      </c>
      <c r="J3257" t="s">
        <v>56</v>
      </c>
      <c r="K3257" t="s">
        <v>38</v>
      </c>
      <c r="L3257">
        <v>1</v>
      </c>
      <c r="M3257">
        <v>1</v>
      </c>
      <c r="N3257">
        <v>6.8</v>
      </c>
      <c r="O3257">
        <v>7.1</v>
      </c>
      <c r="P3257">
        <v>5</v>
      </c>
      <c r="Q3257">
        <v>7</v>
      </c>
      <c r="R3257">
        <v>823133</v>
      </c>
      <c r="S3257">
        <f>Table1[[#This Row],[Revenue]]-Table1[[#This Row],[Operating_Costs]]</f>
        <v>236773</v>
      </c>
      <c r="T3257">
        <v>586360</v>
      </c>
      <c r="U3257">
        <v>63</v>
      </c>
      <c r="V3257">
        <v>60</v>
      </c>
      <c r="W3257">
        <v>14.2</v>
      </c>
    </row>
    <row r="3258" spans="1:23" x14ac:dyDescent="0.25">
      <c r="A3258">
        <v>10</v>
      </c>
      <c r="B3258" t="s">
        <v>34</v>
      </c>
      <c r="C3258" s="1">
        <v>44975</v>
      </c>
      <c r="D3258" t="s">
        <v>71</v>
      </c>
      <c r="E3258">
        <v>0</v>
      </c>
      <c r="F3258">
        <v>29</v>
      </c>
      <c r="G3258" t="str">
        <f t="shared" si="58"/>
        <v>21-40</v>
      </c>
      <c r="H3258" t="s">
        <v>23</v>
      </c>
      <c r="I3258" t="s">
        <v>46</v>
      </c>
      <c r="J3258" t="s">
        <v>47</v>
      </c>
      <c r="K3258" t="s">
        <v>33</v>
      </c>
      <c r="L3258">
        <v>1</v>
      </c>
      <c r="M3258">
        <v>1</v>
      </c>
      <c r="N3258">
        <v>1.6</v>
      </c>
      <c r="O3258">
        <v>9.8000000000000007</v>
      </c>
      <c r="P3258">
        <v>4</v>
      </c>
      <c r="Q3258">
        <v>6</v>
      </c>
      <c r="R3258">
        <v>983792</v>
      </c>
      <c r="S3258">
        <f>Table1[[#This Row],[Revenue]]-Table1[[#This Row],[Operating_Costs]]</f>
        <v>358999</v>
      </c>
      <c r="T3258">
        <v>624793</v>
      </c>
      <c r="U3258">
        <v>69</v>
      </c>
      <c r="V3258">
        <v>55</v>
      </c>
      <c r="W3258">
        <v>8.3000000000000007</v>
      </c>
    </row>
    <row r="3259" spans="1:23" x14ac:dyDescent="0.25">
      <c r="A3259">
        <v>10</v>
      </c>
      <c r="B3259" t="s">
        <v>34</v>
      </c>
      <c r="C3259" s="1">
        <v>45317</v>
      </c>
      <c r="D3259" t="s">
        <v>71</v>
      </c>
      <c r="E3259">
        <v>0</v>
      </c>
      <c r="F3259">
        <v>60</v>
      </c>
      <c r="G3259" t="str">
        <f t="shared" si="58"/>
        <v>41-60</v>
      </c>
      <c r="H3259" t="s">
        <v>35</v>
      </c>
      <c r="I3259" t="s">
        <v>61</v>
      </c>
      <c r="J3259" t="s">
        <v>62</v>
      </c>
      <c r="K3259" t="s">
        <v>38</v>
      </c>
      <c r="L3259">
        <v>1</v>
      </c>
      <c r="M3259">
        <v>1</v>
      </c>
      <c r="N3259">
        <v>1.4</v>
      </c>
      <c r="O3259">
        <v>7.5</v>
      </c>
      <c r="P3259">
        <v>3</v>
      </c>
      <c r="Q3259">
        <v>6</v>
      </c>
      <c r="R3259">
        <v>823182</v>
      </c>
      <c r="S3259">
        <f>Table1[[#This Row],[Revenue]]-Table1[[#This Row],[Operating_Costs]]</f>
        <v>204390</v>
      </c>
      <c r="T3259">
        <v>618792</v>
      </c>
      <c r="U3259">
        <v>54</v>
      </c>
      <c r="V3259">
        <v>65</v>
      </c>
      <c r="W3259">
        <v>8.9</v>
      </c>
    </row>
    <row r="3260" spans="1:23" x14ac:dyDescent="0.25">
      <c r="A3260">
        <v>10</v>
      </c>
      <c r="B3260" t="s">
        <v>34</v>
      </c>
      <c r="C3260" s="1">
        <v>45621</v>
      </c>
      <c r="D3260" t="s">
        <v>71</v>
      </c>
      <c r="E3260">
        <v>0</v>
      </c>
      <c r="F3260">
        <v>44</v>
      </c>
      <c r="G3260" t="str">
        <f t="shared" si="58"/>
        <v>41-60</v>
      </c>
      <c r="H3260" t="s">
        <v>23</v>
      </c>
      <c r="I3260" t="s">
        <v>50</v>
      </c>
      <c r="J3260" t="s">
        <v>51</v>
      </c>
      <c r="K3260" t="s">
        <v>26</v>
      </c>
      <c r="L3260">
        <v>1</v>
      </c>
      <c r="M3260">
        <v>1</v>
      </c>
      <c r="N3260">
        <v>2.7</v>
      </c>
      <c r="O3260">
        <v>8.5</v>
      </c>
      <c r="P3260">
        <v>5</v>
      </c>
      <c r="Q3260">
        <v>6</v>
      </c>
      <c r="R3260">
        <v>868804</v>
      </c>
      <c r="S3260">
        <f>Table1[[#This Row],[Revenue]]-Table1[[#This Row],[Operating_Costs]]</f>
        <v>190176</v>
      </c>
      <c r="T3260">
        <v>678628</v>
      </c>
      <c r="U3260">
        <v>52</v>
      </c>
      <c r="V3260">
        <v>61</v>
      </c>
      <c r="W3260">
        <v>5.6</v>
      </c>
    </row>
    <row r="3261" spans="1:23" x14ac:dyDescent="0.25">
      <c r="A3261">
        <v>10</v>
      </c>
      <c r="B3261" t="s">
        <v>34</v>
      </c>
      <c r="C3261" s="1">
        <v>45122</v>
      </c>
      <c r="D3261" t="s">
        <v>71</v>
      </c>
      <c r="E3261">
        <v>0</v>
      </c>
      <c r="F3261">
        <v>51</v>
      </c>
      <c r="G3261" t="str">
        <f t="shared" si="58"/>
        <v>41-60</v>
      </c>
      <c r="H3261" t="s">
        <v>23</v>
      </c>
      <c r="I3261" t="s">
        <v>24</v>
      </c>
      <c r="J3261" t="s">
        <v>25</v>
      </c>
      <c r="K3261" t="s">
        <v>33</v>
      </c>
      <c r="L3261">
        <v>1</v>
      </c>
      <c r="M3261">
        <v>1</v>
      </c>
      <c r="N3261">
        <v>6.7</v>
      </c>
      <c r="O3261">
        <v>9.1</v>
      </c>
      <c r="P3261">
        <v>3</v>
      </c>
      <c r="Q3261">
        <v>7</v>
      </c>
      <c r="R3261">
        <v>871270</v>
      </c>
      <c r="S3261">
        <f>Table1[[#This Row],[Revenue]]-Table1[[#This Row],[Operating_Costs]]</f>
        <v>307161</v>
      </c>
      <c r="T3261">
        <v>564109</v>
      </c>
      <c r="U3261">
        <v>68</v>
      </c>
      <c r="V3261">
        <v>59</v>
      </c>
      <c r="W3261">
        <v>36.9</v>
      </c>
    </row>
    <row r="3262" spans="1:23" x14ac:dyDescent="0.25">
      <c r="A3262">
        <v>10</v>
      </c>
      <c r="B3262" t="s">
        <v>34</v>
      </c>
      <c r="C3262" s="1">
        <v>44868</v>
      </c>
      <c r="D3262" t="s">
        <v>71</v>
      </c>
      <c r="E3262">
        <v>0</v>
      </c>
      <c r="F3262">
        <v>43</v>
      </c>
      <c r="G3262" t="str">
        <f t="shared" si="58"/>
        <v>41-60</v>
      </c>
      <c r="H3262" t="s">
        <v>23</v>
      </c>
      <c r="I3262" t="s">
        <v>55</v>
      </c>
      <c r="J3262" t="s">
        <v>56</v>
      </c>
      <c r="K3262" t="s">
        <v>38</v>
      </c>
      <c r="L3262">
        <v>1</v>
      </c>
      <c r="M3262">
        <v>1</v>
      </c>
      <c r="N3262">
        <v>4.8</v>
      </c>
      <c r="O3262">
        <v>9.1</v>
      </c>
      <c r="P3262">
        <v>5</v>
      </c>
      <c r="Q3262">
        <v>4</v>
      </c>
      <c r="R3262">
        <v>925365</v>
      </c>
      <c r="S3262">
        <f>Table1[[#This Row],[Revenue]]-Table1[[#This Row],[Operating_Costs]]</f>
        <v>337905</v>
      </c>
      <c r="T3262">
        <v>587460</v>
      </c>
      <c r="U3262">
        <v>56</v>
      </c>
      <c r="V3262">
        <v>56</v>
      </c>
      <c r="W3262">
        <v>8.6</v>
      </c>
    </row>
    <row r="3263" spans="1:23" x14ac:dyDescent="0.25">
      <c r="A3263">
        <v>10</v>
      </c>
      <c r="B3263" t="s">
        <v>34</v>
      </c>
      <c r="C3263" s="1">
        <v>45385</v>
      </c>
      <c r="D3263" t="s">
        <v>71</v>
      </c>
      <c r="E3263">
        <v>0</v>
      </c>
      <c r="F3263">
        <v>78</v>
      </c>
      <c r="G3263" t="str">
        <f t="shared" si="58"/>
        <v>61-80</v>
      </c>
      <c r="H3263" t="s">
        <v>35</v>
      </c>
      <c r="I3263" t="s">
        <v>36</v>
      </c>
      <c r="J3263" t="s">
        <v>37</v>
      </c>
      <c r="K3263" t="s">
        <v>33</v>
      </c>
      <c r="L3263">
        <v>1</v>
      </c>
      <c r="M3263">
        <v>1</v>
      </c>
      <c r="N3263">
        <v>2.6</v>
      </c>
      <c r="O3263">
        <v>8.6</v>
      </c>
      <c r="P3263">
        <v>4</v>
      </c>
      <c r="Q3263">
        <v>6</v>
      </c>
      <c r="R3263">
        <v>971284</v>
      </c>
      <c r="S3263">
        <f>Table1[[#This Row],[Revenue]]-Table1[[#This Row],[Operating_Costs]]</f>
        <v>322201</v>
      </c>
      <c r="T3263">
        <v>649083</v>
      </c>
      <c r="U3263">
        <v>64</v>
      </c>
      <c r="V3263">
        <v>63</v>
      </c>
      <c r="W3263">
        <v>10.1</v>
      </c>
    </row>
    <row r="3264" spans="1:23" x14ac:dyDescent="0.25">
      <c r="A3264">
        <v>10</v>
      </c>
      <c r="B3264" t="s">
        <v>34</v>
      </c>
      <c r="C3264" s="1">
        <v>44279</v>
      </c>
      <c r="D3264" t="s">
        <v>71</v>
      </c>
      <c r="E3264">
        <v>0</v>
      </c>
      <c r="F3264">
        <v>56</v>
      </c>
      <c r="G3264" t="str">
        <f t="shared" si="58"/>
        <v>41-60</v>
      </c>
      <c r="H3264" t="s">
        <v>35</v>
      </c>
      <c r="I3264" t="s">
        <v>27</v>
      </c>
      <c r="J3264" t="s">
        <v>28</v>
      </c>
      <c r="K3264" t="s">
        <v>42</v>
      </c>
      <c r="L3264">
        <v>1</v>
      </c>
      <c r="M3264">
        <v>1</v>
      </c>
      <c r="N3264">
        <v>2.7</v>
      </c>
      <c r="O3264">
        <v>9</v>
      </c>
      <c r="P3264">
        <v>4</v>
      </c>
      <c r="Q3264">
        <v>6</v>
      </c>
      <c r="R3264">
        <v>907169</v>
      </c>
      <c r="S3264">
        <f>Table1[[#This Row],[Revenue]]-Table1[[#This Row],[Operating_Costs]]</f>
        <v>282230</v>
      </c>
      <c r="T3264">
        <v>624939</v>
      </c>
      <c r="U3264">
        <v>52</v>
      </c>
      <c r="V3264">
        <v>59</v>
      </c>
      <c r="W3264">
        <v>10.199999999999999</v>
      </c>
    </row>
    <row r="3265" spans="1:23" x14ac:dyDescent="0.25">
      <c r="A3265">
        <v>10</v>
      </c>
      <c r="B3265" t="s">
        <v>34</v>
      </c>
      <c r="C3265" s="1">
        <v>45174</v>
      </c>
      <c r="D3265" t="s">
        <v>71</v>
      </c>
      <c r="E3265">
        <v>0</v>
      </c>
      <c r="F3265">
        <v>35</v>
      </c>
      <c r="G3265" t="str">
        <f t="shared" si="58"/>
        <v>21-40</v>
      </c>
      <c r="H3265" t="s">
        <v>23</v>
      </c>
      <c r="I3265" t="s">
        <v>24</v>
      </c>
      <c r="J3265" t="s">
        <v>25</v>
      </c>
      <c r="K3265" t="s">
        <v>26</v>
      </c>
      <c r="L3265">
        <v>1</v>
      </c>
      <c r="M3265">
        <v>1</v>
      </c>
      <c r="N3265">
        <v>1.2</v>
      </c>
      <c r="O3265">
        <v>10</v>
      </c>
      <c r="P3265">
        <v>7</v>
      </c>
      <c r="Q3265">
        <v>3</v>
      </c>
      <c r="R3265">
        <v>837405</v>
      </c>
      <c r="S3265">
        <f>Table1[[#This Row],[Revenue]]-Table1[[#This Row],[Operating_Costs]]</f>
        <v>300980</v>
      </c>
      <c r="T3265">
        <v>536425</v>
      </c>
      <c r="U3265">
        <v>53</v>
      </c>
      <c r="V3265">
        <v>58</v>
      </c>
      <c r="W3265">
        <v>36.6</v>
      </c>
    </row>
    <row r="3266" spans="1:23" x14ac:dyDescent="0.25">
      <c r="A3266">
        <v>10</v>
      </c>
      <c r="B3266" t="s">
        <v>34</v>
      </c>
      <c r="C3266" s="1">
        <v>45184</v>
      </c>
      <c r="D3266" t="s">
        <v>71</v>
      </c>
      <c r="E3266">
        <v>0</v>
      </c>
      <c r="F3266">
        <v>39</v>
      </c>
      <c r="G3266" t="str">
        <f t="shared" si="58"/>
        <v>21-40</v>
      </c>
      <c r="H3266" t="s">
        <v>23</v>
      </c>
      <c r="I3266" t="s">
        <v>24</v>
      </c>
      <c r="J3266" t="s">
        <v>25</v>
      </c>
      <c r="K3266" t="s">
        <v>33</v>
      </c>
      <c r="L3266">
        <v>1</v>
      </c>
      <c r="M3266">
        <v>1</v>
      </c>
      <c r="N3266">
        <v>6.1</v>
      </c>
      <c r="O3266">
        <v>8.6</v>
      </c>
      <c r="P3266">
        <v>3</v>
      </c>
      <c r="Q3266">
        <v>7</v>
      </c>
      <c r="R3266">
        <v>878966</v>
      </c>
      <c r="S3266">
        <f>Table1[[#This Row],[Revenue]]-Table1[[#This Row],[Operating_Costs]]</f>
        <v>366364</v>
      </c>
      <c r="T3266">
        <v>512602</v>
      </c>
      <c r="U3266">
        <v>69</v>
      </c>
      <c r="V3266">
        <v>65</v>
      </c>
      <c r="W3266">
        <v>5.2</v>
      </c>
    </row>
    <row r="3267" spans="1:23" x14ac:dyDescent="0.25">
      <c r="A3267">
        <v>10</v>
      </c>
      <c r="B3267" t="s">
        <v>34</v>
      </c>
      <c r="C3267" s="1">
        <v>44237</v>
      </c>
      <c r="D3267" t="s">
        <v>71</v>
      </c>
      <c r="E3267">
        <v>0</v>
      </c>
      <c r="F3267">
        <v>58</v>
      </c>
      <c r="G3267" t="str">
        <f t="shared" ref="G3267:G3330" si="59">IF(F3267&lt;=20,"0-20",IF(F3267&lt;=40,"21-40",IF(F3267&lt;=60,"41-60",IF(F3267&lt;=80,"61-80","81+"))))</f>
        <v>41-60</v>
      </c>
      <c r="H3267" t="s">
        <v>23</v>
      </c>
      <c r="I3267" t="s">
        <v>24</v>
      </c>
      <c r="J3267" t="s">
        <v>25</v>
      </c>
      <c r="K3267" t="s">
        <v>33</v>
      </c>
      <c r="L3267">
        <v>1</v>
      </c>
      <c r="M3267">
        <v>1</v>
      </c>
      <c r="N3267">
        <v>6.7</v>
      </c>
      <c r="O3267">
        <v>9.3000000000000007</v>
      </c>
      <c r="P3267">
        <v>7</v>
      </c>
      <c r="Q3267">
        <v>7</v>
      </c>
      <c r="R3267">
        <v>914850</v>
      </c>
      <c r="S3267">
        <f>Table1[[#This Row],[Revenue]]-Table1[[#This Row],[Operating_Costs]]</f>
        <v>250971</v>
      </c>
      <c r="T3267">
        <v>663879</v>
      </c>
      <c r="U3267">
        <v>60</v>
      </c>
      <c r="V3267">
        <v>65</v>
      </c>
      <c r="W3267">
        <v>12.5</v>
      </c>
    </row>
    <row r="3268" spans="1:23" x14ac:dyDescent="0.25">
      <c r="A3268">
        <v>10</v>
      </c>
      <c r="B3268" t="s">
        <v>34</v>
      </c>
      <c r="C3268" s="1">
        <v>44755</v>
      </c>
      <c r="D3268" t="s">
        <v>71</v>
      </c>
      <c r="E3268">
        <v>0</v>
      </c>
      <c r="F3268">
        <v>62</v>
      </c>
      <c r="G3268" t="str">
        <f t="shared" si="59"/>
        <v>61-80</v>
      </c>
      <c r="H3268" t="s">
        <v>23</v>
      </c>
      <c r="I3268" t="s">
        <v>67</v>
      </c>
      <c r="J3268" t="s">
        <v>68</v>
      </c>
      <c r="K3268" t="s">
        <v>29</v>
      </c>
      <c r="L3268">
        <v>1</v>
      </c>
      <c r="M3268">
        <v>1</v>
      </c>
      <c r="N3268">
        <v>5.5</v>
      </c>
      <c r="O3268">
        <v>8.3000000000000007</v>
      </c>
      <c r="P3268">
        <v>3</v>
      </c>
      <c r="Q3268">
        <v>4</v>
      </c>
      <c r="R3268">
        <v>838812</v>
      </c>
      <c r="S3268">
        <f>Table1[[#This Row],[Revenue]]-Table1[[#This Row],[Operating_Costs]]</f>
        <v>152562</v>
      </c>
      <c r="T3268">
        <v>686250</v>
      </c>
      <c r="U3268">
        <v>68</v>
      </c>
      <c r="V3268">
        <v>55</v>
      </c>
      <c r="W3268">
        <v>7.3</v>
      </c>
    </row>
    <row r="3269" spans="1:23" x14ac:dyDescent="0.25">
      <c r="A3269">
        <v>10</v>
      </c>
      <c r="B3269" t="s">
        <v>34</v>
      </c>
      <c r="C3269" s="1">
        <v>44257</v>
      </c>
      <c r="D3269" t="s">
        <v>71</v>
      </c>
      <c r="E3269">
        <v>0</v>
      </c>
      <c r="F3269">
        <v>23</v>
      </c>
      <c r="G3269" t="str">
        <f t="shared" si="59"/>
        <v>21-40</v>
      </c>
      <c r="H3269" t="s">
        <v>35</v>
      </c>
      <c r="I3269" t="s">
        <v>36</v>
      </c>
      <c r="J3269" t="s">
        <v>37</v>
      </c>
      <c r="K3269" t="s">
        <v>38</v>
      </c>
      <c r="L3269">
        <v>1</v>
      </c>
      <c r="M3269">
        <v>1</v>
      </c>
      <c r="N3269">
        <v>4.9000000000000004</v>
      </c>
      <c r="O3269">
        <v>9.1999999999999993</v>
      </c>
      <c r="P3269">
        <v>3</v>
      </c>
      <c r="Q3269">
        <v>7</v>
      </c>
      <c r="R3269">
        <v>891351</v>
      </c>
      <c r="S3269">
        <f>Table1[[#This Row],[Revenue]]-Table1[[#This Row],[Operating_Costs]]</f>
        <v>310029</v>
      </c>
      <c r="T3269">
        <v>581322</v>
      </c>
      <c r="U3269">
        <v>61</v>
      </c>
      <c r="V3269">
        <v>59</v>
      </c>
      <c r="W3269">
        <v>10.6</v>
      </c>
    </row>
    <row r="3270" spans="1:23" x14ac:dyDescent="0.25">
      <c r="A3270">
        <v>10</v>
      </c>
      <c r="B3270" t="s">
        <v>34</v>
      </c>
      <c r="C3270" s="1">
        <v>45348</v>
      </c>
      <c r="D3270" t="s">
        <v>71</v>
      </c>
      <c r="E3270">
        <v>0</v>
      </c>
      <c r="F3270">
        <v>29</v>
      </c>
      <c r="G3270" t="str">
        <f t="shared" si="59"/>
        <v>21-40</v>
      </c>
      <c r="H3270" t="s">
        <v>23</v>
      </c>
      <c r="I3270" t="s">
        <v>43</v>
      </c>
      <c r="J3270" t="s">
        <v>25</v>
      </c>
      <c r="K3270" t="s">
        <v>26</v>
      </c>
      <c r="L3270">
        <v>1</v>
      </c>
      <c r="M3270">
        <v>1</v>
      </c>
      <c r="N3270">
        <v>6.6</v>
      </c>
      <c r="O3270">
        <v>7.8</v>
      </c>
      <c r="P3270">
        <v>6</v>
      </c>
      <c r="Q3270">
        <v>7</v>
      </c>
      <c r="R3270">
        <v>912004</v>
      </c>
      <c r="S3270">
        <f>Table1[[#This Row],[Revenue]]-Table1[[#This Row],[Operating_Costs]]</f>
        <v>367010</v>
      </c>
      <c r="T3270">
        <v>544994</v>
      </c>
      <c r="U3270">
        <v>50</v>
      </c>
      <c r="V3270">
        <v>62</v>
      </c>
      <c r="W3270">
        <v>14.7</v>
      </c>
    </row>
    <row r="3271" spans="1:23" x14ac:dyDescent="0.25">
      <c r="A3271">
        <v>10</v>
      </c>
      <c r="B3271" t="s">
        <v>34</v>
      </c>
      <c r="C3271" s="1">
        <v>45464</v>
      </c>
      <c r="D3271" t="s">
        <v>71</v>
      </c>
      <c r="E3271">
        <v>0</v>
      </c>
      <c r="F3271">
        <v>66</v>
      </c>
      <c r="G3271" t="str">
        <f t="shared" si="59"/>
        <v>61-80</v>
      </c>
      <c r="H3271" t="s">
        <v>35</v>
      </c>
      <c r="I3271" t="s">
        <v>46</v>
      </c>
      <c r="J3271" t="s">
        <v>47</v>
      </c>
      <c r="K3271" t="s">
        <v>26</v>
      </c>
      <c r="L3271">
        <v>1</v>
      </c>
      <c r="M3271">
        <v>1</v>
      </c>
      <c r="N3271">
        <v>5.2</v>
      </c>
      <c r="O3271">
        <v>7</v>
      </c>
      <c r="P3271">
        <v>3</v>
      </c>
      <c r="Q3271">
        <v>6</v>
      </c>
      <c r="R3271">
        <v>939947</v>
      </c>
      <c r="S3271">
        <f>Table1[[#This Row],[Revenue]]-Table1[[#This Row],[Operating_Costs]]</f>
        <v>245978</v>
      </c>
      <c r="T3271">
        <v>693969</v>
      </c>
      <c r="U3271">
        <v>67</v>
      </c>
      <c r="V3271">
        <v>63</v>
      </c>
      <c r="W3271">
        <v>12.2</v>
      </c>
    </row>
    <row r="3272" spans="1:23" x14ac:dyDescent="0.25">
      <c r="A3272">
        <v>10</v>
      </c>
      <c r="B3272" t="s">
        <v>34</v>
      </c>
      <c r="C3272" s="1">
        <v>45644</v>
      </c>
      <c r="D3272" t="s">
        <v>71</v>
      </c>
      <c r="E3272">
        <v>0</v>
      </c>
      <c r="F3272">
        <v>49</v>
      </c>
      <c r="G3272" t="str">
        <f t="shared" si="59"/>
        <v>41-60</v>
      </c>
      <c r="H3272" t="s">
        <v>35</v>
      </c>
      <c r="I3272" t="s">
        <v>64</v>
      </c>
      <c r="J3272" t="s">
        <v>65</v>
      </c>
      <c r="K3272" t="s">
        <v>29</v>
      </c>
      <c r="L3272">
        <v>1</v>
      </c>
      <c r="M3272">
        <v>1</v>
      </c>
      <c r="N3272">
        <v>4.3</v>
      </c>
      <c r="O3272">
        <v>8</v>
      </c>
      <c r="P3272">
        <v>7</v>
      </c>
      <c r="Q3272">
        <v>6</v>
      </c>
      <c r="R3272">
        <v>950436</v>
      </c>
      <c r="S3272">
        <f>Table1[[#This Row],[Revenue]]-Table1[[#This Row],[Operating_Costs]]</f>
        <v>421575</v>
      </c>
      <c r="T3272">
        <v>528861</v>
      </c>
      <c r="U3272">
        <v>61</v>
      </c>
      <c r="V3272">
        <v>66</v>
      </c>
      <c r="W3272">
        <v>10</v>
      </c>
    </row>
    <row r="3273" spans="1:23" x14ac:dyDescent="0.25">
      <c r="A3273">
        <v>10</v>
      </c>
      <c r="B3273" t="s">
        <v>34</v>
      </c>
      <c r="C3273" s="1">
        <v>45212</v>
      </c>
      <c r="D3273" t="s">
        <v>71</v>
      </c>
      <c r="E3273">
        <v>0</v>
      </c>
      <c r="F3273">
        <v>36</v>
      </c>
      <c r="G3273" t="str">
        <f t="shared" si="59"/>
        <v>21-40</v>
      </c>
      <c r="H3273" t="s">
        <v>35</v>
      </c>
      <c r="I3273" t="s">
        <v>31</v>
      </c>
      <c r="J3273" t="s">
        <v>28</v>
      </c>
      <c r="K3273" t="s">
        <v>42</v>
      </c>
      <c r="L3273">
        <v>1</v>
      </c>
      <c r="M3273">
        <v>1</v>
      </c>
      <c r="N3273">
        <v>2.9</v>
      </c>
      <c r="O3273">
        <v>10</v>
      </c>
      <c r="P3273">
        <v>7</v>
      </c>
      <c r="Q3273">
        <v>4</v>
      </c>
      <c r="R3273">
        <v>976536</v>
      </c>
      <c r="S3273">
        <f>Table1[[#This Row],[Revenue]]-Table1[[#This Row],[Operating_Costs]]</f>
        <v>321801</v>
      </c>
      <c r="T3273">
        <v>654735</v>
      </c>
      <c r="U3273">
        <v>54</v>
      </c>
      <c r="V3273">
        <v>65</v>
      </c>
      <c r="W3273">
        <v>13.7</v>
      </c>
    </row>
    <row r="3274" spans="1:23" x14ac:dyDescent="0.25">
      <c r="A3274">
        <v>10</v>
      </c>
      <c r="B3274" t="s">
        <v>34</v>
      </c>
      <c r="C3274" s="1">
        <v>44229</v>
      </c>
      <c r="D3274" t="s">
        <v>71</v>
      </c>
      <c r="E3274">
        <v>0</v>
      </c>
      <c r="F3274">
        <v>67</v>
      </c>
      <c r="G3274" t="str">
        <f t="shared" si="59"/>
        <v>61-80</v>
      </c>
      <c r="H3274" t="s">
        <v>35</v>
      </c>
      <c r="I3274" t="s">
        <v>36</v>
      </c>
      <c r="J3274" t="s">
        <v>37</v>
      </c>
      <c r="K3274" t="s">
        <v>38</v>
      </c>
      <c r="L3274">
        <v>1</v>
      </c>
      <c r="M3274">
        <v>1</v>
      </c>
      <c r="N3274">
        <v>5.8</v>
      </c>
      <c r="O3274">
        <v>9</v>
      </c>
      <c r="P3274">
        <v>4</v>
      </c>
      <c r="Q3274">
        <v>6</v>
      </c>
      <c r="R3274">
        <v>901240</v>
      </c>
      <c r="S3274">
        <f>Table1[[#This Row],[Revenue]]-Table1[[#This Row],[Operating_Costs]]</f>
        <v>233790</v>
      </c>
      <c r="T3274">
        <v>667450</v>
      </c>
      <c r="U3274">
        <v>52</v>
      </c>
      <c r="V3274">
        <v>64</v>
      </c>
      <c r="W3274">
        <v>6.3</v>
      </c>
    </row>
    <row r="3275" spans="1:23" x14ac:dyDescent="0.25">
      <c r="A3275">
        <v>10</v>
      </c>
      <c r="B3275" t="s">
        <v>34</v>
      </c>
      <c r="C3275" s="1">
        <v>44371</v>
      </c>
      <c r="D3275" t="s">
        <v>71</v>
      </c>
      <c r="E3275">
        <v>0</v>
      </c>
      <c r="F3275">
        <v>50</v>
      </c>
      <c r="G3275" t="str">
        <f t="shared" si="59"/>
        <v>41-60</v>
      </c>
      <c r="H3275" t="s">
        <v>23</v>
      </c>
      <c r="I3275" t="s">
        <v>61</v>
      </c>
      <c r="J3275" t="s">
        <v>62</v>
      </c>
      <c r="K3275" t="s">
        <v>29</v>
      </c>
      <c r="L3275">
        <v>1</v>
      </c>
      <c r="M3275">
        <v>1</v>
      </c>
      <c r="N3275">
        <v>5.9</v>
      </c>
      <c r="O3275">
        <v>9.8000000000000007</v>
      </c>
      <c r="P3275">
        <v>5</v>
      </c>
      <c r="Q3275">
        <v>5</v>
      </c>
      <c r="R3275">
        <v>872786</v>
      </c>
      <c r="S3275">
        <f>Table1[[#This Row],[Revenue]]-Table1[[#This Row],[Operating_Costs]]</f>
        <v>281983</v>
      </c>
      <c r="T3275">
        <v>590803</v>
      </c>
      <c r="U3275">
        <v>61</v>
      </c>
      <c r="V3275">
        <v>59</v>
      </c>
      <c r="W3275">
        <v>10.5</v>
      </c>
    </row>
    <row r="3276" spans="1:23" x14ac:dyDescent="0.25">
      <c r="A3276">
        <v>10</v>
      </c>
      <c r="B3276" t="s">
        <v>34</v>
      </c>
      <c r="C3276" s="1">
        <v>44774</v>
      </c>
      <c r="D3276" t="s">
        <v>71</v>
      </c>
      <c r="E3276">
        <v>0</v>
      </c>
      <c r="F3276">
        <v>89</v>
      </c>
      <c r="G3276" t="str">
        <f t="shared" si="59"/>
        <v>81+</v>
      </c>
      <c r="H3276" t="s">
        <v>23</v>
      </c>
      <c r="I3276" t="s">
        <v>43</v>
      </c>
      <c r="J3276" t="s">
        <v>25</v>
      </c>
      <c r="K3276" t="s">
        <v>26</v>
      </c>
      <c r="L3276">
        <v>1</v>
      </c>
      <c r="M3276">
        <v>1</v>
      </c>
      <c r="N3276">
        <v>2.6</v>
      </c>
      <c r="O3276">
        <v>9</v>
      </c>
      <c r="P3276">
        <v>3</v>
      </c>
      <c r="Q3276">
        <v>4</v>
      </c>
      <c r="R3276">
        <v>973388</v>
      </c>
      <c r="S3276">
        <f>Table1[[#This Row],[Revenue]]-Table1[[#This Row],[Operating_Costs]]</f>
        <v>301055</v>
      </c>
      <c r="T3276">
        <v>672333</v>
      </c>
      <c r="U3276">
        <v>51</v>
      </c>
      <c r="V3276">
        <v>60</v>
      </c>
      <c r="W3276">
        <v>9.6</v>
      </c>
    </row>
    <row r="3277" spans="1:23" x14ac:dyDescent="0.25">
      <c r="A3277">
        <v>10</v>
      </c>
      <c r="B3277" t="s">
        <v>34</v>
      </c>
      <c r="C3277" s="1">
        <v>44574</v>
      </c>
      <c r="D3277" t="s">
        <v>71</v>
      </c>
      <c r="E3277">
        <v>0</v>
      </c>
      <c r="F3277">
        <v>45</v>
      </c>
      <c r="G3277" t="str">
        <f t="shared" si="59"/>
        <v>41-60</v>
      </c>
      <c r="H3277" t="s">
        <v>35</v>
      </c>
      <c r="I3277" t="s">
        <v>31</v>
      </c>
      <c r="J3277" t="s">
        <v>28</v>
      </c>
      <c r="K3277" t="s">
        <v>42</v>
      </c>
      <c r="L3277">
        <v>1</v>
      </c>
      <c r="M3277">
        <v>1</v>
      </c>
      <c r="N3277">
        <v>5.6</v>
      </c>
      <c r="O3277">
        <v>8.5</v>
      </c>
      <c r="P3277">
        <v>5</v>
      </c>
      <c r="Q3277">
        <v>6</v>
      </c>
      <c r="R3277">
        <v>829158</v>
      </c>
      <c r="S3277">
        <f>Table1[[#This Row],[Revenue]]-Table1[[#This Row],[Operating_Costs]]</f>
        <v>192635</v>
      </c>
      <c r="T3277">
        <v>636523</v>
      </c>
      <c r="U3277">
        <v>64</v>
      </c>
      <c r="V3277">
        <v>54</v>
      </c>
      <c r="W3277">
        <v>9.1</v>
      </c>
    </row>
    <row r="3278" spans="1:23" x14ac:dyDescent="0.25">
      <c r="A3278">
        <v>10</v>
      </c>
      <c r="B3278" t="s">
        <v>34</v>
      </c>
      <c r="C3278" s="1">
        <v>45313</v>
      </c>
      <c r="D3278" t="s">
        <v>71</v>
      </c>
      <c r="E3278">
        <v>0</v>
      </c>
      <c r="F3278">
        <v>54</v>
      </c>
      <c r="G3278" t="str">
        <f t="shared" si="59"/>
        <v>41-60</v>
      </c>
      <c r="H3278" t="s">
        <v>35</v>
      </c>
      <c r="I3278" t="s">
        <v>46</v>
      </c>
      <c r="J3278" t="s">
        <v>47</v>
      </c>
      <c r="K3278" t="s">
        <v>42</v>
      </c>
      <c r="L3278">
        <v>1</v>
      </c>
      <c r="M3278">
        <v>1</v>
      </c>
      <c r="N3278">
        <v>6.6</v>
      </c>
      <c r="O3278">
        <v>8.6</v>
      </c>
      <c r="P3278">
        <v>3</v>
      </c>
      <c r="Q3278">
        <v>4</v>
      </c>
      <c r="R3278">
        <v>945561</v>
      </c>
      <c r="S3278">
        <f>Table1[[#This Row],[Revenue]]-Table1[[#This Row],[Operating_Costs]]</f>
        <v>289519</v>
      </c>
      <c r="T3278">
        <v>656042</v>
      </c>
      <c r="U3278">
        <v>65</v>
      </c>
      <c r="V3278">
        <v>61</v>
      </c>
      <c r="W3278">
        <v>13.5</v>
      </c>
    </row>
    <row r="3279" spans="1:23" x14ac:dyDescent="0.25">
      <c r="A3279">
        <v>10</v>
      </c>
      <c r="B3279" t="s">
        <v>34</v>
      </c>
      <c r="C3279" s="1">
        <v>44490</v>
      </c>
      <c r="D3279" t="s">
        <v>71</v>
      </c>
      <c r="E3279">
        <v>0</v>
      </c>
      <c r="F3279">
        <v>60</v>
      </c>
      <c r="G3279" t="str">
        <f t="shared" si="59"/>
        <v>41-60</v>
      </c>
      <c r="H3279" t="s">
        <v>23</v>
      </c>
      <c r="I3279" t="s">
        <v>61</v>
      </c>
      <c r="J3279" t="s">
        <v>62</v>
      </c>
      <c r="K3279" t="s">
        <v>42</v>
      </c>
      <c r="L3279">
        <v>1</v>
      </c>
      <c r="M3279">
        <v>1</v>
      </c>
      <c r="N3279">
        <v>6.1</v>
      </c>
      <c r="O3279">
        <v>8.3000000000000007</v>
      </c>
      <c r="P3279">
        <v>6</v>
      </c>
      <c r="Q3279">
        <v>4</v>
      </c>
      <c r="R3279">
        <v>964866</v>
      </c>
      <c r="S3279">
        <f>Table1[[#This Row],[Revenue]]-Table1[[#This Row],[Operating_Costs]]</f>
        <v>329879</v>
      </c>
      <c r="T3279">
        <v>634987</v>
      </c>
      <c r="U3279">
        <v>53</v>
      </c>
      <c r="V3279">
        <v>63</v>
      </c>
      <c r="W3279">
        <v>8.4</v>
      </c>
    </row>
    <row r="3280" spans="1:23" x14ac:dyDescent="0.25">
      <c r="A3280">
        <v>10</v>
      </c>
      <c r="B3280" t="s">
        <v>34</v>
      </c>
      <c r="C3280" s="1">
        <v>44463</v>
      </c>
      <c r="D3280" t="s">
        <v>71</v>
      </c>
      <c r="E3280">
        <v>0</v>
      </c>
      <c r="F3280">
        <v>65</v>
      </c>
      <c r="G3280" t="str">
        <f t="shared" si="59"/>
        <v>61-80</v>
      </c>
      <c r="H3280" t="s">
        <v>23</v>
      </c>
      <c r="I3280" t="s">
        <v>55</v>
      </c>
      <c r="J3280" t="s">
        <v>56</v>
      </c>
      <c r="K3280" t="s">
        <v>26</v>
      </c>
      <c r="L3280">
        <v>1</v>
      </c>
      <c r="M3280">
        <v>1</v>
      </c>
      <c r="N3280">
        <v>2.7</v>
      </c>
      <c r="O3280">
        <v>7.2</v>
      </c>
      <c r="P3280">
        <v>6</v>
      </c>
      <c r="Q3280">
        <v>3</v>
      </c>
      <c r="R3280">
        <v>980165</v>
      </c>
      <c r="S3280">
        <f>Table1[[#This Row],[Revenue]]-Table1[[#This Row],[Operating_Costs]]</f>
        <v>457307</v>
      </c>
      <c r="T3280">
        <v>522858</v>
      </c>
      <c r="U3280">
        <v>67</v>
      </c>
      <c r="V3280">
        <v>61</v>
      </c>
      <c r="W3280">
        <v>7.1</v>
      </c>
    </row>
    <row r="3281" spans="1:23" x14ac:dyDescent="0.25">
      <c r="A3281">
        <v>10</v>
      </c>
      <c r="B3281" t="s">
        <v>34</v>
      </c>
      <c r="C3281" s="1">
        <v>44379</v>
      </c>
      <c r="D3281" t="s">
        <v>71</v>
      </c>
      <c r="E3281">
        <v>0</v>
      </c>
      <c r="F3281">
        <v>83</v>
      </c>
      <c r="G3281" t="str">
        <f t="shared" si="59"/>
        <v>81+</v>
      </c>
      <c r="H3281" t="s">
        <v>35</v>
      </c>
      <c r="I3281" t="s">
        <v>60</v>
      </c>
      <c r="J3281" t="s">
        <v>59</v>
      </c>
      <c r="K3281" t="s">
        <v>33</v>
      </c>
      <c r="L3281">
        <v>1</v>
      </c>
      <c r="M3281">
        <v>1</v>
      </c>
      <c r="N3281">
        <v>3.1</v>
      </c>
      <c r="O3281">
        <v>9.6</v>
      </c>
      <c r="P3281">
        <v>5</v>
      </c>
      <c r="Q3281">
        <v>7</v>
      </c>
      <c r="R3281">
        <v>932231</v>
      </c>
      <c r="S3281">
        <f>Table1[[#This Row],[Revenue]]-Table1[[#This Row],[Operating_Costs]]</f>
        <v>263196</v>
      </c>
      <c r="T3281">
        <v>669035</v>
      </c>
      <c r="U3281">
        <v>70</v>
      </c>
      <c r="V3281">
        <v>61</v>
      </c>
      <c r="W3281">
        <v>5.4</v>
      </c>
    </row>
    <row r="3282" spans="1:23" x14ac:dyDescent="0.25">
      <c r="A3282">
        <v>10</v>
      </c>
      <c r="B3282" t="s">
        <v>34</v>
      </c>
      <c r="C3282" s="1">
        <v>44313</v>
      </c>
      <c r="D3282" t="s">
        <v>71</v>
      </c>
      <c r="E3282">
        <v>0</v>
      </c>
      <c r="F3282">
        <v>65</v>
      </c>
      <c r="G3282" t="str">
        <f t="shared" si="59"/>
        <v>61-80</v>
      </c>
      <c r="H3282" t="s">
        <v>35</v>
      </c>
      <c r="I3282" t="s">
        <v>50</v>
      </c>
      <c r="J3282" t="s">
        <v>51</v>
      </c>
      <c r="K3282" t="s">
        <v>29</v>
      </c>
      <c r="L3282">
        <v>1</v>
      </c>
      <c r="M3282">
        <v>1</v>
      </c>
      <c r="N3282">
        <v>6.1</v>
      </c>
      <c r="O3282">
        <v>9.5</v>
      </c>
      <c r="P3282">
        <v>4</v>
      </c>
      <c r="Q3282">
        <v>3</v>
      </c>
      <c r="R3282">
        <v>813395</v>
      </c>
      <c r="S3282">
        <f>Table1[[#This Row],[Revenue]]-Table1[[#This Row],[Operating_Costs]]</f>
        <v>230354</v>
      </c>
      <c r="T3282">
        <v>583041</v>
      </c>
      <c r="U3282">
        <v>62</v>
      </c>
      <c r="V3282">
        <v>58</v>
      </c>
      <c r="W3282">
        <v>5.9</v>
      </c>
    </row>
    <row r="3283" spans="1:23" x14ac:dyDescent="0.25">
      <c r="A3283">
        <v>10</v>
      </c>
      <c r="B3283" t="s">
        <v>34</v>
      </c>
      <c r="C3283" s="1">
        <v>44307</v>
      </c>
      <c r="D3283" t="s">
        <v>71</v>
      </c>
      <c r="E3283">
        <v>0</v>
      </c>
      <c r="F3283">
        <v>82</v>
      </c>
      <c r="G3283" t="str">
        <f t="shared" si="59"/>
        <v>81+</v>
      </c>
      <c r="H3283" t="s">
        <v>35</v>
      </c>
      <c r="I3283" t="s">
        <v>58</v>
      </c>
      <c r="J3283" t="s">
        <v>59</v>
      </c>
      <c r="K3283" t="s">
        <v>38</v>
      </c>
      <c r="L3283">
        <v>1</v>
      </c>
      <c r="M3283">
        <v>1</v>
      </c>
      <c r="N3283">
        <v>1.5</v>
      </c>
      <c r="O3283">
        <v>7.9</v>
      </c>
      <c r="P3283">
        <v>6</v>
      </c>
      <c r="Q3283">
        <v>6</v>
      </c>
      <c r="R3283">
        <v>903632</v>
      </c>
      <c r="S3283">
        <f>Table1[[#This Row],[Revenue]]-Table1[[#This Row],[Operating_Costs]]</f>
        <v>275324</v>
      </c>
      <c r="T3283">
        <v>628308</v>
      </c>
      <c r="U3283">
        <v>62</v>
      </c>
      <c r="V3283">
        <v>57</v>
      </c>
      <c r="W3283">
        <v>12.5</v>
      </c>
    </row>
    <row r="3284" spans="1:23" x14ac:dyDescent="0.25">
      <c r="A3284">
        <v>10</v>
      </c>
      <c r="B3284" t="s">
        <v>34</v>
      </c>
      <c r="C3284" s="1">
        <v>44633</v>
      </c>
      <c r="D3284" t="s">
        <v>71</v>
      </c>
      <c r="E3284">
        <v>0</v>
      </c>
      <c r="F3284">
        <v>69</v>
      </c>
      <c r="G3284" t="str">
        <f t="shared" si="59"/>
        <v>61-80</v>
      </c>
      <c r="H3284" t="s">
        <v>35</v>
      </c>
      <c r="I3284" t="s">
        <v>60</v>
      </c>
      <c r="J3284" t="s">
        <v>59</v>
      </c>
      <c r="K3284" t="s">
        <v>33</v>
      </c>
      <c r="L3284">
        <v>1</v>
      </c>
      <c r="M3284">
        <v>1</v>
      </c>
      <c r="N3284">
        <v>3.5</v>
      </c>
      <c r="O3284">
        <v>9.6</v>
      </c>
      <c r="P3284">
        <v>5</v>
      </c>
      <c r="Q3284">
        <v>6</v>
      </c>
      <c r="R3284">
        <v>941065</v>
      </c>
      <c r="S3284">
        <f>Table1[[#This Row],[Revenue]]-Table1[[#This Row],[Operating_Costs]]</f>
        <v>421455</v>
      </c>
      <c r="T3284">
        <v>519610</v>
      </c>
      <c r="U3284">
        <v>58</v>
      </c>
      <c r="V3284">
        <v>64</v>
      </c>
      <c r="W3284">
        <v>12.9</v>
      </c>
    </row>
    <row r="3285" spans="1:23" x14ac:dyDescent="0.25">
      <c r="A3285">
        <v>10</v>
      </c>
      <c r="B3285" t="s">
        <v>34</v>
      </c>
      <c r="C3285" s="1">
        <v>45231</v>
      </c>
      <c r="D3285" t="s">
        <v>71</v>
      </c>
      <c r="E3285">
        <v>0</v>
      </c>
      <c r="F3285">
        <v>25</v>
      </c>
      <c r="G3285" t="str">
        <f t="shared" si="59"/>
        <v>21-40</v>
      </c>
      <c r="H3285" t="s">
        <v>35</v>
      </c>
      <c r="I3285" t="s">
        <v>36</v>
      </c>
      <c r="J3285" t="s">
        <v>37</v>
      </c>
      <c r="K3285" t="s">
        <v>33</v>
      </c>
      <c r="L3285">
        <v>1</v>
      </c>
      <c r="M3285">
        <v>1</v>
      </c>
      <c r="N3285">
        <v>4.4000000000000004</v>
      </c>
      <c r="O3285">
        <v>9.3000000000000007</v>
      </c>
      <c r="P3285">
        <v>3</v>
      </c>
      <c r="Q3285">
        <v>3</v>
      </c>
      <c r="R3285">
        <v>837533</v>
      </c>
      <c r="S3285">
        <f>Table1[[#This Row],[Revenue]]-Table1[[#This Row],[Operating_Costs]]</f>
        <v>260041</v>
      </c>
      <c r="T3285">
        <v>577492</v>
      </c>
      <c r="U3285">
        <v>62</v>
      </c>
      <c r="V3285">
        <v>59</v>
      </c>
      <c r="W3285">
        <v>5.6</v>
      </c>
    </row>
    <row r="3286" spans="1:23" x14ac:dyDescent="0.25">
      <c r="A3286">
        <v>10</v>
      </c>
      <c r="B3286" t="s">
        <v>34</v>
      </c>
      <c r="C3286" s="1">
        <v>44824</v>
      </c>
      <c r="D3286" t="s">
        <v>71</v>
      </c>
      <c r="E3286">
        <v>0</v>
      </c>
      <c r="F3286">
        <v>85</v>
      </c>
      <c r="G3286" t="str">
        <f t="shared" si="59"/>
        <v>81+</v>
      </c>
      <c r="H3286" t="s">
        <v>23</v>
      </c>
      <c r="I3286" t="s">
        <v>50</v>
      </c>
      <c r="J3286" t="s">
        <v>51</v>
      </c>
      <c r="K3286" t="s">
        <v>42</v>
      </c>
      <c r="L3286">
        <v>1</v>
      </c>
      <c r="M3286">
        <v>1</v>
      </c>
      <c r="N3286">
        <v>6</v>
      </c>
      <c r="O3286">
        <v>7</v>
      </c>
      <c r="P3286">
        <v>6</v>
      </c>
      <c r="Q3286">
        <v>5</v>
      </c>
      <c r="R3286">
        <v>920163</v>
      </c>
      <c r="S3286">
        <f>Table1[[#This Row],[Revenue]]-Table1[[#This Row],[Operating_Costs]]</f>
        <v>230449</v>
      </c>
      <c r="T3286">
        <v>689714</v>
      </c>
      <c r="U3286">
        <v>60</v>
      </c>
      <c r="V3286">
        <v>55</v>
      </c>
      <c r="W3286">
        <v>12.1</v>
      </c>
    </row>
    <row r="3287" spans="1:23" x14ac:dyDescent="0.25">
      <c r="A3287">
        <v>10</v>
      </c>
      <c r="B3287" t="s">
        <v>34</v>
      </c>
      <c r="C3287" s="1">
        <v>44327</v>
      </c>
      <c r="D3287" t="s">
        <v>71</v>
      </c>
      <c r="E3287">
        <v>0</v>
      </c>
      <c r="F3287">
        <v>86</v>
      </c>
      <c r="G3287" t="str">
        <f t="shared" si="59"/>
        <v>81+</v>
      </c>
      <c r="H3287" t="s">
        <v>23</v>
      </c>
      <c r="I3287" t="s">
        <v>61</v>
      </c>
      <c r="J3287" t="s">
        <v>62</v>
      </c>
      <c r="K3287" t="s">
        <v>29</v>
      </c>
      <c r="L3287">
        <v>1</v>
      </c>
      <c r="M3287">
        <v>1</v>
      </c>
      <c r="N3287">
        <v>3.9</v>
      </c>
      <c r="O3287">
        <v>8.6</v>
      </c>
      <c r="P3287">
        <v>3</v>
      </c>
      <c r="Q3287">
        <v>4</v>
      </c>
      <c r="R3287">
        <v>894552</v>
      </c>
      <c r="S3287">
        <f>Table1[[#This Row],[Revenue]]-Table1[[#This Row],[Operating_Costs]]</f>
        <v>358554</v>
      </c>
      <c r="T3287">
        <v>535998</v>
      </c>
      <c r="U3287">
        <v>61</v>
      </c>
      <c r="V3287">
        <v>63</v>
      </c>
      <c r="W3287">
        <v>10.1</v>
      </c>
    </row>
    <row r="3288" spans="1:23" x14ac:dyDescent="0.25">
      <c r="A3288">
        <v>10</v>
      </c>
      <c r="B3288" t="s">
        <v>34</v>
      </c>
      <c r="C3288" s="1">
        <v>45298</v>
      </c>
      <c r="D3288" t="s">
        <v>71</v>
      </c>
      <c r="E3288">
        <v>0</v>
      </c>
      <c r="F3288">
        <v>64</v>
      </c>
      <c r="G3288" t="str">
        <f t="shared" si="59"/>
        <v>61-80</v>
      </c>
      <c r="H3288" t="s">
        <v>23</v>
      </c>
      <c r="I3288" t="s">
        <v>27</v>
      </c>
      <c r="J3288" t="s">
        <v>28</v>
      </c>
      <c r="K3288" t="s">
        <v>33</v>
      </c>
      <c r="L3288">
        <v>1</v>
      </c>
      <c r="M3288">
        <v>1</v>
      </c>
      <c r="N3288">
        <v>5.7</v>
      </c>
      <c r="O3288">
        <v>8.5</v>
      </c>
      <c r="P3288">
        <v>4</v>
      </c>
      <c r="Q3288">
        <v>4</v>
      </c>
      <c r="R3288">
        <v>977080</v>
      </c>
      <c r="S3288">
        <f>Table1[[#This Row],[Revenue]]-Table1[[#This Row],[Operating_Costs]]</f>
        <v>451538</v>
      </c>
      <c r="T3288">
        <v>525542</v>
      </c>
      <c r="U3288">
        <v>57</v>
      </c>
      <c r="V3288">
        <v>62</v>
      </c>
      <c r="W3288">
        <v>8.5</v>
      </c>
    </row>
    <row r="3289" spans="1:23" x14ac:dyDescent="0.25">
      <c r="A3289">
        <v>10</v>
      </c>
      <c r="B3289" t="s">
        <v>34</v>
      </c>
      <c r="C3289" s="1">
        <v>45592</v>
      </c>
      <c r="D3289" t="s">
        <v>71</v>
      </c>
      <c r="E3289">
        <v>0</v>
      </c>
      <c r="F3289">
        <v>84</v>
      </c>
      <c r="G3289" t="str">
        <f t="shared" si="59"/>
        <v>81+</v>
      </c>
      <c r="H3289" t="s">
        <v>35</v>
      </c>
      <c r="I3289" t="s">
        <v>27</v>
      </c>
      <c r="J3289" t="s">
        <v>28</v>
      </c>
      <c r="K3289" t="s">
        <v>42</v>
      </c>
      <c r="L3289">
        <v>1</v>
      </c>
      <c r="M3289">
        <v>1</v>
      </c>
      <c r="N3289">
        <v>6.1</v>
      </c>
      <c r="O3289">
        <v>7.4</v>
      </c>
      <c r="P3289">
        <v>5</v>
      </c>
      <c r="Q3289">
        <v>4</v>
      </c>
      <c r="R3289">
        <v>850808</v>
      </c>
      <c r="S3289">
        <f>Table1[[#This Row],[Revenue]]-Table1[[#This Row],[Operating_Costs]]</f>
        <v>316613</v>
      </c>
      <c r="T3289">
        <v>534195</v>
      </c>
      <c r="U3289">
        <v>61</v>
      </c>
      <c r="V3289">
        <v>64</v>
      </c>
      <c r="W3289">
        <v>9.1999999999999993</v>
      </c>
    </row>
    <row r="3290" spans="1:23" x14ac:dyDescent="0.25">
      <c r="A3290">
        <v>10</v>
      </c>
      <c r="B3290" t="s">
        <v>34</v>
      </c>
      <c r="C3290" s="1">
        <v>45578</v>
      </c>
      <c r="D3290" t="s">
        <v>71</v>
      </c>
      <c r="E3290">
        <v>0</v>
      </c>
      <c r="F3290">
        <v>43</v>
      </c>
      <c r="G3290" t="str">
        <f t="shared" si="59"/>
        <v>41-60</v>
      </c>
      <c r="H3290" t="s">
        <v>23</v>
      </c>
      <c r="I3290" t="s">
        <v>50</v>
      </c>
      <c r="J3290" t="s">
        <v>51</v>
      </c>
      <c r="K3290" t="s">
        <v>42</v>
      </c>
      <c r="L3290">
        <v>1</v>
      </c>
      <c r="M3290">
        <v>1</v>
      </c>
      <c r="N3290">
        <v>5.3</v>
      </c>
      <c r="O3290">
        <v>9.1</v>
      </c>
      <c r="P3290">
        <v>6</v>
      </c>
      <c r="Q3290">
        <v>6</v>
      </c>
      <c r="R3290">
        <v>902059</v>
      </c>
      <c r="S3290">
        <f>Table1[[#This Row],[Revenue]]-Table1[[#This Row],[Operating_Costs]]</f>
        <v>256517</v>
      </c>
      <c r="T3290">
        <v>645542</v>
      </c>
      <c r="U3290">
        <v>69</v>
      </c>
      <c r="V3290">
        <v>65</v>
      </c>
      <c r="W3290">
        <v>6.3</v>
      </c>
    </row>
    <row r="3291" spans="1:23" x14ac:dyDescent="0.25">
      <c r="A3291">
        <v>9</v>
      </c>
      <c r="B3291" t="s">
        <v>44</v>
      </c>
      <c r="C3291" s="1">
        <v>44296</v>
      </c>
      <c r="D3291" t="s">
        <v>71</v>
      </c>
      <c r="E3291">
        <v>0</v>
      </c>
      <c r="F3291">
        <v>83</v>
      </c>
      <c r="G3291" t="str">
        <f t="shared" si="59"/>
        <v>81+</v>
      </c>
      <c r="H3291" t="s">
        <v>23</v>
      </c>
      <c r="I3291" t="s">
        <v>24</v>
      </c>
      <c r="J3291" t="s">
        <v>25</v>
      </c>
      <c r="K3291" t="s">
        <v>29</v>
      </c>
      <c r="L3291">
        <v>1</v>
      </c>
      <c r="M3291">
        <v>1</v>
      </c>
      <c r="N3291">
        <v>2.1</v>
      </c>
      <c r="O3291">
        <v>9.1999999999999993</v>
      </c>
      <c r="P3291">
        <v>3</v>
      </c>
      <c r="Q3291">
        <v>5</v>
      </c>
      <c r="R3291">
        <v>525108</v>
      </c>
      <c r="S3291">
        <f>Table1[[#This Row],[Revenue]]-Table1[[#This Row],[Operating_Costs]]</f>
        <v>64740</v>
      </c>
      <c r="T3291">
        <v>460368</v>
      </c>
      <c r="U3291">
        <v>35</v>
      </c>
      <c r="V3291">
        <v>60</v>
      </c>
      <c r="W3291">
        <v>6.3</v>
      </c>
    </row>
    <row r="3292" spans="1:23" x14ac:dyDescent="0.25">
      <c r="A3292">
        <v>10</v>
      </c>
      <c r="B3292" t="s">
        <v>34</v>
      </c>
      <c r="C3292" s="1">
        <v>45481</v>
      </c>
      <c r="D3292" t="s">
        <v>71</v>
      </c>
      <c r="E3292">
        <v>0</v>
      </c>
      <c r="F3292">
        <v>33</v>
      </c>
      <c r="G3292" t="str">
        <f t="shared" si="59"/>
        <v>21-40</v>
      </c>
      <c r="H3292" t="s">
        <v>23</v>
      </c>
      <c r="I3292" t="s">
        <v>61</v>
      </c>
      <c r="J3292" t="s">
        <v>62</v>
      </c>
      <c r="K3292" t="s">
        <v>42</v>
      </c>
      <c r="L3292">
        <v>1</v>
      </c>
      <c r="M3292">
        <v>1</v>
      </c>
      <c r="N3292">
        <v>3.7</v>
      </c>
      <c r="O3292">
        <v>7.5</v>
      </c>
      <c r="P3292">
        <v>4</v>
      </c>
      <c r="Q3292">
        <v>4</v>
      </c>
      <c r="R3292">
        <v>870956</v>
      </c>
      <c r="S3292">
        <f>Table1[[#This Row],[Revenue]]-Table1[[#This Row],[Operating_Costs]]</f>
        <v>283374</v>
      </c>
      <c r="T3292">
        <v>587582</v>
      </c>
      <c r="U3292">
        <v>51</v>
      </c>
      <c r="V3292">
        <v>64</v>
      </c>
      <c r="W3292">
        <v>5.3</v>
      </c>
    </row>
    <row r="3293" spans="1:23" x14ac:dyDescent="0.25">
      <c r="A3293">
        <v>9</v>
      </c>
      <c r="B3293" t="s">
        <v>44</v>
      </c>
      <c r="C3293" s="1">
        <v>44617</v>
      </c>
      <c r="D3293" t="s">
        <v>71</v>
      </c>
      <c r="E3293">
        <v>0</v>
      </c>
      <c r="F3293">
        <v>86</v>
      </c>
      <c r="G3293" t="str">
        <f t="shared" si="59"/>
        <v>81+</v>
      </c>
      <c r="H3293" t="s">
        <v>35</v>
      </c>
      <c r="I3293" t="s">
        <v>27</v>
      </c>
      <c r="J3293" t="s">
        <v>28</v>
      </c>
      <c r="K3293" t="s">
        <v>33</v>
      </c>
      <c r="L3293">
        <v>1</v>
      </c>
      <c r="M3293">
        <v>1</v>
      </c>
      <c r="N3293">
        <v>6.7</v>
      </c>
      <c r="O3293">
        <v>9.1999999999999993</v>
      </c>
      <c r="P3293">
        <v>3</v>
      </c>
      <c r="Q3293">
        <v>5</v>
      </c>
      <c r="R3293">
        <v>517897</v>
      </c>
      <c r="S3293">
        <f>Table1[[#This Row],[Revenue]]-Table1[[#This Row],[Operating_Costs]]</f>
        <v>62318</v>
      </c>
      <c r="T3293">
        <v>455579</v>
      </c>
      <c r="U3293">
        <v>36</v>
      </c>
      <c r="V3293">
        <v>58</v>
      </c>
      <c r="W3293">
        <v>7.9</v>
      </c>
    </row>
    <row r="3294" spans="1:23" x14ac:dyDescent="0.25">
      <c r="A3294">
        <v>10</v>
      </c>
      <c r="B3294" t="s">
        <v>34</v>
      </c>
      <c r="C3294" s="1">
        <v>44706</v>
      </c>
      <c r="D3294" t="s">
        <v>71</v>
      </c>
      <c r="E3294">
        <v>0</v>
      </c>
      <c r="F3294">
        <v>45</v>
      </c>
      <c r="G3294" t="str">
        <f t="shared" si="59"/>
        <v>41-60</v>
      </c>
      <c r="H3294" t="s">
        <v>35</v>
      </c>
      <c r="I3294" t="s">
        <v>61</v>
      </c>
      <c r="J3294" t="s">
        <v>62</v>
      </c>
      <c r="K3294" t="s">
        <v>42</v>
      </c>
      <c r="L3294">
        <v>1</v>
      </c>
      <c r="M3294">
        <v>1</v>
      </c>
      <c r="N3294">
        <v>2.1</v>
      </c>
      <c r="O3294">
        <v>7.9</v>
      </c>
      <c r="P3294">
        <v>4</v>
      </c>
      <c r="Q3294">
        <v>3</v>
      </c>
      <c r="R3294">
        <v>994502</v>
      </c>
      <c r="S3294">
        <f>Table1[[#This Row],[Revenue]]-Table1[[#This Row],[Operating_Costs]]</f>
        <v>349550</v>
      </c>
      <c r="T3294">
        <v>644952</v>
      </c>
      <c r="U3294">
        <v>70</v>
      </c>
      <c r="V3294">
        <v>56</v>
      </c>
      <c r="W3294">
        <v>14</v>
      </c>
    </row>
    <row r="3295" spans="1:23" x14ac:dyDescent="0.25">
      <c r="A3295">
        <v>10</v>
      </c>
      <c r="B3295" t="s">
        <v>34</v>
      </c>
      <c r="C3295" s="1">
        <v>44340</v>
      </c>
      <c r="D3295" t="s">
        <v>71</v>
      </c>
      <c r="E3295">
        <v>0</v>
      </c>
      <c r="F3295">
        <v>49</v>
      </c>
      <c r="G3295" t="str">
        <f t="shared" si="59"/>
        <v>41-60</v>
      </c>
      <c r="H3295" t="s">
        <v>35</v>
      </c>
      <c r="I3295" t="s">
        <v>31</v>
      </c>
      <c r="J3295" t="s">
        <v>28</v>
      </c>
      <c r="K3295" t="s">
        <v>33</v>
      </c>
      <c r="L3295">
        <v>1</v>
      </c>
      <c r="M3295">
        <v>1</v>
      </c>
      <c r="N3295">
        <v>3.2</v>
      </c>
      <c r="O3295">
        <v>7.1</v>
      </c>
      <c r="P3295">
        <v>7</v>
      </c>
      <c r="Q3295">
        <v>5</v>
      </c>
      <c r="R3295">
        <v>940663</v>
      </c>
      <c r="S3295">
        <f>Table1[[#This Row],[Revenue]]-Table1[[#This Row],[Operating_Costs]]</f>
        <v>438426</v>
      </c>
      <c r="T3295">
        <v>502237</v>
      </c>
      <c r="U3295">
        <v>55</v>
      </c>
      <c r="V3295">
        <v>63</v>
      </c>
      <c r="W3295">
        <v>12.7</v>
      </c>
    </row>
    <row r="3296" spans="1:23" x14ac:dyDescent="0.25">
      <c r="A3296">
        <v>9</v>
      </c>
      <c r="B3296" t="s">
        <v>44</v>
      </c>
      <c r="C3296" s="1">
        <v>45102</v>
      </c>
      <c r="D3296" t="s">
        <v>71</v>
      </c>
      <c r="E3296">
        <v>0</v>
      </c>
      <c r="F3296">
        <v>78</v>
      </c>
      <c r="G3296" t="str">
        <f t="shared" si="59"/>
        <v>61-80</v>
      </c>
      <c r="H3296" t="s">
        <v>35</v>
      </c>
      <c r="I3296" t="s">
        <v>36</v>
      </c>
      <c r="J3296" t="s">
        <v>37</v>
      </c>
      <c r="K3296" t="s">
        <v>26</v>
      </c>
      <c r="L3296">
        <v>1</v>
      </c>
      <c r="M3296">
        <v>1</v>
      </c>
      <c r="N3296">
        <v>2.8</v>
      </c>
      <c r="O3296">
        <v>8.1</v>
      </c>
      <c r="P3296">
        <v>7</v>
      </c>
      <c r="Q3296">
        <v>3</v>
      </c>
      <c r="R3296">
        <v>542284</v>
      </c>
      <c r="S3296">
        <f>Table1[[#This Row],[Revenue]]-Table1[[#This Row],[Operating_Costs]]</f>
        <v>106012</v>
      </c>
      <c r="T3296">
        <v>436272</v>
      </c>
      <c r="U3296">
        <v>36</v>
      </c>
      <c r="V3296">
        <v>54</v>
      </c>
      <c r="W3296">
        <v>12.2</v>
      </c>
    </row>
    <row r="3297" spans="1:23" x14ac:dyDescent="0.25">
      <c r="A3297">
        <v>9</v>
      </c>
      <c r="B3297" t="s">
        <v>44</v>
      </c>
      <c r="C3297" s="1">
        <v>44246</v>
      </c>
      <c r="D3297" t="s">
        <v>71</v>
      </c>
      <c r="E3297">
        <v>0</v>
      </c>
      <c r="F3297">
        <v>25</v>
      </c>
      <c r="G3297" t="str">
        <f t="shared" si="59"/>
        <v>21-40</v>
      </c>
      <c r="H3297" t="s">
        <v>23</v>
      </c>
      <c r="I3297" t="s">
        <v>61</v>
      </c>
      <c r="J3297" t="s">
        <v>62</v>
      </c>
      <c r="K3297" t="s">
        <v>26</v>
      </c>
      <c r="L3297">
        <v>1</v>
      </c>
      <c r="M3297">
        <v>1</v>
      </c>
      <c r="N3297">
        <v>5.4</v>
      </c>
      <c r="O3297">
        <v>8.3000000000000007</v>
      </c>
      <c r="P3297">
        <v>7</v>
      </c>
      <c r="Q3297">
        <v>7</v>
      </c>
      <c r="R3297">
        <v>569563</v>
      </c>
      <c r="S3297">
        <f>Table1[[#This Row],[Revenue]]-Table1[[#This Row],[Operating_Costs]]</f>
        <v>164037</v>
      </c>
      <c r="T3297">
        <v>405526</v>
      </c>
      <c r="U3297">
        <v>39</v>
      </c>
      <c r="V3297">
        <v>57</v>
      </c>
      <c r="W3297">
        <v>12.1</v>
      </c>
    </row>
    <row r="3298" spans="1:23" x14ac:dyDescent="0.25">
      <c r="A3298">
        <v>10</v>
      </c>
      <c r="B3298" t="s">
        <v>34</v>
      </c>
      <c r="C3298" s="1">
        <v>44722</v>
      </c>
      <c r="D3298" t="s">
        <v>71</v>
      </c>
      <c r="E3298">
        <v>0</v>
      </c>
      <c r="F3298">
        <v>45</v>
      </c>
      <c r="G3298" t="str">
        <f t="shared" si="59"/>
        <v>41-60</v>
      </c>
      <c r="H3298" t="s">
        <v>35</v>
      </c>
      <c r="I3298" t="s">
        <v>61</v>
      </c>
      <c r="J3298" t="s">
        <v>62</v>
      </c>
      <c r="K3298" t="s">
        <v>29</v>
      </c>
      <c r="L3298">
        <v>1</v>
      </c>
      <c r="M3298">
        <v>1</v>
      </c>
      <c r="N3298">
        <v>4.0999999999999996</v>
      </c>
      <c r="O3298">
        <v>9.6999999999999993</v>
      </c>
      <c r="P3298">
        <v>7</v>
      </c>
      <c r="Q3298">
        <v>4</v>
      </c>
      <c r="R3298">
        <v>923501</v>
      </c>
      <c r="S3298">
        <f>Table1[[#This Row],[Revenue]]-Table1[[#This Row],[Operating_Costs]]</f>
        <v>416769</v>
      </c>
      <c r="T3298">
        <v>506732</v>
      </c>
      <c r="U3298">
        <v>65</v>
      </c>
      <c r="V3298">
        <v>65</v>
      </c>
      <c r="W3298">
        <v>12.2</v>
      </c>
    </row>
    <row r="3299" spans="1:23" x14ac:dyDescent="0.25">
      <c r="A3299">
        <v>10</v>
      </c>
      <c r="B3299" t="s">
        <v>34</v>
      </c>
      <c r="C3299" s="1">
        <v>44336</v>
      </c>
      <c r="D3299" t="s">
        <v>71</v>
      </c>
      <c r="E3299">
        <v>0</v>
      </c>
      <c r="F3299">
        <v>25</v>
      </c>
      <c r="G3299" t="str">
        <f t="shared" si="59"/>
        <v>21-40</v>
      </c>
      <c r="H3299" t="s">
        <v>23</v>
      </c>
      <c r="I3299" t="s">
        <v>43</v>
      </c>
      <c r="J3299" t="s">
        <v>25</v>
      </c>
      <c r="K3299" t="s">
        <v>38</v>
      </c>
      <c r="L3299">
        <v>1</v>
      </c>
      <c r="M3299">
        <v>1</v>
      </c>
      <c r="N3299">
        <v>5.4</v>
      </c>
      <c r="O3299">
        <v>7.4</v>
      </c>
      <c r="P3299">
        <v>6</v>
      </c>
      <c r="Q3299">
        <v>7</v>
      </c>
      <c r="R3299">
        <v>866824</v>
      </c>
      <c r="S3299">
        <f>Table1[[#This Row],[Revenue]]-Table1[[#This Row],[Operating_Costs]]</f>
        <v>193171</v>
      </c>
      <c r="T3299">
        <v>673653</v>
      </c>
      <c r="U3299">
        <v>66</v>
      </c>
      <c r="V3299">
        <v>61</v>
      </c>
      <c r="W3299">
        <v>10.1</v>
      </c>
    </row>
    <row r="3300" spans="1:23" x14ac:dyDescent="0.25">
      <c r="A3300">
        <v>10</v>
      </c>
      <c r="B3300" t="s">
        <v>34</v>
      </c>
      <c r="C3300" s="1">
        <v>45165</v>
      </c>
      <c r="D3300" t="s">
        <v>71</v>
      </c>
      <c r="E3300">
        <v>0</v>
      </c>
      <c r="F3300">
        <v>39</v>
      </c>
      <c r="G3300" t="str">
        <f t="shared" si="59"/>
        <v>21-40</v>
      </c>
      <c r="H3300" t="s">
        <v>35</v>
      </c>
      <c r="I3300" t="s">
        <v>27</v>
      </c>
      <c r="J3300" t="s">
        <v>28</v>
      </c>
      <c r="K3300" t="s">
        <v>29</v>
      </c>
      <c r="L3300">
        <v>1</v>
      </c>
      <c r="M3300">
        <v>1</v>
      </c>
      <c r="N3300">
        <v>6</v>
      </c>
      <c r="O3300">
        <v>9.6999999999999993</v>
      </c>
      <c r="P3300">
        <v>6</v>
      </c>
      <c r="Q3300">
        <v>7</v>
      </c>
      <c r="R3300">
        <v>965659</v>
      </c>
      <c r="S3300">
        <f>Table1[[#This Row],[Revenue]]-Table1[[#This Row],[Operating_Costs]]</f>
        <v>350204</v>
      </c>
      <c r="T3300">
        <v>615455</v>
      </c>
      <c r="U3300">
        <v>61</v>
      </c>
      <c r="V3300">
        <v>55</v>
      </c>
      <c r="W3300">
        <v>9.3000000000000007</v>
      </c>
    </row>
    <row r="3301" spans="1:23" x14ac:dyDescent="0.25">
      <c r="A3301">
        <v>9</v>
      </c>
      <c r="B3301" t="s">
        <v>44</v>
      </c>
      <c r="C3301" s="1">
        <v>45187</v>
      </c>
      <c r="D3301" t="s">
        <v>71</v>
      </c>
      <c r="E3301">
        <v>0</v>
      </c>
      <c r="F3301">
        <v>42</v>
      </c>
      <c r="G3301" t="str">
        <f t="shared" si="59"/>
        <v>41-60</v>
      </c>
      <c r="H3301" t="s">
        <v>23</v>
      </c>
      <c r="I3301" t="s">
        <v>55</v>
      </c>
      <c r="J3301" t="s">
        <v>56</v>
      </c>
      <c r="K3301" t="s">
        <v>26</v>
      </c>
      <c r="L3301">
        <v>1</v>
      </c>
      <c r="M3301">
        <v>1</v>
      </c>
      <c r="N3301">
        <v>4.0999999999999996</v>
      </c>
      <c r="O3301">
        <v>7.1</v>
      </c>
      <c r="P3301">
        <v>6</v>
      </c>
      <c r="Q3301">
        <v>4</v>
      </c>
      <c r="R3301">
        <v>579927</v>
      </c>
      <c r="S3301">
        <f>Table1[[#This Row],[Revenue]]-Table1[[#This Row],[Operating_Costs]]</f>
        <v>174188</v>
      </c>
      <c r="T3301">
        <v>405739</v>
      </c>
      <c r="U3301">
        <v>37</v>
      </c>
      <c r="V3301">
        <v>65</v>
      </c>
      <c r="W3301">
        <v>13.3</v>
      </c>
    </row>
    <row r="3302" spans="1:23" x14ac:dyDescent="0.25">
      <c r="A3302">
        <v>10</v>
      </c>
      <c r="B3302" t="s">
        <v>34</v>
      </c>
      <c r="C3302" s="1">
        <v>45495</v>
      </c>
      <c r="D3302" t="s">
        <v>71</v>
      </c>
      <c r="E3302">
        <v>0</v>
      </c>
      <c r="F3302">
        <v>57</v>
      </c>
      <c r="G3302" t="str">
        <f t="shared" si="59"/>
        <v>41-60</v>
      </c>
      <c r="H3302" t="s">
        <v>35</v>
      </c>
      <c r="I3302" t="s">
        <v>27</v>
      </c>
      <c r="J3302" t="s">
        <v>28</v>
      </c>
      <c r="K3302" t="s">
        <v>33</v>
      </c>
      <c r="L3302">
        <v>1</v>
      </c>
      <c r="M3302">
        <v>1</v>
      </c>
      <c r="N3302">
        <v>7</v>
      </c>
      <c r="O3302">
        <v>9.1999999999999993</v>
      </c>
      <c r="P3302">
        <v>7</v>
      </c>
      <c r="Q3302">
        <v>4</v>
      </c>
      <c r="R3302">
        <v>980568</v>
      </c>
      <c r="S3302">
        <f>Table1[[#This Row],[Revenue]]-Table1[[#This Row],[Operating_Costs]]</f>
        <v>362699</v>
      </c>
      <c r="T3302">
        <v>617869</v>
      </c>
      <c r="U3302">
        <v>66</v>
      </c>
      <c r="V3302">
        <v>65</v>
      </c>
      <c r="W3302">
        <v>7.5</v>
      </c>
    </row>
    <row r="3303" spans="1:23" x14ac:dyDescent="0.25">
      <c r="A3303">
        <v>10</v>
      </c>
      <c r="B3303" t="s">
        <v>34</v>
      </c>
      <c r="C3303" s="1">
        <v>45356</v>
      </c>
      <c r="D3303" t="s">
        <v>71</v>
      </c>
      <c r="E3303">
        <v>0</v>
      </c>
      <c r="F3303">
        <v>30</v>
      </c>
      <c r="G3303" t="str">
        <f t="shared" si="59"/>
        <v>21-40</v>
      </c>
      <c r="H3303" t="s">
        <v>23</v>
      </c>
      <c r="I3303" t="s">
        <v>24</v>
      </c>
      <c r="J3303" t="s">
        <v>25</v>
      </c>
      <c r="K3303" t="s">
        <v>38</v>
      </c>
      <c r="L3303">
        <v>1</v>
      </c>
      <c r="M3303">
        <v>1</v>
      </c>
      <c r="N3303">
        <v>6.3</v>
      </c>
      <c r="O3303">
        <v>9.3000000000000007</v>
      </c>
      <c r="P3303">
        <v>7</v>
      </c>
      <c r="Q3303">
        <v>4</v>
      </c>
      <c r="R3303">
        <v>918892</v>
      </c>
      <c r="S3303">
        <f>Table1[[#This Row],[Revenue]]-Table1[[#This Row],[Operating_Costs]]</f>
        <v>272367</v>
      </c>
      <c r="T3303">
        <v>646525</v>
      </c>
      <c r="U3303">
        <v>53</v>
      </c>
      <c r="V3303">
        <v>62</v>
      </c>
      <c r="W3303">
        <v>14.8</v>
      </c>
    </row>
    <row r="3304" spans="1:23" x14ac:dyDescent="0.25">
      <c r="A3304">
        <v>10</v>
      </c>
      <c r="B3304" t="s">
        <v>34</v>
      </c>
      <c r="C3304" s="1">
        <v>44860</v>
      </c>
      <c r="D3304" t="s">
        <v>71</v>
      </c>
      <c r="E3304">
        <v>0</v>
      </c>
      <c r="F3304">
        <v>31</v>
      </c>
      <c r="G3304" t="str">
        <f t="shared" si="59"/>
        <v>21-40</v>
      </c>
      <c r="H3304" t="s">
        <v>35</v>
      </c>
      <c r="I3304" t="s">
        <v>27</v>
      </c>
      <c r="J3304" t="s">
        <v>28</v>
      </c>
      <c r="K3304" t="s">
        <v>33</v>
      </c>
      <c r="L3304">
        <v>1</v>
      </c>
      <c r="M3304">
        <v>1</v>
      </c>
      <c r="N3304">
        <v>3.1</v>
      </c>
      <c r="O3304">
        <v>7.4</v>
      </c>
      <c r="P3304">
        <v>5</v>
      </c>
      <c r="Q3304">
        <v>3</v>
      </c>
      <c r="R3304">
        <v>868471</v>
      </c>
      <c r="S3304">
        <f>Table1[[#This Row],[Revenue]]-Table1[[#This Row],[Operating_Costs]]</f>
        <v>245232</v>
      </c>
      <c r="T3304">
        <v>623239</v>
      </c>
      <c r="U3304">
        <v>61</v>
      </c>
      <c r="V3304">
        <v>58</v>
      </c>
      <c r="W3304">
        <v>5.6</v>
      </c>
    </row>
    <row r="3305" spans="1:23" x14ac:dyDescent="0.25">
      <c r="A3305">
        <v>10</v>
      </c>
      <c r="B3305" t="s">
        <v>34</v>
      </c>
      <c r="C3305" s="1">
        <v>44518</v>
      </c>
      <c r="D3305" t="s">
        <v>71</v>
      </c>
      <c r="E3305">
        <v>0</v>
      </c>
      <c r="F3305">
        <v>30</v>
      </c>
      <c r="G3305" t="str">
        <f t="shared" si="59"/>
        <v>21-40</v>
      </c>
      <c r="H3305" t="s">
        <v>23</v>
      </c>
      <c r="I3305" t="s">
        <v>46</v>
      </c>
      <c r="J3305" t="s">
        <v>47</v>
      </c>
      <c r="K3305" t="s">
        <v>33</v>
      </c>
      <c r="L3305">
        <v>1</v>
      </c>
      <c r="M3305">
        <v>1</v>
      </c>
      <c r="N3305">
        <v>2.1</v>
      </c>
      <c r="O3305">
        <v>9.8000000000000007</v>
      </c>
      <c r="P3305">
        <v>4</v>
      </c>
      <c r="Q3305">
        <v>6</v>
      </c>
      <c r="R3305">
        <v>880761</v>
      </c>
      <c r="S3305">
        <f>Table1[[#This Row],[Revenue]]-Table1[[#This Row],[Operating_Costs]]</f>
        <v>337023</v>
      </c>
      <c r="T3305">
        <v>543738</v>
      </c>
      <c r="U3305">
        <v>52</v>
      </c>
      <c r="V3305">
        <v>65</v>
      </c>
      <c r="W3305">
        <v>7.4</v>
      </c>
    </row>
    <row r="3306" spans="1:23" x14ac:dyDescent="0.25">
      <c r="A3306">
        <v>10</v>
      </c>
      <c r="B3306" t="s">
        <v>34</v>
      </c>
      <c r="C3306" s="1">
        <v>45316</v>
      </c>
      <c r="D3306" t="s">
        <v>71</v>
      </c>
      <c r="E3306">
        <v>0</v>
      </c>
      <c r="F3306">
        <v>36</v>
      </c>
      <c r="G3306" t="str">
        <f t="shared" si="59"/>
        <v>21-40</v>
      </c>
      <c r="H3306" t="s">
        <v>35</v>
      </c>
      <c r="I3306" t="s">
        <v>36</v>
      </c>
      <c r="J3306" t="s">
        <v>37</v>
      </c>
      <c r="K3306" t="s">
        <v>33</v>
      </c>
      <c r="L3306">
        <v>1</v>
      </c>
      <c r="M3306">
        <v>1</v>
      </c>
      <c r="N3306">
        <v>4.5999999999999996</v>
      </c>
      <c r="O3306">
        <v>8.1</v>
      </c>
      <c r="P3306">
        <v>7</v>
      </c>
      <c r="Q3306">
        <v>6</v>
      </c>
      <c r="R3306">
        <v>860365</v>
      </c>
      <c r="S3306">
        <f>Table1[[#This Row],[Revenue]]-Table1[[#This Row],[Operating_Costs]]</f>
        <v>252107</v>
      </c>
      <c r="T3306">
        <v>608258</v>
      </c>
      <c r="U3306">
        <v>52</v>
      </c>
      <c r="V3306">
        <v>55</v>
      </c>
      <c r="W3306">
        <v>36.4</v>
      </c>
    </row>
    <row r="3307" spans="1:23" x14ac:dyDescent="0.25">
      <c r="A3307">
        <v>10</v>
      </c>
      <c r="B3307" t="s">
        <v>34</v>
      </c>
      <c r="C3307" s="1">
        <v>45236</v>
      </c>
      <c r="D3307" t="s">
        <v>71</v>
      </c>
      <c r="E3307">
        <v>0</v>
      </c>
      <c r="F3307">
        <v>82</v>
      </c>
      <c r="G3307" t="str">
        <f t="shared" si="59"/>
        <v>81+</v>
      </c>
      <c r="H3307" t="s">
        <v>35</v>
      </c>
      <c r="I3307" t="s">
        <v>61</v>
      </c>
      <c r="J3307" t="s">
        <v>62</v>
      </c>
      <c r="K3307" t="s">
        <v>42</v>
      </c>
      <c r="L3307">
        <v>1</v>
      </c>
      <c r="M3307">
        <v>1</v>
      </c>
      <c r="N3307">
        <v>6.9</v>
      </c>
      <c r="O3307">
        <v>9.4</v>
      </c>
      <c r="P3307">
        <v>4</v>
      </c>
      <c r="Q3307">
        <v>7</v>
      </c>
      <c r="R3307">
        <v>847069</v>
      </c>
      <c r="S3307">
        <f>Table1[[#This Row],[Revenue]]-Table1[[#This Row],[Operating_Costs]]</f>
        <v>217553</v>
      </c>
      <c r="T3307">
        <v>629516</v>
      </c>
      <c r="U3307">
        <v>59</v>
      </c>
      <c r="V3307">
        <v>54</v>
      </c>
      <c r="W3307">
        <v>5.3</v>
      </c>
    </row>
    <row r="3308" spans="1:23" x14ac:dyDescent="0.25">
      <c r="A3308">
        <v>10</v>
      </c>
      <c r="B3308" t="s">
        <v>34</v>
      </c>
      <c r="C3308" s="1">
        <v>44624</v>
      </c>
      <c r="D3308" t="s">
        <v>71</v>
      </c>
      <c r="E3308">
        <v>0</v>
      </c>
      <c r="F3308">
        <v>37</v>
      </c>
      <c r="G3308" t="str">
        <f t="shared" si="59"/>
        <v>21-40</v>
      </c>
      <c r="H3308" t="s">
        <v>35</v>
      </c>
      <c r="I3308" t="s">
        <v>61</v>
      </c>
      <c r="J3308" t="s">
        <v>62</v>
      </c>
      <c r="K3308" t="s">
        <v>29</v>
      </c>
      <c r="L3308">
        <v>1</v>
      </c>
      <c r="M3308">
        <v>1</v>
      </c>
      <c r="N3308">
        <v>1.2</v>
      </c>
      <c r="O3308">
        <v>7.3</v>
      </c>
      <c r="P3308">
        <v>3</v>
      </c>
      <c r="Q3308">
        <v>4</v>
      </c>
      <c r="R3308">
        <v>938851</v>
      </c>
      <c r="S3308">
        <f>Table1[[#This Row],[Revenue]]-Table1[[#This Row],[Operating_Costs]]</f>
        <v>432113</v>
      </c>
      <c r="T3308">
        <v>506738</v>
      </c>
      <c r="U3308">
        <v>50</v>
      </c>
      <c r="V3308">
        <v>54</v>
      </c>
      <c r="W3308">
        <v>6.2</v>
      </c>
    </row>
    <row r="3309" spans="1:23" x14ac:dyDescent="0.25">
      <c r="A3309">
        <v>10</v>
      </c>
      <c r="B3309" t="s">
        <v>34</v>
      </c>
      <c r="C3309" s="1">
        <v>45325</v>
      </c>
      <c r="D3309" t="s">
        <v>71</v>
      </c>
      <c r="E3309">
        <v>0</v>
      </c>
      <c r="F3309">
        <v>81</v>
      </c>
      <c r="G3309" t="str">
        <f t="shared" si="59"/>
        <v>81+</v>
      </c>
      <c r="H3309" t="s">
        <v>35</v>
      </c>
      <c r="I3309" t="s">
        <v>36</v>
      </c>
      <c r="J3309" t="s">
        <v>37</v>
      </c>
      <c r="K3309" t="s">
        <v>38</v>
      </c>
      <c r="L3309">
        <v>1</v>
      </c>
      <c r="M3309">
        <v>1</v>
      </c>
      <c r="N3309">
        <v>6.3</v>
      </c>
      <c r="O3309">
        <v>9.6999999999999993</v>
      </c>
      <c r="P3309">
        <v>5</v>
      </c>
      <c r="Q3309">
        <v>7</v>
      </c>
      <c r="R3309">
        <v>997945</v>
      </c>
      <c r="S3309">
        <f>Table1[[#This Row],[Revenue]]-Table1[[#This Row],[Operating_Costs]]</f>
        <v>474795</v>
      </c>
      <c r="T3309">
        <v>523150</v>
      </c>
      <c r="U3309">
        <v>55</v>
      </c>
      <c r="V3309">
        <v>62</v>
      </c>
      <c r="W3309">
        <v>13.9</v>
      </c>
    </row>
    <row r="3310" spans="1:23" x14ac:dyDescent="0.25">
      <c r="A3310">
        <v>9</v>
      </c>
      <c r="B3310" t="s">
        <v>44</v>
      </c>
      <c r="C3310" s="1">
        <v>44428</v>
      </c>
      <c r="D3310" t="s">
        <v>71</v>
      </c>
      <c r="E3310">
        <v>0</v>
      </c>
      <c r="F3310">
        <v>52</v>
      </c>
      <c r="G3310" t="str">
        <f t="shared" si="59"/>
        <v>41-60</v>
      </c>
      <c r="H3310" t="s">
        <v>23</v>
      </c>
      <c r="I3310" t="s">
        <v>50</v>
      </c>
      <c r="J3310" t="s">
        <v>51</v>
      </c>
      <c r="K3310" t="s">
        <v>38</v>
      </c>
      <c r="L3310">
        <v>1</v>
      </c>
      <c r="M3310">
        <v>1</v>
      </c>
      <c r="N3310">
        <v>6.4</v>
      </c>
      <c r="O3310">
        <v>9.9</v>
      </c>
      <c r="P3310">
        <v>5</v>
      </c>
      <c r="Q3310">
        <v>6</v>
      </c>
      <c r="R3310">
        <v>527998</v>
      </c>
      <c r="S3310">
        <f>Table1[[#This Row],[Revenue]]-Table1[[#This Row],[Operating_Costs]]</f>
        <v>68233</v>
      </c>
      <c r="T3310">
        <v>459765</v>
      </c>
      <c r="U3310">
        <v>36</v>
      </c>
      <c r="V3310">
        <v>62</v>
      </c>
      <c r="W3310">
        <v>12.1</v>
      </c>
    </row>
    <row r="3311" spans="1:23" x14ac:dyDescent="0.25">
      <c r="A3311">
        <v>9</v>
      </c>
      <c r="B3311" t="s">
        <v>44</v>
      </c>
      <c r="C3311" s="1">
        <v>45657</v>
      </c>
      <c r="D3311" t="s">
        <v>71</v>
      </c>
      <c r="E3311">
        <v>0</v>
      </c>
      <c r="F3311">
        <v>73</v>
      </c>
      <c r="G3311" t="str">
        <f t="shared" si="59"/>
        <v>61-80</v>
      </c>
      <c r="H3311" t="s">
        <v>35</v>
      </c>
      <c r="I3311" t="s">
        <v>46</v>
      </c>
      <c r="J3311" t="s">
        <v>47</v>
      </c>
      <c r="K3311" t="s">
        <v>42</v>
      </c>
      <c r="L3311">
        <v>1</v>
      </c>
      <c r="M3311">
        <v>1</v>
      </c>
      <c r="N3311">
        <v>6.1</v>
      </c>
      <c r="O3311">
        <v>9</v>
      </c>
      <c r="P3311">
        <v>3</v>
      </c>
      <c r="Q3311">
        <v>5</v>
      </c>
      <c r="R3311">
        <v>519242</v>
      </c>
      <c r="S3311">
        <f>Table1[[#This Row],[Revenue]]-Table1[[#This Row],[Operating_Costs]]</f>
        <v>124006</v>
      </c>
      <c r="T3311">
        <v>395236</v>
      </c>
      <c r="U3311">
        <v>39</v>
      </c>
      <c r="V3311">
        <v>65</v>
      </c>
      <c r="W3311">
        <v>5.5</v>
      </c>
    </row>
    <row r="3312" spans="1:23" x14ac:dyDescent="0.25">
      <c r="A3312">
        <v>9</v>
      </c>
      <c r="B3312" t="s">
        <v>44</v>
      </c>
      <c r="C3312" s="1">
        <v>44715</v>
      </c>
      <c r="D3312" t="s">
        <v>71</v>
      </c>
      <c r="E3312">
        <v>0</v>
      </c>
      <c r="F3312">
        <v>45</v>
      </c>
      <c r="G3312" t="str">
        <f t="shared" si="59"/>
        <v>41-60</v>
      </c>
      <c r="H3312" t="s">
        <v>23</v>
      </c>
      <c r="I3312" t="s">
        <v>46</v>
      </c>
      <c r="J3312" t="s">
        <v>47</v>
      </c>
      <c r="K3312" t="s">
        <v>38</v>
      </c>
      <c r="L3312">
        <v>1</v>
      </c>
      <c r="M3312">
        <v>1</v>
      </c>
      <c r="N3312">
        <v>3.7</v>
      </c>
      <c r="O3312">
        <v>9.1</v>
      </c>
      <c r="P3312">
        <v>5</v>
      </c>
      <c r="Q3312">
        <v>7</v>
      </c>
      <c r="R3312">
        <v>599470</v>
      </c>
      <c r="S3312">
        <f>Table1[[#This Row],[Revenue]]-Table1[[#This Row],[Operating_Costs]]</f>
        <v>132866</v>
      </c>
      <c r="T3312">
        <v>466604</v>
      </c>
      <c r="U3312">
        <v>38</v>
      </c>
      <c r="V3312">
        <v>63</v>
      </c>
      <c r="W3312">
        <v>9.3000000000000007</v>
      </c>
    </row>
    <row r="3313" spans="1:23" x14ac:dyDescent="0.25">
      <c r="A3313">
        <v>10</v>
      </c>
      <c r="B3313" t="s">
        <v>34</v>
      </c>
      <c r="C3313" s="1">
        <v>44747</v>
      </c>
      <c r="D3313" t="s">
        <v>71</v>
      </c>
      <c r="E3313">
        <v>0</v>
      </c>
      <c r="F3313">
        <v>36</v>
      </c>
      <c r="G3313" t="str">
        <f t="shared" si="59"/>
        <v>21-40</v>
      </c>
      <c r="H3313" t="s">
        <v>23</v>
      </c>
      <c r="I3313" t="s">
        <v>61</v>
      </c>
      <c r="J3313" t="s">
        <v>62</v>
      </c>
      <c r="K3313" t="s">
        <v>38</v>
      </c>
      <c r="L3313">
        <v>1</v>
      </c>
      <c r="M3313">
        <v>1</v>
      </c>
      <c r="N3313">
        <v>2.4</v>
      </c>
      <c r="O3313">
        <v>9.3000000000000007</v>
      </c>
      <c r="P3313">
        <v>6</v>
      </c>
      <c r="Q3313">
        <v>5</v>
      </c>
      <c r="R3313">
        <v>922737</v>
      </c>
      <c r="S3313">
        <f>Table1[[#This Row],[Revenue]]-Table1[[#This Row],[Operating_Costs]]</f>
        <v>322490</v>
      </c>
      <c r="T3313">
        <v>600247</v>
      </c>
      <c r="U3313">
        <v>54</v>
      </c>
      <c r="V3313">
        <v>57</v>
      </c>
      <c r="W3313">
        <v>13.6</v>
      </c>
    </row>
    <row r="3314" spans="1:23" x14ac:dyDescent="0.25">
      <c r="A3314">
        <v>10</v>
      </c>
      <c r="B3314" t="s">
        <v>34</v>
      </c>
      <c r="C3314" s="1">
        <v>44473</v>
      </c>
      <c r="D3314" t="s">
        <v>71</v>
      </c>
      <c r="E3314">
        <v>0</v>
      </c>
      <c r="F3314">
        <v>37</v>
      </c>
      <c r="G3314" t="str">
        <f t="shared" si="59"/>
        <v>21-40</v>
      </c>
      <c r="H3314" t="s">
        <v>23</v>
      </c>
      <c r="I3314" t="s">
        <v>43</v>
      </c>
      <c r="J3314" t="s">
        <v>25</v>
      </c>
      <c r="K3314" t="s">
        <v>38</v>
      </c>
      <c r="L3314">
        <v>1</v>
      </c>
      <c r="M3314">
        <v>1</v>
      </c>
      <c r="N3314">
        <v>3.3</v>
      </c>
      <c r="O3314">
        <v>9.5</v>
      </c>
      <c r="P3314">
        <v>4</v>
      </c>
      <c r="Q3314">
        <v>3</v>
      </c>
      <c r="R3314">
        <v>852244</v>
      </c>
      <c r="S3314">
        <f>Table1[[#This Row],[Revenue]]-Table1[[#This Row],[Operating_Costs]]</f>
        <v>324293</v>
      </c>
      <c r="T3314">
        <v>527951</v>
      </c>
      <c r="U3314">
        <v>54</v>
      </c>
      <c r="V3314">
        <v>58</v>
      </c>
      <c r="W3314">
        <v>8.9</v>
      </c>
    </row>
    <row r="3315" spans="1:23" x14ac:dyDescent="0.25">
      <c r="A3315">
        <v>9</v>
      </c>
      <c r="B3315" t="s">
        <v>44</v>
      </c>
      <c r="C3315" s="1">
        <v>45026</v>
      </c>
      <c r="D3315" t="s">
        <v>71</v>
      </c>
      <c r="E3315">
        <v>0</v>
      </c>
      <c r="F3315">
        <v>69</v>
      </c>
      <c r="G3315" t="str">
        <f t="shared" si="59"/>
        <v>61-80</v>
      </c>
      <c r="H3315" t="s">
        <v>23</v>
      </c>
      <c r="I3315" t="s">
        <v>24</v>
      </c>
      <c r="J3315" t="s">
        <v>25</v>
      </c>
      <c r="K3315" t="s">
        <v>42</v>
      </c>
      <c r="L3315">
        <v>1</v>
      </c>
      <c r="M3315">
        <v>1</v>
      </c>
      <c r="N3315">
        <v>5.5</v>
      </c>
      <c r="O3315">
        <v>9.6</v>
      </c>
      <c r="P3315">
        <v>7</v>
      </c>
      <c r="Q3315">
        <v>6</v>
      </c>
      <c r="R3315">
        <v>534536</v>
      </c>
      <c r="S3315">
        <f>Table1[[#This Row],[Revenue]]-Table1[[#This Row],[Operating_Costs]]</f>
        <v>55310</v>
      </c>
      <c r="T3315">
        <v>479226</v>
      </c>
      <c r="U3315">
        <v>39</v>
      </c>
      <c r="V3315">
        <v>57</v>
      </c>
      <c r="W3315">
        <v>12.6</v>
      </c>
    </row>
    <row r="3316" spans="1:23" x14ac:dyDescent="0.25">
      <c r="A3316">
        <v>10</v>
      </c>
      <c r="B3316" t="s">
        <v>34</v>
      </c>
      <c r="C3316" s="1">
        <v>45147</v>
      </c>
      <c r="D3316" t="s">
        <v>71</v>
      </c>
      <c r="E3316">
        <v>0</v>
      </c>
      <c r="F3316">
        <v>74</v>
      </c>
      <c r="G3316" t="str">
        <f t="shared" si="59"/>
        <v>61-80</v>
      </c>
      <c r="H3316" t="s">
        <v>35</v>
      </c>
      <c r="I3316" t="s">
        <v>36</v>
      </c>
      <c r="J3316" t="s">
        <v>37</v>
      </c>
      <c r="K3316" t="s">
        <v>26</v>
      </c>
      <c r="L3316">
        <v>1</v>
      </c>
      <c r="M3316">
        <v>1</v>
      </c>
      <c r="N3316">
        <v>4.7</v>
      </c>
      <c r="O3316">
        <v>9.4</v>
      </c>
      <c r="P3316">
        <v>5</v>
      </c>
      <c r="Q3316">
        <v>6</v>
      </c>
      <c r="R3316">
        <v>866510</v>
      </c>
      <c r="S3316">
        <f>Table1[[#This Row],[Revenue]]-Table1[[#This Row],[Operating_Costs]]</f>
        <v>321037</v>
      </c>
      <c r="T3316">
        <v>545473</v>
      </c>
      <c r="U3316">
        <v>58</v>
      </c>
      <c r="V3316">
        <v>60</v>
      </c>
      <c r="W3316">
        <v>6.6</v>
      </c>
    </row>
    <row r="3317" spans="1:23" x14ac:dyDescent="0.25">
      <c r="A3317">
        <v>10</v>
      </c>
      <c r="B3317" t="s">
        <v>34</v>
      </c>
      <c r="C3317" s="1">
        <v>45300</v>
      </c>
      <c r="D3317" t="s">
        <v>71</v>
      </c>
      <c r="E3317">
        <v>0</v>
      </c>
      <c r="F3317">
        <v>26</v>
      </c>
      <c r="G3317" t="str">
        <f t="shared" si="59"/>
        <v>21-40</v>
      </c>
      <c r="H3317" t="s">
        <v>23</v>
      </c>
      <c r="I3317" t="s">
        <v>58</v>
      </c>
      <c r="J3317" t="s">
        <v>59</v>
      </c>
      <c r="K3317" t="s">
        <v>38</v>
      </c>
      <c r="L3317">
        <v>1</v>
      </c>
      <c r="M3317">
        <v>1</v>
      </c>
      <c r="N3317">
        <v>5.6</v>
      </c>
      <c r="O3317">
        <v>8.3000000000000007</v>
      </c>
      <c r="P3317">
        <v>6</v>
      </c>
      <c r="Q3317">
        <v>4</v>
      </c>
      <c r="R3317">
        <v>936951</v>
      </c>
      <c r="S3317">
        <f>Table1[[#This Row],[Revenue]]-Table1[[#This Row],[Operating_Costs]]</f>
        <v>358911</v>
      </c>
      <c r="T3317">
        <v>578040</v>
      </c>
      <c r="U3317">
        <v>64</v>
      </c>
      <c r="V3317">
        <v>57</v>
      </c>
      <c r="W3317">
        <v>6.4</v>
      </c>
    </row>
    <row r="3318" spans="1:23" x14ac:dyDescent="0.25">
      <c r="A3318">
        <v>10</v>
      </c>
      <c r="B3318" t="s">
        <v>34</v>
      </c>
      <c r="C3318" s="1">
        <v>44461</v>
      </c>
      <c r="D3318" t="s">
        <v>71</v>
      </c>
      <c r="E3318">
        <v>0</v>
      </c>
      <c r="F3318">
        <v>50</v>
      </c>
      <c r="G3318" t="str">
        <f t="shared" si="59"/>
        <v>41-60</v>
      </c>
      <c r="H3318" t="s">
        <v>23</v>
      </c>
      <c r="I3318" t="s">
        <v>55</v>
      </c>
      <c r="J3318" t="s">
        <v>56</v>
      </c>
      <c r="K3318" t="s">
        <v>29</v>
      </c>
      <c r="L3318">
        <v>1</v>
      </c>
      <c r="M3318">
        <v>1</v>
      </c>
      <c r="N3318">
        <v>3.4</v>
      </c>
      <c r="O3318">
        <v>8</v>
      </c>
      <c r="P3318">
        <v>5</v>
      </c>
      <c r="Q3318">
        <v>4</v>
      </c>
      <c r="R3318">
        <v>899961</v>
      </c>
      <c r="S3318">
        <f>Table1[[#This Row],[Revenue]]-Table1[[#This Row],[Operating_Costs]]</f>
        <v>343210</v>
      </c>
      <c r="T3318">
        <v>556751</v>
      </c>
      <c r="U3318">
        <v>65</v>
      </c>
      <c r="V3318">
        <v>58</v>
      </c>
      <c r="W3318">
        <v>13.8</v>
      </c>
    </row>
    <row r="3319" spans="1:23" x14ac:dyDescent="0.25">
      <c r="A3319">
        <v>10</v>
      </c>
      <c r="B3319" t="s">
        <v>34</v>
      </c>
      <c r="C3319" s="1">
        <v>44823</v>
      </c>
      <c r="D3319" t="s">
        <v>71</v>
      </c>
      <c r="E3319">
        <v>0</v>
      </c>
      <c r="F3319">
        <v>28</v>
      </c>
      <c r="G3319" t="str">
        <f t="shared" si="59"/>
        <v>21-40</v>
      </c>
      <c r="H3319" t="s">
        <v>35</v>
      </c>
      <c r="I3319" t="s">
        <v>61</v>
      </c>
      <c r="J3319" t="s">
        <v>62</v>
      </c>
      <c r="K3319" t="s">
        <v>42</v>
      </c>
      <c r="L3319">
        <v>1</v>
      </c>
      <c r="M3319">
        <v>1</v>
      </c>
      <c r="N3319">
        <v>4.4000000000000004</v>
      </c>
      <c r="O3319">
        <v>9.1</v>
      </c>
      <c r="P3319">
        <v>5</v>
      </c>
      <c r="Q3319">
        <v>7</v>
      </c>
      <c r="R3319">
        <v>993163</v>
      </c>
      <c r="S3319">
        <f>Table1[[#This Row],[Revenue]]-Table1[[#This Row],[Operating_Costs]]</f>
        <v>334530</v>
      </c>
      <c r="T3319">
        <v>658633</v>
      </c>
      <c r="U3319">
        <v>55</v>
      </c>
      <c r="V3319">
        <v>62</v>
      </c>
      <c r="W3319">
        <v>13.1</v>
      </c>
    </row>
    <row r="3320" spans="1:23" x14ac:dyDescent="0.25">
      <c r="A3320">
        <v>10</v>
      </c>
      <c r="B3320" t="s">
        <v>34</v>
      </c>
      <c r="C3320" s="1">
        <v>44821</v>
      </c>
      <c r="D3320" t="s">
        <v>71</v>
      </c>
      <c r="E3320">
        <v>0</v>
      </c>
      <c r="F3320">
        <v>67</v>
      </c>
      <c r="G3320" t="str">
        <f t="shared" si="59"/>
        <v>61-80</v>
      </c>
      <c r="H3320" t="s">
        <v>35</v>
      </c>
      <c r="I3320" t="s">
        <v>50</v>
      </c>
      <c r="J3320" t="s">
        <v>51</v>
      </c>
      <c r="K3320" t="s">
        <v>38</v>
      </c>
      <c r="L3320">
        <v>1</v>
      </c>
      <c r="M3320">
        <v>1</v>
      </c>
      <c r="N3320">
        <v>4.9000000000000004</v>
      </c>
      <c r="O3320">
        <v>8.8000000000000007</v>
      </c>
      <c r="P3320">
        <v>6</v>
      </c>
      <c r="Q3320">
        <v>5</v>
      </c>
      <c r="R3320">
        <v>881632</v>
      </c>
      <c r="S3320">
        <f>Table1[[#This Row],[Revenue]]-Table1[[#This Row],[Operating_Costs]]</f>
        <v>284575</v>
      </c>
      <c r="T3320">
        <v>597057</v>
      </c>
      <c r="U3320">
        <v>65</v>
      </c>
      <c r="V3320">
        <v>55</v>
      </c>
      <c r="W3320">
        <v>7.4</v>
      </c>
    </row>
    <row r="3321" spans="1:23" x14ac:dyDescent="0.25">
      <c r="A3321">
        <v>10</v>
      </c>
      <c r="B3321" t="s">
        <v>34</v>
      </c>
      <c r="C3321" s="1">
        <v>45055</v>
      </c>
      <c r="D3321" t="s">
        <v>71</v>
      </c>
      <c r="E3321">
        <v>0</v>
      </c>
      <c r="F3321">
        <v>25</v>
      </c>
      <c r="G3321" t="str">
        <f t="shared" si="59"/>
        <v>21-40</v>
      </c>
      <c r="H3321" t="s">
        <v>23</v>
      </c>
      <c r="I3321" t="s">
        <v>50</v>
      </c>
      <c r="J3321" t="s">
        <v>51</v>
      </c>
      <c r="K3321" t="s">
        <v>33</v>
      </c>
      <c r="L3321">
        <v>1</v>
      </c>
      <c r="M3321">
        <v>1</v>
      </c>
      <c r="N3321">
        <v>3</v>
      </c>
      <c r="O3321">
        <v>8.6</v>
      </c>
      <c r="P3321">
        <v>6</v>
      </c>
      <c r="Q3321">
        <v>3</v>
      </c>
      <c r="R3321">
        <v>979812</v>
      </c>
      <c r="S3321">
        <f>Table1[[#This Row],[Revenue]]-Table1[[#This Row],[Operating_Costs]]</f>
        <v>465638</v>
      </c>
      <c r="T3321">
        <v>514174</v>
      </c>
      <c r="U3321">
        <v>66</v>
      </c>
      <c r="V3321">
        <v>61</v>
      </c>
      <c r="W3321">
        <v>10</v>
      </c>
    </row>
    <row r="3322" spans="1:23" x14ac:dyDescent="0.25">
      <c r="A3322">
        <v>10</v>
      </c>
      <c r="B3322" t="s">
        <v>34</v>
      </c>
      <c r="C3322" s="1">
        <v>44849</v>
      </c>
      <c r="D3322" t="s">
        <v>71</v>
      </c>
      <c r="E3322">
        <v>0</v>
      </c>
      <c r="F3322">
        <v>43</v>
      </c>
      <c r="G3322" t="str">
        <f t="shared" si="59"/>
        <v>41-60</v>
      </c>
      <c r="H3322" t="s">
        <v>23</v>
      </c>
      <c r="I3322" t="s">
        <v>31</v>
      </c>
      <c r="J3322" t="s">
        <v>28</v>
      </c>
      <c r="K3322" t="s">
        <v>29</v>
      </c>
      <c r="L3322">
        <v>1</v>
      </c>
      <c r="M3322">
        <v>1</v>
      </c>
      <c r="N3322">
        <v>3.3</v>
      </c>
      <c r="O3322">
        <v>8.5</v>
      </c>
      <c r="P3322">
        <v>4</v>
      </c>
      <c r="Q3322">
        <v>4</v>
      </c>
      <c r="R3322">
        <v>810327</v>
      </c>
      <c r="S3322">
        <f>Table1[[#This Row],[Revenue]]-Table1[[#This Row],[Operating_Costs]]</f>
        <v>133557</v>
      </c>
      <c r="T3322">
        <v>676770</v>
      </c>
      <c r="U3322">
        <v>50</v>
      </c>
      <c r="V3322">
        <v>61</v>
      </c>
      <c r="W3322">
        <v>5.9</v>
      </c>
    </row>
    <row r="3323" spans="1:23" x14ac:dyDescent="0.25">
      <c r="A3323">
        <v>10</v>
      </c>
      <c r="B3323" t="s">
        <v>34</v>
      </c>
      <c r="C3323" s="1">
        <v>44615</v>
      </c>
      <c r="D3323" t="s">
        <v>71</v>
      </c>
      <c r="E3323">
        <v>0</v>
      </c>
      <c r="F3323">
        <v>67</v>
      </c>
      <c r="G3323" t="str">
        <f t="shared" si="59"/>
        <v>61-80</v>
      </c>
      <c r="H3323" t="s">
        <v>23</v>
      </c>
      <c r="I3323" t="s">
        <v>61</v>
      </c>
      <c r="J3323" t="s">
        <v>62</v>
      </c>
      <c r="K3323" t="s">
        <v>38</v>
      </c>
      <c r="L3323">
        <v>1</v>
      </c>
      <c r="M3323">
        <v>1</v>
      </c>
      <c r="N3323">
        <v>5.6</v>
      </c>
      <c r="O3323">
        <v>8.4</v>
      </c>
      <c r="P3323">
        <v>3</v>
      </c>
      <c r="Q3323">
        <v>4</v>
      </c>
      <c r="R3323">
        <v>889437</v>
      </c>
      <c r="S3323">
        <f>Table1[[#This Row],[Revenue]]-Table1[[#This Row],[Operating_Costs]]</f>
        <v>372344</v>
      </c>
      <c r="T3323">
        <v>517093</v>
      </c>
      <c r="U3323">
        <v>51</v>
      </c>
      <c r="V3323">
        <v>57</v>
      </c>
      <c r="W3323">
        <v>5.8</v>
      </c>
    </row>
    <row r="3324" spans="1:23" x14ac:dyDescent="0.25">
      <c r="A3324">
        <v>9</v>
      </c>
      <c r="B3324" t="s">
        <v>44</v>
      </c>
      <c r="C3324" s="1">
        <v>44255</v>
      </c>
      <c r="D3324" t="s">
        <v>71</v>
      </c>
      <c r="E3324">
        <v>0</v>
      </c>
      <c r="F3324">
        <v>55</v>
      </c>
      <c r="G3324" t="str">
        <f t="shared" si="59"/>
        <v>41-60</v>
      </c>
      <c r="H3324" t="s">
        <v>23</v>
      </c>
      <c r="I3324" t="s">
        <v>43</v>
      </c>
      <c r="J3324" t="s">
        <v>25</v>
      </c>
      <c r="K3324" t="s">
        <v>33</v>
      </c>
      <c r="L3324">
        <v>1</v>
      </c>
      <c r="M3324">
        <v>1</v>
      </c>
      <c r="N3324">
        <v>3.2</v>
      </c>
      <c r="O3324">
        <v>7.6</v>
      </c>
      <c r="P3324">
        <v>6</v>
      </c>
      <c r="Q3324">
        <v>5</v>
      </c>
      <c r="R3324">
        <v>538263</v>
      </c>
      <c r="S3324">
        <f>Table1[[#This Row],[Revenue]]-Table1[[#This Row],[Operating_Costs]]</f>
        <v>91777</v>
      </c>
      <c r="T3324">
        <v>446486</v>
      </c>
      <c r="U3324">
        <v>36</v>
      </c>
      <c r="V3324">
        <v>62</v>
      </c>
      <c r="W3324">
        <v>10.5</v>
      </c>
    </row>
    <row r="3325" spans="1:23" x14ac:dyDescent="0.25">
      <c r="A3325">
        <v>10</v>
      </c>
      <c r="B3325" t="s">
        <v>34</v>
      </c>
      <c r="C3325" s="1">
        <v>45085</v>
      </c>
      <c r="D3325" t="s">
        <v>71</v>
      </c>
      <c r="E3325">
        <v>0</v>
      </c>
      <c r="F3325">
        <v>44</v>
      </c>
      <c r="G3325" t="str">
        <f t="shared" si="59"/>
        <v>41-60</v>
      </c>
      <c r="H3325" t="s">
        <v>35</v>
      </c>
      <c r="I3325" t="s">
        <v>40</v>
      </c>
      <c r="J3325" t="s">
        <v>41</v>
      </c>
      <c r="K3325" t="s">
        <v>26</v>
      </c>
      <c r="L3325">
        <v>1</v>
      </c>
      <c r="M3325">
        <v>1</v>
      </c>
      <c r="N3325">
        <v>3.4</v>
      </c>
      <c r="O3325">
        <v>7.7</v>
      </c>
      <c r="P3325">
        <v>5</v>
      </c>
      <c r="Q3325">
        <v>3</v>
      </c>
      <c r="R3325">
        <v>942061</v>
      </c>
      <c r="S3325">
        <f>Table1[[#This Row],[Revenue]]-Table1[[#This Row],[Operating_Costs]]</f>
        <v>429443</v>
      </c>
      <c r="T3325">
        <v>512618</v>
      </c>
      <c r="U3325">
        <v>69</v>
      </c>
      <c r="V3325">
        <v>63</v>
      </c>
      <c r="W3325">
        <v>9.1999999999999993</v>
      </c>
    </row>
    <row r="3326" spans="1:23" x14ac:dyDescent="0.25">
      <c r="A3326">
        <v>9</v>
      </c>
      <c r="B3326" t="s">
        <v>44</v>
      </c>
      <c r="C3326" s="1">
        <v>45609</v>
      </c>
      <c r="D3326" t="s">
        <v>71</v>
      </c>
      <c r="E3326">
        <v>0</v>
      </c>
      <c r="F3326">
        <v>49</v>
      </c>
      <c r="G3326" t="str">
        <f t="shared" si="59"/>
        <v>41-60</v>
      </c>
      <c r="H3326" t="s">
        <v>35</v>
      </c>
      <c r="I3326" t="s">
        <v>36</v>
      </c>
      <c r="J3326" t="s">
        <v>37</v>
      </c>
      <c r="K3326" t="s">
        <v>29</v>
      </c>
      <c r="L3326">
        <v>1</v>
      </c>
      <c r="M3326">
        <v>1</v>
      </c>
      <c r="N3326">
        <v>6.5</v>
      </c>
      <c r="O3326">
        <v>7.2</v>
      </c>
      <c r="P3326">
        <v>4</v>
      </c>
      <c r="Q3326">
        <v>7</v>
      </c>
      <c r="R3326">
        <v>583129</v>
      </c>
      <c r="S3326">
        <f>Table1[[#This Row],[Revenue]]-Table1[[#This Row],[Operating_Costs]]</f>
        <v>197671</v>
      </c>
      <c r="T3326">
        <v>385458</v>
      </c>
      <c r="U3326">
        <v>40</v>
      </c>
      <c r="V3326">
        <v>57</v>
      </c>
      <c r="W3326">
        <v>10.9</v>
      </c>
    </row>
    <row r="3327" spans="1:23" x14ac:dyDescent="0.25">
      <c r="A3327">
        <v>9</v>
      </c>
      <c r="B3327" t="s">
        <v>44</v>
      </c>
      <c r="C3327" s="1">
        <v>45069</v>
      </c>
      <c r="D3327" t="s">
        <v>71</v>
      </c>
      <c r="E3327">
        <v>0</v>
      </c>
      <c r="F3327">
        <v>78</v>
      </c>
      <c r="G3327" t="str">
        <f t="shared" si="59"/>
        <v>61-80</v>
      </c>
      <c r="H3327" t="s">
        <v>23</v>
      </c>
      <c r="I3327" t="s">
        <v>27</v>
      </c>
      <c r="J3327" t="s">
        <v>28</v>
      </c>
      <c r="K3327" t="s">
        <v>42</v>
      </c>
      <c r="L3327">
        <v>1</v>
      </c>
      <c r="M3327">
        <v>1</v>
      </c>
      <c r="N3327">
        <v>1.7</v>
      </c>
      <c r="O3327">
        <v>9</v>
      </c>
      <c r="P3327">
        <v>7</v>
      </c>
      <c r="Q3327">
        <v>6</v>
      </c>
      <c r="R3327">
        <v>585768</v>
      </c>
      <c r="S3327">
        <f>Table1[[#This Row],[Revenue]]-Table1[[#This Row],[Operating_Costs]]</f>
        <v>117962</v>
      </c>
      <c r="T3327">
        <v>467806</v>
      </c>
      <c r="U3327">
        <v>36</v>
      </c>
      <c r="V3327">
        <v>65</v>
      </c>
      <c r="W3327">
        <v>6.1</v>
      </c>
    </row>
    <row r="3328" spans="1:23" x14ac:dyDescent="0.25">
      <c r="A3328">
        <v>9</v>
      </c>
      <c r="B3328" t="s">
        <v>44</v>
      </c>
      <c r="C3328" s="1">
        <v>44554</v>
      </c>
      <c r="D3328" t="s">
        <v>71</v>
      </c>
      <c r="E3328">
        <v>0</v>
      </c>
      <c r="F3328">
        <v>87</v>
      </c>
      <c r="G3328" t="str">
        <f t="shared" si="59"/>
        <v>81+</v>
      </c>
      <c r="H3328" t="s">
        <v>35</v>
      </c>
      <c r="I3328" t="s">
        <v>46</v>
      </c>
      <c r="J3328" t="s">
        <v>47</v>
      </c>
      <c r="K3328" t="s">
        <v>38</v>
      </c>
      <c r="L3328">
        <v>1</v>
      </c>
      <c r="M3328">
        <v>1</v>
      </c>
      <c r="N3328">
        <v>6.6</v>
      </c>
      <c r="O3328">
        <v>8.1999999999999993</v>
      </c>
      <c r="P3328">
        <v>4</v>
      </c>
      <c r="Q3328">
        <v>5</v>
      </c>
      <c r="R3328">
        <v>566036</v>
      </c>
      <c r="S3328">
        <f>Table1[[#This Row],[Revenue]]-Table1[[#This Row],[Operating_Costs]]</f>
        <v>107271</v>
      </c>
      <c r="T3328">
        <v>458765</v>
      </c>
      <c r="U3328">
        <v>36</v>
      </c>
      <c r="V3328">
        <v>59</v>
      </c>
      <c r="W3328">
        <v>36.4</v>
      </c>
    </row>
    <row r="3329" spans="1:23" x14ac:dyDescent="0.25">
      <c r="A3329">
        <v>10</v>
      </c>
      <c r="B3329" t="s">
        <v>34</v>
      </c>
      <c r="C3329" s="1">
        <v>44621</v>
      </c>
      <c r="D3329" t="s">
        <v>71</v>
      </c>
      <c r="E3329">
        <v>0</v>
      </c>
      <c r="F3329">
        <v>46</v>
      </c>
      <c r="G3329" t="str">
        <f t="shared" si="59"/>
        <v>41-60</v>
      </c>
      <c r="H3329" t="s">
        <v>23</v>
      </c>
      <c r="I3329" t="s">
        <v>31</v>
      </c>
      <c r="J3329" t="s">
        <v>28</v>
      </c>
      <c r="K3329" t="s">
        <v>38</v>
      </c>
      <c r="L3329">
        <v>1</v>
      </c>
      <c r="M3329">
        <v>1</v>
      </c>
      <c r="N3329">
        <v>3.4</v>
      </c>
      <c r="O3329">
        <v>7.2</v>
      </c>
      <c r="P3329">
        <v>5</v>
      </c>
      <c r="Q3329">
        <v>3</v>
      </c>
      <c r="R3329">
        <v>999447</v>
      </c>
      <c r="S3329">
        <f>Table1[[#This Row],[Revenue]]-Table1[[#This Row],[Operating_Costs]]</f>
        <v>378890</v>
      </c>
      <c r="T3329">
        <v>620557</v>
      </c>
      <c r="U3329">
        <v>70</v>
      </c>
      <c r="V3329">
        <v>60</v>
      </c>
      <c r="W3329">
        <v>7.7</v>
      </c>
    </row>
    <row r="3330" spans="1:23" x14ac:dyDescent="0.25">
      <c r="A3330">
        <v>10</v>
      </c>
      <c r="B3330" t="s">
        <v>34</v>
      </c>
      <c r="C3330" s="1">
        <v>45538</v>
      </c>
      <c r="D3330" t="s">
        <v>71</v>
      </c>
      <c r="E3330">
        <v>0</v>
      </c>
      <c r="F3330">
        <v>31</v>
      </c>
      <c r="G3330" t="str">
        <f t="shared" si="59"/>
        <v>21-40</v>
      </c>
      <c r="H3330" t="s">
        <v>23</v>
      </c>
      <c r="I3330" t="s">
        <v>31</v>
      </c>
      <c r="J3330" t="s">
        <v>28</v>
      </c>
      <c r="K3330" t="s">
        <v>38</v>
      </c>
      <c r="L3330">
        <v>1</v>
      </c>
      <c r="M3330">
        <v>1</v>
      </c>
      <c r="N3330">
        <v>3.3</v>
      </c>
      <c r="O3330">
        <v>9.1999999999999993</v>
      </c>
      <c r="P3330">
        <v>4</v>
      </c>
      <c r="Q3330">
        <v>6</v>
      </c>
      <c r="R3330">
        <v>891366</v>
      </c>
      <c r="S3330">
        <f>Table1[[#This Row],[Revenue]]-Table1[[#This Row],[Operating_Costs]]</f>
        <v>309080</v>
      </c>
      <c r="T3330">
        <v>582286</v>
      </c>
      <c r="U3330">
        <v>57</v>
      </c>
      <c r="V3330">
        <v>57</v>
      </c>
      <c r="W3330">
        <v>14.7</v>
      </c>
    </row>
    <row r="3331" spans="1:23" x14ac:dyDescent="0.25">
      <c r="A3331">
        <v>10</v>
      </c>
      <c r="B3331" t="s">
        <v>34</v>
      </c>
      <c r="C3331" s="1">
        <v>44403</v>
      </c>
      <c r="D3331" t="s">
        <v>71</v>
      </c>
      <c r="E3331">
        <v>0</v>
      </c>
      <c r="F3331">
        <v>55</v>
      </c>
      <c r="G3331" t="str">
        <f t="shared" ref="G3331:G3394" si="60">IF(F3331&lt;=20,"0-20",IF(F3331&lt;=40,"21-40",IF(F3331&lt;=60,"41-60",IF(F3331&lt;=80,"61-80","81+"))))</f>
        <v>41-60</v>
      </c>
      <c r="H3331" t="s">
        <v>35</v>
      </c>
      <c r="I3331" t="s">
        <v>40</v>
      </c>
      <c r="J3331" t="s">
        <v>41</v>
      </c>
      <c r="K3331" t="s">
        <v>38</v>
      </c>
      <c r="L3331">
        <v>1</v>
      </c>
      <c r="M3331">
        <v>1</v>
      </c>
      <c r="N3331">
        <v>4.5999999999999996</v>
      </c>
      <c r="O3331">
        <v>9.4</v>
      </c>
      <c r="P3331">
        <v>4</v>
      </c>
      <c r="Q3331">
        <v>6</v>
      </c>
      <c r="R3331">
        <v>823158</v>
      </c>
      <c r="S3331">
        <f>Table1[[#This Row],[Revenue]]-Table1[[#This Row],[Operating_Costs]]</f>
        <v>176968</v>
      </c>
      <c r="T3331">
        <v>646190</v>
      </c>
      <c r="U3331">
        <v>59</v>
      </c>
      <c r="V3331">
        <v>64</v>
      </c>
      <c r="W3331">
        <v>13.5</v>
      </c>
    </row>
    <row r="3332" spans="1:23" x14ac:dyDescent="0.25">
      <c r="A3332">
        <v>9</v>
      </c>
      <c r="B3332" t="s">
        <v>44</v>
      </c>
      <c r="C3332" s="1">
        <v>44294</v>
      </c>
      <c r="D3332" t="s">
        <v>71</v>
      </c>
      <c r="E3332">
        <v>0</v>
      </c>
      <c r="F3332">
        <v>27</v>
      </c>
      <c r="G3332" t="str">
        <f t="shared" si="60"/>
        <v>21-40</v>
      </c>
      <c r="H3332" t="s">
        <v>23</v>
      </c>
      <c r="I3332" t="s">
        <v>31</v>
      </c>
      <c r="J3332" t="s">
        <v>28</v>
      </c>
      <c r="K3332" t="s">
        <v>38</v>
      </c>
      <c r="L3332">
        <v>1</v>
      </c>
      <c r="M3332">
        <v>1</v>
      </c>
      <c r="N3332">
        <v>2.6</v>
      </c>
      <c r="O3332">
        <v>7.2</v>
      </c>
      <c r="P3332">
        <v>7</v>
      </c>
      <c r="Q3332">
        <v>7</v>
      </c>
      <c r="R3332">
        <v>528795</v>
      </c>
      <c r="S3332">
        <f>Table1[[#This Row],[Revenue]]-Table1[[#This Row],[Operating_Costs]]</f>
        <v>49658</v>
      </c>
      <c r="T3332">
        <v>479137</v>
      </c>
      <c r="U3332">
        <v>40</v>
      </c>
      <c r="V3332">
        <v>54</v>
      </c>
      <c r="W3332">
        <v>7.2</v>
      </c>
    </row>
    <row r="3333" spans="1:23" x14ac:dyDescent="0.25">
      <c r="A3333">
        <v>9</v>
      </c>
      <c r="B3333" t="s">
        <v>44</v>
      </c>
      <c r="C3333" s="1">
        <v>44722</v>
      </c>
      <c r="D3333" t="s">
        <v>71</v>
      </c>
      <c r="E3333">
        <v>0</v>
      </c>
      <c r="F3333">
        <v>56</v>
      </c>
      <c r="G3333" t="str">
        <f t="shared" si="60"/>
        <v>41-60</v>
      </c>
      <c r="H3333" t="s">
        <v>35</v>
      </c>
      <c r="I3333" t="s">
        <v>58</v>
      </c>
      <c r="J3333" t="s">
        <v>59</v>
      </c>
      <c r="K3333" t="s">
        <v>38</v>
      </c>
      <c r="L3333">
        <v>1</v>
      </c>
      <c r="M3333">
        <v>1</v>
      </c>
      <c r="N3333">
        <v>3.1</v>
      </c>
      <c r="O3333">
        <v>8.1</v>
      </c>
      <c r="P3333">
        <v>5</v>
      </c>
      <c r="Q3333">
        <v>4</v>
      </c>
      <c r="R3333">
        <v>532946</v>
      </c>
      <c r="S3333">
        <f>Table1[[#This Row],[Revenue]]-Table1[[#This Row],[Operating_Costs]]</f>
        <v>59258</v>
      </c>
      <c r="T3333">
        <v>473688</v>
      </c>
      <c r="U3333">
        <v>35</v>
      </c>
      <c r="V3333">
        <v>54</v>
      </c>
      <c r="W3333">
        <v>13.8</v>
      </c>
    </row>
    <row r="3334" spans="1:23" x14ac:dyDescent="0.25">
      <c r="A3334">
        <v>10</v>
      </c>
      <c r="B3334" t="s">
        <v>34</v>
      </c>
      <c r="C3334" s="1">
        <v>44456</v>
      </c>
      <c r="D3334" t="s">
        <v>71</v>
      </c>
      <c r="E3334">
        <v>0</v>
      </c>
      <c r="F3334">
        <v>24</v>
      </c>
      <c r="G3334" t="str">
        <f t="shared" si="60"/>
        <v>21-40</v>
      </c>
      <c r="H3334" t="s">
        <v>35</v>
      </c>
      <c r="I3334" t="s">
        <v>61</v>
      </c>
      <c r="J3334" t="s">
        <v>62</v>
      </c>
      <c r="K3334" t="s">
        <v>42</v>
      </c>
      <c r="L3334">
        <v>1</v>
      </c>
      <c r="M3334">
        <v>1</v>
      </c>
      <c r="N3334">
        <v>4.4000000000000004</v>
      </c>
      <c r="O3334">
        <v>9.6</v>
      </c>
      <c r="P3334">
        <v>3</v>
      </c>
      <c r="Q3334">
        <v>5</v>
      </c>
      <c r="R3334">
        <v>997892</v>
      </c>
      <c r="S3334">
        <f>Table1[[#This Row],[Revenue]]-Table1[[#This Row],[Operating_Costs]]</f>
        <v>357183</v>
      </c>
      <c r="T3334">
        <v>640709</v>
      </c>
      <c r="U3334">
        <v>60</v>
      </c>
      <c r="V3334">
        <v>60</v>
      </c>
      <c r="W3334">
        <v>36.200000000000003</v>
      </c>
    </row>
    <row r="3335" spans="1:23" x14ac:dyDescent="0.25">
      <c r="A3335">
        <v>10</v>
      </c>
      <c r="B3335" t="s">
        <v>34</v>
      </c>
      <c r="C3335" s="1">
        <v>44556</v>
      </c>
      <c r="D3335" t="s">
        <v>71</v>
      </c>
      <c r="E3335">
        <v>0</v>
      </c>
      <c r="F3335">
        <v>28</v>
      </c>
      <c r="G3335" t="str">
        <f t="shared" si="60"/>
        <v>21-40</v>
      </c>
      <c r="H3335" t="s">
        <v>35</v>
      </c>
      <c r="I3335" t="s">
        <v>31</v>
      </c>
      <c r="J3335" t="s">
        <v>28</v>
      </c>
      <c r="K3335" t="s">
        <v>26</v>
      </c>
      <c r="L3335">
        <v>1</v>
      </c>
      <c r="M3335">
        <v>1</v>
      </c>
      <c r="N3335">
        <v>1.4</v>
      </c>
      <c r="O3335">
        <v>8</v>
      </c>
      <c r="P3335">
        <v>5</v>
      </c>
      <c r="Q3335">
        <v>7</v>
      </c>
      <c r="R3335">
        <v>996740</v>
      </c>
      <c r="S3335">
        <f>Table1[[#This Row],[Revenue]]-Table1[[#This Row],[Operating_Costs]]</f>
        <v>348867</v>
      </c>
      <c r="T3335">
        <v>647873</v>
      </c>
      <c r="U3335">
        <v>60</v>
      </c>
      <c r="V3335">
        <v>62</v>
      </c>
      <c r="W3335">
        <v>7.6</v>
      </c>
    </row>
    <row r="3336" spans="1:23" x14ac:dyDescent="0.25">
      <c r="A3336">
        <v>9</v>
      </c>
      <c r="B3336" t="s">
        <v>44</v>
      </c>
      <c r="C3336" s="1">
        <v>45379</v>
      </c>
      <c r="D3336" t="s">
        <v>71</v>
      </c>
      <c r="E3336">
        <v>0</v>
      </c>
      <c r="F3336">
        <v>63</v>
      </c>
      <c r="G3336" t="str">
        <f t="shared" si="60"/>
        <v>61-80</v>
      </c>
      <c r="H3336" t="s">
        <v>35</v>
      </c>
      <c r="I3336" t="s">
        <v>61</v>
      </c>
      <c r="J3336" t="s">
        <v>62</v>
      </c>
      <c r="K3336" t="s">
        <v>33</v>
      </c>
      <c r="L3336">
        <v>1</v>
      </c>
      <c r="M3336">
        <v>1</v>
      </c>
      <c r="N3336">
        <v>3.1</v>
      </c>
      <c r="O3336">
        <v>7.3</v>
      </c>
      <c r="P3336">
        <v>6</v>
      </c>
      <c r="Q3336">
        <v>4</v>
      </c>
      <c r="R3336">
        <v>547919</v>
      </c>
      <c r="S3336">
        <f>Table1[[#This Row],[Revenue]]-Table1[[#This Row],[Operating_Costs]]</f>
        <v>164497</v>
      </c>
      <c r="T3336">
        <v>383422</v>
      </c>
      <c r="U3336">
        <v>38</v>
      </c>
      <c r="V3336">
        <v>58</v>
      </c>
      <c r="W3336">
        <v>6.4</v>
      </c>
    </row>
    <row r="3337" spans="1:23" x14ac:dyDescent="0.25">
      <c r="A3337">
        <v>10</v>
      </c>
      <c r="B3337" t="s">
        <v>34</v>
      </c>
      <c r="C3337" s="1">
        <v>44699</v>
      </c>
      <c r="D3337" t="s">
        <v>71</v>
      </c>
      <c r="E3337">
        <v>0</v>
      </c>
      <c r="F3337">
        <v>71</v>
      </c>
      <c r="G3337" t="str">
        <f t="shared" si="60"/>
        <v>61-80</v>
      </c>
      <c r="H3337" t="s">
        <v>35</v>
      </c>
      <c r="I3337" t="s">
        <v>46</v>
      </c>
      <c r="J3337" t="s">
        <v>47</v>
      </c>
      <c r="K3337" t="s">
        <v>29</v>
      </c>
      <c r="L3337">
        <v>1</v>
      </c>
      <c r="M3337">
        <v>1</v>
      </c>
      <c r="N3337">
        <v>1.9</v>
      </c>
      <c r="O3337">
        <v>8.9</v>
      </c>
      <c r="P3337">
        <v>3</v>
      </c>
      <c r="Q3337">
        <v>4</v>
      </c>
      <c r="R3337">
        <v>808339</v>
      </c>
      <c r="S3337">
        <f>Table1[[#This Row],[Revenue]]-Table1[[#This Row],[Operating_Costs]]</f>
        <v>169200</v>
      </c>
      <c r="T3337">
        <v>639139</v>
      </c>
      <c r="U3337">
        <v>55</v>
      </c>
      <c r="V3337">
        <v>61</v>
      </c>
      <c r="W3337">
        <v>12.8</v>
      </c>
    </row>
    <row r="3338" spans="1:23" x14ac:dyDescent="0.25">
      <c r="A3338">
        <v>10</v>
      </c>
      <c r="B3338" t="s">
        <v>34</v>
      </c>
      <c r="C3338" s="1">
        <v>45588</v>
      </c>
      <c r="D3338" t="s">
        <v>71</v>
      </c>
      <c r="E3338">
        <v>0</v>
      </c>
      <c r="F3338">
        <v>44</v>
      </c>
      <c r="G3338" t="str">
        <f t="shared" si="60"/>
        <v>41-60</v>
      </c>
      <c r="H3338" t="s">
        <v>35</v>
      </c>
      <c r="I3338" t="s">
        <v>61</v>
      </c>
      <c r="J3338" t="s">
        <v>62</v>
      </c>
      <c r="K3338" t="s">
        <v>42</v>
      </c>
      <c r="L3338">
        <v>1</v>
      </c>
      <c r="M3338">
        <v>1</v>
      </c>
      <c r="N3338">
        <v>2.2999999999999998</v>
      </c>
      <c r="O3338">
        <v>8.1</v>
      </c>
      <c r="P3338">
        <v>7</v>
      </c>
      <c r="Q3338">
        <v>5</v>
      </c>
      <c r="R3338">
        <v>838953</v>
      </c>
      <c r="S3338">
        <f>Table1[[#This Row],[Revenue]]-Table1[[#This Row],[Operating_Costs]]</f>
        <v>301891</v>
      </c>
      <c r="T3338">
        <v>537062</v>
      </c>
      <c r="U3338">
        <v>60</v>
      </c>
      <c r="V3338">
        <v>56</v>
      </c>
      <c r="W3338">
        <v>12.4</v>
      </c>
    </row>
    <row r="3339" spans="1:23" x14ac:dyDescent="0.25">
      <c r="A3339">
        <v>9</v>
      </c>
      <c r="B3339" t="s">
        <v>44</v>
      </c>
      <c r="C3339" s="1">
        <v>44262</v>
      </c>
      <c r="D3339" t="s">
        <v>71</v>
      </c>
      <c r="E3339">
        <v>0</v>
      </c>
      <c r="F3339">
        <v>60</v>
      </c>
      <c r="G3339" t="str">
        <f t="shared" si="60"/>
        <v>41-60</v>
      </c>
      <c r="H3339" t="s">
        <v>23</v>
      </c>
      <c r="I3339" t="s">
        <v>24</v>
      </c>
      <c r="J3339" t="s">
        <v>25</v>
      </c>
      <c r="K3339" t="s">
        <v>33</v>
      </c>
      <c r="L3339">
        <v>1</v>
      </c>
      <c r="M3339">
        <v>1</v>
      </c>
      <c r="N3339">
        <v>2.1</v>
      </c>
      <c r="O3339">
        <v>8.3000000000000007</v>
      </c>
      <c r="P3339">
        <v>3</v>
      </c>
      <c r="Q3339">
        <v>7</v>
      </c>
      <c r="R3339">
        <v>501563</v>
      </c>
      <c r="S3339">
        <f>Table1[[#This Row],[Revenue]]-Table1[[#This Row],[Operating_Costs]]</f>
        <v>106683</v>
      </c>
      <c r="T3339">
        <v>394880</v>
      </c>
      <c r="U3339">
        <v>38</v>
      </c>
      <c r="V3339">
        <v>65</v>
      </c>
      <c r="W3339">
        <v>6.5</v>
      </c>
    </row>
    <row r="3340" spans="1:23" x14ac:dyDescent="0.25">
      <c r="A3340">
        <v>10</v>
      </c>
      <c r="B3340" t="s">
        <v>34</v>
      </c>
      <c r="C3340" s="1">
        <v>45143</v>
      </c>
      <c r="D3340" t="s">
        <v>71</v>
      </c>
      <c r="E3340">
        <v>0</v>
      </c>
      <c r="F3340">
        <v>47</v>
      </c>
      <c r="G3340" t="str">
        <f t="shared" si="60"/>
        <v>41-60</v>
      </c>
      <c r="H3340" t="s">
        <v>23</v>
      </c>
      <c r="I3340" t="s">
        <v>61</v>
      </c>
      <c r="J3340" t="s">
        <v>62</v>
      </c>
      <c r="K3340" t="s">
        <v>42</v>
      </c>
      <c r="L3340">
        <v>1</v>
      </c>
      <c r="M3340">
        <v>1</v>
      </c>
      <c r="N3340">
        <v>6.7</v>
      </c>
      <c r="O3340">
        <v>7.4</v>
      </c>
      <c r="P3340">
        <v>3</v>
      </c>
      <c r="Q3340">
        <v>6</v>
      </c>
      <c r="R3340">
        <v>904027</v>
      </c>
      <c r="S3340">
        <f>Table1[[#This Row],[Revenue]]-Table1[[#This Row],[Operating_Costs]]</f>
        <v>311481</v>
      </c>
      <c r="T3340">
        <v>592546</v>
      </c>
      <c r="U3340">
        <v>50</v>
      </c>
      <c r="V3340">
        <v>64</v>
      </c>
      <c r="W3340">
        <v>6.9</v>
      </c>
    </row>
    <row r="3341" spans="1:23" x14ac:dyDescent="0.25">
      <c r="A3341">
        <v>10</v>
      </c>
      <c r="B3341" t="s">
        <v>34</v>
      </c>
      <c r="C3341" s="1">
        <v>45201</v>
      </c>
      <c r="D3341" t="s">
        <v>71</v>
      </c>
      <c r="E3341">
        <v>0</v>
      </c>
      <c r="F3341">
        <v>46</v>
      </c>
      <c r="G3341" t="str">
        <f t="shared" si="60"/>
        <v>41-60</v>
      </c>
      <c r="H3341" t="s">
        <v>35</v>
      </c>
      <c r="I3341" t="s">
        <v>40</v>
      </c>
      <c r="J3341" t="s">
        <v>41</v>
      </c>
      <c r="K3341" t="s">
        <v>29</v>
      </c>
      <c r="L3341">
        <v>1</v>
      </c>
      <c r="M3341">
        <v>1</v>
      </c>
      <c r="N3341">
        <v>4.3</v>
      </c>
      <c r="O3341">
        <v>9.3000000000000007</v>
      </c>
      <c r="P3341">
        <v>4</v>
      </c>
      <c r="Q3341">
        <v>5</v>
      </c>
      <c r="R3341">
        <v>876607</v>
      </c>
      <c r="S3341">
        <f>Table1[[#This Row],[Revenue]]-Table1[[#This Row],[Operating_Costs]]</f>
        <v>274638</v>
      </c>
      <c r="T3341">
        <v>601969</v>
      </c>
      <c r="U3341">
        <v>55</v>
      </c>
      <c r="V3341">
        <v>66</v>
      </c>
      <c r="W3341">
        <v>8.8000000000000007</v>
      </c>
    </row>
    <row r="3342" spans="1:23" x14ac:dyDescent="0.25">
      <c r="A3342">
        <v>10</v>
      </c>
      <c r="B3342" t="s">
        <v>34</v>
      </c>
      <c r="C3342" s="1">
        <v>45034</v>
      </c>
      <c r="D3342" t="s">
        <v>71</v>
      </c>
      <c r="E3342">
        <v>0</v>
      </c>
      <c r="F3342">
        <v>56</v>
      </c>
      <c r="G3342" t="str">
        <f t="shared" si="60"/>
        <v>41-60</v>
      </c>
      <c r="H3342" t="s">
        <v>23</v>
      </c>
      <c r="I3342" t="s">
        <v>55</v>
      </c>
      <c r="J3342" t="s">
        <v>56</v>
      </c>
      <c r="K3342" t="s">
        <v>26</v>
      </c>
      <c r="L3342">
        <v>1</v>
      </c>
      <c r="M3342">
        <v>1</v>
      </c>
      <c r="N3342">
        <v>2.6</v>
      </c>
      <c r="O3342">
        <v>8.8000000000000007</v>
      </c>
      <c r="P3342">
        <v>3</v>
      </c>
      <c r="Q3342">
        <v>7</v>
      </c>
      <c r="R3342">
        <v>882104</v>
      </c>
      <c r="S3342">
        <f>Table1[[#This Row],[Revenue]]-Table1[[#This Row],[Operating_Costs]]</f>
        <v>292110</v>
      </c>
      <c r="T3342">
        <v>589994</v>
      </c>
      <c r="U3342">
        <v>65</v>
      </c>
      <c r="V3342">
        <v>58</v>
      </c>
      <c r="W3342">
        <v>9.3000000000000007</v>
      </c>
    </row>
    <row r="3343" spans="1:23" x14ac:dyDescent="0.25">
      <c r="A3343">
        <v>10</v>
      </c>
      <c r="B3343" t="s">
        <v>34</v>
      </c>
      <c r="C3343" s="1">
        <v>44619</v>
      </c>
      <c r="D3343" t="s">
        <v>71</v>
      </c>
      <c r="E3343">
        <v>0</v>
      </c>
      <c r="F3343">
        <v>67</v>
      </c>
      <c r="G3343" t="str">
        <f t="shared" si="60"/>
        <v>61-80</v>
      </c>
      <c r="H3343" t="s">
        <v>23</v>
      </c>
      <c r="I3343" t="s">
        <v>46</v>
      </c>
      <c r="J3343" t="s">
        <v>47</v>
      </c>
      <c r="K3343" t="s">
        <v>38</v>
      </c>
      <c r="L3343">
        <v>1</v>
      </c>
      <c r="M3343">
        <v>1</v>
      </c>
      <c r="N3343">
        <v>2.7</v>
      </c>
      <c r="O3343">
        <v>8.4</v>
      </c>
      <c r="P3343">
        <v>7</v>
      </c>
      <c r="Q3343">
        <v>6</v>
      </c>
      <c r="R3343">
        <v>818241</v>
      </c>
      <c r="S3343">
        <f>Table1[[#This Row],[Revenue]]-Table1[[#This Row],[Operating_Costs]]</f>
        <v>271039</v>
      </c>
      <c r="T3343">
        <v>547202</v>
      </c>
      <c r="U3343">
        <v>54</v>
      </c>
      <c r="V3343">
        <v>58</v>
      </c>
      <c r="W3343">
        <v>7.3</v>
      </c>
    </row>
    <row r="3344" spans="1:23" x14ac:dyDescent="0.25">
      <c r="A3344">
        <v>10</v>
      </c>
      <c r="B3344" t="s">
        <v>34</v>
      </c>
      <c r="C3344" s="1">
        <v>45626</v>
      </c>
      <c r="D3344" t="s">
        <v>71</v>
      </c>
      <c r="E3344">
        <v>0</v>
      </c>
      <c r="F3344">
        <v>28</v>
      </c>
      <c r="G3344" t="str">
        <f t="shared" si="60"/>
        <v>21-40</v>
      </c>
      <c r="H3344" t="s">
        <v>35</v>
      </c>
      <c r="I3344" t="s">
        <v>64</v>
      </c>
      <c r="J3344" t="s">
        <v>65</v>
      </c>
      <c r="K3344" t="s">
        <v>38</v>
      </c>
      <c r="L3344">
        <v>1</v>
      </c>
      <c r="M3344">
        <v>1</v>
      </c>
      <c r="N3344">
        <v>1.6</v>
      </c>
      <c r="O3344">
        <v>8.1999999999999993</v>
      </c>
      <c r="P3344">
        <v>7</v>
      </c>
      <c r="Q3344">
        <v>3</v>
      </c>
      <c r="R3344">
        <v>903722</v>
      </c>
      <c r="S3344">
        <f>Table1[[#This Row],[Revenue]]-Table1[[#This Row],[Operating_Costs]]</f>
        <v>402830</v>
      </c>
      <c r="T3344">
        <v>500892</v>
      </c>
      <c r="U3344">
        <v>57</v>
      </c>
      <c r="V3344">
        <v>56</v>
      </c>
      <c r="W3344">
        <v>14.9</v>
      </c>
    </row>
    <row r="3345" spans="1:23" x14ac:dyDescent="0.25">
      <c r="A3345">
        <v>10</v>
      </c>
      <c r="B3345" t="s">
        <v>34</v>
      </c>
      <c r="C3345" s="1">
        <v>44851</v>
      </c>
      <c r="D3345" t="s">
        <v>71</v>
      </c>
      <c r="E3345">
        <v>0</v>
      </c>
      <c r="F3345">
        <v>79</v>
      </c>
      <c r="G3345" t="str">
        <f t="shared" si="60"/>
        <v>61-80</v>
      </c>
      <c r="H3345" t="s">
        <v>35</v>
      </c>
      <c r="I3345" t="s">
        <v>55</v>
      </c>
      <c r="J3345" t="s">
        <v>56</v>
      </c>
      <c r="K3345" t="s">
        <v>42</v>
      </c>
      <c r="L3345">
        <v>1</v>
      </c>
      <c r="M3345">
        <v>1</v>
      </c>
      <c r="N3345">
        <v>7</v>
      </c>
      <c r="O3345">
        <v>9</v>
      </c>
      <c r="P3345">
        <v>3</v>
      </c>
      <c r="Q3345">
        <v>5</v>
      </c>
      <c r="R3345">
        <v>971443</v>
      </c>
      <c r="S3345">
        <f>Table1[[#This Row],[Revenue]]-Table1[[#This Row],[Operating_Costs]]</f>
        <v>462051</v>
      </c>
      <c r="T3345">
        <v>509392</v>
      </c>
      <c r="U3345">
        <v>65</v>
      </c>
      <c r="V3345">
        <v>60</v>
      </c>
      <c r="W3345">
        <v>13.1</v>
      </c>
    </row>
    <row r="3346" spans="1:23" x14ac:dyDescent="0.25">
      <c r="A3346">
        <v>10</v>
      </c>
      <c r="B3346" t="s">
        <v>34</v>
      </c>
      <c r="C3346" s="1">
        <v>45343</v>
      </c>
      <c r="D3346" t="s">
        <v>71</v>
      </c>
      <c r="E3346">
        <v>0</v>
      </c>
      <c r="F3346">
        <v>38</v>
      </c>
      <c r="G3346" t="str">
        <f t="shared" si="60"/>
        <v>21-40</v>
      </c>
      <c r="H3346" t="s">
        <v>35</v>
      </c>
      <c r="I3346" t="s">
        <v>50</v>
      </c>
      <c r="J3346" t="s">
        <v>51</v>
      </c>
      <c r="K3346" t="s">
        <v>42</v>
      </c>
      <c r="L3346">
        <v>1</v>
      </c>
      <c r="M3346">
        <v>1</v>
      </c>
      <c r="N3346">
        <v>6.7</v>
      </c>
      <c r="O3346">
        <v>8.1</v>
      </c>
      <c r="P3346">
        <v>3</v>
      </c>
      <c r="Q3346">
        <v>5</v>
      </c>
      <c r="R3346">
        <v>984386</v>
      </c>
      <c r="S3346">
        <f>Table1[[#This Row],[Revenue]]-Table1[[#This Row],[Operating_Costs]]</f>
        <v>483849</v>
      </c>
      <c r="T3346">
        <v>500537</v>
      </c>
      <c r="U3346">
        <v>53</v>
      </c>
      <c r="V3346">
        <v>60</v>
      </c>
      <c r="W3346">
        <v>12.2</v>
      </c>
    </row>
    <row r="3347" spans="1:23" x14ac:dyDescent="0.25">
      <c r="A3347">
        <v>10</v>
      </c>
      <c r="B3347" t="s">
        <v>34</v>
      </c>
      <c r="C3347" s="1">
        <v>45139</v>
      </c>
      <c r="D3347" t="s">
        <v>71</v>
      </c>
      <c r="E3347">
        <v>0</v>
      </c>
      <c r="F3347">
        <v>35</v>
      </c>
      <c r="G3347" t="str">
        <f t="shared" si="60"/>
        <v>21-40</v>
      </c>
      <c r="H3347" t="s">
        <v>23</v>
      </c>
      <c r="I3347" t="s">
        <v>58</v>
      </c>
      <c r="J3347" t="s">
        <v>59</v>
      </c>
      <c r="K3347" t="s">
        <v>29</v>
      </c>
      <c r="L3347">
        <v>1</v>
      </c>
      <c r="M3347">
        <v>1</v>
      </c>
      <c r="N3347">
        <v>6.7</v>
      </c>
      <c r="O3347">
        <v>8.1</v>
      </c>
      <c r="P3347">
        <v>7</v>
      </c>
      <c r="Q3347">
        <v>6</v>
      </c>
      <c r="R3347">
        <v>908139</v>
      </c>
      <c r="S3347">
        <f>Table1[[#This Row],[Revenue]]-Table1[[#This Row],[Operating_Costs]]</f>
        <v>242499</v>
      </c>
      <c r="T3347">
        <v>665640</v>
      </c>
      <c r="U3347">
        <v>67</v>
      </c>
      <c r="V3347">
        <v>65</v>
      </c>
      <c r="W3347">
        <v>13.4</v>
      </c>
    </row>
    <row r="3348" spans="1:23" x14ac:dyDescent="0.25">
      <c r="A3348">
        <v>9</v>
      </c>
      <c r="B3348" t="s">
        <v>44</v>
      </c>
      <c r="C3348" s="1">
        <v>44826</v>
      </c>
      <c r="D3348" t="s">
        <v>71</v>
      </c>
      <c r="E3348">
        <v>0</v>
      </c>
      <c r="F3348">
        <v>43</v>
      </c>
      <c r="G3348" t="str">
        <f t="shared" si="60"/>
        <v>41-60</v>
      </c>
      <c r="H3348" t="s">
        <v>35</v>
      </c>
      <c r="I3348" t="s">
        <v>31</v>
      </c>
      <c r="J3348" t="s">
        <v>28</v>
      </c>
      <c r="K3348" t="s">
        <v>42</v>
      </c>
      <c r="L3348">
        <v>1</v>
      </c>
      <c r="M3348">
        <v>1</v>
      </c>
      <c r="N3348">
        <v>3.3</v>
      </c>
      <c r="O3348">
        <v>8</v>
      </c>
      <c r="P3348">
        <v>7</v>
      </c>
      <c r="Q3348">
        <v>4</v>
      </c>
      <c r="R3348">
        <v>554792</v>
      </c>
      <c r="S3348">
        <f>Table1[[#This Row],[Revenue]]-Table1[[#This Row],[Operating_Costs]]</f>
        <v>171856</v>
      </c>
      <c r="T3348">
        <v>382936</v>
      </c>
      <c r="U3348">
        <v>35</v>
      </c>
      <c r="V3348">
        <v>63</v>
      </c>
      <c r="W3348">
        <v>12.7</v>
      </c>
    </row>
    <row r="3349" spans="1:23" x14ac:dyDescent="0.25">
      <c r="A3349">
        <v>10</v>
      </c>
      <c r="B3349" t="s">
        <v>34</v>
      </c>
      <c r="C3349" s="1">
        <v>44736</v>
      </c>
      <c r="D3349" t="s">
        <v>71</v>
      </c>
      <c r="E3349">
        <v>0</v>
      </c>
      <c r="F3349">
        <v>30</v>
      </c>
      <c r="G3349" t="str">
        <f t="shared" si="60"/>
        <v>21-40</v>
      </c>
      <c r="H3349" t="s">
        <v>23</v>
      </c>
      <c r="I3349" t="s">
        <v>50</v>
      </c>
      <c r="J3349" t="s">
        <v>51</v>
      </c>
      <c r="K3349" t="s">
        <v>29</v>
      </c>
      <c r="L3349">
        <v>1</v>
      </c>
      <c r="M3349">
        <v>1</v>
      </c>
      <c r="N3349">
        <v>1.6</v>
      </c>
      <c r="O3349">
        <v>8.6999999999999993</v>
      </c>
      <c r="P3349">
        <v>6</v>
      </c>
      <c r="Q3349">
        <v>6</v>
      </c>
      <c r="R3349">
        <v>852850</v>
      </c>
      <c r="S3349">
        <f>Table1[[#This Row],[Revenue]]-Table1[[#This Row],[Operating_Costs]]</f>
        <v>235638</v>
      </c>
      <c r="T3349">
        <v>617212</v>
      </c>
      <c r="U3349">
        <v>54</v>
      </c>
      <c r="V3349">
        <v>58</v>
      </c>
      <c r="W3349">
        <v>8.6</v>
      </c>
    </row>
    <row r="3350" spans="1:23" x14ac:dyDescent="0.25">
      <c r="A3350">
        <v>9</v>
      </c>
      <c r="B3350" t="s">
        <v>44</v>
      </c>
      <c r="C3350" s="1">
        <v>44956</v>
      </c>
      <c r="D3350" t="s">
        <v>71</v>
      </c>
      <c r="E3350">
        <v>0</v>
      </c>
      <c r="F3350">
        <v>70</v>
      </c>
      <c r="G3350" t="str">
        <f t="shared" si="60"/>
        <v>61-80</v>
      </c>
      <c r="H3350" t="s">
        <v>23</v>
      </c>
      <c r="I3350" t="s">
        <v>31</v>
      </c>
      <c r="J3350" t="s">
        <v>28</v>
      </c>
      <c r="K3350" t="s">
        <v>29</v>
      </c>
      <c r="L3350">
        <v>1</v>
      </c>
      <c r="M3350">
        <v>1</v>
      </c>
      <c r="N3350">
        <v>4.3</v>
      </c>
      <c r="O3350">
        <v>8.6999999999999993</v>
      </c>
      <c r="P3350">
        <v>4</v>
      </c>
      <c r="Q3350">
        <v>3</v>
      </c>
      <c r="R3350">
        <v>561798</v>
      </c>
      <c r="S3350">
        <f>Table1[[#This Row],[Revenue]]-Table1[[#This Row],[Operating_Costs]]</f>
        <v>153917</v>
      </c>
      <c r="T3350">
        <v>407881</v>
      </c>
      <c r="U3350">
        <v>38</v>
      </c>
      <c r="V3350">
        <v>59</v>
      </c>
      <c r="W3350">
        <v>13.9</v>
      </c>
    </row>
    <row r="3351" spans="1:23" x14ac:dyDescent="0.25">
      <c r="A3351">
        <v>9</v>
      </c>
      <c r="B3351" t="s">
        <v>44</v>
      </c>
      <c r="C3351" s="1">
        <v>44721</v>
      </c>
      <c r="D3351" t="s">
        <v>71</v>
      </c>
      <c r="E3351">
        <v>0</v>
      </c>
      <c r="F3351">
        <v>61</v>
      </c>
      <c r="G3351" t="str">
        <f t="shared" si="60"/>
        <v>61-80</v>
      </c>
      <c r="H3351" t="s">
        <v>35</v>
      </c>
      <c r="I3351" t="s">
        <v>60</v>
      </c>
      <c r="J3351" t="s">
        <v>59</v>
      </c>
      <c r="K3351" t="s">
        <v>33</v>
      </c>
      <c r="L3351">
        <v>1</v>
      </c>
      <c r="M3351">
        <v>1</v>
      </c>
      <c r="N3351">
        <v>4.5</v>
      </c>
      <c r="O3351">
        <v>9</v>
      </c>
      <c r="P3351">
        <v>5</v>
      </c>
      <c r="Q3351">
        <v>6</v>
      </c>
      <c r="R3351">
        <v>542363</v>
      </c>
      <c r="S3351">
        <f>Table1[[#This Row],[Revenue]]-Table1[[#This Row],[Operating_Costs]]</f>
        <v>106092</v>
      </c>
      <c r="T3351">
        <v>436271</v>
      </c>
      <c r="U3351">
        <v>40</v>
      </c>
      <c r="V3351">
        <v>66</v>
      </c>
      <c r="W3351">
        <v>7.7</v>
      </c>
    </row>
    <row r="3352" spans="1:23" x14ac:dyDescent="0.25">
      <c r="A3352">
        <v>9</v>
      </c>
      <c r="B3352" t="s">
        <v>44</v>
      </c>
      <c r="C3352" s="1">
        <v>45227</v>
      </c>
      <c r="D3352" t="s">
        <v>71</v>
      </c>
      <c r="E3352">
        <v>0</v>
      </c>
      <c r="F3352">
        <v>62</v>
      </c>
      <c r="G3352" t="str">
        <f t="shared" si="60"/>
        <v>61-80</v>
      </c>
      <c r="H3352" t="s">
        <v>23</v>
      </c>
      <c r="I3352" t="s">
        <v>61</v>
      </c>
      <c r="J3352" t="s">
        <v>62</v>
      </c>
      <c r="K3352" t="s">
        <v>38</v>
      </c>
      <c r="L3352">
        <v>1</v>
      </c>
      <c r="M3352">
        <v>1</v>
      </c>
      <c r="N3352">
        <v>6.8</v>
      </c>
      <c r="O3352">
        <v>7.7</v>
      </c>
      <c r="P3352">
        <v>5</v>
      </c>
      <c r="Q3352">
        <v>3</v>
      </c>
      <c r="R3352">
        <v>559261</v>
      </c>
      <c r="S3352">
        <f>Table1[[#This Row],[Revenue]]-Table1[[#This Row],[Operating_Costs]]</f>
        <v>149247</v>
      </c>
      <c r="T3352">
        <v>410014</v>
      </c>
      <c r="U3352">
        <v>37</v>
      </c>
      <c r="V3352">
        <v>66</v>
      </c>
      <c r="W3352">
        <v>6.9</v>
      </c>
    </row>
    <row r="3353" spans="1:23" x14ac:dyDescent="0.25">
      <c r="A3353">
        <v>10</v>
      </c>
      <c r="B3353" t="s">
        <v>34</v>
      </c>
      <c r="C3353" s="1">
        <v>45561</v>
      </c>
      <c r="D3353" t="s">
        <v>71</v>
      </c>
      <c r="E3353">
        <v>0</v>
      </c>
      <c r="F3353">
        <v>48</v>
      </c>
      <c r="G3353" t="str">
        <f t="shared" si="60"/>
        <v>41-60</v>
      </c>
      <c r="H3353" t="s">
        <v>23</v>
      </c>
      <c r="I3353" t="s">
        <v>50</v>
      </c>
      <c r="J3353" t="s">
        <v>51</v>
      </c>
      <c r="K3353" t="s">
        <v>42</v>
      </c>
      <c r="L3353">
        <v>1</v>
      </c>
      <c r="M3353">
        <v>1</v>
      </c>
      <c r="N3353">
        <v>2.1</v>
      </c>
      <c r="O3353">
        <v>9.5</v>
      </c>
      <c r="P3353">
        <v>6</v>
      </c>
      <c r="Q3353">
        <v>3</v>
      </c>
      <c r="R3353">
        <v>803298</v>
      </c>
      <c r="S3353">
        <f>Table1[[#This Row],[Revenue]]-Table1[[#This Row],[Operating_Costs]]</f>
        <v>187088</v>
      </c>
      <c r="T3353">
        <v>616210</v>
      </c>
      <c r="U3353">
        <v>55</v>
      </c>
      <c r="V3353">
        <v>57</v>
      </c>
      <c r="W3353">
        <v>12.1</v>
      </c>
    </row>
    <row r="3354" spans="1:23" x14ac:dyDescent="0.25">
      <c r="A3354">
        <v>10</v>
      </c>
      <c r="B3354" t="s">
        <v>34</v>
      </c>
      <c r="C3354" s="1">
        <v>44279</v>
      </c>
      <c r="D3354" t="s">
        <v>71</v>
      </c>
      <c r="E3354">
        <v>0</v>
      </c>
      <c r="F3354">
        <v>70</v>
      </c>
      <c r="G3354" t="str">
        <f t="shared" si="60"/>
        <v>61-80</v>
      </c>
      <c r="H3354" t="s">
        <v>35</v>
      </c>
      <c r="I3354" t="s">
        <v>36</v>
      </c>
      <c r="J3354" t="s">
        <v>37</v>
      </c>
      <c r="K3354" t="s">
        <v>33</v>
      </c>
      <c r="L3354">
        <v>1</v>
      </c>
      <c r="M3354">
        <v>1</v>
      </c>
      <c r="N3354">
        <v>6</v>
      </c>
      <c r="O3354">
        <v>9.6999999999999993</v>
      </c>
      <c r="P3354">
        <v>3</v>
      </c>
      <c r="Q3354">
        <v>4</v>
      </c>
      <c r="R3354">
        <v>885988</v>
      </c>
      <c r="S3354">
        <f>Table1[[#This Row],[Revenue]]-Table1[[#This Row],[Operating_Costs]]</f>
        <v>271276</v>
      </c>
      <c r="T3354">
        <v>614712</v>
      </c>
      <c r="U3354">
        <v>52</v>
      </c>
      <c r="V3354">
        <v>62</v>
      </c>
      <c r="W3354">
        <v>14.6</v>
      </c>
    </row>
    <row r="3355" spans="1:23" x14ac:dyDescent="0.25">
      <c r="A3355">
        <v>10</v>
      </c>
      <c r="B3355" t="s">
        <v>34</v>
      </c>
      <c r="C3355" s="1">
        <v>45032</v>
      </c>
      <c r="D3355" t="s">
        <v>71</v>
      </c>
      <c r="E3355">
        <v>0</v>
      </c>
      <c r="F3355">
        <v>39</v>
      </c>
      <c r="G3355" t="str">
        <f t="shared" si="60"/>
        <v>21-40</v>
      </c>
      <c r="H3355" t="s">
        <v>35</v>
      </c>
      <c r="I3355" t="s">
        <v>61</v>
      </c>
      <c r="J3355" t="s">
        <v>62</v>
      </c>
      <c r="K3355" t="s">
        <v>26</v>
      </c>
      <c r="L3355">
        <v>1</v>
      </c>
      <c r="M3355">
        <v>1</v>
      </c>
      <c r="N3355">
        <v>2</v>
      </c>
      <c r="O3355">
        <v>9.6</v>
      </c>
      <c r="P3355">
        <v>7</v>
      </c>
      <c r="Q3355">
        <v>4</v>
      </c>
      <c r="R3355">
        <v>964392</v>
      </c>
      <c r="S3355">
        <f>Table1[[#This Row],[Revenue]]-Table1[[#This Row],[Operating_Costs]]</f>
        <v>322129</v>
      </c>
      <c r="T3355">
        <v>642263</v>
      </c>
      <c r="U3355">
        <v>57</v>
      </c>
      <c r="V3355">
        <v>60</v>
      </c>
      <c r="W3355">
        <v>7.8</v>
      </c>
    </row>
    <row r="3356" spans="1:23" x14ac:dyDescent="0.25">
      <c r="A3356">
        <v>10</v>
      </c>
      <c r="B3356" t="s">
        <v>34</v>
      </c>
      <c r="C3356" s="1">
        <v>44327</v>
      </c>
      <c r="D3356" t="s">
        <v>71</v>
      </c>
      <c r="E3356">
        <v>0</v>
      </c>
      <c r="F3356">
        <v>66</v>
      </c>
      <c r="G3356" t="str">
        <f t="shared" si="60"/>
        <v>61-80</v>
      </c>
      <c r="H3356" t="s">
        <v>35</v>
      </c>
      <c r="I3356" t="s">
        <v>58</v>
      </c>
      <c r="J3356" t="s">
        <v>59</v>
      </c>
      <c r="K3356" t="s">
        <v>26</v>
      </c>
      <c r="L3356">
        <v>1</v>
      </c>
      <c r="M3356">
        <v>1</v>
      </c>
      <c r="N3356">
        <v>3.8</v>
      </c>
      <c r="O3356">
        <v>9.5</v>
      </c>
      <c r="P3356">
        <v>6</v>
      </c>
      <c r="Q3356">
        <v>4</v>
      </c>
      <c r="R3356">
        <v>992338</v>
      </c>
      <c r="S3356">
        <f>Table1[[#This Row],[Revenue]]-Table1[[#This Row],[Operating_Costs]]</f>
        <v>458890</v>
      </c>
      <c r="T3356">
        <v>533448</v>
      </c>
      <c r="U3356">
        <v>51</v>
      </c>
      <c r="V3356">
        <v>64</v>
      </c>
      <c r="W3356">
        <v>12.2</v>
      </c>
    </row>
    <row r="3357" spans="1:23" x14ac:dyDescent="0.25">
      <c r="A3357">
        <v>10</v>
      </c>
      <c r="B3357" t="s">
        <v>34</v>
      </c>
      <c r="C3357" s="1">
        <v>45048</v>
      </c>
      <c r="D3357" t="s">
        <v>71</v>
      </c>
      <c r="E3357">
        <v>0</v>
      </c>
      <c r="F3357">
        <v>46</v>
      </c>
      <c r="G3357" t="str">
        <f t="shared" si="60"/>
        <v>41-60</v>
      </c>
      <c r="H3357" t="s">
        <v>35</v>
      </c>
      <c r="I3357" t="s">
        <v>58</v>
      </c>
      <c r="J3357" t="s">
        <v>59</v>
      </c>
      <c r="K3357" t="s">
        <v>29</v>
      </c>
      <c r="L3357">
        <v>1</v>
      </c>
      <c r="M3357">
        <v>1</v>
      </c>
      <c r="N3357">
        <v>3.9</v>
      </c>
      <c r="O3357">
        <v>8.8000000000000007</v>
      </c>
      <c r="P3357">
        <v>7</v>
      </c>
      <c r="Q3357">
        <v>5</v>
      </c>
      <c r="R3357">
        <v>871062</v>
      </c>
      <c r="S3357">
        <f>Table1[[#This Row],[Revenue]]-Table1[[#This Row],[Operating_Costs]]</f>
        <v>234856</v>
      </c>
      <c r="T3357">
        <v>636206</v>
      </c>
      <c r="U3357">
        <v>52</v>
      </c>
      <c r="V3357">
        <v>60</v>
      </c>
      <c r="W3357">
        <v>7.9</v>
      </c>
    </row>
    <row r="3358" spans="1:23" x14ac:dyDescent="0.25">
      <c r="A3358">
        <v>10</v>
      </c>
      <c r="B3358" t="s">
        <v>34</v>
      </c>
      <c r="C3358" s="1">
        <v>45179</v>
      </c>
      <c r="D3358" t="s">
        <v>71</v>
      </c>
      <c r="E3358">
        <v>0</v>
      </c>
      <c r="F3358">
        <v>27</v>
      </c>
      <c r="G3358" t="str">
        <f t="shared" si="60"/>
        <v>21-40</v>
      </c>
      <c r="H3358" t="s">
        <v>35</v>
      </c>
      <c r="I3358" t="s">
        <v>40</v>
      </c>
      <c r="J3358" t="s">
        <v>41</v>
      </c>
      <c r="K3358" t="s">
        <v>29</v>
      </c>
      <c r="L3358">
        <v>1</v>
      </c>
      <c r="M3358">
        <v>1</v>
      </c>
      <c r="N3358">
        <v>4.0999999999999996</v>
      </c>
      <c r="O3358">
        <v>7.8</v>
      </c>
      <c r="P3358">
        <v>6</v>
      </c>
      <c r="Q3358">
        <v>7</v>
      </c>
      <c r="R3358">
        <v>917923</v>
      </c>
      <c r="S3358">
        <f>Table1[[#This Row],[Revenue]]-Table1[[#This Row],[Operating_Costs]]</f>
        <v>345625</v>
      </c>
      <c r="T3358">
        <v>572298</v>
      </c>
      <c r="U3358">
        <v>54</v>
      </c>
      <c r="V3358">
        <v>62</v>
      </c>
      <c r="W3358">
        <v>6.3</v>
      </c>
    </row>
    <row r="3359" spans="1:23" x14ac:dyDescent="0.25">
      <c r="A3359">
        <v>10</v>
      </c>
      <c r="B3359" t="s">
        <v>34</v>
      </c>
      <c r="C3359" s="1">
        <v>45575</v>
      </c>
      <c r="D3359" t="s">
        <v>71</v>
      </c>
      <c r="E3359">
        <v>0</v>
      </c>
      <c r="F3359">
        <v>70</v>
      </c>
      <c r="G3359" t="str">
        <f t="shared" si="60"/>
        <v>61-80</v>
      </c>
      <c r="H3359" t="s">
        <v>23</v>
      </c>
      <c r="I3359" t="s">
        <v>24</v>
      </c>
      <c r="J3359" t="s">
        <v>25</v>
      </c>
      <c r="K3359" t="s">
        <v>38</v>
      </c>
      <c r="L3359">
        <v>1</v>
      </c>
      <c r="M3359">
        <v>1</v>
      </c>
      <c r="N3359">
        <v>5.6</v>
      </c>
      <c r="O3359">
        <v>7.3</v>
      </c>
      <c r="P3359">
        <v>5</v>
      </c>
      <c r="Q3359">
        <v>7</v>
      </c>
      <c r="R3359">
        <v>843002</v>
      </c>
      <c r="S3359">
        <f>Table1[[#This Row],[Revenue]]-Table1[[#This Row],[Operating_Costs]]</f>
        <v>232206</v>
      </c>
      <c r="T3359">
        <v>610796</v>
      </c>
      <c r="U3359">
        <v>63</v>
      </c>
      <c r="V3359">
        <v>61</v>
      </c>
      <c r="W3359">
        <v>5.8</v>
      </c>
    </row>
    <row r="3360" spans="1:23" x14ac:dyDescent="0.25">
      <c r="A3360">
        <v>10</v>
      </c>
      <c r="B3360" t="s">
        <v>34</v>
      </c>
      <c r="C3360" s="1">
        <v>45510</v>
      </c>
      <c r="D3360" t="s">
        <v>71</v>
      </c>
      <c r="E3360">
        <v>0</v>
      </c>
      <c r="F3360">
        <v>24</v>
      </c>
      <c r="G3360" t="str">
        <f t="shared" si="60"/>
        <v>21-40</v>
      </c>
      <c r="H3360" t="s">
        <v>23</v>
      </c>
      <c r="I3360" t="s">
        <v>24</v>
      </c>
      <c r="J3360" t="s">
        <v>25</v>
      </c>
      <c r="K3360" t="s">
        <v>33</v>
      </c>
      <c r="L3360">
        <v>1</v>
      </c>
      <c r="M3360">
        <v>1</v>
      </c>
      <c r="N3360">
        <v>2.2000000000000002</v>
      </c>
      <c r="O3360">
        <v>8.1999999999999993</v>
      </c>
      <c r="P3360">
        <v>4</v>
      </c>
      <c r="Q3360">
        <v>5</v>
      </c>
      <c r="R3360">
        <v>932864</v>
      </c>
      <c r="S3360">
        <f>Table1[[#This Row],[Revenue]]-Table1[[#This Row],[Operating_Costs]]</f>
        <v>314322</v>
      </c>
      <c r="T3360">
        <v>618542</v>
      </c>
      <c r="U3360">
        <v>70</v>
      </c>
      <c r="V3360">
        <v>60</v>
      </c>
      <c r="W3360">
        <v>6.1</v>
      </c>
    </row>
    <row r="3361" spans="1:23" x14ac:dyDescent="0.25">
      <c r="A3361">
        <v>10</v>
      </c>
      <c r="B3361" t="s">
        <v>34</v>
      </c>
      <c r="C3361" s="1">
        <v>45297</v>
      </c>
      <c r="D3361" t="s">
        <v>71</v>
      </c>
      <c r="E3361">
        <v>0</v>
      </c>
      <c r="F3361">
        <v>77</v>
      </c>
      <c r="G3361" t="str">
        <f t="shared" si="60"/>
        <v>61-80</v>
      </c>
      <c r="H3361" t="s">
        <v>23</v>
      </c>
      <c r="I3361" t="s">
        <v>55</v>
      </c>
      <c r="J3361" t="s">
        <v>56</v>
      </c>
      <c r="K3361" t="s">
        <v>33</v>
      </c>
      <c r="L3361">
        <v>1</v>
      </c>
      <c r="M3361">
        <v>1</v>
      </c>
      <c r="N3361">
        <v>1.8</v>
      </c>
      <c r="O3361">
        <v>7.5</v>
      </c>
      <c r="P3361">
        <v>5</v>
      </c>
      <c r="Q3361">
        <v>3</v>
      </c>
      <c r="R3361">
        <v>931340</v>
      </c>
      <c r="S3361">
        <f>Table1[[#This Row],[Revenue]]-Table1[[#This Row],[Operating_Costs]]</f>
        <v>382194</v>
      </c>
      <c r="T3361">
        <v>549146</v>
      </c>
      <c r="U3361">
        <v>64</v>
      </c>
      <c r="V3361">
        <v>56</v>
      </c>
      <c r="W3361">
        <v>13.6</v>
      </c>
    </row>
    <row r="3362" spans="1:23" x14ac:dyDescent="0.25">
      <c r="A3362">
        <v>9</v>
      </c>
      <c r="B3362" t="s">
        <v>44</v>
      </c>
      <c r="C3362" s="1">
        <v>44547</v>
      </c>
      <c r="D3362" t="s">
        <v>71</v>
      </c>
      <c r="E3362">
        <v>0</v>
      </c>
      <c r="F3362">
        <v>89</v>
      </c>
      <c r="G3362" t="str">
        <f t="shared" si="60"/>
        <v>81+</v>
      </c>
      <c r="H3362" t="s">
        <v>23</v>
      </c>
      <c r="I3362" t="s">
        <v>61</v>
      </c>
      <c r="J3362" t="s">
        <v>62</v>
      </c>
      <c r="K3362" t="s">
        <v>33</v>
      </c>
      <c r="L3362">
        <v>1</v>
      </c>
      <c r="M3362">
        <v>1</v>
      </c>
      <c r="N3362">
        <v>3.3</v>
      </c>
      <c r="O3362">
        <v>7.4</v>
      </c>
      <c r="P3362">
        <v>3</v>
      </c>
      <c r="Q3362">
        <v>7</v>
      </c>
      <c r="R3362">
        <v>580380</v>
      </c>
      <c r="S3362">
        <f>Table1[[#This Row],[Revenue]]-Table1[[#This Row],[Operating_Costs]]</f>
        <v>140444</v>
      </c>
      <c r="T3362">
        <v>439936</v>
      </c>
      <c r="U3362">
        <v>38</v>
      </c>
      <c r="V3362">
        <v>57</v>
      </c>
      <c r="W3362">
        <v>12</v>
      </c>
    </row>
    <row r="3363" spans="1:23" x14ac:dyDescent="0.25">
      <c r="A3363">
        <v>10</v>
      </c>
      <c r="B3363" t="s">
        <v>34</v>
      </c>
      <c r="C3363" s="1">
        <v>45386</v>
      </c>
      <c r="D3363" t="s">
        <v>71</v>
      </c>
      <c r="E3363">
        <v>0</v>
      </c>
      <c r="F3363">
        <v>34</v>
      </c>
      <c r="G3363" t="str">
        <f t="shared" si="60"/>
        <v>21-40</v>
      </c>
      <c r="H3363" t="s">
        <v>35</v>
      </c>
      <c r="I3363" t="s">
        <v>53</v>
      </c>
      <c r="J3363" t="s">
        <v>54</v>
      </c>
      <c r="K3363" t="s">
        <v>29</v>
      </c>
      <c r="L3363">
        <v>1</v>
      </c>
      <c r="M3363">
        <v>1</v>
      </c>
      <c r="N3363">
        <v>6.9</v>
      </c>
      <c r="O3363">
        <v>8.8000000000000007</v>
      </c>
      <c r="P3363">
        <v>7</v>
      </c>
      <c r="Q3363">
        <v>7</v>
      </c>
      <c r="R3363">
        <v>896338</v>
      </c>
      <c r="S3363">
        <f>Table1[[#This Row],[Revenue]]-Table1[[#This Row],[Operating_Costs]]</f>
        <v>196705</v>
      </c>
      <c r="T3363">
        <v>699633</v>
      </c>
      <c r="U3363">
        <v>67</v>
      </c>
      <c r="V3363">
        <v>55</v>
      </c>
      <c r="W3363">
        <v>5.7</v>
      </c>
    </row>
    <row r="3364" spans="1:23" x14ac:dyDescent="0.25">
      <c r="A3364">
        <v>10</v>
      </c>
      <c r="B3364" t="s">
        <v>34</v>
      </c>
      <c r="C3364" s="1">
        <v>44468</v>
      </c>
      <c r="D3364" t="s">
        <v>71</v>
      </c>
      <c r="E3364">
        <v>0</v>
      </c>
      <c r="F3364">
        <v>59</v>
      </c>
      <c r="G3364" t="str">
        <f t="shared" si="60"/>
        <v>41-60</v>
      </c>
      <c r="H3364" t="s">
        <v>23</v>
      </c>
      <c r="I3364" t="s">
        <v>27</v>
      </c>
      <c r="J3364" t="s">
        <v>28</v>
      </c>
      <c r="K3364" t="s">
        <v>33</v>
      </c>
      <c r="L3364">
        <v>1</v>
      </c>
      <c r="M3364">
        <v>1</v>
      </c>
      <c r="N3364">
        <v>6.8</v>
      </c>
      <c r="O3364">
        <v>7.7</v>
      </c>
      <c r="P3364">
        <v>7</v>
      </c>
      <c r="Q3364">
        <v>6</v>
      </c>
      <c r="R3364">
        <v>887256</v>
      </c>
      <c r="S3364">
        <f>Table1[[#This Row],[Revenue]]-Table1[[#This Row],[Operating_Costs]]</f>
        <v>367469</v>
      </c>
      <c r="T3364">
        <v>519787</v>
      </c>
      <c r="U3364">
        <v>62</v>
      </c>
      <c r="V3364">
        <v>65</v>
      </c>
      <c r="W3364">
        <v>7.9</v>
      </c>
    </row>
    <row r="3365" spans="1:23" x14ac:dyDescent="0.25">
      <c r="A3365">
        <v>10</v>
      </c>
      <c r="B3365" t="s">
        <v>34</v>
      </c>
      <c r="C3365" s="1">
        <v>44536</v>
      </c>
      <c r="D3365" t="s">
        <v>71</v>
      </c>
      <c r="E3365">
        <v>0</v>
      </c>
      <c r="F3365">
        <v>68</v>
      </c>
      <c r="G3365" t="str">
        <f t="shared" si="60"/>
        <v>61-80</v>
      </c>
      <c r="H3365" t="s">
        <v>35</v>
      </c>
      <c r="I3365" t="s">
        <v>40</v>
      </c>
      <c r="J3365" t="s">
        <v>41</v>
      </c>
      <c r="K3365" t="s">
        <v>42</v>
      </c>
      <c r="L3365">
        <v>1</v>
      </c>
      <c r="M3365">
        <v>1</v>
      </c>
      <c r="N3365">
        <v>3.7</v>
      </c>
      <c r="O3365">
        <v>8.8000000000000007</v>
      </c>
      <c r="P3365">
        <v>4</v>
      </c>
      <c r="Q3365">
        <v>4</v>
      </c>
      <c r="R3365">
        <v>917292</v>
      </c>
      <c r="S3365">
        <f>Table1[[#This Row],[Revenue]]-Table1[[#This Row],[Operating_Costs]]</f>
        <v>330287</v>
      </c>
      <c r="T3365">
        <v>587005</v>
      </c>
      <c r="U3365">
        <v>53</v>
      </c>
      <c r="V3365">
        <v>55</v>
      </c>
      <c r="W3365">
        <v>6.2</v>
      </c>
    </row>
    <row r="3366" spans="1:23" x14ac:dyDescent="0.25">
      <c r="A3366">
        <v>10</v>
      </c>
      <c r="B3366" t="s">
        <v>34</v>
      </c>
      <c r="C3366" s="1">
        <v>45131</v>
      </c>
      <c r="D3366" t="s">
        <v>71</v>
      </c>
      <c r="E3366">
        <v>0</v>
      </c>
      <c r="F3366">
        <v>43</v>
      </c>
      <c r="G3366" t="str">
        <f t="shared" si="60"/>
        <v>41-60</v>
      </c>
      <c r="H3366" t="s">
        <v>35</v>
      </c>
      <c r="I3366" t="s">
        <v>58</v>
      </c>
      <c r="J3366" t="s">
        <v>59</v>
      </c>
      <c r="K3366" t="s">
        <v>29</v>
      </c>
      <c r="L3366">
        <v>1</v>
      </c>
      <c r="M3366">
        <v>1</v>
      </c>
      <c r="N3366">
        <v>6.8</v>
      </c>
      <c r="O3366">
        <v>7.2</v>
      </c>
      <c r="P3366">
        <v>3</v>
      </c>
      <c r="Q3366">
        <v>6</v>
      </c>
      <c r="R3366">
        <v>925869</v>
      </c>
      <c r="S3366">
        <f>Table1[[#This Row],[Revenue]]-Table1[[#This Row],[Operating_Costs]]</f>
        <v>255405</v>
      </c>
      <c r="T3366">
        <v>670464</v>
      </c>
      <c r="U3366">
        <v>59</v>
      </c>
      <c r="V3366">
        <v>59</v>
      </c>
      <c r="W3366">
        <v>9.9</v>
      </c>
    </row>
    <row r="3367" spans="1:23" x14ac:dyDescent="0.25">
      <c r="A3367">
        <v>10</v>
      </c>
      <c r="B3367" t="s">
        <v>34</v>
      </c>
      <c r="C3367" s="1">
        <v>44257</v>
      </c>
      <c r="D3367" t="s">
        <v>71</v>
      </c>
      <c r="E3367">
        <v>0</v>
      </c>
      <c r="F3367">
        <v>66</v>
      </c>
      <c r="G3367" t="str">
        <f t="shared" si="60"/>
        <v>61-80</v>
      </c>
      <c r="H3367" t="s">
        <v>35</v>
      </c>
      <c r="I3367" t="s">
        <v>46</v>
      </c>
      <c r="J3367" t="s">
        <v>47</v>
      </c>
      <c r="K3367" t="s">
        <v>42</v>
      </c>
      <c r="L3367">
        <v>1</v>
      </c>
      <c r="M3367">
        <v>1</v>
      </c>
      <c r="N3367">
        <v>2</v>
      </c>
      <c r="O3367">
        <v>7.5</v>
      </c>
      <c r="P3367">
        <v>7</v>
      </c>
      <c r="Q3367">
        <v>7</v>
      </c>
      <c r="R3367">
        <v>849643</v>
      </c>
      <c r="S3367">
        <f>Table1[[#This Row],[Revenue]]-Table1[[#This Row],[Operating_Costs]]</f>
        <v>184086</v>
      </c>
      <c r="T3367">
        <v>665557</v>
      </c>
      <c r="U3367">
        <v>50</v>
      </c>
      <c r="V3367">
        <v>64</v>
      </c>
      <c r="W3367">
        <v>7.9</v>
      </c>
    </row>
    <row r="3368" spans="1:23" x14ac:dyDescent="0.25">
      <c r="A3368">
        <v>10</v>
      </c>
      <c r="B3368" t="s">
        <v>34</v>
      </c>
      <c r="C3368" s="1">
        <v>44871</v>
      </c>
      <c r="D3368" t="s">
        <v>71</v>
      </c>
      <c r="E3368">
        <v>0</v>
      </c>
      <c r="F3368">
        <v>85</v>
      </c>
      <c r="G3368" t="str">
        <f t="shared" si="60"/>
        <v>81+</v>
      </c>
      <c r="H3368" t="s">
        <v>23</v>
      </c>
      <c r="I3368" t="s">
        <v>67</v>
      </c>
      <c r="J3368" t="s">
        <v>68</v>
      </c>
      <c r="K3368" t="s">
        <v>42</v>
      </c>
      <c r="L3368">
        <v>1</v>
      </c>
      <c r="M3368">
        <v>1</v>
      </c>
      <c r="N3368">
        <v>1.5</v>
      </c>
      <c r="O3368">
        <v>9.5</v>
      </c>
      <c r="P3368">
        <v>4</v>
      </c>
      <c r="Q3368">
        <v>4</v>
      </c>
      <c r="R3368">
        <v>902450</v>
      </c>
      <c r="S3368">
        <f>Table1[[#This Row],[Revenue]]-Table1[[#This Row],[Operating_Costs]]</f>
        <v>367961</v>
      </c>
      <c r="T3368">
        <v>534489</v>
      </c>
      <c r="U3368">
        <v>57</v>
      </c>
      <c r="V3368">
        <v>59</v>
      </c>
      <c r="W3368">
        <v>7.8</v>
      </c>
    </row>
    <row r="3369" spans="1:23" x14ac:dyDescent="0.25">
      <c r="A3369">
        <v>10</v>
      </c>
      <c r="B3369" t="s">
        <v>34</v>
      </c>
      <c r="C3369" s="1">
        <v>45219</v>
      </c>
      <c r="D3369" t="s">
        <v>71</v>
      </c>
      <c r="E3369">
        <v>0</v>
      </c>
      <c r="F3369">
        <v>35</v>
      </c>
      <c r="G3369" t="str">
        <f t="shared" si="60"/>
        <v>21-40</v>
      </c>
      <c r="H3369" t="s">
        <v>35</v>
      </c>
      <c r="I3369" t="s">
        <v>36</v>
      </c>
      <c r="J3369" t="s">
        <v>37</v>
      </c>
      <c r="K3369" t="s">
        <v>26</v>
      </c>
      <c r="L3369">
        <v>1</v>
      </c>
      <c r="M3369">
        <v>1</v>
      </c>
      <c r="N3369">
        <v>5</v>
      </c>
      <c r="O3369">
        <v>8.8000000000000007</v>
      </c>
      <c r="P3369">
        <v>6</v>
      </c>
      <c r="Q3369">
        <v>3</v>
      </c>
      <c r="R3369">
        <v>813945</v>
      </c>
      <c r="S3369">
        <f>Table1[[#This Row],[Revenue]]-Table1[[#This Row],[Operating_Costs]]</f>
        <v>121358</v>
      </c>
      <c r="T3369">
        <v>692587</v>
      </c>
      <c r="U3369">
        <v>56</v>
      </c>
      <c r="V3369">
        <v>62</v>
      </c>
      <c r="W3369">
        <v>7.1</v>
      </c>
    </row>
    <row r="3370" spans="1:23" x14ac:dyDescent="0.25">
      <c r="A3370">
        <v>10</v>
      </c>
      <c r="B3370" t="s">
        <v>34</v>
      </c>
      <c r="C3370" s="1">
        <v>44609</v>
      </c>
      <c r="D3370" t="s">
        <v>71</v>
      </c>
      <c r="E3370">
        <v>0</v>
      </c>
      <c r="F3370">
        <v>79</v>
      </c>
      <c r="G3370" t="str">
        <f t="shared" si="60"/>
        <v>61-80</v>
      </c>
      <c r="H3370" t="s">
        <v>23</v>
      </c>
      <c r="I3370" t="s">
        <v>61</v>
      </c>
      <c r="J3370" t="s">
        <v>62</v>
      </c>
      <c r="K3370" t="s">
        <v>29</v>
      </c>
      <c r="L3370">
        <v>1</v>
      </c>
      <c r="M3370">
        <v>1</v>
      </c>
      <c r="N3370">
        <v>6.1</v>
      </c>
      <c r="O3370">
        <v>9.1</v>
      </c>
      <c r="P3370">
        <v>5</v>
      </c>
      <c r="Q3370">
        <v>6</v>
      </c>
      <c r="R3370">
        <v>909222</v>
      </c>
      <c r="S3370">
        <f>Table1[[#This Row],[Revenue]]-Table1[[#This Row],[Operating_Costs]]</f>
        <v>374839</v>
      </c>
      <c r="T3370">
        <v>534383</v>
      </c>
      <c r="U3370">
        <v>67</v>
      </c>
      <c r="V3370">
        <v>63</v>
      </c>
      <c r="W3370">
        <v>10.199999999999999</v>
      </c>
    </row>
    <row r="3371" spans="1:23" x14ac:dyDescent="0.25">
      <c r="A3371">
        <v>10</v>
      </c>
      <c r="B3371" t="s">
        <v>34</v>
      </c>
      <c r="C3371" s="1">
        <v>44571</v>
      </c>
      <c r="D3371" t="s">
        <v>71</v>
      </c>
      <c r="E3371">
        <v>0</v>
      </c>
      <c r="F3371">
        <v>89</v>
      </c>
      <c r="G3371" t="str">
        <f t="shared" si="60"/>
        <v>81+</v>
      </c>
      <c r="H3371" t="s">
        <v>35</v>
      </c>
      <c r="I3371" t="s">
        <v>36</v>
      </c>
      <c r="J3371" t="s">
        <v>37</v>
      </c>
      <c r="K3371" t="s">
        <v>29</v>
      </c>
      <c r="L3371">
        <v>1</v>
      </c>
      <c r="M3371">
        <v>1</v>
      </c>
      <c r="N3371">
        <v>4.5</v>
      </c>
      <c r="O3371">
        <v>9.9</v>
      </c>
      <c r="P3371">
        <v>4</v>
      </c>
      <c r="Q3371">
        <v>6</v>
      </c>
      <c r="R3371">
        <v>937435</v>
      </c>
      <c r="S3371">
        <f>Table1[[#This Row],[Revenue]]-Table1[[#This Row],[Operating_Costs]]</f>
        <v>431220</v>
      </c>
      <c r="T3371">
        <v>506215</v>
      </c>
      <c r="U3371">
        <v>68</v>
      </c>
      <c r="V3371">
        <v>57</v>
      </c>
      <c r="W3371">
        <v>14.7</v>
      </c>
    </row>
    <row r="3372" spans="1:23" x14ac:dyDescent="0.25">
      <c r="A3372">
        <v>10</v>
      </c>
      <c r="B3372" t="s">
        <v>34</v>
      </c>
      <c r="C3372" s="1">
        <v>45610</v>
      </c>
      <c r="D3372" t="s">
        <v>71</v>
      </c>
      <c r="E3372">
        <v>0</v>
      </c>
      <c r="F3372">
        <v>42</v>
      </c>
      <c r="G3372" t="str">
        <f t="shared" si="60"/>
        <v>41-60</v>
      </c>
      <c r="H3372" t="s">
        <v>35</v>
      </c>
      <c r="I3372" t="s">
        <v>50</v>
      </c>
      <c r="J3372" t="s">
        <v>51</v>
      </c>
      <c r="K3372" t="s">
        <v>29</v>
      </c>
      <c r="L3372">
        <v>1</v>
      </c>
      <c r="M3372">
        <v>1</v>
      </c>
      <c r="N3372">
        <v>4.8</v>
      </c>
      <c r="O3372">
        <v>8</v>
      </c>
      <c r="P3372">
        <v>3</v>
      </c>
      <c r="Q3372">
        <v>5</v>
      </c>
      <c r="R3372">
        <v>817279</v>
      </c>
      <c r="S3372">
        <f>Table1[[#This Row],[Revenue]]-Table1[[#This Row],[Operating_Costs]]</f>
        <v>120780</v>
      </c>
      <c r="T3372">
        <v>696499</v>
      </c>
      <c r="U3372">
        <v>66</v>
      </c>
      <c r="V3372">
        <v>57</v>
      </c>
      <c r="W3372">
        <v>5.0999999999999996</v>
      </c>
    </row>
    <row r="3373" spans="1:23" x14ac:dyDescent="0.25">
      <c r="A3373">
        <v>10</v>
      </c>
      <c r="B3373" t="s">
        <v>34</v>
      </c>
      <c r="C3373" s="1">
        <v>45452</v>
      </c>
      <c r="D3373" t="s">
        <v>71</v>
      </c>
      <c r="E3373">
        <v>0</v>
      </c>
      <c r="F3373">
        <v>65</v>
      </c>
      <c r="G3373" t="str">
        <f t="shared" si="60"/>
        <v>61-80</v>
      </c>
      <c r="H3373" t="s">
        <v>23</v>
      </c>
      <c r="I3373" t="s">
        <v>46</v>
      </c>
      <c r="J3373" t="s">
        <v>47</v>
      </c>
      <c r="K3373" t="s">
        <v>29</v>
      </c>
      <c r="L3373">
        <v>1</v>
      </c>
      <c r="M3373">
        <v>1</v>
      </c>
      <c r="N3373">
        <v>3.7</v>
      </c>
      <c r="O3373">
        <v>8.4</v>
      </c>
      <c r="P3373">
        <v>7</v>
      </c>
      <c r="Q3373">
        <v>4</v>
      </c>
      <c r="R3373">
        <v>846731</v>
      </c>
      <c r="S3373">
        <f>Table1[[#This Row],[Revenue]]-Table1[[#This Row],[Operating_Costs]]</f>
        <v>339931</v>
      </c>
      <c r="T3373">
        <v>506800</v>
      </c>
      <c r="U3373">
        <v>54</v>
      </c>
      <c r="V3373">
        <v>61</v>
      </c>
      <c r="W3373">
        <v>13.3</v>
      </c>
    </row>
    <row r="3374" spans="1:23" x14ac:dyDescent="0.25">
      <c r="A3374">
        <v>10</v>
      </c>
      <c r="B3374" t="s">
        <v>34</v>
      </c>
      <c r="C3374" s="1">
        <v>45323</v>
      </c>
      <c r="D3374" t="s">
        <v>71</v>
      </c>
      <c r="E3374">
        <v>0</v>
      </c>
      <c r="F3374">
        <v>28</v>
      </c>
      <c r="G3374" t="str">
        <f t="shared" si="60"/>
        <v>21-40</v>
      </c>
      <c r="H3374" t="s">
        <v>23</v>
      </c>
      <c r="I3374" t="s">
        <v>24</v>
      </c>
      <c r="J3374" t="s">
        <v>25</v>
      </c>
      <c r="K3374" t="s">
        <v>29</v>
      </c>
      <c r="L3374">
        <v>1</v>
      </c>
      <c r="M3374">
        <v>1</v>
      </c>
      <c r="N3374">
        <v>1.6</v>
      </c>
      <c r="O3374">
        <v>7.6</v>
      </c>
      <c r="P3374">
        <v>6</v>
      </c>
      <c r="Q3374">
        <v>3</v>
      </c>
      <c r="R3374">
        <v>887466</v>
      </c>
      <c r="S3374">
        <f>Table1[[#This Row],[Revenue]]-Table1[[#This Row],[Operating_Costs]]</f>
        <v>350369</v>
      </c>
      <c r="T3374">
        <v>537097</v>
      </c>
      <c r="U3374">
        <v>52</v>
      </c>
      <c r="V3374">
        <v>66</v>
      </c>
      <c r="W3374">
        <v>6.8</v>
      </c>
    </row>
    <row r="3375" spans="1:23" x14ac:dyDescent="0.25">
      <c r="A3375">
        <v>10</v>
      </c>
      <c r="B3375" t="s">
        <v>34</v>
      </c>
      <c r="C3375" s="1">
        <v>44998</v>
      </c>
      <c r="D3375" t="s">
        <v>71</v>
      </c>
      <c r="E3375">
        <v>0</v>
      </c>
      <c r="F3375">
        <v>80</v>
      </c>
      <c r="G3375" t="str">
        <f t="shared" si="60"/>
        <v>61-80</v>
      </c>
      <c r="H3375" t="s">
        <v>23</v>
      </c>
      <c r="I3375" t="s">
        <v>61</v>
      </c>
      <c r="J3375" t="s">
        <v>62</v>
      </c>
      <c r="K3375" t="s">
        <v>33</v>
      </c>
      <c r="L3375">
        <v>1</v>
      </c>
      <c r="M3375">
        <v>1</v>
      </c>
      <c r="N3375">
        <v>2.1</v>
      </c>
      <c r="O3375">
        <v>8.3000000000000007</v>
      </c>
      <c r="P3375">
        <v>3</v>
      </c>
      <c r="Q3375">
        <v>6</v>
      </c>
      <c r="R3375">
        <v>950649</v>
      </c>
      <c r="S3375">
        <f>Table1[[#This Row],[Revenue]]-Table1[[#This Row],[Operating_Costs]]</f>
        <v>270142</v>
      </c>
      <c r="T3375">
        <v>680507</v>
      </c>
      <c r="U3375">
        <v>56</v>
      </c>
      <c r="V3375">
        <v>63</v>
      </c>
      <c r="W3375">
        <v>36.5</v>
      </c>
    </row>
    <row r="3376" spans="1:23" x14ac:dyDescent="0.25">
      <c r="A3376">
        <v>10</v>
      </c>
      <c r="B3376" t="s">
        <v>34</v>
      </c>
      <c r="C3376" s="1">
        <v>44371</v>
      </c>
      <c r="D3376" t="s">
        <v>71</v>
      </c>
      <c r="E3376">
        <v>0</v>
      </c>
      <c r="F3376">
        <v>74</v>
      </c>
      <c r="G3376" t="str">
        <f t="shared" si="60"/>
        <v>61-80</v>
      </c>
      <c r="H3376" t="s">
        <v>35</v>
      </c>
      <c r="I3376" t="s">
        <v>61</v>
      </c>
      <c r="J3376" t="s">
        <v>62</v>
      </c>
      <c r="K3376" t="s">
        <v>33</v>
      </c>
      <c r="L3376">
        <v>1</v>
      </c>
      <c r="M3376">
        <v>1</v>
      </c>
      <c r="N3376">
        <v>3.6</v>
      </c>
      <c r="O3376">
        <v>8</v>
      </c>
      <c r="P3376">
        <v>6</v>
      </c>
      <c r="Q3376">
        <v>6</v>
      </c>
      <c r="R3376">
        <v>805234</v>
      </c>
      <c r="S3376">
        <f>Table1[[#This Row],[Revenue]]-Table1[[#This Row],[Operating_Costs]]</f>
        <v>129662</v>
      </c>
      <c r="T3376">
        <v>675572</v>
      </c>
      <c r="U3376">
        <v>61</v>
      </c>
      <c r="V3376">
        <v>58</v>
      </c>
      <c r="W3376">
        <v>13.5</v>
      </c>
    </row>
    <row r="3377" spans="1:23" x14ac:dyDescent="0.25">
      <c r="A3377">
        <v>10</v>
      </c>
      <c r="B3377" t="s">
        <v>34</v>
      </c>
      <c r="C3377" s="1">
        <v>45494</v>
      </c>
      <c r="D3377" t="s">
        <v>71</v>
      </c>
      <c r="E3377">
        <v>0</v>
      </c>
      <c r="F3377">
        <v>40</v>
      </c>
      <c r="G3377" t="str">
        <f t="shared" si="60"/>
        <v>21-40</v>
      </c>
      <c r="H3377" t="s">
        <v>35</v>
      </c>
      <c r="I3377" t="s">
        <v>53</v>
      </c>
      <c r="J3377" t="s">
        <v>54</v>
      </c>
      <c r="K3377" t="s">
        <v>42</v>
      </c>
      <c r="L3377">
        <v>1</v>
      </c>
      <c r="M3377">
        <v>1</v>
      </c>
      <c r="N3377">
        <v>2</v>
      </c>
      <c r="O3377">
        <v>7.6</v>
      </c>
      <c r="P3377">
        <v>3</v>
      </c>
      <c r="Q3377">
        <v>3</v>
      </c>
      <c r="R3377">
        <v>922472</v>
      </c>
      <c r="S3377">
        <f>Table1[[#This Row],[Revenue]]-Table1[[#This Row],[Operating_Costs]]</f>
        <v>364754</v>
      </c>
      <c r="T3377">
        <v>557718</v>
      </c>
      <c r="U3377">
        <v>57</v>
      </c>
      <c r="V3377">
        <v>55</v>
      </c>
      <c r="W3377">
        <v>12.1</v>
      </c>
    </row>
    <row r="3378" spans="1:23" x14ac:dyDescent="0.25">
      <c r="A3378">
        <v>10</v>
      </c>
      <c r="B3378" t="s">
        <v>34</v>
      </c>
      <c r="C3378" s="1">
        <v>45138</v>
      </c>
      <c r="D3378" t="s">
        <v>71</v>
      </c>
      <c r="E3378">
        <v>0</v>
      </c>
      <c r="F3378">
        <v>46</v>
      </c>
      <c r="G3378" t="str">
        <f t="shared" si="60"/>
        <v>41-60</v>
      </c>
      <c r="H3378" t="s">
        <v>23</v>
      </c>
      <c r="I3378" t="s">
        <v>31</v>
      </c>
      <c r="J3378" t="s">
        <v>28</v>
      </c>
      <c r="K3378" t="s">
        <v>26</v>
      </c>
      <c r="L3378">
        <v>1</v>
      </c>
      <c r="M3378">
        <v>1</v>
      </c>
      <c r="N3378">
        <v>1.3</v>
      </c>
      <c r="O3378">
        <v>7.6</v>
      </c>
      <c r="P3378">
        <v>7</v>
      </c>
      <c r="Q3378">
        <v>4</v>
      </c>
      <c r="R3378">
        <v>909749</v>
      </c>
      <c r="S3378">
        <f>Table1[[#This Row],[Revenue]]-Table1[[#This Row],[Operating_Costs]]</f>
        <v>230236</v>
      </c>
      <c r="T3378">
        <v>679513</v>
      </c>
      <c r="U3378">
        <v>54</v>
      </c>
      <c r="V3378">
        <v>62</v>
      </c>
      <c r="W3378">
        <v>9.1</v>
      </c>
    </row>
    <row r="3379" spans="1:23" x14ac:dyDescent="0.25">
      <c r="A3379">
        <v>10</v>
      </c>
      <c r="B3379" t="s">
        <v>34</v>
      </c>
      <c r="C3379" s="1">
        <v>45479</v>
      </c>
      <c r="D3379" t="s">
        <v>71</v>
      </c>
      <c r="E3379">
        <v>0</v>
      </c>
      <c r="F3379">
        <v>51</v>
      </c>
      <c r="G3379" t="str">
        <f t="shared" si="60"/>
        <v>41-60</v>
      </c>
      <c r="H3379" t="s">
        <v>35</v>
      </c>
      <c r="I3379" t="s">
        <v>50</v>
      </c>
      <c r="J3379" t="s">
        <v>51</v>
      </c>
      <c r="K3379" t="s">
        <v>29</v>
      </c>
      <c r="L3379">
        <v>1</v>
      </c>
      <c r="M3379">
        <v>1</v>
      </c>
      <c r="N3379">
        <v>2.5</v>
      </c>
      <c r="O3379">
        <v>7.5</v>
      </c>
      <c r="P3379">
        <v>3</v>
      </c>
      <c r="Q3379">
        <v>6</v>
      </c>
      <c r="R3379">
        <v>975307</v>
      </c>
      <c r="S3379">
        <f>Table1[[#This Row],[Revenue]]-Table1[[#This Row],[Operating_Costs]]</f>
        <v>298444</v>
      </c>
      <c r="T3379">
        <v>676863</v>
      </c>
      <c r="U3379">
        <v>68</v>
      </c>
      <c r="V3379">
        <v>54</v>
      </c>
      <c r="W3379">
        <v>10.1</v>
      </c>
    </row>
    <row r="3380" spans="1:23" x14ac:dyDescent="0.25">
      <c r="A3380">
        <v>10</v>
      </c>
      <c r="B3380" t="s">
        <v>34</v>
      </c>
      <c r="C3380" s="1">
        <v>44970</v>
      </c>
      <c r="D3380" t="s">
        <v>71</v>
      </c>
      <c r="E3380">
        <v>0</v>
      </c>
      <c r="F3380">
        <v>27</v>
      </c>
      <c r="G3380" t="str">
        <f t="shared" si="60"/>
        <v>21-40</v>
      </c>
      <c r="H3380" t="s">
        <v>23</v>
      </c>
      <c r="I3380" t="s">
        <v>67</v>
      </c>
      <c r="J3380" t="s">
        <v>68</v>
      </c>
      <c r="K3380" t="s">
        <v>42</v>
      </c>
      <c r="L3380">
        <v>1</v>
      </c>
      <c r="M3380">
        <v>1</v>
      </c>
      <c r="N3380">
        <v>4.5999999999999996</v>
      </c>
      <c r="O3380">
        <v>8.6</v>
      </c>
      <c r="P3380">
        <v>6</v>
      </c>
      <c r="Q3380">
        <v>5</v>
      </c>
      <c r="R3380">
        <v>871301</v>
      </c>
      <c r="S3380">
        <f>Table1[[#This Row],[Revenue]]-Table1[[#This Row],[Operating_Costs]]</f>
        <v>272348</v>
      </c>
      <c r="T3380">
        <v>598953</v>
      </c>
      <c r="U3380">
        <v>58</v>
      </c>
      <c r="V3380">
        <v>65</v>
      </c>
      <c r="W3380">
        <v>36.1</v>
      </c>
    </row>
    <row r="3381" spans="1:23" x14ac:dyDescent="0.25">
      <c r="A3381">
        <v>10</v>
      </c>
      <c r="B3381" t="s">
        <v>34</v>
      </c>
      <c r="C3381" s="1">
        <v>44958</v>
      </c>
      <c r="D3381" t="s">
        <v>71</v>
      </c>
      <c r="E3381">
        <v>0</v>
      </c>
      <c r="F3381">
        <v>38</v>
      </c>
      <c r="G3381" t="str">
        <f t="shared" si="60"/>
        <v>21-40</v>
      </c>
      <c r="H3381" t="s">
        <v>35</v>
      </c>
      <c r="I3381" t="s">
        <v>36</v>
      </c>
      <c r="J3381" t="s">
        <v>37</v>
      </c>
      <c r="K3381" t="s">
        <v>29</v>
      </c>
      <c r="L3381">
        <v>1</v>
      </c>
      <c r="M3381">
        <v>1</v>
      </c>
      <c r="N3381">
        <v>2.1</v>
      </c>
      <c r="O3381">
        <v>7.1</v>
      </c>
      <c r="P3381">
        <v>7</v>
      </c>
      <c r="Q3381">
        <v>4</v>
      </c>
      <c r="R3381">
        <v>865380</v>
      </c>
      <c r="S3381">
        <f>Table1[[#This Row],[Revenue]]-Table1[[#This Row],[Operating_Costs]]</f>
        <v>241572</v>
      </c>
      <c r="T3381">
        <v>623808</v>
      </c>
      <c r="U3381">
        <v>61</v>
      </c>
      <c r="V3381">
        <v>58</v>
      </c>
      <c r="W3381">
        <v>14.7</v>
      </c>
    </row>
    <row r="3382" spans="1:23" x14ac:dyDescent="0.25">
      <c r="A3382">
        <v>10</v>
      </c>
      <c r="B3382" t="s">
        <v>34</v>
      </c>
      <c r="C3382" s="1">
        <v>44462</v>
      </c>
      <c r="D3382" t="s">
        <v>71</v>
      </c>
      <c r="E3382">
        <v>0</v>
      </c>
      <c r="F3382">
        <v>66</v>
      </c>
      <c r="G3382" t="str">
        <f t="shared" si="60"/>
        <v>61-80</v>
      </c>
      <c r="H3382" t="s">
        <v>23</v>
      </c>
      <c r="I3382" t="s">
        <v>31</v>
      </c>
      <c r="J3382" t="s">
        <v>28</v>
      </c>
      <c r="K3382" t="s">
        <v>42</v>
      </c>
      <c r="L3382">
        <v>1</v>
      </c>
      <c r="M3382">
        <v>1</v>
      </c>
      <c r="N3382">
        <v>4.5</v>
      </c>
      <c r="O3382">
        <v>9.1</v>
      </c>
      <c r="P3382">
        <v>7</v>
      </c>
      <c r="Q3382">
        <v>7</v>
      </c>
      <c r="R3382">
        <v>893780</v>
      </c>
      <c r="S3382">
        <f>Table1[[#This Row],[Revenue]]-Table1[[#This Row],[Operating_Costs]]</f>
        <v>281085</v>
      </c>
      <c r="T3382">
        <v>612695</v>
      </c>
      <c r="U3382">
        <v>66</v>
      </c>
      <c r="V3382">
        <v>54</v>
      </c>
      <c r="W3382">
        <v>6.1</v>
      </c>
    </row>
    <row r="3383" spans="1:23" x14ac:dyDescent="0.25">
      <c r="A3383">
        <v>10</v>
      </c>
      <c r="B3383" t="s">
        <v>34</v>
      </c>
      <c r="C3383" s="1">
        <v>44598</v>
      </c>
      <c r="D3383" t="s">
        <v>71</v>
      </c>
      <c r="E3383">
        <v>0</v>
      </c>
      <c r="F3383">
        <v>29</v>
      </c>
      <c r="G3383" t="str">
        <f t="shared" si="60"/>
        <v>21-40</v>
      </c>
      <c r="H3383" t="s">
        <v>35</v>
      </c>
      <c r="I3383" t="s">
        <v>40</v>
      </c>
      <c r="J3383" t="s">
        <v>41</v>
      </c>
      <c r="K3383" t="s">
        <v>38</v>
      </c>
      <c r="L3383">
        <v>1</v>
      </c>
      <c r="M3383">
        <v>1</v>
      </c>
      <c r="N3383">
        <v>4.2</v>
      </c>
      <c r="O3383">
        <v>7.9</v>
      </c>
      <c r="P3383">
        <v>6</v>
      </c>
      <c r="Q3383">
        <v>7</v>
      </c>
      <c r="R3383">
        <v>993160</v>
      </c>
      <c r="S3383">
        <f>Table1[[#This Row],[Revenue]]-Table1[[#This Row],[Operating_Costs]]</f>
        <v>444866</v>
      </c>
      <c r="T3383">
        <v>548294</v>
      </c>
      <c r="U3383">
        <v>50</v>
      </c>
      <c r="V3383">
        <v>59</v>
      </c>
      <c r="W3383">
        <v>14.8</v>
      </c>
    </row>
    <row r="3384" spans="1:23" x14ac:dyDescent="0.25">
      <c r="A3384">
        <v>10</v>
      </c>
      <c r="B3384" t="s">
        <v>34</v>
      </c>
      <c r="C3384" s="1">
        <v>45163</v>
      </c>
      <c r="D3384" t="s">
        <v>71</v>
      </c>
      <c r="E3384">
        <v>0</v>
      </c>
      <c r="F3384">
        <v>37</v>
      </c>
      <c r="G3384" t="str">
        <f t="shared" si="60"/>
        <v>21-40</v>
      </c>
      <c r="H3384" t="s">
        <v>23</v>
      </c>
      <c r="I3384" t="s">
        <v>43</v>
      </c>
      <c r="J3384" t="s">
        <v>25</v>
      </c>
      <c r="K3384" t="s">
        <v>38</v>
      </c>
      <c r="L3384">
        <v>1</v>
      </c>
      <c r="M3384">
        <v>1</v>
      </c>
      <c r="N3384">
        <v>6.5</v>
      </c>
      <c r="O3384">
        <v>7.3</v>
      </c>
      <c r="P3384">
        <v>5</v>
      </c>
      <c r="Q3384">
        <v>3</v>
      </c>
      <c r="R3384">
        <v>890950</v>
      </c>
      <c r="S3384">
        <f>Table1[[#This Row],[Revenue]]-Table1[[#This Row],[Operating_Costs]]</f>
        <v>286988</v>
      </c>
      <c r="T3384">
        <v>603962</v>
      </c>
      <c r="U3384">
        <v>70</v>
      </c>
      <c r="V3384">
        <v>56</v>
      </c>
      <c r="W3384">
        <v>13.5</v>
      </c>
    </row>
    <row r="3385" spans="1:23" x14ac:dyDescent="0.25">
      <c r="A3385">
        <v>10</v>
      </c>
      <c r="B3385" t="s">
        <v>34</v>
      </c>
      <c r="C3385" s="1">
        <v>45474</v>
      </c>
      <c r="D3385" t="s">
        <v>71</v>
      </c>
      <c r="E3385">
        <v>0</v>
      </c>
      <c r="F3385">
        <v>28</v>
      </c>
      <c r="G3385" t="str">
        <f t="shared" si="60"/>
        <v>21-40</v>
      </c>
      <c r="H3385" t="s">
        <v>23</v>
      </c>
      <c r="I3385" t="s">
        <v>61</v>
      </c>
      <c r="J3385" t="s">
        <v>62</v>
      </c>
      <c r="K3385" t="s">
        <v>38</v>
      </c>
      <c r="L3385">
        <v>1</v>
      </c>
      <c r="M3385">
        <v>1</v>
      </c>
      <c r="N3385">
        <v>4</v>
      </c>
      <c r="O3385">
        <v>7.6</v>
      </c>
      <c r="P3385">
        <v>6</v>
      </c>
      <c r="Q3385">
        <v>4</v>
      </c>
      <c r="R3385">
        <v>868690</v>
      </c>
      <c r="S3385">
        <f>Table1[[#This Row],[Revenue]]-Table1[[#This Row],[Operating_Costs]]</f>
        <v>368507</v>
      </c>
      <c r="T3385">
        <v>500183</v>
      </c>
      <c r="U3385">
        <v>56</v>
      </c>
      <c r="V3385">
        <v>61</v>
      </c>
      <c r="W3385">
        <v>36.4</v>
      </c>
    </row>
    <row r="3386" spans="1:23" x14ac:dyDescent="0.25">
      <c r="A3386">
        <v>10</v>
      </c>
      <c r="B3386" t="s">
        <v>34</v>
      </c>
      <c r="C3386" s="1">
        <v>44831</v>
      </c>
      <c r="D3386" t="s">
        <v>71</v>
      </c>
      <c r="E3386">
        <v>0</v>
      </c>
      <c r="F3386">
        <v>30</v>
      </c>
      <c r="G3386" t="str">
        <f t="shared" si="60"/>
        <v>21-40</v>
      </c>
      <c r="H3386" t="s">
        <v>35</v>
      </c>
      <c r="I3386" t="s">
        <v>53</v>
      </c>
      <c r="J3386" t="s">
        <v>54</v>
      </c>
      <c r="K3386" t="s">
        <v>29</v>
      </c>
      <c r="L3386">
        <v>1</v>
      </c>
      <c r="M3386">
        <v>1</v>
      </c>
      <c r="N3386">
        <v>4.5</v>
      </c>
      <c r="O3386">
        <v>9.4</v>
      </c>
      <c r="P3386">
        <v>3</v>
      </c>
      <c r="Q3386">
        <v>3</v>
      </c>
      <c r="R3386">
        <v>945191</v>
      </c>
      <c r="S3386">
        <f>Table1[[#This Row],[Revenue]]-Table1[[#This Row],[Operating_Costs]]</f>
        <v>440894</v>
      </c>
      <c r="T3386">
        <v>504297</v>
      </c>
      <c r="U3386">
        <v>67</v>
      </c>
      <c r="V3386">
        <v>64</v>
      </c>
      <c r="W3386">
        <v>14.4</v>
      </c>
    </row>
    <row r="3387" spans="1:23" x14ac:dyDescent="0.25">
      <c r="A3387">
        <v>10</v>
      </c>
      <c r="B3387" t="s">
        <v>34</v>
      </c>
      <c r="C3387" s="1">
        <v>44599</v>
      </c>
      <c r="D3387" t="s">
        <v>71</v>
      </c>
      <c r="E3387">
        <v>0</v>
      </c>
      <c r="F3387">
        <v>76</v>
      </c>
      <c r="G3387" t="str">
        <f t="shared" si="60"/>
        <v>61-80</v>
      </c>
      <c r="H3387" t="s">
        <v>23</v>
      </c>
      <c r="I3387" t="s">
        <v>24</v>
      </c>
      <c r="J3387" t="s">
        <v>25</v>
      </c>
      <c r="K3387" t="s">
        <v>38</v>
      </c>
      <c r="L3387">
        <v>1</v>
      </c>
      <c r="M3387">
        <v>1</v>
      </c>
      <c r="N3387">
        <v>3</v>
      </c>
      <c r="O3387">
        <v>7.2</v>
      </c>
      <c r="P3387">
        <v>3</v>
      </c>
      <c r="Q3387">
        <v>5</v>
      </c>
      <c r="R3387">
        <v>974525</v>
      </c>
      <c r="S3387">
        <f>Table1[[#This Row],[Revenue]]-Table1[[#This Row],[Operating_Costs]]</f>
        <v>386505</v>
      </c>
      <c r="T3387">
        <v>588020</v>
      </c>
      <c r="U3387">
        <v>60</v>
      </c>
      <c r="V3387">
        <v>63</v>
      </c>
      <c r="W3387">
        <v>7.9</v>
      </c>
    </row>
    <row r="3388" spans="1:23" x14ac:dyDescent="0.25">
      <c r="A3388">
        <v>10</v>
      </c>
      <c r="B3388" t="s">
        <v>34</v>
      </c>
      <c r="C3388" s="1">
        <v>45227</v>
      </c>
      <c r="D3388" t="s">
        <v>71</v>
      </c>
      <c r="E3388">
        <v>0</v>
      </c>
      <c r="F3388">
        <v>83</v>
      </c>
      <c r="G3388" t="str">
        <f t="shared" si="60"/>
        <v>81+</v>
      </c>
      <c r="H3388" t="s">
        <v>35</v>
      </c>
      <c r="I3388" t="s">
        <v>58</v>
      </c>
      <c r="J3388" t="s">
        <v>59</v>
      </c>
      <c r="K3388" t="s">
        <v>29</v>
      </c>
      <c r="L3388">
        <v>1</v>
      </c>
      <c r="M3388">
        <v>1</v>
      </c>
      <c r="N3388">
        <v>6.5</v>
      </c>
      <c r="O3388">
        <v>9.9</v>
      </c>
      <c r="P3388">
        <v>3</v>
      </c>
      <c r="Q3388">
        <v>7</v>
      </c>
      <c r="R3388">
        <v>906572</v>
      </c>
      <c r="S3388">
        <f>Table1[[#This Row],[Revenue]]-Table1[[#This Row],[Operating_Costs]]</f>
        <v>335337</v>
      </c>
      <c r="T3388">
        <v>571235</v>
      </c>
      <c r="U3388">
        <v>54</v>
      </c>
      <c r="V3388">
        <v>57</v>
      </c>
      <c r="W3388">
        <v>8.4</v>
      </c>
    </row>
    <row r="3389" spans="1:23" x14ac:dyDescent="0.25">
      <c r="A3389">
        <v>10</v>
      </c>
      <c r="B3389" t="s">
        <v>34</v>
      </c>
      <c r="C3389" s="1">
        <v>45120</v>
      </c>
      <c r="D3389" t="s">
        <v>71</v>
      </c>
      <c r="E3389">
        <v>0</v>
      </c>
      <c r="F3389">
        <v>30</v>
      </c>
      <c r="G3389" t="str">
        <f t="shared" si="60"/>
        <v>21-40</v>
      </c>
      <c r="H3389" t="s">
        <v>23</v>
      </c>
      <c r="I3389" t="s">
        <v>46</v>
      </c>
      <c r="J3389" t="s">
        <v>47</v>
      </c>
      <c r="K3389" t="s">
        <v>33</v>
      </c>
      <c r="L3389">
        <v>1</v>
      </c>
      <c r="M3389">
        <v>1</v>
      </c>
      <c r="N3389">
        <v>4.9000000000000004</v>
      </c>
      <c r="O3389">
        <v>7.9</v>
      </c>
      <c r="P3389">
        <v>7</v>
      </c>
      <c r="Q3389">
        <v>4</v>
      </c>
      <c r="R3389">
        <v>882175</v>
      </c>
      <c r="S3389">
        <f>Table1[[#This Row],[Revenue]]-Table1[[#This Row],[Operating_Costs]]</f>
        <v>198584</v>
      </c>
      <c r="T3389">
        <v>683591</v>
      </c>
      <c r="U3389">
        <v>53</v>
      </c>
      <c r="V3389">
        <v>60</v>
      </c>
      <c r="W3389">
        <v>10.1</v>
      </c>
    </row>
    <row r="3390" spans="1:23" x14ac:dyDescent="0.25">
      <c r="A3390">
        <v>10</v>
      </c>
      <c r="B3390" t="s">
        <v>34</v>
      </c>
      <c r="C3390" s="1">
        <v>44933</v>
      </c>
      <c r="D3390" t="s">
        <v>71</v>
      </c>
      <c r="E3390">
        <v>0</v>
      </c>
      <c r="F3390">
        <v>21</v>
      </c>
      <c r="G3390" t="str">
        <f t="shared" si="60"/>
        <v>21-40</v>
      </c>
      <c r="H3390" t="s">
        <v>23</v>
      </c>
      <c r="I3390" t="s">
        <v>24</v>
      </c>
      <c r="J3390" t="s">
        <v>25</v>
      </c>
      <c r="K3390" t="s">
        <v>26</v>
      </c>
      <c r="L3390">
        <v>1</v>
      </c>
      <c r="M3390">
        <v>1</v>
      </c>
      <c r="N3390">
        <v>3.1</v>
      </c>
      <c r="O3390">
        <v>7.2</v>
      </c>
      <c r="P3390">
        <v>4</v>
      </c>
      <c r="Q3390">
        <v>3</v>
      </c>
      <c r="R3390">
        <v>812788</v>
      </c>
      <c r="S3390">
        <f>Table1[[#This Row],[Revenue]]-Table1[[#This Row],[Operating_Costs]]</f>
        <v>211328</v>
      </c>
      <c r="T3390">
        <v>601460</v>
      </c>
      <c r="U3390">
        <v>54</v>
      </c>
      <c r="V3390">
        <v>62</v>
      </c>
      <c r="W3390">
        <v>10.1</v>
      </c>
    </row>
    <row r="3391" spans="1:23" x14ac:dyDescent="0.25">
      <c r="A3391">
        <v>10</v>
      </c>
      <c r="B3391" t="s">
        <v>34</v>
      </c>
      <c r="C3391" s="1">
        <v>44672</v>
      </c>
      <c r="D3391" t="s">
        <v>71</v>
      </c>
      <c r="E3391">
        <v>0</v>
      </c>
      <c r="F3391">
        <v>81</v>
      </c>
      <c r="G3391" t="str">
        <f t="shared" si="60"/>
        <v>81+</v>
      </c>
      <c r="H3391" t="s">
        <v>35</v>
      </c>
      <c r="I3391" t="s">
        <v>40</v>
      </c>
      <c r="J3391" t="s">
        <v>41</v>
      </c>
      <c r="K3391" t="s">
        <v>33</v>
      </c>
      <c r="L3391">
        <v>1</v>
      </c>
      <c r="M3391">
        <v>1</v>
      </c>
      <c r="N3391">
        <v>6.1</v>
      </c>
      <c r="O3391">
        <v>9.6999999999999993</v>
      </c>
      <c r="P3391">
        <v>5</v>
      </c>
      <c r="Q3391">
        <v>6</v>
      </c>
      <c r="R3391">
        <v>851719</v>
      </c>
      <c r="S3391">
        <f>Table1[[#This Row],[Revenue]]-Table1[[#This Row],[Operating_Costs]]</f>
        <v>311419</v>
      </c>
      <c r="T3391">
        <v>540300</v>
      </c>
      <c r="U3391">
        <v>68</v>
      </c>
      <c r="V3391">
        <v>54</v>
      </c>
      <c r="W3391">
        <v>8.1999999999999993</v>
      </c>
    </row>
    <row r="3392" spans="1:23" x14ac:dyDescent="0.25">
      <c r="A3392">
        <v>10</v>
      </c>
      <c r="B3392" t="s">
        <v>34</v>
      </c>
      <c r="C3392" s="1">
        <v>45315</v>
      </c>
      <c r="D3392" t="s">
        <v>71</v>
      </c>
      <c r="E3392">
        <v>0</v>
      </c>
      <c r="F3392">
        <v>87</v>
      </c>
      <c r="G3392" t="str">
        <f t="shared" si="60"/>
        <v>81+</v>
      </c>
      <c r="H3392" t="s">
        <v>23</v>
      </c>
      <c r="I3392" t="s">
        <v>61</v>
      </c>
      <c r="J3392" t="s">
        <v>62</v>
      </c>
      <c r="K3392" t="s">
        <v>38</v>
      </c>
      <c r="L3392">
        <v>1</v>
      </c>
      <c r="M3392">
        <v>1</v>
      </c>
      <c r="N3392">
        <v>1.2</v>
      </c>
      <c r="O3392">
        <v>7.7</v>
      </c>
      <c r="P3392">
        <v>5</v>
      </c>
      <c r="Q3392">
        <v>4</v>
      </c>
      <c r="R3392">
        <v>857850</v>
      </c>
      <c r="S3392">
        <f>Table1[[#This Row],[Revenue]]-Table1[[#This Row],[Operating_Costs]]</f>
        <v>187424</v>
      </c>
      <c r="T3392">
        <v>670426</v>
      </c>
      <c r="U3392">
        <v>65</v>
      </c>
      <c r="V3392">
        <v>65</v>
      </c>
      <c r="W3392">
        <v>12.6</v>
      </c>
    </row>
    <row r="3393" spans="1:23" x14ac:dyDescent="0.25">
      <c r="A3393">
        <v>10</v>
      </c>
      <c r="B3393" t="s">
        <v>34</v>
      </c>
      <c r="C3393" s="1">
        <v>45642</v>
      </c>
      <c r="D3393" t="s">
        <v>71</v>
      </c>
      <c r="E3393">
        <v>0</v>
      </c>
      <c r="F3393">
        <v>29</v>
      </c>
      <c r="G3393" t="str">
        <f t="shared" si="60"/>
        <v>21-40</v>
      </c>
      <c r="H3393" t="s">
        <v>35</v>
      </c>
      <c r="I3393" t="s">
        <v>60</v>
      </c>
      <c r="J3393" t="s">
        <v>59</v>
      </c>
      <c r="K3393" t="s">
        <v>42</v>
      </c>
      <c r="L3393">
        <v>1</v>
      </c>
      <c r="M3393">
        <v>1</v>
      </c>
      <c r="N3393">
        <v>4.3</v>
      </c>
      <c r="O3393">
        <v>9.1</v>
      </c>
      <c r="P3393">
        <v>7</v>
      </c>
      <c r="Q3393">
        <v>4</v>
      </c>
      <c r="R3393">
        <v>950463</v>
      </c>
      <c r="S3393">
        <f>Table1[[#This Row],[Revenue]]-Table1[[#This Row],[Operating_Costs]]</f>
        <v>376663</v>
      </c>
      <c r="T3393">
        <v>573800</v>
      </c>
      <c r="U3393">
        <v>53</v>
      </c>
      <c r="V3393">
        <v>66</v>
      </c>
      <c r="W3393">
        <v>13.1</v>
      </c>
    </row>
    <row r="3394" spans="1:23" x14ac:dyDescent="0.25">
      <c r="A3394">
        <v>10</v>
      </c>
      <c r="B3394" t="s">
        <v>34</v>
      </c>
      <c r="C3394" s="1">
        <v>45295</v>
      </c>
      <c r="D3394" t="s">
        <v>71</v>
      </c>
      <c r="E3394">
        <v>0</v>
      </c>
      <c r="F3394">
        <v>83</v>
      </c>
      <c r="G3394" t="str">
        <f t="shared" si="60"/>
        <v>81+</v>
      </c>
      <c r="H3394" t="s">
        <v>35</v>
      </c>
      <c r="I3394" t="s">
        <v>36</v>
      </c>
      <c r="J3394" t="s">
        <v>37</v>
      </c>
      <c r="K3394" t="s">
        <v>42</v>
      </c>
      <c r="L3394">
        <v>1</v>
      </c>
      <c r="M3394">
        <v>1</v>
      </c>
      <c r="N3394">
        <v>3.9</v>
      </c>
      <c r="O3394">
        <v>7.4</v>
      </c>
      <c r="P3394">
        <v>4</v>
      </c>
      <c r="Q3394">
        <v>3</v>
      </c>
      <c r="R3394">
        <v>983770</v>
      </c>
      <c r="S3394">
        <f>Table1[[#This Row],[Revenue]]-Table1[[#This Row],[Operating_Costs]]</f>
        <v>437685</v>
      </c>
      <c r="T3394">
        <v>546085</v>
      </c>
      <c r="U3394">
        <v>53</v>
      </c>
      <c r="V3394">
        <v>55</v>
      </c>
      <c r="W3394">
        <v>12.1</v>
      </c>
    </row>
    <row r="3395" spans="1:23" x14ac:dyDescent="0.25">
      <c r="A3395">
        <v>10</v>
      </c>
      <c r="B3395" t="s">
        <v>34</v>
      </c>
      <c r="C3395" s="1">
        <v>45592</v>
      </c>
      <c r="D3395" t="s">
        <v>71</v>
      </c>
      <c r="E3395">
        <v>0</v>
      </c>
      <c r="F3395">
        <v>82</v>
      </c>
      <c r="G3395" t="str">
        <f t="shared" ref="G3395:G3458" si="61">IF(F3395&lt;=20,"0-20",IF(F3395&lt;=40,"21-40",IF(F3395&lt;=60,"41-60",IF(F3395&lt;=80,"61-80","81+"))))</f>
        <v>81+</v>
      </c>
      <c r="H3395" t="s">
        <v>35</v>
      </c>
      <c r="I3395" t="s">
        <v>64</v>
      </c>
      <c r="J3395" t="s">
        <v>65</v>
      </c>
      <c r="K3395" t="s">
        <v>33</v>
      </c>
      <c r="L3395">
        <v>1</v>
      </c>
      <c r="M3395">
        <v>1</v>
      </c>
      <c r="N3395">
        <v>3.6</v>
      </c>
      <c r="O3395">
        <v>8.6999999999999993</v>
      </c>
      <c r="P3395">
        <v>3</v>
      </c>
      <c r="Q3395">
        <v>3</v>
      </c>
      <c r="R3395">
        <v>925451</v>
      </c>
      <c r="S3395">
        <f>Table1[[#This Row],[Revenue]]-Table1[[#This Row],[Operating_Costs]]</f>
        <v>331117</v>
      </c>
      <c r="T3395">
        <v>594334</v>
      </c>
      <c r="U3395">
        <v>66</v>
      </c>
      <c r="V3395">
        <v>61</v>
      </c>
      <c r="W3395">
        <v>36.5</v>
      </c>
    </row>
    <row r="3396" spans="1:23" x14ac:dyDescent="0.25">
      <c r="A3396">
        <v>10</v>
      </c>
      <c r="B3396" t="s">
        <v>34</v>
      </c>
      <c r="C3396" s="1">
        <v>44953</v>
      </c>
      <c r="D3396" t="s">
        <v>71</v>
      </c>
      <c r="E3396">
        <v>0</v>
      </c>
      <c r="F3396">
        <v>43</v>
      </c>
      <c r="G3396" t="str">
        <f t="shared" si="61"/>
        <v>41-60</v>
      </c>
      <c r="H3396" t="s">
        <v>35</v>
      </c>
      <c r="I3396" t="s">
        <v>40</v>
      </c>
      <c r="J3396" t="s">
        <v>41</v>
      </c>
      <c r="K3396" t="s">
        <v>42</v>
      </c>
      <c r="L3396">
        <v>1</v>
      </c>
      <c r="M3396">
        <v>1</v>
      </c>
      <c r="N3396">
        <v>3.4</v>
      </c>
      <c r="O3396">
        <v>8.1</v>
      </c>
      <c r="P3396">
        <v>6</v>
      </c>
      <c r="Q3396">
        <v>6</v>
      </c>
      <c r="R3396">
        <v>890536</v>
      </c>
      <c r="S3396">
        <f>Table1[[#This Row],[Revenue]]-Table1[[#This Row],[Operating_Costs]]</f>
        <v>335038</v>
      </c>
      <c r="T3396">
        <v>555498</v>
      </c>
      <c r="U3396">
        <v>57</v>
      </c>
      <c r="V3396">
        <v>56</v>
      </c>
      <c r="W3396">
        <v>7.3</v>
      </c>
    </row>
    <row r="3397" spans="1:23" x14ac:dyDescent="0.25">
      <c r="A3397">
        <v>10</v>
      </c>
      <c r="B3397" t="s">
        <v>34</v>
      </c>
      <c r="C3397" s="1">
        <v>45199</v>
      </c>
      <c r="D3397" t="s">
        <v>71</v>
      </c>
      <c r="E3397">
        <v>0</v>
      </c>
      <c r="F3397">
        <v>28</v>
      </c>
      <c r="G3397" t="str">
        <f t="shared" si="61"/>
        <v>21-40</v>
      </c>
      <c r="H3397" t="s">
        <v>23</v>
      </c>
      <c r="I3397" t="s">
        <v>24</v>
      </c>
      <c r="J3397" t="s">
        <v>25</v>
      </c>
      <c r="K3397" t="s">
        <v>42</v>
      </c>
      <c r="L3397">
        <v>1</v>
      </c>
      <c r="M3397">
        <v>1</v>
      </c>
      <c r="N3397">
        <v>4.5999999999999996</v>
      </c>
      <c r="O3397">
        <v>8.6999999999999993</v>
      </c>
      <c r="P3397">
        <v>3</v>
      </c>
      <c r="Q3397">
        <v>6</v>
      </c>
      <c r="R3397">
        <v>822074</v>
      </c>
      <c r="S3397">
        <f>Table1[[#This Row],[Revenue]]-Table1[[#This Row],[Operating_Costs]]</f>
        <v>175491</v>
      </c>
      <c r="T3397">
        <v>646583</v>
      </c>
      <c r="U3397">
        <v>64</v>
      </c>
      <c r="V3397">
        <v>62</v>
      </c>
      <c r="W3397">
        <v>12.1</v>
      </c>
    </row>
    <row r="3398" spans="1:23" x14ac:dyDescent="0.25">
      <c r="A3398">
        <v>10</v>
      </c>
      <c r="B3398" t="s">
        <v>34</v>
      </c>
      <c r="C3398" s="1">
        <v>44197</v>
      </c>
      <c r="D3398" t="s">
        <v>71</v>
      </c>
      <c r="E3398">
        <v>0</v>
      </c>
      <c r="F3398">
        <v>65</v>
      </c>
      <c r="G3398" t="str">
        <f t="shared" si="61"/>
        <v>61-80</v>
      </c>
      <c r="H3398" t="s">
        <v>35</v>
      </c>
      <c r="I3398" t="s">
        <v>61</v>
      </c>
      <c r="J3398" t="s">
        <v>62</v>
      </c>
      <c r="K3398" t="s">
        <v>26</v>
      </c>
      <c r="L3398">
        <v>1</v>
      </c>
      <c r="M3398">
        <v>1</v>
      </c>
      <c r="N3398">
        <v>2.2999999999999998</v>
      </c>
      <c r="O3398">
        <v>8.3000000000000007</v>
      </c>
      <c r="P3398">
        <v>4</v>
      </c>
      <c r="Q3398">
        <v>4</v>
      </c>
      <c r="R3398">
        <v>884343</v>
      </c>
      <c r="S3398">
        <f>Table1[[#This Row],[Revenue]]-Table1[[#This Row],[Operating_Costs]]</f>
        <v>279540</v>
      </c>
      <c r="T3398">
        <v>604803</v>
      </c>
      <c r="U3398">
        <v>64</v>
      </c>
      <c r="V3398">
        <v>58</v>
      </c>
      <c r="W3398">
        <v>6.6</v>
      </c>
    </row>
    <row r="3399" spans="1:23" x14ac:dyDescent="0.25">
      <c r="A3399">
        <v>10</v>
      </c>
      <c r="B3399" t="s">
        <v>34</v>
      </c>
      <c r="C3399" s="1">
        <v>44591</v>
      </c>
      <c r="D3399" t="s">
        <v>71</v>
      </c>
      <c r="E3399">
        <v>0</v>
      </c>
      <c r="F3399">
        <v>66</v>
      </c>
      <c r="G3399" t="str">
        <f t="shared" si="61"/>
        <v>61-80</v>
      </c>
      <c r="H3399" t="s">
        <v>35</v>
      </c>
      <c r="I3399" t="s">
        <v>58</v>
      </c>
      <c r="J3399" t="s">
        <v>59</v>
      </c>
      <c r="K3399" t="s">
        <v>42</v>
      </c>
      <c r="L3399">
        <v>1</v>
      </c>
      <c r="M3399">
        <v>1</v>
      </c>
      <c r="N3399">
        <v>5.5</v>
      </c>
      <c r="O3399">
        <v>9.9</v>
      </c>
      <c r="P3399">
        <v>3</v>
      </c>
      <c r="Q3399">
        <v>3</v>
      </c>
      <c r="R3399">
        <v>915434</v>
      </c>
      <c r="S3399">
        <f>Table1[[#This Row],[Revenue]]-Table1[[#This Row],[Operating_Costs]]</f>
        <v>266835</v>
      </c>
      <c r="T3399">
        <v>648599</v>
      </c>
      <c r="U3399">
        <v>67</v>
      </c>
      <c r="V3399">
        <v>56</v>
      </c>
      <c r="W3399">
        <v>5.3</v>
      </c>
    </row>
    <row r="3400" spans="1:23" x14ac:dyDescent="0.25">
      <c r="A3400">
        <v>10</v>
      </c>
      <c r="B3400" t="s">
        <v>34</v>
      </c>
      <c r="C3400" s="1">
        <v>45504</v>
      </c>
      <c r="D3400" t="s">
        <v>71</v>
      </c>
      <c r="E3400">
        <v>0</v>
      </c>
      <c r="F3400">
        <v>46</v>
      </c>
      <c r="G3400" t="str">
        <f t="shared" si="61"/>
        <v>41-60</v>
      </c>
      <c r="H3400" t="s">
        <v>35</v>
      </c>
      <c r="I3400" t="s">
        <v>31</v>
      </c>
      <c r="J3400" t="s">
        <v>28</v>
      </c>
      <c r="K3400" t="s">
        <v>42</v>
      </c>
      <c r="L3400">
        <v>1</v>
      </c>
      <c r="M3400">
        <v>1</v>
      </c>
      <c r="N3400">
        <v>3.3</v>
      </c>
      <c r="O3400">
        <v>8.4</v>
      </c>
      <c r="P3400">
        <v>6</v>
      </c>
      <c r="Q3400">
        <v>3</v>
      </c>
      <c r="R3400">
        <v>860369</v>
      </c>
      <c r="S3400">
        <f>Table1[[#This Row],[Revenue]]-Table1[[#This Row],[Operating_Costs]]</f>
        <v>343485</v>
      </c>
      <c r="T3400">
        <v>516884</v>
      </c>
      <c r="U3400">
        <v>66</v>
      </c>
      <c r="V3400">
        <v>54</v>
      </c>
      <c r="W3400">
        <v>36.799999999999997</v>
      </c>
    </row>
    <row r="3401" spans="1:23" x14ac:dyDescent="0.25">
      <c r="A3401">
        <v>9</v>
      </c>
      <c r="B3401" t="s">
        <v>44</v>
      </c>
      <c r="C3401" s="1">
        <v>44533</v>
      </c>
      <c r="D3401" t="s">
        <v>71</v>
      </c>
      <c r="E3401">
        <v>0</v>
      </c>
      <c r="F3401">
        <v>43</v>
      </c>
      <c r="G3401" t="str">
        <f t="shared" si="61"/>
        <v>41-60</v>
      </c>
      <c r="H3401" t="s">
        <v>23</v>
      </c>
      <c r="I3401" t="s">
        <v>43</v>
      </c>
      <c r="J3401" t="s">
        <v>25</v>
      </c>
      <c r="K3401" t="s">
        <v>33</v>
      </c>
      <c r="L3401">
        <v>1</v>
      </c>
      <c r="M3401">
        <v>1</v>
      </c>
      <c r="N3401">
        <v>4.4000000000000004</v>
      </c>
      <c r="O3401">
        <v>9.8000000000000007</v>
      </c>
      <c r="P3401">
        <v>3</v>
      </c>
      <c r="Q3401">
        <v>7</v>
      </c>
      <c r="R3401">
        <v>523665</v>
      </c>
      <c r="S3401">
        <f>Table1[[#This Row],[Revenue]]-Table1[[#This Row],[Operating_Costs]]</f>
        <v>40346</v>
      </c>
      <c r="T3401">
        <v>483319</v>
      </c>
      <c r="U3401">
        <v>39</v>
      </c>
      <c r="V3401">
        <v>64</v>
      </c>
      <c r="W3401">
        <v>10.1</v>
      </c>
    </row>
    <row r="3402" spans="1:23" x14ac:dyDescent="0.25">
      <c r="A3402">
        <v>9</v>
      </c>
      <c r="B3402" t="s">
        <v>44</v>
      </c>
      <c r="C3402" s="1">
        <v>44292</v>
      </c>
      <c r="D3402" t="s">
        <v>71</v>
      </c>
      <c r="E3402">
        <v>0</v>
      </c>
      <c r="F3402">
        <v>38</v>
      </c>
      <c r="G3402" t="str">
        <f t="shared" si="61"/>
        <v>21-40</v>
      </c>
      <c r="H3402" t="s">
        <v>35</v>
      </c>
      <c r="I3402" t="s">
        <v>31</v>
      </c>
      <c r="J3402" t="s">
        <v>28</v>
      </c>
      <c r="K3402" t="s">
        <v>38</v>
      </c>
      <c r="L3402">
        <v>1</v>
      </c>
      <c r="M3402">
        <v>1</v>
      </c>
      <c r="N3402">
        <v>4.0999999999999996</v>
      </c>
      <c r="O3402">
        <v>8.6999999999999993</v>
      </c>
      <c r="P3402">
        <v>3</v>
      </c>
      <c r="Q3402">
        <v>6</v>
      </c>
      <c r="R3402">
        <v>597829</v>
      </c>
      <c r="S3402">
        <f>Table1[[#This Row],[Revenue]]-Table1[[#This Row],[Operating_Costs]]</f>
        <v>192808</v>
      </c>
      <c r="T3402">
        <v>405021</v>
      </c>
      <c r="U3402">
        <v>36</v>
      </c>
      <c r="V3402">
        <v>59</v>
      </c>
      <c r="W3402">
        <v>7.7</v>
      </c>
    </row>
    <row r="3403" spans="1:23" x14ac:dyDescent="0.25">
      <c r="A3403">
        <v>10</v>
      </c>
      <c r="B3403" t="s">
        <v>34</v>
      </c>
      <c r="C3403" s="1">
        <v>45453</v>
      </c>
      <c r="D3403" t="s">
        <v>71</v>
      </c>
      <c r="E3403">
        <v>0</v>
      </c>
      <c r="F3403">
        <v>23</v>
      </c>
      <c r="G3403" t="str">
        <f t="shared" si="61"/>
        <v>21-40</v>
      </c>
      <c r="H3403" t="s">
        <v>23</v>
      </c>
      <c r="I3403" t="s">
        <v>55</v>
      </c>
      <c r="J3403" t="s">
        <v>56</v>
      </c>
      <c r="K3403" t="s">
        <v>38</v>
      </c>
      <c r="L3403">
        <v>1</v>
      </c>
      <c r="M3403">
        <v>1</v>
      </c>
      <c r="N3403">
        <v>5.0999999999999996</v>
      </c>
      <c r="O3403">
        <v>9.3000000000000007</v>
      </c>
      <c r="P3403">
        <v>3</v>
      </c>
      <c r="Q3403">
        <v>3</v>
      </c>
      <c r="R3403">
        <v>914743</v>
      </c>
      <c r="S3403">
        <f>Table1[[#This Row],[Revenue]]-Table1[[#This Row],[Operating_Costs]]</f>
        <v>341350</v>
      </c>
      <c r="T3403">
        <v>573393</v>
      </c>
      <c r="U3403">
        <v>58</v>
      </c>
      <c r="V3403">
        <v>62</v>
      </c>
      <c r="W3403">
        <v>36.700000000000003</v>
      </c>
    </row>
    <row r="3404" spans="1:23" x14ac:dyDescent="0.25">
      <c r="A3404">
        <v>10</v>
      </c>
      <c r="B3404" t="s">
        <v>34</v>
      </c>
      <c r="C3404" s="1">
        <v>45334</v>
      </c>
      <c r="D3404" t="s">
        <v>71</v>
      </c>
      <c r="E3404">
        <v>0</v>
      </c>
      <c r="F3404">
        <v>30</v>
      </c>
      <c r="G3404" t="str">
        <f t="shared" si="61"/>
        <v>21-40</v>
      </c>
      <c r="H3404" t="s">
        <v>35</v>
      </c>
      <c r="I3404" t="s">
        <v>36</v>
      </c>
      <c r="J3404" t="s">
        <v>37</v>
      </c>
      <c r="K3404" t="s">
        <v>42</v>
      </c>
      <c r="L3404">
        <v>1</v>
      </c>
      <c r="M3404">
        <v>1</v>
      </c>
      <c r="N3404">
        <v>6.6</v>
      </c>
      <c r="O3404">
        <v>9.4</v>
      </c>
      <c r="P3404">
        <v>5</v>
      </c>
      <c r="Q3404">
        <v>5</v>
      </c>
      <c r="R3404">
        <v>808000</v>
      </c>
      <c r="S3404">
        <f>Table1[[#This Row],[Revenue]]-Table1[[#This Row],[Operating_Costs]]</f>
        <v>127644</v>
      </c>
      <c r="T3404">
        <v>680356</v>
      </c>
      <c r="U3404">
        <v>53</v>
      </c>
      <c r="V3404">
        <v>63</v>
      </c>
      <c r="W3404">
        <v>5.5</v>
      </c>
    </row>
    <row r="3405" spans="1:23" x14ac:dyDescent="0.25">
      <c r="A3405">
        <v>10</v>
      </c>
      <c r="B3405" t="s">
        <v>34</v>
      </c>
      <c r="C3405" s="1">
        <v>45479</v>
      </c>
      <c r="D3405" t="s">
        <v>71</v>
      </c>
      <c r="E3405">
        <v>0</v>
      </c>
      <c r="F3405">
        <v>44</v>
      </c>
      <c r="G3405" t="str">
        <f t="shared" si="61"/>
        <v>41-60</v>
      </c>
      <c r="H3405" t="s">
        <v>23</v>
      </c>
      <c r="I3405" t="s">
        <v>46</v>
      </c>
      <c r="J3405" t="s">
        <v>47</v>
      </c>
      <c r="K3405" t="s">
        <v>29</v>
      </c>
      <c r="L3405">
        <v>1</v>
      </c>
      <c r="M3405">
        <v>1</v>
      </c>
      <c r="N3405">
        <v>5.3</v>
      </c>
      <c r="O3405">
        <v>7</v>
      </c>
      <c r="P3405">
        <v>3</v>
      </c>
      <c r="Q3405">
        <v>7</v>
      </c>
      <c r="R3405">
        <v>804947</v>
      </c>
      <c r="S3405">
        <f>Table1[[#This Row],[Revenue]]-Table1[[#This Row],[Operating_Costs]]</f>
        <v>251282</v>
      </c>
      <c r="T3405">
        <v>553665</v>
      </c>
      <c r="U3405">
        <v>68</v>
      </c>
      <c r="V3405">
        <v>62</v>
      </c>
      <c r="W3405">
        <v>13</v>
      </c>
    </row>
    <row r="3406" spans="1:23" x14ac:dyDescent="0.25">
      <c r="A3406">
        <v>10</v>
      </c>
      <c r="B3406" t="s">
        <v>34</v>
      </c>
      <c r="C3406" s="1">
        <v>44502</v>
      </c>
      <c r="D3406" t="s">
        <v>71</v>
      </c>
      <c r="E3406">
        <v>0</v>
      </c>
      <c r="F3406">
        <v>70</v>
      </c>
      <c r="G3406" t="str">
        <f t="shared" si="61"/>
        <v>61-80</v>
      </c>
      <c r="H3406" t="s">
        <v>35</v>
      </c>
      <c r="I3406" t="s">
        <v>64</v>
      </c>
      <c r="J3406" t="s">
        <v>65</v>
      </c>
      <c r="K3406" t="s">
        <v>26</v>
      </c>
      <c r="L3406">
        <v>1</v>
      </c>
      <c r="M3406">
        <v>1</v>
      </c>
      <c r="N3406">
        <v>1</v>
      </c>
      <c r="O3406">
        <v>7.6</v>
      </c>
      <c r="P3406">
        <v>3</v>
      </c>
      <c r="Q3406">
        <v>6</v>
      </c>
      <c r="R3406">
        <v>909207</v>
      </c>
      <c r="S3406">
        <f>Table1[[#This Row],[Revenue]]-Table1[[#This Row],[Operating_Costs]]</f>
        <v>321671</v>
      </c>
      <c r="T3406">
        <v>587536</v>
      </c>
      <c r="U3406">
        <v>62</v>
      </c>
      <c r="V3406">
        <v>55</v>
      </c>
      <c r="W3406">
        <v>13</v>
      </c>
    </row>
    <row r="3407" spans="1:23" x14ac:dyDescent="0.25">
      <c r="A3407">
        <v>10</v>
      </c>
      <c r="B3407" t="s">
        <v>34</v>
      </c>
      <c r="C3407" s="1">
        <v>44286</v>
      </c>
      <c r="D3407" t="s">
        <v>71</v>
      </c>
      <c r="E3407">
        <v>0</v>
      </c>
      <c r="F3407">
        <v>59</v>
      </c>
      <c r="G3407" t="str">
        <f t="shared" si="61"/>
        <v>41-60</v>
      </c>
      <c r="H3407" t="s">
        <v>35</v>
      </c>
      <c r="I3407" t="s">
        <v>58</v>
      </c>
      <c r="J3407" t="s">
        <v>59</v>
      </c>
      <c r="K3407" t="s">
        <v>33</v>
      </c>
      <c r="L3407">
        <v>1</v>
      </c>
      <c r="M3407">
        <v>1</v>
      </c>
      <c r="N3407">
        <v>7</v>
      </c>
      <c r="O3407">
        <v>9.8000000000000007</v>
      </c>
      <c r="P3407">
        <v>5</v>
      </c>
      <c r="Q3407">
        <v>3</v>
      </c>
      <c r="R3407">
        <v>885619</v>
      </c>
      <c r="S3407">
        <f>Table1[[#This Row],[Revenue]]-Table1[[#This Row],[Operating_Costs]]</f>
        <v>327810</v>
      </c>
      <c r="T3407">
        <v>557809</v>
      </c>
      <c r="U3407">
        <v>50</v>
      </c>
      <c r="V3407">
        <v>62</v>
      </c>
      <c r="W3407">
        <v>13.7</v>
      </c>
    </row>
    <row r="3408" spans="1:23" x14ac:dyDescent="0.25">
      <c r="A3408">
        <v>10</v>
      </c>
      <c r="B3408" t="s">
        <v>34</v>
      </c>
      <c r="C3408" s="1">
        <v>44750</v>
      </c>
      <c r="D3408" t="s">
        <v>71</v>
      </c>
      <c r="E3408">
        <v>0</v>
      </c>
      <c r="F3408">
        <v>35</v>
      </c>
      <c r="G3408" t="str">
        <f t="shared" si="61"/>
        <v>21-40</v>
      </c>
      <c r="H3408" t="s">
        <v>35</v>
      </c>
      <c r="I3408" t="s">
        <v>36</v>
      </c>
      <c r="J3408" t="s">
        <v>37</v>
      </c>
      <c r="K3408" t="s">
        <v>29</v>
      </c>
      <c r="L3408">
        <v>1</v>
      </c>
      <c r="M3408">
        <v>1</v>
      </c>
      <c r="N3408">
        <v>2.2999999999999998</v>
      </c>
      <c r="O3408">
        <v>7.9</v>
      </c>
      <c r="P3408">
        <v>3</v>
      </c>
      <c r="Q3408">
        <v>7</v>
      </c>
      <c r="R3408">
        <v>815559</v>
      </c>
      <c r="S3408">
        <f>Table1[[#This Row],[Revenue]]-Table1[[#This Row],[Operating_Costs]]</f>
        <v>214740</v>
      </c>
      <c r="T3408">
        <v>600819</v>
      </c>
      <c r="U3408">
        <v>57</v>
      </c>
      <c r="V3408">
        <v>56</v>
      </c>
      <c r="W3408">
        <v>7.5</v>
      </c>
    </row>
    <row r="3409" spans="1:23" x14ac:dyDescent="0.25">
      <c r="A3409">
        <v>10</v>
      </c>
      <c r="B3409" t="s">
        <v>34</v>
      </c>
      <c r="C3409" s="1">
        <v>45147</v>
      </c>
      <c r="D3409" t="s">
        <v>71</v>
      </c>
      <c r="E3409">
        <v>0</v>
      </c>
      <c r="F3409">
        <v>24</v>
      </c>
      <c r="G3409" t="str">
        <f t="shared" si="61"/>
        <v>21-40</v>
      </c>
      <c r="H3409" t="s">
        <v>23</v>
      </c>
      <c r="I3409" t="s">
        <v>55</v>
      </c>
      <c r="J3409" t="s">
        <v>56</v>
      </c>
      <c r="K3409" t="s">
        <v>33</v>
      </c>
      <c r="L3409">
        <v>1</v>
      </c>
      <c r="M3409">
        <v>1</v>
      </c>
      <c r="N3409">
        <v>2</v>
      </c>
      <c r="O3409">
        <v>9.5</v>
      </c>
      <c r="P3409">
        <v>5</v>
      </c>
      <c r="Q3409">
        <v>3</v>
      </c>
      <c r="R3409">
        <v>959229</v>
      </c>
      <c r="S3409">
        <f>Table1[[#This Row],[Revenue]]-Table1[[#This Row],[Operating_Costs]]</f>
        <v>444834</v>
      </c>
      <c r="T3409">
        <v>514395</v>
      </c>
      <c r="U3409">
        <v>55</v>
      </c>
      <c r="V3409">
        <v>58</v>
      </c>
      <c r="W3409">
        <v>7.6</v>
      </c>
    </row>
    <row r="3410" spans="1:23" x14ac:dyDescent="0.25">
      <c r="A3410">
        <v>10</v>
      </c>
      <c r="B3410" t="s">
        <v>34</v>
      </c>
      <c r="C3410" s="1">
        <v>44655</v>
      </c>
      <c r="D3410" t="s">
        <v>71</v>
      </c>
      <c r="E3410">
        <v>0</v>
      </c>
      <c r="F3410">
        <v>53</v>
      </c>
      <c r="G3410" t="str">
        <f t="shared" si="61"/>
        <v>41-60</v>
      </c>
      <c r="H3410" t="s">
        <v>23</v>
      </c>
      <c r="I3410" t="s">
        <v>43</v>
      </c>
      <c r="J3410" t="s">
        <v>25</v>
      </c>
      <c r="K3410" t="s">
        <v>42</v>
      </c>
      <c r="L3410">
        <v>1</v>
      </c>
      <c r="M3410">
        <v>1</v>
      </c>
      <c r="N3410">
        <v>3</v>
      </c>
      <c r="O3410">
        <v>8.1999999999999993</v>
      </c>
      <c r="P3410">
        <v>6</v>
      </c>
      <c r="Q3410">
        <v>5</v>
      </c>
      <c r="R3410">
        <v>809548</v>
      </c>
      <c r="S3410">
        <f>Table1[[#This Row],[Revenue]]-Table1[[#This Row],[Operating_Costs]]</f>
        <v>207782</v>
      </c>
      <c r="T3410">
        <v>601766</v>
      </c>
      <c r="U3410">
        <v>53</v>
      </c>
      <c r="V3410">
        <v>58</v>
      </c>
      <c r="W3410">
        <v>10.199999999999999</v>
      </c>
    </row>
    <row r="3411" spans="1:23" x14ac:dyDescent="0.25">
      <c r="A3411">
        <v>10</v>
      </c>
      <c r="B3411" t="s">
        <v>34</v>
      </c>
      <c r="C3411" s="1">
        <v>45241</v>
      </c>
      <c r="D3411" t="s">
        <v>71</v>
      </c>
      <c r="E3411">
        <v>0</v>
      </c>
      <c r="F3411">
        <v>28</v>
      </c>
      <c r="G3411" t="str">
        <f t="shared" si="61"/>
        <v>21-40</v>
      </c>
      <c r="H3411" t="s">
        <v>35</v>
      </c>
      <c r="I3411" t="s">
        <v>46</v>
      </c>
      <c r="J3411" t="s">
        <v>47</v>
      </c>
      <c r="K3411" t="s">
        <v>38</v>
      </c>
      <c r="L3411">
        <v>1</v>
      </c>
      <c r="M3411">
        <v>1</v>
      </c>
      <c r="N3411">
        <v>5</v>
      </c>
      <c r="O3411">
        <v>9.6</v>
      </c>
      <c r="P3411">
        <v>5</v>
      </c>
      <c r="Q3411">
        <v>6</v>
      </c>
      <c r="R3411">
        <v>945051</v>
      </c>
      <c r="S3411">
        <f>Table1[[#This Row],[Revenue]]-Table1[[#This Row],[Operating_Costs]]</f>
        <v>355341</v>
      </c>
      <c r="T3411">
        <v>589710</v>
      </c>
      <c r="U3411">
        <v>68</v>
      </c>
      <c r="V3411">
        <v>55</v>
      </c>
      <c r="W3411">
        <v>8.1999999999999993</v>
      </c>
    </row>
    <row r="3412" spans="1:23" x14ac:dyDescent="0.25">
      <c r="A3412">
        <v>10</v>
      </c>
      <c r="B3412" t="s">
        <v>34</v>
      </c>
      <c r="C3412" s="1">
        <v>44483</v>
      </c>
      <c r="D3412" t="s">
        <v>71</v>
      </c>
      <c r="E3412">
        <v>0</v>
      </c>
      <c r="F3412">
        <v>88</v>
      </c>
      <c r="G3412" t="str">
        <f t="shared" si="61"/>
        <v>81+</v>
      </c>
      <c r="H3412" t="s">
        <v>23</v>
      </c>
      <c r="I3412" t="s">
        <v>55</v>
      </c>
      <c r="J3412" t="s">
        <v>56</v>
      </c>
      <c r="K3412" t="s">
        <v>38</v>
      </c>
      <c r="L3412">
        <v>1</v>
      </c>
      <c r="M3412">
        <v>1</v>
      </c>
      <c r="N3412">
        <v>1.2</v>
      </c>
      <c r="O3412">
        <v>8.1</v>
      </c>
      <c r="P3412">
        <v>3</v>
      </c>
      <c r="Q3412">
        <v>4</v>
      </c>
      <c r="R3412">
        <v>890492</v>
      </c>
      <c r="S3412">
        <f>Table1[[#This Row],[Revenue]]-Table1[[#This Row],[Operating_Costs]]</f>
        <v>334702</v>
      </c>
      <c r="T3412">
        <v>555790</v>
      </c>
      <c r="U3412">
        <v>59</v>
      </c>
      <c r="V3412">
        <v>63</v>
      </c>
      <c r="W3412">
        <v>10.1</v>
      </c>
    </row>
    <row r="3413" spans="1:23" x14ac:dyDescent="0.25">
      <c r="A3413">
        <v>10</v>
      </c>
      <c r="B3413" t="s">
        <v>34</v>
      </c>
      <c r="C3413" s="1">
        <v>45598</v>
      </c>
      <c r="D3413" t="s">
        <v>71</v>
      </c>
      <c r="E3413">
        <v>0</v>
      </c>
      <c r="F3413">
        <v>82</v>
      </c>
      <c r="G3413" t="str">
        <f t="shared" si="61"/>
        <v>81+</v>
      </c>
      <c r="H3413" t="s">
        <v>23</v>
      </c>
      <c r="I3413" t="s">
        <v>46</v>
      </c>
      <c r="J3413" t="s">
        <v>47</v>
      </c>
      <c r="K3413" t="s">
        <v>29</v>
      </c>
      <c r="L3413">
        <v>1</v>
      </c>
      <c r="M3413">
        <v>1</v>
      </c>
      <c r="N3413">
        <v>1</v>
      </c>
      <c r="O3413">
        <v>7.7</v>
      </c>
      <c r="P3413">
        <v>4</v>
      </c>
      <c r="Q3413">
        <v>4</v>
      </c>
      <c r="R3413">
        <v>826899</v>
      </c>
      <c r="S3413">
        <f>Table1[[#This Row],[Revenue]]-Table1[[#This Row],[Operating_Costs]]</f>
        <v>177611</v>
      </c>
      <c r="T3413">
        <v>649288</v>
      </c>
      <c r="U3413">
        <v>59</v>
      </c>
      <c r="V3413">
        <v>54</v>
      </c>
      <c r="W3413">
        <v>12.9</v>
      </c>
    </row>
    <row r="3414" spans="1:23" x14ac:dyDescent="0.25">
      <c r="A3414">
        <v>10</v>
      </c>
      <c r="B3414" t="s">
        <v>34</v>
      </c>
      <c r="C3414" s="1">
        <v>44613</v>
      </c>
      <c r="D3414" t="s">
        <v>71</v>
      </c>
      <c r="E3414">
        <v>0</v>
      </c>
      <c r="F3414">
        <v>34</v>
      </c>
      <c r="G3414" t="str">
        <f t="shared" si="61"/>
        <v>21-40</v>
      </c>
      <c r="H3414" t="s">
        <v>35</v>
      </c>
      <c r="I3414" t="s">
        <v>58</v>
      </c>
      <c r="J3414" t="s">
        <v>59</v>
      </c>
      <c r="K3414" t="s">
        <v>38</v>
      </c>
      <c r="L3414">
        <v>1</v>
      </c>
      <c r="M3414">
        <v>1</v>
      </c>
      <c r="N3414">
        <v>5.2</v>
      </c>
      <c r="O3414">
        <v>9.9</v>
      </c>
      <c r="P3414">
        <v>4</v>
      </c>
      <c r="Q3414">
        <v>6</v>
      </c>
      <c r="R3414">
        <v>892600</v>
      </c>
      <c r="S3414">
        <f>Table1[[#This Row],[Revenue]]-Table1[[#This Row],[Operating_Costs]]</f>
        <v>383785</v>
      </c>
      <c r="T3414">
        <v>508815</v>
      </c>
      <c r="U3414">
        <v>57</v>
      </c>
      <c r="V3414">
        <v>58</v>
      </c>
      <c r="W3414">
        <v>36.799999999999997</v>
      </c>
    </row>
    <row r="3415" spans="1:23" x14ac:dyDescent="0.25">
      <c r="A3415">
        <v>10</v>
      </c>
      <c r="B3415" t="s">
        <v>34</v>
      </c>
      <c r="C3415" s="1">
        <v>44718</v>
      </c>
      <c r="D3415" t="s">
        <v>71</v>
      </c>
      <c r="E3415">
        <v>0</v>
      </c>
      <c r="F3415">
        <v>90</v>
      </c>
      <c r="G3415" t="str">
        <f t="shared" si="61"/>
        <v>81+</v>
      </c>
      <c r="H3415" t="s">
        <v>35</v>
      </c>
      <c r="I3415" t="s">
        <v>61</v>
      </c>
      <c r="J3415" t="s">
        <v>62</v>
      </c>
      <c r="K3415" t="s">
        <v>38</v>
      </c>
      <c r="L3415">
        <v>1</v>
      </c>
      <c r="M3415">
        <v>1</v>
      </c>
      <c r="N3415">
        <v>3.4</v>
      </c>
      <c r="O3415">
        <v>8.6</v>
      </c>
      <c r="P3415">
        <v>3</v>
      </c>
      <c r="Q3415">
        <v>6</v>
      </c>
      <c r="R3415">
        <v>939077</v>
      </c>
      <c r="S3415">
        <f>Table1[[#This Row],[Revenue]]-Table1[[#This Row],[Operating_Costs]]</f>
        <v>421181</v>
      </c>
      <c r="T3415">
        <v>517896</v>
      </c>
      <c r="U3415">
        <v>68</v>
      </c>
      <c r="V3415">
        <v>54</v>
      </c>
      <c r="W3415">
        <v>7</v>
      </c>
    </row>
    <row r="3416" spans="1:23" x14ac:dyDescent="0.25">
      <c r="A3416">
        <v>10</v>
      </c>
      <c r="B3416" t="s">
        <v>34</v>
      </c>
      <c r="C3416" s="1">
        <v>45181</v>
      </c>
      <c r="D3416" t="s">
        <v>71</v>
      </c>
      <c r="E3416">
        <v>0</v>
      </c>
      <c r="F3416">
        <v>82</v>
      </c>
      <c r="G3416" t="str">
        <f t="shared" si="61"/>
        <v>81+</v>
      </c>
      <c r="H3416" t="s">
        <v>23</v>
      </c>
      <c r="I3416" t="s">
        <v>61</v>
      </c>
      <c r="J3416" t="s">
        <v>62</v>
      </c>
      <c r="K3416" t="s">
        <v>38</v>
      </c>
      <c r="L3416">
        <v>1</v>
      </c>
      <c r="M3416">
        <v>1</v>
      </c>
      <c r="N3416">
        <v>5.0999999999999996</v>
      </c>
      <c r="O3416">
        <v>7.8</v>
      </c>
      <c r="P3416">
        <v>5</v>
      </c>
      <c r="Q3416">
        <v>4</v>
      </c>
      <c r="R3416">
        <v>804271</v>
      </c>
      <c r="S3416">
        <f>Table1[[#This Row],[Revenue]]-Table1[[#This Row],[Operating_Costs]]</f>
        <v>232578</v>
      </c>
      <c r="T3416">
        <v>571693</v>
      </c>
      <c r="U3416">
        <v>66</v>
      </c>
      <c r="V3416">
        <v>64</v>
      </c>
      <c r="W3416">
        <v>9.5</v>
      </c>
    </row>
    <row r="3417" spans="1:23" x14ac:dyDescent="0.25">
      <c r="A3417">
        <v>10</v>
      </c>
      <c r="B3417" t="s">
        <v>34</v>
      </c>
      <c r="C3417" s="1">
        <v>45208</v>
      </c>
      <c r="D3417" t="s">
        <v>71</v>
      </c>
      <c r="E3417">
        <v>0</v>
      </c>
      <c r="F3417">
        <v>90</v>
      </c>
      <c r="G3417" t="str">
        <f t="shared" si="61"/>
        <v>81+</v>
      </c>
      <c r="H3417" t="s">
        <v>23</v>
      </c>
      <c r="I3417" t="s">
        <v>43</v>
      </c>
      <c r="J3417" t="s">
        <v>25</v>
      </c>
      <c r="K3417" t="s">
        <v>29</v>
      </c>
      <c r="L3417">
        <v>1</v>
      </c>
      <c r="M3417">
        <v>1</v>
      </c>
      <c r="N3417">
        <v>2.2999999999999998</v>
      </c>
      <c r="O3417">
        <v>7.3</v>
      </c>
      <c r="P3417">
        <v>4</v>
      </c>
      <c r="Q3417">
        <v>6</v>
      </c>
      <c r="R3417">
        <v>807736</v>
      </c>
      <c r="S3417">
        <f>Table1[[#This Row],[Revenue]]-Table1[[#This Row],[Operating_Costs]]</f>
        <v>169817</v>
      </c>
      <c r="T3417">
        <v>637919</v>
      </c>
      <c r="U3417">
        <v>57</v>
      </c>
      <c r="V3417">
        <v>57</v>
      </c>
      <c r="W3417">
        <v>8.8000000000000007</v>
      </c>
    </row>
    <row r="3418" spans="1:23" x14ac:dyDescent="0.25">
      <c r="A3418">
        <v>10</v>
      </c>
      <c r="B3418" t="s">
        <v>34</v>
      </c>
      <c r="C3418" s="1">
        <v>45634</v>
      </c>
      <c r="D3418" t="s">
        <v>71</v>
      </c>
      <c r="E3418">
        <v>0</v>
      </c>
      <c r="F3418">
        <v>48</v>
      </c>
      <c r="G3418" t="str">
        <f t="shared" si="61"/>
        <v>41-60</v>
      </c>
      <c r="H3418" t="s">
        <v>35</v>
      </c>
      <c r="I3418" t="s">
        <v>60</v>
      </c>
      <c r="J3418" t="s">
        <v>59</v>
      </c>
      <c r="K3418" t="s">
        <v>38</v>
      </c>
      <c r="L3418">
        <v>1</v>
      </c>
      <c r="M3418">
        <v>1</v>
      </c>
      <c r="N3418">
        <v>5.9</v>
      </c>
      <c r="O3418">
        <v>8</v>
      </c>
      <c r="P3418">
        <v>3</v>
      </c>
      <c r="Q3418">
        <v>5</v>
      </c>
      <c r="R3418">
        <v>803451</v>
      </c>
      <c r="S3418">
        <f>Table1[[#This Row],[Revenue]]-Table1[[#This Row],[Operating_Costs]]</f>
        <v>136331</v>
      </c>
      <c r="T3418">
        <v>667120</v>
      </c>
      <c r="U3418">
        <v>55</v>
      </c>
      <c r="V3418">
        <v>58</v>
      </c>
      <c r="W3418">
        <v>36.4</v>
      </c>
    </row>
    <row r="3419" spans="1:23" x14ac:dyDescent="0.25">
      <c r="A3419">
        <v>10</v>
      </c>
      <c r="B3419" t="s">
        <v>34</v>
      </c>
      <c r="C3419" s="1">
        <v>44594</v>
      </c>
      <c r="D3419" t="s">
        <v>71</v>
      </c>
      <c r="E3419">
        <v>0</v>
      </c>
      <c r="F3419">
        <v>77</v>
      </c>
      <c r="G3419" t="str">
        <f t="shared" si="61"/>
        <v>61-80</v>
      </c>
      <c r="H3419" t="s">
        <v>23</v>
      </c>
      <c r="I3419" t="s">
        <v>55</v>
      </c>
      <c r="J3419" t="s">
        <v>56</v>
      </c>
      <c r="K3419" t="s">
        <v>29</v>
      </c>
      <c r="L3419">
        <v>1</v>
      </c>
      <c r="M3419">
        <v>1</v>
      </c>
      <c r="N3419">
        <v>5.4</v>
      </c>
      <c r="O3419">
        <v>7.2</v>
      </c>
      <c r="P3419">
        <v>7</v>
      </c>
      <c r="Q3419">
        <v>3</v>
      </c>
      <c r="R3419">
        <v>883019</v>
      </c>
      <c r="S3419">
        <f>Table1[[#This Row],[Revenue]]-Table1[[#This Row],[Operating_Costs]]</f>
        <v>257922</v>
      </c>
      <c r="T3419">
        <v>625097</v>
      </c>
      <c r="U3419">
        <v>58</v>
      </c>
      <c r="V3419">
        <v>59</v>
      </c>
      <c r="W3419">
        <v>8.3000000000000007</v>
      </c>
    </row>
    <row r="3420" spans="1:23" x14ac:dyDescent="0.25">
      <c r="A3420">
        <v>10</v>
      </c>
      <c r="B3420" t="s">
        <v>34</v>
      </c>
      <c r="C3420" s="1">
        <v>44343</v>
      </c>
      <c r="D3420" t="s">
        <v>71</v>
      </c>
      <c r="E3420">
        <v>0</v>
      </c>
      <c r="F3420">
        <v>32</v>
      </c>
      <c r="G3420" t="str">
        <f t="shared" si="61"/>
        <v>21-40</v>
      </c>
      <c r="H3420" t="s">
        <v>35</v>
      </c>
      <c r="I3420" t="s">
        <v>36</v>
      </c>
      <c r="J3420" t="s">
        <v>37</v>
      </c>
      <c r="K3420" t="s">
        <v>29</v>
      </c>
      <c r="L3420">
        <v>1</v>
      </c>
      <c r="M3420">
        <v>1</v>
      </c>
      <c r="N3420">
        <v>1.4</v>
      </c>
      <c r="O3420">
        <v>9.1</v>
      </c>
      <c r="P3420">
        <v>7</v>
      </c>
      <c r="Q3420">
        <v>3</v>
      </c>
      <c r="R3420">
        <v>921919</v>
      </c>
      <c r="S3420">
        <f>Table1[[#This Row],[Revenue]]-Table1[[#This Row],[Operating_Costs]]</f>
        <v>275399</v>
      </c>
      <c r="T3420">
        <v>646520</v>
      </c>
      <c r="U3420">
        <v>64</v>
      </c>
      <c r="V3420">
        <v>54</v>
      </c>
      <c r="W3420">
        <v>6.1</v>
      </c>
    </row>
    <row r="3421" spans="1:23" x14ac:dyDescent="0.25">
      <c r="A3421">
        <v>10</v>
      </c>
      <c r="B3421" t="s">
        <v>34</v>
      </c>
      <c r="C3421" s="1">
        <v>45210</v>
      </c>
      <c r="D3421" t="s">
        <v>71</v>
      </c>
      <c r="E3421">
        <v>0</v>
      </c>
      <c r="F3421">
        <v>49</v>
      </c>
      <c r="G3421" t="str">
        <f t="shared" si="61"/>
        <v>41-60</v>
      </c>
      <c r="H3421" t="s">
        <v>35</v>
      </c>
      <c r="I3421" t="s">
        <v>36</v>
      </c>
      <c r="J3421" t="s">
        <v>37</v>
      </c>
      <c r="K3421" t="s">
        <v>42</v>
      </c>
      <c r="L3421">
        <v>1</v>
      </c>
      <c r="M3421">
        <v>1</v>
      </c>
      <c r="N3421">
        <v>2.5</v>
      </c>
      <c r="O3421">
        <v>9.9</v>
      </c>
      <c r="P3421">
        <v>5</v>
      </c>
      <c r="Q3421">
        <v>7</v>
      </c>
      <c r="R3421">
        <v>963162</v>
      </c>
      <c r="S3421">
        <f>Table1[[#This Row],[Revenue]]-Table1[[#This Row],[Operating_Costs]]</f>
        <v>410020</v>
      </c>
      <c r="T3421">
        <v>553142</v>
      </c>
      <c r="U3421">
        <v>62</v>
      </c>
      <c r="V3421">
        <v>65</v>
      </c>
      <c r="W3421">
        <v>8.9</v>
      </c>
    </row>
    <row r="3422" spans="1:23" x14ac:dyDescent="0.25">
      <c r="A3422">
        <v>10</v>
      </c>
      <c r="B3422" t="s">
        <v>34</v>
      </c>
      <c r="C3422" s="1">
        <v>45079</v>
      </c>
      <c r="D3422" t="s">
        <v>71</v>
      </c>
      <c r="E3422">
        <v>0</v>
      </c>
      <c r="F3422">
        <v>60</v>
      </c>
      <c r="G3422" t="str">
        <f t="shared" si="61"/>
        <v>41-60</v>
      </c>
      <c r="H3422" t="s">
        <v>35</v>
      </c>
      <c r="I3422" t="s">
        <v>31</v>
      </c>
      <c r="J3422" t="s">
        <v>28</v>
      </c>
      <c r="K3422" t="s">
        <v>33</v>
      </c>
      <c r="L3422">
        <v>1</v>
      </c>
      <c r="M3422">
        <v>1</v>
      </c>
      <c r="N3422">
        <v>4.5999999999999996</v>
      </c>
      <c r="O3422">
        <v>8</v>
      </c>
      <c r="P3422">
        <v>6</v>
      </c>
      <c r="Q3422">
        <v>6</v>
      </c>
      <c r="R3422">
        <v>831752</v>
      </c>
      <c r="S3422">
        <f>Table1[[#This Row],[Revenue]]-Table1[[#This Row],[Operating_Costs]]</f>
        <v>290129</v>
      </c>
      <c r="T3422">
        <v>541623</v>
      </c>
      <c r="U3422">
        <v>68</v>
      </c>
      <c r="V3422">
        <v>66</v>
      </c>
      <c r="W3422">
        <v>8.6</v>
      </c>
    </row>
    <row r="3423" spans="1:23" x14ac:dyDescent="0.25">
      <c r="A3423">
        <v>10</v>
      </c>
      <c r="B3423" t="s">
        <v>34</v>
      </c>
      <c r="C3423" s="1">
        <v>44669</v>
      </c>
      <c r="D3423" t="s">
        <v>71</v>
      </c>
      <c r="E3423">
        <v>0</v>
      </c>
      <c r="F3423">
        <v>62</v>
      </c>
      <c r="G3423" t="str">
        <f t="shared" si="61"/>
        <v>61-80</v>
      </c>
      <c r="H3423" t="s">
        <v>23</v>
      </c>
      <c r="I3423" t="s">
        <v>50</v>
      </c>
      <c r="J3423" t="s">
        <v>51</v>
      </c>
      <c r="K3423" t="s">
        <v>38</v>
      </c>
      <c r="L3423">
        <v>1</v>
      </c>
      <c r="M3423">
        <v>1</v>
      </c>
      <c r="N3423">
        <v>1</v>
      </c>
      <c r="O3423">
        <v>7.9</v>
      </c>
      <c r="P3423">
        <v>6</v>
      </c>
      <c r="Q3423">
        <v>6</v>
      </c>
      <c r="R3423">
        <v>936634</v>
      </c>
      <c r="S3423">
        <f>Table1[[#This Row],[Revenue]]-Table1[[#This Row],[Operating_Costs]]</f>
        <v>392588</v>
      </c>
      <c r="T3423">
        <v>544046</v>
      </c>
      <c r="U3423">
        <v>60</v>
      </c>
      <c r="V3423">
        <v>66</v>
      </c>
      <c r="W3423">
        <v>7</v>
      </c>
    </row>
    <row r="3424" spans="1:23" x14ac:dyDescent="0.25">
      <c r="A3424">
        <v>10</v>
      </c>
      <c r="B3424" t="s">
        <v>34</v>
      </c>
      <c r="C3424" s="1">
        <v>44792</v>
      </c>
      <c r="D3424" t="s">
        <v>71</v>
      </c>
      <c r="E3424">
        <v>0</v>
      </c>
      <c r="F3424">
        <v>57</v>
      </c>
      <c r="G3424" t="str">
        <f t="shared" si="61"/>
        <v>41-60</v>
      </c>
      <c r="H3424" t="s">
        <v>35</v>
      </c>
      <c r="I3424" t="s">
        <v>61</v>
      </c>
      <c r="J3424" t="s">
        <v>62</v>
      </c>
      <c r="K3424" t="s">
        <v>33</v>
      </c>
      <c r="L3424">
        <v>1</v>
      </c>
      <c r="M3424">
        <v>1</v>
      </c>
      <c r="N3424">
        <v>4</v>
      </c>
      <c r="O3424">
        <v>9.1</v>
      </c>
      <c r="P3424">
        <v>7</v>
      </c>
      <c r="Q3424">
        <v>4</v>
      </c>
      <c r="R3424">
        <v>815169</v>
      </c>
      <c r="S3424">
        <f>Table1[[#This Row],[Revenue]]-Table1[[#This Row],[Operating_Costs]]</f>
        <v>279432</v>
      </c>
      <c r="T3424">
        <v>535737</v>
      </c>
      <c r="U3424">
        <v>69</v>
      </c>
      <c r="V3424">
        <v>65</v>
      </c>
      <c r="W3424">
        <v>7.2</v>
      </c>
    </row>
    <row r="3425" spans="1:23" x14ac:dyDescent="0.25">
      <c r="A3425">
        <v>10</v>
      </c>
      <c r="B3425" t="s">
        <v>34</v>
      </c>
      <c r="C3425" s="1">
        <v>45374</v>
      </c>
      <c r="D3425" t="s">
        <v>71</v>
      </c>
      <c r="E3425">
        <v>0</v>
      </c>
      <c r="F3425">
        <v>36</v>
      </c>
      <c r="G3425" t="str">
        <f t="shared" si="61"/>
        <v>21-40</v>
      </c>
      <c r="H3425" t="s">
        <v>23</v>
      </c>
      <c r="I3425" t="s">
        <v>61</v>
      </c>
      <c r="J3425" t="s">
        <v>62</v>
      </c>
      <c r="K3425" t="s">
        <v>42</v>
      </c>
      <c r="L3425">
        <v>1</v>
      </c>
      <c r="M3425">
        <v>1</v>
      </c>
      <c r="N3425">
        <v>3.3</v>
      </c>
      <c r="O3425">
        <v>8.4</v>
      </c>
      <c r="P3425">
        <v>7</v>
      </c>
      <c r="Q3425">
        <v>4</v>
      </c>
      <c r="R3425">
        <v>978855</v>
      </c>
      <c r="S3425">
        <f>Table1[[#This Row],[Revenue]]-Table1[[#This Row],[Operating_Costs]]</f>
        <v>404897</v>
      </c>
      <c r="T3425">
        <v>573958</v>
      </c>
      <c r="U3425">
        <v>60</v>
      </c>
      <c r="V3425">
        <v>64</v>
      </c>
      <c r="W3425">
        <v>14.2</v>
      </c>
    </row>
    <row r="3426" spans="1:23" x14ac:dyDescent="0.25">
      <c r="A3426">
        <v>10</v>
      </c>
      <c r="B3426" t="s">
        <v>34</v>
      </c>
      <c r="C3426" s="1">
        <v>44677</v>
      </c>
      <c r="D3426" t="s">
        <v>71</v>
      </c>
      <c r="E3426">
        <v>0</v>
      </c>
      <c r="F3426">
        <v>86</v>
      </c>
      <c r="G3426" t="str">
        <f t="shared" si="61"/>
        <v>81+</v>
      </c>
      <c r="H3426" t="s">
        <v>35</v>
      </c>
      <c r="I3426" t="s">
        <v>31</v>
      </c>
      <c r="J3426" t="s">
        <v>28</v>
      </c>
      <c r="K3426" t="s">
        <v>26</v>
      </c>
      <c r="L3426">
        <v>1</v>
      </c>
      <c r="M3426">
        <v>1</v>
      </c>
      <c r="N3426">
        <v>1.8</v>
      </c>
      <c r="O3426">
        <v>7.6</v>
      </c>
      <c r="P3426">
        <v>6</v>
      </c>
      <c r="Q3426">
        <v>5</v>
      </c>
      <c r="R3426">
        <v>887356</v>
      </c>
      <c r="S3426">
        <f>Table1[[#This Row],[Revenue]]-Table1[[#This Row],[Operating_Costs]]</f>
        <v>349733</v>
      </c>
      <c r="T3426">
        <v>537623</v>
      </c>
      <c r="U3426">
        <v>67</v>
      </c>
      <c r="V3426">
        <v>66</v>
      </c>
      <c r="W3426">
        <v>9.6</v>
      </c>
    </row>
    <row r="3427" spans="1:23" x14ac:dyDescent="0.25">
      <c r="A3427">
        <v>10</v>
      </c>
      <c r="B3427" t="s">
        <v>34</v>
      </c>
      <c r="C3427" s="1">
        <v>45225</v>
      </c>
      <c r="D3427" t="s">
        <v>71</v>
      </c>
      <c r="E3427">
        <v>0</v>
      </c>
      <c r="F3427">
        <v>46</v>
      </c>
      <c r="G3427" t="str">
        <f t="shared" si="61"/>
        <v>41-60</v>
      </c>
      <c r="H3427" t="s">
        <v>35</v>
      </c>
      <c r="I3427" t="s">
        <v>46</v>
      </c>
      <c r="J3427" t="s">
        <v>47</v>
      </c>
      <c r="K3427" t="s">
        <v>42</v>
      </c>
      <c r="L3427">
        <v>1</v>
      </c>
      <c r="M3427">
        <v>1</v>
      </c>
      <c r="N3427">
        <v>2.7</v>
      </c>
      <c r="O3427">
        <v>10</v>
      </c>
      <c r="P3427">
        <v>4</v>
      </c>
      <c r="Q3427">
        <v>5</v>
      </c>
      <c r="R3427">
        <v>922238</v>
      </c>
      <c r="S3427">
        <f>Table1[[#This Row],[Revenue]]-Table1[[#This Row],[Operating_Costs]]</f>
        <v>284340</v>
      </c>
      <c r="T3427">
        <v>637898</v>
      </c>
      <c r="U3427">
        <v>51</v>
      </c>
      <c r="V3427">
        <v>60</v>
      </c>
      <c r="W3427">
        <v>36.299999999999997</v>
      </c>
    </row>
    <row r="3428" spans="1:23" x14ac:dyDescent="0.25">
      <c r="A3428">
        <v>10</v>
      </c>
      <c r="B3428" t="s">
        <v>34</v>
      </c>
      <c r="C3428" s="1">
        <v>44937</v>
      </c>
      <c r="D3428" t="s">
        <v>71</v>
      </c>
      <c r="E3428">
        <v>0</v>
      </c>
      <c r="F3428">
        <v>63</v>
      </c>
      <c r="G3428" t="str">
        <f t="shared" si="61"/>
        <v>61-80</v>
      </c>
      <c r="H3428" t="s">
        <v>35</v>
      </c>
      <c r="I3428" t="s">
        <v>58</v>
      </c>
      <c r="J3428" t="s">
        <v>59</v>
      </c>
      <c r="K3428" t="s">
        <v>26</v>
      </c>
      <c r="L3428">
        <v>1</v>
      </c>
      <c r="M3428">
        <v>1</v>
      </c>
      <c r="N3428">
        <v>4.8</v>
      </c>
      <c r="O3428">
        <v>7.8</v>
      </c>
      <c r="P3428">
        <v>6</v>
      </c>
      <c r="Q3428">
        <v>5</v>
      </c>
      <c r="R3428">
        <v>972461</v>
      </c>
      <c r="S3428">
        <f>Table1[[#This Row],[Revenue]]-Table1[[#This Row],[Operating_Costs]]</f>
        <v>437994</v>
      </c>
      <c r="T3428">
        <v>534467</v>
      </c>
      <c r="U3428">
        <v>52</v>
      </c>
      <c r="V3428">
        <v>56</v>
      </c>
      <c r="W3428">
        <v>12.6</v>
      </c>
    </row>
    <row r="3429" spans="1:23" x14ac:dyDescent="0.25">
      <c r="A3429">
        <v>10</v>
      </c>
      <c r="B3429" t="s">
        <v>34</v>
      </c>
      <c r="C3429" s="1">
        <v>44410</v>
      </c>
      <c r="D3429" t="s">
        <v>71</v>
      </c>
      <c r="E3429">
        <v>0</v>
      </c>
      <c r="F3429">
        <v>45</v>
      </c>
      <c r="G3429" t="str">
        <f t="shared" si="61"/>
        <v>41-60</v>
      </c>
      <c r="H3429" t="s">
        <v>23</v>
      </c>
      <c r="I3429" t="s">
        <v>61</v>
      </c>
      <c r="J3429" t="s">
        <v>62</v>
      </c>
      <c r="K3429" t="s">
        <v>38</v>
      </c>
      <c r="L3429">
        <v>1</v>
      </c>
      <c r="M3429">
        <v>1</v>
      </c>
      <c r="N3429">
        <v>6.8</v>
      </c>
      <c r="O3429">
        <v>9.4</v>
      </c>
      <c r="P3429">
        <v>3</v>
      </c>
      <c r="Q3429">
        <v>3</v>
      </c>
      <c r="R3429">
        <v>879972</v>
      </c>
      <c r="S3429">
        <f>Table1[[#This Row],[Revenue]]-Table1[[#This Row],[Operating_Costs]]</f>
        <v>266234</v>
      </c>
      <c r="T3429">
        <v>613738</v>
      </c>
      <c r="U3429">
        <v>53</v>
      </c>
      <c r="V3429">
        <v>54</v>
      </c>
      <c r="W3429">
        <v>13.7</v>
      </c>
    </row>
    <row r="3430" spans="1:23" x14ac:dyDescent="0.25">
      <c r="A3430">
        <v>10</v>
      </c>
      <c r="B3430" t="s">
        <v>34</v>
      </c>
      <c r="C3430" s="1">
        <v>45042</v>
      </c>
      <c r="D3430" t="s">
        <v>71</v>
      </c>
      <c r="E3430">
        <v>0</v>
      </c>
      <c r="F3430">
        <v>79</v>
      </c>
      <c r="G3430" t="str">
        <f t="shared" si="61"/>
        <v>61-80</v>
      </c>
      <c r="H3430" t="s">
        <v>35</v>
      </c>
      <c r="I3430" t="s">
        <v>46</v>
      </c>
      <c r="J3430" t="s">
        <v>47</v>
      </c>
      <c r="K3430" t="s">
        <v>29</v>
      </c>
      <c r="L3430">
        <v>1</v>
      </c>
      <c r="M3430">
        <v>1</v>
      </c>
      <c r="N3430">
        <v>6</v>
      </c>
      <c r="O3430">
        <v>7.8</v>
      </c>
      <c r="P3430">
        <v>6</v>
      </c>
      <c r="Q3430">
        <v>4</v>
      </c>
      <c r="R3430">
        <v>932972</v>
      </c>
      <c r="S3430">
        <f>Table1[[#This Row],[Revenue]]-Table1[[#This Row],[Operating_Costs]]</f>
        <v>302374</v>
      </c>
      <c r="T3430">
        <v>630598</v>
      </c>
      <c r="U3430">
        <v>67</v>
      </c>
      <c r="V3430">
        <v>56</v>
      </c>
      <c r="W3430">
        <v>36</v>
      </c>
    </row>
    <row r="3431" spans="1:23" x14ac:dyDescent="0.25">
      <c r="A3431">
        <v>9</v>
      </c>
      <c r="B3431" t="s">
        <v>44</v>
      </c>
      <c r="C3431" s="1">
        <v>45270</v>
      </c>
      <c r="D3431" t="s">
        <v>71</v>
      </c>
      <c r="E3431">
        <v>0</v>
      </c>
      <c r="F3431">
        <v>39</v>
      </c>
      <c r="G3431" t="str">
        <f t="shared" si="61"/>
        <v>21-40</v>
      </c>
      <c r="H3431" t="s">
        <v>35</v>
      </c>
      <c r="I3431" t="s">
        <v>60</v>
      </c>
      <c r="J3431" t="s">
        <v>59</v>
      </c>
      <c r="K3431" t="s">
        <v>38</v>
      </c>
      <c r="L3431">
        <v>1</v>
      </c>
      <c r="M3431">
        <v>1</v>
      </c>
      <c r="N3431">
        <v>4.5</v>
      </c>
      <c r="O3431">
        <v>9.1</v>
      </c>
      <c r="P3431">
        <v>4</v>
      </c>
      <c r="Q3431">
        <v>5</v>
      </c>
      <c r="R3431">
        <v>515250</v>
      </c>
      <c r="S3431">
        <f>Table1[[#This Row],[Revenue]]-Table1[[#This Row],[Operating_Costs]]</f>
        <v>124328</v>
      </c>
      <c r="T3431">
        <v>390922</v>
      </c>
      <c r="U3431">
        <v>37</v>
      </c>
      <c r="V3431">
        <v>63</v>
      </c>
      <c r="W3431">
        <v>8.1</v>
      </c>
    </row>
    <row r="3432" spans="1:23" x14ac:dyDescent="0.25">
      <c r="A3432">
        <v>9</v>
      </c>
      <c r="B3432" t="s">
        <v>44</v>
      </c>
      <c r="C3432" s="1">
        <v>45240</v>
      </c>
      <c r="D3432" t="s">
        <v>71</v>
      </c>
      <c r="E3432">
        <v>0</v>
      </c>
      <c r="F3432">
        <v>54</v>
      </c>
      <c r="G3432" t="str">
        <f t="shared" si="61"/>
        <v>41-60</v>
      </c>
      <c r="H3432" t="s">
        <v>23</v>
      </c>
      <c r="I3432" t="s">
        <v>64</v>
      </c>
      <c r="J3432" t="s">
        <v>65</v>
      </c>
      <c r="K3432" t="s">
        <v>26</v>
      </c>
      <c r="L3432">
        <v>1</v>
      </c>
      <c r="M3432">
        <v>1</v>
      </c>
      <c r="N3432">
        <v>4.4000000000000004</v>
      </c>
      <c r="O3432">
        <v>8.9</v>
      </c>
      <c r="P3432">
        <v>6</v>
      </c>
      <c r="Q3432">
        <v>7</v>
      </c>
      <c r="R3432">
        <v>587485</v>
      </c>
      <c r="S3432">
        <f>Table1[[#This Row],[Revenue]]-Table1[[#This Row],[Operating_Costs]]</f>
        <v>186024</v>
      </c>
      <c r="T3432">
        <v>401461</v>
      </c>
      <c r="U3432">
        <v>39</v>
      </c>
      <c r="V3432">
        <v>57</v>
      </c>
      <c r="W3432">
        <v>13.2</v>
      </c>
    </row>
    <row r="3433" spans="1:23" x14ac:dyDescent="0.25">
      <c r="A3433">
        <v>9</v>
      </c>
      <c r="B3433" t="s">
        <v>44</v>
      </c>
      <c r="C3433" s="1">
        <v>44621</v>
      </c>
      <c r="D3433" t="s">
        <v>71</v>
      </c>
      <c r="E3433">
        <v>0</v>
      </c>
      <c r="F3433">
        <v>86</v>
      </c>
      <c r="G3433" t="str">
        <f t="shared" si="61"/>
        <v>81+</v>
      </c>
      <c r="H3433" t="s">
        <v>23</v>
      </c>
      <c r="I3433" t="s">
        <v>24</v>
      </c>
      <c r="J3433" t="s">
        <v>25</v>
      </c>
      <c r="K3433" t="s">
        <v>38</v>
      </c>
      <c r="L3433">
        <v>1</v>
      </c>
      <c r="M3433">
        <v>1</v>
      </c>
      <c r="N3433">
        <v>2.9</v>
      </c>
      <c r="O3433">
        <v>9.5</v>
      </c>
      <c r="P3433">
        <v>6</v>
      </c>
      <c r="Q3433">
        <v>6</v>
      </c>
      <c r="R3433">
        <v>570191</v>
      </c>
      <c r="S3433">
        <f>Table1[[#This Row],[Revenue]]-Table1[[#This Row],[Operating_Costs]]</f>
        <v>137619</v>
      </c>
      <c r="T3433">
        <v>432572</v>
      </c>
      <c r="U3433">
        <v>39</v>
      </c>
      <c r="V3433">
        <v>56</v>
      </c>
      <c r="W3433">
        <v>8.6</v>
      </c>
    </row>
    <row r="3434" spans="1:23" x14ac:dyDescent="0.25">
      <c r="A3434">
        <v>9</v>
      </c>
      <c r="B3434" t="s">
        <v>44</v>
      </c>
      <c r="C3434" s="1">
        <v>45129</v>
      </c>
      <c r="D3434" t="s">
        <v>71</v>
      </c>
      <c r="E3434">
        <v>0</v>
      </c>
      <c r="F3434">
        <v>27</v>
      </c>
      <c r="G3434" t="str">
        <f t="shared" si="61"/>
        <v>21-40</v>
      </c>
      <c r="H3434" t="s">
        <v>35</v>
      </c>
      <c r="I3434" t="s">
        <v>27</v>
      </c>
      <c r="J3434" t="s">
        <v>28</v>
      </c>
      <c r="K3434" t="s">
        <v>29</v>
      </c>
      <c r="L3434">
        <v>1</v>
      </c>
      <c r="M3434">
        <v>1</v>
      </c>
      <c r="N3434">
        <v>4.7</v>
      </c>
      <c r="O3434">
        <v>7.8</v>
      </c>
      <c r="P3434">
        <v>6</v>
      </c>
      <c r="Q3434">
        <v>6</v>
      </c>
      <c r="R3434">
        <v>513367</v>
      </c>
      <c r="S3434">
        <f>Table1[[#This Row],[Revenue]]-Table1[[#This Row],[Operating_Costs]]</f>
        <v>86374</v>
      </c>
      <c r="T3434">
        <v>426993</v>
      </c>
      <c r="U3434">
        <v>37</v>
      </c>
      <c r="V3434">
        <v>58</v>
      </c>
      <c r="W3434">
        <v>6.8</v>
      </c>
    </row>
    <row r="3435" spans="1:23" x14ac:dyDescent="0.25">
      <c r="A3435">
        <v>10</v>
      </c>
      <c r="B3435" t="s">
        <v>34</v>
      </c>
      <c r="C3435" s="1">
        <v>45618</v>
      </c>
      <c r="D3435" t="s">
        <v>71</v>
      </c>
      <c r="E3435">
        <v>0</v>
      </c>
      <c r="F3435">
        <v>33</v>
      </c>
      <c r="G3435" t="str">
        <f t="shared" si="61"/>
        <v>21-40</v>
      </c>
      <c r="H3435" t="s">
        <v>23</v>
      </c>
      <c r="I3435" t="s">
        <v>55</v>
      </c>
      <c r="J3435" t="s">
        <v>56</v>
      </c>
      <c r="K3435" t="s">
        <v>29</v>
      </c>
      <c r="L3435">
        <v>1</v>
      </c>
      <c r="M3435">
        <v>1</v>
      </c>
      <c r="N3435">
        <v>3.2</v>
      </c>
      <c r="O3435">
        <v>8.6999999999999993</v>
      </c>
      <c r="P3435">
        <v>7</v>
      </c>
      <c r="Q3435">
        <v>3</v>
      </c>
      <c r="R3435">
        <v>915530</v>
      </c>
      <c r="S3435">
        <f>Table1[[#This Row],[Revenue]]-Table1[[#This Row],[Operating_Costs]]</f>
        <v>336908</v>
      </c>
      <c r="T3435">
        <v>578622</v>
      </c>
      <c r="U3435">
        <v>63</v>
      </c>
      <c r="V3435">
        <v>59</v>
      </c>
      <c r="W3435">
        <v>7.9</v>
      </c>
    </row>
    <row r="3436" spans="1:23" x14ac:dyDescent="0.25">
      <c r="A3436">
        <v>10</v>
      </c>
      <c r="B3436" t="s">
        <v>34</v>
      </c>
      <c r="C3436" s="1">
        <v>44296</v>
      </c>
      <c r="D3436" t="s">
        <v>71</v>
      </c>
      <c r="E3436">
        <v>0</v>
      </c>
      <c r="F3436">
        <v>41</v>
      </c>
      <c r="G3436" t="str">
        <f t="shared" si="61"/>
        <v>41-60</v>
      </c>
      <c r="H3436" t="s">
        <v>35</v>
      </c>
      <c r="I3436" t="s">
        <v>36</v>
      </c>
      <c r="J3436" t="s">
        <v>37</v>
      </c>
      <c r="K3436" t="s">
        <v>33</v>
      </c>
      <c r="L3436">
        <v>1</v>
      </c>
      <c r="M3436">
        <v>1</v>
      </c>
      <c r="N3436">
        <v>1.7</v>
      </c>
      <c r="O3436">
        <v>7.2</v>
      </c>
      <c r="P3436">
        <v>3</v>
      </c>
      <c r="Q3436">
        <v>7</v>
      </c>
      <c r="R3436">
        <v>814545</v>
      </c>
      <c r="S3436">
        <f>Table1[[#This Row],[Revenue]]-Table1[[#This Row],[Operating_Costs]]</f>
        <v>192346</v>
      </c>
      <c r="T3436">
        <v>622199</v>
      </c>
      <c r="U3436">
        <v>63</v>
      </c>
      <c r="V3436">
        <v>60</v>
      </c>
      <c r="W3436">
        <v>12.1</v>
      </c>
    </row>
    <row r="3437" spans="1:23" x14ac:dyDescent="0.25">
      <c r="A3437">
        <v>10</v>
      </c>
      <c r="B3437" t="s">
        <v>34</v>
      </c>
      <c r="C3437" s="1">
        <v>44883</v>
      </c>
      <c r="D3437" t="s">
        <v>71</v>
      </c>
      <c r="E3437">
        <v>0</v>
      </c>
      <c r="F3437">
        <v>43</v>
      </c>
      <c r="G3437" t="str">
        <f t="shared" si="61"/>
        <v>41-60</v>
      </c>
      <c r="H3437" t="s">
        <v>23</v>
      </c>
      <c r="I3437" t="s">
        <v>24</v>
      </c>
      <c r="J3437" t="s">
        <v>25</v>
      </c>
      <c r="K3437" t="s">
        <v>29</v>
      </c>
      <c r="L3437">
        <v>1</v>
      </c>
      <c r="M3437">
        <v>1</v>
      </c>
      <c r="N3437">
        <v>6</v>
      </c>
      <c r="O3437">
        <v>7</v>
      </c>
      <c r="P3437">
        <v>6</v>
      </c>
      <c r="Q3437">
        <v>7</v>
      </c>
      <c r="R3437">
        <v>884801</v>
      </c>
      <c r="S3437">
        <f>Table1[[#This Row],[Revenue]]-Table1[[#This Row],[Operating_Costs]]</f>
        <v>369285</v>
      </c>
      <c r="T3437">
        <v>515516</v>
      </c>
      <c r="U3437">
        <v>66</v>
      </c>
      <c r="V3437">
        <v>57</v>
      </c>
      <c r="W3437">
        <v>13.6</v>
      </c>
    </row>
    <row r="3438" spans="1:23" x14ac:dyDescent="0.25">
      <c r="A3438">
        <v>10</v>
      </c>
      <c r="B3438" t="s">
        <v>34</v>
      </c>
      <c r="C3438" s="1">
        <v>45655</v>
      </c>
      <c r="D3438" t="s">
        <v>71</v>
      </c>
      <c r="E3438">
        <v>0</v>
      </c>
      <c r="F3438">
        <v>27</v>
      </c>
      <c r="G3438" t="str">
        <f t="shared" si="61"/>
        <v>21-40</v>
      </c>
      <c r="H3438" t="s">
        <v>23</v>
      </c>
      <c r="I3438" t="s">
        <v>46</v>
      </c>
      <c r="J3438" t="s">
        <v>47</v>
      </c>
      <c r="K3438" t="s">
        <v>33</v>
      </c>
      <c r="L3438">
        <v>1</v>
      </c>
      <c r="M3438">
        <v>1</v>
      </c>
      <c r="N3438">
        <v>5</v>
      </c>
      <c r="O3438">
        <v>8.6999999999999993</v>
      </c>
      <c r="P3438">
        <v>7</v>
      </c>
      <c r="Q3438">
        <v>5</v>
      </c>
      <c r="R3438">
        <v>965165</v>
      </c>
      <c r="S3438">
        <f>Table1[[#This Row],[Revenue]]-Table1[[#This Row],[Operating_Costs]]</f>
        <v>296696</v>
      </c>
      <c r="T3438">
        <v>668469</v>
      </c>
      <c r="U3438">
        <v>69</v>
      </c>
      <c r="V3438">
        <v>57</v>
      </c>
      <c r="W3438">
        <v>14.9</v>
      </c>
    </row>
    <row r="3439" spans="1:23" x14ac:dyDescent="0.25">
      <c r="A3439">
        <v>10</v>
      </c>
      <c r="B3439" t="s">
        <v>34</v>
      </c>
      <c r="C3439" s="1">
        <v>45406</v>
      </c>
      <c r="D3439" t="s">
        <v>71</v>
      </c>
      <c r="E3439">
        <v>0</v>
      </c>
      <c r="F3439">
        <v>46</v>
      </c>
      <c r="G3439" t="str">
        <f t="shared" si="61"/>
        <v>41-60</v>
      </c>
      <c r="H3439" t="s">
        <v>35</v>
      </c>
      <c r="I3439" t="s">
        <v>60</v>
      </c>
      <c r="J3439" t="s">
        <v>59</v>
      </c>
      <c r="K3439" t="s">
        <v>42</v>
      </c>
      <c r="L3439">
        <v>1</v>
      </c>
      <c r="M3439">
        <v>1</v>
      </c>
      <c r="N3439">
        <v>6.6</v>
      </c>
      <c r="O3439">
        <v>9.6999999999999993</v>
      </c>
      <c r="P3439">
        <v>6</v>
      </c>
      <c r="Q3439">
        <v>7</v>
      </c>
      <c r="R3439">
        <v>820139</v>
      </c>
      <c r="S3439">
        <f>Table1[[#This Row],[Revenue]]-Table1[[#This Row],[Operating_Costs]]</f>
        <v>245507</v>
      </c>
      <c r="T3439">
        <v>574632</v>
      </c>
      <c r="U3439">
        <v>67</v>
      </c>
      <c r="V3439">
        <v>54</v>
      </c>
      <c r="W3439">
        <v>36.799999999999997</v>
      </c>
    </row>
    <row r="3440" spans="1:23" x14ac:dyDescent="0.25">
      <c r="A3440">
        <v>10</v>
      </c>
      <c r="B3440" t="s">
        <v>34</v>
      </c>
      <c r="C3440" s="1">
        <v>44343</v>
      </c>
      <c r="D3440" t="s">
        <v>71</v>
      </c>
      <c r="E3440">
        <v>0</v>
      </c>
      <c r="F3440">
        <v>31</v>
      </c>
      <c r="G3440" t="str">
        <f t="shared" si="61"/>
        <v>21-40</v>
      </c>
      <c r="H3440" t="s">
        <v>35</v>
      </c>
      <c r="I3440" t="s">
        <v>64</v>
      </c>
      <c r="J3440" t="s">
        <v>65</v>
      </c>
      <c r="K3440" t="s">
        <v>33</v>
      </c>
      <c r="L3440">
        <v>1</v>
      </c>
      <c r="M3440">
        <v>1</v>
      </c>
      <c r="N3440">
        <v>2.8</v>
      </c>
      <c r="O3440">
        <v>8.4</v>
      </c>
      <c r="P3440">
        <v>3</v>
      </c>
      <c r="Q3440">
        <v>6</v>
      </c>
      <c r="R3440">
        <v>959210</v>
      </c>
      <c r="S3440">
        <f>Table1[[#This Row],[Revenue]]-Table1[[#This Row],[Operating_Costs]]</f>
        <v>431374</v>
      </c>
      <c r="T3440">
        <v>527836</v>
      </c>
      <c r="U3440">
        <v>55</v>
      </c>
      <c r="V3440">
        <v>64</v>
      </c>
      <c r="W3440">
        <v>7</v>
      </c>
    </row>
    <row r="3441" spans="1:23" x14ac:dyDescent="0.25">
      <c r="A3441">
        <v>10</v>
      </c>
      <c r="B3441" t="s">
        <v>34</v>
      </c>
      <c r="C3441" s="1">
        <v>45603</v>
      </c>
      <c r="D3441" t="s">
        <v>71</v>
      </c>
      <c r="E3441">
        <v>0</v>
      </c>
      <c r="F3441">
        <v>31</v>
      </c>
      <c r="G3441" t="str">
        <f t="shared" si="61"/>
        <v>21-40</v>
      </c>
      <c r="H3441" t="s">
        <v>35</v>
      </c>
      <c r="I3441" t="s">
        <v>36</v>
      </c>
      <c r="J3441" t="s">
        <v>37</v>
      </c>
      <c r="K3441" t="s">
        <v>26</v>
      </c>
      <c r="L3441">
        <v>1</v>
      </c>
      <c r="M3441">
        <v>1</v>
      </c>
      <c r="N3441">
        <v>5.8</v>
      </c>
      <c r="O3441">
        <v>8</v>
      </c>
      <c r="P3441">
        <v>6</v>
      </c>
      <c r="Q3441">
        <v>5</v>
      </c>
      <c r="R3441">
        <v>917883</v>
      </c>
      <c r="S3441">
        <f>Table1[[#This Row],[Revenue]]-Table1[[#This Row],[Operating_Costs]]</f>
        <v>335751</v>
      </c>
      <c r="T3441">
        <v>582132</v>
      </c>
      <c r="U3441">
        <v>70</v>
      </c>
      <c r="V3441">
        <v>66</v>
      </c>
      <c r="W3441">
        <v>5.8</v>
      </c>
    </row>
    <row r="3442" spans="1:23" x14ac:dyDescent="0.25">
      <c r="A3442">
        <v>10</v>
      </c>
      <c r="B3442" t="s">
        <v>34</v>
      </c>
      <c r="C3442" s="1">
        <v>45084</v>
      </c>
      <c r="D3442" t="s">
        <v>71</v>
      </c>
      <c r="E3442">
        <v>0</v>
      </c>
      <c r="F3442">
        <v>22</v>
      </c>
      <c r="G3442" t="str">
        <f t="shared" si="61"/>
        <v>21-40</v>
      </c>
      <c r="H3442" t="s">
        <v>23</v>
      </c>
      <c r="I3442" t="s">
        <v>55</v>
      </c>
      <c r="J3442" t="s">
        <v>56</v>
      </c>
      <c r="K3442" t="s">
        <v>26</v>
      </c>
      <c r="L3442">
        <v>1</v>
      </c>
      <c r="M3442">
        <v>1</v>
      </c>
      <c r="N3442">
        <v>6.3</v>
      </c>
      <c r="O3442">
        <v>8</v>
      </c>
      <c r="P3442">
        <v>7</v>
      </c>
      <c r="Q3442">
        <v>5</v>
      </c>
      <c r="R3442">
        <v>947575</v>
      </c>
      <c r="S3442">
        <f>Table1[[#This Row],[Revenue]]-Table1[[#This Row],[Operating_Costs]]</f>
        <v>248557</v>
      </c>
      <c r="T3442">
        <v>699018</v>
      </c>
      <c r="U3442">
        <v>50</v>
      </c>
      <c r="V3442">
        <v>66</v>
      </c>
      <c r="W3442">
        <v>8.6999999999999993</v>
      </c>
    </row>
    <row r="3443" spans="1:23" x14ac:dyDescent="0.25">
      <c r="A3443">
        <v>10</v>
      </c>
      <c r="B3443" t="s">
        <v>34</v>
      </c>
      <c r="C3443" s="1">
        <v>44890</v>
      </c>
      <c r="D3443" t="s">
        <v>71</v>
      </c>
      <c r="E3443">
        <v>0</v>
      </c>
      <c r="F3443">
        <v>37</v>
      </c>
      <c r="G3443" t="str">
        <f t="shared" si="61"/>
        <v>21-40</v>
      </c>
      <c r="H3443" t="s">
        <v>35</v>
      </c>
      <c r="I3443" t="s">
        <v>31</v>
      </c>
      <c r="J3443" t="s">
        <v>28</v>
      </c>
      <c r="K3443" t="s">
        <v>29</v>
      </c>
      <c r="L3443">
        <v>1</v>
      </c>
      <c r="M3443">
        <v>1</v>
      </c>
      <c r="N3443">
        <v>3.9</v>
      </c>
      <c r="O3443">
        <v>9.8000000000000007</v>
      </c>
      <c r="P3443">
        <v>4</v>
      </c>
      <c r="Q3443">
        <v>7</v>
      </c>
      <c r="R3443">
        <v>833106</v>
      </c>
      <c r="S3443">
        <f>Table1[[#This Row],[Revenue]]-Table1[[#This Row],[Operating_Costs]]</f>
        <v>160541</v>
      </c>
      <c r="T3443">
        <v>672565</v>
      </c>
      <c r="U3443">
        <v>57</v>
      </c>
      <c r="V3443">
        <v>64</v>
      </c>
      <c r="W3443">
        <v>36.700000000000003</v>
      </c>
    </row>
    <row r="3444" spans="1:23" x14ac:dyDescent="0.25">
      <c r="A3444">
        <v>10</v>
      </c>
      <c r="B3444" t="s">
        <v>34</v>
      </c>
      <c r="C3444" s="1">
        <v>45095</v>
      </c>
      <c r="D3444" t="s">
        <v>71</v>
      </c>
      <c r="E3444">
        <v>0</v>
      </c>
      <c r="F3444">
        <v>54</v>
      </c>
      <c r="G3444" t="str">
        <f t="shared" si="61"/>
        <v>41-60</v>
      </c>
      <c r="H3444" t="s">
        <v>35</v>
      </c>
      <c r="I3444" t="s">
        <v>40</v>
      </c>
      <c r="J3444" t="s">
        <v>41</v>
      </c>
      <c r="K3444" t="s">
        <v>29</v>
      </c>
      <c r="L3444">
        <v>1</v>
      </c>
      <c r="M3444">
        <v>1</v>
      </c>
      <c r="N3444">
        <v>1</v>
      </c>
      <c r="O3444">
        <v>7.1</v>
      </c>
      <c r="P3444">
        <v>4</v>
      </c>
      <c r="Q3444">
        <v>6</v>
      </c>
      <c r="R3444">
        <v>964882</v>
      </c>
      <c r="S3444">
        <f>Table1[[#This Row],[Revenue]]-Table1[[#This Row],[Operating_Costs]]</f>
        <v>358246</v>
      </c>
      <c r="T3444">
        <v>606636</v>
      </c>
      <c r="U3444">
        <v>51</v>
      </c>
      <c r="V3444">
        <v>56</v>
      </c>
      <c r="W3444">
        <v>8.1</v>
      </c>
    </row>
    <row r="3445" spans="1:23" x14ac:dyDescent="0.25">
      <c r="A3445">
        <v>10</v>
      </c>
      <c r="B3445" t="s">
        <v>34</v>
      </c>
      <c r="C3445" s="1">
        <v>44418</v>
      </c>
      <c r="D3445" t="s">
        <v>71</v>
      </c>
      <c r="E3445">
        <v>0</v>
      </c>
      <c r="F3445">
        <v>35</v>
      </c>
      <c r="G3445" t="str">
        <f t="shared" si="61"/>
        <v>21-40</v>
      </c>
      <c r="H3445" t="s">
        <v>35</v>
      </c>
      <c r="I3445" t="s">
        <v>61</v>
      </c>
      <c r="J3445" t="s">
        <v>62</v>
      </c>
      <c r="K3445" t="s">
        <v>42</v>
      </c>
      <c r="L3445">
        <v>1</v>
      </c>
      <c r="M3445">
        <v>1</v>
      </c>
      <c r="N3445">
        <v>2.9</v>
      </c>
      <c r="O3445">
        <v>7.9</v>
      </c>
      <c r="P3445">
        <v>3</v>
      </c>
      <c r="Q3445">
        <v>5</v>
      </c>
      <c r="R3445">
        <v>981943</v>
      </c>
      <c r="S3445">
        <f>Table1[[#This Row],[Revenue]]-Table1[[#This Row],[Operating_Costs]]</f>
        <v>445747</v>
      </c>
      <c r="T3445">
        <v>536196</v>
      </c>
      <c r="U3445">
        <v>66</v>
      </c>
      <c r="V3445">
        <v>64</v>
      </c>
      <c r="W3445">
        <v>9.3000000000000007</v>
      </c>
    </row>
    <row r="3446" spans="1:23" x14ac:dyDescent="0.25">
      <c r="A3446">
        <v>10</v>
      </c>
      <c r="B3446" t="s">
        <v>34</v>
      </c>
      <c r="C3446" s="1">
        <v>45067</v>
      </c>
      <c r="D3446" t="s">
        <v>71</v>
      </c>
      <c r="E3446">
        <v>0</v>
      </c>
      <c r="F3446">
        <v>78</v>
      </c>
      <c r="G3446" t="str">
        <f t="shared" si="61"/>
        <v>61-80</v>
      </c>
      <c r="H3446" t="s">
        <v>23</v>
      </c>
      <c r="I3446" t="s">
        <v>43</v>
      </c>
      <c r="J3446" t="s">
        <v>25</v>
      </c>
      <c r="K3446" t="s">
        <v>33</v>
      </c>
      <c r="L3446">
        <v>1</v>
      </c>
      <c r="M3446">
        <v>1</v>
      </c>
      <c r="N3446">
        <v>1.4</v>
      </c>
      <c r="O3446">
        <v>9.3000000000000007</v>
      </c>
      <c r="P3446">
        <v>7</v>
      </c>
      <c r="Q3446">
        <v>7</v>
      </c>
      <c r="R3446">
        <v>947149</v>
      </c>
      <c r="S3446">
        <f>Table1[[#This Row],[Revenue]]-Table1[[#This Row],[Operating_Costs]]</f>
        <v>355218</v>
      </c>
      <c r="T3446">
        <v>591931</v>
      </c>
      <c r="U3446">
        <v>65</v>
      </c>
      <c r="V3446">
        <v>58</v>
      </c>
      <c r="W3446">
        <v>7.4</v>
      </c>
    </row>
    <row r="3447" spans="1:23" x14ac:dyDescent="0.25">
      <c r="A3447">
        <v>10</v>
      </c>
      <c r="B3447" t="s">
        <v>34</v>
      </c>
      <c r="C3447" s="1">
        <v>45103</v>
      </c>
      <c r="D3447" t="s">
        <v>71</v>
      </c>
      <c r="E3447">
        <v>0</v>
      </c>
      <c r="F3447">
        <v>82</v>
      </c>
      <c r="G3447" t="str">
        <f t="shared" si="61"/>
        <v>81+</v>
      </c>
      <c r="H3447" t="s">
        <v>35</v>
      </c>
      <c r="I3447" t="s">
        <v>31</v>
      </c>
      <c r="J3447" t="s">
        <v>28</v>
      </c>
      <c r="K3447" t="s">
        <v>26</v>
      </c>
      <c r="L3447">
        <v>1</v>
      </c>
      <c r="M3447">
        <v>1</v>
      </c>
      <c r="N3447">
        <v>1.2</v>
      </c>
      <c r="O3447">
        <v>7.1</v>
      </c>
      <c r="P3447">
        <v>4</v>
      </c>
      <c r="Q3447">
        <v>5</v>
      </c>
      <c r="R3447">
        <v>888270</v>
      </c>
      <c r="S3447">
        <f>Table1[[#This Row],[Revenue]]-Table1[[#This Row],[Operating_Costs]]</f>
        <v>374641</v>
      </c>
      <c r="T3447">
        <v>513629</v>
      </c>
      <c r="U3447">
        <v>54</v>
      </c>
      <c r="V3447">
        <v>56</v>
      </c>
      <c r="W3447">
        <v>13</v>
      </c>
    </row>
    <row r="3448" spans="1:23" x14ac:dyDescent="0.25">
      <c r="A3448">
        <v>11</v>
      </c>
      <c r="B3448" t="s">
        <v>63</v>
      </c>
      <c r="C3448" s="1">
        <v>45389</v>
      </c>
      <c r="D3448" t="s">
        <v>71</v>
      </c>
      <c r="E3448">
        <v>0</v>
      </c>
      <c r="F3448">
        <v>83</v>
      </c>
      <c r="G3448" t="str">
        <f t="shared" si="61"/>
        <v>81+</v>
      </c>
      <c r="H3448" t="s">
        <v>35</v>
      </c>
      <c r="I3448" t="s">
        <v>61</v>
      </c>
      <c r="J3448" t="s">
        <v>62</v>
      </c>
      <c r="K3448" t="s">
        <v>38</v>
      </c>
      <c r="L3448">
        <v>1</v>
      </c>
      <c r="M3448">
        <v>1</v>
      </c>
      <c r="N3448">
        <v>4.5</v>
      </c>
      <c r="O3448">
        <v>7.8</v>
      </c>
      <c r="P3448">
        <v>3</v>
      </c>
      <c r="Q3448">
        <v>7</v>
      </c>
      <c r="R3448">
        <v>634805</v>
      </c>
      <c r="S3448">
        <f>Table1[[#This Row],[Revenue]]-Table1[[#This Row],[Operating_Costs]]</f>
        <v>186220</v>
      </c>
      <c r="T3448">
        <v>448585</v>
      </c>
      <c r="U3448">
        <v>22</v>
      </c>
      <c r="V3448">
        <v>57</v>
      </c>
      <c r="W3448">
        <v>9.6999999999999993</v>
      </c>
    </row>
    <row r="3449" spans="1:23" x14ac:dyDescent="0.25">
      <c r="A3449">
        <v>11</v>
      </c>
      <c r="B3449" t="s">
        <v>63</v>
      </c>
      <c r="C3449" s="1">
        <v>44871</v>
      </c>
      <c r="D3449" t="s">
        <v>71</v>
      </c>
      <c r="E3449">
        <v>0</v>
      </c>
      <c r="F3449">
        <v>29</v>
      </c>
      <c r="G3449" t="str">
        <f t="shared" si="61"/>
        <v>21-40</v>
      </c>
      <c r="H3449" t="s">
        <v>23</v>
      </c>
      <c r="I3449" t="s">
        <v>58</v>
      </c>
      <c r="J3449" t="s">
        <v>59</v>
      </c>
      <c r="K3449" t="s">
        <v>26</v>
      </c>
      <c r="L3449">
        <v>1</v>
      </c>
      <c r="M3449">
        <v>1</v>
      </c>
      <c r="N3449">
        <v>4.4000000000000004</v>
      </c>
      <c r="O3449">
        <v>7.9</v>
      </c>
      <c r="P3449">
        <v>6</v>
      </c>
      <c r="Q3449">
        <v>4</v>
      </c>
      <c r="R3449">
        <v>612961</v>
      </c>
      <c r="S3449">
        <f>Table1[[#This Row],[Revenue]]-Table1[[#This Row],[Operating_Costs]]</f>
        <v>119823</v>
      </c>
      <c r="T3449">
        <v>493138</v>
      </c>
      <c r="U3449">
        <v>25</v>
      </c>
      <c r="V3449">
        <v>66</v>
      </c>
      <c r="W3449">
        <v>9.1999999999999993</v>
      </c>
    </row>
    <row r="3450" spans="1:23" x14ac:dyDescent="0.25">
      <c r="A3450">
        <v>11</v>
      </c>
      <c r="B3450" t="s">
        <v>63</v>
      </c>
      <c r="C3450" s="1">
        <v>45303</v>
      </c>
      <c r="D3450" t="s">
        <v>71</v>
      </c>
      <c r="E3450">
        <v>0</v>
      </c>
      <c r="F3450">
        <v>56</v>
      </c>
      <c r="G3450" t="str">
        <f t="shared" si="61"/>
        <v>41-60</v>
      </c>
      <c r="H3450" t="s">
        <v>23</v>
      </c>
      <c r="I3450" t="s">
        <v>64</v>
      </c>
      <c r="J3450" t="s">
        <v>65</v>
      </c>
      <c r="K3450" t="s">
        <v>42</v>
      </c>
      <c r="L3450">
        <v>1</v>
      </c>
      <c r="M3450">
        <v>1</v>
      </c>
      <c r="N3450">
        <v>6.6</v>
      </c>
      <c r="O3450">
        <v>8.8000000000000007</v>
      </c>
      <c r="P3450">
        <v>4</v>
      </c>
      <c r="Q3450">
        <v>3</v>
      </c>
      <c r="R3450">
        <v>736982</v>
      </c>
      <c r="S3450">
        <f>Table1[[#This Row],[Revenue]]-Table1[[#This Row],[Operating_Costs]]</f>
        <v>282520</v>
      </c>
      <c r="T3450">
        <v>454462</v>
      </c>
      <c r="U3450">
        <v>27</v>
      </c>
      <c r="V3450">
        <v>63</v>
      </c>
      <c r="W3450">
        <v>7.7</v>
      </c>
    </row>
    <row r="3451" spans="1:23" x14ac:dyDescent="0.25">
      <c r="A3451">
        <v>11</v>
      </c>
      <c r="B3451" t="s">
        <v>63</v>
      </c>
      <c r="C3451" s="1">
        <v>44870</v>
      </c>
      <c r="D3451" t="s">
        <v>71</v>
      </c>
      <c r="E3451">
        <v>0</v>
      </c>
      <c r="F3451">
        <v>58</v>
      </c>
      <c r="G3451" t="str">
        <f t="shared" si="61"/>
        <v>41-60</v>
      </c>
      <c r="H3451" t="s">
        <v>35</v>
      </c>
      <c r="I3451" t="s">
        <v>58</v>
      </c>
      <c r="J3451" t="s">
        <v>59</v>
      </c>
      <c r="K3451" t="s">
        <v>38</v>
      </c>
      <c r="L3451">
        <v>1</v>
      </c>
      <c r="M3451">
        <v>1</v>
      </c>
      <c r="N3451">
        <v>5.7</v>
      </c>
      <c r="O3451">
        <v>7.7</v>
      </c>
      <c r="P3451">
        <v>5</v>
      </c>
      <c r="Q3451">
        <v>5</v>
      </c>
      <c r="R3451">
        <v>723200</v>
      </c>
      <c r="S3451">
        <f>Table1[[#This Row],[Revenue]]-Table1[[#This Row],[Operating_Costs]]</f>
        <v>191143</v>
      </c>
      <c r="T3451">
        <v>532057</v>
      </c>
      <c r="U3451">
        <v>33</v>
      </c>
      <c r="V3451">
        <v>56</v>
      </c>
      <c r="W3451">
        <v>7.6</v>
      </c>
    </row>
    <row r="3452" spans="1:23" x14ac:dyDescent="0.25">
      <c r="A3452">
        <v>10</v>
      </c>
      <c r="B3452" t="s">
        <v>34</v>
      </c>
      <c r="C3452" s="1">
        <v>45268</v>
      </c>
      <c r="D3452" t="s">
        <v>71</v>
      </c>
      <c r="E3452">
        <v>0</v>
      </c>
      <c r="F3452">
        <v>27</v>
      </c>
      <c r="G3452" t="str">
        <f t="shared" si="61"/>
        <v>21-40</v>
      </c>
      <c r="H3452" t="s">
        <v>23</v>
      </c>
      <c r="I3452" t="s">
        <v>64</v>
      </c>
      <c r="J3452" t="s">
        <v>65</v>
      </c>
      <c r="K3452" t="s">
        <v>42</v>
      </c>
      <c r="L3452">
        <v>1</v>
      </c>
      <c r="M3452">
        <v>1</v>
      </c>
      <c r="N3452">
        <v>4.7</v>
      </c>
      <c r="O3452">
        <v>7.5</v>
      </c>
      <c r="P3452">
        <v>5</v>
      </c>
      <c r="Q3452">
        <v>4</v>
      </c>
      <c r="R3452">
        <v>951410</v>
      </c>
      <c r="S3452">
        <f>Table1[[#This Row],[Revenue]]-Table1[[#This Row],[Operating_Costs]]</f>
        <v>323597</v>
      </c>
      <c r="T3452">
        <v>627813</v>
      </c>
      <c r="U3452">
        <v>70</v>
      </c>
      <c r="V3452">
        <v>64</v>
      </c>
      <c r="W3452">
        <v>14</v>
      </c>
    </row>
    <row r="3453" spans="1:23" x14ac:dyDescent="0.25">
      <c r="A3453">
        <v>10</v>
      </c>
      <c r="B3453" t="s">
        <v>34</v>
      </c>
      <c r="C3453" s="1">
        <v>45069</v>
      </c>
      <c r="D3453" t="s">
        <v>71</v>
      </c>
      <c r="E3453">
        <v>0</v>
      </c>
      <c r="F3453">
        <v>27</v>
      </c>
      <c r="G3453" t="str">
        <f t="shared" si="61"/>
        <v>21-40</v>
      </c>
      <c r="H3453" t="s">
        <v>23</v>
      </c>
      <c r="I3453" t="s">
        <v>50</v>
      </c>
      <c r="J3453" t="s">
        <v>51</v>
      </c>
      <c r="K3453" t="s">
        <v>42</v>
      </c>
      <c r="L3453">
        <v>1</v>
      </c>
      <c r="M3453">
        <v>1</v>
      </c>
      <c r="N3453">
        <v>4.0999999999999996</v>
      </c>
      <c r="O3453">
        <v>7.1</v>
      </c>
      <c r="P3453">
        <v>4</v>
      </c>
      <c r="Q3453">
        <v>5</v>
      </c>
      <c r="R3453">
        <v>922365</v>
      </c>
      <c r="S3453">
        <f>Table1[[#This Row],[Revenue]]-Table1[[#This Row],[Operating_Costs]]</f>
        <v>300017</v>
      </c>
      <c r="T3453">
        <v>622348</v>
      </c>
      <c r="U3453">
        <v>51</v>
      </c>
      <c r="V3453">
        <v>61</v>
      </c>
      <c r="W3453">
        <v>6.5</v>
      </c>
    </row>
    <row r="3454" spans="1:23" x14ac:dyDescent="0.25">
      <c r="A3454">
        <v>11</v>
      </c>
      <c r="B3454" t="s">
        <v>63</v>
      </c>
      <c r="C3454" s="1">
        <v>44977</v>
      </c>
      <c r="D3454" t="s">
        <v>71</v>
      </c>
      <c r="E3454">
        <v>0</v>
      </c>
      <c r="F3454">
        <v>25</v>
      </c>
      <c r="G3454" t="str">
        <f t="shared" si="61"/>
        <v>21-40</v>
      </c>
      <c r="H3454" t="s">
        <v>35</v>
      </c>
      <c r="I3454" t="s">
        <v>46</v>
      </c>
      <c r="J3454" t="s">
        <v>47</v>
      </c>
      <c r="K3454" t="s">
        <v>29</v>
      </c>
      <c r="L3454">
        <v>1</v>
      </c>
      <c r="M3454">
        <v>1</v>
      </c>
      <c r="N3454">
        <v>5</v>
      </c>
      <c r="O3454">
        <v>7.2</v>
      </c>
      <c r="P3454">
        <v>3</v>
      </c>
      <c r="Q3454">
        <v>6</v>
      </c>
      <c r="R3454">
        <v>745895</v>
      </c>
      <c r="S3454">
        <f>Table1[[#This Row],[Revenue]]-Table1[[#This Row],[Operating_Costs]]</f>
        <v>190717</v>
      </c>
      <c r="T3454">
        <v>555178</v>
      </c>
      <c r="U3454">
        <v>24</v>
      </c>
      <c r="V3454">
        <v>55</v>
      </c>
      <c r="W3454">
        <v>8.3000000000000007</v>
      </c>
    </row>
    <row r="3455" spans="1:23" x14ac:dyDescent="0.25">
      <c r="A3455">
        <v>11</v>
      </c>
      <c r="B3455" t="s">
        <v>63</v>
      </c>
      <c r="C3455" s="1">
        <v>44894</v>
      </c>
      <c r="D3455" t="s">
        <v>71</v>
      </c>
      <c r="E3455">
        <v>0</v>
      </c>
      <c r="F3455">
        <v>43</v>
      </c>
      <c r="G3455" t="str">
        <f t="shared" si="61"/>
        <v>41-60</v>
      </c>
      <c r="H3455" t="s">
        <v>35</v>
      </c>
      <c r="I3455" t="s">
        <v>36</v>
      </c>
      <c r="J3455" t="s">
        <v>37</v>
      </c>
      <c r="K3455" t="s">
        <v>38</v>
      </c>
      <c r="L3455">
        <v>1</v>
      </c>
      <c r="M3455">
        <v>1</v>
      </c>
      <c r="N3455">
        <v>6.2</v>
      </c>
      <c r="O3455">
        <v>7</v>
      </c>
      <c r="P3455">
        <v>5</v>
      </c>
      <c r="Q3455">
        <v>3</v>
      </c>
      <c r="R3455">
        <v>773624</v>
      </c>
      <c r="S3455">
        <f>Table1[[#This Row],[Revenue]]-Table1[[#This Row],[Operating_Costs]]</f>
        <v>274073</v>
      </c>
      <c r="T3455">
        <v>499551</v>
      </c>
      <c r="U3455">
        <v>28</v>
      </c>
      <c r="V3455">
        <v>62</v>
      </c>
      <c r="W3455">
        <v>7</v>
      </c>
    </row>
    <row r="3456" spans="1:23" x14ac:dyDescent="0.25">
      <c r="A3456">
        <v>10</v>
      </c>
      <c r="B3456" t="s">
        <v>34</v>
      </c>
      <c r="C3456" s="1">
        <v>45500</v>
      </c>
      <c r="D3456" t="s">
        <v>71</v>
      </c>
      <c r="E3456">
        <v>0</v>
      </c>
      <c r="F3456">
        <v>34</v>
      </c>
      <c r="G3456" t="str">
        <f t="shared" si="61"/>
        <v>21-40</v>
      </c>
      <c r="H3456" t="s">
        <v>35</v>
      </c>
      <c r="I3456" t="s">
        <v>46</v>
      </c>
      <c r="J3456" t="s">
        <v>47</v>
      </c>
      <c r="K3456" t="s">
        <v>26</v>
      </c>
      <c r="L3456">
        <v>1</v>
      </c>
      <c r="M3456">
        <v>1</v>
      </c>
      <c r="N3456">
        <v>6.2</v>
      </c>
      <c r="O3456">
        <v>7.7</v>
      </c>
      <c r="P3456">
        <v>5</v>
      </c>
      <c r="Q3456">
        <v>5</v>
      </c>
      <c r="R3456">
        <v>961032</v>
      </c>
      <c r="S3456">
        <f>Table1[[#This Row],[Revenue]]-Table1[[#This Row],[Operating_Costs]]</f>
        <v>266708</v>
      </c>
      <c r="T3456">
        <v>694324</v>
      </c>
      <c r="U3456">
        <v>62</v>
      </c>
      <c r="V3456">
        <v>65</v>
      </c>
      <c r="W3456">
        <v>12.7</v>
      </c>
    </row>
    <row r="3457" spans="1:23" x14ac:dyDescent="0.25">
      <c r="A3457">
        <v>11</v>
      </c>
      <c r="B3457" t="s">
        <v>63</v>
      </c>
      <c r="C3457" s="1">
        <v>44399</v>
      </c>
      <c r="D3457" t="s">
        <v>71</v>
      </c>
      <c r="E3457">
        <v>0</v>
      </c>
      <c r="F3457">
        <v>83</v>
      </c>
      <c r="G3457" t="str">
        <f t="shared" si="61"/>
        <v>81+</v>
      </c>
      <c r="H3457" t="s">
        <v>35</v>
      </c>
      <c r="I3457" t="s">
        <v>31</v>
      </c>
      <c r="J3457" t="s">
        <v>28</v>
      </c>
      <c r="K3457" t="s">
        <v>42</v>
      </c>
      <c r="L3457">
        <v>1</v>
      </c>
      <c r="M3457">
        <v>1</v>
      </c>
      <c r="N3457">
        <v>1.6</v>
      </c>
      <c r="O3457">
        <v>9.3000000000000007</v>
      </c>
      <c r="P3457">
        <v>3</v>
      </c>
      <c r="Q3457">
        <v>5</v>
      </c>
      <c r="R3457">
        <v>759886</v>
      </c>
      <c r="S3457">
        <f>Table1[[#This Row],[Revenue]]-Table1[[#This Row],[Operating_Costs]]</f>
        <v>190654</v>
      </c>
      <c r="T3457">
        <v>569232</v>
      </c>
      <c r="U3457">
        <v>26</v>
      </c>
      <c r="V3457">
        <v>61</v>
      </c>
      <c r="W3457">
        <v>12</v>
      </c>
    </row>
    <row r="3458" spans="1:23" x14ac:dyDescent="0.25">
      <c r="A3458">
        <v>11</v>
      </c>
      <c r="B3458" t="s">
        <v>63</v>
      </c>
      <c r="C3458" s="1">
        <v>44750</v>
      </c>
      <c r="D3458" t="s">
        <v>71</v>
      </c>
      <c r="E3458">
        <v>0</v>
      </c>
      <c r="F3458">
        <v>49</v>
      </c>
      <c r="G3458" t="str">
        <f t="shared" si="61"/>
        <v>41-60</v>
      </c>
      <c r="H3458" t="s">
        <v>35</v>
      </c>
      <c r="I3458" t="s">
        <v>53</v>
      </c>
      <c r="J3458" t="s">
        <v>54</v>
      </c>
      <c r="K3458" t="s">
        <v>38</v>
      </c>
      <c r="L3458">
        <v>1</v>
      </c>
      <c r="M3458">
        <v>1</v>
      </c>
      <c r="N3458">
        <v>3.9</v>
      </c>
      <c r="O3458">
        <v>7.6</v>
      </c>
      <c r="P3458">
        <v>3</v>
      </c>
      <c r="Q3458">
        <v>5</v>
      </c>
      <c r="R3458">
        <v>757537</v>
      </c>
      <c r="S3458">
        <f>Table1[[#This Row],[Revenue]]-Table1[[#This Row],[Operating_Costs]]</f>
        <v>316192</v>
      </c>
      <c r="T3458">
        <v>441345</v>
      </c>
      <c r="U3458">
        <v>34</v>
      </c>
      <c r="V3458">
        <v>61</v>
      </c>
      <c r="W3458">
        <v>9.8000000000000007</v>
      </c>
    </row>
    <row r="3459" spans="1:23" x14ac:dyDescent="0.25">
      <c r="A3459">
        <v>11</v>
      </c>
      <c r="B3459" t="s">
        <v>63</v>
      </c>
      <c r="C3459" s="1">
        <v>45272</v>
      </c>
      <c r="D3459" t="s">
        <v>71</v>
      </c>
      <c r="E3459">
        <v>0</v>
      </c>
      <c r="F3459">
        <v>69</v>
      </c>
      <c r="G3459" t="str">
        <f t="shared" ref="G3459:G3522" si="62">IF(F3459&lt;=20,"0-20",IF(F3459&lt;=40,"21-40",IF(F3459&lt;=60,"41-60",IF(F3459&lt;=80,"61-80","81+"))))</f>
        <v>61-80</v>
      </c>
      <c r="H3459" t="s">
        <v>35</v>
      </c>
      <c r="I3459" t="s">
        <v>36</v>
      </c>
      <c r="J3459" t="s">
        <v>37</v>
      </c>
      <c r="K3459" t="s">
        <v>42</v>
      </c>
      <c r="L3459">
        <v>1</v>
      </c>
      <c r="M3459">
        <v>1</v>
      </c>
      <c r="N3459">
        <v>4.0999999999999996</v>
      </c>
      <c r="O3459">
        <v>7.8</v>
      </c>
      <c r="P3459">
        <v>6</v>
      </c>
      <c r="Q3459">
        <v>5</v>
      </c>
      <c r="R3459">
        <v>697542</v>
      </c>
      <c r="S3459">
        <f>Table1[[#This Row],[Revenue]]-Table1[[#This Row],[Operating_Costs]]</f>
        <v>139216</v>
      </c>
      <c r="T3459">
        <v>558326</v>
      </c>
      <c r="U3459">
        <v>28</v>
      </c>
      <c r="V3459">
        <v>63</v>
      </c>
      <c r="W3459">
        <v>7.7</v>
      </c>
    </row>
    <row r="3460" spans="1:23" x14ac:dyDescent="0.25">
      <c r="A3460">
        <v>11</v>
      </c>
      <c r="B3460" t="s">
        <v>63</v>
      </c>
      <c r="C3460" s="1">
        <v>44756</v>
      </c>
      <c r="D3460" t="s">
        <v>71</v>
      </c>
      <c r="E3460">
        <v>0</v>
      </c>
      <c r="F3460">
        <v>44</v>
      </c>
      <c r="G3460" t="str">
        <f t="shared" si="62"/>
        <v>41-60</v>
      </c>
      <c r="H3460" t="s">
        <v>35</v>
      </c>
      <c r="I3460" t="s">
        <v>55</v>
      </c>
      <c r="J3460" t="s">
        <v>56</v>
      </c>
      <c r="K3460" t="s">
        <v>42</v>
      </c>
      <c r="L3460">
        <v>1</v>
      </c>
      <c r="M3460">
        <v>1</v>
      </c>
      <c r="N3460">
        <v>2.2000000000000002</v>
      </c>
      <c r="O3460">
        <v>8.5</v>
      </c>
      <c r="P3460">
        <v>4</v>
      </c>
      <c r="Q3460">
        <v>6</v>
      </c>
      <c r="R3460">
        <v>657820</v>
      </c>
      <c r="S3460">
        <f>Table1[[#This Row],[Revenue]]-Table1[[#This Row],[Operating_Costs]]</f>
        <v>161221</v>
      </c>
      <c r="T3460">
        <v>496599</v>
      </c>
      <c r="U3460">
        <v>21</v>
      </c>
      <c r="V3460">
        <v>62</v>
      </c>
      <c r="W3460">
        <v>36.799999999999997</v>
      </c>
    </row>
    <row r="3461" spans="1:23" x14ac:dyDescent="0.25">
      <c r="A3461">
        <v>11</v>
      </c>
      <c r="B3461" t="s">
        <v>63</v>
      </c>
      <c r="C3461" s="1">
        <v>44366</v>
      </c>
      <c r="D3461" t="s">
        <v>71</v>
      </c>
      <c r="E3461">
        <v>0</v>
      </c>
      <c r="F3461">
        <v>40</v>
      </c>
      <c r="G3461" t="str">
        <f t="shared" si="62"/>
        <v>21-40</v>
      </c>
      <c r="H3461" t="s">
        <v>35</v>
      </c>
      <c r="I3461" t="s">
        <v>61</v>
      </c>
      <c r="J3461" t="s">
        <v>62</v>
      </c>
      <c r="K3461" t="s">
        <v>29</v>
      </c>
      <c r="L3461">
        <v>1</v>
      </c>
      <c r="M3461">
        <v>1</v>
      </c>
      <c r="N3461">
        <v>4.0999999999999996</v>
      </c>
      <c r="O3461">
        <v>8.1</v>
      </c>
      <c r="P3461">
        <v>4</v>
      </c>
      <c r="Q3461">
        <v>7</v>
      </c>
      <c r="R3461">
        <v>631633</v>
      </c>
      <c r="S3461">
        <f>Table1[[#This Row],[Revenue]]-Table1[[#This Row],[Operating_Costs]]</f>
        <v>179224</v>
      </c>
      <c r="T3461">
        <v>452409</v>
      </c>
      <c r="U3461">
        <v>35</v>
      </c>
      <c r="V3461">
        <v>57</v>
      </c>
      <c r="W3461">
        <v>15</v>
      </c>
    </row>
    <row r="3462" spans="1:23" x14ac:dyDescent="0.25">
      <c r="A3462">
        <v>11</v>
      </c>
      <c r="B3462" t="s">
        <v>63</v>
      </c>
      <c r="C3462" s="1">
        <v>44918</v>
      </c>
      <c r="D3462" t="s">
        <v>71</v>
      </c>
      <c r="E3462">
        <v>0</v>
      </c>
      <c r="F3462">
        <v>26</v>
      </c>
      <c r="G3462" t="str">
        <f t="shared" si="62"/>
        <v>21-40</v>
      </c>
      <c r="H3462" t="s">
        <v>23</v>
      </c>
      <c r="I3462" t="s">
        <v>50</v>
      </c>
      <c r="J3462" t="s">
        <v>51</v>
      </c>
      <c r="K3462" t="s">
        <v>38</v>
      </c>
      <c r="L3462">
        <v>1</v>
      </c>
      <c r="M3462">
        <v>1</v>
      </c>
      <c r="N3462">
        <v>5.6</v>
      </c>
      <c r="O3462">
        <v>7.1</v>
      </c>
      <c r="P3462">
        <v>6</v>
      </c>
      <c r="Q3462">
        <v>4</v>
      </c>
      <c r="R3462">
        <v>736715</v>
      </c>
      <c r="S3462">
        <f>Table1[[#This Row],[Revenue]]-Table1[[#This Row],[Operating_Costs]]</f>
        <v>292994</v>
      </c>
      <c r="T3462">
        <v>443721</v>
      </c>
      <c r="U3462">
        <v>30</v>
      </c>
      <c r="V3462">
        <v>61</v>
      </c>
      <c r="W3462">
        <v>5.9</v>
      </c>
    </row>
    <row r="3463" spans="1:23" x14ac:dyDescent="0.25">
      <c r="A3463">
        <v>10</v>
      </c>
      <c r="B3463" t="s">
        <v>34</v>
      </c>
      <c r="C3463" s="1">
        <v>44208</v>
      </c>
      <c r="D3463" t="s">
        <v>71</v>
      </c>
      <c r="E3463">
        <v>0</v>
      </c>
      <c r="F3463">
        <v>52</v>
      </c>
      <c r="G3463" t="str">
        <f t="shared" si="62"/>
        <v>41-60</v>
      </c>
      <c r="H3463" t="s">
        <v>35</v>
      </c>
      <c r="I3463" t="s">
        <v>61</v>
      </c>
      <c r="J3463" t="s">
        <v>62</v>
      </c>
      <c r="K3463" t="s">
        <v>42</v>
      </c>
      <c r="L3463">
        <v>1</v>
      </c>
      <c r="M3463">
        <v>1</v>
      </c>
      <c r="N3463">
        <v>3</v>
      </c>
      <c r="O3463">
        <v>9.3000000000000007</v>
      </c>
      <c r="P3463">
        <v>7</v>
      </c>
      <c r="Q3463">
        <v>6</v>
      </c>
      <c r="R3463">
        <v>815786</v>
      </c>
      <c r="S3463">
        <f>Table1[[#This Row],[Revenue]]-Table1[[#This Row],[Operating_Costs]]</f>
        <v>120344</v>
      </c>
      <c r="T3463">
        <v>695442</v>
      </c>
      <c r="U3463">
        <v>70</v>
      </c>
      <c r="V3463">
        <v>54</v>
      </c>
      <c r="W3463">
        <v>12.7</v>
      </c>
    </row>
    <row r="3464" spans="1:23" x14ac:dyDescent="0.25">
      <c r="A3464">
        <v>11</v>
      </c>
      <c r="B3464" t="s">
        <v>63</v>
      </c>
      <c r="C3464" s="1">
        <v>45074</v>
      </c>
      <c r="D3464" t="s">
        <v>71</v>
      </c>
      <c r="E3464">
        <v>0</v>
      </c>
      <c r="F3464">
        <v>28</v>
      </c>
      <c r="G3464" t="str">
        <f t="shared" si="62"/>
        <v>21-40</v>
      </c>
      <c r="H3464" t="s">
        <v>35</v>
      </c>
      <c r="I3464" t="s">
        <v>46</v>
      </c>
      <c r="J3464" t="s">
        <v>47</v>
      </c>
      <c r="K3464" t="s">
        <v>42</v>
      </c>
      <c r="L3464">
        <v>1</v>
      </c>
      <c r="M3464">
        <v>1</v>
      </c>
      <c r="N3464">
        <v>1.8</v>
      </c>
      <c r="O3464">
        <v>9.3000000000000007</v>
      </c>
      <c r="P3464">
        <v>5</v>
      </c>
      <c r="Q3464">
        <v>6</v>
      </c>
      <c r="R3464">
        <v>642747</v>
      </c>
      <c r="S3464">
        <f>Table1[[#This Row],[Revenue]]-Table1[[#This Row],[Operating_Costs]]</f>
        <v>165194</v>
      </c>
      <c r="T3464">
        <v>477553</v>
      </c>
      <c r="U3464">
        <v>22</v>
      </c>
      <c r="V3464">
        <v>64</v>
      </c>
      <c r="W3464">
        <v>10.5</v>
      </c>
    </row>
    <row r="3465" spans="1:23" x14ac:dyDescent="0.25">
      <c r="A3465">
        <v>11</v>
      </c>
      <c r="B3465" t="s">
        <v>63</v>
      </c>
      <c r="C3465" s="1">
        <v>44781</v>
      </c>
      <c r="D3465" t="s">
        <v>71</v>
      </c>
      <c r="E3465">
        <v>0</v>
      </c>
      <c r="F3465">
        <v>26</v>
      </c>
      <c r="G3465" t="str">
        <f t="shared" si="62"/>
        <v>21-40</v>
      </c>
      <c r="H3465" t="s">
        <v>23</v>
      </c>
      <c r="I3465" t="s">
        <v>50</v>
      </c>
      <c r="J3465" t="s">
        <v>51</v>
      </c>
      <c r="K3465" t="s">
        <v>38</v>
      </c>
      <c r="L3465">
        <v>1</v>
      </c>
      <c r="M3465">
        <v>1</v>
      </c>
      <c r="N3465">
        <v>2.9</v>
      </c>
      <c r="O3465">
        <v>9.3000000000000007</v>
      </c>
      <c r="P3465">
        <v>7</v>
      </c>
      <c r="Q3465">
        <v>7</v>
      </c>
      <c r="R3465">
        <v>770946</v>
      </c>
      <c r="S3465">
        <f>Table1[[#This Row],[Revenue]]-Table1[[#This Row],[Operating_Costs]]</f>
        <v>302799</v>
      </c>
      <c r="T3465">
        <v>468147</v>
      </c>
      <c r="U3465">
        <v>24</v>
      </c>
      <c r="V3465">
        <v>55</v>
      </c>
      <c r="W3465">
        <v>7.9</v>
      </c>
    </row>
    <row r="3466" spans="1:23" x14ac:dyDescent="0.25">
      <c r="A3466">
        <v>11</v>
      </c>
      <c r="B3466" t="s">
        <v>63</v>
      </c>
      <c r="C3466" s="1">
        <v>44248</v>
      </c>
      <c r="D3466" t="s">
        <v>71</v>
      </c>
      <c r="E3466">
        <v>0</v>
      </c>
      <c r="F3466">
        <v>88</v>
      </c>
      <c r="G3466" t="str">
        <f t="shared" si="62"/>
        <v>81+</v>
      </c>
      <c r="H3466" t="s">
        <v>23</v>
      </c>
      <c r="I3466" t="s">
        <v>31</v>
      </c>
      <c r="J3466" t="s">
        <v>28</v>
      </c>
      <c r="K3466" t="s">
        <v>33</v>
      </c>
      <c r="L3466">
        <v>1</v>
      </c>
      <c r="M3466">
        <v>1</v>
      </c>
      <c r="N3466">
        <v>1.3</v>
      </c>
      <c r="O3466">
        <v>8.4</v>
      </c>
      <c r="P3466">
        <v>7</v>
      </c>
      <c r="Q3466">
        <v>5</v>
      </c>
      <c r="R3466">
        <v>733363</v>
      </c>
      <c r="S3466">
        <f>Table1[[#This Row],[Revenue]]-Table1[[#This Row],[Operating_Costs]]</f>
        <v>242963</v>
      </c>
      <c r="T3466">
        <v>490400</v>
      </c>
      <c r="U3466">
        <v>30</v>
      </c>
      <c r="V3466">
        <v>66</v>
      </c>
      <c r="W3466">
        <v>14.9</v>
      </c>
    </row>
    <row r="3467" spans="1:23" x14ac:dyDescent="0.25">
      <c r="A3467">
        <v>11</v>
      </c>
      <c r="B3467" t="s">
        <v>63</v>
      </c>
      <c r="C3467" s="1">
        <v>44293</v>
      </c>
      <c r="D3467" t="s">
        <v>71</v>
      </c>
      <c r="E3467">
        <v>0</v>
      </c>
      <c r="F3467">
        <v>77</v>
      </c>
      <c r="G3467" t="str">
        <f t="shared" si="62"/>
        <v>61-80</v>
      </c>
      <c r="H3467" t="s">
        <v>35</v>
      </c>
      <c r="I3467" t="s">
        <v>31</v>
      </c>
      <c r="J3467" t="s">
        <v>28</v>
      </c>
      <c r="K3467" t="s">
        <v>42</v>
      </c>
      <c r="L3467">
        <v>1</v>
      </c>
      <c r="M3467">
        <v>1</v>
      </c>
      <c r="N3467">
        <v>5.3</v>
      </c>
      <c r="O3467">
        <v>9.9</v>
      </c>
      <c r="P3467">
        <v>7</v>
      </c>
      <c r="Q3467">
        <v>6</v>
      </c>
      <c r="R3467">
        <v>789059</v>
      </c>
      <c r="S3467">
        <f>Table1[[#This Row],[Revenue]]-Table1[[#This Row],[Operating_Costs]]</f>
        <v>375828</v>
      </c>
      <c r="T3467">
        <v>413231</v>
      </c>
      <c r="U3467">
        <v>22</v>
      </c>
      <c r="V3467">
        <v>60</v>
      </c>
      <c r="W3467">
        <v>9</v>
      </c>
    </row>
    <row r="3468" spans="1:23" x14ac:dyDescent="0.25">
      <c r="A3468">
        <v>10</v>
      </c>
      <c r="B3468" t="s">
        <v>34</v>
      </c>
      <c r="C3468" s="1">
        <v>45229</v>
      </c>
      <c r="D3468" t="s">
        <v>71</v>
      </c>
      <c r="E3468">
        <v>0</v>
      </c>
      <c r="F3468">
        <v>89</v>
      </c>
      <c r="G3468" t="str">
        <f t="shared" si="62"/>
        <v>81+</v>
      </c>
      <c r="H3468" t="s">
        <v>23</v>
      </c>
      <c r="I3468" t="s">
        <v>27</v>
      </c>
      <c r="J3468" t="s">
        <v>28</v>
      </c>
      <c r="K3468" t="s">
        <v>33</v>
      </c>
      <c r="L3468">
        <v>1</v>
      </c>
      <c r="M3468">
        <v>1</v>
      </c>
      <c r="N3468">
        <v>3.8</v>
      </c>
      <c r="O3468">
        <v>8.3000000000000007</v>
      </c>
      <c r="P3468">
        <v>5</v>
      </c>
      <c r="Q3468">
        <v>4</v>
      </c>
      <c r="R3468">
        <v>845058</v>
      </c>
      <c r="S3468">
        <f>Table1[[#This Row],[Revenue]]-Table1[[#This Row],[Operating_Costs]]</f>
        <v>301523</v>
      </c>
      <c r="T3468">
        <v>543535</v>
      </c>
      <c r="U3468">
        <v>52</v>
      </c>
      <c r="V3468">
        <v>55</v>
      </c>
      <c r="W3468">
        <v>14.9</v>
      </c>
    </row>
    <row r="3469" spans="1:23" x14ac:dyDescent="0.25">
      <c r="A3469">
        <v>10</v>
      </c>
      <c r="B3469" t="s">
        <v>34</v>
      </c>
      <c r="C3469" s="1">
        <v>44267</v>
      </c>
      <c r="D3469" t="s">
        <v>71</v>
      </c>
      <c r="E3469">
        <v>0</v>
      </c>
      <c r="F3469">
        <v>35</v>
      </c>
      <c r="G3469" t="str">
        <f t="shared" si="62"/>
        <v>21-40</v>
      </c>
      <c r="H3469" t="s">
        <v>35</v>
      </c>
      <c r="I3469" t="s">
        <v>55</v>
      </c>
      <c r="J3469" t="s">
        <v>56</v>
      </c>
      <c r="K3469" t="s">
        <v>33</v>
      </c>
      <c r="L3469">
        <v>1</v>
      </c>
      <c r="M3469">
        <v>1</v>
      </c>
      <c r="N3469">
        <v>1.6</v>
      </c>
      <c r="O3469">
        <v>8.1999999999999993</v>
      </c>
      <c r="P3469">
        <v>4</v>
      </c>
      <c r="Q3469">
        <v>5</v>
      </c>
      <c r="R3469">
        <v>939224</v>
      </c>
      <c r="S3469">
        <f>Table1[[#This Row],[Revenue]]-Table1[[#This Row],[Operating_Costs]]</f>
        <v>251763</v>
      </c>
      <c r="T3469">
        <v>687461</v>
      </c>
      <c r="U3469">
        <v>66</v>
      </c>
      <c r="V3469">
        <v>65</v>
      </c>
      <c r="W3469">
        <v>10.8</v>
      </c>
    </row>
    <row r="3470" spans="1:23" x14ac:dyDescent="0.25">
      <c r="A3470">
        <v>10</v>
      </c>
      <c r="B3470" t="s">
        <v>34</v>
      </c>
      <c r="C3470" s="1">
        <v>44668</v>
      </c>
      <c r="D3470" t="s">
        <v>71</v>
      </c>
      <c r="E3470">
        <v>0</v>
      </c>
      <c r="F3470">
        <v>51</v>
      </c>
      <c r="G3470" t="str">
        <f t="shared" si="62"/>
        <v>41-60</v>
      </c>
      <c r="H3470" t="s">
        <v>23</v>
      </c>
      <c r="I3470" t="s">
        <v>24</v>
      </c>
      <c r="J3470" t="s">
        <v>25</v>
      </c>
      <c r="K3470" t="s">
        <v>38</v>
      </c>
      <c r="L3470">
        <v>1</v>
      </c>
      <c r="M3470">
        <v>1</v>
      </c>
      <c r="N3470">
        <v>4.5999999999999996</v>
      </c>
      <c r="O3470">
        <v>9.3000000000000007</v>
      </c>
      <c r="P3470">
        <v>4</v>
      </c>
      <c r="Q3470">
        <v>5</v>
      </c>
      <c r="R3470">
        <v>944444</v>
      </c>
      <c r="S3470">
        <f>Table1[[#This Row],[Revenue]]-Table1[[#This Row],[Operating_Costs]]</f>
        <v>260823</v>
      </c>
      <c r="T3470">
        <v>683621</v>
      </c>
      <c r="U3470">
        <v>50</v>
      </c>
      <c r="V3470">
        <v>57</v>
      </c>
      <c r="W3470">
        <v>7.7</v>
      </c>
    </row>
    <row r="3471" spans="1:23" x14ac:dyDescent="0.25">
      <c r="A3471">
        <v>10</v>
      </c>
      <c r="B3471" t="s">
        <v>34</v>
      </c>
      <c r="C3471" s="1">
        <v>44820</v>
      </c>
      <c r="D3471" t="s">
        <v>71</v>
      </c>
      <c r="E3471">
        <v>0</v>
      </c>
      <c r="F3471">
        <v>69</v>
      </c>
      <c r="G3471" t="str">
        <f t="shared" si="62"/>
        <v>61-80</v>
      </c>
      <c r="H3471" t="s">
        <v>23</v>
      </c>
      <c r="I3471" t="s">
        <v>24</v>
      </c>
      <c r="J3471" t="s">
        <v>25</v>
      </c>
      <c r="K3471" t="s">
        <v>29</v>
      </c>
      <c r="L3471">
        <v>1</v>
      </c>
      <c r="M3471">
        <v>1</v>
      </c>
      <c r="N3471">
        <v>1.2</v>
      </c>
      <c r="O3471">
        <v>7.6</v>
      </c>
      <c r="P3471">
        <v>3</v>
      </c>
      <c r="Q3471">
        <v>3</v>
      </c>
      <c r="R3471">
        <v>989542</v>
      </c>
      <c r="S3471">
        <f>Table1[[#This Row],[Revenue]]-Table1[[#This Row],[Operating_Costs]]</f>
        <v>475476</v>
      </c>
      <c r="T3471">
        <v>514066</v>
      </c>
      <c r="U3471">
        <v>51</v>
      </c>
      <c r="V3471">
        <v>60</v>
      </c>
      <c r="W3471">
        <v>5.4</v>
      </c>
    </row>
    <row r="3472" spans="1:23" x14ac:dyDescent="0.25">
      <c r="A3472">
        <v>10</v>
      </c>
      <c r="B3472" t="s">
        <v>34</v>
      </c>
      <c r="C3472" s="1">
        <v>44847</v>
      </c>
      <c r="D3472" t="s">
        <v>71</v>
      </c>
      <c r="E3472">
        <v>0</v>
      </c>
      <c r="F3472">
        <v>34</v>
      </c>
      <c r="G3472" t="str">
        <f t="shared" si="62"/>
        <v>21-40</v>
      </c>
      <c r="H3472" t="s">
        <v>23</v>
      </c>
      <c r="I3472" t="s">
        <v>31</v>
      </c>
      <c r="J3472" t="s">
        <v>28</v>
      </c>
      <c r="K3472" t="s">
        <v>38</v>
      </c>
      <c r="L3472">
        <v>1</v>
      </c>
      <c r="M3472">
        <v>1</v>
      </c>
      <c r="N3472">
        <v>3.2</v>
      </c>
      <c r="O3472">
        <v>7.2</v>
      </c>
      <c r="P3472">
        <v>3</v>
      </c>
      <c r="Q3472">
        <v>4</v>
      </c>
      <c r="R3472">
        <v>840949</v>
      </c>
      <c r="S3472">
        <f>Table1[[#This Row],[Revenue]]-Table1[[#This Row],[Operating_Costs]]</f>
        <v>338105</v>
      </c>
      <c r="T3472">
        <v>502844</v>
      </c>
      <c r="U3472">
        <v>57</v>
      </c>
      <c r="V3472">
        <v>54</v>
      </c>
      <c r="W3472">
        <v>9.5</v>
      </c>
    </row>
    <row r="3473" spans="1:23" x14ac:dyDescent="0.25">
      <c r="A3473">
        <v>10</v>
      </c>
      <c r="B3473" t="s">
        <v>34</v>
      </c>
      <c r="C3473" s="1">
        <v>44682</v>
      </c>
      <c r="D3473" t="s">
        <v>71</v>
      </c>
      <c r="E3473">
        <v>0</v>
      </c>
      <c r="F3473">
        <v>54</v>
      </c>
      <c r="G3473" t="str">
        <f t="shared" si="62"/>
        <v>41-60</v>
      </c>
      <c r="H3473" t="s">
        <v>35</v>
      </c>
      <c r="I3473" t="s">
        <v>53</v>
      </c>
      <c r="J3473" t="s">
        <v>54</v>
      </c>
      <c r="K3473" t="s">
        <v>42</v>
      </c>
      <c r="L3473">
        <v>1</v>
      </c>
      <c r="M3473">
        <v>1</v>
      </c>
      <c r="N3473">
        <v>6.7</v>
      </c>
      <c r="O3473">
        <v>9.6999999999999993</v>
      </c>
      <c r="P3473">
        <v>5</v>
      </c>
      <c r="Q3473">
        <v>4</v>
      </c>
      <c r="R3473">
        <v>815064</v>
      </c>
      <c r="S3473">
        <f>Table1[[#This Row],[Revenue]]-Table1[[#This Row],[Operating_Costs]]</f>
        <v>172349</v>
      </c>
      <c r="T3473">
        <v>642715</v>
      </c>
      <c r="U3473">
        <v>57</v>
      </c>
      <c r="V3473">
        <v>55</v>
      </c>
      <c r="W3473">
        <v>8.3000000000000007</v>
      </c>
    </row>
    <row r="3474" spans="1:23" x14ac:dyDescent="0.25">
      <c r="A3474">
        <v>10</v>
      </c>
      <c r="B3474" t="s">
        <v>34</v>
      </c>
      <c r="C3474" s="1">
        <v>45217</v>
      </c>
      <c r="D3474" t="s">
        <v>71</v>
      </c>
      <c r="E3474">
        <v>0</v>
      </c>
      <c r="F3474">
        <v>50</v>
      </c>
      <c r="G3474" t="str">
        <f t="shared" si="62"/>
        <v>41-60</v>
      </c>
      <c r="H3474" t="s">
        <v>35</v>
      </c>
      <c r="I3474" t="s">
        <v>36</v>
      </c>
      <c r="J3474" t="s">
        <v>37</v>
      </c>
      <c r="K3474" t="s">
        <v>38</v>
      </c>
      <c r="L3474">
        <v>1</v>
      </c>
      <c r="M3474">
        <v>1</v>
      </c>
      <c r="N3474">
        <v>1.4</v>
      </c>
      <c r="O3474">
        <v>8.6</v>
      </c>
      <c r="P3474">
        <v>7</v>
      </c>
      <c r="Q3474">
        <v>5</v>
      </c>
      <c r="R3474">
        <v>960108</v>
      </c>
      <c r="S3474">
        <f>Table1[[#This Row],[Revenue]]-Table1[[#This Row],[Operating_Costs]]</f>
        <v>347813</v>
      </c>
      <c r="T3474">
        <v>612295</v>
      </c>
      <c r="U3474">
        <v>66</v>
      </c>
      <c r="V3474">
        <v>65</v>
      </c>
      <c r="W3474">
        <v>9.3000000000000007</v>
      </c>
    </row>
    <row r="3475" spans="1:23" x14ac:dyDescent="0.25">
      <c r="A3475">
        <v>10</v>
      </c>
      <c r="B3475" t="s">
        <v>34</v>
      </c>
      <c r="C3475" s="1">
        <v>45281</v>
      </c>
      <c r="D3475" t="s">
        <v>71</v>
      </c>
      <c r="E3475">
        <v>0</v>
      </c>
      <c r="F3475">
        <v>48</v>
      </c>
      <c r="G3475" t="str">
        <f t="shared" si="62"/>
        <v>41-60</v>
      </c>
      <c r="H3475" t="s">
        <v>35</v>
      </c>
      <c r="I3475" t="s">
        <v>60</v>
      </c>
      <c r="J3475" t="s">
        <v>59</v>
      </c>
      <c r="K3475" t="s">
        <v>42</v>
      </c>
      <c r="L3475">
        <v>1</v>
      </c>
      <c r="M3475">
        <v>1</v>
      </c>
      <c r="N3475">
        <v>4.9000000000000004</v>
      </c>
      <c r="O3475">
        <v>8.4</v>
      </c>
      <c r="P3475">
        <v>5</v>
      </c>
      <c r="Q3475">
        <v>7</v>
      </c>
      <c r="R3475">
        <v>806413</v>
      </c>
      <c r="S3475">
        <f>Table1[[#This Row],[Revenue]]-Table1[[#This Row],[Operating_Costs]]</f>
        <v>204861</v>
      </c>
      <c r="T3475">
        <v>601552</v>
      </c>
      <c r="U3475">
        <v>58</v>
      </c>
      <c r="V3475">
        <v>57</v>
      </c>
      <c r="W3475">
        <v>7.9</v>
      </c>
    </row>
    <row r="3476" spans="1:23" x14ac:dyDescent="0.25">
      <c r="A3476">
        <v>10</v>
      </c>
      <c r="B3476" t="s">
        <v>34</v>
      </c>
      <c r="C3476" s="1">
        <v>45643</v>
      </c>
      <c r="D3476" t="s">
        <v>71</v>
      </c>
      <c r="E3476">
        <v>0</v>
      </c>
      <c r="F3476">
        <v>87</v>
      </c>
      <c r="G3476" t="str">
        <f t="shared" si="62"/>
        <v>81+</v>
      </c>
      <c r="H3476" t="s">
        <v>23</v>
      </c>
      <c r="I3476" t="s">
        <v>27</v>
      </c>
      <c r="J3476" t="s">
        <v>28</v>
      </c>
      <c r="K3476" t="s">
        <v>29</v>
      </c>
      <c r="L3476">
        <v>1</v>
      </c>
      <c r="M3476">
        <v>1</v>
      </c>
      <c r="N3476">
        <v>4.3</v>
      </c>
      <c r="O3476">
        <v>9.1999999999999993</v>
      </c>
      <c r="P3476">
        <v>7</v>
      </c>
      <c r="Q3476">
        <v>6</v>
      </c>
      <c r="R3476">
        <v>954471</v>
      </c>
      <c r="S3476">
        <f>Table1[[#This Row],[Revenue]]-Table1[[#This Row],[Operating_Costs]]</f>
        <v>283374</v>
      </c>
      <c r="T3476">
        <v>671097</v>
      </c>
      <c r="U3476">
        <v>54</v>
      </c>
      <c r="V3476">
        <v>61</v>
      </c>
      <c r="W3476">
        <v>7.1</v>
      </c>
    </row>
    <row r="3477" spans="1:23" x14ac:dyDescent="0.25">
      <c r="A3477">
        <v>10</v>
      </c>
      <c r="B3477" t="s">
        <v>34</v>
      </c>
      <c r="C3477" s="1">
        <v>44604</v>
      </c>
      <c r="D3477" t="s">
        <v>71</v>
      </c>
      <c r="E3477">
        <v>0</v>
      </c>
      <c r="F3477">
        <v>58</v>
      </c>
      <c r="G3477" t="str">
        <f t="shared" si="62"/>
        <v>41-60</v>
      </c>
      <c r="H3477" t="s">
        <v>35</v>
      </c>
      <c r="I3477" t="s">
        <v>36</v>
      </c>
      <c r="J3477" t="s">
        <v>37</v>
      </c>
      <c r="K3477" t="s">
        <v>29</v>
      </c>
      <c r="L3477">
        <v>1</v>
      </c>
      <c r="M3477">
        <v>1</v>
      </c>
      <c r="N3477">
        <v>3.3</v>
      </c>
      <c r="O3477">
        <v>9.5</v>
      </c>
      <c r="P3477">
        <v>7</v>
      </c>
      <c r="Q3477">
        <v>7</v>
      </c>
      <c r="R3477">
        <v>809669</v>
      </c>
      <c r="S3477">
        <f>Table1[[#This Row],[Revenue]]-Table1[[#This Row],[Operating_Costs]]</f>
        <v>177832</v>
      </c>
      <c r="T3477">
        <v>631837</v>
      </c>
      <c r="U3477">
        <v>57</v>
      </c>
      <c r="V3477">
        <v>63</v>
      </c>
      <c r="W3477">
        <v>13.2</v>
      </c>
    </row>
    <row r="3478" spans="1:23" x14ac:dyDescent="0.25">
      <c r="A3478">
        <v>10</v>
      </c>
      <c r="B3478" t="s">
        <v>34</v>
      </c>
      <c r="C3478" s="1">
        <v>44772</v>
      </c>
      <c r="D3478" t="s">
        <v>71</v>
      </c>
      <c r="E3478">
        <v>0</v>
      </c>
      <c r="F3478">
        <v>81</v>
      </c>
      <c r="G3478" t="str">
        <f t="shared" si="62"/>
        <v>81+</v>
      </c>
      <c r="H3478" t="s">
        <v>23</v>
      </c>
      <c r="I3478" t="s">
        <v>24</v>
      </c>
      <c r="J3478" t="s">
        <v>25</v>
      </c>
      <c r="K3478" t="s">
        <v>29</v>
      </c>
      <c r="L3478">
        <v>1</v>
      </c>
      <c r="M3478">
        <v>1</v>
      </c>
      <c r="N3478">
        <v>5.0999999999999996</v>
      </c>
      <c r="O3478">
        <v>7.2</v>
      </c>
      <c r="P3478">
        <v>3</v>
      </c>
      <c r="Q3478">
        <v>7</v>
      </c>
      <c r="R3478">
        <v>893297</v>
      </c>
      <c r="S3478">
        <f>Table1[[#This Row],[Revenue]]-Table1[[#This Row],[Operating_Costs]]</f>
        <v>209456</v>
      </c>
      <c r="T3478">
        <v>683841</v>
      </c>
      <c r="U3478">
        <v>67</v>
      </c>
      <c r="V3478">
        <v>64</v>
      </c>
      <c r="W3478">
        <v>14.4</v>
      </c>
    </row>
    <row r="3479" spans="1:23" x14ac:dyDescent="0.25">
      <c r="A3479">
        <v>10</v>
      </c>
      <c r="B3479" t="s">
        <v>34</v>
      </c>
      <c r="C3479" s="1">
        <v>45219</v>
      </c>
      <c r="D3479" t="s">
        <v>71</v>
      </c>
      <c r="E3479">
        <v>0</v>
      </c>
      <c r="F3479">
        <v>39</v>
      </c>
      <c r="G3479" t="str">
        <f t="shared" si="62"/>
        <v>21-40</v>
      </c>
      <c r="H3479" t="s">
        <v>35</v>
      </c>
      <c r="I3479" t="s">
        <v>36</v>
      </c>
      <c r="J3479" t="s">
        <v>37</v>
      </c>
      <c r="K3479" t="s">
        <v>26</v>
      </c>
      <c r="L3479">
        <v>1</v>
      </c>
      <c r="M3479">
        <v>1</v>
      </c>
      <c r="N3479">
        <v>6.3</v>
      </c>
      <c r="O3479">
        <v>7.5</v>
      </c>
      <c r="P3479">
        <v>7</v>
      </c>
      <c r="Q3479">
        <v>4</v>
      </c>
      <c r="R3479">
        <v>849606</v>
      </c>
      <c r="S3479">
        <f>Table1[[#This Row],[Revenue]]-Table1[[#This Row],[Operating_Costs]]</f>
        <v>198030</v>
      </c>
      <c r="T3479">
        <v>651576</v>
      </c>
      <c r="U3479">
        <v>68</v>
      </c>
      <c r="V3479">
        <v>61</v>
      </c>
      <c r="W3479">
        <v>7.8</v>
      </c>
    </row>
    <row r="3480" spans="1:23" x14ac:dyDescent="0.25">
      <c r="A3480">
        <v>10</v>
      </c>
      <c r="B3480" t="s">
        <v>34</v>
      </c>
      <c r="C3480" s="1">
        <v>44278</v>
      </c>
      <c r="D3480" t="s">
        <v>71</v>
      </c>
      <c r="E3480">
        <v>0</v>
      </c>
      <c r="F3480">
        <v>54</v>
      </c>
      <c r="G3480" t="str">
        <f t="shared" si="62"/>
        <v>41-60</v>
      </c>
      <c r="H3480" t="s">
        <v>23</v>
      </c>
      <c r="I3480" t="s">
        <v>43</v>
      </c>
      <c r="J3480" t="s">
        <v>25</v>
      </c>
      <c r="K3480" t="s">
        <v>33</v>
      </c>
      <c r="L3480">
        <v>1</v>
      </c>
      <c r="M3480">
        <v>1</v>
      </c>
      <c r="N3480">
        <v>3.9</v>
      </c>
      <c r="O3480">
        <v>7.5</v>
      </c>
      <c r="P3480">
        <v>3</v>
      </c>
      <c r="Q3480">
        <v>7</v>
      </c>
      <c r="R3480">
        <v>922807</v>
      </c>
      <c r="S3480">
        <f>Table1[[#This Row],[Revenue]]-Table1[[#This Row],[Operating_Costs]]</f>
        <v>299611</v>
      </c>
      <c r="T3480">
        <v>623196</v>
      </c>
      <c r="U3480">
        <v>51</v>
      </c>
      <c r="V3480">
        <v>61</v>
      </c>
      <c r="W3480">
        <v>12.4</v>
      </c>
    </row>
    <row r="3481" spans="1:23" x14ac:dyDescent="0.25">
      <c r="A3481">
        <v>10</v>
      </c>
      <c r="B3481" t="s">
        <v>34</v>
      </c>
      <c r="C3481" s="1">
        <v>44943</v>
      </c>
      <c r="D3481" t="s">
        <v>71</v>
      </c>
      <c r="E3481">
        <v>0</v>
      </c>
      <c r="F3481">
        <v>29</v>
      </c>
      <c r="G3481" t="str">
        <f t="shared" si="62"/>
        <v>21-40</v>
      </c>
      <c r="H3481" t="s">
        <v>23</v>
      </c>
      <c r="I3481" t="s">
        <v>46</v>
      </c>
      <c r="J3481" t="s">
        <v>47</v>
      </c>
      <c r="K3481" t="s">
        <v>26</v>
      </c>
      <c r="L3481">
        <v>1</v>
      </c>
      <c r="M3481">
        <v>1</v>
      </c>
      <c r="N3481">
        <v>2.2999999999999998</v>
      </c>
      <c r="O3481">
        <v>8.4</v>
      </c>
      <c r="P3481">
        <v>3</v>
      </c>
      <c r="Q3481">
        <v>5</v>
      </c>
      <c r="R3481">
        <v>894469</v>
      </c>
      <c r="S3481">
        <f>Table1[[#This Row],[Revenue]]-Table1[[#This Row],[Operating_Costs]]</f>
        <v>365089</v>
      </c>
      <c r="T3481">
        <v>529380</v>
      </c>
      <c r="U3481">
        <v>70</v>
      </c>
      <c r="V3481">
        <v>61</v>
      </c>
      <c r="W3481">
        <v>10.1</v>
      </c>
    </row>
    <row r="3482" spans="1:23" x14ac:dyDescent="0.25">
      <c r="A3482">
        <v>10</v>
      </c>
      <c r="B3482" t="s">
        <v>34</v>
      </c>
      <c r="C3482" s="1">
        <v>45538</v>
      </c>
      <c r="D3482" t="s">
        <v>71</v>
      </c>
      <c r="E3482">
        <v>0</v>
      </c>
      <c r="F3482">
        <v>73</v>
      </c>
      <c r="G3482" t="str">
        <f t="shared" si="62"/>
        <v>61-80</v>
      </c>
      <c r="H3482" t="s">
        <v>35</v>
      </c>
      <c r="I3482" t="s">
        <v>58</v>
      </c>
      <c r="J3482" t="s">
        <v>59</v>
      </c>
      <c r="K3482" t="s">
        <v>33</v>
      </c>
      <c r="L3482">
        <v>1</v>
      </c>
      <c r="M3482">
        <v>1</v>
      </c>
      <c r="N3482">
        <v>5.0999999999999996</v>
      </c>
      <c r="O3482">
        <v>7</v>
      </c>
      <c r="P3482">
        <v>5</v>
      </c>
      <c r="Q3482">
        <v>5</v>
      </c>
      <c r="R3482">
        <v>935792</v>
      </c>
      <c r="S3482">
        <f>Table1[[#This Row],[Revenue]]-Table1[[#This Row],[Operating_Costs]]</f>
        <v>316189</v>
      </c>
      <c r="T3482">
        <v>619603</v>
      </c>
      <c r="U3482">
        <v>64</v>
      </c>
      <c r="V3482">
        <v>59</v>
      </c>
      <c r="W3482">
        <v>8.1</v>
      </c>
    </row>
    <row r="3483" spans="1:23" x14ac:dyDescent="0.25">
      <c r="A3483">
        <v>10</v>
      </c>
      <c r="B3483" t="s">
        <v>34</v>
      </c>
      <c r="C3483" s="1">
        <v>44576</v>
      </c>
      <c r="D3483" t="s">
        <v>71</v>
      </c>
      <c r="E3483">
        <v>0</v>
      </c>
      <c r="F3483">
        <v>39</v>
      </c>
      <c r="G3483" t="str">
        <f t="shared" si="62"/>
        <v>21-40</v>
      </c>
      <c r="H3483" t="s">
        <v>35</v>
      </c>
      <c r="I3483" t="s">
        <v>36</v>
      </c>
      <c r="J3483" t="s">
        <v>37</v>
      </c>
      <c r="K3483" t="s">
        <v>33</v>
      </c>
      <c r="L3483">
        <v>1</v>
      </c>
      <c r="M3483">
        <v>1</v>
      </c>
      <c r="N3483">
        <v>6.8</v>
      </c>
      <c r="O3483">
        <v>7.4</v>
      </c>
      <c r="P3483">
        <v>6</v>
      </c>
      <c r="Q3483">
        <v>7</v>
      </c>
      <c r="R3483">
        <v>940274</v>
      </c>
      <c r="S3483">
        <f>Table1[[#This Row],[Revenue]]-Table1[[#This Row],[Operating_Costs]]</f>
        <v>395886</v>
      </c>
      <c r="T3483">
        <v>544388</v>
      </c>
      <c r="U3483">
        <v>68</v>
      </c>
      <c r="V3483">
        <v>64</v>
      </c>
      <c r="W3483">
        <v>12.9</v>
      </c>
    </row>
    <row r="3484" spans="1:23" x14ac:dyDescent="0.25">
      <c r="A3484">
        <v>10</v>
      </c>
      <c r="B3484" t="s">
        <v>34</v>
      </c>
      <c r="C3484" s="1">
        <v>45596</v>
      </c>
      <c r="D3484" t="s">
        <v>71</v>
      </c>
      <c r="E3484">
        <v>0</v>
      </c>
      <c r="F3484">
        <v>70</v>
      </c>
      <c r="G3484" t="str">
        <f t="shared" si="62"/>
        <v>61-80</v>
      </c>
      <c r="H3484" t="s">
        <v>35</v>
      </c>
      <c r="I3484" t="s">
        <v>58</v>
      </c>
      <c r="J3484" t="s">
        <v>59</v>
      </c>
      <c r="K3484" t="s">
        <v>33</v>
      </c>
      <c r="L3484">
        <v>1</v>
      </c>
      <c r="M3484">
        <v>1</v>
      </c>
      <c r="N3484">
        <v>5.7</v>
      </c>
      <c r="O3484">
        <v>9.6999999999999993</v>
      </c>
      <c r="P3484">
        <v>6</v>
      </c>
      <c r="Q3484">
        <v>7</v>
      </c>
      <c r="R3484">
        <v>834818</v>
      </c>
      <c r="S3484">
        <f>Table1[[#This Row],[Revenue]]-Table1[[#This Row],[Operating_Costs]]</f>
        <v>291039</v>
      </c>
      <c r="T3484">
        <v>543779</v>
      </c>
      <c r="U3484">
        <v>64</v>
      </c>
      <c r="V3484">
        <v>55</v>
      </c>
      <c r="W3484">
        <v>5.7</v>
      </c>
    </row>
    <row r="3485" spans="1:23" x14ac:dyDescent="0.25">
      <c r="A3485">
        <v>10</v>
      </c>
      <c r="B3485" t="s">
        <v>34</v>
      </c>
      <c r="C3485" s="1">
        <v>45466</v>
      </c>
      <c r="D3485" t="s">
        <v>71</v>
      </c>
      <c r="E3485">
        <v>0</v>
      </c>
      <c r="F3485">
        <v>80</v>
      </c>
      <c r="G3485" t="str">
        <f t="shared" si="62"/>
        <v>61-80</v>
      </c>
      <c r="H3485" t="s">
        <v>35</v>
      </c>
      <c r="I3485" t="s">
        <v>58</v>
      </c>
      <c r="J3485" t="s">
        <v>59</v>
      </c>
      <c r="K3485" t="s">
        <v>33</v>
      </c>
      <c r="L3485">
        <v>1</v>
      </c>
      <c r="M3485">
        <v>1</v>
      </c>
      <c r="N3485">
        <v>6.1</v>
      </c>
      <c r="O3485">
        <v>7.9</v>
      </c>
      <c r="P3485">
        <v>4</v>
      </c>
      <c r="Q3485">
        <v>6</v>
      </c>
      <c r="R3485">
        <v>955833</v>
      </c>
      <c r="S3485">
        <f>Table1[[#This Row],[Revenue]]-Table1[[#This Row],[Operating_Costs]]</f>
        <v>381659</v>
      </c>
      <c r="T3485">
        <v>574174</v>
      </c>
      <c r="U3485">
        <v>53</v>
      </c>
      <c r="V3485">
        <v>58</v>
      </c>
      <c r="W3485">
        <v>8.6</v>
      </c>
    </row>
    <row r="3486" spans="1:23" x14ac:dyDescent="0.25">
      <c r="A3486">
        <v>10</v>
      </c>
      <c r="B3486" t="s">
        <v>34</v>
      </c>
      <c r="C3486" s="1">
        <v>45402</v>
      </c>
      <c r="D3486" t="s">
        <v>71</v>
      </c>
      <c r="E3486">
        <v>0</v>
      </c>
      <c r="F3486">
        <v>21</v>
      </c>
      <c r="G3486" t="str">
        <f t="shared" si="62"/>
        <v>21-40</v>
      </c>
      <c r="H3486" t="s">
        <v>35</v>
      </c>
      <c r="I3486" t="s">
        <v>61</v>
      </c>
      <c r="J3486" t="s">
        <v>62</v>
      </c>
      <c r="K3486" t="s">
        <v>42</v>
      </c>
      <c r="L3486">
        <v>1</v>
      </c>
      <c r="M3486">
        <v>1</v>
      </c>
      <c r="N3486">
        <v>2.6</v>
      </c>
      <c r="O3486">
        <v>9.3000000000000007</v>
      </c>
      <c r="P3486">
        <v>7</v>
      </c>
      <c r="Q3486">
        <v>7</v>
      </c>
      <c r="R3486">
        <v>980151</v>
      </c>
      <c r="S3486">
        <f>Table1[[#This Row],[Revenue]]-Table1[[#This Row],[Operating_Costs]]</f>
        <v>433574</v>
      </c>
      <c r="T3486">
        <v>546577</v>
      </c>
      <c r="U3486">
        <v>67</v>
      </c>
      <c r="V3486">
        <v>57</v>
      </c>
      <c r="W3486">
        <v>14.7</v>
      </c>
    </row>
    <row r="3487" spans="1:23" x14ac:dyDescent="0.25">
      <c r="A3487">
        <v>10</v>
      </c>
      <c r="B3487" t="s">
        <v>34</v>
      </c>
      <c r="C3487" s="1">
        <v>45175</v>
      </c>
      <c r="D3487" t="s">
        <v>71</v>
      </c>
      <c r="E3487">
        <v>0</v>
      </c>
      <c r="F3487">
        <v>79</v>
      </c>
      <c r="G3487" t="str">
        <f t="shared" si="62"/>
        <v>61-80</v>
      </c>
      <c r="H3487" t="s">
        <v>23</v>
      </c>
      <c r="I3487" t="s">
        <v>24</v>
      </c>
      <c r="J3487" t="s">
        <v>25</v>
      </c>
      <c r="K3487" t="s">
        <v>33</v>
      </c>
      <c r="L3487">
        <v>1</v>
      </c>
      <c r="M3487">
        <v>1</v>
      </c>
      <c r="N3487">
        <v>4.2</v>
      </c>
      <c r="O3487">
        <v>9.5</v>
      </c>
      <c r="P3487">
        <v>7</v>
      </c>
      <c r="Q3487">
        <v>5</v>
      </c>
      <c r="R3487">
        <v>884355</v>
      </c>
      <c r="S3487">
        <f>Table1[[#This Row],[Revenue]]-Table1[[#This Row],[Operating_Costs]]</f>
        <v>256160</v>
      </c>
      <c r="T3487">
        <v>628195</v>
      </c>
      <c r="U3487">
        <v>50</v>
      </c>
      <c r="V3487">
        <v>61</v>
      </c>
      <c r="W3487">
        <v>8.8000000000000007</v>
      </c>
    </row>
    <row r="3488" spans="1:23" x14ac:dyDescent="0.25">
      <c r="A3488">
        <v>10</v>
      </c>
      <c r="B3488" t="s">
        <v>34</v>
      </c>
      <c r="C3488" s="1">
        <v>44950</v>
      </c>
      <c r="D3488" t="s">
        <v>71</v>
      </c>
      <c r="E3488">
        <v>0</v>
      </c>
      <c r="F3488">
        <v>61</v>
      </c>
      <c r="G3488" t="str">
        <f t="shared" si="62"/>
        <v>61-80</v>
      </c>
      <c r="H3488" t="s">
        <v>23</v>
      </c>
      <c r="I3488" t="s">
        <v>40</v>
      </c>
      <c r="J3488" t="s">
        <v>41</v>
      </c>
      <c r="K3488" t="s">
        <v>26</v>
      </c>
      <c r="L3488">
        <v>1</v>
      </c>
      <c r="M3488">
        <v>1</v>
      </c>
      <c r="N3488">
        <v>3.2</v>
      </c>
      <c r="O3488">
        <v>7.6</v>
      </c>
      <c r="P3488">
        <v>6</v>
      </c>
      <c r="Q3488">
        <v>7</v>
      </c>
      <c r="R3488">
        <v>982998</v>
      </c>
      <c r="S3488">
        <f>Table1[[#This Row],[Revenue]]-Table1[[#This Row],[Operating_Costs]]</f>
        <v>384773</v>
      </c>
      <c r="T3488">
        <v>598225</v>
      </c>
      <c r="U3488">
        <v>68</v>
      </c>
      <c r="V3488">
        <v>56</v>
      </c>
      <c r="W3488">
        <v>5.0999999999999996</v>
      </c>
    </row>
    <row r="3489" spans="1:23" x14ac:dyDescent="0.25">
      <c r="A3489">
        <v>10</v>
      </c>
      <c r="B3489" t="s">
        <v>34</v>
      </c>
      <c r="C3489" s="1">
        <v>45337</v>
      </c>
      <c r="D3489" t="s">
        <v>71</v>
      </c>
      <c r="E3489">
        <v>0</v>
      </c>
      <c r="F3489">
        <v>32</v>
      </c>
      <c r="G3489" t="str">
        <f t="shared" si="62"/>
        <v>21-40</v>
      </c>
      <c r="H3489" t="s">
        <v>35</v>
      </c>
      <c r="I3489" t="s">
        <v>36</v>
      </c>
      <c r="J3489" t="s">
        <v>37</v>
      </c>
      <c r="K3489" t="s">
        <v>38</v>
      </c>
      <c r="L3489">
        <v>1</v>
      </c>
      <c r="M3489">
        <v>1</v>
      </c>
      <c r="N3489">
        <v>4.5999999999999996</v>
      </c>
      <c r="O3489">
        <v>9.1</v>
      </c>
      <c r="P3489">
        <v>3</v>
      </c>
      <c r="Q3489">
        <v>6</v>
      </c>
      <c r="R3489">
        <v>920750</v>
      </c>
      <c r="S3489">
        <f>Table1[[#This Row],[Revenue]]-Table1[[#This Row],[Operating_Costs]]</f>
        <v>407449</v>
      </c>
      <c r="T3489">
        <v>513301</v>
      </c>
      <c r="U3489">
        <v>59</v>
      </c>
      <c r="V3489">
        <v>55</v>
      </c>
      <c r="W3489">
        <v>10.9</v>
      </c>
    </row>
    <row r="3490" spans="1:23" x14ac:dyDescent="0.25">
      <c r="A3490">
        <v>10</v>
      </c>
      <c r="B3490" t="s">
        <v>34</v>
      </c>
      <c r="C3490" s="1">
        <v>44240</v>
      </c>
      <c r="D3490" t="s">
        <v>71</v>
      </c>
      <c r="E3490">
        <v>0</v>
      </c>
      <c r="F3490">
        <v>77</v>
      </c>
      <c r="G3490" t="str">
        <f t="shared" si="62"/>
        <v>61-80</v>
      </c>
      <c r="H3490" t="s">
        <v>23</v>
      </c>
      <c r="I3490" t="s">
        <v>50</v>
      </c>
      <c r="J3490" t="s">
        <v>51</v>
      </c>
      <c r="K3490" t="s">
        <v>33</v>
      </c>
      <c r="L3490">
        <v>1</v>
      </c>
      <c r="M3490">
        <v>1</v>
      </c>
      <c r="N3490">
        <v>5.5</v>
      </c>
      <c r="O3490">
        <v>9.8000000000000007</v>
      </c>
      <c r="P3490">
        <v>4</v>
      </c>
      <c r="Q3490">
        <v>5</v>
      </c>
      <c r="R3490">
        <v>888061</v>
      </c>
      <c r="S3490">
        <f>Table1[[#This Row],[Revenue]]-Table1[[#This Row],[Operating_Costs]]</f>
        <v>260855</v>
      </c>
      <c r="T3490">
        <v>627206</v>
      </c>
      <c r="U3490">
        <v>51</v>
      </c>
      <c r="V3490">
        <v>58</v>
      </c>
      <c r="W3490">
        <v>6.4</v>
      </c>
    </row>
    <row r="3491" spans="1:23" x14ac:dyDescent="0.25">
      <c r="A3491">
        <v>10</v>
      </c>
      <c r="B3491" t="s">
        <v>34</v>
      </c>
      <c r="C3491" s="1">
        <v>44557</v>
      </c>
      <c r="D3491" t="s">
        <v>71</v>
      </c>
      <c r="E3491">
        <v>0</v>
      </c>
      <c r="F3491">
        <v>44</v>
      </c>
      <c r="G3491" t="str">
        <f t="shared" si="62"/>
        <v>41-60</v>
      </c>
      <c r="H3491" t="s">
        <v>23</v>
      </c>
      <c r="I3491" t="s">
        <v>27</v>
      </c>
      <c r="J3491" t="s">
        <v>28</v>
      </c>
      <c r="K3491" t="s">
        <v>33</v>
      </c>
      <c r="L3491">
        <v>1</v>
      </c>
      <c r="M3491">
        <v>1</v>
      </c>
      <c r="N3491">
        <v>1.1000000000000001</v>
      </c>
      <c r="O3491">
        <v>8.4</v>
      </c>
      <c r="P3491">
        <v>5</v>
      </c>
      <c r="Q3491">
        <v>7</v>
      </c>
      <c r="R3491">
        <v>871923</v>
      </c>
      <c r="S3491">
        <f>Table1[[#This Row],[Revenue]]-Table1[[#This Row],[Operating_Costs]]</f>
        <v>302606</v>
      </c>
      <c r="T3491">
        <v>569317</v>
      </c>
      <c r="U3491">
        <v>52</v>
      </c>
      <c r="V3491">
        <v>54</v>
      </c>
      <c r="W3491">
        <v>36.1</v>
      </c>
    </row>
    <row r="3492" spans="1:23" x14ac:dyDescent="0.25">
      <c r="A3492">
        <v>10</v>
      </c>
      <c r="B3492" t="s">
        <v>34</v>
      </c>
      <c r="C3492" s="1">
        <v>45412</v>
      </c>
      <c r="D3492" t="s">
        <v>71</v>
      </c>
      <c r="E3492">
        <v>0</v>
      </c>
      <c r="F3492">
        <v>35</v>
      </c>
      <c r="G3492" t="str">
        <f t="shared" si="62"/>
        <v>21-40</v>
      </c>
      <c r="H3492" t="s">
        <v>35</v>
      </c>
      <c r="I3492" t="s">
        <v>61</v>
      </c>
      <c r="J3492" t="s">
        <v>62</v>
      </c>
      <c r="K3492" t="s">
        <v>29</v>
      </c>
      <c r="L3492">
        <v>1</v>
      </c>
      <c r="M3492">
        <v>1</v>
      </c>
      <c r="N3492">
        <v>4.8</v>
      </c>
      <c r="O3492">
        <v>8.5</v>
      </c>
      <c r="P3492">
        <v>7</v>
      </c>
      <c r="Q3492">
        <v>5</v>
      </c>
      <c r="R3492">
        <v>853361</v>
      </c>
      <c r="S3492">
        <f>Table1[[#This Row],[Revenue]]-Table1[[#This Row],[Operating_Costs]]</f>
        <v>352343</v>
      </c>
      <c r="T3492">
        <v>501018</v>
      </c>
      <c r="U3492">
        <v>60</v>
      </c>
      <c r="V3492">
        <v>56</v>
      </c>
      <c r="W3492">
        <v>13.5</v>
      </c>
    </row>
    <row r="3493" spans="1:23" x14ac:dyDescent="0.25">
      <c r="A3493">
        <v>10</v>
      </c>
      <c r="B3493" t="s">
        <v>34</v>
      </c>
      <c r="C3493" s="1">
        <v>44392</v>
      </c>
      <c r="D3493" t="s">
        <v>71</v>
      </c>
      <c r="E3493">
        <v>0</v>
      </c>
      <c r="F3493">
        <v>89</v>
      </c>
      <c r="G3493" t="str">
        <f t="shared" si="62"/>
        <v>81+</v>
      </c>
      <c r="H3493" t="s">
        <v>35</v>
      </c>
      <c r="I3493" t="s">
        <v>64</v>
      </c>
      <c r="J3493" t="s">
        <v>65</v>
      </c>
      <c r="K3493" t="s">
        <v>26</v>
      </c>
      <c r="L3493">
        <v>1</v>
      </c>
      <c r="M3493">
        <v>1</v>
      </c>
      <c r="N3493">
        <v>5</v>
      </c>
      <c r="O3493">
        <v>8.1</v>
      </c>
      <c r="P3493">
        <v>5</v>
      </c>
      <c r="Q3493">
        <v>4</v>
      </c>
      <c r="R3493">
        <v>931379</v>
      </c>
      <c r="S3493">
        <f>Table1[[#This Row],[Revenue]]-Table1[[#This Row],[Operating_Costs]]</f>
        <v>287420</v>
      </c>
      <c r="T3493">
        <v>643959</v>
      </c>
      <c r="U3493">
        <v>50</v>
      </c>
      <c r="V3493">
        <v>64</v>
      </c>
      <c r="W3493">
        <v>5.7</v>
      </c>
    </row>
    <row r="3494" spans="1:23" x14ac:dyDescent="0.25">
      <c r="A3494">
        <v>10</v>
      </c>
      <c r="B3494" t="s">
        <v>34</v>
      </c>
      <c r="C3494" s="1">
        <v>44960</v>
      </c>
      <c r="D3494" t="s">
        <v>71</v>
      </c>
      <c r="E3494">
        <v>0</v>
      </c>
      <c r="F3494">
        <v>28</v>
      </c>
      <c r="G3494" t="str">
        <f t="shared" si="62"/>
        <v>21-40</v>
      </c>
      <c r="H3494" t="s">
        <v>23</v>
      </c>
      <c r="I3494" t="s">
        <v>64</v>
      </c>
      <c r="J3494" t="s">
        <v>65</v>
      </c>
      <c r="K3494" t="s">
        <v>26</v>
      </c>
      <c r="L3494">
        <v>1</v>
      </c>
      <c r="M3494">
        <v>1</v>
      </c>
      <c r="N3494">
        <v>2.5</v>
      </c>
      <c r="O3494">
        <v>9.4</v>
      </c>
      <c r="P3494">
        <v>4</v>
      </c>
      <c r="Q3494">
        <v>4</v>
      </c>
      <c r="R3494">
        <v>830161</v>
      </c>
      <c r="S3494">
        <f>Table1[[#This Row],[Revenue]]-Table1[[#This Row],[Operating_Costs]]</f>
        <v>289794</v>
      </c>
      <c r="T3494">
        <v>540367</v>
      </c>
      <c r="U3494">
        <v>60</v>
      </c>
      <c r="V3494">
        <v>57</v>
      </c>
      <c r="W3494">
        <v>13.4</v>
      </c>
    </row>
    <row r="3495" spans="1:23" x14ac:dyDescent="0.25">
      <c r="A3495">
        <v>10</v>
      </c>
      <c r="B3495" t="s">
        <v>34</v>
      </c>
      <c r="C3495" s="1">
        <v>44493</v>
      </c>
      <c r="D3495" t="s">
        <v>71</v>
      </c>
      <c r="E3495">
        <v>0</v>
      </c>
      <c r="F3495">
        <v>46</v>
      </c>
      <c r="G3495" t="str">
        <f t="shared" si="62"/>
        <v>41-60</v>
      </c>
      <c r="H3495" t="s">
        <v>23</v>
      </c>
      <c r="I3495" t="s">
        <v>24</v>
      </c>
      <c r="J3495" t="s">
        <v>25</v>
      </c>
      <c r="K3495" t="s">
        <v>42</v>
      </c>
      <c r="L3495">
        <v>1</v>
      </c>
      <c r="M3495">
        <v>1</v>
      </c>
      <c r="N3495">
        <v>1</v>
      </c>
      <c r="O3495">
        <v>9.4</v>
      </c>
      <c r="P3495">
        <v>6</v>
      </c>
      <c r="Q3495">
        <v>7</v>
      </c>
      <c r="R3495">
        <v>958487</v>
      </c>
      <c r="S3495">
        <f>Table1[[#This Row],[Revenue]]-Table1[[#This Row],[Operating_Costs]]</f>
        <v>301611</v>
      </c>
      <c r="T3495">
        <v>656876</v>
      </c>
      <c r="U3495">
        <v>70</v>
      </c>
      <c r="V3495">
        <v>56</v>
      </c>
      <c r="W3495">
        <v>10.7</v>
      </c>
    </row>
    <row r="3496" spans="1:23" x14ac:dyDescent="0.25">
      <c r="A3496">
        <v>10</v>
      </c>
      <c r="B3496" t="s">
        <v>34</v>
      </c>
      <c r="C3496" s="1">
        <v>45545</v>
      </c>
      <c r="D3496" t="s">
        <v>71</v>
      </c>
      <c r="E3496">
        <v>0</v>
      </c>
      <c r="F3496">
        <v>23</v>
      </c>
      <c r="G3496" t="str">
        <f t="shared" si="62"/>
        <v>21-40</v>
      </c>
      <c r="H3496" t="s">
        <v>23</v>
      </c>
      <c r="I3496" t="s">
        <v>55</v>
      </c>
      <c r="J3496" t="s">
        <v>56</v>
      </c>
      <c r="K3496" t="s">
        <v>33</v>
      </c>
      <c r="L3496">
        <v>1</v>
      </c>
      <c r="M3496">
        <v>1</v>
      </c>
      <c r="N3496">
        <v>2</v>
      </c>
      <c r="O3496">
        <v>7.6</v>
      </c>
      <c r="P3496">
        <v>7</v>
      </c>
      <c r="Q3496">
        <v>6</v>
      </c>
      <c r="R3496">
        <v>916150</v>
      </c>
      <c r="S3496">
        <f>Table1[[#This Row],[Revenue]]-Table1[[#This Row],[Operating_Costs]]</f>
        <v>355827</v>
      </c>
      <c r="T3496">
        <v>560323</v>
      </c>
      <c r="U3496">
        <v>61</v>
      </c>
      <c r="V3496">
        <v>59</v>
      </c>
      <c r="W3496">
        <v>36.700000000000003</v>
      </c>
    </row>
    <row r="3497" spans="1:23" x14ac:dyDescent="0.25">
      <c r="A3497">
        <v>10</v>
      </c>
      <c r="B3497" t="s">
        <v>34</v>
      </c>
      <c r="C3497" s="1">
        <v>45303</v>
      </c>
      <c r="D3497" t="s">
        <v>71</v>
      </c>
      <c r="E3497">
        <v>0</v>
      </c>
      <c r="F3497">
        <v>49</v>
      </c>
      <c r="G3497" t="str">
        <f t="shared" si="62"/>
        <v>41-60</v>
      </c>
      <c r="H3497" t="s">
        <v>35</v>
      </c>
      <c r="I3497" t="s">
        <v>36</v>
      </c>
      <c r="J3497" t="s">
        <v>37</v>
      </c>
      <c r="K3497" t="s">
        <v>29</v>
      </c>
      <c r="L3497">
        <v>1</v>
      </c>
      <c r="M3497">
        <v>1</v>
      </c>
      <c r="N3497">
        <v>3.5</v>
      </c>
      <c r="O3497">
        <v>7.3</v>
      </c>
      <c r="P3497">
        <v>3</v>
      </c>
      <c r="Q3497">
        <v>4</v>
      </c>
      <c r="R3497">
        <v>838877</v>
      </c>
      <c r="S3497">
        <f>Table1[[#This Row],[Revenue]]-Table1[[#This Row],[Operating_Costs]]</f>
        <v>216380</v>
      </c>
      <c r="T3497">
        <v>622497</v>
      </c>
      <c r="U3497">
        <v>51</v>
      </c>
      <c r="V3497">
        <v>57</v>
      </c>
      <c r="W3497">
        <v>12.8</v>
      </c>
    </row>
    <row r="3498" spans="1:23" x14ac:dyDescent="0.25">
      <c r="A3498">
        <v>10</v>
      </c>
      <c r="B3498" t="s">
        <v>34</v>
      </c>
      <c r="C3498" s="1">
        <v>44206</v>
      </c>
      <c r="D3498" t="s">
        <v>71</v>
      </c>
      <c r="E3498">
        <v>0</v>
      </c>
      <c r="F3498">
        <v>43</v>
      </c>
      <c r="G3498" t="str">
        <f t="shared" si="62"/>
        <v>41-60</v>
      </c>
      <c r="H3498" t="s">
        <v>35</v>
      </c>
      <c r="I3498" t="s">
        <v>36</v>
      </c>
      <c r="J3498" t="s">
        <v>37</v>
      </c>
      <c r="K3498" t="s">
        <v>42</v>
      </c>
      <c r="L3498">
        <v>1</v>
      </c>
      <c r="M3498">
        <v>1</v>
      </c>
      <c r="N3498">
        <v>2.4</v>
      </c>
      <c r="O3498">
        <v>7.6</v>
      </c>
      <c r="P3498">
        <v>6</v>
      </c>
      <c r="Q3498">
        <v>3</v>
      </c>
      <c r="R3498">
        <v>946406</v>
      </c>
      <c r="S3498">
        <f>Table1[[#This Row],[Revenue]]-Table1[[#This Row],[Operating_Costs]]</f>
        <v>267861</v>
      </c>
      <c r="T3498">
        <v>678545</v>
      </c>
      <c r="U3498">
        <v>51</v>
      </c>
      <c r="V3498">
        <v>62</v>
      </c>
      <c r="W3498">
        <v>13.4</v>
      </c>
    </row>
    <row r="3499" spans="1:23" x14ac:dyDescent="0.25">
      <c r="A3499">
        <v>10</v>
      </c>
      <c r="B3499" t="s">
        <v>34</v>
      </c>
      <c r="C3499" s="1">
        <v>44326</v>
      </c>
      <c r="D3499" t="s">
        <v>71</v>
      </c>
      <c r="E3499">
        <v>0</v>
      </c>
      <c r="F3499">
        <v>49</v>
      </c>
      <c r="G3499" t="str">
        <f t="shared" si="62"/>
        <v>41-60</v>
      </c>
      <c r="H3499" t="s">
        <v>35</v>
      </c>
      <c r="I3499" t="s">
        <v>64</v>
      </c>
      <c r="J3499" t="s">
        <v>65</v>
      </c>
      <c r="K3499" t="s">
        <v>29</v>
      </c>
      <c r="L3499">
        <v>1</v>
      </c>
      <c r="M3499">
        <v>1</v>
      </c>
      <c r="N3499">
        <v>4.9000000000000004</v>
      </c>
      <c r="O3499">
        <v>8.4</v>
      </c>
      <c r="P3499">
        <v>3</v>
      </c>
      <c r="Q3499">
        <v>4</v>
      </c>
      <c r="R3499">
        <v>896521</v>
      </c>
      <c r="S3499">
        <f>Table1[[#This Row],[Revenue]]-Table1[[#This Row],[Operating_Costs]]</f>
        <v>309856</v>
      </c>
      <c r="T3499">
        <v>586665</v>
      </c>
      <c r="U3499">
        <v>67</v>
      </c>
      <c r="V3499">
        <v>54</v>
      </c>
      <c r="W3499">
        <v>6.5</v>
      </c>
    </row>
    <row r="3500" spans="1:23" x14ac:dyDescent="0.25">
      <c r="A3500">
        <v>10</v>
      </c>
      <c r="B3500" t="s">
        <v>34</v>
      </c>
      <c r="C3500" s="1">
        <v>44428</v>
      </c>
      <c r="D3500" t="s">
        <v>71</v>
      </c>
      <c r="E3500">
        <v>0</v>
      </c>
      <c r="F3500">
        <v>49</v>
      </c>
      <c r="G3500" t="str">
        <f t="shared" si="62"/>
        <v>41-60</v>
      </c>
      <c r="H3500" t="s">
        <v>35</v>
      </c>
      <c r="I3500" t="s">
        <v>27</v>
      </c>
      <c r="J3500" t="s">
        <v>28</v>
      </c>
      <c r="K3500" t="s">
        <v>33</v>
      </c>
      <c r="L3500">
        <v>1</v>
      </c>
      <c r="M3500">
        <v>1</v>
      </c>
      <c r="N3500">
        <v>3.4</v>
      </c>
      <c r="O3500">
        <v>9.4</v>
      </c>
      <c r="P3500">
        <v>5</v>
      </c>
      <c r="Q3500">
        <v>5</v>
      </c>
      <c r="R3500">
        <v>987343</v>
      </c>
      <c r="S3500">
        <f>Table1[[#This Row],[Revenue]]-Table1[[#This Row],[Operating_Costs]]</f>
        <v>377056</v>
      </c>
      <c r="T3500">
        <v>610287</v>
      </c>
      <c r="U3500">
        <v>68</v>
      </c>
      <c r="V3500">
        <v>55</v>
      </c>
      <c r="W3500">
        <v>14.5</v>
      </c>
    </row>
    <row r="3501" spans="1:23" x14ac:dyDescent="0.25">
      <c r="A3501">
        <v>10</v>
      </c>
      <c r="B3501" t="s">
        <v>34</v>
      </c>
      <c r="C3501" s="1">
        <v>44915</v>
      </c>
      <c r="D3501" t="s">
        <v>71</v>
      </c>
      <c r="E3501">
        <v>0</v>
      </c>
      <c r="F3501">
        <v>33</v>
      </c>
      <c r="G3501" t="str">
        <f t="shared" si="62"/>
        <v>21-40</v>
      </c>
      <c r="H3501" t="s">
        <v>23</v>
      </c>
      <c r="I3501" t="s">
        <v>61</v>
      </c>
      <c r="J3501" t="s">
        <v>62</v>
      </c>
      <c r="K3501" t="s">
        <v>26</v>
      </c>
      <c r="L3501">
        <v>1</v>
      </c>
      <c r="M3501">
        <v>1</v>
      </c>
      <c r="N3501">
        <v>1.4</v>
      </c>
      <c r="O3501">
        <v>7.7</v>
      </c>
      <c r="P3501">
        <v>3</v>
      </c>
      <c r="Q3501">
        <v>4</v>
      </c>
      <c r="R3501">
        <v>853344</v>
      </c>
      <c r="S3501">
        <f>Table1[[#This Row],[Revenue]]-Table1[[#This Row],[Operating_Costs]]</f>
        <v>176203</v>
      </c>
      <c r="T3501">
        <v>677141</v>
      </c>
      <c r="U3501">
        <v>68</v>
      </c>
      <c r="V3501">
        <v>55</v>
      </c>
      <c r="W3501">
        <v>10.5</v>
      </c>
    </row>
    <row r="3502" spans="1:23" x14ac:dyDescent="0.25">
      <c r="A3502">
        <v>10</v>
      </c>
      <c r="B3502" t="s">
        <v>34</v>
      </c>
      <c r="C3502" s="1">
        <v>44203</v>
      </c>
      <c r="D3502" t="s">
        <v>71</v>
      </c>
      <c r="E3502">
        <v>0</v>
      </c>
      <c r="F3502">
        <v>33</v>
      </c>
      <c r="G3502" t="str">
        <f t="shared" si="62"/>
        <v>21-40</v>
      </c>
      <c r="H3502" t="s">
        <v>23</v>
      </c>
      <c r="I3502" t="s">
        <v>24</v>
      </c>
      <c r="J3502" t="s">
        <v>25</v>
      </c>
      <c r="K3502" t="s">
        <v>42</v>
      </c>
      <c r="L3502">
        <v>1</v>
      </c>
      <c r="M3502">
        <v>1</v>
      </c>
      <c r="N3502">
        <v>2.7</v>
      </c>
      <c r="O3502">
        <v>9.6999999999999993</v>
      </c>
      <c r="P3502">
        <v>4</v>
      </c>
      <c r="Q3502">
        <v>7</v>
      </c>
      <c r="R3502">
        <v>955843</v>
      </c>
      <c r="S3502">
        <f>Table1[[#This Row],[Revenue]]-Table1[[#This Row],[Operating_Costs]]</f>
        <v>291061</v>
      </c>
      <c r="T3502">
        <v>664782</v>
      </c>
      <c r="U3502">
        <v>61</v>
      </c>
      <c r="V3502">
        <v>56</v>
      </c>
      <c r="W3502">
        <v>12.7</v>
      </c>
    </row>
    <row r="3503" spans="1:23" x14ac:dyDescent="0.25">
      <c r="A3503">
        <v>10</v>
      </c>
      <c r="B3503" t="s">
        <v>34</v>
      </c>
      <c r="C3503" s="1">
        <v>44655</v>
      </c>
      <c r="D3503" t="s">
        <v>71</v>
      </c>
      <c r="E3503">
        <v>0</v>
      </c>
      <c r="F3503">
        <v>69</v>
      </c>
      <c r="G3503" t="str">
        <f t="shared" si="62"/>
        <v>61-80</v>
      </c>
      <c r="H3503" t="s">
        <v>23</v>
      </c>
      <c r="I3503" t="s">
        <v>46</v>
      </c>
      <c r="J3503" t="s">
        <v>47</v>
      </c>
      <c r="K3503" t="s">
        <v>42</v>
      </c>
      <c r="L3503">
        <v>1</v>
      </c>
      <c r="M3503">
        <v>1</v>
      </c>
      <c r="N3503">
        <v>6.9</v>
      </c>
      <c r="O3503">
        <v>7</v>
      </c>
      <c r="P3503">
        <v>7</v>
      </c>
      <c r="Q3503">
        <v>7</v>
      </c>
      <c r="R3503">
        <v>841666</v>
      </c>
      <c r="S3503">
        <f>Table1[[#This Row],[Revenue]]-Table1[[#This Row],[Operating_Costs]]</f>
        <v>245145</v>
      </c>
      <c r="T3503">
        <v>596521</v>
      </c>
      <c r="U3503">
        <v>61</v>
      </c>
      <c r="V3503">
        <v>57</v>
      </c>
      <c r="W3503">
        <v>6.7</v>
      </c>
    </row>
    <row r="3504" spans="1:23" x14ac:dyDescent="0.25">
      <c r="A3504">
        <v>10</v>
      </c>
      <c r="B3504" t="s">
        <v>34</v>
      </c>
      <c r="C3504" s="1">
        <v>44793</v>
      </c>
      <c r="D3504" t="s">
        <v>71</v>
      </c>
      <c r="E3504">
        <v>0</v>
      </c>
      <c r="F3504">
        <v>69</v>
      </c>
      <c r="G3504" t="str">
        <f t="shared" si="62"/>
        <v>61-80</v>
      </c>
      <c r="H3504" t="s">
        <v>23</v>
      </c>
      <c r="I3504" t="s">
        <v>46</v>
      </c>
      <c r="J3504" t="s">
        <v>47</v>
      </c>
      <c r="K3504" t="s">
        <v>38</v>
      </c>
      <c r="L3504">
        <v>1</v>
      </c>
      <c r="M3504">
        <v>1</v>
      </c>
      <c r="N3504">
        <v>5.4</v>
      </c>
      <c r="O3504">
        <v>9.3000000000000007</v>
      </c>
      <c r="P3504">
        <v>7</v>
      </c>
      <c r="Q3504">
        <v>7</v>
      </c>
      <c r="R3504">
        <v>887317</v>
      </c>
      <c r="S3504">
        <f>Table1[[#This Row],[Revenue]]-Table1[[#This Row],[Operating_Costs]]</f>
        <v>249346</v>
      </c>
      <c r="T3504">
        <v>637971</v>
      </c>
      <c r="U3504">
        <v>53</v>
      </c>
      <c r="V3504">
        <v>55</v>
      </c>
      <c r="W3504">
        <v>8.6999999999999993</v>
      </c>
    </row>
    <row r="3505" spans="1:23" x14ac:dyDescent="0.25">
      <c r="A3505">
        <v>10</v>
      </c>
      <c r="B3505" t="s">
        <v>34</v>
      </c>
      <c r="C3505" s="1">
        <v>44484</v>
      </c>
      <c r="D3505" t="s">
        <v>71</v>
      </c>
      <c r="E3505">
        <v>0</v>
      </c>
      <c r="F3505">
        <v>38</v>
      </c>
      <c r="G3505" t="str">
        <f t="shared" si="62"/>
        <v>21-40</v>
      </c>
      <c r="H3505" t="s">
        <v>23</v>
      </c>
      <c r="I3505" t="s">
        <v>61</v>
      </c>
      <c r="J3505" t="s">
        <v>62</v>
      </c>
      <c r="K3505" t="s">
        <v>42</v>
      </c>
      <c r="L3505">
        <v>1</v>
      </c>
      <c r="M3505">
        <v>1</v>
      </c>
      <c r="N3505">
        <v>3.9</v>
      </c>
      <c r="O3505">
        <v>7.6</v>
      </c>
      <c r="P3505">
        <v>3</v>
      </c>
      <c r="Q3505">
        <v>7</v>
      </c>
      <c r="R3505">
        <v>967518</v>
      </c>
      <c r="S3505">
        <f>Table1[[#This Row],[Revenue]]-Table1[[#This Row],[Operating_Costs]]</f>
        <v>320734</v>
      </c>
      <c r="T3505">
        <v>646784</v>
      </c>
      <c r="U3505">
        <v>67</v>
      </c>
      <c r="V3505">
        <v>58</v>
      </c>
      <c r="W3505">
        <v>5.5</v>
      </c>
    </row>
    <row r="3506" spans="1:23" x14ac:dyDescent="0.25">
      <c r="A3506">
        <v>10</v>
      </c>
      <c r="B3506" t="s">
        <v>34</v>
      </c>
      <c r="C3506" s="1">
        <v>45418</v>
      </c>
      <c r="D3506" t="s">
        <v>71</v>
      </c>
      <c r="E3506">
        <v>0</v>
      </c>
      <c r="F3506">
        <v>57</v>
      </c>
      <c r="G3506" t="str">
        <f t="shared" si="62"/>
        <v>41-60</v>
      </c>
      <c r="H3506" t="s">
        <v>23</v>
      </c>
      <c r="I3506" t="s">
        <v>61</v>
      </c>
      <c r="J3506" t="s">
        <v>62</v>
      </c>
      <c r="K3506" t="s">
        <v>29</v>
      </c>
      <c r="L3506">
        <v>1</v>
      </c>
      <c r="M3506">
        <v>1</v>
      </c>
      <c r="N3506">
        <v>3</v>
      </c>
      <c r="O3506">
        <v>7.5</v>
      </c>
      <c r="P3506">
        <v>3</v>
      </c>
      <c r="Q3506">
        <v>4</v>
      </c>
      <c r="R3506">
        <v>858451</v>
      </c>
      <c r="S3506">
        <f>Table1[[#This Row],[Revenue]]-Table1[[#This Row],[Operating_Costs]]</f>
        <v>295243</v>
      </c>
      <c r="T3506">
        <v>563208</v>
      </c>
      <c r="U3506">
        <v>68</v>
      </c>
      <c r="V3506">
        <v>60</v>
      </c>
      <c r="W3506">
        <v>13.7</v>
      </c>
    </row>
    <row r="3507" spans="1:23" x14ac:dyDescent="0.25">
      <c r="A3507">
        <v>10</v>
      </c>
      <c r="B3507" t="s">
        <v>34</v>
      </c>
      <c r="C3507" s="1">
        <v>44872</v>
      </c>
      <c r="D3507" t="s">
        <v>71</v>
      </c>
      <c r="E3507">
        <v>0</v>
      </c>
      <c r="F3507">
        <v>28</v>
      </c>
      <c r="G3507" t="str">
        <f t="shared" si="62"/>
        <v>21-40</v>
      </c>
      <c r="H3507" t="s">
        <v>35</v>
      </c>
      <c r="I3507" t="s">
        <v>27</v>
      </c>
      <c r="J3507" t="s">
        <v>28</v>
      </c>
      <c r="K3507" t="s">
        <v>29</v>
      </c>
      <c r="L3507">
        <v>1</v>
      </c>
      <c r="M3507">
        <v>1</v>
      </c>
      <c r="N3507">
        <v>1.1000000000000001</v>
      </c>
      <c r="O3507">
        <v>8.9</v>
      </c>
      <c r="P3507">
        <v>4</v>
      </c>
      <c r="Q3507">
        <v>5</v>
      </c>
      <c r="R3507">
        <v>848669</v>
      </c>
      <c r="S3507">
        <f>Table1[[#This Row],[Revenue]]-Table1[[#This Row],[Operating_Costs]]</f>
        <v>156771</v>
      </c>
      <c r="T3507">
        <v>691898</v>
      </c>
      <c r="U3507">
        <v>64</v>
      </c>
      <c r="V3507">
        <v>56</v>
      </c>
      <c r="W3507">
        <v>14.5</v>
      </c>
    </row>
    <row r="3508" spans="1:23" x14ac:dyDescent="0.25">
      <c r="A3508">
        <v>10</v>
      </c>
      <c r="B3508" t="s">
        <v>34</v>
      </c>
      <c r="C3508" s="1">
        <v>44564</v>
      </c>
      <c r="D3508" t="s">
        <v>71</v>
      </c>
      <c r="E3508">
        <v>0</v>
      </c>
      <c r="F3508">
        <v>86</v>
      </c>
      <c r="G3508" t="str">
        <f t="shared" si="62"/>
        <v>81+</v>
      </c>
      <c r="H3508" t="s">
        <v>23</v>
      </c>
      <c r="I3508" t="s">
        <v>55</v>
      </c>
      <c r="J3508" t="s">
        <v>56</v>
      </c>
      <c r="K3508" t="s">
        <v>42</v>
      </c>
      <c r="L3508">
        <v>1</v>
      </c>
      <c r="M3508">
        <v>1</v>
      </c>
      <c r="N3508">
        <v>5.6</v>
      </c>
      <c r="O3508">
        <v>8.5</v>
      </c>
      <c r="P3508">
        <v>3</v>
      </c>
      <c r="Q3508">
        <v>5</v>
      </c>
      <c r="R3508">
        <v>915773</v>
      </c>
      <c r="S3508">
        <f>Table1[[#This Row],[Revenue]]-Table1[[#This Row],[Operating_Costs]]</f>
        <v>267360</v>
      </c>
      <c r="T3508">
        <v>648413</v>
      </c>
      <c r="U3508">
        <v>52</v>
      </c>
      <c r="V3508">
        <v>55</v>
      </c>
      <c r="W3508">
        <v>6.2</v>
      </c>
    </row>
    <row r="3509" spans="1:23" x14ac:dyDescent="0.25">
      <c r="A3509">
        <v>10</v>
      </c>
      <c r="B3509" t="s">
        <v>34</v>
      </c>
      <c r="C3509" s="1">
        <v>45199</v>
      </c>
      <c r="D3509" t="s">
        <v>71</v>
      </c>
      <c r="E3509">
        <v>0</v>
      </c>
      <c r="F3509">
        <v>37</v>
      </c>
      <c r="G3509" t="str">
        <f t="shared" si="62"/>
        <v>21-40</v>
      </c>
      <c r="H3509" t="s">
        <v>35</v>
      </c>
      <c r="I3509" t="s">
        <v>31</v>
      </c>
      <c r="J3509" t="s">
        <v>28</v>
      </c>
      <c r="K3509" t="s">
        <v>38</v>
      </c>
      <c r="L3509">
        <v>1</v>
      </c>
      <c r="M3509">
        <v>1</v>
      </c>
      <c r="N3509">
        <v>5.9</v>
      </c>
      <c r="O3509">
        <v>9.8000000000000007</v>
      </c>
      <c r="P3509">
        <v>7</v>
      </c>
      <c r="Q3509">
        <v>7</v>
      </c>
      <c r="R3509">
        <v>894728</v>
      </c>
      <c r="S3509">
        <f>Table1[[#This Row],[Revenue]]-Table1[[#This Row],[Operating_Costs]]</f>
        <v>287246</v>
      </c>
      <c r="T3509">
        <v>607482</v>
      </c>
      <c r="U3509">
        <v>59</v>
      </c>
      <c r="V3509">
        <v>56</v>
      </c>
      <c r="W3509">
        <v>14.9</v>
      </c>
    </row>
    <row r="3510" spans="1:23" x14ac:dyDescent="0.25">
      <c r="A3510">
        <v>10</v>
      </c>
      <c r="B3510" t="s">
        <v>34</v>
      </c>
      <c r="C3510" s="1">
        <v>44743</v>
      </c>
      <c r="D3510" t="s">
        <v>71</v>
      </c>
      <c r="E3510">
        <v>0</v>
      </c>
      <c r="F3510">
        <v>33</v>
      </c>
      <c r="G3510" t="str">
        <f t="shared" si="62"/>
        <v>21-40</v>
      </c>
      <c r="H3510" t="s">
        <v>35</v>
      </c>
      <c r="I3510" t="s">
        <v>61</v>
      </c>
      <c r="J3510" t="s">
        <v>62</v>
      </c>
      <c r="K3510" t="s">
        <v>42</v>
      </c>
      <c r="L3510">
        <v>1</v>
      </c>
      <c r="M3510">
        <v>1</v>
      </c>
      <c r="N3510">
        <v>1.5</v>
      </c>
      <c r="O3510">
        <v>8</v>
      </c>
      <c r="P3510">
        <v>4</v>
      </c>
      <c r="Q3510">
        <v>4</v>
      </c>
      <c r="R3510">
        <v>828135</v>
      </c>
      <c r="S3510">
        <f>Table1[[#This Row],[Revenue]]-Table1[[#This Row],[Operating_Costs]]</f>
        <v>252806</v>
      </c>
      <c r="T3510">
        <v>575329</v>
      </c>
      <c r="U3510">
        <v>54</v>
      </c>
      <c r="V3510">
        <v>60</v>
      </c>
      <c r="W3510">
        <v>36.700000000000003</v>
      </c>
    </row>
    <row r="3511" spans="1:23" x14ac:dyDescent="0.25">
      <c r="A3511">
        <v>10</v>
      </c>
      <c r="B3511" t="s">
        <v>34</v>
      </c>
      <c r="C3511" s="1">
        <v>44904</v>
      </c>
      <c r="D3511" t="s">
        <v>71</v>
      </c>
      <c r="E3511">
        <v>0</v>
      </c>
      <c r="F3511">
        <v>27</v>
      </c>
      <c r="G3511" t="str">
        <f t="shared" si="62"/>
        <v>21-40</v>
      </c>
      <c r="H3511" t="s">
        <v>23</v>
      </c>
      <c r="I3511" t="s">
        <v>31</v>
      </c>
      <c r="J3511" t="s">
        <v>28</v>
      </c>
      <c r="K3511" t="s">
        <v>33</v>
      </c>
      <c r="L3511">
        <v>1</v>
      </c>
      <c r="M3511">
        <v>1</v>
      </c>
      <c r="N3511">
        <v>1.3</v>
      </c>
      <c r="O3511">
        <v>7.1</v>
      </c>
      <c r="P3511">
        <v>6</v>
      </c>
      <c r="Q3511">
        <v>5</v>
      </c>
      <c r="R3511">
        <v>935978</v>
      </c>
      <c r="S3511">
        <f>Table1[[#This Row],[Revenue]]-Table1[[#This Row],[Operating_Costs]]</f>
        <v>285918</v>
      </c>
      <c r="T3511">
        <v>650060</v>
      </c>
      <c r="U3511">
        <v>51</v>
      </c>
      <c r="V3511">
        <v>63</v>
      </c>
      <c r="W3511">
        <v>9.3000000000000007</v>
      </c>
    </row>
    <row r="3512" spans="1:23" x14ac:dyDescent="0.25">
      <c r="A3512">
        <v>11</v>
      </c>
      <c r="B3512" t="s">
        <v>63</v>
      </c>
      <c r="C3512" s="1">
        <v>45185</v>
      </c>
      <c r="D3512" t="s">
        <v>71</v>
      </c>
      <c r="E3512">
        <v>0</v>
      </c>
      <c r="F3512">
        <v>40</v>
      </c>
      <c r="G3512" t="str">
        <f t="shared" si="62"/>
        <v>21-40</v>
      </c>
      <c r="H3512" t="s">
        <v>35</v>
      </c>
      <c r="I3512" t="s">
        <v>36</v>
      </c>
      <c r="J3512" t="s">
        <v>37</v>
      </c>
      <c r="K3512" t="s">
        <v>33</v>
      </c>
      <c r="L3512">
        <v>1</v>
      </c>
      <c r="M3512">
        <v>1</v>
      </c>
      <c r="N3512">
        <v>1.9</v>
      </c>
      <c r="O3512">
        <v>8.3000000000000007</v>
      </c>
      <c r="P3512">
        <v>7</v>
      </c>
      <c r="Q3512">
        <v>7</v>
      </c>
      <c r="R3512">
        <v>624070</v>
      </c>
      <c r="S3512">
        <f>Table1[[#This Row],[Revenue]]-Table1[[#This Row],[Operating_Costs]]</f>
        <v>94935</v>
      </c>
      <c r="T3512">
        <v>529135</v>
      </c>
      <c r="U3512">
        <v>35</v>
      </c>
      <c r="V3512">
        <v>63</v>
      </c>
      <c r="W3512">
        <v>7.9</v>
      </c>
    </row>
    <row r="3513" spans="1:23" x14ac:dyDescent="0.25">
      <c r="A3513">
        <v>11</v>
      </c>
      <c r="B3513" t="s">
        <v>63</v>
      </c>
      <c r="C3513" s="1">
        <v>44413</v>
      </c>
      <c r="D3513" t="s">
        <v>71</v>
      </c>
      <c r="E3513">
        <v>0</v>
      </c>
      <c r="F3513">
        <v>33</v>
      </c>
      <c r="G3513" t="str">
        <f t="shared" si="62"/>
        <v>21-40</v>
      </c>
      <c r="H3513" t="s">
        <v>35</v>
      </c>
      <c r="I3513" t="s">
        <v>27</v>
      </c>
      <c r="J3513" t="s">
        <v>28</v>
      </c>
      <c r="K3513" t="s">
        <v>26</v>
      </c>
      <c r="L3513">
        <v>1</v>
      </c>
      <c r="M3513">
        <v>1</v>
      </c>
      <c r="N3513">
        <v>2.1</v>
      </c>
      <c r="O3513">
        <v>9.3000000000000007</v>
      </c>
      <c r="P3513">
        <v>3</v>
      </c>
      <c r="Q3513">
        <v>6</v>
      </c>
      <c r="R3513">
        <v>684748</v>
      </c>
      <c r="S3513">
        <f>Table1[[#This Row],[Revenue]]-Table1[[#This Row],[Operating_Costs]]</f>
        <v>110435</v>
      </c>
      <c r="T3513">
        <v>574313</v>
      </c>
      <c r="U3513">
        <v>35</v>
      </c>
      <c r="V3513">
        <v>54</v>
      </c>
      <c r="W3513">
        <v>9.9</v>
      </c>
    </row>
    <row r="3514" spans="1:23" x14ac:dyDescent="0.25">
      <c r="A3514">
        <v>11</v>
      </c>
      <c r="B3514" t="s">
        <v>63</v>
      </c>
      <c r="C3514" s="1">
        <v>44828</v>
      </c>
      <c r="D3514" t="s">
        <v>71</v>
      </c>
      <c r="E3514">
        <v>0</v>
      </c>
      <c r="F3514">
        <v>61</v>
      </c>
      <c r="G3514" t="str">
        <f t="shared" si="62"/>
        <v>61-80</v>
      </c>
      <c r="H3514" t="s">
        <v>23</v>
      </c>
      <c r="I3514" t="s">
        <v>55</v>
      </c>
      <c r="J3514" t="s">
        <v>56</v>
      </c>
      <c r="K3514" t="s">
        <v>33</v>
      </c>
      <c r="L3514">
        <v>1</v>
      </c>
      <c r="M3514">
        <v>1</v>
      </c>
      <c r="N3514">
        <v>1.6</v>
      </c>
      <c r="O3514">
        <v>9.1999999999999993</v>
      </c>
      <c r="P3514">
        <v>4</v>
      </c>
      <c r="Q3514">
        <v>3</v>
      </c>
      <c r="R3514">
        <v>616278</v>
      </c>
      <c r="S3514">
        <f>Table1[[#This Row],[Revenue]]-Table1[[#This Row],[Operating_Costs]]</f>
        <v>209773</v>
      </c>
      <c r="T3514">
        <v>406505</v>
      </c>
      <c r="U3514">
        <v>24</v>
      </c>
      <c r="V3514">
        <v>54</v>
      </c>
      <c r="W3514">
        <v>36.9</v>
      </c>
    </row>
    <row r="3515" spans="1:23" x14ac:dyDescent="0.25">
      <c r="A3515">
        <v>11</v>
      </c>
      <c r="B3515" t="s">
        <v>63</v>
      </c>
      <c r="C3515" s="1">
        <v>45110</v>
      </c>
      <c r="D3515" t="s">
        <v>71</v>
      </c>
      <c r="E3515">
        <v>0</v>
      </c>
      <c r="F3515">
        <v>86</v>
      </c>
      <c r="G3515" t="str">
        <f t="shared" si="62"/>
        <v>81+</v>
      </c>
      <c r="H3515" t="s">
        <v>35</v>
      </c>
      <c r="I3515" t="s">
        <v>31</v>
      </c>
      <c r="J3515" t="s">
        <v>28</v>
      </c>
      <c r="K3515" t="s">
        <v>33</v>
      </c>
      <c r="L3515">
        <v>1</v>
      </c>
      <c r="M3515">
        <v>1</v>
      </c>
      <c r="N3515">
        <v>3.8</v>
      </c>
      <c r="O3515">
        <v>8.9</v>
      </c>
      <c r="P3515">
        <v>3</v>
      </c>
      <c r="Q3515">
        <v>5</v>
      </c>
      <c r="R3515">
        <v>696383</v>
      </c>
      <c r="S3515">
        <f>Table1[[#This Row],[Revenue]]-Table1[[#This Row],[Operating_Costs]]</f>
        <v>171293</v>
      </c>
      <c r="T3515">
        <v>525090</v>
      </c>
      <c r="U3515">
        <v>24</v>
      </c>
      <c r="V3515">
        <v>58</v>
      </c>
      <c r="W3515">
        <v>13.2</v>
      </c>
    </row>
    <row r="3516" spans="1:23" x14ac:dyDescent="0.25">
      <c r="A3516">
        <v>11</v>
      </c>
      <c r="B3516" t="s">
        <v>63</v>
      </c>
      <c r="C3516" s="1">
        <v>44612</v>
      </c>
      <c r="D3516" t="s">
        <v>71</v>
      </c>
      <c r="E3516">
        <v>0</v>
      </c>
      <c r="F3516">
        <v>42</v>
      </c>
      <c r="G3516" t="str">
        <f t="shared" si="62"/>
        <v>41-60</v>
      </c>
      <c r="H3516" t="s">
        <v>23</v>
      </c>
      <c r="I3516" t="s">
        <v>50</v>
      </c>
      <c r="J3516" t="s">
        <v>51</v>
      </c>
      <c r="K3516" t="s">
        <v>42</v>
      </c>
      <c r="L3516">
        <v>1</v>
      </c>
      <c r="M3516">
        <v>1</v>
      </c>
      <c r="N3516">
        <v>6.1</v>
      </c>
      <c r="O3516">
        <v>9.1999999999999993</v>
      </c>
      <c r="P3516">
        <v>6</v>
      </c>
      <c r="Q3516">
        <v>5</v>
      </c>
      <c r="R3516">
        <v>696465</v>
      </c>
      <c r="S3516">
        <f>Table1[[#This Row],[Revenue]]-Table1[[#This Row],[Operating_Costs]]</f>
        <v>176888</v>
      </c>
      <c r="T3516">
        <v>519577</v>
      </c>
      <c r="U3516">
        <v>25</v>
      </c>
      <c r="V3516">
        <v>55</v>
      </c>
      <c r="W3516">
        <v>6.9</v>
      </c>
    </row>
    <row r="3517" spans="1:23" x14ac:dyDescent="0.25">
      <c r="A3517">
        <v>11</v>
      </c>
      <c r="B3517" t="s">
        <v>63</v>
      </c>
      <c r="C3517" s="1">
        <v>44915</v>
      </c>
      <c r="D3517" t="s">
        <v>71</v>
      </c>
      <c r="E3517">
        <v>0</v>
      </c>
      <c r="F3517">
        <v>89</v>
      </c>
      <c r="G3517" t="str">
        <f t="shared" si="62"/>
        <v>81+</v>
      </c>
      <c r="H3517" t="s">
        <v>23</v>
      </c>
      <c r="I3517" t="s">
        <v>50</v>
      </c>
      <c r="J3517" t="s">
        <v>51</v>
      </c>
      <c r="K3517" t="s">
        <v>33</v>
      </c>
      <c r="L3517">
        <v>1</v>
      </c>
      <c r="M3517">
        <v>1</v>
      </c>
      <c r="N3517">
        <v>4.2</v>
      </c>
      <c r="O3517">
        <v>7.6</v>
      </c>
      <c r="P3517">
        <v>7</v>
      </c>
      <c r="Q3517">
        <v>4</v>
      </c>
      <c r="R3517">
        <v>707198</v>
      </c>
      <c r="S3517">
        <f>Table1[[#This Row],[Revenue]]-Table1[[#This Row],[Operating_Costs]]</f>
        <v>212705</v>
      </c>
      <c r="T3517">
        <v>494493</v>
      </c>
      <c r="U3517">
        <v>32</v>
      </c>
      <c r="V3517">
        <v>61</v>
      </c>
      <c r="W3517">
        <v>7.7</v>
      </c>
    </row>
    <row r="3518" spans="1:23" x14ac:dyDescent="0.25">
      <c r="A3518">
        <v>11</v>
      </c>
      <c r="B3518" t="s">
        <v>63</v>
      </c>
      <c r="C3518" s="1">
        <v>45076</v>
      </c>
      <c r="D3518" t="s">
        <v>71</v>
      </c>
      <c r="E3518">
        <v>0</v>
      </c>
      <c r="F3518">
        <v>32</v>
      </c>
      <c r="G3518" t="str">
        <f t="shared" si="62"/>
        <v>21-40</v>
      </c>
      <c r="H3518" t="s">
        <v>23</v>
      </c>
      <c r="I3518" t="s">
        <v>24</v>
      </c>
      <c r="J3518" t="s">
        <v>25</v>
      </c>
      <c r="K3518" t="s">
        <v>33</v>
      </c>
      <c r="L3518">
        <v>1</v>
      </c>
      <c r="M3518">
        <v>1</v>
      </c>
      <c r="N3518">
        <v>4.9000000000000004</v>
      </c>
      <c r="O3518">
        <v>8.3000000000000007</v>
      </c>
      <c r="P3518">
        <v>7</v>
      </c>
      <c r="Q3518">
        <v>5</v>
      </c>
      <c r="R3518">
        <v>697019</v>
      </c>
      <c r="S3518">
        <f>Table1[[#This Row],[Revenue]]-Table1[[#This Row],[Operating_Costs]]</f>
        <v>162389</v>
      </c>
      <c r="T3518">
        <v>534630</v>
      </c>
      <c r="U3518">
        <v>27</v>
      </c>
      <c r="V3518">
        <v>64</v>
      </c>
      <c r="W3518">
        <v>9.3000000000000007</v>
      </c>
    </row>
    <row r="3519" spans="1:23" x14ac:dyDescent="0.25">
      <c r="A3519">
        <v>11</v>
      </c>
      <c r="B3519" t="s">
        <v>63</v>
      </c>
      <c r="C3519" s="1">
        <v>44668</v>
      </c>
      <c r="D3519" t="s">
        <v>71</v>
      </c>
      <c r="E3519">
        <v>0</v>
      </c>
      <c r="F3519">
        <v>33</v>
      </c>
      <c r="G3519" t="str">
        <f t="shared" si="62"/>
        <v>21-40</v>
      </c>
      <c r="H3519" t="s">
        <v>23</v>
      </c>
      <c r="I3519" t="s">
        <v>43</v>
      </c>
      <c r="J3519" t="s">
        <v>25</v>
      </c>
      <c r="K3519" t="s">
        <v>33</v>
      </c>
      <c r="L3519">
        <v>1</v>
      </c>
      <c r="M3519">
        <v>1</v>
      </c>
      <c r="N3519">
        <v>5.9</v>
      </c>
      <c r="O3519">
        <v>7.9</v>
      </c>
      <c r="P3519">
        <v>3</v>
      </c>
      <c r="Q3519">
        <v>3</v>
      </c>
      <c r="R3519">
        <v>693693</v>
      </c>
      <c r="S3519">
        <f>Table1[[#This Row],[Revenue]]-Table1[[#This Row],[Operating_Costs]]</f>
        <v>240087</v>
      </c>
      <c r="T3519">
        <v>453606</v>
      </c>
      <c r="U3519">
        <v>31</v>
      </c>
      <c r="V3519">
        <v>65</v>
      </c>
      <c r="W3519">
        <v>7.4</v>
      </c>
    </row>
    <row r="3520" spans="1:23" x14ac:dyDescent="0.25">
      <c r="A3520">
        <v>11</v>
      </c>
      <c r="B3520" t="s">
        <v>63</v>
      </c>
      <c r="C3520" s="1">
        <v>44615</v>
      </c>
      <c r="D3520" t="s">
        <v>71</v>
      </c>
      <c r="E3520">
        <v>0</v>
      </c>
      <c r="F3520">
        <v>46</v>
      </c>
      <c r="G3520" t="str">
        <f t="shared" si="62"/>
        <v>41-60</v>
      </c>
      <c r="H3520" t="s">
        <v>23</v>
      </c>
      <c r="I3520" t="s">
        <v>46</v>
      </c>
      <c r="J3520" t="s">
        <v>47</v>
      </c>
      <c r="K3520" t="s">
        <v>33</v>
      </c>
      <c r="L3520">
        <v>1</v>
      </c>
      <c r="M3520">
        <v>1</v>
      </c>
      <c r="N3520">
        <v>6</v>
      </c>
      <c r="O3520">
        <v>7.2</v>
      </c>
      <c r="P3520">
        <v>4</v>
      </c>
      <c r="Q3520">
        <v>4</v>
      </c>
      <c r="R3520">
        <v>700703</v>
      </c>
      <c r="S3520">
        <f>Table1[[#This Row],[Revenue]]-Table1[[#This Row],[Operating_Costs]]</f>
        <v>121459</v>
      </c>
      <c r="T3520">
        <v>579244</v>
      </c>
      <c r="U3520">
        <v>26</v>
      </c>
      <c r="V3520">
        <v>56</v>
      </c>
      <c r="W3520">
        <v>5.3</v>
      </c>
    </row>
    <row r="3521" spans="1:23" x14ac:dyDescent="0.25">
      <c r="A3521">
        <v>11</v>
      </c>
      <c r="B3521" t="s">
        <v>63</v>
      </c>
      <c r="C3521" s="1">
        <v>45202</v>
      </c>
      <c r="D3521" t="s">
        <v>71</v>
      </c>
      <c r="E3521">
        <v>0</v>
      </c>
      <c r="F3521">
        <v>33</v>
      </c>
      <c r="G3521" t="str">
        <f t="shared" si="62"/>
        <v>21-40</v>
      </c>
      <c r="H3521" t="s">
        <v>23</v>
      </c>
      <c r="I3521" t="s">
        <v>64</v>
      </c>
      <c r="J3521" t="s">
        <v>65</v>
      </c>
      <c r="K3521" t="s">
        <v>33</v>
      </c>
      <c r="L3521">
        <v>1</v>
      </c>
      <c r="M3521">
        <v>1</v>
      </c>
      <c r="N3521">
        <v>1.3</v>
      </c>
      <c r="O3521">
        <v>7.9</v>
      </c>
      <c r="P3521">
        <v>7</v>
      </c>
      <c r="Q3521">
        <v>3</v>
      </c>
      <c r="R3521">
        <v>669787</v>
      </c>
      <c r="S3521">
        <f>Table1[[#This Row],[Revenue]]-Table1[[#This Row],[Operating_Costs]]</f>
        <v>187479</v>
      </c>
      <c r="T3521">
        <v>482308</v>
      </c>
      <c r="U3521">
        <v>31</v>
      </c>
      <c r="V3521">
        <v>65</v>
      </c>
      <c r="W3521">
        <v>13.7</v>
      </c>
    </row>
    <row r="3522" spans="1:23" x14ac:dyDescent="0.25">
      <c r="A3522">
        <v>11</v>
      </c>
      <c r="B3522" t="s">
        <v>63</v>
      </c>
      <c r="C3522" s="1">
        <v>44304</v>
      </c>
      <c r="D3522" t="s">
        <v>71</v>
      </c>
      <c r="E3522">
        <v>0</v>
      </c>
      <c r="F3522">
        <v>43</v>
      </c>
      <c r="G3522" t="str">
        <f t="shared" si="62"/>
        <v>41-60</v>
      </c>
      <c r="H3522" t="s">
        <v>23</v>
      </c>
      <c r="I3522" t="s">
        <v>67</v>
      </c>
      <c r="J3522" t="s">
        <v>68</v>
      </c>
      <c r="K3522" t="s">
        <v>33</v>
      </c>
      <c r="L3522">
        <v>1</v>
      </c>
      <c r="M3522">
        <v>1</v>
      </c>
      <c r="N3522">
        <v>4.2</v>
      </c>
      <c r="O3522">
        <v>7.9</v>
      </c>
      <c r="P3522">
        <v>7</v>
      </c>
      <c r="Q3522">
        <v>5</v>
      </c>
      <c r="R3522">
        <v>753461</v>
      </c>
      <c r="S3522">
        <f>Table1[[#This Row],[Revenue]]-Table1[[#This Row],[Operating_Costs]]</f>
        <v>313385</v>
      </c>
      <c r="T3522">
        <v>440076</v>
      </c>
      <c r="U3522">
        <v>23</v>
      </c>
      <c r="V3522">
        <v>58</v>
      </c>
      <c r="W3522">
        <v>10.8</v>
      </c>
    </row>
    <row r="3523" spans="1:23" x14ac:dyDescent="0.25">
      <c r="A3523">
        <v>11</v>
      </c>
      <c r="B3523" t="s">
        <v>63</v>
      </c>
      <c r="C3523" s="1">
        <v>44949</v>
      </c>
      <c r="D3523" t="s">
        <v>71</v>
      </c>
      <c r="E3523">
        <v>0</v>
      </c>
      <c r="F3523">
        <v>52</v>
      </c>
      <c r="G3523" t="str">
        <f t="shared" ref="G3523:G3586" si="63">IF(F3523&lt;=20,"0-20",IF(F3523&lt;=40,"21-40",IF(F3523&lt;=60,"41-60",IF(F3523&lt;=80,"61-80","81+"))))</f>
        <v>41-60</v>
      </c>
      <c r="H3523" t="s">
        <v>35</v>
      </c>
      <c r="I3523" t="s">
        <v>61</v>
      </c>
      <c r="J3523" t="s">
        <v>62</v>
      </c>
      <c r="K3523" t="s">
        <v>26</v>
      </c>
      <c r="L3523">
        <v>1</v>
      </c>
      <c r="M3523">
        <v>1</v>
      </c>
      <c r="N3523">
        <v>5.7</v>
      </c>
      <c r="O3523">
        <v>7.9</v>
      </c>
      <c r="P3523">
        <v>7</v>
      </c>
      <c r="Q3523">
        <v>5</v>
      </c>
      <c r="R3523">
        <v>645486</v>
      </c>
      <c r="S3523">
        <f>Table1[[#This Row],[Revenue]]-Table1[[#This Row],[Operating_Costs]]</f>
        <v>66615</v>
      </c>
      <c r="T3523">
        <v>578871</v>
      </c>
      <c r="U3523">
        <v>30</v>
      </c>
      <c r="V3523">
        <v>66</v>
      </c>
      <c r="W3523">
        <v>9.8000000000000007</v>
      </c>
    </row>
    <row r="3524" spans="1:23" x14ac:dyDescent="0.25">
      <c r="A3524">
        <v>11</v>
      </c>
      <c r="B3524" t="s">
        <v>63</v>
      </c>
      <c r="C3524" s="1">
        <v>45010</v>
      </c>
      <c r="D3524" t="s">
        <v>71</v>
      </c>
      <c r="E3524">
        <v>0</v>
      </c>
      <c r="F3524">
        <v>66</v>
      </c>
      <c r="G3524" t="str">
        <f t="shared" si="63"/>
        <v>61-80</v>
      </c>
      <c r="H3524" t="s">
        <v>23</v>
      </c>
      <c r="I3524" t="s">
        <v>50</v>
      </c>
      <c r="J3524" t="s">
        <v>51</v>
      </c>
      <c r="K3524" t="s">
        <v>42</v>
      </c>
      <c r="L3524">
        <v>1</v>
      </c>
      <c r="M3524">
        <v>1</v>
      </c>
      <c r="N3524">
        <v>2.2999999999999998</v>
      </c>
      <c r="O3524">
        <v>8.3000000000000007</v>
      </c>
      <c r="P3524">
        <v>4</v>
      </c>
      <c r="Q3524">
        <v>6</v>
      </c>
      <c r="R3524">
        <v>714561</v>
      </c>
      <c r="S3524">
        <f>Table1[[#This Row],[Revenue]]-Table1[[#This Row],[Operating_Costs]]</f>
        <v>273167</v>
      </c>
      <c r="T3524">
        <v>441394</v>
      </c>
      <c r="U3524">
        <v>30</v>
      </c>
      <c r="V3524">
        <v>59</v>
      </c>
      <c r="W3524">
        <v>6.8</v>
      </c>
    </row>
    <row r="3525" spans="1:23" x14ac:dyDescent="0.25">
      <c r="A3525">
        <v>11</v>
      </c>
      <c r="B3525" t="s">
        <v>63</v>
      </c>
      <c r="C3525" s="1">
        <v>44860</v>
      </c>
      <c r="D3525" t="s">
        <v>71</v>
      </c>
      <c r="E3525">
        <v>0</v>
      </c>
      <c r="F3525">
        <v>41</v>
      </c>
      <c r="G3525" t="str">
        <f t="shared" si="63"/>
        <v>41-60</v>
      </c>
      <c r="H3525" t="s">
        <v>23</v>
      </c>
      <c r="I3525" t="s">
        <v>40</v>
      </c>
      <c r="J3525" t="s">
        <v>41</v>
      </c>
      <c r="K3525" t="s">
        <v>42</v>
      </c>
      <c r="L3525">
        <v>1</v>
      </c>
      <c r="M3525">
        <v>1</v>
      </c>
      <c r="N3525">
        <v>2.9</v>
      </c>
      <c r="O3525">
        <v>8.3000000000000007</v>
      </c>
      <c r="P3525">
        <v>6</v>
      </c>
      <c r="Q3525">
        <v>3</v>
      </c>
      <c r="R3525">
        <v>723670</v>
      </c>
      <c r="S3525">
        <f>Table1[[#This Row],[Revenue]]-Table1[[#This Row],[Operating_Costs]]</f>
        <v>154704</v>
      </c>
      <c r="T3525">
        <v>568966</v>
      </c>
      <c r="U3525">
        <v>21</v>
      </c>
      <c r="V3525">
        <v>62</v>
      </c>
      <c r="W3525">
        <v>7.9</v>
      </c>
    </row>
    <row r="3526" spans="1:23" x14ac:dyDescent="0.25">
      <c r="A3526">
        <v>11</v>
      </c>
      <c r="B3526" t="s">
        <v>63</v>
      </c>
      <c r="C3526" s="1">
        <v>45199</v>
      </c>
      <c r="D3526" t="s">
        <v>71</v>
      </c>
      <c r="E3526">
        <v>0</v>
      </c>
      <c r="F3526">
        <v>79</v>
      </c>
      <c r="G3526" t="str">
        <f t="shared" si="63"/>
        <v>61-80</v>
      </c>
      <c r="H3526" t="s">
        <v>23</v>
      </c>
      <c r="I3526" t="s">
        <v>61</v>
      </c>
      <c r="J3526" t="s">
        <v>62</v>
      </c>
      <c r="K3526" t="s">
        <v>33</v>
      </c>
      <c r="L3526">
        <v>1</v>
      </c>
      <c r="M3526">
        <v>1</v>
      </c>
      <c r="N3526">
        <v>2.7</v>
      </c>
      <c r="O3526">
        <v>9.3000000000000007</v>
      </c>
      <c r="P3526">
        <v>3</v>
      </c>
      <c r="Q3526">
        <v>5</v>
      </c>
      <c r="R3526">
        <v>790956</v>
      </c>
      <c r="S3526">
        <f>Table1[[#This Row],[Revenue]]-Table1[[#This Row],[Operating_Costs]]</f>
        <v>354649</v>
      </c>
      <c r="T3526">
        <v>436307</v>
      </c>
      <c r="U3526">
        <v>32</v>
      </c>
      <c r="V3526">
        <v>55</v>
      </c>
      <c r="W3526">
        <v>12.6</v>
      </c>
    </row>
    <row r="3527" spans="1:23" x14ac:dyDescent="0.25">
      <c r="A3527">
        <v>11</v>
      </c>
      <c r="B3527" t="s">
        <v>63</v>
      </c>
      <c r="C3527" s="1">
        <v>44615</v>
      </c>
      <c r="D3527" t="s">
        <v>71</v>
      </c>
      <c r="E3527">
        <v>0</v>
      </c>
      <c r="F3527">
        <v>46</v>
      </c>
      <c r="G3527" t="str">
        <f t="shared" si="63"/>
        <v>41-60</v>
      </c>
      <c r="H3527" t="s">
        <v>23</v>
      </c>
      <c r="I3527" t="s">
        <v>24</v>
      </c>
      <c r="J3527" t="s">
        <v>25</v>
      </c>
      <c r="K3527" t="s">
        <v>29</v>
      </c>
      <c r="L3527">
        <v>1</v>
      </c>
      <c r="M3527">
        <v>1</v>
      </c>
      <c r="N3527">
        <v>3.6</v>
      </c>
      <c r="O3527">
        <v>7.3</v>
      </c>
      <c r="P3527">
        <v>5</v>
      </c>
      <c r="Q3527">
        <v>6</v>
      </c>
      <c r="R3527">
        <v>693566</v>
      </c>
      <c r="S3527">
        <f>Table1[[#This Row],[Revenue]]-Table1[[#This Row],[Operating_Costs]]</f>
        <v>251481</v>
      </c>
      <c r="T3527">
        <v>442085</v>
      </c>
      <c r="U3527">
        <v>35</v>
      </c>
      <c r="V3527">
        <v>64</v>
      </c>
      <c r="W3527">
        <v>12.1</v>
      </c>
    </row>
    <row r="3528" spans="1:23" x14ac:dyDescent="0.25">
      <c r="A3528">
        <v>11</v>
      </c>
      <c r="B3528" t="s">
        <v>63</v>
      </c>
      <c r="C3528" s="1">
        <v>44889</v>
      </c>
      <c r="D3528" t="s">
        <v>71</v>
      </c>
      <c r="E3528">
        <v>0</v>
      </c>
      <c r="F3528">
        <v>49</v>
      </c>
      <c r="G3528" t="str">
        <f t="shared" si="63"/>
        <v>41-60</v>
      </c>
      <c r="H3528" t="s">
        <v>35</v>
      </c>
      <c r="I3528" t="s">
        <v>58</v>
      </c>
      <c r="J3528" t="s">
        <v>59</v>
      </c>
      <c r="K3528" t="s">
        <v>38</v>
      </c>
      <c r="L3528">
        <v>1</v>
      </c>
      <c r="M3528">
        <v>1</v>
      </c>
      <c r="N3528">
        <v>5.6</v>
      </c>
      <c r="O3528">
        <v>9.3000000000000007</v>
      </c>
      <c r="P3528">
        <v>7</v>
      </c>
      <c r="Q3528">
        <v>5</v>
      </c>
      <c r="R3528">
        <v>640980</v>
      </c>
      <c r="S3528">
        <f>Table1[[#This Row],[Revenue]]-Table1[[#This Row],[Operating_Costs]]</f>
        <v>152548</v>
      </c>
      <c r="T3528">
        <v>488432</v>
      </c>
      <c r="U3528">
        <v>27</v>
      </c>
      <c r="V3528">
        <v>63</v>
      </c>
      <c r="W3528">
        <v>7</v>
      </c>
    </row>
    <row r="3529" spans="1:23" x14ac:dyDescent="0.25">
      <c r="A3529">
        <v>11</v>
      </c>
      <c r="B3529" t="s">
        <v>63</v>
      </c>
      <c r="C3529" s="1">
        <v>44614</v>
      </c>
      <c r="D3529" t="s">
        <v>71</v>
      </c>
      <c r="E3529">
        <v>0</v>
      </c>
      <c r="F3529">
        <v>31</v>
      </c>
      <c r="G3529" t="str">
        <f t="shared" si="63"/>
        <v>21-40</v>
      </c>
      <c r="H3529" t="s">
        <v>23</v>
      </c>
      <c r="I3529" t="s">
        <v>55</v>
      </c>
      <c r="J3529" t="s">
        <v>56</v>
      </c>
      <c r="K3529" t="s">
        <v>33</v>
      </c>
      <c r="L3529">
        <v>1</v>
      </c>
      <c r="M3529">
        <v>1</v>
      </c>
      <c r="N3529">
        <v>3.7</v>
      </c>
      <c r="O3529">
        <v>7.5</v>
      </c>
      <c r="P3529">
        <v>7</v>
      </c>
      <c r="Q3529">
        <v>5</v>
      </c>
      <c r="R3529">
        <v>663776</v>
      </c>
      <c r="S3529">
        <f>Table1[[#This Row],[Revenue]]-Table1[[#This Row],[Operating_Costs]]</f>
        <v>207364</v>
      </c>
      <c r="T3529">
        <v>456412</v>
      </c>
      <c r="U3529">
        <v>26</v>
      </c>
      <c r="V3529">
        <v>59</v>
      </c>
      <c r="W3529">
        <v>14</v>
      </c>
    </row>
    <row r="3530" spans="1:23" x14ac:dyDescent="0.25">
      <c r="A3530">
        <v>11</v>
      </c>
      <c r="B3530" t="s">
        <v>63</v>
      </c>
      <c r="C3530" s="1">
        <v>44962</v>
      </c>
      <c r="D3530" t="s">
        <v>71</v>
      </c>
      <c r="E3530">
        <v>0</v>
      </c>
      <c r="F3530">
        <v>22</v>
      </c>
      <c r="G3530" t="str">
        <f t="shared" si="63"/>
        <v>21-40</v>
      </c>
      <c r="H3530" t="s">
        <v>23</v>
      </c>
      <c r="I3530" t="s">
        <v>50</v>
      </c>
      <c r="J3530" t="s">
        <v>51</v>
      </c>
      <c r="K3530" t="s">
        <v>42</v>
      </c>
      <c r="L3530">
        <v>1</v>
      </c>
      <c r="M3530">
        <v>1</v>
      </c>
      <c r="N3530">
        <v>3.2</v>
      </c>
      <c r="O3530">
        <v>7.1</v>
      </c>
      <c r="P3530">
        <v>4</v>
      </c>
      <c r="Q3530">
        <v>7</v>
      </c>
      <c r="R3530">
        <v>655957</v>
      </c>
      <c r="S3530">
        <f>Table1[[#This Row],[Revenue]]-Table1[[#This Row],[Operating_Costs]]</f>
        <v>86938</v>
      </c>
      <c r="T3530">
        <v>569019</v>
      </c>
      <c r="U3530">
        <v>24</v>
      </c>
      <c r="V3530">
        <v>66</v>
      </c>
      <c r="W3530">
        <v>5.2</v>
      </c>
    </row>
    <row r="3531" spans="1:23" x14ac:dyDescent="0.25">
      <c r="A3531">
        <v>11</v>
      </c>
      <c r="B3531" t="s">
        <v>63</v>
      </c>
      <c r="C3531" s="1">
        <v>45275</v>
      </c>
      <c r="D3531" t="s">
        <v>71</v>
      </c>
      <c r="E3531">
        <v>0</v>
      </c>
      <c r="F3531">
        <v>22</v>
      </c>
      <c r="G3531" t="str">
        <f t="shared" si="63"/>
        <v>21-40</v>
      </c>
      <c r="H3531" t="s">
        <v>23</v>
      </c>
      <c r="I3531" t="s">
        <v>61</v>
      </c>
      <c r="J3531" t="s">
        <v>62</v>
      </c>
      <c r="K3531" t="s">
        <v>33</v>
      </c>
      <c r="L3531">
        <v>1</v>
      </c>
      <c r="M3531">
        <v>1</v>
      </c>
      <c r="N3531">
        <v>2.6</v>
      </c>
      <c r="O3531">
        <v>8.8000000000000007</v>
      </c>
      <c r="P3531">
        <v>4</v>
      </c>
      <c r="Q3531">
        <v>3</v>
      </c>
      <c r="R3531">
        <v>634350</v>
      </c>
      <c r="S3531">
        <f>Table1[[#This Row],[Revenue]]-Table1[[#This Row],[Operating_Costs]]</f>
        <v>176642</v>
      </c>
      <c r="T3531">
        <v>457708</v>
      </c>
      <c r="U3531">
        <v>28</v>
      </c>
      <c r="V3531">
        <v>66</v>
      </c>
      <c r="W3531">
        <v>12.6</v>
      </c>
    </row>
    <row r="3532" spans="1:23" x14ac:dyDescent="0.25">
      <c r="A3532">
        <v>11</v>
      </c>
      <c r="B3532" t="s">
        <v>63</v>
      </c>
      <c r="C3532" s="1">
        <v>44406</v>
      </c>
      <c r="D3532" t="s">
        <v>71</v>
      </c>
      <c r="E3532">
        <v>0</v>
      </c>
      <c r="F3532">
        <v>75</v>
      </c>
      <c r="G3532" t="str">
        <f t="shared" si="63"/>
        <v>61-80</v>
      </c>
      <c r="H3532" t="s">
        <v>23</v>
      </c>
      <c r="I3532" t="s">
        <v>31</v>
      </c>
      <c r="J3532" t="s">
        <v>28</v>
      </c>
      <c r="K3532" t="s">
        <v>42</v>
      </c>
      <c r="L3532">
        <v>1</v>
      </c>
      <c r="M3532">
        <v>1</v>
      </c>
      <c r="N3532">
        <v>6.7</v>
      </c>
      <c r="O3532">
        <v>9.6</v>
      </c>
      <c r="P3532">
        <v>4</v>
      </c>
      <c r="Q3532">
        <v>4</v>
      </c>
      <c r="R3532">
        <v>642710</v>
      </c>
      <c r="S3532">
        <f>Table1[[#This Row],[Revenue]]-Table1[[#This Row],[Operating_Costs]]</f>
        <v>228158</v>
      </c>
      <c r="T3532">
        <v>414552</v>
      </c>
      <c r="U3532">
        <v>31</v>
      </c>
      <c r="V3532">
        <v>63</v>
      </c>
      <c r="W3532">
        <v>8.3000000000000007</v>
      </c>
    </row>
    <row r="3533" spans="1:23" x14ac:dyDescent="0.25">
      <c r="A3533">
        <v>11</v>
      </c>
      <c r="B3533" t="s">
        <v>63</v>
      </c>
      <c r="C3533" s="1">
        <v>44366</v>
      </c>
      <c r="D3533" t="s">
        <v>71</v>
      </c>
      <c r="E3533">
        <v>0</v>
      </c>
      <c r="F3533">
        <v>37</v>
      </c>
      <c r="G3533" t="str">
        <f t="shared" si="63"/>
        <v>21-40</v>
      </c>
      <c r="H3533" t="s">
        <v>35</v>
      </c>
      <c r="I3533" t="s">
        <v>40</v>
      </c>
      <c r="J3533" t="s">
        <v>41</v>
      </c>
      <c r="K3533" t="s">
        <v>38</v>
      </c>
      <c r="L3533">
        <v>1</v>
      </c>
      <c r="M3533">
        <v>1</v>
      </c>
      <c r="N3533">
        <v>6.6</v>
      </c>
      <c r="O3533">
        <v>9.4</v>
      </c>
      <c r="P3533">
        <v>5</v>
      </c>
      <c r="Q3533">
        <v>6</v>
      </c>
      <c r="R3533">
        <v>738552</v>
      </c>
      <c r="S3533">
        <f>Table1[[#This Row],[Revenue]]-Table1[[#This Row],[Operating_Costs]]</f>
        <v>165592</v>
      </c>
      <c r="T3533">
        <v>572960</v>
      </c>
      <c r="U3533">
        <v>23</v>
      </c>
      <c r="V3533">
        <v>65</v>
      </c>
      <c r="W3533">
        <v>36.6</v>
      </c>
    </row>
    <row r="3534" spans="1:23" x14ac:dyDescent="0.25">
      <c r="A3534">
        <v>11</v>
      </c>
      <c r="B3534" t="s">
        <v>63</v>
      </c>
      <c r="C3534" s="1">
        <v>44355</v>
      </c>
      <c r="D3534" t="s">
        <v>71</v>
      </c>
      <c r="E3534">
        <v>0</v>
      </c>
      <c r="F3534">
        <v>33</v>
      </c>
      <c r="G3534" t="str">
        <f t="shared" si="63"/>
        <v>21-40</v>
      </c>
      <c r="H3534" t="s">
        <v>35</v>
      </c>
      <c r="I3534" t="s">
        <v>60</v>
      </c>
      <c r="J3534" t="s">
        <v>59</v>
      </c>
      <c r="K3534" t="s">
        <v>42</v>
      </c>
      <c r="L3534">
        <v>1</v>
      </c>
      <c r="M3534">
        <v>1</v>
      </c>
      <c r="N3534">
        <v>4.5</v>
      </c>
      <c r="O3534">
        <v>8.1999999999999993</v>
      </c>
      <c r="P3534">
        <v>3</v>
      </c>
      <c r="Q3534">
        <v>7</v>
      </c>
      <c r="R3534">
        <v>780443</v>
      </c>
      <c r="S3534">
        <f>Table1[[#This Row],[Revenue]]-Table1[[#This Row],[Operating_Costs]]</f>
        <v>295270</v>
      </c>
      <c r="T3534">
        <v>485173</v>
      </c>
      <c r="U3534">
        <v>20</v>
      </c>
      <c r="V3534">
        <v>66</v>
      </c>
      <c r="W3534">
        <v>7.9</v>
      </c>
    </row>
    <row r="3535" spans="1:23" x14ac:dyDescent="0.25">
      <c r="A3535">
        <v>11</v>
      </c>
      <c r="B3535" t="s">
        <v>63</v>
      </c>
      <c r="C3535" s="1">
        <v>44986</v>
      </c>
      <c r="D3535" t="s">
        <v>71</v>
      </c>
      <c r="E3535">
        <v>0</v>
      </c>
      <c r="F3535">
        <v>45</v>
      </c>
      <c r="G3535" t="str">
        <f t="shared" si="63"/>
        <v>41-60</v>
      </c>
      <c r="H3535" t="s">
        <v>23</v>
      </c>
      <c r="I3535" t="s">
        <v>43</v>
      </c>
      <c r="J3535" t="s">
        <v>25</v>
      </c>
      <c r="K3535" t="s">
        <v>38</v>
      </c>
      <c r="L3535">
        <v>1</v>
      </c>
      <c r="M3535">
        <v>1</v>
      </c>
      <c r="N3535">
        <v>1.5</v>
      </c>
      <c r="O3535">
        <v>7.5</v>
      </c>
      <c r="P3535">
        <v>4</v>
      </c>
      <c r="Q3535">
        <v>7</v>
      </c>
      <c r="R3535">
        <v>655453</v>
      </c>
      <c r="S3535">
        <f>Table1[[#This Row],[Revenue]]-Table1[[#This Row],[Operating_Costs]]</f>
        <v>96330</v>
      </c>
      <c r="T3535">
        <v>559123</v>
      </c>
      <c r="U3535">
        <v>21</v>
      </c>
      <c r="V3535">
        <v>63</v>
      </c>
      <c r="W3535">
        <v>9.9</v>
      </c>
    </row>
    <row r="3536" spans="1:23" x14ac:dyDescent="0.25">
      <c r="A3536">
        <v>11</v>
      </c>
      <c r="B3536" t="s">
        <v>63</v>
      </c>
      <c r="C3536" s="1">
        <v>45616</v>
      </c>
      <c r="D3536" t="s">
        <v>71</v>
      </c>
      <c r="E3536">
        <v>0</v>
      </c>
      <c r="F3536">
        <v>66</v>
      </c>
      <c r="G3536" t="str">
        <f t="shared" si="63"/>
        <v>61-80</v>
      </c>
      <c r="H3536" t="s">
        <v>23</v>
      </c>
      <c r="I3536" t="s">
        <v>24</v>
      </c>
      <c r="J3536" t="s">
        <v>25</v>
      </c>
      <c r="K3536" t="s">
        <v>33</v>
      </c>
      <c r="L3536">
        <v>1</v>
      </c>
      <c r="M3536">
        <v>1</v>
      </c>
      <c r="N3536">
        <v>4.5</v>
      </c>
      <c r="O3536">
        <v>9.9</v>
      </c>
      <c r="P3536">
        <v>3</v>
      </c>
      <c r="Q3536">
        <v>7</v>
      </c>
      <c r="R3536">
        <v>608788</v>
      </c>
      <c r="S3536">
        <f>Table1[[#This Row],[Revenue]]-Table1[[#This Row],[Operating_Costs]]</f>
        <v>46220</v>
      </c>
      <c r="T3536">
        <v>562568</v>
      </c>
      <c r="U3536">
        <v>21</v>
      </c>
      <c r="V3536">
        <v>57</v>
      </c>
      <c r="W3536">
        <v>14.4</v>
      </c>
    </row>
    <row r="3537" spans="1:23" x14ac:dyDescent="0.25">
      <c r="A3537">
        <v>11</v>
      </c>
      <c r="B3537" t="s">
        <v>63</v>
      </c>
      <c r="C3537" s="1">
        <v>45029</v>
      </c>
      <c r="D3537" t="s">
        <v>71</v>
      </c>
      <c r="E3537">
        <v>0</v>
      </c>
      <c r="F3537">
        <v>22</v>
      </c>
      <c r="G3537" t="str">
        <f t="shared" si="63"/>
        <v>21-40</v>
      </c>
      <c r="H3537" t="s">
        <v>35</v>
      </c>
      <c r="I3537" t="s">
        <v>46</v>
      </c>
      <c r="J3537" t="s">
        <v>47</v>
      </c>
      <c r="K3537" t="s">
        <v>33</v>
      </c>
      <c r="L3537">
        <v>1</v>
      </c>
      <c r="M3537">
        <v>1</v>
      </c>
      <c r="N3537">
        <v>3.2</v>
      </c>
      <c r="O3537">
        <v>9.3000000000000007</v>
      </c>
      <c r="P3537">
        <v>6</v>
      </c>
      <c r="Q3537">
        <v>3</v>
      </c>
      <c r="R3537">
        <v>682164</v>
      </c>
      <c r="S3537">
        <f>Table1[[#This Row],[Revenue]]-Table1[[#This Row],[Operating_Costs]]</f>
        <v>179060</v>
      </c>
      <c r="T3537">
        <v>503104</v>
      </c>
      <c r="U3537">
        <v>34</v>
      </c>
      <c r="V3537">
        <v>57</v>
      </c>
      <c r="W3537">
        <v>9.4</v>
      </c>
    </row>
    <row r="3538" spans="1:23" x14ac:dyDescent="0.25">
      <c r="A3538">
        <v>11</v>
      </c>
      <c r="B3538" t="s">
        <v>63</v>
      </c>
      <c r="C3538" s="1">
        <v>44464</v>
      </c>
      <c r="D3538" t="s">
        <v>71</v>
      </c>
      <c r="E3538">
        <v>0</v>
      </c>
      <c r="F3538">
        <v>73</v>
      </c>
      <c r="G3538" t="str">
        <f t="shared" si="63"/>
        <v>61-80</v>
      </c>
      <c r="H3538" t="s">
        <v>35</v>
      </c>
      <c r="I3538" t="s">
        <v>36</v>
      </c>
      <c r="J3538" t="s">
        <v>37</v>
      </c>
      <c r="K3538" t="s">
        <v>26</v>
      </c>
      <c r="L3538">
        <v>1</v>
      </c>
      <c r="M3538">
        <v>1</v>
      </c>
      <c r="N3538">
        <v>1.9</v>
      </c>
      <c r="O3538">
        <v>9.9</v>
      </c>
      <c r="P3538">
        <v>4</v>
      </c>
      <c r="Q3538">
        <v>5</v>
      </c>
      <c r="R3538">
        <v>672585</v>
      </c>
      <c r="S3538">
        <f>Table1[[#This Row],[Revenue]]-Table1[[#This Row],[Operating_Costs]]</f>
        <v>213185</v>
      </c>
      <c r="T3538">
        <v>459400</v>
      </c>
      <c r="U3538">
        <v>24</v>
      </c>
      <c r="V3538">
        <v>62</v>
      </c>
      <c r="W3538">
        <v>6.9</v>
      </c>
    </row>
    <row r="3539" spans="1:23" x14ac:dyDescent="0.25">
      <c r="A3539">
        <v>11</v>
      </c>
      <c r="B3539" t="s">
        <v>63</v>
      </c>
      <c r="C3539" s="1">
        <v>45293</v>
      </c>
      <c r="D3539" t="s">
        <v>71</v>
      </c>
      <c r="E3539">
        <v>0</v>
      </c>
      <c r="F3539">
        <v>29</v>
      </c>
      <c r="G3539" t="str">
        <f t="shared" si="63"/>
        <v>21-40</v>
      </c>
      <c r="H3539" t="s">
        <v>35</v>
      </c>
      <c r="I3539" t="s">
        <v>58</v>
      </c>
      <c r="J3539" t="s">
        <v>59</v>
      </c>
      <c r="K3539" t="s">
        <v>29</v>
      </c>
      <c r="L3539">
        <v>1</v>
      </c>
      <c r="M3539">
        <v>1</v>
      </c>
      <c r="N3539">
        <v>5.5</v>
      </c>
      <c r="O3539">
        <v>8</v>
      </c>
      <c r="P3539">
        <v>7</v>
      </c>
      <c r="Q3539">
        <v>6</v>
      </c>
      <c r="R3539">
        <v>737647</v>
      </c>
      <c r="S3539">
        <f>Table1[[#This Row],[Revenue]]-Table1[[#This Row],[Operating_Costs]]</f>
        <v>270926</v>
      </c>
      <c r="T3539">
        <v>466721</v>
      </c>
      <c r="U3539">
        <v>21</v>
      </c>
      <c r="V3539">
        <v>64</v>
      </c>
      <c r="W3539">
        <v>7.9</v>
      </c>
    </row>
    <row r="3540" spans="1:23" x14ac:dyDescent="0.25">
      <c r="A3540">
        <v>11</v>
      </c>
      <c r="B3540" t="s">
        <v>63</v>
      </c>
      <c r="C3540" s="1">
        <v>45558</v>
      </c>
      <c r="D3540" t="s">
        <v>71</v>
      </c>
      <c r="E3540">
        <v>0</v>
      </c>
      <c r="F3540">
        <v>21</v>
      </c>
      <c r="G3540" t="str">
        <f t="shared" si="63"/>
        <v>21-40</v>
      </c>
      <c r="H3540" t="s">
        <v>23</v>
      </c>
      <c r="I3540" t="s">
        <v>61</v>
      </c>
      <c r="J3540" t="s">
        <v>62</v>
      </c>
      <c r="K3540" t="s">
        <v>26</v>
      </c>
      <c r="L3540">
        <v>1</v>
      </c>
      <c r="M3540">
        <v>1</v>
      </c>
      <c r="N3540">
        <v>6.3</v>
      </c>
      <c r="O3540">
        <v>9.1</v>
      </c>
      <c r="P3540">
        <v>6</v>
      </c>
      <c r="Q3540">
        <v>4</v>
      </c>
      <c r="R3540">
        <v>788759</v>
      </c>
      <c r="S3540">
        <f>Table1[[#This Row],[Revenue]]-Table1[[#This Row],[Operating_Costs]]</f>
        <v>338858</v>
      </c>
      <c r="T3540">
        <v>449901</v>
      </c>
      <c r="U3540">
        <v>35</v>
      </c>
      <c r="V3540">
        <v>55</v>
      </c>
      <c r="W3540">
        <v>12.8</v>
      </c>
    </row>
    <row r="3541" spans="1:23" x14ac:dyDescent="0.25">
      <c r="A3541">
        <v>11</v>
      </c>
      <c r="B3541" t="s">
        <v>63</v>
      </c>
      <c r="C3541" s="1">
        <v>45267</v>
      </c>
      <c r="D3541" t="s">
        <v>71</v>
      </c>
      <c r="E3541">
        <v>0</v>
      </c>
      <c r="F3541">
        <v>31</v>
      </c>
      <c r="G3541" t="str">
        <f t="shared" si="63"/>
        <v>21-40</v>
      </c>
      <c r="H3541" t="s">
        <v>23</v>
      </c>
      <c r="I3541" t="s">
        <v>43</v>
      </c>
      <c r="J3541" t="s">
        <v>25</v>
      </c>
      <c r="K3541" t="s">
        <v>38</v>
      </c>
      <c r="L3541">
        <v>1</v>
      </c>
      <c r="M3541">
        <v>1</v>
      </c>
      <c r="N3541">
        <v>2</v>
      </c>
      <c r="O3541">
        <v>8.8000000000000007</v>
      </c>
      <c r="P3541">
        <v>7</v>
      </c>
      <c r="Q3541">
        <v>6</v>
      </c>
      <c r="R3541">
        <v>662989</v>
      </c>
      <c r="S3541">
        <f>Table1[[#This Row],[Revenue]]-Table1[[#This Row],[Operating_Costs]]</f>
        <v>240310</v>
      </c>
      <c r="T3541">
        <v>422679</v>
      </c>
      <c r="U3541">
        <v>20</v>
      </c>
      <c r="V3541">
        <v>64</v>
      </c>
      <c r="W3541">
        <v>9.1999999999999993</v>
      </c>
    </row>
    <row r="3542" spans="1:23" x14ac:dyDescent="0.25">
      <c r="A3542">
        <v>11</v>
      </c>
      <c r="B3542" t="s">
        <v>63</v>
      </c>
      <c r="C3542" s="1">
        <v>45272</v>
      </c>
      <c r="D3542" t="s">
        <v>71</v>
      </c>
      <c r="E3542">
        <v>0</v>
      </c>
      <c r="F3542">
        <v>80</v>
      </c>
      <c r="G3542" t="str">
        <f t="shared" si="63"/>
        <v>61-80</v>
      </c>
      <c r="H3542" t="s">
        <v>23</v>
      </c>
      <c r="I3542" t="s">
        <v>58</v>
      </c>
      <c r="J3542" t="s">
        <v>59</v>
      </c>
      <c r="K3542" t="s">
        <v>29</v>
      </c>
      <c r="L3542">
        <v>1</v>
      </c>
      <c r="M3542">
        <v>1</v>
      </c>
      <c r="N3542">
        <v>5.2</v>
      </c>
      <c r="O3542">
        <v>8.9</v>
      </c>
      <c r="P3542">
        <v>5</v>
      </c>
      <c r="Q3542">
        <v>3</v>
      </c>
      <c r="R3542">
        <v>783836</v>
      </c>
      <c r="S3542">
        <f>Table1[[#This Row],[Revenue]]-Table1[[#This Row],[Operating_Costs]]</f>
        <v>352357</v>
      </c>
      <c r="T3542">
        <v>431479</v>
      </c>
      <c r="U3542">
        <v>23</v>
      </c>
      <c r="V3542">
        <v>65</v>
      </c>
      <c r="W3542">
        <v>13.9</v>
      </c>
    </row>
    <row r="3543" spans="1:23" x14ac:dyDescent="0.25">
      <c r="A3543">
        <v>11</v>
      </c>
      <c r="B3543" t="s">
        <v>63</v>
      </c>
      <c r="C3543" s="1">
        <v>44693</v>
      </c>
      <c r="D3543" t="s">
        <v>71</v>
      </c>
      <c r="E3543">
        <v>0</v>
      </c>
      <c r="F3543">
        <v>37</v>
      </c>
      <c r="G3543" t="str">
        <f t="shared" si="63"/>
        <v>21-40</v>
      </c>
      <c r="H3543" t="s">
        <v>23</v>
      </c>
      <c r="I3543" t="s">
        <v>24</v>
      </c>
      <c r="J3543" t="s">
        <v>25</v>
      </c>
      <c r="K3543" t="s">
        <v>26</v>
      </c>
      <c r="L3543">
        <v>1</v>
      </c>
      <c r="M3543">
        <v>1</v>
      </c>
      <c r="N3543">
        <v>3.8</v>
      </c>
      <c r="O3543">
        <v>8.3000000000000007</v>
      </c>
      <c r="P3543">
        <v>7</v>
      </c>
      <c r="Q3543">
        <v>4</v>
      </c>
      <c r="R3543">
        <v>628886</v>
      </c>
      <c r="S3543">
        <f>Table1[[#This Row],[Revenue]]-Table1[[#This Row],[Operating_Costs]]</f>
        <v>196269</v>
      </c>
      <c r="T3543">
        <v>432617</v>
      </c>
      <c r="U3543">
        <v>34</v>
      </c>
      <c r="V3543">
        <v>60</v>
      </c>
      <c r="W3543">
        <v>5.9</v>
      </c>
    </row>
    <row r="3544" spans="1:23" x14ac:dyDescent="0.25">
      <c r="A3544">
        <v>11</v>
      </c>
      <c r="B3544" t="s">
        <v>63</v>
      </c>
      <c r="C3544" s="1">
        <v>45439</v>
      </c>
      <c r="D3544" t="s">
        <v>71</v>
      </c>
      <c r="E3544">
        <v>0</v>
      </c>
      <c r="F3544">
        <v>23</v>
      </c>
      <c r="G3544" t="str">
        <f t="shared" si="63"/>
        <v>21-40</v>
      </c>
      <c r="H3544" t="s">
        <v>23</v>
      </c>
      <c r="I3544" t="s">
        <v>67</v>
      </c>
      <c r="J3544" t="s">
        <v>68</v>
      </c>
      <c r="K3544" t="s">
        <v>42</v>
      </c>
      <c r="L3544">
        <v>1</v>
      </c>
      <c r="M3544">
        <v>1</v>
      </c>
      <c r="N3544">
        <v>4.2</v>
      </c>
      <c r="O3544">
        <v>9</v>
      </c>
      <c r="P3544">
        <v>7</v>
      </c>
      <c r="Q3544">
        <v>5</v>
      </c>
      <c r="R3544">
        <v>620995</v>
      </c>
      <c r="S3544">
        <f>Table1[[#This Row],[Revenue]]-Table1[[#This Row],[Operating_Costs]]</f>
        <v>96793</v>
      </c>
      <c r="T3544">
        <v>524202</v>
      </c>
      <c r="U3544">
        <v>28</v>
      </c>
      <c r="V3544">
        <v>62</v>
      </c>
      <c r="W3544">
        <v>12.8</v>
      </c>
    </row>
    <row r="3545" spans="1:23" x14ac:dyDescent="0.25">
      <c r="A3545">
        <v>11</v>
      </c>
      <c r="B3545" t="s">
        <v>63</v>
      </c>
      <c r="C3545" s="1">
        <v>44733</v>
      </c>
      <c r="D3545" t="s">
        <v>71</v>
      </c>
      <c r="E3545">
        <v>0</v>
      </c>
      <c r="F3545">
        <v>43</v>
      </c>
      <c r="G3545" t="str">
        <f t="shared" si="63"/>
        <v>41-60</v>
      </c>
      <c r="H3545" t="s">
        <v>23</v>
      </c>
      <c r="I3545" t="s">
        <v>50</v>
      </c>
      <c r="J3545" t="s">
        <v>51</v>
      </c>
      <c r="K3545" t="s">
        <v>42</v>
      </c>
      <c r="L3545">
        <v>1</v>
      </c>
      <c r="M3545">
        <v>1</v>
      </c>
      <c r="N3545">
        <v>5.3</v>
      </c>
      <c r="O3545">
        <v>7.7</v>
      </c>
      <c r="P3545">
        <v>5</v>
      </c>
      <c r="Q3545">
        <v>6</v>
      </c>
      <c r="R3545">
        <v>667344</v>
      </c>
      <c r="S3545">
        <f>Table1[[#This Row],[Revenue]]-Table1[[#This Row],[Operating_Costs]]</f>
        <v>201612</v>
      </c>
      <c r="T3545">
        <v>465732</v>
      </c>
      <c r="U3545">
        <v>24</v>
      </c>
      <c r="V3545">
        <v>63</v>
      </c>
      <c r="W3545">
        <v>14.8</v>
      </c>
    </row>
    <row r="3546" spans="1:23" x14ac:dyDescent="0.25">
      <c r="A3546">
        <v>11</v>
      </c>
      <c r="B3546" t="s">
        <v>63</v>
      </c>
      <c r="C3546" s="1">
        <v>44941</v>
      </c>
      <c r="D3546" t="s">
        <v>71</v>
      </c>
      <c r="E3546">
        <v>0</v>
      </c>
      <c r="F3546">
        <v>21</v>
      </c>
      <c r="G3546" t="str">
        <f t="shared" si="63"/>
        <v>21-40</v>
      </c>
      <c r="H3546" t="s">
        <v>35</v>
      </c>
      <c r="I3546" t="s">
        <v>58</v>
      </c>
      <c r="J3546" t="s">
        <v>59</v>
      </c>
      <c r="K3546" t="s">
        <v>42</v>
      </c>
      <c r="L3546">
        <v>1</v>
      </c>
      <c r="M3546">
        <v>1</v>
      </c>
      <c r="N3546">
        <v>2.4</v>
      </c>
      <c r="O3546">
        <v>7.1</v>
      </c>
      <c r="P3546">
        <v>6</v>
      </c>
      <c r="Q3546">
        <v>5</v>
      </c>
      <c r="R3546">
        <v>632159</v>
      </c>
      <c r="S3546">
        <f>Table1[[#This Row],[Revenue]]-Table1[[#This Row],[Operating_Costs]]</f>
        <v>195298</v>
      </c>
      <c r="T3546">
        <v>436861</v>
      </c>
      <c r="U3546">
        <v>24</v>
      </c>
      <c r="V3546">
        <v>64</v>
      </c>
      <c r="W3546">
        <v>6.8</v>
      </c>
    </row>
    <row r="3547" spans="1:23" x14ac:dyDescent="0.25">
      <c r="A3547">
        <v>11</v>
      </c>
      <c r="B3547" t="s">
        <v>63</v>
      </c>
      <c r="C3547" s="1">
        <v>44221</v>
      </c>
      <c r="D3547" t="s">
        <v>71</v>
      </c>
      <c r="E3547">
        <v>0</v>
      </c>
      <c r="F3547">
        <v>69</v>
      </c>
      <c r="G3547" t="str">
        <f t="shared" si="63"/>
        <v>61-80</v>
      </c>
      <c r="H3547" t="s">
        <v>23</v>
      </c>
      <c r="I3547" t="s">
        <v>24</v>
      </c>
      <c r="J3547" t="s">
        <v>25</v>
      </c>
      <c r="K3547" t="s">
        <v>38</v>
      </c>
      <c r="L3547">
        <v>1</v>
      </c>
      <c r="M3547">
        <v>1</v>
      </c>
      <c r="N3547">
        <v>1.4</v>
      </c>
      <c r="O3547">
        <v>7.3</v>
      </c>
      <c r="P3547">
        <v>6</v>
      </c>
      <c r="Q3547">
        <v>3</v>
      </c>
      <c r="R3547">
        <v>707768</v>
      </c>
      <c r="S3547">
        <f>Table1[[#This Row],[Revenue]]-Table1[[#This Row],[Operating_Costs]]</f>
        <v>285549</v>
      </c>
      <c r="T3547">
        <v>422219</v>
      </c>
      <c r="U3547">
        <v>35</v>
      </c>
      <c r="V3547">
        <v>62</v>
      </c>
      <c r="W3547">
        <v>7.5</v>
      </c>
    </row>
    <row r="3548" spans="1:23" x14ac:dyDescent="0.25">
      <c r="A3548">
        <v>11</v>
      </c>
      <c r="B3548" t="s">
        <v>63</v>
      </c>
      <c r="C3548" s="1">
        <v>44706</v>
      </c>
      <c r="D3548" t="s">
        <v>71</v>
      </c>
      <c r="E3548">
        <v>0</v>
      </c>
      <c r="F3548">
        <v>66</v>
      </c>
      <c r="G3548" t="str">
        <f t="shared" si="63"/>
        <v>61-80</v>
      </c>
      <c r="H3548" t="s">
        <v>35</v>
      </c>
      <c r="I3548" t="s">
        <v>58</v>
      </c>
      <c r="J3548" t="s">
        <v>59</v>
      </c>
      <c r="K3548" t="s">
        <v>29</v>
      </c>
      <c r="L3548">
        <v>1</v>
      </c>
      <c r="M3548">
        <v>1</v>
      </c>
      <c r="N3548">
        <v>2.7</v>
      </c>
      <c r="O3548">
        <v>8.1</v>
      </c>
      <c r="P3548">
        <v>7</v>
      </c>
      <c r="Q3548">
        <v>5</v>
      </c>
      <c r="R3548">
        <v>787900</v>
      </c>
      <c r="S3548">
        <f>Table1[[#This Row],[Revenue]]-Table1[[#This Row],[Operating_Costs]]</f>
        <v>302446</v>
      </c>
      <c r="T3548">
        <v>485454</v>
      </c>
      <c r="U3548">
        <v>33</v>
      </c>
      <c r="V3548">
        <v>64</v>
      </c>
      <c r="W3548">
        <v>10.9</v>
      </c>
    </row>
    <row r="3549" spans="1:23" x14ac:dyDescent="0.25">
      <c r="A3549">
        <v>11</v>
      </c>
      <c r="B3549" t="s">
        <v>63</v>
      </c>
      <c r="C3549" s="1">
        <v>45213</v>
      </c>
      <c r="D3549" t="s">
        <v>71</v>
      </c>
      <c r="E3549">
        <v>0</v>
      </c>
      <c r="F3549">
        <v>52</v>
      </c>
      <c r="G3549" t="str">
        <f t="shared" si="63"/>
        <v>41-60</v>
      </c>
      <c r="H3549" t="s">
        <v>23</v>
      </c>
      <c r="I3549" t="s">
        <v>31</v>
      </c>
      <c r="J3549" t="s">
        <v>28</v>
      </c>
      <c r="K3549" t="s">
        <v>33</v>
      </c>
      <c r="L3549">
        <v>1</v>
      </c>
      <c r="M3549">
        <v>1</v>
      </c>
      <c r="N3549">
        <v>4.7</v>
      </c>
      <c r="O3549">
        <v>8.1</v>
      </c>
      <c r="P3549">
        <v>4</v>
      </c>
      <c r="Q3549">
        <v>5</v>
      </c>
      <c r="R3549">
        <v>792980</v>
      </c>
      <c r="S3549">
        <f>Table1[[#This Row],[Revenue]]-Table1[[#This Row],[Operating_Costs]]</f>
        <v>219216</v>
      </c>
      <c r="T3549">
        <v>573764</v>
      </c>
      <c r="U3549">
        <v>26</v>
      </c>
      <c r="V3549">
        <v>55</v>
      </c>
      <c r="W3549">
        <v>7.4</v>
      </c>
    </row>
    <row r="3550" spans="1:23" x14ac:dyDescent="0.25">
      <c r="A3550">
        <v>11</v>
      </c>
      <c r="B3550" t="s">
        <v>63</v>
      </c>
      <c r="C3550" s="1">
        <v>44767</v>
      </c>
      <c r="D3550" t="s">
        <v>71</v>
      </c>
      <c r="E3550">
        <v>0</v>
      </c>
      <c r="F3550">
        <v>41</v>
      </c>
      <c r="G3550" t="str">
        <f t="shared" si="63"/>
        <v>41-60</v>
      </c>
      <c r="H3550" t="s">
        <v>35</v>
      </c>
      <c r="I3550" t="s">
        <v>46</v>
      </c>
      <c r="J3550" t="s">
        <v>47</v>
      </c>
      <c r="K3550" t="s">
        <v>42</v>
      </c>
      <c r="L3550">
        <v>1</v>
      </c>
      <c r="M3550">
        <v>1</v>
      </c>
      <c r="N3550">
        <v>5.9</v>
      </c>
      <c r="O3550">
        <v>8.4</v>
      </c>
      <c r="P3550">
        <v>3</v>
      </c>
      <c r="Q3550">
        <v>7</v>
      </c>
      <c r="R3550">
        <v>629622</v>
      </c>
      <c r="S3550">
        <f>Table1[[#This Row],[Revenue]]-Table1[[#This Row],[Operating_Costs]]</f>
        <v>93109</v>
      </c>
      <c r="T3550">
        <v>536513</v>
      </c>
      <c r="U3550">
        <v>31</v>
      </c>
      <c r="V3550">
        <v>64</v>
      </c>
      <c r="W3550">
        <v>9.8000000000000007</v>
      </c>
    </row>
    <row r="3551" spans="1:23" x14ac:dyDescent="0.25">
      <c r="A3551">
        <v>11</v>
      </c>
      <c r="B3551" t="s">
        <v>63</v>
      </c>
      <c r="C3551" s="1">
        <v>44863</v>
      </c>
      <c r="D3551" t="s">
        <v>71</v>
      </c>
      <c r="E3551">
        <v>0</v>
      </c>
      <c r="F3551">
        <v>85</v>
      </c>
      <c r="G3551" t="str">
        <f t="shared" si="63"/>
        <v>81+</v>
      </c>
      <c r="H3551" t="s">
        <v>35</v>
      </c>
      <c r="I3551" t="s">
        <v>55</v>
      </c>
      <c r="J3551" t="s">
        <v>56</v>
      </c>
      <c r="K3551" t="s">
        <v>42</v>
      </c>
      <c r="L3551">
        <v>1</v>
      </c>
      <c r="M3551">
        <v>1</v>
      </c>
      <c r="N3551">
        <v>5.7</v>
      </c>
      <c r="O3551">
        <v>7.6</v>
      </c>
      <c r="P3551">
        <v>6</v>
      </c>
      <c r="Q3551">
        <v>6</v>
      </c>
      <c r="R3551">
        <v>757037</v>
      </c>
      <c r="S3551">
        <f>Table1[[#This Row],[Revenue]]-Table1[[#This Row],[Operating_Costs]]</f>
        <v>248751</v>
      </c>
      <c r="T3551">
        <v>508286</v>
      </c>
      <c r="U3551">
        <v>29</v>
      </c>
      <c r="V3551">
        <v>58</v>
      </c>
      <c r="W3551">
        <v>9.3000000000000007</v>
      </c>
    </row>
    <row r="3552" spans="1:23" x14ac:dyDescent="0.25">
      <c r="A3552">
        <v>11</v>
      </c>
      <c r="B3552" t="s">
        <v>63</v>
      </c>
      <c r="C3552" s="1">
        <v>45654</v>
      </c>
      <c r="D3552" t="s">
        <v>71</v>
      </c>
      <c r="E3552">
        <v>0</v>
      </c>
      <c r="F3552">
        <v>44</v>
      </c>
      <c r="G3552" t="str">
        <f t="shared" si="63"/>
        <v>41-60</v>
      </c>
      <c r="H3552" t="s">
        <v>35</v>
      </c>
      <c r="I3552" t="s">
        <v>36</v>
      </c>
      <c r="J3552" t="s">
        <v>37</v>
      </c>
      <c r="K3552" t="s">
        <v>26</v>
      </c>
      <c r="L3552">
        <v>1</v>
      </c>
      <c r="M3552">
        <v>1</v>
      </c>
      <c r="N3552">
        <v>6.6</v>
      </c>
      <c r="O3552">
        <v>8.1999999999999993</v>
      </c>
      <c r="P3552">
        <v>4</v>
      </c>
      <c r="Q3552">
        <v>4</v>
      </c>
      <c r="R3552">
        <v>761456</v>
      </c>
      <c r="S3552">
        <f>Table1[[#This Row],[Revenue]]-Table1[[#This Row],[Operating_Costs]]</f>
        <v>332050</v>
      </c>
      <c r="T3552">
        <v>429406</v>
      </c>
      <c r="U3552">
        <v>25</v>
      </c>
      <c r="V3552">
        <v>60</v>
      </c>
      <c r="W3552">
        <v>10.3</v>
      </c>
    </row>
    <row r="3553" spans="1:23" x14ac:dyDescent="0.25">
      <c r="A3553">
        <v>11</v>
      </c>
      <c r="B3553" t="s">
        <v>63</v>
      </c>
      <c r="C3553" s="1">
        <v>45180</v>
      </c>
      <c r="D3553" t="s">
        <v>71</v>
      </c>
      <c r="E3553">
        <v>0</v>
      </c>
      <c r="F3553">
        <v>62</v>
      </c>
      <c r="G3553" t="str">
        <f t="shared" si="63"/>
        <v>61-80</v>
      </c>
      <c r="H3553" t="s">
        <v>35</v>
      </c>
      <c r="I3553" t="s">
        <v>61</v>
      </c>
      <c r="J3553" t="s">
        <v>62</v>
      </c>
      <c r="K3553" t="s">
        <v>38</v>
      </c>
      <c r="L3553">
        <v>1</v>
      </c>
      <c r="M3553">
        <v>1</v>
      </c>
      <c r="N3553">
        <v>5</v>
      </c>
      <c r="O3553">
        <v>8.3000000000000007</v>
      </c>
      <c r="P3553">
        <v>4</v>
      </c>
      <c r="Q3553">
        <v>7</v>
      </c>
      <c r="R3553">
        <v>703643</v>
      </c>
      <c r="S3553">
        <f>Table1[[#This Row],[Revenue]]-Table1[[#This Row],[Operating_Costs]]</f>
        <v>281720</v>
      </c>
      <c r="T3553">
        <v>421923</v>
      </c>
      <c r="U3553">
        <v>30</v>
      </c>
      <c r="V3553">
        <v>59</v>
      </c>
      <c r="W3553">
        <v>10.8</v>
      </c>
    </row>
    <row r="3554" spans="1:23" x14ac:dyDescent="0.25">
      <c r="A3554">
        <v>11</v>
      </c>
      <c r="B3554" t="s">
        <v>63</v>
      </c>
      <c r="C3554" s="1">
        <v>45448</v>
      </c>
      <c r="D3554" t="s">
        <v>71</v>
      </c>
      <c r="E3554">
        <v>0</v>
      </c>
      <c r="F3554">
        <v>74</v>
      </c>
      <c r="G3554" t="str">
        <f t="shared" si="63"/>
        <v>61-80</v>
      </c>
      <c r="H3554" t="s">
        <v>23</v>
      </c>
      <c r="I3554" t="s">
        <v>31</v>
      </c>
      <c r="J3554" t="s">
        <v>28</v>
      </c>
      <c r="K3554" t="s">
        <v>29</v>
      </c>
      <c r="L3554">
        <v>1</v>
      </c>
      <c r="M3554">
        <v>1</v>
      </c>
      <c r="N3554">
        <v>3.6</v>
      </c>
      <c r="O3554">
        <v>8.6999999999999993</v>
      </c>
      <c r="P3554">
        <v>6</v>
      </c>
      <c r="Q3554">
        <v>5</v>
      </c>
      <c r="R3554">
        <v>665957</v>
      </c>
      <c r="S3554">
        <f>Table1[[#This Row],[Revenue]]-Table1[[#This Row],[Operating_Costs]]</f>
        <v>164487</v>
      </c>
      <c r="T3554">
        <v>501470</v>
      </c>
      <c r="U3554">
        <v>32</v>
      </c>
      <c r="V3554">
        <v>55</v>
      </c>
      <c r="W3554">
        <v>7.9</v>
      </c>
    </row>
    <row r="3555" spans="1:23" x14ac:dyDescent="0.25">
      <c r="A3555">
        <v>11</v>
      </c>
      <c r="B3555" t="s">
        <v>63</v>
      </c>
      <c r="C3555" s="1">
        <v>45607</v>
      </c>
      <c r="D3555" t="s">
        <v>71</v>
      </c>
      <c r="E3555">
        <v>0</v>
      </c>
      <c r="F3555">
        <v>33</v>
      </c>
      <c r="G3555" t="str">
        <f t="shared" si="63"/>
        <v>21-40</v>
      </c>
      <c r="H3555" t="s">
        <v>23</v>
      </c>
      <c r="I3555" t="s">
        <v>61</v>
      </c>
      <c r="J3555" t="s">
        <v>62</v>
      </c>
      <c r="K3555" t="s">
        <v>33</v>
      </c>
      <c r="L3555">
        <v>1</v>
      </c>
      <c r="M3555">
        <v>1</v>
      </c>
      <c r="N3555">
        <v>6.1</v>
      </c>
      <c r="O3555">
        <v>7.7</v>
      </c>
      <c r="P3555">
        <v>5</v>
      </c>
      <c r="Q3555">
        <v>5</v>
      </c>
      <c r="R3555">
        <v>798997</v>
      </c>
      <c r="S3555">
        <f>Table1[[#This Row],[Revenue]]-Table1[[#This Row],[Operating_Costs]]</f>
        <v>249675</v>
      </c>
      <c r="T3555">
        <v>549322</v>
      </c>
      <c r="U3555">
        <v>23</v>
      </c>
      <c r="V3555">
        <v>63</v>
      </c>
      <c r="W3555">
        <v>8.6</v>
      </c>
    </row>
    <row r="3556" spans="1:23" x14ac:dyDescent="0.25">
      <c r="A3556">
        <v>11</v>
      </c>
      <c r="B3556" t="s">
        <v>63</v>
      </c>
      <c r="C3556" s="1">
        <v>44342</v>
      </c>
      <c r="D3556" t="s">
        <v>71</v>
      </c>
      <c r="E3556">
        <v>0</v>
      </c>
      <c r="F3556">
        <v>32</v>
      </c>
      <c r="G3556" t="str">
        <f t="shared" si="63"/>
        <v>21-40</v>
      </c>
      <c r="H3556" t="s">
        <v>35</v>
      </c>
      <c r="I3556" t="s">
        <v>36</v>
      </c>
      <c r="J3556" t="s">
        <v>37</v>
      </c>
      <c r="K3556" t="s">
        <v>33</v>
      </c>
      <c r="L3556">
        <v>1</v>
      </c>
      <c r="M3556">
        <v>1</v>
      </c>
      <c r="N3556">
        <v>5</v>
      </c>
      <c r="O3556">
        <v>7.1</v>
      </c>
      <c r="P3556">
        <v>4</v>
      </c>
      <c r="Q3556">
        <v>5</v>
      </c>
      <c r="R3556">
        <v>650663</v>
      </c>
      <c r="S3556">
        <f>Table1[[#This Row],[Revenue]]-Table1[[#This Row],[Operating_Costs]]</f>
        <v>174926</v>
      </c>
      <c r="T3556">
        <v>475737</v>
      </c>
      <c r="U3556">
        <v>24</v>
      </c>
      <c r="V3556">
        <v>66</v>
      </c>
      <c r="W3556">
        <v>10.6</v>
      </c>
    </row>
    <row r="3557" spans="1:23" x14ac:dyDescent="0.25">
      <c r="A3557">
        <v>11</v>
      </c>
      <c r="B3557" t="s">
        <v>63</v>
      </c>
      <c r="C3557" s="1">
        <v>44376</v>
      </c>
      <c r="D3557" t="s">
        <v>71</v>
      </c>
      <c r="E3557">
        <v>0</v>
      </c>
      <c r="F3557">
        <v>44</v>
      </c>
      <c r="G3557" t="str">
        <f t="shared" si="63"/>
        <v>41-60</v>
      </c>
      <c r="H3557" t="s">
        <v>35</v>
      </c>
      <c r="I3557" t="s">
        <v>50</v>
      </c>
      <c r="J3557" t="s">
        <v>51</v>
      </c>
      <c r="K3557" t="s">
        <v>26</v>
      </c>
      <c r="L3557">
        <v>1</v>
      </c>
      <c r="M3557">
        <v>1</v>
      </c>
      <c r="N3557">
        <v>1.3</v>
      </c>
      <c r="O3557">
        <v>7.8</v>
      </c>
      <c r="P3557">
        <v>3</v>
      </c>
      <c r="Q3557">
        <v>5</v>
      </c>
      <c r="R3557">
        <v>728534</v>
      </c>
      <c r="S3557">
        <f>Table1[[#This Row],[Revenue]]-Table1[[#This Row],[Operating_Costs]]</f>
        <v>174876</v>
      </c>
      <c r="T3557">
        <v>553658</v>
      </c>
      <c r="U3557">
        <v>29</v>
      </c>
      <c r="V3557">
        <v>63</v>
      </c>
      <c r="W3557">
        <v>13.4</v>
      </c>
    </row>
    <row r="3558" spans="1:23" x14ac:dyDescent="0.25">
      <c r="A3558">
        <v>11</v>
      </c>
      <c r="B3558" t="s">
        <v>63</v>
      </c>
      <c r="C3558" s="1">
        <v>45636</v>
      </c>
      <c r="D3558" t="s">
        <v>71</v>
      </c>
      <c r="E3558">
        <v>0</v>
      </c>
      <c r="F3558">
        <v>31</v>
      </c>
      <c r="G3558" t="str">
        <f t="shared" si="63"/>
        <v>21-40</v>
      </c>
      <c r="H3558" t="s">
        <v>35</v>
      </c>
      <c r="I3558" t="s">
        <v>61</v>
      </c>
      <c r="J3558" t="s">
        <v>62</v>
      </c>
      <c r="K3558" t="s">
        <v>29</v>
      </c>
      <c r="L3558">
        <v>1</v>
      </c>
      <c r="M3558">
        <v>1</v>
      </c>
      <c r="N3558">
        <v>5.8</v>
      </c>
      <c r="O3558">
        <v>9.5</v>
      </c>
      <c r="P3558">
        <v>7</v>
      </c>
      <c r="Q3558">
        <v>3</v>
      </c>
      <c r="R3558">
        <v>679387</v>
      </c>
      <c r="S3558">
        <f>Table1[[#This Row],[Revenue]]-Table1[[#This Row],[Operating_Costs]]</f>
        <v>132129</v>
      </c>
      <c r="T3558">
        <v>547258</v>
      </c>
      <c r="U3558">
        <v>34</v>
      </c>
      <c r="V3558">
        <v>59</v>
      </c>
      <c r="W3558">
        <v>14.5</v>
      </c>
    </row>
    <row r="3559" spans="1:23" x14ac:dyDescent="0.25">
      <c r="A3559">
        <v>11</v>
      </c>
      <c r="B3559" t="s">
        <v>63</v>
      </c>
      <c r="C3559" s="1">
        <v>45300</v>
      </c>
      <c r="D3559" t="s">
        <v>71</v>
      </c>
      <c r="E3559">
        <v>0</v>
      </c>
      <c r="F3559">
        <v>27</v>
      </c>
      <c r="G3559" t="str">
        <f t="shared" si="63"/>
        <v>21-40</v>
      </c>
      <c r="H3559" t="s">
        <v>35</v>
      </c>
      <c r="I3559" t="s">
        <v>36</v>
      </c>
      <c r="J3559" t="s">
        <v>37</v>
      </c>
      <c r="K3559" t="s">
        <v>42</v>
      </c>
      <c r="L3559">
        <v>1</v>
      </c>
      <c r="M3559">
        <v>1</v>
      </c>
      <c r="N3559">
        <v>4.7</v>
      </c>
      <c r="O3559">
        <v>7.4</v>
      </c>
      <c r="P3559">
        <v>6</v>
      </c>
      <c r="Q3559">
        <v>5</v>
      </c>
      <c r="R3559">
        <v>672674</v>
      </c>
      <c r="S3559">
        <f>Table1[[#This Row],[Revenue]]-Table1[[#This Row],[Operating_Costs]]</f>
        <v>168510</v>
      </c>
      <c r="T3559">
        <v>504164</v>
      </c>
      <c r="U3559">
        <v>20</v>
      </c>
      <c r="V3559">
        <v>57</v>
      </c>
      <c r="W3559">
        <v>13.6</v>
      </c>
    </row>
    <row r="3560" spans="1:23" x14ac:dyDescent="0.25">
      <c r="A3560">
        <v>11</v>
      </c>
      <c r="B3560" t="s">
        <v>63</v>
      </c>
      <c r="C3560" s="1">
        <v>45247</v>
      </c>
      <c r="D3560" t="s">
        <v>71</v>
      </c>
      <c r="E3560">
        <v>0</v>
      </c>
      <c r="F3560">
        <v>71</v>
      </c>
      <c r="G3560" t="str">
        <f t="shared" si="63"/>
        <v>61-80</v>
      </c>
      <c r="H3560" t="s">
        <v>35</v>
      </c>
      <c r="I3560" t="s">
        <v>58</v>
      </c>
      <c r="J3560" t="s">
        <v>59</v>
      </c>
      <c r="K3560" t="s">
        <v>29</v>
      </c>
      <c r="L3560">
        <v>1</v>
      </c>
      <c r="M3560">
        <v>1</v>
      </c>
      <c r="N3560">
        <v>3.4</v>
      </c>
      <c r="O3560">
        <v>9</v>
      </c>
      <c r="P3560">
        <v>4</v>
      </c>
      <c r="Q3560">
        <v>3</v>
      </c>
      <c r="R3560">
        <v>774857</v>
      </c>
      <c r="S3560">
        <f>Table1[[#This Row],[Revenue]]-Table1[[#This Row],[Operating_Costs]]</f>
        <v>243771</v>
      </c>
      <c r="T3560">
        <v>531086</v>
      </c>
      <c r="U3560">
        <v>28</v>
      </c>
      <c r="V3560">
        <v>61</v>
      </c>
      <c r="W3560">
        <v>14.2</v>
      </c>
    </row>
    <row r="3561" spans="1:23" x14ac:dyDescent="0.25">
      <c r="A3561">
        <v>11</v>
      </c>
      <c r="B3561" t="s">
        <v>63</v>
      </c>
      <c r="C3561" s="1">
        <v>45370</v>
      </c>
      <c r="D3561" t="s">
        <v>71</v>
      </c>
      <c r="E3561">
        <v>0</v>
      </c>
      <c r="F3561">
        <v>30</v>
      </c>
      <c r="G3561" t="str">
        <f t="shared" si="63"/>
        <v>21-40</v>
      </c>
      <c r="H3561" t="s">
        <v>23</v>
      </c>
      <c r="I3561" t="s">
        <v>67</v>
      </c>
      <c r="J3561" t="s">
        <v>68</v>
      </c>
      <c r="K3561" t="s">
        <v>38</v>
      </c>
      <c r="L3561">
        <v>1</v>
      </c>
      <c r="M3561">
        <v>1</v>
      </c>
      <c r="N3561">
        <v>5.5</v>
      </c>
      <c r="O3561">
        <v>7.8</v>
      </c>
      <c r="P3561">
        <v>6</v>
      </c>
      <c r="Q3561">
        <v>7</v>
      </c>
      <c r="R3561">
        <v>709826</v>
      </c>
      <c r="S3561">
        <f>Table1[[#This Row],[Revenue]]-Table1[[#This Row],[Operating_Costs]]</f>
        <v>195723</v>
      </c>
      <c r="T3561">
        <v>514103</v>
      </c>
      <c r="U3561">
        <v>32</v>
      </c>
      <c r="V3561">
        <v>57</v>
      </c>
      <c r="W3561">
        <v>12.2</v>
      </c>
    </row>
    <row r="3562" spans="1:23" x14ac:dyDescent="0.25">
      <c r="A3562">
        <v>11</v>
      </c>
      <c r="B3562" t="s">
        <v>63</v>
      </c>
      <c r="C3562" s="1">
        <v>45094</v>
      </c>
      <c r="D3562" t="s">
        <v>71</v>
      </c>
      <c r="E3562">
        <v>0</v>
      </c>
      <c r="F3562">
        <v>86</v>
      </c>
      <c r="G3562" t="str">
        <f t="shared" si="63"/>
        <v>81+</v>
      </c>
      <c r="H3562" t="s">
        <v>35</v>
      </c>
      <c r="I3562" t="s">
        <v>40</v>
      </c>
      <c r="J3562" t="s">
        <v>41</v>
      </c>
      <c r="K3562" t="s">
        <v>42</v>
      </c>
      <c r="L3562">
        <v>1</v>
      </c>
      <c r="M3562">
        <v>1</v>
      </c>
      <c r="N3562">
        <v>4</v>
      </c>
      <c r="O3562">
        <v>8</v>
      </c>
      <c r="P3562">
        <v>3</v>
      </c>
      <c r="Q3562">
        <v>6</v>
      </c>
      <c r="R3562">
        <v>676496</v>
      </c>
      <c r="S3562">
        <f>Table1[[#This Row],[Revenue]]-Table1[[#This Row],[Operating_Costs]]</f>
        <v>229319</v>
      </c>
      <c r="T3562">
        <v>447177</v>
      </c>
      <c r="U3562">
        <v>27</v>
      </c>
      <c r="V3562">
        <v>56</v>
      </c>
      <c r="W3562">
        <v>14.1</v>
      </c>
    </row>
    <row r="3563" spans="1:23" x14ac:dyDescent="0.25">
      <c r="A3563">
        <v>11</v>
      </c>
      <c r="B3563" t="s">
        <v>63</v>
      </c>
      <c r="C3563" s="1">
        <v>45289</v>
      </c>
      <c r="D3563" t="s">
        <v>71</v>
      </c>
      <c r="E3563">
        <v>0</v>
      </c>
      <c r="F3563">
        <v>71</v>
      </c>
      <c r="G3563" t="str">
        <f t="shared" si="63"/>
        <v>61-80</v>
      </c>
      <c r="H3563" t="s">
        <v>23</v>
      </c>
      <c r="I3563" t="s">
        <v>64</v>
      </c>
      <c r="J3563" t="s">
        <v>65</v>
      </c>
      <c r="K3563" t="s">
        <v>38</v>
      </c>
      <c r="L3563">
        <v>1</v>
      </c>
      <c r="M3563">
        <v>1</v>
      </c>
      <c r="N3563">
        <v>1.2</v>
      </c>
      <c r="O3563">
        <v>8.6</v>
      </c>
      <c r="P3563">
        <v>3</v>
      </c>
      <c r="Q3563">
        <v>7</v>
      </c>
      <c r="R3563">
        <v>788864</v>
      </c>
      <c r="S3563">
        <f>Table1[[#This Row],[Revenue]]-Table1[[#This Row],[Operating_Costs]]</f>
        <v>385811</v>
      </c>
      <c r="T3563">
        <v>403053</v>
      </c>
      <c r="U3563">
        <v>29</v>
      </c>
      <c r="V3563">
        <v>66</v>
      </c>
      <c r="W3563">
        <v>9.5</v>
      </c>
    </row>
    <row r="3564" spans="1:23" x14ac:dyDescent="0.25">
      <c r="A3564">
        <v>11</v>
      </c>
      <c r="B3564" t="s">
        <v>63</v>
      </c>
      <c r="C3564" s="1">
        <v>45312</v>
      </c>
      <c r="D3564" t="s">
        <v>71</v>
      </c>
      <c r="E3564">
        <v>0</v>
      </c>
      <c r="F3564">
        <v>88</v>
      </c>
      <c r="G3564" t="str">
        <f t="shared" si="63"/>
        <v>81+</v>
      </c>
      <c r="H3564" t="s">
        <v>35</v>
      </c>
      <c r="I3564" t="s">
        <v>36</v>
      </c>
      <c r="J3564" t="s">
        <v>37</v>
      </c>
      <c r="K3564" t="s">
        <v>42</v>
      </c>
      <c r="L3564">
        <v>1</v>
      </c>
      <c r="M3564">
        <v>1</v>
      </c>
      <c r="N3564">
        <v>3.7</v>
      </c>
      <c r="O3564">
        <v>7.2</v>
      </c>
      <c r="P3564">
        <v>4</v>
      </c>
      <c r="Q3564">
        <v>7</v>
      </c>
      <c r="R3564">
        <v>657051</v>
      </c>
      <c r="S3564">
        <f>Table1[[#This Row],[Revenue]]-Table1[[#This Row],[Operating_Costs]]</f>
        <v>240266</v>
      </c>
      <c r="T3564">
        <v>416785</v>
      </c>
      <c r="U3564">
        <v>24</v>
      </c>
      <c r="V3564">
        <v>63</v>
      </c>
      <c r="W3564">
        <v>9.1</v>
      </c>
    </row>
    <row r="3565" spans="1:23" x14ac:dyDescent="0.25">
      <c r="A3565">
        <v>11</v>
      </c>
      <c r="B3565" t="s">
        <v>63</v>
      </c>
      <c r="C3565" s="1">
        <v>45191</v>
      </c>
      <c r="D3565" t="s">
        <v>71</v>
      </c>
      <c r="E3565">
        <v>0</v>
      </c>
      <c r="F3565">
        <v>57</v>
      </c>
      <c r="G3565" t="str">
        <f t="shared" si="63"/>
        <v>41-60</v>
      </c>
      <c r="H3565" t="s">
        <v>35</v>
      </c>
      <c r="I3565" t="s">
        <v>40</v>
      </c>
      <c r="J3565" t="s">
        <v>41</v>
      </c>
      <c r="K3565" t="s">
        <v>26</v>
      </c>
      <c r="L3565">
        <v>1</v>
      </c>
      <c r="M3565">
        <v>1</v>
      </c>
      <c r="N3565">
        <v>5.8</v>
      </c>
      <c r="O3565">
        <v>7.3</v>
      </c>
      <c r="P3565">
        <v>4</v>
      </c>
      <c r="Q3565">
        <v>7</v>
      </c>
      <c r="R3565">
        <v>702598</v>
      </c>
      <c r="S3565">
        <f>Table1[[#This Row],[Revenue]]-Table1[[#This Row],[Operating_Costs]]</f>
        <v>163014</v>
      </c>
      <c r="T3565">
        <v>539584</v>
      </c>
      <c r="U3565">
        <v>34</v>
      </c>
      <c r="V3565">
        <v>55</v>
      </c>
      <c r="W3565">
        <v>8.9</v>
      </c>
    </row>
    <row r="3566" spans="1:23" x14ac:dyDescent="0.25">
      <c r="A3566">
        <v>11</v>
      </c>
      <c r="B3566" t="s">
        <v>63</v>
      </c>
      <c r="C3566" s="1">
        <v>44991</v>
      </c>
      <c r="D3566" t="s">
        <v>71</v>
      </c>
      <c r="E3566">
        <v>0</v>
      </c>
      <c r="F3566">
        <v>46</v>
      </c>
      <c r="G3566" t="str">
        <f t="shared" si="63"/>
        <v>41-60</v>
      </c>
      <c r="H3566" t="s">
        <v>23</v>
      </c>
      <c r="I3566" t="s">
        <v>67</v>
      </c>
      <c r="J3566" t="s">
        <v>68</v>
      </c>
      <c r="K3566" t="s">
        <v>42</v>
      </c>
      <c r="L3566">
        <v>1</v>
      </c>
      <c r="M3566">
        <v>1</v>
      </c>
      <c r="N3566">
        <v>4.2</v>
      </c>
      <c r="O3566">
        <v>8.6999999999999993</v>
      </c>
      <c r="P3566">
        <v>5</v>
      </c>
      <c r="Q3566">
        <v>4</v>
      </c>
      <c r="R3566">
        <v>738295</v>
      </c>
      <c r="S3566">
        <f>Table1[[#This Row],[Revenue]]-Table1[[#This Row],[Operating_Costs]]</f>
        <v>178586</v>
      </c>
      <c r="T3566">
        <v>559709</v>
      </c>
      <c r="U3566">
        <v>24</v>
      </c>
      <c r="V3566">
        <v>62</v>
      </c>
      <c r="W3566">
        <v>5.4</v>
      </c>
    </row>
    <row r="3567" spans="1:23" x14ac:dyDescent="0.25">
      <c r="A3567">
        <v>11</v>
      </c>
      <c r="B3567" t="s">
        <v>63</v>
      </c>
      <c r="C3567" s="1">
        <v>44864</v>
      </c>
      <c r="D3567" t="s">
        <v>71</v>
      </c>
      <c r="E3567">
        <v>0</v>
      </c>
      <c r="F3567">
        <v>43</v>
      </c>
      <c r="G3567" t="str">
        <f t="shared" si="63"/>
        <v>41-60</v>
      </c>
      <c r="H3567" t="s">
        <v>23</v>
      </c>
      <c r="I3567" t="s">
        <v>31</v>
      </c>
      <c r="J3567" t="s">
        <v>28</v>
      </c>
      <c r="K3567" t="s">
        <v>26</v>
      </c>
      <c r="L3567">
        <v>1</v>
      </c>
      <c r="M3567">
        <v>1</v>
      </c>
      <c r="N3567">
        <v>1.1000000000000001</v>
      </c>
      <c r="O3567">
        <v>9.6999999999999993</v>
      </c>
      <c r="P3567">
        <v>7</v>
      </c>
      <c r="Q3567">
        <v>6</v>
      </c>
      <c r="R3567">
        <v>676381</v>
      </c>
      <c r="S3567">
        <f>Table1[[#This Row],[Revenue]]-Table1[[#This Row],[Operating_Costs]]</f>
        <v>210788</v>
      </c>
      <c r="T3567">
        <v>465593</v>
      </c>
      <c r="U3567">
        <v>27</v>
      </c>
      <c r="V3567">
        <v>54</v>
      </c>
      <c r="W3567">
        <v>8</v>
      </c>
    </row>
    <row r="3568" spans="1:23" x14ac:dyDescent="0.25">
      <c r="A3568">
        <v>11</v>
      </c>
      <c r="B3568" t="s">
        <v>63</v>
      </c>
      <c r="C3568" s="1">
        <v>44640</v>
      </c>
      <c r="D3568" t="s">
        <v>71</v>
      </c>
      <c r="E3568">
        <v>0</v>
      </c>
      <c r="F3568">
        <v>43</v>
      </c>
      <c r="G3568" t="str">
        <f t="shared" si="63"/>
        <v>41-60</v>
      </c>
      <c r="H3568" t="s">
        <v>23</v>
      </c>
      <c r="I3568" t="s">
        <v>31</v>
      </c>
      <c r="J3568" t="s">
        <v>28</v>
      </c>
      <c r="K3568" t="s">
        <v>33</v>
      </c>
      <c r="L3568">
        <v>1</v>
      </c>
      <c r="M3568">
        <v>1</v>
      </c>
      <c r="N3568">
        <v>2.1</v>
      </c>
      <c r="O3568">
        <v>8.8000000000000007</v>
      </c>
      <c r="P3568">
        <v>3</v>
      </c>
      <c r="Q3568">
        <v>4</v>
      </c>
      <c r="R3568">
        <v>682460</v>
      </c>
      <c r="S3568">
        <f>Table1[[#This Row],[Revenue]]-Table1[[#This Row],[Operating_Costs]]</f>
        <v>257205</v>
      </c>
      <c r="T3568">
        <v>425255</v>
      </c>
      <c r="U3568">
        <v>26</v>
      </c>
      <c r="V3568">
        <v>56</v>
      </c>
      <c r="W3568">
        <v>9.5</v>
      </c>
    </row>
    <row r="3569" spans="1:23" x14ac:dyDescent="0.25">
      <c r="A3569">
        <v>11</v>
      </c>
      <c r="B3569" t="s">
        <v>63</v>
      </c>
      <c r="C3569" s="1">
        <v>45511</v>
      </c>
      <c r="D3569" t="s">
        <v>71</v>
      </c>
      <c r="E3569">
        <v>0</v>
      </c>
      <c r="F3569">
        <v>45</v>
      </c>
      <c r="G3569" t="str">
        <f t="shared" si="63"/>
        <v>41-60</v>
      </c>
      <c r="H3569" t="s">
        <v>35</v>
      </c>
      <c r="I3569" t="s">
        <v>36</v>
      </c>
      <c r="J3569" t="s">
        <v>37</v>
      </c>
      <c r="K3569" t="s">
        <v>38</v>
      </c>
      <c r="L3569">
        <v>1</v>
      </c>
      <c r="M3569">
        <v>1</v>
      </c>
      <c r="N3569">
        <v>3.2</v>
      </c>
      <c r="O3569">
        <v>9.9</v>
      </c>
      <c r="P3569">
        <v>5</v>
      </c>
      <c r="Q3569">
        <v>5</v>
      </c>
      <c r="R3569">
        <v>693319</v>
      </c>
      <c r="S3569">
        <f>Table1[[#This Row],[Revenue]]-Table1[[#This Row],[Operating_Costs]]</f>
        <v>257354</v>
      </c>
      <c r="T3569">
        <v>435965</v>
      </c>
      <c r="U3569">
        <v>23</v>
      </c>
      <c r="V3569">
        <v>58</v>
      </c>
      <c r="W3569">
        <v>7.8</v>
      </c>
    </row>
    <row r="3570" spans="1:23" x14ac:dyDescent="0.25">
      <c r="A3570">
        <v>11</v>
      </c>
      <c r="B3570" t="s">
        <v>63</v>
      </c>
      <c r="C3570" s="1">
        <v>44740</v>
      </c>
      <c r="D3570" t="s">
        <v>71</v>
      </c>
      <c r="E3570">
        <v>0</v>
      </c>
      <c r="F3570">
        <v>39</v>
      </c>
      <c r="G3570" t="str">
        <f t="shared" si="63"/>
        <v>21-40</v>
      </c>
      <c r="H3570" t="s">
        <v>35</v>
      </c>
      <c r="I3570" t="s">
        <v>36</v>
      </c>
      <c r="J3570" t="s">
        <v>37</v>
      </c>
      <c r="K3570" t="s">
        <v>42</v>
      </c>
      <c r="L3570">
        <v>1</v>
      </c>
      <c r="M3570">
        <v>1</v>
      </c>
      <c r="N3570">
        <v>1.2</v>
      </c>
      <c r="O3570">
        <v>7.8</v>
      </c>
      <c r="P3570">
        <v>7</v>
      </c>
      <c r="Q3570">
        <v>4</v>
      </c>
      <c r="R3570">
        <v>633264</v>
      </c>
      <c r="S3570">
        <f>Table1[[#This Row],[Revenue]]-Table1[[#This Row],[Operating_Costs]]</f>
        <v>55643</v>
      </c>
      <c r="T3570">
        <v>577621</v>
      </c>
      <c r="U3570">
        <v>25</v>
      </c>
      <c r="V3570">
        <v>58</v>
      </c>
      <c r="W3570">
        <v>13.5</v>
      </c>
    </row>
    <row r="3571" spans="1:23" x14ac:dyDescent="0.25">
      <c r="A3571">
        <v>11</v>
      </c>
      <c r="B3571" t="s">
        <v>63</v>
      </c>
      <c r="C3571" s="1">
        <v>45473</v>
      </c>
      <c r="D3571" t="s">
        <v>71</v>
      </c>
      <c r="E3571">
        <v>0</v>
      </c>
      <c r="F3571">
        <v>49</v>
      </c>
      <c r="G3571" t="str">
        <f t="shared" si="63"/>
        <v>41-60</v>
      </c>
      <c r="H3571" t="s">
        <v>35</v>
      </c>
      <c r="I3571" t="s">
        <v>36</v>
      </c>
      <c r="J3571" t="s">
        <v>37</v>
      </c>
      <c r="K3571" t="s">
        <v>38</v>
      </c>
      <c r="L3571">
        <v>1</v>
      </c>
      <c r="M3571">
        <v>1</v>
      </c>
      <c r="N3571">
        <v>6.9</v>
      </c>
      <c r="O3571">
        <v>8</v>
      </c>
      <c r="P3571">
        <v>6</v>
      </c>
      <c r="Q3571">
        <v>7</v>
      </c>
      <c r="R3571">
        <v>692712</v>
      </c>
      <c r="S3571">
        <f>Table1[[#This Row],[Revenue]]-Table1[[#This Row],[Operating_Costs]]</f>
        <v>280082</v>
      </c>
      <c r="T3571">
        <v>412630</v>
      </c>
      <c r="U3571">
        <v>30</v>
      </c>
      <c r="V3571">
        <v>64</v>
      </c>
      <c r="W3571">
        <v>13.8</v>
      </c>
    </row>
    <row r="3572" spans="1:23" x14ac:dyDescent="0.25">
      <c r="A3572">
        <v>11</v>
      </c>
      <c r="B3572" t="s">
        <v>63</v>
      </c>
      <c r="C3572" s="1">
        <v>44793</v>
      </c>
      <c r="D3572" t="s">
        <v>71</v>
      </c>
      <c r="E3572">
        <v>0</v>
      </c>
      <c r="F3572">
        <v>37</v>
      </c>
      <c r="G3572" t="str">
        <f t="shared" si="63"/>
        <v>21-40</v>
      </c>
      <c r="H3572" t="s">
        <v>23</v>
      </c>
      <c r="I3572" t="s">
        <v>43</v>
      </c>
      <c r="J3572" t="s">
        <v>25</v>
      </c>
      <c r="K3572" t="s">
        <v>42</v>
      </c>
      <c r="L3572">
        <v>1</v>
      </c>
      <c r="M3572">
        <v>1</v>
      </c>
      <c r="N3572">
        <v>2.2000000000000002</v>
      </c>
      <c r="O3572">
        <v>8.3000000000000007</v>
      </c>
      <c r="P3572">
        <v>6</v>
      </c>
      <c r="Q3572">
        <v>7</v>
      </c>
      <c r="R3572">
        <v>719869</v>
      </c>
      <c r="S3572">
        <f>Table1[[#This Row],[Revenue]]-Table1[[#This Row],[Operating_Costs]]</f>
        <v>259828</v>
      </c>
      <c r="T3572">
        <v>460041</v>
      </c>
      <c r="U3572">
        <v>22</v>
      </c>
      <c r="V3572">
        <v>58</v>
      </c>
      <c r="W3572">
        <v>36.9</v>
      </c>
    </row>
    <row r="3573" spans="1:23" x14ac:dyDescent="0.25">
      <c r="A3573">
        <v>11</v>
      </c>
      <c r="B3573" t="s">
        <v>63</v>
      </c>
      <c r="C3573" s="1">
        <v>44531</v>
      </c>
      <c r="D3573" t="s">
        <v>71</v>
      </c>
      <c r="E3573">
        <v>0</v>
      </c>
      <c r="F3573">
        <v>44</v>
      </c>
      <c r="G3573" t="str">
        <f t="shared" si="63"/>
        <v>41-60</v>
      </c>
      <c r="H3573" t="s">
        <v>23</v>
      </c>
      <c r="I3573" t="s">
        <v>61</v>
      </c>
      <c r="J3573" t="s">
        <v>62</v>
      </c>
      <c r="K3573" t="s">
        <v>38</v>
      </c>
      <c r="L3573">
        <v>1</v>
      </c>
      <c r="M3573">
        <v>1</v>
      </c>
      <c r="N3573">
        <v>6.7</v>
      </c>
      <c r="O3573">
        <v>7.6</v>
      </c>
      <c r="P3573">
        <v>6</v>
      </c>
      <c r="Q3573">
        <v>3</v>
      </c>
      <c r="R3573">
        <v>786280</v>
      </c>
      <c r="S3573">
        <f>Table1[[#This Row],[Revenue]]-Table1[[#This Row],[Operating_Costs]]</f>
        <v>240004</v>
      </c>
      <c r="T3573">
        <v>546276</v>
      </c>
      <c r="U3573">
        <v>30</v>
      </c>
      <c r="V3573">
        <v>55</v>
      </c>
      <c r="W3573">
        <v>9</v>
      </c>
    </row>
    <row r="3574" spans="1:23" x14ac:dyDescent="0.25">
      <c r="A3574">
        <v>11</v>
      </c>
      <c r="B3574" t="s">
        <v>63</v>
      </c>
      <c r="C3574" s="1">
        <v>44697</v>
      </c>
      <c r="D3574" t="s">
        <v>71</v>
      </c>
      <c r="E3574">
        <v>0</v>
      </c>
      <c r="F3574">
        <v>36</v>
      </c>
      <c r="G3574" t="str">
        <f t="shared" si="63"/>
        <v>21-40</v>
      </c>
      <c r="H3574" t="s">
        <v>23</v>
      </c>
      <c r="I3574" t="s">
        <v>46</v>
      </c>
      <c r="J3574" t="s">
        <v>47</v>
      </c>
      <c r="K3574" t="s">
        <v>33</v>
      </c>
      <c r="L3574">
        <v>1</v>
      </c>
      <c r="M3574">
        <v>1</v>
      </c>
      <c r="N3574">
        <v>3.1</v>
      </c>
      <c r="O3574">
        <v>9.5</v>
      </c>
      <c r="P3574">
        <v>7</v>
      </c>
      <c r="Q3574">
        <v>6</v>
      </c>
      <c r="R3574">
        <v>655499</v>
      </c>
      <c r="S3574">
        <f>Table1[[#This Row],[Revenue]]-Table1[[#This Row],[Operating_Costs]]</f>
        <v>235575</v>
      </c>
      <c r="T3574">
        <v>419924</v>
      </c>
      <c r="U3574">
        <v>32</v>
      </c>
      <c r="V3574">
        <v>54</v>
      </c>
      <c r="W3574">
        <v>10.1</v>
      </c>
    </row>
    <row r="3575" spans="1:23" x14ac:dyDescent="0.25">
      <c r="A3575">
        <v>11</v>
      </c>
      <c r="B3575" t="s">
        <v>63</v>
      </c>
      <c r="C3575" s="1">
        <v>44598</v>
      </c>
      <c r="D3575" t="s">
        <v>71</v>
      </c>
      <c r="E3575">
        <v>0</v>
      </c>
      <c r="F3575">
        <v>32</v>
      </c>
      <c r="G3575" t="str">
        <f t="shared" si="63"/>
        <v>21-40</v>
      </c>
      <c r="H3575" t="s">
        <v>23</v>
      </c>
      <c r="I3575" t="s">
        <v>64</v>
      </c>
      <c r="J3575" t="s">
        <v>65</v>
      </c>
      <c r="K3575" t="s">
        <v>29</v>
      </c>
      <c r="L3575">
        <v>1</v>
      </c>
      <c r="M3575">
        <v>1</v>
      </c>
      <c r="N3575">
        <v>1.5</v>
      </c>
      <c r="O3575">
        <v>7.8</v>
      </c>
      <c r="P3575">
        <v>5</v>
      </c>
      <c r="Q3575">
        <v>6</v>
      </c>
      <c r="R3575">
        <v>792680</v>
      </c>
      <c r="S3575">
        <f>Table1[[#This Row],[Revenue]]-Table1[[#This Row],[Operating_Costs]]</f>
        <v>295304</v>
      </c>
      <c r="T3575">
        <v>497376</v>
      </c>
      <c r="U3575">
        <v>28</v>
      </c>
      <c r="V3575">
        <v>55</v>
      </c>
      <c r="W3575">
        <v>5.7</v>
      </c>
    </row>
    <row r="3576" spans="1:23" x14ac:dyDescent="0.25">
      <c r="A3576">
        <v>11</v>
      </c>
      <c r="B3576" t="s">
        <v>63</v>
      </c>
      <c r="C3576" s="1">
        <v>45468</v>
      </c>
      <c r="D3576" t="s">
        <v>71</v>
      </c>
      <c r="E3576">
        <v>0</v>
      </c>
      <c r="F3576">
        <v>37</v>
      </c>
      <c r="G3576" t="str">
        <f t="shared" si="63"/>
        <v>21-40</v>
      </c>
      <c r="H3576" t="s">
        <v>35</v>
      </c>
      <c r="I3576" t="s">
        <v>58</v>
      </c>
      <c r="J3576" t="s">
        <v>59</v>
      </c>
      <c r="K3576" t="s">
        <v>29</v>
      </c>
      <c r="L3576">
        <v>1</v>
      </c>
      <c r="M3576">
        <v>1</v>
      </c>
      <c r="N3576">
        <v>5.4</v>
      </c>
      <c r="O3576">
        <v>7.5</v>
      </c>
      <c r="P3576">
        <v>5</v>
      </c>
      <c r="Q3576">
        <v>3</v>
      </c>
      <c r="R3576">
        <v>682753</v>
      </c>
      <c r="S3576">
        <f>Table1[[#This Row],[Revenue]]-Table1[[#This Row],[Operating_Costs]]</f>
        <v>253924</v>
      </c>
      <c r="T3576">
        <v>428829</v>
      </c>
      <c r="U3576">
        <v>32</v>
      </c>
      <c r="V3576">
        <v>66</v>
      </c>
      <c r="W3576">
        <v>10.8</v>
      </c>
    </row>
    <row r="3577" spans="1:23" x14ac:dyDescent="0.25">
      <c r="A3577">
        <v>11</v>
      </c>
      <c r="B3577" t="s">
        <v>63</v>
      </c>
      <c r="C3577" s="1">
        <v>44782</v>
      </c>
      <c r="D3577" t="s">
        <v>71</v>
      </c>
      <c r="E3577">
        <v>0</v>
      </c>
      <c r="F3577">
        <v>41</v>
      </c>
      <c r="G3577" t="str">
        <f t="shared" si="63"/>
        <v>41-60</v>
      </c>
      <c r="H3577" t="s">
        <v>23</v>
      </c>
      <c r="I3577" t="s">
        <v>64</v>
      </c>
      <c r="J3577" t="s">
        <v>65</v>
      </c>
      <c r="K3577" t="s">
        <v>38</v>
      </c>
      <c r="L3577">
        <v>1</v>
      </c>
      <c r="M3577">
        <v>1</v>
      </c>
      <c r="N3577">
        <v>4.0999999999999996</v>
      </c>
      <c r="O3577">
        <v>8.9</v>
      </c>
      <c r="P3577">
        <v>6</v>
      </c>
      <c r="Q3577">
        <v>4</v>
      </c>
      <c r="R3577">
        <v>720091</v>
      </c>
      <c r="S3577">
        <f>Table1[[#This Row],[Revenue]]-Table1[[#This Row],[Operating_Costs]]</f>
        <v>171278</v>
      </c>
      <c r="T3577">
        <v>548813</v>
      </c>
      <c r="U3577">
        <v>23</v>
      </c>
      <c r="V3577">
        <v>57</v>
      </c>
      <c r="W3577">
        <v>6</v>
      </c>
    </row>
    <row r="3578" spans="1:23" x14ac:dyDescent="0.25">
      <c r="A3578">
        <v>11</v>
      </c>
      <c r="B3578" t="s">
        <v>63</v>
      </c>
      <c r="C3578" s="1">
        <v>44521</v>
      </c>
      <c r="D3578" t="s">
        <v>71</v>
      </c>
      <c r="E3578">
        <v>0</v>
      </c>
      <c r="F3578">
        <v>42</v>
      </c>
      <c r="G3578" t="str">
        <f t="shared" si="63"/>
        <v>41-60</v>
      </c>
      <c r="H3578" t="s">
        <v>23</v>
      </c>
      <c r="I3578" t="s">
        <v>31</v>
      </c>
      <c r="J3578" t="s">
        <v>28</v>
      </c>
      <c r="K3578" t="s">
        <v>33</v>
      </c>
      <c r="L3578">
        <v>1</v>
      </c>
      <c r="M3578">
        <v>1</v>
      </c>
      <c r="N3578">
        <v>5.5</v>
      </c>
      <c r="O3578">
        <v>9.1</v>
      </c>
      <c r="P3578">
        <v>5</v>
      </c>
      <c r="Q3578">
        <v>5</v>
      </c>
      <c r="R3578">
        <v>707224</v>
      </c>
      <c r="S3578">
        <f>Table1[[#This Row],[Revenue]]-Table1[[#This Row],[Operating_Costs]]</f>
        <v>232122</v>
      </c>
      <c r="T3578">
        <v>475102</v>
      </c>
      <c r="U3578">
        <v>30</v>
      </c>
      <c r="V3578">
        <v>58</v>
      </c>
      <c r="W3578">
        <v>14.8</v>
      </c>
    </row>
    <row r="3579" spans="1:23" x14ac:dyDescent="0.25">
      <c r="A3579">
        <v>11</v>
      </c>
      <c r="B3579" t="s">
        <v>63</v>
      </c>
      <c r="C3579" s="1">
        <v>45032</v>
      </c>
      <c r="D3579" t="s">
        <v>71</v>
      </c>
      <c r="E3579">
        <v>0</v>
      </c>
      <c r="F3579">
        <v>43</v>
      </c>
      <c r="G3579" t="str">
        <f t="shared" si="63"/>
        <v>41-60</v>
      </c>
      <c r="H3579" t="s">
        <v>35</v>
      </c>
      <c r="I3579" t="s">
        <v>61</v>
      </c>
      <c r="J3579" t="s">
        <v>62</v>
      </c>
      <c r="K3579" t="s">
        <v>29</v>
      </c>
      <c r="L3579">
        <v>1</v>
      </c>
      <c r="M3579">
        <v>1</v>
      </c>
      <c r="N3579">
        <v>3.8</v>
      </c>
      <c r="O3579">
        <v>8.6</v>
      </c>
      <c r="P3579">
        <v>4</v>
      </c>
      <c r="Q3579">
        <v>7</v>
      </c>
      <c r="R3579">
        <v>698774</v>
      </c>
      <c r="S3579">
        <f>Table1[[#This Row],[Revenue]]-Table1[[#This Row],[Operating_Costs]]</f>
        <v>292957</v>
      </c>
      <c r="T3579">
        <v>405817</v>
      </c>
      <c r="U3579">
        <v>22</v>
      </c>
      <c r="V3579">
        <v>57</v>
      </c>
      <c r="W3579">
        <v>13.5</v>
      </c>
    </row>
    <row r="3580" spans="1:23" x14ac:dyDescent="0.25">
      <c r="A3580">
        <v>11</v>
      </c>
      <c r="B3580" t="s">
        <v>63</v>
      </c>
      <c r="C3580" s="1">
        <v>45249</v>
      </c>
      <c r="D3580" t="s">
        <v>71</v>
      </c>
      <c r="E3580">
        <v>0</v>
      </c>
      <c r="F3580">
        <v>40</v>
      </c>
      <c r="G3580" t="str">
        <f t="shared" si="63"/>
        <v>21-40</v>
      </c>
      <c r="H3580" t="s">
        <v>35</v>
      </c>
      <c r="I3580" t="s">
        <v>36</v>
      </c>
      <c r="J3580" t="s">
        <v>37</v>
      </c>
      <c r="K3580" t="s">
        <v>38</v>
      </c>
      <c r="L3580">
        <v>1</v>
      </c>
      <c r="M3580">
        <v>1</v>
      </c>
      <c r="N3580">
        <v>2.1</v>
      </c>
      <c r="O3580">
        <v>8.1</v>
      </c>
      <c r="P3580">
        <v>4</v>
      </c>
      <c r="Q3580">
        <v>7</v>
      </c>
      <c r="R3580">
        <v>659971</v>
      </c>
      <c r="S3580">
        <f>Table1[[#This Row],[Revenue]]-Table1[[#This Row],[Operating_Costs]]</f>
        <v>210703</v>
      </c>
      <c r="T3580">
        <v>449268</v>
      </c>
      <c r="U3580">
        <v>26</v>
      </c>
      <c r="V3580">
        <v>66</v>
      </c>
      <c r="W3580">
        <v>5.9</v>
      </c>
    </row>
    <row r="3581" spans="1:23" x14ac:dyDescent="0.25">
      <c r="A3581">
        <v>11</v>
      </c>
      <c r="B3581" t="s">
        <v>63</v>
      </c>
      <c r="C3581" s="1">
        <v>44657</v>
      </c>
      <c r="D3581" t="s">
        <v>71</v>
      </c>
      <c r="E3581">
        <v>0</v>
      </c>
      <c r="F3581">
        <v>25</v>
      </c>
      <c r="G3581" t="str">
        <f t="shared" si="63"/>
        <v>21-40</v>
      </c>
      <c r="H3581" t="s">
        <v>35</v>
      </c>
      <c r="I3581" t="s">
        <v>36</v>
      </c>
      <c r="J3581" t="s">
        <v>37</v>
      </c>
      <c r="K3581" t="s">
        <v>26</v>
      </c>
      <c r="L3581">
        <v>1</v>
      </c>
      <c r="M3581">
        <v>1</v>
      </c>
      <c r="N3581">
        <v>4.2</v>
      </c>
      <c r="O3581">
        <v>9.1999999999999993</v>
      </c>
      <c r="P3581">
        <v>6</v>
      </c>
      <c r="Q3581">
        <v>5</v>
      </c>
      <c r="R3581">
        <v>738000</v>
      </c>
      <c r="S3581">
        <f>Table1[[#This Row],[Revenue]]-Table1[[#This Row],[Operating_Costs]]</f>
        <v>177370</v>
      </c>
      <c r="T3581">
        <v>560630</v>
      </c>
      <c r="U3581">
        <v>23</v>
      </c>
      <c r="V3581">
        <v>57</v>
      </c>
      <c r="W3581">
        <v>12.7</v>
      </c>
    </row>
    <row r="3582" spans="1:23" x14ac:dyDescent="0.25">
      <c r="A3582">
        <v>11</v>
      </c>
      <c r="B3582" t="s">
        <v>63</v>
      </c>
      <c r="C3582" s="1">
        <v>44702</v>
      </c>
      <c r="D3582" t="s">
        <v>71</v>
      </c>
      <c r="E3582">
        <v>0</v>
      </c>
      <c r="F3582">
        <v>88</v>
      </c>
      <c r="G3582" t="str">
        <f t="shared" si="63"/>
        <v>81+</v>
      </c>
      <c r="H3582" t="s">
        <v>35</v>
      </c>
      <c r="I3582" t="s">
        <v>36</v>
      </c>
      <c r="J3582" t="s">
        <v>37</v>
      </c>
      <c r="K3582" t="s">
        <v>38</v>
      </c>
      <c r="L3582">
        <v>1</v>
      </c>
      <c r="M3582">
        <v>1</v>
      </c>
      <c r="N3582">
        <v>3.5</v>
      </c>
      <c r="O3582">
        <v>9.1</v>
      </c>
      <c r="P3582">
        <v>7</v>
      </c>
      <c r="Q3582">
        <v>7</v>
      </c>
      <c r="R3582">
        <v>722053</v>
      </c>
      <c r="S3582">
        <f>Table1[[#This Row],[Revenue]]-Table1[[#This Row],[Operating_Costs]]</f>
        <v>280781</v>
      </c>
      <c r="T3582">
        <v>441272</v>
      </c>
      <c r="U3582">
        <v>23</v>
      </c>
      <c r="V3582">
        <v>63</v>
      </c>
      <c r="W3582">
        <v>12.9</v>
      </c>
    </row>
    <row r="3583" spans="1:23" x14ac:dyDescent="0.25">
      <c r="A3583">
        <v>11</v>
      </c>
      <c r="B3583" t="s">
        <v>63</v>
      </c>
      <c r="C3583" s="1">
        <v>44219</v>
      </c>
      <c r="D3583" t="s">
        <v>71</v>
      </c>
      <c r="E3583">
        <v>0</v>
      </c>
      <c r="F3583">
        <v>25</v>
      </c>
      <c r="G3583" t="str">
        <f t="shared" si="63"/>
        <v>21-40</v>
      </c>
      <c r="H3583" t="s">
        <v>23</v>
      </c>
      <c r="I3583" t="s">
        <v>43</v>
      </c>
      <c r="J3583" t="s">
        <v>25</v>
      </c>
      <c r="K3583" t="s">
        <v>33</v>
      </c>
      <c r="L3583">
        <v>1</v>
      </c>
      <c r="M3583">
        <v>1</v>
      </c>
      <c r="N3583">
        <v>3.2</v>
      </c>
      <c r="O3583">
        <v>7.6</v>
      </c>
      <c r="P3583">
        <v>4</v>
      </c>
      <c r="Q3583">
        <v>6</v>
      </c>
      <c r="R3583">
        <v>651378</v>
      </c>
      <c r="S3583">
        <f>Table1[[#This Row],[Revenue]]-Table1[[#This Row],[Operating_Costs]]</f>
        <v>183731</v>
      </c>
      <c r="T3583">
        <v>467647</v>
      </c>
      <c r="U3583">
        <v>34</v>
      </c>
      <c r="V3583">
        <v>56</v>
      </c>
      <c r="W3583">
        <v>10.1</v>
      </c>
    </row>
    <row r="3584" spans="1:23" x14ac:dyDescent="0.25">
      <c r="A3584">
        <v>11</v>
      </c>
      <c r="B3584" t="s">
        <v>63</v>
      </c>
      <c r="C3584" s="1">
        <v>45077</v>
      </c>
      <c r="D3584" t="s">
        <v>71</v>
      </c>
      <c r="E3584">
        <v>0</v>
      </c>
      <c r="F3584">
        <v>89</v>
      </c>
      <c r="G3584" t="str">
        <f t="shared" si="63"/>
        <v>81+</v>
      </c>
      <c r="H3584" t="s">
        <v>23</v>
      </c>
      <c r="I3584" t="s">
        <v>55</v>
      </c>
      <c r="J3584" t="s">
        <v>56</v>
      </c>
      <c r="K3584" t="s">
        <v>29</v>
      </c>
      <c r="L3584">
        <v>1</v>
      </c>
      <c r="M3584">
        <v>1</v>
      </c>
      <c r="N3584">
        <v>1.5</v>
      </c>
      <c r="O3584">
        <v>8.4</v>
      </c>
      <c r="P3584">
        <v>7</v>
      </c>
      <c r="Q3584">
        <v>5</v>
      </c>
      <c r="R3584">
        <v>713654</v>
      </c>
      <c r="S3584">
        <f>Table1[[#This Row],[Revenue]]-Table1[[#This Row],[Operating_Costs]]</f>
        <v>186567</v>
      </c>
      <c r="T3584">
        <v>527087</v>
      </c>
      <c r="U3584">
        <v>25</v>
      </c>
      <c r="V3584">
        <v>56</v>
      </c>
      <c r="W3584">
        <v>36.4</v>
      </c>
    </row>
    <row r="3585" spans="1:23" x14ac:dyDescent="0.25">
      <c r="A3585">
        <v>11</v>
      </c>
      <c r="B3585" t="s">
        <v>63</v>
      </c>
      <c r="C3585" s="1">
        <v>44218</v>
      </c>
      <c r="D3585" t="s">
        <v>71</v>
      </c>
      <c r="E3585">
        <v>0</v>
      </c>
      <c r="F3585">
        <v>28</v>
      </c>
      <c r="G3585" t="str">
        <f t="shared" si="63"/>
        <v>21-40</v>
      </c>
      <c r="H3585" t="s">
        <v>23</v>
      </c>
      <c r="I3585" t="s">
        <v>58</v>
      </c>
      <c r="J3585" t="s">
        <v>59</v>
      </c>
      <c r="K3585" t="s">
        <v>29</v>
      </c>
      <c r="L3585">
        <v>1</v>
      </c>
      <c r="M3585">
        <v>1</v>
      </c>
      <c r="N3585">
        <v>4.5999999999999996</v>
      </c>
      <c r="O3585">
        <v>8.6999999999999993</v>
      </c>
      <c r="P3585">
        <v>7</v>
      </c>
      <c r="Q3585">
        <v>7</v>
      </c>
      <c r="R3585">
        <v>683962</v>
      </c>
      <c r="S3585">
        <f>Table1[[#This Row],[Revenue]]-Table1[[#This Row],[Operating_Costs]]</f>
        <v>123303</v>
      </c>
      <c r="T3585">
        <v>560659</v>
      </c>
      <c r="U3585">
        <v>32</v>
      </c>
      <c r="V3585">
        <v>63</v>
      </c>
      <c r="W3585">
        <v>12.8</v>
      </c>
    </row>
    <row r="3586" spans="1:23" x14ac:dyDescent="0.25">
      <c r="A3586">
        <v>11</v>
      </c>
      <c r="B3586" t="s">
        <v>63</v>
      </c>
      <c r="C3586" s="1">
        <v>45015</v>
      </c>
      <c r="D3586" t="s">
        <v>71</v>
      </c>
      <c r="E3586">
        <v>0</v>
      </c>
      <c r="F3586">
        <v>25</v>
      </c>
      <c r="G3586" t="str">
        <f t="shared" si="63"/>
        <v>21-40</v>
      </c>
      <c r="H3586" t="s">
        <v>23</v>
      </c>
      <c r="I3586" t="s">
        <v>61</v>
      </c>
      <c r="J3586" t="s">
        <v>62</v>
      </c>
      <c r="K3586" t="s">
        <v>26</v>
      </c>
      <c r="L3586">
        <v>1</v>
      </c>
      <c r="M3586">
        <v>1</v>
      </c>
      <c r="N3586">
        <v>2.6</v>
      </c>
      <c r="O3586">
        <v>7</v>
      </c>
      <c r="P3586">
        <v>7</v>
      </c>
      <c r="Q3586">
        <v>6</v>
      </c>
      <c r="R3586">
        <v>706155</v>
      </c>
      <c r="S3586">
        <f>Table1[[#This Row],[Revenue]]-Table1[[#This Row],[Operating_Costs]]</f>
        <v>299711</v>
      </c>
      <c r="T3586">
        <v>406444</v>
      </c>
      <c r="U3586">
        <v>24</v>
      </c>
      <c r="V3586">
        <v>61</v>
      </c>
      <c r="W3586">
        <v>36.1</v>
      </c>
    </row>
    <row r="3587" spans="1:23" x14ac:dyDescent="0.25">
      <c r="A3587">
        <v>11</v>
      </c>
      <c r="B3587" t="s">
        <v>63</v>
      </c>
      <c r="C3587" s="1">
        <v>44943</v>
      </c>
      <c r="D3587" t="s">
        <v>71</v>
      </c>
      <c r="E3587">
        <v>0</v>
      </c>
      <c r="F3587">
        <v>89</v>
      </c>
      <c r="G3587" t="str">
        <f t="shared" ref="G3587:G3650" si="64">IF(F3587&lt;=20,"0-20",IF(F3587&lt;=40,"21-40",IF(F3587&lt;=60,"41-60",IF(F3587&lt;=80,"61-80","81+"))))</f>
        <v>81+</v>
      </c>
      <c r="H3587" t="s">
        <v>23</v>
      </c>
      <c r="I3587" t="s">
        <v>24</v>
      </c>
      <c r="J3587" t="s">
        <v>25</v>
      </c>
      <c r="K3587" t="s">
        <v>26</v>
      </c>
      <c r="L3587">
        <v>1</v>
      </c>
      <c r="M3587">
        <v>1</v>
      </c>
      <c r="N3587">
        <v>2.5</v>
      </c>
      <c r="O3587">
        <v>7.6</v>
      </c>
      <c r="P3587">
        <v>5</v>
      </c>
      <c r="Q3587">
        <v>7</v>
      </c>
      <c r="R3587">
        <v>702834</v>
      </c>
      <c r="S3587">
        <f>Table1[[#This Row],[Revenue]]-Table1[[#This Row],[Operating_Costs]]</f>
        <v>162611</v>
      </c>
      <c r="T3587">
        <v>540223</v>
      </c>
      <c r="U3587">
        <v>21</v>
      </c>
      <c r="V3587">
        <v>63</v>
      </c>
      <c r="W3587">
        <v>9.1999999999999993</v>
      </c>
    </row>
    <row r="3588" spans="1:23" x14ac:dyDescent="0.25">
      <c r="A3588">
        <v>11</v>
      </c>
      <c r="B3588" t="s">
        <v>63</v>
      </c>
      <c r="C3588" s="1">
        <v>45481</v>
      </c>
      <c r="D3588" t="s">
        <v>71</v>
      </c>
      <c r="E3588">
        <v>0</v>
      </c>
      <c r="F3588">
        <v>89</v>
      </c>
      <c r="G3588" t="str">
        <f t="shared" si="64"/>
        <v>81+</v>
      </c>
      <c r="H3588" t="s">
        <v>35</v>
      </c>
      <c r="I3588" t="s">
        <v>53</v>
      </c>
      <c r="J3588" t="s">
        <v>54</v>
      </c>
      <c r="K3588" t="s">
        <v>42</v>
      </c>
      <c r="L3588">
        <v>1</v>
      </c>
      <c r="M3588">
        <v>1</v>
      </c>
      <c r="N3588">
        <v>2.8</v>
      </c>
      <c r="O3588">
        <v>9.3000000000000007</v>
      </c>
      <c r="P3588">
        <v>7</v>
      </c>
      <c r="Q3588">
        <v>7</v>
      </c>
      <c r="R3588">
        <v>672239</v>
      </c>
      <c r="S3588">
        <f>Table1[[#This Row],[Revenue]]-Table1[[#This Row],[Operating_Costs]]</f>
        <v>261901</v>
      </c>
      <c r="T3588">
        <v>410338</v>
      </c>
      <c r="U3588">
        <v>20</v>
      </c>
      <c r="V3588">
        <v>60</v>
      </c>
      <c r="W3588">
        <v>14.1</v>
      </c>
    </row>
    <row r="3589" spans="1:23" x14ac:dyDescent="0.25">
      <c r="A3589">
        <v>11</v>
      </c>
      <c r="B3589" t="s">
        <v>63</v>
      </c>
      <c r="C3589" s="1">
        <v>44304</v>
      </c>
      <c r="D3589" t="s">
        <v>71</v>
      </c>
      <c r="E3589">
        <v>0</v>
      </c>
      <c r="F3589">
        <v>64</v>
      </c>
      <c r="G3589" t="str">
        <f t="shared" si="64"/>
        <v>61-80</v>
      </c>
      <c r="H3589" t="s">
        <v>23</v>
      </c>
      <c r="I3589" t="s">
        <v>58</v>
      </c>
      <c r="J3589" t="s">
        <v>59</v>
      </c>
      <c r="K3589" t="s">
        <v>29</v>
      </c>
      <c r="L3589">
        <v>1</v>
      </c>
      <c r="M3589">
        <v>1</v>
      </c>
      <c r="N3589">
        <v>2.7</v>
      </c>
      <c r="O3589">
        <v>8.5</v>
      </c>
      <c r="P3589">
        <v>3</v>
      </c>
      <c r="Q3589">
        <v>4</v>
      </c>
      <c r="R3589">
        <v>664806</v>
      </c>
      <c r="S3589">
        <f>Table1[[#This Row],[Revenue]]-Table1[[#This Row],[Operating_Costs]]</f>
        <v>236219</v>
      </c>
      <c r="T3589">
        <v>428587</v>
      </c>
      <c r="U3589">
        <v>33</v>
      </c>
      <c r="V3589">
        <v>65</v>
      </c>
      <c r="W3589">
        <v>5.3</v>
      </c>
    </row>
    <row r="3590" spans="1:23" x14ac:dyDescent="0.25">
      <c r="A3590">
        <v>11</v>
      </c>
      <c r="B3590" t="s">
        <v>63</v>
      </c>
      <c r="C3590" s="1">
        <v>44893</v>
      </c>
      <c r="D3590" t="s">
        <v>71</v>
      </c>
      <c r="E3590">
        <v>0</v>
      </c>
      <c r="F3590">
        <v>40</v>
      </c>
      <c r="G3590" t="str">
        <f t="shared" si="64"/>
        <v>21-40</v>
      </c>
      <c r="H3590" t="s">
        <v>23</v>
      </c>
      <c r="I3590" t="s">
        <v>31</v>
      </c>
      <c r="J3590" t="s">
        <v>28</v>
      </c>
      <c r="K3590" t="s">
        <v>42</v>
      </c>
      <c r="L3590">
        <v>1</v>
      </c>
      <c r="M3590">
        <v>1</v>
      </c>
      <c r="N3590">
        <v>5.8</v>
      </c>
      <c r="O3590">
        <v>8.8000000000000007</v>
      </c>
      <c r="P3590">
        <v>3</v>
      </c>
      <c r="Q3590">
        <v>4</v>
      </c>
      <c r="R3590">
        <v>772280</v>
      </c>
      <c r="S3590">
        <f>Table1[[#This Row],[Revenue]]-Table1[[#This Row],[Operating_Costs]]</f>
        <v>297512</v>
      </c>
      <c r="T3590">
        <v>474768</v>
      </c>
      <c r="U3590">
        <v>23</v>
      </c>
      <c r="V3590">
        <v>66</v>
      </c>
      <c r="W3590">
        <v>6.1</v>
      </c>
    </row>
    <row r="3591" spans="1:23" x14ac:dyDescent="0.25">
      <c r="A3591">
        <v>11</v>
      </c>
      <c r="B3591" t="s">
        <v>63</v>
      </c>
      <c r="C3591" s="1">
        <v>45207</v>
      </c>
      <c r="D3591" t="s">
        <v>71</v>
      </c>
      <c r="E3591">
        <v>0</v>
      </c>
      <c r="F3591">
        <v>39</v>
      </c>
      <c r="G3591" t="str">
        <f t="shared" si="64"/>
        <v>21-40</v>
      </c>
      <c r="H3591" t="s">
        <v>35</v>
      </c>
      <c r="I3591" t="s">
        <v>58</v>
      </c>
      <c r="J3591" t="s">
        <v>59</v>
      </c>
      <c r="K3591" t="s">
        <v>29</v>
      </c>
      <c r="L3591">
        <v>1</v>
      </c>
      <c r="M3591">
        <v>1</v>
      </c>
      <c r="N3591">
        <v>5.7</v>
      </c>
      <c r="O3591">
        <v>8.3000000000000007</v>
      </c>
      <c r="P3591">
        <v>5</v>
      </c>
      <c r="Q3591">
        <v>6</v>
      </c>
      <c r="R3591">
        <v>621510</v>
      </c>
      <c r="S3591">
        <f>Table1[[#This Row],[Revenue]]-Table1[[#This Row],[Operating_Costs]]</f>
        <v>54948</v>
      </c>
      <c r="T3591">
        <v>566562</v>
      </c>
      <c r="U3591">
        <v>24</v>
      </c>
      <c r="V3591">
        <v>54</v>
      </c>
      <c r="W3591">
        <v>14.1</v>
      </c>
    </row>
    <row r="3592" spans="1:23" x14ac:dyDescent="0.25">
      <c r="A3592">
        <v>11</v>
      </c>
      <c r="B3592" t="s">
        <v>63</v>
      </c>
      <c r="C3592" s="1">
        <v>44819</v>
      </c>
      <c r="D3592" t="s">
        <v>71</v>
      </c>
      <c r="E3592">
        <v>0</v>
      </c>
      <c r="F3592">
        <v>84</v>
      </c>
      <c r="G3592" t="str">
        <f t="shared" si="64"/>
        <v>81+</v>
      </c>
      <c r="H3592" t="s">
        <v>23</v>
      </c>
      <c r="I3592" t="s">
        <v>61</v>
      </c>
      <c r="J3592" t="s">
        <v>62</v>
      </c>
      <c r="K3592" t="s">
        <v>38</v>
      </c>
      <c r="L3592">
        <v>1</v>
      </c>
      <c r="M3592">
        <v>1</v>
      </c>
      <c r="N3592">
        <v>5.0999999999999996</v>
      </c>
      <c r="O3592">
        <v>7.9</v>
      </c>
      <c r="P3592">
        <v>6</v>
      </c>
      <c r="Q3592">
        <v>4</v>
      </c>
      <c r="R3592">
        <v>615788</v>
      </c>
      <c r="S3592">
        <f>Table1[[#This Row],[Revenue]]-Table1[[#This Row],[Operating_Costs]]</f>
        <v>210663</v>
      </c>
      <c r="T3592">
        <v>405125</v>
      </c>
      <c r="U3592">
        <v>30</v>
      </c>
      <c r="V3592">
        <v>57</v>
      </c>
      <c r="W3592">
        <v>5.0999999999999996</v>
      </c>
    </row>
    <row r="3593" spans="1:23" x14ac:dyDescent="0.25">
      <c r="A3593">
        <v>11</v>
      </c>
      <c r="B3593" t="s">
        <v>63</v>
      </c>
      <c r="C3593" s="1">
        <v>45266</v>
      </c>
      <c r="D3593" t="s">
        <v>71</v>
      </c>
      <c r="E3593">
        <v>0</v>
      </c>
      <c r="F3593">
        <v>30</v>
      </c>
      <c r="G3593" t="str">
        <f t="shared" si="64"/>
        <v>21-40</v>
      </c>
      <c r="H3593" t="s">
        <v>35</v>
      </c>
      <c r="I3593" t="s">
        <v>53</v>
      </c>
      <c r="J3593" t="s">
        <v>54</v>
      </c>
      <c r="K3593" t="s">
        <v>26</v>
      </c>
      <c r="L3593">
        <v>1</v>
      </c>
      <c r="M3593">
        <v>1</v>
      </c>
      <c r="N3593">
        <v>5.2</v>
      </c>
      <c r="O3593">
        <v>9.5</v>
      </c>
      <c r="P3593">
        <v>7</v>
      </c>
      <c r="Q3593">
        <v>7</v>
      </c>
      <c r="R3593">
        <v>642238</v>
      </c>
      <c r="S3593">
        <f>Table1[[#This Row],[Revenue]]-Table1[[#This Row],[Operating_Costs]]</f>
        <v>240153</v>
      </c>
      <c r="T3593">
        <v>402085</v>
      </c>
      <c r="U3593">
        <v>28</v>
      </c>
      <c r="V3593">
        <v>60</v>
      </c>
      <c r="W3593">
        <v>7.1</v>
      </c>
    </row>
    <row r="3594" spans="1:23" x14ac:dyDescent="0.25">
      <c r="A3594">
        <v>11</v>
      </c>
      <c r="B3594" t="s">
        <v>63</v>
      </c>
      <c r="C3594" s="1">
        <v>45494</v>
      </c>
      <c r="D3594" t="s">
        <v>71</v>
      </c>
      <c r="E3594">
        <v>0</v>
      </c>
      <c r="F3594">
        <v>62</v>
      </c>
      <c r="G3594" t="str">
        <f t="shared" si="64"/>
        <v>61-80</v>
      </c>
      <c r="H3594" t="s">
        <v>23</v>
      </c>
      <c r="I3594" t="s">
        <v>24</v>
      </c>
      <c r="J3594" t="s">
        <v>25</v>
      </c>
      <c r="K3594" t="s">
        <v>26</v>
      </c>
      <c r="L3594">
        <v>1</v>
      </c>
      <c r="M3594">
        <v>1</v>
      </c>
      <c r="N3594">
        <v>3</v>
      </c>
      <c r="O3594">
        <v>8.4</v>
      </c>
      <c r="P3594">
        <v>6</v>
      </c>
      <c r="Q3594">
        <v>4</v>
      </c>
      <c r="R3594">
        <v>730439</v>
      </c>
      <c r="S3594">
        <f>Table1[[#This Row],[Revenue]]-Table1[[#This Row],[Operating_Costs]]</f>
        <v>222851</v>
      </c>
      <c r="T3594">
        <v>507588</v>
      </c>
      <c r="U3594">
        <v>34</v>
      </c>
      <c r="V3594">
        <v>61</v>
      </c>
      <c r="W3594">
        <v>36</v>
      </c>
    </row>
    <row r="3595" spans="1:23" x14ac:dyDescent="0.25">
      <c r="A3595">
        <v>11</v>
      </c>
      <c r="B3595" t="s">
        <v>63</v>
      </c>
      <c r="C3595" s="1">
        <v>44723</v>
      </c>
      <c r="D3595" t="s">
        <v>71</v>
      </c>
      <c r="E3595">
        <v>0</v>
      </c>
      <c r="F3595">
        <v>84</v>
      </c>
      <c r="G3595" t="str">
        <f t="shared" si="64"/>
        <v>81+</v>
      </c>
      <c r="H3595" t="s">
        <v>35</v>
      </c>
      <c r="I3595" t="s">
        <v>36</v>
      </c>
      <c r="J3595" t="s">
        <v>37</v>
      </c>
      <c r="K3595" t="s">
        <v>42</v>
      </c>
      <c r="L3595">
        <v>1</v>
      </c>
      <c r="M3595">
        <v>1</v>
      </c>
      <c r="N3595">
        <v>3.3</v>
      </c>
      <c r="O3595">
        <v>7.5</v>
      </c>
      <c r="P3595">
        <v>3</v>
      </c>
      <c r="Q3595">
        <v>5</v>
      </c>
      <c r="R3595">
        <v>665102</v>
      </c>
      <c r="S3595">
        <f>Table1[[#This Row],[Revenue]]-Table1[[#This Row],[Operating_Costs]]</f>
        <v>201496</v>
      </c>
      <c r="T3595">
        <v>463606</v>
      </c>
      <c r="U3595">
        <v>33</v>
      </c>
      <c r="V3595">
        <v>64</v>
      </c>
      <c r="W3595">
        <v>13.3</v>
      </c>
    </row>
    <row r="3596" spans="1:23" x14ac:dyDescent="0.25">
      <c r="A3596">
        <v>11</v>
      </c>
      <c r="B3596" t="s">
        <v>63</v>
      </c>
      <c r="C3596" s="1">
        <v>45515</v>
      </c>
      <c r="D3596" t="s">
        <v>71</v>
      </c>
      <c r="E3596">
        <v>0</v>
      </c>
      <c r="F3596">
        <v>27</v>
      </c>
      <c r="G3596" t="str">
        <f t="shared" si="64"/>
        <v>21-40</v>
      </c>
      <c r="H3596" t="s">
        <v>35</v>
      </c>
      <c r="I3596" t="s">
        <v>64</v>
      </c>
      <c r="J3596" t="s">
        <v>65</v>
      </c>
      <c r="K3596" t="s">
        <v>29</v>
      </c>
      <c r="L3596">
        <v>1</v>
      </c>
      <c r="M3596">
        <v>1</v>
      </c>
      <c r="N3596">
        <v>2.1</v>
      </c>
      <c r="O3596">
        <v>9.8000000000000007</v>
      </c>
      <c r="P3596">
        <v>5</v>
      </c>
      <c r="Q3596">
        <v>3</v>
      </c>
      <c r="R3596">
        <v>703662</v>
      </c>
      <c r="S3596">
        <f>Table1[[#This Row],[Revenue]]-Table1[[#This Row],[Operating_Costs]]</f>
        <v>254021</v>
      </c>
      <c r="T3596">
        <v>449641</v>
      </c>
      <c r="U3596">
        <v>25</v>
      </c>
      <c r="V3596">
        <v>55</v>
      </c>
      <c r="W3596">
        <v>36.5</v>
      </c>
    </row>
    <row r="3597" spans="1:23" x14ac:dyDescent="0.25">
      <c r="A3597">
        <v>11</v>
      </c>
      <c r="B3597" t="s">
        <v>63</v>
      </c>
      <c r="C3597" s="1">
        <v>45290</v>
      </c>
      <c r="D3597" t="s">
        <v>71</v>
      </c>
      <c r="E3597">
        <v>0</v>
      </c>
      <c r="F3597">
        <v>71</v>
      </c>
      <c r="G3597" t="str">
        <f t="shared" si="64"/>
        <v>61-80</v>
      </c>
      <c r="H3597" t="s">
        <v>35</v>
      </c>
      <c r="I3597" t="s">
        <v>61</v>
      </c>
      <c r="J3597" t="s">
        <v>62</v>
      </c>
      <c r="K3597" t="s">
        <v>29</v>
      </c>
      <c r="L3597">
        <v>1</v>
      </c>
      <c r="M3597">
        <v>1</v>
      </c>
      <c r="N3597">
        <v>3.7</v>
      </c>
      <c r="O3597">
        <v>9</v>
      </c>
      <c r="P3597">
        <v>6</v>
      </c>
      <c r="Q3597">
        <v>4</v>
      </c>
      <c r="R3597">
        <v>777571</v>
      </c>
      <c r="S3597">
        <f>Table1[[#This Row],[Revenue]]-Table1[[#This Row],[Operating_Costs]]</f>
        <v>310208</v>
      </c>
      <c r="T3597">
        <v>467363</v>
      </c>
      <c r="U3597">
        <v>28</v>
      </c>
      <c r="V3597">
        <v>61</v>
      </c>
      <c r="W3597">
        <v>6.2</v>
      </c>
    </row>
    <row r="3598" spans="1:23" x14ac:dyDescent="0.25">
      <c r="A3598">
        <v>11</v>
      </c>
      <c r="B3598" t="s">
        <v>63</v>
      </c>
      <c r="C3598" s="1">
        <v>45525</v>
      </c>
      <c r="D3598" t="s">
        <v>71</v>
      </c>
      <c r="E3598">
        <v>0</v>
      </c>
      <c r="F3598">
        <v>40</v>
      </c>
      <c r="G3598" t="str">
        <f t="shared" si="64"/>
        <v>21-40</v>
      </c>
      <c r="H3598" t="s">
        <v>23</v>
      </c>
      <c r="I3598" t="s">
        <v>61</v>
      </c>
      <c r="J3598" t="s">
        <v>62</v>
      </c>
      <c r="K3598" t="s">
        <v>29</v>
      </c>
      <c r="L3598">
        <v>1</v>
      </c>
      <c r="M3598">
        <v>1</v>
      </c>
      <c r="N3598">
        <v>3.4</v>
      </c>
      <c r="O3598">
        <v>7.4</v>
      </c>
      <c r="P3598">
        <v>3</v>
      </c>
      <c r="Q3598">
        <v>7</v>
      </c>
      <c r="R3598">
        <v>694958</v>
      </c>
      <c r="S3598">
        <f>Table1[[#This Row],[Revenue]]-Table1[[#This Row],[Operating_Costs]]</f>
        <v>143127</v>
      </c>
      <c r="T3598">
        <v>551831</v>
      </c>
      <c r="U3598">
        <v>30</v>
      </c>
      <c r="V3598">
        <v>61</v>
      </c>
      <c r="W3598">
        <v>5.4</v>
      </c>
    </row>
    <row r="3599" spans="1:23" x14ac:dyDescent="0.25">
      <c r="A3599">
        <v>11</v>
      </c>
      <c r="B3599" t="s">
        <v>63</v>
      </c>
      <c r="C3599" s="1">
        <v>45228</v>
      </c>
      <c r="D3599" t="s">
        <v>71</v>
      </c>
      <c r="E3599">
        <v>0</v>
      </c>
      <c r="F3599">
        <v>35</v>
      </c>
      <c r="G3599" t="str">
        <f t="shared" si="64"/>
        <v>21-40</v>
      </c>
      <c r="H3599" t="s">
        <v>35</v>
      </c>
      <c r="I3599" t="s">
        <v>53</v>
      </c>
      <c r="J3599" t="s">
        <v>54</v>
      </c>
      <c r="K3599" t="s">
        <v>33</v>
      </c>
      <c r="L3599">
        <v>1</v>
      </c>
      <c r="M3599">
        <v>1</v>
      </c>
      <c r="N3599">
        <v>4</v>
      </c>
      <c r="O3599">
        <v>8.6999999999999993</v>
      </c>
      <c r="P3599">
        <v>7</v>
      </c>
      <c r="Q3599">
        <v>3</v>
      </c>
      <c r="R3599">
        <v>630555</v>
      </c>
      <c r="S3599">
        <f>Table1[[#This Row],[Revenue]]-Table1[[#This Row],[Operating_Costs]]</f>
        <v>124733</v>
      </c>
      <c r="T3599">
        <v>505822</v>
      </c>
      <c r="U3599">
        <v>27</v>
      </c>
      <c r="V3599">
        <v>56</v>
      </c>
      <c r="W3599">
        <v>36.4</v>
      </c>
    </row>
    <row r="3600" spans="1:23" x14ac:dyDescent="0.25">
      <c r="A3600">
        <v>11</v>
      </c>
      <c r="B3600" t="s">
        <v>63</v>
      </c>
      <c r="C3600" s="1">
        <v>45321</v>
      </c>
      <c r="D3600" t="s">
        <v>71</v>
      </c>
      <c r="E3600">
        <v>0</v>
      </c>
      <c r="F3600">
        <v>81</v>
      </c>
      <c r="G3600" t="str">
        <f t="shared" si="64"/>
        <v>81+</v>
      </c>
      <c r="H3600" t="s">
        <v>35</v>
      </c>
      <c r="I3600" t="s">
        <v>61</v>
      </c>
      <c r="J3600" t="s">
        <v>62</v>
      </c>
      <c r="K3600" t="s">
        <v>33</v>
      </c>
      <c r="L3600">
        <v>1</v>
      </c>
      <c r="M3600">
        <v>1</v>
      </c>
      <c r="N3600">
        <v>5.4</v>
      </c>
      <c r="O3600">
        <v>8.3000000000000007</v>
      </c>
      <c r="P3600">
        <v>4</v>
      </c>
      <c r="Q3600">
        <v>7</v>
      </c>
      <c r="R3600">
        <v>751471</v>
      </c>
      <c r="S3600">
        <f>Table1[[#This Row],[Revenue]]-Table1[[#This Row],[Operating_Costs]]</f>
        <v>329333</v>
      </c>
      <c r="T3600">
        <v>422138</v>
      </c>
      <c r="U3600">
        <v>31</v>
      </c>
      <c r="V3600">
        <v>65</v>
      </c>
      <c r="W3600">
        <v>36.1</v>
      </c>
    </row>
    <row r="3601" spans="1:23" x14ac:dyDescent="0.25">
      <c r="A3601">
        <v>11</v>
      </c>
      <c r="B3601" t="s">
        <v>63</v>
      </c>
      <c r="C3601" s="1">
        <v>44905</v>
      </c>
      <c r="D3601" t="s">
        <v>71</v>
      </c>
      <c r="E3601">
        <v>0</v>
      </c>
      <c r="F3601">
        <v>38</v>
      </c>
      <c r="G3601" t="str">
        <f t="shared" si="64"/>
        <v>21-40</v>
      </c>
      <c r="H3601" t="s">
        <v>23</v>
      </c>
      <c r="I3601" t="s">
        <v>31</v>
      </c>
      <c r="J3601" t="s">
        <v>28</v>
      </c>
      <c r="K3601" t="s">
        <v>29</v>
      </c>
      <c r="L3601">
        <v>1</v>
      </c>
      <c r="M3601">
        <v>1</v>
      </c>
      <c r="N3601">
        <v>2.4</v>
      </c>
      <c r="O3601">
        <v>9.9</v>
      </c>
      <c r="P3601">
        <v>7</v>
      </c>
      <c r="Q3601">
        <v>6</v>
      </c>
      <c r="R3601">
        <v>736318</v>
      </c>
      <c r="S3601">
        <f>Table1[[#This Row],[Revenue]]-Table1[[#This Row],[Operating_Costs]]</f>
        <v>184537</v>
      </c>
      <c r="T3601">
        <v>551781</v>
      </c>
      <c r="U3601">
        <v>25</v>
      </c>
      <c r="V3601">
        <v>54</v>
      </c>
      <c r="W3601">
        <v>14.6</v>
      </c>
    </row>
    <row r="3602" spans="1:23" x14ac:dyDescent="0.25">
      <c r="A3602">
        <v>11</v>
      </c>
      <c r="B3602" t="s">
        <v>63</v>
      </c>
      <c r="C3602" s="1">
        <v>45188</v>
      </c>
      <c r="D3602" t="s">
        <v>71</v>
      </c>
      <c r="E3602">
        <v>0</v>
      </c>
      <c r="F3602">
        <v>77</v>
      </c>
      <c r="G3602" t="str">
        <f t="shared" si="64"/>
        <v>61-80</v>
      </c>
      <c r="H3602" t="s">
        <v>23</v>
      </c>
      <c r="I3602" t="s">
        <v>61</v>
      </c>
      <c r="J3602" t="s">
        <v>62</v>
      </c>
      <c r="K3602" t="s">
        <v>38</v>
      </c>
      <c r="L3602">
        <v>1</v>
      </c>
      <c r="M3602">
        <v>1</v>
      </c>
      <c r="N3602">
        <v>5.9</v>
      </c>
      <c r="O3602">
        <v>7.1</v>
      </c>
      <c r="P3602">
        <v>3</v>
      </c>
      <c r="Q3602">
        <v>7</v>
      </c>
      <c r="R3602">
        <v>704505</v>
      </c>
      <c r="S3602">
        <f>Table1[[#This Row],[Revenue]]-Table1[[#This Row],[Operating_Costs]]</f>
        <v>188769</v>
      </c>
      <c r="T3602">
        <v>515736</v>
      </c>
      <c r="U3602">
        <v>20</v>
      </c>
      <c r="V3602">
        <v>66</v>
      </c>
      <c r="W3602">
        <v>36.200000000000003</v>
      </c>
    </row>
    <row r="3603" spans="1:23" x14ac:dyDescent="0.25">
      <c r="A3603">
        <v>11</v>
      </c>
      <c r="B3603" t="s">
        <v>63</v>
      </c>
      <c r="C3603" s="1">
        <v>45474</v>
      </c>
      <c r="D3603" t="s">
        <v>71</v>
      </c>
      <c r="E3603">
        <v>0</v>
      </c>
      <c r="F3603">
        <v>47</v>
      </c>
      <c r="G3603" t="str">
        <f t="shared" si="64"/>
        <v>41-60</v>
      </c>
      <c r="H3603" t="s">
        <v>35</v>
      </c>
      <c r="I3603" t="s">
        <v>36</v>
      </c>
      <c r="J3603" t="s">
        <v>37</v>
      </c>
      <c r="K3603" t="s">
        <v>26</v>
      </c>
      <c r="L3603">
        <v>1</v>
      </c>
      <c r="M3603">
        <v>1</v>
      </c>
      <c r="N3603">
        <v>4.3</v>
      </c>
      <c r="O3603">
        <v>9.1</v>
      </c>
      <c r="P3603">
        <v>5</v>
      </c>
      <c r="Q3603">
        <v>3</v>
      </c>
      <c r="R3603">
        <v>683069</v>
      </c>
      <c r="S3603">
        <f>Table1[[#This Row],[Revenue]]-Table1[[#This Row],[Operating_Costs]]</f>
        <v>210900</v>
      </c>
      <c r="T3603">
        <v>472169</v>
      </c>
      <c r="U3603">
        <v>27</v>
      </c>
      <c r="V3603">
        <v>62</v>
      </c>
      <c r="W3603">
        <v>7.3</v>
      </c>
    </row>
    <row r="3604" spans="1:23" x14ac:dyDescent="0.25">
      <c r="A3604">
        <v>11</v>
      </c>
      <c r="B3604" t="s">
        <v>63</v>
      </c>
      <c r="C3604" s="1">
        <v>45371</v>
      </c>
      <c r="D3604" t="s">
        <v>71</v>
      </c>
      <c r="E3604">
        <v>0</v>
      </c>
      <c r="F3604">
        <v>28</v>
      </c>
      <c r="G3604" t="str">
        <f t="shared" si="64"/>
        <v>21-40</v>
      </c>
      <c r="H3604" t="s">
        <v>23</v>
      </c>
      <c r="I3604" t="s">
        <v>64</v>
      </c>
      <c r="J3604" t="s">
        <v>65</v>
      </c>
      <c r="K3604" t="s">
        <v>42</v>
      </c>
      <c r="L3604">
        <v>1</v>
      </c>
      <c r="M3604">
        <v>1</v>
      </c>
      <c r="N3604">
        <v>4.7</v>
      </c>
      <c r="O3604">
        <v>9.1999999999999993</v>
      </c>
      <c r="P3604">
        <v>4</v>
      </c>
      <c r="Q3604">
        <v>6</v>
      </c>
      <c r="R3604">
        <v>716155</v>
      </c>
      <c r="S3604">
        <f>Table1[[#This Row],[Revenue]]-Table1[[#This Row],[Operating_Costs]]</f>
        <v>294849</v>
      </c>
      <c r="T3604">
        <v>421306</v>
      </c>
      <c r="U3604">
        <v>20</v>
      </c>
      <c r="V3604">
        <v>61</v>
      </c>
      <c r="W3604">
        <v>8.4</v>
      </c>
    </row>
    <row r="3605" spans="1:23" x14ac:dyDescent="0.25">
      <c r="A3605">
        <v>11</v>
      </c>
      <c r="B3605" t="s">
        <v>63</v>
      </c>
      <c r="C3605" s="1">
        <v>45588</v>
      </c>
      <c r="D3605" t="s">
        <v>71</v>
      </c>
      <c r="E3605">
        <v>0</v>
      </c>
      <c r="F3605">
        <v>88</v>
      </c>
      <c r="G3605" t="str">
        <f t="shared" si="64"/>
        <v>81+</v>
      </c>
      <c r="H3605" t="s">
        <v>23</v>
      </c>
      <c r="I3605" t="s">
        <v>46</v>
      </c>
      <c r="J3605" t="s">
        <v>47</v>
      </c>
      <c r="K3605" t="s">
        <v>42</v>
      </c>
      <c r="L3605">
        <v>1</v>
      </c>
      <c r="M3605">
        <v>1</v>
      </c>
      <c r="N3605">
        <v>5.5</v>
      </c>
      <c r="O3605">
        <v>9.1</v>
      </c>
      <c r="P3605">
        <v>7</v>
      </c>
      <c r="Q3605">
        <v>5</v>
      </c>
      <c r="R3605">
        <v>683484</v>
      </c>
      <c r="S3605">
        <f>Table1[[#This Row],[Revenue]]-Table1[[#This Row],[Operating_Costs]]</f>
        <v>229528</v>
      </c>
      <c r="T3605">
        <v>453956</v>
      </c>
      <c r="U3605">
        <v>20</v>
      </c>
      <c r="V3605">
        <v>55</v>
      </c>
      <c r="W3605">
        <v>5.8</v>
      </c>
    </row>
    <row r="3606" spans="1:23" x14ac:dyDescent="0.25">
      <c r="A3606">
        <v>11</v>
      </c>
      <c r="B3606" t="s">
        <v>63</v>
      </c>
      <c r="C3606" s="1">
        <v>45455</v>
      </c>
      <c r="D3606" t="s">
        <v>71</v>
      </c>
      <c r="E3606">
        <v>0</v>
      </c>
      <c r="F3606">
        <v>47</v>
      </c>
      <c r="G3606" t="str">
        <f t="shared" si="64"/>
        <v>41-60</v>
      </c>
      <c r="H3606" t="s">
        <v>23</v>
      </c>
      <c r="I3606" t="s">
        <v>24</v>
      </c>
      <c r="J3606" t="s">
        <v>25</v>
      </c>
      <c r="K3606" t="s">
        <v>26</v>
      </c>
      <c r="L3606">
        <v>1</v>
      </c>
      <c r="M3606">
        <v>1</v>
      </c>
      <c r="N3606">
        <v>6.5</v>
      </c>
      <c r="O3606">
        <v>7.6</v>
      </c>
      <c r="P3606">
        <v>3</v>
      </c>
      <c r="Q3606">
        <v>6</v>
      </c>
      <c r="R3606">
        <v>762382</v>
      </c>
      <c r="S3606">
        <f>Table1[[#This Row],[Revenue]]-Table1[[#This Row],[Operating_Costs]]</f>
        <v>271097</v>
      </c>
      <c r="T3606">
        <v>491285</v>
      </c>
      <c r="U3606">
        <v>31</v>
      </c>
      <c r="V3606">
        <v>62</v>
      </c>
      <c r="W3606">
        <v>6.5</v>
      </c>
    </row>
    <row r="3607" spans="1:23" x14ac:dyDescent="0.25">
      <c r="A3607">
        <v>11</v>
      </c>
      <c r="B3607" t="s">
        <v>63</v>
      </c>
      <c r="C3607" s="1">
        <v>45639</v>
      </c>
      <c r="D3607" t="s">
        <v>71</v>
      </c>
      <c r="E3607">
        <v>0</v>
      </c>
      <c r="F3607">
        <v>25</v>
      </c>
      <c r="G3607" t="str">
        <f t="shared" si="64"/>
        <v>21-40</v>
      </c>
      <c r="H3607" t="s">
        <v>35</v>
      </c>
      <c r="I3607" t="s">
        <v>61</v>
      </c>
      <c r="J3607" t="s">
        <v>62</v>
      </c>
      <c r="K3607" t="s">
        <v>29</v>
      </c>
      <c r="L3607">
        <v>1</v>
      </c>
      <c r="M3607">
        <v>1</v>
      </c>
      <c r="N3607">
        <v>5.5</v>
      </c>
      <c r="O3607">
        <v>8.5</v>
      </c>
      <c r="P3607">
        <v>5</v>
      </c>
      <c r="Q3607">
        <v>3</v>
      </c>
      <c r="R3607">
        <v>677570</v>
      </c>
      <c r="S3607">
        <f>Table1[[#This Row],[Revenue]]-Table1[[#This Row],[Operating_Costs]]</f>
        <v>239799</v>
      </c>
      <c r="T3607">
        <v>437771</v>
      </c>
      <c r="U3607">
        <v>22</v>
      </c>
      <c r="V3607">
        <v>65</v>
      </c>
      <c r="W3607">
        <v>7.8</v>
      </c>
    </row>
    <row r="3608" spans="1:23" x14ac:dyDescent="0.25">
      <c r="A3608">
        <v>11</v>
      </c>
      <c r="B3608" t="s">
        <v>63</v>
      </c>
      <c r="C3608" s="1">
        <v>44792</v>
      </c>
      <c r="D3608" t="s">
        <v>71</v>
      </c>
      <c r="E3608">
        <v>0</v>
      </c>
      <c r="F3608">
        <v>88</v>
      </c>
      <c r="G3608" t="str">
        <f t="shared" si="64"/>
        <v>81+</v>
      </c>
      <c r="H3608" t="s">
        <v>35</v>
      </c>
      <c r="I3608" t="s">
        <v>27</v>
      </c>
      <c r="J3608" t="s">
        <v>28</v>
      </c>
      <c r="K3608" t="s">
        <v>26</v>
      </c>
      <c r="L3608">
        <v>1</v>
      </c>
      <c r="M3608">
        <v>1</v>
      </c>
      <c r="N3608">
        <v>5.4</v>
      </c>
      <c r="O3608">
        <v>8.5</v>
      </c>
      <c r="P3608">
        <v>5</v>
      </c>
      <c r="Q3608">
        <v>4</v>
      </c>
      <c r="R3608">
        <v>754909</v>
      </c>
      <c r="S3608">
        <f>Table1[[#This Row],[Revenue]]-Table1[[#This Row],[Operating_Costs]]</f>
        <v>310907</v>
      </c>
      <c r="T3608">
        <v>444002</v>
      </c>
      <c r="U3608">
        <v>28</v>
      </c>
      <c r="V3608">
        <v>65</v>
      </c>
      <c r="W3608">
        <v>14.3</v>
      </c>
    </row>
    <row r="3609" spans="1:23" x14ac:dyDescent="0.25">
      <c r="A3609">
        <v>11</v>
      </c>
      <c r="B3609" t="s">
        <v>63</v>
      </c>
      <c r="C3609" s="1">
        <v>44548</v>
      </c>
      <c r="D3609" t="s">
        <v>71</v>
      </c>
      <c r="E3609">
        <v>0</v>
      </c>
      <c r="F3609">
        <v>40</v>
      </c>
      <c r="G3609" t="str">
        <f t="shared" si="64"/>
        <v>21-40</v>
      </c>
      <c r="H3609" t="s">
        <v>35</v>
      </c>
      <c r="I3609" t="s">
        <v>61</v>
      </c>
      <c r="J3609" t="s">
        <v>62</v>
      </c>
      <c r="K3609" t="s">
        <v>33</v>
      </c>
      <c r="L3609">
        <v>1</v>
      </c>
      <c r="M3609">
        <v>1</v>
      </c>
      <c r="N3609">
        <v>6.9</v>
      </c>
      <c r="O3609">
        <v>8.3000000000000007</v>
      </c>
      <c r="P3609">
        <v>6</v>
      </c>
      <c r="Q3609">
        <v>4</v>
      </c>
      <c r="R3609">
        <v>756308</v>
      </c>
      <c r="S3609">
        <f>Table1[[#This Row],[Revenue]]-Table1[[#This Row],[Operating_Costs]]</f>
        <v>237650</v>
      </c>
      <c r="T3609">
        <v>518658</v>
      </c>
      <c r="U3609">
        <v>35</v>
      </c>
      <c r="V3609">
        <v>63</v>
      </c>
      <c r="W3609">
        <v>7.5</v>
      </c>
    </row>
    <row r="3610" spans="1:23" x14ac:dyDescent="0.25">
      <c r="A3610">
        <v>11</v>
      </c>
      <c r="B3610" t="s">
        <v>63</v>
      </c>
      <c r="C3610" s="1">
        <v>44990</v>
      </c>
      <c r="D3610" t="s">
        <v>71</v>
      </c>
      <c r="E3610">
        <v>0</v>
      </c>
      <c r="F3610">
        <v>33</v>
      </c>
      <c r="G3610" t="str">
        <f t="shared" si="64"/>
        <v>21-40</v>
      </c>
      <c r="H3610" t="s">
        <v>35</v>
      </c>
      <c r="I3610" t="s">
        <v>36</v>
      </c>
      <c r="J3610" t="s">
        <v>37</v>
      </c>
      <c r="K3610" t="s">
        <v>26</v>
      </c>
      <c r="L3610">
        <v>1</v>
      </c>
      <c r="M3610">
        <v>1</v>
      </c>
      <c r="N3610">
        <v>2.2999999999999998</v>
      </c>
      <c r="O3610">
        <v>9.1</v>
      </c>
      <c r="P3610">
        <v>3</v>
      </c>
      <c r="Q3610">
        <v>3</v>
      </c>
      <c r="R3610">
        <v>727921</v>
      </c>
      <c r="S3610">
        <f>Table1[[#This Row],[Revenue]]-Table1[[#This Row],[Operating_Costs]]</f>
        <v>269795</v>
      </c>
      <c r="T3610">
        <v>458126</v>
      </c>
      <c r="U3610">
        <v>34</v>
      </c>
      <c r="V3610">
        <v>63</v>
      </c>
      <c r="W3610">
        <v>8.8000000000000007</v>
      </c>
    </row>
    <row r="3611" spans="1:23" x14ac:dyDescent="0.25">
      <c r="A3611">
        <v>11</v>
      </c>
      <c r="B3611" t="s">
        <v>63</v>
      </c>
      <c r="C3611" s="1">
        <v>44220</v>
      </c>
      <c r="D3611" t="s">
        <v>71</v>
      </c>
      <c r="E3611">
        <v>0</v>
      </c>
      <c r="F3611">
        <v>82</v>
      </c>
      <c r="G3611" t="str">
        <f t="shared" si="64"/>
        <v>81+</v>
      </c>
      <c r="H3611" t="s">
        <v>35</v>
      </c>
      <c r="I3611" t="s">
        <v>31</v>
      </c>
      <c r="J3611" t="s">
        <v>28</v>
      </c>
      <c r="K3611" t="s">
        <v>33</v>
      </c>
      <c r="L3611">
        <v>1</v>
      </c>
      <c r="M3611">
        <v>1</v>
      </c>
      <c r="N3611">
        <v>2.1</v>
      </c>
      <c r="O3611">
        <v>9</v>
      </c>
      <c r="P3611">
        <v>3</v>
      </c>
      <c r="Q3611">
        <v>7</v>
      </c>
      <c r="R3611">
        <v>703204</v>
      </c>
      <c r="S3611">
        <f>Table1[[#This Row],[Revenue]]-Table1[[#This Row],[Operating_Costs]]</f>
        <v>246510</v>
      </c>
      <c r="T3611">
        <v>456694</v>
      </c>
      <c r="U3611">
        <v>30</v>
      </c>
      <c r="V3611">
        <v>56</v>
      </c>
      <c r="W3611">
        <v>9.8000000000000007</v>
      </c>
    </row>
    <row r="3612" spans="1:23" x14ac:dyDescent="0.25">
      <c r="A3612">
        <v>11</v>
      </c>
      <c r="B3612" t="s">
        <v>63</v>
      </c>
      <c r="C3612" s="1">
        <v>44909</v>
      </c>
      <c r="D3612" t="s">
        <v>71</v>
      </c>
      <c r="E3612">
        <v>0</v>
      </c>
      <c r="F3612">
        <v>27</v>
      </c>
      <c r="G3612" t="str">
        <f t="shared" si="64"/>
        <v>21-40</v>
      </c>
      <c r="H3612" t="s">
        <v>35</v>
      </c>
      <c r="I3612" t="s">
        <v>53</v>
      </c>
      <c r="J3612" t="s">
        <v>54</v>
      </c>
      <c r="K3612" t="s">
        <v>42</v>
      </c>
      <c r="L3612">
        <v>1</v>
      </c>
      <c r="M3612">
        <v>1</v>
      </c>
      <c r="N3612">
        <v>6.8</v>
      </c>
      <c r="O3612">
        <v>8.1</v>
      </c>
      <c r="P3612">
        <v>6</v>
      </c>
      <c r="Q3612">
        <v>4</v>
      </c>
      <c r="R3612">
        <v>751038</v>
      </c>
      <c r="S3612">
        <f>Table1[[#This Row],[Revenue]]-Table1[[#This Row],[Operating_Costs]]</f>
        <v>232116</v>
      </c>
      <c r="T3612">
        <v>518922</v>
      </c>
      <c r="U3612">
        <v>20</v>
      </c>
      <c r="V3612">
        <v>58</v>
      </c>
      <c r="W3612">
        <v>5.4</v>
      </c>
    </row>
    <row r="3613" spans="1:23" x14ac:dyDescent="0.25">
      <c r="A3613">
        <v>11</v>
      </c>
      <c r="B3613" t="s">
        <v>63</v>
      </c>
      <c r="C3613" s="1">
        <v>44634</v>
      </c>
      <c r="D3613" t="s">
        <v>71</v>
      </c>
      <c r="E3613">
        <v>0</v>
      </c>
      <c r="F3613">
        <v>35</v>
      </c>
      <c r="G3613" t="str">
        <f t="shared" si="64"/>
        <v>21-40</v>
      </c>
      <c r="H3613" t="s">
        <v>35</v>
      </c>
      <c r="I3613" t="s">
        <v>46</v>
      </c>
      <c r="J3613" t="s">
        <v>47</v>
      </c>
      <c r="K3613" t="s">
        <v>33</v>
      </c>
      <c r="L3613">
        <v>1</v>
      </c>
      <c r="M3613">
        <v>1</v>
      </c>
      <c r="N3613">
        <v>2.1</v>
      </c>
      <c r="O3613">
        <v>9.9</v>
      </c>
      <c r="P3613">
        <v>4</v>
      </c>
      <c r="Q3613">
        <v>6</v>
      </c>
      <c r="R3613">
        <v>680327</v>
      </c>
      <c r="S3613">
        <f>Table1[[#This Row],[Revenue]]-Table1[[#This Row],[Operating_Costs]]</f>
        <v>134747</v>
      </c>
      <c r="T3613">
        <v>545580</v>
      </c>
      <c r="U3613">
        <v>30</v>
      </c>
      <c r="V3613">
        <v>57</v>
      </c>
      <c r="W3613">
        <v>6</v>
      </c>
    </row>
    <row r="3614" spans="1:23" x14ac:dyDescent="0.25">
      <c r="A3614">
        <v>11</v>
      </c>
      <c r="B3614" t="s">
        <v>63</v>
      </c>
      <c r="C3614" s="1">
        <v>44978</v>
      </c>
      <c r="D3614" t="s">
        <v>71</v>
      </c>
      <c r="E3614">
        <v>0</v>
      </c>
      <c r="F3614">
        <v>44</v>
      </c>
      <c r="G3614" t="str">
        <f t="shared" si="64"/>
        <v>41-60</v>
      </c>
      <c r="H3614" t="s">
        <v>35</v>
      </c>
      <c r="I3614" t="s">
        <v>55</v>
      </c>
      <c r="J3614" t="s">
        <v>56</v>
      </c>
      <c r="K3614" t="s">
        <v>29</v>
      </c>
      <c r="L3614">
        <v>1</v>
      </c>
      <c r="M3614">
        <v>1</v>
      </c>
      <c r="N3614">
        <v>1.3</v>
      </c>
      <c r="O3614">
        <v>7.9</v>
      </c>
      <c r="P3614">
        <v>3</v>
      </c>
      <c r="Q3614">
        <v>5</v>
      </c>
      <c r="R3614">
        <v>782824</v>
      </c>
      <c r="S3614">
        <f>Table1[[#This Row],[Revenue]]-Table1[[#This Row],[Operating_Costs]]</f>
        <v>209594</v>
      </c>
      <c r="T3614">
        <v>573230</v>
      </c>
      <c r="U3614">
        <v>32</v>
      </c>
      <c r="V3614">
        <v>66</v>
      </c>
      <c r="W3614">
        <v>12.8</v>
      </c>
    </row>
    <row r="3615" spans="1:23" x14ac:dyDescent="0.25">
      <c r="A3615">
        <v>11</v>
      </c>
      <c r="B3615" t="s">
        <v>63</v>
      </c>
      <c r="C3615" s="1">
        <v>45636</v>
      </c>
      <c r="D3615" t="s">
        <v>71</v>
      </c>
      <c r="E3615">
        <v>0</v>
      </c>
      <c r="F3615">
        <v>42</v>
      </c>
      <c r="G3615" t="str">
        <f t="shared" si="64"/>
        <v>41-60</v>
      </c>
      <c r="H3615" t="s">
        <v>35</v>
      </c>
      <c r="I3615" t="s">
        <v>64</v>
      </c>
      <c r="J3615" t="s">
        <v>65</v>
      </c>
      <c r="K3615" t="s">
        <v>42</v>
      </c>
      <c r="L3615">
        <v>1</v>
      </c>
      <c r="M3615">
        <v>1</v>
      </c>
      <c r="N3615">
        <v>2.7</v>
      </c>
      <c r="O3615">
        <v>9.6</v>
      </c>
      <c r="P3615">
        <v>5</v>
      </c>
      <c r="Q3615">
        <v>5</v>
      </c>
      <c r="R3615">
        <v>772976</v>
      </c>
      <c r="S3615">
        <f>Table1[[#This Row],[Revenue]]-Table1[[#This Row],[Operating_Costs]]</f>
        <v>358004</v>
      </c>
      <c r="T3615">
        <v>414972</v>
      </c>
      <c r="U3615">
        <v>35</v>
      </c>
      <c r="V3615">
        <v>66</v>
      </c>
      <c r="W3615">
        <v>12.8</v>
      </c>
    </row>
    <row r="3616" spans="1:23" x14ac:dyDescent="0.25">
      <c r="A3616">
        <v>11</v>
      </c>
      <c r="B3616" t="s">
        <v>63</v>
      </c>
      <c r="C3616" s="1">
        <v>45021</v>
      </c>
      <c r="D3616" t="s">
        <v>71</v>
      </c>
      <c r="E3616">
        <v>0</v>
      </c>
      <c r="F3616">
        <v>73</v>
      </c>
      <c r="G3616" t="str">
        <f t="shared" si="64"/>
        <v>61-80</v>
      </c>
      <c r="H3616" t="s">
        <v>23</v>
      </c>
      <c r="I3616" t="s">
        <v>27</v>
      </c>
      <c r="J3616" t="s">
        <v>28</v>
      </c>
      <c r="K3616" t="s">
        <v>42</v>
      </c>
      <c r="L3616">
        <v>1</v>
      </c>
      <c r="M3616">
        <v>1</v>
      </c>
      <c r="N3616">
        <v>3</v>
      </c>
      <c r="O3616">
        <v>7.4</v>
      </c>
      <c r="P3616">
        <v>4</v>
      </c>
      <c r="Q3616">
        <v>6</v>
      </c>
      <c r="R3616">
        <v>786544</v>
      </c>
      <c r="S3616">
        <f>Table1[[#This Row],[Revenue]]-Table1[[#This Row],[Operating_Costs]]</f>
        <v>362886</v>
      </c>
      <c r="T3616">
        <v>423658</v>
      </c>
      <c r="U3616">
        <v>34</v>
      </c>
      <c r="V3616">
        <v>66</v>
      </c>
      <c r="W3616">
        <v>36.200000000000003</v>
      </c>
    </row>
    <row r="3617" spans="1:23" x14ac:dyDescent="0.25">
      <c r="A3617">
        <v>11</v>
      </c>
      <c r="B3617" t="s">
        <v>63</v>
      </c>
      <c r="C3617" s="1">
        <v>44728</v>
      </c>
      <c r="D3617" t="s">
        <v>71</v>
      </c>
      <c r="E3617">
        <v>0</v>
      </c>
      <c r="F3617">
        <v>80</v>
      </c>
      <c r="G3617" t="str">
        <f t="shared" si="64"/>
        <v>61-80</v>
      </c>
      <c r="H3617" t="s">
        <v>23</v>
      </c>
      <c r="I3617" t="s">
        <v>50</v>
      </c>
      <c r="J3617" t="s">
        <v>51</v>
      </c>
      <c r="K3617" t="s">
        <v>42</v>
      </c>
      <c r="L3617">
        <v>1</v>
      </c>
      <c r="M3617">
        <v>1</v>
      </c>
      <c r="N3617">
        <v>4.9000000000000004</v>
      </c>
      <c r="O3617">
        <v>8.1999999999999993</v>
      </c>
      <c r="P3617">
        <v>5</v>
      </c>
      <c r="Q3617">
        <v>3</v>
      </c>
      <c r="R3617">
        <v>793852</v>
      </c>
      <c r="S3617">
        <f>Table1[[#This Row],[Revenue]]-Table1[[#This Row],[Operating_Costs]]</f>
        <v>219880</v>
      </c>
      <c r="T3617">
        <v>573972</v>
      </c>
      <c r="U3617">
        <v>27</v>
      </c>
      <c r="V3617">
        <v>58</v>
      </c>
      <c r="W3617">
        <v>7.6</v>
      </c>
    </row>
    <row r="3618" spans="1:23" x14ac:dyDescent="0.25">
      <c r="A3618">
        <v>11</v>
      </c>
      <c r="B3618" t="s">
        <v>63</v>
      </c>
      <c r="C3618" s="1">
        <v>44692</v>
      </c>
      <c r="D3618" t="s">
        <v>71</v>
      </c>
      <c r="E3618">
        <v>0</v>
      </c>
      <c r="F3618">
        <v>53</v>
      </c>
      <c r="G3618" t="str">
        <f t="shared" si="64"/>
        <v>41-60</v>
      </c>
      <c r="H3618" t="s">
        <v>35</v>
      </c>
      <c r="I3618" t="s">
        <v>46</v>
      </c>
      <c r="J3618" t="s">
        <v>47</v>
      </c>
      <c r="K3618" t="s">
        <v>42</v>
      </c>
      <c r="L3618">
        <v>1</v>
      </c>
      <c r="M3618">
        <v>1</v>
      </c>
      <c r="N3618">
        <v>1.4</v>
      </c>
      <c r="O3618">
        <v>9.5</v>
      </c>
      <c r="P3618">
        <v>5</v>
      </c>
      <c r="Q3618">
        <v>7</v>
      </c>
      <c r="R3618">
        <v>721464</v>
      </c>
      <c r="S3618">
        <f>Table1[[#This Row],[Revenue]]-Table1[[#This Row],[Operating_Costs]]</f>
        <v>154876</v>
      </c>
      <c r="T3618">
        <v>566588</v>
      </c>
      <c r="U3618">
        <v>30</v>
      </c>
      <c r="V3618">
        <v>59</v>
      </c>
      <c r="W3618">
        <v>36.1</v>
      </c>
    </row>
    <row r="3619" spans="1:23" x14ac:dyDescent="0.25">
      <c r="A3619">
        <v>11</v>
      </c>
      <c r="B3619" t="s">
        <v>63</v>
      </c>
      <c r="C3619" s="1">
        <v>44953</v>
      </c>
      <c r="D3619" t="s">
        <v>71</v>
      </c>
      <c r="E3619">
        <v>0</v>
      </c>
      <c r="F3619">
        <v>84</v>
      </c>
      <c r="G3619" t="str">
        <f t="shared" si="64"/>
        <v>81+</v>
      </c>
      <c r="H3619" t="s">
        <v>35</v>
      </c>
      <c r="I3619" t="s">
        <v>36</v>
      </c>
      <c r="J3619" t="s">
        <v>37</v>
      </c>
      <c r="K3619" t="s">
        <v>42</v>
      </c>
      <c r="L3619">
        <v>1</v>
      </c>
      <c r="M3619">
        <v>1</v>
      </c>
      <c r="N3619">
        <v>3</v>
      </c>
      <c r="O3619">
        <v>9.1</v>
      </c>
      <c r="P3619">
        <v>3</v>
      </c>
      <c r="Q3619">
        <v>3</v>
      </c>
      <c r="R3619">
        <v>627869</v>
      </c>
      <c r="S3619">
        <f>Table1[[#This Row],[Revenue]]-Table1[[#This Row],[Operating_Costs]]</f>
        <v>58904</v>
      </c>
      <c r="T3619">
        <v>568965</v>
      </c>
      <c r="U3619">
        <v>27</v>
      </c>
      <c r="V3619">
        <v>57</v>
      </c>
      <c r="W3619">
        <v>5.6</v>
      </c>
    </row>
    <row r="3620" spans="1:23" x14ac:dyDescent="0.25">
      <c r="A3620">
        <v>11</v>
      </c>
      <c r="B3620" t="s">
        <v>63</v>
      </c>
      <c r="C3620" s="1">
        <v>45319</v>
      </c>
      <c r="D3620" t="s">
        <v>71</v>
      </c>
      <c r="E3620">
        <v>0</v>
      </c>
      <c r="F3620">
        <v>21</v>
      </c>
      <c r="G3620" t="str">
        <f t="shared" si="64"/>
        <v>21-40</v>
      </c>
      <c r="H3620" t="s">
        <v>23</v>
      </c>
      <c r="I3620" t="s">
        <v>24</v>
      </c>
      <c r="J3620" t="s">
        <v>25</v>
      </c>
      <c r="K3620" t="s">
        <v>38</v>
      </c>
      <c r="L3620">
        <v>1</v>
      </c>
      <c r="M3620">
        <v>1</v>
      </c>
      <c r="N3620">
        <v>3.2</v>
      </c>
      <c r="O3620">
        <v>9.6999999999999993</v>
      </c>
      <c r="P3620">
        <v>3</v>
      </c>
      <c r="Q3620">
        <v>6</v>
      </c>
      <c r="R3620">
        <v>758625</v>
      </c>
      <c r="S3620">
        <f>Table1[[#This Row],[Revenue]]-Table1[[#This Row],[Operating_Costs]]</f>
        <v>209747</v>
      </c>
      <c r="T3620">
        <v>548878</v>
      </c>
      <c r="U3620">
        <v>35</v>
      </c>
      <c r="V3620">
        <v>54</v>
      </c>
      <c r="W3620">
        <v>8.4</v>
      </c>
    </row>
    <row r="3621" spans="1:23" x14ac:dyDescent="0.25">
      <c r="A3621">
        <v>11</v>
      </c>
      <c r="B3621" t="s">
        <v>63</v>
      </c>
      <c r="C3621" s="1">
        <v>44703</v>
      </c>
      <c r="D3621" t="s">
        <v>71</v>
      </c>
      <c r="E3621">
        <v>0</v>
      </c>
      <c r="F3621">
        <v>89</v>
      </c>
      <c r="G3621" t="str">
        <f t="shared" si="64"/>
        <v>81+</v>
      </c>
      <c r="H3621" t="s">
        <v>35</v>
      </c>
      <c r="I3621" t="s">
        <v>60</v>
      </c>
      <c r="J3621" t="s">
        <v>59</v>
      </c>
      <c r="K3621" t="s">
        <v>33</v>
      </c>
      <c r="L3621">
        <v>1</v>
      </c>
      <c r="M3621">
        <v>1</v>
      </c>
      <c r="N3621">
        <v>3</v>
      </c>
      <c r="O3621">
        <v>7.2</v>
      </c>
      <c r="P3621">
        <v>4</v>
      </c>
      <c r="Q3621">
        <v>5</v>
      </c>
      <c r="R3621">
        <v>658051</v>
      </c>
      <c r="S3621">
        <f>Table1[[#This Row],[Revenue]]-Table1[[#This Row],[Operating_Costs]]</f>
        <v>125699</v>
      </c>
      <c r="T3621">
        <v>532352</v>
      </c>
      <c r="U3621">
        <v>24</v>
      </c>
      <c r="V3621">
        <v>63</v>
      </c>
      <c r="W3621">
        <v>36.5</v>
      </c>
    </row>
    <row r="3622" spans="1:23" x14ac:dyDescent="0.25">
      <c r="A3622">
        <v>11</v>
      </c>
      <c r="B3622" t="s">
        <v>63</v>
      </c>
      <c r="C3622" s="1">
        <v>45342</v>
      </c>
      <c r="D3622" t="s">
        <v>71</v>
      </c>
      <c r="E3622">
        <v>0</v>
      </c>
      <c r="F3622">
        <v>36</v>
      </c>
      <c r="G3622" t="str">
        <f t="shared" si="64"/>
        <v>21-40</v>
      </c>
      <c r="H3622" t="s">
        <v>23</v>
      </c>
      <c r="I3622" t="s">
        <v>50</v>
      </c>
      <c r="J3622" t="s">
        <v>51</v>
      </c>
      <c r="K3622" t="s">
        <v>33</v>
      </c>
      <c r="L3622">
        <v>1</v>
      </c>
      <c r="M3622">
        <v>1</v>
      </c>
      <c r="N3622">
        <v>6.6</v>
      </c>
      <c r="O3622">
        <v>7.1</v>
      </c>
      <c r="P3622">
        <v>7</v>
      </c>
      <c r="Q3622">
        <v>5</v>
      </c>
      <c r="R3622">
        <v>661439</v>
      </c>
      <c r="S3622">
        <f>Table1[[#This Row],[Revenue]]-Table1[[#This Row],[Operating_Costs]]</f>
        <v>142253</v>
      </c>
      <c r="T3622">
        <v>519186</v>
      </c>
      <c r="U3622">
        <v>23</v>
      </c>
      <c r="V3622">
        <v>63</v>
      </c>
      <c r="W3622">
        <v>5</v>
      </c>
    </row>
    <row r="3623" spans="1:23" x14ac:dyDescent="0.25">
      <c r="A3623">
        <v>11</v>
      </c>
      <c r="B3623" t="s">
        <v>63</v>
      </c>
      <c r="C3623" s="1">
        <v>44613</v>
      </c>
      <c r="D3623" t="s">
        <v>71</v>
      </c>
      <c r="E3623">
        <v>0</v>
      </c>
      <c r="F3623">
        <v>24</v>
      </c>
      <c r="G3623" t="str">
        <f t="shared" si="64"/>
        <v>21-40</v>
      </c>
      <c r="H3623" t="s">
        <v>23</v>
      </c>
      <c r="I3623" t="s">
        <v>50</v>
      </c>
      <c r="J3623" t="s">
        <v>51</v>
      </c>
      <c r="K3623" t="s">
        <v>29</v>
      </c>
      <c r="L3623">
        <v>1</v>
      </c>
      <c r="M3623">
        <v>1</v>
      </c>
      <c r="N3623">
        <v>6.9</v>
      </c>
      <c r="O3623">
        <v>7.6</v>
      </c>
      <c r="P3623">
        <v>3</v>
      </c>
      <c r="Q3623">
        <v>3</v>
      </c>
      <c r="R3623">
        <v>614891</v>
      </c>
      <c r="S3623">
        <f>Table1[[#This Row],[Revenue]]-Table1[[#This Row],[Operating_Costs]]</f>
        <v>153600</v>
      </c>
      <c r="T3623">
        <v>461291</v>
      </c>
      <c r="U3623">
        <v>35</v>
      </c>
      <c r="V3623">
        <v>57</v>
      </c>
      <c r="W3623">
        <v>36.4</v>
      </c>
    </row>
    <row r="3624" spans="1:23" x14ac:dyDescent="0.25">
      <c r="A3624">
        <v>11</v>
      </c>
      <c r="B3624" t="s">
        <v>63</v>
      </c>
      <c r="C3624" s="1">
        <v>45320</v>
      </c>
      <c r="D3624" t="s">
        <v>71</v>
      </c>
      <c r="E3624">
        <v>0</v>
      </c>
      <c r="F3624">
        <v>25</v>
      </c>
      <c r="G3624" t="str">
        <f t="shared" si="64"/>
        <v>21-40</v>
      </c>
      <c r="H3624" t="s">
        <v>23</v>
      </c>
      <c r="I3624" t="s">
        <v>27</v>
      </c>
      <c r="J3624" t="s">
        <v>28</v>
      </c>
      <c r="K3624" t="s">
        <v>42</v>
      </c>
      <c r="L3624">
        <v>1</v>
      </c>
      <c r="M3624">
        <v>1</v>
      </c>
      <c r="N3624">
        <v>5.7</v>
      </c>
      <c r="O3624">
        <v>9.4</v>
      </c>
      <c r="P3624">
        <v>4</v>
      </c>
      <c r="Q3624">
        <v>4</v>
      </c>
      <c r="R3624">
        <v>727252</v>
      </c>
      <c r="S3624">
        <f>Table1[[#This Row],[Revenue]]-Table1[[#This Row],[Operating_Costs]]</f>
        <v>291711</v>
      </c>
      <c r="T3624">
        <v>435541</v>
      </c>
      <c r="U3624">
        <v>23</v>
      </c>
      <c r="V3624">
        <v>66</v>
      </c>
      <c r="W3624">
        <v>9.6</v>
      </c>
    </row>
    <row r="3625" spans="1:23" x14ac:dyDescent="0.25">
      <c r="A3625">
        <v>11</v>
      </c>
      <c r="B3625" t="s">
        <v>63</v>
      </c>
      <c r="C3625" s="1">
        <v>45486</v>
      </c>
      <c r="D3625" t="s">
        <v>71</v>
      </c>
      <c r="E3625">
        <v>0</v>
      </c>
      <c r="F3625">
        <v>31</v>
      </c>
      <c r="G3625" t="str">
        <f t="shared" si="64"/>
        <v>21-40</v>
      </c>
      <c r="H3625" t="s">
        <v>35</v>
      </c>
      <c r="I3625" t="s">
        <v>36</v>
      </c>
      <c r="J3625" t="s">
        <v>37</v>
      </c>
      <c r="K3625" t="s">
        <v>26</v>
      </c>
      <c r="L3625">
        <v>1</v>
      </c>
      <c r="M3625">
        <v>1</v>
      </c>
      <c r="N3625">
        <v>5.9</v>
      </c>
      <c r="O3625">
        <v>7.8</v>
      </c>
      <c r="P3625">
        <v>4</v>
      </c>
      <c r="Q3625">
        <v>7</v>
      </c>
      <c r="R3625">
        <v>691934</v>
      </c>
      <c r="S3625">
        <f>Table1[[#This Row],[Revenue]]-Table1[[#This Row],[Operating_Costs]]</f>
        <v>258516</v>
      </c>
      <c r="T3625">
        <v>433418</v>
      </c>
      <c r="U3625">
        <v>35</v>
      </c>
      <c r="V3625">
        <v>66</v>
      </c>
      <c r="W3625">
        <v>12.3</v>
      </c>
    </row>
    <row r="3626" spans="1:23" x14ac:dyDescent="0.25">
      <c r="A3626">
        <v>11</v>
      </c>
      <c r="B3626" t="s">
        <v>63</v>
      </c>
      <c r="C3626" s="1">
        <v>44283</v>
      </c>
      <c r="D3626" t="s">
        <v>71</v>
      </c>
      <c r="E3626">
        <v>0</v>
      </c>
      <c r="F3626">
        <v>37</v>
      </c>
      <c r="G3626" t="str">
        <f t="shared" si="64"/>
        <v>21-40</v>
      </c>
      <c r="H3626" t="s">
        <v>35</v>
      </c>
      <c r="I3626" t="s">
        <v>36</v>
      </c>
      <c r="J3626" t="s">
        <v>37</v>
      </c>
      <c r="K3626" t="s">
        <v>29</v>
      </c>
      <c r="L3626">
        <v>1</v>
      </c>
      <c r="M3626">
        <v>1</v>
      </c>
      <c r="N3626">
        <v>3.4</v>
      </c>
      <c r="O3626">
        <v>7.9</v>
      </c>
      <c r="P3626">
        <v>4</v>
      </c>
      <c r="Q3626">
        <v>6</v>
      </c>
      <c r="R3626">
        <v>610935</v>
      </c>
      <c r="S3626">
        <f>Table1[[#This Row],[Revenue]]-Table1[[#This Row],[Operating_Costs]]</f>
        <v>174456</v>
      </c>
      <c r="T3626">
        <v>436479</v>
      </c>
      <c r="U3626">
        <v>28</v>
      </c>
      <c r="V3626">
        <v>58</v>
      </c>
      <c r="W3626">
        <v>9.5</v>
      </c>
    </row>
    <row r="3627" spans="1:23" x14ac:dyDescent="0.25">
      <c r="A3627">
        <v>11</v>
      </c>
      <c r="B3627" t="s">
        <v>63</v>
      </c>
      <c r="C3627" s="1">
        <v>44388</v>
      </c>
      <c r="D3627" t="s">
        <v>71</v>
      </c>
      <c r="E3627">
        <v>0</v>
      </c>
      <c r="F3627">
        <v>48</v>
      </c>
      <c r="G3627" t="str">
        <f t="shared" si="64"/>
        <v>41-60</v>
      </c>
      <c r="H3627" t="s">
        <v>23</v>
      </c>
      <c r="I3627" t="s">
        <v>31</v>
      </c>
      <c r="J3627" t="s">
        <v>28</v>
      </c>
      <c r="K3627" t="s">
        <v>38</v>
      </c>
      <c r="L3627">
        <v>1</v>
      </c>
      <c r="M3627">
        <v>1</v>
      </c>
      <c r="N3627">
        <v>2.9</v>
      </c>
      <c r="O3627">
        <v>9.4</v>
      </c>
      <c r="P3627">
        <v>7</v>
      </c>
      <c r="Q3627">
        <v>4</v>
      </c>
      <c r="R3627">
        <v>733754</v>
      </c>
      <c r="S3627">
        <f>Table1[[#This Row],[Revenue]]-Table1[[#This Row],[Operating_Costs]]</f>
        <v>216129</v>
      </c>
      <c r="T3627">
        <v>517625</v>
      </c>
      <c r="U3627">
        <v>21</v>
      </c>
      <c r="V3627">
        <v>54</v>
      </c>
      <c r="W3627">
        <v>36.5</v>
      </c>
    </row>
    <row r="3628" spans="1:23" x14ac:dyDescent="0.25">
      <c r="A3628">
        <v>11</v>
      </c>
      <c r="B3628" t="s">
        <v>63</v>
      </c>
      <c r="C3628" s="1">
        <v>44973</v>
      </c>
      <c r="D3628" t="s">
        <v>71</v>
      </c>
      <c r="E3628">
        <v>0</v>
      </c>
      <c r="F3628">
        <v>77</v>
      </c>
      <c r="G3628" t="str">
        <f t="shared" si="64"/>
        <v>61-80</v>
      </c>
      <c r="H3628" t="s">
        <v>23</v>
      </c>
      <c r="I3628" t="s">
        <v>61</v>
      </c>
      <c r="J3628" t="s">
        <v>62</v>
      </c>
      <c r="K3628" t="s">
        <v>33</v>
      </c>
      <c r="L3628">
        <v>1</v>
      </c>
      <c r="M3628">
        <v>1</v>
      </c>
      <c r="N3628">
        <v>5.9</v>
      </c>
      <c r="O3628">
        <v>9.8000000000000007</v>
      </c>
      <c r="P3628">
        <v>7</v>
      </c>
      <c r="Q3628">
        <v>5</v>
      </c>
      <c r="R3628">
        <v>659059</v>
      </c>
      <c r="S3628">
        <f>Table1[[#This Row],[Revenue]]-Table1[[#This Row],[Operating_Costs]]</f>
        <v>198530</v>
      </c>
      <c r="T3628">
        <v>460529</v>
      </c>
      <c r="U3628">
        <v>30</v>
      </c>
      <c r="V3628">
        <v>60</v>
      </c>
      <c r="W3628">
        <v>8.9</v>
      </c>
    </row>
    <row r="3629" spans="1:23" x14ac:dyDescent="0.25">
      <c r="A3629">
        <v>11</v>
      </c>
      <c r="B3629" t="s">
        <v>63</v>
      </c>
      <c r="C3629" s="1">
        <v>44309</v>
      </c>
      <c r="D3629" t="s">
        <v>71</v>
      </c>
      <c r="E3629">
        <v>0</v>
      </c>
      <c r="F3629">
        <v>21</v>
      </c>
      <c r="G3629" t="str">
        <f t="shared" si="64"/>
        <v>21-40</v>
      </c>
      <c r="H3629" t="s">
        <v>35</v>
      </c>
      <c r="I3629" t="s">
        <v>36</v>
      </c>
      <c r="J3629" t="s">
        <v>37</v>
      </c>
      <c r="K3629" t="s">
        <v>26</v>
      </c>
      <c r="L3629">
        <v>1</v>
      </c>
      <c r="M3629">
        <v>1</v>
      </c>
      <c r="N3629">
        <v>1.9</v>
      </c>
      <c r="O3629">
        <v>8.9</v>
      </c>
      <c r="P3629">
        <v>5</v>
      </c>
      <c r="Q3629">
        <v>5</v>
      </c>
      <c r="R3629">
        <v>683404</v>
      </c>
      <c r="S3629">
        <f>Table1[[#This Row],[Revenue]]-Table1[[#This Row],[Operating_Costs]]</f>
        <v>250994</v>
      </c>
      <c r="T3629">
        <v>432410</v>
      </c>
      <c r="U3629">
        <v>23</v>
      </c>
      <c r="V3629">
        <v>64</v>
      </c>
      <c r="W3629">
        <v>10.8</v>
      </c>
    </row>
    <row r="3630" spans="1:23" x14ac:dyDescent="0.25">
      <c r="A3630">
        <v>11</v>
      </c>
      <c r="B3630" t="s">
        <v>63</v>
      </c>
      <c r="C3630" s="1">
        <v>45657</v>
      </c>
      <c r="D3630" t="s">
        <v>71</v>
      </c>
      <c r="E3630">
        <v>0</v>
      </c>
      <c r="F3630">
        <v>37</v>
      </c>
      <c r="G3630" t="str">
        <f t="shared" si="64"/>
        <v>21-40</v>
      </c>
      <c r="H3630" t="s">
        <v>23</v>
      </c>
      <c r="I3630" t="s">
        <v>61</v>
      </c>
      <c r="J3630" t="s">
        <v>62</v>
      </c>
      <c r="K3630" t="s">
        <v>42</v>
      </c>
      <c r="L3630">
        <v>1</v>
      </c>
      <c r="M3630">
        <v>1</v>
      </c>
      <c r="N3630">
        <v>5.7</v>
      </c>
      <c r="O3630">
        <v>7.2</v>
      </c>
      <c r="P3630">
        <v>4</v>
      </c>
      <c r="Q3630">
        <v>7</v>
      </c>
      <c r="R3630">
        <v>725089</v>
      </c>
      <c r="S3630">
        <f>Table1[[#This Row],[Revenue]]-Table1[[#This Row],[Operating_Costs]]</f>
        <v>235620</v>
      </c>
      <c r="T3630">
        <v>489469</v>
      </c>
      <c r="U3630">
        <v>33</v>
      </c>
      <c r="V3630">
        <v>63</v>
      </c>
      <c r="W3630">
        <v>12</v>
      </c>
    </row>
    <row r="3631" spans="1:23" x14ac:dyDescent="0.25">
      <c r="A3631">
        <v>11</v>
      </c>
      <c r="B3631" t="s">
        <v>63</v>
      </c>
      <c r="C3631" s="1">
        <v>44223</v>
      </c>
      <c r="D3631" t="s">
        <v>71</v>
      </c>
      <c r="E3631">
        <v>0</v>
      </c>
      <c r="F3631">
        <v>46</v>
      </c>
      <c r="G3631" t="str">
        <f t="shared" si="64"/>
        <v>41-60</v>
      </c>
      <c r="H3631" t="s">
        <v>35</v>
      </c>
      <c r="I3631" t="s">
        <v>36</v>
      </c>
      <c r="J3631" t="s">
        <v>37</v>
      </c>
      <c r="K3631" t="s">
        <v>26</v>
      </c>
      <c r="L3631">
        <v>1</v>
      </c>
      <c r="M3631">
        <v>1</v>
      </c>
      <c r="N3631">
        <v>4.2</v>
      </c>
      <c r="O3631">
        <v>7.4</v>
      </c>
      <c r="P3631">
        <v>7</v>
      </c>
      <c r="Q3631">
        <v>5</v>
      </c>
      <c r="R3631">
        <v>600276</v>
      </c>
      <c r="S3631">
        <f>Table1[[#This Row],[Revenue]]-Table1[[#This Row],[Operating_Costs]]</f>
        <v>116695</v>
      </c>
      <c r="T3631">
        <v>483581</v>
      </c>
      <c r="U3631">
        <v>35</v>
      </c>
      <c r="V3631">
        <v>56</v>
      </c>
      <c r="W3631">
        <v>7.5</v>
      </c>
    </row>
    <row r="3632" spans="1:23" x14ac:dyDescent="0.25">
      <c r="A3632">
        <v>11</v>
      </c>
      <c r="B3632" t="s">
        <v>63</v>
      </c>
      <c r="C3632" s="1">
        <v>45543</v>
      </c>
      <c r="D3632" t="s">
        <v>71</v>
      </c>
      <c r="E3632">
        <v>0</v>
      </c>
      <c r="F3632">
        <v>23</v>
      </c>
      <c r="G3632" t="str">
        <f t="shared" si="64"/>
        <v>21-40</v>
      </c>
      <c r="H3632" t="s">
        <v>23</v>
      </c>
      <c r="I3632" t="s">
        <v>40</v>
      </c>
      <c r="J3632" t="s">
        <v>41</v>
      </c>
      <c r="K3632" t="s">
        <v>26</v>
      </c>
      <c r="L3632">
        <v>1</v>
      </c>
      <c r="M3632">
        <v>1</v>
      </c>
      <c r="N3632">
        <v>4.3</v>
      </c>
      <c r="O3632">
        <v>8.6999999999999993</v>
      </c>
      <c r="P3632">
        <v>4</v>
      </c>
      <c r="Q3632">
        <v>5</v>
      </c>
      <c r="R3632">
        <v>635955</v>
      </c>
      <c r="S3632">
        <f>Table1[[#This Row],[Revenue]]-Table1[[#This Row],[Operating_Costs]]</f>
        <v>164413</v>
      </c>
      <c r="T3632">
        <v>471542</v>
      </c>
      <c r="U3632">
        <v>34</v>
      </c>
      <c r="V3632">
        <v>63</v>
      </c>
      <c r="W3632">
        <v>9.5</v>
      </c>
    </row>
    <row r="3633" spans="1:23" x14ac:dyDescent="0.25">
      <c r="A3633">
        <v>11</v>
      </c>
      <c r="B3633" t="s">
        <v>63</v>
      </c>
      <c r="C3633" s="1">
        <v>45044</v>
      </c>
      <c r="D3633" t="s">
        <v>71</v>
      </c>
      <c r="E3633">
        <v>0</v>
      </c>
      <c r="F3633">
        <v>62</v>
      </c>
      <c r="G3633" t="str">
        <f t="shared" si="64"/>
        <v>61-80</v>
      </c>
      <c r="H3633" t="s">
        <v>23</v>
      </c>
      <c r="I3633" t="s">
        <v>24</v>
      </c>
      <c r="J3633" t="s">
        <v>25</v>
      </c>
      <c r="K3633" t="s">
        <v>29</v>
      </c>
      <c r="L3633">
        <v>1</v>
      </c>
      <c r="M3633">
        <v>1</v>
      </c>
      <c r="N3633">
        <v>2.6</v>
      </c>
      <c r="O3633">
        <v>9.4</v>
      </c>
      <c r="P3633">
        <v>6</v>
      </c>
      <c r="Q3633">
        <v>3</v>
      </c>
      <c r="R3633">
        <v>742525</v>
      </c>
      <c r="S3633">
        <f>Table1[[#This Row],[Revenue]]-Table1[[#This Row],[Operating_Costs]]</f>
        <v>184447</v>
      </c>
      <c r="T3633">
        <v>558078</v>
      </c>
      <c r="U3633">
        <v>35</v>
      </c>
      <c r="V3633">
        <v>55</v>
      </c>
      <c r="W3633">
        <v>14.5</v>
      </c>
    </row>
    <row r="3634" spans="1:23" x14ac:dyDescent="0.25">
      <c r="A3634">
        <v>11</v>
      </c>
      <c r="B3634" t="s">
        <v>63</v>
      </c>
      <c r="C3634" s="1">
        <v>45305</v>
      </c>
      <c r="D3634" t="s">
        <v>71</v>
      </c>
      <c r="E3634">
        <v>0</v>
      </c>
      <c r="F3634">
        <v>23</v>
      </c>
      <c r="G3634" t="str">
        <f t="shared" si="64"/>
        <v>21-40</v>
      </c>
      <c r="H3634" t="s">
        <v>23</v>
      </c>
      <c r="I3634" t="s">
        <v>43</v>
      </c>
      <c r="J3634" t="s">
        <v>25</v>
      </c>
      <c r="K3634" t="s">
        <v>29</v>
      </c>
      <c r="L3634">
        <v>1</v>
      </c>
      <c r="M3634">
        <v>1</v>
      </c>
      <c r="N3634">
        <v>2.9</v>
      </c>
      <c r="O3634">
        <v>7.6</v>
      </c>
      <c r="P3634">
        <v>7</v>
      </c>
      <c r="Q3634">
        <v>5</v>
      </c>
      <c r="R3634">
        <v>788347</v>
      </c>
      <c r="S3634">
        <f>Table1[[#This Row],[Revenue]]-Table1[[#This Row],[Operating_Costs]]</f>
        <v>221167</v>
      </c>
      <c r="T3634">
        <v>567180</v>
      </c>
      <c r="U3634">
        <v>21</v>
      </c>
      <c r="V3634">
        <v>56</v>
      </c>
      <c r="W3634">
        <v>13.4</v>
      </c>
    </row>
    <row r="3635" spans="1:23" x14ac:dyDescent="0.25">
      <c r="A3635">
        <v>11</v>
      </c>
      <c r="B3635" t="s">
        <v>63</v>
      </c>
      <c r="C3635" s="1">
        <v>45626</v>
      </c>
      <c r="D3635" t="s">
        <v>71</v>
      </c>
      <c r="E3635">
        <v>0</v>
      </c>
      <c r="F3635">
        <v>47</v>
      </c>
      <c r="G3635" t="str">
        <f t="shared" si="64"/>
        <v>41-60</v>
      </c>
      <c r="H3635" t="s">
        <v>23</v>
      </c>
      <c r="I3635" t="s">
        <v>50</v>
      </c>
      <c r="J3635" t="s">
        <v>51</v>
      </c>
      <c r="K3635" t="s">
        <v>33</v>
      </c>
      <c r="L3635">
        <v>1</v>
      </c>
      <c r="M3635">
        <v>1</v>
      </c>
      <c r="N3635">
        <v>2.7</v>
      </c>
      <c r="O3635">
        <v>9.1999999999999993</v>
      </c>
      <c r="P3635">
        <v>7</v>
      </c>
      <c r="Q3635">
        <v>4</v>
      </c>
      <c r="R3635">
        <v>609648</v>
      </c>
      <c r="S3635">
        <f>Table1[[#This Row],[Revenue]]-Table1[[#This Row],[Operating_Costs]]</f>
        <v>132217</v>
      </c>
      <c r="T3635">
        <v>477431</v>
      </c>
      <c r="U3635">
        <v>24</v>
      </c>
      <c r="V3635">
        <v>66</v>
      </c>
      <c r="W3635">
        <v>8</v>
      </c>
    </row>
    <row r="3636" spans="1:23" x14ac:dyDescent="0.25">
      <c r="A3636">
        <v>11</v>
      </c>
      <c r="B3636" t="s">
        <v>63</v>
      </c>
      <c r="C3636" s="1">
        <v>45486</v>
      </c>
      <c r="D3636" t="s">
        <v>71</v>
      </c>
      <c r="E3636">
        <v>0</v>
      </c>
      <c r="F3636">
        <v>31</v>
      </c>
      <c r="G3636" t="str">
        <f t="shared" si="64"/>
        <v>21-40</v>
      </c>
      <c r="H3636" t="s">
        <v>35</v>
      </c>
      <c r="I3636" t="s">
        <v>55</v>
      </c>
      <c r="J3636" t="s">
        <v>56</v>
      </c>
      <c r="K3636" t="s">
        <v>42</v>
      </c>
      <c r="L3636">
        <v>1</v>
      </c>
      <c r="M3636">
        <v>1</v>
      </c>
      <c r="N3636">
        <v>4.8</v>
      </c>
      <c r="O3636">
        <v>7.1</v>
      </c>
      <c r="P3636">
        <v>7</v>
      </c>
      <c r="Q3636">
        <v>3</v>
      </c>
      <c r="R3636">
        <v>664899</v>
      </c>
      <c r="S3636">
        <f>Table1[[#This Row],[Revenue]]-Table1[[#This Row],[Operating_Costs]]</f>
        <v>202458</v>
      </c>
      <c r="T3636">
        <v>462441</v>
      </c>
      <c r="U3636">
        <v>25</v>
      </c>
      <c r="V3636">
        <v>63</v>
      </c>
      <c r="W3636">
        <v>7.4</v>
      </c>
    </row>
    <row r="3637" spans="1:23" x14ac:dyDescent="0.25">
      <c r="A3637">
        <v>11</v>
      </c>
      <c r="B3637" t="s">
        <v>63</v>
      </c>
      <c r="C3637" s="1">
        <v>45577</v>
      </c>
      <c r="D3637" t="s">
        <v>71</v>
      </c>
      <c r="E3637">
        <v>0</v>
      </c>
      <c r="F3637">
        <v>43</v>
      </c>
      <c r="G3637" t="str">
        <f t="shared" si="64"/>
        <v>41-60</v>
      </c>
      <c r="H3637" t="s">
        <v>35</v>
      </c>
      <c r="I3637" t="s">
        <v>61</v>
      </c>
      <c r="J3637" t="s">
        <v>62</v>
      </c>
      <c r="K3637" t="s">
        <v>29</v>
      </c>
      <c r="L3637">
        <v>1</v>
      </c>
      <c r="M3637">
        <v>1</v>
      </c>
      <c r="N3637">
        <v>6.2</v>
      </c>
      <c r="O3637">
        <v>7</v>
      </c>
      <c r="P3637">
        <v>5</v>
      </c>
      <c r="Q3637">
        <v>7</v>
      </c>
      <c r="R3637">
        <v>760958</v>
      </c>
      <c r="S3637">
        <f>Table1[[#This Row],[Revenue]]-Table1[[#This Row],[Operating_Costs]]</f>
        <v>290895</v>
      </c>
      <c r="T3637">
        <v>470063</v>
      </c>
      <c r="U3637">
        <v>22</v>
      </c>
      <c r="V3637">
        <v>54</v>
      </c>
      <c r="W3637">
        <v>12.9</v>
      </c>
    </row>
    <row r="3638" spans="1:23" x14ac:dyDescent="0.25">
      <c r="A3638">
        <v>11</v>
      </c>
      <c r="B3638" t="s">
        <v>63</v>
      </c>
      <c r="C3638" s="1">
        <v>44516</v>
      </c>
      <c r="D3638" t="s">
        <v>71</v>
      </c>
      <c r="E3638">
        <v>0</v>
      </c>
      <c r="F3638">
        <v>28</v>
      </c>
      <c r="G3638" t="str">
        <f t="shared" si="64"/>
        <v>21-40</v>
      </c>
      <c r="H3638" t="s">
        <v>35</v>
      </c>
      <c r="I3638" t="s">
        <v>58</v>
      </c>
      <c r="J3638" t="s">
        <v>59</v>
      </c>
      <c r="K3638" t="s">
        <v>42</v>
      </c>
      <c r="L3638">
        <v>1</v>
      </c>
      <c r="M3638">
        <v>1</v>
      </c>
      <c r="N3638">
        <v>4</v>
      </c>
      <c r="O3638">
        <v>9.9</v>
      </c>
      <c r="P3638">
        <v>5</v>
      </c>
      <c r="Q3638">
        <v>6</v>
      </c>
      <c r="R3638">
        <v>688860</v>
      </c>
      <c r="S3638">
        <f>Table1[[#This Row],[Revenue]]-Table1[[#This Row],[Operating_Costs]]</f>
        <v>277910</v>
      </c>
      <c r="T3638">
        <v>410950</v>
      </c>
      <c r="U3638">
        <v>35</v>
      </c>
      <c r="V3638">
        <v>60</v>
      </c>
      <c r="W3638">
        <v>7</v>
      </c>
    </row>
    <row r="3639" spans="1:23" x14ac:dyDescent="0.25">
      <c r="A3639">
        <v>11</v>
      </c>
      <c r="B3639" t="s">
        <v>63</v>
      </c>
      <c r="C3639" s="1">
        <v>45505</v>
      </c>
      <c r="D3639" t="s">
        <v>71</v>
      </c>
      <c r="E3639">
        <v>0</v>
      </c>
      <c r="F3639">
        <v>46</v>
      </c>
      <c r="G3639" t="str">
        <f t="shared" si="64"/>
        <v>41-60</v>
      </c>
      <c r="H3639" t="s">
        <v>23</v>
      </c>
      <c r="I3639" t="s">
        <v>67</v>
      </c>
      <c r="J3639" t="s">
        <v>68</v>
      </c>
      <c r="K3639" t="s">
        <v>29</v>
      </c>
      <c r="L3639">
        <v>1</v>
      </c>
      <c r="M3639">
        <v>1</v>
      </c>
      <c r="N3639">
        <v>4</v>
      </c>
      <c r="O3639">
        <v>8.1</v>
      </c>
      <c r="P3639">
        <v>4</v>
      </c>
      <c r="Q3639">
        <v>4</v>
      </c>
      <c r="R3639">
        <v>757713</v>
      </c>
      <c r="S3639">
        <f>Table1[[#This Row],[Revenue]]-Table1[[#This Row],[Operating_Costs]]</f>
        <v>321839</v>
      </c>
      <c r="T3639">
        <v>435874</v>
      </c>
      <c r="U3639">
        <v>24</v>
      </c>
      <c r="V3639">
        <v>61</v>
      </c>
      <c r="W3639">
        <v>13.5</v>
      </c>
    </row>
    <row r="3640" spans="1:23" x14ac:dyDescent="0.25">
      <c r="A3640">
        <v>11</v>
      </c>
      <c r="B3640" t="s">
        <v>63</v>
      </c>
      <c r="C3640" s="1">
        <v>45495</v>
      </c>
      <c r="D3640" t="s">
        <v>71</v>
      </c>
      <c r="E3640">
        <v>0</v>
      </c>
      <c r="F3640">
        <v>66</v>
      </c>
      <c r="G3640" t="str">
        <f t="shared" si="64"/>
        <v>61-80</v>
      </c>
      <c r="H3640" t="s">
        <v>23</v>
      </c>
      <c r="I3640" t="s">
        <v>43</v>
      </c>
      <c r="J3640" t="s">
        <v>25</v>
      </c>
      <c r="K3640" t="s">
        <v>26</v>
      </c>
      <c r="L3640">
        <v>1</v>
      </c>
      <c r="M3640">
        <v>1</v>
      </c>
      <c r="N3640">
        <v>3.2</v>
      </c>
      <c r="O3640">
        <v>8.3000000000000007</v>
      </c>
      <c r="P3640">
        <v>6</v>
      </c>
      <c r="Q3640">
        <v>4</v>
      </c>
      <c r="R3640">
        <v>785350</v>
      </c>
      <c r="S3640">
        <f>Table1[[#This Row],[Revenue]]-Table1[[#This Row],[Operating_Costs]]</f>
        <v>344655</v>
      </c>
      <c r="T3640">
        <v>440695</v>
      </c>
      <c r="U3640">
        <v>35</v>
      </c>
      <c r="V3640">
        <v>64</v>
      </c>
      <c r="W3640">
        <v>13.2</v>
      </c>
    </row>
    <row r="3641" spans="1:23" x14ac:dyDescent="0.25">
      <c r="A3641">
        <v>11</v>
      </c>
      <c r="B3641" t="s">
        <v>63</v>
      </c>
      <c r="C3641" s="1">
        <v>45302</v>
      </c>
      <c r="D3641" t="s">
        <v>71</v>
      </c>
      <c r="E3641">
        <v>0</v>
      </c>
      <c r="F3641">
        <v>90</v>
      </c>
      <c r="G3641" t="str">
        <f t="shared" si="64"/>
        <v>81+</v>
      </c>
      <c r="H3641" t="s">
        <v>23</v>
      </c>
      <c r="I3641" t="s">
        <v>31</v>
      </c>
      <c r="J3641" t="s">
        <v>28</v>
      </c>
      <c r="K3641" t="s">
        <v>29</v>
      </c>
      <c r="L3641">
        <v>1</v>
      </c>
      <c r="M3641">
        <v>1</v>
      </c>
      <c r="N3641">
        <v>6.3</v>
      </c>
      <c r="O3641">
        <v>8</v>
      </c>
      <c r="P3641">
        <v>7</v>
      </c>
      <c r="Q3641">
        <v>6</v>
      </c>
      <c r="R3641">
        <v>686961</v>
      </c>
      <c r="S3641">
        <f>Table1[[#This Row],[Revenue]]-Table1[[#This Row],[Operating_Costs]]</f>
        <v>140971</v>
      </c>
      <c r="T3641">
        <v>545990</v>
      </c>
      <c r="U3641">
        <v>22</v>
      </c>
      <c r="V3641">
        <v>62</v>
      </c>
      <c r="W3641">
        <v>9.8000000000000007</v>
      </c>
    </row>
    <row r="3642" spans="1:23" x14ac:dyDescent="0.25">
      <c r="A3642">
        <v>11</v>
      </c>
      <c r="B3642" t="s">
        <v>63</v>
      </c>
      <c r="C3642" s="1">
        <v>45364</v>
      </c>
      <c r="D3642" t="s">
        <v>71</v>
      </c>
      <c r="E3642">
        <v>0</v>
      </c>
      <c r="F3642">
        <v>43</v>
      </c>
      <c r="G3642" t="str">
        <f t="shared" si="64"/>
        <v>41-60</v>
      </c>
      <c r="H3642" t="s">
        <v>35</v>
      </c>
      <c r="I3642" t="s">
        <v>60</v>
      </c>
      <c r="J3642" t="s">
        <v>59</v>
      </c>
      <c r="K3642" t="s">
        <v>38</v>
      </c>
      <c r="L3642">
        <v>1</v>
      </c>
      <c r="M3642">
        <v>1</v>
      </c>
      <c r="N3642">
        <v>5</v>
      </c>
      <c r="O3642">
        <v>8.5</v>
      </c>
      <c r="P3642">
        <v>6</v>
      </c>
      <c r="Q3642">
        <v>4</v>
      </c>
      <c r="R3642">
        <v>722012</v>
      </c>
      <c r="S3642">
        <f>Table1[[#This Row],[Revenue]]-Table1[[#This Row],[Operating_Costs]]</f>
        <v>166682</v>
      </c>
      <c r="T3642">
        <v>555330</v>
      </c>
      <c r="U3642">
        <v>31</v>
      </c>
      <c r="V3642">
        <v>64</v>
      </c>
      <c r="W3642">
        <v>5.4</v>
      </c>
    </row>
    <row r="3643" spans="1:23" x14ac:dyDescent="0.25">
      <c r="A3643">
        <v>11</v>
      </c>
      <c r="B3643" t="s">
        <v>63</v>
      </c>
      <c r="C3643" s="1">
        <v>45392</v>
      </c>
      <c r="D3643" t="s">
        <v>71</v>
      </c>
      <c r="E3643">
        <v>0</v>
      </c>
      <c r="F3643">
        <v>73</v>
      </c>
      <c r="G3643" t="str">
        <f t="shared" si="64"/>
        <v>61-80</v>
      </c>
      <c r="H3643" t="s">
        <v>35</v>
      </c>
      <c r="I3643" t="s">
        <v>55</v>
      </c>
      <c r="J3643" t="s">
        <v>56</v>
      </c>
      <c r="K3643" t="s">
        <v>33</v>
      </c>
      <c r="L3643">
        <v>1</v>
      </c>
      <c r="M3643">
        <v>1</v>
      </c>
      <c r="N3643">
        <v>3.5</v>
      </c>
      <c r="O3643">
        <v>8.1</v>
      </c>
      <c r="P3643">
        <v>7</v>
      </c>
      <c r="Q3643">
        <v>3</v>
      </c>
      <c r="R3643">
        <v>654313</v>
      </c>
      <c r="S3643">
        <f>Table1[[#This Row],[Revenue]]-Table1[[#This Row],[Operating_Costs]]</f>
        <v>209450</v>
      </c>
      <c r="T3643">
        <v>444863</v>
      </c>
      <c r="U3643">
        <v>21</v>
      </c>
      <c r="V3643">
        <v>66</v>
      </c>
      <c r="W3643">
        <v>13.7</v>
      </c>
    </row>
    <row r="3644" spans="1:23" x14ac:dyDescent="0.25">
      <c r="A3644">
        <v>11</v>
      </c>
      <c r="B3644" t="s">
        <v>63</v>
      </c>
      <c r="C3644" s="1">
        <v>44733</v>
      </c>
      <c r="D3644" t="s">
        <v>71</v>
      </c>
      <c r="E3644">
        <v>0</v>
      </c>
      <c r="F3644">
        <v>55</v>
      </c>
      <c r="G3644" t="str">
        <f t="shared" si="64"/>
        <v>41-60</v>
      </c>
      <c r="H3644" t="s">
        <v>23</v>
      </c>
      <c r="I3644" t="s">
        <v>43</v>
      </c>
      <c r="J3644" t="s">
        <v>25</v>
      </c>
      <c r="K3644" t="s">
        <v>38</v>
      </c>
      <c r="L3644">
        <v>1</v>
      </c>
      <c r="M3644">
        <v>1</v>
      </c>
      <c r="N3644">
        <v>6.9</v>
      </c>
      <c r="O3644">
        <v>9</v>
      </c>
      <c r="P3644">
        <v>4</v>
      </c>
      <c r="Q3644">
        <v>3</v>
      </c>
      <c r="R3644">
        <v>769759</v>
      </c>
      <c r="S3644">
        <f>Table1[[#This Row],[Revenue]]-Table1[[#This Row],[Operating_Costs]]</f>
        <v>299244</v>
      </c>
      <c r="T3644">
        <v>470515</v>
      </c>
      <c r="U3644">
        <v>29</v>
      </c>
      <c r="V3644">
        <v>54</v>
      </c>
      <c r="W3644">
        <v>10</v>
      </c>
    </row>
    <row r="3645" spans="1:23" x14ac:dyDescent="0.25">
      <c r="A3645">
        <v>11</v>
      </c>
      <c r="B3645" t="s">
        <v>63</v>
      </c>
      <c r="C3645" s="1">
        <v>45447</v>
      </c>
      <c r="D3645" t="s">
        <v>71</v>
      </c>
      <c r="E3645">
        <v>0</v>
      </c>
      <c r="F3645">
        <v>80</v>
      </c>
      <c r="G3645" t="str">
        <f t="shared" si="64"/>
        <v>61-80</v>
      </c>
      <c r="H3645" t="s">
        <v>35</v>
      </c>
      <c r="I3645" t="s">
        <v>36</v>
      </c>
      <c r="J3645" t="s">
        <v>37</v>
      </c>
      <c r="K3645" t="s">
        <v>33</v>
      </c>
      <c r="L3645">
        <v>1</v>
      </c>
      <c r="M3645">
        <v>1</v>
      </c>
      <c r="N3645">
        <v>3.8</v>
      </c>
      <c r="O3645">
        <v>8.3000000000000007</v>
      </c>
      <c r="P3645">
        <v>4</v>
      </c>
      <c r="Q3645">
        <v>7</v>
      </c>
      <c r="R3645">
        <v>703202</v>
      </c>
      <c r="S3645">
        <f>Table1[[#This Row],[Revenue]]-Table1[[#This Row],[Operating_Costs]]</f>
        <v>196428</v>
      </c>
      <c r="T3645">
        <v>506774</v>
      </c>
      <c r="U3645">
        <v>22</v>
      </c>
      <c r="V3645">
        <v>55</v>
      </c>
      <c r="W3645">
        <v>10.7</v>
      </c>
    </row>
    <row r="3646" spans="1:23" x14ac:dyDescent="0.25">
      <c r="A3646">
        <v>11</v>
      </c>
      <c r="B3646" t="s">
        <v>63</v>
      </c>
      <c r="C3646" s="1">
        <v>45146</v>
      </c>
      <c r="D3646" t="s">
        <v>71</v>
      </c>
      <c r="E3646">
        <v>0</v>
      </c>
      <c r="F3646">
        <v>61</v>
      </c>
      <c r="G3646" t="str">
        <f t="shared" si="64"/>
        <v>61-80</v>
      </c>
      <c r="H3646" t="s">
        <v>23</v>
      </c>
      <c r="I3646" t="s">
        <v>61</v>
      </c>
      <c r="J3646" t="s">
        <v>62</v>
      </c>
      <c r="K3646" t="s">
        <v>33</v>
      </c>
      <c r="L3646">
        <v>1</v>
      </c>
      <c r="M3646">
        <v>1</v>
      </c>
      <c r="N3646">
        <v>6.9</v>
      </c>
      <c r="O3646">
        <v>8.1999999999999993</v>
      </c>
      <c r="P3646">
        <v>5</v>
      </c>
      <c r="Q3646">
        <v>4</v>
      </c>
      <c r="R3646">
        <v>741744</v>
      </c>
      <c r="S3646">
        <f>Table1[[#This Row],[Revenue]]-Table1[[#This Row],[Operating_Costs]]</f>
        <v>199083</v>
      </c>
      <c r="T3646">
        <v>542661</v>
      </c>
      <c r="U3646">
        <v>22</v>
      </c>
      <c r="V3646">
        <v>54</v>
      </c>
      <c r="W3646">
        <v>13.4</v>
      </c>
    </row>
    <row r="3647" spans="1:23" x14ac:dyDescent="0.25">
      <c r="A3647">
        <v>11</v>
      </c>
      <c r="B3647" t="s">
        <v>63</v>
      </c>
      <c r="C3647" s="1">
        <v>45276</v>
      </c>
      <c r="D3647" t="s">
        <v>71</v>
      </c>
      <c r="E3647">
        <v>0</v>
      </c>
      <c r="F3647">
        <v>28</v>
      </c>
      <c r="G3647" t="str">
        <f t="shared" si="64"/>
        <v>21-40</v>
      </c>
      <c r="H3647" t="s">
        <v>23</v>
      </c>
      <c r="I3647" t="s">
        <v>67</v>
      </c>
      <c r="J3647" t="s">
        <v>68</v>
      </c>
      <c r="K3647" t="s">
        <v>26</v>
      </c>
      <c r="L3647">
        <v>1</v>
      </c>
      <c r="M3647">
        <v>1</v>
      </c>
      <c r="N3647">
        <v>6.9</v>
      </c>
      <c r="O3647">
        <v>7.4</v>
      </c>
      <c r="P3647">
        <v>3</v>
      </c>
      <c r="Q3647">
        <v>7</v>
      </c>
      <c r="R3647">
        <v>774474</v>
      </c>
      <c r="S3647">
        <f>Table1[[#This Row],[Revenue]]-Table1[[#This Row],[Operating_Costs]]</f>
        <v>271622</v>
      </c>
      <c r="T3647">
        <v>502852</v>
      </c>
      <c r="U3647">
        <v>27</v>
      </c>
      <c r="V3647">
        <v>61</v>
      </c>
      <c r="W3647">
        <v>9.1</v>
      </c>
    </row>
    <row r="3648" spans="1:23" x14ac:dyDescent="0.25">
      <c r="A3648">
        <v>11</v>
      </c>
      <c r="B3648" t="s">
        <v>63</v>
      </c>
      <c r="C3648" s="1">
        <v>44909</v>
      </c>
      <c r="D3648" t="s">
        <v>71</v>
      </c>
      <c r="E3648">
        <v>0</v>
      </c>
      <c r="F3648">
        <v>39</v>
      </c>
      <c r="G3648" t="str">
        <f t="shared" si="64"/>
        <v>21-40</v>
      </c>
      <c r="H3648" t="s">
        <v>23</v>
      </c>
      <c r="I3648" t="s">
        <v>40</v>
      </c>
      <c r="J3648" t="s">
        <v>41</v>
      </c>
      <c r="K3648" t="s">
        <v>33</v>
      </c>
      <c r="L3648">
        <v>1</v>
      </c>
      <c r="M3648">
        <v>1</v>
      </c>
      <c r="N3648">
        <v>5.8</v>
      </c>
      <c r="O3648">
        <v>9.6</v>
      </c>
      <c r="P3648">
        <v>6</v>
      </c>
      <c r="Q3648">
        <v>7</v>
      </c>
      <c r="R3648">
        <v>738829</v>
      </c>
      <c r="S3648">
        <f>Table1[[#This Row],[Revenue]]-Table1[[#This Row],[Operating_Costs]]</f>
        <v>204283</v>
      </c>
      <c r="T3648">
        <v>534546</v>
      </c>
      <c r="U3648">
        <v>28</v>
      </c>
      <c r="V3648">
        <v>61</v>
      </c>
      <c r="W3648">
        <v>12.3</v>
      </c>
    </row>
    <row r="3649" spans="1:23" x14ac:dyDescent="0.25">
      <c r="A3649">
        <v>11</v>
      </c>
      <c r="B3649" t="s">
        <v>63</v>
      </c>
      <c r="C3649" s="1">
        <v>45460</v>
      </c>
      <c r="D3649" t="s">
        <v>71</v>
      </c>
      <c r="E3649">
        <v>0</v>
      </c>
      <c r="F3649">
        <v>26</v>
      </c>
      <c r="G3649" t="str">
        <f t="shared" si="64"/>
        <v>21-40</v>
      </c>
      <c r="H3649" t="s">
        <v>35</v>
      </c>
      <c r="I3649" t="s">
        <v>58</v>
      </c>
      <c r="J3649" t="s">
        <v>59</v>
      </c>
      <c r="K3649" t="s">
        <v>29</v>
      </c>
      <c r="L3649">
        <v>1</v>
      </c>
      <c r="M3649">
        <v>1</v>
      </c>
      <c r="N3649">
        <v>6.9</v>
      </c>
      <c r="O3649">
        <v>8.8000000000000007</v>
      </c>
      <c r="P3649">
        <v>6</v>
      </c>
      <c r="Q3649">
        <v>6</v>
      </c>
      <c r="R3649">
        <v>763702</v>
      </c>
      <c r="S3649">
        <f>Table1[[#This Row],[Revenue]]-Table1[[#This Row],[Operating_Costs]]</f>
        <v>229400</v>
      </c>
      <c r="T3649">
        <v>534302</v>
      </c>
      <c r="U3649">
        <v>32</v>
      </c>
      <c r="V3649">
        <v>57</v>
      </c>
      <c r="W3649">
        <v>14</v>
      </c>
    </row>
    <row r="3650" spans="1:23" x14ac:dyDescent="0.25">
      <c r="A3650">
        <v>11</v>
      </c>
      <c r="B3650" t="s">
        <v>63</v>
      </c>
      <c r="C3650" s="1">
        <v>45656</v>
      </c>
      <c r="D3650" t="s">
        <v>71</v>
      </c>
      <c r="E3650">
        <v>0</v>
      </c>
      <c r="F3650">
        <v>43</v>
      </c>
      <c r="G3650" t="str">
        <f t="shared" si="64"/>
        <v>41-60</v>
      </c>
      <c r="H3650" t="s">
        <v>35</v>
      </c>
      <c r="I3650" t="s">
        <v>27</v>
      </c>
      <c r="J3650" t="s">
        <v>28</v>
      </c>
      <c r="K3650" t="s">
        <v>38</v>
      </c>
      <c r="L3650">
        <v>1</v>
      </c>
      <c r="M3650">
        <v>1</v>
      </c>
      <c r="N3650">
        <v>5.9</v>
      </c>
      <c r="O3650">
        <v>9.8000000000000007</v>
      </c>
      <c r="P3650">
        <v>6</v>
      </c>
      <c r="Q3650">
        <v>5</v>
      </c>
      <c r="R3650">
        <v>671056</v>
      </c>
      <c r="S3650">
        <f>Table1[[#This Row],[Revenue]]-Table1[[#This Row],[Operating_Costs]]</f>
        <v>243104</v>
      </c>
      <c r="T3650">
        <v>427952</v>
      </c>
      <c r="U3650">
        <v>21</v>
      </c>
      <c r="V3650">
        <v>60</v>
      </c>
      <c r="W3650">
        <v>9.9</v>
      </c>
    </row>
    <row r="3651" spans="1:23" x14ac:dyDescent="0.25">
      <c r="A3651">
        <v>11</v>
      </c>
      <c r="B3651" t="s">
        <v>63</v>
      </c>
      <c r="C3651" s="1">
        <v>44518</v>
      </c>
      <c r="D3651" t="s">
        <v>71</v>
      </c>
      <c r="E3651">
        <v>0</v>
      </c>
      <c r="F3651">
        <v>67</v>
      </c>
      <c r="G3651" t="str">
        <f t="shared" ref="G3651:G3714" si="65">IF(F3651&lt;=20,"0-20",IF(F3651&lt;=40,"21-40",IF(F3651&lt;=60,"41-60",IF(F3651&lt;=80,"61-80","81+"))))</f>
        <v>61-80</v>
      </c>
      <c r="H3651" t="s">
        <v>23</v>
      </c>
      <c r="I3651" t="s">
        <v>31</v>
      </c>
      <c r="J3651" t="s">
        <v>28</v>
      </c>
      <c r="K3651" t="s">
        <v>29</v>
      </c>
      <c r="L3651">
        <v>1</v>
      </c>
      <c r="M3651">
        <v>1</v>
      </c>
      <c r="N3651">
        <v>1.1000000000000001</v>
      </c>
      <c r="O3651">
        <v>9.9</v>
      </c>
      <c r="P3651">
        <v>4</v>
      </c>
      <c r="Q3651">
        <v>7</v>
      </c>
      <c r="R3651">
        <v>781952</v>
      </c>
      <c r="S3651">
        <f>Table1[[#This Row],[Revenue]]-Table1[[#This Row],[Operating_Costs]]</f>
        <v>214878</v>
      </c>
      <c r="T3651">
        <v>567074</v>
      </c>
      <c r="U3651">
        <v>28</v>
      </c>
      <c r="V3651">
        <v>57</v>
      </c>
      <c r="W3651">
        <v>12.7</v>
      </c>
    </row>
    <row r="3652" spans="1:23" x14ac:dyDescent="0.25">
      <c r="A3652">
        <v>11</v>
      </c>
      <c r="B3652" t="s">
        <v>63</v>
      </c>
      <c r="C3652" s="1">
        <v>44861</v>
      </c>
      <c r="D3652" t="s">
        <v>71</v>
      </c>
      <c r="E3652">
        <v>0</v>
      </c>
      <c r="F3652">
        <v>81</v>
      </c>
      <c r="G3652" t="str">
        <f t="shared" si="65"/>
        <v>81+</v>
      </c>
      <c r="H3652" t="s">
        <v>23</v>
      </c>
      <c r="I3652" t="s">
        <v>61</v>
      </c>
      <c r="J3652" t="s">
        <v>62</v>
      </c>
      <c r="K3652" t="s">
        <v>26</v>
      </c>
      <c r="L3652">
        <v>1</v>
      </c>
      <c r="M3652">
        <v>1</v>
      </c>
      <c r="N3652">
        <v>4.8</v>
      </c>
      <c r="O3652">
        <v>8.1999999999999993</v>
      </c>
      <c r="P3652">
        <v>6</v>
      </c>
      <c r="Q3652">
        <v>6</v>
      </c>
      <c r="R3652">
        <v>787877</v>
      </c>
      <c r="S3652">
        <f>Table1[[#This Row],[Revenue]]-Table1[[#This Row],[Operating_Costs]]</f>
        <v>363652</v>
      </c>
      <c r="T3652">
        <v>424225</v>
      </c>
      <c r="U3652">
        <v>30</v>
      </c>
      <c r="V3652">
        <v>56</v>
      </c>
      <c r="W3652">
        <v>12.2</v>
      </c>
    </row>
    <row r="3653" spans="1:23" x14ac:dyDescent="0.25">
      <c r="A3653">
        <v>11</v>
      </c>
      <c r="B3653" t="s">
        <v>63</v>
      </c>
      <c r="C3653" s="1">
        <v>44323</v>
      </c>
      <c r="D3653" t="s">
        <v>71</v>
      </c>
      <c r="E3653">
        <v>0</v>
      </c>
      <c r="F3653">
        <v>65</v>
      </c>
      <c r="G3653" t="str">
        <f t="shared" si="65"/>
        <v>61-80</v>
      </c>
      <c r="H3653" t="s">
        <v>35</v>
      </c>
      <c r="I3653" t="s">
        <v>58</v>
      </c>
      <c r="J3653" t="s">
        <v>59</v>
      </c>
      <c r="K3653" t="s">
        <v>26</v>
      </c>
      <c r="L3653">
        <v>1</v>
      </c>
      <c r="M3653">
        <v>1</v>
      </c>
      <c r="N3653">
        <v>1.7</v>
      </c>
      <c r="O3653">
        <v>8.4</v>
      </c>
      <c r="P3653">
        <v>3</v>
      </c>
      <c r="Q3653">
        <v>3</v>
      </c>
      <c r="R3653">
        <v>783545</v>
      </c>
      <c r="S3653">
        <f>Table1[[#This Row],[Revenue]]-Table1[[#This Row],[Operating_Costs]]</f>
        <v>345759</v>
      </c>
      <c r="T3653">
        <v>437786</v>
      </c>
      <c r="U3653">
        <v>32</v>
      </c>
      <c r="V3653">
        <v>59</v>
      </c>
      <c r="W3653">
        <v>12.3</v>
      </c>
    </row>
    <row r="3654" spans="1:23" x14ac:dyDescent="0.25">
      <c r="A3654">
        <v>11</v>
      </c>
      <c r="B3654" t="s">
        <v>63</v>
      </c>
      <c r="C3654" s="1">
        <v>44849</v>
      </c>
      <c r="D3654" t="s">
        <v>71</v>
      </c>
      <c r="E3654">
        <v>0</v>
      </c>
      <c r="F3654">
        <v>31</v>
      </c>
      <c r="G3654" t="str">
        <f t="shared" si="65"/>
        <v>21-40</v>
      </c>
      <c r="H3654" t="s">
        <v>23</v>
      </c>
      <c r="I3654" t="s">
        <v>61</v>
      </c>
      <c r="J3654" t="s">
        <v>62</v>
      </c>
      <c r="K3654" t="s">
        <v>38</v>
      </c>
      <c r="L3654">
        <v>1</v>
      </c>
      <c r="M3654">
        <v>1</v>
      </c>
      <c r="N3654">
        <v>2</v>
      </c>
      <c r="O3654">
        <v>8.8000000000000007</v>
      </c>
      <c r="P3654">
        <v>4</v>
      </c>
      <c r="Q3654">
        <v>4</v>
      </c>
      <c r="R3654">
        <v>660967</v>
      </c>
      <c r="S3654">
        <f>Table1[[#This Row],[Revenue]]-Table1[[#This Row],[Operating_Costs]]</f>
        <v>244549</v>
      </c>
      <c r="T3654">
        <v>416418</v>
      </c>
      <c r="U3654">
        <v>34</v>
      </c>
      <c r="V3654">
        <v>63</v>
      </c>
      <c r="W3654">
        <v>6</v>
      </c>
    </row>
    <row r="3655" spans="1:23" x14ac:dyDescent="0.25">
      <c r="A3655">
        <v>11</v>
      </c>
      <c r="B3655" t="s">
        <v>63</v>
      </c>
      <c r="C3655" s="1">
        <v>45131</v>
      </c>
      <c r="D3655" t="s">
        <v>71</v>
      </c>
      <c r="E3655">
        <v>0</v>
      </c>
      <c r="F3655">
        <v>49</v>
      </c>
      <c r="G3655" t="str">
        <f t="shared" si="65"/>
        <v>41-60</v>
      </c>
      <c r="H3655" t="s">
        <v>35</v>
      </c>
      <c r="I3655" t="s">
        <v>64</v>
      </c>
      <c r="J3655" t="s">
        <v>65</v>
      </c>
      <c r="K3655" t="s">
        <v>38</v>
      </c>
      <c r="L3655">
        <v>1</v>
      </c>
      <c r="M3655">
        <v>1</v>
      </c>
      <c r="N3655">
        <v>4.0999999999999996</v>
      </c>
      <c r="O3655">
        <v>9.6</v>
      </c>
      <c r="P3655">
        <v>4</v>
      </c>
      <c r="Q3655">
        <v>3</v>
      </c>
      <c r="R3655">
        <v>617964</v>
      </c>
      <c r="S3655">
        <f>Table1[[#This Row],[Revenue]]-Table1[[#This Row],[Operating_Costs]]</f>
        <v>81446</v>
      </c>
      <c r="T3655">
        <v>536518</v>
      </c>
      <c r="U3655">
        <v>22</v>
      </c>
      <c r="V3655">
        <v>64</v>
      </c>
      <c r="W3655">
        <v>12.3</v>
      </c>
    </row>
    <row r="3656" spans="1:23" x14ac:dyDescent="0.25">
      <c r="A3656">
        <v>11</v>
      </c>
      <c r="B3656" t="s">
        <v>63</v>
      </c>
      <c r="C3656" s="1">
        <v>45399</v>
      </c>
      <c r="D3656" t="s">
        <v>71</v>
      </c>
      <c r="E3656">
        <v>0</v>
      </c>
      <c r="F3656">
        <v>56</v>
      </c>
      <c r="G3656" t="str">
        <f t="shared" si="65"/>
        <v>41-60</v>
      </c>
      <c r="H3656" t="s">
        <v>23</v>
      </c>
      <c r="I3656" t="s">
        <v>58</v>
      </c>
      <c r="J3656" t="s">
        <v>59</v>
      </c>
      <c r="K3656" t="s">
        <v>38</v>
      </c>
      <c r="L3656">
        <v>1</v>
      </c>
      <c r="M3656">
        <v>1</v>
      </c>
      <c r="N3656">
        <v>6.9</v>
      </c>
      <c r="O3656">
        <v>8.4</v>
      </c>
      <c r="P3656">
        <v>3</v>
      </c>
      <c r="Q3656">
        <v>4</v>
      </c>
      <c r="R3656">
        <v>772025</v>
      </c>
      <c r="S3656">
        <f>Table1[[#This Row],[Revenue]]-Table1[[#This Row],[Operating_Costs]]</f>
        <v>241216</v>
      </c>
      <c r="T3656">
        <v>530809</v>
      </c>
      <c r="U3656">
        <v>20</v>
      </c>
      <c r="V3656">
        <v>54</v>
      </c>
      <c r="W3656">
        <v>13.5</v>
      </c>
    </row>
    <row r="3657" spans="1:23" x14ac:dyDescent="0.25">
      <c r="A3657">
        <v>11</v>
      </c>
      <c r="B3657" t="s">
        <v>63</v>
      </c>
      <c r="C3657" s="1">
        <v>44881</v>
      </c>
      <c r="D3657" t="s">
        <v>71</v>
      </c>
      <c r="E3657">
        <v>0</v>
      </c>
      <c r="F3657">
        <v>36</v>
      </c>
      <c r="G3657" t="str">
        <f t="shared" si="65"/>
        <v>21-40</v>
      </c>
      <c r="H3657" t="s">
        <v>35</v>
      </c>
      <c r="I3657" t="s">
        <v>36</v>
      </c>
      <c r="J3657" t="s">
        <v>37</v>
      </c>
      <c r="K3657" t="s">
        <v>38</v>
      </c>
      <c r="L3657">
        <v>1</v>
      </c>
      <c r="M3657">
        <v>1</v>
      </c>
      <c r="N3657">
        <v>2.4</v>
      </c>
      <c r="O3657">
        <v>7.4</v>
      </c>
      <c r="P3657">
        <v>6</v>
      </c>
      <c r="Q3657">
        <v>7</v>
      </c>
      <c r="R3657">
        <v>661074</v>
      </c>
      <c r="S3657">
        <f>Table1[[#This Row],[Revenue]]-Table1[[#This Row],[Operating_Costs]]</f>
        <v>88452</v>
      </c>
      <c r="T3657">
        <v>572622</v>
      </c>
      <c r="U3657">
        <v>20</v>
      </c>
      <c r="V3657">
        <v>66</v>
      </c>
      <c r="W3657">
        <v>10.7</v>
      </c>
    </row>
    <row r="3658" spans="1:23" x14ac:dyDescent="0.25">
      <c r="A3658">
        <v>11</v>
      </c>
      <c r="B3658" t="s">
        <v>63</v>
      </c>
      <c r="C3658" s="1">
        <v>44651</v>
      </c>
      <c r="D3658" t="s">
        <v>71</v>
      </c>
      <c r="E3658">
        <v>0</v>
      </c>
      <c r="F3658">
        <v>74</v>
      </c>
      <c r="G3658" t="str">
        <f t="shared" si="65"/>
        <v>61-80</v>
      </c>
      <c r="H3658" t="s">
        <v>23</v>
      </c>
      <c r="I3658" t="s">
        <v>55</v>
      </c>
      <c r="J3658" t="s">
        <v>56</v>
      </c>
      <c r="K3658" t="s">
        <v>26</v>
      </c>
      <c r="L3658">
        <v>1</v>
      </c>
      <c r="M3658">
        <v>1</v>
      </c>
      <c r="N3658">
        <v>2</v>
      </c>
      <c r="O3658">
        <v>9.8000000000000007</v>
      </c>
      <c r="P3658">
        <v>7</v>
      </c>
      <c r="Q3658">
        <v>6</v>
      </c>
      <c r="R3658">
        <v>692077</v>
      </c>
      <c r="S3658">
        <f>Table1[[#This Row],[Revenue]]-Table1[[#This Row],[Operating_Costs]]</f>
        <v>224314</v>
      </c>
      <c r="T3658">
        <v>467763</v>
      </c>
      <c r="U3658">
        <v>27</v>
      </c>
      <c r="V3658">
        <v>63</v>
      </c>
      <c r="W3658">
        <v>5.4</v>
      </c>
    </row>
    <row r="3659" spans="1:23" x14ac:dyDescent="0.25">
      <c r="A3659">
        <v>11</v>
      </c>
      <c r="B3659" t="s">
        <v>63</v>
      </c>
      <c r="C3659" s="1">
        <v>45134</v>
      </c>
      <c r="D3659" t="s">
        <v>71</v>
      </c>
      <c r="E3659">
        <v>0</v>
      </c>
      <c r="F3659">
        <v>81</v>
      </c>
      <c r="G3659" t="str">
        <f t="shared" si="65"/>
        <v>81+</v>
      </c>
      <c r="H3659" t="s">
        <v>35</v>
      </c>
      <c r="I3659" t="s">
        <v>40</v>
      </c>
      <c r="J3659" t="s">
        <v>41</v>
      </c>
      <c r="K3659" t="s">
        <v>29</v>
      </c>
      <c r="L3659">
        <v>1</v>
      </c>
      <c r="M3659">
        <v>1</v>
      </c>
      <c r="N3659">
        <v>3.9</v>
      </c>
      <c r="O3659">
        <v>7.6</v>
      </c>
      <c r="P3659">
        <v>3</v>
      </c>
      <c r="Q3659">
        <v>4</v>
      </c>
      <c r="R3659">
        <v>756200</v>
      </c>
      <c r="S3659">
        <f>Table1[[#This Row],[Revenue]]-Table1[[#This Row],[Operating_Costs]]</f>
        <v>186912</v>
      </c>
      <c r="T3659">
        <v>569288</v>
      </c>
      <c r="U3659">
        <v>35</v>
      </c>
      <c r="V3659">
        <v>63</v>
      </c>
      <c r="W3659">
        <v>36.1</v>
      </c>
    </row>
    <row r="3660" spans="1:23" x14ac:dyDescent="0.25">
      <c r="A3660">
        <v>11</v>
      </c>
      <c r="B3660" t="s">
        <v>63</v>
      </c>
      <c r="C3660" s="1">
        <v>45514</v>
      </c>
      <c r="D3660" t="s">
        <v>71</v>
      </c>
      <c r="E3660">
        <v>0</v>
      </c>
      <c r="F3660">
        <v>37</v>
      </c>
      <c r="G3660" t="str">
        <f t="shared" si="65"/>
        <v>21-40</v>
      </c>
      <c r="H3660" t="s">
        <v>35</v>
      </c>
      <c r="I3660" t="s">
        <v>61</v>
      </c>
      <c r="J3660" t="s">
        <v>62</v>
      </c>
      <c r="K3660" t="s">
        <v>38</v>
      </c>
      <c r="L3660">
        <v>1</v>
      </c>
      <c r="M3660">
        <v>1</v>
      </c>
      <c r="N3660">
        <v>5</v>
      </c>
      <c r="O3660">
        <v>9.5</v>
      </c>
      <c r="P3660">
        <v>7</v>
      </c>
      <c r="Q3660">
        <v>6</v>
      </c>
      <c r="R3660">
        <v>762585</v>
      </c>
      <c r="S3660">
        <f>Table1[[#This Row],[Revenue]]-Table1[[#This Row],[Operating_Costs]]</f>
        <v>299663</v>
      </c>
      <c r="T3660">
        <v>462922</v>
      </c>
      <c r="U3660">
        <v>25</v>
      </c>
      <c r="V3660">
        <v>66</v>
      </c>
      <c r="W3660">
        <v>5.9</v>
      </c>
    </row>
    <row r="3661" spans="1:23" x14ac:dyDescent="0.25">
      <c r="A3661">
        <v>10</v>
      </c>
      <c r="B3661" t="s">
        <v>34</v>
      </c>
      <c r="C3661" s="1">
        <v>45385</v>
      </c>
      <c r="D3661" t="s">
        <v>71</v>
      </c>
      <c r="E3661">
        <v>0</v>
      </c>
      <c r="F3661">
        <v>80</v>
      </c>
      <c r="G3661" t="str">
        <f t="shared" si="65"/>
        <v>61-80</v>
      </c>
      <c r="H3661" t="s">
        <v>35</v>
      </c>
      <c r="I3661" t="s">
        <v>27</v>
      </c>
      <c r="J3661" t="s">
        <v>28</v>
      </c>
      <c r="K3661" t="s">
        <v>26</v>
      </c>
      <c r="L3661">
        <v>1</v>
      </c>
      <c r="M3661">
        <v>1</v>
      </c>
      <c r="N3661">
        <v>1.3</v>
      </c>
      <c r="O3661">
        <v>7.7</v>
      </c>
      <c r="P3661">
        <v>3</v>
      </c>
      <c r="Q3661">
        <v>6</v>
      </c>
      <c r="R3661">
        <v>882641</v>
      </c>
      <c r="S3661">
        <f>Table1[[#This Row],[Revenue]]-Table1[[#This Row],[Operating_Costs]]</f>
        <v>207984</v>
      </c>
      <c r="T3661">
        <v>674657</v>
      </c>
      <c r="U3661">
        <v>68</v>
      </c>
      <c r="V3661">
        <v>62</v>
      </c>
      <c r="W3661">
        <v>8.6</v>
      </c>
    </row>
    <row r="3662" spans="1:23" x14ac:dyDescent="0.25">
      <c r="A3662">
        <v>11</v>
      </c>
      <c r="B3662" t="s">
        <v>63</v>
      </c>
      <c r="C3662" s="1">
        <v>45656</v>
      </c>
      <c r="D3662" t="s">
        <v>71</v>
      </c>
      <c r="E3662">
        <v>0</v>
      </c>
      <c r="F3662">
        <v>86</v>
      </c>
      <c r="G3662" t="str">
        <f t="shared" si="65"/>
        <v>81+</v>
      </c>
      <c r="H3662" t="s">
        <v>35</v>
      </c>
      <c r="I3662" t="s">
        <v>36</v>
      </c>
      <c r="J3662" t="s">
        <v>37</v>
      </c>
      <c r="K3662" t="s">
        <v>42</v>
      </c>
      <c r="L3662">
        <v>1</v>
      </c>
      <c r="M3662">
        <v>1</v>
      </c>
      <c r="N3662">
        <v>2.5</v>
      </c>
      <c r="O3662">
        <v>7.6</v>
      </c>
      <c r="P3662">
        <v>6</v>
      </c>
      <c r="Q3662">
        <v>3</v>
      </c>
      <c r="R3662">
        <v>793701</v>
      </c>
      <c r="S3662">
        <f>Table1[[#This Row],[Revenue]]-Table1[[#This Row],[Operating_Costs]]</f>
        <v>343975</v>
      </c>
      <c r="T3662">
        <v>449726</v>
      </c>
      <c r="U3662">
        <v>22</v>
      </c>
      <c r="V3662">
        <v>65</v>
      </c>
      <c r="W3662">
        <v>8.3000000000000007</v>
      </c>
    </row>
    <row r="3663" spans="1:23" x14ac:dyDescent="0.25">
      <c r="A3663">
        <v>10</v>
      </c>
      <c r="B3663" t="s">
        <v>34</v>
      </c>
      <c r="C3663" s="1">
        <v>45339</v>
      </c>
      <c r="D3663" t="s">
        <v>71</v>
      </c>
      <c r="E3663">
        <v>0</v>
      </c>
      <c r="F3663">
        <v>28</v>
      </c>
      <c r="G3663" t="str">
        <f t="shared" si="65"/>
        <v>21-40</v>
      </c>
      <c r="H3663" t="s">
        <v>35</v>
      </c>
      <c r="I3663" t="s">
        <v>36</v>
      </c>
      <c r="J3663" t="s">
        <v>37</v>
      </c>
      <c r="K3663" t="s">
        <v>26</v>
      </c>
      <c r="L3663">
        <v>1</v>
      </c>
      <c r="M3663">
        <v>1</v>
      </c>
      <c r="N3663">
        <v>6.8</v>
      </c>
      <c r="O3663">
        <v>7.1</v>
      </c>
      <c r="P3663">
        <v>3</v>
      </c>
      <c r="Q3663">
        <v>4</v>
      </c>
      <c r="R3663">
        <v>865468</v>
      </c>
      <c r="S3663">
        <f>Table1[[#This Row],[Revenue]]-Table1[[#This Row],[Operating_Costs]]</f>
        <v>166756</v>
      </c>
      <c r="T3663">
        <v>698712</v>
      </c>
      <c r="U3663">
        <v>62</v>
      </c>
      <c r="V3663">
        <v>59</v>
      </c>
      <c r="W3663">
        <v>6.6</v>
      </c>
    </row>
    <row r="3664" spans="1:23" x14ac:dyDescent="0.25">
      <c r="A3664">
        <v>10</v>
      </c>
      <c r="B3664" t="s">
        <v>34</v>
      </c>
      <c r="C3664" s="1">
        <v>44289</v>
      </c>
      <c r="D3664" t="s">
        <v>71</v>
      </c>
      <c r="E3664">
        <v>0</v>
      </c>
      <c r="F3664">
        <v>43</v>
      </c>
      <c r="G3664" t="str">
        <f t="shared" si="65"/>
        <v>41-60</v>
      </c>
      <c r="H3664" t="s">
        <v>23</v>
      </c>
      <c r="I3664" t="s">
        <v>31</v>
      </c>
      <c r="J3664" t="s">
        <v>28</v>
      </c>
      <c r="K3664" t="s">
        <v>33</v>
      </c>
      <c r="L3664">
        <v>1</v>
      </c>
      <c r="M3664">
        <v>1</v>
      </c>
      <c r="N3664">
        <v>2.5</v>
      </c>
      <c r="O3664">
        <v>9.9</v>
      </c>
      <c r="P3664">
        <v>7</v>
      </c>
      <c r="Q3664">
        <v>5</v>
      </c>
      <c r="R3664">
        <v>908468</v>
      </c>
      <c r="S3664">
        <f>Table1[[#This Row],[Revenue]]-Table1[[#This Row],[Operating_Costs]]</f>
        <v>343275</v>
      </c>
      <c r="T3664">
        <v>565193</v>
      </c>
      <c r="U3664">
        <v>69</v>
      </c>
      <c r="V3664">
        <v>58</v>
      </c>
      <c r="W3664">
        <v>7.5</v>
      </c>
    </row>
    <row r="3665" spans="1:23" x14ac:dyDescent="0.25">
      <c r="A3665">
        <v>11</v>
      </c>
      <c r="B3665" t="s">
        <v>63</v>
      </c>
      <c r="C3665" s="1">
        <v>44927</v>
      </c>
      <c r="D3665" t="s">
        <v>71</v>
      </c>
      <c r="E3665">
        <v>0</v>
      </c>
      <c r="F3665">
        <v>33</v>
      </c>
      <c r="G3665" t="str">
        <f t="shared" si="65"/>
        <v>21-40</v>
      </c>
      <c r="H3665" t="s">
        <v>35</v>
      </c>
      <c r="I3665" t="s">
        <v>50</v>
      </c>
      <c r="J3665" t="s">
        <v>51</v>
      </c>
      <c r="K3665" t="s">
        <v>26</v>
      </c>
      <c r="L3665">
        <v>1</v>
      </c>
      <c r="M3665">
        <v>1</v>
      </c>
      <c r="N3665">
        <v>6.7</v>
      </c>
      <c r="O3665">
        <v>7.8</v>
      </c>
      <c r="P3665">
        <v>6</v>
      </c>
      <c r="Q3665">
        <v>5</v>
      </c>
      <c r="R3665">
        <v>748308</v>
      </c>
      <c r="S3665">
        <f>Table1[[#This Row],[Revenue]]-Table1[[#This Row],[Operating_Costs]]</f>
        <v>220289</v>
      </c>
      <c r="T3665">
        <v>528019</v>
      </c>
      <c r="U3665">
        <v>23</v>
      </c>
      <c r="V3665">
        <v>64</v>
      </c>
      <c r="W3665">
        <v>13.5</v>
      </c>
    </row>
    <row r="3666" spans="1:23" x14ac:dyDescent="0.25">
      <c r="A3666">
        <v>11</v>
      </c>
      <c r="B3666" t="s">
        <v>63</v>
      </c>
      <c r="C3666" s="1">
        <v>44637</v>
      </c>
      <c r="D3666" t="s">
        <v>71</v>
      </c>
      <c r="E3666">
        <v>0</v>
      </c>
      <c r="F3666">
        <v>31</v>
      </c>
      <c r="G3666" t="str">
        <f t="shared" si="65"/>
        <v>21-40</v>
      </c>
      <c r="H3666" t="s">
        <v>35</v>
      </c>
      <c r="I3666" t="s">
        <v>31</v>
      </c>
      <c r="J3666" t="s">
        <v>28</v>
      </c>
      <c r="K3666" t="s">
        <v>38</v>
      </c>
      <c r="L3666">
        <v>1</v>
      </c>
      <c r="M3666">
        <v>1</v>
      </c>
      <c r="N3666">
        <v>6.2</v>
      </c>
      <c r="O3666">
        <v>8.6</v>
      </c>
      <c r="P3666">
        <v>3</v>
      </c>
      <c r="Q3666">
        <v>5</v>
      </c>
      <c r="R3666">
        <v>735353</v>
      </c>
      <c r="S3666">
        <f>Table1[[#This Row],[Revenue]]-Table1[[#This Row],[Operating_Costs]]</f>
        <v>322092</v>
      </c>
      <c r="T3666">
        <v>413261</v>
      </c>
      <c r="U3666">
        <v>31</v>
      </c>
      <c r="V3666">
        <v>65</v>
      </c>
      <c r="W3666">
        <v>7.6</v>
      </c>
    </row>
    <row r="3667" spans="1:23" x14ac:dyDescent="0.25">
      <c r="A3667">
        <v>11</v>
      </c>
      <c r="B3667" t="s">
        <v>63</v>
      </c>
      <c r="C3667" s="1">
        <v>44766</v>
      </c>
      <c r="D3667" t="s">
        <v>71</v>
      </c>
      <c r="E3667">
        <v>0</v>
      </c>
      <c r="F3667">
        <v>44</v>
      </c>
      <c r="G3667" t="str">
        <f t="shared" si="65"/>
        <v>41-60</v>
      </c>
      <c r="H3667" t="s">
        <v>23</v>
      </c>
      <c r="I3667" t="s">
        <v>58</v>
      </c>
      <c r="J3667" t="s">
        <v>59</v>
      </c>
      <c r="K3667" t="s">
        <v>38</v>
      </c>
      <c r="L3667">
        <v>1</v>
      </c>
      <c r="M3667">
        <v>1</v>
      </c>
      <c r="N3667">
        <v>1.1000000000000001</v>
      </c>
      <c r="O3667">
        <v>8</v>
      </c>
      <c r="P3667">
        <v>7</v>
      </c>
      <c r="Q3667">
        <v>4</v>
      </c>
      <c r="R3667">
        <v>676767</v>
      </c>
      <c r="S3667">
        <f>Table1[[#This Row],[Revenue]]-Table1[[#This Row],[Operating_Costs]]</f>
        <v>119974</v>
      </c>
      <c r="T3667">
        <v>556793</v>
      </c>
      <c r="U3667">
        <v>20</v>
      </c>
      <c r="V3667">
        <v>60</v>
      </c>
      <c r="W3667">
        <v>6.8</v>
      </c>
    </row>
    <row r="3668" spans="1:23" x14ac:dyDescent="0.25">
      <c r="A3668">
        <v>11</v>
      </c>
      <c r="B3668" t="s">
        <v>63</v>
      </c>
      <c r="C3668" s="1">
        <v>45414</v>
      </c>
      <c r="D3668" t="s">
        <v>71</v>
      </c>
      <c r="E3668">
        <v>0</v>
      </c>
      <c r="F3668">
        <v>26</v>
      </c>
      <c r="G3668" t="str">
        <f t="shared" si="65"/>
        <v>21-40</v>
      </c>
      <c r="H3668" t="s">
        <v>35</v>
      </c>
      <c r="I3668" t="s">
        <v>50</v>
      </c>
      <c r="J3668" t="s">
        <v>51</v>
      </c>
      <c r="K3668" t="s">
        <v>38</v>
      </c>
      <c r="L3668">
        <v>1</v>
      </c>
      <c r="M3668">
        <v>1</v>
      </c>
      <c r="N3668">
        <v>1.4</v>
      </c>
      <c r="O3668">
        <v>7.9</v>
      </c>
      <c r="P3668">
        <v>6</v>
      </c>
      <c r="Q3668">
        <v>4</v>
      </c>
      <c r="R3668">
        <v>773928</v>
      </c>
      <c r="S3668">
        <f>Table1[[#This Row],[Revenue]]-Table1[[#This Row],[Operating_Costs]]</f>
        <v>371467</v>
      </c>
      <c r="T3668">
        <v>402461</v>
      </c>
      <c r="U3668">
        <v>31</v>
      </c>
      <c r="V3668">
        <v>59</v>
      </c>
      <c r="W3668">
        <v>36.200000000000003</v>
      </c>
    </row>
    <row r="3669" spans="1:23" x14ac:dyDescent="0.25">
      <c r="A3669">
        <v>11</v>
      </c>
      <c r="B3669" t="s">
        <v>63</v>
      </c>
      <c r="C3669" s="1">
        <v>44705</v>
      </c>
      <c r="D3669" t="s">
        <v>71</v>
      </c>
      <c r="E3669">
        <v>0</v>
      </c>
      <c r="F3669">
        <v>89</v>
      </c>
      <c r="G3669" t="str">
        <f t="shared" si="65"/>
        <v>81+</v>
      </c>
      <c r="H3669" t="s">
        <v>35</v>
      </c>
      <c r="I3669" t="s">
        <v>55</v>
      </c>
      <c r="J3669" t="s">
        <v>56</v>
      </c>
      <c r="K3669" t="s">
        <v>26</v>
      </c>
      <c r="L3669">
        <v>1</v>
      </c>
      <c r="M3669">
        <v>1</v>
      </c>
      <c r="N3669">
        <v>5.8</v>
      </c>
      <c r="O3669">
        <v>7.2</v>
      </c>
      <c r="P3669">
        <v>7</v>
      </c>
      <c r="Q3669">
        <v>4</v>
      </c>
      <c r="R3669">
        <v>719945</v>
      </c>
      <c r="S3669">
        <f>Table1[[#This Row],[Revenue]]-Table1[[#This Row],[Operating_Costs]]</f>
        <v>291435</v>
      </c>
      <c r="T3669">
        <v>428510</v>
      </c>
      <c r="U3669">
        <v>23</v>
      </c>
      <c r="V3669">
        <v>61</v>
      </c>
      <c r="W3669">
        <v>7.1</v>
      </c>
    </row>
    <row r="3670" spans="1:23" x14ac:dyDescent="0.25">
      <c r="A3670">
        <v>11</v>
      </c>
      <c r="B3670" t="s">
        <v>63</v>
      </c>
      <c r="C3670" s="1">
        <v>45158</v>
      </c>
      <c r="D3670" t="s">
        <v>71</v>
      </c>
      <c r="E3670">
        <v>0</v>
      </c>
      <c r="F3670">
        <v>72</v>
      </c>
      <c r="G3670" t="str">
        <f t="shared" si="65"/>
        <v>61-80</v>
      </c>
      <c r="H3670" t="s">
        <v>35</v>
      </c>
      <c r="I3670" t="s">
        <v>58</v>
      </c>
      <c r="J3670" t="s">
        <v>59</v>
      </c>
      <c r="K3670" t="s">
        <v>38</v>
      </c>
      <c r="L3670">
        <v>1</v>
      </c>
      <c r="M3670">
        <v>1</v>
      </c>
      <c r="N3670">
        <v>6</v>
      </c>
      <c r="O3670">
        <v>9.3000000000000007</v>
      </c>
      <c r="P3670">
        <v>3</v>
      </c>
      <c r="Q3670">
        <v>6</v>
      </c>
      <c r="R3670">
        <v>621889</v>
      </c>
      <c r="S3670">
        <f>Table1[[#This Row],[Revenue]]-Table1[[#This Row],[Operating_Costs]]</f>
        <v>56740</v>
      </c>
      <c r="T3670">
        <v>565149</v>
      </c>
      <c r="U3670">
        <v>20</v>
      </c>
      <c r="V3670">
        <v>57</v>
      </c>
      <c r="W3670">
        <v>9.4</v>
      </c>
    </row>
    <row r="3671" spans="1:23" x14ac:dyDescent="0.25">
      <c r="A3671">
        <v>11</v>
      </c>
      <c r="B3671" t="s">
        <v>63</v>
      </c>
      <c r="C3671" s="1">
        <v>45288</v>
      </c>
      <c r="D3671" t="s">
        <v>71</v>
      </c>
      <c r="E3671">
        <v>0</v>
      </c>
      <c r="F3671">
        <v>43</v>
      </c>
      <c r="G3671" t="str">
        <f t="shared" si="65"/>
        <v>41-60</v>
      </c>
      <c r="H3671" t="s">
        <v>35</v>
      </c>
      <c r="I3671" t="s">
        <v>40</v>
      </c>
      <c r="J3671" t="s">
        <v>41</v>
      </c>
      <c r="K3671" t="s">
        <v>38</v>
      </c>
      <c r="L3671">
        <v>1</v>
      </c>
      <c r="M3671">
        <v>1</v>
      </c>
      <c r="N3671">
        <v>6</v>
      </c>
      <c r="O3671">
        <v>8.1</v>
      </c>
      <c r="P3671">
        <v>7</v>
      </c>
      <c r="Q3671">
        <v>5</v>
      </c>
      <c r="R3671">
        <v>686654</v>
      </c>
      <c r="S3671">
        <f>Table1[[#This Row],[Revenue]]-Table1[[#This Row],[Operating_Costs]]</f>
        <v>175666</v>
      </c>
      <c r="T3671">
        <v>510988</v>
      </c>
      <c r="U3671">
        <v>31</v>
      </c>
      <c r="V3671">
        <v>65</v>
      </c>
      <c r="W3671">
        <v>9</v>
      </c>
    </row>
    <row r="3672" spans="1:23" x14ac:dyDescent="0.25">
      <c r="A3672">
        <v>11</v>
      </c>
      <c r="B3672" t="s">
        <v>63</v>
      </c>
      <c r="C3672" s="1">
        <v>44736</v>
      </c>
      <c r="D3672" t="s">
        <v>71</v>
      </c>
      <c r="E3672">
        <v>0</v>
      </c>
      <c r="F3672">
        <v>63</v>
      </c>
      <c r="G3672" t="str">
        <f t="shared" si="65"/>
        <v>61-80</v>
      </c>
      <c r="H3672" t="s">
        <v>35</v>
      </c>
      <c r="I3672" t="s">
        <v>61</v>
      </c>
      <c r="J3672" t="s">
        <v>62</v>
      </c>
      <c r="K3672" t="s">
        <v>38</v>
      </c>
      <c r="L3672">
        <v>1</v>
      </c>
      <c r="M3672">
        <v>1</v>
      </c>
      <c r="N3672">
        <v>3.3</v>
      </c>
      <c r="O3672">
        <v>8.3000000000000007</v>
      </c>
      <c r="P3672">
        <v>6</v>
      </c>
      <c r="Q3672">
        <v>7</v>
      </c>
      <c r="R3672">
        <v>789202</v>
      </c>
      <c r="S3672">
        <f>Table1[[#This Row],[Revenue]]-Table1[[#This Row],[Operating_Costs]]</f>
        <v>323669</v>
      </c>
      <c r="T3672">
        <v>465533</v>
      </c>
      <c r="U3672">
        <v>32</v>
      </c>
      <c r="V3672">
        <v>66</v>
      </c>
      <c r="W3672">
        <v>8.6999999999999993</v>
      </c>
    </row>
    <row r="3673" spans="1:23" x14ac:dyDescent="0.25">
      <c r="A3673">
        <v>11</v>
      </c>
      <c r="B3673" t="s">
        <v>63</v>
      </c>
      <c r="C3673" s="1">
        <v>44398</v>
      </c>
      <c r="D3673" t="s">
        <v>71</v>
      </c>
      <c r="E3673">
        <v>0</v>
      </c>
      <c r="F3673">
        <v>49</v>
      </c>
      <c r="G3673" t="str">
        <f t="shared" si="65"/>
        <v>41-60</v>
      </c>
      <c r="H3673" t="s">
        <v>35</v>
      </c>
      <c r="I3673" t="s">
        <v>55</v>
      </c>
      <c r="J3673" t="s">
        <v>56</v>
      </c>
      <c r="K3673" t="s">
        <v>38</v>
      </c>
      <c r="L3673">
        <v>1</v>
      </c>
      <c r="M3673">
        <v>1</v>
      </c>
      <c r="N3673">
        <v>2</v>
      </c>
      <c r="O3673">
        <v>7.1</v>
      </c>
      <c r="P3673">
        <v>5</v>
      </c>
      <c r="Q3673">
        <v>4</v>
      </c>
      <c r="R3673">
        <v>784919</v>
      </c>
      <c r="S3673">
        <f>Table1[[#This Row],[Revenue]]-Table1[[#This Row],[Operating_Costs]]</f>
        <v>313444</v>
      </c>
      <c r="T3673">
        <v>471475</v>
      </c>
      <c r="U3673">
        <v>35</v>
      </c>
      <c r="V3673">
        <v>66</v>
      </c>
      <c r="W3673">
        <v>6.4</v>
      </c>
    </row>
    <row r="3674" spans="1:23" x14ac:dyDescent="0.25">
      <c r="A3674">
        <v>11</v>
      </c>
      <c r="B3674" t="s">
        <v>63</v>
      </c>
      <c r="C3674" s="1">
        <v>45546</v>
      </c>
      <c r="D3674" t="s">
        <v>71</v>
      </c>
      <c r="E3674">
        <v>0</v>
      </c>
      <c r="F3674">
        <v>73</v>
      </c>
      <c r="G3674" t="str">
        <f t="shared" si="65"/>
        <v>61-80</v>
      </c>
      <c r="H3674" t="s">
        <v>35</v>
      </c>
      <c r="I3674" t="s">
        <v>61</v>
      </c>
      <c r="J3674" t="s">
        <v>62</v>
      </c>
      <c r="K3674" t="s">
        <v>42</v>
      </c>
      <c r="L3674">
        <v>1</v>
      </c>
      <c r="M3674">
        <v>1</v>
      </c>
      <c r="N3674">
        <v>4.9000000000000004</v>
      </c>
      <c r="O3674">
        <v>7.1</v>
      </c>
      <c r="P3674">
        <v>4</v>
      </c>
      <c r="Q3674">
        <v>7</v>
      </c>
      <c r="R3674">
        <v>701965</v>
      </c>
      <c r="S3674">
        <f>Table1[[#This Row],[Revenue]]-Table1[[#This Row],[Operating_Costs]]</f>
        <v>204521</v>
      </c>
      <c r="T3674">
        <v>497444</v>
      </c>
      <c r="U3674">
        <v>28</v>
      </c>
      <c r="V3674">
        <v>56</v>
      </c>
      <c r="W3674">
        <v>12.5</v>
      </c>
    </row>
    <row r="3675" spans="1:23" x14ac:dyDescent="0.25">
      <c r="A3675">
        <v>11</v>
      </c>
      <c r="B3675" t="s">
        <v>63</v>
      </c>
      <c r="C3675" s="1">
        <v>45107</v>
      </c>
      <c r="D3675" t="s">
        <v>71</v>
      </c>
      <c r="E3675">
        <v>0</v>
      </c>
      <c r="F3675">
        <v>53</v>
      </c>
      <c r="G3675" t="str">
        <f t="shared" si="65"/>
        <v>41-60</v>
      </c>
      <c r="H3675" t="s">
        <v>35</v>
      </c>
      <c r="I3675" t="s">
        <v>46</v>
      </c>
      <c r="J3675" t="s">
        <v>47</v>
      </c>
      <c r="K3675" t="s">
        <v>38</v>
      </c>
      <c r="L3675">
        <v>1</v>
      </c>
      <c r="M3675">
        <v>1</v>
      </c>
      <c r="N3675">
        <v>3.1</v>
      </c>
      <c r="O3675">
        <v>8.9</v>
      </c>
      <c r="P3675">
        <v>3</v>
      </c>
      <c r="Q3675">
        <v>7</v>
      </c>
      <c r="R3675">
        <v>624257</v>
      </c>
      <c r="S3675">
        <f>Table1[[#This Row],[Revenue]]-Table1[[#This Row],[Operating_Costs]]</f>
        <v>155159</v>
      </c>
      <c r="T3675">
        <v>469098</v>
      </c>
      <c r="U3675">
        <v>31</v>
      </c>
      <c r="V3675">
        <v>63</v>
      </c>
      <c r="W3675">
        <v>12.9</v>
      </c>
    </row>
    <row r="3676" spans="1:23" x14ac:dyDescent="0.25">
      <c r="A3676">
        <v>11</v>
      </c>
      <c r="B3676" t="s">
        <v>63</v>
      </c>
      <c r="C3676" s="1">
        <v>45625</v>
      </c>
      <c r="D3676" t="s">
        <v>71</v>
      </c>
      <c r="E3676">
        <v>0</v>
      </c>
      <c r="F3676">
        <v>46</v>
      </c>
      <c r="G3676" t="str">
        <f t="shared" si="65"/>
        <v>41-60</v>
      </c>
      <c r="H3676" t="s">
        <v>23</v>
      </c>
      <c r="I3676" t="s">
        <v>55</v>
      </c>
      <c r="J3676" t="s">
        <v>56</v>
      </c>
      <c r="K3676" t="s">
        <v>29</v>
      </c>
      <c r="L3676">
        <v>1</v>
      </c>
      <c r="M3676">
        <v>1</v>
      </c>
      <c r="N3676">
        <v>2.7</v>
      </c>
      <c r="O3676">
        <v>7.6</v>
      </c>
      <c r="P3676">
        <v>6</v>
      </c>
      <c r="Q3676">
        <v>3</v>
      </c>
      <c r="R3676">
        <v>725645</v>
      </c>
      <c r="S3676">
        <f>Table1[[#This Row],[Revenue]]-Table1[[#This Row],[Operating_Costs]]</f>
        <v>153379</v>
      </c>
      <c r="T3676">
        <v>572266</v>
      </c>
      <c r="U3676">
        <v>35</v>
      </c>
      <c r="V3676">
        <v>62</v>
      </c>
      <c r="W3676">
        <v>5.9</v>
      </c>
    </row>
    <row r="3677" spans="1:23" x14ac:dyDescent="0.25">
      <c r="A3677">
        <v>11</v>
      </c>
      <c r="B3677" t="s">
        <v>63</v>
      </c>
      <c r="C3677" s="1">
        <v>45083</v>
      </c>
      <c r="D3677" t="s">
        <v>71</v>
      </c>
      <c r="E3677">
        <v>0</v>
      </c>
      <c r="F3677">
        <v>31</v>
      </c>
      <c r="G3677" t="str">
        <f t="shared" si="65"/>
        <v>21-40</v>
      </c>
      <c r="H3677" t="s">
        <v>35</v>
      </c>
      <c r="I3677" t="s">
        <v>46</v>
      </c>
      <c r="J3677" t="s">
        <v>47</v>
      </c>
      <c r="K3677" t="s">
        <v>42</v>
      </c>
      <c r="L3677">
        <v>1</v>
      </c>
      <c r="M3677">
        <v>1</v>
      </c>
      <c r="N3677">
        <v>5.2</v>
      </c>
      <c r="O3677">
        <v>7</v>
      </c>
      <c r="P3677">
        <v>7</v>
      </c>
      <c r="Q3677">
        <v>6</v>
      </c>
      <c r="R3677">
        <v>768396</v>
      </c>
      <c r="S3677">
        <f>Table1[[#This Row],[Revenue]]-Table1[[#This Row],[Operating_Costs]]</f>
        <v>272378</v>
      </c>
      <c r="T3677">
        <v>496018</v>
      </c>
      <c r="U3677">
        <v>27</v>
      </c>
      <c r="V3677">
        <v>57</v>
      </c>
      <c r="W3677">
        <v>10.1</v>
      </c>
    </row>
    <row r="3678" spans="1:23" x14ac:dyDescent="0.25">
      <c r="A3678">
        <v>11</v>
      </c>
      <c r="B3678" t="s">
        <v>63</v>
      </c>
      <c r="C3678" s="1">
        <v>44430</v>
      </c>
      <c r="D3678" t="s">
        <v>71</v>
      </c>
      <c r="E3678">
        <v>0</v>
      </c>
      <c r="F3678">
        <v>39</v>
      </c>
      <c r="G3678" t="str">
        <f t="shared" si="65"/>
        <v>21-40</v>
      </c>
      <c r="H3678" t="s">
        <v>35</v>
      </c>
      <c r="I3678" t="s">
        <v>61</v>
      </c>
      <c r="J3678" t="s">
        <v>62</v>
      </c>
      <c r="K3678" t="s">
        <v>33</v>
      </c>
      <c r="L3678">
        <v>1</v>
      </c>
      <c r="M3678">
        <v>1</v>
      </c>
      <c r="N3678">
        <v>5.8</v>
      </c>
      <c r="O3678">
        <v>8.4</v>
      </c>
      <c r="P3678">
        <v>6</v>
      </c>
      <c r="Q3678">
        <v>4</v>
      </c>
      <c r="R3678">
        <v>768912</v>
      </c>
      <c r="S3678">
        <f>Table1[[#This Row],[Revenue]]-Table1[[#This Row],[Operating_Costs]]</f>
        <v>287118</v>
      </c>
      <c r="T3678">
        <v>481794</v>
      </c>
      <c r="U3678">
        <v>30</v>
      </c>
      <c r="V3678">
        <v>66</v>
      </c>
      <c r="W3678">
        <v>12.2</v>
      </c>
    </row>
    <row r="3679" spans="1:23" x14ac:dyDescent="0.25">
      <c r="A3679">
        <v>11</v>
      </c>
      <c r="B3679" t="s">
        <v>63</v>
      </c>
      <c r="C3679" s="1">
        <v>45629</v>
      </c>
      <c r="D3679" t="s">
        <v>71</v>
      </c>
      <c r="E3679">
        <v>0</v>
      </c>
      <c r="F3679">
        <v>28</v>
      </c>
      <c r="G3679" t="str">
        <f t="shared" si="65"/>
        <v>21-40</v>
      </c>
      <c r="H3679" t="s">
        <v>23</v>
      </c>
      <c r="I3679" t="s">
        <v>31</v>
      </c>
      <c r="J3679" t="s">
        <v>28</v>
      </c>
      <c r="K3679" t="s">
        <v>26</v>
      </c>
      <c r="L3679">
        <v>1</v>
      </c>
      <c r="M3679">
        <v>1</v>
      </c>
      <c r="N3679">
        <v>2.9</v>
      </c>
      <c r="O3679">
        <v>9.5</v>
      </c>
      <c r="P3679">
        <v>3</v>
      </c>
      <c r="Q3679">
        <v>3</v>
      </c>
      <c r="R3679">
        <v>673134</v>
      </c>
      <c r="S3679">
        <f>Table1[[#This Row],[Revenue]]-Table1[[#This Row],[Operating_Costs]]</f>
        <v>211257</v>
      </c>
      <c r="T3679">
        <v>461877</v>
      </c>
      <c r="U3679">
        <v>23</v>
      </c>
      <c r="V3679">
        <v>56</v>
      </c>
      <c r="W3679">
        <v>9.9</v>
      </c>
    </row>
    <row r="3680" spans="1:23" x14ac:dyDescent="0.25">
      <c r="A3680">
        <v>11</v>
      </c>
      <c r="B3680" t="s">
        <v>63</v>
      </c>
      <c r="C3680" s="1">
        <v>45130</v>
      </c>
      <c r="D3680" t="s">
        <v>71</v>
      </c>
      <c r="E3680">
        <v>0</v>
      </c>
      <c r="F3680">
        <v>40</v>
      </c>
      <c r="G3680" t="str">
        <f t="shared" si="65"/>
        <v>21-40</v>
      </c>
      <c r="H3680" t="s">
        <v>23</v>
      </c>
      <c r="I3680" t="s">
        <v>50</v>
      </c>
      <c r="J3680" t="s">
        <v>51</v>
      </c>
      <c r="K3680" t="s">
        <v>42</v>
      </c>
      <c r="L3680">
        <v>1</v>
      </c>
      <c r="M3680">
        <v>1</v>
      </c>
      <c r="N3680">
        <v>4.5</v>
      </c>
      <c r="O3680">
        <v>8.6999999999999993</v>
      </c>
      <c r="P3680">
        <v>6</v>
      </c>
      <c r="Q3680">
        <v>5</v>
      </c>
      <c r="R3680">
        <v>728773</v>
      </c>
      <c r="S3680">
        <f>Table1[[#This Row],[Revenue]]-Table1[[#This Row],[Operating_Costs]]</f>
        <v>254053</v>
      </c>
      <c r="T3680">
        <v>474720</v>
      </c>
      <c r="U3680">
        <v>21</v>
      </c>
      <c r="V3680">
        <v>56</v>
      </c>
      <c r="W3680">
        <v>13.5</v>
      </c>
    </row>
    <row r="3681" spans="1:23" x14ac:dyDescent="0.25">
      <c r="A3681">
        <v>11</v>
      </c>
      <c r="B3681" t="s">
        <v>63</v>
      </c>
      <c r="C3681" s="1">
        <v>44313</v>
      </c>
      <c r="D3681" t="s">
        <v>71</v>
      </c>
      <c r="E3681">
        <v>0</v>
      </c>
      <c r="F3681">
        <v>31</v>
      </c>
      <c r="G3681" t="str">
        <f t="shared" si="65"/>
        <v>21-40</v>
      </c>
      <c r="H3681" t="s">
        <v>23</v>
      </c>
      <c r="I3681" t="s">
        <v>58</v>
      </c>
      <c r="J3681" t="s">
        <v>59</v>
      </c>
      <c r="K3681" t="s">
        <v>33</v>
      </c>
      <c r="L3681">
        <v>1</v>
      </c>
      <c r="M3681">
        <v>1</v>
      </c>
      <c r="N3681">
        <v>1.1000000000000001</v>
      </c>
      <c r="O3681">
        <v>7.9</v>
      </c>
      <c r="P3681">
        <v>3</v>
      </c>
      <c r="Q3681">
        <v>7</v>
      </c>
      <c r="R3681">
        <v>666871</v>
      </c>
      <c r="S3681">
        <f>Table1[[#This Row],[Revenue]]-Table1[[#This Row],[Operating_Costs]]</f>
        <v>128588</v>
      </c>
      <c r="T3681">
        <v>538283</v>
      </c>
      <c r="U3681">
        <v>33</v>
      </c>
      <c r="V3681">
        <v>66</v>
      </c>
      <c r="W3681">
        <v>5.3</v>
      </c>
    </row>
    <row r="3682" spans="1:23" x14ac:dyDescent="0.25">
      <c r="A3682">
        <v>10</v>
      </c>
      <c r="B3682" t="s">
        <v>34</v>
      </c>
      <c r="C3682" s="1">
        <v>44476</v>
      </c>
      <c r="D3682" t="s">
        <v>71</v>
      </c>
      <c r="E3682">
        <v>0</v>
      </c>
      <c r="F3682">
        <v>30</v>
      </c>
      <c r="G3682" t="str">
        <f t="shared" si="65"/>
        <v>21-40</v>
      </c>
      <c r="H3682" t="s">
        <v>23</v>
      </c>
      <c r="I3682" t="s">
        <v>64</v>
      </c>
      <c r="J3682" t="s">
        <v>65</v>
      </c>
      <c r="K3682" t="s">
        <v>26</v>
      </c>
      <c r="L3682">
        <v>1</v>
      </c>
      <c r="M3682">
        <v>1</v>
      </c>
      <c r="N3682">
        <v>2.7</v>
      </c>
      <c r="O3682">
        <v>8.5</v>
      </c>
      <c r="P3682">
        <v>7</v>
      </c>
      <c r="Q3682">
        <v>3</v>
      </c>
      <c r="R3682">
        <v>928060</v>
      </c>
      <c r="S3682">
        <f>Table1[[#This Row],[Revenue]]-Table1[[#This Row],[Operating_Costs]]</f>
        <v>297154</v>
      </c>
      <c r="T3682">
        <v>630906</v>
      </c>
      <c r="U3682">
        <v>60</v>
      </c>
      <c r="V3682">
        <v>60</v>
      </c>
      <c r="W3682">
        <v>10.7</v>
      </c>
    </row>
    <row r="3683" spans="1:23" x14ac:dyDescent="0.25">
      <c r="A3683">
        <v>11</v>
      </c>
      <c r="B3683" t="s">
        <v>63</v>
      </c>
      <c r="C3683" s="1">
        <v>44747</v>
      </c>
      <c r="D3683" t="s">
        <v>71</v>
      </c>
      <c r="E3683">
        <v>0</v>
      </c>
      <c r="F3683">
        <v>30</v>
      </c>
      <c r="G3683" t="str">
        <f t="shared" si="65"/>
        <v>21-40</v>
      </c>
      <c r="H3683" t="s">
        <v>35</v>
      </c>
      <c r="I3683" t="s">
        <v>31</v>
      </c>
      <c r="J3683" t="s">
        <v>28</v>
      </c>
      <c r="K3683" t="s">
        <v>42</v>
      </c>
      <c r="L3683">
        <v>1</v>
      </c>
      <c r="M3683">
        <v>1</v>
      </c>
      <c r="N3683">
        <v>3.9</v>
      </c>
      <c r="O3683">
        <v>8.6999999999999993</v>
      </c>
      <c r="P3683">
        <v>5</v>
      </c>
      <c r="Q3683">
        <v>7</v>
      </c>
      <c r="R3683">
        <v>693322</v>
      </c>
      <c r="S3683">
        <f>Table1[[#This Row],[Revenue]]-Table1[[#This Row],[Operating_Costs]]</f>
        <v>255677</v>
      </c>
      <c r="T3683">
        <v>437645</v>
      </c>
      <c r="U3683">
        <v>32</v>
      </c>
      <c r="V3683">
        <v>62</v>
      </c>
      <c r="W3683">
        <v>5.0999999999999996</v>
      </c>
    </row>
    <row r="3684" spans="1:23" x14ac:dyDescent="0.25">
      <c r="A3684">
        <v>11</v>
      </c>
      <c r="B3684" t="s">
        <v>63</v>
      </c>
      <c r="C3684" s="1">
        <v>44703</v>
      </c>
      <c r="D3684" t="s">
        <v>71</v>
      </c>
      <c r="E3684">
        <v>0</v>
      </c>
      <c r="F3684">
        <v>31</v>
      </c>
      <c r="G3684" t="str">
        <f t="shared" si="65"/>
        <v>21-40</v>
      </c>
      <c r="H3684" t="s">
        <v>35</v>
      </c>
      <c r="I3684" t="s">
        <v>31</v>
      </c>
      <c r="J3684" t="s">
        <v>28</v>
      </c>
      <c r="K3684" t="s">
        <v>38</v>
      </c>
      <c r="L3684">
        <v>1</v>
      </c>
      <c r="M3684">
        <v>1</v>
      </c>
      <c r="N3684">
        <v>2.1</v>
      </c>
      <c r="O3684">
        <v>10</v>
      </c>
      <c r="P3684">
        <v>7</v>
      </c>
      <c r="Q3684">
        <v>6</v>
      </c>
      <c r="R3684">
        <v>707059</v>
      </c>
      <c r="S3684">
        <f>Table1[[#This Row],[Revenue]]-Table1[[#This Row],[Operating_Costs]]</f>
        <v>299575</v>
      </c>
      <c r="T3684">
        <v>407484</v>
      </c>
      <c r="U3684">
        <v>23</v>
      </c>
      <c r="V3684">
        <v>61</v>
      </c>
      <c r="W3684">
        <v>36.700000000000003</v>
      </c>
    </row>
    <row r="3685" spans="1:23" x14ac:dyDescent="0.25">
      <c r="A3685">
        <v>11</v>
      </c>
      <c r="B3685" t="s">
        <v>63</v>
      </c>
      <c r="C3685" s="1">
        <v>45109</v>
      </c>
      <c r="D3685" t="s">
        <v>71</v>
      </c>
      <c r="E3685">
        <v>0</v>
      </c>
      <c r="F3685">
        <v>37</v>
      </c>
      <c r="G3685" t="str">
        <f t="shared" si="65"/>
        <v>21-40</v>
      </c>
      <c r="H3685" t="s">
        <v>35</v>
      </c>
      <c r="I3685" t="s">
        <v>40</v>
      </c>
      <c r="J3685" t="s">
        <v>41</v>
      </c>
      <c r="K3685" t="s">
        <v>29</v>
      </c>
      <c r="L3685">
        <v>1</v>
      </c>
      <c r="M3685">
        <v>1</v>
      </c>
      <c r="N3685">
        <v>1.5</v>
      </c>
      <c r="O3685">
        <v>9.5</v>
      </c>
      <c r="P3685">
        <v>4</v>
      </c>
      <c r="Q3685">
        <v>7</v>
      </c>
      <c r="R3685">
        <v>620471</v>
      </c>
      <c r="S3685">
        <f>Table1[[#This Row],[Revenue]]-Table1[[#This Row],[Operating_Costs]]</f>
        <v>211004</v>
      </c>
      <c r="T3685">
        <v>409467</v>
      </c>
      <c r="U3685">
        <v>33</v>
      </c>
      <c r="V3685">
        <v>58</v>
      </c>
      <c r="W3685">
        <v>36</v>
      </c>
    </row>
    <row r="3686" spans="1:23" x14ac:dyDescent="0.25">
      <c r="A3686">
        <v>11</v>
      </c>
      <c r="B3686" t="s">
        <v>63</v>
      </c>
      <c r="C3686" s="1">
        <v>45544</v>
      </c>
      <c r="D3686" t="s">
        <v>71</v>
      </c>
      <c r="E3686">
        <v>0</v>
      </c>
      <c r="F3686">
        <v>27</v>
      </c>
      <c r="G3686" t="str">
        <f t="shared" si="65"/>
        <v>21-40</v>
      </c>
      <c r="H3686" t="s">
        <v>35</v>
      </c>
      <c r="I3686" t="s">
        <v>31</v>
      </c>
      <c r="J3686" t="s">
        <v>28</v>
      </c>
      <c r="K3686" t="s">
        <v>26</v>
      </c>
      <c r="L3686">
        <v>1</v>
      </c>
      <c r="M3686">
        <v>1</v>
      </c>
      <c r="N3686">
        <v>5.3</v>
      </c>
      <c r="O3686">
        <v>7.5</v>
      </c>
      <c r="P3686">
        <v>3</v>
      </c>
      <c r="Q3686">
        <v>6</v>
      </c>
      <c r="R3686">
        <v>610362</v>
      </c>
      <c r="S3686">
        <f>Table1[[#This Row],[Revenue]]-Table1[[#This Row],[Operating_Costs]]</f>
        <v>152918</v>
      </c>
      <c r="T3686">
        <v>457444</v>
      </c>
      <c r="U3686">
        <v>35</v>
      </c>
      <c r="V3686">
        <v>66</v>
      </c>
      <c r="W3686">
        <v>13.5</v>
      </c>
    </row>
    <row r="3687" spans="1:23" x14ac:dyDescent="0.25">
      <c r="A3687">
        <v>11</v>
      </c>
      <c r="B3687" t="s">
        <v>63</v>
      </c>
      <c r="C3687" s="1">
        <v>44353</v>
      </c>
      <c r="D3687" t="s">
        <v>71</v>
      </c>
      <c r="E3687">
        <v>0</v>
      </c>
      <c r="F3687">
        <v>48</v>
      </c>
      <c r="G3687" t="str">
        <f t="shared" si="65"/>
        <v>41-60</v>
      </c>
      <c r="H3687" t="s">
        <v>23</v>
      </c>
      <c r="I3687" t="s">
        <v>50</v>
      </c>
      <c r="J3687" t="s">
        <v>51</v>
      </c>
      <c r="K3687" t="s">
        <v>42</v>
      </c>
      <c r="L3687">
        <v>1</v>
      </c>
      <c r="M3687">
        <v>1</v>
      </c>
      <c r="N3687">
        <v>1.2</v>
      </c>
      <c r="O3687">
        <v>8.6999999999999993</v>
      </c>
      <c r="P3687">
        <v>7</v>
      </c>
      <c r="Q3687">
        <v>6</v>
      </c>
      <c r="R3687">
        <v>673313</v>
      </c>
      <c r="S3687">
        <f>Table1[[#This Row],[Revenue]]-Table1[[#This Row],[Operating_Costs]]</f>
        <v>102444</v>
      </c>
      <c r="T3687">
        <v>570869</v>
      </c>
      <c r="U3687">
        <v>21</v>
      </c>
      <c r="V3687">
        <v>64</v>
      </c>
      <c r="W3687">
        <v>14.9</v>
      </c>
    </row>
    <row r="3688" spans="1:23" x14ac:dyDescent="0.25">
      <c r="A3688">
        <v>11</v>
      </c>
      <c r="B3688" t="s">
        <v>63</v>
      </c>
      <c r="C3688" s="1">
        <v>44398</v>
      </c>
      <c r="D3688" t="s">
        <v>71</v>
      </c>
      <c r="E3688">
        <v>0</v>
      </c>
      <c r="F3688">
        <v>57</v>
      </c>
      <c r="G3688" t="str">
        <f t="shared" si="65"/>
        <v>41-60</v>
      </c>
      <c r="H3688" t="s">
        <v>35</v>
      </c>
      <c r="I3688" t="s">
        <v>31</v>
      </c>
      <c r="J3688" t="s">
        <v>28</v>
      </c>
      <c r="K3688" t="s">
        <v>38</v>
      </c>
      <c r="L3688">
        <v>1</v>
      </c>
      <c r="M3688">
        <v>1</v>
      </c>
      <c r="N3688">
        <v>3.1</v>
      </c>
      <c r="O3688">
        <v>8.1</v>
      </c>
      <c r="P3688">
        <v>7</v>
      </c>
      <c r="Q3688">
        <v>6</v>
      </c>
      <c r="R3688">
        <v>661044</v>
      </c>
      <c r="S3688">
        <f>Table1[[#This Row],[Revenue]]-Table1[[#This Row],[Operating_Costs]]</f>
        <v>106003</v>
      </c>
      <c r="T3688">
        <v>555041</v>
      </c>
      <c r="U3688">
        <v>25</v>
      </c>
      <c r="V3688">
        <v>66</v>
      </c>
      <c r="W3688">
        <v>12.2</v>
      </c>
    </row>
    <row r="3689" spans="1:23" x14ac:dyDescent="0.25">
      <c r="A3689">
        <v>11</v>
      </c>
      <c r="B3689" t="s">
        <v>63</v>
      </c>
      <c r="C3689" s="1">
        <v>45364</v>
      </c>
      <c r="D3689" t="s">
        <v>71</v>
      </c>
      <c r="E3689">
        <v>0</v>
      </c>
      <c r="F3689">
        <v>54</v>
      </c>
      <c r="G3689" t="str">
        <f t="shared" si="65"/>
        <v>41-60</v>
      </c>
      <c r="H3689" t="s">
        <v>23</v>
      </c>
      <c r="I3689" t="s">
        <v>43</v>
      </c>
      <c r="J3689" t="s">
        <v>25</v>
      </c>
      <c r="K3689" t="s">
        <v>38</v>
      </c>
      <c r="L3689">
        <v>1</v>
      </c>
      <c r="M3689">
        <v>1</v>
      </c>
      <c r="N3689">
        <v>1.7</v>
      </c>
      <c r="O3689">
        <v>9.1</v>
      </c>
      <c r="P3689">
        <v>5</v>
      </c>
      <c r="Q3689">
        <v>3</v>
      </c>
      <c r="R3689">
        <v>681015</v>
      </c>
      <c r="S3689">
        <f>Table1[[#This Row],[Revenue]]-Table1[[#This Row],[Operating_Costs]]</f>
        <v>138181</v>
      </c>
      <c r="T3689">
        <v>542834</v>
      </c>
      <c r="U3689">
        <v>25</v>
      </c>
      <c r="V3689">
        <v>62</v>
      </c>
      <c r="W3689">
        <v>12.4</v>
      </c>
    </row>
    <row r="3690" spans="1:23" x14ac:dyDescent="0.25">
      <c r="A3690">
        <v>11</v>
      </c>
      <c r="B3690" t="s">
        <v>63</v>
      </c>
      <c r="C3690" s="1">
        <v>45468</v>
      </c>
      <c r="D3690" t="s">
        <v>71</v>
      </c>
      <c r="E3690">
        <v>0</v>
      </c>
      <c r="F3690">
        <v>43</v>
      </c>
      <c r="G3690" t="str">
        <f t="shared" si="65"/>
        <v>41-60</v>
      </c>
      <c r="H3690" t="s">
        <v>23</v>
      </c>
      <c r="I3690" t="s">
        <v>67</v>
      </c>
      <c r="J3690" t="s">
        <v>68</v>
      </c>
      <c r="K3690" t="s">
        <v>29</v>
      </c>
      <c r="L3690">
        <v>1</v>
      </c>
      <c r="M3690">
        <v>1</v>
      </c>
      <c r="N3690">
        <v>6.1</v>
      </c>
      <c r="O3690">
        <v>7.4</v>
      </c>
      <c r="P3690">
        <v>3</v>
      </c>
      <c r="Q3690">
        <v>5</v>
      </c>
      <c r="R3690">
        <v>709584</v>
      </c>
      <c r="S3690">
        <f>Table1[[#This Row],[Revenue]]-Table1[[#This Row],[Operating_Costs]]</f>
        <v>171300</v>
      </c>
      <c r="T3690">
        <v>538284</v>
      </c>
      <c r="U3690">
        <v>28</v>
      </c>
      <c r="V3690">
        <v>63</v>
      </c>
      <c r="W3690">
        <v>9.6</v>
      </c>
    </row>
    <row r="3691" spans="1:23" x14ac:dyDescent="0.25">
      <c r="A3691">
        <v>11</v>
      </c>
      <c r="B3691" t="s">
        <v>63</v>
      </c>
      <c r="C3691" s="1">
        <v>44411</v>
      </c>
      <c r="D3691" t="s">
        <v>71</v>
      </c>
      <c r="E3691">
        <v>0</v>
      </c>
      <c r="F3691">
        <v>64</v>
      </c>
      <c r="G3691" t="str">
        <f t="shared" si="65"/>
        <v>61-80</v>
      </c>
      <c r="H3691" t="s">
        <v>23</v>
      </c>
      <c r="I3691" t="s">
        <v>50</v>
      </c>
      <c r="J3691" t="s">
        <v>51</v>
      </c>
      <c r="K3691" t="s">
        <v>42</v>
      </c>
      <c r="L3691">
        <v>1</v>
      </c>
      <c r="M3691">
        <v>1</v>
      </c>
      <c r="N3691">
        <v>2.4</v>
      </c>
      <c r="O3691">
        <v>7.8</v>
      </c>
      <c r="P3691">
        <v>7</v>
      </c>
      <c r="Q3691">
        <v>4</v>
      </c>
      <c r="R3691">
        <v>796005</v>
      </c>
      <c r="S3691">
        <f>Table1[[#This Row],[Revenue]]-Table1[[#This Row],[Operating_Costs]]</f>
        <v>240852</v>
      </c>
      <c r="T3691">
        <v>555153</v>
      </c>
      <c r="U3691">
        <v>30</v>
      </c>
      <c r="V3691">
        <v>60</v>
      </c>
      <c r="W3691">
        <v>8.9</v>
      </c>
    </row>
    <row r="3692" spans="1:23" x14ac:dyDescent="0.25">
      <c r="A3692">
        <v>11</v>
      </c>
      <c r="B3692" t="s">
        <v>63</v>
      </c>
      <c r="C3692" s="1">
        <v>45023</v>
      </c>
      <c r="D3692" t="s">
        <v>71</v>
      </c>
      <c r="E3692">
        <v>0</v>
      </c>
      <c r="F3692">
        <v>43</v>
      </c>
      <c r="G3692" t="str">
        <f t="shared" si="65"/>
        <v>41-60</v>
      </c>
      <c r="H3692" t="s">
        <v>23</v>
      </c>
      <c r="I3692" t="s">
        <v>61</v>
      </c>
      <c r="J3692" t="s">
        <v>62</v>
      </c>
      <c r="K3692" t="s">
        <v>33</v>
      </c>
      <c r="L3692">
        <v>1</v>
      </c>
      <c r="M3692">
        <v>1</v>
      </c>
      <c r="N3692">
        <v>5.6</v>
      </c>
      <c r="O3692">
        <v>7</v>
      </c>
      <c r="P3692">
        <v>3</v>
      </c>
      <c r="Q3692">
        <v>4</v>
      </c>
      <c r="R3692">
        <v>633440</v>
      </c>
      <c r="S3692">
        <f>Table1[[#This Row],[Revenue]]-Table1[[#This Row],[Operating_Costs]]</f>
        <v>186455</v>
      </c>
      <c r="T3692">
        <v>446985</v>
      </c>
      <c r="U3692">
        <v>29</v>
      </c>
      <c r="V3692">
        <v>59</v>
      </c>
      <c r="W3692">
        <v>6.3</v>
      </c>
    </row>
    <row r="3693" spans="1:23" x14ac:dyDescent="0.25">
      <c r="A3693">
        <v>11</v>
      </c>
      <c r="B3693" t="s">
        <v>63</v>
      </c>
      <c r="C3693" s="1">
        <v>44447</v>
      </c>
      <c r="D3693" t="s">
        <v>71</v>
      </c>
      <c r="E3693">
        <v>0</v>
      </c>
      <c r="F3693">
        <v>63</v>
      </c>
      <c r="G3693" t="str">
        <f t="shared" si="65"/>
        <v>61-80</v>
      </c>
      <c r="H3693" t="s">
        <v>35</v>
      </c>
      <c r="I3693" t="s">
        <v>61</v>
      </c>
      <c r="J3693" t="s">
        <v>62</v>
      </c>
      <c r="K3693" t="s">
        <v>29</v>
      </c>
      <c r="L3693">
        <v>1</v>
      </c>
      <c r="M3693">
        <v>1</v>
      </c>
      <c r="N3693">
        <v>2.4</v>
      </c>
      <c r="O3693">
        <v>8.4</v>
      </c>
      <c r="P3693">
        <v>7</v>
      </c>
      <c r="Q3693">
        <v>3</v>
      </c>
      <c r="R3693">
        <v>665764</v>
      </c>
      <c r="S3693">
        <f>Table1[[#This Row],[Revenue]]-Table1[[#This Row],[Operating_Costs]]</f>
        <v>122389</v>
      </c>
      <c r="T3693">
        <v>543375</v>
      </c>
      <c r="U3693">
        <v>20</v>
      </c>
      <c r="V3693">
        <v>60</v>
      </c>
      <c r="W3693">
        <v>10.5</v>
      </c>
    </row>
    <row r="3694" spans="1:23" x14ac:dyDescent="0.25">
      <c r="A3694">
        <v>11</v>
      </c>
      <c r="B3694" t="s">
        <v>63</v>
      </c>
      <c r="C3694" s="1">
        <v>44702</v>
      </c>
      <c r="D3694" t="s">
        <v>71</v>
      </c>
      <c r="E3694">
        <v>0</v>
      </c>
      <c r="F3694">
        <v>38</v>
      </c>
      <c r="G3694" t="str">
        <f t="shared" si="65"/>
        <v>21-40</v>
      </c>
      <c r="H3694" t="s">
        <v>23</v>
      </c>
      <c r="I3694" t="s">
        <v>24</v>
      </c>
      <c r="J3694" t="s">
        <v>25</v>
      </c>
      <c r="K3694" t="s">
        <v>29</v>
      </c>
      <c r="L3694">
        <v>1</v>
      </c>
      <c r="M3694">
        <v>1</v>
      </c>
      <c r="N3694">
        <v>4.5</v>
      </c>
      <c r="O3694">
        <v>8.1999999999999993</v>
      </c>
      <c r="P3694">
        <v>5</v>
      </c>
      <c r="Q3694">
        <v>4</v>
      </c>
      <c r="R3694">
        <v>662667</v>
      </c>
      <c r="S3694">
        <f>Table1[[#This Row],[Revenue]]-Table1[[#This Row],[Operating_Costs]]</f>
        <v>204094</v>
      </c>
      <c r="T3694">
        <v>458573</v>
      </c>
      <c r="U3694">
        <v>26</v>
      </c>
      <c r="V3694">
        <v>66</v>
      </c>
      <c r="W3694">
        <v>36.799999999999997</v>
      </c>
    </row>
    <row r="3695" spans="1:23" x14ac:dyDescent="0.25">
      <c r="A3695">
        <v>11</v>
      </c>
      <c r="B3695" t="s">
        <v>63</v>
      </c>
      <c r="C3695" s="1">
        <v>45237</v>
      </c>
      <c r="D3695" t="s">
        <v>71</v>
      </c>
      <c r="E3695">
        <v>0</v>
      </c>
      <c r="F3695">
        <v>74</v>
      </c>
      <c r="G3695" t="str">
        <f t="shared" si="65"/>
        <v>61-80</v>
      </c>
      <c r="H3695" t="s">
        <v>35</v>
      </c>
      <c r="I3695" t="s">
        <v>36</v>
      </c>
      <c r="J3695" t="s">
        <v>37</v>
      </c>
      <c r="K3695" t="s">
        <v>42</v>
      </c>
      <c r="L3695">
        <v>1</v>
      </c>
      <c r="M3695">
        <v>1</v>
      </c>
      <c r="N3695">
        <v>1.6</v>
      </c>
      <c r="O3695">
        <v>8.3000000000000007</v>
      </c>
      <c r="P3695">
        <v>7</v>
      </c>
      <c r="Q3695">
        <v>3</v>
      </c>
      <c r="R3695">
        <v>657955</v>
      </c>
      <c r="S3695">
        <f>Table1[[#This Row],[Revenue]]-Table1[[#This Row],[Operating_Costs]]</f>
        <v>224646</v>
      </c>
      <c r="T3695">
        <v>433309</v>
      </c>
      <c r="U3695">
        <v>32</v>
      </c>
      <c r="V3695">
        <v>54</v>
      </c>
      <c r="W3695">
        <v>14.4</v>
      </c>
    </row>
    <row r="3696" spans="1:23" x14ac:dyDescent="0.25">
      <c r="A3696">
        <v>11</v>
      </c>
      <c r="B3696" t="s">
        <v>63</v>
      </c>
      <c r="C3696" s="1">
        <v>45122</v>
      </c>
      <c r="D3696" t="s">
        <v>71</v>
      </c>
      <c r="E3696">
        <v>0</v>
      </c>
      <c r="F3696">
        <v>62</v>
      </c>
      <c r="G3696" t="str">
        <f t="shared" si="65"/>
        <v>61-80</v>
      </c>
      <c r="H3696" t="s">
        <v>35</v>
      </c>
      <c r="I3696" t="s">
        <v>58</v>
      </c>
      <c r="J3696" t="s">
        <v>59</v>
      </c>
      <c r="K3696" t="s">
        <v>26</v>
      </c>
      <c r="L3696">
        <v>1</v>
      </c>
      <c r="M3696">
        <v>1</v>
      </c>
      <c r="N3696">
        <v>1.6</v>
      </c>
      <c r="O3696">
        <v>7.2</v>
      </c>
      <c r="P3696">
        <v>4</v>
      </c>
      <c r="Q3696">
        <v>5</v>
      </c>
      <c r="R3696">
        <v>635303</v>
      </c>
      <c r="S3696">
        <f>Table1[[#This Row],[Revenue]]-Table1[[#This Row],[Operating_Costs]]</f>
        <v>212367</v>
      </c>
      <c r="T3696">
        <v>422936</v>
      </c>
      <c r="U3696">
        <v>24</v>
      </c>
      <c r="V3696">
        <v>59</v>
      </c>
      <c r="W3696">
        <v>36.6</v>
      </c>
    </row>
    <row r="3697" spans="1:23" x14ac:dyDescent="0.25">
      <c r="A3697">
        <v>11</v>
      </c>
      <c r="B3697" t="s">
        <v>63</v>
      </c>
      <c r="C3697" s="1">
        <v>45603</v>
      </c>
      <c r="D3697" t="s">
        <v>71</v>
      </c>
      <c r="E3697">
        <v>0</v>
      </c>
      <c r="F3697">
        <v>27</v>
      </c>
      <c r="G3697" t="str">
        <f t="shared" si="65"/>
        <v>21-40</v>
      </c>
      <c r="H3697" t="s">
        <v>35</v>
      </c>
      <c r="I3697" t="s">
        <v>40</v>
      </c>
      <c r="J3697" t="s">
        <v>41</v>
      </c>
      <c r="K3697" t="s">
        <v>42</v>
      </c>
      <c r="L3697">
        <v>1</v>
      </c>
      <c r="M3697">
        <v>1</v>
      </c>
      <c r="N3697">
        <v>4.2</v>
      </c>
      <c r="O3697">
        <v>7.8</v>
      </c>
      <c r="P3697">
        <v>5</v>
      </c>
      <c r="Q3697">
        <v>5</v>
      </c>
      <c r="R3697">
        <v>773964</v>
      </c>
      <c r="S3697">
        <f>Table1[[#This Row],[Revenue]]-Table1[[#This Row],[Operating_Costs]]</f>
        <v>311346</v>
      </c>
      <c r="T3697">
        <v>462618</v>
      </c>
      <c r="U3697">
        <v>35</v>
      </c>
      <c r="V3697">
        <v>64</v>
      </c>
      <c r="W3697">
        <v>14.1</v>
      </c>
    </row>
    <row r="3698" spans="1:23" x14ac:dyDescent="0.25">
      <c r="A3698">
        <v>11</v>
      </c>
      <c r="B3698" t="s">
        <v>63</v>
      </c>
      <c r="C3698" s="1">
        <v>45070</v>
      </c>
      <c r="D3698" t="s">
        <v>71</v>
      </c>
      <c r="E3698">
        <v>0</v>
      </c>
      <c r="F3698">
        <v>54</v>
      </c>
      <c r="G3698" t="str">
        <f t="shared" si="65"/>
        <v>41-60</v>
      </c>
      <c r="H3698" t="s">
        <v>23</v>
      </c>
      <c r="I3698" t="s">
        <v>67</v>
      </c>
      <c r="J3698" t="s">
        <v>68</v>
      </c>
      <c r="K3698" t="s">
        <v>29</v>
      </c>
      <c r="L3698">
        <v>1</v>
      </c>
      <c r="M3698">
        <v>1</v>
      </c>
      <c r="N3698">
        <v>1.2</v>
      </c>
      <c r="O3698">
        <v>8.6999999999999993</v>
      </c>
      <c r="P3698">
        <v>6</v>
      </c>
      <c r="Q3698">
        <v>4</v>
      </c>
      <c r="R3698">
        <v>621007</v>
      </c>
      <c r="S3698">
        <f>Table1[[#This Row],[Revenue]]-Table1[[#This Row],[Operating_Costs]]</f>
        <v>92267</v>
      </c>
      <c r="T3698">
        <v>528740</v>
      </c>
      <c r="U3698">
        <v>29</v>
      </c>
      <c r="V3698">
        <v>60</v>
      </c>
      <c r="W3698">
        <v>9.6</v>
      </c>
    </row>
    <row r="3699" spans="1:23" x14ac:dyDescent="0.25">
      <c r="A3699">
        <v>11</v>
      </c>
      <c r="B3699" t="s">
        <v>63</v>
      </c>
      <c r="C3699" s="1">
        <v>44522</v>
      </c>
      <c r="D3699" t="s">
        <v>71</v>
      </c>
      <c r="E3699">
        <v>0</v>
      </c>
      <c r="F3699">
        <v>63</v>
      </c>
      <c r="G3699" t="str">
        <f t="shared" si="65"/>
        <v>61-80</v>
      </c>
      <c r="H3699" t="s">
        <v>35</v>
      </c>
      <c r="I3699" t="s">
        <v>58</v>
      </c>
      <c r="J3699" t="s">
        <v>59</v>
      </c>
      <c r="K3699" t="s">
        <v>29</v>
      </c>
      <c r="L3699">
        <v>1</v>
      </c>
      <c r="M3699">
        <v>1</v>
      </c>
      <c r="N3699">
        <v>1.8</v>
      </c>
      <c r="O3699">
        <v>8.6</v>
      </c>
      <c r="P3699">
        <v>6</v>
      </c>
      <c r="Q3699">
        <v>3</v>
      </c>
      <c r="R3699">
        <v>619598</v>
      </c>
      <c r="S3699">
        <f>Table1[[#This Row],[Revenue]]-Table1[[#This Row],[Operating_Costs]]</f>
        <v>211682</v>
      </c>
      <c r="T3699">
        <v>407916</v>
      </c>
      <c r="U3699">
        <v>29</v>
      </c>
      <c r="V3699">
        <v>65</v>
      </c>
      <c r="W3699">
        <v>14.7</v>
      </c>
    </row>
    <row r="3700" spans="1:23" x14ac:dyDescent="0.25">
      <c r="A3700">
        <v>11</v>
      </c>
      <c r="B3700" t="s">
        <v>63</v>
      </c>
      <c r="C3700" s="1">
        <v>44492</v>
      </c>
      <c r="D3700" t="s">
        <v>71</v>
      </c>
      <c r="E3700">
        <v>0</v>
      </c>
      <c r="F3700">
        <v>71</v>
      </c>
      <c r="G3700" t="str">
        <f t="shared" si="65"/>
        <v>61-80</v>
      </c>
      <c r="H3700" t="s">
        <v>35</v>
      </c>
      <c r="I3700" t="s">
        <v>61</v>
      </c>
      <c r="J3700" t="s">
        <v>62</v>
      </c>
      <c r="K3700" t="s">
        <v>33</v>
      </c>
      <c r="L3700">
        <v>1</v>
      </c>
      <c r="M3700">
        <v>1</v>
      </c>
      <c r="N3700">
        <v>3.6</v>
      </c>
      <c r="O3700">
        <v>7.2</v>
      </c>
      <c r="P3700">
        <v>7</v>
      </c>
      <c r="Q3700">
        <v>7</v>
      </c>
      <c r="R3700">
        <v>619487</v>
      </c>
      <c r="S3700">
        <f>Table1[[#This Row],[Revenue]]-Table1[[#This Row],[Operating_Costs]]</f>
        <v>44993</v>
      </c>
      <c r="T3700">
        <v>574494</v>
      </c>
      <c r="U3700">
        <v>24</v>
      </c>
      <c r="V3700">
        <v>60</v>
      </c>
      <c r="W3700">
        <v>9.6</v>
      </c>
    </row>
    <row r="3701" spans="1:23" x14ac:dyDescent="0.25">
      <c r="A3701">
        <v>11</v>
      </c>
      <c r="B3701" t="s">
        <v>63</v>
      </c>
      <c r="C3701" s="1">
        <v>45191</v>
      </c>
      <c r="D3701" t="s">
        <v>71</v>
      </c>
      <c r="E3701">
        <v>0</v>
      </c>
      <c r="F3701">
        <v>42</v>
      </c>
      <c r="G3701" t="str">
        <f t="shared" si="65"/>
        <v>41-60</v>
      </c>
      <c r="H3701" t="s">
        <v>35</v>
      </c>
      <c r="I3701" t="s">
        <v>60</v>
      </c>
      <c r="J3701" t="s">
        <v>59</v>
      </c>
      <c r="K3701" t="s">
        <v>26</v>
      </c>
      <c r="L3701">
        <v>1</v>
      </c>
      <c r="M3701">
        <v>1</v>
      </c>
      <c r="N3701">
        <v>6.2</v>
      </c>
      <c r="O3701">
        <v>9.8000000000000007</v>
      </c>
      <c r="P3701">
        <v>4</v>
      </c>
      <c r="Q3701">
        <v>5</v>
      </c>
      <c r="R3701">
        <v>743826</v>
      </c>
      <c r="S3701">
        <f>Table1[[#This Row],[Revenue]]-Table1[[#This Row],[Operating_Costs]]</f>
        <v>201490</v>
      </c>
      <c r="T3701">
        <v>542336</v>
      </c>
      <c r="U3701">
        <v>30</v>
      </c>
      <c r="V3701">
        <v>61</v>
      </c>
      <c r="W3701">
        <v>7.6</v>
      </c>
    </row>
    <row r="3702" spans="1:23" x14ac:dyDescent="0.25">
      <c r="A3702">
        <v>11</v>
      </c>
      <c r="B3702" t="s">
        <v>63</v>
      </c>
      <c r="C3702" s="1">
        <v>44576</v>
      </c>
      <c r="D3702" t="s">
        <v>71</v>
      </c>
      <c r="E3702">
        <v>0</v>
      </c>
      <c r="F3702">
        <v>37</v>
      </c>
      <c r="G3702" t="str">
        <f t="shared" si="65"/>
        <v>21-40</v>
      </c>
      <c r="H3702" t="s">
        <v>35</v>
      </c>
      <c r="I3702" t="s">
        <v>36</v>
      </c>
      <c r="J3702" t="s">
        <v>37</v>
      </c>
      <c r="K3702" t="s">
        <v>33</v>
      </c>
      <c r="L3702">
        <v>1</v>
      </c>
      <c r="M3702">
        <v>1</v>
      </c>
      <c r="N3702">
        <v>2.2000000000000002</v>
      </c>
      <c r="O3702">
        <v>7.8</v>
      </c>
      <c r="P3702">
        <v>7</v>
      </c>
      <c r="Q3702">
        <v>3</v>
      </c>
      <c r="R3702">
        <v>627054</v>
      </c>
      <c r="S3702">
        <f>Table1[[#This Row],[Revenue]]-Table1[[#This Row],[Operating_Costs]]</f>
        <v>68602</v>
      </c>
      <c r="T3702">
        <v>558452</v>
      </c>
      <c r="U3702">
        <v>28</v>
      </c>
      <c r="V3702">
        <v>66</v>
      </c>
      <c r="W3702">
        <v>6.7</v>
      </c>
    </row>
    <row r="3703" spans="1:23" x14ac:dyDescent="0.25">
      <c r="A3703">
        <v>11</v>
      </c>
      <c r="B3703" t="s">
        <v>63</v>
      </c>
      <c r="C3703" s="1">
        <v>44845</v>
      </c>
      <c r="D3703" t="s">
        <v>71</v>
      </c>
      <c r="E3703">
        <v>0</v>
      </c>
      <c r="F3703">
        <v>38</v>
      </c>
      <c r="G3703" t="str">
        <f t="shared" si="65"/>
        <v>21-40</v>
      </c>
      <c r="H3703" t="s">
        <v>23</v>
      </c>
      <c r="I3703" t="s">
        <v>27</v>
      </c>
      <c r="J3703" t="s">
        <v>28</v>
      </c>
      <c r="K3703" t="s">
        <v>42</v>
      </c>
      <c r="L3703">
        <v>1</v>
      </c>
      <c r="M3703">
        <v>1</v>
      </c>
      <c r="N3703">
        <v>5.4</v>
      </c>
      <c r="O3703">
        <v>7.3</v>
      </c>
      <c r="P3703">
        <v>6</v>
      </c>
      <c r="Q3703">
        <v>7</v>
      </c>
      <c r="R3703">
        <v>729581</v>
      </c>
      <c r="S3703">
        <f>Table1[[#This Row],[Revenue]]-Table1[[#This Row],[Operating_Costs]]</f>
        <v>245247</v>
      </c>
      <c r="T3703">
        <v>484334</v>
      </c>
      <c r="U3703">
        <v>27</v>
      </c>
      <c r="V3703">
        <v>56</v>
      </c>
      <c r="W3703">
        <v>9.1</v>
      </c>
    </row>
    <row r="3704" spans="1:23" x14ac:dyDescent="0.25">
      <c r="A3704">
        <v>11</v>
      </c>
      <c r="B3704" t="s">
        <v>63</v>
      </c>
      <c r="C3704" s="1">
        <v>45329</v>
      </c>
      <c r="D3704" t="s">
        <v>71</v>
      </c>
      <c r="E3704">
        <v>0</v>
      </c>
      <c r="F3704">
        <v>31</v>
      </c>
      <c r="G3704" t="str">
        <f t="shared" si="65"/>
        <v>21-40</v>
      </c>
      <c r="H3704" t="s">
        <v>23</v>
      </c>
      <c r="I3704" t="s">
        <v>61</v>
      </c>
      <c r="J3704" t="s">
        <v>62</v>
      </c>
      <c r="K3704" t="s">
        <v>42</v>
      </c>
      <c r="L3704">
        <v>1</v>
      </c>
      <c r="M3704">
        <v>1</v>
      </c>
      <c r="N3704">
        <v>3.7</v>
      </c>
      <c r="O3704">
        <v>8.6</v>
      </c>
      <c r="P3704">
        <v>7</v>
      </c>
      <c r="Q3704">
        <v>6</v>
      </c>
      <c r="R3704">
        <v>643593</v>
      </c>
      <c r="S3704">
        <f>Table1[[#This Row],[Revenue]]-Table1[[#This Row],[Operating_Costs]]</f>
        <v>84108</v>
      </c>
      <c r="T3704">
        <v>559485</v>
      </c>
      <c r="U3704">
        <v>24</v>
      </c>
      <c r="V3704">
        <v>66</v>
      </c>
      <c r="W3704">
        <v>5.4</v>
      </c>
    </row>
    <row r="3705" spans="1:23" x14ac:dyDescent="0.25">
      <c r="A3705">
        <v>11</v>
      </c>
      <c r="B3705" t="s">
        <v>63</v>
      </c>
      <c r="C3705" s="1">
        <v>45638</v>
      </c>
      <c r="D3705" t="s">
        <v>71</v>
      </c>
      <c r="E3705">
        <v>0</v>
      </c>
      <c r="F3705">
        <v>38</v>
      </c>
      <c r="G3705" t="str">
        <f t="shared" si="65"/>
        <v>21-40</v>
      </c>
      <c r="H3705" t="s">
        <v>23</v>
      </c>
      <c r="I3705" t="s">
        <v>46</v>
      </c>
      <c r="J3705" t="s">
        <v>47</v>
      </c>
      <c r="K3705" t="s">
        <v>38</v>
      </c>
      <c r="L3705">
        <v>1</v>
      </c>
      <c r="M3705">
        <v>1</v>
      </c>
      <c r="N3705">
        <v>3</v>
      </c>
      <c r="O3705">
        <v>9.9</v>
      </c>
      <c r="P3705">
        <v>5</v>
      </c>
      <c r="Q3705">
        <v>3</v>
      </c>
      <c r="R3705">
        <v>768128</v>
      </c>
      <c r="S3705">
        <f>Table1[[#This Row],[Revenue]]-Table1[[#This Row],[Operating_Costs]]</f>
        <v>278416</v>
      </c>
      <c r="T3705">
        <v>489712</v>
      </c>
      <c r="U3705">
        <v>27</v>
      </c>
      <c r="V3705">
        <v>58</v>
      </c>
      <c r="W3705">
        <v>5.4</v>
      </c>
    </row>
    <row r="3706" spans="1:23" x14ac:dyDescent="0.25">
      <c r="A3706">
        <v>11</v>
      </c>
      <c r="B3706" t="s">
        <v>63</v>
      </c>
      <c r="C3706" s="1">
        <v>44611</v>
      </c>
      <c r="D3706" t="s">
        <v>71</v>
      </c>
      <c r="E3706">
        <v>0</v>
      </c>
      <c r="F3706">
        <v>46</v>
      </c>
      <c r="G3706" t="str">
        <f t="shared" si="65"/>
        <v>41-60</v>
      </c>
      <c r="H3706" t="s">
        <v>35</v>
      </c>
      <c r="I3706" t="s">
        <v>31</v>
      </c>
      <c r="J3706" t="s">
        <v>28</v>
      </c>
      <c r="K3706" t="s">
        <v>42</v>
      </c>
      <c r="L3706">
        <v>1</v>
      </c>
      <c r="M3706">
        <v>1</v>
      </c>
      <c r="N3706">
        <v>3.9</v>
      </c>
      <c r="O3706">
        <v>9.3000000000000007</v>
      </c>
      <c r="P3706">
        <v>7</v>
      </c>
      <c r="Q3706">
        <v>3</v>
      </c>
      <c r="R3706">
        <v>603273</v>
      </c>
      <c r="S3706">
        <f>Table1[[#This Row],[Revenue]]-Table1[[#This Row],[Operating_Costs]]</f>
        <v>119059</v>
      </c>
      <c r="T3706">
        <v>484214</v>
      </c>
      <c r="U3706">
        <v>34</v>
      </c>
      <c r="V3706">
        <v>60</v>
      </c>
      <c r="W3706">
        <v>12.9</v>
      </c>
    </row>
    <row r="3707" spans="1:23" x14ac:dyDescent="0.25">
      <c r="A3707">
        <v>11</v>
      </c>
      <c r="B3707" t="s">
        <v>63</v>
      </c>
      <c r="C3707" s="1">
        <v>45194</v>
      </c>
      <c r="D3707" t="s">
        <v>71</v>
      </c>
      <c r="E3707">
        <v>0</v>
      </c>
      <c r="F3707">
        <v>70</v>
      </c>
      <c r="G3707" t="str">
        <f t="shared" si="65"/>
        <v>61-80</v>
      </c>
      <c r="H3707" t="s">
        <v>35</v>
      </c>
      <c r="I3707" t="s">
        <v>58</v>
      </c>
      <c r="J3707" t="s">
        <v>59</v>
      </c>
      <c r="K3707" t="s">
        <v>42</v>
      </c>
      <c r="L3707">
        <v>1</v>
      </c>
      <c r="M3707">
        <v>1</v>
      </c>
      <c r="N3707">
        <v>1.2</v>
      </c>
      <c r="O3707">
        <v>9.1999999999999993</v>
      </c>
      <c r="P3707">
        <v>7</v>
      </c>
      <c r="Q3707">
        <v>4</v>
      </c>
      <c r="R3707">
        <v>752261</v>
      </c>
      <c r="S3707">
        <f>Table1[[#This Row],[Revenue]]-Table1[[#This Row],[Operating_Costs]]</f>
        <v>209471</v>
      </c>
      <c r="T3707">
        <v>542790</v>
      </c>
      <c r="U3707">
        <v>23</v>
      </c>
      <c r="V3707">
        <v>65</v>
      </c>
      <c r="W3707">
        <v>13.5</v>
      </c>
    </row>
    <row r="3708" spans="1:23" x14ac:dyDescent="0.25">
      <c r="A3708">
        <v>11</v>
      </c>
      <c r="B3708" t="s">
        <v>63</v>
      </c>
      <c r="C3708" s="1">
        <v>45563</v>
      </c>
      <c r="D3708" t="s">
        <v>71</v>
      </c>
      <c r="E3708">
        <v>0</v>
      </c>
      <c r="F3708">
        <v>26</v>
      </c>
      <c r="G3708" t="str">
        <f t="shared" si="65"/>
        <v>21-40</v>
      </c>
      <c r="H3708" t="s">
        <v>23</v>
      </c>
      <c r="I3708" t="s">
        <v>55</v>
      </c>
      <c r="J3708" t="s">
        <v>56</v>
      </c>
      <c r="K3708" t="s">
        <v>29</v>
      </c>
      <c r="L3708">
        <v>1</v>
      </c>
      <c r="M3708">
        <v>1</v>
      </c>
      <c r="N3708">
        <v>2</v>
      </c>
      <c r="O3708">
        <v>9.3000000000000007</v>
      </c>
      <c r="P3708">
        <v>3</v>
      </c>
      <c r="Q3708">
        <v>4</v>
      </c>
      <c r="R3708">
        <v>641008</v>
      </c>
      <c r="S3708">
        <f>Table1[[#This Row],[Revenue]]-Table1[[#This Row],[Operating_Costs]]</f>
        <v>192505</v>
      </c>
      <c r="T3708">
        <v>448503</v>
      </c>
      <c r="U3708">
        <v>29</v>
      </c>
      <c r="V3708">
        <v>63</v>
      </c>
      <c r="W3708">
        <v>9.8000000000000007</v>
      </c>
    </row>
    <row r="3709" spans="1:23" x14ac:dyDescent="0.25">
      <c r="A3709">
        <v>10</v>
      </c>
      <c r="B3709" t="s">
        <v>34</v>
      </c>
      <c r="C3709" s="1">
        <v>44828</v>
      </c>
      <c r="D3709" t="s">
        <v>71</v>
      </c>
      <c r="E3709">
        <v>0</v>
      </c>
      <c r="F3709">
        <v>34</v>
      </c>
      <c r="G3709" t="str">
        <f t="shared" si="65"/>
        <v>21-40</v>
      </c>
      <c r="H3709" t="s">
        <v>23</v>
      </c>
      <c r="I3709" t="s">
        <v>50</v>
      </c>
      <c r="J3709" t="s">
        <v>51</v>
      </c>
      <c r="K3709" t="s">
        <v>33</v>
      </c>
      <c r="L3709">
        <v>1</v>
      </c>
      <c r="M3709">
        <v>1</v>
      </c>
      <c r="N3709">
        <v>1.2</v>
      </c>
      <c r="O3709">
        <v>9.6</v>
      </c>
      <c r="P3709">
        <v>6</v>
      </c>
      <c r="Q3709">
        <v>3</v>
      </c>
      <c r="R3709">
        <v>840842</v>
      </c>
      <c r="S3709">
        <f>Table1[[#This Row],[Revenue]]-Table1[[#This Row],[Operating_Costs]]</f>
        <v>321373</v>
      </c>
      <c r="T3709">
        <v>519469</v>
      </c>
      <c r="U3709">
        <v>52</v>
      </c>
      <c r="V3709">
        <v>61</v>
      </c>
      <c r="W3709">
        <v>7.9</v>
      </c>
    </row>
    <row r="3710" spans="1:23" x14ac:dyDescent="0.25">
      <c r="A3710">
        <v>11</v>
      </c>
      <c r="B3710" t="s">
        <v>63</v>
      </c>
      <c r="C3710" s="1">
        <v>44794</v>
      </c>
      <c r="D3710" t="s">
        <v>71</v>
      </c>
      <c r="E3710">
        <v>0</v>
      </c>
      <c r="F3710">
        <v>34</v>
      </c>
      <c r="G3710" t="str">
        <f t="shared" si="65"/>
        <v>21-40</v>
      </c>
      <c r="H3710" t="s">
        <v>35</v>
      </c>
      <c r="I3710" t="s">
        <v>36</v>
      </c>
      <c r="J3710" t="s">
        <v>37</v>
      </c>
      <c r="K3710" t="s">
        <v>33</v>
      </c>
      <c r="L3710">
        <v>1</v>
      </c>
      <c r="M3710">
        <v>1</v>
      </c>
      <c r="N3710">
        <v>6.6</v>
      </c>
      <c r="O3710">
        <v>9</v>
      </c>
      <c r="P3710">
        <v>6</v>
      </c>
      <c r="Q3710">
        <v>7</v>
      </c>
      <c r="R3710">
        <v>794386</v>
      </c>
      <c r="S3710">
        <f>Table1[[#This Row],[Revenue]]-Table1[[#This Row],[Operating_Costs]]</f>
        <v>379556</v>
      </c>
      <c r="T3710">
        <v>414830</v>
      </c>
      <c r="U3710">
        <v>26</v>
      </c>
      <c r="V3710">
        <v>66</v>
      </c>
      <c r="W3710">
        <v>6.4</v>
      </c>
    </row>
    <row r="3711" spans="1:23" x14ac:dyDescent="0.25">
      <c r="A3711">
        <v>10</v>
      </c>
      <c r="B3711" t="s">
        <v>34</v>
      </c>
      <c r="C3711" s="1">
        <v>44254</v>
      </c>
      <c r="D3711" t="s">
        <v>71</v>
      </c>
      <c r="E3711">
        <v>0</v>
      </c>
      <c r="F3711">
        <v>89</v>
      </c>
      <c r="G3711" t="str">
        <f t="shared" si="65"/>
        <v>81+</v>
      </c>
      <c r="H3711" t="s">
        <v>35</v>
      </c>
      <c r="I3711" t="s">
        <v>40</v>
      </c>
      <c r="J3711" t="s">
        <v>41</v>
      </c>
      <c r="K3711" t="s">
        <v>38</v>
      </c>
      <c r="L3711">
        <v>1</v>
      </c>
      <c r="M3711">
        <v>1</v>
      </c>
      <c r="N3711">
        <v>6.4</v>
      </c>
      <c r="O3711">
        <v>7.1</v>
      </c>
      <c r="P3711">
        <v>6</v>
      </c>
      <c r="Q3711">
        <v>5</v>
      </c>
      <c r="R3711">
        <v>923398</v>
      </c>
      <c r="S3711">
        <f>Table1[[#This Row],[Revenue]]-Table1[[#This Row],[Operating_Costs]]</f>
        <v>390423</v>
      </c>
      <c r="T3711">
        <v>532975</v>
      </c>
      <c r="U3711">
        <v>55</v>
      </c>
      <c r="V3711">
        <v>64</v>
      </c>
      <c r="W3711">
        <v>8.1999999999999993</v>
      </c>
    </row>
    <row r="3712" spans="1:23" x14ac:dyDescent="0.25">
      <c r="A3712">
        <v>11</v>
      </c>
      <c r="B3712" t="s">
        <v>63</v>
      </c>
      <c r="C3712" s="1">
        <v>45521</v>
      </c>
      <c r="D3712" t="s">
        <v>71</v>
      </c>
      <c r="E3712">
        <v>0</v>
      </c>
      <c r="F3712">
        <v>82</v>
      </c>
      <c r="G3712" t="str">
        <f t="shared" si="65"/>
        <v>81+</v>
      </c>
      <c r="H3712" t="s">
        <v>23</v>
      </c>
      <c r="I3712" t="s">
        <v>31</v>
      </c>
      <c r="J3712" t="s">
        <v>28</v>
      </c>
      <c r="K3712" t="s">
        <v>26</v>
      </c>
      <c r="L3712">
        <v>1</v>
      </c>
      <c r="M3712">
        <v>1</v>
      </c>
      <c r="N3712">
        <v>4.5</v>
      </c>
      <c r="O3712">
        <v>9.1999999999999993</v>
      </c>
      <c r="P3712">
        <v>3</v>
      </c>
      <c r="Q3712">
        <v>5</v>
      </c>
      <c r="R3712">
        <v>741816</v>
      </c>
      <c r="S3712">
        <f>Table1[[#This Row],[Revenue]]-Table1[[#This Row],[Operating_Costs]]</f>
        <v>171515</v>
      </c>
      <c r="T3712">
        <v>570301</v>
      </c>
      <c r="U3712">
        <v>33</v>
      </c>
      <c r="V3712">
        <v>55</v>
      </c>
      <c r="W3712">
        <v>14.6</v>
      </c>
    </row>
    <row r="3713" spans="1:23" x14ac:dyDescent="0.25">
      <c r="A3713">
        <v>11</v>
      </c>
      <c r="B3713" t="s">
        <v>63</v>
      </c>
      <c r="C3713" s="1">
        <v>45011</v>
      </c>
      <c r="D3713" t="s">
        <v>71</v>
      </c>
      <c r="E3713">
        <v>0</v>
      </c>
      <c r="F3713">
        <v>25</v>
      </c>
      <c r="G3713" t="str">
        <f t="shared" si="65"/>
        <v>21-40</v>
      </c>
      <c r="H3713" t="s">
        <v>23</v>
      </c>
      <c r="I3713" t="s">
        <v>46</v>
      </c>
      <c r="J3713" t="s">
        <v>47</v>
      </c>
      <c r="K3713" t="s">
        <v>33</v>
      </c>
      <c r="L3713">
        <v>1</v>
      </c>
      <c r="M3713">
        <v>1</v>
      </c>
      <c r="N3713">
        <v>2.2999999999999998</v>
      </c>
      <c r="O3713">
        <v>9</v>
      </c>
      <c r="P3713">
        <v>7</v>
      </c>
      <c r="Q3713">
        <v>3</v>
      </c>
      <c r="R3713">
        <v>673851</v>
      </c>
      <c r="S3713">
        <f>Table1[[#This Row],[Revenue]]-Table1[[#This Row],[Operating_Costs]]</f>
        <v>151530</v>
      </c>
      <c r="T3713">
        <v>522321</v>
      </c>
      <c r="U3713">
        <v>35</v>
      </c>
      <c r="V3713">
        <v>60</v>
      </c>
      <c r="W3713">
        <v>8.6</v>
      </c>
    </row>
    <row r="3714" spans="1:23" x14ac:dyDescent="0.25">
      <c r="A3714">
        <v>11</v>
      </c>
      <c r="B3714" t="s">
        <v>63</v>
      </c>
      <c r="C3714" s="1">
        <v>44429</v>
      </c>
      <c r="D3714" t="s">
        <v>71</v>
      </c>
      <c r="E3714">
        <v>0</v>
      </c>
      <c r="F3714">
        <v>24</v>
      </c>
      <c r="G3714" t="str">
        <f t="shared" si="65"/>
        <v>21-40</v>
      </c>
      <c r="H3714" t="s">
        <v>35</v>
      </c>
      <c r="I3714" t="s">
        <v>40</v>
      </c>
      <c r="J3714" t="s">
        <v>41</v>
      </c>
      <c r="K3714" t="s">
        <v>38</v>
      </c>
      <c r="L3714">
        <v>1</v>
      </c>
      <c r="M3714">
        <v>1</v>
      </c>
      <c r="N3714">
        <v>2.1</v>
      </c>
      <c r="O3714">
        <v>9</v>
      </c>
      <c r="P3714">
        <v>7</v>
      </c>
      <c r="Q3714">
        <v>3</v>
      </c>
      <c r="R3714">
        <v>635080</v>
      </c>
      <c r="S3714">
        <f>Table1[[#This Row],[Revenue]]-Table1[[#This Row],[Operating_Costs]]</f>
        <v>132820</v>
      </c>
      <c r="T3714">
        <v>502260</v>
      </c>
      <c r="U3714">
        <v>20</v>
      </c>
      <c r="V3714">
        <v>59</v>
      </c>
      <c r="W3714">
        <v>6.8</v>
      </c>
    </row>
    <row r="3715" spans="1:23" x14ac:dyDescent="0.25">
      <c r="A3715">
        <v>11</v>
      </c>
      <c r="B3715" t="s">
        <v>63</v>
      </c>
      <c r="C3715" s="1">
        <v>45439</v>
      </c>
      <c r="D3715" t="s">
        <v>71</v>
      </c>
      <c r="E3715">
        <v>0</v>
      </c>
      <c r="F3715">
        <v>43</v>
      </c>
      <c r="G3715" t="str">
        <f t="shared" ref="G3715:G3778" si="66">IF(F3715&lt;=20,"0-20",IF(F3715&lt;=40,"21-40",IF(F3715&lt;=60,"41-60",IF(F3715&lt;=80,"61-80","81+"))))</f>
        <v>41-60</v>
      </c>
      <c r="H3715" t="s">
        <v>35</v>
      </c>
      <c r="I3715" t="s">
        <v>55</v>
      </c>
      <c r="J3715" t="s">
        <v>56</v>
      </c>
      <c r="K3715" t="s">
        <v>26</v>
      </c>
      <c r="L3715">
        <v>1</v>
      </c>
      <c r="M3715">
        <v>1</v>
      </c>
      <c r="N3715">
        <v>1.1000000000000001</v>
      </c>
      <c r="O3715">
        <v>7.2</v>
      </c>
      <c r="P3715">
        <v>4</v>
      </c>
      <c r="Q3715">
        <v>5</v>
      </c>
      <c r="R3715">
        <v>646509</v>
      </c>
      <c r="S3715">
        <f>Table1[[#This Row],[Revenue]]-Table1[[#This Row],[Operating_Costs]]</f>
        <v>71596</v>
      </c>
      <c r="T3715">
        <v>574913</v>
      </c>
      <c r="U3715">
        <v>33</v>
      </c>
      <c r="V3715">
        <v>59</v>
      </c>
      <c r="W3715">
        <v>7.4</v>
      </c>
    </row>
    <row r="3716" spans="1:23" x14ac:dyDescent="0.25">
      <c r="A3716">
        <v>11</v>
      </c>
      <c r="B3716" t="s">
        <v>63</v>
      </c>
      <c r="C3716" s="1">
        <v>44327</v>
      </c>
      <c r="D3716" t="s">
        <v>71</v>
      </c>
      <c r="E3716">
        <v>0</v>
      </c>
      <c r="F3716">
        <v>39</v>
      </c>
      <c r="G3716" t="str">
        <f t="shared" si="66"/>
        <v>21-40</v>
      </c>
      <c r="H3716" t="s">
        <v>23</v>
      </c>
      <c r="I3716" t="s">
        <v>43</v>
      </c>
      <c r="J3716" t="s">
        <v>25</v>
      </c>
      <c r="K3716" t="s">
        <v>29</v>
      </c>
      <c r="L3716">
        <v>1</v>
      </c>
      <c r="M3716">
        <v>1</v>
      </c>
      <c r="N3716">
        <v>6.1</v>
      </c>
      <c r="O3716">
        <v>10</v>
      </c>
      <c r="P3716">
        <v>4</v>
      </c>
      <c r="Q3716">
        <v>3</v>
      </c>
      <c r="R3716">
        <v>737101</v>
      </c>
      <c r="S3716">
        <f>Table1[[#This Row],[Revenue]]-Table1[[#This Row],[Operating_Costs]]</f>
        <v>189311</v>
      </c>
      <c r="T3716">
        <v>547790</v>
      </c>
      <c r="U3716">
        <v>26</v>
      </c>
      <c r="V3716">
        <v>65</v>
      </c>
      <c r="W3716">
        <v>5.7</v>
      </c>
    </row>
    <row r="3717" spans="1:23" x14ac:dyDescent="0.25">
      <c r="A3717">
        <v>10</v>
      </c>
      <c r="B3717" t="s">
        <v>34</v>
      </c>
      <c r="C3717" s="1">
        <v>44776</v>
      </c>
      <c r="D3717" t="s">
        <v>71</v>
      </c>
      <c r="E3717">
        <v>0</v>
      </c>
      <c r="F3717">
        <v>36</v>
      </c>
      <c r="G3717" t="str">
        <f t="shared" si="66"/>
        <v>21-40</v>
      </c>
      <c r="H3717" t="s">
        <v>23</v>
      </c>
      <c r="I3717" t="s">
        <v>55</v>
      </c>
      <c r="J3717" t="s">
        <v>56</v>
      </c>
      <c r="K3717" t="s">
        <v>29</v>
      </c>
      <c r="L3717">
        <v>1</v>
      </c>
      <c r="M3717">
        <v>1</v>
      </c>
      <c r="N3717">
        <v>2.9</v>
      </c>
      <c r="O3717">
        <v>9.8000000000000007</v>
      </c>
      <c r="P3717">
        <v>3</v>
      </c>
      <c r="Q3717">
        <v>6</v>
      </c>
      <c r="R3717">
        <v>808881</v>
      </c>
      <c r="S3717">
        <f>Table1[[#This Row],[Revenue]]-Table1[[#This Row],[Operating_Costs]]</f>
        <v>149038</v>
      </c>
      <c r="T3717">
        <v>659843</v>
      </c>
      <c r="U3717">
        <v>66</v>
      </c>
      <c r="V3717">
        <v>54</v>
      </c>
      <c r="W3717">
        <v>36.1</v>
      </c>
    </row>
    <row r="3718" spans="1:23" x14ac:dyDescent="0.25">
      <c r="A3718">
        <v>11</v>
      </c>
      <c r="B3718" t="s">
        <v>63</v>
      </c>
      <c r="C3718" s="1">
        <v>45473</v>
      </c>
      <c r="D3718" t="s">
        <v>71</v>
      </c>
      <c r="E3718">
        <v>0</v>
      </c>
      <c r="F3718">
        <v>34</v>
      </c>
      <c r="G3718" t="str">
        <f t="shared" si="66"/>
        <v>21-40</v>
      </c>
      <c r="H3718" t="s">
        <v>35</v>
      </c>
      <c r="I3718" t="s">
        <v>36</v>
      </c>
      <c r="J3718" t="s">
        <v>37</v>
      </c>
      <c r="K3718" t="s">
        <v>38</v>
      </c>
      <c r="L3718">
        <v>1</v>
      </c>
      <c r="M3718">
        <v>1</v>
      </c>
      <c r="N3718">
        <v>6.5</v>
      </c>
      <c r="O3718">
        <v>9.9</v>
      </c>
      <c r="P3718">
        <v>6</v>
      </c>
      <c r="Q3718">
        <v>6</v>
      </c>
      <c r="R3718">
        <v>652025</v>
      </c>
      <c r="S3718">
        <f>Table1[[#This Row],[Revenue]]-Table1[[#This Row],[Operating_Costs]]</f>
        <v>175245</v>
      </c>
      <c r="T3718">
        <v>476780</v>
      </c>
      <c r="U3718">
        <v>30</v>
      </c>
      <c r="V3718">
        <v>59</v>
      </c>
      <c r="W3718">
        <v>9.1999999999999993</v>
      </c>
    </row>
    <row r="3719" spans="1:23" x14ac:dyDescent="0.25">
      <c r="A3719">
        <v>10</v>
      </c>
      <c r="B3719" t="s">
        <v>34</v>
      </c>
      <c r="C3719" s="1">
        <v>45184</v>
      </c>
      <c r="D3719" t="s">
        <v>71</v>
      </c>
      <c r="E3719">
        <v>0</v>
      </c>
      <c r="F3719">
        <v>50</v>
      </c>
      <c r="G3719" t="str">
        <f t="shared" si="66"/>
        <v>41-60</v>
      </c>
      <c r="H3719" t="s">
        <v>35</v>
      </c>
      <c r="I3719" t="s">
        <v>31</v>
      </c>
      <c r="J3719" t="s">
        <v>28</v>
      </c>
      <c r="K3719" t="s">
        <v>26</v>
      </c>
      <c r="L3719">
        <v>1</v>
      </c>
      <c r="M3719">
        <v>1</v>
      </c>
      <c r="N3719">
        <v>3.1</v>
      </c>
      <c r="O3719">
        <v>9</v>
      </c>
      <c r="P3719">
        <v>7</v>
      </c>
      <c r="Q3719">
        <v>4</v>
      </c>
      <c r="R3719">
        <v>871388</v>
      </c>
      <c r="S3719">
        <f>Table1[[#This Row],[Revenue]]-Table1[[#This Row],[Operating_Costs]]</f>
        <v>249934</v>
      </c>
      <c r="T3719">
        <v>621454</v>
      </c>
      <c r="U3719">
        <v>55</v>
      </c>
      <c r="V3719">
        <v>61</v>
      </c>
      <c r="W3719">
        <v>8.6999999999999993</v>
      </c>
    </row>
    <row r="3720" spans="1:23" x14ac:dyDescent="0.25">
      <c r="A3720">
        <v>11</v>
      </c>
      <c r="B3720" t="s">
        <v>63</v>
      </c>
      <c r="C3720" s="1">
        <v>45652</v>
      </c>
      <c r="D3720" t="s">
        <v>71</v>
      </c>
      <c r="E3720">
        <v>0</v>
      </c>
      <c r="F3720">
        <v>43</v>
      </c>
      <c r="G3720" t="str">
        <f t="shared" si="66"/>
        <v>41-60</v>
      </c>
      <c r="H3720" t="s">
        <v>35</v>
      </c>
      <c r="I3720" t="s">
        <v>27</v>
      </c>
      <c r="J3720" t="s">
        <v>28</v>
      </c>
      <c r="K3720" t="s">
        <v>42</v>
      </c>
      <c r="L3720">
        <v>1</v>
      </c>
      <c r="M3720">
        <v>1</v>
      </c>
      <c r="N3720">
        <v>1.4</v>
      </c>
      <c r="O3720">
        <v>8.5</v>
      </c>
      <c r="P3720">
        <v>6</v>
      </c>
      <c r="Q3720">
        <v>5</v>
      </c>
      <c r="R3720">
        <v>739068</v>
      </c>
      <c r="S3720">
        <f>Table1[[#This Row],[Revenue]]-Table1[[#This Row],[Operating_Costs]]</f>
        <v>183783</v>
      </c>
      <c r="T3720">
        <v>555285</v>
      </c>
      <c r="U3720">
        <v>30</v>
      </c>
      <c r="V3720">
        <v>58</v>
      </c>
      <c r="W3720">
        <v>9.1</v>
      </c>
    </row>
    <row r="3721" spans="1:23" x14ac:dyDescent="0.25">
      <c r="A3721">
        <v>10</v>
      </c>
      <c r="B3721" t="s">
        <v>34</v>
      </c>
      <c r="C3721" s="1">
        <v>45192</v>
      </c>
      <c r="D3721" t="s">
        <v>71</v>
      </c>
      <c r="E3721">
        <v>0</v>
      </c>
      <c r="F3721">
        <v>30</v>
      </c>
      <c r="G3721" t="str">
        <f t="shared" si="66"/>
        <v>21-40</v>
      </c>
      <c r="H3721" t="s">
        <v>35</v>
      </c>
      <c r="I3721" t="s">
        <v>36</v>
      </c>
      <c r="J3721" t="s">
        <v>37</v>
      </c>
      <c r="K3721" t="s">
        <v>33</v>
      </c>
      <c r="L3721">
        <v>1</v>
      </c>
      <c r="M3721">
        <v>1</v>
      </c>
      <c r="N3721">
        <v>3.9</v>
      </c>
      <c r="O3721">
        <v>8.6</v>
      </c>
      <c r="P3721">
        <v>4</v>
      </c>
      <c r="Q3721">
        <v>4</v>
      </c>
      <c r="R3721">
        <v>881912</v>
      </c>
      <c r="S3721">
        <f>Table1[[#This Row],[Revenue]]-Table1[[#This Row],[Operating_Costs]]</f>
        <v>210981</v>
      </c>
      <c r="T3721">
        <v>670931</v>
      </c>
      <c r="U3721">
        <v>67</v>
      </c>
      <c r="V3721">
        <v>61</v>
      </c>
      <c r="W3721">
        <v>6.8</v>
      </c>
    </row>
    <row r="3722" spans="1:23" x14ac:dyDescent="0.25">
      <c r="A3722">
        <v>11</v>
      </c>
      <c r="B3722" t="s">
        <v>63</v>
      </c>
      <c r="C3722" s="1">
        <v>45286</v>
      </c>
      <c r="D3722" t="s">
        <v>71</v>
      </c>
      <c r="E3722">
        <v>0</v>
      </c>
      <c r="F3722">
        <v>25</v>
      </c>
      <c r="G3722" t="str">
        <f t="shared" si="66"/>
        <v>21-40</v>
      </c>
      <c r="H3722" t="s">
        <v>23</v>
      </c>
      <c r="I3722" t="s">
        <v>43</v>
      </c>
      <c r="J3722" t="s">
        <v>25</v>
      </c>
      <c r="K3722" t="s">
        <v>42</v>
      </c>
      <c r="L3722">
        <v>1</v>
      </c>
      <c r="M3722">
        <v>1</v>
      </c>
      <c r="N3722">
        <v>6.5</v>
      </c>
      <c r="O3722">
        <v>8.3000000000000007</v>
      </c>
      <c r="P3722">
        <v>7</v>
      </c>
      <c r="Q3722">
        <v>3</v>
      </c>
      <c r="R3722">
        <v>730460</v>
      </c>
      <c r="S3722">
        <f>Table1[[#This Row],[Revenue]]-Table1[[#This Row],[Operating_Costs]]</f>
        <v>232532</v>
      </c>
      <c r="T3722">
        <v>497928</v>
      </c>
      <c r="U3722">
        <v>29</v>
      </c>
      <c r="V3722">
        <v>58</v>
      </c>
      <c r="W3722">
        <v>13.3</v>
      </c>
    </row>
    <row r="3723" spans="1:23" x14ac:dyDescent="0.25">
      <c r="A3723">
        <v>11</v>
      </c>
      <c r="B3723" t="s">
        <v>63</v>
      </c>
      <c r="C3723" s="1">
        <v>44728</v>
      </c>
      <c r="D3723" t="s">
        <v>71</v>
      </c>
      <c r="E3723">
        <v>0</v>
      </c>
      <c r="F3723">
        <v>33</v>
      </c>
      <c r="G3723" t="str">
        <f t="shared" si="66"/>
        <v>21-40</v>
      </c>
      <c r="H3723" t="s">
        <v>35</v>
      </c>
      <c r="I3723" t="s">
        <v>36</v>
      </c>
      <c r="J3723" t="s">
        <v>37</v>
      </c>
      <c r="K3723" t="s">
        <v>33</v>
      </c>
      <c r="L3723">
        <v>1</v>
      </c>
      <c r="M3723">
        <v>1</v>
      </c>
      <c r="N3723">
        <v>3.1</v>
      </c>
      <c r="O3723">
        <v>8.5</v>
      </c>
      <c r="P3723">
        <v>3</v>
      </c>
      <c r="Q3723">
        <v>4</v>
      </c>
      <c r="R3723">
        <v>717080</v>
      </c>
      <c r="S3723">
        <f>Table1[[#This Row],[Revenue]]-Table1[[#This Row],[Operating_Costs]]</f>
        <v>212636</v>
      </c>
      <c r="T3723">
        <v>504444</v>
      </c>
      <c r="U3723">
        <v>20</v>
      </c>
      <c r="V3723">
        <v>63</v>
      </c>
      <c r="W3723">
        <v>8.5</v>
      </c>
    </row>
    <row r="3724" spans="1:23" x14ac:dyDescent="0.25">
      <c r="A3724">
        <v>11</v>
      </c>
      <c r="B3724" t="s">
        <v>63</v>
      </c>
      <c r="C3724" s="1">
        <v>45149</v>
      </c>
      <c r="D3724" t="s">
        <v>71</v>
      </c>
      <c r="E3724">
        <v>0</v>
      </c>
      <c r="F3724">
        <v>75</v>
      </c>
      <c r="G3724" t="str">
        <f t="shared" si="66"/>
        <v>61-80</v>
      </c>
      <c r="H3724" t="s">
        <v>35</v>
      </c>
      <c r="I3724" t="s">
        <v>50</v>
      </c>
      <c r="J3724" t="s">
        <v>51</v>
      </c>
      <c r="K3724" t="s">
        <v>26</v>
      </c>
      <c r="L3724">
        <v>1</v>
      </c>
      <c r="M3724">
        <v>1</v>
      </c>
      <c r="N3724">
        <v>4.3</v>
      </c>
      <c r="O3724">
        <v>9.5</v>
      </c>
      <c r="P3724">
        <v>5</v>
      </c>
      <c r="Q3724">
        <v>6</v>
      </c>
      <c r="R3724">
        <v>630489</v>
      </c>
      <c r="S3724">
        <f>Table1[[#This Row],[Revenue]]-Table1[[#This Row],[Operating_Costs]]</f>
        <v>190150</v>
      </c>
      <c r="T3724">
        <v>440339</v>
      </c>
      <c r="U3724">
        <v>23</v>
      </c>
      <c r="V3724">
        <v>56</v>
      </c>
      <c r="W3724">
        <v>12</v>
      </c>
    </row>
    <row r="3725" spans="1:23" x14ac:dyDescent="0.25">
      <c r="A3725">
        <v>11</v>
      </c>
      <c r="B3725" t="s">
        <v>63</v>
      </c>
      <c r="C3725" s="1">
        <v>44796</v>
      </c>
      <c r="D3725" t="s">
        <v>71</v>
      </c>
      <c r="E3725">
        <v>0</v>
      </c>
      <c r="F3725">
        <v>39</v>
      </c>
      <c r="G3725" t="str">
        <f t="shared" si="66"/>
        <v>21-40</v>
      </c>
      <c r="H3725" t="s">
        <v>23</v>
      </c>
      <c r="I3725" t="s">
        <v>43</v>
      </c>
      <c r="J3725" t="s">
        <v>25</v>
      </c>
      <c r="K3725" t="s">
        <v>26</v>
      </c>
      <c r="L3725">
        <v>1</v>
      </c>
      <c r="M3725">
        <v>1</v>
      </c>
      <c r="N3725">
        <v>2.7</v>
      </c>
      <c r="O3725">
        <v>10</v>
      </c>
      <c r="P3725">
        <v>7</v>
      </c>
      <c r="Q3725">
        <v>3</v>
      </c>
      <c r="R3725">
        <v>699370</v>
      </c>
      <c r="S3725">
        <f>Table1[[#This Row],[Revenue]]-Table1[[#This Row],[Operating_Costs]]</f>
        <v>206445</v>
      </c>
      <c r="T3725">
        <v>492925</v>
      </c>
      <c r="U3725">
        <v>26</v>
      </c>
      <c r="V3725">
        <v>54</v>
      </c>
      <c r="W3725">
        <v>8.8000000000000007</v>
      </c>
    </row>
    <row r="3726" spans="1:23" x14ac:dyDescent="0.25">
      <c r="A3726">
        <v>10</v>
      </c>
      <c r="B3726" t="s">
        <v>34</v>
      </c>
      <c r="C3726" s="1">
        <v>45521</v>
      </c>
      <c r="D3726" t="s">
        <v>71</v>
      </c>
      <c r="E3726">
        <v>0</v>
      </c>
      <c r="F3726">
        <v>60</v>
      </c>
      <c r="G3726" t="str">
        <f t="shared" si="66"/>
        <v>41-60</v>
      </c>
      <c r="H3726" t="s">
        <v>23</v>
      </c>
      <c r="I3726" t="s">
        <v>55</v>
      </c>
      <c r="J3726" t="s">
        <v>56</v>
      </c>
      <c r="K3726" t="s">
        <v>29</v>
      </c>
      <c r="L3726">
        <v>1</v>
      </c>
      <c r="M3726">
        <v>1</v>
      </c>
      <c r="N3726">
        <v>4.4000000000000004</v>
      </c>
      <c r="O3726">
        <v>9.4</v>
      </c>
      <c r="P3726">
        <v>5</v>
      </c>
      <c r="Q3726">
        <v>5</v>
      </c>
      <c r="R3726">
        <v>968512</v>
      </c>
      <c r="S3726">
        <f>Table1[[#This Row],[Revenue]]-Table1[[#This Row],[Operating_Costs]]</f>
        <v>387214</v>
      </c>
      <c r="T3726">
        <v>581298</v>
      </c>
      <c r="U3726">
        <v>66</v>
      </c>
      <c r="V3726">
        <v>55</v>
      </c>
      <c r="W3726">
        <v>10.9</v>
      </c>
    </row>
    <row r="3727" spans="1:23" x14ac:dyDescent="0.25">
      <c r="A3727">
        <v>11</v>
      </c>
      <c r="B3727" t="s">
        <v>63</v>
      </c>
      <c r="C3727" s="1">
        <v>44382</v>
      </c>
      <c r="D3727" t="s">
        <v>71</v>
      </c>
      <c r="E3727">
        <v>0</v>
      </c>
      <c r="F3727">
        <v>55</v>
      </c>
      <c r="G3727" t="str">
        <f t="shared" si="66"/>
        <v>41-60</v>
      </c>
      <c r="H3727" t="s">
        <v>23</v>
      </c>
      <c r="I3727" t="s">
        <v>31</v>
      </c>
      <c r="J3727" t="s">
        <v>28</v>
      </c>
      <c r="K3727" t="s">
        <v>29</v>
      </c>
      <c r="L3727">
        <v>1</v>
      </c>
      <c r="M3727">
        <v>1</v>
      </c>
      <c r="N3727">
        <v>4.7</v>
      </c>
      <c r="O3727">
        <v>9.6</v>
      </c>
      <c r="P3727">
        <v>5</v>
      </c>
      <c r="Q3727">
        <v>3</v>
      </c>
      <c r="R3727">
        <v>770781</v>
      </c>
      <c r="S3727">
        <f>Table1[[#This Row],[Revenue]]-Table1[[#This Row],[Operating_Costs]]</f>
        <v>270018</v>
      </c>
      <c r="T3727">
        <v>500763</v>
      </c>
      <c r="U3727">
        <v>30</v>
      </c>
      <c r="V3727">
        <v>66</v>
      </c>
      <c r="W3727">
        <v>10.4</v>
      </c>
    </row>
    <row r="3728" spans="1:23" x14ac:dyDescent="0.25">
      <c r="A3728">
        <v>10</v>
      </c>
      <c r="B3728" t="s">
        <v>34</v>
      </c>
      <c r="C3728" s="1">
        <v>44349</v>
      </c>
      <c r="D3728" t="s">
        <v>71</v>
      </c>
      <c r="E3728">
        <v>0</v>
      </c>
      <c r="F3728">
        <v>27</v>
      </c>
      <c r="G3728" t="str">
        <f t="shared" si="66"/>
        <v>21-40</v>
      </c>
      <c r="H3728" t="s">
        <v>23</v>
      </c>
      <c r="I3728" t="s">
        <v>27</v>
      </c>
      <c r="J3728" t="s">
        <v>28</v>
      </c>
      <c r="K3728" t="s">
        <v>42</v>
      </c>
      <c r="L3728">
        <v>1</v>
      </c>
      <c r="M3728">
        <v>1</v>
      </c>
      <c r="N3728">
        <v>3.6</v>
      </c>
      <c r="O3728">
        <v>7.4</v>
      </c>
      <c r="P3728">
        <v>6</v>
      </c>
      <c r="Q3728">
        <v>4</v>
      </c>
      <c r="R3728">
        <v>861764</v>
      </c>
      <c r="S3728">
        <f>Table1[[#This Row],[Revenue]]-Table1[[#This Row],[Operating_Costs]]</f>
        <v>213232</v>
      </c>
      <c r="T3728">
        <v>648532</v>
      </c>
      <c r="U3728">
        <v>52</v>
      </c>
      <c r="V3728">
        <v>56</v>
      </c>
      <c r="W3728">
        <v>7.2</v>
      </c>
    </row>
    <row r="3729" spans="1:23" x14ac:dyDescent="0.25">
      <c r="A3729">
        <v>11</v>
      </c>
      <c r="B3729" t="s">
        <v>63</v>
      </c>
      <c r="C3729" s="1">
        <v>45108</v>
      </c>
      <c r="D3729" t="s">
        <v>71</v>
      </c>
      <c r="E3729">
        <v>0</v>
      </c>
      <c r="F3729">
        <v>59</v>
      </c>
      <c r="G3729" t="str">
        <f t="shared" si="66"/>
        <v>41-60</v>
      </c>
      <c r="H3729" t="s">
        <v>23</v>
      </c>
      <c r="I3729" t="s">
        <v>61</v>
      </c>
      <c r="J3729" t="s">
        <v>62</v>
      </c>
      <c r="K3729" t="s">
        <v>33</v>
      </c>
      <c r="L3729">
        <v>1</v>
      </c>
      <c r="M3729">
        <v>1</v>
      </c>
      <c r="N3729">
        <v>3.8</v>
      </c>
      <c r="O3729">
        <v>8.1</v>
      </c>
      <c r="P3729">
        <v>3</v>
      </c>
      <c r="Q3729">
        <v>6</v>
      </c>
      <c r="R3729">
        <v>729037</v>
      </c>
      <c r="S3729">
        <f>Table1[[#This Row],[Revenue]]-Table1[[#This Row],[Operating_Costs]]</f>
        <v>222058</v>
      </c>
      <c r="T3729">
        <v>506979</v>
      </c>
      <c r="U3729">
        <v>33</v>
      </c>
      <c r="V3729">
        <v>56</v>
      </c>
      <c r="W3729">
        <v>9</v>
      </c>
    </row>
    <row r="3730" spans="1:23" x14ac:dyDescent="0.25">
      <c r="A3730">
        <v>11</v>
      </c>
      <c r="B3730" t="s">
        <v>63</v>
      </c>
      <c r="C3730" s="1">
        <v>44972</v>
      </c>
      <c r="D3730" t="s">
        <v>71</v>
      </c>
      <c r="E3730">
        <v>0</v>
      </c>
      <c r="F3730">
        <v>43</v>
      </c>
      <c r="G3730" t="str">
        <f t="shared" si="66"/>
        <v>41-60</v>
      </c>
      <c r="H3730" t="s">
        <v>23</v>
      </c>
      <c r="I3730" t="s">
        <v>55</v>
      </c>
      <c r="J3730" t="s">
        <v>56</v>
      </c>
      <c r="K3730" t="s">
        <v>29</v>
      </c>
      <c r="L3730">
        <v>1</v>
      </c>
      <c r="M3730">
        <v>1</v>
      </c>
      <c r="N3730">
        <v>1.2</v>
      </c>
      <c r="O3730">
        <v>7.4</v>
      </c>
      <c r="P3730">
        <v>3</v>
      </c>
      <c r="Q3730">
        <v>4</v>
      </c>
      <c r="R3730">
        <v>756688</v>
      </c>
      <c r="S3730">
        <f>Table1[[#This Row],[Revenue]]-Table1[[#This Row],[Operating_Costs]]</f>
        <v>178942</v>
      </c>
      <c r="T3730">
        <v>577746</v>
      </c>
      <c r="U3730">
        <v>33</v>
      </c>
      <c r="V3730">
        <v>65</v>
      </c>
      <c r="W3730">
        <v>12.9</v>
      </c>
    </row>
    <row r="3731" spans="1:23" x14ac:dyDescent="0.25">
      <c r="A3731">
        <v>11</v>
      </c>
      <c r="B3731" t="s">
        <v>63</v>
      </c>
      <c r="C3731" s="1">
        <v>44708</v>
      </c>
      <c r="D3731" t="s">
        <v>71</v>
      </c>
      <c r="E3731">
        <v>0</v>
      </c>
      <c r="F3731">
        <v>81</v>
      </c>
      <c r="G3731" t="str">
        <f t="shared" si="66"/>
        <v>81+</v>
      </c>
      <c r="H3731" t="s">
        <v>35</v>
      </c>
      <c r="I3731" t="s">
        <v>31</v>
      </c>
      <c r="J3731" t="s">
        <v>28</v>
      </c>
      <c r="K3731" t="s">
        <v>29</v>
      </c>
      <c r="L3731">
        <v>1</v>
      </c>
      <c r="M3731">
        <v>1</v>
      </c>
      <c r="N3731">
        <v>3.9</v>
      </c>
      <c r="O3731">
        <v>7</v>
      </c>
      <c r="P3731">
        <v>7</v>
      </c>
      <c r="Q3731">
        <v>7</v>
      </c>
      <c r="R3731">
        <v>725214</v>
      </c>
      <c r="S3731">
        <f>Table1[[#This Row],[Revenue]]-Table1[[#This Row],[Operating_Costs]]</f>
        <v>255437</v>
      </c>
      <c r="T3731">
        <v>469777</v>
      </c>
      <c r="U3731">
        <v>20</v>
      </c>
      <c r="V3731">
        <v>61</v>
      </c>
      <c r="W3731">
        <v>36.799999999999997</v>
      </c>
    </row>
    <row r="3732" spans="1:23" x14ac:dyDescent="0.25">
      <c r="A3732">
        <v>11</v>
      </c>
      <c r="B3732" t="s">
        <v>63</v>
      </c>
      <c r="C3732" s="1">
        <v>44420</v>
      </c>
      <c r="D3732" t="s">
        <v>71</v>
      </c>
      <c r="E3732">
        <v>0</v>
      </c>
      <c r="F3732">
        <v>79</v>
      </c>
      <c r="G3732" t="str">
        <f t="shared" si="66"/>
        <v>61-80</v>
      </c>
      <c r="H3732" t="s">
        <v>23</v>
      </c>
      <c r="I3732" t="s">
        <v>40</v>
      </c>
      <c r="J3732" t="s">
        <v>41</v>
      </c>
      <c r="K3732" t="s">
        <v>29</v>
      </c>
      <c r="L3732">
        <v>1</v>
      </c>
      <c r="M3732">
        <v>1</v>
      </c>
      <c r="N3732">
        <v>6.4</v>
      </c>
      <c r="O3732">
        <v>9.4</v>
      </c>
      <c r="P3732">
        <v>3</v>
      </c>
      <c r="Q3732">
        <v>3</v>
      </c>
      <c r="R3732">
        <v>699779</v>
      </c>
      <c r="S3732">
        <f>Table1[[#This Row],[Revenue]]-Table1[[#This Row],[Operating_Costs]]</f>
        <v>129162</v>
      </c>
      <c r="T3732">
        <v>570617</v>
      </c>
      <c r="U3732">
        <v>27</v>
      </c>
      <c r="V3732">
        <v>64</v>
      </c>
      <c r="W3732">
        <v>5.2</v>
      </c>
    </row>
    <row r="3733" spans="1:23" x14ac:dyDescent="0.25">
      <c r="A3733">
        <v>11</v>
      </c>
      <c r="B3733" t="s">
        <v>63</v>
      </c>
      <c r="C3733" s="1">
        <v>44332</v>
      </c>
      <c r="D3733" t="s">
        <v>71</v>
      </c>
      <c r="E3733">
        <v>0</v>
      </c>
      <c r="F3733">
        <v>57</v>
      </c>
      <c r="G3733" t="str">
        <f t="shared" si="66"/>
        <v>41-60</v>
      </c>
      <c r="H3733" t="s">
        <v>23</v>
      </c>
      <c r="I3733" t="s">
        <v>61</v>
      </c>
      <c r="J3733" t="s">
        <v>62</v>
      </c>
      <c r="K3733" t="s">
        <v>26</v>
      </c>
      <c r="L3733">
        <v>1</v>
      </c>
      <c r="M3733">
        <v>1</v>
      </c>
      <c r="N3733">
        <v>4.2</v>
      </c>
      <c r="O3733">
        <v>7.5</v>
      </c>
      <c r="P3733">
        <v>3</v>
      </c>
      <c r="Q3733">
        <v>5</v>
      </c>
      <c r="R3733">
        <v>747267</v>
      </c>
      <c r="S3733">
        <f>Table1[[#This Row],[Revenue]]-Table1[[#This Row],[Operating_Costs]]</f>
        <v>311895</v>
      </c>
      <c r="T3733">
        <v>435372</v>
      </c>
      <c r="U3733">
        <v>26</v>
      </c>
      <c r="V3733">
        <v>62</v>
      </c>
      <c r="W3733">
        <v>8.9</v>
      </c>
    </row>
    <row r="3734" spans="1:23" x14ac:dyDescent="0.25">
      <c r="A3734">
        <v>11</v>
      </c>
      <c r="B3734" t="s">
        <v>63</v>
      </c>
      <c r="C3734" s="1">
        <v>45379</v>
      </c>
      <c r="D3734" t="s">
        <v>71</v>
      </c>
      <c r="E3734">
        <v>0</v>
      </c>
      <c r="F3734">
        <v>51</v>
      </c>
      <c r="G3734" t="str">
        <f t="shared" si="66"/>
        <v>41-60</v>
      </c>
      <c r="H3734" t="s">
        <v>35</v>
      </c>
      <c r="I3734" t="s">
        <v>36</v>
      </c>
      <c r="J3734" t="s">
        <v>37</v>
      </c>
      <c r="K3734" t="s">
        <v>33</v>
      </c>
      <c r="L3734">
        <v>1</v>
      </c>
      <c r="M3734">
        <v>1</v>
      </c>
      <c r="N3734">
        <v>3.7</v>
      </c>
      <c r="O3734">
        <v>8.4</v>
      </c>
      <c r="P3734">
        <v>7</v>
      </c>
      <c r="Q3734">
        <v>3</v>
      </c>
      <c r="R3734">
        <v>727384</v>
      </c>
      <c r="S3734">
        <f>Table1[[#This Row],[Revenue]]-Table1[[#This Row],[Operating_Costs]]</f>
        <v>157396</v>
      </c>
      <c r="T3734">
        <v>569988</v>
      </c>
      <c r="U3734">
        <v>23</v>
      </c>
      <c r="V3734">
        <v>61</v>
      </c>
      <c r="W3734">
        <v>36.799999999999997</v>
      </c>
    </row>
    <row r="3735" spans="1:23" x14ac:dyDescent="0.25">
      <c r="A3735">
        <v>11</v>
      </c>
      <c r="B3735" t="s">
        <v>63</v>
      </c>
      <c r="C3735" s="1">
        <v>44797</v>
      </c>
      <c r="D3735" t="s">
        <v>71</v>
      </c>
      <c r="E3735">
        <v>0</v>
      </c>
      <c r="F3735">
        <v>68</v>
      </c>
      <c r="G3735" t="str">
        <f t="shared" si="66"/>
        <v>61-80</v>
      </c>
      <c r="H3735" t="s">
        <v>35</v>
      </c>
      <c r="I3735" t="s">
        <v>61</v>
      </c>
      <c r="J3735" t="s">
        <v>62</v>
      </c>
      <c r="K3735" t="s">
        <v>33</v>
      </c>
      <c r="L3735">
        <v>1</v>
      </c>
      <c r="M3735">
        <v>1</v>
      </c>
      <c r="N3735">
        <v>4.5</v>
      </c>
      <c r="O3735">
        <v>8.8000000000000007</v>
      </c>
      <c r="P3735">
        <v>3</v>
      </c>
      <c r="Q3735">
        <v>7</v>
      </c>
      <c r="R3735">
        <v>712547</v>
      </c>
      <c r="S3735">
        <f>Table1[[#This Row],[Revenue]]-Table1[[#This Row],[Operating_Costs]]</f>
        <v>223493</v>
      </c>
      <c r="T3735">
        <v>489054</v>
      </c>
      <c r="U3735">
        <v>29</v>
      </c>
      <c r="V3735">
        <v>63</v>
      </c>
      <c r="W3735">
        <v>6.6</v>
      </c>
    </row>
    <row r="3736" spans="1:23" x14ac:dyDescent="0.25">
      <c r="A3736">
        <v>11</v>
      </c>
      <c r="B3736" t="s">
        <v>63</v>
      </c>
      <c r="C3736" s="1">
        <v>44542</v>
      </c>
      <c r="D3736" t="s">
        <v>71</v>
      </c>
      <c r="E3736">
        <v>0</v>
      </c>
      <c r="F3736">
        <v>35</v>
      </c>
      <c r="G3736" t="str">
        <f t="shared" si="66"/>
        <v>21-40</v>
      </c>
      <c r="H3736" t="s">
        <v>35</v>
      </c>
      <c r="I3736" t="s">
        <v>31</v>
      </c>
      <c r="J3736" t="s">
        <v>28</v>
      </c>
      <c r="K3736" t="s">
        <v>29</v>
      </c>
      <c r="L3736">
        <v>1</v>
      </c>
      <c r="M3736">
        <v>1</v>
      </c>
      <c r="N3736">
        <v>5</v>
      </c>
      <c r="O3736">
        <v>7.3</v>
      </c>
      <c r="P3736">
        <v>3</v>
      </c>
      <c r="Q3736">
        <v>4</v>
      </c>
      <c r="R3736">
        <v>759054</v>
      </c>
      <c r="S3736">
        <f>Table1[[#This Row],[Revenue]]-Table1[[#This Row],[Operating_Costs]]</f>
        <v>313742</v>
      </c>
      <c r="T3736">
        <v>445312</v>
      </c>
      <c r="U3736">
        <v>28</v>
      </c>
      <c r="V3736">
        <v>59</v>
      </c>
      <c r="W3736">
        <v>14.6</v>
      </c>
    </row>
    <row r="3737" spans="1:23" x14ac:dyDescent="0.25">
      <c r="A3737">
        <v>11</v>
      </c>
      <c r="B3737" t="s">
        <v>63</v>
      </c>
      <c r="C3737" s="1">
        <v>44526</v>
      </c>
      <c r="D3737" t="s">
        <v>71</v>
      </c>
      <c r="E3737">
        <v>0</v>
      </c>
      <c r="F3737">
        <v>45</v>
      </c>
      <c r="G3737" t="str">
        <f t="shared" si="66"/>
        <v>41-60</v>
      </c>
      <c r="H3737" t="s">
        <v>23</v>
      </c>
      <c r="I3737" t="s">
        <v>64</v>
      </c>
      <c r="J3737" t="s">
        <v>65</v>
      </c>
      <c r="K3737" t="s">
        <v>38</v>
      </c>
      <c r="L3737">
        <v>1</v>
      </c>
      <c r="M3737">
        <v>1</v>
      </c>
      <c r="N3737">
        <v>1.9</v>
      </c>
      <c r="O3737">
        <v>9.8000000000000007</v>
      </c>
      <c r="P3737">
        <v>5</v>
      </c>
      <c r="Q3737">
        <v>4</v>
      </c>
      <c r="R3737">
        <v>758271</v>
      </c>
      <c r="S3737">
        <f>Table1[[#This Row],[Revenue]]-Table1[[#This Row],[Operating_Costs]]</f>
        <v>268584</v>
      </c>
      <c r="T3737">
        <v>489687</v>
      </c>
      <c r="U3737">
        <v>22</v>
      </c>
      <c r="V3737">
        <v>65</v>
      </c>
      <c r="W3737">
        <v>9.6</v>
      </c>
    </row>
    <row r="3738" spans="1:23" x14ac:dyDescent="0.25">
      <c r="A3738">
        <v>10</v>
      </c>
      <c r="B3738" t="s">
        <v>34</v>
      </c>
      <c r="C3738" s="1">
        <v>44654</v>
      </c>
      <c r="D3738" t="s">
        <v>71</v>
      </c>
      <c r="E3738">
        <v>0</v>
      </c>
      <c r="F3738">
        <v>46</v>
      </c>
      <c r="G3738" t="str">
        <f t="shared" si="66"/>
        <v>41-60</v>
      </c>
      <c r="H3738" t="s">
        <v>23</v>
      </c>
      <c r="I3738" t="s">
        <v>24</v>
      </c>
      <c r="J3738" t="s">
        <v>25</v>
      </c>
      <c r="K3738" t="s">
        <v>29</v>
      </c>
      <c r="L3738">
        <v>1</v>
      </c>
      <c r="M3738">
        <v>1</v>
      </c>
      <c r="N3738">
        <v>4.9000000000000004</v>
      </c>
      <c r="O3738">
        <v>9.4</v>
      </c>
      <c r="P3738">
        <v>7</v>
      </c>
      <c r="Q3738">
        <v>4</v>
      </c>
      <c r="R3738">
        <v>946746</v>
      </c>
      <c r="S3738">
        <f>Table1[[#This Row],[Revenue]]-Table1[[#This Row],[Operating_Costs]]</f>
        <v>416539</v>
      </c>
      <c r="T3738">
        <v>530207</v>
      </c>
      <c r="U3738">
        <v>56</v>
      </c>
      <c r="V3738">
        <v>61</v>
      </c>
      <c r="W3738">
        <v>14.9</v>
      </c>
    </row>
    <row r="3739" spans="1:23" x14ac:dyDescent="0.25">
      <c r="A3739">
        <v>11</v>
      </c>
      <c r="B3739" t="s">
        <v>63</v>
      </c>
      <c r="C3739" s="1">
        <v>44300</v>
      </c>
      <c r="D3739" t="s">
        <v>71</v>
      </c>
      <c r="E3739">
        <v>0</v>
      </c>
      <c r="F3739">
        <v>36</v>
      </c>
      <c r="G3739" t="str">
        <f t="shared" si="66"/>
        <v>21-40</v>
      </c>
      <c r="H3739" t="s">
        <v>35</v>
      </c>
      <c r="I3739" t="s">
        <v>60</v>
      </c>
      <c r="J3739" t="s">
        <v>59</v>
      </c>
      <c r="K3739" t="s">
        <v>38</v>
      </c>
      <c r="L3739">
        <v>1</v>
      </c>
      <c r="M3739">
        <v>1</v>
      </c>
      <c r="N3739">
        <v>2.5</v>
      </c>
      <c r="O3739">
        <v>10</v>
      </c>
      <c r="P3739">
        <v>3</v>
      </c>
      <c r="Q3739">
        <v>3</v>
      </c>
      <c r="R3739">
        <v>720082</v>
      </c>
      <c r="S3739">
        <f>Table1[[#This Row],[Revenue]]-Table1[[#This Row],[Operating_Costs]]</f>
        <v>310337</v>
      </c>
      <c r="T3739">
        <v>409745</v>
      </c>
      <c r="U3739">
        <v>34</v>
      </c>
      <c r="V3739">
        <v>61</v>
      </c>
      <c r="W3739">
        <v>8</v>
      </c>
    </row>
    <row r="3740" spans="1:23" x14ac:dyDescent="0.25">
      <c r="A3740">
        <v>11</v>
      </c>
      <c r="B3740" t="s">
        <v>63</v>
      </c>
      <c r="C3740" s="1">
        <v>44425</v>
      </c>
      <c r="D3740" t="s">
        <v>71</v>
      </c>
      <c r="E3740">
        <v>0</v>
      </c>
      <c r="F3740">
        <v>75</v>
      </c>
      <c r="G3740" t="str">
        <f t="shared" si="66"/>
        <v>61-80</v>
      </c>
      <c r="H3740" t="s">
        <v>23</v>
      </c>
      <c r="I3740" t="s">
        <v>55</v>
      </c>
      <c r="J3740" t="s">
        <v>56</v>
      </c>
      <c r="K3740" t="s">
        <v>26</v>
      </c>
      <c r="L3740">
        <v>1</v>
      </c>
      <c r="M3740">
        <v>1</v>
      </c>
      <c r="N3740">
        <v>1.1000000000000001</v>
      </c>
      <c r="O3740">
        <v>8</v>
      </c>
      <c r="P3740">
        <v>4</v>
      </c>
      <c r="Q3740">
        <v>6</v>
      </c>
      <c r="R3740">
        <v>673679</v>
      </c>
      <c r="S3740">
        <f>Table1[[#This Row],[Revenue]]-Table1[[#This Row],[Operating_Costs]]</f>
        <v>227784</v>
      </c>
      <c r="T3740">
        <v>445895</v>
      </c>
      <c r="U3740">
        <v>34</v>
      </c>
      <c r="V3740">
        <v>56</v>
      </c>
      <c r="W3740">
        <v>8.4</v>
      </c>
    </row>
    <row r="3741" spans="1:23" x14ac:dyDescent="0.25">
      <c r="A3741">
        <v>11</v>
      </c>
      <c r="B3741" t="s">
        <v>63</v>
      </c>
      <c r="C3741" s="1">
        <v>45003</v>
      </c>
      <c r="D3741" t="s">
        <v>71</v>
      </c>
      <c r="E3741">
        <v>0</v>
      </c>
      <c r="F3741">
        <v>69</v>
      </c>
      <c r="G3741" t="str">
        <f t="shared" si="66"/>
        <v>61-80</v>
      </c>
      <c r="H3741" t="s">
        <v>35</v>
      </c>
      <c r="I3741" t="s">
        <v>58</v>
      </c>
      <c r="J3741" t="s">
        <v>59</v>
      </c>
      <c r="K3741" t="s">
        <v>33</v>
      </c>
      <c r="L3741">
        <v>1</v>
      </c>
      <c r="M3741">
        <v>1</v>
      </c>
      <c r="N3741">
        <v>5.0999999999999996</v>
      </c>
      <c r="O3741">
        <v>7.8</v>
      </c>
      <c r="P3741">
        <v>6</v>
      </c>
      <c r="Q3741">
        <v>6</v>
      </c>
      <c r="R3741">
        <v>675198</v>
      </c>
      <c r="S3741">
        <f>Table1[[#This Row],[Revenue]]-Table1[[#This Row],[Operating_Costs]]</f>
        <v>210428</v>
      </c>
      <c r="T3741">
        <v>464770</v>
      </c>
      <c r="U3741">
        <v>22</v>
      </c>
      <c r="V3741">
        <v>65</v>
      </c>
      <c r="W3741">
        <v>8.4</v>
      </c>
    </row>
    <row r="3742" spans="1:23" x14ac:dyDescent="0.25">
      <c r="A3742">
        <v>10</v>
      </c>
      <c r="B3742" t="s">
        <v>34</v>
      </c>
      <c r="C3742" s="1">
        <v>44267</v>
      </c>
      <c r="D3742" t="s">
        <v>71</v>
      </c>
      <c r="E3742">
        <v>0</v>
      </c>
      <c r="F3742">
        <v>54</v>
      </c>
      <c r="G3742" t="str">
        <f t="shared" si="66"/>
        <v>41-60</v>
      </c>
      <c r="H3742" t="s">
        <v>23</v>
      </c>
      <c r="I3742" t="s">
        <v>27</v>
      </c>
      <c r="J3742" t="s">
        <v>28</v>
      </c>
      <c r="K3742" t="s">
        <v>38</v>
      </c>
      <c r="L3742">
        <v>1</v>
      </c>
      <c r="M3742">
        <v>1</v>
      </c>
      <c r="N3742">
        <v>5.7</v>
      </c>
      <c r="O3742">
        <v>7.5</v>
      </c>
      <c r="P3742">
        <v>7</v>
      </c>
      <c r="Q3742">
        <v>5</v>
      </c>
      <c r="R3742">
        <v>981465</v>
      </c>
      <c r="S3742">
        <f>Table1[[#This Row],[Revenue]]-Table1[[#This Row],[Operating_Costs]]</f>
        <v>443591</v>
      </c>
      <c r="T3742">
        <v>537874</v>
      </c>
      <c r="U3742">
        <v>52</v>
      </c>
      <c r="V3742">
        <v>66</v>
      </c>
      <c r="W3742">
        <v>9.1</v>
      </c>
    </row>
    <row r="3743" spans="1:23" x14ac:dyDescent="0.25">
      <c r="A3743">
        <v>11</v>
      </c>
      <c r="B3743" t="s">
        <v>63</v>
      </c>
      <c r="C3743" s="1">
        <v>45208</v>
      </c>
      <c r="D3743" t="s">
        <v>71</v>
      </c>
      <c r="E3743">
        <v>0</v>
      </c>
      <c r="F3743">
        <v>24</v>
      </c>
      <c r="G3743" t="str">
        <f t="shared" si="66"/>
        <v>21-40</v>
      </c>
      <c r="H3743" t="s">
        <v>35</v>
      </c>
      <c r="I3743" t="s">
        <v>36</v>
      </c>
      <c r="J3743" t="s">
        <v>37</v>
      </c>
      <c r="K3743" t="s">
        <v>26</v>
      </c>
      <c r="L3743">
        <v>1</v>
      </c>
      <c r="M3743">
        <v>1</v>
      </c>
      <c r="N3743">
        <v>1.3</v>
      </c>
      <c r="O3743">
        <v>8.3000000000000007</v>
      </c>
      <c r="P3743">
        <v>4</v>
      </c>
      <c r="Q3743">
        <v>5</v>
      </c>
      <c r="R3743">
        <v>696256</v>
      </c>
      <c r="S3743">
        <f>Table1[[#This Row],[Revenue]]-Table1[[#This Row],[Operating_Costs]]</f>
        <v>165158</v>
      </c>
      <c r="T3743">
        <v>531098</v>
      </c>
      <c r="U3743">
        <v>27</v>
      </c>
      <c r="V3743">
        <v>54</v>
      </c>
      <c r="W3743">
        <v>13.8</v>
      </c>
    </row>
    <row r="3744" spans="1:23" x14ac:dyDescent="0.25">
      <c r="A3744">
        <v>10</v>
      </c>
      <c r="B3744" t="s">
        <v>34</v>
      </c>
      <c r="C3744" s="1">
        <v>45249</v>
      </c>
      <c r="D3744" t="s">
        <v>71</v>
      </c>
      <c r="E3744">
        <v>0</v>
      </c>
      <c r="F3744">
        <v>63</v>
      </c>
      <c r="G3744" t="str">
        <f t="shared" si="66"/>
        <v>61-80</v>
      </c>
      <c r="H3744" t="s">
        <v>23</v>
      </c>
      <c r="I3744" t="s">
        <v>55</v>
      </c>
      <c r="J3744" t="s">
        <v>56</v>
      </c>
      <c r="K3744" t="s">
        <v>38</v>
      </c>
      <c r="L3744">
        <v>1</v>
      </c>
      <c r="M3744">
        <v>1</v>
      </c>
      <c r="N3744">
        <v>3.9</v>
      </c>
      <c r="O3744">
        <v>8.1999999999999993</v>
      </c>
      <c r="P3744">
        <v>3</v>
      </c>
      <c r="Q3744">
        <v>3</v>
      </c>
      <c r="R3744">
        <v>922887</v>
      </c>
      <c r="S3744">
        <f>Table1[[#This Row],[Revenue]]-Table1[[#This Row],[Operating_Costs]]</f>
        <v>410375</v>
      </c>
      <c r="T3744">
        <v>512512</v>
      </c>
      <c r="U3744">
        <v>54</v>
      </c>
      <c r="V3744">
        <v>58</v>
      </c>
      <c r="W3744">
        <v>13.9</v>
      </c>
    </row>
    <row r="3745" spans="1:23" x14ac:dyDescent="0.25">
      <c r="A3745">
        <v>11</v>
      </c>
      <c r="B3745" t="s">
        <v>63</v>
      </c>
      <c r="C3745" s="1">
        <v>45202</v>
      </c>
      <c r="D3745" t="s">
        <v>71</v>
      </c>
      <c r="E3745">
        <v>0</v>
      </c>
      <c r="F3745">
        <v>37</v>
      </c>
      <c r="G3745" t="str">
        <f t="shared" si="66"/>
        <v>21-40</v>
      </c>
      <c r="H3745" t="s">
        <v>35</v>
      </c>
      <c r="I3745" t="s">
        <v>36</v>
      </c>
      <c r="J3745" t="s">
        <v>37</v>
      </c>
      <c r="K3745" t="s">
        <v>42</v>
      </c>
      <c r="L3745">
        <v>1</v>
      </c>
      <c r="M3745">
        <v>1</v>
      </c>
      <c r="N3745">
        <v>1.5</v>
      </c>
      <c r="O3745">
        <v>7.1</v>
      </c>
      <c r="P3745">
        <v>4</v>
      </c>
      <c r="Q3745">
        <v>4</v>
      </c>
      <c r="R3745">
        <v>782364</v>
      </c>
      <c r="S3745">
        <f>Table1[[#This Row],[Revenue]]-Table1[[#This Row],[Operating_Costs]]</f>
        <v>205261</v>
      </c>
      <c r="T3745">
        <v>577103</v>
      </c>
      <c r="U3745">
        <v>25</v>
      </c>
      <c r="V3745">
        <v>64</v>
      </c>
      <c r="W3745">
        <v>12.8</v>
      </c>
    </row>
    <row r="3746" spans="1:23" x14ac:dyDescent="0.25">
      <c r="A3746">
        <v>11</v>
      </c>
      <c r="B3746" t="s">
        <v>63</v>
      </c>
      <c r="C3746" s="1">
        <v>44634</v>
      </c>
      <c r="D3746" t="s">
        <v>71</v>
      </c>
      <c r="E3746">
        <v>0</v>
      </c>
      <c r="F3746">
        <v>84</v>
      </c>
      <c r="G3746" t="str">
        <f t="shared" si="66"/>
        <v>81+</v>
      </c>
      <c r="H3746" t="s">
        <v>35</v>
      </c>
      <c r="I3746" t="s">
        <v>36</v>
      </c>
      <c r="J3746" t="s">
        <v>37</v>
      </c>
      <c r="K3746" t="s">
        <v>38</v>
      </c>
      <c r="L3746">
        <v>1</v>
      </c>
      <c r="M3746">
        <v>1</v>
      </c>
      <c r="N3746">
        <v>5.8</v>
      </c>
      <c r="O3746">
        <v>8.4</v>
      </c>
      <c r="P3746">
        <v>6</v>
      </c>
      <c r="Q3746">
        <v>3</v>
      </c>
      <c r="R3746">
        <v>689457</v>
      </c>
      <c r="S3746">
        <f>Table1[[#This Row],[Revenue]]-Table1[[#This Row],[Operating_Costs]]</f>
        <v>238034</v>
      </c>
      <c r="T3746">
        <v>451423</v>
      </c>
      <c r="U3746">
        <v>23</v>
      </c>
      <c r="V3746">
        <v>59</v>
      </c>
      <c r="W3746">
        <v>12.9</v>
      </c>
    </row>
    <row r="3747" spans="1:23" x14ac:dyDescent="0.25">
      <c r="A3747">
        <v>11</v>
      </c>
      <c r="B3747" t="s">
        <v>63</v>
      </c>
      <c r="C3747" s="1">
        <v>45122</v>
      </c>
      <c r="D3747" t="s">
        <v>71</v>
      </c>
      <c r="E3747">
        <v>0</v>
      </c>
      <c r="F3747">
        <v>43</v>
      </c>
      <c r="G3747" t="str">
        <f t="shared" si="66"/>
        <v>41-60</v>
      </c>
      <c r="H3747" t="s">
        <v>35</v>
      </c>
      <c r="I3747" t="s">
        <v>31</v>
      </c>
      <c r="J3747" t="s">
        <v>28</v>
      </c>
      <c r="K3747" t="s">
        <v>38</v>
      </c>
      <c r="L3747">
        <v>1</v>
      </c>
      <c r="M3747">
        <v>1</v>
      </c>
      <c r="N3747">
        <v>2.9</v>
      </c>
      <c r="O3747">
        <v>9.4</v>
      </c>
      <c r="P3747">
        <v>3</v>
      </c>
      <c r="Q3747">
        <v>5</v>
      </c>
      <c r="R3747">
        <v>774899</v>
      </c>
      <c r="S3747">
        <f>Table1[[#This Row],[Revenue]]-Table1[[#This Row],[Operating_Costs]]</f>
        <v>334630</v>
      </c>
      <c r="T3747">
        <v>440269</v>
      </c>
      <c r="U3747">
        <v>21</v>
      </c>
      <c r="V3747">
        <v>56</v>
      </c>
      <c r="W3747">
        <v>14</v>
      </c>
    </row>
    <row r="3748" spans="1:23" x14ac:dyDescent="0.25">
      <c r="A3748">
        <v>11</v>
      </c>
      <c r="B3748" t="s">
        <v>63</v>
      </c>
      <c r="C3748" s="1">
        <v>45020</v>
      </c>
      <c r="D3748" t="s">
        <v>71</v>
      </c>
      <c r="E3748">
        <v>0</v>
      </c>
      <c r="F3748">
        <v>37</v>
      </c>
      <c r="G3748" t="str">
        <f t="shared" si="66"/>
        <v>21-40</v>
      </c>
      <c r="H3748" t="s">
        <v>35</v>
      </c>
      <c r="I3748" t="s">
        <v>64</v>
      </c>
      <c r="J3748" t="s">
        <v>65</v>
      </c>
      <c r="K3748" t="s">
        <v>29</v>
      </c>
      <c r="L3748">
        <v>1</v>
      </c>
      <c r="M3748">
        <v>1</v>
      </c>
      <c r="N3748">
        <v>2.7</v>
      </c>
      <c r="O3748">
        <v>7.8</v>
      </c>
      <c r="P3748">
        <v>3</v>
      </c>
      <c r="Q3748">
        <v>3</v>
      </c>
      <c r="R3748">
        <v>607455</v>
      </c>
      <c r="S3748">
        <f>Table1[[#This Row],[Revenue]]-Table1[[#This Row],[Operating_Costs]]</f>
        <v>63611</v>
      </c>
      <c r="T3748">
        <v>543844</v>
      </c>
      <c r="U3748">
        <v>30</v>
      </c>
      <c r="V3748">
        <v>58</v>
      </c>
      <c r="W3748">
        <v>13.3</v>
      </c>
    </row>
    <row r="3749" spans="1:23" x14ac:dyDescent="0.25">
      <c r="A3749">
        <v>10</v>
      </c>
      <c r="B3749" t="s">
        <v>34</v>
      </c>
      <c r="C3749" s="1">
        <v>45315</v>
      </c>
      <c r="D3749" t="s">
        <v>71</v>
      </c>
      <c r="E3749">
        <v>0</v>
      </c>
      <c r="F3749">
        <v>90</v>
      </c>
      <c r="G3749" t="str">
        <f t="shared" si="66"/>
        <v>81+</v>
      </c>
      <c r="H3749" t="s">
        <v>35</v>
      </c>
      <c r="I3749" t="s">
        <v>55</v>
      </c>
      <c r="J3749" t="s">
        <v>56</v>
      </c>
      <c r="K3749" t="s">
        <v>42</v>
      </c>
      <c r="L3749">
        <v>1</v>
      </c>
      <c r="M3749">
        <v>1</v>
      </c>
      <c r="N3749">
        <v>1.5</v>
      </c>
      <c r="O3749">
        <v>9.5</v>
      </c>
      <c r="P3749">
        <v>7</v>
      </c>
      <c r="Q3749">
        <v>6</v>
      </c>
      <c r="R3749">
        <v>901663</v>
      </c>
      <c r="S3749">
        <f>Table1[[#This Row],[Revenue]]-Table1[[#This Row],[Operating_Costs]]</f>
        <v>245463</v>
      </c>
      <c r="T3749">
        <v>656200</v>
      </c>
      <c r="U3749">
        <v>55</v>
      </c>
      <c r="V3749">
        <v>60</v>
      </c>
      <c r="W3749">
        <v>12.2</v>
      </c>
    </row>
    <row r="3750" spans="1:23" x14ac:dyDescent="0.25">
      <c r="A3750">
        <v>10</v>
      </c>
      <c r="B3750" t="s">
        <v>34</v>
      </c>
      <c r="C3750" s="1">
        <v>45125</v>
      </c>
      <c r="D3750" t="s">
        <v>71</v>
      </c>
      <c r="E3750">
        <v>0</v>
      </c>
      <c r="F3750">
        <v>70</v>
      </c>
      <c r="G3750" t="str">
        <f t="shared" si="66"/>
        <v>61-80</v>
      </c>
      <c r="H3750" t="s">
        <v>23</v>
      </c>
      <c r="I3750" t="s">
        <v>31</v>
      </c>
      <c r="J3750" t="s">
        <v>28</v>
      </c>
      <c r="K3750" t="s">
        <v>38</v>
      </c>
      <c r="L3750">
        <v>1</v>
      </c>
      <c r="M3750">
        <v>1</v>
      </c>
      <c r="N3750">
        <v>6.4</v>
      </c>
      <c r="O3750">
        <v>8</v>
      </c>
      <c r="P3750">
        <v>6</v>
      </c>
      <c r="Q3750">
        <v>3</v>
      </c>
      <c r="R3750">
        <v>838190</v>
      </c>
      <c r="S3750">
        <f>Table1[[#This Row],[Revenue]]-Table1[[#This Row],[Operating_Costs]]</f>
        <v>245924</v>
      </c>
      <c r="T3750">
        <v>592266</v>
      </c>
      <c r="U3750">
        <v>50</v>
      </c>
      <c r="V3750">
        <v>55</v>
      </c>
      <c r="W3750">
        <v>7.1</v>
      </c>
    </row>
    <row r="3751" spans="1:23" x14ac:dyDescent="0.25">
      <c r="A3751">
        <v>11</v>
      </c>
      <c r="B3751" t="s">
        <v>63</v>
      </c>
      <c r="C3751" s="1">
        <v>45383</v>
      </c>
      <c r="D3751" t="s">
        <v>71</v>
      </c>
      <c r="E3751">
        <v>0</v>
      </c>
      <c r="F3751">
        <v>73</v>
      </c>
      <c r="G3751" t="str">
        <f t="shared" si="66"/>
        <v>61-80</v>
      </c>
      <c r="H3751" t="s">
        <v>23</v>
      </c>
      <c r="I3751" t="s">
        <v>61</v>
      </c>
      <c r="J3751" t="s">
        <v>62</v>
      </c>
      <c r="K3751" t="s">
        <v>29</v>
      </c>
      <c r="L3751">
        <v>1</v>
      </c>
      <c r="M3751">
        <v>1</v>
      </c>
      <c r="N3751">
        <v>6.4</v>
      </c>
      <c r="O3751">
        <v>9.6</v>
      </c>
      <c r="P3751">
        <v>3</v>
      </c>
      <c r="Q3751">
        <v>4</v>
      </c>
      <c r="R3751">
        <v>745559</v>
      </c>
      <c r="S3751">
        <f>Table1[[#This Row],[Revenue]]-Table1[[#This Row],[Operating_Costs]]</f>
        <v>198547</v>
      </c>
      <c r="T3751">
        <v>547012</v>
      </c>
      <c r="U3751">
        <v>24</v>
      </c>
      <c r="V3751">
        <v>55</v>
      </c>
      <c r="W3751">
        <v>10</v>
      </c>
    </row>
    <row r="3752" spans="1:23" x14ac:dyDescent="0.25">
      <c r="A3752">
        <v>10</v>
      </c>
      <c r="B3752" t="s">
        <v>34</v>
      </c>
      <c r="C3752" s="1">
        <v>44852</v>
      </c>
      <c r="D3752" t="s">
        <v>71</v>
      </c>
      <c r="E3752">
        <v>0</v>
      </c>
      <c r="F3752">
        <v>69</v>
      </c>
      <c r="G3752" t="str">
        <f t="shared" si="66"/>
        <v>61-80</v>
      </c>
      <c r="H3752" t="s">
        <v>35</v>
      </c>
      <c r="I3752" t="s">
        <v>31</v>
      </c>
      <c r="J3752" t="s">
        <v>28</v>
      </c>
      <c r="K3752" t="s">
        <v>42</v>
      </c>
      <c r="L3752">
        <v>1</v>
      </c>
      <c r="M3752">
        <v>1</v>
      </c>
      <c r="N3752">
        <v>1.7</v>
      </c>
      <c r="O3752">
        <v>9.9</v>
      </c>
      <c r="P3752">
        <v>7</v>
      </c>
      <c r="Q3752">
        <v>3</v>
      </c>
      <c r="R3752">
        <v>900792</v>
      </c>
      <c r="S3752">
        <f>Table1[[#This Row],[Revenue]]-Table1[[#This Row],[Operating_Costs]]</f>
        <v>257383</v>
      </c>
      <c r="T3752">
        <v>643409</v>
      </c>
      <c r="U3752">
        <v>56</v>
      </c>
      <c r="V3752">
        <v>62</v>
      </c>
      <c r="W3752">
        <v>10.6</v>
      </c>
    </row>
    <row r="3753" spans="1:23" x14ac:dyDescent="0.25">
      <c r="A3753">
        <v>10</v>
      </c>
      <c r="B3753" t="s">
        <v>34</v>
      </c>
      <c r="C3753" s="1">
        <v>44727</v>
      </c>
      <c r="D3753" t="s">
        <v>71</v>
      </c>
      <c r="E3753">
        <v>0</v>
      </c>
      <c r="F3753">
        <v>75</v>
      </c>
      <c r="G3753" t="str">
        <f t="shared" si="66"/>
        <v>61-80</v>
      </c>
      <c r="H3753" t="s">
        <v>35</v>
      </c>
      <c r="I3753" t="s">
        <v>46</v>
      </c>
      <c r="J3753" t="s">
        <v>47</v>
      </c>
      <c r="K3753" t="s">
        <v>29</v>
      </c>
      <c r="L3753">
        <v>1</v>
      </c>
      <c r="M3753">
        <v>1</v>
      </c>
      <c r="N3753">
        <v>4.3</v>
      </c>
      <c r="O3753">
        <v>9.6</v>
      </c>
      <c r="P3753">
        <v>7</v>
      </c>
      <c r="Q3753">
        <v>5</v>
      </c>
      <c r="R3753">
        <v>884632</v>
      </c>
      <c r="S3753">
        <f>Table1[[#This Row],[Revenue]]-Table1[[#This Row],[Operating_Costs]]</f>
        <v>201725</v>
      </c>
      <c r="T3753">
        <v>682907</v>
      </c>
      <c r="U3753">
        <v>61</v>
      </c>
      <c r="V3753">
        <v>65</v>
      </c>
      <c r="W3753">
        <v>14.2</v>
      </c>
    </row>
    <row r="3754" spans="1:23" x14ac:dyDescent="0.25">
      <c r="A3754">
        <v>11</v>
      </c>
      <c r="B3754" t="s">
        <v>63</v>
      </c>
      <c r="C3754" s="1">
        <v>45086</v>
      </c>
      <c r="D3754" t="s">
        <v>71</v>
      </c>
      <c r="E3754">
        <v>0</v>
      </c>
      <c r="F3754">
        <v>35</v>
      </c>
      <c r="G3754" t="str">
        <f t="shared" si="66"/>
        <v>21-40</v>
      </c>
      <c r="H3754" t="s">
        <v>23</v>
      </c>
      <c r="I3754" t="s">
        <v>27</v>
      </c>
      <c r="J3754" t="s">
        <v>28</v>
      </c>
      <c r="K3754" t="s">
        <v>42</v>
      </c>
      <c r="L3754">
        <v>1</v>
      </c>
      <c r="M3754">
        <v>1</v>
      </c>
      <c r="N3754">
        <v>2.2999999999999998</v>
      </c>
      <c r="O3754">
        <v>9.1999999999999993</v>
      </c>
      <c r="P3754">
        <v>7</v>
      </c>
      <c r="Q3754">
        <v>5</v>
      </c>
      <c r="R3754">
        <v>760157</v>
      </c>
      <c r="S3754">
        <f>Table1[[#This Row],[Revenue]]-Table1[[#This Row],[Operating_Costs]]</f>
        <v>334839</v>
      </c>
      <c r="T3754">
        <v>425318</v>
      </c>
      <c r="U3754">
        <v>22</v>
      </c>
      <c r="V3754">
        <v>62</v>
      </c>
      <c r="W3754">
        <v>10.1</v>
      </c>
    </row>
    <row r="3755" spans="1:23" x14ac:dyDescent="0.25">
      <c r="A3755">
        <v>11</v>
      </c>
      <c r="B3755" t="s">
        <v>63</v>
      </c>
      <c r="C3755" s="1">
        <v>45078</v>
      </c>
      <c r="D3755" t="s">
        <v>71</v>
      </c>
      <c r="E3755">
        <v>0</v>
      </c>
      <c r="F3755">
        <v>27</v>
      </c>
      <c r="G3755" t="str">
        <f t="shared" si="66"/>
        <v>21-40</v>
      </c>
      <c r="H3755" t="s">
        <v>23</v>
      </c>
      <c r="I3755" t="s">
        <v>55</v>
      </c>
      <c r="J3755" t="s">
        <v>56</v>
      </c>
      <c r="K3755" t="s">
        <v>26</v>
      </c>
      <c r="L3755">
        <v>1</v>
      </c>
      <c r="M3755">
        <v>1</v>
      </c>
      <c r="N3755">
        <v>7</v>
      </c>
      <c r="O3755">
        <v>7.3</v>
      </c>
      <c r="P3755">
        <v>5</v>
      </c>
      <c r="Q3755">
        <v>3</v>
      </c>
      <c r="R3755">
        <v>772052</v>
      </c>
      <c r="S3755">
        <f>Table1[[#This Row],[Revenue]]-Table1[[#This Row],[Operating_Costs]]</f>
        <v>313810</v>
      </c>
      <c r="T3755">
        <v>458242</v>
      </c>
      <c r="U3755">
        <v>33</v>
      </c>
      <c r="V3755">
        <v>57</v>
      </c>
      <c r="W3755">
        <v>36.799999999999997</v>
      </c>
    </row>
    <row r="3756" spans="1:23" x14ac:dyDescent="0.25">
      <c r="A3756">
        <v>11</v>
      </c>
      <c r="B3756" t="s">
        <v>63</v>
      </c>
      <c r="C3756" s="1">
        <v>44402</v>
      </c>
      <c r="D3756" t="s">
        <v>71</v>
      </c>
      <c r="E3756">
        <v>0</v>
      </c>
      <c r="F3756">
        <v>39</v>
      </c>
      <c r="G3756" t="str">
        <f t="shared" si="66"/>
        <v>21-40</v>
      </c>
      <c r="H3756" t="s">
        <v>23</v>
      </c>
      <c r="I3756" t="s">
        <v>43</v>
      </c>
      <c r="J3756" t="s">
        <v>25</v>
      </c>
      <c r="K3756" t="s">
        <v>33</v>
      </c>
      <c r="L3756">
        <v>1</v>
      </c>
      <c r="M3756">
        <v>1</v>
      </c>
      <c r="N3756">
        <v>4.8</v>
      </c>
      <c r="O3756">
        <v>9.1</v>
      </c>
      <c r="P3756">
        <v>3</v>
      </c>
      <c r="Q3756">
        <v>6</v>
      </c>
      <c r="R3756">
        <v>749979</v>
      </c>
      <c r="S3756">
        <f>Table1[[#This Row],[Revenue]]-Table1[[#This Row],[Operating_Costs]]</f>
        <v>319715</v>
      </c>
      <c r="T3756">
        <v>430264</v>
      </c>
      <c r="U3756">
        <v>23</v>
      </c>
      <c r="V3756">
        <v>58</v>
      </c>
      <c r="W3756">
        <v>5.6</v>
      </c>
    </row>
    <row r="3757" spans="1:23" x14ac:dyDescent="0.25">
      <c r="A3757">
        <v>11</v>
      </c>
      <c r="B3757" t="s">
        <v>63</v>
      </c>
      <c r="C3757" s="1">
        <v>45414</v>
      </c>
      <c r="D3757" t="s">
        <v>71</v>
      </c>
      <c r="E3757">
        <v>0</v>
      </c>
      <c r="F3757">
        <v>31</v>
      </c>
      <c r="G3757" t="str">
        <f t="shared" si="66"/>
        <v>21-40</v>
      </c>
      <c r="H3757" t="s">
        <v>35</v>
      </c>
      <c r="I3757" t="s">
        <v>53</v>
      </c>
      <c r="J3757" t="s">
        <v>54</v>
      </c>
      <c r="K3757" t="s">
        <v>33</v>
      </c>
      <c r="L3757">
        <v>1</v>
      </c>
      <c r="M3757">
        <v>1</v>
      </c>
      <c r="N3757">
        <v>1.7</v>
      </c>
      <c r="O3757">
        <v>9.4</v>
      </c>
      <c r="P3757">
        <v>5</v>
      </c>
      <c r="Q3757">
        <v>5</v>
      </c>
      <c r="R3757">
        <v>686888</v>
      </c>
      <c r="S3757">
        <f>Table1[[#This Row],[Revenue]]-Table1[[#This Row],[Operating_Costs]]</f>
        <v>172688</v>
      </c>
      <c r="T3757">
        <v>514200</v>
      </c>
      <c r="U3757">
        <v>30</v>
      </c>
      <c r="V3757">
        <v>61</v>
      </c>
      <c r="W3757">
        <v>12.7</v>
      </c>
    </row>
    <row r="3758" spans="1:23" x14ac:dyDescent="0.25">
      <c r="A3758">
        <v>11</v>
      </c>
      <c r="B3758" t="s">
        <v>63</v>
      </c>
      <c r="C3758" s="1">
        <v>44273</v>
      </c>
      <c r="D3758" t="s">
        <v>71</v>
      </c>
      <c r="E3758">
        <v>0</v>
      </c>
      <c r="F3758">
        <v>44</v>
      </c>
      <c r="G3758" t="str">
        <f t="shared" si="66"/>
        <v>41-60</v>
      </c>
      <c r="H3758" t="s">
        <v>23</v>
      </c>
      <c r="I3758" t="s">
        <v>27</v>
      </c>
      <c r="J3758" t="s">
        <v>28</v>
      </c>
      <c r="K3758" t="s">
        <v>26</v>
      </c>
      <c r="L3758">
        <v>1</v>
      </c>
      <c r="M3758">
        <v>1</v>
      </c>
      <c r="N3758">
        <v>5.4</v>
      </c>
      <c r="O3758">
        <v>8.9</v>
      </c>
      <c r="P3758">
        <v>3</v>
      </c>
      <c r="Q3758">
        <v>4</v>
      </c>
      <c r="R3758">
        <v>736702</v>
      </c>
      <c r="S3758">
        <f>Table1[[#This Row],[Revenue]]-Table1[[#This Row],[Operating_Costs]]</f>
        <v>262038</v>
      </c>
      <c r="T3758">
        <v>474664</v>
      </c>
      <c r="U3758">
        <v>33</v>
      </c>
      <c r="V3758">
        <v>64</v>
      </c>
      <c r="W3758">
        <v>10.4</v>
      </c>
    </row>
    <row r="3759" spans="1:23" x14ac:dyDescent="0.25">
      <c r="A3759">
        <v>11</v>
      </c>
      <c r="B3759" t="s">
        <v>63</v>
      </c>
      <c r="C3759" s="1">
        <v>44800</v>
      </c>
      <c r="D3759" t="s">
        <v>71</v>
      </c>
      <c r="E3759">
        <v>0</v>
      </c>
      <c r="F3759">
        <v>29</v>
      </c>
      <c r="G3759" t="str">
        <f t="shared" si="66"/>
        <v>21-40</v>
      </c>
      <c r="H3759" t="s">
        <v>23</v>
      </c>
      <c r="I3759" t="s">
        <v>40</v>
      </c>
      <c r="J3759" t="s">
        <v>41</v>
      </c>
      <c r="K3759" t="s">
        <v>29</v>
      </c>
      <c r="L3759">
        <v>1</v>
      </c>
      <c r="M3759">
        <v>1</v>
      </c>
      <c r="N3759">
        <v>4.9000000000000004</v>
      </c>
      <c r="O3759">
        <v>7.9</v>
      </c>
      <c r="P3759">
        <v>6</v>
      </c>
      <c r="Q3759">
        <v>5</v>
      </c>
      <c r="R3759">
        <v>638010</v>
      </c>
      <c r="S3759">
        <f>Table1[[#This Row],[Revenue]]-Table1[[#This Row],[Operating_Costs]]</f>
        <v>141966</v>
      </c>
      <c r="T3759">
        <v>496044</v>
      </c>
      <c r="U3759">
        <v>29</v>
      </c>
      <c r="V3759">
        <v>64</v>
      </c>
      <c r="W3759">
        <v>9.1999999999999993</v>
      </c>
    </row>
    <row r="3760" spans="1:23" x14ac:dyDescent="0.25">
      <c r="A3760">
        <v>12</v>
      </c>
      <c r="B3760" t="s">
        <v>66</v>
      </c>
      <c r="C3760" s="1">
        <v>44983</v>
      </c>
      <c r="D3760" t="s">
        <v>71</v>
      </c>
      <c r="E3760">
        <v>0</v>
      </c>
      <c r="F3760">
        <v>31</v>
      </c>
      <c r="G3760" t="str">
        <f t="shared" si="66"/>
        <v>21-40</v>
      </c>
      <c r="H3760" t="s">
        <v>35</v>
      </c>
      <c r="I3760" t="s">
        <v>61</v>
      </c>
      <c r="J3760" t="s">
        <v>62</v>
      </c>
      <c r="K3760" t="s">
        <v>42</v>
      </c>
      <c r="L3760">
        <v>1</v>
      </c>
      <c r="M3760">
        <v>1</v>
      </c>
      <c r="N3760">
        <v>5.6</v>
      </c>
      <c r="O3760">
        <v>8.8000000000000007</v>
      </c>
      <c r="P3760">
        <v>3</v>
      </c>
      <c r="Q3760">
        <v>5</v>
      </c>
      <c r="R3760">
        <v>855537</v>
      </c>
      <c r="S3760">
        <f>Table1[[#This Row],[Revenue]]-Table1[[#This Row],[Operating_Costs]]</f>
        <v>207785</v>
      </c>
      <c r="T3760">
        <v>647752</v>
      </c>
      <c r="U3760">
        <v>64</v>
      </c>
      <c r="V3760">
        <v>57</v>
      </c>
      <c r="W3760">
        <v>6.4</v>
      </c>
    </row>
    <row r="3761" spans="1:23" x14ac:dyDescent="0.25">
      <c r="A3761">
        <v>12</v>
      </c>
      <c r="B3761" t="s">
        <v>66</v>
      </c>
      <c r="C3761" s="1">
        <v>44791</v>
      </c>
      <c r="D3761" t="s">
        <v>71</v>
      </c>
      <c r="E3761">
        <v>0</v>
      </c>
      <c r="F3761">
        <v>64</v>
      </c>
      <c r="G3761" t="str">
        <f t="shared" si="66"/>
        <v>61-80</v>
      </c>
      <c r="H3761" t="s">
        <v>35</v>
      </c>
      <c r="I3761" t="s">
        <v>50</v>
      </c>
      <c r="J3761" t="s">
        <v>51</v>
      </c>
      <c r="K3761" t="s">
        <v>42</v>
      </c>
      <c r="L3761">
        <v>1</v>
      </c>
      <c r="M3761">
        <v>1</v>
      </c>
      <c r="N3761">
        <v>6</v>
      </c>
      <c r="O3761">
        <v>9.9</v>
      </c>
      <c r="P3761">
        <v>5</v>
      </c>
      <c r="Q3761">
        <v>7</v>
      </c>
      <c r="R3761">
        <v>847210</v>
      </c>
      <c r="S3761">
        <f>Table1[[#This Row],[Revenue]]-Table1[[#This Row],[Operating_Costs]]</f>
        <v>311506</v>
      </c>
      <c r="T3761">
        <v>535704</v>
      </c>
      <c r="U3761">
        <v>61</v>
      </c>
      <c r="V3761">
        <v>65</v>
      </c>
      <c r="W3761">
        <v>6.4</v>
      </c>
    </row>
    <row r="3762" spans="1:23" x14ac:dyDescent="0.25">
      <c r="A3762">
        <v>11</v>
      </c>
      <c r="B3762" t="s">
        <v>63</v>
      </c>
      <c r="C3762" s="1">
        <v>44710</v>
      </c>
      <c r="D3762" t="s">
        <v>71</v>
      </c>
      <c r="E3762">
        <v>0</v>
      </c>
      <c r="F3762">
        <v>72</v>
      </c>
      <c r="G3762" t="str">
        <f t="shared" si="66"/>
        <v>61-80</v>
      </c>
      <c r="H3762" t="s">
        <v>23</v>
      </c>
      <c r="I3762" t="s">
        <v>27</v>
      </c>
      <c r="J3762" t="s">
        <v>28</v>
      </c>
      <c r="K3762" t="s">
        <v>29</v>
      </c>
      <c r="L3762">
        <v>1</v>
      </c>
      <c r="M3762">
        <v>1</v>
      </c>
      <c r="N3762">
        <v>3.9</v>
      </c>
      <c r="O3762">
        <v>8.6999999999999993</v>
      </c>
      <c r="P3762">
        <v>7</v>
      </c>
      <c r="Q3762">
        <v>7</v>
      </c>
      <c r="R3762">
        <v>794617</v>
      </c>
      <c r="S3762">
        <f>Table1[[#This Row],[Revenue]]-Table1[[#This Row],[Operating_Costs]]</f>
        <v>225329</v>
      </c>
      <c r="T3762">
        <v>569288</v>
      </c>
      <c r="U3762">
        <v>26</v>
      </c>
      <c r="V3762">
        <v>61</v>
      </c>
      <c r="W3762">
        <v>14.2</v>
      </c>
    </row>
    <row r="3763" spans="1:23" x14ac:dyDescent="0.25">
      <c r="A3763">
        <v>11</v>
      </c>
      <c r="B3763" t="s">
        <v>63</v>
      </c>
      <c r="C3763" s="1">
        <v>45291</v>
      </c>
      <c r="D3763" t="s">
        <v>71</v>
      </c>
      <c r="E3763">
        <v>0</v>
      </c>
      <c r="F3763">
        <v>35</v>
      </c>
      <c r="G3763" t="str">
        <f t="shared" si="66"/>
        <v>21-40</v>
      </c>
      <c r="H3763" t="s">
        <v>23</v>
      </c>
      <c r="I3763" t="s">
        <v>67</v>
      </c>
      <c r="J3763" t="s">
        <v>68</v>
      </c>
      <c r="K3763" t="s">
        <v>26</v>
      </c>
      <c r="L3763">
        <v>1</v>
      </c>
      <c r="M3763">
        <v>1</v>
      </c>
      <c r="N3763">
        <v>1.8</v>
      </c>
      <c r="O3763">
        <v>9.1999999999999993</v>
      </c>
      <c r="P3763">
        <v>7</v>
      </c>
      <c r="Q3763">
        <v>5</v>
      </c>
      <c r="R3763">
        <v>603886</v>
      </c>
      <c r="S3763">
        <f>Table1[[#This Row],[Revenue]]-Table1[[#This Row],[Operating_Costs]]</f>
        <v>166520</v>
      </c>
      <c r="T3763">
        <v>437366</v>
      </c>
      <c r="U3763">
        <v>33</v>
      </c>
      <c r="V3763">
        <v>62</v>
      </c>
      <c r="W3763">
        <v>5.4</v>
      </c>
    </row>
    <row r="3764" spans="1:23" x14ac:dyDescent="0.25">
      <c r="A3764">
        <v>12</v>
      </c>
      <c r="B3764" t="s">
        <v>66</v>
      </c>
      <c r="C3764" s="1">
        <v>44328</v>
      </c>
      <c r="D3764" t="s">
        <v>71</v>
      </c>
      <c r="E3764">
        <v>0</v>
      </c>
      <c r="F3764">
        <v>46</v>
      </c>
      <c r="G3764" t="str">
        <f t="shared" si="66"/>
        <v>41-60</v>
      </c>
      <c r="H3764" t="s">
        <v>23</v>
      </c>
      <c r="I3764" t="s">
        <v>24</v>
      </c>
      <c r="J3764" t="s">
        <v>25</v>
      </c>
      <c r="K3764" t="s">
        <v>42</v>
      </c>
      <c r="L3764">
        <v>1</v>
      </c>
      <c r="M3764">
        <v>1</v>
      </c>
      <c r="N3764">
        <v>2.8</v>
      </c>
      <c r="O3764">
        <v>7.3</v>
      </c>
      <c r="P3764">
        <v>4</v>
      </c>
      <c r="Q3764">
        <v>7</v>
      </c>
      <c r="R3764">
        <v>836984</v>
      </c>
      <c r="S3764">
        <f>Table1[[#This Row],[Revenue]]-Table1[[#This Row],[Operating_Costs]]</f>
        <v>205744</v>
      </c>
      <c r="T3764">
        <v>631240</v>
      </c>
      <c r="U3764">
        <v>55</v>
      </c>
      <c r="V3764">
        <v>66</v>
      </c>
      <c r="W3764">
        <v>9.3000000000000007</v>
      </c>
    </row>
    <row r="3765" spans="1:23" x14ac:dyDescent="0.25">
      <c r="A3765">
        <v>12</v>
      </c>
      <c r="B3765" t="s">
        <v>66</v>
      </c>
      <c r="C3765" s="1">
        <v>44675</v>
      </c>
      <c r="D3765" t="s">
        <v>71</v>
      </c>
      <c r="E3765">
        <v>0</v>
      </c>
      <c r="F3765">
        <v>46</v>
      </c>
      <c r="G3765" t="str">
        <f t="shared" si="66"/>
        <v>41-60</v>
      </c>
      <c r="H3765" t="s">
        <v>35</v>
      </c>
      <c r="I3765" t="s">
        <v>40</v>
      </c>
      <c r="J3765" t="s">
        <v>41</v>
      </c>
      <c r="K3765" t="s">
        <v>42</v>
      </c>
      <c r="L3765">
        <v>1</v>
      </c>
      <c r="M3765">
        <v>1</v>
      </c>
      <c r="N3765">
        <v>4.4000000000000004</v>
      </c>
      <c r="O3765">
        <v>8.8000000000000007</v>
      </c>
      <c r="P3765">
        <v>4</v>
      </c>
      <c r="Q3765">
        <v>6</v>
      </c>
      <c r="R3765">
        <v>855552</v>
      </c>
      <c r="S3765">
        <f>Table1[[#This Row],[Revenue]]-Table1[[#This Row],[Operating_Costs]]</f>
        <v>318140</v>
      </c>
      <c r="T3765">
        <v>537412</v>
      </c>
      <c r="U3765">
        <v>60</v>
      </c>
      <c r="V3765">
        <v>66</v>
      </c>
      <c r="W3765">
        <v>9.8000000000000007</v>
      </c>
    </row>
    <row r="3766" spans="1:23" x14ac:dyDescent="0.25">
      <c r="A3766">
        <v>12</v>
      </c>
      <c r="B3766" t="s">
        <v>66</v>
      </c>
      <c r="C3766" s="1">
        <v>45239</v>
      </c>
      <c r="D3766" t="s">
        <v>71</v>
      </c>
      <c r="E3766">
        <v>0</v>
      </c>
      <c r="F3766">
        <v>27</v>
      </c>
      <c r="G3766" t="str">
        <f t="shared" si="66"/>
        <v>21-40</v>
      </c>
      <c r="H3766" t="s">
        <v>23</v>
      </c>
      <c r="I3766" t="s">
        <v>61</v>
      </c>
      <c r="J3766" t="s">
        <v>62</v>
      </c>
      <c r="K3766" t="s">
        <v>26</v>
      </c>
      <c r="L3766">
        <v>1</v>
      </c>
      <c r="M3766">
        <v>1</v>
      </c>
      <c r="N3766">
        <v>1.6</v>
      </c>
      <c r="O3766">
        <v>7.9</v>
      </c>
      <c r="P3766">
        <v>4</v>
      </c>
      <c r="Q3766">
        <v>3</v>
      </c>
      <c r="R3766">
        <v>976462</v>
      </c>
      <c r="S3766">
        <f>Table1[[#This Row],[Revenue]]-Table1[[#This Row],[Operating_Costs]]</f>
        <v>367795</v>
      </c>
      <c r="T3766">
        <v>608667</v>
      </c>
      <c r="U3766">
        <v>56</v>
      </c>
      <c r="V3766">
        <v>62</v>
      </c>
      <c r="W3766">
        <v>6.3</v>
      </c>
    </row>
    <row r="3767" spans="1:23" x14ac:dyDescent="0.25">
      <c r="A3767">
        <v>11</v>
      </c>
      <c r="B3767" t="s">
        <v>63</v>
      </c>
      <c r="C3767" s="1">
        <v>45267</v>
      </c>
      <c r="D3767" t="s">
        <v>71</v>
      </c>
      <c r="E3767">
        <v>0</v>
      </c>
      <c r="F3767">
        <v>47</v>
      </c>
      <c r="G3767" t="str">
        <f t="shared" si="66"/>
        <v>41-60</v>
      </c>
      <c r="H3767" t="s">
        <v>23</v>
      </c>
      <c r="I3767" t="s">
        <v>24</v>
      </c>
      <c r="J3767" t="s">
        <v>25</v>
      </c>
      <c r="K3767" t="s">
        <v>26</v>
      </c>
      <c r="L3767">
        <v>1</v>
      </c>
      <c r="M3767">
        <v>1</v>
      </c>
      <c r="N3767">
        <v>6.2</v>
      </c>
      <c r="O3767">
        <v>9.1</v>
      </c>
      <c r="P3767">
        <v>5</v>
      </c>
      <c r="Q3767">
        <v>3</v>
      </c>
      <c r="R3767">
        <v>624549</v>
      </c>
      <c r="S3767">
        <f>Table1[[#This Row],[Revenue]]-Table1[[#This Row],[Operating_Costs]]</f>
        <v>111106</v>
      </c>
      <c r="T3767">
        <v>513443</v>
      </c>
      <c r="U3767">
        <v>23</v>
      </c>
      <c r="V3767">
        <v>60</v>
      </c>
      <c r="W3767">
        <v>13.3</v>
      </c>
    </row>
    <row r="3768" spans="1:23" x14ac:dyDescent="0.25">
      <c r="A3768">
        <v>12</v>
      </c>
      <c r="B3768" t="s">
        <v>66</v>
      </c>
      <c r="C3768" s="1">
        <v>44991</v>
      </c>
      <c r="D3768" t="s">
        <v>71</v>
      </c>
      <c r="E3768">
        <v>0</v>
      </c>
      <c r="F3768">
        <v>43</v>
      </c>
      <c r="G3768" t="str">
        <f t="shared" si="66"/>
        <v>41-60</v>
      </c>
      <c r="H3768" t="s">
        <v>35</v>
      </c>
      <c r="I3768" t="s">
        <v>36</v>
      </c>
      <c r="J3768" t="s">
        <v>37</v>
      </c>
      <c r="K3768" t="s">
        <v>42</v>
      </c>
      <c r="L3768">
        <v>1</v>
      </c>
      <c r="M3768">
        <v>1</v>
      </c>
      <c r="N3768">
        <v>2.9</v>
      </c>
      <c r="O3768">
        <v>9.4</v>
      </c>
      <c r="P3768">
        <v>4</v>
      </c>
      <c r="Q3768">
        <v>5</v>
      </c>
      <c r="R3768">
        <v>942130</v>
      </c>
      <c r="S3768">
        <f>Table1[[#This Row],[Revenue]]-Table1[[#This Row],[Operating_Costs]]</f>
        <v>264525</v>
      </c>
      <c r="T3768">
        <v>677605</v>
      </c>
      <c r="U3768">
        <v>50</v>
      </c>
      <c r="V3768">
        <v>58</v>
      </c>
      <c r="W3768">
        <v>6.7</v>
      </c>
    </row>
    <row r="3769" spans="1:23" x14ac:dyDescent="0.25">
      <c r="A3769">
        <v>11</v>
      </c>
      <c r="B3769" t="s">
        <v>63</v>
      </c>
      <c r="C3769" s="1">
        <v>44574</v>
      </c>
      <c r="D3769" t="s">
        <v>71</v>
      </c>
      <c r="E3769">
        <v>0</v>
      </c>
      <c r="F3769">
        <v>86</v>
      </c>
      <c r="G3769" t="str">
        <f t="shared" si="66"/>
        <v>81+</v>
      </c>
      <c r="H3769" t="s">
        <v>35</v>
      </c>
      <c r="I3769" t="s">
        <v>53</v>
      </c>
      <c r="J3769" t="s">
        <v>54</v>
      </c>
      <c r="K3769" t="s">
        <v>42</v>
      </c>
      <c r="L3769">
        <v>1</v>
      </c>
      <c r="M3769">
        <v>1</v>
      </c>
      <c r="N3769">
        <v>6</v>
      </c>
      <c r="O3769">
        <v>8.9</v>
      </c>
      <c r="P3769">
        <v>7</v>
      </c>
      <c r="Q3769">
        <v>6</v>
      </c>
      <c r="R3769">
        <v>637563</v>
      </c>
      <c r="S3769">
        <f>Table1[[#This Row],[Revenue]]-Table1[[#This Row],[Operating_Costs]]</f>
        <v>135024</v>
      </c>
      <c r="T3769">
        <v>502539</v>
      </c>
      <c r="U3769">
        <v>27</v>
      </c>
      <c r="V3769">
        <v>60</v>
      </c>
      <c r="W3769">
        <v>14.9</v>
      </c>
    </row>
    <row r="3770" spans="1:23" x14ac:dyDescent="0.25">
      <c r="A3770">
        <v>11</v>
      </c>
      <c r="B3770" t="s">
        <v>63</v>
      </c>
      <c r="C3770" s="1">
        <v>44245</v>
      </c>
      <c r="D3770" t="s">
        <v>71</v>
      </c>
      <c r="E3770">
        <v>0</v>
      </c>
      <c r="F3770">
        <v>36</v>
      </c>
      <c r="G3770" t="str">
        <f t="shared" si="66"/>
        <v>21-40</v>
      </c>
      <c r="H3770" t="s">
        <v>35</v>
      </c>
      <c r="I3770" t="s">
        <v>64</v>
      </c>
      <c r="J3770" t="s">
        <v>65</v>
      </c>
      <c r="K3770" t="s">
        <v>42</v>
      </c>
      <c r="L3770">
        <v>1</v>
      </c>
      <c r="M3770">
        <v>1</v>
      </c>
      <c r="N3770">
        <v>6.8</v>
      </c>
      <c r="O3770">
        <v>8.8000000000000007</v>
      </c>
      <c r="P3770">
        <v>7</v>
      </c>
      <c r="Q3770">
        <v>6</v>
      </c>
      <c r="R3770">
        <v>748723</v>
      </c>
      <c r="S3770">
        <f>Table1[[#This Row],[Revenue]]-Table1[[#This Row],[Operating_Costs]]</f>
        <v>276145</v>
      </c>
      <c r="T3770">
        <v>472578</v>
      </c>
      <c r="U3770">
        <v>32</v>
      </c>
      <c r="V3770">
        <v>58</v>
      </c>
      <c r="W3770">
        <v>12</v>
      </c>
    </row>
    <row r="3771" spans="1:23" x14ac:dyDescent="0.25">
      <c r="A3771">
        <v>12</v>
      </c>
      <c r="B3771" t="s">
        <v>66</v>
      </c>
      <c r="C3771" s="1">
        <v>45561</v>
      </c>
      <c r="D3771" t="s">
        <v>71</v>
      </c>
      <c r="E3771">
        <v>0</v>
      </c>
      <c r="F3771">
        <v>60</v>
      </c>
      <c r="G3771" t="str">
        <f t="shared" si="66"/>
        <v>41-60</v>
      </c>
      <c r="H3771" t="s">
        <v>35</v>
      </c>
      <c r="I3771" t="s">
        <v>36</v>
      </c>
      <c r="J3771" t="s">
        <v>37</v>
      </c>
      <c r="K3771" t="s">
        <v>26</v>
      </c>
      <c r="L3771">
        <v>1</v>
      </c>
      <c r="M3771">
        <v>1</v>
      </c>
      <c r="N3771">
        <v>4.8</v>
      </c>
      <c r="O3771">
        <v>7.5</v>
      </c>
      <c r="P3771">
        <v>5</v>
      </c>
      <c r="Q3771">
        <v>4</v>
      </c>
      <c r="R3771">
        <v>920051</v>
      </c>
      <c r="S3771">
        <f>Table1[[#This Row],[Revenue]]-Table1[[#This Row],[Operating_Costs]]</f>
        <v>412359</v>
      </c>
      <c r="T3771">
        <v>507692</v>
      </c>
      <c r="U3771">
        <v>70</v>
      </c>
      <c r="V3771">
        <v>64</v>
      </c>
      <c r="W3771">
        <v>10</v>
      </c>
    </row>
    <row r="3772" spans="1:23" x14ac:dyDescent="0.25">
      <c r="A3772">
        <v>11</v>
      </c>
      <c r="B3772" t="s">
        <v>63</v>
      </c>
      <c r="C3772" s="1">
        <v>45405</v>
      </c>
      <c r="D3772" t="s">
        <v>71</v>
      </c>
      <c r="E3772">
        <v>0</v>
      </c>
      <c r="F3772">
        <v>23</v>
      </c>
      <c r="G3772" t="str">
        <f t="shared" si="66"/>
        <v>21-40</v>
      </c>
      <c r="H3772" t="s">
        <v>23</v>
      </c>
      <c r="I3772" t="s">
        <v>61</v>
      </c>
      <c r="J3772" t="s">
        <v>62</v>
      </c>
      <c r="K3772" t="s">
        <v>38</v>
      </c>
      <c r="L3772">
        <v>1</v>
      </c>
      <c r="M3772">
        <v>1</v>
      </c>
      <c r="N3772">
        <v>5.9</v>
      </c>
      <c r="O3772">
        <v>9.3000000000000007</v>
      </c>
      <c r="P3772">
        <v>7</v>
      </c>
      <c r="Q3772">
        <v>4</v>
      </c>
      <c r="R3772">
        <v>671628</v>
      </c>
      <c r="S3772">
        <f>Table1[[#This Row],[Revenue]]-Table1[[#This Row],[Operating_Costs]]</f>
        <v>222697</v>
      </c>
      <c r="T3772">
        <v>448931</v>
      </c>
      <c r="U3772">
        <v>35</v>
      </c>
      <c r="V3772">
        <v>65</v>
      </c>
      <c r="W3772">
        <v>5.6</v>
      </c>
    </row>
    <row r="3773" spans="1:23" x14ac:dyDescent="0.25">
      <c r="A3773">
        <v>11</v>
      </c>
      <c r="B3773" t="s">
        <v>63</v>
      </c>
      <c r="C3773" s="1">
        <v>44806</v>
      </c>
      <c r="D3773" t="s">
        <v>71</v>
      </c>
      <c r="E3773">
        <v>0</v>
      </c>
      <c r="F3773">
        <v>57</v>
      </c>
      <c r="G3773" t="str">
        <f t="shared" si="66"/>
        <v>41-60</v>
      </c>
      <c r="H3773" t="s">
        <v>35</v>
      </c>
      <c r="I3773" t="s">
        <v>60</v>
      </c>
      <c r="J3773" t="s">
        <v>59</v>
      </c>
      <c r="K3773" t="s">
        <v>26</v>
      </c>
      <c r="L3773">
        <v>1</v>
      </c>
      <c r="M3773">
        <v>1</v>
      </c>
      <c r="N3773">
        <v>1.9</v>
      </c>
      <c r="O3773">
        <v>9.5</v>
      </c>
      <c r="P3773">
        <v>3</v>
      </c>
      <c r="Q3773">
        <v>7</v>
      </c>
      <c r="R3773">
        <v>601665</v>
      </c>
      <c r="S3773">
        <f>Table1[[#This Row],[Revenue]]-Table1[[#This Row],[Operating_Costs]]</f>
        <v>191768</v>
      </c>
      <c r="T3773">
        <v>409897</v>
      </c>
      <c r="U3773">
        <v>21</v>
      </c>
      <c r="V3773">
        <v>55</v>
      </c>
      <c r="W3773">
        <v>5.7</v>
      </c>
    </row>
    <row r="3774" spans="1:23" x14ac:dyDescent="0.25">
      <c r="A3774">
        <v>11</v>
      </c>
      <c r="B3774" t="s">
        <v>63</v>
      </c>
      <c r="C3774" s="1">
        <v>44218</v>
      </c>
      <c r="D3774" t="s">
        <v>71</v>
      </c>
      <c r="E3774">
        <v>0</v>
      </c>
      <c r="F3774">
        <v>66</v>
      </c>
      <c r="G3774" t="str">
        <f t="shared" si="66"/>
        <v>61-80</v>
      </c>
      <c r="H3774" t="s">
        <v>35</v>
      </c>
      <c r="I3774" t="s">
        <v>58</v>
      </c>
      <c r="J3774" t="s">
        <v>59</v>
      </c>
      <c r="K3774" t="s">
        <v>42</v>
      </c>
      <c r="L3774">
        <v>1</v>
      </c>
      <c r="M3774">
        <v>1</v>
      </c>
      <c r="N3774">
        <v>4.8</v>
      </c>
      <c r="O3774">
        <v>8.6</v>
      </c>
      <c r="P3774">
        <v>6</v>
      </c>
      <c r="Q3774">
        <v>3</v>
      </c>
      <c r="R3774">
        <v>706102</v>
      </c>
      <c r="S3774">
        <f>Table1[[#This Row],[Revenue]]-Table1[[#This Row],[Operating_Costs]]</f>
        <v>222860</v>
      </c>
      <c r="T3774">
        <v>483242</v>
      </c>
      <c r="U3774">
        <v>30</v>
      </c>
      <c r="V3774">
        <v>59</v>
      </c>
      <c r="W3774">
        <v>5.4</v>
      </c>
    </row>
    <row r="3775" spans="1:23" x14ac:dyDescent="0.25">
      <c r="A3775">
        <v>11</v>
      </c>
      <c r="B3775" t="s">
        <v>63</v>
      </c>
      <c r="C3775" s="1">
        <v>45096</v>
      </c>
      <c r="D3775" t="s">
        <v>71</v>
      </c>
      <c r="E3775">
        <v>0</v>
      </c>
      <c r="F3775">
        <v>62</v>
      </c>
      <c r="G3775" t="str">
        <f t="shared" si="66"/>
        <v>61-80</v>
      </c>
      <c r="H3775" t="s">
        <v>23</v>
      </c>
      <c r="I3775" t="s">
        <v>61</v>
      </c>
      <c r="J3775" t="s">
        <v>62</v>
      </c>
      <c r="K3775" t="s">
        <v>42</v>
      </c>
      <c r="L3775">
        <v>1</v>
      </c>
      <c r="M3775">
        <v>1</v>
      </c>
      <c r="N3775">
        <v>4.4000000000000004</v>
      </c>
      <c r="O3775">
        <v>7.8</v>
      </c>
      <c r="P3775">
        <v>7</v>
      </c>
      <c r="Q3775">
        <v>6</v>
      </c>
      <c r="R3775">
        <v>696148</v>
      </c>
      <c r="S3775">
        <f>Table1[[#This Row],[Revenue]]-Table1[[#This Row],[Operating_Costs]]</f>
        <v>204107</v>
      </c>
      <c r="T3775">
        <v>492041</v>
      </c>
      <c r="U3775">
        <v>28</v>
      </c>
      <c r="V3775">
        <v>62</v>
      </c>
      <c r="W3775">
        <v>8.3000000000000007</v>
      </c>
    </row>
    <row r="3776" spans="1:23" x14ac:dyDescent="0.25">
      <c r="A3776">
        <v>11</v>
      </c>
      <c r="B3776" t="s">
        <v>63</v>
      </c>
      <c r="C3776" s="1">
        <v>45295</v>
      </c>
      <c r="D3776" t="s">
        <v>71</v>
      </c>
      <c r="E3776">
        <v>0</v>
      </c>
      <c r="F3776">
        <v>57</v>
      </c>
      <c r="G3776" t="str">
        <f t="shared" si="66"/>
        <v>41-60</v>
      </c>
      <c r="H3776" t="s">
        <v>23</v>
      </c>
      <c r="I3776" t="s">
        <v>24</v>
      </c>
      <c r="J3776" t="s">
        <v>25</v>
      </c>
      <c r="K3776" t="s">
        <v>26</v>
      </c>
      <c r="L3776">
        <v>1</v>
      </c>
      <c r="M3776">
        <v>1</v>
      </c>
      <c r="N3776">
        <v>5.4</v>
      </c>
      <c r="O3776">
        <v>8.8000000000000007</v>
      </c>
      <c r="P3776">
        <v>5</v>
      </c>
      <c r="Q3776">
        <v>6</v>
      </c>
      <c r="R3776">
        <v>618127</v>
      </c>
      <c r="S3776">
        <f>Table1[[#This Row],[Revenue]]-Table1[[#This Row],[Operating_Costs]]</f>
        <v>116539</v>
      </c>
      <c r="T3776">
        <v>501588</v>
      </c>
      <c r="U3776">
        <v>20</v>
      </c>
      <c r="V3776">
        <v>60</v>
      </c>
      <c r="W3776">
        <v>7.7</v>
      </c>
    </row>
    <row r="3777" spans="1:23" x14ac:dyDescent="0.25">
      <c r="A3777">
        <v>11</v>
      </c>
      <c r="B3777" t="s">
        <v>63</v>
      </c>
      <c r="C3777" s="1">
        <v>44808</v>
      </c>
      <c r="D3777" t="s">
        <v>71</v>
      </c>
      <c r="E3777">
        <v>0</v>
      </c>
      <c r="F3777">
        <v>63</v>
      </c>
      <c r="G3777" t="str">
        <f t="shared" si="66"/>
        <v>61-80</v>
      </c>
      <c r="H3777" t="s">
        <v>35</v>
      </c>
      <c r="I3777" t="s">
        <v>60</v>
      </c>
      <c r="J3777" t="s">
        <v>59</v>
      </c>
      <c r="K3777" t="s">
        <v>26</v>
      </c>
      <c r="L3777">
        <v>1</v>
      </c>
      <c r="M3777">
        <v>1</v>
      </c>
      <c r="N3777">
        <v>6.3</v>
      </c>
      <c r="O3777">
        <v>9.8000000000000007</v>
      </c>
      <c r="P3777">
        <v>3</v>
      </c>
      <c r="Q3777">
        <v>6</v>
      </c>
      <c r="R3777">
        <v>734818</v>
      </c>
      <c r="S3777">
        <f>Table1[[#This Row],[Revenue]]-Table1[[#This Row],[Operating_Costs]]</f>
        <v>266346</v>
      </c>
      <c r="T3777">
        <v>468472</v>
      </c>
      <c r="U3777">
        <v>23</v>
      </c>
      <c r="V3777">
        <v>54</v>
      </c>
      <c r="W3777">
        <v>14</v>
      </c>
    </row>
    <row r="3778" spans="1:23" x14ac:dyDescent="0.25">
      <c r="A3778">
        <v>11</v>
      </c>
      <c r="B3778" t="s">
        <v>63</v>
      </c>
      <c r="C3778" s="1">
        <v>45413</v>
      </c>
      <c r="D3778" t="s">
        <v>71</v>
      </c>
      <c r="E3778">
        <v>0</v>
      </c>
      <c r="F3778">
        <v>31</v>
      </c>
      <c r="G3778" t="str">
        <f t="shared" si="66"/>
        <v>21-40</v>
      </c>
      <c r="H3778" t="s">
        <v>23</v>
      </c>
      <c r="I3778" t="s">
        <v>24</v>
      </c>
      <c r="J3778" t="s">
        <v>25</v>
      </c>
      <c r="K3778" t="s">
        <v>33</v>
      </c>
      <c r="L3778">
        <v>1</v>
      </c>
      <c r="M3778">
        <v>1</v>
      </c>
      <c r="N3778">
        <v>3.1</v>
      </c>
      <c r="O3778">
        <v>8.9</v>
      </c>
      <c r="P3778">
        <v>3</v>
      </c>
      <c r="Q3778">
        <v>7</v>
      </c>
      <c r="R3778">
        <v>636148</v>
      </c>
      <c r="S3778">
        <f>Table1[[#This Row],[Revenue]]-Table1[[#This Row],[Operating_Costs]]</f>
        <v>216375</v>
      </c>
      <c r="T3778">
        <v>419773</v>
      </c>
      <c r="U3778">
        <v>31</v>
      </c>
      <c r="V3778">
        <v>59</v>
      </c>
      <c r="W3778">
        <v>36</v>
      </c>
    </row>
    <row r="3779" spans="1:23" x14ac:dyDescent="0.25">
      <c r="A3779">
        <v>11</v>
      </c>
      <c r="B3779" t="s">
        <v>63</v>
      </c>
      <c r="C3779" s="1">
        <v>45360</v>
      </c>
      <c r="D3779" t="s">
        <v>71</v>
      </c>
      <c r="E3779">
        <v>0</v>
      </c>
      <c r="F3779">
        <v>38</v>
      </c>
      <c r="G3779" t="str">
        <f t="shared" ref="G3779:G3842" si="67">IF(F3779&lt;=20,"0-20",IF(F3779&lt;=40,"21-40",IF(F3779&lt;=60,"41-60",IF(F3779&lt;=80,"61-80","81+"))))</f>
        <v>21-40</v>
      </c>
      <c r="H3779" t="s">
        <v>35</v>
      </c>
      <c r="I3779" t="s">
        <v>61</v>
      </c>
      <c r="J3779" t="s">
        <v>62</v>
      </c>
      <c r="K3779" t="s">
        <v>42</v>
      </c>
      <c r="L3779">
        <v>1</v>
      </c>
      <c r="M3779">
        <v>1</v>
      </c>
      <c r="N3779">
        <v>1.4</v>
      </c>
      <c r="O3779">
        <v>9</v>
      </c>
      <c r="P3779">
        <v>6</v>
      </c>
      <c r="Q3779">
        <v>4</v>
      </c>
      <c r="R3779">
        <v>754378</v>
      </c>
      <c r="S3779">
        <f>Table1[[#This Row],[Revenue]]-Table1[[#This Row],[Operating_Costs]]</f>
        <v>251753</v>
      </c>
      <c r="T3779">
        <v>502625</v>
      </c>
      <c r="U3779">
        <v>23</v>
      </c>
      <c r="V3779">
        <v>66</v>
      </c>
      <c r="W3779">
        <v>9.6</v>
      </c>
    </row>
    <row r="3780" spans="1:23" x14ac:dyDescent="0.25">
      <c r="A3780">
        <v>11</v>
      </c>
      <c r="B3780" t="s">
        <v>63</v>
      </c>
      <c r="C3780" s="1">
        <v>44771</v>
      </c>
      <c r="D3780" t="s">
        <v>71</v>
      </c>
      <c r="E3780">
        <v>0</v>
      </c>
      <c r="F3780">
        <v>37</v>
      </c>
      <c r="G3780" t="str">
        <f t="shared" si="67"/>
        <v>21-40</v>
      </c>
      <c r="H3780" t="s">
        <v>23</v>
      </c>
      <c r="I3780" t="s">
        <v>43</v>
      </c>
      <c r="J3780" t="s">
        <v>25</v>
      </c>
      <c r="K3780" t="s">
        <v>29</v>
      </c>
      <c r="L3780">
        <v>1</v>
      </c>
      <c r="M3780">
        <v>1</v>
      </c>
      <c r="N3780">
        <v>1.9</v>
      </c>
      <c r="O3780">
        <v>9.5</v>
      </c>
      <c r="P3780">
        <v>4</v>
      </c>
      <c r="Q3780">
        <v>4</v>
      </c>
      <c r="R3780">
        <v>740814</v>
      </c>
      <c r="S3780">
        <f>Table1[[#This Row],[Revenue]]-Table1[[#This Row],[Operating_Costs]]</f>
        <v>189075</v>
      </c>
      <c r="T3780">
        <v>551739</v>
      </c>
      <c r="U3780">
        <v>34</v>
      </c>
      <c r="V3780">
        <v>57</v>
      </c>
      <c r="W3780">
        <v>6.7</v>
      </c>
    </row>
    <row r="3781" spans="1:23" x14ac:dyDescent="0.25">
      <c r="A3781">
        <v>11</v>
      </c>
      <c r="B3781" t="s">
        <v>63</v>
      </c>
      <c r="C3781" s="1">
        <v>44782</v>
      </c>
      <c r="D3781" t="s">
        <v>71</v>
      </c>
      <c r="E3781">
        <v>0</v>
      </c>
      <c r="F3781">
        <v>90</v>
      </c>
      <c r="G3781" t="str">
        <f t="shared" si="67"/>
        <v>81+</v>
      </c>
      <c r="H3781" t="s">
        <v>35</v>
      </c>
      <c r="I3781" t="s">
        <v>61</v>
      </c>
      <c r="J3781" t="s">
        <v>62</v>
      </c>
      <c r="K3781" t="s">
        <v>26</v>
      </c>
      <c r="L3781">
        <v>1</v>
      </c>
      <c r="M3781">
        <v>1</v>
      </c>
      <c r="N3781">
        <v>3.9</v>
      </c>
      <c r="O3781">
        <v>9.8000000000000007</v>
      </c>
      <c r="P3781">
        <v>5</v>
      </c>
      <c r="Q3781">
        <v>7</v>
      </c>
      <c r="R3781">
        <v>663857</v>
      </c>
      <c r="S3781">
        <f>Table1[[#This Row],[Revenue]]-Table1[[#This Row],[Operating_Costs]]</f>
        <v>249681</v>
      </c>
      <c r="T3781">
        <v>414176</v>
      </c>
      <c r="U3781">
        <v>31</v>
      </c>
      <c r="V3781">
        <v>66</v>
      </c>
      <c r="W3781">
        <v>13.5</v>
      </c>
    </row>
    <row r="3782" spans="1:23" x14ac:dyDescent="0.25">
      <c r="A3782">
        <v>11</v>
      </c>
      <c r="B3782" t="s">
        <v>63</v>
      </c>
      <c r="C3782" s="1">
        <v>45227</v>
      </c>
      <c r="D3782" t="s">
        <v>71</v>
      </c>
      <c r="E3782">
        <v>0</v>
      </c>
      <c r="F3782">
        <v>27</v>
      </c>
      <c r="G3782" t="str">
        <f t="shared" si="67"/>
        <v>21-40</v>
      </c>
      <c r="H3782" t="s">
        <v>23</v>
      </c>
      <c r="I3782" t="s">
        <v>24</v>
      </c>
      <c r="J3782" t="s">
        <v>25</v>
      </c>
      <c r="K3782" t="s">
        <v>38</v>
      </c>
      <c r="L3782">
        <v>1</v>
      </c>
      <c r="M3782">
        <v>1</v>
      </c>
      <c r="N3782">
        <v>6.5</v>
      </c>
      <c r="O3782">
        <v>9.4</v>
      </c>
      <c r="P3782">
        <v>3</v>
      </c>
      <c r="Q3782">
        <v>4</v>
      </c>
      <c r="R3782">
        <v>625844</v>
      </c>
      <c r="S3782">
        <f>Table1[[#This Row],[Revenue]]-Table1[[#This Row],[Operating_Costs]]</f>
        <v>157262</v>
      </c>
      <c r="T3782">
        <v>468582</v>
      </c>
      <c r="U3782">
        <v>27</v>
      </c>
      <c r="V3782">
        <v>63</v>
      </c>
      <c r="W3782">
        <v>14.5</v>
      </c>
    </row>
    <row r="3783" spans="1:23" x14ac:dyDescent="0.25">
      <c r="A3783">
        <v>11</v>
      </c>
      <c r="B3783" t="s">
        <v>63</v>
      </c>
      <c r="C3783" s="1">
        <v>45280</v>
      </c>
      <c r="D3783" t="s">
        <v>71</v>
      </c>
      <c r="E3783">
        <v>0</v>
      </c>
      <c r="F3783">
        <v>25</v>
      </c>
      <c r="G3783" t="str">
        <f t="shared" si="67"/>
        <v>21-40</v>
      </c>
      <c r="H3783" t="s">
        <v>35</v>
      </c>
      <c r="I3783" t="s">
        <v>50</v>
      </c>
      <c r="J3783" t="s">
        <v>51</v>
      </c>
      <c r="K3783" t="s">
        <v>33</v>
      </c>
      <c r="L3783">
        <v>1</v>
      </c>
      <c r="M3783">
        <v>1</v>
      </c>
      <c r="N3783">
        <v>2.9</v>
      </c>
      <c r="O3783">
        <v>8.8000000000000007</v>
      </c>
      <c r="P3783">
        <v>4</v>
      </c>
      <c r="Q3783">
        <v>5</v>
      </c>
      <c r="R3783">
        <v>723785</v>
      </c>
      <c r="S3783">
        <f>Table1[[#This Row],[Revenue]]-Table1[[#This Row],[Operating_Costs]]</f>
        <v>274705</v>
      </c>
      <c r="T3783">
        <v>449080</v>
      </c>
      <c r="U3783">
        <v>34</v>
      </c>
      <c r="V3783">
        <v>55</v>
      </c>
      <c r="W3783">
        <v>13.1</v>
      </c>
    </row>
    <row r="3784" spans="1:23" x14ac:dyDescent="0.25">
      <c r="A3784">
        <v>11</v>
      </c>
      <c r="B3784" t="s">
        <v>63</v>
      </c>
      <c r="C3784" s="1">
        <v>45268</v>
      </c>
      <c r="D3784" t="s">
        <v>71</v>
      </c>
      <c r="E3784">
        <v>0</v>
      </c>
      <c r="F3784">
        <v>49</v>
      </c>
      <c r="G3784" t="str">
        <f t="shared" si="67"/>
        <v>41-60</v>
      </c>
      <c r="H3784" t="s">
        <v>35</v>
      </c>
      <c r="I3784" t="s">
        <v>36</v>
      </c>
      <c r="J3784" t="s">
        <v>37</v>
      </c>
      <c r="K3784" t="s">
        <v>38</v>
      </c>
      <c r="L3784">
        <v>1</v>
      </c>
      <c r="M3784">
        <v>1</v>
      </c>
      <c r="N3784">
        <v>3.3</v>
      </c>
      <c r="O3784">
        <v>7.6</v>
      </c>
      <c r="P3784">
        <v>4</v>
      </c>
      <c r="Q3784">
        <v>7</v>
      </c>
      <c r="R3784">
        <v>614978</v>
      </c>
      <c r="S3784">
        <f>Table1[[#This Row],[Revenue]]-Table1[[#This Row],[Operating_Costs]]</f>
        <v>207404</v>
      </c>
      <c r="T3784">
        <v>407574</v>
      </c>
      <c r="U3784">
        <v>26</v>
      </c>
      <c r="V3784">
        <v>57</v>
      </c>
      <c r="W3784">
        <v>5.6</v>
      </c>
    </row>
    <row r="3785" spans="1:23" x14ac:dyDescent="0.25">
      <c r="A3785">
        <v>11</v>
      </c>
      <c r="B3785" t="s">
        <v>63</v>
      </c>
      <c r="C3785" s="1">
        <v>44330</v>
      </c>
      <c r="D3785" t="s">
        <v>71</v>
      </c>
      <c r="E3785">
        <v>0</v>
      </c>
      <c r="F3785">
        <v>27</v>
      </c>
      <c r="G3785" t="str">
        <f t="shared" si="67"/>
        <v>21-40</v>
      </c>
      <c r="H3785" t="s">
        <v>35</v>
      </c>
      <c r="I3785" t="s">
        <v>40</v>
      </c>
      <c r="J3785" t="s">
        <v>41</v>
      </c>
      <c r="K3785" t="s">
        <v>29</v>
      </c>
      <c r="L3785">
        <v>1</v>
      </c>
      <c r="M3785">
        <v>1</v>
      </c>
      <c r="N3785">
        <v>2.6</v>
      </c>
      <c r="O3785">
        <v>8.4</v>
      </c>
      <c r="P3785">
        <v>4</v>
      </c>
      <c r="Q3785">
        <v>3</v>
      </c>
      <c r="R3785">
        <v>760210</v>
      </c>
      <c r="S3785">
        <f>Table1[[#This Row],[Revenue]]-Table1[[#This Row],[Operating_Costs]]</f>
        <v>352188</v>
      </c>
      <c r="T3785">
        <v>408022</v>
      </c>
      <c r="U3785">
        <v>27</v>
      </c>
      <c r="V3785">
        <v>55</v>
      </c>
      <c r="W3785">
        <v>13.4</v>
      </c>
    </row>
    <row r="3786" spans="1:23" x14ac:dyDescent="0.25">
      <c r="A3786">
        <v>11</v>
      </c>
      <c r="B3786" t="s">
        <v>63</v>
      </c>
      <c r="C3786" s="1">
        <v>44914</v>
      </c>
      <c r="D3786" t="s">
        <v>71</v>
      </c>
      <c r="E3786">
        <v>0</v>
      </c>
      <c r="F3786">
        <v>22</v>
      </c>
      <c r="G3786" t="str">
        <f t="shared" si="67"/>
        <v>21-40</v>
      </c>
      <c r="H3786" t="s">
        <v>23</v>
      </c>
      <c r="I3786" t="s">
        <v>24</v>
      </c>
      <c r="J3786" t="s">
        <v>25</v>
      </c>
      <c r="K3786" t="s">
        <v>38</v>
      </c>
      <c r="L3786">
        <v>1</v>
      </c>
      <c r="M3786">
        <v>1</v>
      </c>
      <c r="N3786">
        <v>1.9</v>
      </c>
      <c r="O3786">
        <v>8.5</v>
      </c>
      <c r="P3786">
        <v>7</v>
      </c>
      <c r="Q3786">
        <v>5</v>
      </c>
      <c r="R3786">
        <v>775754</v>
      </c>
      <c r="S3786">
        <f>Table1[[#This Row],[Revenue]]-Table1[[#This Row],[Operating_Costs]]</f>
        <v>242953</v>
      </c>
      <c r="T3786">
        <v>532801</v>
      </c>
      <c r="U3786">
        <v>25</v>
      </c>
      <c r="V3786">
        <v>55</v>
      </c>
      <c r="W3786">
        <v>8</v>
      </c>
    </row>
    <row r="3787" spans="1:23" x14ac:dyDescent="0.25">
      <c r="A3787">
        <v>11</v>
      </c>
      <c r="B3787" t="s">
        <v>63</v>
      </c>
      <c r="C3787" s="1">
        <v>45285</v>
      </c>
      <c r="D3787" t="s">
        <v>71</v>
      </c>
      <c r="E3787">
        <v>0</v>
      </c>
      <c r="F3787">
        <v>88</v>
      </c>
      <c r="G3787" t="str">
        <f t="shared" si="67"/>
        <v>81+</v>
      </c>
      <c r="H3787" t="s">
        <v>35</v>
      </c>
      <c r="I3787" t="s">
        <v>61</v>
      </c>
      <c r="J3787" t="s">
        <v>62</v>
      </c>
      <c r="K3787" t="s">
        <v>38</v>
      </c>
      <c r="L3787">
        <v>1</v>
      </c>
      <c r="M3787">
        <v>1</v>
      </c>
      <c r="N3787">
        <v>5</v>
      </c>
      <c r="O3787">
        <v>7</v>
      </c>
      <c r="P3787">
        <v>5</v>
      </c>
      <c r="Q3787">
        <v>3</v>
      </c>
      <c r="R3787">
        <v>789308</v>
      </c>
      <c r="S3787">
        <f>Table1[[#This Row],[Revenue]]-Table1[[#This Row],[Operating_Costs]]</f>
        <v>365025</v>
      </c>
      <c r="T3787">
        <v>424283</v>
      </c>
      <c r="U3787">
        <v>25</v>
      </c>
      <c r="V3787">
        <v>59</v>
      </c>
      <c r="W3787">
        <v>8.9</v>
      </c>
    </row>
    <row r="3788" spans="1:23" x14ac:dyDescent="0.25">
      <c r="A3788">
        <v>11</v>
      </c>
      <c r="B3788" t="s">
        <v>63</v>
      </c>
      <c r="C3788" s="1">
        <v>44979</v>
      </c>
      <c r="D3788" t="s">
        <v>71</v>
      </c>
      <c r="E3788">
        <v>0</v>
      </c>
      <c r="F3788">
        <v>22</v>
      </c>
      <c r="G3788" t="str">
        <f t="shared" si="67"/>
        <v>21-40</v>
      </c>
      <c r="H3788" t="s">
        <v>35</v>
      </c>
      <c r="I3788" t="s">
        <v>61</v>
      </c>
      <c r="J3788" t="s">
        <v>62</v>
      </c>
      <c r="K3788" t="s">
        <v>42</v>
      </c>
      <c r="L3788">
        <v>1</v>
      </c>
      <c r="M3788">
        <v>1</v>
      </c>
      <c r="N3788">
        <v>6</v>
      </c>
      <c r="O3788">
        <v>9.6999999999999993</v>
      </c>
      <c r="P3788">
        <v>7</v>
      </c>
      <c r="Q3788">
        <v>6</v>
      </c>
      <c r="R3788">
        <v>715795</v>
      </c>
      <c r="S3788">
        <f>Table1[[#This Row],[Revenue]]-Table1[[#This Row],[Operating_Costs]]</f>
        <v>251991</v>
      </c>
      <c r="T3788">
        <v>463804</v>
      </c>
      <c r="U3788">
        <v>33</v>
      </c>
      <c r="V3788">
        <v>63</v>
      </c>
      <c r="W3788">
        <v>9.8000000000000007</v>
      </c>
    </row>
    <row r="3789" spans="1:23" x14ac:dyDescent="0.25">
      <c r="A3789">
        <v>11</v>
      </c>
      <c r="B3789" t="s">
        <v>63</v>
      </c>
      <c r="C3789" s="1">
        <v>45045</v>
      </c>
      <c r="D3789" t="s">
        <v>71</v>
      </c>
      <c r="E3789">
        <v>0</v>
      </c>
      <c r="F3789">
        <v>89</v>
      </c>
      <c r="G3789" t="str">
        <f t="shared" si="67"/>
        <v>81+</v>
      </c>
      <c r="H3789" t="s">
        <v>35</v>
      </c>
      <c r="I3789" t="s">
        <v>50</v>
      </c>
      <c r="J3789" t="s">
        <v>51</v>
      </c>
      <c r="K3789" t="s">
        <v>29</v>
      </c>
      <c r="L3789">
        <v>1</v>
      </c>
      <c r="M3789">
        <v>1</v>
      </c>
      <c r="N3789">
        <v>2.4</v>
      </c>
      <c r="O3789">
        <v>8.4</v>
      </c>
      <c r="P3789">
        <v>5</v>
      </c>
      <c r="Q3789">
        <v>4</v>
      </c>
      <c r="R3789">
        <v>709123</v>
      </c>
      <c r="S3789">
        <f>Table1[[#This Row],[Revenue]]-Table1[[#This Row],[Operating_Costs]]</f>
        <v>133365</v>
      </c>
      <c r="T3789">
        <v>575758</v>
      </c>
      <c r="U3789">
        <v>33</v>
      </c>
      <c r="V3789">
        <v>57</v>
      </c>
      <c r="W3789">
        <v>8.6999999999999993</v>
      </c>
    </row>
    <row r="3790" spans="1:23" x14ac:dyDescent="0.25">
      <c r="A3790">
        <v>11</v>
      </c>
      <c r="B3790" t="s">
        <v>63</v>
      </c>
      <c r="C3790" s="1">
        <v>44234</v>
      </c>
      <c r="D3790" t="s">
        <v>71</v>
      </c>
      <c r="E3790">
        <v>0</v>
      </c>
      <c r="F3790">
        <v>49</v>
      </c>
      <c r="G3790" t="str">
        <f t="shared" si="67"/>
        <v>41-60</v>
      </c>
      <c r="H3790" t="s">
        <v>35</v>
      </c>
      <c r="I3790" t="s">
        <v>46</v>
      </c>
      <c r="J3790" t="s">
        <v>47</v>
      </c>
      <c r="K3790" t="s">
        <v>42</v>
      </c>
      <c r="L3790">
        <v>1</v>
      </c>
      <c r="M3790">
        <v>1</v>
      </c>
      <c r="N3790">
        <v>3.3</v>
      </c>
      <c r="O3790">
        <v>9.8000000000000007</v>
      </c>
      <c r="P3790">
        <v>5</v>
      </c>
      <c r="Q3790">
        <v>3</v>
      </c>
      <c r="R3790">
        <v>664336</v>
      </c>
      <c r="S3790">
        <f>Table1[[#This Row],[Revenue]]-Table1[[#This Row],[Operating_Costs]]</f>
        <v>166533</v>
      </c>
      <c r="T3790">
        <v>497803</v>
      </c>
      <c r="U3790">
        <v>22</v>
      </c>
      <c r="V3790">
        <v>59</v>
      </c>
      <c r="W3790">
        <v>36.299999999999997</v>
      </c>
    </row>
    <row r="3791" spans="1:23" x14ac:dyDescent="0.25">
      <c r="A3791">
        <v>11</v>
      </c>
      <c r="B3791" t="s">
        <v>63</v>
      </c>
      <c r="C3791" s="1">
        <v>45006</v>
      </c>
      <c r="D3791" t="s">
        <v>71</v>
      </c>
      <c r="E3791">
        <v>0</v>
      </c>
      <c r="F3791">
        <v>52</v>
      </c>
      <c r="G3791" t="str">
        <f t="shared" si="67"/>
        <v>41-60</v>
      </c>
      <c r="H3791" t="s">
        <v>35</v>
      </c>
      <c r="I3791" t="s">
        <v>50</v>
      </c>
      <c r="J3791" t="s">
        <v>51</v>
      </c>
      <c r="K3791" t="s">
        <v>33</v>
      </c>
      <c r="L3791">
        <v>1</v>
      </c>
      <c r="M3791">
        <v>1</v>
      </c>
      <c r="N3791">
        <v>1.4</v>
      </c>
      <c r="O3791">
        <v>9.4</v>
      </c>
      <c r="P3791">
        <v>5</v>
      </c>
      <c r="Q3791">
        <v>7</v>
      </c>
      <c r="R3791">
        <v>764094</v>
      </c>
      <c r="S3791">
        <f>Table1[[#This Row],[Revenue]]-Table1[[#This Row],[Operating_Costs]]</f>
        <v>204715</v>
      </c>
      <c r="T3791">
        <v>559379</v>
      </c>
      <c r="U3791">
        <v>32</v>
      </c>
      <c r="V3791">
        <v>55</v>
      </c>
      <c r="W3791">
        <v>13.2</v>
      </c>
    </row>
    <row r="3792" spans="1:23" x14ac:dyDescent="0.25">
      <c r="A3792">
        <v>11</v>
      </c>
      <c r="B3792" t="s">
        <v>63</v>
      </c>
      <c r="C3792" s="1">
        <v>44860</v>
      </c>
      <c r="D3792" t="s">
        <v>71</v>
      </c>
      <c r="E3792">
        <v>0</v>
      </c>
      <c r="F3792">
        <v>90</v>
      </c>
      <c r="G3792" t="str">
        <f t="shared" si="67"/>
        <v>81+</v>
      </c>
      <c r="H3792" t="s">
        <v>23</v>
      </c>
      <c r="I3792" t="s">
        <v>61</v>
      </c>
      <c r="J3792" t="s">
        <v>62</v>
      </c>
      <c r="K3792" t="s">
        <v>42</v>
      </c>
      <c r="L3792">
        <v>1</v>
      </c>
      <c r="M3792">
        <v>1</v>
      </c>
      <c r="N3792">
        <v>1.9</v>
      </c>
      <c r="O3792">
        <v>7</v>
      </c>
      <c r="P3792">
        <v>6</v>
      </c>
      <c r="Q3792">
        <v>6</v>
      </c>
      <c r="R3792">
        <v>709879</v>
      </c>
      <c r="S3792">
        <f>Table1[[#This Row],[Revenue]]-Table1[[#This Row],[Operating_Costs]]</f>
        <v>201745</v>
      </c>
      <c r="T3792">
        <v>508134</v>
      </c>
      <c r="U3792">
        <v>24</v>
      </c>
      <c r="V3792">
        <v>56</v>
      </c>
      <c r="W3792">
        <v>36.799999999999997</v>
      </c>
    </row>
    <row r="3793" spans="1:23" x14ac:dyDescent="0.25">
      <c r="A3793">
        <v>11</v>
      </c>
      <c r="B3793" t="s">
        <v>63</v>
      </c>
      <c r="C3793" s="1">
        <v>45375</v>
      </c>
      <c r="D3793" t="s">
        <v>71</v>
      </c>
      <c r="E3793">
        <v>0</v>
      </c>
      <c r="F3793">
        <v>23</v>
      </c>
      <c r="G3793" t="str">
        <f t="shared" si="67"/>
        <v>21-40</v>
      </c>
      <c r="H3793" t="s">
        <v>35</v>
      </c>
      <c r="I3793" t="s">
        <v>27</v>
      </c>
      <c r="J3793" t="s">
        <v>28</v>
      </c>
      <c r="K3793" t="s">
        <v>33</v>
      </c>
      <c r="L3793">
        <v>1</v>
      </c>
      <c r="M3793">
        <v>1</v>
      </c>
      <c r="N3793">
        <v>1.5</v>
      </c>
      <c r="O3793">
        <v>7.9</v>
      </c>
      <c r="P3793">
        <v>4</v>
      </c>
      <c r="Q3793">
        <v>3</v>
      </c>
      <c r="R3793">
        <v>768525</v>
      </c>
      <c r="S3793">
        <f>Table1[[#This Row],[Revenue]]-Table1[[#This Row],[Operating_Costs]]</f>
        <v>220135</v>
      </c>
      <c r="T3793">
        <v>548390</v>
      </c>
      <c r="U3793">
        <v>27</v>
      </c>
      <c r="V3793">
        <v>64</v>
      </c>
      <c r="W3793">
        <v>14.5</v>
      </c>
    </row>
    <row r="3794" spans="1:23" x14ac:dyDescent="0.25">
      <c r="A3794">
        <v>11</v>
      </c>
      <c r="B3794" t="s">
        <v>63</v>
      </c>
      <c r="C3794" s="1">
        <v>45234</v>
      </c>
      <c r="D3794" t="s">
        <v>71</v>
      </c>
      <c r="E3794">
        <v>0</v>
      </c>
      <c r="F3794">
        <v>66</v>
      </c>
      <c r="G3794" t="str">
        <f t="shared" si="67"/>
        <v>61-80</v>
      </c>
      <c r="H3794" t="s">
        <v>35</v>
      </c>
      <c r="I3794" t="s">
        <v>60</v>
      </c>
      <c r="J3794" t="s">
        <v>59</v>
      </c>
      <c r="K3794" t="s">
        <v>38</v>
      </c>
      <c r="L3794">
        <v>1</v>
      </c>
      <c r="M3794">
        <v>1</v>
      </c>
      <c r="N3794">
        <v>2.1</v>
      </c>
      <c r="O3794">
        <v>9.9</v>
      </c>
      <c r="P3794">
        <v>7</v>
      </c>
      <c r="Q3794">
        <v>5</v>
      </c>
      <c r="R3794">
        <v>663637</v>
      </c>
      <c r="S3794">
        <f>Table1[[#This Row],[Revenue]]-Table1[[#This Row],[Operating_Costs]]</f>
        <v>90853</v>
      </c>
      <c r="T3794">
        <v>572784</v>
      </c>
      <c r="U3794">
        <v>21</v>
      </c>
      <c r="V3794">
        <v>66</v>
      </c>
      <c r="W3794">
        <v>8.5</v>
      </c>
    </row>
    <row r="3795" spans="1:23" x14ac:dyDescent="0.25">
      <c r="A3795">
        <v>11</v>
      </c>
      <c r="B3795" t="s">
        <v>63</v>
      </c>
      <c r="C3795" s="1">
        <v>44776</v>
      </c>
      <c r="D3795" t="s">
        <v>71</v>
      </c>
      <c r="E3795">
        <v>0</v>
      </c>
      <c r="F3795">
        <v>61</v>
      </c>
      <c r="G3795" t="str">
        <f t="shared" si="67"/>
        <v>61-80</v>
      </c>
      <c r="H3795" t="s">
        <v>35</v>
      </c>
      <c r="I3795" t="s">
        <v>46</v>
      </c>
      <c r="J3795" t="s">
        <v>47</v>
      </c>
      <c r="K3795" t="s">
        <v>38</v>
      </c>
      <c r="L3795">
        <v>1</v>
      </c>
      <c r="M3795">
        <v>1</v>
      </c>
      <c r="N3795">
        <v>6.9</v>
      </c>
      <c r="O3795">
        <v>9.4</v>
      </c>
      <c r="P3795">
        <v>5</v>
      </c>
      <c r="Q3795">
        <v>6</v>
      </c>
      <c r="R3795">
        <v>731918</v>
      </c>
      <c r="S3795">
        <f>Table1[[#This Row],[Revenue]]-Table1[[#This Row],[Operating_Costs]]</f>
        <v>268265</v>
      </c>
      <c r="T3795">
        <v>463653</v>
      </c>
      <c r="U3795">
        <v>27</v>
      </c>
      <c r="V3795">
        <v>63</v>
      </c>
      <c r="W3795">
        <v>6.3</v>
      </c>
    </row>
    <row r="3796" spans="1:23" x14ac:dyDescent="0.25">
      <c r="A3796">
        <v>11</v>
      </c>
      <c r="B3796" t="s">
        <v>63</v>
      </c>
      <c r="C3796" s="1">
        <v>45247</v>
      </c>
      <c r="D3796" t="s">
        <v>71</v>
      </c>
      <c r="E3796">
        <v>0</v>
      </c>
      <c r="F3796">
        <v>60</v>
      </c>
      <c r="G3796" t="str">
        <f t="shared" si="67"/>
        <v>41-60</v>
      </c>
      <c r="H3796" t="s">
        <v>35</v>
      </c>
      <c r="I3796" t="s">
        <v>58</v>
      </c>
      <c r="J3796" t="s">
        <v>59</v>
      </c>
      <c r="K3796" t="s">
        <v>42</v>
      </c>
      <c r="L3796">
        <v>1</v>
      </c>
      <c r="M3796">
        <v>1</v>
      </c>
      <c r="N3796">
        <v>2.4</v>
      </c>
      <c r="O3796">
        <v>8.8000000000000007</v>
      </c>
      <c r="P3796">
        <v>6</v>
      </c>
      <c r="Q3796">
        <v>3</v>
      </c>
      <c r="R3796">
        <v>640486</v>
      </c>
      <c r="S3796">
        <f>Table1[[#This Row],[Revenue]]-Table1[[#This Row],[Operating_Costs]]</f>
        <v>164333</v>
      </c>
      <c r="T3796">
        <v>476153</v>
      </c>
      <c r="U3796">
        <v>31</v>
      </c>
      <c r="V3796">
        <v>55</v>
      </c>
      <c r="W3796">
        <v>6.8</v>
      </c>
    </row>
    <row r="3797" spans="1:23" x14ac:dyDescent="0.25">
      <c r="A3797">
        <v>11</v>
      </c>
      <c r="B3797" t="s">
        <v>63</v>
      </c>
      <c r="C3797" s="1">
        <v>45656</v>
      </c>
      <c r="D3797" t="s">
        <v>71</v>
      </c>
      <c r="E3797">
        <v>0</v>
      </c>
      <c r="F3797">
        <v>43</v>
      </c>
      <c r="G3797" t="str">
        <f t="shared" si="67"/>
        <v>41-60</v>
      </c>
      <c r="H3797" t="s">
        <v>23</v>
      </c>
      <c r="I3797" t="s">
        <v>50</v>
      </c>
      <c r="J3797" t="s">
        <v>51</v>
      </c>
      <c r="K3797" t="s">
        <v>33</v>
      </c>
      <c r="L3797">
        <v>1</v>
      </c>
      <c r="M3797">
        <v>1</v>
      </c>
      <c r="N3797">
        <v>6.2</v>
      </c>
      <c r="O3797">
        <v>9.3000000000000007</v>
      </c>
      <c r="P3797">
        <v>7</v>
      </c>
      <c r="Q3797">
        <v>6</v>
      </c>
      <c r="R3797">
        <v>747633</v>
      </c>
      <c r="S3797">
        <f>Table1[[#This Row],[Revenue]]-Table1[[#This Row],[Operating_Costs]]</f>
        <v>315367</v>
      </c>
      <c r="T3797">
        <v>432266</v>
      </c>
      <c r="U3797">
        <v>27</v>
      </c>
      <c r="V3797">
        <v>63</v>
      </c>
      <c r="W3797">
        <v>12.1</v>
      </c>
    </row>
    <row r="3798" spans="1:23" x14ac:dyDescent="0.25">
      <c r="A3798">
        <v>11</v>
      </c>
      <c r="B3798" t="s">
        <v>63</v>
      </c>
      <c r="C3798" s="1">
        <v>45551</v>
      </c>
      <c r="D3798" t="s">
        <v>71</v>
      </c>
      <c r="E3798">
        <v>0</v>
      </c>
      <c r="F3798">
        <v>39</v>
      </c>
      <c r="G3798" t="str">
        <f t="shared" si="67"/>
        <v>21-40</v>
      </c>
      <c r="H3798" t="s">
        <v>23</v>
      </c>
      <c r="I3798" t="s">
        <v>50</v>
      </c>
      <c r="J3798" t="s">
        <v>51</v>
      </c>
      <c r="K3798" t="s">
        <v>29</v>
      </c>
      <c r="L3798">
        <v>1</v>
      </c>
      <c r="M3798">
        <v>1</v>
      </c>
      <c r="N3798">
        <v>6.8</v>
      </c>
      <c r="O3798">
        <v>9.6999999999999993</v>
      </c>
      <c r="P3798">
        <v>7</v>
      </c>
      <c r="Q3798">
        <v>4</v>
      </c>
      <c r="R3798">
        <v>666445</v>
      </c>
      <c r="S3798">
        <f>Table1[[#This Row],[Revenue]]-Table1[[#This Row],[Operating_Costs]]</f>
        <v>149115</v>
      </c>
      <c r="T3798">
        <v>517330</v>
      </c>
      <c r="U3798">
        <v>20</v>
      </c>
      <c r="V3798">
        <v>54</v>
      </c>
      <c r="W3798">
        <v>8.6999999999999993</v>
      </c>
    </row>
    <row r="3799" spans="1:23" x14ac:dyDescent="0.25">
      <c r="A3799">
        <v>11</v>
      </c>
      <c r="B3799" t="s">
        <v>63</v>
      </c>
      <c r="C3799" s="1">
        <v>44512</v>
      </c>
      <c r="D3799" t="s">
        <v>71</v>
      </c>
      <c r="E3799">
        <v>0</v>
      </c>
      <c r="F3799">
        <v>45</v>
      </c>
      <c r="G3799" t="str">
        <f t="shared" si="67"/>
        <v>41-60</v>
      </c>
      <c r="H3799" t="s">
        <v>35</v>
      </c>
      <c r="I3799" t="s">
        <v>64</v>
      </c>
      <c r="J3799" t="s">
        <v>65</v>
      </c>
      <c r="K3799" t="s">
        <v>29</v>
      </c>
      <c r="L3799">
        <v>1</v>
      </c>
      <c r="M3799">
        <v>1</v>
      </c>
      <c r="N3799">
        <v>5.2</v>
      </c>
      <c r="O3799">
        <v>7.4</v>
      </c>
      <c r="P3799">
        <v>7</v>
      </c>
      <c r="Q3799">
        <v>3</v>
      </c>
      <c r="R3799">
        <v>691332</v>
      </c>
      <c r="S3799">
        <f>Table1[[#This Row],[Revenue]]-Table1[[#This Row],[Operating_Costs]]</f>
        <v>259435</v>
      </c>
      <c r="T3799">
        <v>431897</v>
      </c>
      <c r="U3799">
        <v>20</v>
      </c>
      <c r="V3799">
        <v>59</v>
      </c>
      <c r="W3799">
        <v>5.3</v>
      </c>
    </row>
    <row r="3800" spans="1:23" x14ac:dyDescent="0.25">
      <c r="A3800">
        <v>11</v>
      </c>
      <c r="B3800" t="s">
        <v>63</v>
      </c>
      <c r="C3800" s="1">
        <v>44795</v>
      </c>
      <c r="D3800" t="s">
        <v>71</v>
      </c>
      <c r="E3800">
        <v>0</v>
      </c>
      <c r="F3800">
        <v>40</v>
      </c>
      <c r="G3800" t="str">
        <f t="shared" si="67"/>
        <v>21-40</v>
      </c>
      <c r="H3800" t="s">
        <v>23</v>
      </c>
      <c r="I3800" t="s">
        <v>61</v>
      </c>
      <c r="J3800" t="s">
        <v>62</v>
      </c>
      <c r="K3800" t="s">
        <v>38</v>
      </c>
      <c r="L3800">
        <v>1</v>
      </c>
      <c r="M3800">
        <v>1</v>
      </c>
      <c r="N3800">
        <v>3.1</v>
      </c>
      <c r="O3800">
        <v>10</v>
      </c>
      <c r="P3800">
        <v>6</v>
      </c>
      <c r="Q3800">
        <v>7</v>
      </c>
      <c r="R3800">
        <v>706457</v>
      </c>
      <c r="S3800">
        <f>Table1[[#This Row],[Revenue]]-Table1[[#This Row],[Operating_Costs]]</f>
        <v>220621</v>
      </c>
      <c r="T3800">
        <v>485836</v>
      </c>
      <c r="U3800">
        <v>31</v>
      </c>
      <c r="V3800">
        <v>64</v>
      </c>
      <c r="W3800">
        <v>36.700000000000003</v>
      </c>
    </row>
    <row r="3801" spans="1:23" x14ac:dyDescent="0.25">
      <c r="A3801">
        <v>11</v>
      </c>
      <c r="B3801" t="s">
        <v>63</v>
      </c>
      <c r="C3801" s="1">
        <v>45447</v>
      </c>
      <c r="D3801" t="s">
        <v>71</v>
      </c>
      <c r="E3801">
        <v>0</v>
      </c>
      <c r="F3801">
        <v>27</v>
      </c>
      <c r="G3801" t="str">
        <f t="shared" si="67"/>
        <v>21-40</v>
      </c>
      <c r="H3801" t="s">
        <v>35</v>
      </c>
      <c r="I3801" t="s">
        <v>58</v>
      </c>
      <c r="J3801" t="s">
        <v>59</v>
      </c>
      <c r="K3801" t="s">
        <v>26</v>
      </c>
      <c r="L3801">
        <v>1</v>
      </c>
      <c r="M3801">
        <v>1</v>
      </c>
      <c r="N3801">
        <v>6.6</v>
      </c>
      <c r="O3801">
        <v>9.6999999999999993</v>
      </c>
      <c r="P3801">
        <v>5</v>
      </c>
      <c r="Q3801">
        <v>4</v>
      </c>
      <c r="R3801">
        <v>742803</v>
      </c>
      <c r="S3801">
        <f>Table1[[#This Row],[Revenue]]-Table1[[#This Row],[Operating_Costs]]</f>
        <v>180095</v>
      </c>
      <c r="T3801">
        <v>562708</v>
      </c>
      <c r="U3801">
        <v>21</v>
      </c>
      <c r="V3801">
        <v>64</v>
      </c>
      <c r="W3801">
        <v>6</v>
      </c>
    </row>
    <row r="3802" spans="1:23" x14ac:dyDescent="0.25">
      <c r="A3802">
        <v>11</v>
      </c>
      <c r="B3802" t="s">
        <v>63</v>
      </c>
      <c r="C3802" s="1">
        <v>45622</v>
      </c>
      <c r="D3802" t="s">
        <v>71</v>
      </c>
      <c r="E3802">
        <v>0</v>
      </c>
      <c r="F3802">
        <v>80</v>
      </c>
      <c r="G3802" t="str">
        <f t="shared" si="67"/>
        <v>61-80</v>
      </c>
      <c r="H3802" t="s">
        <v>35</v>
      </c>
      <c r="I3802" t="s">
        <v>53</v>
      </c>
      <c r="J3802" t="s">
        <v>54</v>
      </c>
      <c r="K3802" t="s">
        <v>33</v>
      </c>
      <c r="L3802">
        <v>1</v>
      </c>
      <c r="M3802">
        <v>1</v>
      </c>
      <c r="N3802">
        <v>4.5999999999999996</v>
      </c>
      <c r="O3802">
        <v>7.8</v>
      </c>
      <c r="P3802">
        <v>5</v>
      </c>
      <c r="Q3802">
        <v>3</v>
      </c>
      <c r="R3802">
        <v>623589</v>
      </c>
      <c r="S3802">
        <f>Table1[[#This Row],[Revenue]]-Table1[[#This Row],[Operating_Costs]]</f>
        <v>113308</v>
      </c>
      <c r="T3802">
        <v>510281</v>
      </c>
      <c r="U3802">
        <v>32</v>
      </c>
      <c r="V3802">
        <v>66</v>
      </c>
      <c r="W3802">
        <v>8.3000000000000007</v>
      </c>
    </row>
    <row r="3803" spans="1:23" x14ac:dyDescent="0.25">
      <c r="A3803">
        <v>12</v>
      </c>
      <c r="B3803" t="s">
        <v>66</v>
      </c>
      <c r="C3803" s="1">
        <v>45657</v>
      </c>
      <c r="D3803" t="s">
        <v>71</v>
      </c>
      <c r="E3803">
        <v>0</v>
      </c>
      <c r="F3803">
        <v>42</v>
      </c>
      <c r="G3803" t="str">
        <f t="shared" si="67"/>
        <v>41-60</v>
      </c>
      <c r="H3803" t="s">
        <v>35</v>
      </c>
      <c r="I3803" t="s">
        <v>40</v>
      </c>
      <c r="J3803" t="s">
        <v>41</v>
      </c>
      <c r="K3803" t="s">
        <v>33</v>
      </c>
      <c r="L3803">
        <v>1</v>
      </c>
      <c r="M3803">
        <v>1</v>
      </c>
      <c r="N3803">
        <v>6.4</v>
      </c>
      <c r="O3803">
        <v>8</v>
      </c>
      <c r="P3803">
        <v>5</v>
      </c>
      <c r="Q3803">
        <v>3</v>
      </c>
      <c r="R3803">
        <v>827294</v>
      </c>
      <c r="S3803">
        <f>Table1[[#This Row],[Revenue]]-Table1[[#This Row],[Operating_Costs]]</f>
        <v>220913</v>
      </c>
      <c r="T3803">
        <v>606381</v>
      </c>
      <c r="U3803">
        <v>69</v>
      </c>
      <c r="V3803">
        <v>57</v>
      </c>
      <c r="W3803">
        <v>12.5</v>
      </c>
    </row>
    <row r="3804" spans="1:23" x14ac:dyDescent="0.25">
      <c r="A3804">
        <v>12</v>
      </c>
      <c r="B3804" t="s">
        <v>66</v>
      </c>
      <c r="C3804" s="1">
        <v>45281</v>
      </c>
      <c r="D3804" t="s">
        <v>71</v>
      </c>
      <c r="E3804">
        <v>0</v>
      </c>
      <c r="F3804">
        <v>84</v>
      </c>
      <c r="G3804" t="str">
        <f t="shared" si="67"/>
        <v>81+</v>
      </c>
      <c r="H3804" t="s">
        <v>23</v>
      </c>
      <c r="I3804" t="s">
        <v>31</v>
      </c>
      <c r="J3804" t="s">
        <v>28</v>
      </c>
      <c r="K3804" t="s">
        <v>33</v>
      </c>
      <c r="L3804">
        <v>1</v>
      </c>
      <c r="M3804">
        <v>1</v>
      </c>
      <c r="N3804">
        <v>5.9</v>
      </c>
      <c r="O3804">
        <v>8</v>
      </c>
      <c r="P3804">
        <v>7</v>
      </c>
      <c r="Q3804">
        <v>7</v>
      </c>
      <c r="R3804">
        <v>813540</v>
      </c>
      <c r="S3804">
        <f>Table1[[#This Row],[Revenue]]-Table1[[#This Row],[Operating_Costs]]</f>
        <v>277221</v>
      </c>
      <c r="T3804">
        <v>536319</v>
      </c>
      <c r="U3804">
        <v>54</v>
      </c>
      <c r="V3804">
        <v>55</v>
      </c>
      <c r="W3804">
        <v>10.199999999999999</v>
      </c>
    </row>
    <row r="3805" spans="1:23" x14ac:dyDescent="0.25">
      <c r="A3805">
        <v>12</v>
      </c>
      <c r="B3805" t="s">
        <v>66</v>
      </c>
      <c r="C3805" s="1">
        <v>44722</v>
      </c>
      <c r="D3805" t="s">
        <v>71</v>
      </c>
      <c r="E3805">
        <v>0</v>
      </c>
      <c r="F3805">
        <v>38</v>
      </c>
      <c r="G3805" t="str">
        <f t="shared" si="67"/>
        <v>21-40</v>
      </c>
      <c r="H3805" t="s">
        <v>35</v>
      </c>
      <c r="I3805" t="s">
        <v>46</v>
      </c>
      <c r="J3805" t="s">
        <v>47</v>
      </c>
      <c r="K3805" t="s">
        <v>26</v>
      </c>
      <c r="L3805">
        <v>1</v>
      </c>
      <c r="M3805">
        <v>1</v>
      </c>
      <c r="N3805">
        <v>2.1</v>
      </c>
      <c r="O3805">
        <v>8.6</v>
      </c>
      <c r="P3805">
        <v>5</v>
      </c>
      <c r="Q3805">
        <v>5</v>
      </c>
      <c r="R3805">
        <v>965422</v>
      </c>
      <c r="S3805">
        <f>Table1[[#This Row],[Revenue]]-Table1[[#This Row],[Operating_Costs]]</f>
        <v>393104</v>
      </c>
      <c r="T3805">
        <v>572318</v>
      </c>
      <c r="U3805">
        <v>72</v>
      </c>
      <c r="V3805">
        <v>64</v>
      </c>
      <c r="W3805">
        <v>36.700000000000003</v>
      </c>
    </row>
    <row r="3806" spans="1:23" x14ac:dyDescent="0.25">
      <c r="A3806">
        <v>12</v>
      </c>
      <c r="B3806" t="s">
        <v>66</v>
      </c>
      <c r="C3806" s="1">
        <v>44986</v>
      </c>
      <c r="D3806" t="s">
        <v>71</v>
      </c>
      <c r="E3806">
        <v>0</v>
      </c>
      <c r="F3806">
        <v>57</v>
      </c>
      <c r="G3806" t="str">
        <f t="shared" si="67"/>
        <v>41-60</v>
      </c>
      <c r="H3806" t="s">
        <v>23</v>
      </c>
      <c r="I3806" t="s">
        <v>46</v>
      </c>
      <c r="J3806" t="s">
        <v>47</v>
      </c>
      <c r="K3806" t="s">
        <v>29</v>
      </c>
      <c r="L3806">
        <v>1</v>
      </c>
      <c r="M3806">
        <v>1</v>
      </c>
      <c r="N3806">
        <v>6.4</v>
      </c>
      <c r="O3806">
        <v>9.6</v>
      </c>
      <c r="P3806">
        <v>7</v>
      </c>
      <c r="Q3806">
        <v>5</v>
      </c>
      <c r="R3806">
        <v>860501</v>
      </c>
      <c r="S3806">
        <f>Table1[[#This Row],[Revenue]]-Table1[[#This Row],[Operating_Costs]]</f>
        <v>299299</v>
      </c>
      <c r="T3806">
        <v>561202</v>
      </c>
      <c r="U3806">
        <v>76</v>
      </c>
      <c r="V3806">
        <v>58</v>
      </c>
      <c r="W3806">
        <v>9.1</v>
      </c>
    </row>
    <row r="3807" spans="1:23" x14ac:dyDescent="0.25">
      <c r="A3807">
        <v>12</v>
      </c>
      <c r="B3807" t="s">
        <v>66</v>
      </c>
      <c r="C3807" s="1">
        <v>45395</v>
      </c>
      <c r="D3807" t="s">
        <v>71</v>
      </c>
      <c r="E3807">
        <v>0</v>
      </c>
      <c r="F3807">
        <v>75</v>
      </c>
      <c r="G3807" t="str">
        <f t="shared" si="67"/>
        <v>61-80</v>
      </c>
      <c r="H3807" t="s">
        <v>35</v>
      </c>
      <c r="I3807" t="s">
        <v>40</v>
      </c>
      <c r="J3807" t="s">
        <v>41</v>
      </c>
      <c r="K3807" t="s">
        <v>29</v>
      </c>
      <c r="L3807">
        <v>1</v>
      </c>
      <c r="M3807">
        <v>1</v>
      </c>
      <c r="N3807">
        <v>6.1</v>
      </c>
      <c r="O3807">
        <v>9.1</v>
      </c>
      <c r="P3807">
        <v>3</v>
      </c>
      <c r="Q3807">
        <v>5</v>
      </c>
      <c r="R3807">
        <v>915498</v>
      </c>
      <c r="S3807">
        <f>Table1[[#This Row],[Revenue]]-Table1[[#This Row],[Operating_Costs]]</f>
        <v>343949</v>
      </c>
      <c r="T3807">
        <v>571549</v>
      </c>
      <c r="U3807">
        <v>73</v>
      </c>
      <c r="V3807">
        <v>62</v>
      </c>
      <c r="W3807">
        <v>6.8</v>
      </c>
    </row>
    <row r="3808" spans="1:23" x14ac:dyDescent="0.25">
      <c r="A3808">
        <v>12</v>
      </c>
      <c r="B3808" t="s">
        <v>66</v>
      </c>
      <c r="C3808" s="1">
        <v>45490</v>
      </c>
      <c r="D3808" t="s">
        <v>71</v>
      </c>
      <c r="E3808">
        <v>0</v>
      </c>
      <c r="F3808">
        <v>80</v>
      </c>
      <c r="G3808" t="str">
        <f t="shared" si="67"/>
        <v>61-80</v>
      </c>
      <c r="H3808" t="s">
        <v>35</v>
      </c>
      <c r="I3808" t="s">
        <v>36</v>
      </c>
      <c r="J3808" t="s">
        <v>37</v>
      </c>
      <c r="K3808" t="s">
        <v>29</v>
      </c>
      <c r="L3808">
        <v>1</v>
      </c>
      <c r="M3808">
        <v>1</v>
      </c>
      <c r="N3808">
        <v>6</v>
      </c>
      <c r="O3808">
        <v>7.1</v>
      </c>
      <c r="P3808">
        <v>5</v>
      </c>
      <c r="Q3808">
        <v>5</v>
      </c>
      <c r="R3808">
        <v>803557</v>
      </c>
      <c r="S3808">
        <f>Table1[[#This Row],[Revenue]]-Table1[[#This Row],[Operating_Costs]]</f>
        <v>280791</v>
      </c>
      <c r="T3808">
        <v>522766</v>
      </c>
      <c r="U3808">
        <v>61</v>
      </c>
      <c r="V3808">
        <v>59</v>
      </c>
      <c r="W3808">
        <v>15</v>
      </c>
    </row>
    <row r="3809" spans="1:23" x14ac:dyDescent="0.25">
      <c r="A3809">
        <v>12</v>
      </c>
      <c r="B3809" t="s">
        <v>66</v>
      </c>
      <c r="C3809" s="1">
        <v>44438</v>
      </c>
      <c r="D3809" t="s">
        <v>71</v>
      </c>
      <c r="E3809">
        <v>0</v>
      </c>
      <c r="F3809">
        <v>44</v>
      </c>
      <c r="G3809" t="str">
        <f t="shared" si="67"/>
        <v>41-60</v>
      </c>
      <c r="H3809" t="s">
        <v>23</v>
      </c>
      <c r="I3809" t="s">
        <v>43</v>
      </c>
      <c r="J3809" t="s">
        <v>25</v>
      </c>
      <c r="K3809" t="s">
        <v>33</v>
      </c>
      <c r="L3809">
        <v>1</v>
      </c>
      <c r="M3809">
        <v>1</v>
      </c>
      <c r="N3809">
        <v>2.1</v>
      </c>
      <c r="O3809">
        <v>9.3000000000000007</v>
      </c>
      <c r="P3809">
        <v>7</v>
      </c>
      <c r="Q3809">
        <v>7</v>
      </c>
      <c r="R3809">
        <v>984274</v>
      </c>
      <c r="S3809">
        <f>Table1[[#This Row],[Revenue]]-Table1[[#This Row],[Operating_Costs]]</f>
        <v>389558</v>
      </c>
      <c r="T3809">
        <v>594716</v>
      </c>
      <c r="U3809">
        <v>62</v>
      </c>
      <c r="V3809">
        <v>63</v>
      </c>
      <c r="W3809">
        <v>10.1</v>
      </c>
    </row>
    <row r="3810" spans="1:23" x14ac:dyDescent="0.25">
      <c r="A3810">
        <v>12</v>
      </c>
      <c r="B3810" t="s">
        <v>66</v>
      </c>
      <c r="C3810" s="1">
        <v>44875</v>
      </c>
      <c r="D3810" t="s">
        <v>71</v>
      </c>
      <c r="E3810">
        <v>0</v>
      </c>
      <c r="F3810">
        <v>39</v>
      </c>
      <c r="G3810" t="str">
        <f t="shared" si="67"/>
        <v>21-40</v>
      </c>
      <c r="H3810" t="s">
        <v>35</v>
      </c>
      <c r="I3810" t="s">
        <v>64</v>
      </c>
      <c r="J3810" t="s">
        <v>65</v>
      </c>
      <c r="K3810" t="s">
        <v>29</v>
      </c>
      <c r="L3810">
        <v>1</v>
      </c>
      <c r="M3810">
        <v>1</v>
      </c>
      <c r="N3810">
        <v>4.9000000000000004</v>
      </c>
      <c r="O3810">
        <v>9.1</v>
      </c>
      <c r="P3810">
        <v>5</v>
      </c>
      <c r="Q3810">
        <v>6</v>
      </c>
      <c r="R3810">
        <v>832360</v>
      </c>
      <c r="S3810">
        <f>Table1[[#This Row],[Revenue]]-Table1[[#This Row],[Operating_Costs]]</f>
        <v>243552</v>
      </c>
      <c r="T3810">
        <v>588808</v>
      </c>
      <c r="U3810">
        <v>80</v>
      </c>
      <c r="V3810">
        <v>60</v>
      </c>
      <c r="W3810">
        <v>13.1</v>
      </c>
    </row>
    <row r="3811" spans="1:23" x14ac:dyDescent="0.25">
      <c r="A3811">
        <v>12</v>
      </c>
      <c r="B3811" t="s">
        <v>66</v>
      </c>
      <c r="C3811" s="1">
        <v>44333</v>
      </c>
      <c r="D3811" t="s">
        <v>71</v>
      </c>
      <c r="E3811">
        <v>0</v>
      </c>
      <c r="F3811">
        <v>46</v>
      </c>
      <c r="G3811" t="str">
        <f t="shared" si="67"/>
        <v>41-60</v>
      </c>
      <c r="H3811" t="s">
        <v>23</v>
      </c>
      <c r="I3811" t="s">
        <v>50</v>
      </c>
      <c r="J3811" t="s">
        <v>51</v>
      </c>
      <c r="K3811" t="s">
        <v>38</v>
      </c>
      <c r="L3811">
        <v>1</v>
      </c>
      <c r="M3811">
        <v>1</v>
      </c>
      <c r="N3811">
        <v>2.6</v>
      </c>
      <c r="O3811">
        <v>8.3000000000000007</v>
      </c>
      <c r="P3811">
        <v>3</v>
      </c>
      <c r="Q3811">
        <v>3</v>
      </c>
      <c r="R3811">
        <v>851720</v>
      </c>
      <c r="S3811">
        <f>Table1[[#This Row],[Revenue]]-Table1[[#This Row],[Operating_Costs]]</f>
        <v>177789</v>
      </c>
      <c r="T3811">
        <v>673931</v>
      </c>
      <c r="U3811">
        <v>79</v>
      </c>
      <c r="V3811">
        <v>55</v>
      </c>
      <c r="W3811">
        <v>10.3</v>
      </c>
    </row>
    <row r="3812" spans="1:23" x14ac:dyDescent="0.25">
      <c r="A3812">
        <v>12</v>
      </c>
      <c r="B3812" t="s">
        <v>66</v>
      </c>
      <c r="C3812" s="1">
        <v>44222</v>
      </c>
      <c r="D3812" t="s">
        <v>71</v>
      </c>
      <c r="E3812">
        <v>0</v>
      </c>
      <c r="F3812">
        <v>38</v>
      </c>
      <c r="G3812" t="str">
        <f t="shared" si="67"/>
        <v>21-40</v>
      </c>
      <c r="H3812" t="s">
        <v>23</v>
      </c>
      <c r="I3812" t="s">
        <v>31</v>
      </c>
      <c r="J3812" t="s">
        <v>28</v>
      </c>
      <c r="K3812" t="s">
        <v>29</v>
      </c>
      <c r="L3812">
        <v>1</v>
      </c>
      <c r="M3812">
        <v>1</v>
      </c>
      <c r="N3812">
        <v>1.3</v>
      </c>
      <c r="O3812">
        <v>8.6</v>
      </c>
      <c r="P3812">
        <v>4</v>
      </c>
      <c r="Q3812">
        <v>4</v>
      </c>
      <c r="R3812">
        <v>919505</v>
      </c>
      <c r="S3812">
        <f>Table1[[#This Row],[Revenue]]-Table1[[#This Row],[Operating_Costs]]</f>
        <v>346234</v>
      </c>
      <c r="T3812">
        <v>573271</v>
      </c>
      <c r="U3812">
        <v>64</v>
      </c>
      <c r="V3812">
        <v>57</v>
      </c>
      <c r="W3812">
        <v>7.4</v>
      </c>
    </row>
    <row r="3813" spans="1:23" x14ac:dyDescent="0.25">
      <c r="A3813">
        <v>12</v>
      </c>
      <c r="B3813" t="s">
        <v>66</v>
      </c>
      <c r="C3813" s="1">
        <v>44387</v>
      </c>
      <c r="D3813" t="s">
        <v>71</v>
      </c>
      <c r="E3813">
        <v>0</v>
      </c>
      <c r="F3813">
        <v>52</v>
      </c>
      <c r="G3813" t="str">
        <f t="shared" si="67"/>
        <v>41-60</v>
      </c>
      <c r="H3813" t="s">
        <v>23</v>
      </c>
      <c r="I3813" t="s">
        <v>31</v>
      </c>
      <c r="J3813" t="s">
        <v>28</v>
      </c>
      <c r="K3813" t="s">
        <v>42</v>
      </c>
      <c r="L3813">
        <v>1</v>
      </c>
      <c r="M3813">
        <v>1</v>
      </c>
      <c r="N3813">
        <v>1</v>
      </c>
      <c r="O3813">
        <v>8.5</v>
      </c>
      <c r="P3813">
        <v>3</v>
      </c>
      <c r="Q3813">
        <v>5</v>
      </c>
      <c r="R3813">
        <v>895325</v>
      </c>
      <c r="S3813">
        <f>Table1[[#This Row],[Revenue]]-Table1[[#This Row],[Operating_Costs]]</f>
        <v>250118</v>
      </c>
      <c r="T3813">
        <v>645207</v>
      </c>
      <c r="U3813">
        <v>69</v>
      </c>
      <c r="V3813">
        <v>63</v>
      </c>
      <c r="W3813">
        <v>36.799999999999997</v>
      </c>
    </row>
    <row r="3814" spans="1:23" x14ac:dyDescent="0.25">
      <c r="A3814">
        <v>12</v>
      </c>
      <c r="B3814" t="s">
        <v>66</v>
      </c>
      <c r="C3814" s="1">
        <v>44990</v>
      </c>
      <c r="D3814" t="s">
        <v>71</v>
      </c>
      <c r="E3814">
        <v>0</v>
      </c>
      <c r="F3814">
        <v>30</v>
      </c>
      <c r="G3814" t="str">
        <f t="shared" si="67"/>
        <v>21-40</v>
      </c>
      <c r="H3814" t="s">
        <v>23</v>
      </c>
      <c r="I3814" t="s">
        <v>43</v>
      </c>
      <c r="J3814" t="s">
        <v>25</v>
      </c>
      <c r="K3814" t="s">
        <v>38</v>
      </c>
      <c r="L3814">
        <v>1</v>
      </c>
      <c r="M3814">
        <v>1</v>
      </c>
      <c r="N3814">
        <v>4.4000000000000004</v>
      </c>
      <c r="O3814">
        <v>8</v>
      </c>
      <c r="P3814">
        <v>4</v>
      </c>
      <c r="Q3814">
        <v>4</v>
      </c>
      <c r="R3814">
        <v>887257</v>
      </c>
      <c r="S3814">
        <f>Table1[[#This Row],[Revenue]]-Table1[[#This Row],[Operating_Costs]]</f>
        <v>385059</v>
      </c>
      <c r="T3814">
        <v>502198</v>
      </c>
      <c r="U3814">
        <v>56</v>
      </c>
      <c r="V3814">
        <v>66</v>
      </c>
      <c r="W3814">
        <v>6.7</v>
      </c>
    </row>
    <row r="3815" spans="1:23" x14ac:dyDescent="0.25">
      <c r="A3815">
        <v>12</v>
      </c>
      <c r="B3815" t="s">
        <v>66</v>
      </c>
      <c r="C3815" s="1">
        <v>44659</v>
      </c>
      <c r="D3815" t="s">
        <v>71</v>
      </c>
      <c r="E3815">
        <v>0</v>
      </c>
      <c r="F3815">
        <v>57</v>
      </c>
      <c r="G3815" t="str">
        <f t="shared" si="67"/>
        <v>41-60</v>
      </c>
      <c r="H3815" t="s">
        <v>23</v>
      </c>
      <c r="I3815" t="s">
        <v>55</v>
      </c>
      <c r="J3815" t="s">
        <v>56</v>
      </c>
      <c r="K3815" t="s">
        <v>26</v>
      </c>
      <c r="L3815">
        <v>1</v>
      </c>
      <c r="M3815">
        <v>1</v>
      </c>
      <c r="N3815">
        <v>6.1</v>
      </c>
      <c r="O3815">
        <v>7.3</v>
      </c>
      <c r="P3815">
        <v>4</v>
      </c>
      <c r="Q3815">
        <v>7</v>
      </c>
      <c r="R3815">
        <v>865059</v>
      </c>
      <c r="S3815">
        <f>Table1[[#This Row],[Revenue]]-Table1[[#This Row],[Operating_Costs]]</f>
        <v>274027</v>
      </c>
      <c r="T3815">
        <v>591032</v>
      </c>
      <c r="U3815">
        <v>72</v>
      </c>
      <c r="V3815">
        <v>62</v>
      </c>
      <c r="W3815">
        <v>8.6999999999999993</v>
      </c>
    </row>
    <row r="3816" spans="1:23" x14ac:dyDescent="0.25">
      <c r="A3816">
        <v>12</v>
      </c>
      <c r="B3816" t="s">
        <v>66</v>
      </c>
      <c r="C3816" s="1">
        <v>45514</v>
      </c>
      <c r="D3816" t="s">
        <v>71</v>
      </c>
      <c r="E3816">
        <v>0</v>
      </c>
      <c r="F3816">
        <v>83</v>
      </c>
      <c r="G3816" t="str">
        <f t="shared" si="67"/>
        <v>81+</v>
      </c>
      <c r="H3816" t="s">
        <v>35</v>
      </c>
      <c r="I3816" t="s">
        <v>31</v>
      </c>
      <c r="J3816" t="s">
        <v>28</v>
      </c>
      <c r="K3816" t="s">
        <v>33</v>
      </c>
      <c r="L3816">
        <v>1</v>
      </c>
      <c r="M3816">
        <v>1</v>
      </c>
      <c r="N3816">
        <v>6.1</v>
      </c>
      <c r="O3816">
        <v>8.6</v>
      </c>
      <c r="P3816">
        <v>6</v>
      </c>
      <c r="Q3816">
        <v>5</v>
      </c>
      <c r="R3816">
        <v>807383</v>
      </c>
      <c r="S3816">
        <f>Table1[[#This Row],[Revenue]]-Table1[[#This Row],[Operating_Costs]]</f>
        <v>172103</v>
      </c>
      <c r="T3816">
        <v>635280</v>
      </c>
      <c r="U3816">
        <v>57</v>
      </c>
      <c r="V3816">
        <v>55</v>
      </c>
      <c r="W3816">
        <v>9.6999999999999993</v>
      </c>
    </row>
    <row r="3817" spans="1:23" x14ac:dyDescent="0.25">
      <c r="A3817">
        <v>12</v>
      </c>
      <c r="B3817" t="s">
        <v>66</v>
      </c>
      <c r="C3817" s="1">
        <v>44269</v>
      </c>
      <c r="D3817" t="s">
        <v>71</v>
      </c>
      <c r="E3817">
        <v>0</v>
      </c>
      <c r="F3817">
        <v>50</v>
      </c>
      <c r="G3817" t="str">
        <f t="shared" si="67"/>
        <v>41-60</v>
      </c>
      <c r="H3817" t="s">
        <v>23</v>
      </c>
      <c r="I3817" t="s">
        <v>27</v>
      </c>
      <c r="J3817" t="s">
        <v>28</v>
      </c>
      <c r="K3817" t="s">
        <v>26</v>
      </c>
      <c r="L3817">
        <v>1</v>
      </c>
      <c r="M3817">
        <v>1</v>
      </c>
      <c r="N3817">
        <v>3</v>
      </c>
      <c r="O3817">
        <v>9</v>
      </c>
      <c r="P3817">
        <v>4</v>
      </c>
      <c r="Q3817">
        <v>4</v>
      </c>
      <c r="R3817">
        <v>817755</v>
      </c>
      <c r="S3817">
        <f>Table1[[#This Row],[Revenue]]-Table1[[#This Row],[Operating_Costs]]</f>
        <v>151375</v>
      </c>
      <c r="T3817">
        <v>666380</v>
      </c>
      <c r="U3817">
        <v>67</v>
      </c>
      <c r="V3817">
        <v>64</v>
      </c>
      <c r="W3817">
        <v>8.1</v>
      </c>
    </row>
    <row r="3818" spans="1:23" x14ac:dyDescent="0.25">
      <c r="A3818">
        <v>12</v>
      </c>
      <c r="B3818" t="s">
        <v>66</v>
      </c>
      <c r="C3818" s="1">
        <v>45077</v>
      </c>
      <c r="D3818" t="s">
        <v>71</v>
      </c>
      <c r="E3818">
        <v>0</v>
      </c>
      <c r="F3818">
        <v>80</v>
      </c>
      <c r="G3818" t="str">
        <f t="shared" si="67"/>
        <v>61-80</v>
      </c>
      <c r="H3818" t="s">
        <v>23</v>
      </c>
      <c r="I3818" t="s">
        <v>46</v>
      </c>
      <c r="J3818" t="s">
        <v>47</v>
      </c>
      <c r="K3818" t="s">
        <v>29</v>
      </c>
      <c r="L3818">
        <v>1</v>
      </c>
      <c r="M3818">
        <v>1</v>
      </c>
      <c r="N3818">
        <v>3.4</v>
      </c>
      <c r="O3818">
        <v>8.5</v>
      </c>
      <c r="P3818">
        <v>5</v>
      </c>
      <c r="Q3818">
        <v>4</v>
      </c>
      <c r="R3818">
        <v>921072</v>
      </c>
      <c r="S3818">
        <f>Table1[[#This Row],[Revenue]]-Table1[[#This Row],[Operating_Costs]]</f>
        <v>268764</v>
      </c>
      <c r="T3818">
        <v>652308</v>
      </c>
      <c r="U3818">
        <v>79</v>
      </c>
      <c r="V3818">
        <v>64</v>
      </c>
      <c r="W3818">
        <v>36.9</v>
      </c>
    </row>
    <row r="3819" spans="1:23" x14ac:dyDescent="0.25">
      <c r="A3819">
        <v>12</v>
      </c>
      <c r="B3819" t="s">
        <v>66</v>
      </c>
      <c r="C3819" s="1">
        <v>44311</v>
      </c>
      <c r="D3819" t="s">
        <v>71</v>
      </c>
      <c r="E3819">
        <v>0</v>
      </c>
      <c r="F3819">
        <v>40</v>
      </c>
      <c r="G3819" t="str">
        <f t="shared" si="67"/>
        <v>21-40</v>
      </c>
      <c r="H3819" t="s">
        <v>35</v>
      </c>
      <c r="I3819" t="s">
        <v>36</v>
      </c>
      <c r="J3819" t="s">
        <v>37</v>
      </c>
      <c r="K3819" t="s">
        <v>33</v>
      </c>
      <c r="L3819">
        <v>1</v>
      </c>
      <c r="M3819">
        <v>1</v>
      </c>
      <c r="N3819">
        <v>3</v>
      </c>
      <c r="O3819">
        <v>9.6</v>
      </c>
      <c r="P3819">
        <v>3</v>
      </c>
      <c r="Q3819">
        <v>6</v>
      </c>
      <c r="R3819">
        <v>827895</v>
      </c>
      <c r="S3819">
        <f>Table1[[#This Row],[Revenue]]-Table1[[#This Row],[Operating_Costs]]</f>
        <v>198213</v>
      </c>
      <c r="T3819">
        <v>629682</v>
      </c>
      <c r="U3819">
        <v>76</v>
      </c>
      <c r="V3819">
        <v>64</v>
      </c>
      <c r="W3819">
        <v>12.7</v>
      </c>
    </row>
    <row r="3820" spans="1:23" x14ac:dyDescent="0.25">
      <c r="A3820">
        <v>12</v>
      </c>
      <c r="B3820" t="s">
        <v>66</v>
      </c>
      <c r="C3820" s="1">
        <v>45531</v>
      </c>
      <c r="D3820" t="s">
        <v>71</v>
      </c>
      <c r="E3820">
        <v>0</v>
      </c>
      <c r="F3820">
        <v>46</v>
      </c>
      <c r="G3820" t="str">
        <f t="shared" si="67"/>
        <v>41-60</v>
      </c>
      <c r="H3820" t="s">
        <v>23</v>
      </c>
      <c r="I3820" t="s">
        <v>24</v>
      </c>
      <c r="J3820" t="s">
        <v>25</v>
      </c>
      <c r="K3820" t="s">
        <v>26</v>
      </c>
      <c r="L3820">
        <v>1</v>
      </c>
      <c r="M3820">
        <v>1</v>
      </c>
      <c r="N3820">
        <v>6</v>
      </c>
      <c r="O3820">
        <v>9.3000000000000007</v>
      </c>
      <c r="P3820">
        <v>7</v>
      </c>
      <c r="Q3820">
        <v>6</v>
      </c>
      <c r="R3820">
        <v>840580</v>
      </c>
      <c r="S3820">
        <f>Table1[[#This Row],[Revenue]]-Table1[[#This Row],[Operating_Costs]]</f>
        <v>288894</v>
      </c>
      <c r="T3820">
        <v>551686</v>
      </c>
      <c r="U3820">
        <v>80</v>
      </c>
      <c r="V3820">
        <v>55</v>
      </c>
      <c r="W3820">
        <v>9.6</v>
      </c>
    </row>
    <row r="3821" spans="1:23" x14ac:dyDescent="0.25">
      <c r="A3821">
        <v>12</v>
      </c>
      <c r="B3821" t="s">
        <v>66</v>
      </c>
      <c r="C3821" s="1">
        <v>45344</v>
      </c>
      <c r="D3821" t="s">
        <v>71</v>
      </c>
      <c r="E3821">
        <v>0</v>
      </c>
      <c r="F3821">
        <v>36</v>
      </c>
      <c r="G3821" t="str">
        <f t="shared" si="67"/>
        <v>21-40</v>
      </c>
      <c r="H3821" t="s">
        <v>35</v>
      </c>
      <c r="I3821" t="s">
        <v>27</v>
      </c>
      <c r="J3821" t="s">
        <v>28</v>
      </c>
      <c r="K3821" t="s">
        <v>38</v>
      </c>
      <c r="L3821">
        <v>1</v>
      </c>
      <c r="M3821">
        <v>1</v>
      </c>
      <c r="N3821">
        <v>6.5</v>
      </c>
      <c r="O3821">
        <v>8.3000000000000007</v>
      </c>
      <c r="P3821">
        <v>6</v>
      </c>
      <c r="Q3821">
        <v>5</v>
      </c>
      <c r="R3821">
        <v>868097</v>
      </c>
      <c r="S3821">
        <f>Table1[[#This Row],[Revenue]]-Table1[[#This Row],[Operating_Costs]]</f>
        <v>279918</v>
      </c>
      <c r="T3821">
        <v>588179</v>
      </c>
      <c r="U3821">
        <v>79</v>
      </c>
      <c r="V3821">
        <v>58</v>
      </c>
      <c r="W3821">
        <v>9.4</v>
      </c>
    </row>
    <row r="3822" spans="1:23" x14ac:dyDescent="0.25">
      <c r="A3822">
        <v>12</v>
      </c>
      <c r="B3822" t="s">
        <v>66</v>
      </c>
      <c r="C3822" s="1">
        <v>44995</v>
      </c>
      <c r="D3822" t="s">
        <v>71</v>
      </c>
      <c r="E3822">
        <v>0</v>
      </c>
      <c r="F3822">
        <v>55</v>
      </c>
      <c r="G3822" t="str">
        <f t="shared" si="67"/>
        <v>41-60</v>
      </c>
      <c r="H3822" t="s">
        <v>35</v>
      </c>
      <c r="I3822" t="s">
        <v>53</v>
      </c>
      <c r="J3822" t="s">
        <v>54</v>
      </c>
      <c r="K3822" t="s">
        <v>38</v>
      </c>
      <c r="L3822">
        <v>1</v>
      </c>
      <c r="M3822">
        <v>1</v>
      </c>
      <c r="N3822">
        <v>6</v>
      </c>
      <c r="O3822">
        <v>9.3000000000000007</v>
      </c>
      <c r="P3822">
        <v>6</v>
      </c>
      <c r="Q3822">
        <v>4</v>
      </c>
      <c r="R3822">
        <v>832310</v>
      </c>
      <c r="S3822">
        <f>Table1[[#This Row],[Revenue]]-Table1[[#This Row],[Operating_Costs]]</f>
        <v>137244</v>
      </c>
      <c r="T3822">
        <v>695066</v>
      </c>
      <c r="U3822">
        <v>66</v>
      </c>
      <c r="V3822">
        <v>58</v>
      </c>
      <c r="W3822">
        <v>6.2</v>
      </c>
    </row>
    <row r="3823" spans="1:23" x14ac:dyDescent="0.25">
      <c r="A3823">
        <v>12</v>
      </c>
      <c r="B3823" t="s">
        <v>66</v>
      </c>
      <c r="C3823" s="1">
        <v>44996</v>
      </c>
      <c r="D3823" t="s">
        <v>71</v>
      </c>
      <c r="E3823">
        <v>0</v>
      </c>
      <c r="F3823">
        <v>49</v>
      </c>
      <c r="G3823" t="str">
        <f t="shared" si="67"/>
        <v>41-60</v>
      </c>
      <c r="H3823" t="s">
        <v>35</v>
      </c>
      <c r="I3823" t="s">
        <v>31</v>
      </c>
      <c r="J3823" t="s">
        <v>28</v>
      </c>
      <c r="K3823" t="s">
        <v>26</v>
      </c>
      <c r="L3823">
        <v>1</v>
      </c>
      <c r="M3823">
        <v>1</v>
      </c>
      <c r="N3823">
        <v>2.4</v>
      </c>
      <c r="O3823">
        <v>8.9</v>
      </c>
      <c r="P3823">
        <v>4</v>
      </c>
      <c r="Q3823">
        <v>4</v>
      </c>
      <c r="R3823">
        <v>957402</v>
      </c>
      <c r="S3823">
        <f>Table1[[#This Row],[Revenue]]-Table1[[#This Row],[Operating_Costs]]</f>
        <v>440376</v>
      </c>
      <c r="T3823">
        <v>517026</v>
      </c>
      <c r="U3823">
        <v>75</v>
      </c>
      <c r="V3823">
        <v>55</v>
      </c>
      <c r="W3823">
        <v>6.4</v>
      </c>
    </row>
    <row r="3824" spans="1:23" x14ac:dyDescent="0.25">
      <c r="A3824">
        <v>12</v>
      </c>
      <c r="B3824" t="s">
        <v>66</v>
      </c>
      <c r="C3824" s="1">
        <v>44556</v>
      </c>
      <c r="D3824" t="s">
        <v>71</v>
      </c>
      <c r="E3824">
        <v>0</v>
      </c>
      <c r="F3824">
        <v>29</v>
      </c>
      <c r="G3824" t="str">
        <f t="shared" si="67"/>
        <v>21-40</v>
      </c>
      <c r="H3824" t="s">
        <v>23</v>
      </c>
      <c r="I3824" t="s">
        <v>55</v>
      </c>
      <c r="J3824" t="s">
        <v>56</v>
      </c>
      <c r="K3824" t="s">
        <v>29</v>
      </c>
      <c r="L3824">
        <v>1</v>
      </c>
      <c r="M3824">
        <v>1</v>
      </c>
      <c r="N3824">
        <v>5</v>
      </c>
      <c r="O3824">
        <v>9.4</v>
      </c>
      <c r="P3824">
        <v>4</v>
      </c>
      <c r="Q3824">
        <v>7</v>
      </c>
      <c r="R3824">
        <v>826706</v>
      </c>
      <c r="S3824">
        <f>Table1[[#This Row],[Revenue]]-Table1[[#This Row],[Operating_Costs]]</f>
        <v>278604</v>
      </c>
      <c r="T3824">
        <v>548102</v>
      </c>
      <c r="U3824">
        <v>62</v>
      </c>
      <c r="V3824">
        <v>62</v>
      </c>
      <c r="W3824">
        <v>10.8</v>
      </c>
    </row>
    <row r="3825" spans="1:23" x14ac:dyDescent="0.25">
      <c r="A3825">
        <v>12</v>
      </c>
      <c r="B3825" t="s">
        <v>66</v>
      </c>
      <c r="C3825" s="1">
        <v>44534</v>
      </c>
      <c r="D3825" t="s">
        <v>71</v>
      </c>
      <c r="E3825">
        <v>0</v>
      </c>
      <c r="F3825">
        <v>81</v>
      </c>
      <c r="G3825" t="str">
        <f t="shared" si="67"/>
        <v>81+</v>
      </c>
      <c r="H3825" t="s">
        <v>23</v>
      </c>
      <c r="I3825" t="s">
        <v>61</v>
      </c>
      <c r="J3825" t="s">
        <v>62</v>
      </c>
      <c r="K3825" t="s">
        <v>29</v>
      </c>
      <c r="L3825">
        <v>1</v>
      </c>
      <c r="M3825">
        <v>1</v>
      </c>
      <c r="N3825">
        <v>5.4</v>
      </c>
      <c r="O3825">
        <v>9.3000000000000007</v>
      </c>
      <c r="P3825">
        <v>6</v>
      </c>
      <c r="Q3825">
        <v>7</v>
      </c>
      <c r="R3825">
        <v>877630</v>
      </c>
      <c r="S3825">
        <f>Table1[[#This Row],[Revenue]]-Table1[[#This Row],[Operating_Costs]]</f>
        <v>313222</v>
      </c>
      <c r="T3825">
        <v>564408</v>
      </c>
      <c r="U3825">
        <v>73</v>
      </c>
      <c r="V3825">
        <v>56</v>
      </c>
      <c r="W3825">
        <v>9.8000000000000007</v>
      </c>
    </row>
    <row r="3826" spans="1:23" x14ac:dyDescent="0.25">
      <c r="A3826">
        <v>12</v>
      </c>
      <c r="B3826" t="s">
        <v>66</v>
      </c>
      <c r="C3826" s="1">
        <v>45266</v>
      </c>
      <c r="D3826" t="s">
        <v>71</v>
      </c>
      <c r="E3826">
        <v>0</v>
      </c>
      <c r="F3826">
        <v>54</v>
      </c>
      <c r="G3826" t="str">
        <f t="shared" si="67"/>
        <v>41-60</v>
      </c>
      <c r="H3826" t="s">
        <v>23</v>
      </c>
      <c r="I3826" t="s">
        <v>31</v>
      </c>
      <c r="J3826" t="s">
        <v>28</v>
      </c>
      <c r="K3826" t="s">
        <v>29</v>
      </c>
      <c r="L3826">
        <v>1</v>
      </c>
      <c r="M3826">
        <v>1</v>
      </c>
      <c r="N3826">
        <v>1.3</v>
      </c>
      <c r="O3826">
        <v>7.7</v>
      </c>
      <c r="P3826">
        <v>4</v>
      </c>
      <c r="Q3826">
        <v>6</v>
      </c>
      <c r="R3826">
        <v>868165</v>
      </c>
      <c r="S3826">
        <f>Table1[[#This Row],[Revenue]]-Table1[[#This Row],[Operating_Costs]]</f>
        <v>311097</v>
      </c>
      <c r="T3826">
        <v>557068</v>
      </c>
      <c r="U3826">
        <v>52</v>
      </c>
      <c r="V3826">
        <v>64</v>
      </c>
      <c r="W3826">
        <v>12.3</v>
      </c>
    </row>
    <row r="3827" spans="1:23" x14ac:dyDescent="0.25">
      <c r="A3827">
        <v>12</v>
      </c>
      <c r="B3827" t="s">
        <v>66</v>
      </c>
      <c r="C3827" s="1">
        <v>45553</v>
      </c>
      <c r="D3827" t="s">
        <v>71</v>
      </c>
      <c r="E3827">
        <v>0</v>
      </c>
      <c r="F3827">
        <v>43</v>
      </c>
      <c r="G3827" t="str">
        <f t="shared" si="67"/>
        <v>41-60</v>
      </c>
      <c r="H3827" t="s">
        <v>35</v>
      </c>
      <c r="I3827" t="s">
        <v>40</v>
      </c>
      <c r="J3827" t="s">
        <v>41</v>
      </c>
      <c r="K3827" t="s">
        <v>42</v>
      </c>
      <c r="L3827">
        <v>1</v>
      </c>
      <c r="M3827">
        <v>1</v>
      </c>
      <c r="N3827">
        <v>4.5</v>
      </c>
      <c r="O3827">
        <v>8</v>
      </c>
      <c r="P3827">
        <v>5</v>
      </c>
      <c r="Q3827">
        <v>6</v>
      </c>
      <c r="R3827">
        <v>892141</v>
      </c>
      <c r="S3827">
        <f>Table1[[#This Row],[Revenue]]-Table1[[#This Row],[Operating_Costs]]</f>
        <v>347777</v>
      </c>
      <c r="T3827">
        <v>544364</v>
      </c>
      <c r="U3827">
        <v>72</v>
      </c>
      <c r="V3827">
        <v>63</v>
      </c>
      <c r="W3827">
        <v>36.4</v>
      </c>
    </row>
    <row r="3828" spans="1:23" x14ac:dyDescent="0.25">
      <c r="A3828">
        <v>12</v>
      </c>
      <c r="B3828" t="s">
        <v>66</v>
      </c>
      <c r="C3828" s="1">
        <v>45547</v>
      </c>
      <c r="D3828" t="s">
        <v>71</v>
      </c>
      <c r="E3828">
        <v>0</v>
      </c>
      <c r="F3828">
        <v>32</v>
      </c>
      <c r="G3828" t="str">
        <f t="shared" si="67"/>
        <v>21-40</v>
      </c>
      <c r="H3828" t="s">
        <v>23</v>
      </c>
      <c r="I3828" t="s">
        <v>43</v>
      </c>
      <c r="J3828" t="s">
        <v>25</v>
      </c>
      <c r="K3828" t="s">
        <v>29</v>
      </c>
      <c r="L3828">
        <v>1</v>
      </c>
      <c r="M3828">
        <v>1</v>
      </c>
      <c r="N3828">
        <v>2.9</v>
      </c>
      <c r="O3828">
        <v>8.9</v>
      </c>
      <c r="P3828">
        <v>7</v>
      </c>
      <c r="Q3828">
        <v>3</v>
      </c>
      <c r="R3828">
        <v>926485</v>
      </c>
      <c r="S3828">
        <f>Table1[[#This Row],[Revenue]]-Table1[[#This Row],[Operating_Costs]]</f>
        <v>341356</v>
      </c>
      <c r="T3828">
        <v>585129</v>
      </c>
      <c r="U3828">
        <v>75</v>
      </c>
      <c r="V3828">
        <v>54</v>
      </c>
      <c r="W3828">
        <v>36.299999999999997</v>
      </c>
    </row>
    <row r="3829" spans="1:23" x14ac:dyDescent="0.25">
      <c r="A3829">
        <v>12</v>
      </c>
      <c r="B3829" t="s">
        <v>66</v>
      </c>
      <c r="C3829" s="1">
        <v>45247</v>
      </c>
      <c r="D3829" t="s">
        <v>71</v>
      </c>
      <c r="E3829">
        <v>0</v>
      </c>
      <c r="F3829">
        <v>90</v>
      </c>
      <c r="G3829" t="str">
        <f t="shared" si="67"/>
        <v>81+</v>
      </c>
      <c r="H3829" t="s">
        <v>35</v>
      </c>
      <c r="I3829" t="s">
        <v>31</v>
      </c>
      <c r="J3829" t="s">
        <v>28</v>
      </c>
      <c r="K3829" t="s">
        <v>42</v>
      </c>
      <c r="L3829">
        <v>1</v>
      </c>
      <c r="M3829">
        <v>1</v>
      </c>
      <c r="N3829">
        <v>2</v>
      </c>
      <c r="O3829">
        <v>9.5</v>
      </c>
      <c r="P3829">
        <v>7</v>
      </c>
      <c r="Q3829">
        <v>4</v>
      </c>
      <c r="R3829">
        <v>862238</v>
      </c>
      <c r="S3829">
        <f>Table1[[#This Row],[Revenue]]-Table1[[#This Row],[Operating_Costs]]</f>
        <v>245815</v>
      </c>
      <c r="T3829">
        <v>616423</v>
      </c>
      <c r="U3829">
        <v>64</v>
      </c>
      <c r="V3829">
        <v>59</v>
      </c>
      <c r="W3829">
        <v>13.2</v>
      </c>
    </row>
    <row r="3830" spans="1:23" x14ac:dyDescent="0.25">
      <c r="A3830">
        <v>12</v>
      </c>
      <c r="B3830" t="s">
        <v>66</v>
      </c>
      <c r="C3830" s="1">
        <v>44219</v>
      </c>
      <c r="D3830" t="s">
        <v>71</v>
      </c>
      <c r="E3830">
        <v>0</v>
      </c>
      <c r="F3830">
        <v>75</v>
      </c>
      <c r="G3830" t="str">
        <f t="shared" si="67"/>
        <v>61-80</v>
      </c>
      <c r="H3830" t="s">
        <v>23</v>
      </c>
      <c r="I3830" t="s">
        <v>61</v>
      </c>
      <c r="J3830" t="s">
        <v>62</v>
      </c>
      <c r="K3830" t="s">
        <v>33</v>
      </c>
      <c r="L3830">
        <v>1</v>
      </c>
      <c r="M3830">
        <v>1</v>
      </c>
      <c r="N3830">
        <v>3.6</v>
      </c>
      <c r="O3830">
        <v>9.5</v>
      </c>
      <c r="P3830">
        <v>3</v>
      </c>
      <c r="Q3830">
        <v>5</v>
      </c>
      <c r="R3830">
        <v>994897</v>
      </c>
      <c r="S3830">
        <f>Table1[[#This Row],[Revenue]]-Table1[[#This Row],[Operating_Costs]]</f>
        <v>300736</v>
      </c>
      <c r="T3830">
        <v>694161</v>
      </c>
      <c r="U3830">
        <v>51</v>
      </c>
      <c r="V3830">
        <v>54</v>
      </c>
      <c r="W3830">
        <v>6.9</v>
      </c>
    </row>
    <row r="3831" spans="1:23" x14ac:dyDescent="0.25">
      <c r="A3831">
        <v>12</v>
      </c>
      <c r="B3831" t="s">
        <v>66</v>
      </c>
      <c r="C3831" s="1">
        <v>44214</v>
      </c>
      <c r="D3831" t="s">
        <v>71</v>
      </c>
      <c r="E3831">
        <v>0</v>
      </c>
      <c r="F3831">
        <v>49</v>
      </c>
      <c r="G3831" t="str">
        <f t="shared" si="67"/>
        <v>41-60</v>
      </c>
      <c r="H3831" t="s">
        <v>23</v>
      </c>
      <c r="I3831" t="s">
        <v>43</v>
      </c>
      <c r="J3831" t="s">
        <v>25</v>
      </c>
      <c r="K3831" t="s">
        <v>29</v>
      </c>
      <c r="L3831">
        <v>1</v>
      </c>
      <c r="M3831">
        <v>1</v>
      </c>
      <c r="N3831">
        <v>2.9</v>
      </c>
      <c r="O3831">
        <v>9.1999999999999993</v>
      </c>
      <c r="P3831">
        <v>3</v>
      </c>
      <c r="Q3831">
        <v>6</v>
      </c>
      <c r="R3831">
        <v>978386</v>
      </c>
      <c r="S3831">
        <f>Table1[[#This Row],[Revenue]]-Table1[[#This Row],[Operating_Costs]]</f>
        <v>328528</v>
      </c>
      <c r="T3831">
        <v>649858</v>
      </c>
      <c r="U3831">
        <v>61</v>
      </c>
      <c r="V3831">
        <v>65</v>
      </c>
      <c r="W3831">
        <v>6.2</v>
      </c>
    </row>
    <row r="3832" spans="1:23" x14ac:dyDescent="0.25">
      <c r="A3832">
        <v>12</v>
      </c>
      <c r="B3832" t="s">
        <v>66</v>
      </c>
      <c r="C3832" s="1">
        <v>45275</v>
      </c>
      <c r="D3832" t="s">
        <v>71</v>
      </c>
      <c r="E3832">
        <v>0</v>
      </c>
      <c r="F3832">
        <v>80</v>
      </c>
      <c r="G3832" t="str">
        <f t="shared" si="67"/>
        <v>61-80</v>
      </c>
      <c r="H3832" t="s">
        <v>23</v>
      </c>
      <c r="I3832" t="s">
        <v>67</v>
      </c>
      <c r="J3832" t="s">
        <v>68</v>
      </c>
      <c r="K3832" t="s">
        <v>26</v>
      </c>
      <c r="L3832">
        <v>1</v>
      </c>
      <c r="M3832">
        <v>1</v>
      </c>
      <c r="N3832">
        <v>2.4</v>
      </c>
      <c r="O3832">
        <v>9.6999999999999993</v>
      </c>
      <c r="P3832">
        <v>7</v>
      </c>
      <c r="Q3832">
        <v>7</v>
      </c>
      <c r="R3832">
        <v>969054</v>
      </c>
      <c r="S3832">
        <f>Table1[[#This Row],[Revenue]]-Table1[[#This Row],[Operating_Costs]]</f>
        <v>465250</v>
      </c>
      <c r="T3832">
        <v>503804</v>
      </c>
      <c r="U3832">
        <v>58</v>
      </c>
      <c r="V3832">
        <v>66</v>
      </c>
      <c r="W3832">
        <v>10.1</v>
      </c>
    </row>
    <row r="3833" spans="1:23" x14ac:dyDescent="0.25">
      <c r="A3833">
        <v>12</v>
      </c>
      <c r="B3833" t="s">
        <v>66</v>
      </c>
      <c r="C3833" s="1">
        <v>44699</v>
      </c>
      <c r="D3833" t="s">
        <v>71</v>
      </c>
      <c r="E3833">
        <v>0</v>
      </c>
      <c r="F3833">
        <v>36</v>
      </c>
      <c r="G3833" t="str">
        <f t="shared" si="67"/>
        <v>21-40</v>
      </c>
      <c r="H3833" t="s">
        <v>23</v>
      </c>
      <c r="I3833" t="s">
        <v>55</v>
      </c>
      <c r="J3833" t="s">
        <v>56</v>
      </c>
      <c r="K3833" t="s">
        <v>42</v>
      </c>
      <c r="L3833">
        <v>1</v>
      </c>
      <c r="M3833">
        <v>1</v>
      </c>
      <c r="N3833">
        <v>4.4000000000000004</v>
      </c>
      <c r="O3833">
        <v>7.7</v>
      </c>
      <c r="P3833">
        <v>5</v>
      </c>
      <c r="Q3833">
        <v>5</v>
      </c>
      <c r="R3833">
        <v>932041</v>
      </c>
      <c r="S3833">
        <f>Table1[[#This Row],[Revenue]]-Table1[[#This Row],[Operating_Costs]]</f>
        <v>317405</v>
      </c>
      <c r="T3833">
        <v>614636</v>
      </c>
      <c r="U3833">
        <v>51</v>
      </c>
      <c r="V3833">
        <v>61</v>
      </c>
      <c r="W3833">
        <v>7.8</v>
      </c>
    </row>
    <row r="3834" spans="1:23" x14ac:dyDescent="0.25">
      <c r="A3834">
        <v>12</v>
      </c>
      <c r="B3834" t="s">
        <v>66</v>
      </c>
      <c r="C3834" s="1">
        <v>45523</v>
      </c>
      <c r="D3834" t="s">
        <v>71</v>
      </c>
      <c r="E3834">
        <v>0</v>
      </c>
      <c r="F3834">
        <v>26</v>
      </c>
      <c r="G3834" t="str">
        <f t="shared" si="67"/>
        <v>21-40</v>
      </c>
      <c r="H3834" t="s">
        <v>23</v>
      </c>
      <c r="I3834" t="s">
        <v>24</v>
      </c>
      <c r="J3834" t="s">
        <v>25</v>
      </c>
      <c r="K3834" t="s">
        <v>26</v>
      </c>
      <c r="L3834">
        <v>1</v>
      </c>
      <c r="M3834">
        <v>1</v>
      </c>
      <c r="N3834">
        <v>1.5</v>
      </c>
      <c r="O3834">
        <v>7.1</v>
      </c>
      <c r="P3834">
        <v>5</v>
      </c>
      <c r="Q3834">
        <v>7</v>
      </c>
      <c r="R3834">
        <v>860454</v>
      </c>
      <c r="S3834">
        <f>Table1[[#This Row],[Revenue]]-Table1[[#This Row],[Operating_Costs]]</f>
        <v>198037</v>
      </c>
      <c r="T3834">
        <v>662417</v>
      </c>
      <c r="U3834">
        <v>77</v>
      </c>
      <c r="V3834">
        <v>54</v>
      </c>
      <c r="W3834">
        <v>6.3</v>
      </c>
    </row>
    <row r="3835" spans="1:23" x14ac:dyDescent="0.25">
      <c r="A3835">
        <v>12</v>
      </c>
      <c r="B3835" t="s">
        <v>66</v>
      </c>
      <c r="C3835" s="1">
        <v>44586</v>
      </c>
      <c r="D3835" t="s">
        <v>71</v>
      </c>
      <c r="E3835">
        <v>0</v>
      </c>
      <c r="F3835">
        <v>38</v>
      </c>
      <c r="G3835" t="str">
        <f t="shared" si="67"/>
        <v>21-40</v>
      </c>
      <c r="H3835" t="s">
        <v>23</v>
      </c>
      <c r="I3835" t="s">
        <v>43</v>
      </c>
      <c r="J3835" t="s">
        <v>25</v>
      </c>
      <c r="K3835" t="s">
        <v>38</v>
      </c>
      <c r="L3835">
        <v>1</v>
      </c>
      <c r="M3835">
        <v>1</v>
      </c>
      <c r="N3835">
        <v>5.9</v>
      </c>
      <c r="O3835">
        <v>9.1</v>
      </c>
      <c r="P3835">
        <v>4</v>
      </c>
      <c r="Q3835">
        <v>7</v>
      </c>
      <c r="R3835">
        <v>873215</v>
      </c>
      <c r="S3835">
        <f>Table1[[#This Row],[Revenue]]-Table1[[#This Row],[Operating_Costs]]</f>
        <v>301081</v>
      </c>
      <c r="T3835">
        <v>572134</v>
      </c>
      <c r="U3835">
        <v>58</v>
      </c>
      <c r="V3835">
        <v>55</v>
      </c>
      <c r="W3835">
        <v>36</v>
      </c>
    </row>
    <row r="3836" spans="1:23" x14ac:dyDescent="0.25">
      <c r="A3836">
        <v>12</v>
      </c>
      <c r="B3836" t="s">
        <v>66</v>
      </c>
      <c r="C3836" s="1">
        <v>44719</v>
      </c>
      <c r="D3836" t="s">
        <v>71</v>
      </c>
      <c r="E3836">
        <v>0</v>
      </c>
      <c r="F3836">
        <v>34</v>
      </c>
      <c r="G3836" t="str">
        <f t="shared" si="67"/>
        <v>21-40</v>
      </c>
      <c r="H3836" t="s">
        <v>23</v>
      </c>
      <c r="I3836" t="s">
        <v>61</v>
      </c>
      <c r="J3836" t="s">
        <v>62</v>
      </c>
      <c r="K3836" t="s">
        <v>38</v>
      </c>
      <c r="L3836">
        <v>1</v>
      </c>
      <c r="M3836">
        <v>1</v>
      </c>
      <c r="N3836">
        <v>6.5</v>
      </c>
      <c r="O3836">
        <v>8.6999999999999993</v>
      </c>
      <c r="P3836">
        <v>3</v>
      </c>
      <c r="Q3836">
        <v>5</v>
      </c>
      <c r="R3836">
        <v>988184</v>
      </c>
      <c r="S3836">
        <f>Table1[[#This Row],[Revenue]]-Table1[[#This Row],[Operating_Costs]]</f>
        <v>481539</v>
      </c>
      <c r="T3836">
        <v>506645</v>
      </c>
      <c r="U3836">
        <v>60</v>
      </c>
      <c r="V3836">
        <v>66</v>
      </c>
      <c r="W3836">
        <v>14.3</v>
      </c>
    </row>
    <row r="3837" spans="1:23" x14ac:dyDescent="0.25">
      <c r="A3837">
        <v>12</v>
      </c>
      <c r="B3837" t="s">
        <v>66</v>
      </c>
      <c r="C3837" s="1">
        <v>45533</v>
      </c>
      <c r="D3837" t="s">
        <v>71</v>
      </c>
      <c r="E3837">
        <v>0</v>
      </c>
      <c r="F3837">
        <v>64</v>
      </c>
      <c r="G3837" t="str">
        <f t="shared" si="67"/>
        <v>61-80</v>
      </c>
      <c r="H3837" t="s">
        <v>23</v>
      </c>
      <c r="I3837" t="s">
        <v>61</v>
      </c>
      <c r="J3837" t="s">
        <v>62</v>
      </c>
      <c r="K3837" t="s">
        <v>26</v>
      </c>
      <c r="L3837">
        <v>1</v>
      </c>
      <c r="M3837">
        <v>1</v>
      </c>
      <c r="N3837">
        <v>2.2999999999999998</v>
      </c>
      <c r="O3837">
        <v>9.6</v>
      </c>
      <c r="P3837">
        <v>5</v>
      </c>
      <c r="Q3837">
        <v>7</v>
      </c>
      <c r="R3837">
        <v>914154</v>
      </c>
      <c r="S3837">
        <f>Table1[[#This Row],[Revenue]]-Table1[[#This Row],[Operating_Costs]]</f>
        <v>237219</v>
      </c>
      <c r="T3837">
        <v>676935</v>
      </c>
      <c r="U3837">
        <v>61</v>
      </c>
      <c r="V3837">
        <v>64</v>
      </c>
      <c r="W3837">
        <v>8.1</v>
      </c>
    </row>
    <row r="3838" spans="1:23" x14ac:dyDescent="0.25">
      <c r="A3838">
        <v>12</v>
      </c>
      <c r="B3838" t="s">
        <v>66</v>
      </c>
      <c r="C3838" s="1">
        <v>44548</v>
      </c>
      <c r="D3838" t="s">
        <v>71</v>
      </c>
      <c r="E3838">
        <v>0</v>
      </c>
      <c r="F3838">
        <v>38</v>
      </c>
      <c r="G3838" t="str">
        <f t="shared" si="67"/>
        <v>21-40</v>
      </c>
      <c r="H3838" t="s">
        <v>35</v>
      </c>
      <c r="I3838" t="s">
        <v>61</v>
      </c>
      <c r="J3838" t="s">
        <v>62</v>
      </c>
      <c r="K3838" t="s">
        <v>38</v>
      </c>
      <c r="L3838">
        <v>1</v>
      </c>
      <c r="M3838">
        <v>1</v>
      </c>
      <c r="N3838">
        <v>2.9</v>
      </c>
      <c r="O3838">
        <v>9.3000000000000007</v>
      </c>
      <c r="P3838">
        <v>5</v>
      </c>
      <c r="Q3838">
        <v>6</v>
      </c>
      <c r="R3838">
        <v>963815</v>
      </c>
      <c r="S3838">
        <f>Table1[[#This Row],[Revenue]]-Table1[[#This Row],[Operating_Costs]]</f>
        <v>306786</v>
      </c>
      <c r="T3838">
        <v>657029</v>
      </c>
      <c r="U3838">
        <v>57</v>
      </c>
      <c r="V3838">
        <v>62</v>
      </c>
      <c r="W3838">
        <v>12.4</v>
      </c>
    </row>
    <row r="3839" spans="1:23" x14ac:dyDescent="0.25">
      <c r="A3839">
        <v>12</v>
      </c>
      <c r="B3839" t="s">
        <v>66</v>
      </c>
      <c r="C3839" s="1">
        <v>44496</v>
      </c>
      <c r="D3839" t="s">
        <v>71</v>
      </c>
      <c r="E3839">
        <v>0</v>
      </c>
      <c r="F3839">
        <v>41</v>
      </c>
      <c r="G3839" t="str">
        <f t="shared" si="67"/>
        <v>41-60</v>
      </c>
      <c r="H3839" t="s">
        <v>23</v>
      </c>
      <c r="I3839" t="s">
        <v>40</v>
      </c>
      <c r="J3839" t="s">
        <v>41</v>
      </c>
      <c r="K3839" t="s">
        <v>42</v>
      </c>
      <c r="L3839">
        <v>1</v>
      </c>
      <c r="M3839">
        <v>1</v>
      </c>
      <c r="N3839">
        <v>2.8</v>
      </c>
      <c r="O3839">
        <v>9</v>
      </c>
      <c r="P3839">
        <v>6</v>
      </c>
      <c r="Q3839">
        <v>6</v>
      </c>
      <c r="R3839">
        <v>882397</v>
      </c>
      <c r="S3839">
        <f>Table1[[#This Row],[Revenue]]-Table1[[#This Row],[Operating_Costs]]</f>
        <v>227231</v>
      </c>
      <c r="T3839">
        <v>655166</v>
      </c>
      <c r="U3839">
        <v>55</v>
      </c>
      <c r="V3839">
        <v>60</v>
      </c>
      <c r="W3839">
        <v>9.4</v>
      </c>
    </row>
    <row r="3840" spans="1:23" x14ac:dyDescent="0.25">
      <c r="A3840">
        <v>12</v>
      </c>
      <c r="B3840" t="s">
        <v>66</v>
      </c>
      <c r="C3840" s="1">
        <v>45108</v>
      </c>
      <c r="D3840" t="s">
        <v>71</v>
      </c>
      <c r="E3840">
        <v>0</v>
      </c>
      <c r="F3840">
        <v>64</v>
      </c>
      <c r="G3840" t="str">
        <f t="shared" si="67"/>
        <v>61-80</v>
      </c>
      <c r="H3840" t="s">
        <v>23</v>
      </c>
      <c r="I3840" t="s">
        <v>64</v>
      </c>
      <c r="J3840" t="s">
        <v>65</v>
      </c>
      <c r="K3840" t="s">
        <v>29</v>
      </c>
      <c r="L3840">
        <v>1</v>
      </c>
      <c r="M3840">
        <v>1</v>
      </c>
      <c r="N3840">
        <v>4.3</v>
      </c>
      <c r="O3840">
        <v>8.1999999999999993</v>
      </c>
      <c r="P3840">
        <v>3</v>
      </c>
      <c r="Q3840">
        <v>7</v>
      </c>
      <c r="R3840">
        <v>920952</v>
      </c>
      <c r="S3840">
        <f>Table1[[#This Row],[Revenue]]-Table1[[#This Row],[Operating_Costs]]</f>
        <v>410015</v>
      </c>
      <c r="T3840">
        <v>510937</v>
      </c>
      <c r="U3840">
        <v>51</v>
      </c>
      <c r="V3840">
        <v>54</v>
      </c>
      <c r="W3840">
        <v>6.2</v>
      </c>
    </row>
    <row r="3841" spans="1:23" x14ac:dyDescent="0.25">
      <c r="A3841">
        <v>12</v>
      </c>
      <c r="B3841" t="s">
        <v>66</v>
      </c>
      <c r="C3841" s="1">
        <v>44608</v>
      </c>
      <c r="D3841" t="s">
        <v>71</v>
      </c>
      <c r="E3841">
        <v>0</v>
      </c>
      <c r="F3841">
        <v>23</v>
      </c>
      <c r="G3841" t="str">
        <f t="shared" si="67"/>
        <v>21-40</v>
      </c>
      <c r="H3841" t="s">
        <v>23</v>
      </c>
      <c r="I3841" t="s">
        <v>55</v>
      </c>
      <c r="J3841" t="s">
        <v>56</v>
      </c>
      <c r="K3841" t="s">
        <v>42</v>
      </c>
      <c r="L3841">
        <v>1</v>
      </c>
      <c r="M3841">
        <v>1</v>
      </c>
      <c r="N3841">
        <v>6.1</v>
      </c>
      <c r="O3841">
        <v>8.5</v>
      </c>
      <c r="P3841">
        <v>6</v>
      </c>
      <c r="Q3841">
        <v>5</v>
      </c>
      <c r="R3841">
        <v>835490</v>
      </c>
      <c r="S3841">
        <f>Table1[[#This Row],[Revenue]]-Table1[[#This Row],[Operating_Costs]]</f>
        <v>304551</v>
      </c>
      <c r="T3841">
        <v>530939</v>
      </c>
      <c r="U3841">
        <v>75</v>
      </c>
      <c r="V3841">
        <v>66</v>
      </c>
      <c r="W3841">
        <v>7</v>
      </c>
    </row>
    <row r="3842" spans="1:23" x14ac:dyDescent="0.25">
      <c r="A3842">
        <v>12</v>
      </c>
      <c r="B3842" t="s">
        <v>66</v>
      </c>
      <c r="C3842" s="1">
        <v>45391</v>
      </c>
      <c r="D3842" t="s">
        <v>71</v>
      </c>
      <c r="E3842">
        <v>0</v>
      </c>
      <c r="F3842">
        <v>34</v>
      </c>
      <c r="G3842" t="str">
        <f t="shared" si="67"/>
        <v>21-40</v>
      </c>
      <c r="H3842" t="s">
        <v>35</v>
      </c>
      <c r="I3842" t="s">
        <v>27</v>
      </c>
      <c r="J3842" t="s">
        <v>28</v>
      </c>
      <c r="K3842" t="s">
        <v>29</v>
      </c>
      <c r="L3842">
        <v>1</v>
      </c>
      <c r="M3842">
        <v>1</v>
      </c>
      <c r="N3842">
        <v>1.3</v>
      </c>
      <c r="O3842">
        <v>9.6</v>
      </c>
      <c r="P3842">
        <v>5</v>
      </c>
      <c r="Q3842">
        <v>7</v>
      </c>
      <c r="R3842">
        <v>805719</v>
      </c>
      <c r="S3842">
        <f>Table1[[#This Row],[Revenue]]-Table1[[#This Row],[Operating_Costs]]</f>
        <v>259752</v>
      </c>
      <c r="T3842">
        <v>545967</v>
      </c>
      <c r="U3842">
        <v>61</v>
      </c>
      <c r="V3842">
        <v>66</v>
      </c>
      <c r="W3842">
        <v>6.9</v>
      </c>
    </row>
    <row r="3843" spans="1:23" x14ac:dyDescent="0.25">
      <c r="A3843">
        <v>12</v>
      </c>
      <c r="B3843" t="s">
        <v>66</v>
      </c>
      <c r="C3843" s="1">
        <v>44899</v>
      </c>
      <c r="D3843" t="s">
        <v>71</v>
      </c>
      <c r="E3843">
        <v>0</v>
      </c>
      <c r="F3843">
        <v>64</v>
      </c>
      <c r="G3843" t="str">
        <f t="shared" ref="G3843:G3906" si="68">IF(F3843&lt;=20,"0-20",IF(F3843&lt;=40,"21-40",IF(F3843&lt;=60,"41-60",IF(F3843&lt;=80,"61-80","81+"))))</f>
        <v>61-80</v>
      </c>
      <c r="H3843" t="s">
        <v>35</v>
      </c>
      <c r="I3843" t="s">
        <v>40</v>
      </c>
      <c r="J3843" t="s">
        <v>41</v>
      </c>
      <c r="K3843" t="s">
        <v>26</v>
      </c>
      <c r="L3843">
        <v>1</v>
      </c>
      <c r="M3843">
        <v>1</v>
      </c>
      <c r="N3843">
        <v>5</v>
      </c>
      <c r="O3843">
        <v>9.4</v>
      </c>
      <c r="P3843">
        <v>5</v>
      </c>
      <c r="Q3843">
        <v>3</v>
      </c>
      <c r="R3843">
        <v>872073</v>
      </c>
      <c r="S3843">
        <f>Table1[[#This Row],[Revenue]]-Table1[[#This Row],[Operating_Costs]]</f>
        <v>340306</v>
      </c>
      <c r="T3843">
        <v>531767</v>
      </c>
      <c r="U3843">
        <v>72</v>
      </c>
      <c r="V3843">
        <v>56</v>
      </c>
      <c r="W3843">
        <v>7.8</v>
      </c>
    </row>
    <row r="3844" spans="1:23" x14ac:dyDescent="0.25">
      <c r="A3844">
        <v>12</v>
      </c>
      <c r="B3844" t="s">
        <v>66</v>
      </c>
      <c r="C3844" s="1">
        <v>45210</v>
      </c>
      <c r="D3844" t="s">
        <v>71</v>
      </c>
      <c r="E3844">
        <v>0</v>
      </c>
      <c r="F3844">
        <v>27</v>
      </c>
      <c r="G3844" t="str">
        <f t="shared" si="68"/>
        <v>21-40</v>
      </c>
      <c r="H3844" t="s">
        <v>35</v>
      </c>
      <c r="I3844" t="s">
        <v>27</v>
      </c>
      <c r="J3844" t="s">
        <v>28</v>
      </c>
      <c r="K3844" t="s">
        <v>38</v>
      </c>
      <c r="L3844">
        <v>1</v>
      </c>
      <c r="M3844">
        <v>1</v>
      </c>
      <c r="N3844">
        <v>1.3</v>
      </c>
      <c r="O3844">
        <v>9.1999999999999993</v>
      </c>
      <c r="P3844">
        <v>4</v>
      </c>
      <c r="Q3844">
        <v>6</v>
      </c>
      <c r="R3844">
        <v>807589</v>
      </c>
      <c r="S3844">
        <f>Table1[[#This Row],[Revenue]]-Table1[[#This Row],[Operating_Costs]]</f>
        <v>190568</v>
      </c>
      <c r="T3844">
        <v>617021</v>
      </c>
      <c r="U3844">
        <v>54</v>
      </c>
      <c r="V3844">
        <v>56</v>
      </c>
      <c r="W3844">
        <v>14.2</v>
      </c>
    </row>
    <row r="3845" spans="1:23" x14ac:dyDescent="0.25">
      <c r="A3845">
        <v>12</v>
      </c>
      <c r="B3845" t="s">
        <v>66</v>
      </c>
      <c r="C3845" s="1">
        <v>45102</v>
      </c>
      <c r="D3845" t="s">
        <v>71</v>
      </c>
      <c r="E3845">
        <v>0</v>
      </c>
      <c r="F3845">
        <v>33</v>
      </c>
      <c r="G3845" t="str">
        <f t="shared" si="68"/>
        <v>21-40</v>
      </c>
      <c r="H3845" t="s">
        <v>23</v>
      </c>
      <c r="I3845" t="s">
        <v>50</v>
      </c>
      <c r="J3845" t="s">
        <v>51</v>
      </c>
      <c r="K3845" t="s">
        <v>42</v>
      </c>
      <c r="L3845">
        <v>1</v>
      </c>
      <c r="M3845">
        <v>1</v>
      </c>
      <c r="N3845">
        <v>1.2</v>
      </c>
      <c r="O3845">
        <v>9.1</v>
      </c>
      <c r="P3845">
        <v>3</v>
      </c>
      <c r="Q3845">
        <v>7</v>
      </c>
      <c r="R3845">
        <v>871268</v>
      </c>
      <c r="S3845">
        <f>Table1[[#This Row],[Revenue]]-Table1[[#This Row],[Operating_Costs]]</f>
        <v>313047</v>
      </c>
      <c r="T3845">
        <v>558221</v>
      </c>
      <c r="U3845">
        <v>65</v>
      </c>
      <c r="V3845">
        <v>59</v>
      </c>
      <c r="W3845">
        <v>14</v>
      </c>
    </row>
    <row r="3846" spans="1:23" x14ac:dyDescent="0.25">
      <c r="A3846">
        <v>12</v>
      </c>
      <c r="B3846" t="s">
        <v>66</v>
      </c>
      <c r="C3846" s="1">
        <v>44278</v>
      </c>
      <c r="D3846" t="s">
        <v>71</v>
      </c>
      <c r="E3846">
        <v>0</v>
      </c>
      <c r="F3846">
        <v>37</v>
      </c>
      <c r="G3846" t="str">
        <f t="shared" si="68"/>
        <v>21-40</v>
      </c>
      <c r="H3846" t="s">
        <v>35</v>
      </c>
      <c r="I3846" t="s">
        <v>50</v>
      </c>
      <c r="J3846" t="s">
        <v>51</v>
      </c>
      <c r="K3846" t="s">
        <v>38</v>
      </c>
      <c r="L3846">
        <v>1</v>
      </c>
      <c r="M3846">
        <v>1</v>
      </c>
      <c r="N3846">
        <v>4.0999999999999996</v>
      </c>
      <c r="O3846">
        <v>9</v>
      </c>
      <c r="P3846">
        <v>4</v>
      </c>
      <c r="Q3846">
        <v>5</v>
      </c>
      <c r="R3846">
        <v>846412</v>
      </c>
      <c r="S3846">
        <f>Table1[[#This Row],[Revenue]]-Table1[[#This Row],[Operating_Costs]]</f>
        <v>302598</v>
      </c>
      <c r="T3846">
        <v>543814</v>
      </c>
      <c r="U3846">
        <v>78</v>
      </c>
      <c r="V3846">
        <v>60</v>
      </c>
      <c r="W3846">
        <v>8.8000000000000007</v>
      </c>
    </row>
    <row r="3847" spans="1:23" x14ac:dyDescent="0.25">
      <c r="A3847">
        <v>12</v>
      </c>
      <c r="B3847" t="s">
        <v>66</v>
      </c>
      <c r="C3847" s="1">
        <v>44987</v>
      </c>
      <c r="D3847" t="s">
        <v>71</v>
      </c>
      <c r="E3847">
        <v>0</v>
      </c>
      <c r="F3847">
        <v>43</v>
      </c>
      <c r="G3847" t="str">
        <f t="shared" si="68"/>
        <v>41-60</v>
      </c>
      <c r="H3847" t="s">
        <v>23</v>
      </c>
      <c r="I3847" t="s">
        <v>43</v>
      </c>
      <c r="J3847" t="s">
        <v>25</v>
      </c>
      <c r="K3847" t="s">
        <v>29</v>
      </c>
      <c r="L3847">
        <v>1</v>
      </c>
      <c r="M3847">
        <v>1</v>
      </c>
      <c r="N3847">
        <v>4.4000000000000004</v>
      </c>
      <c r="O3847">
        <v>9.4</v>
      </c>
      <c r="P3847">
        <v>4</v>
      </c>
      <c r="Q3847">
        <v>6</v>
      </c>
      <c r="R3847">
        <v>823998</v>
      </c>
      <c r="S3847">
        <f>Table1[[#This Row],[Revenue]]-Table1[[#This Row],[Operating_Costs]]</f>
        <v>173580</v>
      </c>
      <c r="T3847">
        <v>650418</v>
      </c>
      <c r="U3847">
        <v>79</v>
      </c>
      <c r="V3847">
        <v>61</v>
      </c>
      <c r="W3847">
        <v>9</v>
      </c>
    </row>
    <row r="3848" spans="1:23" x14ac:dyDescent="0.25">
      <c r="A3848">
        <v>12</v>
      </c>
      <c r="B3848" t="s">
        <v>66</v>
      </c>
      <c r="C3848" s="1">
        <v>45171</v>
      </c>
      <c r="D3848" t="s">
        <v>71</v>
      </c>
      <c r="E3848">
        <v>0</v>
      </c>
      <c r="F3848">
        <v>76</v>
      </c>
      <c r="G3848" t="str">
        <f t="shared" si="68"/>
        <v>61-80</v>
      </c>
      <c r="H3848" t="s">
        <v>23</v>
      </c>
      <c r="I3848" t="s">
        <v>67</v>
      </c>
      <c r="J3848" t="s">
        <v>68</v>
      </c>
      <c r="K3848" t="s">
        <v>42</v>
      </c>
      <c r="L3848">
        <v>1</v>
      </c>
      <c r="M3848">
        <v>1</v>
      </c>
      <c r="N3848">
        <v>5.9</v>
      </c>
      <c r="O3848">
        <v>8.6999999999999993</v>
      </c>
      <c r="P3848">
        <v>5</v>
      </c>
      <c r="Q3848">
        <v>4</v>
      </c>
      <c r="R3848">
        <v>830362</v>
      </c>
      <c r="S3848">
        <f>Table1[[#This Row],[Revenue]]-Table1[[#This Row],[Operating_Costs]]</f>
        <v>242004</v>
      </c>
      <c r="T3848">
        <v>588358</v>
      </c>
      <c r="U3848">
        <v>57</v>
      </c>
      <c r="V3848">
        <v>60</v>
      </c>
      <c r="W3848">
        <v>10.9</v>
      </c>
    </row>
    <row r="3849" spans="1:23" x14ac:dyDescent="0.25">
      <c r="A3849">
        <v>12</v>
      </c>
      <c r="B3849" t="s">
        <v>66</v>
      </c>
      <c r="C3849" s="1">
        <v>45333</v>
      </c>
      <c r="D3849" t="s">
        <v>71</v>
      </c>
      <c r="E3849">
        <v>0</v>
      </c>
      <c r="F3849">
        <v>57</v>
      </c>
      <c r="G3849" t="str">
        <f t="shared" si="68"/>
        <v>41-60</v>
      </c>
      <c r="H3849" t="s">
        <v>35</v>
      </c>
      <c r="I3849" t="s">
        <v>27</v>
      </c>
      <c r="J3849" t="s">
        <v>28</v>
      </c>
      <c r="K3849" t="s">
        <v>29</v>
      </c>
      <c r="L3849">
        <v>1</v>
      </c>
      <c r="M3849">
        <v>1</v>
      </c>
      <c r="N3849">
        <v>6.4</v>
      </c>
      <c r="O3849">
        <v>8.5</v>
      </c>
      <c r="P3849">
        <v>6</v>
      </c>
      <c r="Q3849">
        <v>3</v>
      </c>
      <c r="R3849">
        <v>810915</v>
      </c>
      <c r="S3849">
        <f>Table1[[#This Row],[Revenue]]-Table1[[#This Row],[Operating_Costs]]</f>
        <v>197405</v>
      </c>
      <c r="T3849">
        <v>613510</v>
      </c>
      <c r="U3849">
        <v>59</v>
      </c>
      <c r="V3849">
        <v>62</v>
      </c>
      <c r="W3849">
        <v>13.2</v>
      </c>
    </row>
    <row r="3850" spans="1:23" x14ac:dyDescent="0.25">
      <c r="A3850">
        <v>12</v>
      </c>
      <c r="B3850" t="s">
        <v>66</v>
      </c>
      <c r="C3850" s="1">
        <v>44597</v>
      </c>
      <c r="D3850" t="s">
        <v>71</v>
      </c>
      <c r="E3850">
        <v>0</v>
      </c>
      <c r="F3850">
        <v>47</v>
      </c>
      <c r="G3850" t="str">
        <f t="shared" si="68"/>
        <v>41-60</v>
      </c>
      <c r="H3850" t="s">
        <v>35</v>
      </c>
      <c r="I3850" t="s">
        <v>61</v>
      </c>
      <c r="J3850" t="s">
        <v>62</v>
      </c>
      <c r="K3850" t="s">
        <v>29</v>
      </c>
      <c r="L3850">
        <v>1</v>
      </c>
      <c r="M3850">
        <v>1</v>
      </c>
      <c r="N3850">
        <v>5.9</v>
      </c>
      <c r="O3850">
        <v>8.8000000000000007</v>
      </c>
      <c r="P3850">
        <v>4</v>
      </c>
      <c r="Q3850">
        <v>6</v>
      </c>
      <c r="R3850">
        <v>803868</v>
      </c>
      <c r="S3850">
        <f>Table1[[#This Row],[Revenue]]-Table1[[#This Row],[Operating_Costs]]</f>
        <v>267358</v>
      </c>
      <c r="T3850">
        <v>536510</v>
      </c>
      <c r="U3850">
        <v>61</v>
      </c>
      <c r="V3850">
        <v>57</v>
      </c>
      <c r="W3850">
        <v>8.6</v>
      </c>
    </row>
    <row r="3851" spans="1:23" x14ac:dyDescent="0.25">
      <c r="A3851">
        <v>12</v>
      </c>
      <c r="B3851" t="s">
        <v>66</v>
      </c>
      <c r="C3851" s="1">
        <v>45212</v>
      </c>
      <c r="D3851" t="s">
        <v>71</v>
      </c>
      <c r="E3851">
        <v>0</v>
      </c>
      <c r="F3851">
        <v>90</v>
      </c>
      <c r="G3851" t="str">
        <f t="shared" si="68"/>
        <v>81+</v>
      </c>
      <c r="H3851" t="s">
        <v>35</v>
      </c>
      <c r="I3851" t="s">
        <v>61</v>
      </c>
      <c r="J3851" t="s">
        <v>62</v>
      </c>
      <c r="K3851" t="s">
        <v>42</v>
      </c>
      <c r="L3851">
        <v>1</v>
      </c>
      <c r="M3851">
        <v>1</v>
      </c>
      <c r="N3851">
        <v>2.2000000000000002</v>
      </c>
      <c r="O3851">
        <v>9.1</v>
      </c>
      <c r="P3851">
        <v>6</v>
      </c>
      <c r="Q3851">
        <v>5</v>
      </c>
      <c r="R3851">
        <v>981835</v>
      </c>
      <c r="S3851">
        <f>Table1[[#This Row],[Revenue]]-Table1[[#This Row],[Operating_Costs]]</f>
        <v>304925</v>
      </c>
      <c r="T3851">
        <v>676910</v>
      </c>
      <c r="U3851">
        <v>66</v>
      </c>
      <c r="V3851">
        <v>55</v>
      </c>
      <c r="W3851">
        <v>8.6999999999999993</v>
      </c>
    </row>
    <row r="3852" spans="1:23" x14ac:dyDescent="0.25">
      <c r="A3852">
        <v>12</v>
      </c>
      <c r="B3852" t="s">
        <v>66</v>
      </c>
      <c r="C3852" s="1">
        <v>44970</v>
      </c>
      <c r="D3852" t="s">
        <v>71</v>
      </c>
      <c r="E3852">
        <v>0</v>
      </c>
      <c r="F3852">
        <v>48</v>
      </c>
      <c r="G3852" t="str">
        <f t="shared" si="68"/>
        <v>41-60</v>
      </c>
      <c r="H3852" t="s">
        <v>23</v>
      </c>
      <c r="I3852" t="s">
        <v>40</v>
      </c>
      <c r="J3852" t="s">
        <v>41</v>
      </c>
      <c r="K3852" t="s">
        <v>42</v>
      </c>
      <c r="L3852">
        <v>1</v>
      </c>
      <c r="M3852">
        <v>1</v>
      </c>
      <c r="N3852">
        <v>5.6</v>
      </c>
      <c r="O3852">
        <v>8.1999999999999993</v>
      </c>
      <c r="P3852">
        <v>7</v>
      </c>
      <c r="Q3852">
        <v>3</v>
      </c>
      <c r="R3852">
        <v>823595</v>
      </c>
      <c r="S3852">
        <f>Table1[[#This Row],[Revenue]]-Table1[[#This Row],[Operating_Costs]]</f>
        <v>126048</v>
      </c>
      <c r="T3852">
        <v>697547</v>
      </c>
      <c r="U3852">
        <v>72</v>
      </c>
      <c r="V3852">
        <v>55</v>
      </c>
      <c r="W3852">
        <v>36.200000000000003</v>
      </c>
    </row>
    <row r="3853" spans="1:23" x14ac:dyDescent="0.25">
      <c r="A3853">
        <v>12</v>
      </c>
      <c r="B3853" t="s">
        <v>66</v>
      </c>
      <c r="C3853" s="1">
        <v>45210</v>
      </c>
      <c r="D3853" t="s">
        <v>71</v>
      </c>
      <c r="E3853">
        <v>0</v>
      </c>
      <c r="F3853">
        <v>85</v>
      </c>
      <c r="G3853" t="str">
        <f t="shared" si="68"/>
        <v>81+</v>
      </c>
      <c r="H3853" t="s">
        <v>23</v>
      </c>
      <c r="I3853" t="s">
        <v>43</v>
      </c>
      <c r="J3853" t="s">
        <v>25</v>
      </c>
      <c r="K3853" t="s">
        <v>42</v>
      </c>
      <c r="L3853">
        <v>1</v>
      </c>
      <c r="M3853">
        <v>1</v>
      </c>
      <c r="N3853">
        <v>4.9000000000000004</v>
      </c>
      <c r="O3853">
        <v>8.8000000000000007</v>
      </c>
      <c r="P3853">
        <v>4</v>
      </c>
      <c r="Q3853">
        <v>4</v>
      </c>
      <c r="R3853">
        <v>995304</v>
      </c>
      <c r="S3853">
        <f>Table1[[#This Row],[Revenue]]-Table1[[#This Row],[Operating_Costs]]</f>
        <v>488772</v>
      </c>
      <c r="T3853">
        <v>506532</v>
      </c>
      <c r="U3853">
        <v>60</v>
      </c>
      <c r="V3853">
        <v>55</v>
      </c>
      <c r="W3853">
        <v>6.2</v>
      </c>
    </row>
    <row r="3854" spans="1:23" x14ac:dyDescent="0.25">
      <c r="A3854">
        <v>12</v>
      </c>
      <c r="B3854" t="s">
        <v>66</v>
      </c>
      <c r="C3854" s="1">
        <v>44394</v>
      </c>
      <c r="D3854" t="s">
        <v>71</v>
      </c>
      <c r="E3854">
        <v>0</v>
      </c>
      <c r="F3854">
        <v>78</v>
      </c>
      <c r="G3854" t="str">
        <f t="shared" si="68"/>
        <v>61-80</v>
      </c>
      <c r="H3854" t="s">
        <v>23</v>
      </c>
      <c r="I3854" t="s">
        <v>24</v>
      </c>
      <c r="J3854" t="s">
        <v>25</v>
      </c>
      <c r="K3854" t="s">
        <v>26</v>
      </c>
      <c r="L3854">
        <v>1</v>
      </c>
      <c r="M3854">
        <v>1</v>
      </c>
      <c r="N3854">
        <v>5.9</v>
      </c>
      <c r="O3854">
        <v>8.6</v>
      </c>
      <c r="P3854">
        <v>5</v>
      </c>
      <c r="Q3854">
        <v>5</v>
      </c>
      <c r="R3854">
        <v>802662</v>
      </c>
      <c r="S3854">
        <f>Table1[[#This Row],[Revenue]]-Table1[[#This Row],[Operating_Costs]]</f>
        <v>203186</v>
      </c>
      <c r="T3854">
        <v>599476</v>
      </c>
      <c r="U3854">
        <v>68</v>
      </c>
      <c r="V3854">
        <v>56</v>
      </c>
      <c r="W3854">
        <v>10.199999999999999</v>
      </c>
    </row>
    <row r="3855" spans="1:23" x14ac:dyDescent="0.25">
      <c r="A3855">
        <v>12</v>
      </c>
      <c r="B3855" t="s">
        <v>66</v>
      </c>
      <c r="C3855" s="1">
        <v>44260</v>
      </c>
      <c r="D3855" t="s">
        <v>71</v>
      </c>
      <c r="E3855">
        <v>0</v>
      </c>
      <c r="F3855">
        <v>36</v>
      </c>
      <c r="G3855" t="str">
        <f t="shared" si="68"/>
        <v>21-40</v>
      </c>
      <c r="H3855" t="s">
        <v>23</v>
      </c>
      <c r="I3855" t="s">
        <v>43</v>
      </c>
      <c r="J3855" t="s">
        <v>25</v>
      </c>
      <c r="K3855" t="s">
        <v>33</v>
      </c>
      <c r="L3855">
        <v>1</v>
      </c>
      <c r="M3855">
        <v>1</v>
      </c>
      <c r="N3855">
        <v>1.5</v>
      </c>
      <c r="O3855">
        <v>9.8000000000000007</v>
      </c>
      <c r="P3855">
        <v>7</v>
      </c>
      <c r="Q3855">
        <v>7</v>
      </c>
      <c r="R3855">
        <v>851810</v>
      </c>
      <c r="S3855">
        <f>Table1[[#This Row],[Revenue]]-Table1[[#This Row],[Operating_Costs]]</f>
        <v>333344</v>
      </c>
      <c r="T3855">
        <v>518466</v>
      </c>
      <c r="U3855">
        <v>55</v>
      </c>
      <c r="V3855">
        <v>57</v>
      </c>
      <c r="W3855">
        <v>7.2</v>
      </c>
    </row>
    <row r="3856" spans="1:23" x14ac:dyDescent="0.25">
      <c r="A3856">
        <v>12</v>
      </c>
      <c r="B3856" t="s">
        <v>66</v>
      </c>
      <c r="C3856" s="1">
        <v>45016</v>
      </c>
      <c r="D3856" t="s">
        <v>71</v>
      </c>
      <c r="E3856">
        <v>0</v>
      </c>
      <c r="F3856">
        <v>22</v>
      </c>
      <c r="G3856" t="str">
        <f t="shared" si="68"/>
        <v>21-40</v>
      </c>
      <c r="H3856" t="s">
        <v>35</v>
      </c>
      <c r="I3856" t="s">
        <v>61</v>
      </c>
      <c r="J3856" t="s">
        <v>62</v>
      </c>
      <c r="K3856" t="s">
        <v>33</v>
      </c>
      <c r="L3856">
        <v>1</v>
      </c>
      <c r="M3856">
        <v>1</v>
      </c>
      <c r="N3856">
        <v>1.6</v>
      </c>
      <c r="O3856">
        <v>8.4</v>
      </c>
      <c r="P3856">
        <v>4</v>
      </c>
      <c r="Q3856">
        <v>3</v>
      </c>
      <c r="R3856">
        <v>946209</v>
      </c>
      <c r="S3856">
        <f>Table1[[#This Row],[Revenue]]-Table1[[#This Row],[Operating_Costs]]</f>
        <v>255999</v>
      </c>
      <c r="T3856">
        <v>690210</v>
      </c>
      <c r="U3856">
        <v>53</v>
      </c>
      <c r="V3856">
        <v>63</v>
      </c>
      <c r="W3856">
        <v>5.6</v>
      </c>
    </row>
    <row r="3857" spans="1:23" x14ac:dyDescent="0.25">
      <c r="A3857">
        <v>12</v>
      </c>
      <c r="B3857" t="s">
        <v>66</v>
      </c>
      <c r="C3857" s="1">
        <v>45188</v>
      </c>
      <c r="D3857" t="s">
        <v>71</v>
      </c>
      <c r="E3857">
        <v>0</v>
      </c>
      <c r="F3857">
        <v>72</v>
      </c>
      <c r="G3857" t="str">
        <f t="shared" si="68"/>
        <v>61-80</v>
      </c>
      <c r="H3857" t="s">
        <v>23</v>
      </c>
      <c r="I3857" t="s">
        <v>61</v>
      </c>
      <c r="J3857" t="s">
        <v>62</v>
      </c>
      <c r="K3857" t="s">
        <v>38</v>
      </c>
      <c r="L3857">
        <v>1</v>
      </c>
      <c r="M3857">
        <v>1</v>
      </c>
      <c r="N3857">
        <v>6.7</v>
      </c>
      <c r="O3857">
        <v>9.6999999999999993</v>
      </c>
      <c r="P3857">
        <v>3</v>
      </c>
      <c r="Q3857">
        <v>3</v>
      </c>
      <c r="R3857">
        <v>879782</v>
      </c>
      <c r="S3857">
        <f>Table1[[#This Row],[Revenue]]-Table1[[#This Row],[Operating_Costs]]</f>
        <v>327799</v>
      </c>
      <c r="T3857">
        <v>551983</v>
      </c>
      <c r="U3857">
        <v>54</v>
      </c>
      <c r="V3857">
        <v>56</v>
      </c>
      <c r="W3857">
        <v>36.6</v>
      </c>
    </row>
    <row r="3858" spans="1:23" x14ac:dyDescent="0.25">
      <c r="A3858">
        <v>12</v>
      </c>
      <c r="B3858" t="s">
        <v>66</v>
      </c>
      <c r="C3858" s="1">
        <v>45450</v>
      </c>
      <c r="D3858" t="s">
        <v>71</v>
      </c>
      <c r="E3858">
        <v>0</v>
      </c>
      <c r="F3858">
        <v>49</v>
      </c>
      <c r="G3858" t="str">
        <f t="shared" si="68"/>
        <v>41-60</v>
      </c>
      <c r="H3858" t="s">
        <v>35</v>
      </c>
      <c r="I3858" t="s">
        <v>36</v>
      </c>
      <c r="J3858" t="s">
        <v>37</v>
      </c>
      <c r="K3858" t="s">
        <v>42</v>
      </c>
      <c r="L3858">
        <v>1</v>
      </c>
      <c r="M3858">
        <v>1</v>
      </c>
      <c r="N3858">
        <v>5.9</v>
      </c>
      <c r="O3858">
        <v>7.7</v>
      </c>
      <c r="P3858">
        <v>4</v>
      </c>
      <c r="Q3858">
        <v>5</v>
      </c>
      <c r="R3858">
        <v>876756</v>
      </c>
      <c r="S3858">
        <f>Table1[[#This Row],[Revenue]]-Table1[[#This Row],[Operating_Costs]]</f>
        <v>192150</v>
      </c>
      <c r="T3858">
        <v>684606</v>
      </c>
      <c r="U3858">
        <v>54</v>
      </c>
      <c r="V3858">
        <v>63</v>
      </c>
      <c r="W3858">
        <v>7.2</v>
      </c>
    </row>
    <row r="3859" spans="1:23" x14ac:dyDescent="0.25">
      <c r="A3859">
        <v>12</v>
      </c>
      <c r="B3859" t="s">
        <v>66</v>
      </c>
      <c r="C3859" s="1">
        <v>44447</v>
      </c>
      <c r="D3859" t="s">
        <v>71</v>
      </c>
      <c r="E3859">
        <v>0</v>
      </c>
      <c r="F3859">
        <v>22</v>
      </c>
      <c r="G3859" t="str">
        <f t="shared" si="68"/>
        <v>21-40</v>
      </c>
      <c r="H3859" t="s">
        <v>23</v>
      </c>
      <c r="I3859" t="s">
        <v>27</v>
      </c>
      <c r="J3859" t="s">
        <v>28</v>
      </c>
      <c r="K3859" t="s">
        <v>42</v>
      </c>
      <c r="L3859">
        <v>1</v>
      </c>
      <c r="M3859">
        <v>1</v>
      </c>
      <c r="N3859">
        <v>2</v>
      </c>
      <c r="O3859">
        <v>8.8000000000000007</v>
      </c>
      <c r="P3859">
        <v>7</v>
      </c>
      <c r="Q3859">
        <v>4</v>
      </c>
      <c r="R3859">
        <v>946639</v>
      </c>
      <c r="S3859">
        <f>Table1[[#This Row],[Revenue]]-Table1[[#This Row],[Operating_Costs]]</f>
        <v>324976</v>
      </c>
      <c r="T3859">
        <v>621663</v>
      </c>
      <c r="U3859">
        <v>71</v>
      </c>
      <c r="V3859">
        <v>62</v>
      </c>
      <c r="W3859">
        <v>14.5</v>
      </c>
    </row>
    <row r="3860" spans="1:23" x14ac:dyDescent="0.25">
      <c r="A3860">
        <v>12</v>
      </c>
      <c r="B3860" t="s">
        <v>66</v>
      </c>
      <c r="C3860" s="1">
        <v>44913</v>
      </c>
      <c r="D3860" t="s">
        <v>71</v>
      </c>
      <c r="E3860">
        <v>0</v>
      </c>
      <c r="F3860">
        <v>29</v>
      </c>
      <c r="G3860" t="str">
        <f t="shared" si="68"/>
        <v>21-40</v>
      </c>
      <c r="H3860" t="s">
        <v>35</v>
      </c>
      <c r="I3860" t="s">
        <v>40</v>
      </c>
      <c r="J3860" t="s">
        <v>41</v>
      </c>
      <c r="K3860" t="s">
        <v>42</v>
      </c>
      <c r="L3860">
        <v>1</v>
      </c>
      <c r="M3860">
        <v>1</v>
      </c>
      <c r="N3860">
        <v>1.4</v>
      </c>
      <c r="O3860">
        <v>8.1999999999999993</v>
      </c>
      <c r="P3860">
        <v>4</v>
      </c>
      <c r="Q3860">
        <v>6</v>
      </c>
      <c r="R3860">
        <v>817920</v>
      </c>
      <c r="S3860">
        <f>Table1[[#This Row],[Revenue]]-Table1[[#This Row],[Operating_Costs]]</f>
        <v>264287</v>
      </c>
      <c r="T3860">
        <v>553633</v>
      </c>
      <c r="U3860">
        <v>52</v>
      </c>
      <c r="V3860">
        <v>55</v>
      </c>
      <c r="W3860">
        <v>7.1</v>
      </c>
    </row>
    <row r="3861" spans="1:23" x14ac:dyDescent="0.25">
      <c r="A3861">
        <v>12</v>
      </c>
      <c r="B3861" t="s">
        <v>66</v>
      </c>
      <c r="C3861" s="1">
        <v>44369</v>
      </c>
      <c r="D3861" t="s">
        <v>71</v>
      </c>
      <c r="E3861">
        <v>0</v>
      </c>
      <c r="F3861">
        <v>41</v>
      </c>
      <c r="G3861" t="str">
        <f t="shared" si="68"/>
        <v>41-60</v>
      </c>
      <c r="H3861" t="s">
        <v>35</v>
      </c>
      <c r="I3861" t="s">
        <v>60</v>
      </c>
      <c r="J3861" t="s">
        <v>59</v>
      </c>
      <c r="K3861" t="s">
        <v>38</v>
      </c>
      <c r="L3861">
        <v>1</v>
      </c>
      <c r="M3861">
        <v>1</v>
      </c>
      <c r="N3861">
        <v>5.7</v>
      </c>
      <c r="O3861">
        <v>8.6999999999999993</v>
      </c>
      <c r="P3861">
        <v>3</v>
      </c>
      <c r="Q3861">
        <v>7</v>
      </c>
      <c r="R3861">
        <v>872464</v>
      </c>
      <c r="S3861">
        <f>Table1[[#This Row],[Revenue]]-Table1[[#This Row],[Operating_Costs]]</f>
        <v>184337</v>
      </c>
      <c r="T3861">
        <v>688127</v>
      </c>
      <c r="U3861">
        <v>55</v>
      </c>
      <c r="V3861">
        <v>60</v>
      </c>
      <c r="W3861">
        <v>6.5</v>
      </c>
    </row>
    <row r="3862" spans="1:23" x14ac:dyDescent="0.25">
      <c r="A3862">
        <v>12</v>
      </c>
      <c r="B3862" t="s">
        <v>66</v>
      </c>
      <c r="C3862" s="1">
        <v>44990</v>
      </c>
      <c r="D3862" t="s">
        <v>71</v>
      </c>
      <c r="E3862">
        <v>0</v>
      </c>
      <c r="F3862">
        <v>60</v>
      </c>
      <c r="G3862" t="str">
        <f t="shared" si="68"/>
        <v>41-60</v>
      </c>
      <c r="H3862" t="s">
        <v>23</v>
      </c>
      <c r="I3862" t="s">
        <v>31</v>
      </c>
      <c r="J3862" t="s">
        <v>28</v>
      </c>
      <c r="K3862" t="s">
        <v>42</v>
      </c>
      <c r="L3862">
        <v>1</v>
      </c>
      <c r="M3862">
        <v>1</v>
      </c>
      <c r="N3862">
        <v>4.9000000000000004</v>
      </c>
      <c r="O3862">
        <v>7.2</v>
      </c>
      <c r="P3862">
        <v>6</v>
      </c>
      <c r="Q3862">
        <v>6</v>
      </c>
      <c r="R3862">
        <v>915523</v>
      </c>
      <c r="S3862">
        <f>Table1[[#This Row],[Revenue]]-Table1[[#This Row],[Operating_Costs]]</f>
        <v>319758</v>
      </c>
      <c r="T3862">
        <v>595765</v>
      </c>
      <c r="U3862">
        <v>50</v>
      </c>
      <c r="V3862">
        <v>63</v>
      </c>
      <c r="W3862">
        <v>14.8</v>
      </c>
    </row>
    <row r="3863" spans="1:23" x14ac:dyDescent="0.25">
      <c r="A3863">
        <v>12</v>
      </c>
      <c r="B3863" t="s">
        <v>66</v>
      </c>
      <c r="C3863" s="1">
        <v>44250</v>
      </c>
      <c r="D3863" t="s">
        <v>71</v>
      </c>
      <c r="E3863">
        <v>0</v>
      </c>
      <c r="F3863">
        <v>37</v>
      </c>
      <c r="G3863" t="str">
        <f t="shared" si="68"/>
        <v>21-40</v>
      </c>
      <c r="H3863" t="s">
        <v>23</v>
      </c>
      <c r="I3863" t="s">
        <v>31</v>
      </c>
      <c r="J3863" t="s">
        <v>28</v>
      </c>
      <c r="K3863" t="s">
        <v>26</v>
      </c>
      <c r="L3863">
        <v>1</v>
      </c>
      <c r="M3863">
        <v>1</v>
      </c>
      <c r="N3863">
        <v>1.2</v>
      </c>
      <c r="O3863">
        <v>8</v>
      </c>
      <c r="P3863">
        <v>7</v>
      </c>
      <c r="Q3863">
        <v>4</v>
      </c>
      <c r="R3863">
        <v>990197</v>
      </c>
      <c r="S3863">
        <f>Table1[[#This Row],[Revenue]]-Table1[[#This Row],[Operating_Costs]]</f>
        <v>301929</v>
      </c>
      <c r="T3863">
        <v>688268</v>
      </c>
      <c r="U3863">
        <v>75</v>
      </c>
      <c r="V3863">
        <v>58</v>
      </c>
      <c r="W3863">
        <v>36.799999999999997</v>
      </c>
    </row>
    <row r="3864" spans="1:23" x14ac:dyDescent="0.25">
      <c r="A3864">
        <v>12</v>
      </c>
      <c r="B3864" t="s">
        <v>66</v>
      </c>
      <c r="C3864" s="1">
        <v>44759</v>
      </c>
      <c r="D3864" t="s">
        <v>71</v>
      </c>
      <c r="E3864">
        <v>0</v>
      </c>
      <c r="F3864">
        <v>86</v>
      </c>
      <c r="G3864" t="str">
        <f t="shared" si="68"/>
        <v>81+</v>
      </c>
      <c r="H3864" t="s">
        <v>23</v>
      </c>
      <c r="I3864" t="s">
        <v>61</v>
      </c>
      <c r="J3864" t="s">
        <v>62</v>
      </c>
      <c r="K3864" t="s">
        <v>29</v>
      </c>
      <c r="L3864">
        <v>1</v>
      </c>
      <c r="M3864">
        <v>1</v>
      </c>
      <c r="N3864">
        <v>6.2</v>
      </c>
      <c r="O3864">
        <v>7.6</v>
      </c>
      <c r="P3864">
        <v>6</v>
      </c>
      <c r="Q3864">
        <v>5</v>
      </c>
      <c r="R3864">
        <v>884313</v>
      </c>
      <c r="S3864">
        <f>Table1[[#This Row],[Revenue]]-Table1[[#This Row],[Operating_Costs]]</f>
        <v>253271</v>
      </c>
      <c r="T3864">
        <v>631042</v>
      </c>
      <c r="U3864">
        <v>58</v>
      </c>
      <c r="V3864">
        <v>56</v>
      </c>
      <c r="W3864">
        <v>10.7</v>
      </c>
    </row>
    <row r="3865" spans="1:23" x14ac:dyDescent="0.25">
      <c r="A3865">
        <v>12</v>
      </c>
      <c r="B3865" t="s">
        <v>66</v>
      </c>
      <c r="C3865" s="1">
        <v>44817</v>
      </c>
      <c r="D3865" t="s">
        <v>71</v>
      </c>
      <c r="E3865">
        <v>0</v>
      </c>
      <c r="F3865">
        <v>75</v>
      </c>
      <c r="G3865" t="str">
        <f t="shared" si="68"/>
        <v>61-80</v>
      </c>
      <c r="H3865" t="s">
        <v>23</v>
      </c>
      <c r="I3865" t="s">
        <v>40</v>
      </c>
      <c r="J3865" t="s">
        <v>41</v>
      </c>
      <c r="K3865" t="s">
        <v>29</v>
      </c>
      <c r="L3865">
        <v>1</v>
      </c>
      <c r="M3865">
        <v>1</v>
      </c>
      <c r="N3865">
        <v>2.5</v>
      </c>
      <c r="O3865">
        <v>8.6999999999999993</v>
      </c>
      <c r="P3865">
        <v>6</v>
      </c>
      <c r="Q3865">
        <v>4</v>
      </c>
      <c r="R3865">
        <v>865417</v>
      </c>
      <c r="S3865">
        <f>Table1[[#This Row],[Revenue]]-Table1[[#This Row],[Operating_Costs]]</f>
        <v>247086</v>
      </c>
      <c r="T3865">
        <v>618331</v>
      </c>
      <c r="U3865">
        <v>59</v>
      </c>
      <c r="V3865">
        <v>59</v>
      </c>
      <c r="W3865">
        <v>14.1</v>
      </c>
    </row>
    <row r="3866" spans="1:23" x14ac:dyDescent="0.25">
      <c r="A3866">
        <v>12</v>
      </c>
      <c r="B3866" t="s">
        <v>66</v>
      </c>
      <c r="C3866" s="1">
        <v>44905</v>
      </c>
      <c r="D3866" t="s">
        <v>71</v>
      </c>
      <c r="E3866">
        <v>0</v>
      </c>
      <c r="F3866">
        <v>37</v>
      </c>
      <c r="G3866" t="str">
        <f t="shared" si="68"/>
        <v>21-40</v>
      </c>
      <c r="H3866" t="s">
        <v>35</v>
      </c>
      <c r="I3866" t="s">
        <v>53</v>
      </c>
      <c r="J3866" t="s">
        <v>54</v>
      </c>
      <c r="K3866" t="s">
        <v>38</v>
      </c>
      <c r="L3866">
        <v>1</v>
      </c>
      <c r="M3866">
        <v>1</v>
      </c>
      <c r="N3866">
        <v>5.7</v>
      </c>
      <c r="O3866">
        <v>9.1</v>
      </c>
      <c r="P3866">
        <v>4</v>
      </c>
      <c r="Q3866">
        <v>4</v>
      </c>
      <c r="R3866">
        <v>854534</v>
      </c>
      <c r="S3866">
        <f>Table1[[#This Row],[Revenue]]-Table1[[#This Row],[Operating_Costs]]</f>
        <v>287920</v>
      </c>
      <c r="T3866">
        <v>566614</v>
      </c>
      <c r="U3866">
        <v>53</v>
      </c>
      <c r="V3866">
        <v>59</v>
      </c>
      <c r="W3866">
        <v>36</v>
      </c>
    </row>
    <row r="3867" spans="1:23" x14ac:dyDescent="0.25">
      <c r="A3867">
        <v>12</v>
      </c>
      <c r="B3867" t="s">
        <v>66</v>
      </c>
      <c r="C3867" s="1">
        <v>45503</v>
      </c>
      <c r="D3867" t="s">
        <v>71</v>
      </c>
      <c r="E3867">
        <v>0</v>
      </c>
      <c r="F3867">
        <v>46</v>
      </c>
      <c r="G3867" t="str">
        <f t="shared" si="68"/>
        <v>41-60</v>
      </c>
      <c r="H3867" t="s">
        <v>23</v>
      </c>
      <c r="I3867" t="s">
        <v>31</v>
      </c>
      <c r="J3867" t="s">
        <v>28</v>
      </c>
      <c r="K3867" t="s">
        <v>38</v>
      </c>
      <c r="L3867">
        <v>1</v>
      </c>
      <c r="M3867">
        <v>1</v>
      </c>
      <c r="N3867">
        <v>2.6</v>
      </c>
      <c r="O3867">
        <v>7.2</v>
      </c>
      <c r="P3867">
        <v>4</v>
      </c>
      <c r="Q3867">
        <v>4</v>
      </c>
      <c r="R3867">
        <v>910975</v>
      </c>
      <c r="S3867">
        <f>Table1[[#This Row],[Revenue]]-Table1[[#This Row],[Operating_Costs]]</f>
        <v>386318</v>
      </c>
      <c r="T3867">
        <v>524657</v>
      </c>
      <c r="U3867">
        <v>51</v>
      </c>
      <c r="V3867">
        <v>60</v>
      </c>
      <c r="W3867">
        <v>7.4</v>
      </c>
    </row>
    <row r="3868" spans="1:23" x14ac:dyDescent="0.25">
      <c r="A3868">
        <v>12</v>
      </c>
      <c r="B3868" t="s">
        <v>66</v>
      </c>
      <c r="C3868" s="1">
        <v>44500</v>
      </c>
      <c r="D3868" t="s">
        <v>71</v>
      </c>
      <c r="E3868">
        <v>0</v>
      </c>
      <c r="F3868">
        <v>42</v>
      </c>
      <c r="G3868" t="str">
        <f t="shared" si="68"/>
        <v>41-60</v>
      </c>
      <c r="H3868" t="s">
        <v>35</v>
      </c>
      <c r="I3868" t="s">
        <v>40</v>
      </c>
      <c r="J3868" t="s">
        <v>41</v>
      </c>
      <c r="K3868" t="s">
        <v>26</v>
      </c>
      <c r="L3868">
        <v>1</v>
      </c>
      <c r="M3868">
        <v>1</v>
      </c>
      <c r="N3868">
        <v>6.9</v>
      </c>
      <c r="O3868">
        <v>8.5</v>
      </c>
      <c r="P3868">
        <v>7</v>
      </c>
      <c r="Q3868">
        <v>3</v>
      </c>
      <c r="R3868">
        <v>963947</v>
      </c>
      <c r="S3868">
        <f>Table1[[#This Row],[Revenue]]-Table1[[#This Row],[Operating_Costs]]</f>
        <v>427970</v>
      </c>
      <c r="T3868">
        <v>535977</v>
      </c>
      <c r="U3868">
        <v>61</v>
      </c>
      <c r="V3868">
        <v>58</v>
      </c>
      <c r="W3868">
        <v>6.3</v>
      </c>
    </row>
    <row r="3869" spans="1:23" x14ac:dyDescent="0.25">
      <c r="A3869">
        <v>12</v>
      </c>
      <c r="B3869" t="s">
        <v>66</v>
      </c>
      <c r="C3869" s="1">
        <v>44248</v>
      </c>
      <c r="D3869" t="s">
        <v>71</v>
      </c>
      <c r="E3869">
        <v>0</v>
      </c>
      <c r="F3869">
        <v>36</v>
      </c>
      <c r="G3869" t="str">
        <f t="shared" si="68"/>
        <v>21-40</v>
      </c>
      <c r="H3869" t="s">
        <v>23</v>
      </c>
      <c r="I3869" t="s">
        <v>31</v>
      </c>
      <c r="J3869" t="s">
        <v>28</v>
      </c>
      <c r="K3869" t="s">
        <v>26</v>
      </c>
      <c r="L3869">
        <v>1</v>
      </c>
      <c r="M3869">
        <v>1</v>
      </c>
      <c r="N3869">
        <v>1.9</v>
      </c>
      <c r="O3869">
        <v>7.2</v>
      </c>
      <c r="P3869">
        <v>3</v>
      </c>
      <c r="Q3869">
        <v>7</v>
      </c>
      <c r="R3869">
        <v>839842</v>
      </c>
      <c r="S3869">
        <f>Table1[[#This Row],[Revenue]]-Table1[[#This Row],[Operating_Costs]]</f>
        <v>200291</v>
      </c>
      <c r="T3869">
        <v>639551</v>
      </c>
      <c r="U3869">
        <v>78</v>
      </c>
      <c r="V3869">
        <v>56</v>
      </c>
      <c r="W3869">
        <v>9</v>
      </c>
    </row>
    <row r="3870" spans="1:23" x14ac:dyDescent="0.25">
      <c r="A3870">
        <v>12</v>
      </c>
      <c r="B3870" t="s">
        <v>66</v>
      </c>
      <c r="C3870" s="1">
        <v>45050</v>
      </c>
      <c r="D3870" t="s">
        <v>71</v>
      </c>
      <c r="E3870">
        <v>0</v>
      </c>
      <c r="F3870">
        <v>46</v>
      </c>
      <c r="G3870" t="str">
        <f t="shared" si="68"/>
        <v>41-60</v>
      </c>
      <c r="H3870" t="s">
        <v>23</v>
      </c>
      <c r="I3870" t="s">
        <v>50</v>
      </c>
      <c r="J3870" t="s">
        <v>51</v>
      </c>
      <c r="K3870" t="s">
        <v>42</v>
      </c>
      <c r="L3870">
        <v>1</v>
      </c>
      <c r="M3870">
        <v>1</v>
      </c>
      <c r="N3870">
        <v>3.1</v>
      </c>
      <c r="O3870">
        <v>9.5</v>
      </c>
      <c r="P3870">
        <v>4</v>
      </c>
      <c r="Q3870">
        <v>4</v>
      </c>
      <c r="R3870">
        <v>841755</v>
      </c>
      <c r="S3870">
        <f>Table1[[#This Row],[Revenue]]-Table1[[#This Row],[Operating_Costs]]</f>
        <v>279840</v>
      </c>
      <c r="T3870">
        <v>561915</v>
      </c>
      <c r="U3870">
        <v>73</v>
      </c>
      <c r="V3870">
        <v>66</v>
      </c>
      <c r="W3870">
        <v>10.7</v>
      </c>
    </row>
    <row r="3871" spans="1:23" x14ac:dyDescent="0.25">
      <c r="A3871">
        <v>12</v>
      </c>
      <c r="B3871" t="s">
        <v>66</v>
      </c>
      <c r="C3871" s="1">
        <v>44923</v>
      </c>
      <c r="D3871" t="s">
        <v>71</v>
      </c>
      <c r="E3871">
        <v>0</v>
      </c>
      <c r="F3871">
        <v>55</v>
      </c>
      <c r="G3871" t="str">
        <f t="shared" si="68"/>
        <v>41-60</v>
      </c>
      <c r="H3871" t="s">
        <v>23</v>
      </c>
      <c r="I3871" t="s">
        <v>24</v>
      </c>
      <c r="J3871" t="s">
        <v>25</v>
      </c>
      <c r="K3871" t="s">
        <v>42</v>
      </c>
      <c r="L3871">
        <v>1</v>
      </c>
      <c r="M3871">
        <v>1</v>
      </c>
      <c r="N3871">
        <v>5</v>
      </c>
      <c r="O3871">
        <v>8.1999999999999993</v>
      </c>
      <c r="P3871">
        <v>3</v>
      </c>
      <c r="Q3871">
        <v>6</v>
      </c>
      <c r="R3871">
        <v>838534</v>
      </c>
      <c r="S3871">
        <f>Table1[[#This Row],[Revenue]]-Table1[[#This Row],[Operating_Costs]]</f>
        <v>143200</v>
      </c>
      <c r="T3871">
        <v>695334</v>
      </c>
      <c r="U3871">
        <v>61</v>
      </c>
      <c r="V3871">
        <v>65</v>
      </c>
      <c r="W3871">
        <v>10.9</v>
      </c>
    </row>
    <row r="3872" spans="1:23" x14ac:dyDescent="0.25">
      <c r="A3872">
        <v>12</v>
      </c>
      <c r="B3872" t="s">
        <v>66</v>
      </c>
      <c r="C3872" s="1">
        <v>44763</v>
      </c>
      <c r="D3872" t="s">
        <v>71</v>
      </c>
      <c r="E3872">
        <v>0</v>
      </c>
      <c r="F3872">
        <v>25</v>
      </c>
      <c r="G3872" t="str">
        <f t="shared" si="68"/>
        <v>21-40</v>
      </c>
      <c r="H3872" t="s">
        <v>23</v>
      </c>
      <c r="I3872" t="s">
        <v>55</v>
      </c>
      <c r="J3872" t="s">
        <v>56</v>
      </c>
      <c r="K3872" t="s">
        <v>26</v>
      </c>
      <c r="L3872">
        <v>1</v>
      </c>
      <c r="M3872">
        <v>1</v>
      </c>
      <c r="N3872">
        <v>4.9000000000000004</v>
      </c>
      <c r="O3872">
        <v>9.1</v>
      </c>
      <c r="P3872">
        <v>6</v>
      </c>
      <c r="Q3872">
        <v>3</v>
      </c>
      <c r="R3872">
        <v>877464</v>
      </c>
      <c r="S3872">
        <f>Table1[[#This Row],[Revenue]]-Table1[[#This Row],[Operating_Costs]]</f>
        <v>300149</v>
      </c>
      <c r="T3872">
        <v>577315</v>
      </c>
      <c r="U3872">
        <v>77</v>
      </c>
      <c r="V3872">
        <v>59</v>
      </c>
      <c r="W3872">
        <v>6.3</v>
      </c>
    </row>
    <row r="3873" spans="1:23" x14ac:dyDescent="0.25">
      <c r="A3873">
        <v>12</v>
      </c>
      <c r="B3873" t="s">
        <v>66</v>
      </c>
      <c r="C3873" s="1">
        <v>44312</v>
      </c>
      <c r="D3873" t="s">
        <v>71</v>
      </c>
      <c r="E3873">
        <v>0</v>
      </c>
      <c r="F3873">
        <v>52</v>
      </c>
      <c r="G3873" t="str">
        <f t="shared" si="68"/>
        <v>41-60</v>
      </c>
      <c r="H3873" t="s">
        <v>35</v>
      </c>
      <c r="I3873" t="s">
        <v>36</v>
      </c>
      <c r="J3873" t="s">
        <v>37</v>
      </c>
      <c r="K3873" t="s">
        <v>38</v>
      </c>
      <c r="L3873">
        <v>1</v>
      </c>
      <c r="M3873">
        <v>1</v>
      </c>
      <c r="N3873">
        <v>6.5</v>
      </c>
      <c r="O3873">
        <v>9.1</v>
      </c>
      <c r="P3873">
        <v>3</v>
      </c>
      <c r="Q3873">
        <v>5</v>
      </c>
      <c r="R3873">
        <v>955521</v>
      </c>
      <c r="S3873">
        <f>Table1[[#This Row],[Revenue]]-Table1[[#This Row],[Operating_Costs]]</f>
        <v>295703</v>
      </c>
      <c r="T3873">
        <v>659818</v>
      </c>
      <c r="U3873">
        <v>76</v>
      </c>
      <c r="V3873">
        <v>56</v>
      </c>
      <c r="W3873">
        <v>9.4</v>
      </c>
    </row>
    <row r="3874" spans="1:23" x14ac:dyDescent="0.25">
      <c r="A3874">
        <v>12</v>
      </c>
      <c r="B3874" t="s">
        <v>66</v>
      </c>
      <c r="C3874" s="1">
        <v>44915</v>
      </c>
      <c r="D3874" t="s">
        <v>71</v>
      </c>
      <c r="E3874">
        <v>0</v>
      </c>
      <c r="F3874">
        <v>30</v>
      </c>
      <c r="G3874" t="str">
        <f t="shared" si="68"/>
        <v>21-40</v>
      </c>
      <c r="H3874" t="s">
        <v>23</v>
      </c>
      <c r="I3874" t="s">
        <v>40</v>
      </c>
      <c r="J3874" t="s">
        <v>41</v>
      </c>
      <c r="K3874" t="s">
        <v>33</v>
      </c>
      <c r="L3874">
        <v>1</v>
      </c>
      <c r="M3874">
        <v>1</v>
      </c>
      <c r="N3874">
        <v>3.3</v>
      </c>
      <c r="O3874">
        <v>8.3000000000000007</v>
      </c>
      <c r="P3874">
        <v>4</v>
      </c>
      <c r="Q3874">
        <v>7</v>
      </c>
      <c r="R3874">
        <v>859792</v>
      </c>
      <c r="S3874">
        <f>Table1[[#This Row],[Revenue]]-Table1[[#This Row],[Operating_Costs]]</f>
        <v>239735</v>
      </c>
      <c r="T3874">
        <v>620057</v>
      </c>
      <c r="U3874">
        <v>70</v>
      </c>
      <c r="V3874">
        <v>55</v>
      </c>
      <c r="W3874">
        <v>12.9</v>
      </c>
    </row>
    <row r="3875" spans="1:23" x14ac:dyDescent="0.25">
      <c r="A3875">
        <v>12</v>
      </c>
      <c r="B3875" t="s">
        <v>66</v>
      </c>
      <c r="C3875" s="1">
        <v>44431</v>
      </c>
      <c r="D3875" t="s">
        <v>71</v>
      </c>
      <c r="E3875">
        <v>0</v>
      </c>
      <c r="F3875">
        <v>74</v>
      </c>
      <c r="G3875" t="str">
        <f t="shared" si="68"/>
        <v>61-80</v>
      </c>
      <c r="H3875" t="s">
        <v>23</v>
      </c>
      <c r="I3875" t="s">
        <v>50</v>
      </c>
      <c r="J3875" t="s">
        <v>51</v>
      </c>
      <c r="K3875" t="s">
        <v>26</v>
      </c>
      <c r="L3875">
        <v>1</v>
      </c>
      <c r="M3875">
        <v>1</v>
      </c>
      <c r="N3875">
        <v>6.1</v>
      </c>
      <c r="O3875">
        <v>9.8000000000000007</v>
      </c>
      <c r="P3875">
        <v>4</v>
      </c>
      <c r="Q3875">
        <v>7</v>
      </c>
      <c r="R3875">
        <v>872750</v>
      </c>
      <c r="S3875">
        <f>Table1[[#This Row],[Revenue]]-Table1[[#This Row],[Operating_Costs]]</f>
        <v>355009</v>
      </c>
      <c r="T3875">
        <v>517741</v>
      </c>
      <c r="U3875">
        <v>68</v>
      </c>
      <c r="V3875">
        <v>64</v>
      </c>
      <c r="W3875">
        <v>9.5</v>
      </c>
    </row>
    <row r="3876" spans="1:23" x14ac:dyDescent="0.25">
      <c r="A3876">
        <v>12</v>
      </c>
      <c r="B3876" t="s">
        <v>66</v>
      </c>
      <c r="C3876" s="1">
        <v>44496</v>
      </c>
      <c r="D3876" t="s">
        <v>71</v>
      </c>
      <c r="E3876">
        <v>0</v>
      </c>
      <c r="F3876">
        <v>42</v>
      </c>
      <c r="G3876" t="str">
        <f t="shared" si="68"/>
        <v>41-60</v>
      </c>
      <c r="H3876" t="s">
        <v>23</v>
      </c>
      <c r="I3876" t="s">
        <v>43</v>
      </c>
      <c r="J3876" t="s">
        <v>25</v>
      </c>
      <c r="K3876" t="s">
        <v>42</v>
      </c>
      <c r="L3876">
        <v>1</v>
      </c>
      <c r="M3876">
        <v>1</v>
      </c>
      <c r="N3876">
        <v>5</v>
      </c>
      <c r="O3876">
        <v>7.7</v>
      </c>
      <c r="P3876">
        <v>4</v>
      </c>
      <c r="Q3876">
        <v>4</v>
      </c>
      <c r="R3876">
        <v>947533</v>
      </c>
      <c r="S3876">
        <f>Table1[[#This Row],[Revenue]]-Table1[[#This Row],[Operating_Costs]]</f>
        <v>300165</v>
      </c>
      <c r="T3876">
        <v>647368</v>
      </c>
      <c r="U3876">
        <v>55</v>
      </c>
      <c r="V3876">
        <v>66</v>
      </c>
      <c r="W3876">
        <v>14.7</v>
      </c>
    </row>
    <row r="3877" spans="1:23" x14ac:dyDescent="0.25">
      <c r="A3877">
        <v>12</v>
      </c>
      <c r="B3877" t="s">
        <v>66</v>
      </c>
      <c r="C3877" s="1">
        <v>45161</v>
      </c>
      <c r="D3877" t="s">
        <v>71</v>
      </c>
      <c r="E3877">
        <v>0</v>
      </c>
      <c r="F3877">
        <v>78</v>
      </c>
      <c r="G3877" t="str">
        <f t="shared" si="68"/>
        <v>61-80</v>
      </c>
      <c r="H3877" t="s">
        <v>35</v>
      </c>
      <c r="I3877" t="s">
        <v>46</v>
      </c>
      <c r="J3877" t="s">
        <v>47</v>
      </c>
      <c r="K3877" t="s">
        <v>26</v>
      </c>
      <c r="L3877">
        <v>1</v>
      </c>
      <c r="M3877">
        <v>1</v>
      </c>
      <c r="N3877">
        <v>5.2</v>
      </c>
      <c r="O3877">
        <v>7.2</v>
      </c>
      <c r="P3877">
        <v>5</v>
      </c>
      <c r="Q3877">
        <v>3</v>
      </c>
      <c r="R3877">
        <v>862577</v>
      </c>
      <c r="S3877">
        <f>Table1[[#This Row],[Revenue]]-Table1[[#This Row],[Operating_Costs]]</f>
        <v>279270</v>
      </c>
      <c r="T3877">
        <v>583307</v>
      </c>
      <c r="U3877">
        <v>73</v>
      </c>
      <c r="V3877">
        <v>56</v>
      </c>
      <c r="W3877">
        <v>9.1999999999999993</v>
      </c>
    </row>
    <row r="3878" spans="1:23" x14ac:dyDescent="0.25">
      <c r="A3878">
        <v>12</v>
      </c>
      <c r="B3878" t="s">
        <v>66</v>
      </c>
      <c r="C3878" s="1">
        <v>45149</v>
      </c>
      <c r="D3878" t="s">
        <v>71</v>
      </c>
      <c r="E3878">
        <v>0</v>
      </c>
      <c r="F3878">
        <v>88</v>
      </c>
      <c r="G3878" t="str">
        <f t="shared" si="68"/>
        <v>81+</v>
      </c>
      <c r="H3878" t="s">
        <v>35</v>
      </c>
      <c r="I3878" t="s">
        <v>36</v>
      </c>
      <c r="J3878" t="s">
        <v>37</v>
      </c>
      <c r="K3878" t="s">
        <v>29</v>
      </c>
      <c r="L3878">
        <v>1</v>
      </c>
      <c r="M3878">
        <v>1</v>
      </c>
      <c r="N3878">
        <v>2.7</v>
      </c>
      <c r="O3878">
        <v>9.1999999999999993</v>
      </c>
      <c r="P3878">
        <v>3</v>
      </c>
      <c r="Q3878">
        <v>3</v>
      </c>
      <c r="R3878">
        <v>891208</v>
      </c>
      <c r="S3878">
        <f>Table1[[#This Row],[Revenue]]-Table1[[#This Row],[Operating_Costs]]</f>
        <v>352296</v>
      </c>
      <c r="T3878">
        <v>538912</v>
      </c>
      <c r="U3878">
        <v>68</v>
      </c>
      <c r="V3878">
        <v>54</v>
      </c>
      <c r="W3878">
        <v>10.9</v>
      </c>
    </row>
    <row r="3879" spans="1:23" x14ac:dyDescent="0.25">
      <c r="A3879">
        <v>12</v>
      </c>
      <c r="B3879" t="s">
        <v>66</v>
      </c>
      <c r="C3879" s="1">
        <v>44929</v>
      </c>
      <c r="D3879" t="s">
        <v>71</v>
      </c>
      <c r="E3879">
        <v>0</v>
      </c>
      <c r="F3879">
        <v>28</v>
      </c>
      <c r="G3879" t="str">
        <f t="shared" si="68"/>
        <v>21-40</v>
      </c>
      <c r="H3879" t="s">
        <v>23</v>
      </c>
      <c r="I3879" t="s">
        <v>24</v>
      </c>
      <c r="J3879" t="s">
        <v>25</v>
      </c>
      <c r="K3879" t="s">
        <v>38</v>
      </c>
      <c r="L3879">
        <v>1</v>
      </c>
      <c r="M3879">
        <v>1</v>
      </c>
      <c r="N3879">
        <v>3.3</v>
      </c>
      <c r="O3879">
        <v>9.3000000000000007</v>
      </c>
      <c r="P3879">
        <v>4</v>
      </c>
      <c r="Q3879">
        <v>4</v>
      </c>
      <c r="R3879">
        <v>817616</v>
      </c>
      <c r="S3879">
        <f>Table1[[#This Row],[Revenue]]-Table1[[#This Row],[Operating_Costs]]</f>
        <v>187746</v>
      </c>
      <c r="T3879">
        <v>629870</v>
      </c>
      <c r="U3879">
        <v>51</v>
      </c>
      <c r="V3879">
        <v>66</v>
      </c>
      <c r="W3879">
        <v>9.1999999999999993</v>
      </c>
    </row>
    <row r="3880" spans="1:23" x14ac:dyDescent="0.25">
      <c r="A3880">
        <v>12</v>
      </c>
      <c r="B3880" t="s">
        <v>66</v>
      </c>
      <c r="C3880" s="1">
        <v>45431</v>
      </c>
      <c r="D3880" t="s">
        <v>71</v>
      </c>
      <c r="E3880">
        <v>0</v>
      </c>
      <c r="F3880">
        <v>25</v>
      </c>
      <c r="G3880" t="str">
        <f t="shared" si="68"/>
        <v>21-40</v>
      </c>
      <c r="H3880" t="s">
        <v>23</v>
      </c>
      <c r="I3880" t="s">
        <v>43</v>
      </c>
      <c r="J3880" t="s">
        <v>25</v>
      </c>
      <c r="K3880" t="s">
        <v>29</v>
      </c>
      <c r="L3880">
        <v>1</v>
      </c>
      <c r="M3880">
        <v>1</v>
      </c>
      <c r="N3880">
        <v>5.3</v>
      </c>
      <c r="O3880">
        <v>9.4</v>
      </c>
      <c r="P3880">
        <v>4</v>
      </c>
      <c r="Q3880">
        <v>7</v>
      </c>
      <c r="R3880">
        <v>961741</v>
      </c>
      <c r="S3880">
        <f>Table1[[#This Row],[Revenue]]-Table1[[#This Row],[Operating_Costs]]</f>
        <v>330967</v>
      </c>
      <c r="T3880">
        <v>630774</v>
      </c>
      <c r="U3880">
        <v>51</v>
      </c>
      <c r="V3880">
        <v>63</v>
      </c>
      <c r="W3880">
        <v>13.7</v>
      </c>
    </row>
    <row r="3881" spans="1:23" x14ac:dyDescent="0.25">
      <c r="A3881">
        <v>12</v>
      </c>
      <c r="B3881" t="s">
        <v>66</v>
      </c>
      <c r="C3881" s="1">
        <v>44707</v>
      </c>
      <c r="D3881" t="s">
        <v>71</v>
      </c>
      <c r="E3881">
        <v>0</v>
      </c>
      <c r="F3881">
        <v>22</v>
      </c>
      <c r="G3881" t="str">
        <f t="shared" si="68"/>
        <v>21-40</v>
      </c>
      <c r="H3881" t="s">
        <v>23</v>
      </c>
      <c r="I3881" t="s">
        <v>43</v>
      </c>
      <c r="J3881" t="s">
        <v>25</v>
      </c>
      <c r="K3881" t="s">
        <v>42</v>
      </c>
      <c r="L3881">
        <v>1</v>
      </c>
      <c r="M3881">
        <v>1</v>
      </c>
      <c r="N3881">
        <v>7</v>
      </c>
      <c r="O3881">
        <v>8.8000000000000007</v>
      </c>
      <c r="P3881">
        <v>6</v>
      </c>
      <c r="Q3881">
        <v>7</v>
      </c>
      <c r="R3881">
        <v>900363</v>
      </c>
      <c r="S3881">
        <f>Table1[[#This Row],[Revenue]]-Table1[[#This Row],[Operating_Costs]]</f>
        <v>331380</v>
      </c>
      <c r="T3881">
        <v>568983</v>
      </c>
      <c r="U3881">
        <v>65</v>
      </c>
      <c r="V3881">
        <v>63</v>
      </c>
      <c r="W3881">
        <v>5.0999999999999996</v>
      </c>
    </row>
    <row r="3882" spans="1:23" x14ac:dyDescent="0.25">
      <c r="A3882">
        <v>12</v>
      </c>
      <c r="B3882" t="s">
        <v>66</v>
      </c>
      <c r="C3882" s="1">
        <v>45557</v>
      </c>
      <c r="D3882" t="s">
        <v>71</v>
      </c>
      <c r="E3882">
        <v>0</v>
      </c>
      <c r="F3882">
        <v>24</v>
      </c>
      <c r="G3882" t="str">
        <f t="shared" si="68"/>
        <v>21-40</v>
      </c>
      <c r="H3882" t="s">
        <v>23</v>
      </c>
      <c r="I3882" t="s">
        <v>67</v>
      </c>
      <c r="J3882" t="s">
        <v>68</v>
      </c>
      <c r="K3882" t="s">
        <v>29</v>
      </c>
      <c r="L3882">
        <v>1</v>
      </c>
      <c r="M3882">
        <v>1</v>
      </c>
      <c r="N3882">
        <v>1.5</v>
      </c>
      <c r="O3882">
        <v>8.6</v>
      </c>
      <c r="P3882">
        <v>6</v>
      </c>
      <c r="Q3882">
        <v>4</v>
      </c>
      <c r="R3882">
        <v>879122</v>
      </c>
      <c r="S3882">
        <f>Table1[[#This Row],[Revenue]]-Table1[[#This Row],[Operating_Costs]]</f>
        <v>236983</v>
      </c>
      <c r="T3882">
        <v>642139</v>
      </c>
      <c r="U3882">
        <v>77</v>
      </c>
      <c r="V3882">
        <v>60</v>
      </c>
      <c r="W3882">
        <v>14.4</v>
      </c>
    </row>
    <row r="3883" spans="1:23" x14ac:dyDescent="0.25">
      <c r="A3883">
        <v>12</v>
      </c>
      <c r="B3883" t="s">
        <v>66</v>
      </c>
      <c r="C3883" s="1">
        <v>44750</v>
      </c>
      <c r="D3883" t="s">
        <v>71</v>
      </c>
      <c r="E3883">
        <v>0</v>
      </c>
      <c r="F3883">
        <v>84</v>
      </c>
      <c r="G3883" t="str">
        <f t="shared" si="68"/>
        <v>81+</v>
      </c>
      <c r="H3883" t="s">
        <v>35</v>
      </c>
      <c r="I3883" t="s">
        <v>61</v>
      </c>
      <c r="J3883" t="s">
        <v>62</v>
      </c>
      <c r="K3883" t="s">
        <v>33</v>
      </c>
      <c r="L3883">
        <v>1</v>
      </c>
      <c r="M3883">
        <v>1</v>
      </c>
      <c r="N3883">
        <v>6.1</v>
      </c>
      <c r="O3883">
        <v>8.1999999999999993</v>
      </c>
      <c r="P3883">
        <v>6</v>
      </c>
      <c r="Q3883">
        <v>6</v>
      </c>
      <c r="R3883">
        <v>899217</v>
      </c>
      <c r="S3883">
        <f>Table1[[#This Row],[Revenue]]-Table1[[#This Row],[Operating_Costs]]</f>
        <v>219060</v>
      </c>
      <c r="T3883">
        <v>680157</v>
      </c>
      <c r="U3883">
        <v>65</v>
      </c>
      <c r="V3883">
        <v>59</v>
      </c>
      <c r="W3883">
        <v>14.2</v>
      </c>
    </row>
    <row r="3884" spans="1:23" x14ac:dyDescent="0.25">
      <c r="A3884">
        <v>12</v>
      </c>
      <c r="B3884" t="s">
        <v>66</v>
      </c>
      <c r="C3884" s="1">
        <v>45178</v>
      </c>
      <c r="D3884" t="s">
        <v>71</v>
      </c>
      <c r="E3884">
        <v>0</v>
      </c>
      <c r="F3884">
        <v>68</v>
      </c>
      <c r="G3884" t="str">
        <f t="shared" si="68"/>
        <v>61-80</v>
      </c>
      <c r="H3884" t="s">
        <v>23</v>
      </c>
      <c r="I3884" t="s">
        <v>50</v>
      </c>
      <c r="J3884" t="s">
        <v>51</v>
      </c>
      <c r="K3884" t="s">
        <v>29</v>
      </c>
      <c r="L3884">
        <v>1</v>
      </c>
      <c r="M3884">
        <v>1</v>
      </c>
      <c r="N3884">
        <v>5.0999999999999996</v>
      </c>
      <c r="O3884">
        <v>8.3000000000000007</v>
      </c>
      <c r="P3884">
        <v>4</v>
      </c>
      <c r="Q3884">
        <v>6</v>
      </c>
      <c r="R3884">
        <v>989718</v>
      </c>
      <c r="S3884">
        <f>Table1[[#This Row],[Revenue]]-Table1[[#This Row],[Operating_Costs]]</f>
        <v>453701</v>
      </c>
      <c r="T3884">
        <v>536017</v>
      </c>
      <c r="U3884">
        <v>65</v>
      </c>
      <c r="V3884">
        <v>65</v>
      </c>
      <c r="W3884">
        <v>15</v>
      </c>
    </row>
    <row r="3885" spans="1:23" x14ac:dyDescent="0.25">
      <c r="A3885">
        <v>12</v>
      </c>
      <c r="B3885" t="s">
        <v>66</v>
      </c>
      <c r="C3885" s="1">
        <v>45260</v>
      </c>
      <c r="D3885" t="s">
        <v>71</v>
      </c>
      <c r="E3885">
        <v>0</v>
      </c>
      <c r="F3885">
        <v>30</v>
      </c>
      <c r="G3885" t="str">
        <f t="shared" si="68"/>
        <v>21-40</v>
      </c>
      <c r="H3885" t="s">
        <v>23</v>
      </c>
      <c r="I3885" t="s">
        <v>31</v>
      </c>
      <c r="J3885" t="s">
        <v>28</v>
      </c>
      <c r="K3885" t="s">
        <v>29</v>
      </c>
      <c r="L3885">
        <v>1</v>
      </c>
      <c r="M3885">
        <v>1</v>
      </c>
      <c r="N3885">
        <v>4.0999999999999996</v>
      </c>
      <c r="O3885">
        <v>8.1999999999999993</v>
      </c>
      <c r="P3885">
        <v>6</v>
      </c>
      <c r="Q3885">
        <v>7</v>
      </c>
      <c r="R3885">
        <v>936362</v>
      </c>
      <c r="S3885">
        <f>Table1[[#This Row],[Revenue]]-Table1[[#This Row],[Operating_Costs]]</f>
        <v>423296</v>
      </c>
      <c r="T3885">
        <v>513066</v>
      </c>
      <c r="U3885">
        <v>53</v>
      </c>
      <c r="V3885">
        <v>63</v>
      </c>
      <c r="W3885">
        <v>7.7</v>
      </c>
    </row>
    <row r="3886" spans="1:23" x14ac:dyDescent="0.25">
      <c r="A3886">
        <v>12</v>
      </c>
      <c r="B3886" t="s">
        <v>66</v>
      </c>
      <c r="C3886" s="1">
        <v>44899</v>
      </c>
      <c r="D3886" t="s">
        <v>71</v>
      </c>
      <c r="E3886">
        <v>0</v>
      </c>
      <c r="F3886">
        <v>27</v>
      </c>
      <c r="G3886" t="str">
        <f t="shared" si="68"/>
        <v>21-40</v>
      </c>
      <c r="H3886" t="s">
        <v>23</v>
      </c>
      <c r="I3886" t="s">
        <v>64</v>
      </c>
      <c r="J3886" t="s">
        <v>65</v>
      </c>
      <c r="K3886" t="s">
        <v>26</v>
      </c>
      <c r="L3886">
        <v>1</v>
      </c>
      <c r="M3886">
        <v>1</v>
      </c>
      <c r="N3886">
        <v>2.5</v>
      </c>
      <c r="O3886">
        <v>8.9</v>
      </c>
      <c r="P3886">
        <v>5</v>
      </c>
      <c r="Q3886">
        <v>7</v>
      </c>
      <c r="R3886">
        <v>806612</v>
      </c>
      <c r="S3886">
        <f>Table1[[#This Row],[Revenue]]-Table1[[#This Row],[Operating_Costs]]</f>
        <v>198442</v>
      </c>
      <c r="T3886">
        <v>608170</v>
      </c>
      <c r="U3886">
        <v>56</v>
      </c>
      <c r="V3886">
        <v>55</v>
      </c>
      <c r="W3886">
        <v>36.700000000000003</v>
      </c>
    </row>
    <row r="3887" spans="1:23" x14ac:dyDescent="0.25">
      <c r="A3887">
        <v>12</v>
      </c>
      <c r="B3887" t="s">
        <v>66</v>
      </c>
      <c r="C3887" s="1">
        <v>44563</v>
      </c>
      <c r="D3887" t="s">
        <v>71</v>
      </c>
      <c r="E3887">
        <v>0</v>
      </c>
      <c r="F3887">
        <v>82</v>
      </c>
      <c r="G3887" t="str">
        <f t="shared" si="68"/>
        <v>81+</v>
      </c>
      <c r="H3887" t="s">
        <v>35</v>
      </c>
      <c r="I3887" t="s">
        <v>40</v>
      </c>
      <c r="J3887" t="s">
        <v>41</v>
      </c>
      <c r="K3887" t="s">
        <v>38</v>
      </c>
      <c r="L3887">
        <v>1</v>
      </c>
      <c r="M3887">
        <v>1</v>
      </c>
      <c r="N3887">
        <v>1.6</v>
      </c>
      <c r="O3887">
        <v>7.6</v>
      </c>
      <c r="P3887">
        <v>3</v>
      </c>
      <c r="Q3887">
        <v>3</v>
      </c>
      <c r="R3887">
        <v>951263</v>
      </c>
      <c r="S3887">
        <f>Table1[[#This Row],[Revenue]]-Table1[[#This Row],[Operating_Costs]]</f>
        <v>322938</v>
      </c>
      <c r="T3887">
        <v>628325</v>
      </c>
      <c r="U3887">
        <v>79</v>
      </c>
      <c r="V3887">
        <v>65</v>
      </c>
      <c r="W3887">
        <v>8.6</v>
      </c>
    </row>
    <row r="3888" spans="1:23" x14ac:dyDescent="0.25">
      <c r="A3888">
        <v>12</v>
      </c>
      <c r="B3888" t="s">
        <v>66</v>
      </c>
      <c r="C3888" s="1">
        <v>44820</v>
      </c>
      <c r="D3888" t="s">
        <v>71</v>
      </c>
      <c r="E3888">
        <v>0</v>
      </c>
      <c r="F3888">
        <v>71</v>
      </c>
      <c r="G3888" t="str">
        <f t="shared" si="68"/>
        <v>61-80</v>
      </c>
      <c r="H3888" t="s">
        <v>35</v>
      </c>
      <c r="I3888" t="s">
        <v>46</v>
      </c>
      <c r="J3888" t="s">
        <v>47</v>
      </c>
      <c r="K3888" t="s">
        <v>29</v>
      </c>
      <c r="L3888">
        <v>1</v>
      </c>
      <c r="M3888">
        <v>1</v>
      </c>
      <c r="N3888">
        <v>4.8</v>
      </c>
      <c r="O3888">
        <v>8.4</v>
      </c>
      <c r="P3888">
        <v>4</v>
      </c>
      <c r="Q3888">
        <v>5</v>
      </c>
      <c r="R3888">
        <v>881874</v>
      </c>
      <c r="S3888">
        <f>Table1[[#This Row],[Revenue]]-Table1[[#This Row],[Operating_Costs]]</f>
        <v>241014</v>
      </c>
      <c r="T3888">
        <v>640860</v>
      </c>
      <c r="U3888">
        <v>77</v>
      </c>
      <c r="V3888">
        <v>65</v>
      </c>
      <c r="W3888">
        <v>36.6</v>
      </c>
    </row>
    <row r="3889" spans="1:23" x14ac:dyDescent="0.25">
      <c r="A3889">
        <v>12</v>
      </c>
      <c r="B3889" t="s">
        <v>66</v>
      </c>
      <c r="C3889" s="1">
        <v>45220</v>
      </c>
      <c r="D3889" t="s">
        <v>71</v>
      </c>
      <c r="E3889">
        <v>0</v>
      </c>
      <c r="F3889">
        <v>38</v>
      </c>
      <c r="G3889" t="str">
        <f t="shared" si="68"/>
        <v>21-40</v>
      </c>
      <c r="H3889" t="s">
        <v>23</v>
      </c>
      <c r="I3889" t="s">
        <v>24</v>
      </c>
      <c r="J3889" t="s">
        <v>25</v>
      </c>
      <c r="K3889" t="s">
        <v>38</v>
      </c>
      <c r="L3889">
        <v>1</v>
      </c>
      <c r="M3889">
        <v>1</v>
      </c>
      <c r="N3889">
        <v>5.7</v>
      </c>
      <c r="O3889">
        <v>7.4</v>
      </c>
      <c r="P3889">
        <v>3</v>
      </c>
      <c r="Q3889">
        <v>4</v>
      </c>
      <c r="R3889">
        <v>837894</v>
      </c>
      <c r="S3889">
        <f>Table1[[#This Row],[Revenue]]-Table1[[#This Row],[Operating_Costs]]</f>
        <v>191686</v>
      </c>
      <c r="T3889">
        <v>646208</v>
      </c>
      <c r="U3889">
        <v>55</v>
      </c>
      <c r="V3889">
        <v>57</v>
      </c>
      <c r="W3889">
        <v>12.1</v>
      </c>
    </row>
    <row r="3890" spans="1:23" x14ac:dyDescent="0.25">
      <c r="A3890">
        <v>12</v>
      </c>
      <c r="B3890" t="s">
        <v>66</v>
      </c>
      <c r="C3890" s="1">
        <v>45389</v>
      </c>
      <c r="D3890" t="s">
        <v>71</v>
      </c>
      <c r="E3890">
        <v>0</v>
      </c>
      <c r="F3890">
        <v>49</v>
      </c>
      <c r="G3890" t="str">
        <f t="shared" si="68"/>
        <v>41-60</v>
      </c>
      <c r="H3890" t="s">
        <v>23</v>
      </c>
      <c r="I3890" t="s">
        <v>61</v>
      </c>
      <c r="J3890" t="s">
        <v>62</v>
      </c>
      <c r="K3890" t="s">
        <v>26</v>
      </c>
      <c r="L3890">
        <v>1</v>
      </c>
      <c r="M3890">
        <v>1</v>
      </c>
      <c r="N3890">
        <v>6.6</v>
      </c>
      <c r="O3890">
        <v>8.6999999999999993</v>
      </c>
      <c r="P3890">
        <v>7</v>
      </c>
      <c r="Q3890">
        <v>3</v>
      </c>
      <c r="R3890">
        <v>899256</v>
      </c>
      <c r="S3890">
        <f>Table1[[#This Row],[Revenue]]-Table1[[#This Row],[Operating_Costs]]</f>
        <v>249821</v>
      </c>
      <c r="T3890">
        <v>649435</v>
      </c>
      <c r="U3890">
        <v>70</v>
      </c>
      <c r="V3890">
        <v>62</v>
      </c>
      <c r="W3890">
        <v>10</v>
      </c>
    </row>
    <row r="3891" spans="1:23" x14ac:dyDescent="0.25">
      <c r="A3891">
        <v>12</v>
      </c>
      <c r="B3891" t="s">
        <v>66</v>
      </c>
      <c r="C3891" s="1">
        <v>44642</v>
      </c>
      <c r="D3891" t="s">
        <v>71</v>
      </c>
      <c r="E3891">
        <v>0</v>
      </c>
      <c r="F3891">
        <v>44</v>
      </c>
      <c r="G3891" t="str">
        <f t="shared" si="68"/>
        <v>41-60</v>
      </c>
      <c r="H3891" t="s">
        <v>23</v>
      </c>
      <c r="I3891" t="s">
        <v>43</v>
      </c>
      <c r="J3891" t="s">
        <v>25</v>
      </c>
      <c r="K3891" t="s">
        <v>26</v>
      </c>
      <c r="L3891">
        <v>1</v>
      </c>
      <c r="M3891">
        <v>1</v>
      </c>
      <c r="N3891">
        <v>6.5</v>
      </c>
      <c r="O3891">
        <v>9</v>
      </c>
      <c r="P3891">
        <v>3</v>
      </c>
      <c r="Q3891">
        <v>7</v>
      </c>
      <c r="R3891">
        <v>802067</v>
      </c>
      <c r="S3891">
        <f>Table1[[#This Row],[Revenue]]-Table1[[#This Row],[Operating_Costs]]</f>
        <v>217128</v>
      </c>
      <c r="T3891">
        <v>584939</v>
      </c>
      <c r="U3891">
        <v>79</v>
      </c>
      <c r="V3891">
        <v>59</v>
      </c>
      <c r="W3891">
        <v>36.700000000000003</v>
      </c>
    </row>
    <row r="3892" spans="1:23" x14ac:dyDescent="0.25">
      <c r="A3892">
        <v>12</v>
      </c>
      <c r="B3892" t="s">
        <v>66</v>
      </c>
      <c r="C3892" s="1">
        <v>45353</v>
      </c>
      <c r="D3892" t="s">
        <v>71</v>
      </c>
      <c r="E3892">
        <v>0</v>
      </c>
      <c r="F3892">
        <v>59</v>
      </c>
      <c r="G3892" t="str">
        <f t="shared" si="68"/>
        <v>41-60</v>
      </c>
      <c r="H3892" t="s">
        <v>23</v>
      </c>
      <c r="I3892" t="s">
        <v>55</v>
      </c>
      <c r="J3892" t="s">
        <v>56</v>
      </c>
      <c r="K3892" t="s">
        <v>38</v>
      </c>
      <c r="L3892">
        <v>1</v>
      </c>
      <c r="M3892">
        <v>1</v>
      </c>
      <c r="N3892">
        <v>1.4</v>
      </c>
      <c r="O3892">
        <v>7.9</v>
      </c>
      <c r="P3892">
        <v>5</v>
      </c>
      <c r="Q3892">
        <v>5</v>
      </c>
      <c r="R3892">
        <v>816949</v>
      </c>
      <c r="S3892">
        <f>Table1[[#This Row],[Revenue]]-Table1[[#This Row],[Operating_Costs]]</f>
        <v>207166</v>
      </c>
      <c r="T3892">
        <v>609783</v>
      </c>
      <c r="U3892">
        <v>53</v>
      </c>
      <c r="V3892">
        <v>57</v>
      </c>
      <c r="W3892">
        <v>14.3</v>
      </c>
    </row>
    <row r="3893" spans="1:23" x14ac:dyDescent="0.25">
      <c r="A3893">
        <v>12</v>
      </c>
      <c r="B3893" t="s">
        <v>66</v>
      </c>
      <c r="C3893" s="1">
        <v>45312</v>
      </c>
      <c r="D3893" t="s">
        <v>71</v>
      </c>
      <c r="E3893">
        <v>0</v>
      </c>
      <c r="F3893">
        <v>35</v>
      </c>
      <c r="G3893" t="str">
        <f t="shared" si="68"/>
        <v>21-40</v>
      </c>
      <c r="H3893" t="s">
        <v>23</v>
      </c>
      <c r="I3893" t="s">
        <v>31</v>
      </c>
      <c r="J3893" t="s">
        <v>28</v>
      </c>
      <c r="K3893" t="s">
        <v>29</v>
      </c>
      <c r="L3893">
        <v>1</v>
      </c>
      <c r="M3893">
        <v>1</v>
      </c>
      <c r="N3893">
        <v>3.1</v>
      </c>
      <c r="O3893">
        <v>8.8000000000000007</v>
      </c>
      <c r="P3893">
        <v>7</v>
      </c>
      <c r="Q3893">
        <v>5</v>
      </c>
      <c r="R3893">
        <v>996839</v>
      </c>
      <c r="S3893">
        <f>Table1[[#This Row],[Revenue]]-Table1[[#This Row],[Operating_Costs]]</f>
        <v>401799</v>
      </c>
      <c r="T3893">
        <v>595040</v>
      </c>
      <c r="U3893">
        <v>62</v>
      </c>
      <c r="V3893">
        <v>65</v>
      </c>
      <c r="W3893">
        <v>10.199999999999999</v>
      </c>
    </row>
    <row r="3894" spans="1:23" x14ac:dyDescent="0.25">
      <c r="A3894">
        <v>12</v>
      </c>
      <c r="B3894" t="s">
        <v>66</v>
      </c>
      <c r="C3894" s="1">
        <v>45459</v>
      </c>
      <c r="D3894" t="s">
        <v>71</v>
      </c>
      <c r="E3894">
        <v>0</v>
      </c>
      <c r="F3894">
        <v>59</v>
      </c>
      <c r="G3894" t="str">
        <f t="shared" si="68"/>
        <v>41-60</v>
      </c>
      <c r="H3894" t="s">
        <v>35</v>
      </c>
      <c r="I3894" t="s">
        <v>61</v>
      </c>
      <c r="J3894" t="s">
        <v>62</v>
      </c>
      <c r="K3894" t="s">
        <v>26</v>
      </c>
      <c r="L3894">
        <v>1</v>
      </c>
      <c r="M3894">
        <v>1</v>
      </c>
      <c r="N3894">
        <v>2.2000000000000002</v>
      </c>
      <c r="O3894">
        <v>9.9</v>
      </c>
      <c r="P3894">
        <v>4</v>
      </c>
      <c r="Q3894">
        <v>7</v>
      </c>
      <c r="R3894">
        <v>968389</v>
      </c>
      <c r="S3894">
        <f>Table1[[#This Row],[Revenue]]-Table1[[#This Row],[Operating_Costs]]</f>
        <v>403477</v>
      </c>
      <c r="T3894">
        <v>564912</v>
      </c>
      <c r="U3894">
        <v>65</v>
      </c>
      <c r="V3894">
        <v>59</v>
      </c>
      <c r="W3894">
        <v>6.7</v>
      </c>
    </row>
    <row r="3895" spans="1:23" x14ac:dyDescent="0.25">
      <c r="A3895">
        <v>12</v>
      </c>
      <c r="B3895" t="s">
        <v>66</v>
      </c>
      <c r="C3895" s="1">
        <v>44669</v>
      </c>
      <c r="D3895" t="s">
        <v>71</v>
      </c>
      <c r="E3895">
        <v>0</v>
      </c>
      <c r="F3895">
        <v>21</v>
      </c>
      <c r="G3895" t="str">
        <f t="shared" si="68"/>
        <v>21-40</v>
      </c>
      <c r="H3895" t="s">
        <v>35</v>
      </c>
      <c r="I3895" t="s">
        <v>31</v>
      </c>
      <c r="J3895" t="s">
        <v>28</v>
      </c>
      <c r="K3895" t="s">
        <v>38</v>
      </c>
      <c r="L3895">
        <v>1</v>
      </c>
      <c r="M3895">
        <v>1</v>
      </c>
      <c r="N3895">
        <v>1.7</v>
      </c>
      <c r="O3895">
        <v>7.1</v>
      </c>
      <c r="P3895">
        <v>7</v>
      </c>
      <c r="Q3895">
        <v>4</v>
      </c>
      <c r="R3895">
        <v>961246</v>
      </c>
      <c r="S3895">
        <f>Table1[[#This Row],[Revenue]]-Table1[[#This Row],[Operating_Costs]]</f>
        <v>446465</v>
      </c>
      <c r="T3895">
        <v>514781</v>
      </c>
      <c r="U3895">
        <v>71</v>
      </c>
      <c r="V3895">
        <v>59</v>
      </c>
      <c r="W3895">
        <v>9.6</v>
      </c>
    </row>
    <row r="3896" spans="1:23" x14ac:dyDescent="0.25">
      <c r="A3896">
        <v>12</v>
      </c>
      <c r="B3896" t="s">
        <v>66</v>
      </c>
      <c r="C3896" s="1">
        <v>45411</v>
      </c>
      <c r="D3896" t="s">
        <v>71</v>
      </c>
      <c r="E3896">
        <v>0</v>
      </c>
      <c r="F3896">
        <v>66</v>
      </c>
      <c r="G3896" t="str">
        <f t="shared" si="68"/>
        <v>61-80</v>
      </c>
      <c r="H3896" t="s">
        <v>35</v>
      </c>
      <c r="I3896" t="s">
        <v>64</v>
      </c>
      <c r="J3896" t="s">
        <v>65</v>
      </c>
      <c r="K3896" t="s">
        <v>38</v>
      </c>
      <c r="L3896">
        <v>1</v>
      </c>
      <c r="M3896">
        <v>1</v>
      </c>
      <c r="N3896">
        <v>2.6</v>
      </c>
      <c r="O3896">
        <v>9.6999999999999993</v>
      </c>
      <c r="P3896">
        <v>6</v>
      </c>
      <c r="Q3896">
        <v>6</v>
      </c>
      <c r="R3896">
        <v>958126</v>
      </c>
      <c r="S3896">
        <f>Table1[[#This Row],[Revenue]]-Table1[[#This Row],[Operating_Costs]]</f>
        <v>305322</v>
      </c>
      <c r="T3896">
        <v>652804</v>
      </c>
      <c r="U3896">
        <v>75</v>
      </c>
      <c r="V3896">
        <v>57</v>
      </c>
      <c r="W3896">
        <v>5.3</v>
      </c>
    </row>
    <row r="3897" spans="1:23" x14ac:dyDescent="0.25">
      <c r="A3897">
        <v>12</v>
      </c>
      <c r="B3897" t="s">
        <v>66</v>
      </c>
      <c r="C3897" s="1">
        <v>44789</v>
      </c>
      <c r="D3897" t="s">
        <v>71</v>
      </c>
      <c r="E3897">
        <v>0</v>
      </c>
      <c r="F3897">
        <v>87</v>
      </c>
      <c r="G3897" t="str">
        <f t="shared" si="68"/>
        <v>81+</v>
      </c>
      <c r="H3897" t="s">
        <v>35</v>
      </c>
      <c r="I3897" t="s">
        <v>46</v>
      </c>
      <c r="J3897" t="s">
        <v>47</v>
      </c>
      <c r="K3897" t="s">
        <v>38</v>
      </c>
      <c r="L3897">
        <v>1</v>
      </c>
      <c r="M3897">
        <v>1</v>
      </c>
      <c r="N3897">
        <v>2.2000000000000002</v>
      </c>
      <c r="O3897">
        <v>7.4</v>
      </c>
      <c r="P3897">
        <v>7</v>
      </c>
      <c r="Q3897">
        <v>6</v>
      </c>
      <c r="R3897">
        <v>843770</v>
      </c>
      <c r="S3897">
        <f>Table1[[#This Row],[Revenue]]-Table1[[#This Row],[Operating_Costs]]</f>
        <v>308492</v>
      </c>
      <c r="T3897">
        <v>535278</v>
      </c>
      <c r="U3897">
        <v>74</v>
      </c>
      <c r="V3897">
        <v>61</v>
      </c>
      <c r="W3897">
        <v>12.7</v>
      </c>
    </row>
    <row r="3898" spans="1:23" x14ac:dyDescent="0.25">
      <c r="A3898">
        <v>12</v>
      </c>
      <c r="B3898" t="s">
        <v>66</v>
      </c>
      <c r="C3898" s="1">
        <v>44473</v>
      </c>
      <c r="D3898" t="s">
        <v>71</v>
      </c>
      <c r="E3898">
        <v>0</v>
      </c>
      <c r="F3898">
        <v>73</v>
      </c>
      <c r="G3898" t="str">
        <f t="shared" si="68"/>
        <v>61-80</v>
      </c>
      <c r="H3898" t="s">
        <v>35</v>
      </c>
      <c r="I3898" t="s">
        <v>27</v>
      </c>
      <c r="J3898" t="s">
        <v>28</v>
      </c>
      <c r="K3898" t="s">
        <v>42</v>
      </c>
      <c r="L3898">
        <v>1</v>
      </c>
      <c r="M3898">
        <v>1</v>
      </c>
      <c r="N3898">
        <v>2.2000000000000002</v>
      </c>
      <c r="O3898">
        <v>8.3000000000000007</v>
      </c>
      <c r="P3898">
        <v>7</v>
      </c>
      <c r="Q3898">
        <v>4</v>
      </c>
      <c r="R3898">
        <v>848441</v>
      </c>
      <c r="S3898">
        <f>Table1[[#This Row],[Revenue]]-Table1[[#This Row],[Operating_Costs]]</f>
        <v>341738</v>
      </c>
      <c r="T3898">
        <v>506703</v>
      </c>
      <c r="U3898">
        <v>66</v>
      </c>
      <c r="V3898">
        <v>59</v>
      </c>
      <c r="W3898">
        <v>13.4</v>
      </c>
    </row>
    <row r="3899" spans="1:23" x14ac:dyDescent="0.25">
      <c r="A3899">
        <v>12</v>
      </c>
      <c r="B3899" t="s">
        <v>66</v>
      </c>
      <c r="C3899" s="1">
        <v>45558</v>
      </c>
      <c r="D3899" t="s">
        <v>71</v>
      </c>
      <c r="E3899">
        <v>0</v>
      </c>
      <c r="F3899">
        <v>59</v>
      </c>
      <c r="G3899" t="str">
        <f t="shared" si="68"/>
        <v>41-60</v>
      </c>
      <c r="H3899" t="s">
        <v>23</v>
      </c>
      <c r="I3899" t="s">
        <v>31</v>
      </c>
      <c r="J3899" t="s">
        <v>28</v>
      </c>
      <c r="K3899" t="s">
        <v>33</v>
      </c>
      <c r="L3899">
        <v>1</v>
      </c>
      <c r="M3899">
        <v>1</v>
      </c>
      <c r="N3899">
        <v>4.9000000000000004</v>
      </c>
      <c r="O3899">
        <v>8.6999999999999993</v>
      </c>
      <c r="P3899">
        <v>6</v>
      </c>
      <c r="Q3899">
        <v>7</v>
      </c>
      <c r="R3899">
        <v>990532</v>
      </c>
      <c r="S3899">
        <f>Table1[[#This Row],[Revenue]]-Table1[[#This Row],[Operating_Costs]]</f>
        <v>292050</v>
      </c>
      <c r="T3899">
        <v>698482</v>
      </c>
      <c r="U3899">
        <v>66</v>
      </c>
      <c r="V3899">
        <v>64</v>
      </c>
      <c r="W3899">
        <v>13.2</v>
      </c>
    </row>
    <row r="3900" spans="1:23" x14ac:dyDescent="0.25">
      <c r="A3900">
        <v>12</v>
      </c>
      <c r="B3900" t="s">
        <v>66</v>
      </c>
      <c r="C3900" s="1">
        <v>44895</v>
      </c>
      <c r="D3900" t="s">
        <v>71</v>
      </c>
      <c r="E3900">
        <v>0</v>
      </c>
      <c r="F3900">
        <v>56</v>
      </c>
      <c r="G3900" t="str">
        <f t="shared" si="68"/>
        <v>41-60</v>
      </c>
      <c r="H3900" t="s">
        <v>35</v>
      </c>
      <c r="I3900" t="s">
        <v>61</v>
      </c>
      <c r="J3900" t="s">
        <v>62</v>
      </c>
      <c r="K3900" t="s">
        <v>26</v>
      </c>
      <c r="L3900">
        <v>1</v>
      </c>
      <c r="M3900">
        <v>1</v>
      </c>
      <c r="N3900">
        <v>1.8</v>
      </c>
      <c r="O3900">
        <v>8.1999999999999993</v>
      </c>
      <c r="P3900">
        <v>5</v>
      </c>
      <c r="Q3900">
        <v>5</v>
      </c>
      <c r="R3900">
        <v>967164</v>
      </c>
      <c r="S3900">
        <f>Table1[[#This Row],[Revenue]]-Table1[[#This Row],[Operating_Costs]]</f>
        <v>307772</v>
      </c>
      <c r="T3900">
        <v>659392</v>
      </c>
      <c r="U3900">
        <v>51</v>
      </c>
      <c r="V3900">
        <v>64</v>
      </c>
      <c r="W3900">
        <v>5.7</v>
      </c>
    </row>
    <row r="3901" spans="1:23" x14ac:dyDescent="0.25">
      <c r="A3901">
        <v>12</v>
      </c>
      <c r="B3901" t="s">
        <v>66</v>
      </c>
      <c r="C3901" s="1">
        <v>45096</v>
      </c>
      <c r="D3901" t="s">
        <v>71</v>
      </c>
      <c r="E3901">
        <v>0</v>
      </c>
      <c r="F3901">
        <v>69</v>
      </c>
      <c r="G3901" t="str">
        <f t="shared" si="68"/>
        <v>61-80</v>
      </c>
      <c r="H3901" t="s">
        <v>35</v>
      </c>
      <c r="I3901" t="s">
        <v>40</v>
      </c>
      <c r="J3901" t="s">
        <v>41</v>
      </c>
      <c r="K3901" t="s">
        <v>29</v>
      </c>
      <c r="L3901">
        <v>1</v>
      </c>
      <c r="M3901">
        <v>1</v>
      </c>
      <c r="N3901">
        <v>2.9</v>
      </c>
      <c r="O3901">
        <v>9.6999999999999993</v>
      </c>
      <c r="P3901">
        <v>5</v>
      </c>
      <c r="Q3901">
        <v>5</v>
      </c>
      <c r="R3901">
        <v>903834</v>
      </c>
      <c r="S3901">
        <f>Table1[[#This Row],[Revenue]]-Table1[[#This Row],[Operating_Costs]]</f>
        <v>208784</v>
      </c>
      <c r="T3901">
        <v>695050</v>
      </c>
      <c r="U3901">
        <v>75</v>
      </c>
      <c r="V3901">
        <v>58</v>
      </c>
      <c r="W3901">
        <v>6.3</v>
      </c>
    </row>
    <row r="3902" spans="1:23" x14ac:dyDescent="0.25">
      <c r="A3902">
        <v>12</v>
      </c>
      <c r="B3902" t="s">
        <v>66</v>
      </c>
      <c r="C3902" s="1">
        <v>45203</v>
      </c>
      <c r="D3902" t="s">
        <v>71</v>
      </c>
      <c r="E3902">
        <v>0</v>
      </c>
      <c r="F3902">
        <v>40</v>
      </c>
      <c r="G3902" t="str">
        <f t="shared" si="68"/>
        <v>21-40</v>
      </c>
      <c r="H3902" t="s">
        <v>35</v>
      </c>
      <c r="I3902" t="s">
        <v>60</v>
      </c>
      <c r="J3902" t="s">
        <v>59</v>
      </c>
      <c r="K3902" t="s">
        <v>33</v>
      </c>
      <c r="L3902">
        <v>1</v>
      </c>
      <c r="M3902">
        <v>1</v>
      </c>
      <c r="N3902">
        <v>4.2</v>
      </c>
      <c r="O3902">
        <v>8.6</v>
      </c>
      <c r="P3902">
        <v>3</v>
      </c>
      <c r="Q3902">
        <v>4</v>
      </c>
      <c r="R3902">
        <v>956350</v>
      </c>
      <c r="S3902">
        <f>Table1[[#This Row],[Revenue]]-Table1[[#This Row],[Operating_Costs]]</f>
        <v>361599</v>
      </c>
      <c r="T3902">
        <v>594751</v>
      </c>
      <c r="U3902">
        <v>62</v>
      </c>
      <c r="V3902">
        <v>63</v>
      </c>
      <c r="W3902">
        <v>13.7</v>
      </c>
    </row>
    <row r="3903" spans="1:23" x14ac:dyDescent="0.25">
      <c r="A3903">
        <v>12</v>
      </c>
      <c r="B3903" t="s">
        <v>66</v>
      </c>
      <c r="C3903" s="1">
        <v>44845</v>
      </c>
      <c r="D3903" t="s">
        <v>71</v>
      </c>
      <c r="E3903">
        <v>0</v>
      </c>
      <c r="F3903">
        <v>67</v>
      </c>
      <c r="G3903" t="str">
        <f t="shared" si="68"/>
        <v>61-80</v>
      </c>
      <c r="H3903" t="s">
        <v>35</v>
      </c>
      <c r="I3903" t="s">
        <v>36</v>
      </c>
      <c r="J3903" t="s">
        <v>37</v>
      </c>
      <c r="K3903" t="s">
        <v>38</v>
      </c>
      <c r="L3903">
        <v>1</v>
      </c>
      <c r="M3903">
        <v>1</v>
      </c>
      <c r="N3903">
        <v>1.2</v>
      </c>
      <c r="O3903">
        <v>7.2</v>
      </c>
      <c r="P3903">
        <v>6</v>
      </c>
      <c r="Q3903">
        <v>5</v>
      </c>
      <c r="R3903">
        <v>953261</v>
      </c>
      <c r="S3903">
        <f>Table1[[#This Row],[Revenue]]-Table1[[#This Row],[Operating_Costs]]</f>
        <v>327477</v>
      </c>
      <c r="T3903">
        <v>625784</v>
      </c>
      <c r="U3903">
        <v>59</v>
      </c>
      <c r="V3903">
        <v>54</v>
      </c>
      <c r="W3903">
        <v>6.5</v>
      </c>
    </row>
    <row r="3904" spans="1:23" x14ac:dyDescent="0.25">
      <c r="A3904">
        <v>12</v>
      </c>
      <c r="B3904" t="s">
        <v>66</v>
      </c>
      <c r="C3904" s="1">
        <v>45274</v>
      </c>
      <c r="D3904" t="s">
        <v>71</v>
      </c>
      <c r="E3904">
        <v>0</v>
      </c>
      <c r="F3904">
        <v>58</v>
      </c>
      <c r="G3904" t="str">
        <f t="shared" si="68"/>
        <v>41-60</v>
      </c>
      <c r="H3904" t="s">
        <v>35</v>
      </c>
      <c r="I3904" t="s">
        <v>31</v>
      </c>
      <c r="J3904" t="s">
        <v>28</v>
      </c>
      <c r="K3904" t="s">
        <v>38</v>
      </c>
      <c r="L3904">
        <v>1</v>
      </c>
      <c r="M3904">
        <v>1</v>
      </c>
      <c r="N3904">
        <v>2.7</v>
      </c>
      <c r="O3904">
        <v>8.1</v>
      </c>
      <c r="P3904">
        <v>4</v>
      </c>
      <c r="Q3904">
        <v>3</v>
      </c>
      <c r="R3904">
        <v>822950</v>
      </c>
      <c r="S3904">
        <f>Table1[[#This Row],[Revenue]]-Table1[[#This Row],[Operating_Costs]]</f>
        <v>228195</v>
      </c>
      <c r="T3904">
        <v>594755</v>
      </c>
      <c r="U3904">
        <v>72</v>
      </c>
      <c r="V3904">
        <v>62</v>
      </c>
      <c r="W3904">
        <v>13.4</v>
      </c>
    </row>
    <row r="3905" spans="1:23" x14ac:dyDescent="0.25">
      <c r="A3905">
        <v>12</v>
      </c>
      <c r="B3905" t="s">
        <v>66</v>
      </c>
      <c r="C3905" s="1">
        <v>45468</v>
      </c>
      <c r="D3905" t="s">
        <v>71</v>
      </c>
      <c r="E3905">
        <v>0</v>
      </c>
      <c r="F3905">
        <v>86</v>
      </c>
      <c r="G3905" t="str">
        <f t="shared" si="68"/>
        <v>81+</v>
      </c>
      <c r="H3905" t="s">
        <v>23</v>
      </c>
      <c r="I3905" t="s">
        <v>24</v>
      </c>
      <c r="J3905" t="s">
        <v>25</v>
      </c>
      <c r="K3905" t="s">
        <v>42</v>
      </c>
      <c r="L3905">
        <v>1</v>
      </c>
      <c r="M3905">
        <v>1</v>
      </c>
      <c r="N3905">
        <v>1.8</v>
      </c>
      <c r="O3905">
        <v>8.3000000000000007</v>
      </c>
      <c r="P3905">
        <v>3</v>
      </c>
      <c r="Q3905">
        <v>4</v>
      </c>
      <c r="R3905">
        <v>862503</v>
      </c>
      <c r="S3905">
        <f>Table1[[#This Row],[Revenue]]-Table1[[#This Row],[Operating_Costs]]</f>
        <v>226778</v>
      </c>
      <c r="T3905">
        <v>635725</v>
      </c>
      <c r="U3905">
        <v>59</v>
      </c>
      <c r="V3905">
        <v>54</v>
      </c>
      <c r="W3905">
        <v>5.7</v>
      </c>
    </row>
    <row r="3906" spans="1:23" x14ac:dyDescent="0.25">
      <c r="A3906">
        <v>12</v>
      </c>
      <c r="B3906" t="s">
        <v>66</v>
      </c>
      <c r="C3906" s="1">
        <v>45530</v>
      </c>
      <c r="D3906" t="s">
        <v>71</v>
      </c>
      <c r="E3906">
        <v>0</v>
      </c>
      <c r="F3906">
        <v>71</v>
      </c>
      <c r="G3906" t="str">
        <f t="shared" si="68"/>
        <v>61-80</v>
      </c>
      <c r="H3906" t="s">
        <v>23</v>
      </c>
      <c r="I3906" t="s">
        <v>31</v>
      </c>
      <c r="J3906" t="s">
        <v>28</v>
      </c>
      <c r="K3906" t="s">
        <v>42</v>
      </c>
      <c r="L3906">
        <v>1</v>
      </c>
      <c r="M3906">
        <v>1</v>
      </c>
      <c r="N3906">
        <v>5.4</v>
      </c>
      <c r="O3906">
        <v>8.4</v>
      </c>
      <c r="P3906">
        <v>7</v>
      </c>
      <c r="Q3906">
        <v>3</v>
      </c>
      <c r="R3906">
        <v>876983</v>
      </c>
      <c r="S3906">
        <f>Table1[[#This Row],[Revenue]]-Table1[[#This Row],[Operating_Costs]]</f>
        <v>275651</v>
      </c>
      <c r="T3906">
        <v>601332</v>
      </c>
      <c r="U3906">
        <v>80</v>
      </c>
      <c r="V3906">
        <v>66</v>
      </c>
      <c r="W3906">
        <v>12.1</v>
      </c>
    </row>
    <row r="3907" spans="1:23" x14ac:dyDescent="0.25">
      <c r="A3907">
        <v>12</v>
      </c>
      <c r="B3907" t="s">
        <v>66</v>
      </c>
      <c r="C3907" s="1">
        <v>44230</v>
      </c>
      <c r="D3907" t="s">
        <v>71</v>
      </c>
      <c r="E3907">
        <v>0</v>
      </c>
      <c r="F3907">
        <v>44</v>
      </c>
      <c r="G3907" t="str">
        <f t="shared" ref="G3907:G3970" si="69">IF(F3907&lt;=20,"0-20",IF(F3907&lt;=40,"21-40",IF(F3907&lt;=60,"41-60",IF(F3907&lt;=80,"61-80","81+"))))</f>
        <v>41-60</v>
      </c>
      <c r="H3907" t="s">
        <v>23</v>
      </c>
      <c r="I3907" t="s">
        <v>55</v>
      </c>
      <c r="J3907" t="s">
        <v>56</v>
      </c>
      <c r="K3907" t="s">
        <v>42</v>
      </c>
      <c r="L3907">
        <v>1</v>
      </c>
      <c r="M3907">
        <v>1</v>
      </c>
      <c r="N3907">
        <v>6.9</v>
      </c>
      <c r="O3907">
        <v>7.4</v>
      </c>
      <c r="P3907">
        <v>6</v>
      </c>
      <c r="Q3907">
        <v>7</v>
      </c>
      <c r="R3907">
        <v>887162</v>
      </c>
      <c r="S3907">
        <f>Table1[[#This Row],[Revenue]]-Table1[[#This Row],[Operating_Costs]]</f>
        <v>339754</v>
      </c>
      <c r="T3907">
        <v>547408</v>
      </c>
      <c r="U3907">
        <v>55</v>
      </c>
      <c r="V3907">
        <v>66</v>
      </c>
      <c r="W3907">
        <v>5.5</v>
      </c>
    </row>
    <row r="3908" spans="1:23" x14ac:dyDescent="0.25">
      <c r="A3908">
        <v>12</v>
      </c>
      <c r="B3908" t="s">
        <v>66</v>
      </c>
      <c r="C3908" s="1">
        <v>45170</v>
      </c>
      <c r="D3908" t="s">
        <v>71</v>
      </c>
      <c r="E3908">
        <v>0</v>
      </c>
      <c r="F3908">
        <v>23</v>
      </c>
      <c r="G3908" t="str">
        <f t="shared" si="69"/>
        <v>21-40</v>
      </c>
      <c r="H3908" t="s">
        <v>35</v>
      </c>
      <c r="I3908" t="s">
        <v>46</v>
      </c>
      <c r="J3908" t="s">
        <v>47</v>
      </c>
      <c r="K3908" t="s">
        <v>26</v>
      </c>
      <c r="L3908">
        <v>1</v>
      </c>
      <c r="M3908">
        <v>1</v>
      </c>
      <c r="N3908">
        <v>3.7</v>
      </c>
      <c r="O3908">
        <v>7.8</v>
      </c>
      <c r="P3908">
        <v>5</v>
      </c>
      <c r="Q3908">
        <v>3</v>
      </c>
      <c r="R3908">
        <v>828691</v>
      </c>
      <c r="S3908">
        <f>Table1[[#This Row],[Revenue]]-Table1[[#This Row],[Operating_Costs]]</f>
        <v>229975</v>
      </c>
      <c r="T3908">
        <v>598716</v>
      </c>
      <c r="U3908">
        <v>63</v>
      </c>
      <c r="V3908">
        <v>64</v>
      </c>
      <c r="W3908">
        <v>6.2</v>
      </c>
    </row>
    <row r="3909" spans="1:23" x14ac:dyDescent="0.25">
      <c r="A3909">
        <v>12</v>
      </c>
      <c r="B3909" t="s">
        <v>66</v>
      </c>
      <c r="C3909" s="1">
        <v>44334</v>
      </c>
      <c r="D3909" t="s">
        <v>71</v>
      </c>
      <c r="E3909">
        <v>0</v>
      </c>
      <c r="F3909">
        <v>41</v>
      </c>
      <c r="G3909" t="str">
        <f t="shared" si="69"/>
        <v>41-60</v>
      </c>
      <c r="H3909" t="s">
        <v>35</v>
      </c>
      <c r="I3909" t="s">
        <v>36</v>
      </c>
      <c r="J3909" t="s">
        <v>37</v>
      </c>
      <c r="K3909" t="s">
        <v>33</v>
      </c>
      <c r="L3909">
        <v>1</v>
      </c>
      <c r="M3909">
        <v>1</v>
      </c>
      <c r="N3909">
        <v>6.3</v>
      </c>
      <c r="O3909">
        <v>8.1</v>
      </c>
      <c r="P3909">
        <v>6</v>
      </c>
      <c r="Q3909">
        <v>6</v>
      </c>
      <c r="R3909">
        <v>973802</v>
      </c>
      <c r="S3909">
        <f>Table1[[#This Row],[Revenue]]-Table1[[#This Row],[Operating_Costs]]</f>
        <v>436171</v>
      </c>
      <c r="T3909">
        <v>537631</v>
      </c>
      <c r="U3909">
        <v>79</v>
      </c>
      <c r="V3909">
        <v>63</v>
      </c>
      <c r="W3909">
        <v>7.6</v>
      </c>
    </row>
    <row r="3910" spans="1:23" x14ac:dyDescent="0.25">
      <c r="A3910">
        <v>12</v>
      </c>
      <c r="B3910" t="s">
        <v>66</v>
      </c>
      <c r="C3910" s="1">
        <v>44562</v>
      </c>
      <c r="D3910" t="s">
        <v>71</v>
      </c>
      <c r="E3910">
        <v>0</v>
      </c>
      <c r="F3910">
        <v>71</v>
      </c>
      <c r="G3910" t="str">
        <f t="shared" si="69"/>
        <v>61-80</v>
      </c>
      <c r="H3910" t="s">
        <v>23</v>
      </c>
      <c r="I3910" t="s">
        <v>58</v>
      </c>
      <c r="J3910" t="s">
        <v>59</v>
      </c>
      <c r="K3910" t="s">
        <v>33</v>
      </c>
      <c r="L3910">
        <v>1</v>
      </c>
      <c r="M3910">
        <v>1</v>
      </c>
      <c r="N3910">
        <v>3.5</v>
      </c>
      <c r="O3910">
        <v>8.9</v>
      </c>
      <c r="P3910">
        <v>4</v>
      </c>
      <c r="Q3910">
        <v>4</v>
      </c>
      <c r="R3910">
        <v>829756</v>
      </c>
      <c r="S3910">
        <f>Table1[[#This Row],[Revenue]]-Table1[[#This Row],[Operating_Costs]]</f>
        <v>202470</v>
      </c>
      <c r="T3910">
        <v>627286</v>
      </c>
      <c r="U3910">
        <v>80</v>
      </c>
      <c r="V3910">
        <v>54</v>
      </c>
      <c r="W3910">
        <v>9.4</v>
      </c>
    </row>
    <row r="3911" spans="1:23" x14ac:dyDescent="0.25">
      <c r="A3911">
        <v>12</v>
      </c>
      <c r="B3911" t="s">
        <v>66</v>
      </c>
      <c r="C3911" s="1">
        <v>44965</v>
      </c>
      <c r="D3911" t="s">
        <v>71</v>
      </c>
      <c r="E3911">
        <v>0</v>
      </c>
      <c r="F3911">
        <v>61</v>
      </c>
      <c r="G3911" t="str">
        <f t="shared" si="69"/>
        <v>61-80</v>
      </c>
      <c r="H3911" t="s">
        <v>23</v>
      </c>
      <c r="I3911" t="s">
        <v>31</v>
      </c>
      <c r="J3911" t="s">
        <v>28</v>
      </c>
      <c r="K3911" t="s">
        <v>33</v>
      </c>
      <c r="L3911">
        <v>1</v>
      </c>
      <c r="M3911">
        <v>1</v>
      </c>
      <c r="N3911">
        <v>1.6</v>
      </c>
      <c r="O3911">
        <v>8.1</v>
      </c>
      <c r="P3911">
        <v>3</v>
      </c>
      <c r="Q3911">
        <v>5</v>
      </c>
      <c r="R3911">
        <v>966605</v>
      </c>
      <c r="S3911">
        <f>Table1[[#This Row],[Revenue]]-Table1[[#This Row],[Operating_Costs]]</f>
        <v>308505</v>
      </c>
      <c r="T3911">
        <v>658100</v>
      </c>
      <c r="U3911">
        <v>51</v>
      </c>
      <c r="V3911">
        <v>57</v>
      </c>
      <c r="W3911">
        <v>7.1</v>
      </c>
    </row>
    <row r="3912" spans="1:23" x14ac:dyDescent="0.25">
      <c r="A3912">
        <v>12</v>
      </c>
      <c r="B3912" t="s">
        <v>66</v>
      </c>
      <c r="C3912" s="1">
        <v>44888</v>
      </c>
      <c r="D3912" t="s">
        <v>71</v>
      </c>
      <c r="E3912">
        <v>0</v>
      </c>
      <c r="F3912">
        <v>80</v>
      </c>
      <c r="G3912" t="str">
        <f t="shared" si="69"/>
        <v>61-80</v>
      </c>
      <c r="H3912" t="s">
        <v>35</v>
      </c>
      <c r="I3912" t="s">
        <v>55</v>
      </c>
      <c r="J3912" t="s">
        <v>56</v>
      </c>
      <c r="K3912" t="s">
        <v>42</v>
      </c>
      <c r="L3912">
        <v>1</v>
      </c>
      <c r="M3912">
        <v>1</v>
      </c>
      <c r="N3912">
        <v>2.1</v>
      </c>
      <c r="O3912">
        <v>9.1999999999999993</v>
      </c>
      <c r="P3912">
        <v>4</v>
      </c>
      <c r="Q3912">
        <v>3</v>
      </c>
      <c r="R3912">
        <v>973687</v>
      </c>
      <c r="S3912">
        <f>Table1[[#This Row],[Revenue]]-Table1[[#This Row],[Operating_Costs]]</f>
        <v>400257</v>
      </c>
      <c r="T3912">
        <v>573430</v>
      </c>
      <c r="U3912">
        <v>57</v>
      </c>
      <c r="V3912">
        <v>54</v>
      </c>
      <c r="W3912">
        <v>13.9</v>
      </c>
    </row>
    <row r="3913" spans="1:23" x14ac:dyDescent="0.25">
      <c r="A3913">
        <v>12</v>
      </c>
      <c r="B3913" t="s">
        <v>66</v>
      </c>
      <c r="C3913" s="1">
        <v>45454</v>
      </c>
      <c r="D3913" t="s">
        <v>71</v>
      </c>
      <c r="E3913">
        <v>0</v>
      </c>
      <c r="F3913">
        <v>90</v>
      </c>
      <c r="G3913" t="str">
        <f t="shared" si="69"/>
        <v>81+</v>
      </c>
      <c r="H3913" t="s">
        <v>35</v>
      </c>
      <c r="I3913" t="s">
        <v>46</v>
      </c>
      <c r="J3913" t="s">
        <v>47</v>
      </c>
      <c r="K3913" t="s">
        <v>26</v>
      </c>
      <c r="L3913">
        <v>1</v>
      </c>
      <c r="M3913">
        <v>1</v>
      </c>
      <c r="N3913">
        <v>1.2</v>
      </c>
      <c r="O3913">
        <v>8.6</v>
      </c>
      <c r="P3913">
        <v>6</v>
      </c>
      <c r="Q3913">
        <v>5</v>
      </c>
      <c r="R3913">
        <v>973875</v>
      </c>
      <c r="S3913">
        <f>Table1[[#This Row],[Revenue]]-Table1[[#This Row],[Operating_Costs]]</f>
        <v>423644</v>
      </c>
      <c r="T3913">
        <v>550231</v>
      </c>
      <c r="U3913">
        <v>72</v>
      </c>
      <c r="V3913">
        <v>54</v>
      </c>
      <c r="W3913">
        <v>36.799999999999997</v>
      </c>
    </row>
    <row r="3914" spans="1:23" x14ac:dyDescent="0.25">
      <c r="A3914">
        <v>12</v>
      </c>
      <c r="B3914" t="s">
        <v>66</v>
      </c>
      <c r="C3914" s="1">
        <v>45474</v>
      </c>
      <c r="D3914" t="s">
        <v>71</v>
      </c>
      <c r="E3914">
        <v>0</v>
      </c>
      <c r="F3914">
        <v>36</v>
      </c>
      <c r="G3914" t="str">
        <f t="shared" si="69"/>
        <v>21-40</v>
      </c>
      <c r="H3914" t="s">
        <v>35</v>
      </c>
      <c r="I3914" t="s">
        <v>61</v>
      </c>
      <c r="J3914" t="s">
        <v>62</v>
      </c>
      <c r="K3914" t="s">
        <v>42</v>
      </c>
      <c r="L3914">
        <v>1</v>
      </c>
      <c r="M3914">
        <v>1</v>
      </c>
      <c r="N3914">
        <v>3.1</v>
      </c>
      <c r="O3914">
        <v>7.8</v>
      </c>
      <c r="P3914">
        <v>5</v>
      </c>
      <c r="Q3914">
        <v>5</v>
      </c>
      <c r="R3914">
        <v>935075</v>
      </c>
      <c r="S3914">
        <f>Table1[[#This Row],[Revenue]]-Table1[[#This Row],[Operating_Costs]]</f>
        <v>292400</v>
      </c>
      <c r="T3914">
        <v>642675</v>
      </c>
      <c r="U3914">
        <v>51</v>
      </c>
      <c r="V3914">
        <v>59</v>
      </c>
      <c r="W3914">
        <v>10.199999999999999</v>
      </c>
    </row>
    <row r="3915" spans="1:23" x14ac:dyDescent="0.25">
      <c r="A3915">
        <v>12</v>
      </c>
      <c r="B3915" t="s">
        <v>66</v>
      </c>
      <c r="C3915" s="1">
        <v>44320</v>
      </c>
      <c r="D3915" t="s">
        <v>71</v>
      </c>
      <c r="E3915">
        <v>0</v>
      </c>
      <c r="F3915">
        <v>36</v>
      </c>
      <c r="G3915" t="str">
        <f t="shared" si="69"/>
        <v>21-40</v>
      </c>
      <c r="H3915" t="s">
        <v>23</v>
      </c>
      <c r="I3915" t="s">
        <v>50</v>
      </c>
      <c r="J3915" t="s">
        <v>51</v>
      </c>
      <c r="K3915" t="s">
        <v>42</v>
      </c>
      <c r="L3915">
        <v>1</v>
      </c>
      <c r="M3915">
        <v>1</v>
      </c>
      <c r="N3915">
        <v>2.8</v>
      </c>
      <c r="O3915">
        <v>8.6999999999999993</v>
      </c>
      <c r="P3915">
        <v>4</v>
      </c>
      <c r="Q3915">
        <v>3</v>
      </c>
      <c r="R3915">
        <v>964223</v>
      </c>
      <c r="S3915">
        <f>Table1[[#This Row],[Revenue]]-Table1[[#This Row],[Operating_Costs]]</f>
        <v>369330</v>
      </c>
      <c r="T3915">
        <v>594893</v>
      </c>
      <c r="U3915">
        <v>68</v>
      </c>
      <c r="V3915">
        <v>57</v>
      </c>
      <c r="W3915">
        <v>5.7</v>
      </c>
    </row>
    <row r="3916" spans="1:23" x14ac:dyDescent="0.25">
      <c r="A3916">
        <v>12</v>
      </c>
      <c r="B3916" t="s">
        <v>66</v>
      </c>
      <c r="C3916" s="1">
        <v>44916</v>
      </c>
      <c r="D3916" t="s">
        <v>71</v>
      </c>
      <c r="E3916">
        <v>0</v>
      </c>
      <c r="F3916">
        <v>54</v>
      </c>
      <c r="G3916" t="str">
        <f t="shared" si="69"/>
        <v>41-60</v>
      </c>
      <c r="H3916" t="s">
        <v>35</v>
      </c>
      <c r="I3916" t="s">
        <v>27</v>
      </c>
      <c r="J3916" t="s">
        <v>28</v>
      </c>
      <c r="K3916" t="s">
        <v>33</v>
      </c>
      <c r="L3916">
        <v>1</v>
      </c>
      <c r="M3916">
        <v>1</v>
      </c>
      <c r="N3916">
        <v>6.7</v>
      </c>
      <c r="O3916">
        <v>8.9</v>
      </c>
      <c r="P3916">
        <v>5</v>
      </c>
      <c r="Q3916">
        <v>4</v>
      </c>
      <c r="R3916">
        <v>861914</v>
      </c>
      <c r="S3916">
        <f>Table1[[#This Row],[Revenue]]-Table1[[#This Row],[Operating_Costs]]</f>
        <v>208985</v>
      </c>
      <c r="T3916">
        <v>652929</v>
      </c>
      <c r="U3916">
        <v>54</v>
      </c>
      <c r="V3916">
        <v>66</v>
      </c>
      <c r="W3916">
        <v>10.6</v>
      </c>
    </row>
    <row r="3917" spans="1:23" x14ac:dyDescent="0.25">
      <c r="A3917">
        <v>12</v>
      </c>
      <c r="B3917" t="s">
        <v>66</v>
      </c>
      <c r="C3917" s="1">
        <v>44809</v>
      </c>
      <c r="D3917" t="s">
        <v>71</v>
      </c>
      <c r="E3917">
        <v>0</v>
      </c>
      <c r="F3917">
        <v>28</v>
      </c>
      <c r="G3917" t="str">
        <f t="shared" si="69"/>
        <v>21-40</v>
      </c>
      <c r="H3917" t="s">
        <v>23</v>
      </c>
      <c r="I3917" t="s">
        <v>31</v>
      </c>
      <c r="J3917" t="s">
        <v>28</v>
      </c>
      <c r="K3917" t="s">
        <v>38</v>
      </c>
      <c r="L3917">
        <v>1</v>
      </c>
      <c r="M3917">
        <v>1</v>
      </c>
      <c r="N3917">
        <v>3.1</v>
      </c>
      <c r="O3917">
        <v>8</v>
      </c>
      <c r="P3917">
        <v>5</v>
      </c>
      <c r="Q3917">
        <v>5</v>
      </c>
      <c r="R3917">
        <v>952367</v>
      </c>
      <c r="S3917">
        <f>Table1[[#This Row],[Revenue]]-Table1[[#This Row],[Operating_Costs]]</f>
        <v>447525</v>
      </c>
      <c r="T3917">
        <v>504842</v>
      </c>
      <c r="U3917">
        <v>65</v>
      </c>
      <c r="V3917">
        <v>60</v>
      </c>
      <c r="W3917">
        <v>6</v>
      </c>
    </row>
    <row r="3918" spans="1:23" x14ac:dyDescent="0.25">
      <c r="A3918">
        <v>12</v>
      </c>
      <c r="B3918" t="s">
        <v>66</v>
      </c>
      <c r="C3918" s="1">
        <v>44957</v>
      </c>
      <c r="D3918" t="s">
        <v>71</v>
      </c>
      <c r="E3918">
        <v>0</v>
      </c>
      <c r="F3918">
        <v>25</v>
      </c>
      <c r="G3918" t="str">
        <f t="shared" si="69"/>
        <v>21-40</v>
      </c>
      <c r="H3918" t="s">
        <v>35</v>
      </c>
      <c r="I3918" t="s">
        <v>36</v>
      </c>
      <c r="J3918" t="s">
        <v>37</v>
      </c>
      <c r="K3918" t="s">
        <v>38</v>
      </c>
      <c r="L3918">
        <v>1</v>
      </c>
      <c r="M3918">
        <v>1</v>
      </c>
      <c r="N3918">
        <v>3.2</v>
      </c>
      <c r="O3918">
        <v>9.6</v>
      </c>
      <c r="P3918">
        <v>3</v>
      </c>
      <c r="Q3918">
        <v>6</v>
      </c>
      <c r="R3918">
        <v>940070</v>
      </c>
      <c r="S3918">
        <f>Table1[[#This Row],[Revenue]]-Table1[[#This Row],[Operating_Costs]]</f>
        <v>382472</v>
      </c>
      <c r="T3918">
        <v>557598</v>
      </c>
      <c r="U3918">
        <v>50</v>
      </c>
      <c r="V3918">
        <v>57</v>
      </c>
      <c r="W3918">
        <v>13.5</v>
      </c>
    </row>
    <row r="3919" spans="1:23" x14ac:dyDescent="0.25">
      <c r="A3919">
        <v>12</v>
      </c>
      <c r="B3919" t="s">
        <v>66</v>
      </c>
      <c r="C3919" s="1">
        <v>45040</v>
      </c>
      <c r="D3919" t="s">
        <v>71</v>
      </c>
      <c r="E3919">
        <v>0</v>
      </c>
      <c r="F3919">
        <v>23</v>
      </c>
      <c r="G3919" t="str">
        <f t="shared" si="69"/>
        <v>21-40</v>
      </c>
      <c r="H3919" t="s">
        <v>35</v>
      </c>
      <c r="I3919" t="s">
        <v>61</v>
      </c>
      <c r="J3919" t="s">
        <v>62</v>
      </c>
      <c r="K3919" t="s">
        <v>33</v>
      </c>
      <c r="L3919">
        <v>1</v>
      </c>
      <c r="M3919">
        <v>1</v>
      </c>
      <c r="N3919">
        <v>5.7</v>
      </c>
      <c r="O3919">
        <v>9.9</v>
      </c>
      <c r="P3919">
        <v>6</v>
      </c>
      <c r="Q3919">
        <v>3</v>
      </c>
      <c r="R3919">
        <v>906137</v>
      </c>
      <c r="S3919">
        <f>Table1[[#This Row],[Revenue]]-Table1[[#This Row],[Operating_Costs]]</f>
        <v>270573</v>
      </c>
      <c r="T3919">
        <v>635564</v>
      </c>
      <c r="U3919">
        <v>50</v>
      </c>
      <c r="V3919">
        <v>60</v>
      </c>
      <c r="W3919">
        <v>6.6</v>
      </c>
    </row>
    <row r="3920" spans="1:23" x14ac:dyDescent="0.25">
      <c r="A3920">
        <v>12</v>
      </c>
      <c r="B3920" t="s">
        <v>66</v>
      </c>
      <c r="C3920" s="1">
        <v>44494</v>
      </c>
      <c r="D3920" t="s">
        <v>71</v>
      </c>
      <c r="E3920">
        <v>0</v>
      </c>
      <c r="F3920">
        <v>29</v>
      </c>
      <c r="G3920" t="str">
        <f t="shared" si="69"/>
        <v>21-40</v>
      </c>
      <c r="H3920" t="s">
        <v>23</v>
      </c>
      <c r="I3920" t="s">
        <v>50</v>
      </c>
      <c r="J3920" t="s">
        <v>51</v>
      </c>
      <c r="K3920" t="s">
        <v>26</v>
      </c>
      <c r="L3920">
        <v>1</v>
      </c>
      <c r="M3920">
        <v>1</v>
      </c>
      <c r="N3920">
        <v>4.8</v>
      </c>
      <c r="O3920">
        <v>7.1</v>
      </c>
      <c r="P3920">
        <v>4</v>
      </c>
      <c r="Q3920">
        <v>6</v>
      </c>
      <c r="R3920">
        <v>993728</v>
      </c>
      <c r="S3920">
        <f>Table1[[#This Row],[Revenue]]-Table1[[#This Row],[Operating_Costs]]</f>
        <v>417845</v>
      </c>
      <c r="T3920">
        <v>575883</v>
      </c>
      <c r="U3920">
        <v>52</v>
      </c>
      <c r="V3920">
        <v>56</v>
      </c>
      <c r="W3920">
        <v>9.8000000000000007</v>
      </c>
    </row>
    <row r="3921" spans="1:23" x14ac:dyDescent="0.25">
      <c r="A3921">
        <v>12</v>
      </c>
      <c r="B3921" t="s">
        <v>66</v>
      </c>
      <c r="C3921" s="1">
        <v>44854</v>
      </c>
      <c r="D3921" t="s">
        <v>71</v>
      </c>
      <c r="E3921">
        <v>0</v>
      </c>
      <c r="F3921">
        <v>41</v>
      </c>
      <c r="G3921" t="str">
        <f t="shared" si="69"/>
        <v>41-60</v>
      </c>
      <c r="H3921" t="s">
        <v>23</v>
      </c>
      <c r="I3921" t="s">
        <v>67</v>
      </c>
      <c r="J3921" t="s">
        <v>68</v>
      </c>
      <c r="K3921" t="s">
        <v>26</v>
      </c>
      <c r="L3921">
        <v>1</v>
      </c>
      <c r="M3921">
        <v>1</v>
      </c>
      <c r="N3921">
        <v>6.5</v>
      </c>
      <c r="O3921">
        <v>10</v>
      </c>
      <c r="P3921">
        <v>5</v>
      </c>
      <c r="Q3921">
        <v>5</v>
      </c>
      <c r="R3921">
        <v>872302</v>
      </c>
      <c r="S3921">
        <f>Table1[[#This Row],[Revenue]]-Table1[[#This Row],[Operating_Costs]]</f>
        <v>325822</v>
      </c>
      <c r="T3921">
        <v>546480</v>
      </c>
      <c r="U3921">
        <v>67</v>
      </c>
      <c r="V3921">
        <v>58</v>
      </c>
      <c r="W3921">
        <v>5.9</v>
      </c>
    </row>
    <row r="3922" spans="1:23" x14ac:dyDescent="0.25">
      <c r="A3922">
        <v>12</v>
      </c>
      <c r="B3922" t="s">
        <v>66</v>
      </c>
      <c r="C3922" s="1">
        <v>44974</v>
      </c>
      <c r="D3922" t="s">
        <v>71</v>
      </c>
      <c r="E3922">
        <v>0</v>
      </c>
      <c r="F3922">
        <v>58</v>
      </c>
      <c r="G3922" t="str">
        <f t="shared" si="69"/>
        <v>41-60</v>
      </c>
      <c r="H3922" t="s">
        <v>23</v>
      </c>
      <c r="I3922" t="s">
        <v>61</v>
      </c>
      <c r="J3922" t="s">
        <v>62</v>
      </c>
      <c r="K3922" t="s">
        <v>29</v>
      </c>
      <c r="L3922">
        <v>1</v>
      </c>
      <c r="M3922">
        <v>1</v>
      </c>
      <c r="N3922">
        <v>2.6</v>
      </c>
      <c r="O3922">
        <v>9.9</v>
      </c>
      <c r="P3922">
        <v>3</v>
      </c>
      <c r="Q3922">
        <v>4</v>
      </c>
      <c r="R3922">
        <v>982120</v>
      </c>
      <c r="S3922">
        <f>Table1[[#This Row],[Revenue]]-Table1[[#This Row],[Operating_Costs]]</f>
        <v>445698</v>
      </c>
      <c r="T3922">
        <v>536422</v>
      </c>
      <c r="U3922">
        <v>74</v>
      </c>
      <c r="V3922">
        <v>65</v>
      </c>
      <c r="W3922">
        <v>13.4</v>
      </c>
    </row>
    <row r="3923" spans="1:23" x14ac:dyDescent="0.25">
      <c r="A3923">
        <v>12</v>
      </c>
      <c r="B3923" t="s">
        <v>66</v>
      </c>
      <c r="C3923" s="1">
        <v>44681</v>
      </c>
      <c r="D3923" t="s">
        <v>71</v>
      </c>
      <c r="E3923">
        <v>0</v>
      </c>
      <c r="F3923">
        <v>50</v>
      </c>
      <c r="G3923" t="str">
        <f t="shared" si="69"/>
        <v>41-60</v>
      </c>
      <c r="H3923" t="s">
        <v>23</v>
      </c>
      <c r="I3923" t="s">
        <v>67</v>
      </c>
      <c r="J3923" t="s">
        <v>68</v>
      </c>
      <c r="K3923" t="s">
        <v>33</v>
      </c>
      <c r="L3923">
        <v>1</v>
      </c>
      <c r="M3923">
        <v>1</v>
      </c>
      <c r="N3923">
        <v>2.7</v>
      </c>
      <c r="O3923">
        <v>7.3</v>
      </c>
      <c r="P3923">
        <v>6</v>
      </c>
      <c r="Q3923">
        <v>6</v>
      </c>
      <c r="R3923">
        <v>910820</v>
      </c>
      <c r="S3923">
        <f>Table1[[#This Row],[Revenue]]-Table1[[#This Row],[Operating_Costs]]</f>
        <v>288587</v>
      </c>
      <c r="T3923">
        <v>622233</v>
      </c>
      <c r="U3923">
        <v>50</v>
      </c>
      <c r="V3923">
        <v>65</v>
      </c>
      <c r="W3923">
        <v>9</v>
      </c>
    </row>
    <row r="3924" spans="1:23" x14ac:dyDescent="0.25">
      <c r="A3924">
        <v>12</v>
      </c>
      <c r="B3924" t="s">
        <v>66</v>
      </c>
      <c r="C3924" s="1">
        <v>44652</v>
      </c>
      <c r="D3924" t="s">
        <v>71</v>
      </c>
      <c r="E3924">
        <v>0</v>
      </c>
      <c r="F3924">
        <v>59</v>
      </c>
      <c r="G3924" t="str">
        <f t="shared" si="69"/>
        <v>41-60</v>
      </c>
      <c r="H3924" t="s">
        <v>23</v>
      </c>
      <c r="I3924" t="s">
        <v>43</v>
      </c>
      <c r="J3924" t="s">
        <v>25</v>
      </c>
      <c r="K3924" t="s">
        <v>38</v>
      </c>
      <c r="L3924">
        <v>1</v>
      </c>
      <c r="M3924">
        <v>1</v>
      </c>
      <c r="N3924">
        <v>6.5</v>
      </c>
      <c r="O3924">
        <v>7</v>
      </c>
      <c r="P3924">
        <v>7</v>
      </c>
      <c r="Q3924">
        <v>5</v>
      </c>
      <c r="R3924">
        <v>885626</v>
      </c>
      <c r="S3924">
        <f>Table1[[#This Row],[Revenue]]-Table1[[#This Row],[Operating_Costs]]</f>
        <v>370125</v>
      </c>
      <c r="T3924">
        <v>515501</v>
      </c>
      <c r="U3924">
        <v>50</v>
      </c>
      <c r="V3924">
        <v>62</v>
      </c>
      <c r="W3924">
        <v>10.3</v>
      </c>
    </row>
    <row r="3925" spans="1:23" x14ac:dyDescent="0.25">
      <c r="A3925">
        <v>12</v>
      </c>
      <c r="B3925" t="s">
        <v>66</v>
      </c>
      <c r="C3925" s="1">
        <v>45526</v>
      </c>
      <c r="D3925" t="s">
        <v>71</v>
      </c>
      <c r="E3925">
        <v>0</v>
      </c>
      <c r="F3925">
        <v>24</v>
      </c>
      <c r="G3925" t="str">
        <f t="shared" si="69"/>
        <v>21-40</v>
      </c>
      <c r="H3925" t="s">
        <v>23</v>
      </c>
      <c r="I3925" t="s">
        <v>61</v>
      </c>
      <c r="J3925" t="s">
        <v>62</v>
      </c>
      <c r="K3925" t="s">
        <v>29</v>
      </c>
      <c r="L3925">
        <v>1</v>
      </c>
      <c r="M3925">
        <v>1</v>
      </c>
      <c r="N3925">
        <v>1.7</v>
      </c>
      <c r="O3925">
        <v>8.4</v>
      </c>
      <c r="P3925">
        <v>5</v>
      </c>
      <c r="Q3925">
        <v>5</v>
      </c>
      <c r="R3925">
        <v>895362</v>
      </c>
      <c r="S3925">
        <f>Table1[[#This Row],[Revenue]]-Table1[[#This Row],[Operating_Costs]]</f>
        <v>316837</v>
      </c>
      <c r="T3925">
        <v>578525</v>
      </c>
      <c r="U3925">
        <v>80</v>
      </c>
      <c r="V3925">
        <v>60</v>
      </c>
      <c r="W3925">
        <v>9.4</v>
      </c>
    </row>
    <row r="3926" spans="1:23" x14ac:dyDescent="0.25">
      <c r="A3926">
        <v>12</v>
      </c>
      <c r="B3926" t="s">
        <v>66</v>
      </c>
      <c r="C3926" s="1">
        <v>44853</v>
      </c>
      <c r="D3926" t="s">
        <v>71</v>
      </c>
      <c r="E3926">
        <v>0</v>
      </c>
      <c r="F3926">
        <v>45</v>
      </c>
      <c r="G3926" t="str">
        <f t="shared" si="69"/>
        <v>41-60</v>
      </c>
      <c r="H3926" t="s">
        <v>35</v>
      </c>
      <c r="I3926" t="s">
        <v>40</v>
      </c>
      <c r="J3926" t="s">
        <v>41</v>
      </c>
      <c r="K3926" t="s">
        <v>33</v>
      </c>
      <c r="L3926">
        <v>1</v>
      </c>
      <c r="M3926">
        <v>1</v>
      </c>
      <c r="N3926">
        <v>4.0999999999999996</v>
      </c>
      <c r="O3926">
        <v>8</v>
      </c>
      <c r="P3926">
        <v>5</v>
      </c>
      <c r="Q3926">
        <v>6</v>
      </c>
      <c r="R3926">
        <v>987339</v>
      </c>
      <c r="S3926">
        <f>Table1[[#This Row],[Revenue]]-Table1[[#This Row],[Operating_Costs]]</f>
        <v>393979</v>
      </c>
      <c r="T3926">
        <v>593360</v>
      </c>
      <c r="U3926">
        <v>77</v>
      </c>
      <c r="V3926">
        <v>55</v>
      </c>
      <c r="W3926">
        <v>12.7</v>
      </c>
    </row>
    <row r="3927" spans="1:23" x14ac:dyDescent="0.25">
      <c r="A3927">
        <v>12</v>
      </c>
      <c r="B3927" t="s">
        <v>66</v>
      </c>
      <c r="C3927" s="1">
        <v>44517</v>
      </c>
      <c r="D3927" t="s">
        <v>71</v>
      </c>
      <c r="E3927">
        <v>0</v>
      </c>
      <c r="F3927">
        <v>24</v>
      </c>
      <c r="G3927" t="str">
        <f t="shared" si="69"/>
        <v>21-40</v>
      </c>
      <c r="H3927" t="s">
        <v>23</v>
      </c>
      <c r="I3927" t="s">
        <v>61</v>
      </c>
      <c r="J3927" t="s">
        <v>62</v>
      </c>
      <c r="K3927" t="s">
        <v>29</v>
      </c>
      <c r="L3927">
        <v>1</v>
      </c>
      <c r="M3927">
        <v>1</v>
      </c>
      <c r="N3927">
        <v>2.9</v>
      </c>
      <c r="O3927">
        <v>8.4</v>
      </c>
      <c r="P3927">
        <v>4</v>
      </c>
      <c r="Q3927">
        <v>6</v>
      </c>
      <c r="R3927">
        <v>964820</v>
      </c>
      <c r="S3927">
        <f>Table1[[#This Row],[Revenue]]-Table1[[#This Row],[Operating_Costs]]</f>
        <v>370356</v>
      </c>
      <c r="T3927">
        <v>594464</v>
      </c>
      <c r="U3927">
        <v>63</v>
      </c>
      <c r="V3927">
        <v>62</v>
      </c>
      <c r="W3927">
        <v>6.3</v>
      </c>
    </row>
    <row r="3928" spans="1:23" x14ac:dyDescent="0.25">
      <c r="A3928">
        <v>12</v>
      </c>
      <c r="B3928" t="s">
        <v>66</v>
      </c>
      <c r="C3928" s="1">
        <v>44241</v>
      </c>
      <c r="D3928" t="s">
        <v>71</v>
      </c>
      <c r="E3928">
        <v>0</v>
      </c>
      <c r="F3928">
        <v>65</v>
      </c>
      <c r="G3928" t="str">
        <f t="shared" si="69"/>
        <v>61-80</v>
      </c>
      <c r="H3928" t="s">
        <v>35</v>
      </c>
      <c r="I3928" t="s">
        <v>61</v>
      </c>
      <c r="J3928" t="s">
        <v>62</v>
      </c>
      <c r="K3928" t="s">
        <v>26</v>
      </c>
      <c r="L3928">
        <v>1</v>
      </c>
      <c r="M3928">
        <v>1</v>
      </c>
      <c r="N3928">
        <v>5.9</v>
      </c>
      <c r="O3928">
        <v>8.4</v>
      </c>
      <c r="P3928">
        <v>6</v>
      </c>
      <c r="Q3928">
        <v>4</v>
      </c>
      <c r="R3928">
        <v>863671</v>
      </c>
      <c r="S3928">
        <f>Table1[[#This Row],[Revenue]]-Table1[[#This Row],[Operating_Costs]]</f>
        <v>223735</v>
      </c>
      <c r="T3928">
        <v>639936</v>
      </c>
      <c r="U3928">
        <v>74</v>
      </c>
      <c r="V3928">
        <v>62</v>
      </c>
      <c r="W3928">
        <v>14.7</v>
      </c>
    </row>
    <row r="3929" spans="1:23" x14ac:dyDescent="0.25">
      <c r="A3929">
        <v>12</v>
      </c>
      <c r="B3929" t="s">
        <v>66</v>
      </c>
      <c r="C3929" s="1">
        <v>45408</v>
      </c>
      <c r="D3929" t="s">
        <v>71</v>
      </c>
      <c r="E3929">
        <v>0</v>
      </c>
      <c r="F3929">
        <v>67</v>
      </c>
      <c r="G3929" t="str">
        <f t="shared" si="69"/>
        <v>61-80</v>
      </c>
      <c r="H3929" t="s">
        <v>23</v>
      </c>
      <c r="I3929" t="s">
        <v>27</v>
      </c>
      <c r="J3929" t="s">
        <v>28</v>
      </c>
      <c r="K3929" t="s">
        <v>26</v>
      </c>
      <c r="L3929">
        <v>1</v>
      </c>
      <c r="M3929">
        <v>1</v>
      </c>
      <c r="N3929">
        <v>5.0999999999999996</v>
      </c>
      <c r="O3929">
        <v>9.1999999999999993</v>
      </c>
      <c r="P3929">
        <v>6</v>
      </c>
      <c r="Q3929">
        <v>4</v>
      </c>
      <c r="R3929">
        <v>967608</v>
      </c>
      <c r="S3929">
        <f>Table1[[#This Row],[Revenue]]-Table1[[#This Row],[Operating_Costs]]</f>
        <v>371888</v>
      </c>
      <c r="T3929">
        <v>595720</v>
      </c>
      <c r="U3929">
        <v>75</v>
      </c>
      <c r="V3929">
        <v>66</v>
      </c>
      <c r="W3929">
        <v>10.3</v>
      </c>
    </row>
    <row r="3930" spans="1:23" x14ac:dyDescent="0.25">
      <c r="A3930">
        <v>12</v>
      </c>
      <c r="B3930" t="s">
        <v>66</v>
      </c>
      <c r="C3930" s="1">
        <v>44718</v>
      </c>
      <c r="D3930" t="s">
        <v>71</v>
      </c>
      <c r="E3930">
        <v>0</v>
      </c>
      <c r="F3930">
        <v>31</v>
      </c>
      <c r="G3930" t="str">
        <f t="shared" si="69"/>
        <v>21-40</v>
      </c>
      <c r="H3930" t="s">
        <v>23</v>
      </c>
      <c r="I3930" t="s">
        <v>50</v>
      </c>
      <c r="J3930" t="s">
        <v>51</v>
      </c>
      <c r="K3930" t="s">
        <v>33</v>
      </c>
      <c r="L3930">
        <v>1</v>
      </c>
      <c r="M3930">
        <v>1</v>
      </c>
      <c r="N3930">
        <v>5.2</v>
      </c>
      <c r="O3930">
        <v>8.1</v>
      </c>
      <c r="P3930">
        <v>5</v>
      </c>
      <c r="Q3930">
        <v>6</v>
      </c>
      <c r="R3930">
        <v>948709</v>
      </c>
      <c r="S3930">
        <f>Table1[[#This Row],[Revenue]]-Table1[[#This Row],[Operating_Costs]]</f>
        <v>327147</v>
      </c>
      <c r="T3930">
        <v>621562</v>
      </c>
      <c r="U3930">
        <v>80</v>
      </c>
      <c r="V3930">
        <v>57</v>
      </c>
      <c r="W3930">
        <v>9.9</v>
      </c>
    </row>
    <row r="3931" spans="1:23" x14ac:dyDescent="0.25">
      <c r="A3931">
        <v>12</v>
      </c>
      <c r="B3931" t="s">
        <v>66</v>
      </c>
      <c r="C3931" s="1">
        <v>44664</v>
      </c>
      <c r="D3931" t="s">
        <v>71</v>
      </c>
      <c r="E3931">
        <v>0</v>
      </c>
      <c r="F3931">
        <v>43</v>
      </c>
      <c r="G3931" t="str">
        <f t="shared" si="69"/>
        <v>41-60</v>
      </c>
      <c r="H3931" t="s">
        <v>35</v>
      </c>
      <c r="I3931" t="s">
        <v>36</v>
      </c>
      <c r="J3931" t="s">
        <v>37</v>
      </c>
      <c r="K3931" t="s">
        <v>33</v>
      </c>
      <c r="L3931">
        <v>1</v>
      </c>
      <c r="M3931">
        <v>1</v>
      </c>
      <c r="N3931">
        <v>1.7</v>
      </c>
      <c r="O3931">
        <v>9.6999999999999993</v>
      </c>
      <c r="P3931">
        <v>5</v>
      </c>
      <c r="Q3931">
        <v>7</v>
      </c>
      <c r="R3931">
        <v>868521</v>
      </c>
      <c r="S3931">
        <f>Table1[[#This Row],[Revenue]]-Table1[[#This Row],[Operating_Costs]]</f>
        <v>254003</v>
      </c>
      <c r="T3931">
        <v>614518</v>
      </c>
      <c r="U3931">
        <v>57</v>
      </c>
      <c r="V3931">
        <v>54</v>
      </c>
      <c r="W3931">
        <v>8.1999999999999993</v>
      </c>
    </row>
    <row r="3932" spans="1:23" x14ac:dyDescent="0.25">
      <c r="A3932">
        <v>12</v>
      </c>
      <c r="B3932" t="s">
        <v>66</v>
      </c>
      <c r="C3932" s="1">
        <v>45651</v>
      </c>
      <c r="D3932" t="s">
        <v>71</v>
      </c>
      <c r="E3932">
        <v>0</v>
      </c>
      <c r="F3932">
        <v>54</v>
      </c>
      <c r="G3932" t="str">
        <f t="shared" si="69"/>
        <v>41-60</v>
      </c>
      <c r="H3932" t="s">
        <v>23</v>
      </c>
      <c r="I3932" t="s">
        <v>46</v>
      </c>
      <c r="J3932" t="s">
        <v>47</v>
      </c>
      <c r="K3932" t="s">
        <v>33</v>
      </c>
      <c r="L3932">
        <v>1</v>
      </c>
      <c r="M3932">
        <v>1</v>
      </c>
      <c r="N3932">
        <v>6.2</v>
      </c>
      <c r="O3932">
        <v>7.4</v>
      </c>
      <c r="P3932">
        <v>3</v>
      </c>
      <c r="Q3932">
        <v>6</v>
      </c>
      <c r="R3932">
        <v>855337</v>
      </c>
      <c r="S3932">
        <f>Table1[[#This Row],[Revenue]]-Table1[[#This Row],[Operating_Costs]]</f>
        <v>161114</v>
      </c>
      <c r="T3932">
        <v>694223</v>
      </c>
      <c r="U3932">
        <v>69</v>
      </c>
      <c r="V3932">
        <v>63</v>
      </c>
      <c r="W3932">
        <v>7.9</v>
      </c>
    </row>
    <row r="3933" spans="1:23" x14ac:dyDescent="0.25">
      <c r="A3933">
        <v>12</v>
      </c>
      <c r="B3933" t="s">
        <v>66</v>
      </c>
      <c r="C3933" s="1">
        <v>45431</v>
      </c>
      <c r="D3933" t="s">
        <v>71</v>
      </c>
      <c r="E3933">
        <v>0</v>
      </c>
      <c r="F3933">
        <v>61</v>
      </c>
      <c r="G3933" t="str">
        <f t="shared" si="69"/>
        <v>61-80</v>
      </c>
      <c r="H3933" t="s">
        <v>35</v>
      </c>
      <c r="I3933" t="s">
        <v>40</v>
      </c>
      <c r="J3933" t="s">
        <v>41</v>
      </c>
      <c r="K3933" t="s">
        <v>38</v>
      </c>
      <c r="L3933">
        <v>1</v>
      </c>
      <c r="M3933">
        <v>1</v>
      </c>
      <c r="N3933">
        <v>1.5</v>
      </c>
      <c r="O3933">
        <v>9.4</v>
      </c>
      <c r="P3933">
        <v>4</v>
      </c>
      <c r="Q3933">
        <v>3</v>
      </c>
      <c r="R3933">
        <v>928074</v>
      </c>
      <c r="S3933">
        <f>Table1[[#This Row],[Revenue]]-Table1[[#This Row],[Operating_Costs]]</f>
        <v>371054</v>
      </c>
      <c r="T3933">
        <v>557020</v>
      </c>
      <c r="U3933">
        <v>60</v>
      </c>
      <c r="V3933">
        <v>58</v>
      </c>
      <c r="W3933">
        <v>14.5</v>
      </c>
    </row>
    <row r="3934" spans="1:23" x14ac:dyDescent="0.25">
      <c r="A3934">
        <v>12</v>
      </c>
      <c r="B3934" t="s">
        <v>66</v>
      </c>
      <c r="C3934" s="1">
        <v>44988</v>
      </c>
      <c r="D3934" t="s">
        <v>71</v>
      </c>
      <c r="E3934">
        <v>0</v>
      </c>
      <c r="F3934">
        <v>52</v>
      </c>
      <c r="G3934" t="str">
        <f t="shared" si="69"/>
        <v>41-60</v>
      </c>
      <c r="H3934" t="s">
        <v>23</v>
      </c>
      <c r="I3934" t="s">
        <v>27</v>
      </c>
      <c r="J3934" t="s">
        <v>28</v>
      </c>
      <c r="K3934" t="s">
        <v>29</v>
      </c>
      <c r="L3934">
        <v>1</v>
      </c>
      <c r="M3934">
        <v>1</v>
      </c>
      <c r="N3934">
        <v>4.9000000000000004</v>
      </c>
      <c r="O3934">
        <v>7.9</v>
      </c>
      <c r="P3934">
        <v>3</v>
      </c>
      <c r="Q3934">
        <v>7</v>
      </c>
      <c r="R3934">
        <v>882091</v>
      </c>
      <c r="S3934">
        <f>Table1[[#This Row],[Revenue]]-Table1[[#This Row],[Operating_Costs]]</f>
        <v>254218</v>
      </c>
      <c r="T3934">
        <v>627873</v>
      </c>
      <c r="U3934">
        <v>63</v>
      </c>
      <c r="V3934">
        <v>63</v>
      </c>
      <c r="W3934">
        <v>12</v>
      </c>
    </row>
    <row r="3935" spans="1:23" x14ac:dyDescent="0.25">
      <c r="A3935">
        <v>12</v>
      </c>
      <c r="B3935" t="s">
        <v>66</v>
      </c>
      <c r="C3935" s="1">
        <v>44952</v>
      </c>
      <c r="D3935" t="s">
        <v>71</v>
      </c>
      <c r="E3935">
        <v>0</v>
      </c>
      <c r="F3935">
        <v>54</v>
      </c>
      <c r="G3935" t="str">
        <f t="shared" si="69"/>
        <v>41-60</v>
      </c>
      <c r="H3935" t="s">
        <v>23</v>
      </c>
      <c r="I3935" t="s">
        <v>50</v>
      </c>
      <c r="J3935" t="s">
        <v>51</v>
      </c>
      <c r="K3935" t="s">
        <v>26</v>
      </c>
      <c r="L3935">
        <v>1</v>
      </c>
      <c r="M3935">
        <v>1</v>
      </c>
      <c r="N3935">
        <v>1.9</v>
      </c>
      <c r="O3935">
        <v>7.1</v>
      </c>
      <c r="P3935">
        <v>6</v>
      </c>
      <c r="Q3935">
        <v>7</v>
      </c>
      <c r="R3935">
        <v>813041</v>
      </c>
      <c r="S3935">
        <f>Table1[[#This Row],[Revenue]]-Table1[[#This Row],[Operating_Costs]]</f>
        <v>268354</v>
      </c>
      <c r="T3935">
        <v>544687</v>
      </c>
      <c r="U3935">
        <v>62</v>
      </c>
      <c r="V3935">
        <v>59</v>
      </c>
      <c r="W3935">
        <v>10.199999999999999</v>
      </c>
    </row>
    <row r="3936" spans="1:23" x14ac:dyDescent="0.25">
      <c r="A3936">
        <v>12</v>
      </c>
      <c r="B3936" t="s">
        <v>66</v>
      </c>
      <c r="C3936" s="1">
        <v>44846</v>
      </c>
      <c r="D3936" t="s">
        <v>71</v>
      </c>
      <c r="E3936">
        <v>0</v>
      </c>
      <c r="F3936">
        <v>43</v>
      </c>
      <c r="G3936" t="str">
        <f t="shared" si="69"/>
        <v>41-60</v>
      </c>
      <c r="H3936" t="s">
        <v>35</v>
      </c>
      <c r="I3936" t="s">
        <v>40</v>
      </c>
      <c r="J3936" t="s">
        <v>41</v>
      </c>
      <c r="K3936" t="s">
        <v>33</v>
      </c>
      <c r="L3936">
        <v>1</v>
      </c>
      <c r="M3936">
        <v>1</v>
      </c>
      <c r="N3936">
        <v>3.1</v>
      </c>
      <c r="O3936">
        <v>8.1</v>
      </c>
      <c r="P3936">
        <v>5</v>
      </c>
      <c r="Q3936">
        <v>6</v>
      </c>
      <c r="R3936">
        <v>908727</v>
      </c>
      <c r="S3936">
        <f>Table1[[#This Row],[Revenue]]-Table1[[#This Row],[Operating_Costs]]</f>
        <v>275601</v>
      </c>
      <c r="T3936">
        <v>633126</v>
      </c>
      <c r="U3936">
        <v>58</v>
      </c>
      <c r="V3936">
        <v>64</v>
      </c>
      <c r="W3936">
        <v>10.1</v>
      </c>
    </row>
    <row r="3937" spans="1:23" x14ac:dyDescent="0.25">
      <c r="A3937">
        <v>12</v>
      </c>
      <c r="B3937" t="s">
        <v>66</v>
      </c>
      <c r="C3937" s="1">
        <v>45212</v>
      </c>
      <c r="D3937" t="s">
        <v>71</v>
      </c>
      <c r="E3937">
        <v>0</v>
      </c>
      <c r="F3937">
        <v>47</v>
      </c>
      <c r="G3937" t="str">
        <f t="shared" si="69"/>
        <v>41-60</v>
      </c>
      <c r="H3937" t="s">
        <v>23</v>
      </c>
      <c r="I3937" t="s">
        <v>40</v>
      </c>
      <c r="J3937" t="s">
        <v>41</v>
      </c>
      <c r="K3937" t="s">
        <v>42</v>
      </c>
      <c r="L3937">
        <v>1</v>
      </c>
      <c r="M3937">
        <v>1</v>
      </c>
      <c r="N3937">
        <v>6.4</v>
      </c>
      <c r="O3937">
        <v>10</v>
      </c>
      <c r="P3937">
        <v>4</v>
      </c>
      <c r="Q3937">
        <v>5</v>
      </c>
      <c r="R3937">
        <v>871955</v>
      </c>
      <c r="S3937">
        <f>Table1[[#This Row],[Revenue]]-Table1[[#This Row],[Operating_Costs]]</f>
        <v>185296</v>
      </c>
      <c r="T3937">
        <v>686659</v>
      </c>
      <c r="U3937">
        <v>63</v>
      </c>
      <c r="V3937">
        <v>64</v>
      </c>
      <c r="W3937">
        <v>5.7</v>
      </c>
    </row>
    <row r="3938" spans="1:23" x14ac:dyDescent="0.25">
      <c r="A3938">
        <v>11</v>
      </c>
      <c r="B3938" t="s">
        <v>63</v>
      </c>
      <c r="C3938" s="1">
        <v>45085</v>
      </c>
      <c r="D3938" t="s">
        <v>71</v>
      </c>
      <c r="E3938">
        <v>0</v>
      </c>
      <c r="F3938">
        <v>68</v>
      </c>
      <c r="G3938" t="str">
        <f t="shared" si="69"/>
        <v>61-80</v>
      </c>
      <c r="H3938" t="s">
        <v>35</v>
      </c>
      <c r="I3938" t="s">
        <v>58</v>
      </c>
      <c r="J3938" t="s">
        <v>59</v>
      </c>
      <c r="K3938" t="s">
        <v>29</v>
      </c>
      <c r="L3938">
        <v>1</v>
      </c>
      <c r="M3938">
        <v>1</v>
      </c>
      <c r="N3938">
        <v>6.6</v>
      </c>
      <c r="O3938">
        <v>8.6999999999999993</v>
      </c>
      <c r="P3938">
        <v>3</v>
      </c>
      <c r="Q3938">
        <v>6</v>
      </c>
      <c r="R3938">
        <v>695006</v>
      </c>
      <c r="S3938">
        <f>Table1[[#This Row],[Revenue]]-Table1[[#This Row],[Operating_Costs]]</f>
        <v>263439</v>
      </c>
      <c r="T3938">
        <v>431567</v>
      </c>
      <c r="U3938">
        <v>28</v>
      </c>
      <c r="V3938">
        <v>55</v>
      </c>
      <c r="W3938">
        <v>12.4</v>
      </c>
    </row>
    <row r="3939" spans="1:23" x14ac:dyDescent="0.25">
      <c r="A3939">
        <v>11</v>
      </c>
      <c r="B3939" t="s">
        <v>63</v>
      </c>
      <c r="C3939" s="1">
        <v>44544</v>
      </c>
      <c r="D3939" t="s">
        <v>71</v>
      </c>
      <c r="E3939">
        <v>0</v>
      </c>
      <c r="F3939">
        <v>25</v>
      </c>
      <c r="G3939" t="str">
        <f t="shared" si="69"/>
        <v>21-40</v>
      </c>
      <c r="H3939" t="s">
        <v>23</v>
      </c>
      <c r="I3939" t="s">
        <v>24</v>
      </c>
      <c r="J3939" t="s">
        <v>25</v>
      </c>
      <c r="K3939" t="s">
        <v>29</v>
      </c>
      <c r="L3939">
        <v>1</v>
      </c>
      <c r="M3939">
        <v>1</v>
      </c>
      <c r="N3939">
        <v>2.6</v>
      </c>
      <c r="O3939">
        <v>7.5</v>
      </c>
      <c r="P3939">
        <v>3</v>
      </c>
      <c r="Q3939">
        <v>7</v>
      </c>
      <c r="R3939">
        <v>617531</v>
      </c>
      <c r="S3939">
        <f>Table1[[#This Row],[Revenue]]-Table1[[#This Row],[Operating_Costs]]</f>
        <v>146467</v>
      </c>
      <c r="T3939">
        <v>471064</v>
      </c>
      <c r="U3939">
        <v>34</v>
      </c>
      <c r="V3939">
        <v>61</v>
      </c>
      <c r="W3939">
        <v>14.9</v>
      </c>
    </row>
    <row r="3940" spans="1:23" x14ac:dyDescent="0.25">
      <c r="A3940">
        <v>12</v>
      </c>
      <c r="B3940" t="s">
        <v>66</v>
      </c>
      <c r="C3940" s="1">
        <v>44760</v>
      </c>
      <c r="D3940" t="s">
        <v>71</v>
      </c>
      <c r="E3940">
        <v>0</v>
      </c>
      <c r="F3940">
        <v>60</v>
      </c>
      <c r="G3940" t="str">
        <f t="shared" si="69"/>
        <v>41-60</v>
      </c>
      <c r="H3940" t="s">
        <v>35</v>
      </c>
      <c r="I3940" t="s">
        <v>64</v>
      </c>
      <c r="J3940" t="s">
        <v>65</v>
      </c>
      <c r="K3940" t="s">
        <v>42</v>
      </c>
      <c r="L3940">
        <v>1</v>
      </c>
      <c r="M3940">
        <v>1</v>
      </c>
      <c r="N3940">
        <v>3.5</v>
      </c>
      <c r="O3940">
        <v>8.1999999999999993</v>
      </c>
      <c r="P3940">
        <v>3</v>
      </c>
      <c r="Q3940">
        <v>3</v>
      </c>
      <c r="R3940">
        <v>807786</v>
      </c>
      <c r="S3940">
        <f>Table1[[#This Row],[Revenue]]-Table1[[#This Row],[Operating_Costs]]</f>
        <v>165900</v>
      </c>
      <c r="T3940">
        <v>641886</v>
      </c>
      <c r="U3940">
        <v>67</v>
      </c>
      <c r="V3940">
        <v>59</v>
      </c>
      <c r="W3940">
        <v>36</v>
      </c>
    </row>
    <row r="3941" spans="1:23" x14ac:dyDescent="0.25">
      <c r="A3941">
        <v>12</v>
      </c>
      <c r="B3941" t="s">
        <v>66</v>
      </c>
      <c r="C3941" s="1">
        <v>44848</v>
      </c>
      <c r="D3941" t="s">
        <v>71</v>
      </c>
      <c r="E3941">
        <v>0</v>
      </c>
      <c r="F3941">
        <v>72</v>
      </c>
      <c r="G3941" t="str">
        <f t="shared" si="69"/>
        <v>61-80</v>
      </c>
      <c r="H3941" t="s">
        <v>35</v>
      </c>
      <c r="I3941" t="s">
        <v>58</v>
      </c>
      <c r="J3941" t="s">
        <v>59</v>
      </c>
      <c r="K3941" t="s">
        <v>29</v>
      </c>
      <c r="L3941">
        <v>1</v>
      </c>
      <c r="M3941">
        <v>1</v>
      </c>
      <c r="N3941">
        <v>6.8</v>
      </c>
      <c r="O3941">
        <v>8.1</v>
      </c>
      <c r="P3941">
        <v>7</v>
      </c>
      <c r="Q3941">
        <v>5</v>
      </c>
      <c r="R3941">
        <v>967722</v>
      </c>
      <c r="S3941">
        <f>Table1[[#This Row],[Revenue]]-Table1[[#This Row],[Operating_Costs]]</f>
        <v>384043</v>
      </c>
      <c r="T3941">
        <v>583679</v>
      </c>
      <c r="U3941">
        <v>65</v>
      </c>
      <c r="V3941">
        <v>55</v>
      </c>
      <c r="W3941">
        <v>36.200000000000003</v>
      </c>
    </row>
    <row r="3942" spans="1:23" x14ac:dyDescent="0.25">
      <c r="A3942">
        <v>11</v>
      </c>
      <c r="B3942" t="s">
        <v>63</v>
      </c>
      <c r="C3942" s="1">
        <v>44351</v>
      </c>
      <c r="D3942" t="s">
        <v>71</v>
      </c>
      <c r="E3942">
        <v>0</v>
      </c>
      <c r="F3942">
        <v>35</v>
      </c>
      <c r="G3942" t="str">
        <f t="shared" si="69"/>
        <v>21-40</v>
      </c>
      <c r="H3942" t="s">
        <v>23</v>
      </c>
      <c r="I3942" t="s">
        <v>50</v>
      </c>
      <c r="J3942" t="s">
        <v>51</v>
      </c>
      <c r="K3942" t="s">
        <v>38</v>
      </c>
      <c r="L3942">
        <v>1</v>
      </c>
      <c r="M3942">
        <v>1</v>
      </c>
      <c r="N3942">
        <v>6.4</v>
      </c>
      <c r="O3942">
        <v>7.1</v>
      </c>
      <c r="P3942">
        <v>7</v>
      </c>
      <c r="Q3942">
        <v>5</v>
      </c>
      <c r="R3942">
        <v>691251</v>
      </c>
      <c r="S3942">
        <f>Table1[[#This Row],[Revenue]]-Table1[[#This Row],[Operating_Costs]]</f>
        <v>152673</v>
      </c>
      <c r="T3942">
        <v>538578</v>
      </c>
      <c r="U3942">
        <v>30</v>
      </c>
      <c r="V3942">
        <v>58</v>
      </c>
      <c r="W3942">
        <v>5.8</v>
      </c>
    </row>
    <row r="3943" spans="1:23" x14ac:dyDescent="0.25">
      <c r="A3943">
        <v>11</v>
      </c>
      <c r="B3943" t="s">
        <v>63</v>
      </c>
      <c r="C3943" s="1">
        <v>45276</v>
      </c>
      <c r="D3943" t="s">
        <v>71</v>
      </c>
      <c r="E3943">
        <v>0</v>
      </c>
      <c r="F3943">
        <v>30</v>
      </c>
      <c r="G3943" t="str">
        <f t="shared" si="69"/>
        <v>21-40</v>
      </c>
      <c r="H3943" t="s">
        <v>35</v>
      </c>
      <c r="I3943" t="s">
        <v>36</v>
      </c>
      <c r="J3943" t="s">
        <v>37</v>
      </c>
      <c r="K3943" t="s">
        <v>26</v>
      </c>
      <c r="L3943">
        <v>1</v>
      </c>
      <c r="M3943">
        <v>1</v>
      </c>
      <c r="N3943">
        <v>6.6</v>
      </c>
      <c r="O3943">
        <v>7.3</v>
      </c>
      <c r="P3943">
        <v>5</v>
      </c>
      <c r="Q3943">
        <v>4</v>
      </c>
      <c r="R3943">
        <v>742831</v>
      </c>
      <c r="S3943">
        <f>Table1[[#This Row],[Revenue]]-Table1[[#This Row],[Operating_Costs]]</f>
        <v>306000</v>
      </c>
      <c r="T3943">
        <v>436831</v>
      </c>
      <c r="U3943">
        <v>31</v>
      </c>
      <c r="V3943">
        <v>59</v>
      </c>
      <c r="W3943">
        <v>13.9</v>
      </c>
    </row>
    <row r="3944" spans="1:23" x14ac:dyDescent="0.25">
      <c r="A3944">
        <v>12</v>
      </c>
      <c r="B3944" t="s">
        <v>66</v>
      </c>
      <c r="C3944" s="1">
        <v>45489</v>
      </c>
      <c r="D3944" t="s">
        <v>71</v>
      </c>
      <c r="E3944">
        <v>0</v>
      </c>
      <c r="F3944">
        <v>85</v>
      </c>
      <c r="G3944" t="str">
        <f t="shared" si="69"/>
        <v>81+</v>
      </c>
      <c r="H3944" t="s">
        <v>35</v>
      </c>
      <c r="I3944" t="s">
        <v>61</v>
      </c>
      <c r="J3944" t="s">
        <v>62</v>
      </c>
      <c r="K3944" t="s">
        <v>33</v>
      </c>
      <c r="L3944">
        <v>1</v>
      </c>
      <c r="M3944">
        <v>1</v>
      </c>
      <c r="N3944">
        <v>1.1000000000000001</v>
      </c>
      <c r="O3944">
        <v>8.8000000000000007</v>
      </c>
      <c r="P3944">
        <v>6</v>
      </c>
      <c r="Q3944">
        <v>7</v>
      </c>
      <c r="R3944">
        <v>959926</v>
      </c>
      <c r="S3944">
        <f>Table1[[#This Row],[Revenue]]-Table1[[#This Row],[Operating_Costs]]</f>
        <v>262873</v>
      </c>
      <c r="T3944">
        <v>697053</v>
      </c>
      <c r="U3944">
        <v>71</v>
      </c>
      <c r="V3944">
        <v>61</v>
      </c>
      <c r="W3944">
        <v>6.5</v>
      </c>
    </row>
    <row r="3945" spans="1:23" x14ac:dyDescent="0.25">
      <c r="A3945">
        <v>11</v>
      </c>
      <c r="B3945" t="s">
        <v>63</v>
      </c>
      <c r="C3945" s="1">
        <v>44334</v>
      </c>
      <c r="D3945" t="s">
        <v>71</v>
      </c>
      <c r="E3945">
        <v>0</v>
      </c>
      <c r="F3945">
        <v>76</v>
      </c>
      <c r="G3945" t="str">
        <f t="shared" si="69"/>
        <v>61-80</v>
      </c>
      <c r="H3945" t="s">
        <v>35</v>
      </c>
      <c r="I3945" t="s">
        <v>36</v>
      </c>
      <c r="J3945" t="s">
        <v>37</v>
      </c>
      <c r="K3945" t="s">
        <v>38</v>
      </c>
      <c r="L3945">
        <v>1</v>
      </c>
      <c r="M3945">
        <v>1</v>
      </c>
      <c r="N3945">
        <v>2.1</v>
      </c>
      <c r="O3945">
        <v>9.5</v>
      </c>
      <c r="P3945">
        <v>6</v>
      </c>
      <c r="Q3945">
        <v>6</v>
      </c>
      <c r="R3945">
        <v>689403</v>
      </c>
      <c r="S3945">
        <f>Table1[[#This Row],[Revenue]]-Table1[[#This Row],[Operating_Costs]]</f>
        <v>185833</v>
      </c>
      <c r="T3945">
        <v>503570</v>
      </c>
      <c r="U3945">
        <v>30</v>
      </c>
      <c r="V3945">
        <v>64</v>
      </c>
      <c r="W3945">
        <v>10.6</v>
      </c>
    </row>
    <row r="3946" spans="1:23" x14ac:dyDescent="0.25">
      <c r="A3946">
        <v>12</v>
      </c>
      <c r="B3946" t="s">
        <v>66</v>
      </c>
      <c r="C3946" s="1">
        <v>45496</v>
      </c>
      <c r="D3946" t="s">
        <v>71</v>
      </c>
      <c r="E3946">
        <v>0</v>
      </c>
      <c r="F3946">
        <v>29</v>
      </c>
      <c r="G3946" t="str">
        <f t="shared" si="69"/>
        <v>21-40</v>
      </c>
      <c r="H3946" t="s">
        <v>35</v>
      </c>
      <c r="I3946" t="s">
        <v>36</v>
      </c>
      <c r="J3946" t="s">
        <v>37</v>
      </c>
      <c r="K3946" t="s">
        <v>33</v>
      </c>
      <c r="L3946">
        <v>1</v>
      </c>
      <c r="M3946">
        <v>1</v>
      </c>
      <c r="N3946">
        <v>4.9000000000000004</v>
      </c>
      <c r="O3946">
        <v>9.9</v>
      </c>
      <c r="P3946">
        <v>6</v>
      </c>
      <c r="Q3946">
        <v>6</v>
      </c>
      <c r="R3946">
        <v>829380</v>
      </c>
      <c r="S3946">
        <f>Table1[[#This Row],[Revenue]]-Table1[[#This Row],[Operating_Costs]]</f>
        <v>144670</v>
      </c>
      <c r="T3946">
        <v>684710</v>
      </c>
      <c r="U3946">
        <v>72</v>
      </c>
      <c r="V3946">
        <v>62</v>
      </c>
      <c r="W3946">
        <v>6.6</v>
      </c>
    </row>
    <row r="3947" spans="1:23" x14ac:dyDescent="0.25">
      <c r="A3947">
        <v>11</v>
      </c>
      <c r="B3947" t="s">
        <v>63</v>
      </c>
      <c r="C3947" s="1">
        <v>44250</v>
      </c>
      <c r="D3947" t="s">
        <v>71</v>
      </c>
      <c r="E3947">
        <v>0</v>
      </c>
      <c r="F3947">
        <v>73</v>
      </c>
      <c r="G3947" t="str">
        <f t="shared" si="69"/>
        <v>61-80</v>
      </c>
      <c r="H3947" t="s">
        <v>23</v>
      </c>
      <c r="I3947" t="s">
        <v>24</v>
      </c>
      <c r="J3947" t="s">
        <v>25</v>
      </c>
      <c r="K3947" t="s">
        <v>26</v>
      </c>
      <c r="L3947">
        <v>1</v>
      </c>
      <c r="M3947">
        <v>1</v>
      </c>
      <c r="N3947">
        <v>6.8</v>
      </c>
      <c r="O3947">
        <v>9.6</v>
      </c>
      <c r="P3947">
        <v>5</v>
      </c>
      <c r="Q3947">
        <v>4</v>
      </c>
      <c r="R3947">
        <v>787443</v>
      </c>
      <c r="S3947">
        <f>Table1[[#This Row],[Revenue]]-Table1[[#This Row],[Operating_Costs]]</f>
        <v>350694</v>
      </c>
      <c r="T3947">
        <v>436749</v>
      </c>
      <c r="U3947">
        <v>32</v>
      </c>
      <c r="V3947">
        <v>56</v>
      </c>
      <c r="W3947">
        <v>7.7</v>
      </c>
    </row>
    <row r="3948" spans="1:23" x14ac:dyDescent="0.25">
      <c r="A3948">
        <v>11</v>
      </c>
      <c r="B3948" t="s">
        <v>63</v>
      </c>
      <c r="C3948" s="1">
        <v>44288</v>
      </c>
      <c r="D3948" t="s">
        <v>71</v>
      </c>
      <c r="E3948">
        <v>0</v>
      </c>
      <c r="F3948">
        <v>78</v>
      </c>
      <c r="G3948" t="str">
        <f t="shared" si="69"/>
        <v>61-80</v>
      </c>
      <c r="H3948" t="s">
        <v>23</v>
      </c>
      <c r="I3948" t="s">
        <v>24</v>
      </c>
      <c r="J3948" t="s">
        <v>25</v>
      </c>
      <c r="K3948" t="s">
        <v>42</v>
      </c>
      <c r="L3948">
        <v>1</v>
      </c>
      <c r="M3948">
        <v>1</v>
      </c>
      <c r="N3948">
        <v>1.5</v>
      </c>
      <c r="O3948">
        <v>8.8000000000000007</v>
      </c>
      <c r="P3948">
        <v>3</v>
      </c>
      <c r="Q3948">
        <v>3</v>
      </c>
      <c r="R3948">
        <v>741358</v>
      </c>
      <c r="S3948">
        <f>Table1[[#This Row],[Revenue]]-Table1[[#This Row],[Operating_Costs]]</f>
        <v>304170</v>
      </c>
      <c r="T3948">
        <v>437188</v>
      </c>
      <c r="U3948">
        <v>28</v>
      </c>
      <c r="V3948">
        <v>56</v>
      </c>
      <c r="W3948">
        <v>14.3</v>
      </c>
    </row>
    <row r="3949" spans="1:23" x14ac:dyDescent="0.25">
      <c r="A3949">
        <v>12</v>
      </c>
      <c r="B3949" t="s">
        <v>66</v>
      </c>
      <c r="C3949" s="1">
        <v>44295</v>
      </c>
      <c r="D3949" t="s">
        <v>71</v>
      </c>
      <c r="E3949">
        <v>0</v>
      </c>
      <c r="F3949">
        <v>68</v>
      </c>
      <c r="G3949" t="str">
        <f t="shared" si="69"/>
        <v>61-80</v>
      </c>
      <c r="H3949" t="s">
        <v>23</v>
      </c>
      <c r="I3949" t="s">
        <v>27</v>
      </c>
      <c r="J3949" t="s">
        <v>28</v>
      </c>
      <c r="K3949" t="s">
        <v>38</v>
      </c>
      <c r="L3949">
        <v>1</v>
      </c>
      <c r="M3949">
        <v>1</v>
      </c>
      <c r="N3949">
        <v>5.9</v>
      </c>
      <c r="O3949">
        <v>7.3</v>
      </c>
      <c r="P3949">
        <v>7</v>
      </c>
      <c r="Q3949">
        <v>5</v>
      </c>
      <c r="R3949">
        <v>890954</v>
      </c>
      <c r="S3949">
        <f>Table1[[#This Row],[Revenue]]-Table1[[#This Row],[Operating_Costs]]</f>
        <v>369051</v>
      </c>
      <c r="T3949">
        <v>521903</v>
      </c>
      <c r="U3949">
        <v>60</v>
      </c>
      <c r="V3949">
        <v>59</v>
      </c>
      <c r="W3949">
        <v>12.6</v>
      </c>
    </row>
    <row r="3950" spans="1:23" x14ac:dyDescent="0.25">
      <c r="A3950">
        <v>12</v>
      </c>
      <c r="B3950" t="s">
        <v>66</v>
      </c>
      <c r="C3950" s="1">
        <v>45053</v>
      </c>
      <c r="D3950" t="s">
        <v>71</v>
      </c>
      <c r="E3950">
        <v>0</v>
      </c>
      <c r="F3950">
        <v>62</v>
      </c>
      <c r="G3950" t="str">
        <f t="shared" si="69"/>
        <v>61-80</v>
      </c>
      <c r="H3950" t="s">
        <v>23</v>
      </c>
      <c r="I3950" t="s">
        <v>50</v>
      </c>
      <c r="J3950" t="s">
        <v>51</v>
      </c>
      <c r="K3950" t="s">
        <v>29</v>
      </c>
      <c r="L3950">
        <v>1</v>
      </c>
      <c r="M3950">
        <v>1</v>
      </c>
      <c r="N3950">
        <v>3.4</v>
      </c>
      <c r="O3950">
        <v>7.9</v>
      </c>
      <c r="P3950">
        <v>3</v>
      </c>
      <c r="Q3950">
        <v>6</v>
      </c>
      <c r="R3950">
        <v>972844</v>
      </c>
      <c r="S3950">
        <f>Table1[[#This Row],[Revenue]]-Table1[[#This Row],[Operating_Costs]]</f>
        <v>356029</v>
      </c>
      <c r="T3950">
        <v>616815</v>
      </c>
      <c r="U3950">
        <v>63</v>
      </c>
      <c r="V3950">
        <v>56</v>
      </c>
      <c r="W3950">
        <v>10.9</v>
      </c>
    </row>
    <row r="3951" spans="1:23" x14ac:dyDescent="0.25">
      <c r="A3951">
        <v>11</v>
      </c>
      <c r="B3951" t="s">
        <v>63</v>
      </c>
      <c r="C3951" s="1">
        <v>45112</v>
      </c>
      <c r="D3951" t="s">
        <v>71</v>
      </c>
      <c r="E3951">
        <v>0</v>
      </c>
      <c r="F3951">
        <v>80</v>
      </c>
      <c r="G3951" t="str">
        <f t="shared" si="69"/>
        <v>61-80</v>
      </c>
      <c r="H3951" t="s">
        <v>23</v>
      </c>
      <c r="I3951" t="s">
        <v>24</v>
      </c>
      <c r="J3951" t="s">
        <v>25</v>
      </c>
      <c r="K3951" t="s">
        <v>29</v>
      </c>
      <c r="L3951">
        <v>1</v>
      </c>
      <c r="M3951">
        <v>1</v>
      </c>
      <c r="N3951">
        <v>5.8</v>
      </c>
      <c r="O3951">
        <v>9.9</v>
      </c>
      <c r="P3951">
        <v>7</v>
      </c>
      <c r="Q3951">
        <v>5</v>
      </c>
      <c r="R3951">
        <v>739103</v>
      </c>
      <c r="S3951">
        <f>Table1[[#This Row],[Revenue]]-Table1[[#This Row],[Operating_Costs]]</f>
        <v>215125</v>
      </c>
      <c r="T3951">
        <v>523978</v>
      </c>
      <c r="U3951">
        <v>30</v>
      </c>
      <c r="V3951">
        <v>61</v>
      </c>
      <c r="W3951">
        <v>15</v>
      </c>
    </row>
    <row r="3952" spans="1:23" x14ac:dyDescent="0.25">
      <c r="A3952">
        <v>11</v>
      </c>
      <c r="B3952" t="s">
        <v>63</v>
      </c>
      <c r="C3952" s="1">
        <v>44342</v>
      </c>
      <c r="D3952" t="s">
        <v>71</v>
      </c>
      <c r="E3952">
        <v>0</v>
      </c>
      <c r="F3952">
        <v>50</v>
      </c>
      <c r="G3952" t="str">
        <f t="shared" si="69"/>
        <v>41-60</v>
      </c>
      <c r="H3952" t="s">
        <v>23</v>
      </c>
      <c r="I3952" t="s">
        <v>55</v>
      </c>
      <c r="J3952" t="s">
        <v>56</v>
      </c>
      <c r="K3952" t="s">
        <v>26</v>
      </c>
      <c r="L3952">
        <v>1</v>
      </c>
      <c r="M3952">
        <v>1</v>
      </c>
      <c r="N3952">
        <v>1.5</v>
      </c>
      <c r="O3952">
        <v>7.7</v>
      </c>
      <c r="P3952">
        <v>6</v>
      </c>
      <c r="Q3952">
        <v>6</v>
      </c>
      <c r="R3952">
        <v>697420</v>
      </c>
      <c r="S3952">
        <f>Table1[[#This Row],[Revenue]]-Table1[[#This Row],[Operating_Costs]]</f>
        <v>249545</v>
      </c>
      <c r="T3952">
        <v>447875</v>
      </c>
      <c r="U3952">
        <v>31</v>
      </c>
      <c r="V3952">
        <v>55</v>
      </c>
      <c r="W3952">
        <v>7.2</v>
      </c>
    </row>
    <row r="3953" spans="1:23" x14ac:dyDescent="0.25">
      <c r="A3953">
        <v>12</v>
      </c>
      <c r="B3953" t="s">
        <v>66</v>
      </c>
      <c r="C3953" s="1">
        <v>44655</v>
      </c>
      <c r="D3953" t="s">
        <v>71</v>
      </c>
      <c r="E3953">
        <v>0</v>
      </c>
      <c r="F3953">
        <v>28</v>
      </c>
      <c r="G3953" t="str">
        <f t="shared" si="69"/>
        <v>21-40</v>
      </c>
      <c r="H3953" t="s">
        <v>23</v>
      </c>
      <c r="I3953" t="s">
        <v>31</v>
      </c>
      <c r="J3953" t="s">
        <v>28</v>
      </c>
      <c r="K3953" t="s">
        <v>26</v>
      </c>
      <c r="L3953">
        <v>1</v>
      </c>
      <c r="M3953">
        <v>1</v>
      </c>
      <c r="N3953">
        <v>3.2</v>
      </c>
      <c r="O3953">
        <v>7.6</v>
      </c>
      <c r="P3953">
        <v>6</v>
      </c>
      <c r="Q3953">
        <v>5</v>
      </c>
      <c r="R3953">
        <v>933164</v>
      </c>
      <c r="S3953">
        <f>Table1[[#This Row],[Revenue]]-Table1[[#This Row],[Operating_Costs]]</f>
        <v>352327</v>
      </c>
      <c r="T3953">
        <v>580837</v>
      </c>
      <c r="U3953">
        <v>78</v>
      </c>
      <c r="V3953">
        <v>60</v>
      </c>
      <c r="W3953">
        <v>13.2</v>
      </c>
    </row>
    <row r="3954" spans="1:23" x14ac:dyDescent="0.25">
      <c r="A3954">
        <v>11</v>
      </c>
      <c r="B3954" t="s">
        <v>63</v>
      </c>
      <c r="C3954" s="1">
        <v>44304</v>
      </c>
      <c r="D3954" t="s">
        <v>71</v>
      </c>
      <c r="E3954">
        <v>0</v>
      </c>
      <c r="F3954">
        <v>64</v>
      </c>
      <c r="G3954" t="str">
        <f t="shared" si="69"/>
        <v>61-80</v>
      </c>
      <c r="H3954" t="s">
        <v>35</v>
      </c>
      <c r="I3954" t="s">
        <v>36</v>
      </c>
      <c r="J3954" t="s">
        <v>37</v>
      </c>
      <c r="K3954" t="s">
        <v>42</v>
      </c>
      <c r="L3954">
        <v>1</v>
      </c>
      <c r="M3954">
        <v>1</v>
      </c>
      <c r="N3954">
        <v>6.3</v>
      </c>
      <c r="O3954">
        <v>9.4</v>
      </c>
      <c r="P3954">
        <v>5</v>
      </c>
      <c r="Q3954">
        <v>7</v>
      </c>
      <c r="R3954">
        <v>717120</v>
      </c>
      <c r="S3954">
        <f>Table1[[#This Row],[Revenue]]-Table1[[#This Row],[Operating_Costs]]</f>
        <v>256037</v>
      </c>
      <c r="T3954">
        <v>461083</v>
      </c>
      <c r="U3954">
        <v>32</v>
      </c>
      <c r="V3954">
        <v>61</v>
      </c>
      <c r="W3954">
        <v>9.9</v>
      </c>
    </row>
    <row r="3955" spans="1:23" x14ac:dyDescent="0.25">
      <c r="A3955">
        <v>12</v>
      </c>
      <c r="B3955" t="s">
        <v>66</v>
      </c>
      <c r="C3955" s="1">
        <v>45288</v>
      </c>
      <c r="D3955" t="s">
        <v>71</v>
      </c>
      <c r="E3955">
        <v>0</v>
      </c>
      <c r="F3955">
        <v>33</v>
      </c>
      <c r="G3955" t="str">
        <f t="shared" si="69"/>
        <v>21-40</v>
      </c>
      <c r="H3955" t="s">
        <v>35</v>
      </c>
      <c r="I3955" t="s">
        <v>36</v>
      </c>
      <c r="J3955" t="s">
        <v>37</v>
      </c>
      <c r="K3955" t="s">
        <v>29</v>
      </c>
      <c r="L3955">
        <v>1</v>
      </c>
      <c r="M3955">
        <v>1</v>
      </c>
      <c r="N3955">
        <v>6.4</v>
      </c>
      <c r="O3955">
        <v>7.9</v>
      </c>
      <c r="P3955">
        <v>4</v>
      </c>
      <c r="Q3955">
        <v>4</v>
      </c>
      <c r="R3955">
        <v>843226</v>
      </c>
      <c r="S3955">
        <f>Table1[[#This Row],[Revenue]]-Table1[[#This Row],[Operating_Costs]]</f>
        <v>206381</v>
      </c>
      <c r="T3955">
        <v>636845</v>
      </c>
      <c r="U3955">
        <v>71</v>
      </c>
      <c r="V3955">
        <v>62</v>
      </c>
      <c r="W3955">
        <v>13.2</v>
      </c>
    </row>
    <row r="3956" spans="1:23" x14ac:dyDescent="0.25">
      <c r="A3956">
        <v>11</v>
      </c>
      <c r="B3956" t="s">
        <v>63</v>
      </c>
      <c r="C3956" s="1">
        <v>45501</v>
      </c>
      <c r="D3956" t="s">
        <v>71</v>
      </c>
      <c r="E3956">
        <v>0</v>
      </c>
      <c r="F3956">
        <v>28</v>
      </c>
      <c r="G3956" t="str">
        <f t="shared" si="69"/>
        <v>21-40</v>
      </c>
      <c r="H3956" t="s">
        <v>35</v>
      </c>
      <c r="I3956" t="s">
        <v>36</v>
      </c>
      <c r="J3956" t="s">
        <v>37</v>
      </c>
      <c r="K3956" t="s">
        <v>42</v>
      </c>
      <c r="L3956">
        <v>1</v>
      </c>
      <c r="M3956">
        <v>1</v>
      </c>
      <c r="N3956">
        <v>4.2</v>
      </c>
      <c r="O3956">
        <v>8.5</v>
      </c>
      <c r="P3956">
        <v>6</v>
      </c>
      <c r="Q3956">
        <v>7</v>
      </c>
      <c r="R3956">
        <v>645635</v>
      </c>
      <c r="S3956">
        <f>Table1[[#This Row],[Revenue]]-Table1[[#This Row],[Operating_Costs]]</f>
        <v>176663</v>
      </c>
      <c r="T3956">
        <v>468972</v>
      </c>
      <c r="U3956">
        <v>30</v>
      </c>
      <c r="V3956">
        <v>65</v>
      </c>
      <c r="W3956">
        <v>9.4</v>
      </c>
    </row>
    <row r="3957" spans="1:23" x14ac:dyDescent="0.25">
      <c r="A3957">
        <v>11</v>
      </c>
      <c r="B3957" t="s">
        <v>63</v>
      </c>
      <c r="C3957" s="1">
        <v>44306</v>
      </c>
      <c r="D3957" t="s">
        <v>71</v>
      </c>
      <c r="E3957">
        <v>0</v>
      </c>
      <c r="F3957">
        <v>90</v>
      </c>
      <c r="G3957" t="str">
        <f t="shared" si="69"/>
        <v>81+</v>
      </c>
      <c r="H3957" t="s">
        <v>35</v>
      </c>
      <c r="I3957" t="s">
        <v>60</v>
      </c>
      <c r="J3957" t="s">
        <v>59</v>
      </c>
      <c r="K3957" t="s">
        <v>33</v>
      </c>
      <c r="L3957">
        <v>1</v>
      </c>
      <c r="M3957">
        <v>1</v>
      </c>
      <c r="N3957">
        <v>5.9</v>
      </c>
      <c r="O3957">
        <v>8.5</v>
      </c>
      <c r="P3957">
        <v>6</v>
      </c>
      <c r="Q3957">
        <v>3</v>
      </c>
      <c r="R3957">
        <v>730385</v>
      </c>
      <c r="S3957">
        <f>Table1[[#This Row],[Revenue]]-Table1[[#This Row],[Operating_Costs]]</f>
        <v>298462</v>
      </c>
      <c r="T3957">
        <v>431923</v>
      </c>
      <c r="U3957">
        <v>20</v>
      </c>
      <c r="V3957">
        <v>61</v>
      </c>
      <c r="W3957">
        <v>6.8</v>
      </c>
    </row>
    <row r="3958" spans="1:23" x14ac:dyDescent="0.25">
      <c r="A3958">
        <v>12</v>
      </c>
      <c r="B3958" t="s">
        <v>66</v>
      </c>
      <c r="C3958" s="1">
        <v>44975</v>
      </c>
      <c r="D3958" t="s">
        <v>71</v>
      </c>
      <c r="E3958">
        <v>0</v>
      </c>
      <c r="F3958">
        <v>57</v>
      </c>
      <c r="G3958" t="str">
        <f t="shared" si="69"/>
        <v>41-60</v>
      </c>
      <c r="H3958" t="s">
        <v>23</v>
      </c>
      <c r="I3958" t="s">
        <v>55</v>
      </c>
      <c r="J3958" t="s">
        <v>56</v>
      </c>
      <c r="K3958" t="s">
        <v>26</v>
      </c>
      <c r="L3958">
        <v>1</v>
      </c>
      <c r="M3958">
        <v>1</v>
      </c>
      <c r="N3958">
        <v>6.3</v>
      </c>
      <c r="O3958">
        <v>7.6</v>
      </c>
      <c r="P3958">
        <v>4</v>
      </c>
      <c r="Q3958">
        <v>5</v>
      </c>
      <c r="R3958">
        <v>892100</v>
      </c>
      <c r="S3958">
        <f>Table1[[#This Row],[Revenue]]-Table1[[#This Row],[Operating_Costs]]</f>
        <v>207580</v>
      </c>
      <c r="T3958">
        <v>684520</v>
      </c>
      <c r="U3958">
        <v>56</v>
      </c>
      <c r="V3958">
        <v>56</v>
      </c>
      <c r="W3958">
        <v>14.5</v>
      </c>
    </row>
    <row r="3959" spans="1:23" x14ac:dyDescent="0.25">
      <c r="A3959">
        <v>12</v>
      </c>
      <c r="B3959" t="s">
        <v>66</v>
      </c>
      <c r="C3959" s="1">
        <v>45506</v>
      </c>
      <c r="D3959" t="s">
        <v>71</v>
      </c>
      <c r="E3959">
        <v>0</v>
      </c>
      <c r="F3959">
        <v>82</v>
      </c>
      <c r="G3959" t="str">
        <f t="shared" si="69"/>
        <v>81+</v>
      </c>
      <c r="H3959" t="s">
        <v>35</v>
      </c>
      <c r="I3959" t="s">
        <v>40</v>
      </c>
      <c r="J3959" t="s">
        <v>41</v>
      </c>
      <c r="K3959" t="s">
        <v>42</v>
      </c>
      <c r="L3959">
        <v>1</v>
      </c>
      <c r="M3959">
        <v>1</v>
      </c>
      <c r="N3959">
        <v>4.3</v>
      </c>
      <c r="O3959">
        <v>7.3</v>
      </c>
      <c r="P3959">
        <v>4</v>
      </c>
      <c r="Q3959">
        <v>3</v>
      </c>
      <c r="R3959">
        <v>938343</v>
      </c>
      <c r="S3959">
        <f>Table1[[#This Row],[Revenue]]-Table1[[#This Row],[Operating_Costs]]</f>
        <v>303795</v>
      </c>
      <c r="T3959">
        <v>634548</v>
      </c>
      <c r="U3959">
        <v>76</v>
      </c>
      <c r="V3959">
        <v>56</v>
      </c>
      <c r="W3959">
        <v>12.7</v>
      </c>
    </row>
    <row r="3960" spans="1:23" x14ac:dyDescent="0.25">
      <c r="A3960">
        <v>12</v>
      </c>
      <c r="B3960" t="s">
        <v>66</v>
      </c>
      <c r="C3960" s="1">
        <v>45280</v>
      </c>
      <c r="D3960" t="s">
        <v>71</v>
      </c>
      <c r="E3960">
        <v>0</v>
      </c>
      <c r="F3960">
        <v>69</v>
      </c>
      <c r="G3960" t="str">
        <f t="shared" si="69"/>
        <v>61-80</v>
      </c>
      <c r="H3960" t="s">
        <v>35</v>
      </c>
      <c r="I3960" t="s">
        <v>58</v>
      </c>
      <c r="J3960" t="s">
        <v>59</v>
      </c>
      <c r="K3960" t="s">
        <v>26</v>
      </c>
      <c r="L3960">
        <v>1</v>
      </c>
      <c r="M3960">
        <v>1</v>
      </c>
      <c r="N3960">
        <v>1.8</v>
      </c>
      <c r="O3960">
        <v>8.1999999999999993</v>
      </c>
      <c r="P3960">
        <v>6</v>
      </c>
      <c r="Q3960">
        <v>6</v>
      </c>
      <c r="R3960">
        <v>920873</v>
      </c>
      <c r="S3960">
        <f>Table1[[#This Row],[Revenue]]-Table1[[#This Row],[Operating_Costs]]</f>
        <v>324250</v>
      </c>
      <c r="T3960">
        <v>596623</v>
      </c>
      <c r="U3960">
        <v>55</v>
      </c>
      <c r="V3960">
        <v>64</v>
      </c>
      <c r="W3960">
        <v>9</v>
      </c>
    </row>
    <row r="3961" spans="1:23" x14ac:dyDescent="0.25">
      <c r="A3961">
        <v>12</v>
      </c>
      <c r="B3961" t="s">
        <v>66</v>
      </c>
      <c r="C3961" s="1">
        <v>44299</v>
      </c>
      <c r="D3961" t="s">
        <v>71</v>
      </c>
      <c r="E3961">
        <v>0</v>
      </c>
      <c r="F3961">
        <v>56</v>
      </c>
      <c r="G3961" t="str">
        <f t="shared" si="69"/>
        <v>41-60</v>
      </c>
      <c r="H3961" t="s">
        <v>23</v>
      </c>
      <c r="I3961" t="s">
        <v>61</v>
      </c>
      <c r="J3961" t="s">
        <v>62</v>
      </c>
      <c r="K3961" t="s">
        <v>38</v>
      </c>
      <c r="L3961">
        <v>1</v>
      </c>
      <c r="M3961">
        <v>1</v>
      </c>
      <c r="N3961">
        <v>1.8</v>
      </c>
      <c r="O3961">
        <v>7.9</v>
      </c>
      <c r="P3961">
        <v>5</v>
      </c>
      <c r="Q3961">
        <v>6</v>
      </c>
      <c r="R3961">
        <v>883650</v>
      </c>
      <c r="S3961">
        <f>Table1[[#This Row],[Revenue]]-Table1[[#This Row],[Operating_Costs]]</f>
        <v>275856</v>
      </c>
      <c r="T3961">
        <v>607794</v>
      </c>
      <c r="U3961">
        <v>69</v>
      </c>
      <c r="V3961">
        <v>65</v>
      </c>
      <c r="W3961">
        <v>6.9</v>
      </c>
    </row>
    <row r="3962" spans="1:23" x14ac:dyDescent="0.25">
      <c r="A3962">
        <v>11</v>
      </c>
      <c r="B3962" t="s">
        <v>63</v>
      </c>
      <c r="C3962" s="1">
        <v>45277</v>
      </c>
      <c r="D3962" t="s">
        <v>71</v>
      </c>
      <c r="E3962">
        <v>0</v>
      </c>
      <c r="F3962">
        <v>74</v>
      </c>
      <c r="G3962" t="str">
        <f t="shared" si="69"/>
        <v>61-80</v>
      </c>
      <c r="H3962" t="s">
        <v>35</v>
      </c>
      <c r="I3962" t="s">
        <v>61</v>
      </c>
      <c r="J3962" t="s">
        <v>62</v>
      </c>
      <c r="K3962" t="s">
        <v>29</v>
      </c>
      <c r="L3962">
        <v>1</v>
      </c>
      <c r="M3962">
        <v>1</v>
      </c>
      <c r="N3962">
        <v>1.8</v>
      </c>
      <c r="O3962">
        <v>8.5</v>
      </c>
      <c r="P3962">
        <v>7</v>
      </c>
      <c r="Q3962">
        <v>3</v>
      </c>
      <c r="R3962">
        <v>708436</v>
      </c>
      <c r="S3962">
        <f>Table1[[#This Row],[Revenue]]-Table1[[#This Row],[Operating_Costs]]</f>
        <v>134695</v>
      </c>
      <c r="T3962">
        <v>573741</v>
      </c>
      <c r="U3962">
        <v>21</v>
      </c>
      <c r="V3962">
        <v>64</v>
      </c>
      <c r="W3962">
        <v>5.9</v>
      </c>
    </row>
    <row r="3963" spans="1:23" x14ac:dyDescent="0.25">
      <c r="A3963">
        <v>12</v>
      </c>
      <c r="B3963" t="s">
        <v>66</v>
      </c>
      <c r="C3963" s="1">
        <v>45042</v>
      </c>
      <c r="D3963" t="s">
        <v>71</v>
      </c>
      <c r="E3963">
        <v>0</v>
      </c>
      <c r="F3963">
        <v>44</v>
      </c>
      <c r="G3963" t="str">
        <f t="shared" si="69"/>
        <v>41-60</v>
      </c>
      <c r="H3963" t="s">
        <v>35</v>
      </c>
      <c r="I3963" t="s">
        <v>40</v>
      </c>
      <c r="J3963" t="s">
        <v>41</v>
      </c>
      <c r="K3963" t="s">
        <v>42</v>
      </c>
      <c r="L3963">
        <v>1</v>
      </c>
      <c r="M3963">
        <v>1</v>
      </c>
      <c r="N3963">
        <v>5.2</v>
      </c>
      <c r="O3963">
        <v>8</v>
      </c>
      <c r="P3963">
        <v>6</v>
      </c>
      <c r="Q3963">
        <v>3</v>
      </c>
      <c r="R3963">
        <v>820733</v>
      </c>
      <c r="S3963">
        <f>Table1[[#This Row],[Revenue]]-Table1[[#This Row],[Operating_Costs]]</f>
        <v>161073</v>
      </c>
      <c r="T3963">
        <v>659660</v>
      </c>
      <c r="U3963">
        <v>56</v>
      </c>
      <c r="V3963">
        <v>64</v>
      </c>
      <c r="W3963">
        <v>13.5</v>
      </c>
    </row>
    <row r="3964" spans="1:23" x14ac:dyDescent="0.25">
      <c r="A3964">
        <v>11</v>
      </c>
      <c r="B3964" t="s">
        <v>63</v>
      </c>
      <c r="C3964" s="1">
        <v>45586</v>
      </c>
      <c r="D3964" t="s">
        <v>71</v>
      </c>
      <c r="E3964">
        <v>0</v>
      </c>
      <c r="F3964">
        <v>33</v>
      </c>
      <c r="G3964" t="str">
        <f t="shared" si="69"/>
        <v>21-40</v>
      </c>
      <c r="H3964" t="s">
        <v>35</v>
      </c>
      <c r="I3964" t="s">
        <v>40</v>
      </c>
      <c r="J3964" t="s">
        <v>41</v>
      </c>
      <c r="K3964" t="s">
        <v>38</v>
      </c>
      <c r="L3964">
        <v>1</v>
      </c>
      <c r="M3964">
        <v>1</v>
      </c>
      <c r="N3964">
        <v>6.6</v>
      </c>
      <c r="O3964">
        <v>9.8000000000000007</v>
      </c>
      <c r="P3964">
        <v>5</v>
      </c>
      <c r="Q3964">
        <v>5</v>
      </c>
      <c r="R3964">
        <v>724007</v>
      </c>
      <c r="S3964">
        <f>Table1[[#This Row],[Revenue]]-Table1[[#This Row],[Operating_Costs]]</f>
        <v>292371</v>
      </c>
      <c r="T3964">
        <v>431636</v>
      </c>
      <c r="U3964">
        <v>24</v>
      </c>
      <c r="V3964">
        <v>54</v>
      </c>
      <c r="W3964">
        <v>13.7</v>
      </c>
    </row>
    <row r="3965" spans="1:23" x14ac:dyDescent="0.25">
      <c r="A3965">
        <v>11</v>
      </c>
      <c r="B3965" t="s">
        <v>63</v>
      </c>
      <c r="C3965" s="1">
        <v>44835</v>
      </c>
      <c r="D3965" t="s">
        <v>71</v>
      </c>
      <c r="E3965">
        <v>0</v>
      </c>
      <c r="F3965">
        <v>32</v>
      </c>
      <c r="G3965" t="str">
        <f t="shared" si="69"/>
        <v>21-40</v>
      </c>
      <c r="H3965" t="s">
        <v>23</v>
      </c>
      <c r="I3965" t="s">
        <v>27</v>
      </c>
      <c r="J3965" t="s">
        <v>28</v>
      </c>
      <c r="K3965" t="s">
        <v>26</v>
      </c>
      <c r="L3965">
        <v>1</v>
      </c>
      <c r="M3965">
        <v>1</v>
      </c>
      <c r="N3965">
        <v>4</v>
      </c>
      <c r="O3965">
        <v>8.9</v>
      </c>
      <c r="P3965">
        <v>5</v>
      </c>
      <c r="Q3965">
        <v>5</v>
      </c>
      <c r="R3965">
        <v>625475</v>
      </c>
      <c r="S3965">
        <f>Table1[[#This Row],[Revenue]]-Table1[[#This Row],[Operating_Costs]]</f>
        <v>85442</v>
      </c>
      <c r="T3965">
        <v>540033</v>
      </c>
      <c r="U3965">
        <v>22</v>
      </c>
      <c r="V3965">
        <v>56</v>
      </c>
      <c r="W3965">
        <v>8.1</v>
      </c>
    </row>
    <row r="3966" spans="1:23" x14ac:dyDescent="0.25">
      <c r="A3966">
        <v>12</v>
      </c>
      <c r="B3966" t="s">
        <v>66</v>
      </c>
      <c r="C3966" s="1">
        <v>45364</v>
      </c>
      <c r="D3966" t="s">
        <v>71</v>
      </c>
      <c r="E3966">
        <v>0</v>
      </c>
      <c r="F3966">
        <v>33</v>
      </c>
      <c r="G3966" t="str">
        <f t="shared" si="69"/>
        <v>21-40</v>
      </c>
      <c r="H3966" t="s">
        <v>35</v>
      </c>
      <c r="I3966" t="s">
        <v>60</v>
      </c>
      <c r="J3966" t="s">
        <v>59</v>
      </c>
      <c r="K3966" t="s">
        <v>42</v>
      </c>
      <c r="L3966">
        <v>1</v>
      </c>
      <c r="M3966">
        <v>1</v>
      </c>
      <c r="N3966">
        <v>1.1000000000000001</v>
      </c>
      <c r="O3966">
        <v>9.5</v>
      </c>
      <c r="P3966">
        <v>3</v>
      </c>
      <c r="Q3966">
        <v>7</v>
      </c>
      <c r="R3966">
        <v>895049</v>
      </c>
      <c r="S3966">
        <f>Table1[[#This Row],[Revenue]]-Table1[[#This Row],[Operating_Costs]]</f>
        <v>237821</v>
      </c>
      <c r="T3966">
        <v>657228</v>
      </c>
      <c r="U3966">
        <v>73</v>
      </c>
      <c r="V3966">
        <v>62</v>
      </c>
      <c r="W3966">
        <v>9.3000000000000007</v>
      </c>
    </row>
    <row r="3967" spans="1:23" x14ac:dyDescent="0.25">
      <c r="A3967">
        <v>11</v>
      </c>
      <c r="B3967" t="s">
        <v>63</v>
      </c>
      <c r="C3967" s="1">
        <v>45093</v>
      </c>
      <c r="D3967" t="s">
        <v>71</v>
      </c>
      <c r="E3967">
        <v>0</v>
      </c>
      <c r="F3967">
        <v>29</v>
      </c>
      <c r="G3967" t="str">
        <f t="shared" si="69"/>
        <v>21-40</v>
      </c>
      <c r="H3967" t="s">
        <v>35</v>
      </c>
      <c r="I3967" t="s">
        <v>31</v>
      </c>
      <c r="J3967" t="s">
        <v>28</v>
      </c>
      <c r="K3967" t="s">
        <v>38</v>
      </c>
      <c r="L3967">
        <v>1</v>
      </c>
      <c r="M3967">
        <v>1</v>
      </c>
      <c r="N3967">
        <v>2.4</v>
      </c>
      <c r="O3967">
        <v>8.3000000000000007</v>
      </c>
      <c r="P3967">
        <v>6</v>
      </c>
      <c r="Q3967">
        <v>3</v>
      </c>
      <c r="R3967">
        <v>659468</v>
      </c>
      <c r="S3967">
        <f>Table1[[#This Row],[Revenue]]-Table1[[#This Row],[Operating_Costs]]</f>
        <v>176904</v>
      </c>
      <c r="T3967">
        <v>482564</v>
      </c>
      <c r="U3967">
        <v>20</v>
      </c>
      <c r="V3967">
        <v>63</v>
      </c>
      <c r="W3967">
        <v>10.199999999999999</v>
      </c>
    </row>
    <row r="3968" spans="1:23" x14ac:dyDescent="0.25">
      <c r="A3968">
        <v>12</v>
      </c>
      <c r="B3968" t="s">
        <v>66</v>
      </c>
      <c r="C3968" s="1">
        <v>45056</v>
      </c>
      <c r="D3968" t="s">
        <v>71</v>
      </c>
      <c r="E3968">
        <v>0</v>
      </c>
      <c r="F3968">
        <v>63</v>
      </c>
      <c r="G3968" t="str">
        <f t="shared" si="69"/>
        <v>61-80</v>
      </c>
      <c r="H3968" t="s">
        <v>35</v>
      </c>
      <c r="I3968" t="s">
        <v>31</v>
      </c>
      <c r="J3968" t="s">
        <v>28</v>
      </c>
      <c r="K3968" t="s">
        <v>33</v>
      </c>
      <c r="L3968">
        <v>1</v>
      </c>
      <c r="M3968">
        <v>1</v>
      </c>
      <c r="N3968">
        <v>2</v>
      </c>
      <c r="O3968">
        <v>7.3</v>
      </c>
      <c r="P3968">
        <v>5</v>
      </c>
      <c r="Q3968">
        <v>4</v>
      </c>
      <c r="R3968">
        <v>801926</v>
      </c>
      <c r="S3968">
        <f>Table1[[#This Row],[Revenue]]-Table1[[#This Row],[Operating_Costs]]</f>
        <v>114516</v>
      </c>
      <c r="T3968">
        <v>687410</v>
      </c>
      <c r="U3968">
        <v>67</v>
      </c>
      <c r="V3968">
        <v>66</v>
      </c>
      <c r="W3968">
        <v>10.199999999999999</v>
      </c>
    </row>
    <row r="3969" spans="1:23" x14ac:dyDescent="0.25">
      <c r="A3969">
        <v>12</v>
      </c>
      <c r="B3969" t="s">
        <v>66</v>
      </c>
      <c r="C3969" s="1">
        <v>45404</v>
      </c>
      <c r="D3969" t="s">
        <v>71</v>
      </c>
      <c r="E3969">
        <v>0</v>
      </c>
      <c r="F3969">
        <v>39</v>
      </c>
      <c r="G3969" t="str">
        <f t="shared" si="69"/>
        <v>21-40</v>
      </c>
      <c r="H3969" t="s">
        <v>35</v>
      </c>
      <c r="I3969" t="s">
        <v>40</v>
      </c>
      <c r="J3969" t="s">
        <v>41</v>
      </c>
      <c r="K3969" t="s">
        <v>38</v>
      </c>
      <c r="L3969">
        <v>1</v>
      </c>
      <c r="M3969">
        <v>1</v>
      </c>
      <c r="N3969">
        <v>5.8</v>
      </c>
      <c r="O3969">
        <v>7.3</v>
      </c>
      <c r="P3969">
        <v>7</v>
      </c>
      <c r="Q3969">
        <v>6</v>
      </c>
      <c r="R3969">
        <v>877727</v>
      </c>
      <c r="S3969">
        <f>Table1[[#This Row],[Revenue]]-Table1[[#This Row],[Operating_Costs]]</f>
        <v>222107</v>
      </c>
      <c r="T3969">
        <v>655620</v>
      </c>
      <c r="U3969">
        <v>64</v>
      </c>
      <c r="V3969">
        <v>57</v>
      </c>
      <c r="W3969">
        <v>5.6</v>
      </c>
    </row>
    <row r="3970" spans="1:23" x14ac:dyDescent="0.25">
      <c r="A3970">
        <v>12</v>
      </c>
      <c r="B3970" t="s">
        <v>66</v>
      </c>
      <c r="C3970" s="1">
        <v>44600</v>
      </c>
      <c r="D3970" t="s">
        <v>71</v>
      </c>
      <c r="E3970">
        <v>0</v>
      </c>
      <c r="F3970">
        <v>84</v>
      </c>
      <c r="G3970" t="str">
        <f t="shared" si="69"/>
        <v>81+</v>
      </c>
      <c r="H3970" t="s">
        <v>35</v>
      </c>
      <c r="I3970" t="s">
        <v>46</v>
      </c>
      <c r="J3970" t="s">
        <v>47</v>
      </c>
      <c r="K3970" t="s">
        <v>33</v>
      </c>
      <c r="L3970">
        <v>1</v>
      </c>
      <c r="M3970">
        <v>1</v>
      </c>
      <c r="N3970">
        <v>4.0999999999999996</v>
      </c>
      <c r="O3970">
        <v>7.8</v>
      </c>
      <c r="P3970">
        <v>5</v>
      </c>
      <c r="Q3970">
        <v>7</v>
      </c>
      <c r="R3970">
        <v>814083</v>
      </c>
      <c r="S3970">
        <f>Table1[[#This Row],[Revenue]]-Table1[[#This Row],[Operating_Costs]]</f>
        <v>304481</v>
      </c>
      <c r="T3970">
        <v>509602</v>
      </c>
      <c r="U3970">
        <v>62</v>
      </c>
      <c r="V3970">
        <v>63</v>
      </c>
      <c r="W3970">
        <v>14.5</v>
      </c>
    </row>
    <row r="3971" spans="1:23" x14ac:dyDescent="0.25">
      <c r="A3971">
        <v>11</v>
      </c>
      <c r="B3971" t="s">
        <v>63</v>
      </c>
      <c r="C3971" s="1">
        <v>45649</v>
      </c>
      <c r="D3971" t="s">
        <v>71</v>
      </c>
      <c r="E3971">
        <v>0</v>
      </c>
      <c r="F3971">
        <v>26</v>
      </c>
      <c r="G3971" t="str">
        <f t="shared" ref="G3971:G4034" si="70">IF(F3971&lt;=20,"0-20",IF(F3971&lt;=40,"21-40",IF(F3971&lt;=60,"41-60",IF(F3971&lt;=80,"61-80","81+"))))</f>
        <v>21-40</v>
      </c>
      <c r="H3971" t="s">
        <v>35</v>
      </c>
      <c r="I3971" t="s">
        <v>36</v>
      </c>
      <c r="J3971" t="s">
        <v>37</v>
      </c>
      <c r="K3971" t="s">
        <v>33</v>
      </c>
      <c r="L3971">
        <v>1</v>
      </c>
      <c r="M3971">
        <v>1</v>
      </c>
      <c r="N3971">
        <v>5</v>
      </c>
      <c r="O3971">
        <v>8.8000000000000007</v>
      </c>
      <c r="P3971">
        <v>6</v>
      </c>
      <c r="Q3971">
        <v>7</v>
      </c>
      <c r="R3971">
        <v>635856</v>
      </c>
      <c r="S3971">
        <f>Table1[[#This Row],[Revenue]]-Table1[[#This Row],[Operating_Costs]]</f>
        <v>88633</v>
      </c>
      <c r="T3971">
        <v>547223</v>
      </c>
      <c r="U3971">
        <v>33</v>
      </c>
      <c r="V3971">
        <v>62</v>
      </c>
      <c r="W3971">
        <v>5.0999999999999996</v>
      </c>
    </row>
    <row r="3972" spans="1:23" x14ac:dyDescent="0.25">
      <c r="A3972">
        <v>12</v>
      </c>
      <c r="B3972" t="s">
        <v>66</v>
      </c>
      <c r="C3972" s="1">
        <v>45386</v>
      </c>
      <c r="D3972" t="s">
        <v>71</v>
      </c>
      <c r="E3972">
        <v>0</v>
      </c>
      <c r="F3972">
        <v>52</v>
      </c>
      <c r="G3972" t="str">
        <f t="shared" si="70"/>
        <v>41-60</v>
      </c>
      <c r="H3972" t="s">
        <v>35</v>
      </c>
      <c r="I3972" t="s">
        <v>60</v>
      </c>
      <c r="J3972" t="s">
        <v>59</v>
      </c>
      <c r="K3972" t="s">
        <v>42</v>
      </c>
      <c r="L3972">
        <v>1</v>
      </c>
      <c r="M3972">
        <v>1</v>
      </c>
      <c r="N3972">
        <v>3.7</v>
      </c>
      <c r="O3972">
        <v>9.9</v>
      </c>
      <c r="P3972">
        <v>7</v>
      </c>
      <c r="Q3972">
        <v>6</v>
      </c>
      <c r="R3972">
        <v>879221</v>
      </c>
      <c r="S3972">
        <f>Table1[[#This Row],[Revenue]]-Table1[[#This Row],[Operating_Costs]]</f>
        <v>209898</v>
      </c>
      <c r="T3972">
        <v>669323</v>
      </c>
      <c r="U3972">
        <v>68</v>
      </c>
      <c r="V3972">
        <v>60</v>
      </c>
      <c r="W3972">
        <v>14.2</v>
      </c>
    </row>
    <row r="3973" spans="1:23" x14ac:dyDescent="0.25">
      <c r="A3973">
        <v>12</v>
      </c>
      <c r="B3973" t="s">
        <v>66</v>
      </c>
      <c r="C3973" s="1">
        <v>45019</v>
      </c>
      <c r="D3973" t="s">
        <v>71</v>
      </c>
      <c r="E3973">
        <v>0</v>
      </c>
      <c r="F3973">
        <v>51</v>
      </c>
      <c r="G3973" t="str">
        <f t="shared" si="70"/>
        <v>41-60</v>
      </c>
      <c r="H3973" t="s">
        <v>35</v>
      </c>
      <c r="I3973" t="s">
        <v>27</v>
      </c>
      <c r="J3973" t="s">
        <v>28</v>
      </c>
      <c r="K3973" t="s">
        <v>42</v>
      </c>
      <c r="L3973">
        <v>1</v>
      </c>
      <c r="M3973">
        <v>1</v>
      </c>
      <c r="N3973">
        <v>1.2</v>
      </c>
      <c r="O3973">
        <v>9.1</v>
      </c>
      <c r="P3973">
        <v>3</v>
      </c>
      <c r="Q3973">
        <v>3</v>
      </c>
      <c r="R3973">
        <v>986514</v>
      </c>
      <c r="S3973">
        <f>Table1[[#This Row],[Revenue]]-Table1[[#This Row],[Operating_Costs]]</f>
        <v>374019</v>
      </c>
      <c r="T3973">
        <v>612495</v>
      </c>
      <c r="U3973">
        <v>62</v>
      </c>
      <c r="V3973">
        <v>64</v>
      </c>
      <c r="W3973">
        <v>36.700000000000003</v>
      </c>
    </row>
    <row r="3974" spans="1:23" x14ac:dyDescent="0.25">
      <c r="A3974">
        <v>12</v>
      </c>
      <c r="B3974" t="s">
        <v>66</v>
      </c>
      <c r="C3974" s="1">
        <v>44887</v>
      </c>
      <c r="D3974" t="s">
        <v>71</v>
      </c>
      <c r="E3974">
        <v>0</v>
      </c>
      <c r="F3974">
        <v>69</v>
      </c>
      <c r="G3974" t="str">
        <f t="shared" si="70"/>
        <v>61-80</v>
      </c>
      <c r="H3974" t="s">
        <v>35</v>
      </c>
      <c r="I3974" t="s">
        <v>64</v>
      </c>
      <c r="J3974" t="s">
        <v>65</v>
      </c>
      <c r="K3974" t="s">
        <v>38</v>
      </c>
      <c r="L3974">
        <v>1</v>
      </c>
      <c r="M3974">
        <v>1</v>
      </c>
      <c r="N3974">
        <v>4.2</v>
      </c>
      <c r="O3974">
        <v>8</v>
      </c>
      <c r="P3974">
        <v>5</v>
      </c>
      <c r="Q3974">
        <v>3</v>
      </c>
      <c r="R3974">
        <v>994283</v>
      </c>
      <c r="S3974">
        <f>Table1[[#This Row],[Revenue]]-Table1[[#This Row],[Operating_Costs]]</f>
        <v>335159</v>
      </c>
      <c r="T3974">
        <v>659124</v>
      </c>
      <c r="U3974">
        <v>77</v>
      </c>
      <c r="V3974">
        <v>56</v>
      </c>
      <c r="W3974">
        <v>12.9</v>
      </c>
    </row>
    <row r="3975" spans="1:23" x14ac:dyDescent="0.25">
      <c r="A3975">
        <v>12</v>
      </c>
      <c r="B3975" t="s">
        <v>66</v>
      </c>
      <c r="C3975" s="1">
        <v>44744</v>
      </c>
      <c r="D3975" t="s">
        <v>71</v>
      </c>
      <c r="E3975">
        <v>0</v>
      </c>
      <c r="F3975">
        <v>88</v>
      </c>
      <c r="G3975" t="str">
        <f t="shared" si="70"/>
        <v>81+</v>
      </c>
      <c r="H3975" t="s">
        <v>23</v>
      </c>
      <c r="I3975" t="s">
        <v>64</v>
      </c>
      <c r="J3975" t="s">
        <v>65</v>
      </c>
      <c r="K3975" t="s">
        <v>33</v>
      </c>
      <c r="L3975">
        <v>1</v>
      </c>
      <c r="M3975">
        <v>1</v>
      </c>
      <c r="N3975">
        <v>5.5</v>
      </c>
      <c r="O3975">
        <v>7.1</v>
      </c>
      <c r="P3975">
        <v>3</v>
      </c>
      <c r="Q3975">
        <v>6</v>
      </c>
      <c r="R3975">
        <v>800654</v>
      </c>
      <c r="S3975">
        <f>Table1[[#This Row],[Revenue]]-Table1[[#This Row],[Operating_Costs]]</f>
        <v>166145</v>
      </c>
      <c r="T3975">
        <v>634509</v>
      </c>
      <c r="U3975">
        <v>70</v>
      </c>
      <c r="V3975">
        <v>62</v>
      </c>
      <c r="W3975">
        <v>9.5</v>
      </c>
    </row>
    <row r="3976" spans="1:23" x14ac:dyDescent="0.25">
      <c r="A3976">
        <v>12</v>
      </c>
      <c r="B3976" t="s">
        <v>66</v>
      </c>
      <c r="C3976" s="1">
        <v>44798</v>
      </c>
      <c r="D3976" t="s">
        <v>71</v>
      </c>
      <c r="E3976">
        <v>0</v>
      </c>
      <c r="F3976">
        <v>83</v>
      </c>
      <c r="G3976" t="str">
        <f t="shared" si="70"/>
        <v>81+</v>
      </c>
      <c r="H3976" t="s">
        <v>35</v>
      </c>
      <c r="I3976" t="s">
        <v>64</v>
      </c>
      <c r="J3976" t="s">
        <v>65</v>
      </c>
      <c r="K3976" t="s">
        <v>42</v>
      </c>
      <c r="L3976">
        <v>1</v>
      </c>
      <c r="M3976">
        <v>1</v>
      </c>
      <c r="N3976">
        <v>3.7</v>
      </c>
      <c r="O3976">
        <v>8.3000000000000007</v>
      </c>
      <c r="P3976">
        <v>7</v>
      </c>
      <c r="Q3976">
        <v>3</v>
      </c>
      <c r="R3976">
        <v>944245</v>
      </c>
      <c r="S3976">
        <f>Table1[[#This Row],[Revenue]]-Table1[[#This Row],[Operating_Costs]]</f>
        <v>390717</v>
      </c>
      <c r="T3976">
        <v>553528</v>
      </c>
      <c r="U3976">
        <v>79</v>
      </c>
      <c r="V3976">
        <v>56</v>
      </c>
      <c r="W3976">
        <v>5.6</v>
      </c>
    </row>
    <row r="3977" spans="1:23" x14ac:dyDescent="0.25">
      <c r="A3977">
        <v>12</v>
      </c>
      <c r="B3977" t="s">
        <v>66</v>
      </c>
      <c r="C3977" s="1">
        <v>44751</v>
      </c>
      <c r="D3977" t="s">
        <v>71</v>
      </c>
      <c r="E3977">
        <v>0</v>
      </c>
      <c r="F3977">
        <v>54</v>
      </c>
      <c r="G3977" t="str">
        <f t="shared" si="70"/>
        <v>41-60</v>
      </c>
      <c r="H3977" t="s">
        <v>23</v>
      </c>
      <c r="I3977" t="s">
        <v>50</v>
      </c>
      <c r="J3977" t="s">
        <v>51</v>
      </c>
      <c r="K3977" t="s">
        <v>33</v>
      </c>
      <c r="L3977">
        <v>1</v>
      </c>
      <c r="M3977">
        <v>1</v>
      </c>
      <c r="N3977">
        <v>4.5</v>
      </c>
      <c r="O3977">
        <v>7.6</v>
      </c>
      <c r="P3977">
        <v>7</v>
      </c>
      <c r="Q3977">
        <v>6</v>
      </c>
      <c r="R3977">
        <v>849023</v>
      </c>
      <c r="S3977">
        <f>Table1[[#This Row],[Revenue]]-Table1[[#This Row],[Operating_Costs]]</f>
        <v>251648</v>
      </c>
      <c r="T3977">
        <v>597375</v>
      </c>
      <c r="U3977">
        <v>66</v>
      </c>
      <c r="V3977">
        <v>63</v>
      </c>
      <c r="W3977">
        <v>36.799999999999997</v>
      </c>
    </row>
    <row r="3978" spans="1:23" x14ac:dyDescent="0.25">
      <c r="A3978">
        <v>12</v>
      </c>
      <c r="B3978" t="s">
        <v>66</v>
      </c>
      <c r="C3978" s="1">
        <v>45029</v>
      </c>
      <c r="D3978" t="s">
        <v>71</v>
      </c>
      <c r="E3978">
        <v>0</v>
      </c>
      <c r="F3978">
        <v>26</v>
      </c>
      <c r="G3978" t="str">
        <f t="shared" si="70"/>
        <v>21-40</v>
      </c>
      <c r="H3978" t="s">
        <v>35</v>
      </c>
      <c r="I3978" t="s">
        <v>27</v>
      </c>
      <c r="J3978" t="s">
        <v>28</v>
      </c>
      <c r="K3978" t="s">
        <v>26</v>
      </c>
      <c r="L3978">
        <v>1</v>
      </c>
      <c r="M3978">
        <v>1</v>
      </c>
      <c r="N3978">
        <v>3.1</v>
      </c>
      <c r="O3978">
        <v>7.1</v>
      </c>
      <c r="P3978">
        <v>3</v>
      </c>
      <c r="Q3978">
        <v>4</v>
      </c>
      <c r="R3978">
        <v>808924</v>
      </c>
      <c r="S3978">
        <f>Table1[[#This Row],[Revenue]]-Table1[[#This Row],[Operating_Costs]]</f>
        <v>261826</v>
      </c>
      <c r="T3978">
        <v>547098</v>
      </c>
      <c r="U3978">
        <v>73</v>
      </c>
      <c r="V3978">
        <v>60</v>
      </c>
      <c r="W3978">
        <v>6</v>
      </c>
    </row>
    <row r="3979" spans="1:23" x14ac:dyDescent="0.25">
      <c r="A3979">
        <v>11</v>
      </c>
      <c r="B3979" t="s">
        <v>63</v>
      </c>
      <c r="C3979" s="1">
        <v>44744</v>
      </c>
      <c r="D3979" t="s">
        <v>71</v>
      </c>
      <c r="E3979">
        <v>0</v>
      </c>
      <c r="F3979">
        <v>29</v>
      </c>
      <c r="G3979" t="str">
        <f t="shared" si="70"/>
        <v>21-40</v>
      </c>
      <c r="H3979" t="s">
        <v>23</v>
      </c>
      <c r="I3979" t="s">
        <v>58</v>
      </c>
      <c r="J3979" t="s">
        <v>59</v>
      </c>
      <c r="K3979" t="s">
        <v>38</v>
      </c>
      <c r="L3979">
        <v>1</v>
      </c>
      <c r="M3979">
        <v>1</v>
      </c>
      <c r="N3979">
        <v>1.9</v>
      </c>
      <c r="O3979">
        <v>7.6</v>
      </c>
      <c r="P3979">
        <v>6</v>
      </c>
      <c r="Q3979">
        <v>7</v>
      </c>
      <c r="R3979">
        <v>625606</v>
      </c>
      <c r="S3979">
        <f>Table1[[#This Row],[Revenue]]-Table1[[#This Row],[Operating_Costs]]</f>
        <v>164966</v>
      </c>
      <c r="T3979">
        <v>460640</v>
      </c>
      <c r="U3979">
        <v>24</v>
      </c>
      <c r="V3979">
        <v>64</v>
      </c>
      <c r="W3979">
        <v>12.4</v>
      </c>
    </row>
    <row r="3980" spans="1:23" x14ac:dyDescent="0.25">
      <c r="A3980">
        <v>12</v>
      </c>
      <c r="B3980" t="s">
        <v>66</v>
      </c>
      <c r="C3980" s="1">
        <v>44614</v>
      </c>
      <c r="D3980" t="s">
        <v>71</v>
      </c>
      <c r="E3980">
        <v>0</v>
      </c>
      <c r="F3980">
        <v>46</v>
      </c>
      <c r="G3980" t="str">
        <f t="shared" si="70"/>
        <v>41-60</v>
      </c>
      <c r="H3980" t="s">
        <v>23</v>
      </c>
      <c r="I3980" t="s">
        <v>50</v>
      </c>
      <c r="J3980" t="s">
        <v>51</v>
      </c>
      <c r="K3980" t="s">
        <v>42</v>
      </c>
      <c r="L3980">
        <v>1</v>
      </c>
      <c r="M3980">
        <v>1</v>
      </c>
      <c r="N3980">
        <v>7</v>
      </c>
      <c r="O3980">
        <v>7.7</v>
      </c>
      <c r="P3980">
        <v>5</v>
      </c>
      <c r="Q3980">
        <v>6</v>
      </c>
      <c r="R3980">
        <v>827214</v>
      </c>
      <c r="S3980">
        <f>Table1[[#This Row],[Revenue]]-Table1[[#This Row],[Operating_Costs]]</f>
        <v>172466</v>
      </c>
      <c r="T3980">
        <v>654748</v>
      </c>
      <c r="U3980">
        <v>61</v>
      </c>
      <c r="V3980">
        <v>62</v>
      </c>
      <c r="W3980">
        <v>6.9</v>
      </c>
    </row>
    <row r="3981" spans="1:23" x14ac:dyDescent="0.25">
      <c r="A3981">
        <v>12</v>
      </c>
      <c r="B3981" t="s">
        <v>66</v>
      </c>
      <c r="C3981" s="1">
        <v>44310</v>
      </c>
      <c r="D3981" t="s">
        <v>71</v>
      </c>
      <c r="E3981">
        <v>0</v>
      </c>
      <c r="F3981">
        <v>68</v>
      </c>
      <c r="G3981" t="str">
        <f t="shared" si="70"/>
        <v>61-80</v>
      </c>
      <c r="H3981" t="s">
        <v>23</v>
      </c>
      <c r="I3981" t="s">
        <v>24</v>
      </c>
      <c r="J3981" t="s">
        <v>25</v>
      </c>
      <c r="K3981" t="s">
        <v>38</v>
      </c>
      <c r="L3981">
        <v>1</v>
      </c>
      <c r="M3981">
        <v>1</v>
      </c>
      <c r="N3981">
        <v>5.2</v>
      </c>
      <c r="O3981">
        <v>8.6999999999999993</v>
      </c>
      <c r="P3981">
        <v>5</v>
      </c>
      <c r="Q3981">
        <v>5</v>
      </c>
      <c r="R3981">
        <v>860500</v>
      </c>
      <c r="S3981">
        <f>Table1[[#This Row],[Revenue]]-Table1[[#This Row],[Operating_Costs]]</f>
        <v>260231</v>
      </c>
      <c r="T3981">
        <v>600269</v>
      </c>
      <c r="U3981">
        <v>63</v>
      </c>
      <c r="V3981">
        <v>62</v>
      </c>
      <c r="W3981">
        <v>10.8</v>
      </c>
    </row>
    <row r="3982" spans="1:23" x14ac:dyDescent="0.25">
      <c r="A3982">
        <v>12</v>
      </c>
      <c r="B3982" t="s">
        <v>66</v>
      </c>
      <c r="C3982" s="1">
        <v>44917</v>
      </c>
      <c r="D3982" t="s">
        <v>71</v>
      </c>
      <c r="E3982">
        <v>0</v>
      </c>
      <c r="F3982">
        <v>82</v>
      </c>
      <c r="G3982" t="str">
        <f t="shared" si="70"/>
        <v>81+</v>
      </c>
      <c r="H3982" t="s">
        <v>35</v>
      </c>
      <c r="I3982" t="s">
        <v>61</v>
      </c>
      <c r="J3982" t="s">
        <v>62</v>
      </c>
      <c r="K3982" t="s">
        <v>26</v>
      </c>
      <c r="L3982">
        <v>1</v>
      </c>
      <c r="M3982">
        <v>1</v>
      </c>
      <c r="N3982">
        <v>4.4000000000000004</v>
      </c>
      <c r="O3982">
        <v>8.4</v>
      </c>
      <c r="P3982">
        <v>4</v>
      </c>
      <c r="Q3982">
        <v>6</v>
      </c>
      <c r="R3982">
        <v>856527</v>
      </c>
      <c r="S3982">
        <f>Table1[[#This Row],[Revenue]]-Table1[[#This Row],[Operating_Costs]]</f>
        <v>242698</v>
      </c>
      <c r="T3982">
        <v>613829</v>
      </c>
      <c r="U3982">
        <v>54</v>
      </c>
      <c r="V3982">
        <v>64</v>
      </c>
      <c r="W3982">
        <v>8.9</v>
      </c>
    </row>
    <row r="3983" spans="1:23" x14ac:dyDescent="0.25">
      <c r="A3983">
        <v>12</v>
      </c>
      <c r="B3983" t="s">
        <v>66</v>
      </c>
      <c r="C3983" s="1">
        <v>45122</v>
      </c>
      <c r="D3983" t="s">
        <v>71</v>
      </c>
      <c r="E3983">
        <v>0</v>
      </c>
      <c r="F3983">
        <v>69</v>
      </c>
      <c r="G3983" t="str">
        <f t="shared" si="70"/>
        <v>61-80</v>
      </c>
      <c r="H3983" t="s">
        <v>23</v>
      </c>
      <c r="I3983" t="s">
        <v>61</v>
      </c>
      <c r="J3983" t="s">
        <v>62</v>
      </c>
      <c r="K3983" t="s">
        <v>29</v>
      </c>
      <c r="L3983">
        <v>1</v>
      </c>
      <c r="M3983">
        <v>1</v>
      </c>
      <c r="N3983">
        <v>3.5</v>
      </c>
      <c r="O3983">
        <v>9</v>
      </c>
      <c r="P3983">
        <v>4</v>
      </c>
      <c r="Q3983">
        <v>7</v>
      </c>
      <c r="R3983">
        <v>915080</v>
      </c>
      <c r="S3983">
        <f>Table1[[#This Row],[Revenue]]-Table1[[#This Row],[Operating_Costs]]</f>
        <v>231462</v>
      </c>
      <c r="T3983">
        <v>683618</v>
      </c>
      <c r="U3983">
        <v>71</v>
      </c>
      <c r="V3983">
        <v>65</v>
      </c>
      <c r="W3983">
        <v>5.3</v>
      </c>
    </row>
    <row r="3984" spans="1:23" x14ac:dyDescent="0.25">
      <c r="A3984">
        <v>12</v>
      </c>
      <c r="B3984" t="s">
        <v>66</v>
      </c>
      <c r="C3984" s="1">
        <v>45384</v>
      </c>
      <c r="D3984" t="s">
        <v>71</v>
      </c>
      <c r="E3984">
        <v>0</v>
      </c>
      <c r="F3984">
        <v>90</v>
      </c>
      <c r="G3984" t="str">
        <f t="shared" si="70"/>
        <v>81+</v>
      </c>
      <c r="H3984" t="s">
        <v>35</v>
      </c>
      <c r="I3984" t="s">
        <v>31</v>
      </c>
      <c r="J3984" t="s">
        <v>28</v>
      </c>
      <c r="K3984" t="s">
        <v>38</v>
      </c>
      <c r="L3984">
        <v>1</v>
      </c>
      <c r="M3984">
        <v>1</v>
      </c>
      <c r="N3984">
        <v>4.2</v>
      </c>
      <c r="O3984">
        <v>9.5</v>
      </c>
      <c r="P3984">
        <v>5</v>
      </c>
      <c r="Q3984">
        <v>4</v>
      </c>
      <c r="R3984">
        <v>873770</v>
      </c>
      <c r="S3984">
        <f>Table1[[#This Row],[Revenue]]-Table1[[#This Row],[Operating_Costs]]</f>
        <v>191765</v>
      </c>
      <c r="T3984">
        <v>682005</v>
      </c>
      <c r="U3984">
        <v>69</v>
      </c>
      <c r="V3984">
        <v>65</v>
      </c>
      <c r="W3984">
        <v>7.7</v>
      </c>
    </row>
    <row r="3985" spans="1:23" x14ac:dyDescent="0.25">
      <c r="A3985">
        <v>12</v>
      </c>
      <c r="B3985" t="s">
        <v>66</v>
      </c>
      <c r="C3985" s="1">
        <v>45234</v>
      </c>
      <c r="D3985" t="s">
        <v>71</v>
      </c>
      <c r="E3985">
        <v>0</v>
      </c>
      <c r="F3985">
        <v>33</v>
      </c>
      <c r="G3985" t="str">
        <f t="shared" si="70"/>
        <v>21-40</v>
      </c>
      <c r="H3985" t="s">
        <v>35</v>
      </c>
      <c r="I3985" t="s">
        <v>61</v>
      </c>
      <c r="J3985" t="s">
        <v>62</v>
      </c>
      <c r="K3985" t="s">
        <v>26</v>
      </c>
      <c r="L3985">
        <v>1</v>
      </c>
      <c r="M3985">
        <v>1</v>
      </c>
      <c r="N3985">
        <v>3.5</v>
      </c>
      <c r="O3985">
        <v>7.4</v>
      </c>
      <c r="P3985">
        <v>3</v>
      </c>
      <c r="Q3985">
        <v>7</v>
      </c>
      <c r="R3985">
        <v>807144</v>
      </c>
      <c r="S3985">
        <f>Table1[[#This Row],[Revenue]]-Table1[[#This Row],[Operating_Costs]]</f>
        <v>269109</v>
      </c>
      <c r="T3985">
        <v>538035</v>
      </c>
      <c r="U3985">
        <v>68</v>
      </c>
      <c r="V3985">
        <v>63</v>
      </c>
      <c r="W3985">
        <v>13.2</v>
      </c>
    </row>
    <row r="3986" spans="1:23" x14ac:dyDescent="0.25">
      <c r="A3986">
        <v>12</v>
      </c>
      <c r="B3986" t="s">
        <v>66</v>
      </c>
      <c r="C3986" s="1">
        <v>44851</v>
      </c>
      <c r="D3986" t="s">
        <v>71</v>
      </c>
      <c r="E3986">
        <v>0</v>
      </c>
      <c r="F3986">
        <v>47</v>
      </c>
      <c r="G3986" t="str">
        <f t="shared" si="70"/>
        <v>41-60</v>
      </c>
      <c r="H3986" t="s">
        <v>35</v>
      </c>
      <c r="I3986" t="s">
        <v>36</v>
      </c>
      <c r="J3986" t="s">
        <v>37</v>
      </c>
      <c r="K3986" t="s">
        <v>33</v>
      </c>
      <c r="L3986">
        <v>1</v>
      </c>
      <c r="M3986">
        <v>1</v>
      </c>
      <c r="N3986">
        <v>2.4</v>
      </c>
      <c r="O3986">
        <v>8.5</v>
      </c>
      <c r="P3986">
        <v>7</v>
      </c>
      <c r="Q3986">
        <v>4</v>
      </c>
      <c r="R3986">
        <v>904272</v>
      </c>
      <c r="S3986">
        <f>Table1[[#This Row],[Revenue]]-Table1[[#This Row],[Operating_Costs]]</f>
        <v>280768</v>
      </c>
      <c r="T3986">
        <v>623504</v>
      </c>
      <c r="U3986">
        <v>62</v>
      </c>
      <c r="V3986">
        <v>55</v>
      </c>
      <c r="W3986">
        <v>10.199999999999999</v>
      </c>
    </row>
    <row r="3987" spans="1:23" x14ac:dyDescent="0.25">
      <c r="A3987">
        <v>12</v>
      </c>
      <c r="B3987" t="s">
        <v>66</v>
      </c>
      <c r="C3987" s="1">
        <v>45187</v>
      </c>
      <c r="D3987" t="s">
        <v>71</v>
      </c>
      <c r="E3987">
        <v>0</v>
      </c>
      <c r="F3987">
        <v>51</v>
      </c>
      <c r="G3987" t="str">
        <f t="shared" si="70"/>
        <v>41-60</v>
      </c>
      <c r="H3987" t="s">
        <v>35</v>
      </c>
      <c r="I3987" t="s">
        <v>40</v>
      </c>
      <c r="J3987" t="s">
        <v>41</v>
      </c>
      <c r="K3987" t="s">
        <v>33</v>
      </c>
      <c r="L3987">
        <v>1</v>
      </c>
      <c r="M3987">
        <v>1</v>
      </c>
      <c r="N3987">
        <v>4.8</v>
      </c>
      <c r="O3987">
        <v>9.1</v>
      </c>
      <c r="P3987">
        <v>6</v>
      </c>
      <c r="Q3987">
        <v>6</v>
      </c>
      <c r="R3987">
        <v>810902</v>
      </c>
      <c r="S3987">
        <f>Table1[[#This Row],[Revenue]]-Table1[[#This Row],[Operating_Costs]]</f>
        <v>123104</v>
      </c>
      <c r="T3987">
        <v>687798</v>
      </c>
      <c r="U3987">
        <v>70</v>
      </c>
      <c r="V3987">
        <v>62</v>
      </c>
      <c r="W3987">
        <v>36</v>
      </c>
    </row>
    <row r="3988" spans="1:23" x14ac:dyDescent="0.25">
      <c r="A3988">
        <v>12</v>
      </c>
      <c r="B3988" t="s">
        <v>66</v>
      </c>
      <c r="C3988" s="1">
        <v>45592</v>
      </c>
      <c r="D3988" t="s">
        <v>71</v>
      </c>
      <c r="E3988">
        <v>0</v>
      </c>
      <c r="F3988">
        <v>54</v>
      </c>
      <c r="G3988" t="str">
        <f t="shared" si="70"/>
        <v>41-60</v>
      </c>
      <c r="H3988" t="s">
        <v>35</v>
      </c>
      <c r="I3988" t="s">
        <v>64</v>
      </c>
      <c r="J3988" t="s">
        <v>65</v>
      </c>
      <c r="K3988" t="s">
        <v>42</v>
      </c>
      <c r="L3988">
        <v>1</v>
      </c>
      <c r="M3988">
        <v>1</v>
      </c>
      <c r="N3988">
        <v>4.5</v>
      </c>
      <c r="O3988">
        <v>9.8000000000000007</v>
      </c>
      <c r="P3988">
        <v>5</v>
      </c>
      <c r="Q3988">
        <v>6</v>
      </c>
      <c r="R3988">
        <v>973487</v>
      </c>
      <c r="S3988">
        <f>Table1[[#This Row],[Revenue]]-Table1[[#This Row],[Operating_Costs]]</f>
        <v>422955</v>
      </c>
      <c r="T3988">
        <v>550532</v>
      </c>
      <c r="U3988">
        <v>62</v>
      </c>
      <c r="V3988">
        <v>58</v>
      </c>
      <c r="W3988">
        <v>13.8</v>
      </c>
    </row>
    <row r="3989" spans="1:23" x14ac:dyDescent="0.25">
      <c r="A3989">
        <v>12</v>
      </c>
      <c r="B3989" t="s">
        <v>66</v>
      </c>
      <c r="C3989" s="1">
        <v>44631</v>
      </c>
      <c r="D3989" t="s">
        <v>71</v>
      </c>
      <c r="E3989">
        <v>0</v>
      </c>
      <c r="F3989">
        <v>28</v>
      </c>
      <c r="G3989" t="str">
        <f t="shared" si="70"/>
        <v>21-40</v>
      </c>
      <c r="H3989" t="s">
        <v>23</v>
      </c>
      <c r="I3989" t="s">
        <v>43</v>
      </c>
      <c r="J3989" t="s">
        <v>25</v>
      </c>
      <c r="K3989" t="s">
        <v>33</v>
      </c>
      <c r="L3989">
        <v>1</v>
      </c>
      <c r="M3989">
        <v>1</v>
      </c>
      <c r="N3989">
        <v>3.3</v>
      </c>
      <c r="O3989">
        <v>9</v>
      </c>
      <c r="P3989">
        <v>3</v>
      </c>
      <c r="Q3989">
        <v>5</v>
      </c>
      <c r="R3989">
        <v>863865</v>
      </c>
      <c r="S3989">
        <f>Table1[[#This Row],[Revenue]]-Table1[[#This Row],[Operating_Costs]]</f>
        <v>240179</v>
      </c>
      <c r="T3989">
        <v>623686</v>
      </c>
      <c r="U3989">
        <v>59</v>
      </c>
      <c r="V3989">
        <v>66</v>
      </c>
      <c r="W3989">
        <v>12.9</v>
      </c>
    </row>
    <row r="3990" spans="1:23" x14ac:dyDescent="0.25">
      <c r="A3990">
        <v>12</v>
      </c>
      <c r="B3990" t="s">
        <v>66</v>
      </c>
      <c r="C3990" s="1">
        <v>45284</v>
      </c>
      <c r="D3990" t="s">
        <v>71</v>
      </c>
      <c r="E3990">
        <v>0</v>
      </c>
      <c r="F3990">
        <v>48</v>
      </c>
      <c r="G3990" t="str">
        <f t="shared" si="70"/>
        <v>41-60</v>
      </c>
      <c r="H3990" t="s">
        <v>35</v>
      </c>
      <c r="I3990" t="s">
        <v>36</v>
      </c>
      <c r="J3990" t="s">
        <v>37</v>
      </c>
      <c r="K3990" t="s">
        <v>38</v>
      </c>
      <c r="L3990">
        <v>1</v>
      </c>
      <c r="M3990">
        <v>1</v>
      </c>
      <c r="N3990">
        <v>3.3</v>
      </c>
      <c r="O3990">
        <v>8.9</v>
      </c>
      <c r="P3990">
        <v>6</v>
      </c>
      <c r="Q3990">
        <v>3</v>
      </c>
      <c r="R3990">
        <v>989495</v>
      </c>
      <c r="S3990">
        <f>Table1[[#This Row],[Revenue]]-Table1[[#This Row],[Operating_Costs]]</f>
        <v>470348</v>
      </c>
      <c r="T3990">
        <v>519147</v>
      </c>
      <c r="U3990">
        <v>63</v>
      </c>
      <c r="V3990">
        <v>57</v>
      </c>
      <c r="W3990">
        <v>9.1</v>
      </c>
    </row>
    <row r="3991" spans="1:23" x14ac:dyDescent="0.25">
      <c r="A3991">
        <v>12</v>
      </c>
      <c r="B3991" t="s">
        <v>66</v>
      </c>
      <c r="C3991" s="1">
        <v>45451</v>
      </c>
      <c r="D3991" t="s">
        <v>71</v>
      </c>
      <c r="E3991">
        <v>0</v>
      </c>
      <c r="F3991">
        <v>67</v>
      </c>
      <c r="G3991" t="str">
        <f t="shared" si="70"/>
        <v>61-80</v>
      </c>
      <c r="H3991" t="s">
        <v>23</v>
      </c>
      <c r="I3991" t="s">
        <v>24</v>
      </c>
      <c r="J3991" t="s">
        <v>25</v>
      </c>
      <c r="K3991" t="s">
        <v>29</v>
      </c>
      <c r="L3991">
        <v>1</v>
      </c>
      <c r="M3991">
        <v>1</v>
      </c>
      <c r="N3991">
        <v>6.7</v>
      </c>
      <c r="O3991">
        <v>8.5</v>
      </c>
      <c r="P3991">
        <v>5</v>
      </c>
      <c r="Q3991">
        <v>4</v>
      </c>
      <c r="R3991">
        <v>820505</v>
      </c>
      <c r="S3991">
        <f>Table1[[#This Row],[Revenue]]-Table1[[#This Row],[Operating_Costs]]</f>
        <v>134096</v>
      </c>
      <c r="T3991">
        <v>686409</v>
      </c>
      <c r="U3991">
        <v>80</v>
      </c>
      <c r="V3991">
        <v>55</v>
      </c>
      <c r="W3991">
        <v>13.2</v>
      </c>
    </row>
    <row r="3992" spans="1:23" x14ac:dyDescent="0.25">
      <c r="A3992">
        <v>12</v>
      </c>
      <c r="B3992" t="s">
        <v>66</v>
      </c>
      <c r="C3992" s="1">
        <v>44958</v>
      </c>
      <c r="D3992" t="s">
        <v>71</v>
      </c>
      <c r="E3992">
        <v>0</v>
      </c>
      <c r="F3992">
        <v>46</v>
      </c>
      <c r="G3992" t="str">
        <f t="shared" si="70"/>
        <v>41-60</v>
      </c>
      <c r="H3992" t="s">
        <v>23</v>
      </c>
      <c r="I3992" t="s">
        <v>46</v>
      </c>
      <c r="J3992" t="s">
        <v>47</v>
      </c>
      <c r="K3992" t="s">
        <v>38</v>
      </c>
      <c r="L3992">
        <v>1</v>
      </c>
      <c r="M3992">
        <v>1</v>
      </c>
      <c r="N3992">
        <v>3.4</v>
      </c>
      <c r="O3992">
        <v>7.7</v>
      </c>
      <c r="P3992">
        <v>3</v>
      </c>
      <c r="Q3992">
        <v>6</v>
      </c>
      <c r="R3992">
        <v>968165</v>
      </c>
      <c r="S3992">
        <f>Table1[[#This Row],[Revenue]]-Table1[[#This Row],[Operating_Costs]]</f>
        <v>401872</v>
      </c>
      <c r="T3992">
        <v>566293</v>
      </c>
      <c r="U3992">
        <v>78</v>
      </c>
      <c r="V3992">
        <v>58</v>
      </c>
      <c r="W3992">
        <v>14.3</v>
      </c>
    </row>
    <row r="3993" spans="1:23" x14ac:dyDescent="0.25">
      <c r="A3993">
        <v>12</v>
      </c>
      <c r="B3993" t="s">
        <v>66</v>
      </c>
      <c r="C3993" s="1">
        <v>45431</v>
      </c>
      <c r="D3993" t="s">
        <v>71</v>
      </c>
      <c r="E3993">
        <v>0</v>
      </c>
      <c r="F3993">
        <v>88</v>
      </c>
      <c r="G3993" t="str">
        <f t="shared" si="70"/>
        <v>81+</v>
      </c>
      <c r="H3993" t="s">
        <v>35</v>
      </c>
      <c r="I3993" t="s">
        <v>61</v>
      </c>
      <c r="J3993" t="s">
        <v>62</v>
      </c>
      <c r="K3993" t="s">
        <v>38</v>
      </c>
      <c r="L3993">
        <v>1</v>
      </c>
      <c r="M3993">
        <v>1</v>
      </c>
      <c r="N3993">
        <v>6.3</v>
      </c>
      <c r="O3993">
        <v>7.4</v>
      </c>
      <c r="P3993">
        <v>3</v>
      </c>
      <c r="Q3993">
        <v>3</v>
      </c>
      <c r="R3993">
        <v>818775</v>
      </c>
      <c r="S3993">
        <f>Table1[[#This Row],[Revenue]]-Table1[[#This Row],[Operating_Costs]]</f>
        <v>203950</v>
      </c>
      <c r="T3993">
        <v>614825</v>
      </c>
      <c r="U3993">
        <v>55</v>
      </c>
      <c r="V3993">
        <v>63</v>
      </c>
      <c r="W3993">
        <v>8.1999999999999993</v>
      </c>
    </row>
    <row r="3994" spans="1:23" x14ac:dyDescent="0.25">
      <c r="A3994">
        <v>12</v>
      </c>
      <c r="B3994" t="s">
        <v>66</v>
      </c>
      <c r="C3994" s="1">
        <v>44487</v>
      </c>
      <c r="D3994" t="s">
        <v>71</v>
      </c>
      <c r="E3994">
        <v>0</v>
      </c>
      <c r="F3994">
        <v>46</v>
      </c>
      <c r="G3994" t="str">
        <f t="shared" si="70"/>
        <v>41-60</v>
      </c>
      <c r="H3994" t="s">
        <v>23</v>
      </c>
      <c r="I3994" t="s">
        <v>31</v>
      </c>
      <c r="J3994" t="s">
        <v>28</v>
      </c>
      <c r="K3994" t="s">
        <v>29</v>
      </c>
      <c r="L3994">
        <v>1</v>
      </c>
      <c r="M3994">
        <v>1</v>
      </c>
      <c r="N3994">
        <v>4.3</v>
      </c>
      <c r="O3994">
        <v>7.6</v>
      </c>
      <c r="P3994">
        <v>6</v>
      </c>
      <c r="Q3994">
        <v>5</v>
      </c>
      <c r="R3994">
        <v>915770</v>
      </c>
      <c r="S3994">
        <f>Table1[[#This Row],[Revenue]]-Table1[[#This Row],[Operating_Costs]]</f>
        <v>354865</v>
      </c>
      <c r="T3994">
        <v>560905</v>
      </c>
      <c r="U3994">
        <v>56</v>
      </c>
      <c r="V3994">
        <v>63</v>
      </c>
      <c r="W3994">
        <v>14.6</v>
      </c>
    </row>
    <row r="3995" spans="1:23" x14ac:dyDescent="0.25">
      <c r="A3995">
        <v>12</v>
      </c>
      <c r="B3995" t="s">
        <v>66</v>
      </c>
      <c r="C3995" s="1">
        <v>45485</v>
      </c>
      <c r="D3995" t="s">
        <v>71</v>
      </c>
      <c r="E3995">
        <v>0</v>
      </c>
      <c r="F3995">
        <v>39</v>
      </c>
      <c r="G3995" t="str">
        <f t="shared" si="70"/>
        <v>21-40</v>
      </c>
      <c r="H3995" t="s">
        <v>23</v>
      </c>
      <c r="I3995" t="s">
        <v>24</v>
      </c>
      <c r="J3995" t="s">
        <v>25</v>
      </c>
      <c r="K3995" t="s">
        <v>42</v>
      </c>
      <c r="L3995">
        <v>1</v>
      </c>
      <c r="M3995">
        <v>1</v>
      </c>
      <c r="N3995">
        <v>1.2</v>
      </c>
      <c r="O3995">
        <v>8.5</v>
      </c>
      <c r="P3995">
        <v>7</v>
      </c>
      <c r="Q3995">
        <v>7</v>
      </c>
      <c r="R3995">
        <v>875192</v>
      </c>
      <c r="S3995">
        <f>Table1[[#This Row],[Revenue]]-Table1[[#This Row],[Operating_Costs]]</f>
        <v>367956</v>
      </c>
      <c r="T3995">
        <v>507236</v>
      </c>
      <c r="U3995">
        <v>54</v>
      </c>
      <c r="V3995">
        <v>60</v>
      </c>
      <c r="W3995">
        <v>9.8000000000000007</v>
      </c>
    </row>
    <row r="3996" spans="1:23" x14ac:dyDescent="0.25">
      <c r="A3996">
        <v>12</v>
      </c>
      <c r="B3996" t="s">
        <v>66</v>
      </c>
      <c r="C3996" s="1">
        <v>45407</v>
      </c>
      <c r="D3996" t="s">
        <v>71</v>
      </c>
      <c r="E3996">
        <v>0</v>
      </c>
      <c r="F3996">
        <v>43</v>
      </c>
      <c r="G3996" t="str">
        <f t="shared" si="70"/>
        <v>41-60</v>
      </c>
      <c r="H3996" t="s">
        <v>23</v>
      </c>
      <c r="I3996" t="s">
        <v>46</v>
      </c>
      <c r="J3996" t="s">
        <v>47</v>
      </c>
      <c r="K3996" t="s">
        <v>29</v>
      </c>
      <c r="L3996">
        <v>1</v>
      </c>
      <c r="M3996">
        <v>1</v>
      </c>
      <c r="N3996">
        <v>5.0999999999999996</v>
      </c>
      <c r="O3996">
        <v>9.6999999999999993</v>
      </c>
      <c r="P3996">
        <v>6</v>
      </c>
      <c r="Q3996">
        <v>7</v>
      </c>
      <c r="R3996">
        <v>909199</v>
      </c>
      <c r="S3996">
        <f>Table1[[#This Row],[Revenue]]-Table1[[#This Row],[Operating_Costs]]</f>
        <v>291778</v>
      </c>
      <c r="T3996">
        <v>617421</v>
      </c>
      <c r="U3996">
        <v>53</v>
      </c>
      <c r="V3996">
        <v>57</v>
      </c>
      <c r="W3996">
        <v>14.8</v>
      </c>
    </row>
    <row r="3997" spans="1:23" x14ac:dyDescent="0.25">
      <c r="A3997">
        <v>12</v>
      </c>
      <c r="B3997" t="s">
        <v>66</v>
      </c>
      <c r="C3997" s="1">
        <v>45013</v>
      </c>
      <c r="D3997" t="s">
        <v>71</v>
      </c>
      <c r="E3997">
        <v>0</v>
      </c>
      <c r="F3997">
        <v>26</v>
      </c>
      <c r="G3997" t="str">
        <f t="shared" si="70"/>
        <v>21-40</v>
      </c>
      <c r="H3997" t="s">
        <v>35</v>
      </c>
      <c r="I3997" t="s">
        <v>58</v>
      </c>
      <c r="J3997" t="s">
        <v>59</v>
      </c>
      <c r="K3997" t="s">
        <v>26</v>
      </c>
      <c r="L3997">
        <v>1</v>
      </c>
      <c r="M3997">
        <v>1</v>
      </c>
      <c r="N3997">
        <v>3.2</v>
      </c>
      <c r="O3997">
        <v>7.2</v>
      </c>
      <c r="P3997">
        <v>6</v>
      </c>
      <c r="Q3997">
        <v>5</v>
      </c>
      <c r="R3997">
        <v>917023</v>
      </c>
      <c r="S3997">
        <f>Table1[[#This Row],[Revenue]]-Table1[[#This Row],[Operating_Costs]]</f>
        <v>407157</v>
      </c>
      <c r="T3997">
        <v>509866</v>
      </c>
      <c r="U3997">
        <v>67</v>
      </c>
      <c r="V3997">
        <v>65</v>
      </c>
      <c r="W3997">
        <v>5.5</v>
      </c>
    </row>
    <row r="3998" spans="1:23" x14ac:dyDescent="0.25">
      <c r="A3998">
        <v>12</v>
      </c>
      <c r="B3998" t="s">
        <v>66</v>
      </c>
      <c r="C3998" s="1">
        <v>45189</v>
      </c>
      <c r="D3998" t="s">
        <v>71</v>
      </c>
      <c r="E3998">
        <v>0</v>
      </c>
      <c r="F3998">
        <v>37</v>
      </c>
      <c r="G3998" t="str">
        <f t="shared" si="70"/>
        <v>21-40</v>
      </c>
      <c r="H3998" t="s">
        <v>23</v>
      </c>
      <c r="I3998" t="s">
        <v>43</v>
      </c>
      <c r="J3998" t="s">
        <v>25</v>
      </c>
      <c r="K3998" t="s">
        <v>33</v>
      </c>
      <c r="L3998">
        <v>1</v>
      </c>
      <c r="M3998">
        <v>1</v>
      </c>
      <c r="N3998">
        <v>3.3</v>
      </c>
      <c r="O3998">
        <v>8.1999999999999993</v>
      </c>
      <c r="P3998">
        <v>3</v>
      </c>
      <c r="Q3998">
        <v>4</v>
      </c>
      <c r="R3998">
        <v>851429</v>
      </c>
      <c r="S3998">
        <f>Table1[[#This Row],[Revenue]]-Table1[[#This Row],[Operating_Costs]]</f>
        <v>250032</v>
      </c>
      <c r="T3998">
        <v>601397</v>
      </c>
      <c r="U3998">
        <v>73</v>
      </c>
      <c r="V3998">
        <v>65</v>
      </c>
      <c r="W3998">
        <v>14</v>
      </c>
    </row>
    <row r="3999" spans="1:23" x14ac:dyDescent="0.25">
      <c r="A3999">
        <v>12</v>
      </c>
      <c r="B3999" t="s">
        <v>66</v>
      </c>
      <c r="C3999" s="1">
        <v>45243</v>
      </c>
      <c r="D3999" t="s">
        <v>71</v>
      </c>
      <c r="E3999">
        <v>0</v>
      </c>
      <c r="F3999">
        <v>39</v>
      </c>
      <c r="G3999" t="str">
        <f t="shared" si="70"/>
        <v>21-40</v>
      </c>
      <c r="H3999" t="s">
        <v>35</v>
      </c>
      <c r="I3999" t="s">
        <v>31</v>
      </c>
      <c r="J3999" t="s">
        <v>28</v>
      </c>
      <c r="K3999" t="s">
        <v>29</v>
      </c>
      <c r="L3999">
        <v>1</v>
      </c>
      <c r="M3999">
        <v>1</v>
      </c>
      <c r="N3999">
        <v>5.3</v>
      </c>
      <c r="O3999">
        <v>9.9</v>
      </c>
      <c r="P3999">
        <v>3</v>
      </c>
      <c r="Q3999">
        <v>5</v>
      </c>
      <c r="R3999">
        <v>869685</v>
      </c>
      <c r="S3999">
        <f>Table1[[#This Row],[Revenue]]-Table1[[#This Row],[Operating_Costs]]</f>
        <v>321503</v>
      </c>
      <c r="T3999">
        <v>548182</v>
      </c>
      <c r="U3999">
        <v>53</v>
      </c>
      <c r="V3999">
        <v>66</v>
      </c>
      <c r="W3999">
        <v>7.7</v>
      </c>
    </row>
    <row r="4000" spans="1:23" x14ac:dyDescent="0.25">
      <c r="A4000">
        <v>12</v>
      </c>
      <c r="B4000" t="s">
        <v>66</v>
      </c>
      <c r="C4000" s="1">
        <v>45618</v>
      </c>
      <c r="D4000" t="s">
        <v>71</v>
      </c>
      <c r="E4000">
        <v>0</v>
      </c>
      <c r="F4000">
        <v>67</v>
      </c>
      <c r="G4000" t="str">
        <f t="shared" si="70"/>
        <v>61-80</v>
      </c>
      <c r="H4000" t="s">
        <v>23</v>
      </c>
      <c r="I4000" t="s">
        <v>46</v>
      </c>
      <c r="J4000" t="s">
        <v>47</v>
      </c>
      <c r="K4000" t="s">
        <v>26</v>
      </c>
      <c r="L4000">
        <v>1</v>
      </c>
      <c r="M4000">
        <v>1</v>
      </c>
      <c r="N4000">
        <v>1.5</v>
      </c>
      <c r="O4000">
        <v>7.2</v>
      </c>
      <c r="P4000">
        <v>7</v>
      </c>
      <c r="Q4000">
        <v>6</v>
      </c>
      <c r="R4000">
        <v>800498</v>
      </c>
      <c r="S4000">
        <f>Table1[[#This Row],[Revenue]]-Table1[[#This Row],[Operating_Costs]]</f>
        <v>255788</v>
      </c>
      <c r="T4000">
        <v>544710</v>
      </c>
      <c r="U4000">
        <v>79</v>
      </c>
      <c r="V4000">
        <v>56</v>
      </c>
      <c r="W4000">
        <v>36.700000000000003</v>
      </c>
    </row>
    <row r="4001" spans="1:23" x14ac:dyDescent="0.25">
      <c r="A4001">
        <v>12</v>
      </c>
      <c r="B4001" t="s">
        <v>66</v>
      </c>
      <c r="C4001" s="1">
        <v>45270</v>
      </c>
      <c r="D4001" t="s">
        <v>71</v>
      </c>
      <c r="E4001">
        <v>0</v>
      </c>
      <c r="F4001">
        <v>24</v>
      </c>
      <c r="G4001" t="str">
        <f t="shared" si="70"/>
        <v>21-40</v>
      </c>
      <c r="H4001" t="s">
        <v>35</v>
      </c>
      <c r="I4001" t="s">
        <v>61</v>
      </c>
      <c r="J4001" t="s">
        <v>62</v>
      </c>
      <c r="K4001" t="s">
        <v>26</v>
      </c>
      <c r="L4001">
        <v>1</v>
      </c>
      <c r="M4001">
        <v>1</v>
      </c>
      <c r="N4001">
        <v>5.5</v>
      </c>
      <c r="O4001">
        <v>9.1999999999999993</v>
      </c>
      <c r="P4001">
        <v>7</v>
      </c>
      <c r="Q4001">
        <v>3</v>
      </c>
      <c r="R4001">
        <v>858801</v>
      </c>
      <c r="S4001">
        <f>Table1[[#This Row],[Revenue]]-Table1[[#This Row],[Operating_Costs]]</f>
        <v>235318</v>
      </c>
      <c r="T4001">
        <v>623483</v>
      </c>
      <c r="U4001">
        <v>77</v>
      </c>
      <c r="V4001">
        <v>59</v>
      </c>
      <c r="W4001">
        <v>8.1999999999999993</v>
      </c>
    </row>
    <row r="4002" spans="1:23" x14ac:dyDescent="0.25">
      <c r="A4002">
        <v>12</v>
      </c>
      <c r="B4002" t="s">
        <v>66</v>
      </c>
      <c r="C4002" s="1">
        <v>44305</v>
      </c>
      <c r="D4002" t="s">
        <v>71</v>
      </c>
      <c r="E4002">
        <v>0</v>
      </c>
      <c r="F4002">
        <v>87</v>
      </c>
      <c r="G4002" t="str">
        <f t="shared" si="70"/>
        <v>81+</v>
      </c>
      <c r="H4002" t="s">
        <v>35</v>
      </c>
      <c r="I4002" t="s">
        <v>61</v>
      </c>
      <c r="J4002" t="s">
        <v>62</v>
      </c>
      <c r="K4002" t="s">
        <v>26</v>
      </c>
      <c r="L4002">
        <v>1</v>
      </c>
      <c r="M4002">
        <v>1</v>
      </c>
      <c r="N4002">
        <v>6.3</v>
      </c>
      <c r="O4002">
        <v>7.8</v>
      </c>
      <c r="P4002">
        <v>3</v>
      </c>
      <c r="Q4002">
        <v>7</v>
      </c>
      <c r="R4002">
        <v>901324</v>
      </c>
      <c r="S4002">
        <f>Table1[[#This Row],[Revenue]]-Table1[[#This Row],[Operating_Costs]]</f>
        <v>371658</v>
      </c>
      <c r="T4002">
        <v>529666</v>
      </c>
      <c r="U4002">
        <v>52</v>
      </c>
      <c r="V4002">
        <v>59</v>
      </c>
      <c r="W4002">
        <v>36</v>
      </c>
    </row>
    <row r="4003" spans="1:23" x14ac:dyDescent="0.25">
      <c r="A4003">
        <v>12</v>
      </c>
      <c r="B4003" t="s">
        <v>66</v>
      </c>
      <c r="C4003" s="1">
        <v>44597</v>
      </c>
      <c r="D4003" t="s">
        <v>71</v>
      </c>
      <c r="E4003">
        <v>0</v>
      </c>
      <c r="F4003">
        <v>23</v>
      </c>
      <c r="G4003" t="str">
        <f t="shared" si="70"/>
        <v>21-40</v>
      </c>
      <c r="H4003" t="s">
        <v>23</v>
      </c>
      <c r="I4003" t="s">
        <v>61</v>
      </c>
      <c r="J4003" t="s">
        <v>62</v>
      </c>
      <c r="K4003" t="s">
        <v>29</v>
      </c>
      <c r="L4003">
        <v>1</v>
      </c>
      <c r="M4003">
        <v>1</v>
      </c>
      <c r="N4003">
        <v>1.6</v>
      </c>
      <c r="O4003">
        <v>7.8</v>
      </c>
      <c r="P4003">
        <v>3</v>
      </c>
      <c r="Q4003">
        <v>4</v>
      </c>
      <c r="R4003">
        <v>995933</v>
      </c>
      <c r="S4003">
        <f>Table1[[#This Row],[Revenue]]-Table1[[#This Row],[Operating_Costs]]</f>
        <v>376646</v>
      </c>
      <c r="T4003">
        <v>619287</v>
      </c>
      <c r="U4003">
        <v>57</v>
      </c>
      <c r="V4003">
        <v>60</v>
      </c>
      <c r="W4003">
        <v>14.2</v>
      </c>
    </row>
    <row r="4004" spans="1:23" x14ac:dyDescent="0.25">
      <c r="A4004">
        <v>12</v>
      </c>
      <c r="B4004" t="s">
        <v>66</v>
      </c>
      <c r="C4004" s="1">
        <v>44328</v>
      </c>
      <c r="D4004" t="s">
        <v>71</v>
      </c>
      <c r="E4004">
        <v>0</v>
      </c>
      <c r="F4004">
        <v>38</v>
      </c>
      <c r="G4004" t="str">
        <f t="shared" si="70"/>
        <v>21-40</v>
      </c>
      <c r="H4004" t="s">
        <v>35</v>
      </c>
      <c r="I4004" t="s">
        <v>27</v>
      </c>
      <c r="J4004" t="s">
        <v>28</v>
      </c>
      <c r="K4004" t="s">
        <v>42</v>
      </c>
      <c r="L4004">
        <v>1</v>
      </c>
      <c r="M4004">
        <v>1</v>
      </c>
      <c r="N4004">
        <v>3.2</v>
      </c>
      <c r="O4004">
        <v>9.8000000000000007</v>
      </c>
      <c r="P4004">
        <v>5</v>
      </c>
      <c r="Q4004">
        <v>6</v>
      </c>
      <c r="R4004">
        <v>864854</v>
      </c>
      <c r="S4004">
        <f>Table1[[#This Row],[Revenue]]-Table1[[#This Row],[Operating_Costs]]</f>
        <v>307047</v>
      </c>
      <c r="T4004">
        <v>557807</v>
      </c>
      <c r="U4004">
        <v>57</v>
      </c>
      <c r="V4004">
        <v>56</v>
      </c>
      <c r="W4004">
        <v>10.6</v>
      </c>
    </row>
    <row r="4005" spans="1:23" x14ac:dyDescent="0.25">
      <c r="A4005">
        <v>12</v>
      </c>
      <c r="B4005" t="s">
        <v>66</v>
      </c>
      <c r="C4005" s="1">
        <v>45095</v>
      </c>
      <c r="D4005" t="s">
        <v>71</v>
      </c>
      <c r="E4005">
        <v>0</v>
      </c>
      <c r="F4005">
        <v>48</v>
      </c>
      <c r="G4005" t="str">
        <f t="shared" si="70"/>
        <v>41-60</v>
      </c>
      <c r="H4005" t="s">
        <v>23</v>
      </c>
      <c r="I4005" t="s">
        <v>24</v>
      </c>
      <c r="J4005" t="s">
        <v>25</v>
      </c>
      <c r="K4005" t="s">
        <v>38</v>
      </c>
      <c r="L4005">
        <v>1</v>
      </c>
      <c r="M4005">
        <v>1</v>
      </c>
      <c r="N4005">
        <v>4.7</v>
      </c>
      <c r="O4005">
        <v>8</v>
      </c>
      <c r="P4005">
        <v>5</v>
      </c>
      <c r="Q4005">
        <v>5</v>
      </c>
      <c r="R4005">
        <v>845040</v>
      </c>
      <c r="S4005">
        <f>Table1[[#This Row],[Revenue]]-Table1[[#This Row],[Operating_Costs]]</f>
        <v>329736</v>
      </c>
      <c r="T4005">
        <v>515304</v>
      </c>
      <c r="U4005">
        <v>78</v>
      </c>
      <c r="V4005">
        <v>54</v>
      </c>
      <c r="W4005">
        <v>14.6</v>
      </c>
    </row>
    <row r="4006" spans="1:23" x14ac:dyDescent="0.25">
      <c r="A4006">
        <v>12</v>
      </c>
      <c r="B4006" t="s">
        <v>66</v>
      </c>
      <c r="C4006" s="1">
        <v>44872</v>
      </c>
      <c r="D4006" t="s">
        <v>71</v>
      </c>
      <c r="E4006">
        <v>0</v>
      </c>
      <c r="F4006">
        <v>44</v>
      </c>
      <c r="G4006" t="str">
        <f t="shared" si="70"/>
        <v>41-60</v>
      </c>
      <c r="H4006" t="s">
        <v>35</v>
      </c>
      <c r="I4006" t="s">
        <v>50</v>
      </c>
      <c r="J4006" t="s">
        <v>51</v>
      </c>
      <c r="K4006" t="s">
        <v>29</v>
      </c>
      <c r="L4006">
        <v>1</v>
      </c>
      <c r="M4006">
        <v>1</v>
      </c>
      <c r="N4006">
        <v>3.1</v>
      </c>
      <c r="O4006">
        <v>7.8</v>
      </c>
      <c r="P4006">
        <v>4</v>
      </c>
      <c r="Q4006">
        <v>3</v>
      </c>
      <c r="R4006">
        <v>976396</v>
      </c>
      <c r="S4006">
        <f>Table1[[#This Row],[Revenue]]-Table1[[#This Row],[Operating_Costs]]</f>
        <v>408607</v>
      </c>
      <c r="T4006">
        <v>567789</v>
      </c>
      <c r="U4006">
        <v>69</v>
      </c>
      <c r="V4006">
        <v>66</v>
      </c>
      <c r="W4006">
        <v>36.6</v>
      </c>
    </row>
    <row r="4007" spans="1:23" x14ac:dyDescent="0.25">
      <c r="A4007">
        <v>12</v>
      </c>
      <c r="B4007" t="s">
        <v>66</v>
      </c>
      <c r="C4007" s="1">
        <v>44511</v>
      </c>
      <c r="D4007" t="s">
        <v>71</v>
      </c>
      <c r="E4007">
        <v>0</v>
      </c>
      <c r="F4007">
        <v>69</v>
      </c>
      <c r="G4007" t="str">
        <f t="shared" si="70"/>
        <v>61-80</v>
      </c>
      <c r="H4007" t="s">
        <v>23</v>
      </c>
      <c r="I4007" t="s">
        <v>58</v>
      </c>
      <c r="J4007" t="s">
        <v>59</v>
      </c>
      <c r="K4007" t="s">
        <v>26</v>
      </c>
      <c r="L4007">
        <v>1</v>
      </c>
      <c r="M4007">
        <v>1</v>
      </c>
      <c r="N4007">
        <v>2.9</v>
      </c>
      <c r="O4007">
        <v>7.5</v>
      </c>
      <c r="P4007">
        <v>7</v>
      </c>
      <c r="Q4007">
        <v>3</v>
      </c>
      <c r="R4007">
        <v>836291</v>
      </c>
      <c r="S4007">
        <f>Table1[[#This Row],[Revenue]]-Table1[[#This Row],[Operating_Costs]]</f>
        <v>317157</v>
      </c>
      <c r="T4007">
        <v>519134</v>
      </c>
      <c r="U4007">
        <v>62</v>
      </c>
      <c r="V4007">
        <v>60</v>
      </c>
      <c r="W4007">
        <v>9.6</v>
      </c>
    </row>
    <row r="4008" spans="1:23" x14ac:dyDescent="0.25">
      <c r="A4008">
        <v>12</v>
      </c>
      <c r="B4008" t="s">
        <v>66</v>
      </c>
      <c r="C4008" s="1">
        <v>45562</v>
      </c>
      <c r="D4008" t="s">
        <v>71</v>
      </c>
      <c r="E4008">
        <v>0</v>
      </c>
      <c r="F4008">
        <v>51</v>
      </c>
      <c r="G4008" t="str">
        <f t="shared" si="70"/>
        <v>41-60</v>
      </c>
      <c r="H4008" t="s">
        <v>23</v>
      </c>
      <c r="I4008" t="s">
        <v>67</v>
      </c>
      <c r="J4008" t="s">
        <v>68</v>
      </c>
      <c r="K4008" t="s">
        <v>42</v>
      </c>
      <c r="L4008">
        <v>1</v>
      </c>
      <c r="M4008">
        <v>1</v>
      </c>
      <c r="N4008">
        <v>2.9</v>
      </c>
      <c r="O4008">
        <v>9.6</v>
      </c>
      <c r="P4008">
        <v>3</v>
      </c>
      <c r="Q4008">
        <v>4</v>
      </c>
      <c r="R4008">
        <v>843643</v>
      </c>
      <c r="S4008">
        <f>Table1[[#This Row],[Revenue]]-Table1[[#This Row],[Operating_Costs]]</f>
        <v>248449</v>
      </c>
      <c r="T4008">
        <v>595194</v>
      </c>
      <c r="U4008">
        <v>80</v>
      </c>
      <c r="V4008">
        <v>56</v>
      </c>
      <c r="W4008">
        <v>7.1</v>
      </c>
    </row>
    <row r="4009" spans="1:23" x14ac:dyDescent="0.25">
      <c r="A4009">
        <v>12</v>
      </c>
      <c r="B4009" t="s">
        <v>66</v>
      </c>
      <c r="C4009" s="1">
        <v>44311</v>
      </c>
      <c r="D4009" t="s">
        <v>71</v>
      </c>
      <c r="E4009">
        <v>0</v>
      </c>
      <c r="F4009">
        <v>51</v>
      </c>
      <c r="G4009" t="str">
        <f t="shared" si="70"/>
        <v>41-60</v>
      </c>
      <c r="H4009" t="s">
        <v>35</v>
      </c>
      <c r="I4009" t="s">
        <v>50</v>
      </c>
      <c r="J4009" t="s">
        <v>51</v>
      </c>
      <c r="K4009" t="s">
        <v>42</v>
      </c>
      <c r="L4009">
        <v>1</v>
      </c>
      <c r="M4009">
        <v>1</v>
      </c>
      <c r="N4009">
        <v>2.7</v>
      </c>
      <c r="O4009">
        <v>7.7</v>
      </c>
      <c r="P4009">
        <v>6</v>
      </c>
      <c r="Q4009">
        <v>4</v>
      </c>
      <c r="R4009">
        <v>828564</v>
      </c>
      <c r="S4009">
        <f>Table1[[#This Row],[Revenue]]-Table1[[#This Row],[Operating_Costs]]</f>
        <v>324963</v>
      </c>
      <c r="T4009">
        <v>503601</v>
      </c>
      <c r="U4009">
        <v>77</v>
      </c>
      <c r="V4009">
        <v>58</v>
      </c>
      <c r="W4009">
        <v>6.2</v>
      </c>
    </row>
    <row r="4010" spans="1:23" x14ac:dyDescent="0.25">
      <c r="A4010">
        <v>12</v>
      </c>
      <c r="B4010" t="s">
        <v>66</v>
      </c>
      <c r="C4010" s="1">
        <v>45323</v>
      </c>
      <c r="D4010" t="s">
        <v>71</v>
      </c>
      <c r="E4010">
        <v>0</v>
      </c>
      <c r="F4010">
        <v>39</v>
      </c>
      <c r="G4010" t="str">
        <f t="shared" si="70"/>
        <v>21-40</v>
      </c>
      <c r="H4010" t="s">
        <v>23</v>
      </c>
      <c r="I4010" t="s">
        <v>46</v>
      </c>
      <c r="J4010" t="s">
        <v>47</v>
      </c>
      <c r="K4010" t="s">
        <v>42</v>
      </c>
      <c r="L4010">
        <v>1</v>
      </c>
      <c r="M4010">
        <v>1</v>
      </c>
      <c r="N4010">
        <v>5.6</v>
      </c>
      <c r="O4010">
        <v>9.8000000000000007</v>
      </c>
      <c r="P4010">
        <v>7</v>
      </c>
      <c r="Q4010">
        <v>4</v>
      </c>
      <c r="R4010">
        <v>998344</v>
      </c>
      <c r="S4010">
        <f>Table1[[#This Row],[Revenue]]-Table1[[#This Row],[Operating_Costs]]</f>
        <v>431188</v>
      </c>
      <c r="T4010">
        <v>567156</v>
      </c>
      <c r="U4010">
        <v>80</v>
      </c>
      <c r="V4010">
        <v>64</v>
      </c>
      <c r="W4010">
        <v>13.2</v>
      </c>
    </row>
    <row r="4011" spans="1:23" x14ac:dyDescent="0.25">
      <c r="A4011">
        <v>12</v>
      </c>
      <c r="B4011" t="s">
        <v>66</v>
      </c>
      <c r="C4011" s="1">
        <v>44462</v>
      </c>
      <c r="D4011" t="s">
        <v>71</v>
      </c>
      <c r="E4011">
        <v>0</v>
      </c>
      <c r="F4011">
        <v>37</v>
      </c>
      <c r="G4011" t="str">
        <f t="shared" si="70"/>
        <v>21-40</v>
      </c>
      <c r="H4011" t="s">
        <v>35</v>
      </c>
      <c r="I4011" t="s">
        <v>31</v>
      </c>
      <c r="J4011" t="s">
        <v>28</v>
      </c>
      <c r="K4011" t="s">
        <v>38</v>
      </c>
      <c r="L4011">
        <v>1</v>
      </c>
      <c r="M4011">
        <v>1</v>
      </c>
      <c r="N4011">
        <v>2</v>
      </c>
      <c r="O4011">
        <v>8.8000000000000007</v>
      </c>
      <c r="P4011">
        <v>6</v>
      </c>
      <c r="Q4011">
        <v>6</v>
      </c>
      <c r="R4011">
        <v>842898</v>
      </c>
      <c r="S4011">
        <f>Table1[[#This Row],[Revenue]]-Table1[[#This Row],[Operating_Costs]]</f>
        <v>171385</v>
      </c>
      <c r="T4011">
        <v>671513</v>
      </c>
      <c r="U4011">
        <v>60</v>
      </c>
      <c r="V4011">
        <v>54</v>
      </c>
      <c r="W4011">
        <v>9.8000000000000007</v>
      </c>
    </row>
    <row r="4012" spans="1:23" x14ac:dyDescent="0.25">
      <c r="A4012">
        <v>12</v>
      </c>
      <c r="B4012" t="s">
        <v>66</v>
      </c>
      <c r="C4012" s="1">
        <v>45538</v>
      </c>
      <c r="D4012" t="s">
        <v>71</v>
      </c>
      <c r="E4012">
        <v>0</v>
      </c>
      <c r="F4012">
        <v>49</v>
      </c>
      <c r="G4012" t="str">
        <f t="shared" si="70"/>
        <v>41-60</v>
      </c>
      <c r="H4012" t="s">
        <v>35</v>
      </c>
      <c r="I4012" t="s">
        <v>40</v>
      </c>
      <c r="J4012" t="s">
        <v>41</v>
      </c>
      <c r="K4012" t="s">
        <v>26</v>
      </c>
      <c r="L4012">
        <v>1</v>
      </c>
      <c r="M4012">
        <v>1</v>
      </c>
      <c r="N4012">
        <v>5.6</v>
      </c>
      <c r="O4012">
        <v>8.6</v>
      </c>
      <c r="P4012">
        <v>7</v>
      </c>
      <c r="Q4012">
        <v>6</v>
      </c>
      <c r="R4012">
        <v>955952</v>
      </c>
      <c r="S4012">
        <f>Table1[[#This Row],[Revenue]]-Table1[[#This Row],[Operating_Costs]]</f>
        <v>342377</v>
      </c>
      <c r="T4012">
        <v>613575</v>
      </c>
      <c r="U4012">
        <v>71</v>
      </c>
      <c r="V4012">
        <v>55</v>
      </c>
      <c r="W4012">
        <v>6</v>
      </c>
    </row>
    <row r="4013" spans="1:23" x14ac:dyDescent="0.25">
      <c r="A4013">
        <v>12</v>
      </c>
      <c r="B4013" t="s">
        <v>66</v>
      </c>
      <c r="C4013" s="1">
        <v>45192</v>
      </c>
      <c r="D4013" t="s">
        <v>71</v>
      </c>
      <c r="E4013">
        <v>0</v>
      </c>
      <c r="F4013">
        <v>84</v>
      </c>
      <c r="G4013" t="str">
        <f t="shared" si="70"/>
        <v>81+</v>
      </c>
      <c r="H4013" t="s">
        <v>23</v>
      </c>
      <c r="I4013" t="s">
        <v>61</v>
      </c>
      <c r="J4013" t="s">
        <v>62</v>
      </c>
      <c r="K4013" t="s">
        <v>33</v>
      </c>
      <c r="L4013">
        <v>1</v>
      </c>
      <c r="M4013">
        <v>1</v>
      </c>
      <c r="N4013">
        <v>6.1</v>
      </c>
      <c r="O4013">
        <v>8.6</v>
      </c>
      <c r="P4013">
        <v>6</v>
      </c>
      <c r="Q4013">
        <v>4</v>
      </c>
      <c r="R4013">
        <v>919130</v>
      </c>
      <c r="S4013">
        <f>Table1[[#This Row],[Revenue]]-Table1[[#This Row],[Operating_Costs]]</f>
        <v>331552</v>
      </c>
      <c r="T4013">
        <v>587578</v>
      </c>
      <c r="U4013">
        <v>76</v>
      </c>
      <c r="V4013">
        <v>54</v>
      </c>
      <c r="W4013">
        <v>6</v>
      </c>
    </row>
    <row r="4014" spans="1:23" x14ac:dyDescent="0.25">
      <c r="A4014">
        <v>12</v>
      </c>
      <c r="B4014" t="s">
        <v>66</v>
      </c>
      <c r="C4014" s="1">
        <v>45184</v>
      </c>
      <c r="D4014" t="s">
        <v>71</v>
      </c>
      <c r="E4014">
        <v>0</v>
      </c>
      <c r="F4014">
        <v>40</v>
      </c>
      <c r="G4014" t="str">
        <f t="shared" si="70"/>
        <v>21-40</v>
      </c>
      <c r="H4014" t="s">
        <v>23</v>
      </c>
      <c r="I4014" t="s">
        <v>50</v>
      </c>
      <c r="J4014" t="s">
        <v>51</v>
      </c>
      <c r="K4014" t="s">
        <v>38</v>
      </c>
      <c r="L4014">
        <v>1</v>
      </c>
      <c r="M4014">
        <v>1</v>
      </c>
      <c r="N4014">
        <v>6.1</v>
      </c>
      <c r="O4014">
        <v>8</v>
      </c>
      <c r="P4014">
        <v>4</v>
      </c>
      <c r="Q4014">
        <v>3</v>
      </c>
      <c r="R4014">
        <v>885577</v>
      </c>
      <c r="S4014">
        <f>Table1[[#This Row],[Revenue]]-Table1[[#This Row],[Operating_Costs]]</f>
        <v>301984</v>
      </c>
      <c r="T4014">
        <v>583593</v>
      </c>
      <c r="U4014">
        <v>58</v>
      </c>
      <c r="V4014">
        <v>60</v>
      </c>
      <c r="W4014">
        <v>5.2</v>
      </c>
    </row>
    <row r="4015" spans="1:23" x14ac:dyDescent="0.25">
      <c r="A4015">
        <v>12</v>
      </c>
      <c r="B4015" t="s">
        <v>66</v>
      </c>
      <c r="C4015" s="1">
        <v>44933</v>
      </c>
      <c r="D4015" t="s">
        <v>71</v>
      </c>
      <c r="E4015">
        <v>0</v>
      </c>
      <c r="F4015">
        <v>57</v>
      </c>
      <c r="G4015" t="str">
        <f t="shared" si="70"/>
        <v>41-60</v>
      </c>
      <c r="H4015" t="s">
        <v>35</v>
      </c>
      <c r="I4015" t="s">
        <v>50</v>
      </c>
      <c r="J4015" t="s">
        <v>51</v>
      </c>
      <c r="K4015" t="s">
        <v>42</v>
      </c>
      <c r="L4015">
        <v>1</v>
      </c>
      <c r="M4015">
        <v>1</v>
      </c>
      <c r="N4015">
        <v>1.6</v>
      </c>
      <c r="O4015">
        <v>9.4</v>
      </c>
      <c r="P4015">
        <v>7</v>
      </c>
      <c r="Q4015">
        <v>6</v>
      </c>
      <c r="R4015">
        <v>946566</v>
      </c>
      <c r="S4015">
        <f>Table1[[#This Row],[Revenue]]-Table1[[#This Row],[Operating_Costs]]</f>
        <v>327806</v>
      </c>
      <c r="T4015">
        <v>618760</v>
      </c>
      <c r="U4015">
        <v>64</v>
      </c>
      <c r="V4015">
        <v>64</v>
      </c>
      <c r="W4015">
        <v>7.2</v>
      </c>
    </row>
    <row r="4016" spans="1:23" x14ac:dyDescent="0.25">
      <c r="A4016">
        <v>12</v>
      </c>
      <c r="B4016" t="s">
        <v>66</v>
      </c>
      <c r="C4016" s="1">
        <v>44730</v>
      </c>
      <c r="D4016" t="s">
        <v>71</v>
      </c>
      <c r="E4016">
        <v>0</v>
      </c>
      <c r="F4016">
        <v>82</v>
      </c>
      <c r="G4016" t="str">
        <f t="shared" si="70"/>
        <v>81+</v>
      </c>
      <c r="H4016" t="s">
        <v>23</v>
      </c>
      <c r="I4016" t="s">
        <v>50</v>
      </c>
      <c r="J4016" t="s">
        <v>51</v>
      </c>
      <c r="K4016" t="s">
        <v>29</v>
      </c>
      <c r="L4016">
        <v>1</v>
      </c>
      <c r="M4016">
        <v>1</v>
      </c>
      <c r="N4016">
        <v>6.8</v>
      </c>
      <c r="O4016">
        <v>7.9</v>
      </c>
      <c r="P4016">
        <v>3</v>
      </c>
      <c r="Q4016">
        <v>6</v>
      </c>
      <c r="R4016">
        <v>913070</v>
      </c>
      <c r="S4016">
        <f>Table1[[#This Row],[Revenue]]-Table1[[#This Row],[Operating_Costs]]</f>
        <v>261229</v>
      </c>
      <c r="T4016">
        <v>651841</v>
      </c>
      <c r="U4016">
        <v>74</v>
      </c>
      <c r="V4016">
        <v>66</v>
      </c>
      <c r="W4016">
        <v>13.5</v>
      </c>
    </row>
    <row r="4017" spans="1:23" x14ac:dyDescent="0.25">
      <c r="A4017">
        <v>12</v>
      </c>
      <c r="B4017" t="s">
        <v>66</v>
      </c>
      <c r="C4017" s="1">
        <v>44929</v>
      </c>
      <c r="D4017" t="s">
        <v>71</v>
      </c>
      <c r="E4017">
        <v>0</v>
      </c>
      <c r="F4017">
        <v>50</v>
      </c>
      <c r="G4017" t="str">
        <f t="shared" si="70"/>
        <v>41-60</v>
      </c>
      <c r="H4017" t="s">
        <v>35</v>
      </c>
      <c r="I4017" t="s">
        <v>36</v>
      </c>
      <c r="J4017" t="s">
        <v>37</v>
      </c>
      <c r="K4017" t="s">
        <v>42</v>
      </c>
      <c r="L4017">
        <v>1</v>
      </c>
      <c r="M4017">
        <v>1</v>
      </c>
      <c r="N4017">
        <v>1.4</v>
      </c>
      <c r="O4017">
        <v>7.8</v>
      </c>
      <c r="P4017">
        <v>4</v>
      </c>
      <c r="Q4017">
        <v>4</v>
      </c>
      <c r="R4017">
        <v>929910</v>
      </c>
      <c r="S4017">
        <f>Table1[[#This Row],[Revenue]]-Table1[[#This Row],[Operating_Costs]]</f>
        <v>400342</v>
      </c>
      <c r="T4017">
        <v>529568</v>
      </c>
      <c r="U4017">
        <v>74</v>
      </c>
      <c r="V4017">
        <v>66</v>
      </c>
      <c r="W4017">
        <v>14.1</v>
      </c>
    </row>
    <row r="4018" spans="1:23" x14ac:dyDescent="0.25">
      <c r="A4018">
        <v>12</v>
      </c>
      <c r="B4018" t="s">
        <v>66</v>
      </c>
      <c r="C4018" s="1">
        <v>45104</v>
      </c>
      <c r="D4018" t="s">
        <v>71</v>
      </c>
      <c r="E4018">
        <v>0</v>
      </c>
      <c r="F4018">
        <v>81</v>
      </c>
      <c r="G4018" t="str">
        <f t="shared" si="70"/>
        <v>81+</v>
      </c>
      <c r="H4018" t="s">
        <v>23</v>
      </c>
      <c r="I4018" t="s">
        <v>67</v>
      </c>
      <c r="J4018" t="s">
        <v>68</v>
      </c>
      <c r="K4018" t="s">
        <v>29</v>
      </c>
      <c r="L4018">
        <v>1</v>
      </c>
      <c r="M4018">
        <v>1</v>
      </c>
      <c r="N4018">
        <v>1</v>
      </c>
      <c r="O4018">
        <v>7.6</v>
      </c>
      <c r="P4018">
        <v>7</v>
      </c>
      <c r="Q4018">
        <v>6</v>
      </c>
      <c r="R4018">
        <v>975029</v>
      </c>
      <c r="S4018">
        <f>Table1[[#This Row],[Revenue]]-Table1[[#This Row],[Operating_Costs]]</f>
        <v>285631</v>
      </c>
      <c r="T4018">
        <v>689398</v>
      </c>
      <c r="U4018">
        <v>61</v>
      </c>
      <c r="V4018">
        <v>59</v>
      </c>
      <c r="W4018">
        <v>13.7</v>
      </c>
    </row>
    <row r="4019" spans="1:23" x14ac:dyDescent="0.25">
      <c r="A4019">
        <v>12</v>
      </c>
      <c r="B4019" t="s">
        <v>66</v>
      </c>
      <c r="C4019" s="1">
        <v>45575</v>
      </c>
      <c r="D4019" t="s">
        <v>71</v>
      </c>
      <c r="E4019">
        <v>0</v>
      </c>
      <c r="F4019">
        <v>46</v>
      </c>
      <c r="G4019" t="str">
        <f t="shared" si="70"/>
        <v>41-60</v>
      </c>
      <c r="H4019" t="s">
        <v>35</v>
      </c>
      <c r="I4019" t="s">
        <v>58</v>
      </c>
      <c r="J4019" t="s">
        <v>59</v>
      </c>
      <c r="K4019" t="s">
        <v>33</v>
      </c>
      <c r="L4019">
        <v>1</v>
      </c>
      <c r="M4019">
        <v>1</v>
      </c>
      <c r="N4019">
        <v>6.7</v>
      </c>
      <c r="O4019">
        <v>9.5</v>
      </c>
      <c r="P4019">
        <v>3</v>
      </c>
      <c r="Q4019">
        <v>7</v>
      </c>
      <c r="R4019">
        <v>852426</v>
      </c>
      <c r="S4019">
        <f>Table1[[#This Row],[Revenue]]-Table1[[#This Row],[Operating_Costs]]</f>
        <v>197961</v>
      </c>
      <c r="T4019">
        <v>654465</v>
      </c>
      <c r="U4019">
        <v>61</v>
      </c>
      <c r="V4019">
        <v>66</v>
      </c>
      <c r="W4019">
        <v>6.4</v>
      </c>
    </row>
    <row r="4020" spans="1:23" x14ac:dyDescent="0.25">
      <c r="A4020">
        <v>12</v>
      </c>
      <c r="B4020" t="s">
        <v>66</v>
      </c>
      <c r="C4020" s="1">
        <v>45023</v>
      </c>
      <c r="D4020" t="s">
        <v>71</v>
      </c>
      <c r="E4020">
        <v>0</v>
      </c>
      <c r="F4020">
        <v>69</v>
      </c>
      <c r="G4020" t="str">
        <f t="shared" si="70"/>
        <v>61-80</v>
      </c>
      <c r="H4020" t="s">
        <v>35</v>
      </c>
      <c r="I4020" t="s">
        <v>31</v>
      </c>
      <c r="J4020" t="s">
        <v>28</v>
      </c>
      <c r="K4020" t="s">
        <v>42</v>
      </c>
      <c r="L4020">
        <v>1</v>
      </c>
      <c r="M4020">
        <v>1</v>
      </c>
      <c r="N4020">
        <v>1.2</v>
      </c>
      <c r="O4020">
        <v>9.5</v>
      </c>
      <c r="P4020">
        <v>7</v>
      </c>
      <c r="Q4020">
        <v>6</v>
      </c>
      <c r="R4020">
        <v>850725</v>
      </c>
      <c r="S4020">
        <f>Table1[[#This Row],[Revenue]]-Table1[[#This Row],[Operating_Costs]]</f>
        <v>164674</v>
      </c>
      <c r="T4020">
        <v>686051</v>
      </c>
      <c r="U4020">
        <v>53</v>
      </c>
      <c r="V4020">
        <v>65</v>
      </c>
      <c r="W4020">
        <v>6.9</v>
      </c>
    </row>
    <row r="4021" spans="1:23" x14ac:dyDescent="0.25">
      <c r="A4021">
        <v>12</v>
      </c>
      <c r="B4021" t="s">
        <v>66</v>
      </c>
      <c r="C4021" s="1">
        <v>44532</v>
      </c>
      <c r="D4021" t="s">
        <v>71</v>
      </c>
      <c r="E4021">
        <v>0</v>
      </c>
      <c r="F4021">
        <v>64</v>
      </c>
      <c r="G4021" t="str">
        <f t="shared" si="70"/>
        <v>61-80</v>
      </c>
      <c r="H4021" t="s">
        <v>23</v>
      </c>
      <c r="I4021" t="s">
        <v>31</v>
      </c>
      <c r="J4021" t="s">
        <v>28</v>
      </c>
      <c r="K4021" t="s">
        <v>29</v>
      </c>
      <c r="L4021">
        <v>1</v>
      </c>
      <c r="M4021">
        <v>1</v>
      </c>
      <c r="N4021">
        <v>4.2</v>
      </c>
      <c r="O4021">
        <v>8.5</v>
      </c>
      <c r="P4021">
        <v>6</v>
      </c>
      <c r="Q4021">
        <v>3</v>
      </c>
      <c r="R4021">
        <v>955845</v>
      </c>
      <c r="S4021">
        <f>Table1[[#This Row],[Revenue]]-Table1[[#This Row],[Operating_Costs]]</f>
        <v>403632</v>
      </c>
      <c r="T4021">
        <v>552213</v>
      </c>
      <c r="U4021">
        <v>78</v>
      </c>
      <c r="V4021">
        <v>66</v>
      </c>
      <c r="W4021">
        <v>8.8000000000000007</v>
      </c>
    </row>
    <row r="4022" spans="1:23" x14ac:dyDescent="0.25">
      <c r="A4022">
        <v>12</v>
      </c>
      <c r="B4022" t="s">
        <v>66</v>
      </c>
      <c r="C4022" s="1">
        <v>44273</v>
      </c>
      <c r="D4022" t="s">
        <v>71</v>
      </c>
      <c r="E4022">
        <v>0</v>
      </c>
      <c r="F4022">
        <v>89</v>
      </c>
      <c r="G4022" t="str">
        <f t="shared" si="70"/>
        <v>81+</v>
      </c>
      <c r="H4022" t="s">
        <v>35</v>
      </c>
      <c r="I4022" t="s">
        <v>60</v>
      </c>
      <c r="J4022" t="s">
        <v>59</v>
      </c>
      <c r="K4022" t="s">
        <v>29</v>
      </c>
      <c r="L4022">
        <v>1</v>
      </c>
      <c r="M4022">
        <v>1</v>
      </c>
      <c r="N4022">
        <v>1.4</v>
      </c>
      <c r="O4022">
        <v>8</v>
      </c>
      <c r="P4022">
        <v>7</v>
      </c>
      <c r="Q4022">
        <v>6</v>
      </c>
      <c r="R4022">
        <v>818073</v>
      </c>
      <c r="S4022">
        <f>Table1[[#This Row],[Revenue]]-Table1[[#This Row],[Operating_Costs]]</f>
        <v>199973</v>
      </c>
      <c r="T4022">
        <v>618100</v>
      </c>
      <c r="U4022">
        <v>51</v>
      </c>
      <c r="V4022">
        <v>57</v>
      </c>
      <c r="W4022">
        <v>14.3</v>
      </c>
    </row>
    <row r="4023" spans="1:23" x14ac:dyDescent="0.25">
      <c r="A4023">
        <v>12</v>
      </c>
      <c r="B4023" t="s">
        <v>66</v>
      </c>
      <c r="C4023" s="1">
        <v>44487</v>
      </c>
      <c r="D4023" t="s">
        <v>71</v>
      </c>
      <c r="E4023">
        <v>0</v>
      </c>
      <c r="F4023">
        <v>79</v>
      </c>
      <c r="G4023" t="str">
        <f t="shared" si="70"/>
        <v>61-80</v>
      </c>
      <c r="H4023" t="s">
        <v>23</v>
      </c>
      <c r="I4023" t="s">
        <v>43</v>
      </c>
      <c r="J4023" t="s">
        <v>25</v>
      </c>
      <c r="K4023" t="s">
        <v>42</v>
      </c>
      <c r="L4023">
        <v>1</v>
      </c>
      <c r="M4023">
        <v>1</v>
      </c>
      <c r="N4023">
        <v>5.6</v>
      </c>
      <c r="O4023">
        <v>8.6</v>
      </c>
      <c r="P4023">
        <v>7</v>
      </c>
      <c r="Q4023">
        <v>4</v>
      </c>
      <c r="R4023">
        <v>880358</v>
      </c>
      <c r="S4023">
        <f>Table1[[#This Row],[Revenue]]-Table1[[#This Row],[Operating_Costs]]</f>
        <v>274881</v>
      </c>
      <c r="T4023">
        <v>605477</v>
      </c>
      <c r="U4023">
        <v>78</v>
      </c>
      <c r="V4023">
        <v>65</v>
      </c>
      <c r="W4023">
        <v>8.6</v>
      </c>
    </row>
    <row r="4024" spans="1:23" x14ac:dyDescent="0.25">
      <c r="A4024">
        <v>12</v>
      </c>
      <c r="B4024" t="s">
        <v>66</v>
      </c>
      <c r="C4024" s="1">
        <v>44641</v>
      </c>
      <c r="D4024" t="s">
        <v>71</v>
      </c>
      <c r="E4024">
        <v>0</v>
      </c>
      <c r="F4024">
        <v>49</v>
      </c>
      <c r="G4024" t="str">
        <f t="shared" si="70"/>
        <v>41-60</v>
      </c>
      <c r="H4024" t="s">
        <v>23</v>
      </c>
      <c r="I4024" t="s">
        <v>50</v>
      </c>
      <c r="J4024" t="s">
        <v>51</v>
      </c>
      <c r="K4024" t="s">
        <v>42</v>
      </c>
      <c r="L4024">
        <v>1</v>
      </c>
      <c r="M4024">
        <v>1</v>
      </c>
      <c r="N4024">
        <v>3.1</v>
      </c>
      <c r="O4024">
        <v>8.9</v>
      </c>
      <c r="P4024">
        <v>7</v>
      </c>
      <c r="Q4024">
        <v>4</v>
      </c>
      <c r="R4024">
        <v>949126</v>
      </c>
      <c r="S4024">
        <f>Table1[[#This Row],[Revenue]]-Table1[[#This Row],[Operating_Costs]]</f>
        <v>330449</v>
      </c>
      <c r="T4024">
        <v>618677</v>
      </c>
      <c r="U4024">
        <v>57</v>
      </c>
      <c r="V4024">
        <v>61</v>
      </c>
      <c r="W4024">
        <v>36.4</v>
      </c>
    </row>
    <row r="4025" spans="1:23" x14ac:dyDescent="0.25">
      <c r="A4025">
        <v>12</v>
      </c>
      <c r="B4025" t="s">
        <v>66</v>
      </c>
      <c r="C4025" s="1">
        <v>45628</v>
      </c>
      <c r="D4025" t="s">
        <v>71</v>
      </c>
      <c r="E4025">
        <v>0</v>
      </c>
      <c r="F4025">
        <v>70</v>
      </c>
      <c r="G4025" t="str">
        <f t="shared" si="70"/>
        <v>61-80</v>
      </c>
      <c r="H4025" t="s">
        <v>35</v>
      </c>
      <c r="I4025" t="s">
        <v>31</v>
      </c>
      <c r="J4025" t="s">
        <v>28</v>
      </c>
      <c r="K4025" t="s">
        <v>38</v>
      </c>
      <c r="L4025">
        <v>1</v>
      </c>
      <c r="M4025">
        <v>1</v>
      </c>
      <c r="N4025">
        <v>6.8</v>
      </c>
      <c r="O4025">
        <v>7.5</v>
      </c>
      <c r="P4025">
        <v>3</v>
      </c>
      <c r="Q4025">
        <v>7</v>
      </c>
      <c r="R4025">
        <v>975881</v>
      </c>
      <c r="S4025">
        <f>Table1[[#This Row],[Revenue]]-Table1[[#This Row],[Operating_Costs]]</f>
        <v>473225</v>
      </c>
      <c r="T4025">
        <v>502656</v>
      </c>
      <c r="U4025">
        <v>68</v>
      </c>
      <c r="V4025">
        <v>58</v>
      </c>
      <c r="W4025">
        <v>5.3</v>
      </c>
    </row>
    <row r="4026" spans="1:23" x14ac:dyDescent="0.25">
      <c r="A4026">
        <v>12</v>
      </c>
      <c r="B4026" t="s">
        <v>66</v>
      </c>
      <c r="C4026" s="1">
        <v>44253</v>
      </c>
      <c r="D4026" t="s">
        <v>71</v>
      </c>
      <c r="E4026">
        <v>0</v>
      </c>
      <c r="F4026">
        <v>46</v>
      </c>
      <c r="G4026" t="str">
        <f t="shared" si="70"/>
        <v>41-60</v>
      </c>
      <c r="H4026" t="s">
        <v>35</v>
      </c>
      <c r="I4026" t="s">
        <v>40</v>
      </c>
      <c r="J4026" t="s">
        <v>41</v>
      </c>
      <c r="K4026" t="s">
        <v>33</v>
      </c>
      <c r="L4026">
        <v>1</v>
      </c>
      <c r="M4026">
        <v>1</v>
      </c>
      <c r="N4026">
        <v>4.4000000000000004</v>
      </c>
      <c r="O4026">
        <v>9</v>
      </c>
      <c r="P4026">
        <v>5</v>
      </c>
      <c r="Q4026">
        <v>6</v>
      </c>
      <c r="R4026">
        <v>913603</v>
      </c>
      <c r="S4026">
        <f>Table1[[#This Row],[Revenue]]-Table1[[#This Row],[Operating_Costs]]</f>
        <v>218098</v>
      </c>
      <c r="T4026">
        <v>695505</v>
      </c>
      <c r="U4026">
        <v>76</v>
      </c>
      <c r="V4026">
        <v>57</v>
      </c>
      <c r="W4026">
        <v>9.4</v>
      </c>
    </row>
    <row r="4027" spans="1:23" x14ac:dyDescent="0.25">
      <c r="A4027">
        <v>12</v>
      </c>
      <c r="B4027" t="s">
        <v>66</v>
      </c>
      <c r="C4027" s="1">
        <v>44205</v>
      </c>
      <c r="D4027" t="s">
        <v>71</v>
      </c>
      <c r="E4027">
        <v>0</v>
      </c>
      <c r="F4027">
        <v>24</v>
      </c>
      <c r="G4027" t="str">
        <f t="shared" si="70"/>
        <v>21-40</v>
      </c>
      <c r="H4027" t="s">
        <v>35</v>
      </c>
      <c r="I4027" t="s">
        <v>64</v>
      </c>
      <c r="J4027" t="s">
        <v>65</v>
      </c>
      <c r="K4027" t="s">
        <v>33</v>
      </c>
      <c r="L4027">
        <v>1</v>
      </c>
      <c r="M4027">
        <v>1</v>
      </c>
      <c r="N4027">
        <v>1.1000000000000001</v>
      </c>
      <c r="O4027">
        <v>9.6</v>
      </c>
      <c r="P4027">
        <v>6</v>
      </c>
      <c r="Q4027">
        <v>3</v>
      </c>
      <c r="R4027">
        <v>915749</v>
      </c>
      <c r="S4027">
        <f>Table1[[#This Row],[Revenue]]-Table1[[#This Row],[Operating_Costs]]</f>
        <v>340888</v>
      </c>
      <c r="T4027">
        <v>574861</v>
      </c>
      <c r="U4027">
        <v>72</v>
      </c>
      <c r="V4027">
        <v>56</v>
      </c>
      <c r="W4027">
        <v>6.2</v>
      </c>
    </row>
    <row r="4028" spans="1:23" x14ac:dyDescent="0.25">
      <c r="A4028">
        <v>12</v>
      </c>
      <c r="B4028" t="s">
        <v>66</v>
      </c>
      <c r="C4028" s="1">
        <v>44432</v>
      </c>
      <c r="D4028" t="s">
        <v>71</v>
      </c>
      <c r="E4028">
        <v>0</v>
      </c>
      <c r="F4028">
        <v>41</v>
      </c>
      <c r="G4028" t="str">
        <f t="shared" si="70"/>
        <v>41-60</v>
      </c>
      <c r="H4028" t="s">
        <v>35</v>
      </c>
      <c r="I4028" t="s">
        <v>36</v>
      </c>
      <c r="J4028" t="s">
        <v>37</v>
      </c>
      <c r="K4028" t="s">
        <v>29</v>
      </c>
      <c r="L4028">
        <v>1</v>
      </c>
      <c r="M4028">
        <v>1</v>
      </c>
      <c r="N4028">
        <v>3.4</v>
      </c>
      <c r="O4028">
        <v>8</v>
      </c>
      <c r="P4028">
        <v>7</v>
      </c>
      <c r="Q4028">
        <v>4</v>
      </c>
      <c r="R4028">
        <v>917440</v>
      </c>
      <c r="S4028">
        <f>Table1[[#This Row],[Revenue]]-Table1[[#This Row],[Operating_Costs]]</f>
        <v>266601</v>
      </c>
      <c r="T4028">
        <v>650839</v>
      </c>
      <c r="U4028">
        <v>55</v>
      </c>
      <c r="V4028">
        <v>64</v>
      </c>
      <c r="W4028">
        <v>13.6</v>
      </c>
    </row>
    <row r="4029" spans="1:23" x14ac:dyDescent="0.25">
      <c r="A4029">
        <v>12</v>
      </c>
      <c r="B4029" t="s">
        <v>66</v>
      </c>
      <c r="C4029" s="1">
        <v>45451</v>
      </c>
      <c r="D4029" t="s">
        <v>71</v>
      </c>
      <c r="E4029">
        <v>0</v>
      </c>
      <c r="F4029">
        <v>65</v>
      </c>
      <c r="G4029" t="str">
        <f t="shared" si="70"/>
        <v>61-80</v>
      </c>
      <c r="H4029" t="s">
        <v>35</v>
      </c>
      <c r="I4029" t="s">
        <v>50</v>
      </c>
      <c r="J4029" t="s">
        <v>51</v>
      </c>
      <c r="K4029" t="s">
        <v>38</v>
      </c>
      <c r="L4029">
        <v>1</v>
      </c>
      <c r="M4029">
        <v>1</v>
      </c>
      <c r="N4029">
        <v>2.9</v>
      </c>
      <c r="O4029">
        <v>8.6999999999999993</v>
      </c>
      <c r="P4029">
        <v>3</v>
      </c>
      <c r="Q4029">
        <v>4</v>
      </c>
      <c r="R4029">
        <v>888883</v>
      </c>
      <c r="S4029">
        <f>Table1[[#This Row],[Revenue]]-Table1[[#This Row],[Operating_Costs]]</f>
        <v>272713</v>
      </c>
      <c r="T4029">
        <v>616170</v>
      </c>
      <c r="U4029">
        <v>70</v>
      </c>
      <c r="V4029">
        <v>57</v>
      </c>
      <c r="W4029">
        <v>14</v>
      </c>
    </row>
    <row r="4030" spans="1:23" x14ac:dyDescent="0.25">
      <c r="A4030">
        <v>12</v>
      </c>
      <c r="B4030" t="s">
        <v>66</v>
      </c>
      <c r="C4030" s="1">
        <v>44644</v>
      </c>
      <c r="D4030" t="s">
        <v>71</v>
      </c>
      <c r="E4030">
        <v>0</v>
      </c>
      <c r="F4030">
        <v>23</v>
      </c>
      <c r="G4030" t="str">
        <f t="shared" si="70"/>
        <v>21-40</v>
      </c>
      <c r="H4030" t="s">
        <v>23</v>
      </c>
      <c r="I4030" t="s">
        <v>40</v>
      </c>
      <c r="J4030" t="s">
        <v>41</v>
      </c>
      <c r="K4030" t="s">
        <v>26</v>
      </c>
      <c r="L4030">
        <v>1</v>
      </c>
      <c r="M4030">
        <v>1</v>
      </c>
      <c r="N4030">
        <v>1.2</v>
      </c>
      <c r="O4030">
        <v>8.5</v>
      </c>
      <c r="P4030">
        <v>3</v>
      </c>
      <c r="Q4030">
        <v>6</v>
      </c>
      <c r="R4030">
        <v>959075</v>
      </c>
      <c r="S4030">
        <f>Table1[[#This Row],[Revenue]]-Table1[[#This Row],[Operating_Costs]]</f>
        <v>332026</v>
      </c>
      <c r="T4030">
        <v>627049</v>
      </c>
      <c r="U4030">
        <v>50</v>
      </c>
      <c r="V4030">
        <v>57</v>
      </c>
      <c r="W4030">
        <v>5.7</v>
      </c>
    </row>
    <row r="4031" spans="1:23" x14ac:dyDescent="0.25">
      <c r="A4031">
        <v>12</v>
      </c>
      <c r="B4031" t="s">
        <v>66</v>
      </c>
      <c r="C4031" s="1">
        <v>44820</v>
      </c>
      <c r="D4031" t="s">
        <v>71</v>
      </c>
      <c r="E4031">
        <v>0</v>
      </c>
      <c r="F4031">
        <v>34</v>
      </c>
      <c r="G4031" t="str">
        <f t="shared" si="70"/>
        <v>21-40</v>
      </c>
      <c r="H4031" t="s">
        <v>23</v>
      </c>
      <c r="I4031" t="s">
        <v>24</v>
      </c>
      <c r="J4031" t="s">
        <v>25</v>
      </c>
      <c r="K4031" t="s">
        <v>42</v>
      </c>
      <c r="L4031">
        <v>1</v>
      </c>
      <c r="M4031">
        <v>1</v>
      </c>
      <c r="N4031">
        <v>3.7</v>
      </c>
      <c r="O4031">
        <v>8.8000000000000007</v>
      </c>
      <c r="P4031">
        <v>4</v>
      </c>
      <c r="Q4031">
        <v>7</v>
      </c>
      <c r="R4031">
        <v>902830</v>
      </c>
      <c r="S4031">
        <f>Table1[[#This Row],[Revenue]]-Table1[[#This Row],[Operating_Costs]]</f>
        <v>211606</v>
      </c>
      <c r="T4031">
        <v>691224</v>
      </c>
      <c r="U4031">
        <v>72</v>
      </c>
      <c r="V4031">
        <v>63</v>
      </c>
      <c r="W4031">
        <v>7.4</v>
      </c>
    </row>
    <row r="4032" spans="1:23" x14ac:dyDescent="0.25">
      <c r="A4032">
        <v>12</v>
      </c>
      <c r="B4032" t="s">
        <v>66</v>
      </c>
      <c r="C4032" s="1">
        <v>45091</v>
      </c>
      <c r="D4032" t="s">
        <v>71</v>
      </c>
      <c r="E4032">
        <v>0</v>
      </c>
      <c r="F4032">
        <v>56</v>
      </c>
      <c r="G4032" t="str">
        <f t="shared" si="70"/>
        <v>41-60</v>
      </c>
      <c r="H4032" t="s">
        <v>23</v>
      </c>
      <c r="I4032" t="s">
        <v>40</v>
      </c>
      <c r="J4032" t="s">
        <v>41</v>
      </c>
      <c r="K4032" t="s">
        <v>38</v>
      </c>
      <c r="L4032">
        <v>1</v>
      </c>
      <c r="M4032">
        <v>1</v>
      </c>
      <c r="N4032">
        <v>6.5</v>
      </c>
      <c r="O4032">
        <v>9</v>
      </c>
      <c r="P4032">
        <v>7</v>
      </c>
      <c r="Q4032">
        <v>7</v>
      </c>
      <c r="R4032">
        <v>816804</v>
      </c>
      <c r="S4032">
        <f>Table1[[#This Row],[Revenue]]-Table1[[#This Row],[Operating_Costs]]</f>
        <v>178822</v>
      </c>
      <c r="T4032">
        <v>637982</v>
      </c>
      <c r="U4032">
        <v>54</v>
      </c>
      <c r="V4032">
        <v>61</v>
      </c>
      <c r="W4032">
        <v>8.5</v>
      </c>
    </row>
    <row r="4033" spans="1:23" x14ac:dyDescent="0.25">
      <c r="A4033">
        <v>12</v>
      </c>
      <c r="B4033" t="s">
        <v>66</v>
      </c>
      <c r="C4033" s="1">
        <v>45474</v>
      </c>
      <c r="D4033" t="s">
        <v>71</v>
      </c>
      <c r="E4033">
        <v>0</v>
      </c>
      <c r="F4033">
        <v>46</v>
      </c>
      <c r="G4033" t="str">
        <f t="shared" si="70"/>
        <v>41-60</v>
      </c>
      <c r="H4033" t="s">
        <v>23</v>
      </c>
      <c r="I4033" t="s">
        <v>46</v>
      </c>
      <c r="J4033" t="s">
        <v>47</v>
      </c>
      <c r="K4033" t="s">
        <v>29</v>
      </c>
      <c r="L4033">
        <v>1</v>
      </c>
      <c r="M4033">
        <v>1</v>
      </c>
      <c r="N4033">
        <v>3.9</v>
      </c>
      <c r="O4033">
        <v>9.4</v>
      </c>
      <c r="P4033">
        <v>5</v>
      </c>
      <c r="Q4033">
        <v>3</v>
      </c>
      <c r="R4033">
        <v>908690</v>
      </c>
      <c r="S4033">
        <f>Table1[[#This Row],[Revenue]]-Table1[[#This Row],[Operating_Costs]]</f>
        <v>220371</v>
      </c>
      <c r="T4033">
        <v>688319</v>
      </c>
      <c r="U4033">
        <v>58</v>
      </c>
      <c r="V4033">
        <v>64</v>
      </c>
      <c r="W4033">
        <v>10.1</v>
      </c>
    </row>
    <row r="4034" spans="1:23" x14ac:dyDescent="0.25">
      <c r="A4034">
        <v>12</v>
      </c>
      <c r="B4034" t="s">
        <v>66</v>
      </c>
      <c r="C4034" s="1">
        <v>44896</v>
      </c>
      <c r="D4034" t="s">
        <v>71</v>
      </c>
      <c r="E4034">
        <v>0</v>
      </c>
      <c r="F4034">
        <v>36</v>
      </c>
      <c r="G4034" t="str">
        <f t="shared" si="70"/>
        <v>21-40</v>
      </c>
      <c r="H4034" t="s">
        <v>23</v>
      </c>
      <c r="I4034" t="s">
        <v>43</v>
      </c>
      <c r="J4034" t="s">
        <v>25</v>
      </c>
      <c r="K4034" t="s">
        <v>26</v>
      </c>
      <c r="L4034">
        <v>1</v>
      </c>
      <c r="M4034">
        <v>1</v>
      </c>
      <c r="N4034">
        <v>4.4000000000000004</v>
      </c>
      <c r="O4034">
        <v>8.4</v>
      </c>
      <c r="P4034">
        <v>3</v>
      </c>
      <c r="Q4034">
        <v>6</v>
      </c>
      <c r="R4034">
        <v>846643</v>
      </c>
      <c r="S4034">
        <f>Table1[[#This Row],[Revenue]]-Table1[[#This Row],[Operating_Costs]]</f>
        <v>277954</v>
      </c>
      <c r="T4034">
        <v>568689</v>
      </c>
      <c r="U4034">
        <v>55</v>
      </c>
      <c r="V4034">
        <v>54</v>
      </c>
      <c r="W4034">
        <v>9.8000000000000007</v>
      </c>
    </row>
    <row r="4035" spans="1:23" x14ac:dyDescent="0.25">
      <c r="A4035">
        <v>12</v>
      </c>
      <c r="B4035" t="s">
        <v>66</v>
      </c>
      <c r="C4035" s="1">
        <v>44264</v>
      </c>
      <c r="D4035" t="s">
        <v>71</v>
      </c>
      <c r="E4035">
        <v>0</v>
      </c>
      <c r="F4035">
        <v>25</v>
      </c>
      <c r="G4035" t="str">
        <f t="shared" ref="G4035:G4098" si="71">IF(F4035&lt;=20,"0-20",IF(F4035&lt;=40,"21-40",IF(F4035&lt;=60,"41-60",IF(F4035&lt;=80,"61-80","81+"))))</f>
        <v>21-40</v>
      </c>
      <c r="H4035" t="s">
        <v>35</v>
      </c>
      <c r="I4035" t="s">
        <v>58</v>
      </c>
      <c r="J4035" t="s">
        <v>59</v>
      </c>
      <c r="K4035" t="s">
        <v>29</v>
      </c>
      <c r="L4035">
        <v>1</v>
      </c>
      <c r="M4035">
        <v>1</v>
      </c>
      <c r="N4035">
        <v>5</v>
      </c>
      <c r="O4035">
        <v>9.1</v>
      </c>
      <c r="P4035">
        <v>6</v>
      </c>
      <c r="Q4035">
        <v>5</v>
      </c>
      <c r="R4035">
        <v>884791</v>
      </c>
      <c r="S4035">
        <f>Table1[[#This Row],[Revenue]]-Table1[[#This Row],[Operating_Costs]]</f>
        <v>343522</v>
      </c>
      <c r="T4035">
        <v>541269</v>
      </c>
      <c r="U4035">
        <v>63</v>
      </c>
      <c r="V4035">
        <v>62</v>
      </c>
      <c r="W4035">
        <v>10.8</v>
      </c>
    </row>
    <row r="4036" spans="1:23" x14ac:dyDescent="0.25">
      <c r="A4036">
        <v>12</v>
      </c>
      <c r="B4036" t="s">
        <v>66</v>
      </c>
      <c r="C4036" s="1">
        <v>44992</v>
      </c>
      <c r="D4036" t="s">
        <v>71</v>
      </c>
      <c r="E4036">
        <v>0</v>
      </c>
      <c r="F4036">
        <v>28</v>
      </c>
      <c r="G4036" t="str">
        <f t="shared" si="71"/>
        <v>21-40</v>
      </c>
      <c r="H4036" t="s">
        <v>35</v>
      </c>
      <c r="I4036" t="s">
        <v>31</v>
      </c>
      <c r="J4036" t="s">
        <v>28</v>
      </c>
      <c r="K4036" t="s">
        <v>42</v>
      </c>
      <c r="L4036">
        <v>1</v>
      </c>
      <c r="M4036">
        <v>1</v>
      </c>
      <c r="N4036">
        <v>1.3</v>
      </c>
      <c r="O4036">
        <v>9.3000000000000007</v>
      </c>
      <c r="P4036">
        <v>6</v>
      </c>
      <c r="Q4036">
        <v>7</v>
      </c>
      <c r="R4036">
        <v>813248</v>
      </c>
      <c r="S4036">
        <f>Table1[[#This Row],[Revenue]]-Table1[[#This Row],[Operating_Costs]]</f>
        <v>175115</v>
      </c>
      <c r="T4036">
        <v>638133</v>
      </c>
      <c r="U4036">
        <v>68</v>
      </c>
      <c r="V4036">
        <v>63</v>
      </c>
      <c r="W4036">
        <v>7.2</v>
      </c>
    </row>
    <row r="4037" spans="1:23" x14ac:dyDescent="0.25">
      <c r="A4037">
        <v>12</v>
      </c>
      <c r="B4037" t="s">
        <v>66</v>
      </c>
      <c r="C4037" s="1">
        <v>45393</v>
      </c>
      <c r="D4037" t="s">
        <v>71</v>
      </c>
      <c r="E4037">
        <v>0</v>
      </c>
      <c r="F4037">
        <v>34</v>
      </c>
      <c r="G4037" t="str">
        <f t="shared" si="71"/>
        <v>21-40</v>
      </c>
      <c r="H4037" t="s">
        <v>23</v>
      </c>
      <c r="I4037" t="s">
        <v>58</v>
      </c>
      <c r="J4037" t="s">
        <v>59</v>
      </c>
      <c r="K4037" t="s">
        <v>33</v>
      </c>
      <c r="L4037">
        <v>1</v>
      </c>
      <c r="M4037">
        <v>1</v>
      </c>
      <c r="N4037">
        <v>5.4</v>
      </c>
      <c r="O4037">
        <v>7.4</v>
      </c>
      <c r="P4037">
        <v>6</v>
      </c>
      <c r="Q4037">
        <v>5</v>
      </c>
      <c r="R4037">
        <v>835283</v>
      </c>
      <c r="S4037">
        <f>Table1[[#This Row],[Revenue]]-Table1[[#This Row],[Operating_Costs]]</f>
        <v>233359</v>
      </c>
      <c r="T4037">
        <v>601924</v>
      </c>
      <c r="U4037">
        <v>77</v>
      </c>
      <c r="V4037">
        <v>55</v>
      </c>
      <c r="W4037">
        <v>14.2</v>
      </c>
    </row>
    <row r="4038" spans="1:23" x14ac:dyDescent="0.25">
      <c r="A4038">
        <v>12</v>
      </c>
      <c r="B4038" t="s">
        <v>66</v>
      </c>
      <c r="C4038" s="1">
        <v>44294</v>
      </c>
      <c r="D4038" t="s">
        <v>71</v>
      </c>
      <c r="E4038">
        <v>0</v>
      </c>
      <c r="F4038">
        <v>27</v>
      </c>
      <c r="G4038" t="str">
        <f t="shared" si="71"/>
        <v>21-40</v>
      </c>
      <c r="H4038" t="s">
        <v>23</v>
      </c>
      <c r="I4038" t="s">
        <v>43</v>
      </c>
      <c r="J4038" t="s">
        <v>25</v>
      </c>
      <c r="K4038" t="s">
        <v>42</v>
      </c>
      <c r="L4038">
        <v>1</v>
      </c>
      <c r="M4038">
        <v>1</v>
      </c>
      <c r="N4038">
        <v>3.2</v>
      </c>
      <c r="O4038">
        <v>7.1</v>
      </c>
      <c r="P4038">
        <v>5</v>
      </c>
      <c r="Q4038">
        <v>5</v>
      </c>
      <c r="R4038">
        <v>947052</v>
      </c>
      <c r="S4038">
        <f>Table1[[#This Row],[Revenue]]-Table1[[#This Row],[Operating_Costs]]</f>
        <v>382332</v>
      </c>
      <c r="T4038">
        <v>564720</v>
      </c>
      <c r="U4038">
        <v>73</v>
      </c>
      <c r="V4038">
        <v>62</v>
      </c>
      <c r="W4038">
        <v>7.4</v>
      </c>
    </row>
    <row r="4039" spans="1:23" x14ac:dyDescent="0.25">
      <c r="A4039">
        <v>12</v>
      </c>
      <c r="B4039" t="s">
        <v>66</v>
      </c>
      <c r="C4039" s="1">
        <v>45199</v>
      </c>
      <c r="D4039" t="s">
        <v>71</v>
      </c>
      <c r="E4039">
        <v>0</v>
      </c>
      <c r="F4039">
        <v>85</v>
      </c>
      <c r="G4039" t="str">
        <f t="shared" si="71"/>
        <v>81+</v>
      </c>
      <c r="H4039" t="s">
        <v>23</v>
      </c>
      <c r="I4039" t="s">
        <v>64</v>
      </c>
      <c r="J4039" t="s">
        <v>65</v>
      </c>
      <c r="K4039" t="s">
        <v>26</v>
      </c>
      <c r="L4039">
        <v>1</v>
      </c>
      <c r="M4039">
        <v>1</v>
      </c>
      <c r="N4039">
        <v>5.8</v>
      </c>
      <c r="O4039">
        <v>7.2</v>
      </c>
      <c r="P4039">
        <v>7</v>
      </c>
      <c r="Q4039">
        <v>3</v>
      </c>
      <c r="R4039">
        <v>801005</v>
      </c>
      <c r="S4039">
        <f>Table1[[#This Row],[Revenue]]-Table1[[#This Row],[Operating_Costs]]</f>
        <v>168636</v>
      </c>
      <c r="T4039">
        <v>632369</v>
      </c>
      <c r="U4039">
        <v>72</v>
      </c>
      <c r="V4039">
        <v>54</v>
      </c>
      <c r="W4039">
        <v>9.1</v>
      </c>
    </row>
    <row r="4040" spans="1:23" x14ac:dyDescent="0.25">
      <c r="A4040">
        <v>12</v>
      </c>
      <c r="B4040" t="s">
        <v>66</v>
      </c>
      <c r="C4040" s="1">
        <v>45101</v>
      </c>
      <c r="D4040" t="s">
        <v>71</v>
      </c>
      <c r="E4040">
        <v>0</v>
      </c>
      <c r="F4040">
        <v>27</v>
      </c>
      <c r="G4040" t="str">
        <f t="shared" si="71"/>
        <v>21-40</v>
      </c>
      <c r="H4040" t="s">
        <v>23</v>
      </c>
      <c r="I4040" t="s">
        <v>50</v>
      </c>
      <c r="J4040" t="s">
        <v>51</v>
      </c>
      <c r="K4040" t="s">
        <v>38</v>
      </c>
      <c r="L4040">
        <v>1</v>
      </c>
      <c r="M4040">
        <v>1</v>
      </c>
      <c r="N4040">
        <v>2.7</v>
      </c>
      <c r="O4040">
        <v>8.9</v>
      </c>
      <c r="P4040">
        <v>7</v>
      </c>
      <c r="Q4040">
        <v>7</v>
      </c>
      <c r="R4040">
        <v>893093</v>
      </c>
      <c r="S4040">
        <f>Table1[[#This Row],[Revenue]]-Table1[[#This Row],[Operating_Costs]]</f>
        <v>338603</v>
      </c>
      <c r="T4040">
        <v>554490</v>
      </c>
      <c r="U4040">
        <v>56</v>
      </c>
      <c r="V4040">
        <v>54</v>
      </c>
      <c r="W4040">
        <v>12.9</v>
      </c>
    </row>
    <row r="4041" spans="1:23" x14ac:dyDescent="0.25">
      <c r="A4041">
        <v>12</v>
      </c>
      <c r="B4041" t="s">
        <v>66</v>
      </c>
      <c r="C4041" s="1">
        <v>45552</v>
      </c>
      <c r="D4041" t="s">
        <v>71</v>
      </c>
      <c r="E4041">
        <v>0</v>
      </c>
      <c r="F4041">
        <v>27</v>
      </c>
      <c r="G4041" t="str">
        <f t="shared" si="71"/>
        <v>21-40</v>
      </c>
      <c r="H4041" t="s">
        <v>23</v>
      </c>
      <c r="I4041" t="s">
        <v>31</v>
      </c>
      <c r="J4041" t="s">
        <v>28</v>
      </c>
      <c r="K4041" t="s">
        <v>38</v>
      </c>
      <c r="L4041">
        <v>1</v>
      </c>
      <c r="M4041">
        <v>1</v>
      </c>
      <c r="N4041">
        <v>5.0999999999999996</v>
      </c>
      <c r="O4041">
        <v>9.6999999999999993</v>
      </c>
      <c r="P4041">
        <v>5</v>
      </c>
      <c r="Q4041">
        <v>3</v>
      </c>
      <c r="R4041">
        <v>810212</v>
      </c>
      <c r="S4041">
        <f>Table1[[#This Row],[Revenue]]-Table1[[#This Row],[Operating_Costs]]</f>
        <v>283195</v>
      </c>
      <c r="T4041">
        <v>527017</v>
      </c>
      <c r="U4041">
        <v>58</v>
      </c>
      <c r="V4041">
        <v>65</v>
      </c>
      <c r="W4041">
        <v>9</v>
      </c>
    </row>
    <row r="4042" spans="1:23" x14ac:dyDescent="0.25">
      <c r="A4042">
        <v>12</v>
      </c>
      <c r="B4042" t="s">
        <v>66</v>
      </c>
      <c r="C4042" s="1">
        <v>45265</v>
      </c>
      <c r="D4042" t="s">
        <v>71</v>
      </c>
      <c r="E4042">
        <v>0</v>
      </c>
      <c r="F4042">
        <v>46</v>
      </c>
      <c r="G4042" t="str">
        <f t="shared" si="71"/>
        <v>41-60</v>
      </c>
      <c r="H4042" t="s">
        <v>35</v>
      </c>
      <c r="I4042" t="s">
        <v>58</v>
      </c>
      <c r="J4042" t="s">
        <v>59</v>
      </c>
      <c r="K4042" t="s">
        <v>38</v>
      </c>
      <c r="L4042">
        <v>1</v>
      </c>
      <c r="M4042">
        <v>1</v>
      </c>
      <c r="N4042">
        <v>2</v>
      </c>
      <c r="O4042">
        <v>8.4</v>
      </c>
      <c r="P4042">
        <v>4</v>
      </c>
      <c r="Q4042">
        <v>4</v>
      </c>
      <c r="R4042">
        <v>994190</v>
      </c>
      <c r="S4042">
        <f>Table1[[#This Row],[Revenue]]-Table1[[#This Row],[Operating_Costs]]</f>
        <v>413329</v>
      </c>
      <c r="T4042">
        <v>580861</v>
      </c>
      <c r="U4042">
        <v>50</v>
      </c>
      <c r="V4042">
        <v>60</v>
      </c>
      <c r="W4042">
        <v>13.7</v>
      </c>
    </row>
    <row r="4043" spans="1:23" x14ac:dyDescent="0.25">
      <c r="A4043">
        <v>12</v>
      </c>
      <c r="B4043" t="s">
        <v>66</v>
      </c>
      <c r="C4043" s="1">
        <v>44483</v>
      </c>
      <c r="D4043" t="s">
        <v>71</v>
      </c>
      <c r="E4043">
        <v>0</v>
      </c>
      <c r="F4043">
        <v>57</v>
      </c>
      <c r="G4043" t="str">
        <f t="shared" si="71"/>
        <v>41-60</v>
      </c>
      <c r="H4043" t="s">
        <v>35</v>
      </c>
      <c r="I4043" t="s">
        <v>61</v>
      </c>
      <c r="J4043" t="s">
        <v>62</v>
      </c>
      <c r="K4043" t="s">
        <v>33</v>
      </c>
      <c r="L4043">
        <v>1</v>
      </c>
      <c r="M4043">
        <v>1</v>
      </c>
      <c r="N4043">
        <v>3.7</v>
      </c>
      <c r="O4043">
        <v>9.1</v>
      </c>
      <c r="P4043">
        <v>3</v>
      </c>
      <c r="Q4043">
        <v>5</v>
      </c>
      <c r="R4043">
        <v>896583</v>
      </c>
      <c r="S4043">
        <f>Table1[[#This Row],[Revenue]]-Table1[[#This Row],[Operating_Costs]]</f>
        <v>245142</v>
      </c>
      <c r="T4043">
        <v>651441</v>
      </c>
      <c r="U4043">
        <v>70</v>
      </c>
      <c r="V4043">
        <v>63</v>
      </c>
      <c r="W4043">
        <v>12.5</v>
      </c>
    </row>
    <row r="4044" spans="1:23" x14ac:dyDescent="0.25">
      <c r="A4044">
        <v>12</v>
      </c>
      <c r="B4044" t="s">
        <v>66</v>
      </c>
      <c r="C4044" s="1">
        <v>45275</v>
      </c>
      <c r="D4044" t="s">
        <v>71</v>
      </c>
      <c r="E4044">
        <v>0</v>
      </c>
      <c r="F4044">
        <v>46</v>
      </c>
      <c r="G4044" t="str">
        <f t="shared" si="71"/>
        <v>41-60</v>
      </c>
      <c r="H4044" t="s">
        <v>35</v>
      </c>
      <c r="I4044" t="s">
        <v>61</v>
      </c>
      <c r="J4044" t="s">
        <v>62</v>
      </c>
      <c r="K4044" t="s">
        <v>26</v>
      </c>
      <c r="L4044">
        <v>1</v>
      </c>
      <c r="M4044">
        <v>1</v>
      </c>
      <c r="N4044">
        <v>1.7</v>
      </c>
      <c r="O4044">
        <v>9.6999999999999993</v>
      </c>
      <c r="P4044">
        <v>3</v>
      </c>
      <c r="Q4044">
        <v>7</v>
      </c>
      <c r="R4044">
        <v>944656</v>
      </c>
      <c r="S4044">
        <f>Table1[[#This Row],[Revenue]]-Table1[[#This Row],[Operating_Costs]]</f>
        <v>436392</v>
      </c>
      <c r="T4044">
        <v>508264</v>
      </c>
      <c r="U4044">
        <v>53</v>
      </c>
      <c r="V4044">
        <v>66</v>
      </c>
      <c r="W4044">
        <v>13.4</v>
      </c>
    </row>
    <row r="4045" spans="1:23" x14ac:dyDescent="0.25">
      <c r="A4045">
        <v>12</v>
      </c>
      <c r="B4045" t="s">
        <v>66</v>
      </c>
      <c r="C4045" s="1">
        <v>45014</v>
      </c>
      <c r="D4045" t="s">
        <v>71</v>
      </c>
      <c r="E4045">
        <v>0</v>
      </c>
      <c r="F4045">
        <v>45</v>
      </c>
      <c r="G4045" t="str">
        <f t="shared" si="71"/>
        <v>41-60</v>
      </c>
      <c r="H4045" t="s">
        <v>23</v>
      </c>
      <c r="I4045" t="s">
        <v>55</v>
      </c>
      <c r="J4045" t="s">
        <v>56</v>
      </c>
      <c r="K4045" t="s">
        <v>26</v>
      </c>
      <c r="L4045">
        <v>1</v>
      </c>
      <c r="M4045">
        <v>1</v>
      </c>
      <c r="N4045">
        <v>5.7</v>
      </c>
      <c r="O4045">
        <v>7.6</v>
      </c>
      <c r="P4045">
        <v>5</v>
      </c>
      <c r="Q4045">
        <v>6</v>
      </c>
      <c r="R4045">
        <v>936609</v>
      </c>
      <c r="S4045">
        <f>Table1[[#This Row],[Revenue]]-Table1[[#This Row],[Operating_Costs]]</f>
        <v>338555</v>
      </c>
      <c r="T4045">
        <v>598054</v>
      </c>
      <c r="U4045">
        <v>70</v>
      </c>
      <c r="V4045">
        <v>58</v>
      </c>
      <c r="W4045">
        <v>12.7</v>
      </c>
    </row>
    <row r="4046" spans="1:23" x14ac:dyDescent="0.25">
      <c r="A4046">
        <v>12</v>
      </c>
      <c r="B4046" t="s">
        <v>66</v>
      </c>
      <c r="C4046" s="1">
        <v>45581</v>
      </c>
      <c r="D4046" t="s">
        <v>71</v>
      </c>
      <c r="E4046">
        <v>0</v>
      </c>
      <c r="F4046">
        <v>37</v>
      </c>
      <c r="G4046" t="str">
        <f t="shared" si="71"/>
        <v>21-40</v>
      </c>
      <c r="H4046" t="s">
        <v>23</v>
      </c>
      <c r="I4046" t="s">
        <v>43</v>
      </c>
      <c r="J4046" t="s">
        <v>25</v>
      </c>
      <c r="K4046" t="s">
        <v>33</v>
      </c>
      <c r="L4046">
        <v>1</v>
      </c>
      <c r="M4046">
        <v>1</v>
      </c>
      <c r="N4046">
        <v>4.7</v>
      </c>
      <c r="O4046">
        <v>7.7</v>
      </c>
      <c r="P4046">
        <v>3</v>
      </c>
      <c r="Q4046">
        <v>3</v>
      </c>
      <c r="R4046">
        <v>974104</v>
      </c>
      <c r="S4046">
        <f>Table1[[#This Row],[Revenue]]-Table1[[#This Row],[Operating_Costs]]</f>
        <v>406013</v>
      </c>
      <c r="T4046">
        <v>568091</v>
      </c>
      <c r="U4046">
        <v>62</v>
      </c>
      <c r="V4046">
        <v>55</v>
      </c>
      <c r="W4046">
        <v>14.7</v>
      </c>
    </row>
    <row r="4047" spans="1:23" x14ac:dyDescent="0.25">
      <c r="A4047">
        <v>12</v>
      </c>
      <c r="B4047" t="s">
        <v>66</v>
      </c>
      <c r="C4047" s="1">
        <v>45386</v>
      </c>
      <c r="D4047" t="s">
        <v>71</v>
      </c>
      <c r="E4047">
        <v>0</v>
      </c>
      <c r="F4047">
        <v>22</v>
      </c>
      <c r="G4047" t="str">
        <f t="shared" si="71"/>
        <v>21-40</v>
      </c>
      <c r="H4047" t="s">
        <v>35</v>
      </c>
      <c r="I4047" t="s">
        <v>53</v>
      </c>
      <c r="J4047" t="s">
        <v>54</v>
      </c>
      <c r="K4047" t="s">
        <v>42</v>
      </c>
      <c r="L4047">
        <v>1</v>
      </c>
      <c r="M4047">
        <v>1</v>
      </c>
      <c r="N4047">
        <v>1.8</v>
      </c>
      <c r="O4047">
        <v>9.6</v>
      </c>
      <c r="P4047">
        <v>4</v>
      </c>
      <c r="Q4047">
        <v>7</v>
      </c>
      <c r="R4047">
        <v>867302</v>
      </c>
      <c r="S4047">
        <f>Table1[[#This Row],[Revenue]]-Table1[[#This Row],[Operating_Costs]]</f>
        <v>211990</v>
      </c>
      <c r="T4047">
        <v>655312</v>
      </c>
      <c r="U4047">
        <v>74</v>
      </c>
      <c r="V4047">
        <v>62</v>
      </c>
      <c r="W4047">
        <v>36.9</v>
      </c>
    </row>
    <row r="4048" spans="1:23" x14ac:dyDescent="0.25">
      <c r="A4048">
        <v>12</v>
      </c>
      <c r="B4048" t="s">
        <v>66</v>
      </c>
      <c r="C4048" s="1">
        <v>45383</v>
      </c>
      <c r="D4048" t="s">
        <v>71</v>
      </c>
      <c r="E4048">
        <v>0</v>
      </c>
      <c r="F4048">
        <v>51</v>
      </c>
      <c r="G4048" t="str">
        <f t="shared" si="71"/>
        <v>41-60</v>
      </c>
      <c r="H4048" t="s">
        <v>35</v>
      </c>
      <c r="I4048" t="s">
        <v>36</v>
      </c>
      <c r="J4048" t="s">
        <v>37</v>
      </c>
      <c r="K4048" t="s">
        <v>26</v>
      </c>
      <c r="L4048">
        <v>1</v>
      </c>
      <c r="M4048">
        <v>1</v>
      </c>
      <c r="N4048">
        <v>4.0999999999999996</v>
      </c>
      <c r="O4048">
        <v>8.5</v>
      </c>
      <c r="P4048">
        <v>4</v>
      </c>
      <c r="Q4048">
        <v>4</v>
      </c>
      <c r="R4048">
        <v>898709</v>
      </c>
      <c r="S4048">
        <f>Table1[[#This Row],[Revenue]]-Table1[[#This Row],[Operating_Costs]]</f>
        <v>258410</v>
      </c>
      <c r="T4048">
        <v>640299</v>
      </c>
      <c r="U4048">
        <v>64</v>
      </c>
      <c r="V4048">
        <v>58</v>
      </c>
      <c r="W4048">
        <v>9.1999999999999993</v>
      </c>
    </row>
    <row r="4049" spans="1:23" x14ac:dyDescent="0.25">
      <c r="A4049">
        <v>12</v>
      </c>
      <c r="B4049" t="s">
        <v>66</v>
      </c>
      <c r="C4049" s="1">
        <v>45444</v>
      </c>
      <c r="D4049" t="s">
        <v>71</v>
      </c>
      <c r="E4049">
        <v>0</v>
      </c>
      <c r="F4049">
        <v>29</v>
      </c>
      <c r="G4049" t="str">
        <f t="shared" si="71"/>
        <v>21-40</v>
      </c>
      <c r="H4049" t="s">
        <v>35</v>
      </c>
      <c r="I4049" t="s">
        <v>40</v>
      </c>
      <c r="J4049" t="s">
        <v>41</v>
      </c>
      <c r="K4049" t="s">
        <v>38</v>
      </c>
      <c r="L4049">
        <v>1</v>
      </c>
      <c r="M4049">
        <v>1</v>
      </c>
      <c r="N4049">
        <v>4.7</v>
      </c>
      <c r="O4049">
        <v>8.1999999999999993</v>
      </c>
      <c r="P4049">
        <v>3</v>
      </c>
      <c r="Q4049">
        <v>6</v>
      </c>
      <c r="R4049">
        <v>933343</v>
      </c>
      <c r="S4049">
        <f>Table1[[#This Row],[Revenue]]-Table1[[#This Row],[Operating_Costs]]</f>
        <v>339802</v>
      </c>
      <c r="T4049">
        <v>593541</v>
      </c>
      <c r="U4049">
        <v>62</v>
      </c>
      <c r="V4049">
        <v>60</v>
      </c>
      <c r="W4049">
        <v>10.3</v>
      </c>
    </row>
    <row r="4050" spans="1:23" x14ac:dyDescent="0.25">
      <c r="A4050">
        <v>12</v>
      </c>
      <c r="B4050" t="s">
        <v>66</v>
      </c>
      <c r="C4050" s="1">
        <v>44972</v>
      </c>
      <c r="D4050" t="s">
        <v>71</v>
      </c>
      <c r="E4050">
        <v>0</v>
      </c>
      <c r="F4050">
        <v>70</v>
      </c>
      <c r="G4050" t="str">
        <f t="shared" si="71"/>
        <v>61-80</v>
      </c>
      <c r="H4050" t="s">
        <v>35</v>
      </c>
      <c r="I4050" t="s">
        <v>36</v>
      </c>
      <c r="J4050" t="s">
        <v>37</v>
      </c>
      <c r="K4050" t="s">
        <v>33</v>
      </c>
      <c r="L4050">
        <v>1</v>
      </c>
      <c r="M4050">
        <v>1</v>
      </c>
      <c r="N4050">
        <v>3.9</v>
      </c>
      <c r="O4050">
        <v>7.3</v>
      </c>
      <c r="P4050">
        <v>4</v>
      </c>
      <c r="Q4050">
        <v>7</v>
      </c>
      <c r="R4050">
        <v>869486</v>
      </c>
      <c r="S4050">
        <f>Table1[[#This Row],[Revenue]]-Table1[[#This Row],[Operating_Costs]]</f>
        <v>251596</v>
      </c>
      <c r="T4050">
        <v>617890</v>
      </c>
      <c r="U4050">
        <v>55</v>
      </c>
      <c r="V4050">
        <v>54</v>
      </c>
      <c r="W4050">
        <v>13.1</v>
      </c>
    </row>
    <row r="4051" spans="1:23" x14ac:dyDescent="0.25">
      <c r="A4051">
        <v>12</v>
      </c>
      <c r="B4051" t="s">
        <v>66</v>
      </c>
      <c r="C4051" s="1">
        <v>44457</v>
      </c>
      <c r="D4051" t="s">
        <v>71</v>
      </c>
      <c r="E4051">
        <v>0</v>
      </c>
      <c r="F4051">
        <v>63</v>
      </c>
      <c r="G4051" t="str">
        <f t="shared" si="71"/>
        <v>61-80</v>
      </c>
      <c r="H4051" t="s">
        <v>23</v>
      </c>
      <c r="I4051" t="s">
        <v>55</v>
      </c>
      <c r="J4051" t="s">
        <v>56</v>
      </c>
      <c r="K4051" t="s">
        <v>38</v>
      </c>
      <c r="L4051">
        <v>1</v>
      </c>
      <c r="M4051">
        <v>1</v>
      </c>
      <c r="N4051">
        <v>5.2</v>
      </c>
      <c r="O4051">
        <v>9.3000000000000007</v>
      </c>
      <c r="P4051">
        <v>5</v>
      </c>
      <c r="Q4051">
        <v>7</v>
      </c>
      <c r="R4051">
        <v>997501</v>
      </c>
      <c r="S4051">
        <f>Table1[[#This Row],[Revenue]]-Table1[[#This Row],[Operating_Costs]]</f>
        <v>372180</v>
      </c>
      <c r="T4051">
        <v>625321</v>
      </c>
      <c r="U4051">
        <v>69</v>
      </c>
      <c r="V4051">
        <v>63</v>
      </c>
      <c r="W4051">
        <v>36.5</v>
      </c>
    </row>
    <row r="4052" spans="1:23" x14ac:dyDescent="0.25">
      <c r="A4052">
        <v>12</v>
      </c>
      <c r="B4052" t="s">
        <v>66</v>
      </c>
      <c r="C4052" s="1">
        <v>44257</v>
      </c>
      <c r="D4052" t="s">
        <v>71</v>
      </c>
      <c r="E4052">
        <v>0</v>
      </c>
      <c r="F4052">
        <v>29</v>
      </c>
      <c r="G4052" t="str">
        <f t="shared" si="71"/>
        <v>21-40</v>
      </c>
      <c r="H4052" t="s">
        <v>23</v>
      </c>
      <c r="I4052" t="s">
        <v>61</v>
      </c>
      <c r="J4052" t="s">
        <v>62</v>
      </c>
      <c r="K4052" t="s">
        <v>29</v>
      </c>
      <c r="L4052">
        <v>1</v>
      </c>
      <c r="M4052">
        <v>1</v>
      </c>
      <c r="N4052">
        <v>3.5</v>
      </c>
      <c r="O4052">
        <v>9.6</v>
      </c>
      <c r="P4052">
        <v>4</v>
      </c>
      <c r="Q4052">
        <v>7</v>
      </c>
      <c r="R4052">
        <v>817417</v>
      </c>
      <c r="S4052">
        <f>Table1[[#This Row],[Revenue]]-Table1[[#This Row],[Operating_Costs]]</f>
        <v>222778</v>
      </c>
      <c r="T4052">
        <v>594639</v>
      </c>
      <c r="U4052">
        <v>58</v>
      </c>
      <c r="V4052">
        <v>58</v>
      </c>
      <c r="W4052">
        <v>12.9</v>
      </c>
    </row>
    <row r="4053" spans="1:23" x14ac:dyDescent="0.25">
      <c r="A4053">
        <v>12</v>
      </c>
      <c r="B4053" t="s">
        <v>66</v>
      </c>
      <c r="C4053" s="1">
        <v>44737</v>
      </c>
      <c r="D4053" t="s">
        <v>71</v>
      </c>
      <c r="E4053">
        <v>0</v>
      </c>
      <c r="F4053">
        <v>25</v>
      </c>
      <c r="G4053" t="str">
        <f t="shared" si="71"/>
        <v>21-40</v>
      </c>
      <c r="H4053" t="s">
        <v>23</v>
      </c>
      <c r="I4053" t="s">
        <v>27</v>
      </c>
      <c r="J4053" t="s">
        <v>28</v>
      </c>
      <c r="K4053" t="s">
        <v>33</v>
      </c>
      <c r="L4053">
        <v>1</v>
      </c>
      <c r="M4053">
        <v>1</v>
      </c>
      <c r="N4053">
        <v>3.6</v>
      </c>
      <c r="O4053">
        <v>9.4</v>
      </c>
      <c r="P4053">
        <v>6</v>
      </c>
      <c r="Q4053">
        <v>7</v>
      </c>
      <c r="R4053">
        <v>912492</v>
      </c>
      <c r="S4053">
        <f>Table1[[#This Row],[Revenue]]-Table1[[#This Row],[Operating_Costs]]</f>
        <v>402162</v>
      </c>
      <c r="T4053">
        <v>510330</v>
      </c>
      <c r="U4053">
        <v>59</v>
      </c>
      <c r="V4053">
        <v>65</v>
      </c>
      <c r="W4053">
        <v>8.1</v>
      </c>
    </row>
    <row r="4054" spans="1:23" x14ac:dyDescent="0.25">
      <c r="A4054">
        <v>12</v>
      </c>
      <c r="B4054" t="s">
        <v>66</v>
      </c>
      <c r="C4054" s="1">
        <v>45455</v>
      </c>
      <c r="D4054" t="s">
        <v>71</v>
      </c>
      <c r="E4054">
        <v>0</v>
      </c>
      <c r="F4054">
        <v>47</v>
      </c>
      <c r="G4054" t="str">
        <f t="shared" si="71"/>
        <v>41-60</v>
      </c>
      <c r="H4054" t="s">
        <v>35</v>
      </c>
      <c r="I4054" t="s">
        <v>36</v>
      </c>
      <c r="J4054" t="s">
        <v>37</v>
      </c>
      <c r="K4054" t="s">
        <v>26</v>
      </c>
      <c r="L4054">
        <v>1</v>
      </c>
      <c r="M4054">
        <v>1</v>
      </c>
      <c r="N4054">
        <v>3.7</v>
      </c>
      <c r="O4054">
        <v>8.1</v>
      </c>
      <c r="P4054">
        <v>7</v>
      </c>
      <c r="Q4054">
        <v>6</v>
      </c>
      <c r="R4054">
        <v>933327</v>
      </c>
      <c r="S4054">
        <f>Table1[[#This Row],[Revenue]]-Table1[[#This Row],[Operating_Costs]]</f>
        <v>342501</v>
      </c>
      <c r="T4054">
        <v>590826</v>
      </c>
      <c r="U4054">
        <v>78</v>
      </c>
      <c r="V4054">
        <v>66</v>
      </c>
      <c r="W4054">
        <v>7.6</v>
      </c>
    </row>
    <row r="4055" spans="1:23" x14ac:dyDescent="0.25">
      <c r="A4055">
        <v>12</v>
      </c>
      <c r="B4055" t="s">
        <v>66</v>
      </c>
      <c r="C4055" s="1">
        <v>45627</v>
      </c>
      <c r="D4055" t="s">
        <v>71</v>
      </c>
      <c r="E4055">
        <v>0</v>
      </c>
      <c r="F4055">
        <v>49</v>
      </c>
      <c r="G4055" t="str">
        <f t="shared" si="71"/>
        <v>41-60</v>
      </c>
      <c r="H4055" t="s">
        <v>23</v>
      </c>
      <c r="I4055" t="s">
        <v>40</v>
      </c>
      <c r="J4055" t="s">
        <v>41</v>
      </c>
      <c r="K4055" t="s">
        <v>42</v>
      </c>
      <c r="L4055">
        <v>1</v>
      </c>
      <c r="M4055">
        <v>1</v>
      </c>
      <c r="N4055">
        <v>3.6</v>
      </c>
      <c r="O4055">
        <v>7.2</v>
      </c>
      <c r="P4055">
        <v>7</v>
      </c>
      <c r="Q4055">
        <v>5</v>
      </c>
      <c r="R4055">
        <v>805840</v>
      </c>
      <c r="S4055">
        <f>Table1[[#This Row],[Revenue]]-Table1[[#This Row],[Operating_Costs]]</f>
        <v>269607</v>
      </c>
      <c r="T4055">
        <v>536233</v>
      </c>
      <c r="U4055">
        <v>68</v>
      </c>
      <c r="V4055">
        <v>62</v>
      </c>
      <c r="W4055">
        <v>6.6</v>
      </c>
    </row>
    <row r="4056" spans="1:23" x14ac:dyDescent="0.25">
      <c r="A4056">
        <v>12</v>
      </c>
      <c r="B4056" t="s">
        <v>66</v>
      </c>
      <c r="C4056" s="1">
        <v>44840</v>
      </c>
      <c r="D4056" t="s">
        <v>71</v>
      </c>
      <c r="E4056">
        <v>0</v>
      </c>
      <c r="F4056">
        <v>28</v>
      </c>
      <c r="G4056" t="str">
        <f t="shared" si="71"/>
        <v>21-40</v>
      </c>
      <c r="H4056" t="s">
        <v>23</v>
      </c>
      <c r="I4056" t="s">
        <v>24</v>
      </c>
      <c r="J4056" t="s">
        <v>25</v>
      </c>
      <c r="K4056" t="s">
        <v>29</v>
      </c>
      <c r="L4056">
        <v>1</v>
      </c>
      <c r="M4056">
        <v>1</v>
      </c>
      <c r="N4056">
        <v>4.5</v>
      </c>
      <c r="O4056">
        <v>7.4</v>
      </c>
      <c r="P4056">
        <v>4</v>
      </c>
      <c r="Q4056">
        <v>6</v>
      </c>
      <c r="R4056">
        <v>886168</v>
      </c>
      <c r="S4056">
        <f>Table1[[#This Row],[Revenue]]-Table1[[#This Row],[Operating_Costs]]</f>
        <v>323545</v>
      </c>
      <c r="T4056">
        <v>562623</v>
      </c>
      <c r="U4056">
        <v>50</v>
      </c>
      <c r="V4056">
        <v>61</v>
      </c>
      <c r="W4056">
        <v>9.1999999999999993</v>
      </c>
    </row>
    <row r="4057" spans="1:23" x14ac:dyDescent="0.25">
      <c r="A4057">
        <v>12</v>
      </c>
      <c r="B4057" t="s">
        <v>66</v>
      </c>
      <c r="C4057" s="1">
        <v>44992</v>
      </c>
      <c r="D4057" t="s">
        <v>71</v>
      </c>
      <c r="E4057">
        <v>0</v>
      </c>
      <c r="F4057">
        <v>49</v>
      </c>
      <c r="G4057" t="str">
        <f t="shared" si="71"/>
        <v>41-60</v>
      </c>
      <c r="H4057" t="s">
        <v>35</v>
      </c>
      <c r="I4057" t="s">
        <v>61</v>
      </c>
      <c r="J4057" t="s">
        <v>62</v>
      </c>
      <c r="K4057" t="s">
        <v>33</v>
      </c>
      <c r="L4057">
        <v>1</v>
      </c>
      <c r="M4057">
        <v>1</v>
      </c>
      <c r="N4057">
        <v>6.9</v>
      </c>
      <c r="O4057">
        <v>7.1</v>
      </c>
      <c r="P4057">
        <v>3</v>
      </c>
      <c r="Q4057">
        <v>7</v>
      </c>
      <c r="R4057">
        <v>890818</v>
      </c>
      <c r="S4057">
        <f>Table1[[#This Row],[Revenue]]-Table1[[#This Row],[Operating_Costs]]</f>
        <v>366630</v>
      </c>
      <c r="T4057">
        <v>524188</v>
      </c>
      <c r="U4057">
        <v>75</v>
      </c>
      <c r="V4057">
        <v>59</v>
      </c>
      <c r="W4057">
        <v>6.5</v>
      </c>
    </row>
    <row r="4058" spans="1:23" x14ac:dyDescent="0.25">
      <c r="A4058">
        <v>12</v>
      </c>
      <c r="B4058" t="s">
        <v>66</v>
      </c>
      <c r="C4058" s="1">
        <v>44789</v>
      </c>
      <c r="D4058" t="s">
        <v>71</v>
      </c>
      <c r="E4058">
        <v>0</v>
      </c>
      <c r="F4058">
        <v>90</v>
      </c>
      <c r="G4058" t="str">
        <f t="shared" si="71"/>
        <v>81+</v>
      </c>
      <c r="H4058" t="s">
        <v>23</v>
      </c>
      <c r="I4058" t="s">
        <v>61</v>
      </c>
      <c r="J4058" t="s">
        <v>62</v>
      </c>
      <c r="K4058" t="s">
        <v>42</v>
      </c>
      <c r="L4058">
        <v>1</v>
      </c>
      <c r="M4058">
        <v>1</v>
      </c>
      <c r="N4058">
        <v>5.8</v>
      </c>
      <c r="O4058">
        <v>7.5</v>
      </c>
      <c r="P4058">
        <v>4</v>
      </c>
      <c r="Q4058">
        <v>5</v>
      </c>
      <c r="R4058">
        <v>967515</v>
      </c>
      <c r="S4058">
        <f>Table1[[#This Row],[Revenue]]-Table1[[#This Row],[Operating_Costs]]</f>
        <v>463193</v>
      </c>
      <c r="T4058">
        <v>504322</v>
      </c>
      <c r="U4058">
        <v>51</v>
      </c>
      <c r="V4058">
        <v>54</v>
      </c>
      <c r="W4058">
        <v>5.3</v>
      </c>
    </row>
    <row r="4059" spans="1:23" x14ac:dyDescent="0.25">
      <c r="A4059">
        <v>12</v>
      </c>
      <c r="B4059" t="s">
        <v>66</v>
      </c>
      <c r="C4059" s="1">
        <v>45641</v>
      </c>
      <c r="D4059" t="s">
        <v>71</v>
      </c>
      <c r="E4059">
        <v>0</v>
      </c>
      <c r="F4059">
        <v>78</v>
      </c>
      <c r="G4059" t="str">
        <f t="shared" si="71"/>
        <v>61-80</v>
      </c>
      <c r="H4059" t="s">
        <v>35</v>
      </c>
      <c r="I4059" t="s">
        <v>40</v>
      </c>
      <c r="J4059" t="s">
        <v>41</v>
      </c>
      <c r="K4059" t="s">
        <v>42</v>
      </c>
      <c r="L4059">
        <v>1</v>
      </c>
      <c r="M4059">
        <v>1</v>
      </c>
      <c r="N4059">
        <v>5.8</v>
      </c>
      <c r="O4059">
        <v>7.2</v>
      </c>
      <c r="P4059">
        <v>4</v>
      </c>
      <c r="Q4059">
        <v>6</v>
      </c>
      <c r="R4059">
        <v>817919</v>
      </c>
      <c r="S4059">
        <f>Table1[[#This Row],[Revenue]]-Table1[[#This Row],[Operating_Costs]]</f>
        <v>189586</v>
      </c>
      <c r="T4059">
        <v>628333</v>
      </c>
      <c r="U4059">
        <v>54</v>
      </c>
      <c r="V4059">
        <v>55</v>
      </c>
      <c r="W4059">
        <v>36.9</v>
      </c>
    </row>
    <row r="4060" spans="1:23" x14ac:dyDescent="0.25">
      <c r="A4060">
        <v>12</v>
      </c>
      <c r="B4060" t="s">
        <v>66</v>
      </c>
      <c r="C4060" s="1">
        <v>44566</v>
      </c>
      <c r="D4060" t="s">
        <v>71</v>
      </c>
      <c r="E4060">
        <v>0</v>
      </c>
      <c r="F4060">
        <v>51</v>
      </c>
      <c r="G4060" t="str">
        <f t="shared" si="71"/>
        <v>41-60</v>
      </c>
      <c r="H4060" t="s">
        <v>35</v>
      </c>
      <c r="I4060" t="s">
        <v>55</v>
      </c>
      <c r="J4060" t="s">
        <v>56</v>
      </c>
      <c r="K4060" t="s">
        <v>29</v>
      </c>
      <c r="L4060">
        <v>1</v>
      </c>
      <c r="M4060">
        <v>1</v>
      </c>
      <c r="N4060">
        <v>3.2</v>
      </c>
      <c r="O4060">
        <v>8.6999999999999993</v>
      </c>
      <c r="P4060">
        <v>6</v>
      </c>
      <c r="Q4060">
        <v>5</v>
      </c>
      <c r="R4060">
        <v>917896</v>
      </c>
      <c r="S4060">
        <f>Table1[[#This Row],[Revenue]]-Table1[[#This Row],[Operating_Costs]]</f>
        <v>335062</v>
      </c>
      <c r="T4060">
        <v>582834</v>
      </c>
      <c r="U4060">
        <v>60</v>
      </c>
      <c r="V4060">
        <v>61</v>
      </c>
      <c r="W4060">
        <v>12.8</v>
      </c>
    </row>
    <row r="4061" spans="1:23" x14ac:dyDescent="0.25">
      <c r="A4061">
        <v>12</v>
      </c>
      <c r="B4061" t="s">
        <v>66</v>
      </c>
      <c r="C4061" s="1">
        <v>45089</v>
      </c>
      <c r="D4061" t="s">
        <v>71</v>
      </c>
      <c r="E4061">
        <v>0</v>
      </c>
      <c r="F4061">
        <v>71</v>
      </c>
      <c r="G4061" t="str">
        <f t="shared" si="71"/>
        <v>61-80</v>
      </c>
      <c r="H4061" t="s">
        <v>35</v>
      </c>
      <c r="I4061" t="s">
        <v>50</v>
      </c>
      <c r="J4061" t="s">
        <v>51</v>
      </c>
      <c r="K4061" t="s">
        <v>29</v>
      </c>
      <c r="L4061">
        <v>1</v>
      </c>
      <c r="M4061">
        <v>1</v>
      </c>
      <c r="N4061">
        <v>2.7</v>
      </c>
      <c r="O4061">
        <v>9.3000000000000007</v>
      </c>
      <c r="P4061">
        <v>7</v>
      </c>
      <c r="Q4061">
        <v>3</v>
      </c>
      <c r="R4061">
        <v>817025</v>
      </c>
      <c r="S4061">
        <f>Table1[[#This Row],[Revenue]]-Table1[[#This Row],[Operating_Costs]]</f>
        <v>174368</v>
      </c>
      <c r="T4061">
        <v>642657</v>
      </c>
      <c r="U4061">
        <v>60</v>
      </c>
      <c r="V4061">
        <v>55</v>
      </c>
      <c r="W4061">
        <v>7.6</v>
      </c>
    </row>
    <row r="4062" spans="1:23" x14ac:dyDescent="0.25">
      <c r="A4062">
        <v>12</v>
      </c>
      <c r="B4062" t="s">
        <v>66</v>
      </c>
      <c r="C4062" s="1">
        <v>44977</v>
      </c>
      <c r="D4062" t="s">
        <v>71</v>
      </c>
      <c r="E4062">
        <v>0</v>
      </c>
      <c r="F4062">
        <v>70</v>
      </c>
      <c r="G4062" t="str">
        <f t="shared" si="71"/>
        <v>61-80</v>
      </c>
      <c r="H4062" t="s">
        <v>23</v>
      </c>
      <c r="I4062" t="s">
        <v>24</v>
      </c>
      <c r="J4062" t="s">
        <v>25</v>
      </c>
      <c r="K4062" t="s">
        <v>42</v>
      </c>
      <c r="L4062">
        <v>1</v>
      </c>
      <c r="M4062">
        <v>1</v>
      </c>
      <c r="N4062">
        <v>4.8</v>
      </c>
      <c r="O4062">
        <v>8.6999999999999993</v>
      </c>
      <c r="P4062">
        <v>6</v>
      </c>
      <c r="Q4062">
        <v>5</v>
      </c>
      <c r="R4062">
        <v>851361</v>
      </c>
      <c r="S4062">
        <f>Table1[[#This Row],[Revenue]]-Table1[[#This Row],[Operating_Costs]]</f>
        <v>233464</v>
      </c>
      <c r="T4062">
        <v>617897</v>
      </c>
      <c r="U4062">
        <v>60</v>
      </c>
      <c r="V4062">
        <v>65</v>
      </c>
      <c r="W4062">
        <v>14</v>
      </c>
    </row>
    <row r="4063" spans="1:23" x14ac:dyDescent="0.25">
      <c r="A4063">
        <v>12</v>
      </c>
      <c r="B4063" t="s">
        <v>66</v>
      </c>
      <c r="C4063" s="1">
        <v>44905</v>
      </c>
      <c r="D4063" t="s">
        <v>71</v>
      </c>
      <c r="E4063">
        <v>0</v>
      </c>
      <c r="F4063">
        <v>61</v>
      </c>
      <c r="G4063" t="str">
        <f t="shared" si="71"/>
        <v>61-80</v>
      </c>
      <c r="H4063" t="s">
        <v>35</v>
      </c>
      <c r="I4063" t="s">
        <v>36</v>
      </c>
      <c r="J4063" t="s">
        <v>37</v>
      </c>
      <c r="K4063" t="s">
        <v>26</v>
      </c>
      <c r="L4063">
        <v>1</v>
      </c>
      <c r="M4063">
        <v>1</v>
      </c>
      <c r="N4063">
        <v>6.1</v>
      </c>
      <c r="O4063">
        <v>9.6</v>
      </c>
      <c r="P4063">
        <v>5</v>
      </c>
      <c r="Q4063">
        <v>5</v>
      </c>
      <c r="R4063">
        <v>881536</v>
      </c>
      <c r="S4063">
        <f>Table1[[#This Row],[Revenue]]-Table1[[#This Row],[Operating_Costs]]</f>
        <v>379368</v>
      </c>
      <c r="T4063">
        <v>502168</v>
      </c>
      <c r="U4063">
        <v>73</v>
      </c>
      <c r="V4063">
        <v>60</v>
      </c>
      <c r="W4063">
        <v>12.2</v>
      </c>
    </row>
    <row r="4064" spans="1:23" x14ac:dyDescent="0.25">
      <c r="A4064">
        <v>12</v>
      </c>
      <c r="B4064" t="s">
        <v>66</v>
      </c>
      <c r="C4064" s="1">
        <v>45462</v>
      </c>
      <c r="D4064" t="s">
        <v>71</v>
      </c>
      <c r="E4064">
        <v>0</v>
      </c>
      <c r="F4064">
        <v>85</v>
      </c>
      <c r="G4064" t="str">
        <f t="shared" si="71"/>
        <v>81+</v>
      </c>
      <c r="H4064" t="s">
        <v>35</v>
      </c>
      <c r="I4064" t="s">
        <v>55</v>
      </c>
      <c r="J4064" t="s">
        <v>56</v>
      </c>
      <c r="K4064" t="s">
        <v>38</v>
      </c>
      <c r="L4064">
        <v>1</v>
      </c>
      <c r="M4064">
        <v>1</v>
      </c>
      <c r="N4064">
        <v>6.2</v>
      </c>
      <c r="O4064">
        <v>7.5</v>
      </c>
      <c r="P4064">
        <v>3</v>
      </c>
      <c r="Q4064">
        <v>5</v>
      </c>
      <c r="R4064">
        <v>948823</v>
      </c>
      <c r="S4064">
        <f>Table1[[#This Row],[Revenue]]-Table1[[#This Row],[Operating_Costs]]</f>
        <v>370866</v>
      </c>
      <c r="T4064">
        <v>577957</v>
      </c>
      <c r="U4064">
        <v>66</v>
      </c>
      <c r="V4064">
        <v>65</v>
      </c>
      <c r="W4064">
        <v>6.5</v>
      </c>
    </row>
    <row r="4065" spans="1:23" x14ac:dyDescent="0.25">
      <c r="A4065">
        <v>12</v>
      </c>
      <c r="B4065" t="s">
        <v>66</v>
      </c>
      <c r="C4065" s="1">
        <v>45202</v>
      </c>
      <c r="D4065" t="s">
        <v>71</v>
      </c>
      <c r="E4065">
        <v>0</v>
      </c>
      <c r="F4065">
        <v>87</v>
      </c>
      <c r="G4065" t="str">
        <f t="shared" si="71"/>
        <v>81+</v>
      </c>
      <c r="H4065" t="s">
        <v>23</v>
      </c>
      <c r="I4065" t="s">
        <v>67</v>
      </c>
      <c r="J4065" t="s">
        <v>68</v>
      </c>
      <c r="K4065" t="s">
        <v>33</v>
      </c>
      <c r="L4065">
        <v>1</v>
      </c>
      <c r="M4065">
        <v>1</v>
      </c>
      <c r="N4065">
        <v>1.8</v>
      </c>
      <c r="O4065">
        <v>7.5</v>
      </c>
      <c r="P4065">
        <v>3</v>
      </c>
      <c r="Q4065">
        <v>4</v>
      </c>
      <c r="R4065">
        <v>884748</v>
      </c>
      <c r="S4065">
        <f>Table1[[#This Row],[Revenue]]-Table1[[#This Row],[Operating_Costs]]</f>
        <v>219625</v>
      </c>
      <c r="T4065">
        <v>665123</v>
      </c>
      <c r="U4065">
        <v>69</v>
      </c>
      <c r="V4065">
        <v>63</v>
      </c>
      <c r="W4065">
        <v>36.6</v>
      </c>
    </row>
    <row r="4066" spans="1:23" x14ac:dyDescent="0.25">
      <c r="A4066">
        <v>12</v>
      </c>
      <c r="B4066" t="s">
        <v>66</v>
      </c>
      <c r="C4066" s="1">
        <v>44657</v>
      </c>
      <c r="D4066" t="s">
        <v>71</v>
      </c>
      <c r="E4066">
        <v>0</v>
      </c>
      <c r="F4066">
        <v>38</v>
      </c>
      <c r="G4066" t="str">
        <f t="shared" si="71"/>
        <v>21-40</v>
      </c>
      <c r="H4066" t="s">
        <v>35</v>
      </c>
      <c r="I4066" t="s">
        <v>50</v>
      </c>
      <c r="J4066" t="s">
        <v>51</v>
      </c>
      <c r="K4066" t="s">
        <v>33</v>
      </c>
      <c r="L4066">
        <v>1</v>
      </c>
      <c r="M4066">
        <v>1</v>
      </c>
      <c r="N4066">
        <v>1.4</v>
      </c>
      <c r="O4066">
        <v>7.1</v>
      </c>
      <c r="P4066">
        <v>6</v>
      </c>
      <c r="Q4066">
        <v>7</v>
      </c>
      <c r="R4066">
        <v>932566</v>
      </c>
      <c r="S4066">
        <f>Table1[[#This Row],[Revenue]]-Table1[[#This Row],[Operating_Costs]]</f>
        <v>378290</v>
      </c>
      <c r="T4066">
        <v>554276</v>
      </c>
      <c r="U4066">
        <v>74</v>
      </c>
      <c r="V4066">
        <v>57</v>
      </c>
      <c r="W4066">
        <v>12.1</v>
      </c>
    </row>
    <row r="4067" spans="1:23" x14ac:dyDescent="0.25">
      <c r="A4067">
        <v>12</v>
      </c>
      <c r="B4067" t="s">
        <v>66</v>
      </c>
      <c r="C4067" s="1">
        <v>44477</v>
      </c>
      <c r="D4067" t="s">
        <v>71</v>
      </c>
      <c r="E4067">
        <v>0</v>
      </c>
      <c r="F4067">
        <v>40</v>
      </c>
      <c r="G4067" t="str">
        <f t="shared" si="71"/>
        <v>21-40</v>
      </c>
      <c r="H4067" t="s">
        <v>23</v>
      </c>
      <c r="I4067" t="s">
        <v>64</v>
      </c>
      <c r="J4067" t="s">
        <v>65</v>
      </c>
      <c r="K4067" t="s">
        <v>26</v>
      </c>
      <c r="L4067">
        <v>1</v>
      </c>
      <c r="M4067">
        <v>1</v>
      </c>
      <c r="N4067">
        <v>6.6</v>
      </c>
      <c r="O4067">
        <v>9</v>
      </c>
      <c r="P4067">
        <v>6</v>
      </c>
      <c r="Q4067">
        <v>6</v>
      </c>
      <c r="R4067">
        <v>846084</v>
      </c>
      <c r="S4067">
        <f>Table1[[#This Row],[Revenue]]-Table1[[#This Row],[Operating_Costs]]</f>
        <v>294174</v>
      </c>
      <c r="T4067">
        <v>551910</v>
      </c>
      <c r="U4067">
        <v>69</v>
      </c>
      <c r="V4067">
        <v>58</v>
      </c>
      <c r="W4067">
        <v>10.6</v>
      </c>
    </row>
    <row r="4068" spans="1:23" x14ac:dyDescent="0.25">
      <c r="A4068">
        <v>12</v>
      </c>
      <c r="B4068" t="s">
        <v>66</v>
      </c>
      <c r="C4068" s="1">
        <v>45074</v>
      </c>
      <c r="D4068" t="s">
        <v>71</v>
      </c>
      <c r="E4068">
        <v>0</v>
      </c>
      <c r="F4068">
        <v>31</v>
      </c>
      <c r="G4068" t="str">
        <f t="shared" si="71"/>
        <v>21-40</v>
      </c>
      <c r="H4068" t="s">
        <v>23</v>
      </c>
      <c r="I4068" t="s">
        <v>24</v>
      </c>
      <c r="J4068" t="s">
        <v>25</v>
      </c>
      <c r="K4068" t="s">
        <v>42</v>
      </c>
      <c r="L4068">
        <v>1</v>
      </c>
      <c r="M4068">
        <v>1</v>
      </c>
      <c r="N4068">
        <v>1</v>
      </c>
      <c r="O4068">
        <v>8.1</v>
      </c>
      <c r="P4068">
        <v>5</v>
      </c>
      <c r="Q4068">
        <v>3</v>
      </c>
      <c r="R4068">
        <v>940559</v>
      </c>
      <c r="S4068">
        <f>Table1[[#This Row],[Revenue]]-Table1[[#This Row],[Operating_Costs]]</f>
        <v>394907</v>
      </c>
      <c r="T4068">
        <v>545652</v>
      </c>
      <c r="U4068">
        <v>70</v>
      </c>
      <c r="V4068">
        <v>63</v>
      </c>
      <c r="W4068">
        <v>13.9</v>
      </c>
    </row>
    <row r="4069" spans="1:23" x14ac:dyDescent="0.25">
      <c r="A4069">
        <v>12</v>
      </c>
      <c r="B4069" t="s">
        <v>66</v>
      </c>
      <c r="C4069" s="1">
        <v>44541</v>
      </c>
      <c r="D4069" t="s">
        <v>71</v>
      </c>
      <c r="E4069">
        <v>0</v>
      </c>
      <c r="F4069">
        <v>31</v>
      </c>
      <c r="G4069" t="str">
        <f t="shared" si="71"/>
        <v>21-40</v>
      </c>
      <c r="H4069" t="s">
        <v>35</v>
      </c>
      <c r="I4069" t="s">
        <v>40</v>
      </c>
      <c r="J4069" t="s">
        <v>41</v>
      </c>
      <c r="K4069" t="s">
        <v>29</v>
      </c>
      <c r="L4069">
        <v>1</v>
      </c>
      <c r="M4069">
        <v>1</v>
      </c>
      <c r="N4069">
        <v>4.8</v>
      </c>
      <c r="O4069">
        <v>9</v>
      </c>
      <c r="P4069">
        <v>4</v>
      </c>
      <c r="Q4069">
        <v>7</v>
      </c>
      <c r="R4069">
        <v>883376</v>
      </c>
      <c r="S4069">
        <f>Table1[[#This Row],[Revenue]]-Table1[[#This Row],[Operating_Costs]]</f>
        <v>360676</v>
      </c>
      <c r="T4069">
        <v>522700</v>
      </c>
      <c r="U4069">
        <v>70</v>
      </c>
      <c r="V4069">
        <v>63</v>
      </c>
      <c r="W4069">
        <v>6.9</v>
      </c>
    </row>
    <row r="4070" spans="1:23" x14ac:dyDescent="0.25">
      <c r="A4070">
        <v>12</v>
      </c>
      <c r="B4070" t="s">
        <v>66</v>
      </c>
      <c r="C4070" s="1">
        <v>45503</v>
      </c>
      <c r="D4070" t="s">
        <v>71</v>
      </c>
      <c r="E4070">
        <v>0</v>
      </c>
      <c r="F4070">
        <v>73</v>
      </c>
      <c r="G4070" t="str">
        <f t="shared" si="71"/>
        <v>61-80</v>
      </c>
      <c r="H4070" t="s">
        <v>23</v>
      </c>
      <c r="I4070" t="s">
        <v>50</v>
      </c>
      <c r="J4070" t="s">
        <v>51</v>
      </c>
      <c r="K4070" t="s">
        <v>38</v>
      </c>
      <c r="L4070">
        <v>1</v>
      </c>
      <c r="M4070">
        <v>1</v>
      </c>
      <c r="N4070">
        <v>1.1000000000000001</v>
      </c>
      <c r="O4070">
        <v>9.8000000000000007</v>
      </c>
      <c r="P4070">
        <v>4</v>
      </c>
      <c r="Q4070">
        <v>7</v>
      </c>
      <c r="R4070">
        <v>908167</v>
      </c>
      <c r="S4070">
        <f>Table1[[#This Row],[Revenue]]-Table1[[#This Row],[Operating_Costs]]</f>
        <v>285419</v>
      </c>
      <c r="T4070">
        <v>622748</v>
      </c>
      <c r="U4070">
        <v>72</v>
      </c>
      <c r="V4070">
        <v>56</v>
      </c>
      <c r="W4070">
        <v>12</v>
      </c>
    </row>
    <row r="4071" spans="1:23" x14ac:dyDescent="0.25">
      <c r="A4071">
        <v>12</v>
      </c>
      <c r="B4071" t="s">
        <v>66</v>
      </c>
      <c r="C4071" s="1">
        <v>44753</v>
      </c>
      <c r="D4071" t="s">
        <v>71</v>
      </c>
      <c r="E4071">
        <v>0</v>
      </c>
      <c r="F4071">
        <v>37</v>
      </c>
      <c r="G4071" t="str">
        <f t="shared" si="71"/>
        <v>21-40</v>
      </c>
      <c r="H4071" t="s">
        <v>35</v>
      </c>
      <c r="I4071" t="s">
        <v>46</v>
      </c>
      <c r="J4071" t="s">
        <v>47</v>
      </c>
      <c r="K4071" t="s">
        <v>33</v>
      </c>
      <c r="L4071">
        <v>1</v>
      </c>
      <c r="M4071">
        <v>1</v>
      </c>
      <c r="N4071">
        <v>6.7</v>
      </c>
      <c r="O4071">
        <v>9</v>
      </c>
      <c r="P4071">
        <v>5</v>
      </c>
      <c r="Q4071">
        <v>3</v>
      </c>
      <c r="R4071">
        <v>921642</v>
      </c>
      <c r="S4071">
        <f>Table1[[#This Row],[Revenue]]-Table1[[#This Row],[Operating_Costs]]</f>
        <v>360936</v>
      </c>
      <c r="T4071">
        <v>560706</v>
      </c>
      <c r="U4071">
        <v>64</v>
      </c>
      <c r="V4071">
        <v>65</v>
      </c>
      <c r="W4071">
        <v>13.4</v>
      </c>
    </row>
    <row r="4072" spans="1:23" x14ac:dyDescent="0.25">
      <c r="A4072">
        <v>12</v>
      </c>
      <c r="B4072" t="s">
        <v>66</v>
      </c>
      <c r="C4072" s="1">
        <v>45636</v>
      </c>
      <c r="D4072" t="s">
        <v>71</v>
      </c>
      <c r="E4072">
        <v>0</v>
      </c>
      <c r="F4072">
        <v>50</v>
      </c>
      <c r="G4072" t="str">
        <f t="shared" si="71"/>
        <v>41-60</v>
      </c>
      <c r="H4072" t="s">
        <v>35</v>
      </c>
      <c r="I4072" t="s">
        <v>36</v>
      </c>
      <c r="J4072" t="s">
        <v>37</v>
      </c>
      <c r="K4072" t="s">
        <v>26</v>
      </c>
      <c r="L4072">
        <v>1</v>
      </c>
      <c r="M4072">
        <v>1</v>
      </c>
      <c r="N4072">
        <v>6.4</v>
      </c>
      <c r="O4072">
        <v>8.1</v>
      </c>
      <c r="P4072">
        <v>6</v>
      </c>
      <c r="Q4072">
        <v>6</v>
      </c>
      <c r="R4072">
        <v>983493</v>
      </c>
      <c r="S4072">
        <f>Table1[[#This Row],[Revenue]]-Table1[[#This Row],[Operating_Costs]]</f>
        <v>382437</v>
      </c>
      <c r="T4072">
        <v>601056</v>
      </c>
      <c r="U4072">
        <v>54</v>
      </c>
      <c r="V4072">
        <v>63</v>
      </c>
      <c r="W4072">
        <v>36.4</v>
      </c>
    </row>
    <row r="4073" spans="1:23" x14ac:dyDescent="0.25">
      <c r="A4073">
        <v>12</v>
      </c>
      <c r="B4073" t="s">
        <v>66</v>
      </c>
      <c r="C4073" s="1">
        <v>45221</v>
      </c>
      <c r="D4073" t="s">
        <v>71</v>
      </c>
      <c r="E4073">
        <v>0</v>
      </c>
      <c r="F4073">
        <v>83</v>
      </c>
      <c r="G4073" t="str">
        <f t="shared" si="71"/>
        <v>81+</v>
      </c>
      <c r="H4073" t="s">
        <v>35</v>
      </c>
      <c r="I4073" t="s">
        <v>27</v>
      </c>
      <c r="J4073" t="s">
        <v>28</v>
      </c>
      <c r="K4073" t="s">
        <v>26</v>
      </c>
      <c r="L4073">
        <v>1</v>
      </c>
      <c r="M4073">
        <v>1</v>
      </c>
      <c r="N4073">
        <v>6.2</v>
      </c>
      <c r="O4073">
        <v>9.9</v>
      </c>
      <c r="P4073">
        <v>4</v>
      </c>
      <c r="Q4073">
        <v>6</v>
      </c>
      <c r="R4073">
        <v>975812</v>
      </c>
      <c r="S4073">
        <f>Table1[[#This Row],[Revenue]]-Table1[[#This Row],[Operating_Costs]]</f>
        <v>345770</v>
      </c>
      <c r="T4073">
        <v>630042</v>
      </c>
      <c r="U4073">
        <v>65</v>
      </c>
      <c r="V4073">
        <v>58</v>
      </c>
      <c r="W4073">
        <v>9.6</v>
      </c>
    </row>
    <row r="4074" spans="1:23" x14ac:dyDescent="0.25">
      <c r="A4074">
        <v>12</v>
      </c>
      <c r="B4074" t="s">
        <v>66</v>
      </c>
      <c r="C4074" s="1">
        <v>45505</v>
      </c>
      <c r="D4074" t="s">
        <v>71</v>
      </c>
      <c r="E4074">
        <v>0</v>
      </c>
      <c r="F4074">
        <v>28</v>
      </c>
      <c r="G4074" t="str">
        <f t="shared" si="71"/>
        <v>21-40</v>
      </c>
      <c r="H4074" t="s">
        <v>35</v>
      </c>
      <c r="I4074" t="s">
        <v>40</v>
      </c>
      <c r="J4074" t="s">
        <v>41</v>
      </c>
      <c r="K4074" t="s">
        <v>26</v>
      </c>
      <c r="L4074">
        <v>1</v>
      </c>
      <c r="M4074">
        <v>1</v>
      </c>
      <c r="N4074">
        <v>2.4</v>
      </c>
      <c r="O4074">
        <v>7.2</v>
      </c>
      <c r="P4074">
        <v>6</v>
      </c>
      <c r="Q4074">
        <v>7</v>
      </c>
      <c r="R4074">
        <v>982137</v>
      </c>
      <c r="S4074">
        <f>Table1[[#This Row],[Revenue]]-Table1[[#This Row],[Operating_Costs]]</f>
        <v>418350</v>
      </c>
      <c r="T4074">
        <v>563787</v>
      </c>
      <c r="U4074">
        <v>50</v>
      </c>
      <c r="V4074">
        <v>57</v>
      </c>
      <c r="W4074">
        <v>7</v>
      </c>
    </row>
    <row r="4075" spans="1:23" x14ac:dyDescent="0.25">
      <c r="A4075">
        <v>12</v>
      </c>
      <c r="B4075" t="s">
        <v>66</v>
      </c>
      <c r="C4075" s="1">
        <v>45492</v>
      </c>
      <c r="D4075" t="s">
        <v>71</v>
      </c>
      <c r="E4075">
        <v>0</v>
      </c>
      <c r="F4075">
        <v>55</v>
      </c>
      <c r="G4075" t="str">
        <f t="shared" si="71"/>
        <v>41-60</v>
      </c>
      <c r="H4075" t="s">
        <v>35</v>
      </c>
      <c r="I4075" t="s">
        <v>64</v>
      </c>
      <c r="J4075" t="s">
        <v>65</v>
      </c>
      <c r="K4075" t="s">
        <v>33</v>
      </c>
      <c r="L4075">
        <v>1</v>
      </c>
      <c r="M4075">
        <v>1</v>
      </c>
      <c r="N4075">
        <v>6.7</v>
      </c>
      <c r="O4075">
        <v>7.8</v>
      </c>
      <c r="P4075">
        <v>5</v>
      </c>
      <c r="Q4075">
        <v>4</v>
      </c>
      <c r="R4075">
        <v>818530</v>
      </c>
      <c r="S4075">
        <f>Table1[[#This Row],[Revenue]]-Table1[[#This Row],[Operating_Costs]]</f>
        <v>148255</v>
      </c>
      <c r="T4075">
        <v>670275</v>
      </c>
      <c r="U4075">
        <v>75</v>
      </c>
      <c r="V4075">
        <v>55</v>
      </c>
      <c r="W4075">
        <v>12.5</v>
      </c>
    </row>
    <row r="4076" spans="1:23" x14ac:dyDescent="0.25">
      <c r="A4076">
        <v>12</v>
      </c>
      <c r="B4076" t="s">
        <v>66</v>
      </c>
      <c r="C4076" s="1">
        <v>45464</v>
      </c>
      <c r="D4076" t="s">
        <v>71</v>
      </c>
      <c r="E4076">
        <v>0</v>
      </c>
      <c r="F4076">
        <v>36</v>
      </c>
      <c r="G4076" t="str">
        <f t="shared" si="71"/>
        <v>21-40</v>
      </c>
      <c r="H4076" t="s">
        <v>23</v>
      </c>
      <c r="I4076" t="s">
        <v>24</v>
      </c>
      <c r="J4076" t="s">
        <v>25</v>
      </c>
      <c r="K4076" t="s">
        <v>42</v>
      </c>
      <c r="L4076">
        <v>1</v>
      </c>
      <c r="M4076">
        <v>1</v>
      </c>
      <c r="N4076">
        <v>2.2000000000000002</v>
      </c>
      <c r="O4076">
        <v>7.2</v>
      </c>
      <c r="P4076">
        <v>7</v>
      </c>
      <c r="Q4076">
        <v>6</v>
      </c>
      <c r="R4076">
        <v>842334</v>
      </c>
      <c r="S4076">
        <f>Table1[[#This Row],[Revenue]]-Table1[[#This Row],[Operating_Costs]]</f>
        <v>154869</v>
      </c>
      <c r="T4076">
        <v>687465</v>
      </c>
      <c r="U4076">
        <v>60</v>
      </c>
      <c r="V4076">
        <v>57</v>
      </c>
      <c r="W4076">
        <v>10</v>
      </c>
    </row>
    <row r="4077" spans="1:23" x14ac:dyDescent="0.25">
      <c r="A4077">
        <v>12</v>
      </c>
      <c r="B4077" t="s">
        <v>66</v>
      </c>
      <c r="C4077" s="1">
        <v>45317</v>
      </c>
      <c r="D4077" t="s">
        <v>71</v>
      </c>
      <c r="E4077">
        <v>0</v>
      </c>
      <c r="F4077">
        <v>51</v>
      </c>
      <c r="G4077" t="str">
        <f t="shared" si="71"/>
        <v>41-60</v>
      </c>
      <c r="H4077" t="s">
        <v>35</v>
      </c>
      <c r="I4077" t="s">
        <v>53</v>
      </c>
      <c r="J4077" t="s">
        <v>54</v>
      </c>
      <c r="K4077" t="s">
        <v>26</v>
      </c>
      <c r="L4077">
        <v>1</v>
      </c>
      <c r="M4077">
        <v>1</v>
      </c>
      <c r="N4077">
        <v>3</v>
      </c>
      <c r="O4077">
        <v>9.1</v>
      </c>
      <c r="P4077">
        <v>7</v>
      </c>
      <c r="Q4077">
        <v>5</v>
      </c>
      <c r="R4077">
        <v>997050</v>
      </c>
      <c r="S4077">
        <f>Table1[[#This Row],[Revenue]]-Table1[[#This Row],[Operating_Costs]]</f>
        <v>447022</v>
      </c>
      <c r="T4077">
        <v>550028</v>
      </c>
      <c r="U4077">
        <v>78</v>
      </c>
      <c r="V4077">
        <v>64</v>
      </c>
      <c r="W4077">
        <v>10.9</v>
      </c>
    </row>
    <row r="4078" spans="1:23" x14ac:dyDescent="0.25">
      <c r="A4078">
        <v>12</v>
      </c>
      <c r="B4078" t="s">
        <v>66</v>
      </c>
      <c r="C4078" s="1">
        <v>45525</v>
      </c>
      <c r="D4078" t="s">
        <v>71</v>
      </c>
      <c r="E4078">
        <v>0</v>
      </c>
      <c r="F4078">
        <v>75</v>
      </c>
      <c r="G4078" t="str">
        <f t="shared" si="71"/>
        <v>61-80</v>
      </c>
      <c r="H4078" t="s">
        <v>23</v>
      </c>
      <c r="I4078" t="s">
        <v>46</v>
      </c>
      <c r="J4078" t="s">
        <v>47</v>
      </c>
      <c r="K4078" t="s">
        <v>38</v>
      </c>
      <c r="L4078">
        <v>1</v>
      </c>
      <c r="M4078">
        <v>1</v>
      </c>
      <c r="N4078">
        <v>2</v>
      </c>
      <c r="O4078">
        <v>8.1999999999999993</v>
      </c>
      <c r="P4078">
        <v>5</v>
      </c>
      <c r="Q4078">
        <v>7</v>
      </c>
      <c r="R4078">
        <v>944241</v>
      </c>
      <c r="S4078">
        <f>Table1[[#This Row],[Revenue]]-Table1[[#This Row],[Operating_Costs]]</f>
        <v>362262</v>
      </c>
      <c r="T4078">
        <v>581979</v>
      </c>
      <c r="U4078">
        <v>65</v>
      </c>
      <c r="V4078">
        <v>59</v>
      </c>
      <c r="W4078">
        <v>36.1</v>
      </c>
    </row>
    <row r="4079" spans="1:23" x14ac:dyDescent="0.25">
      <c r="A4079">
        <v>12</v>
      </c>
      <c r="B4079" t="s">
        <v>66</v>
      </c>
      <c r="C4079" s="1">
        <v>45178</v>
      </c>
      <c r="D4079" t="s">
        <v>71</v>
      </c>
      <c r="E4079">
        <v>0</v>
      </c>
      <c r="F4079">
        <v>37</v>
      </c>
      <c r="G4079" t="str">
        <f t="shared" si="71"/>
        <v>21-40</v>
      </c>
      <c r="H4079" t="s">
        <v>35</v>
      </c>
      <c r="I4079" t="s">
        <v>61</v>
      </c>
      <c r="J4079" t="s">
        <v>62</v>
      </c>
      <c r="K4079" t="s">
        <v>42</v>
      </c>
      <c r="L4079">
        <v>1</v>
      </c>
      <c r="M4079">
        <v>1</v>
      </c>
      <c r="N4079">
        <v>1.6</v>
      </c>
      <c r="O4079">
        <v>8.6999999999999993</v>
      </c>
      <c r="P4079">
        <v>5</v>
      </c>
      <c r="Q4079">
        <v>5</v>
      </c>
      <c r="R4079">
        <v>920891</v>
      </c>
      <c r="S4079">
        <f>Table1[[#This Row],[Revenue]]-Table1[[#This Row],[Operating_Costs]]</f>
        <v>293801</v>
      </c>
      <c r="T4079">
        <v>627090</v>
      </c>
      <c r="U4079">
        <v>60</v>
      </c>
      <c r="V4079">
        <v>64</v>
      </c>
      <c r="W4079">
        <v>10.9</v>
      </c>
    </row>
    <row r="4080" spans="1:23" x14ac:dyDescent="0.25">
      <c r="A4080">
        <v>12</v>
      </c>
      <c r="B4080" t="s">
        <v>66</v>
      </c>
      <c r="C4080" s="1">
        <v>45534</v>
      </c>
      <c r="D4080" t="s">
        <v>71</v>
      </c>
      <c r="E4080">
        <v>0</v>
      </c>
      <c r="F4080">
        <v>32</v>
      </c>
      <c r="G4080" t="str">
        <f t="shared" si="71"/>
        <v>21-40</v>
      </c>
      <c r="H4080" t="s">
        <v>35</v>
      </c>
      <c r="I4080" t="s">
        <v>58</v>
      </c>
      <c r="J4080" t="s">
        <v>59</v>
      </c>
      <c r="K4080" t="s">
        <v>26</v>
      </c>
      <c r="L4080">
        <v>1</v>
      </c>
      <c r="M4080">
        <v>1</v>
      </c>
      <c r="N4080">
        <v>1.6</v>
      </c>
      <c r="O4080">
        <v>9.1</v>
      </c>
      <c r="P4080">
        <v>7</v>
      </c>
      <c r="Q4080">
        <v>7</v>
      </c>
      <c r="R4080">
        <v>824769</v>
      </c>
      <c r="S4080">
        <f>Table1[[#This Row],[Revenue]]-Table1[[#This Row],[Operating_Costs]]</f>
        <v>258395</v>
      </c>
      <c r="T4080">
        <v>566374</v>
      </c>
      <c r="U4080">
        <v>56</v>
      </c>
      <c r="V4080">
        <v>58</v>
      </c>
      <c r="W4080">
        <v>36.799999999999997</v>
      </c>
    </row>
    <row r="4081" spans="1:23" x14ac:dyDescent="0.25">
      <c r="A4081">
        <v>12</v>
      </c>
      <c r="B4081" t="s">
        <v>66</v>
      </c>
      <c r="C4081" s="1">
        <v>44412</v>
      </c>
      <c r="D4081" t="s">
        <v>71</v>
      </c>
      <c r="E4081">
        <v>0</v>
      </c>
      <c r="F4081">
        <v>64</v>
      </c>
      <c r="G4081" t="str">
        <f t="shared" si="71"/>
        <v>61-80</v>
      </c>
      <c r="H4081" t="s">
        <v>35</v>
      </c>
      <c r="I4081" t="s">
        <v>40</v>
      </c>
      <c r="J4081" t="s">
        <v>41</v>
      </c>
      <c r="K4081" t="s">
        <v>38</v>
      </c>
      <c r="L4081">
        <v>1</v>
      </c>
      <c r="M4081">
        <v>1</v>
      </c>
      <c r="N4081">
        <v>1.6</v>
      </c>
      <c r="O4081">
        <v>8.1</v>
      </c>
      <c r="P4081">
        <v>5</v>
      </c>
      <c r="Q4081">
        <v>7</v>
      </c>
      <c r="R4081">
        <v>841821</v>
      </c>
      <c r="S4081">
        <f>Table1[[#This Row],[Revenue]]-Table1[[#This Row],[Operating_Costs]]</f>
        <v>186342</v>
      </c>
      <c r="T4081">
        <v>655479</v>
      </c>
      <c r="U4081">
        <v>56</v>
      </c>
      <c r="V4081">
        <v>60</v>
      </c>
      <c r="W4081">
        <v>13.5</v>
      </c>
    </row>
    <row r="4082" spans="1:23" x14ac:dyDescent="0.25">
      <c r="A4082">
        <v>12</v>
      </c>
      <c r="B4082" t="s">
        <v>66</v>
      </c>
      <c r="C4082" s="1">
        <v>45303</v>
      </c>
      <c r="D4082" t="s">
        <v>71</v>
      </c>
      <c r="E4082">
        <v>0</v>
      </c>
      <c r="F4082">
        <v>38</v>
      </c>
      <c r="G4082" t="str">
        <f t="shared" si="71"/>
        <v>21-40</v>
      </c>
      <c r="H4082" t="s">
        <v>23</v>
      </c>
      <c r="I4082" t="s">
        <v>64</v>
      </c>
      <c r="J4082" t="s">
        <v>65</v>
      </c>
      <c r="K4082" t="s">
        <v>33</v>
      </c>
      <c r="L4082">
        <v>1</v>
      </c>
      <c r="M4082">
        <v>1</v>
      </c>
      <c r="N4082">
        <v>4.2</v>
      </c>
      <c r="O4082">
        <v>7.8</v>
      </c>
      <c r="P4082">
        <v>5</v>
      </c>
      <c r="Q4082">
        <v>3</v>
      </c>
      <c r="R4082">
        <v>801917</v>
      </c>
      <c r="S4082">
        <f>Table1[[#This Row],[Revenue]]-Table1[[#This Row],[Operating_Costs]]</f>
        <v>198940</v>
      </c>
      <c r="T4082">
        <v>602977</v>
      </c>
      <c r="U4082">
        <v>71</v>
      </c>
      <c r="V4082">
        <v>66</v>
      </c>
      <c r="W4082">
        <v>10</v>
      </c>
    </row>
    <row r="4083" spans="1:23" x14ac:dyDescent="0.25">
      <c r="A4083">
        <v>12</v>
      </c>
      <c r="B4083" t="s">
        <v>66</v>
      </c>
      <c r="C4083" s="1">
        <v>44647</v>
      </c>
      <c r="D4083" t="s">
        <v>71</v>
      </c>
      <c r="E4083">
        <v>0</v>
      </c>
      <c r="F4083">
        <v>30</v>
      </c>
      <c r="G4083" t="str">
        <f t="shared" si="71"/>
        <v>21-40</v>
      </c>
      <c r="H4083" t="s">
        <v>35</v>
      </c>
      <c r="I4083" t="s">
        <v>50</v>
      </c>
      <c r="J4083" t="s">
        <v>51</v>
      </c>
      <c r="K4083" t="s">
        <v>33</v>
      </c>
      <c r="L4083">
        <v>1</v>
      </c>
      <c r="M4083">
        <v>1</v>
      </c>
      <c r="N4083">
        <v>6.9</v>
      </c>
      <c r="O4083">
        <v>9.3000000000000007</v>
      </c>
      <c r="P4083">
        <v>4</v>
      </c>
      <c r="Q4083">
        <v>4</v>
      </c>
      <c r="R4083">
        <v>842697</v>
      </c>
      <c r="S4083">
        <f>Table1[[#This Row],[Revenue]]-Table1[[#This Row],[Operating_Costs]]</f>
        <v>269426</v>
      </c>
      <c r="T4083">
        <v>573271</v>
      </c>
      <c r="U4083">
        <v>74</v>
      </c>
      <c r="V4083">
        <v>66</v>
      </c>
      <c r="W4083">
        <v>14.7</v>
      </c>
    </row>
    <row r="4084" spans="1:23" x14ac:dyDescent="0.25">
      <c r="A4084">
        <v>12</v>
      </c>
      <c r="B4084" t="s">
        <v>66</v>
      </c>
      <c r="C4084" s="1">
        <v>44962</v>
      </c>
      <c r="D4084" t="s">
        <v>71</v>
      </c>
      <c r="E4084">
        <v>0</v>
      </c>
      <c r="F4084">
        <v>73</v>
      </c>
      <c r="G4084" t="str">
        <f t="shared" si="71"/>
        <v>61-80</v>
      </c>
      <c r="H4084" t="s">
        <v>35</v>
      </c>
      <c r="I4084" t="s">
        <v>53</v>
      </c>
      <c r="J4084" t="s">
        <v>54</v>
      </c>
      <c r="K4084" t="s">
        <v>26</v>
      </c>
      <c r="L4084">
        <v>1</v>
      </c>
      <c r="M4084">
        <v>1</v>
      </c>
      <c r="N4084">
        <v>4.4000000000000004</v>
      </c>
      <c r="O4084">
        <v>9.9</v>
      </c>
      <c r="P4084">
        <v>5</v>
      </c>
      <c r="Q4084">
        <v>5</v>
      </c>
      <c r="R4084">
        <v>838939</v>
      </c>
      <c r="S4084">
        <f>Table1[[#This Row],[Revenue]]-Table1[[#This Row],[Operating_Costs]]</f>
        <v>141511</v>
      </c>
      <c r="T4084">
        <v>697428</v>
      </c>
      <c r="U4084">
        <v>79</v>
      </c>
      <c r="V4084">
        <v>65</v>
      </c>
      <c r="W4084">
        <v>12.3</v>
      </c>
    </row>
    <row r="4085" spans="1:23" x14ac:dyDescent="0.25">
      <c r="A4085">
        <v>12</v>
      </c>
      <c r="B4085" t="s">
        <v>66</v>
      </c>
      <c r="C4085" s="1">
        <v>44657</v>
      </c>
      <c r="D4085" t="s">
        <v>71</v>
      </c>
      <c r="E4085">
        <v>0</v>
      </c>
      <c r="F4085">
        <v>53</v>
      </c>
      <c r="G4085" t="str">
        <f t="shared" si="71"/>
        <v>41-60</v>
      </c>
      <c r="H4085" t="s">
        <v>35</v>
      </c>
      <c r="I4085" t="s">
        <v>36</v>
      </c>
      <c r="J4085" t="s">
        <v>37</v>
      </c>
      <c r="K4085" t="s">
        <v>33</v>
      </c>
      <c r="L4085">
        <v>1</v>
      </c>
      <c r="M4085">
        <v>1</v>
      </c>
      <c r="N4085">
        <v>1.3</v>
      </c>
      <c r="O4085">
        <v>7.8</v>
      </c>
      <c r="P4085">
        <v>4</v>
      </c>
      <c r="Q4085">
        <v>5</v>
      </c>
      <c r="R4085">
        <v>833696</v>
      </c>
      <c r="S4085">
        <f>Table1[[#This Row],[Revenue]]-Table1[[#This Row],[Operating_Costs]]</f>
        <v>322826</v>
      </c>
      <c r="T4085">
        <v>510870</v>
      </c>
      <c r="U4085">
        <v>76</v>
      </c>
      <c r="V4085">
        <v>59</v>
      </c>
      <c r="W4085">
        <v>12.3</v>
      </c>
    </row>
    <row r="4086" spans="1:23" x14ac:dyDescent="0.25">
      <c r="A4086">
        <v>12</v>
      </c>
      <c r="B4086" t="s">
        <v>66</v>
      </c>
      <c r="C4086" s="1">
        <v>45384</v>
      </c>
      <c r="D4086" t="s">
        <v>71</v>
      </c>
      <c r="E4086">
        <v>0</v>
      </c>
      <c r="F4086">
        <v>37</v>
      </c>
      <c r="G4086" t="str">
        <f t="shared" si="71"/>
        <v>21-40</v>
      </c>
      <c r="H4086" t="s">
        <v>35</v>
      </c>
      <c r="I4086" t="s">
        <v>27</v>
      </c>
      <c r="J4086" t="s">
        <v>28</v>
      </c>
      <c r="K4086" t="s">
        <v>26</v>
      </c>
      <c r="L4086">
        <v>1</v>
      </c>
      <c r="M4086">
        <v>1</v>
      </c>
      <c r="N4086">
        <v>5.2</v>
      </c>
      <c r="O4086">
        <v>9.8000000000000007</v>
      </c>
      <c r="P4086">
        <v>4</v>
      </c>
      <c r="Q4086">
        <v>4</v>
      </c>
      <c r="R4086">
        <v>884850</v>
      </c>
      <c r="S4086">
        <f>Table1[[#This Row],[Revenue]]-Table1[[#This Row],[Operating_Costs]]</f>
        <v>204645</v>
      </c>
      <c r="T4086">
        <v>680205</v>
      </c>
      <c r="U4086">
        <v>80</v>
      </c>
      <c r="V4086">
        <v>62</v>
      </c>
      <c r="W4086">
        <v>7.8</v>
      </c>
    </row>
    <row r="4087" spans="1:23" x14ac:dyDescent="0.25">
      <c r="A4087">
        <v>12</v>
      </c>
      <c r="B4087" t="s">
        <v>66</v>
      </c>
      <c r="C4087" s="1">
        <v>44559</v>
      </c>
      <c r="D4087" t="s">
        <v>71</v>
      </c>
      <c r="E4087">
        <v>0</v>
      </c>
      <c r="F4087">
        <v>59</v>
      </c>
      <c r="G4087" t="str">
        <f t="shared" si="71"/>
        <v>41-60</v>
      </c>
      <c r="H4087" t="s">
        <v>35</v>
      </c>
      <c r="I4087" t="s">
        <v>53</v>
      </c>
      <c r="J4087" t="s">
        <v>54</v>
      </c>
      <c r="K4087" t="s">
        <v>42</v>
      </c>
      <c r="L4087">
        <v>1</v>
      </c>
      <c r="M4087">
        <v>1</v>
      </c>
      <c r="N4087">
        <v>6.6</v>
      </c>
      <c r="O4087">
        <v>9</v>
      </c>
      <c r="P4087">
        <v>4</v>
      </c>
      <c r="Q4087">
        <v>4</v>
      </c>
      <c r="R4087">
        <v>809772</v>
      </c>
      <c r="S4087">
        <f>Table1[[#This Row],[Revenue]]-Table1[[#This Row],[Operating_Costs]]</f>
        <v>116422</v>
      </c>
      <c r="T4087">
        <v>693350</v>
      </c>
      <c r="U4087">
        <v>52</v>
      </c>
      <c r="V4087">
        <v>54</v>
      </c>
      <c r="W4087">
        <v>5.3</v>
      </c>
    </row>
    <row r="4088" spans="1:23" x14ac:dyDescent="0.25">
      <c r="A4088">
        <v>12</v>
      </c>
      <c r="B4088" t="s">
        <v>66</v>
      </c>
      <c r="C4088" s="1">
        <v>45616</v>
      </c>
      <c r="D4088" t="s">
        <v>71</v>
      </c>
      <c r="E4088">
        <v>0</v>
      </c>
      <c r="F4088">
        <v>64</v>
      </c>
      <c r="G4088" t="str">
        <f t="shared" si="71"/>
        <v>61-80</v>
      </c>
      <c r="H4088" t="s">
        <v>35</v>
      </c>
      <c r="I4088" t="s">
        <v>60</v>
      </c>
      <c r="J4088" t="s">
        <v>59</v>
      </c>
      <c r="K4088" t="s">
        <v>42</v>
      </c>
      <c r="L4088">
        <v>1</v>
      </c>
      <c r="M4088">
        <v>1</v>
      </c>
      <c r="N4088">
        <v>6</v>
      </c>
      <c r="O4088">
        <v>9.4</v>
      </c>
      <c r="P4088">
        <v>4</v>
      </c>
      <c r="Q4088">
        <v>6</v>
      </c>
      <c r="R4088">
        <v>861365</v>
      </c>
      <c r="S4088">
        <f>Table1[[#This Row],[Revenue]]-Table1[[#This Row],[Operating_Costs]]</f>
        <v>356960</v>
      </c>
      <c r="T4088">
        <v>504405</v>
      </c>
      <c r="U4088">
        <v>66</v>
      </c>
      <c r="V4088">
        <v>57</v>
      </c>
      <c r="W4088">
        <v>36.799999999999997</v>
      </c>
    </row>
    <row r="4089" spans="1:23" x14ac:dyDescent="0.25">
      <c r="A4089">
        <v>12</v>
      </c>
      <c r="B4089" t="s">
        <v>66</v>
      </c>
      <c r="C4089" s="1">
        <v>44400</v>
      </c>
      <c r="D4089" t="s">
        <v>71</v>
      </c>
      <c r="E4089">
        <v>0</v>
      </c>
      <c r="F4089">
        <v>87</v>
      </c>
      <c r="G4089" t="str">
        <f t="shared" si="71"/>
        <v>81+</v>
      </c>
      <c r="H4089" t="s">
        <v>35</v>
      </c>
      <c r="I4089" t="s">
        <v>36</v>
      </c>
      <c r="J4089" t="s">
        <v>37</v>
      </c>
      <c r="K4089" t="s">
        <v>26</v>
      </c>
      <c r="L4089">
        <v>1</v>
      </c>
      <c r="M4089">
        <v>1</v>
      </c>
      <c r="N4089">
        <v>3.8</v>
      </c>
      <c r="O4089">
        <v>8.4</v>
      </c>
      <c r="P4089">
        <v>5</v>
      </c>
      <c r="Q4089">
        <v>5</v>
      </c>
      <c r="R4089">
        <v>940148</v>
      </c>
      <c r="S4089">
        <f>Table1[[#This Row],[Revenue]]-Table1[[#This Row],[Operating_Costs]]</f>
        <v>397396</v>
      </c>
      <c r="T4089">
        <v>542752</v>
      </c>
      <c r="U4089">
        <v>55</v>
      </c>
      <c r="V4089">
        <v>59</v>
      </c>
      <c r="W4089">
        <v>8</v>
      </c>
    </row>
    <row r="4090" spans="1:23" x14ac:dyDescent="0.25">
      <c r="A4090">
        <v>12</v>
      </c>
      <c r="B4090" t="s">
        <v>66</v>
      </c>
      <c r="C4090" s="1">
        <v>44703</v>
      </c>
      <c r="D4090" t="s">
        <v>71</v>
      </c>
      <c r="E4090">
        <v>0</v>
      </c>
      <c r="F4090">
        <v>58</v>
      </c>
      <c r="G4090" t="str">
        <f t="shared" si="71"/>
        <v>41-60</v>
      </c>
      <c r="H4090" t="s">
        <v>23</v>
      </c>
      <c r="I4090" t="s">
        <v>31</v>
      </c>
      <c r="J4090" t="s">
        <v>28</v>
      </c>
      <c r="K4090" t="s">
        <v>42</v>
      </c>
      <c r="L4090">
        <v>1</v>
      </c>
      <c r="M4090">
        <v>1</v>
      </c>
      <c r="N4090">
        <v>2.7</v>
      </c>
      <c r="O4090">
        <v>9</v>
      </c>
      <c r="P4090">
        <v>4</v>
      </c>
      <c r="Q4090">
        <v>4</v>
      </c>
      <c r="R4090">
        <v>970213</v>
      </c>
      <c r="S4090">
        <f>Table1[[#This Row],[Revenue]]-Table1[[#This Row],[Operating_Costs]]</f>
        <v>352346</v>
      </c>
      <c r="T4090">
        <v>617867</v>
      </c>
      <c r="U4090">
        <v>56</v>
      </c>
      <c r="V4090">
        <v>59</v>
      </c>
      <c r="W4090">
        <v>14.5</v>
      </c>
    </row>
    <row r="4091" spans="1:23" x14ac:dyDescent="0.25">
      <c r="A4091">
        <v>12</v>
      </c>
      <c r="B4091" t="s">
        <v>66</v>
      </c>
      <c r="C4091" s="1">
        <v>44691</v>
      </c>
      <c r="D4091" t="s">
        <v>71</v>
      </c>
      <c r="E4091">
        <v>0</v>
      </c>
      <c r="F4091">
        <v>44</v>
      </c>
      <c r="G4091" t="str">
        <f t="shared" si="71"/>
        <v>41-60</v>
      </c>
      <c r="H4091" t="s">
        <v>35</v>
      </c>
      <c r="I4091" t="s">
        <v>36</v>
      </c>
      <c r="J4091" t="s">
        <v>37</v>
      </c>
      <c r="K4091" t="s">
        <v>38</v>
      </c>
      <c r="L4091">
        <v>1</v>
      </c>
      <c r="M4091">
        <v>1</v>
      </c>
      <c r="N4091">
        <v>4.2</v>
      </c>
      <c r="O4091">
        <v>9.1999999999999993</v>
      </c>
      <c r="P4091">
        <v>4</v>
      </c>
      <c r="Q4091">
        <v>6</v>
      </c>
      <c r="R4091">
        <v>946524</v>
      </c>
      <c r="S4091">
        <f>Table1[[#This Row],[Revenue]]-Table1[[#This Row],[Operating_Costs]]</f>
        <v>271203</v>
      </c>
      <c r="T4091">
        <v>675321</v>
      </c>
      <c r="U4091">
        <v>69</v>
      </c>
      <c r="V4091">
        <v>57</v>
      </c>
      <c r="W4091">
        <v>8.6999999999999993</v>
      </c>
    </row>
    <row r="4092" spans="1:23" x14ac:dyDescent="0.25">
      <c r="A4092">
        <v>13</v>
      </c>
      <c r="B4092" t="s">
        <v>30</v>
      </c>
      <c r="C4092" s="1">
        <v>44640</v>
      </c>
      <c r="D4092" t="s">
        <v>71</v>
      </c>
      <c r="E4092">
        <v>0</v>
      </c>
      <c r="F4092">
        <v>53</v>
      </c>
      <c r="G4092" t="str">
        <f t="shared" si="71"/>
        <v>41-60</v>
      </c>
      <c r="H4092" t="s">
        <v>35</v>
      </c>
      <c r="I4092" t="s">
        <v>36</v>
      </c>
      <c r="J4092" t="s">
        <v>37</v>
      </c>
      <c r="K4092" t="s">
        <v>42</v>
      </c>
      <c r="L4092">
        <v>1</v>
      </c>
      <c r="M4092">
        <v>1</v>
      </c>
      <c r="N4092">
        <v>1.6</v>
      </c>
      <c r="O4092">
        <v>8.3000000000000007</v>
      </c>
      <c r="P4092">
        <v>6</v>
      </c>
      <c r="Q4092">
        <v>4</v>
      </c>
      <c r="R4092">
        <v>759703</v>
      </c>
      <c r="S4092">
        <f>Table1[[#This Row],[Revenue]]-Table1[[#This Row],[Operating_Costs]]</f>
        <v>394696</v>
      </c>
      <c r="T4092">
        <v>365007</v>
      </c>
      <c r="U4092">
        <v>50</v>
      </c>
      <c r="V4092">
        <v>55</v>
      </c>
      <c r="W4092">
        <v>8.1</v>
      </c>
    </row>
    <row r="4093" spans="1:23" x14ac:dyDescent="0.25">
      <c r="A4093">
        <v>12</v>
      </c>
      <c r="B4093" t="s">
        <v>66</v>
      </c>
      <c r="C4093" s="1">
        <v>44926</v>
      </c>
      <c r="D4093" t="s">
        <v>71</v>
      </c>
      <c r="E4093">
        <v>0</v>
      </c>
      <c r="F4093">
        <v>27</v>
      </c>
      <c r="G4093" t="str">
        <f t="shared" si="71"/>
        <v>21-40</v>
      </c>
      <c r="H4093" t="s">
        <v>23</v>
      </c>
      <c r="I4093" t="s">
        <v>40</v>
      </c>
      <c r="J4093" t="s">
        <v>41</v>
      </c>
      <c r="K4093" t="s">
        <v>42</v>
      </c>
      <c r="L4093">
        <v>1</v>
      </c>
      <c r="M4093">
        <v>1</v>
      </c>
      <c r="N4093">
        <v>5.6</v>
      </c>
      <c r="O4093">
        <v>8.9</v>
      </c>
      <c r="P4093">
        <v>7</v>
      </c>
      <c r="Q4093">
        <v>3</v>
      </c>
      <c r="R4093">
        <v>918366</v>
      </c>
      <c r="S4093">
        <f>Table1[[#This Row],[Revenue]]-Table1[[#This Row],[Operating_Costs]]</f>
        <v>267481</v>
      </c>
      <c r="T4093">
        <v>650885</v>
      </c>
      <c r="U4093">
        <v>64</v>
      </c>
      <c r="V4093">
        <v>66</v>
      </c>
      <c r="W4093">
        <v>5.0999999999999996</v>
      </c>
    </row>
    <row r="4094" spans="1:23" x14ac:dyDescent="0.25">
      <c r="A4094">
        <v>13</v>
      </c>
      <c r="B4094" t="s">
        <v>30</v>
      </c>
      <c r="C4094" s="1">
        <v>45531</v>
      </c>
      <c r="D4094" t="s">
        <v>71</v>
      </c>
      <c r="E4094">
        <v>0</v>
      </c>
      <c r="F4094">
        <v>30</v>
      </c>
      <c r="G4094" t="str">
        <f t="shared" si="71"/>
        <v>21-40</v>
      </c>
      <c r="H4094" t="s">
        <v>35</v>
      </c>
      <c r="I4094" t="s">
        <v>36</v>
      </c>
      <c r="J4094" t="s">
        <v>37</v>
      </c>
      <c r="K4094" t="s">
        <v>42</v>
      </c>
      <c r="L4094">
        <v>1</v>
      </c>
      <c r="M4094">
        <v>1</v>
      </c>
      <c r="N4094">
        <v>1</v>
      </c>
      <c r="O4094">
        <v>9.1</v>
      </c>
      <c r="P4094">
        <v>4</v>
      </c>
      <c r="Q4094">
        <v>5</v>
      </c>
      <c r="R4094">
        <v>730355</v>
      </c>
      <c r="S4094">
        <f>Table1[[#This Row],[Revenue]]-Table1[[#This Row],[Operating_Costs]]</f>
        <v>335761</v>
      </c>
      <c r="T4094">
        <v>394594</v>
      </c>
      <c r="U4094">
        <v>39</v>
      </c>
      <c r="V4094">
        <v>62</v>
      </c>
      <c r="W4094">
        <v>7.8</v>
      </c>
    </row>
    <row r="4095" spans="1:23" x14ac:dyDescent="0.25">
      <c r="A4095">
        <v>13</v>
      </c>
      <c r="B4095" t="s">
        <v>30</v>
      </c>
      <c r="C4095" s="1">
        <v>45082</v>
      </c>
      <c r="D4095" t="s">
        <v>71</v>
      </c>
      <c r="E4095">
        <v>0</v>
      </c>
      <c r="F4095">
        <v>29</v>
      </c>
      <c r="G4095" t="str">
        <f t="shared" si="71"/>
        <v>21-40</v>
      </c>
      <c r="H4095" t="s">
        <v>23</v>
      </c>
      <c r="I4095" t="s">
        <v>50</v>
      </c>
      <c r="J4095" t="s">
        <v>51</v>
      </c>
      <c r="K4095" t="s">
        <v>26</v>
      </c>
      <c r="L4095">
        <v>1</v>
      </c>
      <c r="M4095">
        <v>1</v>
      </c>
      <c r="N4095">
        <v>5.8</v>
      </c>
      <c r="O4095">
        <v>8.5</v>
      </c>
      <c r="P4095">
        <v>5</v>
      </c>
      <c r="Q4095">
        <v>4</v>
      </c>
      <c r="R4095">
        <v>460297</v>
      </c>
      <c r="S4095">
        <f>Table1[[#This Row],[Revenue]]-Table1[[#This Row],[Operating_Costs]]</f>
        <v>106569</v>
      </c>
      <c r="T4095">
        <v>353728</v>
      </c>
      <c r="U4095">
        <v>43</v>
      </c>
      <c r="V4095">
        <v>54</v>
      </c>
      <c r="W4095">
        <v>12.3</v>
      </c>
    </row>
    <row r="4096" spans="1:23" x14ac:dyDescent="0.25">
      <c r="A4096">
        <v>13</v>
      </c>
      <c r="B4096" t="s">
        <v>30</v>
      </c>
      <c r="C4096" s="1">
        <v>45149</v>
      </c>
      <c r="D4096" t="s">
        <v>71</v>
      </c>
      <c r="E4096">
        <v>0</v>
      </c>
      <c r="F4096">
        <v>49</v>
      </c>
      <c r="G4096" t="str">
        <f t="shared" si="71"/>
        <v>41-60</v>
      </c>
      <c r="H4096" t="s">
        <v>23</v>
      </c>
      <c r="I4096" t="s">
        <v>61</v>
      </c>
      <c r="J4096" t="s">
        <v>62</v>
      </c>
      <c r="K4096" t="s">
        <v>38</v>
      </c>
      <c r="L4096">
        <v>1</v>
      </c>
      <c r="M4096">
        <v>1</v>
      </c>
      <c r="N4096">
        <v>3.3</v>
      </c>
      <c r="O4096">
        <v>7.2</v>
      </c>
      <c r="P4096">
        <v>6</v>
      </c>
      <c r="Q4096">
        <v>5</v>
      </c>
      <c r="R4096">
        <v>573963</v>
      </c>
      <c r="S4096">
        <f>Table1[[#This Row],[Revenue]]-Table1[[#This Row],[Operating_Costs]]</f>
        <v>210636</v>
      </c>
      <c r="T4096">
        <v>363327</v>
      </c>
      <c r="U4096">
        <v>36</v>
      </c>
      <c r="V4096">
        <v>59</v>
      </c>
      <c r="W4096">
        <v>12.1</v>
      </c>
    </row>
    <row r="4097" spans="1:23" x14ac:dyDescent="0.25">
      <c r="A4097">
        <v>12</v>
      </c>
      <c r="B4097" t="s">
        <v>66</v>
      </c>
      <c r="C4097" s="1">
        <v>45500</v>
      </c>
      <c r="D4097" t="s">
        <v>71</v>
      </c>
      <c r="E4097">
        <v>0</v>
      </c>
      <c r="F4097">
        <v>73</v>
      </c>
      <c r="G4097" t="str">
        <f t="shared" si="71"/>
        <v>61-80</v>
      </c>
      <c r="H4097" t="s">
        <v>35</v>
      </c>
      <c r="I4097" t="s">
        <v>64</v>
      </c>
      <c r="J4097" t="s">
        <v>65</v>
      </c>
      <c r="K4097" t="s">
        <v>42</v>
      </c>
      <c r="L4097">
        <v>1</v>
      </c>
      <c r="M4097">
        <v>1</v>
      </c>
      <c r="N4097">
        <v>4</v>
      </c>
      <c r="O4097">
        <v>7.7</v>
      </c>
      <c r="P4097">
        <v>4</v>
      </c>
      <c r="Q4097">
        <v>3</v>
      </c>
      <c r="R4097">
        <v>810732</v>
      </c>
      <c r="S4097">
        <f>Table1[[#This Row],[Revenue]]-Table1[[#This Row],[Operating_Costs]]</f>
        <v>210148</v>
      </c>
      <c r="T4097">
        <v>600584</v>
      </c>
      <c r="U4097">
        <v>77</v>
      </c>
      <c r="V4097">
        <v>54</v>
      </c>
      <c r="W4097">
        <v>8.8000000000000007</v>
      </c>
    </row>
    <row r="4098" spans="1:23" x14ac:dyDescent="0.25">
      <c r="A4098">
        <v>13</v>
      </c>
      <c r="B4098" t="s">
        <v>30</v>
      </c>
      <c r="C4098" s="1">
        <v>44544</v>
      </c>
      <c r="D4098" t="s">
        <v>71</v>
      </c>
      <c r="E4098">
        <v>0</v>
      </c>
      <c r="F4098">
        <v>43</v>
      </c>
      <c r="G4098" t="str">
        <f t="shared" si="71"/>
        <v>41-60</v>
      </c>
      <c r="H4098" t="s">
        <v>23</v>
      </c>
      <c r="I4098" t="s">
        <v>61</v>
      </c>
      <c r="J4098" t="s">
        <v>62</v>
      </c>
      <c r="K4098" t="s">
        <v>29</v>
      </c>
      <c r="L4098">
        <v>1</v>
      </c>
      <c r="M4098">
        <v>1</v>
      </c>
      <c r="N4098">
        <v>1.9</v>
      </c>
      <c r="O4098">
        <v>9.4</v>
      </c>
      <c r="P4098">
        <v>4</v>
      </c>
      <c r="Q4098">
        <v>5</v>
      </c>
      <c r="R4098">
        <v>708504</v>
      </c>
      <c r="S4098">
        <f>Table1[[#This Row],[Revenue]]-Table1[[#This Row],[Operating_Costs]]</f>
        <v>336958</v>
      </c>
      <c r="T4098">
        <v>371546</v>
      </c>
      <c r="U4098">
        <v>48</v>
      </c>
      <c r="V4098">
        <v>60</v>
      </c>
      <c r="W4098">
        <v>5.7</v>
      </c>
    </row>
    <row r="4099" spans="1:23" x14ac:dyDescent="0.25">
      <c r="A4099">
        <v>13</v>
      </c>
      <c r="B4099" t="s">
        <v>30</v>
      </c>
      <c r="C4099" s="1">
        <v>44358</v>
      </c>
      <c r="D4099" t="s">
        <v>71</v>
      </c>
      <c r="E4099">
        <v>0</v>
      </c>
      <c r="F4099">
        <v>78</v>
      </c>
      <c r="G4099" t="str">
        <f t="shared" ref="G4099:G4162" si="72">IF(F4099&lt;=20,"0-20",IF(F4099&lt;=40,"21-40",IF(F4099&lt;=60,"41-60",IF(F4099&lt;=80,"61-80","81+"))))</f>
        <v>61-80</v>
      </c>
      <c r="H4099" t="s">
        <v>35</v>
      </c>
      <c r="I4099" t="s">
        <v>31</v>
      </c>
      <c r="J4099" t="s">
        <v>28</v>
      </c>
      <c r="K4099" t="s">
        <v>33</v>
      </c>
      <c r="L4099">
        <v>1</v>
      </c>
      <c r="M4099">
        <v>1</v>
      </c>
      <c r="N4099">
        <v>4.3</v>
      </c>
      <c r="O4099">
        <v>9.4</v>
      </c>
      <c r="P4099">
        <v>4</v>
      </c>
      <c r="Q4099">
        <v>4</v>
      </c>
      <c r="R4099">
        <v>556975</v>
      </c>
      <c r="S4099">
        <f>Table1[[#This Row],[Revenue]]-Table1[[#This Row],[Operating_Costs]]</f>
        <v>185358</v>
      </c>
      <c r="T4099">
        <v>371617</v>
      </c>
      <c r="U4099">
        <v>36</v>
      </c>
      <c r="V4099">
        <v>65</v>
      </c>
      <c r="W4099">
        <v>9.4</v>
      </c>
    </row>
    <row r="4100" spans="1:23" x14ac:dyDescent="0.25">
      <c r="A4100">
        <v>13</v>
      </c>
      <c r="B4100" t="s">
        <v>30</v>
      </c>
      <c r="C4100" s="1">
        <v>44335</v>
      </c>
      <c r="D4100" t="s">
        <v>71</v>
      </c>
      <c r="E4100">
        <v>0</v>
      </c>
      <c r="F4100">
        <v>67</v>
      </c>
      <c r="G4100" t="str">
        <f t="shared" si="72"/>
        <v>61-80</v>
      </c>
      <c r="H4100" t="s">
        <v>35</v>
      </c>
      <c r="I4100" t="s">
        <v>61</v>
      </c>
      <c r="J4100" t="s">
        <v>62</v>
      </c>
      <c r="K4100" t="s">
        <v>42</v>
      </c>
      <c r="L4100">
        <v>1</v>
      </c>
      <c r="M4100">
        <v>1</v>
      </c>
      <c r="N4100">
        <v>2.7</v>
      </c>
      <c r="O4100">
        <v>7.3</v>
      </c>
      <c r="P4100">
        <v>5</v>
      </c>
      <c r="Q4100">
        <v>4</v>
      </c>
      <c r="R4100">
        <v>708960</v>
      </c>
      <c r="S4100">
        <f>Table1[[#This Row],[Revenue]]-Table1[[#This Row],[Operating_Costs]]</f>
        <v>318640</v>
      </c>
      <c r="T4100">
        <v>390320</v>
      </c>
      <c r="U4100">
        <v>50</v>
      </c>
      <c r="V4100">
        <v>61</v>
      </c>
      <c r="W4100">
        <v>36.799999999999997</v>
      </c>
    </row>
    <row r="4101" spans="1:23" x14ac:dyDescent="0.25">
      <c r="A4101">
        <v>13</v>
      </c>
      <c r="B4101" t="s">
        <v>30</v>
      </c>
      <c r="C4101" s="1">
        <v>45222</v>
      </c>
      <c r="D4101" t="s">
        <v>71</v>
      </c>
      <c r="E4101">
        <v>0</v>
      </c>
      <c r="F4101">
        <v>83</v>
      </c>
      <c r="G4101" t="str">
        <f t="shared" si="72"/>
        <v>81+</v>
      </c>
      <c r="H4101" t="s">
        <v>23</v>
      </c>
      <c r="I4101" t="s">
        <v>61</v>
      </c>
      <c r="J4101" t="s">
        <v>62</v>
      </c>
      <c r="K4101" t="s">
        <v>26</v>
      </c>
      <c r="L4101">
        <v>1</v>
      </c>
      <c r="M4101">
        <v>1</v>
      </c>
      <c r="N4101">
        <v>1.1000000000000001</v>
      </c>
      <c r="O4101">
        <v>7.4</v>
      </c>
      <c r="P4101">
        <v>4</v>
      </c>
      <c r="Q4101">
        <v>7</v>
      </c>
      <c r="R4101">
        <v>743040</v>
      </c>
      <c r="S4101">
        <f>Table1[[#This Row],[Revenue]]-Table1[[#This Row],[Operating_Costs]]</f>
        <v>351275</v>
      </c>
      <c r="T4101">
        <v>391765</v>
      </c>
      <c r="U4101">
        <v>43</v>
      </c>
      <c r="V4101">
        <v>65</v>
      </c>
      <c r="W4101">
        <v>13.5</v>
      </c>
    </row>
    <row r="4102" spans="1:23" x14ac:dyDescent="0.25">
      <c r="A4102">
        <v>13</v>
      </c>
      <c r="B4102" t="s">
        <v>30</v>
      </c>
      <c r="C4102" s="1">
        <v>44213</v>
      </c>
      <c r="D4102" t="s">
        <v>71</v>
      </c>
      <c r="E4102">
        <v>0</v>
      </c>
      <c r="F4102">
        <v>51</v>
      </c>
      <c r="G4102" t="str">
        <f t="shared" si="72"/>
        <v>41-60</v>
      </c>
      <c r="H4102" t="s">
        <v>35</v>
      </c>
      <c r="I4102" t="s">
        <v>36</v>
      </c>
      <c r="J4102" t="s">
        <v>37</v>
      </c>
      <c r="K4102" t="s">
        <v>29</v>
      </c>
      <c r="L4102">
        <v>1</v>
      </c>
      <c r="M4102">
        <v>1</v>
      </c>
      <c r="N4102">
        <v>5.4</v>
      </c>
      <c r="O4102">
        <v>8.6</v>
      </c>
      <c r="P4102">
        <v>5</v>
      </c>
      <c r="Q4102">
        <v>4</v>
      </c>
      <c r="R4102">
        <v>590810</v>
      </c>
      <c r="S4102">
        <f>Table1[[#This Row],[Revenue]]-Table1[[#This Row],[Operating_Costs]]</f>
        <v>182986</v>
      </c>
      <c r="T4102">
        <v>407824</v>
      </c>
      <c r="U4102">
        <v>39</v>
      </c>
      <c r="V4102">
        <v>61</v>
      </c>
      <c r="W4102">
        <v>9.5</v>
      </c>
    </row>
    <row r="4103" spans="1:23" x14ac:dyDescent="0.25">
      <c r="A4103">
        <v>13</v>
      </c>
      <c r="B4103" t="s">
        <v>30</v>
      </c>
      <c r="C4103" s="1">
        <v>44619</v>
      </c>
      <c r="D4103" t="s">
        <v>71</v>
      </c>
      <c r="E4103">
        <v>0</v>
      </c>
      <c r="F4103">
        <v>50</v>
      </c>
      <c r="G4103" t="str">
        <f t="shared" si="72"/>
        <v>41-60</v>
      </c>
      <c r="H4103" t="s">
        <v>23</v>
      </c>
      <c r="I4103" t="s">
        <v>61</v>
      </c>
      <c r="J4103" t="s">
        <v>62</v>
      </c>
      <c r="K4103" t="s">
        <v>33</v>
      </c>
      <c r="L4103">
        <v>1</v>
      </c>
      <c r="M4103">
        <v>1</v>
      </c>
      <c r="N4103">
        <v>5.2</v>
      </c>
      <c r="O4103">
        <v>9.3000000000000007</v>
      </c>
      <c r="P4103">
        <v>3</v>
      </c>
      <c r="Q4103">
        <v>4</v>
      </c>
      <c r="R4103">
        <v>648828</v>
      </c>
      <c r="S4103">
        <f>Table1[[#This Row],[Revenue]]-Table1[[#This Row],[Operating_Costs]]</f>
        <v>243890</v>
      </c>
      <c r="T4103">
        <v>404938</v>
      </c>
      <c r="U4103">
        <v>48</v>
      </c>
      <c r="V4103">
        <v>54</v>
      </c>
      <c r="W4103">
        <v>7.4</v>
      </c>
    </row>
    <row r="4104" spans="1:23" x14ac:dyDescent="0.25">
      <c r="A4104">
        <v>13</v>
      </c>
      <c r="B4104" t="s">
        <v>30</v>
      </c>
      <c r="C4104" s="1">
        <v>44664</v>
      </c>
      <c r="D4104" t="s">
        <v>71</v>
      </c>
      <c r="E4104">
        <v>0</v>
      </c>
      <c r="F4104">
        <v>86</v>
      </c>
      <c r="G4104" t="str">
        <f t="shared" si="72"/>
        <v>81+</v>
      </c>
      <c r="H4104" t="s">
        <v>23</v>
      </c>
      <c r="I4104" t="s">
        <v>31</v>
      </c>
      <c r="J4104" t="s">
        <v>28</v>
      </c>
      <c r="K4104" t="s">
        <v>33</v>
      </c>
      <c r="L4104">
        <v>1</v>
      </c>
      <c r="M4104">
        <v>1</v>
      </c>
      <c r="N4104">
        <v>1.7</v>
      </c>
      <c r="O4104">
        <v>9.5</v>
      </c>
      <c r="P4104">
        <v>3</v>
      </c>
      <c r="Q4104">
        <v>5</v>
      </c>
      <c r="R4104">
        <v>514402</v>
      </c>
      <c r="S4104">
        <f>Table1[[#This Row],[Revenue]]-Table1[[#This Row],[Operating_Costs]]</f>
        <v>108735</v>
      </c>
      <c r="T4104">
        <v>405667</v>
      </c>
      <c r="U4104">
        <v>43</v>
      </c>
      <c r="V4104">
        <v>66</v>
      </c>
      <c r="W4104">
        <v>7.1</v>
      </c>
    </row>
    <row r="4105" spans="1:23" x14ac:dyDescent="0.25">
      <c r="A4105">
        <v>13</v>
      </c>
      <c r="B4105" t="s">
        <v>30</v>
      </c>
      <c r="C4105" s="1">
        <v>44505</v>
      </c>
      <c r="D4105" t="s">
        <v>71</v>
      </c>
      <c r="E4105">
        <v>0</v>
      </c>
      <c r="F4105">
        <v>33</v>
      </c>
      <c r="G4105" t="str">
        <f t="shared" si="72"/>
        <v>21-40</v>
      </c>
      <c r="H4105" t="s">
        <v>23</v>
      </c>
      <c r="I4105" t="s">
        <v>61</v>
      </c>
      <c r="J4105" t="s">
        <v>62</v>
      </c>
      <c r="K4105" t="s">
        <v>33</v>
      </c>
      <c r="L4105">
        <v>1</v>
      </c>
      <c r="M4105">
        <v>1</v>
      </c>
      <c r="N4105">
        <v>6.8</v>
      </c>
      <c r="O4105">
        <v>9.5</v>
      </c>
      <c r="P4105">
        <v>3</v>
      </c>
      <c r="Q4105">
        <v>6</v>
      </c>
      <c r="R4105">
        <v>521506</v>
      </c>
      <c r="S4105">
        <f>Table1[[#This Row],[Revenue]]-Table1[[#This Row],[Operating_Costs]]</f>
        <v>139374</v>
      </c>
      <c r="T4105">
        <v>382132</v>
      </c>
      <c r="U4105">
        <v>42</v>
      </c>
      <c r="V4105">
        <v>55</v>
      </c>
      <c r="W4105">
        <v>14.6</v>
      </c>
    </row>
    <row r="4106" spans="1:23" x14ac:dyDescent="0.25">
      <c r="A4106">
        <v>13</v>
      </c>
      <c r="B4106" t="s">
        <v>30</v>
      </c>
      <c r="C4106" s="1">
        <v>45183</v>
      </c>
      <c r="D4106" t="s">
        <v>71</v>
      </c>
      <c r="E4106">
        <v>0</v>
      </c>
      <c r="F4106">
        <v>31</v>
      </c>
      <c r="G4106" t="str">
        <f t="shared" si="72"/>
        <v>21-40</v>
      </c>
      <c r="H4106" t="s">
        <v>35</v>
      </c>
      <c r="I4106" t="s">
        <v>61</v>
      </c>
      <c r="J4106" t="s">
        <v>62</v>
      </c>
      <c r="K4106" t="s">
        <v>42</v>
      </c>
      <c r="L4106">
        <v>1</v>
      </c>
      <c r="M4106">
        <v>1</v>
      </c>
      <c r="N4106">
        <v>5.2</v>
      </c>
      <c r="O4106">
        <v>8.6</v>
      </c>
      <c r="P4106">
        <v>4</v>
      </c>
      <c r="Q4106">
        <v>7</v>
      </c>
      <c r="R4106">
        <v>634258</v>
      </c>
      <c r="S4106">
        <f>Table1[[#This Row],[Revenue]]-Table1[[#This Row],[Operating_Costs]]</f>
        <v>251263</v>
      </c>
      <c r="T4106">
        <v>382995</v>
      </c>
      <c r="U4106">
        <v>35</v>
      </c>
      <c r="V4106">
        <v>65</v>
      </c>
      <c r="W4106">
        <v>14</v>
      </c>
    </row>
    <row r="4107" spans="1:23" x14ac:dyDescent="0.25">
      <c r="A4107">
        <v>13</v>
      </c>
      <c r="B4107" t="s">
        <v>30</v>
      </c>
      <c r="C4107" s="1">
        <v>44442</v>
      </c>
      <c r="D4107" t="s">
        <v>71</v>
      </c>
      <c r="E4107">
        <v>0</v>
      </c>
      <c r="F4107">
        <v>60</v>
      </c>
      <c r="G4107" t="str">
        <f t="shared" si="72"/>
        <v>41-60</v>
      </c>
      <c r="H4107" t="s">
        <v>23</v>
      </c>
      <c r="I4107" t="s">
        <v>55</v>
      </c>
      <c r="J4107" t="s">
        <v>56</v>
      </c>
      <c r="K4107" t="s">
        <v>42</v>
      </c>
      <c r="L4107">
        <v>1</v>
      </c>
      <c r="M4107">
        <v>1</v>
      </c>
      <c r="N4107">
        <v>4.7</v>
      </c>
      <c r="O4107">
        <v>9.1999999999999993</v>
      </c>
      <c r="P4107">
        <v>6</v>
      </c>
      <c r="Q4107">
        <v>6</v>
      </c>
      <c r="R4107">
        <v>556305</v>
      </c>
      <c r="S4107">
        <f>Table1[[#This Row],[Revenue]]-Table1[[#This Row],[Operating_Costs]]</f>
        <v>190593</v>
      </c>
      <c r="T4107">
        <v>365712</v>
      </c>
      <c r="U4107">
        <v>43</v>
      </c>
      <c r="V4107">
        <v>58</v>
      </c>
      <c r="W4107">
        <v>8.1</v>
      </c>
    </row>
    <row r="4108" spans="1:23" x14ac:dyDescent="0.25">
      <c r="A4108">
        <v>13</v>
      </c>
      <c r="B4108" t="s">
        <v>30</v>
      </c>
      <c r="C4108" s="1">
        <v>45344</v>
      </c>
      <c r="D4108" t="s">
        <v>71</v>
      </c>
      <c r="E4108">
        <v>0</v>
      </c>
      <c r="F4108">
        <v>86</v>
      </c>
      <c r="G4108" t="str">
        <f t="shared" si="72"/>
        <v>81+</v>
      </c>
      <c r="H4108" t="s">
        <v>23</v>
      </c>
      <c r="I4108" t="s">
        <v>55</v>
      </c>
      <c r="J4108" t="s">
        <v>56</v>
      </c>
      <c r="K4108" t="s">
        <v>29</v>
      </c>
      <c r="L4108">
        <v>1</v>
      </c>
      <c r="M4108">
        <v>1</v>
      </c>
      <c r="N4108">
        <v>3</v>
      </c>
      <c r="O4108">
        <v>9</v>
      </c>
      <c r="P4108">
        <v>5</v>
      </c>
      <c r="Q4108">
        <v>7</v>
      </c>
      <c r="R4108">
        <v>773065</v>
      </c>
      <c r="S4108">
        <f>Table1[[#This Row],[Revenue]]-Table1[[#This Row],[Operating_Costs]]</f>
        <v>385848</v>
      </c>
      <c r="T4108">
        <v>387217</v>
      </c>
      <c r="U4108">
        <v>46</v>
      </c>
      <c r="V4108">
        <v>56</v>
      </c>
      <c r="W4108">
        <v>7.9</v>
      </c>
    </row>
    <row r="4109" spans="1:23" x14ac:dyDescent="0.25">
      <c r="A4109">
        <v>13</v>
      </c>
      <c r="B4109" t="s">
        <v>30</v>
      </c>
      <c r="C4109" s="1">
        <v>45297</v>
      </c>
      <c r="D4109" t="s">
        <v>71</v>
      </c>
      <c r="E4109">
        <v>0</v>
      </c>
      <c r="F4109">
        <v>39</v>
      </c>
      <c r="G4109" t="str">
        <f t="shared" si="72"/>
        <v>21-40</v>
      </c>
      <c r="H4109" t="s">
        <v>35</v>
      </c>
      <c r="I4109" t="s">
        <v>31</v>
      </c>
      <c r="J4109" t="s">
        <v>28</v>
      </c>
      <c r="K4109" t="s">
        <v>26</v>
      </c>
      <c r="L4109">
        <v>1</v>
      </c>
      <c r="M4109">
        <v>1</v>
      </c>
      <c r="N4109">
        <v>6.9</v>
      </c>
      <c r="O4109">
        <v>9.6</v>
      </c>
      <c r="P4109">
        <v>5</v>
      </c>
      <c r="Q4109">
        <v>6</v>
      </c>
      <c r="R4109">
        <v>699075</v>
      </c>
      <c r="S4109">
        <f>Table1[[#This Row],[Revenue]]-Table1[[#This Row],[Operating_Costs]]</f>
        <v>331740</v>
      </c>
      <c r="T4109">
        <v>367335</v>
      </c>
      <c r="U4109">
        <v>41</v>
      </c>
      <c r="V4109">
        <v>59</v>
      </c>
      <c r="W4109">
        <v>7.1</v>
      </c>
    </row>
    <row r="4110" spans="1:23" x14ac:dyDescent="0.25">
      <c r="A4110">
        <v>13</v>
      </c>
      <c r="B4110" t="s">
        <v>30</v>
      </c>
      <c r="C4110" s="1">
        <v>44346</v>
      </c>
      <c r="D4110" t="s">
        <v>71</v>
      </c>
      <c r="E4110">
        <v>0</v>
      </c>
      <c r="F4110">
        <v>90</v>
      </c>
      <c r="G4110" t="str">
        <f t="shared" si="72"/>
        <v>81+</v>
      </c>
      <c r="H4110" t="s">
        <v>35</v>
      </c>
      <c r="I4110" t="s">
        <v>46</v>
      </c>
      <c r="J4110" t="s">
        <v>47</v>
      </c>
      <c r="K4110" t="s">
        <v>29</v>
      </c>
      <c r="L4110">
        <v>1</v>
      </c>
      <c r="M4110">
        <v>1</v>
      </c>
      <c r="N4110">
        <v>2.2000000000000002</v>
      </c>
      <c r="O4110">
        <v>8.4</v>
      </c>
      <c r="P4110">
        <v>3</v>
      </c>
      <c r="Q4110">
        <v>7</v>
      </c>
      <c r="R4110">
        <v>571201</v>
      </c>
      <c r="S4110">
        <f>Table1[[#This Row],[Revenue]]-Table1[[#This Row],[Operating_Costs]]</f>
        <v>183621</v>
      </c>
      <c r="T4110">
        <v>387580</v>
      </c>
      <c r="U4110">
        <v>35</v>
      </c>
      <c r="V4110">
        <v>60</v>
      </c>
      <c r="W4110">
        <v>6.6</v>
      </c>
    </row>
    <row r="4111" spans="1:23" x14ac:dyDescent="0.25">
      <c r="A4111">
        <v>13</v>
      </c>
      <c r="B4111" t="s">
        <v>30</v>
      </c>
      <c r="C4111" s="1">
        <v>44415</v>
      </c>
      <c r="D4111" t="s">
        <v>71</v>
      </c>
      <c r="E4111">
        <v>0</v>
      </c>
      <c r="F4111">
        <v>75</v>
      </c>
      <c r="G4111" t="str">
        <f t="shared" si="72"/>
        <v>61-80</v>
      </c>
      <c r="H4111" t="s">
        <v>23</v>
      </c>
      <c r="I4111" t="s">
        <v>46</v>
      </c>
      <c r="J4111" t="s">
        <v>47</v>
      </c>
      <c r="K4111" t="s">
        <v>29</v>
      </c>
      <c r="L4111">
        <v>1</v>
      </c>
      <c r="M4111">
        <v>1</v>
      </c>
      <c r="N4111">
        <v>1.3</v>
      </c>
      <c r="O4111">
        <v>8</v>
      </c>
      <c r="P4111">
        <v>6</v>
      </c>
      <c r="Q4111">
        <v>7</v>
      </c>
      <c r="R4111">
        <v>602024</v>
      </c>
      <c r="S4111">
        <f>Table1[[#This Row],[Revenue]]-Table1[[#This Row],[Operating_Costs]]</f>
        <v>228737</v>
      </c>
      <c r="T4111">
        <v>373287</v>
      </c>
      <c r="U4111">
        <v>46</v>
      </c>
      <c r="V4111">
        <v>57</v>
      </c>
      <c r="W4111">
        <v>36.200000000000003</v>
      </c>
    </row>
    <row r="4112" spans="1:23" x14ac:dyDescent="0.25">
      <c r="A4112">
        <v>13</v>
      </c>
      <c r="B4112" t="s">
        <v>30</v>
      </c>
      <c r="C4112" s="1">
        <v>45643</v>
      </c>
      <c r="D4112" t="s">
        <v>71</v>
      </c>
      <c r="E4112">
        <v>0</v>
      </c>
      <c r="F4112">
        <v>88</v>
      </c>
      <c r="G4112" t="str">
        <f t="shared" si="72"/>
        <v>81+</v>
      </c>
      <c r="H4112" t="s">
        <v>35</v>
      </c>
      <c r="I4112" t="s">
        <v>46</v>
      </c>
      <c r="J4112" t="s">
        <v>47</v>
      </c>
      <c r="K4112" t="s">
        <v>38</v>
      </c>
      <c r="L4112">
        <v>1</v>
      </c>
      <c r="M4112">
        <v>1</v>
      </c>
      <c r="N4112">
        <v>5.9</v>
      </c>
      <c r="O4112">
        <v>9.6</v>
      </c>
      <c r="P4112">
        <v>5</v>
      </c>
      <c r="Q4112">
        <v>5</v>
      </c>
      <c r="R4112">
        <v>651268</v>
      </c>
      <c r="S4112">
        <f>Table1[[#This Row],[Revenue]]-Table1[[#This Row],[Operating_Costs]]</f>
        <v>245534</v>
      </c>
      <c r="T4112">
        <v>405734</v>
      </c>
      <c r="U4112">
        <v>46</v>
      </c>
      <c r="V4112">
        <v>57</v>
      </c>
      <c r="W4112">
        <v>12.8</v>
      </c>
    </row>
    <row r="4113" spans="1:23" x14ac:dyDescent="0.25">
      <c r="A4113">
        <v>13</v>
      </c>
      <c r="B4113" t="s">
        <v>30</v>
      </c>
      <c r="C4113" s="1">
        <v>45392</v>
      </c>
      <c r="D4113" t="s">
        <v>71</v>
      </c>
      <c r="E4113">
        <v>0</v>
      </c>
      <c r="F4113">
        <v>28</v>
      </c>
      <c r="G4113" t="str">
        <f t="shared" si="72"/>
        <v>21-40</v>
      </c>
      <c r="H4113" t="s">
        <v>35</v>
      </c>
      <c r="I4113" t="s">
        <v>27</v>
      </c>
      <c r="J4113" t="s">
        <v>28</v>
      </c>
      <c r="K4113" t="s">
        <v>33</v>
      </c>
      <c r="L4113">
        <v>1</v>
      </c>
      <c r="M4113">
        <v>1</v>
      </c>
      <c r="N4113">
        <v>5.0999999999999996</v>
      </c>
      <c r="O4113">
        <v>9.9</v>
      </c>
      <c r="P4113">
        <v>7</v>
      </c>
      <c r="Q4113">
        <v>7</v>
      </c>
      <c r="R4113">
        <v>466164</v>
      </c>
      <c r="S4113">
        <f>Table1[[#This Row],[Revenue]]-Table1[[#This Row],[Operating_Costs]]</f>
        <v>109056</v>
      </c>
      <c r="T4113">
        <v>357108</v>
      </c>
      <c r="U4113">
        <v>50</v>
      </c>
      <c r="V4113">
        <v>58</v>
      </c>
      <c r="W4113">
        <v>13.9</v>
      </c>
    </row>
    <row r="4114" spans="1:23" x14ac:dyDescent="0.25">
      <c r="A4114">
        <v>13</v>
      </c>
      <c r="B4114" t="s">
        <v>30</v>
      </c>
      <c r="C4114" s="1">
        <v>45603</v>
      </c>
      <c r="D4114" t="s">
        <v>71</v>
      </c>
      <c r="E4114">
        <v>0</v>
      </c>
      <c r="F4114">
        <v>47</v>
      </c>
      <c r="G4114" t="str">
        <f t="shared" si="72"/>
        <v>41-60</v>
      </c>
      <c r="H4114" t="s">
        <v>23</v>
      </c>
      <c r="I4114" t="s">
        <v>61</v>
      </c>
      <c r="J4114" t="s">
        <v>62</v>
      </c>
      <c r="K4114" t="s">
        <v>29</v>
      </c>
      <c r="L4114">
        <v>1</v>
      </c>
      <c r="M4114">
        <v>1</v>
      </c>
      <c r="N4114">
        <v>3.5</v>
      </c>
      <c r="O4114">
        <v>8.8000000000000007</v>
      </c>
      <c r="P4114">
        <v>5</v>
      </c>
      <c r="Q4114">
        <v>5</v>
      </c>
      <c r="R4114">
        <v>602431</v>
      </c>
      <c r="S4114">
        <f>Table1[[#This Row],[Revenue]]-Table1[[#This Row],[Operating_Costs]]</f>
        <v>219406</v>
      </c>
      <c r="T4114">
        <v>383025</v>
      </c>
      <c r="U4114">
        <v>44</v>
      </c>
      <c r="V4114">
        <v>64</v>
      </c>
      <c r="W4114">
        <v>13</v>
      </c>
    </row>
    <row r="4115" spans="1:23" x14ac:dyDescent="0.25">
      <c r="A4115">
        <v>13</v>
      </c>
      <c r="B4115" t="s">
        <v>30</v>
      </c>
      <c r="C4115" s="1">
        <v>44310</v>
      </c>
      <c r="D4115" t="s">
        <v>71</v>
      </c>
      <c r="E4115">
        <v>0</v>
      </c>
      <c r="F4115">
        <v>35</v>
      </c>
      <c r="G4115" t="str">
        <f t="shared" si="72"/>
        <v>21-40</v>
      </c>
      <c r="H4115" t="s">
        <v>23</v>
      </c>
      <c r="I4115" t="s">
        <v>55</v>
      </c>
      <c r="J4115" t="s">
        <v>56</v>
      </c>
      <c r="K4115" t="s">
        <v>26</v>
      </c>
      <c r="L4115">
        <v>1</v>
      </c>
      <c r="M4115">
        <v>1</v>
      </c>
      <c r="N4115">
        <v>6.9</v>
      </c>
      <c r="O4115">
        <v>8.1</v>
      </c>
      <c r="P4115">
        <v>4</v>
      </c>
      <c r="Q4115">
        <v>4</v>
      </c>
      <c r="R4115">
        <v>543671</v>
      </c>
      <c r="S4115">
        <f>Table1[[#This Row],[Revenue]]-Table1[[#This Row],[Operating_Costs]]</f>
        <v>183062</v>
      </c>
      <c r="T4115">
        <v>360609</v>
      </c>
      <c r="U4115">
        <v>34</v>
      </c>
      <c r="V4115">
        <v>60</v>
      </c>
      <c r="W4115">
        <v>10.8</v>
      </c>
    </row>
    <row r="4116" spans="1:23" x14ac:dyDescent="0.25">
      <c r="A4116">
        <v>13</v>
      </c>
      <c r="B4116" t="s">
        <v>30</v>
      </c>
      <c r="C4116" s="1">
        <v>44931</v>
      </c>
      <c r="D4116" t="s">
        <v>71</v>
      </c>
      <c r="E4116">
        <v>0</v>
      </c>
      <c r="F4116">
        <v>29</v>
      </c>
      <c r="G4116" t="str">
        <f t="shared" si="72"/>
        <v>21-40</v>
      </c>
      <c r="H4116" t="s">
        <v>35</v>
      </c>
      <c r="I4116" t="s">
        <v>36</v>
      </c>
      <c r="J4116" t="s">
        <v>37</v>
      </c>
      <c r="K4116" t="s">
        <v>38</v>
      </c>
      <c r="L4116">
        <v>1</v>
      </c>
      <c r="M4116">
        <v>1</v>
      </c>
      <c r="N4116">
        <v>7</v>
      </c>
      <c r="O4116">
        <v>9.9</v>
      </c>
      <c r="P4116">
        <v>3</v>
      </c>
      <c r="Q4116">
        <v>4</v>
      </c>
      <c r="R4116">
        <v>618183</v>
      </c>
      <c r="S4116">
        <f>Table1[[#This Row],[Revenue]]-Table1[[#This Row],[Operating_Costs]]</f>
        <v>221573</v>
      </c>
      <c r="T4116">
        <v>396610</v>
      </c>
      <c r="U4116">
        <v>45</v>
      </c>
      <c r="V4116">
        <v>61</v>
      </c>
      <c r="W4116">
        <v>13.9</v>
      </c>
    </row>
    <row r="4117" spans="1:23" x14ac:dyDescent="0.25">
      <c r="A4117">
        <v>13</v>
      </c>
      <c r="B4117" t="s">
        <v>30</v>
      </c>
      <c r="C4117" s="1">
        <v>45054</v>
      </c>
      <c r="D4117" t="s">
        <v>71</v>
      </c>
      <c r="E4117">
        <v>0</v>
      </c>
      <c r="F4117">
        <v>43</v>
      </c>
      <c r="G4117" t="str">
        <f t="shared" si="72"/>
        <v>41-60</v>
      </c>
      <c r="H4117" t="s">
        <v>23</v>
      </c>
      <c r="I4117" t="s">
        <v>24</v>
      </c>
      <c r="J4117" t="s">
        <v>25</v>
      </c>
      <c r="K4117" t="s">
        <v>29</v>
      </c>
      <c r="L4117">
        <v>1</v>
      </c>
      <c r="M4117">
        <v>1</v>
      </c>
      <c r="N4117">
        <v>3</v>
      </c>
      <c r="O4117">
        <v>7.5</v>
      </c>
      <c r="P4117">
        <v>7</v>
      </c>
      <c r="Q4117">
        <v>7</v>
      </c>
      <c r="R4117">
        <v>514781</v>
      </c>
      <c r="S4117">
        <f>Table1[[#This Row],[Revenue]]-Table1[[#This Row],[Operating_Costs]]</f>
        <v>134654</v>
      </c>
      <c r="T4117">
        <v>380127</v>
      </c>
      <c r="U4117">
        <v>30</v>
      </c>
      <c r="V4117">
        <v>59</v>
      </c>
      <c r="W4117">
        <v>9.9</v>
      </c>
    </row>
    <row r="4118" spans="1:23" x14ac:dyDescent="0.25">
      <c r="A4118">
        <v>13</v>
      </c>
      <c r="B4118" t="s">
        <v>30</v>
      </c>
      <c r="C4118" s="1">
        <v>45464</v>
      </c>
      <c r="D4118" t="s">
        <v>71</v>
      </c>
      <c r="E4118">
        <v>0</v>
      </c>
      <c r="F4118">
        <v>82</v>
      </c>
      <c r="G4118" t="str">
        <f t="shared" si="72"/>
        <v>81+</v>
      </c>
      <c r="H4118" t="s">
        <v>23</v>
      </c>
      <c r="I4118" t="s">
        <v>27</v>
      </c>
      <c r="J4118" t="s">
        <v>28</v>
      </c>
      <c r="K4118" t="s">
        <v>42</v>
      </c>
      <c r="L4118">
        <v>1</v>
      </c>
      <c r="M4118">
        <v>1</v>
      </c>
      <c r="N4118">
        <v>6</v>
      </c>
      <c r="O4118">
        <v>7.5</v>
      </c>
      <c r="P4118">
        <v>6</v>
      </c>
      <c r="Q4118">
        <v>5</v>
      </c>
      <c r="R4118">
        <v>531447</v>
      </c>
      <c r="S4118">
        <f>Table1[[#This Row],[Revenue]]-Table1[[#This Row],[Operating_Costs]]</f>
        <v>153087</v>
      </c>
      <c r="T4118">
        <v>378360</v>
      </c>
      <c r="U4118">
        <v>47</v>
      </c>
      <c r="V4118">
        <v>59</v>
      </c>
      <c r="W4118">
        <v>6</v>
      </c>
    </row>
    <row r="4119" spans="1:23" x14ac:dyDescent="0.25">
      <c r="A4119">
        <v>13</v>
      </c>
      <c r="B4119" t="s">
        <v>30</v>
      </c>
      <c r="C4119" s="1">
        <v>44514</v>
      </c>
      <c r="D4119" t="s">
        <v>71</v>
      </c>
      <c r="E4119">
        <v>0</v>
      </c>
      <c r="F4119">
        <v>63</v>
      </c>
      <c r="G4119" t="str">
        <f t="shared" si="72"/>
        <v>61-80</v>
      </c>
      <c r="H4119" t="s">
        <v>23</v>
      </c>
      <c r="I4119" t="s">
        <v>27</v>
      </c>
      <c r="J4119" t="s">
        <v>28</v>
      </c>
      <c r="K4119" t="s">
        <v>38</v>
      </c>
      <c r="L4119">
        <v>1</v>
      </c>
      <c r="M4119">
        <v>1</v>
      </c>
      <c r="N4119">
        <v>3</v>
      </c>
      <c r="O4119">
        <v>9.3000000000000007</v>
      </c>
      <c r="P4119">
        <v>3</v>
      </c>
      <c r="Q4119">
        <v>5</v>
      </c>
      <c r="R4119">
        <v>652341</v>
      </c>
      <c r="S4119">
        <f>Table1[[#This Row],[Revenue]]-Table1[[#This Row],[Operating_Costs]]</f>
        <v>280418</v>
      </c>
      <c r="T4119">
        <v>371923</v>
      </c>
      <c r="U4119">
        <v>42</v>
      </c>
      <c r="V4119">
        <v>66</v>
      </c>
      <c r="W4119">
        <v>15</v>
      </c>
    </row>
    <row r="4120" spans="1:23" x14ac:dyDescent="0.25">
      <c r="A4120">
        <v>13</v>
      </c>
      <c r="B4120" t="s">
        <v>30</v>
      </c>
      <c r="C4120" s="1">
        <v>45149</v>
      </c>
      <c r="D4120" t="s">
        <v>71</v>
      </c>
      <c r="E4120">
        <v>0</v>
      </c>
      <c r="F4120">
        <v>59</v>
      </c>
      <c r="G4120" t="str">
        <f t="shared" si="72"/>
        <v>41-60</v>
      </c>
      <c r="H4120" t="s">
        <v>23</v>
      </c>
      <c r="I4120" t="s">
        <v>27</v>
      </c>
      <c r="J4120" t="s">
        <v>28</v>
      </c>
      <c r="K4120" t="s">
        <v>38</v>
      </c>
      <c r="L4120">
        <v>1</v>
      </c>
      <c r="M4120">
        <v>1</v>
      </c>
      <c r="N4120">
        <v>2.7</v>
      </c>
      <c r="O4120">
        <v>7.8</v>
      </c>
      <c r="P4120">
        <v>6</v>
      </c>
      <c r="Q4120">
        <v>4</v>
      </c>
      <c r="R4120">
        <v>797369</v>
      </c>
      <c r="S4120">
        <f>Table1[[#This Row],[Revenue]]-Table1[[#This Row],[Operating_Costs]]</f>
        <v>433320</v>
      </c>
      <c r="T4120">
        <v>364049</v>
      </c>
      <c r="U4120">
        <v>43</v>
      </c>
      <c r="V4120">
        <v>62</v>
      </c>
      <c r="W4120">
        <v>9.6999999999999993</v>
      </c>
    </row>
    <row r="4121" spans="1:23" x14ac:dyDescent="0.25">
      <c r="A4121">
        <v>13</v>
      </c>
      <c r="B4121" t="s">
        <v>30</v>
      </c>
      <c r="C4121" s="1">
        <v>44961</v>
      </c>
      <c r="D4121" t="s">
        <v>71</v>
      </c>
      <c r="E4121">
        <v>0</v>
      </c>
      <c r="F4121">
        <v>24</v>
      </c>
      <c r="G4121" t="str">
        <f t="shared" si="72"/>
        <v>21-40</v>
      </c>
      <c r="H4121" t="s">
        <v>35</v>
      </c>
      <c r="I4121" t="s">
        <v>27</v>
      </c>
      <c r="J4121" t="s">
        <v>28</v>
      </c>
      <c r="K4121" t="s">
        <v>26</v>
      </c>
      <c r="L4121">
        <v>1</v>
      </c>
      <c r="M4121">
        <v>1</v>
      </c>
      <c r="N4121">
        <v>6.4</v>
      </c>
      <c r="O4121">
        <v>7.4</v>
      </c>
      <c r="P4121">
        <v>6</v>
      </c>
      <c r="Q4121">
        <v>6</v>
      </c>
      <c r="R4121">
        <v>446600</v>
      </c>
      <c r="S4121">
        <f>Table1[[#This Row],[Revenue]]-Table1[[#This Row],[Operating_Costs]]</f>
        <v>45640</v>
      </c>
      <c r="T4121">
        <v>400960</v>
      </c>
      <c r="U4121">
        <v>45</v>
      </c>
      <c r="V4121">
        <v>66</v>
      </c>
      <c r="W4121">
        <v>5.9</v>
      </c>
    </row>
    <row r="4122" spans="1:23" x14ac:dyDescent="0.25">
      <c r="A4122">
        <v>13</v>
      </c>
      <c r="B4122" t="s">
        <v>30</v>
      </c>
      <c r="C4122" s="1">
        <v>45066</v>
      </c>
      <c r="D4122" t="s">
        <v>71</v>
      </c>
      <c r="E4122">
        <v>0</v>
      </c>
      <c r="F4122">
        <v>90</v>
      </c>
      <c r="G4122" t="str">
        <f t="shared" si="72"/>
        <v>81+</v>
      </c>
      <c r="H4122" t="s">
        <v>23</v>
      </c>
      <c r="I4122" t="s">
        <v>46</v>
      </c>
      <c r="J4122" t="s">
        <v>47</v>
      </c>
      <c r="K4122" t="s">
        <v>33</v>
      </c>
      <c r="L4122">
        <v>1</v>
      </c>
      <c r="M4122">
        <v>1</v>
      </c>
      <c r="N4122">
        <v>1.2</v>
      </c>
      <c r="O4122">
        <v>9</v>
      </c>
      <c r="P4122">
        <v>6</v>
      </c>
      <c r="Q4122">
        <v>3</v>
      </c>
      <c r="R4122">
        <v>733333</v>
      </c>
      <c r="S4122">
        <f>Table1[[#This Row],[Revenue]]-Table1[[#This Row],[Operating_Costs]]</f>
        <v>344306</v>
      </c>
      <c r="T4122">
        <v>389027</v>
      </c>
      <c r="U4122">
        <v>44</v>
      </c>
      <c r="V4122">
        <v>62</v>
      </c>
      <c r="W4122">
        <v>5.3</v>
      </c>
    </row>
    <row r="4123" spans="1:23" x14ac:dyDescent="0.25">
      <c r="A4123">
        <v>13</v>
      </c>
      <c r="B4123" t="s">
        <v>30</v>
      </c>
      <c r="C4123" s="1">
        <v>45425</v>
      </c>
      <c r="D4123" t="s">
        <v>71</v>
      </c>
      <c r="E4123">
        <v>0</v>
      </c>
      <c r="F4123">
        <v>48</v>
      </c>
      <c r="G4123" t="str">
        <f t="shared" si="72"/>
        <v>41-60</v>
      </c>
      <c r="H4123" t="s">
        <v>23</v>
      </c>
      <c r="I4123" t="s">
        <v>58</v>
      </c>
      <c r="J4123" t="s">
        <v>59</v>
      </c>
      <c r="K4123" t="s">
        <v>29</v>
      </c>
      <c r="L4123">
        <v>1</v>
      </c>
      <c r="M4123">
        <v>1</v>
      </c>
      <c r="N4123">
        <v>1.9</v>
      </c>
      <c r="O4123">
        <v>8.5</v>
      </c>
      <c r="P4123">
        <v>5</v>
      </c>
      <c r="Q4123">
        <v>4</v>
      </c>
      <c r="R4123">
        <v>414061</v>
      </c>
      <c r="S4123">
        <f>Table1[[#This Row],[Revenue]]-Table1[[#This Row],[Operating_Costs]]</f>
        <v>60666</v>
      </c>
      <c r="T4123">
        <v>353395</v>
      </c>
      <c r="U4123">
        <v>32</v>
      </c>
      <c r="V4123">
        <v>58</v>
      </c>
      <c r="W4123">
        <v>5.3</v>
      </c>
    </row>
    <row r="4124" spans="1:23" x14ac:dyDescent="0.25">
      <c r="A4124">
        <v>13</v>
      </c>
      <c r="B4124" t="s">
        <v>30</v>
      </c>
      <c r="C4124" s="1">
        <v>45248</v>
      </c>
      <c r="D4124" t="s">
        <v>71</v>
      </c>
      <c r="E4124">
        <v>0</v>
      </c>
      <c r="F4124">
        <v>80</v>
      </c>
      <c r="G4124" t="str">
        <f t="shared" si="72"/>
        <v>61-80</v>
      </c>
      <c r="H4124" t="s">
        <v>35</v>
      </c>
      <c r="I4124" t="s">
        <v>40</v>
      </c>
      <c r="J4124" t="s">
        <v>41</v>
      </c>
      <c r="K4124" t="s">
        <v>29</v>
      </c>
      <c r="L4124">
        <v>1</v>
      </c>
      <c r="M4124">
        <v>1</v>
      </c>
      <c r="N4124">
        <v>5.8</v>
      </c>
      <c r="O4124">
        <v>8.1</v>
      </c>
      <c r="P4124">
        <v>7</v>
      </c>
      <c r="Q4124">
        <v>7</v>
      </c>
      <c r="R4124">
        <v>603820</v>
      </c>
      <c r="S4124">
        <f>Table1[[#This Row],[Revenue]]-Table1[[#This Row],[Operating_Costs]]</f>
        <v>220871</v>
      </c>
      <c r="T4124">
        <v>382949</v>
      </c>
      <c r="U4124">
        <v>43</v>
      </c>
      <c r="V4124">
        <v>54</v>
      </c>
      <c r="W4124">
        <v>8.4</v>
      </c>
    </row>
    <row r="4125" spans="1:23" x14ac:dyDescent="0.25">
      <c r="A4125">
        <v>13</v>
      </c>
      <c r="B4125" t="s">
        <v>30</v>
      </c>
      <c r="C4125" s="1">
        <v>44237</v>
      </c>
      <c r="D4125" t="s">
        <v>71</v>
      </c>
      <c r="E4125">
        <v>0</v>
      </c>
      <c r="F4125">
        <v>37</v>
      </c>
      <c r="G4125" t="str">
        <f t="shared" si="72"/>
        <v>21-40</v>
      </c>
      <c r="H4125" t="s">
        <v>23</v>
      </c>
      <c r="I4125" t="s">
        <v>64</v>
      </c>
      <c r="J4125" t="s">
        <v>65</v>
      </c>
      <c r="K4125" t="s">
        <v>42</v>
      </c>
      <c r="L4125">
        <v>1</v>
      </c>
      <c r="M4125">
        <v>1</v>
      </c>
      <c r="N4125">
        <v>6.8</v>
      </c>
      <c r="O4125">
        <v>7.5</v>
      </c>
      <c r="P4125">
        <v>7</v>
      </c>
      <c r="Q4125">
        <v>5</v>
      </c>
      <c r="R4125">
        <v>409797</v>
      </c>
      <c r="S4125">
        <f>Table1[[#This Row],[Revenue]]-Table1[[#This Row],[Operating_Costs]]</f>
        <v>31930</v>
      </c>
      <c r="T4125">
        <v>377867</v>
      </c>
      <c r="U4125">
        <v>34</v>
      </c>
      <c r="V4125">
        <v>57</v>
      </c>
      <c r="W4125">
        <v>8.9</v>
      </c>
    </row>
    <row r="4126" spans="1:23" x14ac:dyDescent="0.25">
      <c r="A4126">
        <v>13</v>
      </c>
      <c r="B4126" t="s">
        <v>30</v>
      </c>
      <c r="C4126" s="1">
        <v>45654</v>
      </c>
      <c r="D4126" t="s">
        <v>71</v>
      </c>
      <c r="E4126">
        <v>0</v>
      </c>
      <c r="F4126">
        <v>37</v>
      </c>
      <c r="G4126" t="str">
        <f t="shared" si="72"/>
        <v>21-40</v>
      </c>
      <c r="H4126" t="s">
        <v>23</v>
      </c>
      <c r="I4126" t="s">
        <v>61</v>
      </c>
      <c r="J4126" t="s">
        <v>62</v>
      </c>
      <c r="K4126" t="s">
        <v>42</v>
      </c>
      <c r="L4126">
        <v>1</v>
      </c>
      <c r="M4126">
        <v>1</v>
      </c>
      <c r="N4126">
        <v>2.7</v>
      </c>
      <c r="O4126">
        <v>7.3</v>
      </c>
      <c r="P4126">
        <v>3</v>
      </c>
      <c r="Q4126">
        <v>7</v>
      </c>
      <c r="R4126">
        <v>432371</v>
      </c>
      <c r="S4126">
        <f>Table1[[#This Row],[Revenue]]-Table1[[#This Row],[Operating_Costs]]</f>
        <v>56751</v>
      </c>
      <c r="T4126">
        <v>375620</v>
      </c>
      <c r="U4126">
        <v>49</v>
      </c>
      <c r="V4126">
        <v>57</v>
      </c>
      <c r="W4126">
        <v>8</v>
      </c>
    </row>
    <row r="4127" spans="1:23" x14ac:dyDescent="0.25">
      <c r="A4127">
        <v>13</v>
      </c>
      <c r="B4127" t="s">
        <v>30</v>
      </c>
      <c r="C4127" s="1">
        <v>44672</v>
      </c>
      <c r="D4127" t="s">
        <v>71</v>
      </c>
      <c r="E4127">
        <v>0</v>
      </c>
      <c r="F4127">
        <v>56</v>
      </c>
      <c r="G4127" t="str">
        <f t="shared" si="72"/>
        <v>41-60</v>
      </c>
      <c r="H4127" t="s">
        <v>35</v>
      </c>
      <c r="I4127" t="s">
        <v>40</v>
      </c>
      <c r="J4127" t="s">
        <v>41</v>
      </c>
      <c r="K4127" t="s">
        <v>29</v>
      </c>
      <c r="L4127">
        <v>1</v>
      </c>
      <c r="M4127">
        <v>1</v>
      </c>
      <c r="N4127">
        <v>2.7</v>
      </c>
      <c r="O4127">
        <v>9.1</v>
      </c>
      <c r="P4127">
        <v>4</v>
      </c>
      <c r="Q4127">
        <v>3</v>
      </c>
      <c r="R4127">
        <v>629163</v>
      </c>
      <c r="S4127">
        <f>Table1[[#This Row],[Revenue]]-Table1[[#This Row],[Operating_Costs]]</f>
        <v>275159</v>
      </c>
      <c r="T4127">
        <v>354004</v>
      </c>
      <c r="U4127">
        <v>37</v>
      </c>
      <c r="V4127">
        <v>60</v>
      </c>
      <c r="W4127">
        <v>9.3000000000000007</v>
      </c>
    </row>
    <row r="4128" spans="1:23" x14ac:dyDescent="0.25">
      <c r="A4128">
        <v>13</v>
      </c>
      <c r="B4128" t="s">
        <v>30</v>
      </c>
      <c r="C4128" s="1">
        <v>44371</v>
      </c>
      <c r="D4128" t="s">
        <v>71</v>
      </c>
      <c r="E4128">
        <v>0</v>
      </c>
      <c r="F4128">
        <v>78</v>
      </c>
      <c r="G4128" t="str">
        <f t="shared" si="72"/>
        <v>61-80</v>
      </c>
      <c r="H4128" t="s">
        <v>23</v>
      </c>
      <c r="I4128" t="s">
        <v>50</v>
      </c>
      <c r="J4128" t="s">
        <v>51</v>
      </c>
      <c r="K4128" t="s">
        <v>42</v>
      </c>
      <c r="L4128">
        <v>1</v>
      </c>
      <c r="M4128">
        <v>1</v>
      </c>
      <c r="N4128">
        <v>2.8</v>
      </c>
      <c r="O4128">
        <v>9.1999999999999993</v>
      </c>
      <c r="P4128">
        <v>3</v>
      </c>
      <c r="Q4128">
        <v>3</v>
      </c>
      <c r="R4128">
        <v>637141</v>
      </c>
      <c r="S4128">
        <f>Table1[[#This Row],[Revenue]]-Table1[[#This Row],[Operating_Costs]]</f>
        <v>274057</v>
      </c>
      <c r="T4128">
        <v>363084</v>
      </c>
      <c r="U4128">
        <v>43</v>
      </c>
      <c r="V4128">
        <v>56</v>
      </c>
      <c r="W4128">
        <v>14.2</v>
      </c>
    </row>
    <row r="4129" spans="1:23" x14ac:dyDescent="0.25">
      <c r="A4129">
        <v>13</v>
      </c>
      <c r="B4129" t="s">
        <v>30</v>
      </c>
      <c r="C4129" s="1">
        <v>44969</v>
      </c>
      <c r="D4129" t="s">
        <v>71</v>
      </c>
      <c r="E4129">
        <v>0</v>
      </c>
      <c r="F4129">
        <v>39</v>
      </c>
      <c r="G4129" t="str">
        <f t="shared" si="72"/>
        <v>21-40</v>
      </c>
      <c r="H4129" t="s">
        <v>35</v>
      </c>
      <c r="I4129" t="s">
        <v>53</v>
      </c>
      <c r="J4129" t="s">
        <v>54</v>
      </c>
      <c r="K4129" t="s">
        <v>26</v>
      </c>
      <c r="L4129">
        <v>1</v>
      </c>
      <c r="M4129">
        <v>1</v>
      </c>
      <c r="N4129">
        <v>3.7</v>
      </c>
      <c r="O4129">
        <v>7.1</v>
      </c>
      <c r="P4129">
        <v>5</v>
      </c>
      <c r="Q4129">
        <v>5</v>
      </c>
      <c r="R4129">
        <v>781551</v>
      </c>
      <c r="S4129">
        <f>Table1[[#This Row],[Revenue]]-Table1[[#This Row],[Operating_Costs]]</f>
        <v>406429</v>
      </c>
      <c r="T4129">
        <v>375122</v>
      </c>
      <c r="U4129">
        <v>48</v>
      </c>
      <c r="V4129">
        <v>66</v>
      </c>
      <c r="W4129">
        <v>14.2</v>
      </c>
    </row>
    <row r="4130" spans="1:23" x14ac:dyDescent="0.25">
      <c r="A4130">
        <v>13</v>
      </c>
      <c r="B4130" t="s">
        <v>30</v>
      </c>
      <c r="C4130" s="1">
        <v>44377</v>
      </c>
      <c r="D4130" t="s">
        <v>71</v>
      </c>
      <c r="E4130">
        <v>0</v>
      </c>
      <c r="F4130">
        <v>29</v>
      </c>
      <c r="G4130" t="str">
        <f t="shared" si="72"/>
        <v>21-40</v>
      </c>
      <c r="H4130" t="s">
        <v>35</v>
      </c>
      <c r="I4130" t="s">
        <v>36</v>
      </c>
      <c r="J4130" t="s">
        <v>37</v>
      </c>
      <c r="K4130" t="s">
        <v>26</v>
      </c>
      <c r="L4130">
        <v>1</v>
      </c>
      <c r="M4130">
        <v>1</v>
      </c>
      <c r="N4130">
        <v>5.2</v>
      </c>
      <c r="O4130">
        <v>7.3</v>
      </c>
      <c r="P4130">
        <v>7</v>
      </c>
      <c r="Q4130">
        <v>6</v>
      </c>
      <c r="R4130">
        <v>477923</v>
      </c>
      <c r="S4130">
        <f>Table1[[#This Row],[Revenue]]-Table1[[#This Row],[Operating_Costs]]</f>
        <v>99115</v>
      </c>
      <c r="T4130">
        <v>378808</v>
      </c>
      <c r="U4130">
        <v>40</v>
      </c>
      <c r="V4130">
        <v>59</v>
      </c>
      <c r="W4130">
        <v>5.4</v>
      </c>
    </row>
    <row r="4131" spans="1:23" x14ac:dyDescent="0.25">
      <c r="A4131">
        <v>13</v>
      </c>
      <c r="B4131" t="s">
        <v>30</v>
      </c>
      <c r="C4131" s="1">
        <v>45097</v>
      </c>
      <c r="D4131" t="s">
        <v>71</v>
      </c>
      <c r="E4131">
        <v>0</v>
      </c>
      <c r="F4131">
        <v>64</v>
      </c>
      <c r="G4131" t="str">
        <f t="shared" si="72"/>
        <v>61-80</v>
      </c>
      <c r="H4131" t="s">
        <v>35</v>
      </c>
      <c r="I4131" t="s">
        <v>31</v>
      </c>
      <c r="J4131" t="s">
        <v>28</v>
      </c>
      <c r="K4131" t="s">
        <v>29</v>
      </c>
      <c r="L4131">
        <v>1</v>
      </c>
      <c r="M4131">
        <v>1</v>
      </c>
      <c r="N4131">
        <v>4.5</v>
      </c>
      <c r="O4131">
        <v>7.7</v>
      </c>
      <c r="P4131">
        <v>6</v>
      </c>
      <c r="Q4131">
        <v>4</v>
      </c>
      <c r="R4131">
        <v>436759</v>
      </c>
      <c r="S4131">
        <f>Table1[[#This Row],[Revenue]]-Table1[[#This Row],[Operating_Costs]]</f>
        <v>43349</v>
      </c>
      <c r="T4131">
        <v>393410</v>
      </c>
      <c r="U4131">
        <v>36</v>
      </c>
      <c r="V4131">
        <v>55</v>
      </c>
      <c r="W4131">
        <v>36.200000000000003</v>
      </c>
    </row>
    <row r="4132" spans="1:23" x14ac:dyDescent="0.25">
      <c r="A4132">
        <v>13</v>
      </c>
      <c r="B4132" t="s">
        <v>30</v>
      </c>
      <c r="C4132" s="1">
        <v>44784</v>
      </c>
      <c r="D4132" t="s">
        <v>71</v>
      </c>
      <c r="E4132">
        <v>0</v>
      </c>
      <c r="F4132">
        <v>76</v>
      </c>
      <c r="G4132" t="str">
        <f t="shared" si="72"/>
        <v>61-80</v>
      </c>
      <c r="H4132" t="s">
        <v>23</v>
      </c>
      <c r="I4132" t="s">
        <v>31</v>
      </c>
      <c r="J4132" t="s">
        <v>28</v>
      </c>
      <c r="K4132" t="s">
        <v>42</v>
      </c>
      <c r="L4132">
        <v>1</v>
      </c>
      <c r="M4132">
        <v>1</v>
      </c>
      <c r="N4132">
        <v>2.9</v>
      </c>
      <c r="O4132">
        <v>8.6</v>
      </c>
      <c r="P4132">
        <v>6</v>
      </c>
      <c r="Q4132">
        <v>6</v>
      </c>
      <c r="R4132">
        <v>697396</v>
      </c>
      <c r="S4132">
        <f>Table1[[#This Row],[Revenue]]-Table1[[#This Row],[Operating_Costs]]</f>
        <v>309549</v>
      </c>
      <c r="T4132">
        <v>387847</v>
      </c>
      <c r="U4132">
        <v>30</v>
      </c>
      <c r="V4132">
        <v>58</v>
      </c>
      <c r="W4132">
        <v>6.7</v>
      </c>
    </row>
    <row r="4133" spans="1:23" x14ac:dyDescent="0.25">
      <c r="A4133">
        <v>13</v>
      </c>
      <c r="B4133" t="s">
        <v>30</v>
      </c>
      <c r="C4133" s="1">
        <v>44835</v>
      </c>
      <c r="D4133" t="s">
        <v>71</v>
      </c>
      <c r="E4133">
        <v>0</v>
      </c>
      <c r="F4133">
        <v>80</v>
      </c>
      <c r="G4133" t="str">
        <f t="shared" si="72"/>
        <v>61-80</v>
      </c>
      <c r="H4133" t="s">
        <v>23</v>
      </c>
      <c r="I4133" t="s">
        <v>24</v>
      </c>
      <c r="J4133" t="s">
        <v>25</v>
      </c>
      <c r="K4133" t="s">
        <v>29</v>
      </c>
      <c r="L4133">
        <v>1</v>
      </c>
      <c r="M4133">
        <v>1</v>
      </c>
      <c r="N4133">
        <v>4.3</v>
      </c>
      <c r="O4133">
        <v>7.8</v>
      </c>
      <c r="P4133">
        <v>7</v>
      </c>
      <c r="Q4133">
        <v>7</v>
      </c>
      <c r="R4133">
        <v>534679</v>
      </c>
      <c r="S4133">
        <f>Table1[[#This Row],[Revenue]]-Table1[[#This Row],[Operating_Costs]]</f>
        <v>157633</v>
      </c>
      <c r="T4133">
        <v>377046</v>
      </c>
      <c r="U4133">
        <v>39</v>
      </c>
      <c r="V4133">
        <v>66</v>
      </c>
      <c r="W4133">
        <v>6.2</v>
      </c>
    </row>
    <row r="4134" spans="1:23" x14ac:dyDescent="0.25">
      <c r="A4134">
        <v>13</v>
      </c>
      <c r="B4134" t="s">
        <v>30</v>
      </c>
      <c r="C4134" s="1">
        <v>44438</v>
      </c>
      <c r="D4134" t="s">
        <v>71</v>
      </c>
      <c r="E4134">
        <v>0</v>
      </c>
      <c r="F4134">
        <v>35</v>
      </c>
      <c r="G4134" t="str">
        <f t="shared" si="72"/>
        <v>21-40</v>
      </c>
      <c r="H4134" t="s">
        <v>23</v>
      </c>
      <c r="I4134" t="s">
        <v>31</v>
      </c>
      <c r="J4134" t="s">
        <v>28</v>
      </c>
      <c r="K4134" t="s">
        <v>26</v>
      </c>
      <c r="L4134">
        <v>1</v>
      </c>
      <c r="M4134">
        <v>1</v>
      </c>
      <c r="N4134">
        <v>3</v>
      </c>
      <c r="O4134">
        <v>9.1</v>
      </c>
      <c r="P4134">
        <v>4</v>
      </c>
      <c r="Q4134">
        <v>5</v>
      </c>
      <c r="R4134">
        <v>483634</v>
      </c>
      <c r="S4134">
        <f>Table1[[#This Row],[Revenue]]-Table1[[#This Row],[Operating_Costs]]</f>
        <v>115065</v>
      </c>
      <c r="T4134">
        <v>368569</v>
      </c>
      <c r="U4134">
        <v>35</v>
      </c>
      <c r="V4134">
        <v>61</v>
      </c>
      <c r="W4134">
        <v>13.8</v>
      </c>
    </row>
    <row r="4135" spans="1:23" x14ac:dyDescent="0.25">
      <c r="A4135">
        <v>13</v>
      </c>
      <c r="B4135" t="s">
        <v>30</v>
      </c>
      <c r="C4135" s="1">
        <v>45043</v>
      </c>
      <c r="D4135" t="s">
        <v>71</v>
      </c>
      <c r="E4135">
        <v>0</v>
      </c>
      <c r="F4135">
        <v>28</v>
      </c>
      <c r="G4135" t="str">
        <f t="shared" si="72"/>
        <v>21-40</v>
      </c>
      <c r="H4135" t="s">
        <v>23</v>
      </c>
      <c r="I4135" t="s">
        <v>43</v>
      </c>
      <c r="J4135" t="s">
        <v>25</v>
      </c>
      <c r="K4135" t="s">
        <v>38</v>
      </c>
      <c r="L4135">
        <v>1</v>
      </c>
      <c r="M4135">
        <v>1</v>
      </c>
      <c r="N4135">
        <v>1.4</v>
      </c>
      <c r="O4135">
        <v>9.1</v>
      </c>
      <c r="P4135">
        <v>6</v>
      </c>
      <c r="Q4135">
        <v>4</v>
      </c>
      <c r="R4135">
        <v>536940</v>
      </c>
      <c r="S4135">
        <f>Table1[[#This Row],[Revenue]]-Table1[[#This Row],[Operating_Costs]]</f>
        <v>183411</v>
      </c>
      <c r="T4135">
        <v>353529</v>
      </c>
      <c r="U4135">
        <v>40</v>
      </c>
      <c r="V4135">
        <v>56</v>
      </c>
      <c r="W4135">
        <v>12</v>
      </c>
    </row>
    <row r="4136" spans="1:23" x14ac:dyDescent="0.25">
      <c r="A4136">
        <v>13</v>
      </c>
      <c r="B4136" t="s">
        <v>30</v>
      </c>
      <c r="C4136" s="1">
        <v>44545</v>
      </c>
      <c r="D4136" t="s">
        <v>71</v>
      </c>
      <c r="E4136">
        <v>0</v>
      </c>
      <c r="F4136">
        <v>66</v>
      </c>
      <c r="G4136" t="str">
        <f t="shared" si="72"/>
        <v>61-80</v>
      </c>
      <c r="H4136" t="s">
        <v>23</v>
      </c>
      <c r="I4136" t="s">
        <v>50</v>
      </c>
      <c r="J4136" t="s">
        <v>51</v>
      </c>
      <c r="K4136" t="s">
        <v>26</v>
      </c>
      <c r="L4136">
        <v>1</v>
      </c>
      <c r="M4136">
        <v>1</v>
      </c>
      <c r="N4136">
        <v>6.8</v>
      </c>
      <c r="O4136">
        <v>8.3000000000000007</v>
      </c>
      <c r="P4136">
        <v>4</v>
      </c>
      <c r="Q4136">
        <v>7</v>
      </c>
      <c r="R4136">
        <v>626684</v>
      </c>
      <c r="S4136">
        <f>Table1[[#This Row],[Revenue]]-Table1[[#This Row],[Operating_Costs]]</f>
        <v>255908</v>
      </c>
      <c r="T4136">
        <v>370776</v>
      </c>
      <c r="U4136">
        <v>33</v>
      </c>
      <c r="V4136">
        <v>60</v>
      </c>
      <c r="W4136">
        <v>7.5</v>
      </c>
    </row>
    <row r="4137" spans="1:23" x14ac:dyDescent="0.25">
      <c r="A4137">
        <v>13</v>
      </c>
      <c r="B4137" t="s">
        <v>30</v>
      </c>
      <c r="C4137" s="1">
        <v>44595</v>
      </c>
      <c r="D4137" t="s">
        <v>71</v>
      </c>
      <c r="E4137">
        <v>0</v>
      </c>
      <c r="F4137">
        <v>44</v>
      </c>
      <c r="G4137" t="str">
        <f t="shared" si="72"/>
        <v>41-60</v>
      </c>
      <c r="H4137" t="s">
        <v>23</v>
      </c>
      <c r="I4137" t="s">
        <v>55</v>
      </c>
      <c r="J4137" t="s">
        <v>56</v>
      </c>
      <c r="K4137" t="s">
        <v>42</v>
      </c>
      <c r="L4137">
        <v>1</v>
      </c>
      <c r="M4137">
        <v>1</v>
      </c>
      <c r="N4137">
        <v>6.8</v>
      </c>
      <c r="O4137">
        <v>9.6</v>
      </c>
      <c r="P4137">
        <v>5</v>
      </c>
      <c r="Q4137">
        <v>7</v>
      </c>
      <c r="R4137">
        <v>565994</v>
      </c>
      <c r="S4137">
        <f>Table1[[#This Row],[Revenue]]-Table1[[#This Row],[Operating_Costs]]</f>
        <v>163948</v>
      </c>
      <c r="T4137">
        <v>402046</v>
      </c>
      <c r="U4137">
        <v>33</v>
      </c>
      <c r="V4137">
        <v>65</v>
      </c>
      <c r="W4137">
        <v>12.3</v>
      </c>
    </row>
    <row r="4138" spans="1:23" x14ac:dyDescent="0.25">
      <c r="A4138">
        <v>13</v>
      </c>
      <c r="B4138" t="s">
        <v>30</v>
      </c>
      <c r="C4138" s="1">
        <v>44813</v>
      </c>
      <c r="D4138" t="s">
        <v>71</v>
      </c>
      <c r="E4138">
        <v>0</v>
      </c>
      <c r="F4138">
        <v>32</v>
      </c>
      <c r="G4138" t="str">
        <f t="shared" si="72"/>
        <v>21-40</v>
      </c>
      <c r="H4138" t="s">
        <v>23</v>
      </c>
      <c r="I4138" t="s">
        <v>61</v>
      </c>
      <c r="J4138" t="s">
        <v>62</v>
      </c>
      <c r="K4138" t="s">
        <v>26</v>
      </c>
      <c r="L4138">
        <v>1</v>
      </c>
      <c r="M4138">
        <v>1</v>
      </c>
      <c r="N4138">
        <v>3.9</v>
      </c>
      <c r="O4138">
        <v>7.4</v>
      </c>
      <c r="P4138">
        <v>5</v>
      </c>
      <c r="Q4138">
        <v>3</v>
      </c>
      <c r="R4138">
        <v>691778</v>
      </c>
      <c r="S4138">
        <f>Table1[[#This Row],[Revenue]]-Table1[[#This Row],[Operating_Costs]]</f>
        <v>327699</v>
      </c>
      <c r="T4138">
        <v>364079</v>
      </c>
      <c r="U4138">
        <v>47</v>
      </c>
      <c r="V4138">
        <v>57</v>
      </c>
      <c r="W4138">
        <v>10.7</v>
      </c>
    </row>
    <row r="4139" spans="1:23" x14ac:dyDescent="0.25">
      <c r="A4139">
        <v>13</v>
      </c>
      <c r="B4139" t="s">
        <v>30</v>
      </c>
      <c r="C4139" s="1">
        <v>44794</v>
      </c>
      <c r="D4139" t="s">
        <v>71</v>
      </c>
      <c r="E4139">
        <v>0</v>
      </c>
      <c r="F4139">
        <v>49</v>
      </c>
      <c r="G4139" t="str">
        <f t="shared" si="72"/>
        <v>41-60</v>
      </c>
      <c r="H4139" t="s">
        <v>23</v>
      </c>
      <c r="I4139" t="s">
        <v>64</v>
      </c>
      <c r="J4139" t="s">
        <v>65</v>
      </c>
      <c r="K4139" t="s">
        <v>29</v>
      </c>
      <c r="L4139">
        <v>1</v>
      </c>
      <c r="M4139">
        <v>1</v>
      </c>
      <c r="N4139">
        <v>4.7</v>
      </c>
      <c r="O4139">
        <v>8</v>
      </c>
      <c r="P4139">
        <v>3</v>
      </c>
      <c r="Q4139">
        <v>4</v>
      </c>
      <c r="R4139">
        <v>658845</v>
      </c>
      <c r="S4139">
        <f>Table1[[#This Row],[Revenue]]-Table1[[#This Row],[Operating_Costs]]</f>
        <v>290247</v>
      </c>
      <c r="T4139">
        <v>368598</v>
      </c>
      <c r="U4139">
        <v>37</v>
      </c>
      <c r="V4139">
        <v>64</v>
      </c>
      <c r="W4139">
        <v>7.3</v>
      </c>
    </row>
    <row r="4140" spans="1:23" x14ac:dyDescent="0.25">
      <c r="A4140">
        <v>13</v>
      </c>
      <c r="B4140" t="s">
        <v>30</v>
      </c>
      <c r="C4140" s="1">
        <v>44640</v>
      </c>
      <c r="D4140" t="s">
        <v>71</v>
      </c>
      <c r="E4140">
        <v>0</v>
      </c>
      <c r="F4140">
        <v>76</v>
      </c>
      <c r="G4140" t="str">
        <f t="shared" si="72"/>
        <v>61-80</v>
      </c>
      <c r="H4140" t="s">
        <v>35</v>
      </c>
      <c r="I4140" t="s">
        <v>46</v>
      </c>
      <c r="J4140" t="s">
        <v>47</v>
      </c>
      <c r="K4140" t="s">
        <v>42</v>
      </c>
      <c r="L4140">
        <v>1</v>
      </c>
      <c r="M4140">
        <v>1</v>
      </c>
      <c r="N4140">
        <v>2.2000000000000002</v>
      </c>
      <c r="O4140">
        <v>8.6999999999999993</v>
      </c>
      <c r="P4140">
        <v>3</v>
      </c>
      <c r="Q4140">
        <v>6</v>
      </c>
      <c r="R4140">
        <v>533813</v>
      </c>
      <c r="S4140">
        <f>Table1[[#This Row],[Revenue]]-Table1[[#This Row],[Operating_Costs]]</f>
        <v>128556</v>
      </c>
      <c r="T4140">
        <v>405257</v>
      </c>
      <c r="U4140">
        <v>46</v>
      </c>
      <c r="V4140">
        <v>64</v>
      </c>
      <c r="W4140">
        <v>36.5</v>
      </c>
    </row>
    <row r="4141" spans="1:23" x14ac:dyDescent="0.25">
      <c r="A4141">
        <v>13</v>
      </c>
      <c r="B4141" t="s">
        <v>30</v>
      </c>
      <c r="C4141" s="1">
        <v>45473</v>
      </c>
      <c r="D4141" t="s">
        <v>71</v>
      </c>
      <c r="E4141">
        <v>0</v>
      </c>
      <c r="F4141">
        <v>21</v>
      </c>
      <c r="G4141" t="str">
        <f t="shared" si="72"/>
        <v>21-40</v>
      </c>
      <c r="H4141" t="s">
        <v>23</v>
      </c>
      <c r="I4141" t="s">
        <v>43</v>
      </c>
      <c r="J4141" t="s">
        <v>25</v>
      </c>
      <c r="K4141" t="s">
        <v>26</v>
      </c>
      <c r="L4141">
        <v>1</v>
      </c>
      <c r="M4141">
        <v>1</v>
      </c>
      <c r="N4141">
        <v>3.6</v>
      </c>
      <c r="O4141">
        <v>7.2</v>
      </c>
      <c r="P4141">
        <v>6</v>
      </c>
      <c r="Q4141">
        <v>7</v>
      </c>
      <c r="R4141">
        <v>728730</v>
      </c>
      <c r="S4141">
        <f>Table1[[#This Row],[Revenue]]-Table1[[#This Row],[Operating_Costs]]</f>
        <v>338335</v>
      </c>
      <c r="T4141">
        <v>390395</v>
      </c>
      <c r="U4141">
        <v>33</v>
      </c>
      <c r="V4141">
        <v>56</v>
      </c>
      <c r="W4141">
        <v>9.4</v>
      </c>
    </row>
    <row r="4142" spans="1:23" x14ac:dyDescent="0.25">
      <c r="A4142">
        <v>13</v>
      </c>
      <c r="B4142" t="s">
        <v>30</v>
      </c>
      <c r="C4142" s="1">
        <v>45276</v>
      </c>
      <c r="D4142" t="s">
        <v>71</v>
      </c>
      <c r="E4142">
        <v>0</v>
      </c>
      <c r="F4142">
        <v>90</v>
      </c>
      <c r="G4142" t="str">
        <f t="shared" si="72"/>
        <v>81+</v>
      </c>
      <c r="H4142" t="s">
        <v>35</v>
      </c>
      <c r="I4142" t="s">
        <v>36</v>
      </c>
      <c r="J4142" t="s">
        <v>37</v>
      </c>
      <c r="K4142" t="s">
        <v>29</v>
      </c>
      <c r="L4142">
        <v>1</v>
      </c>
      <c r="M4142">
        <v>1</v>
      </c>
      <c r="N4142">
        <v>5.6</v>
      </c>
      <c r="O4142">
        <v>7.5</v>
      </c>
      <c r="P4142">
        <v>7</v>
      </c>
      <c r="Q4142">
        <v>3</v>
      </c>
      <c r="R4142">
        <v>591924</v>
      </c>
      <c r="S4142">
        <f>Table1[[#This Row],[Revenue]]-Table1[[#This Row],[Operating_Costs]]</f>
        <v>225937</v>
      </c>
      <c r="T4142">
        <v>365987</v>
      </c>
      <c r="U4142">
        <v>40</v>
      </c>
      <c r="V4142">
        <v>60</v>
      </c>
      <c r="W4142">
        <v>8.8000000000000007</v>
      </c>
    </row>
    <row r="4143" spans="1:23" x14ac:dyDescent="0.25">
      <c r="A4143">
        <v>13</v>
      </c>
      <c r="B4143" t="s">
        <v>30</v>
      </c>
      <c r="C4143" s="1">
        <v>44402</v>
      </c>
      <c r="D4143" t="s">
        <v>71</v>
      </c>
      <c r="E4143">
        <v>0</v>
      </c>
      <c r="F4143">
        <v>64</v>
      </c>
      <c r="G4143" t="str">
        <f t="shared" si="72"/>
        <v>61-80</v>
      </c>
      <c r="H4143" t="s">
        <v>35</v>
      </c>
      <c r="I4143" t="s">
        <v>53</v>
      </c>
      <c r="J4143" t="s">
        <v>54</v>
      </c>
      <c r="K4143" t="s">
        <v>42</v>
      </c>
      <c r="L4143">
        <v>1</v>
      </c>
      <c r="M4143">
        <v>1</v>
      </c>
      <c r="N4143">
        <v>2.4</v>
      </c>
      <c r="O4143">
        <v>7.2</v>
      </c>
      <c r="P4143">
        <v>4</v>
      </c>
      <c r="Q4143">
        <v>6</v>
      </c>
      <c r="R4143">
        <v>758724</v>
      </c>
      <c r="S4143">
        <f>Table1[[#This Row],[Revenue]]-Table1[[#This Row],[Operating_Costs]]</f>
        <v>378563</v>
      </c>
      <c r="T4143">
        <v>380161</v>
      </c>
      <c r="U4143">
        <v>47</v>
      </c>
      <c r="V4143">
        <v>62</v>
      </c>
      <c r="W4143">
        <v>36.200000000000003</v>
      </c>
    </row>
    <row r="4144" spans="1:23" x14ac:dyDescent="0.25">
      <c r="A4144">
        <v>13</v>
      </c>
      <c r="B4144" t="s">
        <v>30</v>
      </c>
      <c r="C4144" s="1">
        <v>44276</v>
      </c>
      <c r="D4144" t="s">
        <v>71</v>
      </c>
      <c r="E4144">
        <v>0</v>
      </c>
      <c r="F4144">
        <v>27</v>
      </c>
      <c r="G4144" t="str">
        <f t="shared" si="72"/>
        <v>21-40</v>
      </c>
      <c r="H4144" t="s">
        <v>23</v>
      </c>
      <c r="I4144" t="s">
        <v>40</v>
      </c>
      <c r="J4144" t="s">
        <v>41</v>
      </c>
      <c r="K4144" t="s">
        <v>26</v>
      </c>
      <c r="L4144">
        <v>1</v>
      </c>
      <c r="M4144">
        <v>1</v>
      </c>
      <c r="N4144">
        <v>2.9</v>
      </c>
      <c r="O4144">
        <v>7</v>
      </c>
      <c r="P4144">
        <v>3</v>
      </c>
      <c r="Q4144">
        <v>6</v>
      </c>
      <c r="R4144">
        <v>729768</v>
      </c>
      <c r="S4144">
        <f>Table1[[#This Row],[Revenue]]-Table1[[#This Row],[Operating_Costs]]</f>
        <v>374632</v>
      </c>
      <c r="T4144">
        <v>355136</v>
      </c>
      <c r="U4144">
        <v>40</v>
      </c>
      <c r="V4144">
        <v>65</v>
      </c>
      <c r="W4144">
        <v>13.4</v>
      </c>
    </row>
    <row r="4145" spans="1:23" x14ac:dyDescent="0.25">
      <c r="A4145">
        <v>13</v>
      </c>
      <c r="B4145" t="s">
        <v>30</v>
      </c>
      <c r="C4145" s="1">
        <v>45152</v>
      </c>
      <c r="D4145" t="s">
        <v>71</v>
      </c>
      <c r="E4145">
        <v>0</v>
      </c>
      <c r="F4145">
        <v>71</v>
      </c>
      <c r="G4145" t="str">
        <f t="shared" si="72"/>
        <v>61-80</v>
      </c>
      <c r="H4145" t="s">
        <v>35</v>
      </c>
      <c r="I4145" t="s">
        <v>36</v>
      </c>
      <c r="J4145" t="s">
        <v>37</v>
      </c>
      <c r="K4145" t="s">
        <v>38</v>
      </c>
      <c r="L4145">
        <v>1</v>
      </c>
      <c r="M4145">
        <v>1</v>
      </c>
      <c r="N4145">
        <v>5.3</v>
      </c>
      <c r="O4145">
        <v>7.2</v>
      </c>
      <c r="P4145">
        <v>6</v>
      </c>
      <c r="Q4145">
        <v>7</v>
      </c>
      <c r="R4145">
        <v>755323</v>
      </c>
      <c r="S4145">
        <f>Table1[[#This Row],[Revenue]]-Table1[[#This Row],[Operating_Costs]]</f>
        <v>366896</v>
      </c>
      <c r="T4145">
        <v>388427</v>
      </c>
      <c r="U4145">
        <v>46</v>
      </c>
      <c r="V4145">
        <v>59</v>
      </c>
      <c r="W4145">
        <v>9.1</v>
      </c>
    </row>
    <row r="4146" spans="1:23" x14ac:dyDescent="0.25">
      <c r="A4146">
        <v>13</v>
      </c>
      <c r="B4146" t="s">
        <v>30</v>
      </c>
      <c r="C4146" s="1">
        <v>44320</v>
      </c>
      <c r="D4146" t="s">
        <v>71</v>
      </c>
      <c r="E4146">
        <v>0</v>
      </c>
      <c r="F4146">
        <v>74</v>
      </c>
      <c r="G4146" t="str">
        <f t="shared" si="72"/>
        <v>61-80</v>
      </c>
      <c r="H4146" t="s">
        <v>35</v>
      </c>
      <c r="I4146" t="s">
        <v>58</v>
      </c>
      <c r="J4146" t="s">
        <v>59</v>
      </c>
      <c r="K4146" t="s">
        <v>29</v>
      </c>
      <c r="L4146">
        <v>1</v>
      </c>
      <c r="M4146">
        <v>1</v>
      </c>
      <c r="N4146">
        <v>6.1</v>
      </c>
      <c r="O4146">
        <v>9.9</v>
      </c>
      <c r="P4146">
        <v>6</v>
      </c>
      <c r="Q4146">
        <v>6</v>
      </c>
      <c r="R4146">
        <v>703447</v>
      </c>
      <c r="S4146">
        <f>Table1[[#This Row],[Revenue]]-Table1[[#This Row],[Operating_Costs]]</f>
        <v>334081</v>
      </c>
      <c r="T4146">
        <v>369366</v>
      </c>
      <c r="U4146">
        <v>32</v>
      </c>
      <c r="V4146">
        <v>57</v>
      </c>
      <c r="W4146">
        <v>6.1</v>
      </c>
    </row>
    <row r="4147" spans="1:23" x14ac:dyDescent="0.25">
      <c r="A4147">
        <v>13</v>
      </c>
      <c r="B4147" t="s">
        <v>30</v>
      </c>
      <c r="C4147" s="1">
        <v>45507</v>
      </c>
      <c r="D4147" t="s">
        <v>71</v>
      </c>
      <c r="E4147">
        <v>0</v>
      </c>
      <c r="F4147">
        <v>39</v>
      </c>
      <c r="G4147" t="str">
        <f t="shared" si="72"/>
        <v>21-40</v>
      </c>
      <c r="H4147" t="s">
        <v>35</v>
      </c>
      <c r="I4147" t="s">
        <v>60</v>
      </c>
      <c r="J4147" t="s">
        <v>59</v>
      </c>
      <c r="K4147" t="s">
        <v>33</v>
      </c>
      <c r="L4147">
        <v>1</v>
      </c>
      <c r="M4147">
        <v>1</v>
      </c>
      <c r="N4147">
        <v>6.4</v>
      </c>
      <c r="O4147">
        <v>7.7</v>
      </c>
      <c r="P4147">
        <v>6</v>
      </c>
      <c r="Q4147">
        <v>4</v>
      </c>
      <c r="R4147">
        <v>443793</v>
      </c>
      <c r="S4147">
        <f>Table1[[#This Row],[Revenue]]-Table1[[#This Row],[Operating_Costs]]</f>
        <v>79221</v>
      </c>
      <c r="T4147">
        <v>364572</v>
      </c>
      <c r="U4147">
        <v>34</v>
      </c>
      <c r="V4147">
        <v>58</v>
      </c>
      <c r="W4147">
        <v>6.3</v>
      </c>
    </row>
    <row r="4148" spans="1:23" x14ac:dyDescent="0.25">
      <c r="A4148">
        <v>13</v>
      </c>
      <c r="B4148" t="s">
        <v>30</v>
      </c>
      <c r="C4148" s="1">
        <v>45412</v>
      </c>
      <c r="D4148" t="s">
        <v>71</v>
      </c>
      <c r="E4148">
        <v>0</v>
      </c>
      <c r="F4148">
        <v>31</v>
      </c>
      <c r="G4148" t="str">
        <f t="shared" si="72"/>
        <v>21-40</v>
      </c>
      <c r="H4148" t="s">
        <v>35</v>
      </c>
      <c r="I4148" t="s">
        <v>36</v>
      </c>
      <c r="J4148" t="s">
        <v>37</v>
      </c>
      <c r="K4148" t="s">
        <v>26</v>
      </c>
      <c r="L4148">
        <v>1</v>
      </c>
      <c r="M4148">
        <v>1</v>
      </c>
      <c r="N4148">
        <v>3</v>
      </c>
      <c r="O4148">
        <v>9.6999999999999993</v>
      </c>
      <c r="P4148">
        <v>6</v>
      </c>
      <c r="Q4148">
        <v>3</v>
      </c>
      <c r="R4148">
        <v>472052</v>
      </c>
      <c r="S4148">
        <f>Table1[[#This Row],[Revenue]]-Table1[[#This Row],[Operating_Costs]]</f>
        <v>64915</v>
      </c>
      <c r="T4148">
        <v>407137</v>
      </c>
      <c r="U4148">
        <v>39</v>
      </c>
      <c r="V4148">
        <v>55</v>
      </c>
      <c r="W4148">
        <v>7.7</v>
      </c>
    </row>
    <row r="4149" spans="1:23" x14ac:dyDescent="0.25">
      <c r="A4149">
        <v>13</v>
      </c>
      <c r="B4149" t="s">
        <v>30</v>
      </c>
      <c r="C4149" s="1">
        <v>45480</v>
      </c>
      <c r="D4149" t="s">
        <v>71</v>
      </c>
      <c r="E4149">
        <v>0</v>
      </c>
      <c r="F4149">
        <v>29</v>
      </c>
      <c r="G4149" t="str">
        <f t="shared" si="72"/>
        <v>21-40</v>
      </c>
      <c r="H4149" t="s">
        <v>23</v>
      </c>
      <c r="I4149" t="s">
        <v>55</v>
      </c>
      <c r="J4149" t="s">
        <v>56</v>
      </c>
      <c r="K4149" t="s">
        <v>29</v>
      </c>
      <c r="L4149">
        <v>1</v>
      </c>
      <c r="M4149">
        <v>1</v>
      </c>
      <c r="N4149">
        <v>5.5</v>
      </c>
      <c r="O4149">
        <v>9.9</v>
      </c>
      <c r="P4149">
        <v>4</v>
      </c>
      <c r="Q4149">
        <v>4</v>
      </c>
      <c r="R4149">
        <v>448591</v>
      </c>
      <c r="S4149">
        <f>Table1[[#This Row],[Revenue]]-Table1[[#This Row],[Operating_Costs]]</f>
        <v>79355</v>
      </c>
      <c r="T4149">
        <v>369236</v>
      </c>
      <c r="U4149">
        <v>49</v>
      </c>
      <c r="V4149">
        <v>57</v>
      </c>
      <c r="W4149">
        <v>5.9</v>
      </c>
    </row>
    <row r="4150" spans="1:23" x14ac:dyDescent="0.25">
      <c r="A4150">
        <v>13</v>
      </c>
      <c r="B4150" t="s">
        <v>30</v>
      </c>
      <c r="C4150" s="1">
        <v>44406</v>
      </c>
      <c r="D4150" t="s">
        <v>71</v>
      </c>
      <c r="E4150">
        <v>0</v>
      </c>
      <c r="F4150">
        <v>37</v>
      </c>
      <c r="G4150" t="str">
        <f t="shared" si="72"/>
        <v>21-40</v>
      </c>
      <c r="H4150" t="s">
        <v>23</v>
      </c>
      <c r="I4150" t="s">
        <v>58</v>
      </c>
      <c r="J4150" t="s">
        <v>59</v>
      </c>
      <c r="K4150" t="s">
        <v>42</v>
      </c>
      <c r="L4150">
        <v>1</v>
      </c>
      <c r="M4150">
        <v>1</v>
      </c>
      <c r="N4150">
        <v>1.4</v>
      </c>
      <c r="O4150">
        <v>9.3000000000000007</v>
      </c>
      <c r="P4150">
        <v>3</v>
      </c>
      <c r="Q4150">
        <v>3</v>
      </c>
      <c r="R4150">
        <v>776957</v>
      </c>
      <c r="S4150">
        <f>Table1[[#This Row],[Revenue]]-Table1[[#This Row],[Operating_Costs]]</f>
        <v>402437</v>
      </c>
      <c r="T4150">
        <v>374520</v>
      </c>
      <c r="U4150">
        <v>47</v>
      </c>
      <c r="V4150">
        <v>56</v>
      </c>
      <c r="W4150">
        <v>7.3</v>
      </c>
    </row>
    <row r="4151" spans="1:23" x14ac:dyDescent="0.25">
      <c r="A4151">
        <v>13</v>
      </c>
      <c r="B4151" t="s">
        <v>30</v>
      </c>
      <c r="C4151" s="1">
        <v>44777</v>
      </c>
      <c r="D4151" t="s">
        <v>71</v>
      </c>
      <c r="E4151">
        <v>0</v>
      </c>
      <c r="F4151">
        <v>43</v>
      </c>
      <c r="G4151" t="str">
        <f t="shared" si="72"/>
        <v>41-60</v>
      </c>
      <c r="H4151" t="s">
        <v>35</v>
      </c>
      <c r="I4151" t="s">
        <v>36</v>
      </c>
      <c r="J4151" t="s">
        <v>37</v>
      </c>
      <c r="K4151" t="s">
        <v>29</v>
      </c>
      <c r="L4151">
        <v>1</v>
      </c>
      <c r="M4151">
        <v>1</v>
      </c>
      <c r="N4151">
        <v>2.8</v>
      </c>
      <c r="O4151">
        <v>9.4</v>
      </c>
      <c r="P4151">
        <v>7</v>
      </c>
      <c r="Q4151">
        <v>7</v>
      </c>
      <c r="R4151">
        <v>649252</v>
      </c>
      <c r="S4151">
        <f>Table1[[#This Row],[Revenue]]-Table1[[#This Row],[Operating_Costs]]</f>
        <v>272629</v>
      </c>
      <c r="T4151">
        <v>376623</v>
      </c>
      <c r="U4151">
        <v>38</v>
      </c>
      <c r="V4151">
        <v>63</v>
      </c>
      <c r="W4151">
        <v>36.700000000000003</v>
      </c>
    </row>
    <row r="4152" spans="1:23" x14ac:dyDescent="0.25">
      <c r="A4152">
        <v>13</v>
      </c>
      <c r="B4152" t="s">
        <v>30</v>
      </c>
      <c r="C4152" s="1">
        <v>44312</v>
      </c>
      <c r="D4152" t="s">
        <v>71</v>
      </c>
      <c r="E4152">
        <v>0</v>
      </c>
      <c r="F4152">
        <v>67</v>
      </c>
      <c r="G4152" t="str">
        <f t="shared" si="72"/>
        <v>61-80</v>
      </c>
      <c r="H4152" t="s">
        <v>23</v>
      </c>
      <c r="I4152" t="s">
        <v>43</v>
      </c>
      <c r="J4152" t="s">
        <v>25</v>
      </c>
      <c r="K4152" t="s">
        <v>42</v>
      </c>
      <c r="L4152">
        <v>1</v>
      </c>
      <c r="M4152">
        <v>1</v>
      </c>
      <c r="N4152">
        <v>4.5</v>
      </c>
      <c r="O4152">
        <v>8.3000000000000007</v>
      </c>
      <c r="P4152">
        <v>6</v>
      </c>
      <c r="Q4152">
        <v>7</v>
      </c>
      <c r="R4152">
        <v>730253</v>
      </c>
      <c r="S4152">
        <f>Table1[[#This Row],[Revenue]]-Table1[[#This Row],[Operating_Costs]]</f>
        <v>347754</v>
      </c>
      <c r="T4152">
        <v>382499</v>
      </c>
      <c r="U4152">
        <v>37</v>
      </c>
      <c r="V4152">
        <v>59</v>
      </c>
      <c r="W4152">
        <v>6.2</v>
      </c>
    </row>
    <row r="4153" spans="1:23" x14ac:dyDescent="0.25">
      <c r="A4153">
        <v>13</v>
      </c>
      <c r="B4153" t="s">
        <v>30</v>
      </c>
      <c r="C4153" s="1">
        <v>45169</v>
      </c>
      <c r="D4153" t="s">
        <v>71</v>
      </c>
      <c r="E4153">
        <v>0</v>
      </c>
      <c r="F4153">
        <v>42</v>
      </c>
      <c r="G4153" t="str">
        <f t="shared" si="72"/>
        <v>41-60</v>
      </c>
      <c r="H4153" t="s">
        <v>35</v>
      </c>
      <c r="I4153" t="s">
        <v>46</v>
      </c>
      <c r="J4153" t="s">
        <v>47</v>
      </c>
      <c r="K4153" t="s">
        <v>42</v>
      </c>
      <c r="L4153">
        <v>1</v>
      </c>
      <c r="M4153">
        <v>1</v>
      </c>
      <c r="N4153">
        <v>2.2000000000000002</v>
      </c>
      <c r="O4153">
        <v>8.1</v>
      </c>
      <c r="P4153">
        <v>3</v>
      </c>
      <c r="Q4153">
        <v>6</v>
      </c>
      <c r="R4153">
        <v>468065</v>
      </c>
      <c r="S4153">
        <f>Table1[[#This Row],[Revenue]]-Table1[[#This Row],[Operating_Costs]]</f>
        <v>113095</v>
      </c>
      <c r="T4153">
        <v>354970</v>
      </c>
      <c r="U4153">
        <v>47</v>
      </c>
      <c r="V4153">
        <v>55</v>
      </c>
      <c r="W4153">
        <v>8.3000000000000007</v>
      </c>
    </row>
    <row r="4154" spans="1:23" x14ac:dyDescent="0.25">
      <c r="A4154">
        <v>13</v>
      </c>
      <c r="B4154" t="s">
        <v>30</v>
      </c>
      <c r="C4154" s="1">
        <v>44479</v>
      </c>
      <c r="D4154" t="s">
        <v>71</v>
      </c>
      <c r="E4154">
        <v>0</v>
      </c>
      <c r="F4154">
        <v>49</v>
      </c>
      <c r="G4154" t="str">
        <f t="shared" si="72"/>
        <v>41-60</v>
      </c>
      <c r="H4154" t="s">
        <v>23</v>
      </c>
      <c r="I4154" t="s">
        <v>67</v>
      </c>
      <c r="J4154" t="s">
        <v>68</v>
      </c>
      <c r="K4154" t="s">
        <v>26</v>
      </c>
      <c r="L4154">
        <v>1</v>
      </c>
      <c r="M4154">
        <v>1</v>
      </c>
      <c r="N4154">
        <v>2.6</v>
      </c>
      <c r="O4154">
        <v>8.4</v>
      </c>
      <c r="P4154">
        <v>3</v>
      </c>
      <c r="Q4154">
        <v>4</v>
      </c>
      <c r="R4154">
        <v>718434</v>
      </c>
      <c r="S4154">
        <f>Table1[[#This Row],[Revenue]]-Table1[[#This Row],[Operating_Costs]]</f>
        <v>360726</v>
      </c>
      <c r="T4154">
        <v>357708</v>
      </c>
      <c r="U4154">
        <v>31</v>
      </c>
      <c r="V4154">
        <v>66</v>
      </c>
      <c r="W4154">
        <v>14.7</v>
      </c>
    </row>
    <row r="4155" spans="1:23" x14ac:dyDescent="0.25">
      <c r="A4155">
        <v>13</v>
      </c>
      <c r="B4155" t="s">
        <v>30</v>
      </c>
      <c r="C4155" s="1">
        <v>45265</v>
      </c>
      <c r="D4155" t="s">
        <v>71</v>
      </c>
      <c r="E4155">
        <v>0</v>
      </c>
      <c r="F4155">
        <v>71</v>
      </c>
      <c r="G4155" t="str">
        <f t="shared" si="72"/>
        <v>61-80</v>
      </c>
      <c r="H4155" t="s">
        <v>35</v>
      </c>
      <c r="I4155" t="s">
        <v>61</v>
      </c>
      <c r="J4155" t="s">
        <v>62</v>
      </c>
      <c r="K4155" t="s">
        <v>26</v>
      </c>
      <c r="L4155">
        <v>1</v>
      </c>
      <c r="M4155">
        <v>1</v>
      </c>
      <c r="N4155">
        <v>3.2</v>
      </c>
      <c r="O4155">
        <v>8.8000000000000007</v>
      </c>
      <c r="P4155">
        <v>6</v>
      </c>
      <c r="Q4155">
        <v>3</v>
      </c>
      <c r="R4155">
        <v>679226</v>
      </c>
      <c r="S4155">
        <f>Table1[[#This Row],[Revenue]]-Table1[[#This Row],[Operating_Costs]]</f>
        <v>320079</v>
      </c>
      <c r="T4155">
        <v>359147</v>
      </c>
      <c r="U4155">
        <v>46</v>
      </c>
      <c r="V4155">
        <v>66</v>
      </c>
      <c r="W4155">
        <v>7.6</v>
      </c>
    </row>
    <row r="4156" spans="1:23" x14ac:dyDescent="0.25">
      <c r="A4156">
        <v>13</v>
      </c>
      <c r="B4156" t="s">
        <v>30</v>
      </c>
      <c r="C4156" s="1">
        <v>44388</v>
      </c>
      <c r="D4156" t="s">
        <v>71</v>
      </c>
      <c r="E4156">
        <v>0</v>
      </c>
      <c r="F4156">
        <v>33</v>
      </c>
      <c r="G4156" t="str">
        <f t="shared" si="72"/>
        <v>21-40</v>
      </c>
      <c r="H4156" t="s">
        <v>23</v>
      </c>
      <c r="I4156" t="s">
        <v>50</v>
      </c>
      <c r="J4156" t="s">
        <v>51</v>
      </c>
      <c r="K4156" t="s">
        <v>29</v>
      </c>
      <c r="L4156">
        <v>1</v>
      </c>
      <c r="M4156">
        <v>1</v>
      </c>
      <c r="N4156">
        <v>2.8</v>
      </c>
      <c r="O4156">
        <v>7.5</v>
      </c>
      <c r="P4156">
        <v>6</v>
      </c>
      <c r="Q4156">
        <v>7</v>
      </c>
      <c r="R4156">
        <v>760801</v>
      </c>
      <c r="S4156">
        <f>Table1[[#This Row],[Revenue]]-Table1[[#This Row],[Operating_Costs]]</f>
        <v>381843</v>
      </c>
      <c r="T4156">
        <v>378958</v>
      </c>
      <c r="U4156">
        <v>44</v>
      </c>
      <c r="V4156">
        <v>59</v>
      </c>
      <c r="W4156">
        <v>10</v>
      </c>
    </row>
    <row r="4157" spans="1:23" x14ac:dyDescent="0.25">
      <c r="A4157">
        <v>13</v>
      </c>
      <c r="B4157" t="s">
        <v>30</v>
      </c>
      <c r="C4157" s="1">
        <v>44998</v>
      </c>
      <c r="D4157" t="s">
        <v>71</v>
      </c>
      <c r="E4157">
        <v>0</v>
      </c>
      <c r="F4157">
        <v>28</v>
      </c>
      <c r="G4157" t="str">
        <f t="shared" si="72"/>
        <v>21-40</v>
      </c>
      <c r="H4157" t="s">
        <v>35</v>
      </c>
      <c r="I4157" t="s">
        <v>61</v>
      </c>
      <c r="J4157" t="s">
        <v>62</v>
      </c>
      <c r="K4157" t="s">
        <v>38</v>
      </c>
      <c r="L4157">
        <v>1</v>
      </c>
      <c r="M4157">
        <v>1</v>
      </c>
      <c r="N4157">
        <v>4.5999999999999996</v>
      </c>
      <c r="O4157">
        <v>8.6</v>
      </c>
      <c r="P4157">
        <v>6</v>
      </c>
      <c r="Q4157">
        <v>4</v>
      </c>
      <c r="R4157">
        <v>716524</v>
      </c>
      <c r="S4157">
        <f>Table1[[#This Row],[Revenue]]-Table1[[#This Row],[Operating_Costs]]</f>
        <v>316983</v>
      </c>
      <c r="T4157">
        <v>399541</v>
      </c>
      <c r="U4157">
        <v>38</v>
      </c>
      <c r="V4157">
        <v>65</v>
      </c>
      <c r="W4157">
        <v>14.7</v>
      </c>
    </row>
    <row r="4158" spans="1:23" x14ac:dyDescent="0.25">
      <c r="A4158">
        <v>13</v>
      </c>
      <c r="B4158" t="s">
        <v>30</v>
      </c>
      <c r="C4158" s="1">
        <v>44617</v>
      </c>
      <c r="D4158" t="s">
        <v>71</v>
      </c>
      <c r="E4158">
        <v>0</v>
      </c>
      <c r="F4158">
        <v>77</v>
      </c>
      <c r="G4158" t="str">
        <f t="shared" si="72"/>
        <v>61-80</v>
      </c>
      <c r="H4158" t="s">
        <v>35</v>
      </c>
      <c r="I4158" t="s">
        <v>40</v>
      </c>
      <c r="J4158" t="s">
        <v>41</v>
      </c>
      <c r="K4158" t="s">
        <v>26</v>
      </c>
      <c r="L4158">
        <v>1</v>
      </c>
      <c r="M4158">
        <v>1</v>
      </c>
      <c r="N4158">
        <v>2</v>
      </c>
      <c r="O4158">
        <v>8.3000000000000007</v>
      </c>
      <c r="P4158">
        <v>7</v>
      </c>
      <c r="Q4158">
        <v>6</v>
      </c>
      <c r="R4158">
        <v>654791</v>
      </c>
      <c r="S4158">
        <f>Table1[[#This Row],[Revenue]]-Table1[[#This Row],[Operating_Costs]]</f>
        <v>253728</v>
      </c>
      <c r="T4158">
        <v>401063</v>
      </c>
      <c r="U4158">
        <v>36</v>
      </c>
      <c r="V4158">
        <v>63</v>
      </c>
      <c r="W4158">
        <v>6.8</v>
      </c>
    </row>
    <row r="4159" spans="1:23" x14ac:dyDescent="0.25">
      <c r="A4159">
        <v>13</v>
      </c>
      <c r="B4159" t="s">
        <v>30</v>
      </c>
      <c r="C4159" s="1">
        <v>44695</v>
      </c>
      <c r="D4159" t="s">
        <v>71</v>
      </c>
      <c r="E4159">
        <v>0</v>
      </c>
      <c r="F4159">
        <v>37</v>
      </c>
      <c r="G4159" t="str">
        <f t="shared" si="72"/>
        <v>21-40</v>
      </c>
      <c r="H4159" t="s">
        <v>35</v>
      </c>
      <c r="I4159" t="s">
        <v>46</v>
      </c>
      <c r="J4159" t="s">
        <v>47</v>
      </c>
      <c r="K4159" t="s">
        <v>33</v>
      </c>
      <c r="L4159">
        <v>1</v>
      </c>
      <c r="M4159">
        <v>1</v>
      </c>
      <c r="N4159">
        <v>4.8</v>
      </c>
      <c r="O4159">
        <v>9</v>
      </c>
      <c r="P4159">
        <v>7</v>
      </c>
      <c r="Q4159">
        <v>5</v>
      </c>
      <c r="R4159">
        <v>619453</v>
      </c>
      <c r="S4159">
        <f>Table1[[#This Row],[Revenue]]-Table1[[#This Row],[Operating_Costs]]</f>
        <v>237727</v>
      </c>
      <c r="T4159">
        <v>381726</v>
      </c>
      <c r="U4159">
        <v>48</v>
      </c>
      <c r="V4159">
        <v>64</v>
      </c>
      <c r="W4159">
        <v>12.8</v>
      </c>
    </row>
    <row r="4160" spans="1:23" x14ac:dyDescent="0.25">
      <c r="A4160">
        <v>13</v>
      </c>
      <c r="B4160" t="s">
        <v>30</v>
      </c>
      <c r="C4160" s="1">
        <v>44793</v>
      </c>
      <c r="D4160" t="s">
        <v>71</v>
      </c>
      <c r="E4160">
        <v>0</v>
      </c>
      <c r="F4160">
        <v>82</v>
      </c>
      <c r="G4160" t="str">
        <f t="shared" si="72"/>
        <v>81+</v>
      </c>
      <c r="H4160" t="s">
        <v>35</v>
      </c>
      <c r="I4160" t="s">
        <v>40</v>
      </c>
      <c r="J4160" t="s">
        <v>41</v>
      </c>
      <c r="K4160" t="s">
        <v>38</v>
      </c>
      <c r="L4160">
        <v>1</v>
      </c>
      <c r="M4160">
        <v>1</v>
      </c>
      <c r="N4160">
        <v>2.1</v>
      </c>
      <c r="O4160">
        <v>8</v>
      </c>
      <c r="P4160">
        <v>3</v>
      </c>
      <c r="Q4160">
        <v>7</v>
      </c>
      <c r="R4160">
        <v>460003</v>
      </c>
      <c r="S4160">
        <f>Table1[[#This Row],[Revenue]]-Table1[[#This Row],[Operating_Costs]]</f>
        <v>59286</v>
      </c>
      <c r="T4160">
        <v>400717</v>
      </c>
      <c r="U4160">
        <v>50</v>
      </c>
      <c r="V4160">
        <v>56</v>
      </c>
      <c r="W4160">
        <v>12.4</v>
      </c>
    </row>
    <row r="4161" spans="1:23" x14ac:dyDescent="0.25">
      <c r="A4161">
        <v>13</v>
      </c>
      <c r="B4161" t="s">
        <v>30</v>
      </c>
      <c r="C4161" s="1">
        <v>44934</v>
      </c>
      <c r="D4161" t="s">
        <v>71</v>
      </c>
      <c r="E4161">
        <v>0</v>
      </c>
      <c r="F4161">
        <v>69</v>
      </c>
      <c r="G4161" t="str">
        <f t="shared" si="72"/>
        <v>61-80</v>
      </c>
      <c r="H4161" t="s">
        <v>23</v>
      </c>
      <c r="I4161" t="s">
        <v>58</v>
      </c>
      <c r="J4161" t="s">
        <v>59</v>
      </c>
      <c r="K4161" t="s">
        <v>42</v>
      </c>
      <c r="L4161">
        <v>1</v>
      </c>
      <c r="M4161">
        <v>1</v>
      </c>
      <c r="N4161">
        <v>4.5</v>
      </c>
      <c r="O4161">
        <v>8.3000000000000007</v>
      </c>
      <c r="P4161">
        <v>5</v>
      </c>
      <c r="Q4161">
        <v>7</v>
      </c>
      <c r="R4161">
        <v>464579</v>
      </c>
      <c r="S4161">
        <f>Table1[[#This Row],[Revenue]]-Table1[[#This Row],[Operating_Costs]]</f>
        <v>75171</v>
      </c>
      <c r="T4161">
        <v>389408</v>
      </c>
      <c r="U4161">
        <v>46</v>
      </c>
      <c r="V4161">
        <v>66</v>
      </c>
      <c r="W4161">
        <v>7.1</v>
      </c>
    </row>
    <row r="4162" spans="1:23" x14ac:dyDescent="0.25">
      <c r="A4162">
        <v>13</v>
      </c>
      <c r="B4162" t="s">
        <v>30</v>
      </c>
      <c r="C4162" s="1">
        <v>44759</v>
      </c>
      <c r="D4162" t="s">
        <v>71</v>
      </c>
      <c r="E4162">
        <v>0</v>
      </c>
      <c r="F4162">
        <v>63</v>
      </c>
      <c r="G4162" t="str">
        <f t="shared" si="72"/>
        <v>61-80</v>
      </c>
      <c r="H4162" t="s">
        <v>23</v>
      </c>
      <c r="I4162" t="s">
        <v>24</v>
      </c>
      <c r="J4162" t="s">
        <v>25</v>
      </c>
      <c r="K4162" t="s">
        <v>33</v>
      </c>
      <c r="L4162">
        <v>1</v>
      </c>
      <c r="M4162">
        <v>1</v>
      </c>
      <c r="N4162">
        <v>2.6</v>
      </c>
      <c r="O4162">
        <v>8.5</v>
      </c>
      <c r="P4162">
        <v>5</v>
      </c>
      <c r="Q4162">
        <v>5</v>
      </c>
      <c r="R4162">
        <v>419796</v>
      </c>
      <c r="S4162">
        <f>Table1[[#This Row],[Revenue]]-Table1[[#This Row],[Operating_Costs]]</f>
        <v>31848</v>
      </c>
      <c r="T4162">
        <v>387948</v>
      </c>
      <c r="U4162">
        <v>45</v>
      </c>
      <c r="V4162">
        <v>61</v>
      </c>
      <c r="W4162">
        <v>9.8000000000000007</v>
      </c>
    </row>
    <row r="4163" spans="1:23" x14ac:dyDescent="0.25">
      <c r="A4163">
        <v>13</v>
      </c>
      <c r="B4163" t="s">
        <v>30</v>
      </c>
      <c r="C4163" s="1">
        <v>45380</v>
      </c>
      <c r="D4163" t="s">
        <v>71</v>
      </c>
      <c r="E4163">
        <v>0</v>
      </c>
      <c r="F4163">
        <v>65</v>
      </c>
      <c r="G4163" t="str">
        <f t="shared" ref="G4163:G4226" si="73">IF(F4163&lt;=20,"0-20",IF(F4163&lt;=40,"21-40",IF(F4163&lt;=60,"41-60",IF(F4163&lt;=80,"61-80","81+"))))</f>
        <v>61-80</v>
      </c>
      <c r="H4163" t="s">
        <v>35</v>
      </c>
      <c r="I4163" t="s">
        <v>46</v>
      </c>
      <c r="J4163" t="s">
        <v>47</v>
      </c>
      <c r="K4163" t="s">
        <v>29</v>
      </c>
      <c r="L4163">
        <v>1</v>
      </c>
      <c r="M4163">
        <v>1</v>
      </c>
      <c r="N4163">
        <v>4.7</v>
      </c>
      <c r="O4163">
        <v>9.9</v>
      </c>
      <c r="P4163">
        <v>3</v>
      </c>
      <c r="Q4163">
        <v>3</v>
      </c>
      <c r="R4163">
        <v>464957</v>
      </c>
      <c r="S4163">
        <f>Table1[[#This Row],[Revenue]]-Table1[[#This Row],[Operating_Costs]]</f>
        <v>86274</v>
      </c>
      <c r="T4163">
        <v>378683</v>
      </c>
      <c r="U4163">
        <v>31</v>
      </c>
      <c r="V4163">
        <v>59</v>
      </c>
      <c r="W4163">
        <v>8.4</v>
      </c>
    </row>
    <row r="4164" spans="1:23" x14ac:dyDescent="0.25">
      <c r="A4164">
        <v>13</v>
      </c>
      <c r="B4164" t="s">
        <v>30</v>
      </c>
      <c r="C4164" s="1">
        <v>44820</v>
      </c>
      <c r="D4164" t="s">
        <v>71</v>
      </c>
      <c r="E4164">
        <v>0</v>
      </c>
      <c r="F4164">
        <v>25</v>
      </c>
      <c r="G4164" t="str">
        <f t="shared" si="73"/>
        <v>21-40</v>
      </c>
      <c r="H4164" t="s">
        <v>23</v>
      </c>
      <c r="I4164" t="s">
        <v>24</v>
      </c>
      <c r="J4164" t="s">
        <v>25</v>
      </c>
      <c r="K4164" t="s">
        <v>29</v>
      </c>
      <c r="L4164">
        <v>1</v>
      </c>
      <c r="M4164">
        <v>1</v>
      </c>
      <c r="N4164">
        <v>2.2000000000000002</v>
      </c>
      <c r="O4164">
        <v>9.3000000000000007</v>
      </c>
      <c r="P4164">
        <v>7</v>
      </c>
      <c r="Q4164">
        <v>3</v>
      </c>
      <c r="R4164">
        <v>780396</v>
      </c>
      <c r="S4164">
        <f>Table1[[#This Row],[Revenue]]-Table1[[#This Row],[Operating_Costs]]</f>
        <v>380036</v>
      </c>
      <c r="T4164">
        <v>400360</v>
      </c>
      <c r="U4164">
        <v>48</v>
      </c>
      <c r="V4164">
        <v>66</v>
      </c>
      <c r="W4164">
        <v>15</v>
      </c>
    </row>
    <row r="4165" spans="1:23" x14ac:dyDescent="0.25">
      <c r="A4165">
        <v>13</v>
      </c>
      <c r="B4165" t="s">
        <v>30</v>
      </c>
      <c r="C4165" s="1">
        <v>44273</v>
      </c>
      <c r="D4165" t="s">
        <v>71</v>
      </c>
      <c r="E4165">
        <v>0</v>
      </c>
      <c r="F4165">
        <v>30</v>
      </c>
      <c r="G4165" t="str">
        <f t="shared" si="73"/>
        <v>21-40</v>
      </c>
      <c r="H4165" t="s">
        <v>23</v>
      </c>
      <c r="I4165" t="s">
        <v>61</v>
      </c>
      <c r="J4165" t="s">
        <v>62</v>
      </c>
      <c r="K4165" t="s">
        <v>26</v>
      </c>
      <c r="L4165">
        <v>1</v>
      </c>
      <c r="M4165">
        <v>1</v>
      </c>
      <c r="N4165">
        <v>1.9</v>
      </c>
      <c r="O4165">
        <v>9.1999999999999993</v>
      </c>
      <c r="P4165">
        <v>4</v>
      </c>
      <c r="Q4165">
        <v>7</v>
      </c>
      <c r="R4165">
        <v>676875</v>
      </c>
      <c r="S4165">
        <f>Table1[[#This Row],[Revenue]]-Table1[[#This Row],[Operating_Costs]]</f>
        <v>307478</v>
      </c>
      <c r="T4165">
        <v>369397</v>
      </c>
      <c r="U4165">
        <v>47</v>
      </c>
      <c r="V4165">
        <v>54</v>
      </c>
      <c r="W4165">
        <v>8.6</v>
      </c>
    </row>
    <row r="4166" spans="1:23" x14ac:dyDescent="0.25">
      <c r="A4166">
        <v>13</v>
      </c>
      <c r="B4166" t="s">
        <v>30</v>
      </c>
      <c r="C4166" s="1">
        <v>44811</v>
      </c>
      <c r="D4166" t="s">
        <v>71</v>
      </c>
      <c r="E4166">
        <v>0</v>
      </c>
      <c r="F4166">
        <v>47</v>
      </c>
      <c r="G4166" t="str">
        <f t="shared" si="73"/>
        <v>41-60</v>
      </c>
      <c r="H4166" t="s">
        <v>35</v>
      </c>
      <c r="I4166" t="s">
        <v>31</v>
      </c>
      <c r="J4166" t="s">
        <v>28</v>
      </c>
      <c r="K4166" t="s">
        <v>26</v>
      </c>
      <c r="L4166">
        <v>1</v>
      </c>
      <c r="M4166">
        <v>1</v>
      </c>
      <c r="N4166">
        <v>5.9</v>
      </c>
      <c r="O4166">
        <v>8.8000000000000007</v>
      </c>
      <c r="P4166">
        <v>4</v>
      </c>
      <c r="Q4166">
        <v>6</v>
      </c>
      <c r="R4166">
        <v>649778</v>
      </c>
      <c r="S4166">
        <f>Table1[[#This Row],[Revenue]]-Table1[[#This Row],[Operating_Costs]]</f>
        <v>280361</v>
      </c>
      <c r="T4166">
        <v>369417</v>
      </c>
      <c r="U4166">
        <v>50</v>
      </c>
      <c r="V4166">
        <v>63</v>
      </c>
      <c r="W4166">
        <v>36.200000000000003</v>
      </c>
    </row>
    <row r="4167" spans="1:23" x14ac:dyDescent="0.25">
      <c r="A4167">
        <v>13</v>
      </c>
      <c r="B4167" t="s">
        <v>30</v>
      </c>
      <c r="C4167" s="1">
        <v>44379</v>
      </c>
      <c r="D4167" t="s">
        <v>71</v>
      </c>
      <c r="E4167">
        <v>0</v>
      </c>
      <c r="F4167">
        <v>82</v>
      </c>
      <c r="G4167" t="str">
        <f t="shared" si="73"/>
        <v>81+</v>
      </c>
      <c r="H4167" t="s">
        <v>35</v>
      </c>
      <c r="I4167" t="s">
        <v>36</v>
      </c>
      <c r="J4167" t="s">
        <v>37</v>
      </c>
      <c r="K4167" t="s">
        <v>33</v>
      </c>
      <c r="L4167">
        <v>1</v>
      </c>
      <c r="M4167">
        <v>1</v>
      </c>
      <c r="N4167">
        <v>5.2</v>
      </c>
      <c r="O4167">
        <v>8.5</v>
      </c>
      <c r="P4167">
        <v>6</v>
      </c>
      <c r="Q4167">
        <v>6</v>
      </c>
      <c r="R4167">
        <v>741421</v>
      </c>
      <c r="S4167">
        <f>Table1[[#This Row],[Revenue]]-Table1[[#This Row],[Operating_Costs]]</f>
        <v>385385</v>
      </c>
      <c r="T4167">
        <v>356036</v>
      </c>
      <c r="U4167">
        <v>40</v>
      </c>
      <c r="V4167">
        <v>59</v>
      </c>
      <c r="W4167">
        <v>8.6999999999999993</v>
      </c>
    </row>
    <row r="4168" spans="1:23" x14ac:dyDescent="0.25">
      <c r="A4168">
        <v>13</v>
      </c>
      <c r="B4168" t="s">
        <v>30</v>
      </c>
      <c r="C4168" s="1">
        <v>44579</v>
      </c>
      <c r="D4168" t="s">
        <v>71</v>
      </c>
      <c r="E4168">
        <v>0</v>
      </c>
      <c r="F4168">
        <v>68</v>
      </c>
      <c r="G4168" t="str">
        <f t="shared" si="73"/>
        <v>61-80</v>
      </c>
      <c r="H4168" t="s">
        <v>23</v>
      </c>
      <c r="I4168" t="s">
        <v>43</v>
      </c>
      <c r="J4168" t="s">
        <v>25</v>
      </c>
      <c r="K4168" t="s">
        <v>29</v>
      </c>
      <c r="L4168">
        <v>1</v>
      </c>
      <c r="M4168">
        <v>1</v>
      </c>
      <c r="N4168">
        <v>4.3</v>
      </c>
      <c r="O4168">
        <v>7.1</v>
      </c>
      <c r="P4168">
        <v>5</v>
      </c>
      <c r="Q4168">
        <v>3</v>
      </c>
      <c r="R4168">
        <v>539489</v>
      </c>
      <c r="S4168">
        <f>Table1[[#This Row],[Revenue]]-Table1[[#This Row],[Operating_Costs]]</f>
        <v>175551</v>
      </c>
      <c r="T4168">
        <v>363938</v>
      </c>
      <c r="U4168">
        <v>48</v>
      </c>
      <c r="V4168">
        <v>65</v>
      </c>
      <c r="W4168">
        <v>8.4</v>
      </c>
    </row>
    <row r="4169" spans="1:23" x14ac:dyDescent="0.25">
      <c r="A4169">
        <v>13</v>
      </c>
      <c r="B4169" t="s">
        <v>30</v>
      </c>
      <c r="C4169" s="1">
        <v>44362</v>
      </c>
      <c r="D4169" t="s">
        <v>71</v>
      </c>
      <c r="E4169">
        <v>0</v>
      </c>
      <c r="F4169">
        <v>72</v>
      </c>
      <c r="G4169" t="str">
        <f t="shared" si="73"/>
        <v>61-80</v>
      </c>
      <c r="H4169" t="s">
        <v>23</v>
      </c>
      <c r="I4169" t="s">
        <v>64</v>
      </c>
      <c r="J4169" t="s">
        <v>65</v>
      </c>
      <c r="K4169" t="s">
        <v>33</v>
      </c>
      <c r="L4169">
        <v>1</v>
      </c>
      <c r="M4169">
        <v>1</v>
      </c>
      <c r="N4169">
        <v>2.4</v>
      </c>
      <c r="O4169">
        <v>9.1</v>
      </c>
      <c r="P4169">
        <v>4</v>
      </c>
      <c r="Q4169">
        <v>5</v>
      </c>
      <c r="R4169">
        <v>698647</v>
      </c>
      <c r="S4169">
        <f>Table1[[#This Row],[Revenue]]-Table1[[#This Row],[Operating_Costs]]</f>
        <v>324693</v>
      </c>
      <c r="T4169">
        <v>373954</v>
      </c>
      <c r="U4169">
        <v>32</v>
      </c>
      <c r="V4169">
        <v>66</v>
      </c>
      <c r="W4169">
        <v>5.9</v>
      </c>
    </row>
    <row r="4170" spans="1:23" x14ac:dyDescent="0.25">
      <c r="A4170">
        <v>13</v>
      </c>
      <c r="B4170" t="s">
        <v>30</v>
      </c>
      <c r="C4170" s="1">
        <v>44595</v>
      </c>
      <c r="D4170" t="s">
        <v>71</v>
      </c>
      <c r="E4170">
        <v>0</v>
      </c>
      <c r="F4170">
        <v>35</v>
      </c>
      <c r="G4170" t="str">
        <f t="shared" si="73"/>
        <v>21-40</v>
      </c>
      <c r="H4170" t="s">
        <v>23</v>
      </c>
      <c r="I4170" t="s">
        <v>67</v>
      </c>
      <c r="J4170" t="s">
        <v>68</v>
      </c>
      <c r="K4170" t="s">
        <v>29</v>
      </c>
      <c r="L4170">
        <v>1</v>
      </c>
      <c r="M4170">
        <v>1</v>
      </c>
      <c r="N4170">
        <v>2.7</v>
      </c>
      <c r="O4170">
        <v>8.6</v>
      </c>
      <c r="P4170">
        <v>7</v>
      </c>
      <c r="Q4170">
        <v>6</v>
      </c>
      <c r="R4170">
        <v>663256</v>
      </c>
      <c r="S4170">
        <f>Table1[[#This Row],[Revenue]]-Table1[[#This Row],[Operating_Costs]]</f>
        <v>255163</v>
      </c>
      <c r="T4170">
        <v>408093</v>
      </c>
      <c r="U4170">
        <v>35</v>
      </c>
      <c r="V4170">
        <v>66</v>
      </c>
      <c r="W4170">
        <v>13.3</v>
      </c>
    </row>
    <row r="4171" spans="1:23" x14ac:dyDescent="0.25">
      <c r="A4171">
        <v>13</v>
      </c>
      <c r="B4171" t="s">
        <v>30</v>
      </c>
      <c r="C4171" s="1">
        <v>45071</v>
      </c>
      <c r="D4171" t="s">
        <v>71</v>
      </c>
      <c r="E4171">
        <v>0</v>
      </c>
      <c r="F4171">
        <v>43</v>
      </c>
      <c r="G4171" t="str">
        <f t="shared" si="73"/>
        <v>41-60</v>
      </c>
      <c r="H4171" t="s">
        <v>23</v>
      </c>
      <c r="I4171" t="s">
        <v>24</v>
      </c>
      <c r="J4171" t="s">
        <v>25</v>
      </c>
      <c r="K4171" t="s">
        <v>38</v>
      </c>
      <c r="L4171">
        <v>1</v>
      </c>
      <c r="M4171">
        <v>1</v>
      </c>
      <c r="N4171">
        <v>1.2</v>
      </c>
      <c r="O4171">
        <v>8.6</v>
      </c>
      <c r="P4171">
        <v>6</v>
      </c>
      <c r="Q4171">
        <v>6</v>
      </c>
      <c r="R4171">
        <v>727702</v>
      </c>
      <c r="S4171">
        <f>Table1[[#This Row],[Revenue]]-Table1[[#This Row],[Operating_Costs]]</f>
        <v>341209</v>
      </c>
      <c r="T4171">
        <v>386493</v>
      </c>
      <c r="U4171">
        <v>30</v>
      </c>
      <c r="V4171">
        <v>61</v>
      </c>
      <c r="W4171">
        <v>8.1999999999999993</v>
      </c>
    </row>
    <row r="4172" spans="1:23" x14ac:dyDescent="0.25">
      <c r="A4172">
        <v>13</v>
      </c>
      <c r="B4172" t="s">
        <v>30</v>
      </c>
      <c r="C4172" s="1">
        <v>45450</v>
      </c>
      <c r="D4172" t="s">
        <v>71</v>
      </c>
      <c r="E4172">
        <v>0</v>
      </c>
      <c r="F4172">
        <v>69</v>
      </c>
      <c r="G4172" t="str">
        <f t="shared" si="73"/>
        <v>61-80</v>
      </c>
      <c r="H4172" t="s">
        <v>23</v>
      </c>
      <c r="I4172" t="s">
        <v>61</v>
      </c>
      <c r="J4172" t="s">
        <v>62</v>
      </c>
      <c r="K4172" t="s">
        <v>42</v>
      </c>
      <c r="L4172">
        <v>1</v>
      </c>
      <c r="M4172">
        <v>1</v>
      </c>
      <c r="N4172">
        <v>1.2</v>
      </c>
      <c r="O4172">
        <v>7.5</v>
      </c>
      <c r="P4172">
        <v>4</v>
      </c>
      <c r="Q4172">
        <v>6</v>
      </c>
      <c r="R4172">
        <v>459920</v>
      </c>
      <c r="S4172">
        <f>Table1[[#This Row],[Revenue]]-Table1[[#This Row],[Operating_Costs]]</f>
        <v>65683</v>
      </c>
      <c r="T4172">
        <v>394237</v>
      </c>
      <c r="U4172">
        <v>35</v>
      </c>
      <c r="V4172">
        <v>63</v>
      </c>
      <c r="W4172">
        <v>8.3000000000000007</v>
      </c>
    </row>
    <row r="4173" spans="1:23" x14ac:dyDescent="0.25">
      <c r="A4173">
        <v>13</v>
      </c>
      <c r="B4173" t="s">
        <v>30</v>
      </c>
      <c r="C4173" s="1">
        <v>45175</v>
      </c>
      <c r="D4173" t="s">
        <v>71</v>
      </c>
      <c r="E4173">
        <v>0</v>
      </c>
      <c r="F4173">
        <v>22</v>
      </c>
      <c r="G4173" t="str">
        <f t="shared" si="73"/>
        <v>21-40</v>
      </c>
      <c r="H4173" t="s">
        <v>35</v>
      </c>
      <c r="I4173" t="s">
        <v>40</v>
      </c>
      <c r="J4173" t="s">
        <v>41</v>
      </c>
      <c r="K4173" t="s">
        <v>26</v>
      </c>
      <c r="L4173">
        <v>1</v>
      </c>
      <c r="M4173">
        <v>1</v>
      </c>
      <c r="N4173">
        <v>6.1</v>
      </c>
      <c r="O4173">
        <v>8.5</v>
      </c>
      <c r="P4173">
        <v>5</v>
      </c>
      <c r="Q4173">
        <v>6</v>
      </c>
      <c r="R4173">
        <v>479407</v>
      </c>
      <c r="S4173">
        <f>Table1[[#This Row],[Revenue]]-Table1[[#This Row],[Operating_Costs]]</f>
        <v>79824</v>
      </c>
      <c r="T4173">
        <v>399583</v>
      </c>
      <c r="U4173">
        <v>46</v>
      </c>
      <c r="V4173">
        <v>64</v>
      </c>
      <c r="W4173">
        <v>7.8</v>
      </c>
    </row>
    <row r="4174" spans="1:23" x14ac:dyDescent="0.25">
      <c r="A4174">
        <v>13</v>
      </c>
      <c r="B4174" t="s">
        <v>30</v>
      </c>
      <c r="C4174" s="1">
        <v>45545</v>
      </c>
      <c r="D4174" t="s">
        <v>71</v>
      </c>
      <c r="E4174">
        <v>0</v>
      </c>
      <c r="F4174">
        <v>40</v>
      </c>
      <c r="G4174" t="str">
        <f t="shared" si="73"/>
        <v>21-40</v>
      </c>
      <c r="H4174" t="s">
        <v>23</v>
      </c>
      <c r="I4174" t="s">
        <v>24</v>
      </c>
      <c r="J4174" t="s">
        <v>25</v>
      </c>
      <c r="K4174" t="s">
        <v>38</v>
      </c>
      <c r="L4174">
        <v>1</v>
      </c>
      <c r="M4174">
        <v>1</v>
      </c>
      <c r="N4174">
        <v>2</v>
      </c>
      <c r="O4174">
        <v>9.9</v>
      </c>
      <c r="P4174">
        <v>6</v>
      </c>
      <c r="Q4174">
        <v>4</v>
      </c>
      <c r="R4174">
        <v>784644</v>
      </c>
      <c r="S4174">
        <f>Table1[[#This Row],[Revenue]]-Table1[[#This Row],[Operating_Costs]]</f>
        <v>429081</v>
      </c>
      <c r="T4174">
        <v>355563</v>
      </c>
      <c r="U4174">
        <v>45</v>
      </c>
      <c r="V4174">
        <v>54</v>
      </c>
      <c r="W4174">
        <v>5.0999999999999996</v>
      </c>
    </row>
    <row r="4175" spans="1:23" x14ac:dyDescent="0.25">
      <c r="A4175">
        <v>13</v>
      </c>
      <c r="B4175" t="s">
        <v>30</v>
      </c>
      <c r="C4175" s="1">
        <v>44427</v>
      </c>
      <c r="D4175" t="s">
        <v>71</v>
      </c>
      <c r="E4175">
        <v>0</v>
      </c>
      <c r="F4175">
        <v>37</v>
      </c>
      <c r="G4175" t="str">
        <f t="shared" si="73"/>
        <v>21-40</v>
      </c>
      <c r="H4175" t="s">
        <v>35</v>
      </c>
      <c r="I4175" t="s">
        <v>46</v>
      </c>
      <c r="J4175" t="s">
        <v>47</v>
      </c>
      <c r="K4175" t="s">
        <v>33</v>
      </c>
      <c r="L4175">
        <v>1</v>
      </c>
      <c r="M4175">
        <v>1</v>
      </c>
      <c r="N4175">
        <v>2</v>
      </c>
      <c r="O4175">
        <v>8.3000000000000007</v>
      </c>
      <c r="P4175">
        <v>7</v>
      </c>
      <c r="Q4175">
        <v>7</v>
      </c>
      <c r="R4175">
        <v>539045</v>
      </c>
      <c r="S4175">
        <f>Table1[[#This Row],[Revenue]]-Table1[[#This Row],[Operating_Costs]]</f>
        <v>178579</v>
      </c>
      <c r="T4175">
        <v>360466</v>
      </c>
      <c r="U4175">
        <v>31</v>
      </c>
      <c r="V4175">
        <v>54</v>
      </c>
      <c r="W4175">
        <v>6.4</v>
      </c>
    </row>
    <row r="4176" spans="1:23" x14ac:dyDescent="0.25">
      <c r="A4176">
        <v>13</v>
      </c>
      <c r="B4176" t="s">
        <v>30</v>
      </c>
      <c r="C4176" s="1">
        <v>44683</v>
      </c>
      <c r="D4176" t="s">
        <v>71</v>
      </c>
      <c r="E4176">
        <v>0</v>
      </c>
      <c r="F4176">
        <v>66</v>
      </c>
      <c r="G4176" t="str">
        <f t="shared" si="73"/>
        <v>61-80</v>
      </c>
      <c r="H4176" t="s">
        <v>35</v>
      </c>
      <c r="I4176" t="s">
        <v>46</v>
      </c>
      <c r="J4176" t="s">
        <v>47</v>
      </c>
      <c r="K4176" t="s">
        <v>38</v>
      </c>
      <c r="L4176">
        <v>1</v>
      </c>
      <c r="M4176">
        <v>1</v>
      </c>
      <c r="N4176">
        <v>5.0999999999999996</v>
      </c>
      <c r="O4176">
        <v>9.3000000000000007</v>
      </c>
      <c r="P4176">
        <v>5</v>
      </c>
      <c r="Q4176">
        <v>5</v>
      </c>
      <c r="R4176">
        <v>617072</v>
      </c>
      <c r="S4176">
        <f>Table1[[#This Row],[Revenue]]-Table1[[#This Row],[Operating_Costs]]</f>
        <v>236727</v>
      </c>
      <c r="T4176">
        <v>380345</v>
      </c>
      <c r="U4176">
        <v>37</v>
      </c>
      <c r="V4176">
        <v>63</v>
      </c>
      <c r="W4176">
        <v>12.4</v>
      </c>
    </row>
    <row r="4177" spans="1:23" x14ac:dyDescent="0.25">
      <c r="A4177">
        <v>13</v>
      </c>
      <c r="B4177" t="s">
        <v>30</v>
      </c>
      <c r="C4177" s="1">
        <v>44624</v>
      </c>
      <c r="D4177" t="s">
        <v>71</v>
      </c>
      <c r="E4177">
        <v>0</v>
      </c>
      <c r="F4177">
        <v>90</v>
      </c>
      <c r="G4177" t="str">
        <f t="shared" si="73"/>
        <v>81+</v>
      </c>
      <c r="H4177" t="s">
        <v>23</v>
      </c>
      <c r="I4177" t="s">
        <v>40</v>
      </c>
      <c r="J4177" t="s">
        <v>41</v>
      </c>
      <c r="K4177" t="s">
        <v>42</v>
      </c>
      <c r="L4177">
        <v>1</v>
      </c>
      <c r="M4177">
        <v>1</v>
      </c>
      <c r="N4177">
        <v>4.0999999999999996</v>
      </c>
      <c r="O4177">
        <v>8.4</v>
      </c>
      <c r="P4177">
        <v>3</v>
      </c>
      <c r="Q4177">
        <v>4</v>
      </c>
      <c r="R4177">
        <v>797033</v>
      </c>
      <c r="S4177">
        <f>Table1[[#This Row],[Revenue]]-Table1[[#This Row],[Operating_Costs]]</f>
        <v>428369</v>
      </c>
      <c r="T4177">
        <v>368664</v>
      </c>
      <c r="U4177">
        <v>31</v>
      </c>
      <c r="V4177">
        <v>60</v>
      </c>
      <c r="W4177">
        <v>5.9</v>
      </c>
    </row>
    <row r="4178" spans="1:23" x14ac:dyDescent="0.25">
      <c r="A4178">
        <v>13</v>
      </c>
      <c r="B4178" t="s">
        <v>30</v>
      </c>
      <c r="C4178" s="1">
        <v>45443</v>
      </c>
      <c r="D4178" t="s">
        <v>71</v>
      </c>
      <c r="E4178">
        <v>0</v>
      </c>
      <c r="F4178">
        <v>28</v>
      </c>
      <c r="G4178" t="str">
        <f t="shared" si="73"/>
        <v>21-40</v>
      </c>
      <c r="H4178" t="s">
        <v>35</v>
      </c>
      <c r="I4178" t="s">
        <v>36</v>
      </c>
      <c r="J4178" t="s">
        <v>37</v>
      </c>
      <c r="K4178" t="s">
        <v>33</v>
      </c>
      <c r="L4178">
        <v>1</v>
      </c>
      <c r="M4178">
        <v>1</v>
      </c>
      <c r="N4178">
        <v>2.2999999999999998</v>
      </c>
      <c r="O4178">
        <v>7.5</v>
      </c>
      <c r="P4178">
        <v>3</v>
      </c>
      <c r="Q4178">
        <v>6</v>
      </c>
      <c r="R4178">
        <v>501944</v>
      </c>
      <c r="S4178">
        <f>Table1[[#This Row],[Revenue]]-Table1[[#This Row],[Operating_Costs]]</f>
        <v>144778</v>
      </c>
      <c r="T4178">
        <v>357166</v>
      </c>
      <c r="U4178">
        <v>45</v>
      </c>
      <c r="V4178">
        <v>60</v>
      </c>
      <c r="W4178">
        <v>6.8</v>
      </c>
    </row>
    <row r="4179" spans="1:23" x14ac:dyDescent="0.25">
      <c r="A4179">
        <v>13</v>
      </c>
      <c r="B4179" t="s">
        <v>30</v>
      </c>
      <c r="C4179" s="1">
        <v>44489</v>
      </c>
      <c r="D4179" t="s">
        <v>71</v>
      </c>
      <c r="E4179">
        <v>0</v>
      </c>
      <c r="F4179">
        <v>72</v>
      </c>
      <c r="G4179" t="str">
        <f t="shared" si="73"/>
        <v>61-80</v>
      </c>
      <c r="H4179" t="s">
        <v>23</v>
      </c>
      <c r="I4179" t="s">
        <v>40</v>
      </c>
      <c r="J4179" t="s">
        <v>41</v>
      </c>
      <c r="K4179" t="s">
        <v>42</v>
      </c>
      <c r="L4179">
        <v>1</v>
      </c>
      <c r="M4179">
        <v>1</v>
      </c>
      <c r="N4179">
        <v>3.9</v>
      </c>
      <c r="O4179">
        <v>9.9</v>
      </c>
      <c r="P4179">
        <v>4</v>
      </c>
      <c r="Q4179">
        <v>7</v>
      </c>
      <c r="R4179">
        <v>451895</v>
      </c>
      <c r="S4179">
        <f>Table1[[#This Row],[Revenue]]-Table1[[#This Row],[Operating_Costs]]</f>
        <v>48225</v>
      </c>
      <c r="T4179">
        <v>403670</v>
      </c>
      <c r="U4179">
        <v>48</v>
      </c>
      <c r="V4179">
        <v>61</v>
      </c>
      <c r="W4179">
        <v>5.0999999999999996</v>
      </c>
    </row>
    <row r="4180" spans="1:23" x14ac:dyDescent="0.25">
      <c r="A4180">
        <v>13</v>
      </c>
      <c r="B4180" t="s">
        <v>30</v>
      </c>
      <c r="C4180" s="1">
        <v>45650</v>
      </c>
      <c r="D4180" t="s">
        <v>71</v>
      </c>
      <c r="E4180">
        <v>0</v>
      </c>
      <c r="F4180">
        <v>34</v>
      </c>
      <c r="G4180" t="str">
        <f t="shared" si="73"/>
        <v>21-40</v>
      </c>
      <c r="H4180" t="s">
        <v>35</v>
      </c>
      <c r="I4180" t="s">
        <v>46</v>
      </c>
      <c r="J4180" t="s">
        <v>47</v>
      </c>
      <c r="K4180" t="s">
        <v>42</v>
      </c>
      <c r="L4180">
        <v>1</v>
      </c>
      <c r="M4180">
        <v>1</v>
      </c>
      <c r="N4180">
        <v>2.8</v>
      </c>
      <c r="O4180">
        <v>9.6</v>
      </c>
      <c r="P4180">
        <v>5</v>
      </c>
      <c r="Q4180">
        <v>6</v>
      </c>
      <c r="R4180">
        <v>549506</v>
      </c>
      <c r="S4180">
        <f>Table1[[#This Row],[Revenue]]-Table1[[#This Row],[Operating_Costs]]</f>
        <v>159452</v>
      </c>
      <c r="T4180">
        <v>390054</v>
      </c>
      <c r="U4180">
        <v>41</v>
      </c>
      <c r="V4180">
        <v>59</v>
      </c>
      <c r="W4180">
        <v>12.7</v>
      </c>
    </row>
    <row r="4181" spans="1:23" x14ac:dyDescent="0.25">
      <c r="A4181">
        <v>13</v>
      </c>
      <c r="B4181" t="s">
        <v>30</v>
      </c>
      <c r="C4181" s="1">
        <v>44218</v>
      </c>
      <c r="D4181" t="s">
        <v>71</v>
      </c>
      <c r="E4181">
        <v>0</v>
      </c>
      <c r="F4181">
        <v>50</v>
      </c>
      <c r="G4181" t="str">
        <f t="shared" si="73"/>
        <v>41-60</v>
      </c>
      <c r="H4181" t="s">
        <v>23</v>
      </c>
      <c r="I4181" t="s">
        <v>43</v>
      </c>
      <c r="J4181" t="s">
        <v>25</v>
      </c>
      <c r="K4181" t="s">
        <v>26</v>
      </c>
      <c r="L4181">
        <v>1</v>
      </c>
      <c r="M4181">
        <v>1</v>
      </c>
      <c r="N4181">
        <v>2.1</v>
      </c>
      <c r="O4181">
        <v>8.1</v>
      </c>
      <c r="P4181">
        <v>6</v>
      </c>
      <c r="Q4181">
        <v>3</v>
      </c>
      <c r="R4181">
        <v>787938</v>
      </c>
      <c r="S4181">
        <f>Table1[[#This Row],[Revenue]]-Table1[[#This Row],[Operating_Costs]]</f>
        <v>395872</v>
      </c>
      <c r="T4181">
        <v>392066</v>
      </c>
      <c r="U4181">
        <v>37</v>
      </c>
      <c r="V4181">
        <v>56</v>
      </c>
      <c r="W4181">
        <v>5.9</v>
      </c>
    </row>
    <row r="4182" spans="1:23" x14ac:dyDescent="0.25">
      <c r="A4182">
        <v>13</v>
      </c>
      <c r="B4182" t="s">
        <v>30</v>
      </c>
      <c r="C4182" s="1">
        <v>44610</v>
      </c>
      <c r="D4182" t="s">
        <v>71</v>
      </c>
      <c r="E4182">
        <v>0</v>
      </c>
      <c r="F4182">
        <v>86</v>
      </c>
      <c r="G4182" t="str">
        <f t="shared" si="73"/>
        <v>81+</v>
      </c>
      <c r="H4182" t="s">
        <v>23</v>
      </c>
      <c r="I4182" t="s">
        <v>31</v>
      </c>
      <c r="J4182" t="s">
        <v>28</v>
      </c>
      <c r="K4182" t="s">
        <v>38</v>
      </c>
      <c r="L4182">
        <v>1</v>
      </c>
      <c r="M4182">
        <v>1</v>
      </c>
      <c r="N4182">
        <v>1.8</v>
      </c>
      <c r="O4182">
        <v>9.8000000000000007</v>
      </c>
      <c r="P4182">
        <v>6</v>
      </c>
      <c r="Q4182">
        <v>3</v>
      </c>
      <c r="R4182">
        <v>708068</v>
      </c>
      <c r="S4182">
        <f>Table1[[#This Row],[Revenue]]-Table1[[#This Row],[Operating_Costs]]</f>
        <v>302470</v>
      </c>
      <c r="T4182">
        <v>405598</v>
      </c>
      <c r="U4182">
        <v>40</v>
      </c>
      <c r="V4182">
        <v>56</v>
      </c>
      <c r="W4182">
        <v>14.1</v>
      </c>
    </row>
    <row r="4183" spans="1:23" x14ac:dyDescent="0.25">
      <c r="A4183">
        <v>13</v>
      </c>
      <c r="B4183" t="s">
        <v>30</v>
      </c>
      <c r="C4183" s="1">
        <v>44879</v>
      </c>
      <c r="D4183" t="s">
        <v>71</v>
      </c>
      <c r="E4183">
        <v>0</v>
      </c>
      <c r="F4183">
        <v>25</v>
      </c>
      <c r="G4183" t="str">
        <f t="shared" si="73"/>
        <v>21-40</v>
      </c>
      <c r="H4183" t="s">
        <v>35</v>
      </c>
      <c r="I4183" t="s">
        <v>58</v>
      </c>
      <c r="J4183" t="s">
        <v>59</v>
      </c>
      <c r="K4183" t="s">
        <v>26</v>
      </c>
      <c r="L4183">
        <v>1</v>
      </c>
      <c r="M4183">
        <v>1</v>
      </c>
      <c r="N4183">
        <v>3.9</v>
      </c>
      <c r="O4183">
        <v>9</v>
      </c>
      <c r="P4183">
        <v>4</v>
      </c>
      <c r="Q4183">
        <v>5</v>
      </c>
      <c r="R4183">
        <v>630686</v>
      </c>
      <c r="S4183">
        <f>Table1[[#This Row],[Revenue]]-Table1[[#This Row],[Operating_Costs]]</f>
        <v>243617</v>
      </c>
      <c r="T4183">
        <v>387069</v>
      </c>
      <c r="U4183">
        <v>49</v>
      </c>
      <c r="V4183">
        <v>66</v>
      </c>
      <c r="W4183">
        <v>12.9</v>
      </c>
    </row>
    <row r="4184" spans="1:23" x14ac:dyDescent="0.25">
      <c r="A4184">
        <v>13</v>
      </c>
      <c r="B4184" t="s">
        <v>30</v>
      </c>
      <c r="C4184" s="1">
        <v>44202</v>
      </c>
      <c r="D4184" t="s">
        <v>71</v>
      </c>
      <c r="E4184">
        <v>0</v>
      </c>
      <c r="F4184">
        <v>39</v>
      </c>
      <c r="G4184" t="str">
        <f t="shared" si="73"/>
        <v>21-40</v>
      </c>
      <c r="H4184" t="s">
        <v>23</v>
      </c>
      <c r="I4184" t="s">
        <v>40</v>
      </c>
      <c r="J4184" t="s">
        <v>41</v>
      </c>
      <c r="K4184" t="s">
        <v>33</v>
      </c>
      <c r="L4184">
        <v>1</v>
      </c>
      <c r="M4184">
        <v>1</v>
      </c>
      <c r="N4184">
        <v>4.4000000000000004</v>
      </c>
      <c r="O4184">
        <v>8.1</v>
      </c>
      <c r="P4184">
        <v>3</v>
      </c>
      <c r="Q4184">
        <v>7</v>
      </c>
      <c r="R4184">
        <v>645956</v>
      </c>
      <c r="S4184">
        <f>Table1[[#This Row],[Revenue]]-Table1[[#This Row],[Operating_Costs]]</f>
        <v>279707</v>
      </c>
      <c r="T4184">
        <v>366249</v>
      </c>
      <c r="U4184">
        <v>48</v>
      </c>
      <c r="V4184">
        <v>62</v>
      </c>
      <c r="W4184">
        <v>14.2</v>
      </c>
    </row>
    <row r="4185" spans="1:23" x14ac:dyDescent="0.25">
      <c r="A4185">
        <v>13</v>
      </c>
      <c r="B4185" t="s">
        <v>30</v>
      </c>
      <c r="C4185" s="1">
        <v>45571</v>
      </c>
      <c r="D4185" t="s">
        <v>71</v>
      </c>
      <c r="E4185">
        <v>0</v>
      </c>
      <c r="F4185">
        <v>37</v>
      </c>
      <c r="G4185" t="str">
        <f t="shared" si="73"/>
        <v>21-40</v>
      </c>
      <c r="H4185" t="s">
        <v>35</v>
      </c>
      <c r="I4185" t="s">
        <v>55</v>
      </c>
      <c r="J4185" t="s">
        <v>56</v>
      </c>
      <c r="K4185" t="s">
        <v>33</v>
      </c>
      <c r="L4185">
        <v>1</v>
      </c>
      <c r="M4185">
        <v>1</v>
      </c>
      <c r="N4185">
        <v>5.9</v>
      </c>
      <c r="O4185">
        <v>8.9</v>
      </c>
      <c r="P4185">
        <v>5</v>
      </c>
      <c r="Q4185">
        <v>4</v>
      </c>
      <c r="R4185">
        <v>424274</v>
      </c>
      <c r="S4185">
        <f>Table1[[#This Row],[Revenue]]-Table1[[#This Row],[Operating_Costs]]</f>
        <v>49276</v>
      </c>
      <c r="T4185">
        <v>374998</v>
      </c>
      <c r="U4185">
        <v>40</v>
      </c>
      <c r="V4185">
        <v>56</v>
      </c>
      <c r="W4185">
        <v>36</v>
      </c>
    </row>
    <row r="4186" spans="1:23" x14ac:dyDescent="0.25">
      <c r="A4186">
        <v>13</v>
      </c>
      <c r="B4186" t="s">
        <v>30</v>
      </c>
      <c r="C4186" s="1">
        <v>45630</v>
      </c>
      <c r="D4186" t="s">
        <v>71</v>
      </c>
      <c r="E4186">
        <v>0</v>
      </c>
      <c r="F4186">
        <v>50</v>
      </c>
      <c r="G4186" t="str">
        <f t="shared" si="73"/>
        <v>41-60</v>
      </c>
      <c r="H4186" t="s">
        <v>23</v>
      </c>
      <c r="I4186" t="s">
        <v>31</v>
      </c>
      <c r="J4186" t="s">
        <v>28</v>
      </c>
      <c r="K4186" t="s">
        <v>29</v>
      </c>
      <c r="L4186">
        <v>1</v>
      </c>
      <c r="M4186">
        <v>1</v>
      </c>
      <c r="N4186">
        <v>6.7</v>
      </c>
      <c r="O4186">
        <v>9.4</v>
      </c>
      <c r="P4186">
        <v>7</v>
      </c>
      <c r="Q4186">
        <v>6</v>
      </c>
      <c r="R4186">
        <v>776217</v>
      </c>
      <c r="S4186">
        <f>Table1[[#This Row],[Revenue]]-Table1[[#This Row],[Operating_Costs]]</f>
        <v>366832</v>
      </c>
      <c r="T4186">
        <v>409385</v>
      </c>
      <c r="U4186">
        <v>45</v>
      </c>
      <c r="V4186">
        <v>59</v>
      </c>
      <c r="W4186">
        <v>12.8</v>
      </c>
    </row>
    <row r="4187" spans="1:23" x14ac:dyDescent="0.25">
      <c r="A4187">
        <v>13</v>
      </c>
      <c r="B4187" t="s">
        <v>30</v>
      </c>
      <c r="C4187" s="1">
        <v>45161</v>
      </c>
      <c r="D4187" t="s">
        <v>71</v>
      </c>
      <c r="E4187">
        <v>0</v>
      </c>
      <c r="F4187">
        <v>33</v>
      </c>
      <c r="G4187" t="str">
        <f t="shared" si="73"/>
        <v>21-40</v>
      </c>
      <c r="H4187" t="s">
        <v>35</v>
      </c>
      <c r="I4187" t="s">
        <v>40</v>
      </c>
      <c r="J4187" t="s">
        <v>41</v>
      </c>
      <c r="K4187" t="s">
        <v>38</v>
      </c>
      <c r="L4187">
        <v>1</v>
      </c>
      <c r="M4187">
        <v>1</v>
      </c>
      <c r="N4187">
        <v>1.1000000000000001</v>
      </c>
      <c r="O4187">
        <v>8.5</v>
      </c>
      <c r="P4187">
        <v>5</v>
      </c>
      <c r="Q4187">
        <v>4</v>
      </c>
      <c r="R4187">
        <v>412072</v>
      </c>
      <c r="S4187">
        <f>Table1[[#This Row],[Revenue]]-Table1[[#This Row],[Operating_Costs]]</f>
        <v>38642</v>
      </c>
      <c r="T4187">
        <v>373430</v>
      </c>
      <c r="U4187">
        <v>43</v>
      </c>
      <c r="V4187">
        <v>60</v>
      </c>
      <c r="W4187">
        <v>7.5</v>
      </c>
    </row>
    <row r="4188" spans="1:23" x14ac:dyDescent="0.25">
      <c r="A4188">
        <v>13</v>
      </c>
      <c r="B4188" t="s">
        <v>30</v>
      </c>
      <c r="C4188" s="1">
        <v>45157</v>
      </c>
      <c r="D4188" t="s">
        <v>71</v>
      </c>
      <c r="E4188">
        <v>0</v>
      </c>
      <c r="F4188">
        <v>40</v>
      </c>
      <c r="G4188" t="str">
        <f t="shared" si="73"/>
        <v>21-40</v>
      </c>
      <c r="H4188" t="s">
        <v>23</v>
      </c>
      <c r="I4188" t="s">
        <v>31</v>
      </c>
      <c r="J4188" t="s">
        <v>28</v>
      </c>
      <c r="K4188" t="s">
        <v>26</v>
      </c>
      <c r="L4188">
        <v>1</v>
      </c>
      <c r="M4188">
        <v>1</v>
      </c>
      <c r="N4188">
        <v>5.0999999999999996</v>
      </c>
      <c r="O4188">
        <v>8.4</v>
      </c>
      <c r="P4188">
        <v>3</v>
      </c>
      <c r="Q4188">
        <v>3</v>
      </c>
      <c r="R4188">
        <v>710387</v>
      </c>
      <c r="S4188">
        <f>Table1[[#This Row],[Revenue]]-Table1[[#This Row],[Operating_Costs]]</f>
        <v>326028</v>
      </c>
      <c r="T4188">
        <v>384359</v>
      </c>
      <c r="U4188">
        <v>49</v>
      </c>
      <c r="V4188">
        <v>56</v>
      </c>
      <c r="W4188">
        <v>36.799999999999997</v>
      </c>
    </row>
    <row r="4189" spans="1:23" x14ac:dyDescent="0.25">
      <c r="A4189">
        <v>13</v>
      </c>
      <c r="B4189" t="s">
        <v>30</v>
      </c>
      <c r="C4189" s="1">
        <v>45036</v>
      </c>
      <c r="D4189" t="s">
        <v>71</v>
      </c>
      <c r="E4189">
        <v>0</v>
      </c>
      <c r="F4189">
        <v>67</v>
      </c>
      <c r="G4189" t="str">
        <f t="shared" si="73"/>
        <v>61-80</v>
      </c>
      <c r="H4189" t="s">
        <v>35</v>
      </c>
      <c r="I4189" t="s">
        <v>60</v>
      </c>
      <c r="J4189" t="s">
        <v>59</v>
      </c>
      <c r="K4189" t="s">
        <v>26</v>
      </c>
      <c r="L4189">
        <v>1</v>
      </c>
      <c r="M4189">
        <v>1</v>
      </c>
      <c r="N4189">
        <v>1.4</v>
      </c>
      <c r="O4189">
        <v>7.4</v>
      </c>
      <c r="P4189">
        <v>6</v>
      </c>
      <c r="Q4189">
        <v>3</v>
      </c>
      <c r="R4189">
        <v>529799</v>
      </c>
      <c r="S4189">
        <f>Table1[[#This Row],[Revenue]]-Table1[[#This Row],[Operating_Costs]]</f>
        <v>162342</v>
      </c>
      <c r="T4189">
        <v>367457</v>
      </c>
      <c r="U4189">
        <v>40</v>
      </c>
      <c r="V4189">
        <v>60</v>
      </c>
      <c r="W4189">
        <v>6</v>
      </c>
    </row>
    <row r="4190" spans="1:23" x14ac:dyDescent="0.25">
      <c r="A4190">
        <v>13</v>
      </c>
      <c r="B4190" t="s">
        <v>30</v>
      </c>
      <c r="C4190" s="1">
        <v>44591</v>
      </c>
      <c r="D4190" t="s">
        <v>71</v>
      </c>
      <c r="E4190">
        <v>0</v>
      </c>
      <c r="F4190">
        <v>33</v>
      </c>
      <c r="G4190" t="str">
        <f t="shared" si="73"/>
        <v>21-40</v>
      </c>
      <c r="H4190" t="s">
        <v>35</v>
      </c>
      <c r="I4190" t="s">
        <v>31</v>
      </c>
      <c r="J4190" t="s">
        <v>28</v>
      </c>
      <c r="K4190" t="s">
        <v>26</v>
      </c>
      <c r="L4190">
        <v>1</v>
      </c>
      <c r="M4190">
        <v>1</v>
      </c>
      <c r="N4190">
        <v>6.4</v>
      </c>
      <c r="O4190">
        <v>7.8</v>
      </c>
      <c r="P4190">
        <v>3</v>
      </c>
      <c r="Q4190">
        <v>3</v>
      </c>
      <c r="R4190">
        <v>455283</v>
      </c>
      <c r="S4190">
        <f>Table1[[#This Row],[Revenue]]-Table1[[#This Row],[Operating_Costs]]</f>
        <v>62756</v>
      </c>
      <c r="T4190">
        <v>392527</v>
      </c>
      <c r="U4190">
        <v>31</v>
      </c>
      <c r="V4190">
        <v>63</v>
      </c>
      <c r="W4190">
        <v>7.7</v>
      </c>
    </row>
    <row r="4191" spans="1:23" x14ac:dyDescent="0.25">
      <c r="A4191">
        <v>13</v>
      </c>
      <c r="B4191" t="s">
        <v>30</v>
      </c>
      <c r="C4191" s="1">
        <v>44843</v>
      </c>
      <c r="D4191" t="s">
        <v>71</v>
      </c>
      <c r="E4191">
        <v>0</v>
      </c>
      <c r="F4191">
        <v>34</v>
      </c>
      <c r="G4191" t="str">
        <f t="shared" si="73"/>
        <v>21-40</v>
      </c>
      <c r="H4191" t="s">
        <v>35</v>
      </c>
      <c r="I4191" t="s">
        <v>46</v>
      </c>
      <c r="J4191" t="s">
        <v>47</v>
      </c>
      <c r="K4191" t="s">
        <v>26</v>
      </c>
      <c r="L4191">
        <v>1</v>
      </c>
      <c r="M4191">
        <v>1</v>
      </c>
      <c r="N4191">
        <v>2.1</v>
      </c>
      <c r="O4191">
        <v>7.8</v>
      </c>
      <c r="P4191">
        <v>3</v>
      </c>
      <c r="Q4191">
        <v>6</v>
      </c>
      <c r="R4191">
        <v>643191</v>
      </c>
      <c r="S4191">
        <f>Table1[[#This Row],[Revenue]]-Table1[[#This Row],[Operating_Costs]]</f>
        <v>238317</v>
      </c>
      <c r="T4191">
        <v>404874</v>
      </c>
      <c r="U4191">
        <v>34</v>
      </c>
      <c r="V4191">
        <v>60</v>
      </c>
      <c r="W4191">
        <v>8.3000000000000007</v>
      </c>
    </row>
    <row r="4192" spans="1:23" x14ac:dyDescent="0.25">
      <c r="A4192">
        <v>13</v>
      </c>
      <c r="B4192" t="s">
        <v>30</v>
      </c>
      <c r="C4192" s="1">
        <v>44284</v>
      </c>
      <c r="D4192" t="s">
        <v>71</v>
      </c>
      <c r="E4192">
        <v>0</v>
      </c>
      <c r="F4192">
        <v>53</v>
      </c>
      <c r="G4192" t="str">
        <f t="shared" si="73"/>
        <v>41-60</v>
      </c>
      <c r="H4192" t="s">
        <v>35</v>
      </c>
      <c r="I4192" t="s">
        <v>61</v>
      </c>
      <c r="J4192" t="s">
        <v>62</v>
      </c>
      <c r="K4192" t="s">
        <v>42</v>
      </c>
      <c r="L4192">
        <v>1</v>
      </c>
      <c r="M4192">
        <v>1</v>
      </c>
      <c r="N4192">
        <v>4.5999999999999996</v>
      </c>
      <c r="O4192">
        <v>7.8</v>
      </c>
      <c r="P4192">
        <v>4</v>
      </c>
      <c r="Q4192">
        <v>4</v>
      </c>
      <c r="R4192">
        <v>450367</v>
      </c>
      <c r="S4192">
        <f>Table1[[#This Row],[Revenue]]-Table1[[#This Row],[Operating_Costs]]</f>
        <v>99527</v>
      </c>
      <c r="T4192">
        <v>350840</v>
      </c>
      <c r="U4192">
        <v>32</v>
      </c>
      <c r="V4192">
        <v>55</v>
      </c>
      <c r="W4192">
        <v>14.9</v>
      </c>
    </row>
    <row r="4193" spans="1:23" x14ac:dyDescent="0.25">
      <c r="A4193">
        <v>13</v>
      </c>
      <c r="B4193" t="s">
        <v>30</v>
      </c>
      <c r="C4193" s="1">
        <v>45624</v>
      </c>
      <c r="D4193" t="s">
        <v>71</v>
      </c>
      <c r="E4193">
        <v>0</v>
      </c>
      <c r="F4193">
        <v>46</v>
      </c>
      <c r="G4193" t="str">
        <f t="shared" si="73"/>
        <v>41-60</v>
      </c>
      <c r="H4193" t="s">
        <v>35</v>
      </c>
      <c r="I4193" t="s">
        <v>61</v>
      </c>
      <c r="J4193" t="s">
        <v>62</v>
      </c>
      <c r="K4193" t="s">
        <v>38</v>
      </c>
      <c r="L4193">
        <v>1</v>
      </c>
      <c r="M4193">
        <v>1</v>
      </c>
      <c r="N4193">
        <v>4.9000000000000004</v>
      </c>
      <c r="O4193">
        <v>9.8000000000000007</v>
      </c>
      <c r="P4193">
        <v>7</v>
      </c>
      <c r="Q4193">
        <v>5</v>
      </c>
      <c r="R4193">
        <v>683162</v>
      </c>
      <c r="S4193">
        <f>Table1[[#This Row],[Revenue]]-Table1[[#This Row],[Operating_Costs]]</f>
        <v>282683</v>
      </c>
      <c r="T4193">
        <v>400479</v>
      </c>
      <c r="U4193">
        <v>39</v>
      </c>
      <c r="V4193">
        <v>54</v>
      </c>
      <c r="W4193">
        <v>12.6</v>
      </c>
    </row>
    <row r="4194" spans="1:23" x14ac:dyDescent="0.25">
      <c r="A4194">
        <v>13</v>
      </c>
      <c r="B4194" t="s">
        <v>30</v>
      </c>
      <c r="C4194" s="1">
        <v>45001</v>
      </c>
      <c r="D4194" t="s">
        <v>71</v>
      </c>
      <c r="E4194">
        <v>0</v>
      </c>
      <c r="F4194">
        <v>38</v>
      </c>
      <c r="G4194" t="str">
        <f t="shared" si="73"/>
        <v>21-40</v>
      </c>
      <c r="H4194" t="s">
        <v>23</v>
      </c>
      <c r="I4194" t="s">
        <v>43</v>
      </c>
      <c r="J4194" t="s">
        <v>25</v>
      </c>
      <c r="K4194" t="s">
        <v>42</v>
      </c>
      <c r="L4194">
        <v>1</v>
      </c>
      <c r="M4194">
        <v>1</v>
      </c>
      <c r="N4194">
        <v>6.3</v>
      </c>
      <c r="O4194">
        <v>7.1</v>
      </c>
      <c r="P4194">
        <v>5</v>
      </c>
      <c r="Q4194">
        <v>7</v>
      </c>
      <c r="R4194">
        <v>731636</v>
      </c>
      <c r="S4194">
        <f>Table1[[#This Row],[Revenue]]-Table1[[#This Row],[Operating_Costs]]</f>
        <v>346777</v>
      </c>
      <c r="T4194">
        <v>384859</v>
      </c>
      <c r="U4194">
        <v>40</v>
      </c>
      <c r="V4194">
        <v>62</v>
      </c>
      <c r="W4194">
        <v>36.799999999999997</v>
      </c>
    </row>
    <row r="4195" spans="1:23" x14ac:dyDescent="0.25">
      <c r="A4195">
        <v>13</v>
      </c>
      <c r="B4195" t="s">
        <v>30</v>
      </c>
      <c r="C4195" s="1">
        <v>45093</v>
      </c>
      <c r="D4195" t="s">
        <v>71</v>
      </c>
      <c r="E4195">
        <v>0</v>
      </c>
      <c r="F4195">
        <v>27</v>
      </c>
      <c r="G4195" t="str">
        <f t="shared" si="73"/>
        <v>21-40</v>
      </c>
      <c r="H4195" t="s">
        <v>23</v>
      </c>
      <c r="I4195" t="s">
        <v>50</v>
      </c>
      <c r="J4195" t="s">
        <v>51</v>
      </c>
      <c r="K4195" t="s">
        <v>33</v>
      </c>
      <c r="L4195">
        <v>1</v>
      </c>
      <c r="M4195">
        <v>1</v>
      </c>
      <c r="N4195">
        <v>2.5</v>
      </c>
      <c r="O4195">
        <v>9</v>
      </c>
      <c r="P4195">
        <v>7</v>
      </c>
      <c r="Q4195">
        <v>3</v>
      </c>
      <c r="R4195">
        <v>626750</v>
      </c>
      <c r="S4195">
        <f>Table1[[#This Row],[Revenue]]-Table1[[#This Row],[Operating_Costs]]</f>
        <v>265371</v>
      </c>
      <c r="T4195">
        <v>361379</v>
      </c>
      <c r="U4195">
        <v>49</v>
      </c>
      <c r="V4195">
        <v>64</v>
      </c>
      <c r="W4195">
        <v>5.6</v>
      </c>
    </row>
    <row r="4196" spans="1:23" x14ac:dyDescent="0.25">
      <c r="A4196">
        <v>13</v>
      </c>
      <c r="B4196" t="s">
        <v>30</v>
      </c>
      <c r="C4196" s="1">
        <v>44627</v>
      </c>
      <c r="D4196" t="s">
        <v>71</v>
      </c>
      <c r="E4196">
        <v>0</v>
      </c>
      <c r="F4196">
        <v>29</v>
      </c>
      <c r="G4196" t="str">
        <f t="shared" si="73"/>
        <v>21-40</v>
      </c>
      <c r="H4196" t="s">
        <v>23</v>
      </c>
      <c r="I4196" t="s">
        <v>64</v>
      </c>
      <c r="J4196" t="s">
        <v>65</v>
      </c>
      <c r="K4196" t="s">
        <v>26</v>
      </c>
      <c r="L4196">
        <v>1</v>
      </c>
      <c r="M4196">
        <v>1</v>
      </c>
      <c r="N4196">
        <v>2.6</v>
      </c>
      <c r="O4196">
        <v>8.9</v>
      </c>
      <c r="P4196">
        <v>6</v>
      </c>
      <c r="Q4196">
        <v>5</v>
      </c>
      <c r="R4196">
        <v>664231</v>
      </c>
      <c r="S4196">
        <f>Table1[[#This Row],[Revenue]]-Table1[[#This Row],[Operating_Costs]]</f>
        <v>254749</v>
      </c>
      <c r="T4196">
        <v>409482</v>
      </c>
      <c r="U4196">
        <v>50</v>
      </c>
      <c r="V4196">
        <v>57</v>
      </c>
      <c r="W4196">
        <v>13.1</v>
      </c>
    </row>
    <row r="4197" spans="1:23" x14ac:dyDescent="0.25">
      <c r="A4197">
        <v>13</v>
      </c>
      <c r="B4197" t="s">
        <v>30</v>
      </c>
      <c r="C4197" s="1">
        <v>45153</v>
      </c>
      <c r="D4197" t="s">
        <v>71</v>
      </c>
      <c r="E4197">
        <v>0</v>
      </c>
      <c r="F4197">
        <v>29</v>
      </c>
      <c r="G4197" t="str">
        <f t="shared" si="73"/>
        <v>21-40</v>
      </c>
      <c r="H4197" t="s">
        <v>23</v>
      </c>
      <c r="I4197" t="s">
        <v>43</v>
      </c>
      <c r="J4197" t="s">
        <v>25</v>
      </c>
      <c r="K4197" t="s">
        <v>33</v>
      </c>
      <c r="L4197">
        <v>1</v>
      </c>
      <c r="M4197">
        <v>1</v>
      </c>
      <c r="N4197">
        <v>2.2999999999999998</v>
      </c>
      <c r="O4197">
        <v>8.1</v>
      </c>
      <c r="P4197">
        <v>6</v>
      </c>
      <c r="Q4197">
        <v>3</v>
      </c>
      <c r="R4197">
        <v>439813</v>
      </c>
      <c r="S4197">
        <f>Table1[[#This Row],[Revenue]]-Table1[[#This Row],[Operating_Costs]]</f>
        <v>74490</v>
      </c>
      <c r="T4197">
        <v>365323</v>
      </c>
      <c r="U4197">
        <v>36</v>
      </c>
      <c r="V4197">
        <v>54</v>
      </c>
      <c r="W4197">
        <v>6.4</v>
      </c>
    </row>
    <row r="4198" spans="1:23" x14ac:dyDescent="0.25">
      <c r="A4198">
        <v>13</v>
      </c>
      <c r="B4198" t="s">
        <v>30</v>
      </c>
      <c r="C4198" s="1">
        <v>44721</v>
      </c>
      <c r="D4198" t="s">
        <v>71</v>
      </c>
      <c r="E4198">
        <v>0</v>
      </c>
      <c r="F4198">
        <v>25</v>
      </c>
      <c r="G4198" t="str">
        <f t="shared" si="73"/>
        <v>21-40</v>
      </c>
      <c r="H4198" t="s">
        <v>35</v>
      </c>
      <c r="I4198" t="s">
        <v>58</v>
      </c>
      <c r="J4198" t="s">
        <v>59</v>
      </c>
      <c r="K4198" t="s">
        <v>42</v>
      </c>
      <c r="L4198">
        <v>1</v>
      </c>
      <c r="M4198">
        <v>1</v>
      </c>
      <c r="N4198">
        <v>4.5999999999999996</v>
      </c>
      <c r="O4198">
        <v>8.3000000000000007</v>
      </c>
      <c r="P4198">
        <v>5</v>
      </c>
      <c r="Q4198">
        <v>6</v>
      </c>
      <c r="R4198">
        <v>603814</v>
      </c>
      <c r="S4198">
        <f>Table1[[#This Row],[Revenue]]-Table1[[#This Row],[Operating_Costs]]</f>
        <v>235425</v>
      </c>
      <c r="T4198">
        <v>368389</v>
      </c>
      <c r="U4198">
        <v>44</v>
      </c>
      <c r="V4198">
        <v>58</v>
      </c>
      <c r="W4198">
        <v>9.4</v>
      </c>
    </row>
    <row r="4199" spans="1:23" x14ac:dyDescent="0.25">
      <c r="A4199">
        <v>13</v>
      </c>
      <c r="B4199" t="s">
        <v>30</v>
      </c>
      <c r="C4199" s="1">
        <v>45629</v>
      </c>
      <c r="D4199" t="s">
        <v>71</v>
      </c>
      <c r="E4199">
        <v>0</v>
      </c>
      <c r="F4199">
        <v>25</v>
      </c>
      <c r="G4199" t="str">
        <f t="shared" si="73"/>
        <v>21-40</v>
      </c>
      <c r="H4199" t="s">
        <v>23</v>
      </c>
      <c r="I4199" t="s">
        <v>24</v>
      </c>
      <c r="J4199" t="s">
        <v>25</v>
      </c>
      <c r="K4199" t="s">
        <v>33</v>
      </c>
      <c r="L4199">
        <v>1</v>
      </c>
      <c r="M4199">
        <v>1</v>
      </c>
      <c r="N4199">
        <v>2.5</v>
      </c>
      <c r="O4199">
        <v>8.6</v>
      </c>
      <c r="P4199">
        <v>7</v>
      </c>
      <c r="Q4199">
        <v>4</v>
      </c>
      <c r="R4199">
        <v>641777</v>
      </c>
      <c r="S4199">
        <f>Table1[[#This Row],[Revenue]]-Table1[[#This Row],[Operating_Costs]]</f>
        <v>272973</v>
      </c>
      <c r="T4199">
        <v>368804</v>
      </c>
      <c r="U4199">
        <v>47</v>
      </c>
      <c r="V4199">
        <v>56</v>
      </c>
      <c r="W4199">
        <v>10.5</v>
      </c>
    </row>
    <row r="4200" spans="1:23" x14ac:dyDescent="0.25">
      <c r="A4200">
        <v>13</v>
      </c>
      <c r="B4200" t="s">
        <v>30</v>
      </c>
      <c r="C4200" s="1">
        <v>44849</v>
      </c>
      <c r="D4200" t="s">
        <v>71</v>
      </c>
      <c r="E4200">
        <v>0</v>
      </c>
      <c r="F4200">
        <v>59</v>
      </c>
      <c r="G4200" t="str">
        <f t="shared" si="73"/>
        <v>41-60</v>
      </c>
      <c r="H4200" t="s">
        <v>23</v>
      </c>
      <c r="I4200" t="s">
        <v>58</v>
      </c>
      <c r="J4200" t="s">
        <v>59</v>
      </c>
      <c r="K4200" t="s">
        <v>33</v>
      </c>
      <c r="L4200">
        <v>1</v>
      </c>
      <c r="M4200">
        <v>1</v>
      </c>
      <c r="N4200">
        <v>1.3</v>
      </c>
      <c r="O4200">
        <v>9.5</v>
      </c>
      <c r="P4200">
        <v>5</v>
      </c>
      <c r="Q4200">
        <v>7</v>
      </c>
      <c r="R4200">
        <v>756134</v>
      </c>
      <c r="S4200">
        <f>Table1[[#This Row],[Revenue]]-Table1[[#This Row],[Operating_Costs]]</f>
        <v>405537</v>
      </c>
      <c r="T4200">
        <v>350597</v>
      </c>
      <c r="U4200">
        <v>41</v>
      </c>
      <c r="V4200">
        <v>54</v>
      </c>
      <c r="W4200">
        <v>15</v>
      </c>
    </row>
    <row r="4201" spans="1:23" x14ac:dyDescent="0.25">
      <c r="A4201">
        <v>13</v>
      </c>
      <c r="B4201" t="s">
        <v>30</v>
      </c>
      <c r="C4201" s="1">
        <v>45325</v>
      </c>
      <c r="D4201" t="s">
        <v>71</v>
      </c>
      <c r="E4201">
        <v>0</v>
      </c>
      <c r="F4201">
        <v>60</v>
      </c>
      <c r="G4201" t="str">
        <f t="shared" si="73"/>
        <v>41-60</v>
      </c>
      <c r="H4201" t="s">
        <v>23</v>
      </c>
      <c r="I4201" t="s">
        <v>31</v>
      </c>
      <c r="J4201" t="s">
        <v>28</v>
      </c>
      <c r="K4201" t="s">
        <v>29</v>
      </c>
      <c r="L4201">
        <v>1</v>
      </c>
      <c r="M4201">
        <v>1</v>
      </c>
      <c r="N4201">
        <v>5.4</v>
      </c>
      <c r="O4201">
        <v>8.1</v>
      </c>
      <c r="P4201">
        <v>7</v>
      </c>
      <c r="Q4201">
        <v>6</v>
      </c>
      <c r="R4201">
        <v>488548</v>
      </c>
      <c r="S4201">
        <f>Table1[[#This Row],[Revenue]]-Table1[[#This Row],[Operating_Costs]]</f>
        <v>78985</v>
      </c>
      <c r="T4201">
        <v>409563</v>
      </c>
      <c r="U4201">
        <v>39</v>
      </c>
      <c r="V4201">
        <v>64</v>
      </c>
      <c r="W4201">
        <v>36.4</v>
      </c>
    </row>
    <row r="4202" spans="1:23" x14ac:dyDescent="0.25">
      <c r="A4202">
        <v>13</v>
      </c>
      <c r="B4202" t="s">
        <v>30</v>
      </c>
      <c r="C4202" s="1">
        <v>44719</v>
      </c>
      <c r="D4202" t="s">
        <v>71</v>
      </c>
      <c r="E4202">
        <v>0</v>
      </c>
      <c r="F4202">
        <v>61</v>
      </c>
      <c r="G4202" t="str">
        <f t="shared" si="73"/>
        <v>61-80</v>
      </c>
      <c r="H4202" t="s">
        <v>23</v>
      </c>
      <c r="I4202" t="s">
        <v>43</v>
      </c>
      <c r="J4202" t="s">
        <v>25</v>
      </c>
      <c r="K4202" t="s">
        <v>29</v>
      </c>
      <c r="L4202">
        <v>1</v>
      </c>
      <c r="M4202">
        <v>1</v>
      </c>
      <c r="N4202">
        <v>4.0999999999999996</v>
      </c>
      <c r="O4202">
        <v>8.1</v>
      </c>
      <c r="P4202">
        <v>5</v>
      </c>
      <c r="Q4202">
        <v>7</v>
      </c>
      <c r="R4202">
        <v>452771</v>
      </c>
      <c r="S4202">
        <f>Table1[[#This Row],[Revenue]]-Table1[[#This Row],[Operating_Costs]]</f>
        <v>96181</v>
      </c>
      <c r="T4202">
        <v>356590</v>
      </c>
      <c r="U4202">
        <v>32</v>
      </c>
      <c r="V4202">
        <v>66</v>
      </c>
      <c r="W4202">
        <v>14.9</v>
      </c>
    </row>
    <row r="4203" spans="1:23" x14ac:dyDescent="0.25">
      <c r="A4203">
        <v>13</v>
      </c>
      <c r="B4203" t="s">
        <v>30</v>
      </c>
      <c r="C4203" s="1">
        <v>44206</v>
      </c>
      <c r="D4203" t="s">
        <v>71</v>
      </c>
      <c r="E4203">
        <v>0</v>
      </c>
      <c r="F4203">
        <v>27</v>
      </c>
      <c r="G4203" t="str">
        <f t="shared" si="73"/>
        <v>21-40</v>
      </c>
      <c r="H4203" t="s">
        <v>35</v>
      </c>
      <c r="I4203" t="s">
        <v>60</v>
      </c>
      <c r="J4203" t="s">
        <v>59</v>
      </c>
      <c r="K4203" t="s">
        <v>29</v>
      </c>
      <c r="L4203">
        <v>1</v>
      </c>
      <c r="M4203">
        <v>1</v>
      </c>
      <c r="N4203">
        <v>6.9</v>
      </c>
      <c r="O4203">
        <v>9</v>
      </c>
      <c r="P4203">
        <v>3</v>
      </c>
      <c r="Q4203">
        <v>6</v>
      </c>
      <c r="R4203">
        <v>630056</v>
      </c>
      <c r="S4203">
        <f>Table1[[#This Row],[Revenue]]-Table1[[#This Row],[Operating_Costs]]</f>
        <v>263149</v>
      </c>
      <c r="T4203">
        <v>366907</v>
      </c>
      <c r="U4203">
        <v>31</v>
      </c>
      <c r="V4203">
        <v>58</v>
      </c>
      <c r="W4203">
        <v>14</v>
      </c>
    </row>
    <row r="4204" spans="1:23" x14ac:dyDescent="0.25">
      <c r="A4204">
        <v>13</v>
      </c>
      <c r="B4204" t="s">
        <v>30</v>
      </c>
      <c r="C4204" s="1">
        <v>44945</v>
      </c>
      <c r="D4204" t="s">
        <v>71</v>
      </c>
      <c r="E4204">
        <v>0</v>
      </c>
      <c r="F4204">
        <v>48</v>
      </c>
      <c r="G4204" t="str">
        <f t="shared" si="73"/>
        <v>41-60</v>
      </c>
      <c r="H4204" t="s">
        <v>23</v>
      </c>
      <c r="I4204" t="s">
        <v>55</v>
      </c>
      <c r="J4204" t="s">
        <v>56</v>
      </c>
      <c r="K4204" t="s">
        <v>42</v>
      </c>
      <c r="L4204">
        <v>1</v>
      </c>
      <c r="M4204">
        <v>1</v>
      </c>
      <c r="N4204">
        <v>3</v>
      </c>
      <c r="O4204">
        <v>8.6</v>
      </c>
      <c r="P4204">
        <v>5</v>
      </c>
      <c r="Q4204">
        <v>4</v>
      </c>
      <c r="R4204">
        <v>750470</v>
      </c>
      <c r="S4204">
        <f>Table1[[#This Row],[Revenue]]-Table1[[#This Row],[Operating_Costs]]</f>
        <v>377191</v>
      </c>
      <c r="T4204">
        <v>373279</v>
      </c>
      <c r="U4204">
        <v>36</v>
      </c>
      <c r="V4204">
        <v>55</v>
      </c>
      <c r="W4204">
        <v>8.3000000000000007</v>
      </c>
    </row>
    <row r="4205" spans="1:23" x14ac:dyDescent="0.25">
      <c r="A4205">
        <v>13</v>
      </c>
      <c r="B4205" t="s">
        <v>30</v>
      </c>
      <c r="C4205" s="1">
        <v>45543</v>
      </c>
      <c r="D4205" t="s">
        <v>71</v>
      </c>
      <c r="E4205">
        <v>0</v>
      </c>
      <c r="F4205">
        <v>41</v>
      </c>
      <c r="G4205" t="str">
        <f t="shared" si="73"/>
        <v>41-60</v>
      </c>
      <c r="H4205" t="s">
        <v>35</v>
      </c>
      <c r="I4205" t="s">
        <v>58</v>
      </c>
      <c r="J4205" t="s">
        <v>59</v>
      </c>
      <c r="K4205" t="s">
        <v>38</v>
      </c>
      <c r="L4205">
        <v>1</v>
      </c>
      <c r="M4205">
        <v>1</v>
      </c>
      <c r="N4205">
        <v>3.1</v>
      </c>
      <c r="O4205">
        <v>8.6999999999999993</v>
      </c>
      <c r="P4205">
        <v>4</v>
      </c>
      <c r="Q4205">
        <v>5</v>
      </c>
      <c r="R4205">
        <v>662638</v>
      </c>
      <c r="S4205">
        <f>Table1[[#This Row],[Revenue]]-Table1[[#This Row],[Operating_Costs]]</f>
        <v>262675</v>
      </c>
      <c r="T4205">
        <v>399963</v>
      </c>
      <c r="U4205">
        <v>33</v>
      </c>
      <c r="V4205">
        <v>60</v>
      </c>
      <c r="W4205">
        <v>7.2</v>
      </c>
    </row>
    <row r="4206" spans="1:23" x14ac:dyDescent="0.25">
      <c r="A4206">
        <v>13</v>
      </c>
      <c r="B4206" t="s">
        <v>30</v>
      </c>
      <c r="C4206" s="1">
        <v>44604</v>
      </c>
      <c r="D4206" t="s">
        <v>71</v>
      </c>
      <c r="E4206">
        <v>0</v>
      </c>
      <c r="F4206">
        <v>28</v>
      </c>
      <c r="G4206" t="str">
        <f t="shared" si="73"/>
        <v>21-40</v>
      </c>
      <c r="H4206" t="s">
        <v>35</v>
      </c>
      <c r="I4206" t="s">
        <v>46</v>
      </c>
      <c r="J4206" t="s">
        <v>47</v>
      </c>
      <c r="K4206" t="s">
        <v>33</v>
      </c>
      <c r="L4206">
        <v>1</v>
      </c>
      <c r="M4206">
        <v>1</v>
      </c>
      <c r="N4206">
        <v>6.4</v>
      </c>
      <c r="O4206">
        <v>7.3</v>
      </c>
      <c r="P4206">
        <v>3</v>
      </c>
      <c r="Q4206">
        <v>4</v>
      </c>
      <c r="R4206">
        <v>786263</v>
      </c>
      <c r="S4206">
        <f>Table1[[#This Row],[Revenue]]-Table1[[#This Row],[Operating_Costs]]</f>
        <v>410355</v>
      </c>
      <c r="T4206">
        <v>375908</v>
      </c>
      <c r="U4206">
        <v>31</v>
      </c>
      <c r="V4206">
        <v>65</v>
      </c>
      <c r="W4206">
        <v>12.4</v>
      </c>
    </row>
    <row r="4207" spans="1:23" x14ac:dyDescent="0.25">
      <c r="A4207">
        <v>13</v>
      </c>
      <c r="B4207" t="s">
        <v>30</v>
      </c>
      <c r="C4207" s="1">
        <v>45434</v>
      </c>
      <c r="D4207" t="s">
        <v>71</v>
      </c>
      <c r="E4207">
        <v>0</v>
      </c>
      <c r="F4207">
        <v>40</v>
      </c>
      <c r="G4207" t="str">
        <f t="shared" si="73"/>
        <v>21-40</v>
      </c>
      <c r="H4207" t="s">
        <v>23</v>
      </c>
      <c r="I4207" t="s">
        <v>24</v>
      </c>
      <c r="J4207" t="s">
        <v>25</v>
      </c>
      <c r="K4207" t="s">
        <v>38</v>
      </c>
      <c r="L4207">
        <v>1</v>
      </c>
      <c r="M4207">
        <v>1</v>
      </c>
      <c r="N4207">
        <v>3.2</v>
      </c>
      <c r="O4207">
        <v>9.1</v>
      </c>
      <c r="P4207">
        <v>7</v>
      </c>
      <c r="Q4207">
        <v>7</v>
      </c>
      <c r="R4207">
        <v>734787</v>
      </c>
      <c r="S4207">
        <f>Table1[[#This Row],[Revenue]]-Table1[[#This Row],[Operating_Costs]]</f>
        <v>325926</v>
      </c>
      <c r="T4207">
        <v>408861</v>
      </c>
      <c r="U4207">
        <v>34</v>
      </c>
      <c r="V4207">
        <v>57</v>
      </c>
      <c r="W4207">
        <v>14.9</v>
      </c>
    </row>
    <row r="4208" spans="1:23" x14ac:dyDescent="0.25">
      <c r="A4208">
        <v>13</v>
      </c>
      <c r="B4208" t="s">
        <v>30</v>
      </c>
      <c r="C4208" s="1">
        <v>45132</v>
      </c>
      <c r="D4208" t="s">
        <v>71</v>
      </c>
      <c r="E4208">
        <v>0</v>
      </c>
      <c r="F4208">
        <v>52</v>
      </c>
      <c r="G4208" t="str">
        <f t="shared" si="73"/>
        <v>41-60</v>
      </c>
      <c r="H4208" t="s">
        <v>23</v>
      </c>
      <c r="I4208" t="s">
        <v>43</v>
      </c>
      <c r="J4208" t="s">
        <v>25</v>
      </c>
      <c r="K4208" t="s">
        <v>38</v>
      </c>
      <c r="L4208">
        <v>1</v>
      </c>
      <c r="M4208">
        <v>1</v>
      </c>
      <c r="N4208">
        <v>1.8</v>
      </c>
      <c r="O4208">
        <v>8.5</v>
      </c>
      <c r="P4208">
        <v>4</v>
      </c>
      <c r="Q4208">
        <v>7</v>
      </c>
      <c r="R4208">
        <v>620397</v>
      </c>
      <c r="S4208">
        <f>Table1[[#This Row],[Revenue]]-Table1[[#This Row],[Operating_Costs]]</f>
        <v>267382</v>
      </c>
      <c r="T4208">
        <v>353015</v>
      </c>
      <c r="U4208">
        <v>30</v>
      </c>
      <c r="V4208">
        <v>63</v>
      </c>
      <c r="W4208">
        <v>7.9</v>
      </c>
    </row>
    <row r="4209" spans="1:23" x14ac:dyDescent="0.25">
      <c r="A4209">
        <v>13</v>
      </c>
      <c r="B4209" t="s">
        <v>30</v>
      </c>
      <c r="C4209" s="1">
        <v>44693</v>
      </c>
      <c r="D4209" t="s">
        <v>71</v>
      </c>
      <c r="E4209">
        <v>0</v>
      </c>
      <c r="F4209">
        <v>78</v>
      </c>
      <c r="G4209" t="str">
        <f t="shared" si="73"/>
        <v>61-80</v>
      </c>
      <c r="H4209" t="s">
        <v>23</v>
      </c>
      <c r="I4209" t="s">
        <v>55</v>
      </c>
      <c r="J4209" t="s">
        <v>56</v>
      </c>
      <c r="K4209" t="s">
        <v>29</v>
      </c>
      <c r="L4209">
        <v>1</v>
      </c>
      <c r="M4209">
        <v>1</v>
      </c>
      <c r="N4209">
        <v>3.5</v>
      </c>
      <c r="O4209">
        <v>8.1</v>
      </c>
      <c r="P4209">
        <v>6</v>
      </c>
      <c r="Q4209">
        <v>3</v>
      </c>
      <c r="R4209">
        <v>602634</v>
      </c>
      <c r="S4209">
        <f>Table1[[#This Row],[Revenue]]-Table1[[#This Row],[Operating_Costs]]</f>
        <v>230632</v>
      </c>
      <c r="T4209">
        <v>372002</v>
      </c>
      <c r="U4209">
        <v>38</v>
      </c>
      <c r="V4209">
        <v>56</v>
      </c>
      <c r="W4209">
        <v>8.3000000000000007</v>
      </c>
    </row>
    <row r="4210" spans="1:23" x14ac:dyDescent="0.25">
      <c r="A4210">
        <v>13</v>
      </c>
      <c r="B4210" t="s">
        <v>30</v>
      </c>
      <c r="C4210" s="1">
        <v>44405</v>
      </c>
      <c r="D4210" t="s">
        <v>71</v>
      </c>
      <c r="E4210">
        <v>0</v>
      </c>
      <c r="F4210">
        <v>37</v>
      </c>
      <c r="G4210" t="str">
        <f t="shared" si="73"/>
        <v>21-40</v>
      </c>
      <c r="H4210" t="s">
        <v>23</v>
      </c>
      <c r="I4210" t="s">
        <v>61</v>
      </c>
      <c r="J4210" t="s">
        <v>62</v>
      </c>
      <c r="K4210" t="s">
        <v>38</v>
      </c>
      <c r="L4210">
        <v>1</v>
      </c>
      <c r="M4210">
        <v>1</v>
      </c>
      <c r="N4210">
        <v>3.7</v>
      </c>
      <c r="O4210">
        <v>7.5</v>
      </c>
      <c r="P4210">
        <v>7</v>
      </c>
      <c r="Q4210">
        <v>7</v>
      </c>
      <c r="R4210">
        <v>402893</v>
      </c>
      <c r="S4210">
        <f>Table1[[#This Row],[Revenue]]-Table1[[#This Row],[Operating_Costs]]</f>
        <v>25572</v>
      </c>
      <c r="T4210">
        <v>377321</v>
      </c>
      <c r="U4210">
        <v>41</v>
      </c>
      <c r="V4210">
        <v>60</v>
      </c>
      <c r="W4210">
        <v>10.8</v>
      </c>
    </row>
    <row r="4211" spans="1:23" x14ac:dyDescent="0.25">
      <c r="A4211">
        <v>13</v>
      </c>
      <c r="B4211" t="s">
        <v>30</v>
      </c>
      <c r="C4211" s="1">
        <v>45349</v>
      </c>
      <c r="D4211" t="s">
        <v>71</v>
      </c>
      <c r="E4211">
        <v>0</v>
      </c>
      <c r="F4211">
        <v>77</v>
      </c>
      <c r="G4211" t="str">
        <f t="shared" si="73"/>
        <v>61-80</v>
      </c>
      <c r="H4211" t="s">
        <v>35</v>
      </c>
      <c r="I4211" t="s">
        <v>58</v>
      </c>
      <c r="J4211" t="s">
        <v>59</v>
      </c>
      <c r="K4211" t="s">
        <v>33</v>
      </c>
      <c r="L4211">
        <v>1</v>
      </c>
      <c r="M4211">
        <v>1</v>
      </c>
      <c r="N4211">
        <v>2.9</v>
      </c>
      <c r="O4211">
        <v>8</v>
      </c>
      <c r="P4211">
        <v>5</v>
      </c>
      <c r="Q4211">
        <v>4</v>
      </c>
      <c r="R4211">
        <v>737271</v>
      </c>
      <c r="S4211">
        <f>Table1[[#This Row],[Revenue]]-Table1[[#This Row],[Operating_Costs]]</f>
        <v>329482</v>
      </c>
      <c r="T4211">
        <v>407789</v>
      </c>
      <c r="U4211">
        <v>49</v>
      </c>
      <c r="V4211">
        <v>58</v>
      </c>
      <c r="W4211">
        <v>8.8000000000000007</v>
      </c>
    </row>
    <row r="4212" spans="1:23" x14ac:dyDescent="0.25">
      <c r="A4212">
        <v>13</v>
      </c>
      <c r="B4212" t="s">
        <v>30</v>
      </c>
      <c r="C4212" s="1">
        <v>44651</v>
      </c>
      <c r="D4212" t="s">
        <v>71</v>
      </c>
      <c r="E4212">
        <v>0</v>
      </c>
      <c r="F4212">
        <v>86</v>
      </c>
      <c r="G4212" t="str">
        <f t="shared" si="73"/>
        <v>81+</v>
      </c>
      <c r="H4212" t="s">
        <v>23</v>
      </c>
      <c r="I4212" t="s">
        <v>55</v>
      </c>
      <c r="J4212" t="s">
        <v>56</v>
      </c>
      <c r="K4212" t="s">
        <v>33</v>
      </c>
      <c r="L4212">
        <v>1</v>
      </c>
      <c r="M4212">
        <v>1</v>
      </c>
      <c r="N4212">
        <v>2.6</v>
      </c>
      <c r="O4212">
        <v>8.5</v>
      </c>
      <c r="P4212">
        <v>6</v>
      </c>
      <c r="Q4212">
        <v>5</v>
      </c>
      <c r="R4212">
        <v>785934</v>
      </c>
      <c r="S4212">
        <f>Table1[[#This Row],[Revenue]]-Table1[[#This Row],[Operating_Costs]]</f>
        <v>421811</v>
      </c>
      <c r="T4212">
        <v>364123</v>
      </c>
      <c r="U4212">
        <v>44</v>
      </c>
      <c r="V4212">
        <v>62</v>
      </c>
      <c r="W4212">
        <v>12.9</v>
      </c>
    </row>
    <row r="4213" spans="1:23" x14ac:dyDescent="0.25">
      <c r="A4213">
        <v>13</v>
      </c>
      <c r="B4213" t="s">
        <v>30</v>
      </c>
      <c r="C4213" s="1">
        <v>45341</v>
      </c>
      <c r="D4213" t="s">
        <v>71</v>
      </c>
      <c r="E4213">
        <v>0</v>
      </c>
      <c r="F4213">
        <v>70</v>
      </c>
      <c r="G4213" t="str">
        <f t="shared" si="73"/>
        <v>61-80</v>
      </c>
      <c r="H4213" t="s">
        <v>23</v>
      </c>
      <c r="I4213" t="s">
        <v>46</v>
      </c>
      <c r="J4213" t="s">
        <v>47</v>
      </c>
      <c r="K4213" t="s">
        <v>42</v>
      </c>
      <c r="L4213">
        <v>1</v>
      </c>
      <c r="M4213">
        <v>1</v>
      </c>
      <c r="N4213">
        <v>2</v>
      </c>
      <c r="O4213">
        <v>8.4</v>
      </c>
      <c r="P4213">
        <v>5</v>
      </c>
      <c r="Q4213">
        <v>7</v>
      </c>
      <c r="R4213">
        <v>745172</v>
      </c>
      <c r="S4213">
        <f>Table1[[#This Row],[Revenue]]-Table1[[#This Row],[Operating_Costs]]</f>
        <v>337737</v>
      </c>
      <c r="T4213">
        <v>407435</v>
      </c>
      <c r="U4213">
        <v>45</v>
      </c>
      <c r="V4213">
        <v>65</v>
      </c>
      <c r="W4213">
        <v>5.5</v>
      </c>
    </row>
    <row r="4214" spans="1:23" x14ac:dyDescent="0.25">
      <c r="A4214">
        <v>13</v>
      </c>
      <c r="B4214" t="s">
        <v>30</v>
      </c>
      <c r="C4214" s="1">
        <v>44653</v>
      </c>
      <c r="D4214" t="s">
        <v>71</v>
      </c>
      <c r="E4214">
        <v>0</v>
      </c>
      <c r="F4214">
        <v>62</v>
      </c>
      <c r="G4214" t="str">
        <f t="shared" si="73"/>
        <v>61-80</v>
      </c>
      <c r="H4214" t="s">
        <v>23</v>
      </c>
      <c r="I4214" t="s">
        <v>55</v>
      </c>
      <c r="J4214" t="s">
        <v>56</v>
      </c>
      <c r="K4214" t="s">
        <v>38</v>
      </c>
      <c r="L4214">
        <v>1</v>
      </c>
      <c r="M4214">
        <v>1</v>
      </c>
      <c r="N4214">
        <v>4.7</v>
      </c>
      <c r="O4214">
        <v>8.4</v>
      </c>
      <c r="P4214">
        <v>6</v>
      </c>
      <c r="Q4214">
        <v>6</v>
      </c>
      <c r="R4214">
        <v>551876</v>
      </c>
      <c r="S4214">
        <f>Table1[[#This Row],[Revenue]]-Table1[[#This Row],[Operating_Costs]]</f>
        <v>176187</v>
      </c>
      <c r="T4214">
        <v>375689</v>
      </c>
      <c r="U4214">
        <v>46</v>
      </c>
      <c r="V4214">
        <v>55</v>
      </c>
      <c r="W4214">
        <v>8</v>
      </c>
    </row>
    <row r="4215" spans="1:23" x14ac:dyDescent="0.25">
      <c r="A4215">
        <v>13</v>
      </c>
      <c r="B4215" t="s">
        <v>30</v>
      </c>
      <c r="C4215" s="1">
        <v>44198</v>
      </c>
      <c r="D4215" t="s">
        <v>71</v>
      </c>
      <c r="E4215">
        <v>0</v>
      </c>
      <c r="F4215">
        <v>27</v>
      </c>
      <c r="G4215" t="str">
        <f t="shared" si="73"/>
        <v>21-40</v>
      </c>
      <c r="H4215" t="s">
        <v>35</v>
      </c>
      <c r="I4215" t="s">
        <v>46</v>
      </c>
      <c r="J4215" t="s">
        <v>47</v>
      </c>
      <c r="K4215" t="s">
        <v>26</v>
      </c>
      <c r="L4215">
        <v>1</v>
      </c>
      <c r="M4215">
        <v>1</v>
      </c>
      <c r="N4215">
        <v>1.6</v>
      </c>
      <c r="O4215">
        <v>9.8000000000000007</v>
      </c>
      <c r="P4215">
        <v>6</v>
      </c>
      <c r="Q4215">
        <v>5</v>
      </c>
      <c r="R4215">
        <v>462737</v>
      </c>
      <c r="S4215">
        <f>Table1[[#This Row],[Revenue]]-Table1[[#This Row],[Operating_Costs]]</f>
        <v>94280</v>
      </c>
      <c r="T4215">
        <v>368457</v>
      </c>
      <c r="U4215">
        <v>50</v>
      </c>
      <c r="V4215">
        <v>62</v>
      </c>
      <c r="W4215">
        <v>7.8</v>
      </c>
    </row>
    <row r="4216" spans="1:23" x14ac:dyDescent="0.25">
      <c r="A4216">
        <v>13</v>
      </c>
      <c r="B4216" t="s">
        <v>30</v>
      </c>
      <c r="C4216" s="1">
        <v>45577</v>
      </c>
      <c r="D4216" t="s">
        <v>71</v>
      </c>
      <c r="E4216">
        <v>0</v>
      </c>
      <c r="F4216">
        <v>35</v>
      </c>
      <c r="G4216" t="str">
        <f t="shared" si="73"/>
        <v>21-40</v>
      </c>
      <c r="H4216" t="s">
        <v>35</v>
      </c>
      <c r="I4216" t="s">
        <v>61</v>
      </c>
      <c r="J4216" t="s">
        <v>62</v>
      </c>
      <c r="K4216" t="s">
        <v>42</v>
      </c>
      <c r="L4216">
        <v>1</v>
      </c>
      <c r="M4216">
        <v>1</v>
      </c>
      <c r="N4216">
        <v>1.6</v>
      </c>
      <c r="O4216">
        <v>7.6</v>
      </c>
      <c r="P4216">
        <v>7</v>
      </c>
      <c r="Q4216">
        <v>4</v>
      </c>
      <c r="R4216">
        <v>705658</v>
      </c>
      <c r="S4216">
        <f>Table1[[#This Row],[Revenue]]-Table1[[#This Row],[Operating_Costs]]</f>
        <v>352330</v>
      </c>
      <c r="T4216">
        <v>353328</v>
      </c>
      <c r="U4216">
        <v>31</v>
      </c>
      <c r="V4216">
        <v>60</v>
      </c>
      <c r="W4216">
        <v>12.3</v>
      </c>
    </row>
    <row r="4217" spans="1:23" x14ac:dyDescent="0.25">
      <c r="A4217">
        <v>13</v>
      </c>
      <c r="B4217" t="s">
        <v>30</v>
      </c>
      <c r="C4217" s="1">
        <v>44694</v>
      </c>
      <c r="D4217" t="s">
        <v>71</v>
      </c>
      <c r="E4217">
        <v>0</v>
      </c>
      <c r="F4217">
        <v>65</v>
      </c>
      <c r="G4217" t="str">
        <f t="shared" si="73"/>
        <v>61-80</v>
      </c>
      <c r="H4217" t="s">
        <v>35</v>
      </c>
      <c r="I4217" t="s">
        <v>36</v>
      </c>
      <c r="J4217" t="s">
        <v>37</v>
      </c>
      <c r="K4217" t="s">
        <v>29</v>
      </c>
      <c r="L4217">
        <v>1</v>
      </c>
      <c r="M4217">
        <v>1</v>
      </c>
      <c r="N4217">
        <v>6.2</v>
      </c>
      <c r="O4217">
        <v>8.3000000000000007</v>
      </c>
      <c r="P4217">
        <v>5</v>
      </c>
      <c r="Q4217">
        <v>4</v>
      </c>
      <c r="R4217">
        <v>561803</v>
      </c>
      <c r="S4217">
        <f>Table1[[#This Row],[Revenue]]-Table1[[#This Row],[Operating_Costs]]</f>
        <v>188280</v>
      </c>
      <c r="T4217">
        <v>373523</v>
      </c>
      <c r="U4217">
        <v>33</v>
      </c>
      <c r="V4217">
        <v>62</v>
      </c>
      <c r="W4217">
        <v>8.4</v>
      </c>
    </row>
    <row r="4218" spans="1:23" x14ac:dyDescent="0.25">
      <c r="A4218">
        <v>13</v>
      </c>
      <c r="B4218" t="s">
        <v>30</v>
      </c>
      <c r="C4218" s="1">
        <v>45473</v>
      </c>
      <c r="D4218" t="s">
        <v>71</v>
      </c>
      <c r="E4218">
        <v>0</v>
      </c>
      <c r="F4218">
        <v>66</v>
      </c>
      <c r="G4218" t="str">
        <f t="shared" si="73"/>
        <v>61-80</v>
      </c>
      <c r="H4218" t="s">
        <v>23</v>
      </c>
      <c r="I4218" t="s">
        <v>61</v>
      </c>
      <c r="J4218" t="s">
        <v>62</v>
      </c>
      <c r="K4218" t="s">
        <v>42</v>
      </c>
      <c r="L4218">
        <v>1</v>
      </c>
      <c r="M4218">
        <v>1</v>
      </c>
      <c r="N4218">
        <v>5.2</v>
      </c>
      <c r="O4218">
        <v>9.1999999999999993</v>
      </c>
      <c r="P4218">
        <v>5</v>
      </c>
      <c r="Q4218">
        <v>5</v>
      </c>
      <c r="R4218">
        <v>644954</v>
      </c>
      <c r="S4218">
        <f>Table1[[#This Row],[Revenue]]-Table1[[#This Row],[Operating_Costs]]</f>
        <v>272248</v>
      </c>
      <c r="T4218">
        <v>372706</v>
      </c>
      <c r="U4218">
        <v>37</v>
      </c>
      <c r="V4218">
        <v>66</v>
      </c>
      <c r="W4218">
        <v>36.9</v>
      </c>
    </row>
    <row r="4219" spans="1:23" x14ac:dyDescent="0.25">
      <c r="A4219">
        <v>13</v>
      </c>
      <c r="B4219" t="s">
        <v>30</v>
      </c>
      <c r="C4219" s="1">
        <v>45526</v>
      </c>
      <c r="D4219" t="s">
        <v>71</v>
      </c>
      <c r="E4219">
        <v>0</v>
      </c>
      <c r="F4219">
        <v>27</v>
      </c>
      <c r="G4219" t="str">
        <f t="shared" si="73"/>
        <v>21-40</v>
      </c>
      <c r="H4219" t="s">
        <v>35</v>
      </c>
      <c r="I4219" t="s">
        <v>55</v>
      </c>
      <c r="J4219" t="s">
        <v>56</v>
      </c>
      <c r="K4219" t="s">
        <v>33</v>
      </c>
      <c r="L4219">
        <v>1</v>
      </c>
      <c r="M4219">
        <v>1</v>
      </c>
      <c r="N4219">
        <v>4.4000000000000004</v>
      </c>
      <c r="O4219">
        <v>8.1999999999999993</v>
      </c>
      <c r="P4219">
        <v>7</v>
      </c>
      <c r="Q4219">
        <v>7</v>
      </c>
      <c r="R4219">
        <v>500648</v>
      </c>
      <c r="S4219">
        <f>Table1[[#This Row],[Revenue]]-Table1[[#This Row],[Operating_Costs]]</f>
        <v>116997</v>
      </c>
      <c r="T4219">
        <v>383651</v>
      </c>
      <c r="U4219">
        <v>41</v>
      </c>
      <c r="V4219">
        <v>54</v>
      </c>
      <c r="W4219">
        <v>8.9</v>
      </c>
    </row>
    <row r="4220" spans="1:23" x14ac:dyDescent="0.25">
      <c r="A4220">
        <v>13</v>
      </c>
      <c r="B4220" t="s">
        <v>30</v>
      </c>
      <c r="C4220" s="1">
        <v>45187</v>
      </c>
      <c r="D4220" t="s">
        <v>71</v>
      </c>
      <c r="E4220">
        <v>0</v>
      </c>
      <c r="F4220">
        <v>65</v>
      </c>
      <c r="G4220" t="str">
        <f t="shared" si="73"/>
        <v>61-80</v>
      </c>
      <c r="H4220" t="s">
        <v>35</v>
      </c>
      <c r="I4220" t="s">
        <v>60</v>
      </c>
      <c r="J4220" t="s">
        <v>59</v>
      </c>
      <c r="K4220" t="s">
        <v>26</v>
      </c>
      <c r="L4220">
        <v>1</v>
      </c>
      <c r="M4220">
        <v>1</v>
      </c>
      <c r="N4220">
        <v>6</v>
      </c>
      <c r="O4220">
        <v>8.8000000000000007</v>
      </c>
      <c r="P4220">
        <v>5</v>
      </c>
      <c r="Q4220">
        <v>7</v>
      </c>
      <c r="R4220">
        <v>638285</v>
      </c>
      <c r="S4220">
        <f>Table1[[#This Row],[Revenue]]-Table1[[#This Row],[Operating_Costs]]</f>
        <v>259628</v>
      </c>
      <c r="T4220">
        <v>378657</v>
      </c>
      <c r="U4220">
        <v>38</v>
      </c>
      <c r="V4220">
        <v>62</v>
      </c>
      <c r="W4220">
        <v>5.8</v>
      </c>
    </row>
    <row r="4221" spans="1:23" x14ac:dyDescent="0.25">
      <c r="A4221">
        <v>13</v>
      </c>
      <c r="B4221" t="s">
        <v>30</v>
      </c>
      <c r="C4221" s="1">
        <v>45330</v>
      </c>
      <c r="D4221" t="s">
        <v>71</v>
      </c>
      <c r="E4221">
        <v>0</v>
      </c>
      <c r="F4221">
        <v>68</v>
      </c>
      <c r="G4221" t="str">
        <f t="shared" si="73"/>
        <v>61-80</v>
      </c>
      <c r="H4221" t="s">
        <v>23</v>
      </c>
      <c r="I4221" t="s">
        <v>50</v>
      </c>
      <c r="J4221" t="s">
        <v>51</v>
      </c>
      <c r="K4221" t="s">
        <v>42</v>
      </c>
      <c r="L4221">
        <v>1</v>
      </c>
      <c r="M4221">
        <v>1</v>
      </c>
      <c r="N4221">
        <v>6.6</v>
      </c>
      <c r="O4221">
        <v>7.1</v>
      </c>
      <c r="P4221">
        <v>4</v>
      </c>
      <c r="Q4221">
        <v>4</v>
      </c>
      <c r="R4221">
        <v>764029</v>
      </c>
      <c r="S4221">
        <f>Table1[[#This Row],[Revenue]]-Table1[[#This Row],[Operating_Costs]]</f>
        <v>369926</v>
      </c>
      <c r="T4221">
        <v>394103</v>
      </c>
      <c r="U4221">
        <v>41</v>
      </c>
      <c r="V4221">
        <v>66</v>
      </c>
      <c r="W4221">
        <v>36.299999999999997</v>
      </c>
    </row>
    <row r="4222" spans="1:23" x14ac:dyDescent="0.25">
      <c r="A4222">
        <v>13</v>
      </c>
      <c r="B4222" t="s">
        <v>30</v>
      </c>
      <c r="C4222" s="1">
        <v>44861</v>
      </c>
      <c r="D4222" t="s">
        <v>71</v>
      </c>
      <c r="E4222">
        <v>0</v>
      </c>
      <c r="F4222">
        <v>72</v>
      </c>
      <c r="G4222" t="str">
        <f t="shared" si="73"/>
        <v>61-80</v>
      </c>
      <c r="H4222" t="s">
        <v>35</v>
      </c>
      <c r="I4222" t="s">
        <v>64</v>
      </c>
      <c r="J4222" t="s">
        <v>65</v>
      </c>
      <c r="K4222" t="s">
        <v>26</v>
      </c>
      <c r="L4222">
        <v>1</v>
      </c>
      <c r="M4222">
        <v>1</v>
      </c>
      <c r="N4222">
        <v>2</v>
      </c>
      <c r="O4222">
        <v>7.8</v>
      </c>
      <c r="P4222">
        <v>3</v>
      </c>
      <c r="Q4222">
        <v>6</v>
      </c>
      <c r="R4222">
        <v>692289</v>
      </c>
      <c r="S4222">
        <f>Table1[[#This Row],[Revenue]]-Table1[[#This Row],[Operating_Costs]]</f>
        <v>325684</v>
      </c>
      <c r="T4222">
        <v>366605</v>
      </c>
      <c r="U4222">
        <v>35</v>
      </c>
      <c r="V4222">
        <v>55</v>
      </c>
      <c r="W4222">
        <v>14.2</v>
      </c>
    </row>
    <row r="4223" spans="1:23" x14ac:dyDescent="0.25">
      <c r="A4223">
        <v>13</v>
      </c>
      <c r="B4223" t="s">
        <v>30</v>
      </c>
      <c r="C4223" s="1">
        <v>44527</v>
      </c>
      <c r="D4223" t="s">
        <v>71</v>
      </c>
      <c r="E4223">
        <v>0</v>
      </c>
      <c r="F4223">
        <v>76</v>
      </c>
      <c r="G4223" t="str">
        <f t="shared" si="73"/>
        <v>61-80</v>
      </c>
      <c r="H4223" t="s">
        <v>23</v>
      </c>
      <c r="I4223" t="s">
        <v>55</v>
      </c>
      <c r="J4223" t="s">
        <v>56</v>
      </c>
      <c r="K4223" t="s">
        <v>29</v>
      </c>
      <c r="L4223">
        <v>1</v>
      </c>
      <c r="M4223">
        <v>1</v>
      </c>
      <c r="N4223">
        <v>4.3</v>
      </c>
      <c r="O4223">
        <v>8.8000000000000007</v>
      </c>
      <c r="P4223">
        <v>3</v>
      </c>
      <c r="Q4223">
        <v>6</v>
      </c>
      <c r="R4223">
        <v>621526</v>
      </c>
      <c r="S4223">
        <f>Table1[[#This Row],[Revenue]]-Table1[[#This Row],[Operating_Costs]]</f>
        <v>247885</v>
      </c>
      <c r="T4223">
        <v>373641</v>
      </c>
      <c r="U4223">
        <v>45</v>
      </c>
      <c r="V4223">
        <v>54</v>
      </c>
      <c r="W4223">
        <v>36.1</v>
      </c>
    </row>
    <row r="4224" spans="1:23" x14ac:dyDescent="0.25">
      <c r="A4224">
        <v>13</v>
      </c>
      <c r="B4224" t="s">
        <v>30</v>
      </c>
      <c r="C4224" s="1">
        <v>44955</v>
      </c>
      <c r="D4224" t="s">
        <v>71</v>
      </c>
      <c r="E4224">
        <v>0</v>
      </c>
      <c r="F4224">
        <v>29</v>
      </c>
      <c r="G4224" t="str">
        <f t="shared" si="73"/>
        <v>21-40</v>
      </c>
      <c r="H4224" t="s">
        <v>35</v>
      </c>
      <c r="I4224" t="s">
        <v>31</v>
      </c>
      <c r="J4224" t="s">
        <v>28</v>
      </c>
      <c r="K4224" t="s">
        <v>33</v>
      </c>
      <c r="L4224">
        <v>1</v>
      </c>
      <c r="M4224">
        <v>1</v>
      </c>
      <c r="N4224">
        <v>5.4</v>
      </c>
      <c r="O4224">
        <v>8.6999999999999993</v>
      </c>
      <c r="P4224">
        <v>5</v>
      </c>
      <c r="Q4224">
        <v>4</v>
      </c>
      <c r="R4224">
        <v>642303</v>
      </c>
      <c r="S4224">
        <f>Table1[[#This Row],[Revenue]]-Table1[[#This Row],[Operating_Costs]]</f>
        <v>261333</v>
      </c>
      <c r="T4224">
        <v>380970</v>
      </c>
      <c r="U4224">
        <v>44</v>
      </c>
      <c r="V4224">
        <v>66</v>
      </c>
      <c r="W4224">
        <v>36.1</v>
      </c>
    </row>
    <row r="4225" spans="1:23" x14ac:dyDescent="0.25">
      <c r="A4225">
        <v>13</v>
      </c>
      <c r="B4225" t="s">
        <v>30</v>
      </c>
      <c r="C4225" s="1">
        <v>45626</v>
      </c>
      <c r="D4225" t="s">
        <v>71</v>
      </c>
      <c r="E4225">
        <v>0</v>
      </c>
      <c r="F4225">
        <v>26</v>
      </c>
      <c r="G4225" t="str">
        <f t="shared" si="73"/>
        <v>21-40</v>
      </c>
      <c r="H4225" t="s">
        <v>23</v>
      </c>
      <c r="I4225" t="s">
        <v>61</v>
      </c>
      <c r="J4225" t="s">
        <v>62</v>
      </c>
      <c r="K4225" t="s">
        <v>38</v>
      </c>
      <c r="L4225">
        <v>1</v>
      </c>
      <c r="M4225">
        <v>1</v>
      </c>
      <c r="N4225">
        <v>6.4</v>
      </c>
      <c r="O4225">
        <v>7.1</v>
      </c>
      <c r="P4225">
        <v>6</v>
      </c>
      <c r="Q4225">
        <v>5</v>
      </c>
      <c r="R4225">
        <v>750827</v>
      </c>
      <c r="S4225">
        <f>Table1[[#This Row],[Revenue]]-Table1[[#This Row],[Operating_Costs]]</f>
        <v>347371</v>
      </c>
      <c r="T4225">
        <v>403456</v>
      </c>
      <c r="U4225">
        <v>31</v>
      </c>
      <c r="V4225">
        <v>57</v>
      </c>
      <c r="W4225">
        <v>36.299999999999997</v>
      </c>
    </row>
    <row r="4226" spans="1:23" x14ac:dyDescent="0.25">
      <c r="A4226">
        <v>13</v>
      </c>
      <c r="B4226" t="s">
        <v>30</v>
      </c>
      <c r="C4226" s="1">
        <v>44960</v>
      </c>
      <c r="D4226" t="s">
        <v>71</v>
      </c>
      <c r="E4226">
        <v>0</v>
      </c>
      <c r="F4226">
        <v>28</v>
      </c>
      <c r="G4226" t="str">
        <f t="shared" si="73"/>
        <v>21-40</v>
      </c>
      <c r="H4226" t="s">
        <v>35</v>
      </c>
      <c r="I4226" t="s">
        <v>40</v>
      </c>
      <c r="J4226" t="s">
        <v>41</v>
      </c>
      <c r="K4226" t="s">
        <v>42</v>
      </c>
      <c r="L4226">
        <v>1</v>
      </c>
      <c r="M4226">
        <v>1</v>
      </c>
      <c r="N4226">
        <v>1.5</v>
      </c>
      <c r="O4226">
        <v>8.1999999999999993</v>
      </c>
      <c r="P4226">
        <v>4</v>
      </c>
      <c r="Q4226">
        <v>6</v>
      </c>
      <c r="R4226">
        <v>619965</v>
      </c>
      <c r="S4226">
        <f>Table1[[#This Row],[Revenue]]-Table1[[#This Row],[Operating_Costs]]</f>
        <v>265740</v>
      </c>
      <c r="T4226">
        <v>354225</v>
      </c>
      <c r="U4226">
        <v>31</v>
      </c>
      <c r="V4226">
        <v>57</v>
      </c>
      <c r="W4226">
        <v>14.9</v>
      </c>
    </row>
    <row r="4227" spans="1:23" x14ac:dyDescent="0.25">
      <c r="A4227">
        <v>13</v>
      </c>
      <c r="B4227" t="s">
        <v>30</v>
      </c>
      <c r="C4227" s="1">
        <v>44562</v>
      </c>
      <c r="D4227" t="s">
        <v>71</v>
      </c>
      <c r="E4227">
        <v>0</v>
      </c>
      <c r="F4227">
        <v>76</v>
      </c>
      <c r="G4227" t="str">
        <f t="shared" ref="G4227:G4290" si="74">IF(F4227&lt;=20,"0-20",IF(F4227&lt;=40,"21-40",IF(F4227&lt;=60,"41-60",IF(F4227&lt;=80,"61-80","81+"))))</f>
        <v>61-80</v>
      </c>
      <c r="H4227" t="s">
        <v>23</v>
      </c>
      <c r="I4227" t="s">
        <v>27</v>
      </c>
      <c r="J4227" t="s">
        <v>28</v>
      </c>
      <c r="K4227" t="s">
        <v>38</v>
      </c>
      <c r="L4227">
        <v>1</v>
      </c>
      <c r="M4227">
        <v>1</v>
      </c>
      <c r="N4227">
        <v>3.5</v>
      </c>
      <c r="O4227">
        <v>8.8000000000000007</v>
      </c>
      <c r="P4227">
        <v>4</v>
      </c>
      <c r="Q4227">
        <v>4</v>
      </c>
      <c r="R4227">
        <v>542940</v>
      </c>
      <c r="S4227">
        <f>Table1[[#This Row],[Revenue]]-Table1[[#This Row],[Operating_Costs]]</f>
        <v>135970</v>
      </c>
      <c r="T4227">
        <v>406970</v>
      </c>
      <c r="U4227">
        <v>31</v>
      </c>
      <c r="V4227">
        <v>58</v>
      </c>
      <c r="W4227">
        <v>36.700000000000003</v>
      </c>
    </row>
    <row r="4228" spans="1:23" x14ac:dyDescent="0.25">
      <c r="A4228">
        <v>13</v>
      </c>
      <c r="B4228" t="s">
        <v>30</v>
      </c>
      <c r="C4228" s="1">
        <v>44929</v>
      </c>
      <c r="D4228" t="s">
        <v>71</v>
      </c>
      <c r="E4228">
        <v>0</v>
      </c>
      <c r="F4228">
        <v>44</v>
      </c>
      <c r="G4228" t="str">
        <f t="shared" si="74"/>
        <v>41-60</v>
      </c>
      <c r="H4228" t="s">
        <v>23</v>
      </c>
      <c r="I4228" t="s">
        <v>50</v>
      </c>
      <c r="J4228" t="s">
        <v>51</v>
      </c>
      <c r="K4228" t="s">
        <v>29</v>
      </c>
      <c r="L4228">
        <v>1</v>
      </c>
      <c r="M4228">
        <v>1</v>
      </c>
      <c r="N4228">
        <v>2.2000000000000002</v>
      </c>
      <c r="O4228">
        <v>7.8</v>
      </c>
      <c r="P4228">
        <v>7</v>
      </c>
      <c r="Q4228">
        <v>3</v>
      </c>
      <c r="R4228">
        <v>687022</v>
      </c>
      <c r="S4228">
        <f>Table1[[#This Row],[Revenue]]-Table1[[#This Row],[Operating_Costs]]</f>
        <v>294015</v>
      </c>
      <c r="T4228">
        <v>393007</v>
      </c>
      <c r="U4228">
        <v>48</v>
      </c>
      <c r="V4228">
        <v>60</v>
      </c>
      <c r="W4228">
        <v>9.1</v>
      </c>
    </row>
    <row r="4229" spans="1:23" x14ac:dyDescent="0.25">
      <c r="A4229">
        <v>13</v>
      </c>
      <c r="B4229" t="s">
        <v>30</v>
      </c>
      <c r="C4229" s="1">
        <v>44281</v>
      </c>
      <c r="D4229" t="s">
        <v>71</v>
      </c>
      <c r="E4229">
        <v>0</v>
      </c>
      <c r="F4229">
        <v>47</v>
      </c>
      <c r="G4229" t="str">
        <f t="shared" si="74"/>
        <v>41-60</v>
      </c>
      <c r="H4229" t="s">
        <v>23</v>
      </c>
      <c r="I4229" t="s">
        <v>50</v>
      </c>
      <c r="J4229" t="s">
        <v>51</v>
      </c>
      <c r="K4229" t="s">
        <v>29</v>
      </c>
      <c r="L4229">
        <v>1</v>
      </c>
      <c r="M4229">
        <v>1</v>
      </c>
      <c r="N4229">
        <v>6.9</v>
      </c>
      <c r="O4229">
        <v>9.6999999999999993</v>
      </c>
      <c r="P4229">
        <v>4</v>
      </c>
      <c r="Q4229">
        <v>5</v>
      </c>
      <c r="R4229">
        <v>747412</v>
      </c>
      <c r="S4229">
        <f>Table1[[#This Row],[Revenue]]-Table1[[#This Row],[Operating_Costs]]</f>
        <v>357121</v>
      </c>
      <c r="T4229">
        <v>390291</v>
      </c>
      <c r="U4229">
        <v>44</v>
      </c>
      <c r="V4229">
        <v>57</v>
      </c>
      <c r="W4229">
        <v>8.1</v>
      </c>
    </row>
    <row r="4230" spans="1:23" x14ac:dyDescent="0.25">
      <c r="A4230">
        <v>13</v>
      </c>
      <c r="B4230" t="s">
        <v>30</v>
      </c>
      <c r="C4230" s="1">
        <v>44521</v>
      </c>
      <c r="D4230" t="s">
        <v>71</v>
      </c>
      <c r="E4230">
        <v>0</v>
      </c>
      <c r="F4230">
        <v>23</v>
      </c>
      <c r="G4230" t="str">
        <f t="shared" si="74"/>
        <v>21-40</v>
      </c>
      <c r="H4230" t="s">
        <v>23</v>
      </c>
      <c r="I4230" t="s">
        <v>61</v>
      </c>
      <c r="J4230" t="s">
        <v>62</v>
      </c>
      <c r="K4230" t="s">
        <v>42</v>
      </c>
      <c r="L4230">
        <v>1</v>
      </c>
      <c r="M4230">
        <v>1</v>
      </c>
      <c r="N4230">
        <v>4.5999999999999996</v>
      </c>
      <c r="O4230">
        <v>8.9</v>
      </c>
      <c r="P4230">
        <v>5</v>
      </c>
      <c r="Q4230">
        <v>6</v>
      </c>
      <c r="R4230">
        <v>781810</v>
      </c>
      <c r="S4230">
        <f>Table1[[#This Row],[Revenue]]-Table1[[#This Row],[Operating_Costs]]</f>
        <v>430413</v>
      </c>
      <c r="T4230">
        <v>351397</v>
      </c>
      <c r="U4230">
        <v>31</v>
      </c>
      <c r="V4230">
        <v>58</v>
      </c>
      <c r="W4230">
        <v>36.700000000000003</v>
      </c>
    </row>
    <row r="4231" spans="1:23" x14ac:dyDescent="0.25">
      <c r="A4231">
        <v>13</v>
      </c>
      <c r="B4231" t="s">
        <v>30</v>
      </c>
      <c r="C4231" s="1">
        <v>45554</v>
      </c>
      <c r="D4231" t="s">
        <v>71</v>
      </c>
      <c r="E4231">
        <v>0</v>
      </c>
      <c r="F4231">
        <v>87</v>
      </c>
      <c r="G4231" t="str">
        <f t="shared" si="74"/>
        <v>81+</v>
      </c>
      <c r="H4231" t="s">
        <v>35</v>
      </c>
      <c r="I4231" t="s">
        <v>40</v>
      </c>
      <c r="J4231" t="s">
        <v>41</v>
      </c>
      <c r="K4231" t="s">
        <v>29</v>
      </c>
      <c r="L4231">
        <v>1</v>
      </c>
      <c r="M4231">
        <v>1</v>
      </c>
      <c r="N4231">
        <v>4.5999999999999996</v>
      </c>
      <c r="O4231">
        <v>7.8</v>
      </c>
      <c r="P4231">
        <v>3</v>
      </c>
      <c r="Q4231">
        <v>4</v>
      </c>
      <c r="R4231">
        <v>640338</v>
      </c>
      <c r="S4231">
        <f>Table1[[#This Row],[Revenue]]-Table1[[#This Row],[Operating_Costs]]</f>
        <v>242311</v>
      </c>
      <c r="T4231">
        <v>398027</v>
      </c>
      <c r="U4231">
        <v>40</v>
      </c>
      <c r="V4231">
        <v>55</v>
      </c>
      <c r="W4231">
        <v>8</v>
      </c>
    </row>
    <row r="4232" spans="1:23" x14ac:dyDescent="0.25">
      <c r="A4232">
        <v>13</v>
      </c>
      <c r="B4232" t="s">
        <v>30</v>
      </c>
      <c r="C4232" s="1">
        <v>44658</v>
      </c>
      <c r="D4232" t="s">
        <v>71</v>
      </c>
      <c r="E4232">
        <v>0</v>
      </c>
      <c r="F4232">
        <v>37</v>
      </c>
      <c r="G4232" t="str">
        <f t="shared" si="74"/>
        <v>21-40</v>
      </c>
      <c r="H4232" t="s">
        <v>35</v>
      </c>
      <c r="I4232" t="s">
        <v>58</v>
      </c>
      <c r="J4232" t="s">
        <v>59</v>
      </c>
      <c r="K4232" t="s">
        <v>33</v>
      </c>
      <c r="L4232">
        <v>1</v>
      </c>
      <c r="M4232">
        <v>1</v>
      </c>
      <c r="N4232">
        <v>5.5</v>
      </c>
      <c r="O4232">
        <v>7.9</v>
      </c>
      <c r="P4232">
        <v>6</v>
      </c>
      <c r="Q4232">
        <v>6</v>
      </c>
      <c r="R4232">
        <v>485982</v>
      </c>
      <c r="S4232">
        <f>Table1[[#This Row],[Revenue]]-Table1[[#This Row],[Operating_Costs]]</f>
        <v>76022</v>
      </c>
      <c r="T4232">
        <v>409960</v>
      </c>
      <c r="U4232">
        <v>41</v>
      </c>
      <c r="V4232">
        <v>62</v>
      </c>
      <c r="W4232">
        <v>13.3</v>
      </c>
    </row>
    <row r="4233" spans="1:23" x14ac:dyDescent="0.25">
      <c r="A4233">
        <v>13</v>
      </c>
      <c r="B4233" t="s">
        <v>30</v>
      </c>
      <c r="C4233" s="1">
        <v>45185</v>
      </c>
      <c r="D4233" t="s">
        <v>71</v>
      </c>
      <c r="E4233">
        <v>0</v>
      </c>
      <c r="F4233">
        <v>40</v>
      </c>
      <c r="G4233" t="str">
        <f t="shared" si="74"/>
        <v>21-40</v>
      </c>
      <c r="H4233" t="s">
        <v>35</v>
      </c>
      <c r="I4233" t="s">
        <v>46</v>
      </c>
      <c r="J4233" t="s">
        <v>47</v>
      </c>
      <c r="K4233" t="s">
        <v>38</v>
      </c>
      <c r="L4233">
        <v>1</v>
      </c>
      <c r="M4233">
        <v>1</v>
      </c>
      <c r="N4233">
        <v>3.8</v>
      </c>
      <c r="O4233">
        <v>9</v>
      </c>
      <c r="P4233">
        <v>6</v>
      </c>
      <c r="Q4233">
        <v>7</v>
      </c>
      <c r="R4233">
        <v>561647</v>
      </c>
      <c r="S4233">
        <f>Table1[[#This Row],[Revenue]]-Table1[[#This Row],[Operating_Costs]]</f>
        <v>156067</v>
      </c>
      <c r="T4233">
        <v>405580</v>
      </c>
      <c r="U4233">
        <v>41</v>
      </c>
      <c r="V4233">
        <v>66</v>
      </c>
      <c r="W4233">
        <v>7.4</v>
      </c>
    </row>
    <row r="4234" spans="1:23" x14ac:dyDescent="0.25">
      <c r="A4234">
        <v>13</v>
      </c>
      <c r="B4234" t="s">
        <v>30</v>
      </c>
      <c r="C4234" s="1">
        <v>45116</v>
      </c>
      <c r="D4234" t="s">
        <v>71</v>
      </c>
      <c r="E4234">
        <v>0</v>
      </c>
      <c r="F4234">
        <v>59</v>
      </c>
      <c r="G4234" t="str">
        <f t="shared" si="74"/>
        <v>41-60</v>
      </c>
      <c r="H4234" t="s">
        <v>23</v>
      </c>
      <c r="I4234" t="s">
        <v>64</v>
      </c>
      <c r="J4234" t="s">
        <v>65</v>
      </c>
      <c r="K4234" t="s">
        <v>29</v>
      </c>
      <c r="L4234">
        <v>1</v>
      </c>
      <c r="M4234">
        <v>1</v>
      </c>
      <c r="N4234">
        <v>3.9</v>
      </c>
      <c r="O4234">
        <v>9.8000000000000007</v>
      </c>
      <c r="P4234">
        <v>7</v>
      </c>
      <c r="Q4234">
        <v>6</v>
      </c>
      <c r="R4234">
        <v>737536</v>
      </c>
      <c r="S4234">
        <f>Table1[[#This Row],[Revenue]]-Table1[[#This Row],[Operating_Costs]]</f>
        <v>347844</v>
      </c>
      <c r="T4234">
        <v>389692</v>
      </c>
      <c r="U4234">
        <v>42</v>
      </c>
      <c r="V4234">
        <v>59</v>
      </c>
      <c r="W4234">
        <v>10</v>
      </c>
    </row>
    <row r="4235" spans="1:23" x14ac:dyDescent="0.25">
      <c r="A4235">
        <v>13</v>
      </c>
      <c r="B4235" t="s">
        <v>30</v>
      </c>
      <c r="C4235" s="1">
        <v>45314</v>
      </c>
      <c r="D4235" t="s">
        <v>71</v>
      </c>
      <c r="E4235">
        <v>0</v>
      </c>
      <c r="F4235">
        <v>59</v>
      </c>
      <c r="G4235" t="str">
        <f t="shared" si="74"/>
        <v>41-60</v>
      </c>
      <c r="H4235" t="s">
        <v>23</v>
      </c>
      <c r="I4235" t="s">
        <v>61</v>
      </c>
      <c r="J4235" t="s">
        <v>62</v>
      </c>
      <c r="K4235" t="s">
        <v>38</v>
      </c>
      <c r="L4235">
        <v>1</v>
      </c>
      <c r="M4235">
        <v>1</v>
      </c>
      <c r="N4235">
        <v>2.5</v>
      </c>
      <c r="O4235">
        <v>9.6999999999999993</v>
      </c>
      <c r="P4235">
        <v>4</v>
      </c>
      <c r="Q4235">
        <v>6</v>
      </c>
      <c r="R4235">
        <v>531388</v>
      </c>
      <c r="S4235">
        <f>Table1[[#This Row],[Revenue]]-Table1[[#This Row],[Operating_Costs]]</f>
        <v>157958</v>
      </c>
      <c r="T4235">
        <v>373430</v>
      </c>
      <c r="U4235">
        <v>35</v>
      </c>
      <c r="V4235">
        <v>64</v>
      </c>
      <c r="W4235">
        <v>9</v>
      </c>
    </row>
    <row r="4236" spans="1:23" x14ac:dyDescent="0.25">
      <c r="A4236">
        <v>13</v>
      </c>
      <c r="B4236" t="s">
        <v>30</v>
      </c>
      <c r="C4236" s="1">
        <v>45175</v>
      </c>
      <c r="D4236" t="s">
        <v>71</v>
      </c>
      <c r="E4236">
        <v>0</v>
      </c>
      <c r="F4236">
        <v>28</v>
      </c>
      <c r="G4236" t="str">
        <f t="shared" si="74"/>
        <v>21-40</v>
      </c>
      <c r="H4236" t="s">
        <v>23</v>
      </c>
      <c r="I4236" t="s">
        <v>58</v>
      </c>
      <c r="J4236" t="s">
        <v>59</v>
      </c>
      <c r="K4236" t="s">
        <v>38</v>
      </c>
      <c r="L4236">
        <v>1</v>
      </c>
      <c r="M4236">
        <v>1</v>
      </c>
      <c r="N4236">
        <v>5.0999999999999996</v>
      </c>
      <c r="O4236">
        <v>9.1999999999999993</v>
      </c>
      <c r="P4236">
        <v>6</v>
      </c>
      <c r="Q4236">
        <v>6</v>
      </c>
      <c r="R4236">
        <v>617552</v>
      </c>
      <c r="S4236">
        <f>Table1[[#This Row],[Revenue]]-Table1[[#This Row],[Operating_Costs]]</f>
        <v>266182</v>
      </c>
      <c r="T4236">
        <v>351370</v>
      </c>
      <c r="U4236">
        <v>37</v>
      </c>
      <c r="V4236">
        <v>58</v>
      </c>
      <c r="W4236">
        <v>13.9</v>
      </c>
    </row>
    <row r="4237" spans="1:23" x14ac:dyDescent="0.25">
      <c r="A4237">
        <v>13</v>
      </c>
      <c r="B4237" t="s">
        <v>30</v>
      </c>
      <c r="C4237" s="1">
        <v>44385</v>
      </c>
      <c r="D4237" t="s">
        <v>71</v>
      </c>
      <c r="E4237">
        <v>0</v>
      </c>
      <c r="F4237">
        <v>46</v>
      </c>
      <c r="G4237" t="str">
        <f t="shared" si="74"/>
        <v>41-60</v>
      </c>
      <c r="H4237" t="s">
        <v>35</v>
      </c>
      <c r="I4237" t="s">
        <v>31</v>
      </c>
      <c r="J4237" t="s">
        <v>28</v>
      </c>
      <c r="K4237" t="s">
        <v>42</v>
      </c>
      <c r="L4237">
        <v>1</v>
      </c>
      <c r="M4237">
        <v>1</v>
      </c>
      <c r="N4237">
        <v>5.7</v>
      </c>
      <c r="O4237">
        <v>9.1999999999999993</v>
      </c>
      <c r="P4237">
        <v>6</v>
      </c>
      <c r="Q4237">
        <v>5</v>
      </c>
      <c r="R4237">
        <v>471394</v>
      </c>
      <c r="S4237">
        <f>Table1[[#This Row],[Revenue]]-Table1[[#This Row],[Operating_Costs]]</f>
        <v>117877</v>
      </c>
      <c r="T4237">
        <v>353517</v>
      </c>
      <c r="U4237">
        <v>49</v>
      </c>
      <c r="V4237">
        <v>57</v>
      </c>
      <c r="W4237">
        <v>10.8</v>
      </c>
    </row>
    <row r="4238" spans="1:23" x14ac:dyDescent="0.25">
      <c r="A4238">
        <v>13</v>
      </c>
      <c r="B4238" t="s">
        <v>30</v>
      </c>
      <c r="C4238" s="1">
        <v>44522</v>
      </c>
      <c r="D4238" t="s">
        <v>71</v>
      </c>
      <c r="E4238">
        <v>0</v>
      </c>
      <c r="F4238">
        <v>85</v>
      </c>
      <c r="G4238" t="str">
        <f t="shared" si="74"/>
        <v>81+</v>
      </c>
      <c r="H4238" t="s">
        <v>35</v>
      </c>
      <c r="I4238" t="s">
        <v>58</v>
      </c>
      <c r="J4238" t="s">
        <v>59</v>
      </c>
      <c r="K4238" t="s">
        <v>26</v>
      </c>
      <c r="L4238">
        <v>1</v>
      </c>
      <c r="M4238">
        <v>1</v>
      </c>
      <c r="N4238">
        <v>5.3</v>
      </c>
      <c r="O4238">
        <v>9.1</v>
      </c>
      <c r="P4238">
        <v>5</v>
      </c>
      <c r="Q4238">
        <v>5</v>
      </c>
      <c r="R4238">
        <v>746042</v>
      </c>
      <c r="S4238">
        <f>Table1[[#This Row],[Revenue]]-Table1[[#This Row],[Operating_Costs]]</f>
        <v>336576</v>
      </c>
      <c r="T4238">
        <v>409466</v>
      </c>
      <c r="U4238">
        <v>41</v>
      </c>
      <c r="V4238">
        <v>56</v>
      </c>
      <c r="W4238">
        <v>12.2</v>
      </c>
    </row>
    <row r="4239" spans="1:23" x14ac:dyDescent="0.25">
      <c r="A4239">
        <v>13</v>
      </c>
      <c r="B4239" t="s">
        <v>30</v>
      </c>
      <c r="C4239" s="1">
        <v>45200</v>
      </c>
      <c r="D4239" t="s">
        <v>71</v>
      </c>
      <c r="E4239">
        <v>0</v>
      </c>
      <c r="F4239">
        <v>64</v>
      </c>
      <c r="G4239" t="str">
        <f t="shared" si="74"/>
        <v>61-80</v>
      </c>
      <c r="H4239" t="s">
        <v>35</v>
      </c>
      <c r="I4239" t="s">
        <v>53</v>
      </c>
      <c r="J4239" t="s">
        <v>54</v>
      </c>
      <c r="K4239" t="s">
        <v>26</v>
      </c>
      <c r="L4239">
        <v>1</v>
      </c>
      <c r="M4239">
        <v>1</v>
      </c>
      <c r="N4239">
        <v>5.9</v>
      </c>
      <c r="O4239">
        <v>8.1</v>
      </c>
      <c r="P4239">
        <v>3</v>
      </c>
      <c r="Q4239">
        <v>6</v>
      </c>
      <c r="R4239">
        <v>689580</v>
      </c>
      <c r="S4239">
        <f>Table1[[#This Row],[Revenue]]-Table1[[#This Row],[Operating_Costs]]</f>
        <v>306063</v>
      </c>
      <c r="T4239">
        <v>383517</v>
      </c>
      <c r="U4239">
        <v>36</v>
      </c>
      <c r="V4239">
        <v>60</v>
      </c>
      <c r="W4239">
        <v>5.4</v>
      </c>
    </row>
    <row r="4240" spans="1:23" x14ac:dyDescent="0.25">
      <c r="A4240">
        <v>13</v>
      </c>
      <c r="B4240" t="s">
        <v>30</v>
      </c>
      <c r="C4240" s="1">
        <v>44496</v>
      </c>
      <c r="D4240" t="s">
        <v>71</v>
      </c>
      <c r="E4240">
        <v>0</v>
      </c>
      <c r="F4240">
        <v>39</v>
      </c>
      <c r="G4240" t="str">
        <f t="shared" si="74"/>
        <v>21-40</v>
      </c>
      <c r="H4240" t="s">
        <v>23</v>
      </c>
      <c r="I4240" t="s">
        <v>61</v>
      </c>
      <c r="J4240" t="s">
        <v>62</v>
      </c>
      <c r="K4240" t="s">
        <v>33</v>
      </c>
      <c r="L4240">
        <v>1</v>
      </c>
      <c r="M4240">
        <v>1</v>
      </c>
      <c r="N4240">
        <v>4.7</v>
      </c>
      <c r="O4240">
        <v>9.3000000000000007</v>
      </c>
      <c r="P4240">
        <v>5</v>
      </c>
      <c r="Q4240">
        <v>5</v>
      </c>
      <c r="R4240">
        <v>574176</v>
      </c>
      <c r="S4240">
        <f>Table1[[#This Row],[Revenue]]-Table1[[#This Row],[Operating_Costs]]</f>
        <v>207882</v>
      </c>
      <c r="T4240">
        <v>366294</v>
      </c>
      <c r="U4240">
        <v>39</v>
      </c>
      <c r="V4240">
        <v>60</v>
      </c>
      <c r="W4240">
        <v>10.199999999999999</v>
      </c>
    </row>
    <row r="4241" spans="1:23" x14ac:dyDescent="0.25">
      <c r="A4241">
        <v>13</v>
      </c>
      <c r="B4241" t="s">
        <v>30</v>
      </c>
      <c r="C4241" s="1">
        <v>44585</v>
      </c>
      <c r="D4241" t="s">
        <v>71</v>
      </c>
      <c r="E4241">
        <v>0</v>
      </c>
      <c r="F4241">
        <v>41</v>
      </c>
      <c r="G4241" t="str">
        <f t="shared" si="74"/>
        <v>41-60</v>
      </c>
      <c r="H4241" t="s">
        <v>35</v>
      </c>
      <c r="I4241" t="s">
        <v>31</v>
      </c>
      <c r="J4241" t="s">
        <v>28</v>
      </c>
      <c r="K4241" t="s">
        <v>33</v>
      </c>
      <c r="L4241">
        <v>1</v>
      </c>
      <c r="M4241">
        <v>1</v>
      </c>
      <c r="N4241">
        <v>1</v>
      </c>
      <c r="O4241">
        <v>8.8000000000000007</v>
      </c>
      <c r="P4241">
        <v>7</v>
      </c>
      <c r="Q4241">
        <v>7</v>
      </c>
      <c r="R4241">
        <v>645138</v>
      </c>
      <c r="S4241">
        <f>Table1[[#This Row],[Revenue]]-Table1[[#This Row],[Operating_Costs]]</f>
        <v>247988</v>
      </c>
      <c r="T4241">
        <v>397150</v>
      </c>
      <c r="U4241">
        <v>31</v>
      </c>
      <c r="V4241">
        <v>56</v>
      </c>
      <c r="W4241">
        <v>12.2</v>
      </c>
    </row>
    <row r="4242" spans="1:23" x14ac:dyDescent="0.25">
      <c r="A4242">
        <v>13</v>
      </c>
      <c r="B4242" t="s">
        <v>30</v>
      </c>
      <c r="C4242" s="1">
        <v>45133</v>
      </c>
      <c r="D4242" t="s">
        <v>71</v>
      </c>
      <c r="E4242">
        <v>0</v>
      </c>
      <c r="F4242">
        <v>69</v>
      </c>
      <c r="G4242" t="str">
        <f t="shared" si="74"/>
        <v>61-80</v>
      </c>
      <c r="H4242" t="s">
        <v>35</v>
      </c>
      <c r="I4242" t="s">
        <v>36</v>
      </c>
      <c r="J4242" t="s">
        <v>37</v>
      </c>
      <c r="K4242" t="s">
        <v>42</v>
      </c>
      <c r="L4242">
        <v>1</v>
      </c>
      <c r="M4242">
        <v>1</v>
      </c>
      <c r="N4242">
        <v>5.6</v>
      </c>
      <c r="O4242">
        <v>9.1999999999999993</v>
      </c>
      <c r="P4242">
        <v>7</v>
      </c>
      <c r="Q4242">
        <v>7</v>
      </c>
      <c r="R4242">
        <v>614506</v>
      </c>
      <c r="S4242">
        <f>Table1[[#This Row],[Revenue]]-Table1[[#This Row],[Operating_Costs]]</f>
        <v>241288</v>
      </c>
      <c r="T4242">
        <v>373218</v>
      </c>
      <c r="U4242">
        <v>43</v>
      </c>
      <c r="V4242">
        <v>64</v>
      </c>
      <c r="W4242">
        <v>9.5</v>
      </c>
    </row>
    <row r="4243" spans="1:23" x14ac:dyDescent="0.25">
      <c r="A4243">
        <v>13</v>
      </c>
      <c r="B4243" t="s">
        <v>30</v>
      </c>
      <c r="C4243" s="1">
        <v>45297</v>
      </c>
      <c r="D4243" t="s">
        <v>71</v>
      </c>
      <c r="E4243">
        <v>0</v>
      </c>
      <c r="F4243">
        <v>24</v>
      </c>
      <c r="G4243" t="str">
        <f t="shared" si="74"/>
        <v>21-40</v>
      </c>
      <c r="H4243" t="s">
        <v>35</v>
      </c>
      <c r="I4243" t="s">
        <v>46</v>
      </c>
      <c r="J4243" t="s">
        <v>47</v>
      </c>
      <c r="K4243" t="s">
        <v>26</v>
      </c>
      <c r="L4243">
        <v>1</v>
      </c>
      <c r="M4243">
        <v>1</v>
      </c>
      <c r="N4243">
        <v>2.4</v>
      </c>
      <c r="O4243">
        <v>9.1</v>
      </c>
      <c r="P4243">
        <v>5</v>
      </c>
      <c r="Q4243">
        <v>5</v>
      </c>
      <c r="R4243">
        <v>480044</v>
      </c>
      <c r="S4243">
        <f>Table1[[#This Row],[Revenue]]-Table1[[#This Row],[Operating_Costs]]</f>
        <v>113007</v>
      </c>
      <c r="T4243">
        <v>367037</v>
      </c>
      <c r="U4243">
        <v>49</v>
      </c>
      <c r="V4243">
        <v>65</v>
      </c>
      <c r="W4243">
        <v>13.7</v>
      </c>
    </row>
    <row r="4244" spans="1:23" x14ac:dyDescent="0.25">
      <c r="A4244">
        <v>13</v>
      </c>
      <c r="B4244" t="s">
        <v>30</v>
      </c>
      <c r="C4244" s="1">
        <v>45276</v>
      </c>
      <c r="D4244" t="s">
        <v>71</v>
      </c>
      <c r="E4244">
        <v>0</v>
      </c>
      <c r="F4244">
        <v>25</v>
      </c>
      <c r="G4244" t="str">
        <f t="shared" si="74"/>
        <v>21-40</v>
      </c>
      <c r="H4244" t="s">
        <v>23</v>
      </c>
      <c r="I4244" t="s">
        <v>61</v>
      </c>
      <c r="J4244" t="s">
        <v>62</v>
      </c>
      <c r="K4244" t="s">
        <v>42</v>
      </c>
      <c r="L4244">
        <v>1</v>
      </c>
      <c r="M4244">
        <v>1</v>
      </c>
      <c r="N4244">
        <v>4.2</v>
      </c>
      <c r="O4244">
        <v>7.2</v>
      </c>
      <c r="P4244">
        <v>4</v>
      </c>
      <c r="Q4244">
        <v>7</v>
      </c>
      <c r="R4244">
        <v>682381</v>
      </c>
      <c r="S4244">
        <f>Table1[[#This Row],[Revenue]]-Table1[[#This Row],[Operating_Costs]]</f>
        <v>323773</v>
      </c>
      <c r="T4244">
        <v>358608</v>
      </c>
      <c r="U4244">
        <v>32</v>
      </c>
      <c r="V4244">
        <v>56</v>
      </c>
      <c r="W4244">
        <v>13.8</v>
      </c>
    </row>
    <row r="4245" spans="1:23" x14ac:dyDescent="0.25">
      <c r="A4245">
        <v>13</v>
      </c>
      <c r="B4245" t="s">
        <v>30</v>
      </c>
      <c r="C4245" s="1">
        <v>44296</v>
      </c>
      <c r="D4245" t="s">
        <v>71</v>
      </c>
      <c r="E4245">
        <v>0</v>
      </c>
      <c r="F4245">
        <v>56</v>
      </c>
      <c r="G4245" t="str">
        <f t="shared" si="74"/>
        <v>41-60</v>
      </c>
      <c r="H4245" t="s">
        <v>23</v>
      </c>
      <c r="I4245" t="s">
        <v>67</v>
      </c>
      <c r="J4245" t="s">
        <v>68</v>
      </c>
      <c r="K4245" t="s">
        <v>42</v>
      </c>
      <c r="L4245">
        <v>1</v>
      </c>
      <c r="M4245">
        <v>1</v>
      </c>
      <c r="N4245">
        <v>5.5</v>
      </c>
      <c r="O4245">
        <v>9.1</v>
      </c>
      <c r="P4245">
        <v>5</v>
      </c>
      <c r="Q4245">
        <v>7</v>
      </c>
      <c r="R4245">
        <v>496580</v>
      </c>
      <c r="S4245">
        <f>Table1[[#This Row],[Revenue]]-Table1[[#This Row],[Operating_Costs]]</f>
        <v>114357</v>
      </c>
      <c r="T4245">
        <v>382223</v>
      </c>
      <c r="U4245">
        <v>34</v>
      </c>
      <c r="V4245">
        <v>59</v>
      </c>
      <c r="W4245">
        <v>12.2</v>
      </c>
    </row>
    <row r="4246" spans="1:23" x14ac:dyDescent="0.25">
      <c r="A4246">
        <v>13</v>
      </c>
      <c r="B4246" t="s">
        <v>30</v>
      </c>
      <c r="C4246" s="1">
        <v>45060</v>
      </c>
      <c r="D4246" t="s">
        <v>71</v>
      </c>
      <c r="E4246">
        <v>0</v>
      </c>
      <c r="F4246">
        <v>40</v>
      </c>
      <c r="G4246" t="str">
        <f t="shared" si="74"/>
        <v>21-40</v>
      </c>
      <c r="H4246" t="s">
        <v>23</v>
      </c>
      <c r="I4246" t="s">
        <v>61</v>
      </c>
      <c r="J4246" t="s">
        <v>62</v>
      </c>
      <c r="K4246" t="s">
        <v>38</v>
      </c>
      <c r="L4246">
        <v>1</v>
      </c>
      <c r="M4246">
        <v>1</v>
      </c>
      <c r="N4246">
        <v>6.7</v>
      </c>
      <c r="O4246">
        <v>8.1</v>
      </c>
      <c r="P4246">
        <v>5</v>
      </c>
      <c r="Q4246">
        <v>6</v>
      </c>
      <c r="R4246">
        <v>569928</v>
      </c>
      <c r="S4246">
        <f>Table1[[#This Row],[Revenue]]-Table1[[#This Row],[Operating_Costs]]</f>
        <v>180614</v>
      </c>
      <c r="T4246">
        <v>389314</v>
      </c>
      <c r="U4246">
        <v>44</v>
      </c>
      <c r="V4246">
        <v>56</v>
      </c>
      <c r="W4246">
        <v>13.4</v>
      </c>
    </row>
    <row r="4247" spans="1:23" x14ac:dyDescent="0.25">
      <c r="A4247">
        <v>13</v>
      </c>
      <c r="B4247" t="s">
        <v>30</v>
      </c>
      <c r="C4247" s="1">
        <v>44241</v>
      </c>
      <c r="D4247" t="s">
        <v>71</v>
      </c>
      <c r="E4247">
        <v>0</v>
      </c>
      <c r="F4247">
        <v>58</v>
      </c>
      <c r="G4247" t="str">
        <f t="shared" si="74"/>
        <v>41-60</v>
      </c>
      <c r="H4247" t="s">
        <v>35</v>
      </c>
      <c r="I4247" t="s">
        <v>58</v>
      </c>
      <c r="J4247" t="s">
        <v>59</v>
      </c>
      <c r="K4247" t="s">
        <v>33</v>
      </c>
      <c r="L4247">
        <v>1</v>
      </c>
      <c r="M4247">
        <v>1</v>
      </c>
      <c r="N4247">
        <v>5.8</v>
      </c>
      <c r="O4247">
        <v>7.5</v>
      </c>
      <c r="P4247">
        <v>4</v>
      </c>
      <c r="Q4247">
        <v>6</v>
      </c>
      <c r="R4247">
        <v>437164</v>
      </c>
      <c r="S4247">
        <f>Table1[[#This Row],[Revenue]]-Table1[[#This Row],[Operating_Costs]]</f>
        <v>54725</v>
      </c>
      <c r="T4247">
        <v>382439</v>
      </c>
      <c r="U4247">
        <v>44</v>
      </c>
      <c r="V4247">
        <v>66</v>
      </c>
      <c r="W4247">
        <v>9.6</v>
      </c>
    </row>
    <row r="4248" spans="1:23" x14ac:dyDescent="0.25">
      <c r="A4248">
        <v>13</v>
      </c>
      <c r="B4248" t="s">
        <v>30</v>
      </c>
      <c r="C4248" s="1">
        <v>44344</v>
      </c>
      <c r="D4248" t="s">
        <v>71</v>
      </c>
      <c r="E4248">
        <v>0</v>
      </c>
      <c r="F4248">
        <v>22</v>
      </c>
      <c r="G4248" t="str">
        <f t="shared" si="74"/>
        <v>21-40</v>
      </c>
      <c r="H4248" t="s">
        <v>35</v>
      </c>
      <c r="I4248" t="s">
        <v>31</v>
      </c>
      <c r="J4248" t="s">
        <v>28</v>
      </c>
      <c r="K4248" t="s">
        <v>26</v>
      </c>
      <c r="L4248">
        <v>1</v>
      </c>
      <c r="M4248">
        <v>1</v>
      </c>
      <c r="N4248">
        <v>4.9000000000000004</v>
      </c>
      <c r="O4248">
        <v>8.6</v>
      </c>
      <c r="P4248">
        <v>6</v>
      </c>
      <c r="Q4248">
        <v>4</v>
      </c>
      <c r="R4248">
        <v>495404</v>
      </c>
      <c r="S4248">
        <f>Table1[[#This Row],[Revenue]]-Table1[[#This Row],[Operating_Costs]]</f>
        <v>118164</v>
      </c>
      <c r="T4248">
        <v>377240</v>
      </c>
      <c r="U4248">
        <v>47</v>
      </c>
      <c r="V4248">
        <v>56</v>
      </c>
      <c r="W4248">
        <v>8.5</v>
      </c>
    </row>
    <row r="4249" spans="1:23" x14ac:dyDescent="0.25">
      <c r="A4249">
        <v>13</v>
      </c>
      <c r="B4249" t="s">
        <v>30</v>
      </c>
      <c r="C4249" s="1">
        <v>45041</v>
      </c>
      <c r="D4249" t="s">
        <v>71</v>
      </c>
      <c r="E4249">
        <v>0</v>
      </c>
      <c r="F4249">
        <v>34</v>
      </c>
      <c r="G4249" t="str">
        <f t="shared" si="74"/>
        <v>21-40</v>
      </c>
      <c r="H4249" t="s">
        <v>35</v>
      </c>
      <c r="I4249" t="s">
        <v>61</v>
      </c>
      <c r="J4249" t="s">
        <v>62</v>
      </c>
      <c r="K4249" t="s">
        <v>38</v>
      </c>
      <c r="L4249">
        <v>1</v>
      </c>
      <c r="M4249">
        <v>1</v>
      </c>
      <c r="N4249">
        <v>3.2</v>
      </c>
      <c r="O4249">
        <v>9.8000000000000007</v>
      </c>
      <c r="P4249">
        <v>6</v>
      </c>
      <c r="Q4249">
        <v>5</v>
      </c>
      <c r="R4249">
        <v>400724</v>
      </c>
      <c r="S4249">
        <f>Table1[[#This Row],[Revenue]]-Table1[[#This Row],[Operating_Costs]]</f>
        <v>-7595</v>
      </c>
      <c r="T4249">
        <v>408319</v>
      </c>
      <c r="U4249">
        <v>47</v>
      </c>
      <c r="V4249">
        <v>56</v>
      </c>
      <c r="W4249">
        <v>5.3</v>
      </c>
    </row>
    <row r="4250" spans="1:23" x14ac:dyDescent="0.25">
      <c r="A4250">
        <v>13</v>
      </c>
      <c r="B4250" t="s">
        <v>30</v>
      </c>
      <c r="C4250" s="1">
        <v>45285</v>
      </c>
      <c r="D4250" t="s">
        <v>71</v>
      </c>
      <c r="E4250">
        <v>0</v>
      </c>
      <c r="F4250">
        <v>72</v>
      </c>
      <c r="G4250" t="str">
        <f t="shared" si="74"/>
        <v>61-80</v>
      </c>
      <c r="H4250" t="s">
        <v>35</v>
      </c>
      <c r="I4250" t="s">
        <v>55</v>
      </c>
      <c r="J4250" t="s">
        <v>56</v>
      </c>
      <c r="K4250" t="s">
        <v>26</v>
      </c>
      <c r="L4250">
        <v>1</v>
      </c>
      <c r="M4250">
        <v>1</v>
      </c>
      <c r="N4250">
        <v>2.6</v>
      </c>
      <c r="O4250">
        <v>9.4</v>
      </c>
      <c r="P4250">
        <v>7</v>
      </c>
      <c r="Q4250">
        <v>6</v>
      </c>
      <c r="R4250">
        <v>616892</v>
      </c>
      <c r="S4250">
        <f>Table1[[#This Row],[Revenue]]-Table1[[#This Row],[Operating_Costs]]</f>
        <v>241868</v>
      </c>
      <c r="T4250">
        <v>375024</v>
      </c>
      <c r="U4250">
        <v>33</v>
      </c>
      <c r="V4250">
        <v>64</v>
      </c>
      <c r="W4250">
        <v>5.0999999999999996</v>
      </c>
    </row>
    <row r="4251" spans="1:23" x14ac:dyDescent="0.25">
      <c r="A4251">
        <v>13</v>
      </c>
      <c r="B4251" t="s">
        <v>30</v>
      </c>
      <c r="C4251" s="1">
        <v>44563</v>
      </c>
      <c r="D4251" t="s">
        <v>71</v>
      </c>
      <c r="E4251">
        <v>0</v>
      </c>
      <c r="F4251">
        <v>70</v>
      </c>
      <c r="G4251" t="str">
        <f t="shared" si="74"/>
        <v>61-80</v>
      </c>
      <c r="H4251" t="s">
        <v>35</v>
      </c>
      <c r="I4251" t="s">
        <v>36</v>
      </c>
      <c r="J4251" t="s">
        <v>37</v>
      </c>
      <c r="K4251" t="s">
        <v>26</v>
      </c>
      <c r="L4251">
        <v>1</v>
      </c>
      <c r="M4251">
        <v>1</v>
      </c>
      <c r="N4251">
        <v>6.9</v>
      </c>
      <c r="O4251">
        <v>9.6</v>
      </c>
      <c r="P4251">
        <v>5</v>
      </c>
      <c r="Q4251">
        <v>6</v>
      </c>
      <c r="R4251">
        <v>510319</v>
      </c>
      <c r="S4251">
        <f>Table1[[#This Row],[Revenue]]-Table1[[#This Row],[Operating_Costs]]</f>
        <v>144132</v>
      </c>
      <c r="T4251">
        <v>366187</v>
      </c>
      <c r="U4251">
        <v>47</v>
      </c>
      <c r="V4251">
        <v>66</v>
      </c>
      <c r="W4251">
        <v>10.1</v>
      </c>
    </row>
    <row r="4252" spans="1:23" x14ac:dyDescent="0.25">
      <c r="A4252">
        <v>13</v>
      </c>
      <c r="B4252" t="s">
        <v>30</v>
      </c>
      <c r="C4252" s="1">
        <v>45288</v>
      </c>
      <c r="D4252" t="s">
        <v>71</v>
      </c>
      <c r="E4252">
        <v>0</v>
      </c>
      <c r="F4252">
        <v>49</v>
      </c>
      <c r="G4252" t="str">
        <f t="shared" si="74"/>
        <v>41-60</v>
      </c>
      <c r="H4252" t="s">
        <v>23</v>
      </c>
      <c r="I4252" t="s">
        <v>50</v>
      </c>
      <c r="J4252" t="s">
        <v>51</v>
      </c>
      <c r="K4252" t="s">
        <v>29</v>
      </c>
      <c r="L4252">
        <v>1</v>
      </c>
      <c r="M4252">
        <v>1</v>
      </c>
      <c r="N4252">
        <v>6</v>
      </c>
      <c r="O4252">
        <v>9.5</v>
      </c>
      <c r="P4252">
        <v>7</v>
      </c>
      <c r="Q4252">
        <v>3</v>
      </c>
      <c r="R4252">
        <v>446318</v>
      </c>
      <c r="S4252">
        <f>Table1[[#This Row],[Revenue]]-Table1[[#This Row],[Operating_Costs]]</f>
        <v>69828</v>
      </c>
      <c r="T4252">
        <v>376490</v>
      </c>
      <c r="U4252">
        <v>40</v>
      </c>
      <c r="V4252">
        <v>54</v>
      </c>
      <c r="W4252">
        <v>8.6999999999999993</v>
      </c>
    </row>
    <row r="4253" spans="1:23" x14ac:dyDescent="0.25">
      <c r="A4253">
        <v>13</v>
      </c>
      <c r="B4253" t="s">
        <v>30</v>
      </c>
      <c r="C4253" s="1">
        <v>44445</v>
      </c>
      <c r="D4253" t="s">
        <v>71</v>
      </c>
      <c r="E4253">
        <v>0</v>
      </c>
      <c r="F4253">
        <v>23</v>
      </c>
      <c r="G4253" t="str">
        <f t="shared" si="74"/>
        <v>21-40</v>
      </c>
      <c r="H4253" t="s">
        <v>23</v>
      </c>
      <c r="I4253" t="s">
        <v>31</v>
      </c>
      <c r="J4253" t="s">
        <v>28</v>
      </c>
      <c r="K4253" t="s">
        <v>42</v>
      </c>
      <c r="L4253">
        <v>1</v>
      </c>
      <c r="M4253">
        <v>1</v>
      </c>
      <c r="N4253">
        <v>6.9</v>
      </c>
      <c r="O4253">
        <v>9.9</v>
      </c>
      <c r="P4253">
        <v>7</v>
      </c>
      <c r="Q4253">
        <v>5</v>
      </c>
      <c r="R4253">
        <v>606197</v>
      </c>
      <c r="S4253">
        <f>Table1[[#This Row],[Revenue]]-Table1[[#This Row],[Operating_Costs]]</f>
        <v>223798</v>
      </c>
      <c r="T4253">
        <v>382399</v>
      </c>
      <c r="U4253">
        <v>44</v>
      </c>
      <c r="V4253">
        <v>59</v>
      </c>
      <c r="W4253">
        <v>8.8000000000000007</v>
      </c>
    </row>
    <row r="4254" spans="1:23" x14ac:dyDescent="0.25">
      <c r="A4254">
        <v>13</v>
      </c>
      <c r="B4254" t="s">
        <v>30</v>
      </c>
      <c r="C4254" s="1">
        <v>44623</v>
      </c>
      <c r="D4254" t="s">
        <v>71</v>
      </c>
      <c r="E4254">
        <v>0</v>
      </c>
      <c r="F4254">
        <v>37</v>
      </c>
      <c r="G4254" t="str">
        <f t="shared" si="74"/>
        <v>21-40</v>
      </c>
      <c r="H4254" t="s">
        <v>35</v>
      </c>
      <c r="I4254" t="s">
        <v>31</v>
      </c>
      <c r="J4254" t="s">
        <v>28</v>
      </c>
      <c r="K4254" t="s">
        <v>33</v>
      </c>
      <c r="L4254">
        <v>1</v>
      </c>
      <c r="M4254">
        <v>1</v>
      </c>
      <c r="N4254">
        <v>2</v>
      </c>
      <c r="O4254">
        <v>7.7</v>
      </c>
      <c r="P4254">
        <v>4</v>
      </c>
      <c r="Q4254">
        <v>5</v>
      </c>
      <c r="R4254">
        <v>597848</v>
      </c>
      <c r="S4254">
        <f>Table1[[#This Row],[Revenue]]-Table1[[#This Row],[Operating_Costs]]</f>
        <v>242078</v>
      </c>
      <c r="T4254">
        <v>355770</v>
      </c>
      <c r="U4254">
        <v>39</v>
      </c>
      <c r="V4254">
        <v>57</v>
      </c>
      <c r="W4254">
        <v>8.6999999999999993</v>
      </c>
    </row>
    <row r="4255" spans="1:23" x14ac:dyDescent="0.25">
      <c r="A4255">
        <v>13</v>
      </c>
      <c r="B4255" t="s">
        <v>30</v>
      </c>
      <c r="C4255" s="1">
        <v>45574</v>
      </c>
      <c r="D4255" t="s">
        <v>71</v>
      </c>
      <c r="E4255">
        <v>0</v>
      </c>
      <c r="F4255">
        <v>39</v>
      </c>
      <c r="G4255" t="str">
        <f t="shared" si="74"/>
        <v>21-40</v>
      </c>
      <c r="H4255" t="s">
        <v>35</v>
      </c>
      <c r="I4255" t="s">
        <v>40</v>
      </c>
      <c r="J4255" t="s">
        <v>41</v>
      </c>
      <c r="K4255" t="s">
        <v>26</v>
      </c>
      <c r="L4255">
        <v>1</v>
      </c>
      <c r="M4255">
        <v>1</v>
      </c>
      <c r="N4255">
        <v>6.8</v>
      </c>
      <c r="O4255">
        <v>8.5</v>
      </c>
      <c r="P4255">
        <v>5</v>
      </c>
      <c r="Q4255">
        <v>4</v>
      </c>
      <c r="R4255">
        <v>655953</v>
      </c>
      <c r="S4255">
        <f>Table1[[#This Row],[Revenue]]-Table1[[#This Row],[Operating_Costs]]</f>
        <v>275017</v>
      </c>
      <c r="T4255">
        <v>380936</v>
      </c>
      <c r="U4255">
        <v>37</v>
      </c>
      <c r="V4255">
        <v>65</v>
      </c>
      <c r="W4255">
        <v>6.9</v>
      </c>
    </row>
    <row r="4256" spans="1:23" x14ac:dyDescent="0.25">
      <c r="A4256">
        <v>13</v>
      </c>
      <c r="B4256" t="s">
        <v>30</v>
      </c>
      <c r="C4256" s="1">
        <v>45605</v>
      </c>
      <c r="D4256" t="s">
        <v>71</v>
      </c>
      <c r="E4256">
        <v>0</v>
      </c>
      <c r="F4256">
        <v>70</v>
      </c>
      <c r="G4256" t="str">
        <f t="shared" si="74"/>
        <v>61-80</v>
      </c>
      <c r="H4256" t="s">
        <v>23</v>
      </c>
      <c r="I4256" t="s">
        <v>27</v>
      </c>
      <c r="J4256" t="s">
        <v>28</v>
      </c>
      <c r="K4256" t="s">
        <v>29</v>
      </c>
      <c r="L4256">
        <v>1</v>
      </c>
      <c r="M4256">
        <v>1</v>
      </c>
      <c r="N4256">
        <v>4</v>
      </c>
      <c r="O4256">
        <v>7.6</v>
      </c>
      <c r="P4256">
        <v>5</v>
      </c>
      <c r="Q4256">
        <v>6</v>
      </c>
      <c r="R4256">
        <v>679033</v>
      </c>
      <c r="S4256">
        <f>Table1[[#This Row],[Revenue]]-Table1[[#This Row],[Operating_Costs]]</f>
        <v>315165</v>
      </c>
      <c r="T4256">
        <v>363868</v>
      </c>
      <c r="U4256">
        <v>49</v>
      </c>
      <c r="V4256">
        <v>60</v>
      </c>
      <c r="W4256">
        <v>36.200000000000003</v>
      </c>
    </row>
    <row r="4257" spans="1:23" x14ac:dyDescent="0.25">
      <c r="A4257">
        <v>13</v>
      </c>
      <c r="B4257" t="s">
        <v>30</v>
      </c>
      <c r="C4257" s="1">
        <v>44778</v>
      </c>
      <c r="D4257" t="s">
        <v>71</v>
      </c>
      <c r="E4257">
        <v>0</v>
      </c>
      <c r="F4257">
        <v>49</v>
      </c>
      <c r="G4257" t="str">
        <f t="shared" si="74"/>
        <v>41-60</v>
      </c>
      <c r="H4257" t="s">
        <v>23</v>
      </c>
      <c r="I4257" t="s">
        <v>24</v>
      </c>
      <c r="J4257" t="s">
        <v>25</v>
      </c>
      <c r="K4257" t="s">
        <v>38</v>
      </c>
      <c r="L4257">
        <v>1</v>
      </c>
      <c r="M4257">
        <v>1</v>
      </c>
      <c r="N4257">
        <v>4.5999999999999996</v>
      </c>
      <c r="O4257">
        <v>8</v>
      </c>
      <c r="P4257">
        <v>6</v>
      </c>
      <c r="Q4257">
        <v>4</v>
      </c>
      <c r="R4257">
        <v>538444</v>
      </c>
      <c r="S4257">
        <f>Table1[[#This Row],[Revenue]]-Table1[[#This Row],[Operating_Costs]]</f>
        <v>160518</v>
      </c>
      <c r="T4257">
        <v>377926</v>
      </c>
      <c r="U4257">
        <v>44</v>
      </c>
      <c r="V4257">
        <v>58</v>
      </c>
      <c r="W4257">
        <v>10.6</v>
      </c>
    </row>
    <row r="4258" spans="1:23" x14ac:dyDescent="0.25">
      <c r="A4258">
        <v>13</v>
      </c>
      <c r="B4258" t="s">
        <v>30</v>
      </c>
      <c r="C4258" s="1">
        <v>45434</v>
      </c>
      <c r="D4258" t="s">
        <v>71</v>
      </c>
      <c r="E4258">
        <v>0</v>
      </c>
      <c r="F4258">
        <v>29</v>
      </c>
      <c r="G4258" t="str">
        <f t="shared" si="74"/>
        <v>21-40</v>
      </c>
      <c r="H4258" t="s">
        <v>35</v>
      </c>
      <c r="I4258" t="s">
        <v>36</v>
      </c>
      <c r="J4258" t="s">
        <v>37</v>
      </c>
      <c r="K4258" t="s">
        <v>42</v>
      </c>
      <c r="L4258">
        <v>1</v>
      </c>
      <c r="M4258">
        <v>1</v>
      </c>
      <c r="N4258">
        <v>4</v>
      </c>
      <c r="O4258">
        <v>8.5</v>
      </c>
      <c r="P4258">
        <v>3</v>
      </c>
      <c r="Q4258">
        <v>6</v>
      </c>
      <c r="R4258">
        <v>779198</v>
      </c>
      <c r="S4258">
        <f>Table1[[#This Row],[Revenue]]-Table1[[#This Row],[Operating_Costs]]</f>
        <v>407664</v>
      </c>
      <c r="T4258">
        <v>371534</v>
      </c>
      <c r="U4258">
        <v>40</v>
      </c>
      <c r="V4258">
        <v>60</v>
      </c>
      <c r="W4258">
        <v>5.4</v>
      </c>
    </row>
    <row r="4259" spans="1:23" x14ac:dyDescent="0.25">
      <c r="A4259">
        <v>13</v>
      </c>
      <c r="B4259" t="s">
        <v>30</v>
      </c>
      <c r="C4259" s="1">
        <v>44999</v>
      </c>
      <c r="D4259" t="s">
        <v>71</v>
      </c>
      <c r="E4259">
        <v>0</v>
      </c>
      <c r="F4259">
        <v>82</v>
      </c>
      <c r="G4259" t="str">
        <f t="shared" si="74"/>
        <v>81+</v>
      </c>
      <c r="H4259" t="s">
        <v>35</v>
      </c>
      <c r="I4259" t="s">
        <v>53</v>
      </c>
      <c r="J4259" t="s">
        <v>54</v>
      </c>
      <c r="K4259" t="s">
        <v>42</v>
      </c>
      <c r="L4259">
        <v>1</v>
      </c>
      <c r="M4259">
        <v>1</v>
      </c>
      <c r="N4259">
        <v>2.9</v>
      </c>
      <c r="O4259">
        <v>8.8000000000000007</v>
      </c>
      <c r="P4259">
        <v>7</v>
      </c>
      <c r="Q4259">
        <v>4</v>
      </c>
      <c r="R4259">
        <v>650397</v>
      </c>
      <c r="S4259">
        <f>Table1[[#This Row],[Revenue]]-Table1[[#This Row],[Operating_Costs]]</f>
        <v>263943</v>
      </c>
      <c r="T4259">
        <v>386454</v>
      </c>
      <c r="U4259">
        <v>32</v>
      </c>
      <c r="V4259">
        <v>57</v>
      </c>
      <c r="W4259">
        <v>5.8</v>
      </c>
    </row>
    <row r="4260" spans="1:23" x14ac:dyDescent="0.25">
      <c r="A4260">
        <v>13</v>
      </c>
      <c r="B4260" t="s">
        <v>30</v>
      </c>
      <c r="C4260" s="1">
        <v>44453</v>
      </c>
      <c r="D4260" t="s">
        <v>71</v>
      </c>
      <c r="E4260">
        <v>0</v>
      </c>
      <c r="F4260">
        <v>49</v>
      </c>
      <c r="G4260" t="str">
        <f t="shared" si="74"/>
        <v>41-60</v>
      </c>
      <c r="H4260" t="s">
        <v>35</v>
      </c>
      <c r="I4260" t="s">
        <v>46</v>
      </c>
      <c r="J4260" t="s">
        <v>47</v>
      </c>
      <c r="K4260" t="s">
        <v>38</v>
      </c>
      <c r="L4260">
        <v>1</v>
      </c>
      <c r="M4260">
        <v>1</v>
      </c>
      <c r="N4260">
        <v>2.6</v>
      </c>
      <c r="O4260">
        <v>9</v>
      </c>
      <c r="P4260">
        <v>5</v>
      </c>
      <c r="Q4260">
        <v>4</v>
      </c>
      <c r="R4260">
        <v>480747</v>
      </c>
      <c r="S4260">
        <f>Table1[[#This Row],[Revenue]]-Table1[[#This Row],[Operating_Costs]]</f>
        <v>107774</v>
      </c>
      <c r="T4260">
        <v>372973</v>
      </c>
      <c r="U4260">
        <v>40</v>
      </c>
      <c r="V4260">
        <v>64</v>
      </c>
      <c r="W4260">
        <v>7.6</v>
      </c>
    </row>
    <row r="4261" spans="1:23" x14ac:dyDescent="0.25">
      <c r="A4261">
        <v>13</v>
      </c>
      <c r="B4261" t="s">
        <v>30</v>
      </c>
      <c r="C4261" s="1">
        <v>44650</v>
      </c>
      <c r="D4261" t="s">
        <v>71</v>
      </c>
      <c r="E4261">
        <v>0</v>
      </c>
      <c r="F4261">
        <v>30</v>
      </c>
      <c r="G4261" t="str">
        <f t="shared" si="74"/>
        <v>21-40</v>
      </c>
      <c r="H4261" t="s">
        <v>23</v>
      </c>
      <c r="I4261" t="s">
        <v>58</v>
      </c>
      <c r="J4261" t="s">
        <v>59</v>
      </c>
      <c r="K4261" t="s">
        <v>26</v>
      </c>
      <c r="L4261">
        <v>1</v>
      </c>
      <c r="M4261">
        <v>1</v>
      </c>
      <c r="N4261">
        <v>6.1</v>
      </c>
      <c r="O4261">
        <v>7.9</v>
      </c>
      <c r="P4261">
        <v>3</v>
      </c>
      <c r="Q4261">
        <v>3</v>
      </c>
      <c r="R4261">
        <v>764982</v>
      </c>
      <c r="S4261">
        <f>Table1[[#This Row],[Revenue]]-Table1[[#This Row],[Operating_Costs]]</f>
        <v>356725</v>
      </c>
      <c r="T4261">
        <v>408257</v>
      </c>
      <c r="U4261">
        <v>45</v>
      </c>
      <c r="V4261">
        <v>59</v>
      </c>
      <c r="W4261">
        <v>9.5</v>
      </c>
    </row>
    <row r="4262" spans="1:23" x14ac:dyDescent="0.25">
      <c r="A4262">
        <v>13</v>
      </c>
      <c r="B4262" t="s">
        <v>30</v>
      </c>
      <c r="C4262" s="1">
        <v>45300</v>
      </c>
      <c r="D4262" t="s">
        <v>71</v>
      </c>
      <c r="E4262">
        <v>0</v>
      </c>
      <c r="F4262">
        <v>37</v>
      </c>
      <c r="G4262" t="str">
        <f t="shared" si="74"/>
        <v>21-40</v>
      </c>
      <c r="H4262" t="s">
        <v>35</v>
      </c>
      <c r="I4262" t="s">
        <v>36</v>
      </c>
      <c r="J4262" t="s">
        <v>37</v>
      </c>
      <c r="K4262" t="s">
        <v>42</v>
      </c>
      <c r="L4262">
        <v>1</v>
      </c>
      <c r="M4262">
        <v>1</v>
      </c>
      <c r="N4262">
        <v>1.3</v>
      </c>
      <c r="O4262">
        <v>8</v>
      </c>
      <c r="P4262">
        <v>5</v>
      </c>
      <c r="Q4262">
        <v>5</v>
      </c>
      <c r="R4262">
        <v>630254</v>
      </c>
      <c r="S4262">
        <f>Table1[[#This Row],[Revenue]]-Table1[[#This Row],[Operating_Costs]]</f>
        <v>225120</v>
      </c>
      <c r="T4262">
        <v>405134</v>
      </c>
      <c r="U4262">
        <v>31</v>
      </c>
      <c r="V4262">
        <v>61</v>
      </c>
      <c r="W4262">
        <v>8</v>
      </c>
    </row>
    <row r="4263" spans="1:23" x14ac:dyDescent="0.25">
      <c r="A4263">
        <v>13</v>
      </c>
      <c r="B4263" t="s">
        <v>30</v>
      </c>
      <c r="C4263" s="1">
        <v>45211</v>
      </c>
      <c r="D4263" t="s">
        <v>71</v>
      </c>
      <c r="E4263">
        <v>0</v>
      </c>
      <c r="F4263">
        <v>50</v>
      </c>
      <c r="G4263" t="str">
        <f t="shared" si="74"/>
        <v>41-60</v>
      </c>
      <c r="H4263" t="s">
        <v>23</v>
      </c>
      <c r="I4263" t="s">
        <v>61</v>
      </c>
      <c r="J4263" t="s">
        <v>62</v>
      </c>
      <c r="K4263" t="s">
        <v>26</v>
      </c>
      <c r="L4263">
        <v>1</v>
      </c>
      <c r="M4263">
        <v>1</v>
      </c>
      <c r="N4263">
        <v>2.7</v>
      </c>
      <c r="O4263">
        <v>7.6</v>
      </c>
      <c r="P4263">
        <v>7</v>
      </c>
      <c r="Q4263">
        <v>4</v>
      </c>
      <c r="R4263">
        <v>402091</v>
      </c>
      <c r="S4263">
        <f>Table1[[#This Row],[Revenue]]-Table1[[#This Row],[Operating_Costs]]</f>
        <v>27898</v>
      </c>
      <c r="T4263">
        <v>374193</v>
      </c>
      <c r="U4263">
        <v>36</v>
      </c>
      <c r="V4263">
        <v>60</v>
      </c>
      <c r="W4263">
        <v>36.9</v>
      </c>
    </row>
    <row r="4264" spans="1:23" x14ac:dyDescent="0.25">
      <c r="A4264">
        <v>13</v>
      </c>
      <c r="B4264" t="s">
        <v>30</v>
      </c>
      <c r="C4264" s="1">
        <v>45429</v>
      </c>
      <c r="D4264" t="s">
        <v>71</v>
      </c>
      <c r="E4264">
        <v>0</v>
      </c>
      <c r="F4264">
        <v>43</v>
      </c>
      <c r="G4264" t="str">
        <f t="shared" si="74"/>
        <v>41-60</v>
      </c>
      <c r="H4264" t="s">
        <v>23</v>
      </c>
      <c r="I4264" t="s">
        <v>24</v>
      </c>
      <c r="J4264" t="s">
        <v>25</v>
      </c>
      <c r="K4264" t="s">
        <v>26</v>
      </c>
      <c r="L4264">
        <v>1</v>
      </c>
      <c r="M4264">
        <v>1</v>
      </c>
      <c r="N4264">
        <v>3.3</v>
      </c>
      <c r="O4264">
        <v>9.1</v>
      </c>
      <c r="P4264">
        <v>7</v>
      </c>
      <c r="Q4264">
        <v>5</v>
      </c>
      <c r="R4264">
        <v>765303</v>
      </c>
      <c r="S4264">
        <f>Table1[[#This Row],[Revenue]]-Table1[[#This Row],[Operating_Costs]]</f>
        <v>372410</v>
      </c>
      <c r="T4264">
        <v>392893</v>
      </c>
      <c r="U4264">
        <v>48</v>
      </c>
      <c r="V4264">
        <v>56</v>
      </c>
      <c r="W4264">
        <v>5.6</v>
      </c>
    </row>
    <row r="4265" spans="1:23" x14ac:dyDescent="0.25">
      <c r="A4265">
        <v>13</v>
      </c>
      <c r="B4265" t="s">
        <v>30</v>
      </c>
      <c r="C4265" s="1">
        <v>44214</v>
      </c>
      <c r="D4265" t="s">
        <v>71</v>
      </c>
      <c r="E4265">
        <v>0</v>
      </c>
      <c r="F4265">
        <v>42</v>
      </c>
      <c r="G4265" t="str">
        <f t="shared" si="74"/>
        <v>41-60</v>
      </c>
      <c r="H4265" t="s">
        <v>35</v>
      </c>
      <c r="I4265" t="s">
        <v>50</v>
      </c>
      <c r="J4265" t="s">
        <v>51</v>
      </c>
      <c r="K4265" t="s">
        <v>29</v>
      </c>
      <c r="L4265">
        <v>1</v>
      </c>
      <c r="M4265">
        <v>1</v>
      </c>
      <c r="N4265">
        <v>5.5</v>
      </c>
      <c r="O4265">
        <v>7.4</v>
      </c>
      <c r="P4265">
        <v>4</v>
      </c>
      <c r="Q4265">
        <v>6</v>
      </c>
      <c r="R4265">
        <v>516569</v>
      </c>
      <c r="S4265">
        <f>Table1[[#This Row],[Revenue]]-Table1[[#This Row],[Operating_Costs]]</f>
        <v>145917</v>
      </c>
      <c r="T4265">
        <v>370652</v>
      </c>
      <c r="U4265">
        <v>46</v>
      </c>
      <c r="V4265">
        <v>55</v>
      </c>
      <c r="W4265">
        <v>6</v>
      </c>
    </row>
    <row r="4266" spans="1:23" x14ac:dyDescent="0.25">
      <c r="A4266">
        <v>13</v>
      </c>
      <c r="B4266" t="s">
        <v>30</v>
      </c>
      <c r="C4266" s="1">
        <v>44927</v>
      </c>
      <c r="D4266" t="s">
        <v>71</v>
      </c>
      <c r="E4266">
        <v>0</v>
      </c>
      <c r="F4266">
        <v>49</v>
      </c>
      <c r="G4266" t="str">
        <f t="shared" si="74"/>
        <v>41-60</v>
      </c>
      <c r="H4266" t="s">
        <v>23</v>
      </c>
      <c r="I4266" t="s">
        <v>24</v>
      </c>
      <c r="J4266" t="s">
        <v>25</v>
      </c>
      <c r="K4266" t="s">
        <v>42</v>
      </c>
      <c r="L4266">
        <v>1</v>
      </c>
      <c r="M4266">
        <v>1</v>
      </c>
      <c r="N4266">
        <v>3.9</v>
      </c>
      <c r="O4266">
        <v>8.1</v>
      </c>
      <c r="P4266">
        <v>3</v>
      </c>
      <c r="Q4266">
        <v>3</v>
      </c>
      <c r="R4266">
        <v>522849</v>
      </c>
      <c r="S4266">
        <f>Table1[[#This Row],[Revenue]]-Table1[[#This Row],[Operating_Costs]]</f>
        <v>160160</v>
      </c>
      <c r="T4266">
        <v>362689</v>
      </c>
      <c r="U4266">
        <v>50</v>
      </c>
      <c r="V4266">
        <v>63</v>
      </c>
      <c r="W4266">
        <v>36.700000000000003</v>
      </c>
    </row>
    <row r="4267" spans="1:23" x14ac:dyDescent="0.25">
      <c r="A4267">
        <v>13</v>
      </c>
      <c r="B4267" t="s">
        <v>30</v>
      </c>
      <c r="C4267" s="1">
        <v>44724</v>
      </c>
      <c r="D4267" t="s">
        <v>71</v>
      </c>
      <c r="E4267">
        <v>0</v>
      </c>
      <c r="F4267">
        <v>32</v>
      </c>
      <c r="G4267" t="str">
        <f t="shared" si="74"/>
        <v>21-40</v>
      </c>
      <c r="H4267" t="s">
        <v>35</v>
      </c>
      <c r="I4267" t="s">
        <v>46</v>
      </c>
      <c r="J4267" t="s">
        <v>47</v>
      </c>
      <c r="K4267" t="s">
        <v>42</v>
      </c>
      <c r="L4267">
        <v>1</v>
      </c>
      <c r="M4267">
        <v>1</v>
      </c>
      <c r="N4267">
        <v>5.7</v>
      </c>
      <c r="O4267">
        <v>7.1</v>
      </c>
      <c r="P4267">
        <v>5</v>
      </c>
      <c r="Q4267">
        <v>3</v>
      </c>
      <c r="R4267">
        <v>473324</v>
      </c>
      <c r="S4267">
        <f>Table1[[#This Row],[Revenue]]-Table1[[#This Row],[Operating_Costs]]</f>
        <v>119376</v>
      </c>
      <c r="T4267">
        <v>353948</v>
      </c>
      <c r="U4267">
        <v>50</v>
      </c>
      <c r="V4267">
        <v>63</v>
      </c>
      <c r="W4267">
        <v>7.3</v>
      </c>
    </row>
    <row r="4268" spans="1:23" x14ac:dyDescent="0.25">
      <c r="A4268">
        <v>13</v>
      </c>
      <c r="B4268" t="s">
        <v>30</v>
      </c>
      <c r="C4268" s="1">
        <v>44506</v>
      </c>
      <c r="D4268" t="s">
        <v>71</v>
      </c>
      <c r="E4268">
        <v>0</v>
      </c>
      <c r="F4268">
        <v>58</v>
      </c>
      <c r="G4268" t="str">
        <f t="shared" si="74"/>
        <v>41-60</v>
      </c>
      <c r="H4268" t="s">
        <v>23</v>
      </c>
      <c r="I4268" t="s">
        <v>24</v>
      </c>
      <c r="J4268" t="s">
        <v>25</v>
      </c>
      <c r="K4268" t="s">
        <v>29</v>
      </c>
      <c r="L4268">
        <v>1</v>
      </c>
      <c r="M4268">
        <v>1</v>
      </c>
      <c r="N4268">
        <v>5.8</v>
      </c>
      <c r="O4268">
        <v>10</v>
      </c>
      <c r="P4268">
        <v>5</v>
      </c>
      <c r="Q4268">
        <v>4</v>
      </c>
      <c r="R4268">
        <v>609201</v>
      </c>
      <c r="S4268">
        <f>Table1[[#This Row],[Revenue]]-Table1[[#This Row],[Operating_Costs]]</f>
        <v>207815</v>
      </c>
      <c r="T4268">
        <v>401386</v>
      </c>
      <c r="U4268">
        <v>46</v>
      </c>
      <c r="V4268">
        <v>59</v>
      </c>
      <c r="W4268">
        <v>5.9</v>
      </c>
    </row>
    <row r="4269" spans="1:23" x14ac:dyDescent="0.25">
      <c r="A4269">
        <v>13</v>
      </c>
      <c r="B4269" t="s">
        <v>30</v>
      </c>
      <c r="C4269" s="1">
        <v>44999</v>
      </c>
      <c r="D4269" t="s">
        <v>71</v>
      </c>
      <c r="E4269">
        <v>0</v>
      </c>
      <c r="F4269">
        <v>27</v>
      </c>
      <c r="G4269" t="str">
        <f t="shared" si="74"/>
        <v>21-40</v>
      </c>
      <c r="H4269" t="s">
        <v>23</v>
      </c>
      <c r="I4269" t="s">
        <v>61</v>
      </c>
      <c r="J4269" t="s">
        <v>62</v>
      </c>
      <c r="K4269" t="s">
        <v>29</v>
      </c>
      <c r="L4269">
        <v>1</v>
      </c>
      <c r="M4269">
        <v>1</v>
      </c>
      <c r="N4269">
        <v>3.9</v>
      </c>
      <c r="O4269">
        <v>8.1</v>
      </c>
      <c r="P4269">
        <v>7</v>
      </c>
      <c r="Q4269">
        <v>7</v>
      </c>
      <c r="R4269">
        <v>436972</v>
      </c>
      <c r="S4269">
        <f>Table1[[#This Row],[Revenue]]-Table1[[#This Row],[Operating_Costs]]</f>
        <v>53831</v>
      </c>
      <c r="T4269">
        <v>383141</v>
      </c>
      <c r="U4269">
        <v>40</v>
      </c>
      <c r="V4269">
        <v>61</v>
      </c>
      <c r="W4269">
        <v>5.9</v>
      </c>
    </row>
    <row r="4270" spans="1:23" x14ac:dyDescent="0.25">
      <c r="A4270">
        <v>13</v>
      </c>
      <c r="B4270" t="s">
        <v>30</v>
      </c>
      <c r="C4270" s="1">
        <v>44426</v>
      </c>
      <c r="D4270" t="s">
        <v>71</v>
      </c>
      <c r="E4270">
        <v>0</v>
      </c>
      <c r="F4270">
        <v>41</v>
      </c>
      <c r="G4270" t="str">
        <f t="shared" si="74"/>
        <v>41-60</v>
      </c>
      <c r="H4270" t="s">
        <v>35</v>
      </c>
      <c r="I4270" t="s">
        <v>58</v>
      </c>
      <c r="J4270" t="s">
        <v>59</v>
      </c>
      <c r="K4270" t="s">
        <v>29</v>
      </c>
      <c r="L4270">
        <v>1</v>
      </c>
      <c r="M4270">
        <v>1</v>
      </c>
      <c r="N4270">
        <v>6.3</v>
      </c>
      <c r="O4270">
        <v>7</v>
      </c>
      <c r="P4270">
        <v>3</v>
      </c>
      <c r="Q4270">
        <v>7</v>
      </c>
      <c r="R4270">
        <v>436822</v>
      </c>
      <c r="S4270">
        <f>Table1[[#This Row],[Revenue]]-Table1[[#This Row],[Operating_Costs]]</f>
        <v>60901</v>
      </c>
      <c r="T4270">
        <v>375921</v>
      </c>
      <c r="U4270">
        <v>33</v>
      </c>
      <c r="V4270">
        <v>63</v>
      </c>
      <c r="W4270">
        <v>12.1</v>
      </c>
    </row>
    <row r="4271" spans="1:23" x14ac:dyDescent="0.25">
      <c r="A4271">
        <v>13</v>
      </c>
      <c r="B4271" t="s">
        <v>30</v>
      </c>
      <c r="C4271" s="1">
        <v>45290</v>
      </c>
      <c r="D4271" t="s">
        <v>71</v>
      </c>
      <c r="E4271">
        <v>0</v>
      </c>
      <c r="F4271">
        <v>60</v>
      </c>
      <c r="G4271" t="str">
        <f t="shared" si="74"/>
        <v>41-60</v>
      </c>
      <c r="H4271" t="s">
        <v>35</v>
      </c>
      <c r="I4271" t="s">
        <v>40</v>
      </c>
      <c r="J4271" t="s">
        <v>41</v>
      </c>
      <c r="K4271" t="s">
        <v>29</v>
      </c>
      <c r="L4271">
        <v>1</v>
      </c>
      <c r="M4271">
        <v>1</v>
      </c>
      <c r="N4271">
        <v>1.3</v>
      </c>
      <c r="O4271">
        <v>7.2</v>
      </c>
      <c r="P4271">
        <v>4</v>
      </c>
      <c r="Q4271">
        <v>6</v>
      </c>
      <c r="R4271">
        <v>404776</v>
      </c>
      <c r="S4271">
        <f>Table1[[#This Row],[Revenue]]-Table1[[#This Row],[Operating_Costs]]</f>
        <v>36673</v>
      </c>
      <c r="T4271">
        <v>368103</v>
      </c>
      <c r="U4271">
        <v>37</v>
      </c>
      <c r="V4271">
        <v>64</v>
      </c>
      <c r="W4271">
        <v>9</v>
      </c>
    </row>
    <row r="4272" spans="1:23" x14ac:dyDescent="0.25">
      <c r="A4272">
        <v>13</v>
      </c>
      <c r="B4272" t="s">
        <v>30</v>
      </c>
      <c r="C4272" s="1">
        <v>44430</v>
      </c>
      <c r="D4272" t="s">
        <v>71</v>
      </c>
      <c r="E4272">
        <v>0</v>
      </c>
      <c r="F4272">
        <v>60</v>
      </c>
      <c r="G4272" t="str">
        <f t="shared" si="74"/>
        <v>41-60</v>
      </c>
      <c r="H4272" t="s">
        <v>35</v>
      </c>
      <c r="I4272" t="s">
        <v>27</v>
      </c>
      <c r="J4272" t="s">
        <v>28</v>
      </c>
      <c r="K4272" t="s">
        <v>33</v>
      </c>
      <c r="L4272">
        <v>1</v>
      </c>
      <c r="M4272">
        <v>1</v>
      </c>
      <c r="N4272">
        <v>1.2</v>
      </c>
      <c r="O4272">
        <v>7.1</v>
      </c>
      <c r="P4272">
        <v>6</v>
      </c>
      <c r="Q4272">
        <v>3</v>
      </c>
      <c r="R4272">
        <v>453007</v>
      </c>
      <c r="S4272">
        <f>Table1[[#This Row],[Revenue]]-Table1[[#This Row],[Operating_Costs]]</f>
        <v>52978</v>
      </c>
      <c r="T4272">
        <v>400029</v>
      </c>
      <c r="U4272">
        <v>34</v>
      </c>
      <c r="V4272">
        <v>59</v>
      </c>
      <c r="W4272">
        <v>8.1</v>
      </c>
    </row>
    <row r="4273" spans="1:23" x14ac:dyDescent="0.25">
      <c r="A4273">
        <v>13</v>
      </c>
      <c r="B4273" t="s">
        <v>30</v>
      </c>
      <c r="C4273" s="1">
        <v>45415</v>
      </c>
      <c r="D4273" t="s">
        <v>71</v>
      </c>
      <c r="E4273">
        <v>0</v>
      </c>
      <c r="F4273">
        <v>45</v>
      </c>
      <c r="G4273" t="str">
        <f t="shared" si="74"/>
        <v>41-60</v>
      </c>
      <c r="H4273" t="s">
        <v>23</v>
      </c>
      <c r="I4273" t="s">
        <v>40</v>
      </c>
      <c r="J4273" t="s">
        <v>41</v>
      </c>
      <c r="K4273" t="s">
        <v>26</v>
      </c>
      <c r="L4273">
        <v>1</v>
      </c>
      <c r="M4273">
        <v>1</v>
      </c>
      <c r="N4273">
        <v>3.9</v>
      </c>
      <c r="O4273">
        <v>9</v>
      </c>
      <c r="P4273">
        <v>7</v>
      </c>
      <c r="Q4273">
        <v>3</v>
      </c>
      <c r="R4273">
        <v>780878</v>
      </c>
      <c r="S4273">
        <f>Table1[[#This Row],[Revenue]]-Table1[[#This Row],[Operating_Costs]]</f>
        <v>394183</v>
      </c>
      <c r="T4273">
        <v>386695</v>
      </c>
      <c r="U4273">
        <v>30</v>
      </c>
      <c r="V4273">
        <v>61</v>
      </c>
      <c r="W4273">
        <v>8.1</v>
      </c>
    </row>
    <row r="4274" spans="1:23" x14ac:dyDescent="0.25">
      <c r="A4274">
        <v>13</v>
      </c>
      <c r="B4274" t="s">
        <v>30</v>
      </c>
      <c r="C4274" s="1">
        <v>45336</v>
      </c>
      <c r="D4274" t="s">
        <v>71</v>
      </c>
      <c r="E4274">
        <v>0</v>
      </c>
      <c r="F4274">
        <v>44</v>
      </c>
      <c r="G4274" t="str">
        <f t="shared" si="74"/>
        <v>41-60</v>
      </c>
      <c r="H4274" t="s">
        <v>23</v>
      </c>
      <c r="I4274" t="s">
        <v>55</v>
      </c>
      <c r="J4274" t="s">
        <v>56</v>
      </c>
      <c r="K4274" t="s">
        <v>29</v>
      </c>
      <c r="L4274">
        <v>1</v>
      </c>
      <c r="M4274">
        <v>1</v>
      </c>
      <c r="N4274">
        <v>2.9</v>
      </c>
      <c r="O4274">
        <v>7.3</v>
      </c>
      <c r="P4274">
        <v>6</v>
      </c>
      <c r="Q4274">
        <v>4</v>
      </c>
      <c r="R4274">
        <v>572982</v>
      </c>
      <c r="S4274">
        <f>Table1[[#This Row],[Revenue]]-Table1[[#This Row],[Operating_Costs]]</f>
        <v>179091</v>
      </c>
      <c r="T4274">
        <v>393891</v>
      </c>
      <c r="U4274">
        <v>43</v>
      </c>
      <c r="V4274">
        <v>66</v>
      </c>
      <c r="W4274">
        <v>5.5</v>
      </c>
    </row>
    <row r="4275" spans="1:23" x14ac:dyDescent="0.25">
      <c r="A4275">
        <v>13</v>
      </c>
      <c r="B4275" t="s">
        <v>30</v>
      </c>
      <c r="C4275" s="1">
        <v>45641</v>
      </c>
      <c r="D4275" t="s">
        <v>71</v>
      </c>
      <c r="E4275">
        <v>0</v>
      </c>
      <c r="F4275">
        <v>23</v>
      </c>
      <c r="G4275" t="str">
        <f t="shared" si="74"/>
        <v>21-40</v>
      </c>
      <c r="H4275" t="s">
        <v>23</v>
      </c>
      <c r="I4275" t="s">
        <v>55</v>
      </c>
      <c r="J4275" t="s">
        <v>56</v>
      </c>
      <c r="K4275" t="s">
        <v>38</v>
      </c>
      <c r="L4275">
        <v>1</v>
      </c>
      <c r="M4275">
        <v>1</v>
      </c>
      <c r="N4275">
        <v>4.4000000000000004</v>
      </c>
      <c r="O4275">
        <v>9.9</v>
      </c>
      <c r="P4275">
        <v>6</v>
      </c>
      <c r="Q4275">
        <v>4</v>
      </c>
      <c r="R4275">
        <v>699024</v>
      </c>
      <c r="S4275">
        <f>Table1[[#This Row],[Revenue]]-Table1[[#This Row],[Operating_Costs]]</f>
        <v>298330</v>
      </c>
      <c r="T4275">
        <v>400694</v>
      </c>
      <c r="U4275">
        <v>32</v>
      </c>
      <c r="V4275">
        <v>55</v>
      </c>
      <c r="W4275">
        <v>13.8</v>
      </c>
    </row>
    <row r="4276" spans="1:23" x14ac:dyDescent="0.25">
      <c r="A4276">
        <v>13</v>
      </c>
      <c r="B4276" t="s">
        <v>30</v>
      </c>
      <c r="C4276" s="1">
        <v>45467</v>
      </c>
      <c r="D4276" t="s">
        <v>71</v>
      </c>
      <c r="E4276">
        <v>0</v>
      </c>
      <c r="F4276">
        <v>29</v>
      </c>
      <c r="G4276" t="str">
        <f t="shared" si="74"/>
        <v>21-40</v>
      </c>
      <c r="H4276" t="s">
        <v>35</v>
      </c>
      <c r="I4276" t="s">
        <v>60</v>
      </c>
      <c r="J4276" t="s">
        <v>59</v>
      </c>
      <c r="K4276" t="s">
        <v>38</v>
      </c>
      <c r="L4276">
        <v>1</v>
      </c>
      <c r="M4276">
        <v>1</v>
      </c>
      <c r="N4276">
        <v>6.9</v>
      </c>
      <c r="O4276">
        <v>9.3000000000000007</v>
      </c>
      <c r="P4276">
        <v>4</v>
      </c>
      <c r="Q4276">
        <v>7</v>
      </c>
      <c r="R4276">
        <v>760545</v>
      </c>
      <c r="S4276">
        <f>Table1[[#This Row],[Revenue]]-Table1[[#This Row],[Operating_Costs]]</f>
        <v>403068</v>
      </c>
      <c r="T4276">
        <v>357477</v>
      </c>
      <c r="U4276">
        <v>40</v>
      </c>
      <c r="V4276">
        <v>56</v>
      </c>
      <c r="W4276">
        <v>36.200000000000003</v>
      </c>
    </row>
    <row r="4277" spans="1:23" x14ac:dyDescent="0.25">
      <c r="A4277">
        <v>13</v>
      </c>
      <c r="B4277" t="s">
        <v>30</v>
      </c>
      <c r="C4277" s="1">
        <v>44953</v>
      </c>
      <c r="D4277" t="s">
        <v>71</v>
      </c>
      <c r="E4277">
        <v>0</v>
      </c>
      <c r="F4277">
        <v>42</v>
      </c>
      <c r="G4277" t="str">
        <f t="shared" si="74"/>
        <v>41-60</v>
      </c>
      <c r="H4277" t="s">
        <v>23</v>
      </c>
      <c r="I4277" t="s">
        <v>55</v>
      </c>
      <c r="J4277" t="s">
        <v>56</v>
      </c>
      <c r="K4277" t="s">
        <v>29</v>
      </c>
      <c r="L4277">
        <v>1</v>
      </c>
      <c r="M4277">
        <v>1</v>
      </c>
      <c r="N4277">
        <v>6.9</v>
      </c>
      <c r="O4277">
        <v>7.9</v>
      </c>
      <c r="P4277">
        <v>6</v>
      </c>
      <c r="Q4277">
        <v>3</v>
      </c>
      <c r="R4277">
        <v>415734</v>
      </c>
      <c r="S4277">
        <f>Table1[[#This Row],[Revenue]]-Table1[[#This Row],[Operating_Costs]]</f>
        <v>64969</v>
      </c>
      <c r="T4277">
        <v>350765</v>
      </c>
      <c r="U4277">
        <v>39</v>
      </c>
      <c r="V4277">
        <v>66</v>
      </c>
      <c r="W4277">
        <v>12.9</v>
      </c>
    </row>
    <row r="4278" spans="1:23" x14ac:dyDescent="0.25">
      <c r="A4278">
        <v>12</v>
      </c>
      <c r="B4278" t="s">
        <v>66</v>
      </c>
      <c r="C4278" s="1">
        <v>45375</v>
      </c>
      <c r="D4278" t="s">
        <v>71</v>
      </c>
      <c r="E4278">
        <v>0</v>
      </c>
      <c r="F4278">
        <v>53</v>
      </c>
      <c r="G4278" t="str">
        <f t="shared" si="74"/>
        <v>41-60</v>
      </c>
      <c r="H4278" t="s">
        <v>23</v>
      </c>
      <c r="I4278" t="s">
        <v>43</v>
      </c>
      <c r="J4278" t="s">
        <v>25</v>
      </c>
      <c r="K4278" t="s">
        <v>38</v>
      </c>
      <c r="L4278">
        <v>1</v>
      </c>
      <c r="M4278">
        <v>1</v>
      </c>
      <c r="N4278">
        <v>2.8</v>
      </c>
      <c r="O4278">
        <v>9.6999999999999993</v>
      </c>
      <c r="P4278">
        <v>5</v>
      </c>
      <c r="Q4278">
        <v>3</v>
      </c>
      <c r="R4278">
        <v>870636</v>
      </c>
      <c r="S4278">
        <f>Table1[[#This Row],[Revenue]]-Table1[[#This Row],[Operating_Costs]]</f>
        <v>319700</v>
      </c>
      <c r="T4278">
        <v>550936</v>
      </c>
      <c r="U4278">
        <v>63</v>
      </c>
      <c r="V4278">
        <v>61</v>
      </c>
      <c r="W4278">
        <v>8.5</v>
      </c>
    </row>
    <row r="4279" spans="1:23" x14ac:dyDescent="0.25">
      <c r="A4279">
        <v>12</v>
      </c>
      <c r="B4279" t="s">
        <v>66</v>
      </c>
      <c r="C4279" s="1">
        <v>44254</v>
      </c>
      <c r="D4279" t="s">
        <v>71</v>
      </c>
      <c r="E4279">
        <v>0</v>
      </c>
      <c r="F4279">
        <v>25</v>
      </c>
      <c r="G4279" t="str">
        <f t="shared" si="74"/>
        <v>21-40</v>
      </c>
      <c r="H4279" t="s">
        <v>23</v>
      </c>
      <c r="I4279" t="s">
        <v>43</v>
      </c>
      <c r="J4279" t="s">
        <v>25</v>
      </c>
      <c r="K4279" t="s">
        <v>38</v>
      </c>
      <c r="L4279">
        <v>1</v>
      </c>
      <c r="M4279">
        <v>1</v>
      </c>
      <c r="N4279">
        <v>2.1</v>
      </c>
      <c r="O4279">
        <v>7.4</v>
      </c>
      <c r="P4279">
        <v>3</v>
      </c>
      <c r="Q4279">
        <v>6</v>
      </c>
      <c r="R4279">
        <v>897723</v>
      </c>
      <c r="S4279">
        <f>Table1[[#This Row],[Revenue]]-Table1[[#This Row],[Operating_Costs]]</f>
        <v>311149</v>
      </c>
      <c r="T4279">
        <v>586574</v>
      </c>
      <c r="U4279">
        <v>64</v>
      </c>
      <c r="V4279">
        <v>54</v>
      </c>
      <c r="W4279">
        <v>13.3</v>
      </c>
    </row>
    <row r="4280" spans="1:23" x14ac:dyDescent="0.25">
      <c r="A4280">
        <v>13</v>
      </c>
      <c r="B4280" t="s">
        <v>30</v>
      </c>
      <c r="C4280" s="1">
        <v>44448</v>
      </c>
      <c r="D4280" t="s">
        <v>71</v>
      </c>
      <c r="E4280">
        <v>0</v>
      </c>
      <c r="F4280">
        <v>27</v>
      </c>
      <c r="G4280" t="str">
        <f t="shared" si="74"/>
        <v>21-40</v>
      </c>
      <c r="H4280" t="s">
        <v>23</v>
      </c>
      <c r="I4280" t="s">
        <v>61</v>
      </c>
      <c r="J4280" t="s">
        <v>62</v>
      </c>
      <c r="K4280" t="s">
        <v>26</v>
      </c>
      <c r="L4280">
        <v>1</v>
      </c>
      <c r="M4280">
        <v>1</v>
      </c>
      <c r="N4280">
        <v>2.1</v>
      </c>
      <c r="O4280">
        <v>8.5</v>
      </c>
      <c r="P4280">
        <v>6</v>
      </c>
      <c r="Q4280">
        <v>6</v>
      </c>
      <c r="R4280">
        <v>422526</v>
      </c>
      <c r="S4280">
        <f>Table1[[#This Row],[Revenue]]-Table1[[#This Row],[Operating_Costs]]</f>
        <v>38541</v>
      </c>
      <c r="T4280">
        <v>383985</v>
      </c>
      <c r="U4280">
        <v>43</v>
      </c>
      <c r="V4280">
        <v>58</v>
      </c>
      <c r="W4280">
        <v>14.4</v>
      </c>
    </row>
    <row r="4281" spans="1:23" x14ac:dyDescent="0.25">
      <c r="A4281">
        <v>13</v>
      </c>
      <c r="B4281" t="s">
        <v>30</v>
      </c>
      <c r="C4281" s="1">
        <v>45169</v>
      </c>
      <c r="D4281" t="s">
        <v>71</v>
      </c>
      <c r="E4281">
        <v>0</v>
      </c>
      <c r="F4281">
        <v>53</v>
      </c>
      <c r="G4281" t="str">
        <f t="shared" si="74"/>
        <v>41-60</v>
      </c>
      <c r="H4281" t="s">
        <v>35</v>
      </c>
      <c r="I4281" t="s">
        <v>36</v>
      </c>
      <c r="J4281" t="s">
        <v>37</v>
      </c>
      <c r="K4281" t="s">
        <v>33</v>
      </c>
      <c r="L4281">
        <v>1</v>
      </c>
      <c r="M4281">
        <v>1</v>
      </c>
      <c r="N4281">
        <v>4.2</v>
      </c>
      <c r="O4281">
        <v>8.4</v>
      </c>
      <c r="P4281">
        <v>5</v>
      </c>
      <c r="Q4281">
        <v>7</v>
      </c>
      <c r="R4281">
        <v>699817</v>
      </c>
      <c r="S4281">
        <f>Table1[[#This Row],[Revenue]]-Table1[[#This Row],[Operating_Costs]]</f>
        <v>337678</v>
      </c>
      <c r="T4281">
        <v>362139</v>
      </c>
      <c r="U4281">
        <v>39</v>
      </c>
      <c r="V4281">
        <v>55</v>
      </c>
      <c r="W4281">
        <v>7.9</v>
      </c>
    </row>
    <row r="4282" spans="1:23" x14ac:dyDescent="0.25">
      <c r="A4282">
        <v>12</v>
      </c>
      <c r="B4282" t="s">
        <v>66</v>
      </c>
      <c r="C4282" s="1">
        <v>45039</v>
      </c>
      <c r="D4282" t="s">
        <v>71</v>
      </c>
      <c r="E4282">
        <v>0</v>
      </c>
      <c r="F4282">
        <v>62</v>
      </c>
      <c r="G4282" t="str">
        <f t="shared" si="74"/>
        <v>61-80</v>
      </c>
      <c r="H4282" t="s">
        <v>35</v>
      </c>
      <c r="I4282" t="s">
        <v>36</v>
      </c>
      <c r="J4282" t="s">
        <v>37</v>
      </c>
      <c r="K4282" t="s">
        <v>33</v>
      </c>
      <c r="L4282">
        <v>1</v>
      </c>
      <c r="M4282">
        <v>1</v>
      </c>
      <c r="N4282">
        <v>1</v>
      </c>
      <c r="O4282">
        <v>8.8000000000000007</v>
      </c>
      <c r="P4282">
        <v>5</v>
      </c>
      <c r="Q4282">
        <v>5</v>
      </c>
      <c r="R4282">
        <v>903225</v>
      </c>
      <c r="S4282">
        <f>Table1[[#This Row],[Revenue]]-Table1[[#This Row],[Operating_Costs]]</f>
        <v>299615</v>
      </c>
      <c r="T4282">
        <v>603610</v>
      </c>
      <c r="U4282">
        <v>57</v>
      </c>
      <c r="V4282">
        <v>64</v>
      </c>
      <c r="W4282">
        <v>6.1</v>
      </c>
    </row>
    <row r="4283" spans="1:23" x14ac:dyDescent="0.25">
      <c r="A4283">
        <v>12</v>
      </c>
      <c r="B4283" t="s">
        <v>66</v>
      </c>
      <c r="C4283" s="1">
        <v>45415</v>
      </c>
      <c r="D4283" t="s">
        <v>71</v>
      </c>
      <c r="E4283">
        <v>0</v>
      </c>
      <c r="F4283">
        <v>49</v>
      </c>
      <c r="G4283" t="str">
        <f t="shared" si="74"/>
        <v>41-60</v>
      </c>
      <c r="H4283" t="s">
        <v>23</v>
      </c>
      <c r="I4283" t="s">
        <v>55</v>
      </c>
      <c r="J4283" t="s">
        <v>56</v>
      </c>
      <c r="K4283" t="s">
        <v>42</v>
      </c>
      <c r="L4283">
        <v>1</v>
      </c>
      <c r="M4283">
        <v>1</v>
      </c>
      <c r="N4283">
        <v>3.1</v>
      </c>
      <c r="O4283">
        <v>7.9</v>
      </c>
      <c r="P4283">
        <v>6</v>
      </c>
      <c r="Q4283">
        <v>7</v>
      </c>
      <c r="R4283">
        <v>866737</v>
      </c>
      <c r="S4283">
        <f>Table1[[#This Row],[Revenue]]-Table1[[#This Row],[Operating_Costs]]</f>
        <v>183437</v>
      </c>
      <c r="T4283">
        <v>683300</v>
      </c>
      <c r="U4283">
        <v>77</v>
      </c>
      <c r="V4283">
        <v>59</v>
      </c>
      <c r="W4283">
        <v>10.9</v>
      </c>
    </row>
    <row r="4284" spans="1:23" x14ac:dyDescent="0.25">
      <c r="A4284">
        <v>12</v>
      </c>
      <c r="B4284" t="s">
        <v>66</v>
      </c>
      <c r="C4284" s="1">
        <v>44351</v>
      </c>
      <c r="D4284" t="s">
        <v>71</v>
      </c>
      <c r="E4284">
        <v>0</v>
      </c>
      <c r="F4284">
        <v>29</v>
      </c>
      <c r="G4284" t="str">
        <f t="shared" si="74"/>
        <v>21-40</v>
      </c>
      <c r="H4284" t="s">
        <v>23</v>
      </c>
      <c r="I4284" t="s">
        <v>58</v>
      </c>
      <c r="J4284" t="s">
        <v>59</v>
      </c>
      <c r="K4284" t="s">
        <v>42</v>
      </c>
      <c r="L4284">
        <v>1</v>
      </c>
      <c r="M4284">
        <v>1</v>
      </c>
      <c r="N4284">
        <v>5.4</v>
      </c>
      <c r="O4284">
        <v>7.3</v>
      </c>
      <c r="P4284">
        <v>4</v>
      </c>
      <c r="Q4284">
        <v>5</v>
      </c>
      <c r="R4284">
        <v>841649</v>
      </c>
      <c r="S4284">
        <f>Table1[[#This Row],[Revenue]]-Table1[[#This Row],[Operating_Costs]]</f>
        <v>284343</v>
      </c>
      <c r="T4284">
        <v>557306</v>
      </c>
      <c r="U4284">
        <v>70</v>
      </c>
      <c r="V4284">
        <v>66</v>
      </c>
      <c r="W4284">
        <v>36.9</v>
      </c>
    </row>
    <row r="4285" spans="1:23" x14ac:dyDescent="0.25">
      <c r="A4285">
        <v>13</v>
      </c>
      <c r="B4285" t="s">
        <v>30</v>
      </c>
      <c r="C4285" s="1">
        <v>45299</v>
      </c>
      <c r="D4285" t="s">
        <v>71</v>
      </c>
      <c r="E4285">
        <v>0</v>
      </c>
      <c r="F4285">
        <v>64</v>
      </c>
      <c r="G4285" t="str">
        <f t="shared" si="74"/>
        <v>61-80</v>
      </c>
      <c r="H4285" t="s">
        <v>23</v>
      </c>
      <c r="I4285" t="s">
        <v>31</v>
      </c>
      <c r="J4285" t="s">
        <v>28</v>
      </c>
      <c r="K4285" t="s">
        <v>29</v>
      </c>
      <c r="L4285">
        <v>1</v>
      </c>
      <c r="M4285">
        <v>1</v>
      </c>
      <c r="N4285">
        <v>2.2000000000000002</v>
      </c>
      <c r="O4285">
        <v>8.1999999999999993</v>
      </c>
      <c r="P4285">
        <v>5</v>
      </c>
      <c r="Q4285">
        <v>5</v>
      </c>
      <c r="R4285">
        <v>496281</v>
      </c>
      <c r="S4285">
        <f>Table1[[#This Row],[Revenue]]-Table1[[#This Row],[Operating_Costs]]</f>
        <v>114295</v>
      </c>
      <c r="T4285">
        <v>381986</v>
      </c>
      <c r="U4285">
        <v>40</v>
      </c>
      <c r="V4285">
        <v>65</v>
      </c>
      <c r="W4285">
        <v>15</v>
      </c>
    </row>
    <row r="4286" spans="1:23" x14ac:dyDescent="0.25">
      <c r="A4286">
        <v>13</v>
      </c>
      <c r="B4286" t="s">
        <v>30</v>
      </c>
      <c r="C4286" s="1">
        <v>44970</v>
      </c>
      <c r="D4286" t="s">
        <v>71</v>
      </c>
      <c r="E4286">
        <v>0</v>
      </c>
      <c r="F4286">
        <v>68</v>
      </c>
      <c r="G4286" t="str">
        <f t="shared" si="74"/>
        <v>61-80</v>
      </c>
      <c r="H4286" t="s">
        <v>23</v>
      </c>
      <c r="I4286" t="s">
        <v>50</v>
      </c>
      <c r="J4286" t="s">
        <v>51</v>
      </c>
      <c r="K4286" t="s">
        <v>26</v>
      </c>
      <c r="L4286">
        <v>1</v>
      </c>
      <c r="M4286">
        <v>1</v>
      </c>
      <c r="N4286">
        <v>5.3</v>
      </c>
      <c r="O4286">
        <v>8.6999999999999993</v>
      </c>
      <c r="P4286">
        <v>5</v>
      </c>
      <c r="Q4286">
        <v>7</v>
      </c>
      <c r="R4286">
        <v>587423</v>
      </c>
      <c r="S4286">
        <f>Table1[[#This Row],[Revenue]]-Table1[[#This Row],[Operating_Costs]]</f>
        <v>216469</v>
      </c>
      <c r="T4286">
        <v>370954</v>
      </c>
      <c r="U4286">
        <v>34</v>
      </c>
      <c r="V4286">
        <v>58</v>
      </c>
      <c r="W4286">
        <v>36.799999999999997</v>
      </c>
    </row>
    <row r="4287" spans="1:23" x14ac:dyDescent="0.25">
      <c r="A4287">
        <v>12</v>
      </c>
      <c r="B4287" t="s">
        <v>66</v>
      </c>
      <c r="C4287" s="1">
        <v>45379</v>
      </c>
      <c r="D4287" t="s">
        <v>71</v>
      </c>
      <c r="E4287">
        <v>0</v>
      </c>
      <c r="F4287">
        <v>82</v>
      </c>
      <c r="G4287" t="str">
        <f t="shared" si="74"/>
        <v>81+</v>
      </c>
      <c r="H4287" t="s">
        <v>23</v>
      </c>
      <c r="I4287" t="s">
        <v>24</v>
      </c>
      <c r="J4287" t="s">
        <v>25</v>
      </c>
      <c r="K4287" t="s">
        <v>42</v>
      </c>
      <c r="L4287">
        <v>1</v>
      </c>
      <c r="M4287">
        <v>1</v>
      </c>
      <c r="N4287">
        <v>5</v>
      </c>
      <c r="O4287">
        <v>10</v>
      </c>
      <c r="P4287">
        <v>7</v>
      </c>
      <c r="Q4287">
        <v>7</v>
      </c>
      <c r="R4287">
        <v>978524</v>
      </c>
      <c r="S4287">
        <f>Table1[[#This Row],[Revenue]]-Table1[[#This Row],[Operating_Costs]]</f>
        <v>471374</v>
      </c>
      <c r="T4287">
        <v>507150</v>
      </c>
      <c r="U4287">
        <v>80</v>
      </c>
      <c r="V4287">
        <v>54</v>
      </c>
      <c r="W4287">
        <v>14.7</v>
      </c>
    </row>
    <row r="4288" spans="1:23" x14ac:dyDescent="0.25">
      <c r="A4288">
        <v>12</v>
      </c>
      <c r="B4288" t="s">
        <v>66</v>
      </c>
      <c r="C4288" s="1">
        <v>45179</v>
      </c>
      <c r="D4288" t="s">
        <v>71</v>
      </c>
      <c r="E4288">
        <v>0</v>
      </c>
      <c r="F4288">
        <v>52</v>
      </c>
      <c r="G4288" t="str">
        <f t="shared" si="74"/>
        <v>41-60</v>
      </c>
      <c r="H4288" t="s">
        <v>35</v>
      </c>
      <c r="I4288" t="s">
        <v>55</v>
      </c>
      <c r="J4288" t="s">
        <v>56</v>
      </c>
      <c r="K4288" t="s">
        <v>29</v>
      </c>
      <c r="L4288">
        <v>1</v>
      </c>
      <c r="M4288">
        <v>1</v>
      </c>
      <c r="N4288">
        <v>5.3</v>
      </c>
      <c r="O4288">
        <v>8.4</v>
      </c>
      <c r="P4288">
        <v>5</v>
      </c>
      <c r="Q4288">
        <v>4</v>
      </c>
      <c r="R4288">
        <v>866775</v>
      </c>
      <c r="S4288">
        <f>Table1[[#This Row],[Revenue]]-Table1[[#This Row],[Operating_Costs]]</f>
        <v>292099</v>
      </c>
      <c r="T4288">
        <v>574676</v>
      </c>
      <c r="U4288">
        <v>79</v>
      </c>
      <c r="V4288">
        <v>60</v>
      </c>
      <c r="W4288">
        <v>10.1</v>
      </c>
    </row>
    <row r="4289" spans="1:23" x14ac:dyDescent="0.25">
      <c r="A4289">
        <v>12</v>
      </c>
      <c r="B4289" t="s">
        <v>66</v>
      </c>
      <c r="C4289" s="1">
        <v>44546</v>
      </c>
      <c r="D4289" t="s">
        <v>71</v>
      </c>
      <c r="E4289">
        <v>0</v>
      </c>
      <c r="F4289">
        <v>65</v>
      </c>
      <c r="G4289" t="str">
        <f t="shared" si="74"/>
        <v>61-80</v>
      </c>
      <c r="H4289" t="s">
        <v>35</v>
      </c>
      <c r="I4289" t="s">
        <v>36</v>
      </c>
      <c r="J4289" t="s">
        <v>37</v>
      </c>
      <c r="K4289" t="s">
        <v>42</v>
      </c>
      <c r="L4289">
        <v>1</v>
      </c>
      <c r="M4289">
        <v>1</v>
      </c>
      <c r="N4289">
        <v>1.9</v>
      </c>
      <c r="O4289">
        <v>7.7</v>
      </c>
      <c r="P4289">
        <v>5</v>
      </c>
      <c r="Q4289">
        <v>4</v>
      </c>
      <c r="R4289">
        <v>912635</v>
      </c>
      <c r="S4289">
        <f>Table1[[#This Row],[Revenue]]-Table1[[#This Row],[Operating_Costs]]</f>
        <v>233109</v>
      </c>
      <c r="T4289">
        <v>679526</v>
      </c>
      <c r="U4289">
        <v>60</v>
      </c>
      <c r="V4289">
        <v>58</v>
      </c>
      <c r="W4289">
        <v>36.6</v>
      </c>
    </row>
    <row r="4290" spans="1:23" x14ac:dyDescent="0.25">
      <c r="A4290">
        <v>13</v>
      </c>
      <c r="B4290" t="s">
        <v>30</v>
      </c>
      <c r="C4290" s="1">
        <v>44632</v>
      </c>
      <c r="D4290" t="s">
        <v>71</v>
      </c>
      <c r="E4290">
        <v>0</v>
      </c>
      <c r="F4290">
        <v>31</v>
      </c>
      <c r="G4290" t="str">
        <f t="shared" si="74"/>
        <v>21-40</v>
      </c>
      <c r="H4290" t="s">
        <v>35</v>
      </c>
      <c r="I4290" t="s">
        <v>36</v>
      </c>
      <c r="J4290" t="s">
        <v>37</v>
      </c>
      <c r="K4290" t="s">
        <v>38</v>
      </c>
      <c r="L4290">
        <v>1</v>
      </c>
      <c r="M4290">
        <v>1</v>
      </c>
      <c r="N4290">
        <v>5.4</v>
      </c>
      <c r="O4290">
        <v>7.6</v>
      </c>
      <c r="P4290">
        <v>5</v>
      </c>
      <c r="Q4290">
        <v>6</v>
      </c>
      <c r="R4290">
        <v>648134</v>
      </c>
      <c r="S4290">
        <f>Table1[[#This Row],[Revenue]]-Table1[[#This Row],[Operating_Costs]]</f>
        <v>265268</v>
      </c>
      <c r="T4290">
        <v>382866</v>
      </c>
      <c r="U4290">
        <v>32</v>
      </c>
      <c r="V4290">
        <v>64</v>
      </c>
      <c r="W4290">
        <v>10.3</v>
      </c>
    </row>
    <row r="4291" spans="1:23" x14ac:dyDescent="0.25">
      <c r="A4291">
        <v>13</v>
      </c>
      <c r="B4291" t="s">
        <v>30</v>
      </c>
      <c r="C4291" s="1">
        <v>44988</v>
      </c>
      <c r="D4291" t="s">
        <v>71</v>
      </c>
      <c r="E4291">
        <v>0</v>
      </c>
      <c r="F4291">
        <v>23</v>
      </c>
      <c r="G4291" t="str">
        <f t="shared" ref="G4291:G4354" si="75">IF(F4291&lt;=20,"0-20",IF(F4291&lt;=40,"21-40",IF(F4291&lt;=60,"41-60",IF(F4291&lt;=80,"61-80","81+"))))</f>
        <v>21-40</v>
      </c>
      <c r="H4291" t="s">
        <v>35</v>
      </c>
      <c r="I4291" t="s">
        <v>60</v>
      </c>
      <c r="J4291" t="s">
        <v>59</v>
      </c>
      <c r="K4291" t="s">
        <v>29</v>
      </c>
      <c r="L4291">
        <v>1</v>
      </c>
      <c r="M4291">
        <v>1</v>
      </c>
      <c r="N4291">
        <v>5.5</v>
      </c>
      <c r="O4291">
        <v>10</v>
      </c>
      <c r="P4291">
        <v>5</v>
      </c>
      <c r="Q4291">
        <v>5</v>
      </c>
      <c r="R4291">
        <v>645602</v>
      </c>
      <c r="S4291">
        <f>Table1[[#This Row],[Revenue]]-Table1[[#This Row],[Operating_Costs]]</f>
        <v>292415</v>
      </c>
      <c r="T4291">
        <v>353187</v>
      </c>
      <c r="U4291">
        <v>39</v>
      </c>
      <c r="V4291">
        <v>62</v>
      </c>
      <c r="W4291">
        <v>7.5</v>
      </c>
    </row>
    <row r="4292" spans="1:23" x14ac:dyDescent="0.25">
      <c r="A4292">
        <v>12</v>
      </c>
      <c r="B4292" t="s">
        <v>66</v>
      </c>
      <c r="C4292" s="1">
        <v>45343</v>
      </c>
      <c r="D4292" t="s">
        <v>71</v>
      </c>
      <c r="E4292">
        <v>0</v>
      </c>
      <c r="F4292">
        <v>27</v>
      </c>
      <c r="G4292" t="str">
        <f t="shared" si="75"/>
        <v>21-40</v>
      </c>
      <c r="H4292" t="s">
        <v>23</v>
      </c>
      <c r="I4292" t="s">
        <v>61</v>
      </c>
      <c r="J4292" t="s">
        <v>62</v>
      </c>
      <c r="K4292" t="s">
        <v>42</v>
      </c>
      <c r="L4292">
        <v>1</v>
      </c>
      <c r="M4292">
        <v>1</v>
      </c>
      <c r="N4292">
        <v>2.1</v>
      </c>
      <c r="O4292">
        <v>7.8</v>
      </c>
      <c r="P4292">
        <v>4</v>
      </c>
      <c r="Q4292">
        <v>6</v>
      </c>
      <c r="R4292">
        <v>962526</v>
      </c>
      <c r="S4292">
        <f>Table1[[#This Row],[Revenue]]-Table1[[#This Row],[Operating_Costs]]</f>
        <v>418946</v>
      </c>
      <c r="T4292">
        <v>543580</v>
      </c>
      <c r="U4292">
        <v>52</v>
      </c>
      <c r="V4292">
        <v>58</v>
      </c>
      <c r="W4292">
        <v>36.9</v>
      </c>
    </row>
    <row r="4293" spans="1:23" x14ac:dyDescent="0.25">
      <c r="A4293">
        <v>13</v>
      </c>
      <c r="B4293" t="s">
        <v>30</v>
      </c>
      <c r="C4293" s="1">
        <v>44423</v>
      </c>
      <c r="D4293" t="s">
        <v>71</v>
      </c>
      <c r="E4293">
        <v>0</v>
      </c>
      <c r="F4293">
        <v>89</v>
      </c>
      <c r="G4293" t="str">
        <f t="shared" si="75"/>
        <v>81+</v>
      </c>
      <c r="H4293" t="s">
        <v>35</v>
      </c>
      <c r="I4293" t="s">
        <v>55</v>
      </c>
      <c r="J4293" t="s">
        <v>56</v>
      </c>
      <c r="K4293" t="s">
        <v>26</v>
      </c>
      <c r="L4293">
        <v>1</v>
      </c>
      <c r="M4293">
        <v>1</v>
      </c>
      <c r="N4293">
        <v>3.3</v>
      </c>
      <c r="O4293">
        <v>7.7</v>
      </c>
      <c r="P4293">
        <v>3</v>
      </c>
      <c r="Q4293">
        <v>5</v>
      </c>
      <c r="R4293">
        <v>462274</v>
      </c>
      <c r="S4293">
        <f>Table1[[#This Row],[Revenue]]-Table1[[#This Row],[Operating_Costs]]</f>
        <v>86357</v>
      </c>
      <c r="T4293">
        <v>375917</v>
      </c>
      <c r="U4293">
        <v>33</v>
      </c>
      <c r="V4293">
        <v>64</v>
      </c>
      <c r="W4293">
        <v>36.700000000000003</v>
      </c>
    </row>
    <row r="4294" spans="1:23" x14ac:dyDescent="0.25">
      <c r="A4294">
        <v>13</v>
      </c>
      <c r="B4294" t="s">
        <v>30</v>
      </c>
      <c r="C4294" s="1">
        <v>45263</v>
      </c>
      <c r="D4294" t="s">
        <v>71</v>
      </c>
      <c r="E4294">
        <v>0</v>
      </c>
      <c r="F4294">
        <v>45</v>
      </c>
      <c r="G4294" t="str">
        <f t="shared" si="75"/>
        <v>41-60</v>
      </c>
      <c r="H4294" t="s">
        <v>23</v>
      </c>
      <c r="I4294" t="s">
        <v>50</v>
      </c>
      <c r="J4294" t="s">
        <v>51</v>
      </c>
      <c r="K4294" t="s">
        <v>42</v>
      </c>
      <c r="L4294">
        <v>1</v>
      </c>
      <c r="M4294">
        <v>1</v>
      </c>
      <c r="N4294">
        <v>1.9</v>
      </c>
      <c r="O4294">
        <v>7.1</v>
      </c>
      <c r="P4294">
        <v>7</v>
      </c>
      <c r="Q4294">
        <v>4</v>
      </c>
      <c r="R4294">
        <v>525036</v>
      </c>
      <c r="S4294">
        <f>Table1[[#This Row],[Revenue]]-Table1[[#This Row],[Operating_Costs]]</f>
        <v>150154</v>
      </c>
      <c r="T4294">
        <v>374882</v>
      </c>
      <c r="U4294">
        <v>50</v>
      </c>
      <c r="V4294">
        <v>66</v>
      </c>
      <c r="W4294">
        <v>36.200000000000003</v>
      </c>
    </row>
    <row r="4295" spans="1:23" x14ac:dyDescent="0.25">
      <c r="A4295">
        <v>13</v>
      </c>
      <c r="B4295" t="s">
        <v>30</v>
      </c>
      <c r="C4295" s="1">
        <v>45606</v>
      </c>
      <c r="D4295" t="s">
        <v>71</v>
      </c>
      <c r="E4295">
        <v>0</v>
      </c>
      <c r="F4295">
        <v>62</v>
      </c>
      <c r="G4295" t="str">
        <f t="shared" si="75"/>
        <v>61-80</v>
      </c>
      <c r="H4295" t="s">
        <v>35</v>
      </c>
      <c r="I4295" t="s">
        <v>58</v>
      </c>
      <c r="J4295" t="s">
        <v>59</v>
      </c>
      <c r="K4295" t="s">
        <v>33</v>
      </c>
      <c r="L4295">
        <v>1</v>
      </c>
      <c r="M4295">
        <v>1</v>
      </c>
      <c r="N4295">
        <v>2.7</v>
      </c>
      <c r="O4295">
        <v>8.1999999999999993</v>
      </c>
      <c r="P4295">
        <v>5</v>
      </c>
      <c r="Q4295">
        <v>3</v>
      </c>
      <c r="R4295">
        <v>764520</v>
      </c>
      <c r="S4295">
        <f>Table1[[#This Row],[Revenue]]-Table1[[#This Row],[Operating_Costs]]</f>
        <v>409293</v>
      </c>
      <c r="T4295">
        <v>355227</v>
      </c>
      <c r="U4295">
        <v>40</v>
      </c>
      <c r="V4295">
        <v>63</v>
      </c>
      <c r="W4295">
        <v>8.4</v>
      </c>
    </row>
    <row r="4296" spans="1:23" x14ac:dyDescent="0.25">
      <c r="A4296">
        <v>12</v>
      </c>
      <c r="B4296" t="s">
        <v>66</v>
      </c>
      <c r="C4296" s="1">
        <v>45484</v>
      </c>
      <c r="D4296" t="s">
        <v>71</v>
      </c>
      <c r="E4296">
        <v>0</v>
      </c>
      <c r="F4296">
        <v>30</v>
      </c>
      <c r="G4296" t="str">
        <f t="shared" si="75"/>
        <v>21-40</v>
      </c>
      <c r="H4296" t="s">
        <v>23</v>
      </c>
      <c r="I4296" t="s">
        <v>50</v>
      </c>
      <c r="J4296" t="s">
        <v>51</v>
      </c>
      <c r="K4296" t="s">
        <v>26</v>
      </c>
      <c r="L4296">
        <v>1</v>
      </c>
      <c r="M4296">
        <v>1</v>
      </c>
      <c r="N4296">
        <v>6.4</v>
      </c>
      <c r="O4296">
        <v>9</v>
      </c>
      <c r="P4296">
        <v>4</v>
      </c>
      <c r="Q4296">
        <v>4</v>
      </c>
      <c r="R4296">
        <v>831342</v>
      </c>
      <c r="S4296">
        <f>Table1[[#This Row],[Revenue]]-Table1[[#This Row],[Operating_Costs]]</f>
        <v>180478</v>
      </c>
      <c r="T4296">
        <v>650864</v>
      </c>
      <c r="U4296">
        <v>57</v>
      </c>
      <c r="V4296">
        <v>61</v>
      </c>
      <c r="W4296">
        <v>10.7</v>
      </c>
    </row>
    <row r="4297" spans="1:23" x14ac:dyDescent="0.25">
      <c r="A4297">
        <v>13</v>
      </c>
      <c r="B4297" t="s">
        <v>30</v>
      </c>
      <c r="C4297" s="1">
        <v>44294</v>
      </c>
      <c r="D4297" t="s">
        <v>71</v>
      </c>
      <c r="E4297">
        <v>0</v>
      </c>
      <c r="F4297">
        <v>54</v>
      </c>
      <c r="G4297" t="str">
        <f t="shared" si="75"/>
        <v>41-60</v>
      </c>
      <c r="H4297" t="s">
        <v>35</v>
      </c>
      <c r="I4297" t="s">
        <v>36</v>
      </c>
      <c r="J4297" t="s">
        <v>37</v>
      </c>
      <c r="K4297" t="s">
        <v>38</v>
      </c>
      <c r="L4297">
        <v>1</v>
      </c>
      <c r="M4297">
        <v>1</v>
      </c>
      <c r="N4297">
        <v>5.8</v>
      </c>
      <c r="O4297">
        <v>7.9</v>
      </c>
      <c r="P4297">
        <v>4</v>
      </c>
      <c r="Q4297">
        <v>3</v>
      </c>
      <c r="R4297">
        <v>436265</v>
      </c>
      <c r="S4297">
        <f>Table1[[#This Row],[Revenue]]-Table1[[#This Row],[Operating_Costs]]</f>
        <v>56745</v>
      </c>
      <c r="T4297">
        <v>379520</v>
      </c>
      <c r="U4297">
        <v>32</v>
      </c>
      <c r="V4297">
        <v>64</v>
      </c>
      <c r="W4297">
        <v>10</v>
      </c>
    </row>
    <row r="4298" spans="1:23" x14ac:dyDescent="0.25">
      <c r="A4298">
        <v>13</v>
      </c>
      <c r="B4298" t="s">
        <v>30</v>
      </c>
      <c r="C4298" s="1">
        <v>45018</v>
      </c>
      <c r="D4298" t="s">
        <v>71</v>
      </c>
      <c r="E4298">
        <v>0</v>
      </c>
      <c r="F4298">
        <v>25</v>
      </c>
      <c r="G4298" t="str">
        <f t="shared" si="75"/>
        <v>21-40</v>
      </c>
      <c r="H4298" t="s">
        <v>35</v>
      </c>
      <c r="I4298" t="s">
        <v>53</v>
      </c>
      <c r="J4298" t="s">
        <v>54</v>
      </c>
      <c r="K4298" t="s">
        <v>33</v>
      </c>
      <c r="L4298">
        <v>1</v>
      </c>
      <c r="M4298">
        <v>1</v>
      </c>
      <c r="N4298">
        <v>4.3</v>
      </c>
      <c r="O4298">
        <v>7.1</v>
      </c>
      <c r="P4298">
        <v>6</v>
      </c>
      <c r="Q4298">
        <v>4</v>
      </c>
      <c r="R4298">
        <v>438459</v>
      </c>
      <c r="S4298">
        <f>Table1[[#This Row],[Revenue]]-Table1[[#This Row],[Operating_Costs]]</f>
        <v>71626</v>
      </c>
      <c r="T4298">
        <v>366833</v>
      </c>
      <c r="U4298">
        <v>32</v>
      </c>
      <c r="V4298">
        <v>59</v>
      </c>
      <c r="W4298">
        <v>6.6</v>
      </c>
    </row>
    <row r="4299" spans="1:23" x14ac:dyDescent="0.25">
      <c r="A4299">
        <v>13</v>
      </c>
      <c r="B4299" t="s">
        <v>30</v>
      </c>
      <c r="C4299" s="1">
        <v>45577</v>
      </c>
      <c r="D4299" t="s">
        <v>71</v>
      </c>
      <c r="E4299">
        <v>0</v>
      </c>
      <c r="F4299">
        <v>49</v>
      </c>
      <c r="G4299" t="str">
        <f t="shared" si="75"/>
        <v>41-60</v>
      </c>
      <c r="H4299" t="s">
        <v>35</v>
      </c>
      <c r="I4299" t="s">
        <v>61</v>
      </c>
      <c r="J4299" t="s">
        <v>62</v>
      </c>
      <c r="K4299" t="s">
        <v>26</v>
      </c>
      <c r="L4299">
        <v>1</v>
      </c>
      <c r="M4299">
        <v>1</v>
      </c>
      <c r="N4299">
        <v>1.8</v>
      </c>
      <c r="O4299">
        <v>7.6</v>
      </c>
      <c r="P4299">
        <v>4</v>
      </c>
      <c r="Q4299">
        <v>3</v>
      </c>
      <c r="R4299">
        <v>780936</v>
      </c>
      <c r="S4299">
        <f>Table1[[#This Row],[Revenue]]-Table1[[#This Row],[Operating_Costs]]</f>
        <v>425453</v>
      </c>
      <c r="T4299">
        <v>355483</v>
      </c>
      <c r="U4299">
        <v>30</v>
      </c>
      <c r="V4299">
        <v>64</v>
      </c>
      <c r="W4299">
        <v>13.5</v>
      </c>
    </row>
    <row r="4300" spans="1:23" x14ac:dyDescent="0.25">
      <c r="A4300">
        <v>13</v>
      </c>
      <c r="B4300" t="s">
        <v>30</v>
      </c>
      <c r="C4300" s="1">
        <v>45415</v>
      </c>
      <c r="D4300" t="s">
        <v>71</v>
      </c>
      <c r="E4300">
        <v>0</v>
      </c>
      <c r="F4300">
        <v>36</v>
      </c>
      <c r="G4300" t="str">
        <f t="shared" si="75"/>
        <v>21-40</v>
      </c>
      <c r="H4300" t="s">
        <v>35</v>
      </c>
      <c r="I4300" t="s">
        <v>61</v>
      </c>
      <c r="J4300" t="s">
        <v>62</v>
      </c>
      <c r="K4300" t="s">
        <v>33</v>
      </c>
      <c r="L4300">
        <v>1</v>
      </c>
      <c r="M4300">
        <v>1</v>
      </c>
      <c r="N4300">
        <v>1.9</v>
      </c>
      <c r="O4300">
        <v>9.6999999999999993</v>
      </c>
      <c r="P4300">
        <v>3</v>
      </c>
      <c r="Q4300">
        <v>3</v>
      </c>
      <c r="R4300">
        <v>557098</v>
      </c>
      <c r="S4300">
        <f>Table1[[#This Row],[Revenue]]-Table1[[#This Row],[Operating_Costs]]</f>
        <v>182448</v>
      </c>
      <c r="T4300">
        <v>374650</v>
      </c>
      <c r="U4300">
        <v>39</v>
      </c>
      <c r="V4300">
        <v>61</v>
      </c>
      <c r="W4300">
        <v>14</v>
      </c>
    </row>
    <row r="4301" spans="1:23" x14ac:dyDescent="0.25">
      <c r="A4301">
        <v>12</v>
      </c>
      <c r="B4301" t="s">
        <v>66</v>
      </c>
      <c r="C4301" s="1">
        <v>44418</v>
      </c>
      <c r="D4301" t="s">
        <v>71</v>
      </c>
      <c r="E4301">
        <v>0</v>
      </c>
      <c r="F4301">
        <v>61</v>
      </c>
      <c r="G4301" t="str">
        <f t="shared" si="75"/>
        <v>61-80</v>
      </c>
      <c r="H4301" t="s">
        <v>23</v>
      </c>
      <c r="I4301" t="s">
        <v>64</v>
      </c>
      <c r="J4301" t="s">
        <v>65</v>
      </c>
      <c r="K4301" t="s">
        <v>26</v>
      </c>
      <c r="L4301">
        <v>1</v>
      </c>
      <c r="M4301">
        <v>1</v>
      </c>
      <c r="N4301">
        <v>1.9</v>
      </c>
      <c r="O4301">
        <v>9.8000000000000007</v>
      </c>
      <c r="P4301">
        <v>3</v>
      </c>
      <c r="Q4301">
        <v>7</v>
      </c>
      <c r="R4301">
        <v>971048</v>
      </c>
      <c r="S4301">
        <f>Table1[[#This Row],[Revenue]]-Table1[[#This Row],[Operating_Costs]]</f>
        <v>353371</v>
      </c>
      <c r="T4301">
        <v>617677</v>
      </c>
      <c r="U4301">
        <v>63</v>
      </c>
      <c r="V4301">
        <v>61</v>
      </c>
      <c r="W4301">
        <v>5.2</v>
      </c>
    </row>
    <row r="4302" spans="1:23" x14ac:dyDescent="0.25">
      <c r="A4302">
        <v>12</v>
      </c>
      <c r="B4302" t="s">
        <v>66</v>
      </c>
      <c r="C4302" s="1">
        <v>44672</v>
      </c>
      <c r="D4302" t="s">
        <v>71</v>
      </c>
      <c r="E4302">
        <v>0</v>
      </c>
      <c r="F4302">
        <v>39</v>
      </c>
      <c r="G4302" t="str">
        <f t="shared" si="75"/>
        <v>21-40</v>
      </c>
      <c r="H4302" t="s">
        <v>23</v>
      </c>
      <c r="I4302" t="s">
        <v>31</v>
      </c>
      <c r="J4302" t="s">
        <v>28</v>
      </c>
      <c r="K4302" t="s">
        <v>42</v>
      </c>
      <c r="L4302">
        <v>1</v>
      </c>
      <c r="M4302">
        <v>1</v>
      </c>
      <c r="N4302">
        <v>2.2999999999999998</v>
      </c>
      <c r="O4302">
        <v>9.6999999999999993</v>
      </c>
      <c r="P4302">
        <v>4</v>
      </c>
      <c r="Q4302">
        <v>4</v>
      </c>
      <c r="R4302">
        <v>965884</v>
      </c>
      <c r="S4302">
        <f>Table1[[#This Row],[Revenue]]-Table1[[#This Row],[Operating_Costs]]</f>
        <v>415406</v>
      </c>
      <c r="T4302">
        <v>550478</v>
      </c>
      <c r="U4302">
        <v>59</v>
      </c>
      <c r="V4302">
        <v>64</v>
      </c>
      <c r="W4302">
        <v>8.6999999999999993</v>
      </c>
    </row>
    <row r="4303" spans="1:23" x14ac:dyDescent="0.25">
      <c r="A4303">
        <v>13</v>
      </c>
      <c r="B4303" t="s">
        <v>30</v>
      </c>
      <c r="C4303" s="1">
        <v>45046</v>
      </c>
      <c r="D4303" t="s">
        <v>71</v>
      </c>
      <c r="E4303">
        <v>0</v>
      </c>
      <c r="F4303">
        <v>37</v>
      </c>
      <c r="G4303" t="str">
        <f t="shared" si="75"/>
        <v>21-40</v>
      </c>
      <c r="H4303" t="s">
        <v>35</v>
      </c>
      <c r="I4303" t="s">
        <v>46</v>
      </c>
      <c r="J4303" t="s">
        <v>47</v>
      </c>
      <c r="K4303" t="s">
        <v>26</v>
      </c>
      <c r="L4303">
        <v>1</v>
      </c>
      <c r="M4303">
        <v>1</v>
      </c>
      <c r="N4303">
        <v>6.1</v>
      </c>
      <c r="O4303">
        <v>7.8</v>
      </c>
      <c r="P4303">
        <v>4</v>
      </c>
      <c r="Q4303">
        <v>5</v>
      </c>
      <c r="R4303">
        <v>449699</v>
      </c>
      <c r="S4303">
        <f>Table1[[#This Row],[Revenue]]-Table1[[#This Row],[Operating_Costs]]</f>
        <v>79524</v>
      </c>
      <c r="T4303">
        <v>370175</v>
      </c>
      <c r="U4303">
        <v>41</v>
      </c>
      <c r="V4303">
        <v>65</v>
      </c>
      <c r="W4303">
        <v>7.7</v>
      </c>
    </row>
    <row r="4304" spans="1:23" x14ac:dyDescent="0.25">
      <c r="A4304">
        <v>13</v>
      </c>
      <c r="B4304" t="s">
        <v>30</v>
      </c>
      <c r="C4304" s="1">
        <v>45423</v>
      </c>
      <c r="D4304" t="s">
        <v>71</v>
      </c>
      <c r="E4304">
        <v>0</v>
      </c>
      <c r="F4304">
        <v>43</v>
      </c>
      <c r="G4304" t="str">
        <f t="shared" si="75"/>
        <v>41-60</v>
      </c>
      <c r="H4304" t="s">
        <v>35</v>
      </c>
      <c r="I4304" t="s">
        <v>40</v>
      </c>
      <c r="J4304" t="s">
        <v>41</v>
      </c>
      <c r="K4304" t="s">
        <v>29</v>
      </c>
      <c r="L4304">
        <v>1</v>
      </c>
      <c r="M4304">
        <v>1</v>
      </c>
      <c r="N4304">
        <v>3.6</v>
      </c>
      <c r="O4304">
        <v>7</v>
      </c>
      <c r="P4304">
        <v>4</v>
      </c>
      <c r="Q4304">
        <v>6</v>
      </c>
      <c r="R4304">
        <v>616393</v>
      </c>
      <c r="S4304">
        <f>Table1[[#This Row],[Revenue]]-Table1[[#This Row],[Operating_Costs]]</f>
        <v>259086</v>
      </c>
      <c r="T4304">
        <v>357307</v>
      </c>
      <c r="U4304">
        <v>35</v>
      </c>
      <c r="V4304">
        <v>63</v>
      </c>
      <c r="W4304">
        <v>14</v>
      </c>
    </row>
    <row r="4305" spans="1:23" x14ac:dyDescent="0.25">
      <c r="A4305">
        <v>12</v>
      </c>
      <c r="B4305" t="s">
        <v>66</v>
      </c>
      <c r="C4305" s="1">
        <v>45076</v>
      </c>
      <c r="D4305" t="s">
        <v>71</v>
      </c>
      <c r="E4305">
        <v>0</v>
      </c>
      <c r="F4305">
        <v>36</v>
      </c>
      <c r="G4305" t="str">
        <f t="shared" si="75"/>
        <v>21-40</v>
      </c>
      <c r="H4305" t="s">
        <v>35</v>
      </c>
      <c r="I4305" t="s">
        <v>46</v>
      </c>
      <c r="J4305" t="s">
        <v>47</v>
      </c>
      <c r="K4305" t="s">
        <v>42</v>
      </c>
      <c r="L4305">
        <v>1</v>
      </c>
      <c r="M4305">
        <v>1</v>
      </c>
      <c r="N4305">
        <v>5.5</v>
      </c>
      <c r="O4305">
        <v>9.6999999999999993</v>
      </c>
      <c r="P4305">
        <v>5</v>
      </c>
      <c r="Q4305">
        <v>6</v>
      </c>
      <c r="R4305">
        <v>898603</v>
      </c>
      <c r="S4305">
        <f>Table1[[#This Row],[Revenue]]-Table1[[#This Row],[Operating_Costs]]</f>
        <v>342966</v>
      </c>
      <c r="T4305">
        <v>555637</v>
      </c>
      <c r="U4305">
        <v>55</v>
      </c>
      <c r="V4305">
        <v>63</v>
      </c>
      <c r="W4305">
        <v>5.4</v>
      </c>
    </row>
    <row r="4306" spans="1:23" x14ac:dyDescent="0.25">
      <c r="A4306">
        <v>13</v>
      </c>
      <c r="B4306" t="s">
        <v>30</v>
      </c>
      <c r="C4306" s="1">
        <v>44618</v>
      </c>
      <c r="D4306" t="s">
        <v>71</v>
      </c>
      <c r="E4306">
        <v>0</v>
      </c>
      <c r="F4306">
        <v>75</v>
      </c>
      <c r="G4306" t="str">
        <f t="shared" si="75"/>
        <v>61-80</v>
      </c>
      <c r="H4306" t="s">
        <v>35</v>
      </c>
      <c r="I4306" t="s">
        <v>64</v>
      </c>
      <c r="J4306" t="s">
        <v>65</v>
      </c>
      <c r="K4306" t="s">
        <v>26</v>
      </c>
      <c r="L4306">
        <v>1</v>
      </c>
      <c r="M4306">
        <v>1</v>
      </c>
      <c r="N4306">
        <v>1.4</v>
      </c>
      <c r="O4306">
        <v>7.7</v>
      </c>
      <c r="P4306">
        <v>5</v>
      </c>
      <c r="Q4306">
        <v>5</v>
      </c>
      <c r="R4306">
        <v>723504</v>
      </c>
      <c r="S4306">
        <f>Table1[[#This Row],[Revenue]]-Table1[[#This Row],[Operating_Costs]]</f>
        <v>316682</v>
      </c>
      <c r="T4306">
        <v>406822</v>
      </c>
      <c r="U4306">
        <v>33</v>
      </c>
      <c r="V4306">
        <v>57</v>
      </c>
      <c r="W4306">
        <v>8.8000000000000007</v>
      </c>
    </row>
    <row r="4307" spans="1:23" x14ac:dyDescent="0.25">
      <c r="A4307">
        <v>13</v>
      </c>
      <c r="B4307" t="s">
        <v>30</v>
      </c>
      <c r="C4307" s="1">
        <v>45105</v>
      </c>
      <c r="D4307" t="s">
        <v>71</v>
      </c>
      <c r="E4307">
        <v>0</v>
      </c>
      <c r="F4307">
        <v>46</v>
      </c>
      <c r="G4307" t="str">
        <f t="shared" si="75"/>
        <v>41-60</v>
      </c>
      <c r="H4307" t="s">
        <v>23</v>
      </c>
      <c r="I4307" t="s">
        <v>24</v>
      </c>
      <c r="J4307" t="s">
        <v>25</v>
      </c>
      <c r="K4307" t="s">
        <v>26</v>
      </c>
      <c r="L4307">
        <v>1</v>
      </c>
      <c r="M4307">
        <v>1</v>
      </c>
      <c r="N4307">
        <v>2</v>
      </c>
      <c r="O4307">
        <v>10</v>
      </c>
      <c r="P4307">
        <v>7</v>
      </c>
      <c r="Q4307">
        <v>4</v>
      </c>
      <c r="R4307">
        <v>674381</v>
      </c>
      <c r="S4307">
        <f>Table1[[#This Row],[Revenue]]-Table1[[#This Row],[Operating_Costs]]</f>
        <v>320085</v>
      </c>
      <c r="T4307">
        <v>354296</v>
      </c>
      <c r="U4307">
        <v>38</v>
      </c>
      <c r="V4307">
        <v>64</v>
      </c>
      <c r="W4307">
        <v>14.9</v>
      </c>
    </row>
    <row r="4308" spans="1:23" x14ac:dyDescent="0.25">
      <c r="A4308">
        <v>13</v>
      </c>
      <c r="B4308" t="s">
        <v>30</v>
      </c>
      <c r="C4308" s="1">
        <v>44848</v>
      </c>
      <c r="D4308" t="s">
        <v>71</v>
      </c>
      <c r="E4308">
        <v>0</v>
      </c>
      <c r="F4308">
        <v>44</v>
      </c>
      <c r="G4308" t="str">
        <f t="shared" si="75"/>
        <v>41-60</v>
      </c>
      <c r="H4308" t="s">
        <v>23</v>
      </c>
      <c r="I4308" t="s">
        <v>27</v>
      </c>
      <c r="J4308" t="s">
        <v>28</v>
      </c>
      <c r="K4308" t="s">
        <v>38</v>
      </c>
      <c r="L4308">
        <v>1</v>
      </c>
      <c r="M4308">
        <v>1</v>
      </c>
      <c r="N4308">
        <v>2.2000000000000002</v>
      </c>
      <c r="O4308">
        <v>8.9</v>
      </c>
      <c r="P4308">
        <v>4</v>
      </c>
      <c r="Q4308">
        <v>3</v>
      </c>
      <c r="R4308">
        <v>778642</v>
      </c>
      <c r="S4308">
        <f>Table1[[#This Row],[Revenue]]-Table1[[#This Row],[Operating_Costs]]</f>
        <v>426467</v>
      </c>
      <c r="T4308">
        <v>352175</v>
      </c>
      <c r="U4308">
        <v>38</v>
      </c>
      <c r="V4308">
        <v>58</v>
      </c>
      <c r="W4308">
        <v>5.2</v>
      </c>
    </row>
    <row r="4309" spans="1:23" x14ac:dyDescent="0.25">
      <c r="A4309">
        <v>13</v>
      </c>
      <c r="B4309" t="s">
        <v>30</v>
      </c>
      <c r="C4309" s="1">
        <v>44598</v>
      </c>
      <c r="D4309" t="s">
        <v>71</v>
      </c>
      <c r="E4309">
        <v>0</v>
      </c>
      <c r="F4309">
        <v>33</v>
      </c>
      <c r="G4309" t="str">
        <f t="shared" si="75"/>
        <v>21-40</v>
      </c>
      <c r="H4309" t="s">
        <v>23</v>
      </c>
      <c r="I4309" t="s">
        <v>31</v>
      </c>
      <c r="J4309" t="s">
        <v>28</v>
      </c>
      <c r="K4309" t="s">
        <v>33</v>
      </c>
      <c r="L4309">
        <v>1</v>
      </c>
      <c r="M4309">
        <v>1</v>
      </c>
      <c r="N4309">
        <v>2.1</v>
      </c>
      <c r="O4309">
        <v>8.1999999999999993</v>
      </c>
      <c r="P4309">
        <v>3</v>
      </c>
      <c r="Q4309">
        <v>4</v>
      </c>
      <c r="R4309">
        <v>695279</v>
      </c>
      <c r="S4309">
        <f>Table1[[#This Row],[Revenue]]-Table1[[#This Row],[Operating_Costs]]</f>
        <v>288772</v>
      </c>
      <c r="T4309">
        <v>406507</v>
      </c>
      <c r="U4309">
        <v>44</v>
      </c>
      <c r="V4309">
        <v>63</v>
      </c>
      <c r="W4309">
        <v>10.6</v>
      </c>
    </row>
    <row r="4310" spans="1:23" x14ac:dyDescent="0.25">
      <c r="A4310">
        <v>12</v>
      </c>
      <c r="B4310" t="s">
        <v>66</v>
      </c>
      <c r="C4310" s="1">
        <v>45470</v>
      </c>
      <c r="D4310" t="s">
        <v>71</v>
      </c>
      <c r="E4310">
        <v>0</v>
      </c>
      <c r="F4310">
        <v>32</v>
      </c>
      <c r="G4310" t="str">
        <f t="shared" si="75"/>
        <v>21-40</v>
      </c>
      <c r="H4310" t="s">
        <v>35</v>
      </c>
      <c r="I4310" t="s">
        <v>53</v>
      </c>
      <c r="J4310" t="s">
        <v>54</v>
      </c>
      <c r="K4310" t="s">
        <v>38</v>
      </c>
      <c r="L4310">
        <v>1</v>
      </c>
      <c r="M4310">
        <v>1</v>
      </c>
      <c r="N4310">
        <v>2.8</v>
      </c>
      <c r="O4310">
        <v>8.4</v>
      </c>
      <c r="P4310">
        <v>6</v>
      </c>
      <c r="Q4310">
        <v>5</v>
      </c>
      <c r="R4310">
        <v>835476</v>
      </c>
      <c r="S4310">
        <f>Table1[[#This Row],[Revenue]]-Table1[[#This Row],[Operating_Costs]]</f>
        <v>214483</v>
      </c>
      <c r="T4310">
        <v>620993</v>
      </c>
      <c r="U4310">
        <v>76</v>
      </c>
      <c r="V4310">
        <v>57</v>
      </c>
      <c r="W4310">
        <v>6.2</v>
      </c>
    </row>
    <row r="4311" spans="1:23" x14ac:dyDescent="0.25">
      <c r="A4311">
        <v>13</v>
      </c>
      <c r="B4311" t="s">
        <v>30</v>
      </c>
      <c r="C4311" s="1">
        <v>44690</v>
      </c>
      <c r="D4311" t="s">
        <v>71</v>
      </c>
      <c r="E4311">
        <v>0</v>
      </c>
      <c r="F4311">
        <v>22</v>
      </c>
      <c r="G4311" t="str">
        <f t="shared" si="75"/>
        <v>21-40</v>
      </c>
      <c r="H4311" t="s">
        <v>35</v>
      </c>
      <c r="I4311" t="s">
        <v>64</v>
      </c>
      <c r="J4311" t="s">
        <v>65</v>
      </c>
      <c r="K4311" t="s">
        <v>29</v>
      </c>
      <c r="L4311">
        <v>1</v>
      </c>
      <c r="M4311">
        <v>1</v>
      </c>
      <c r="N4311">
        <v>3.5</v>
      </c>
      <c r="O4311">
        <v>8.3000000000000007</v>
      </c>
      <c r="P4311">
        <v>4</v>
      </c>
      <c r="Q4311">
        <v>3</v>
      </c>
      <c r="R4311">
        <v>790226</v>
      </c>
      <c r="S4311">
        <f>Table1[[#This Row],[Revenue]]-Table1[[#This Row],[Operating_Costs]]</f>
        <v>421859</v>
      </c>
      <c r="T4311">
        <v>368367</v>
      </c>
      <c r="U4311">
        <v>49</v>
      </c>
      <c r="V4311">
        <v>65</v>
      </c>
      <c r="W4311">
        <v>12.7</v>
      </c>
    </row>
    <row r="4312" spans="1:23" x14ac:dyDescent="0.25">
      <c r="A4312">
        <v>13</v>
      </c>
      <c r="B4312" t="s">
        <v>30</v>
      </c>
      <c r="C4312" s="1">
        <v>44837</v>
      </c>
      <c r="D4312" t="s">
        <v>71</v>
      </c>
      <c r="E4312">
        <v>0</v>
      </c>
      <c r="F4312">
        <v>37</v>
      </c>
      <c r="G4312" t="str">
        <f t="shared" si="75"/>
        <v>21-40</v>
      </c>
      <c r="H4312" t="s">
        <v>35</v>
      </c>
      <c r="I4312" t="s">
        <v>31</v>
      </c>
      <c r="J4312" t="s">
        <v>28</v>
      </c>
      <c r="K4312" t="s">
        <v>33</v>
      </c>
      <c r="L4312">
        <v>1</v>
      </c>
      <c r="M4312">
        <v>1</v>
      </c>
      <c r="N4312">
        <v>1.4</v>
      </c>
      <c r="O4312">
        <v>8.6</v>
      </c>
      <c r="P4312">
        <v>4</v>
      </c>
      <c r="Q4312">
        <v>4</v>
      </c>
      <c r="R4312">
        <v>470336</v>
      </c>
      <c r="S4312">
        <f>Table1[[#This Row],[Revenue]]-Table1[[#This Row],[Operating_Costs]]</f>
        <v>95582</v>
      </c>
      <c r="T4312">
        <v>374754</v>
      </c>
      <c r="U4312">
        <v>34</v>
      </c>
      <c r="V4312">
        <v>62</v>
      </c>
      <c r="W4312">
        <v>12</v>
      </c>
    </row>
    <row r="4313" spans="1:23" x14ac:dyDescent="0.25">
      <c r="A4313">
        <v>13</v>
      </c>
      <c r="B4313" t="s">
        <v>30</v>
      </c>
      <c r="C4313" s="1">
        <v>45637</v>
      </c>
      <c r="D4313" t="s">
        <v>71</v>
      </c>
      <c r="E4313">
        <v>0</v>
      </c>
      <c r="F4313">
        <v>50</v>
      </c>
      <c r="G4313" t="str">
        <f t="shared" si="75"/>
        <v>41-60</v>
      </c>
      <c r="H4313" t="s">
        <v>35</v>
      </c>
      <c r="I4313" t="s">
        <v>53</v>
      </c>
      <c r="J4313" t="s">
        <v>54</v>
      </c>
      <c r="K4313" t="s">
        <v>42</v>
      </c>
      <c r="L4313">
        <v>1</v>
      </c>
      <c r="M4313">
        <v>1</v>
      </c>
      <c r="N4313">
        <v>5.9</v>
      </c>
      <c r="O4313">
        <v>8.1</v>
      </c>
      <c r="P4313">
        <v>4</v>
      </c>
      <c r="Q4313">
        <v>4</v>
      </c>
      <c r="R4313">
        <v>615521</v>
      </c>
      <c r="S4313">
        <f>Table1[[#This Row],[Revenue]]-Table1[[#This Row],[Operating_Costs]]</f>
        <v>208983</v>
      </c>
      <c r="T4313">
        <v>406538</v>
      </c>
      <c r="U4313">
        <v>35</v>
      </c>
      <c r="V4313">
        <v>57</v>
      </c>
      <c r="W4313">
        <v>6.6</v>
      </c>
    </row>
    <row r="4314" spans="1:23" x14ac:dyDescent="0.25">
      <c r="A4314">
        <v>13</v>
      </c>
      <c r="B4314" t="s">
        <v>30</v>
      </c>
      <c r="C4314" s="1">
        <v>44527</v>
      </c>
      <c r="D4314" t="s">
        <v>71</v>
      </c>
      <c r="E4314">
        <v>0</v>
      </c>
      <c r="F4314">
        <v>90</v>
      </c>
      <c r="G4314" t="str">
        <f t="shared" si="75"/>
        <v>81+</v>
      </c>
      <c r="H4314" t="s">
        <v>35</v>
      </c>
      <c r="I4314" t="s">
        <v>46</v>
      </c>
      <c r="J4314" t="s">
        <v>47</v>
      </c>
      <c r="K4314" t="s">
        <v>29</v>
      </c>
      <c r="L4314">
        <v>1</v>
      </c>
      <c r="M4314">
        <v>1</v>
      </c>
      <c r="N4314">
        <v>1.2</v>
      </c>
      <c r="O4314">
        <v>7.6</v>
      </c>
      <c r="P4314">
        <v>4</v>
      </c>
      <c r="Q4314">
        <v>3</v>
      </c>
      <c r="R4314">
        <v>479400</v>
      </c>
      <c r="S4314">
        <f>Table1[[#This Row],[Revenue]]-Table1[[#This Row],[Operating_Costs]]</f>
        <v>87524</v>
      </c>
      <c r="T4314">
        <v>391876</v>
      </c>
      <c r="U4314">
        <v>30</v>
      </c>
      <c r="V4314">
        <v>55</v>
      </c>
      <c r="W4314">
        <v>5.6</v>
      </c>
    </row>
    <row r="4315" spans="1:23" x14ac:dyDescent="0.25">
      <c r="A4315">
        <v>13</v>
      </c>
      <c r="B4315" t="s">
        <v>30</v>
      </c>
      <c r="C4315" s="1">
        <v>45311</v>
      </c>
      <c r="D4315" t="s">
        <v>71</v>
      </c>
      <c r="E4315">
        <v>0</v>
      </c>
      <c r="F4315">
        <v>39</v>
      </c>
      <c r="G4315" t="str">
        <f t="shared" si="75"/>
        <v>21-40</v>
      </c>
      <c r="H4315" t="s">
        <v>23</v>
      </c>
      <c r="I4315" t="s">
        <v>67</v>
      </c>
      <c r="J4315" t="s">
        <v>68</v>
      </c>
      <c r="K4315" t="s">
        <v>33</v>
      </c>
      <c r="L4315">
        <v>1</v>
      </c>
      <c r="M4315">
        <v>1</v>
      </c>
      <c r="N4315">
        <v>2.6</v>
      </c>
      <c r="O4315">
        <v>9.4</v>
      </c>
      <c r="P4315">
        <v>3</v>
      </c>
      <c r="Q4315">
        <v>4</v>
      </c>
      <c r="R4315">
        <v>490061</v>
      </c>
      <c r="S4315">
        <f>Table1[[#This Row],[Revenue]]-Table1[[#This Row],[Operating_Costs]]</f>
        <v>112724</v>
      </c>
      <c r="T4315">
        <v>377337</v>
      </c>
      <c r="U4315">
        <v>44</v>
      </c>
      <c r="V4315">
        <v>57</v>
      </c>
      <c r="W4315">
        <v>12.4</v>
      </c>
    </row>
    <row r="4316" spans="1:23" x14ac:dyDescent="0.25">
      <c r="A4316">
        <v>13</v>
      </c>
      <c r="B4316" t="s">
        <v>30</v>
      </c>
      <c r="C4316" s="1">
        <v>44560</v>
      </c>
      <c r="D4316" t="s">
        <v>71</v>
      </c>
      <c r="E4316">
        <v>0</v>
      </c>
      <c r="F4316">
        <v>48</v>
      </c>
      <c r="G4316" t="str">
        <f t="shared" si="75"/>
        <v>41-60</v>
      </c>
      <c r="H4316" t="s">
        <v>23</v>
      </c>
      <c r="I4316" t="s">
        <v>67</v>
      </c>
      <c r="J4316" t="s">
        <v>68</v>
      </c>
      <c r="K4316" t="s">
        <v>29</v>
      </c>
      <c r="L4316">
        <v>1</v>
      </c>
      <c r="M4316">
        <v>1</v>
      </c>
      <c r="N4316">
        <v>5</v>
      </c>
      <c r="O4316">
        <v>8.1999999999999993</v>
      </c>
      <c r="P4316">
        <v>3</v>
      </c>
      <c r="Q4316">
        <v>5</v>
      </c>
      <c r="R4316">
        <v>639449</v>
      </c>
      <c r="S4316">
        <f>Table1[[#This Row],[Revenue]]-Table1[[#This Row],[Operating_Costs]]</f>
        <v>256449</v>
      </c>
      <c r="T4316">
        <v>383000</v>
      </c>
      <c r="U4316">
        <v>44</v>
      </c>
      <c r="V4316">
        <v>63</v>
      </c>
      <c r="W4316">
        <v>36.200000000000003</v>
      </c>
    </row>
    <row r="4317" spans="1:23" x14ac:dyDescent="0.25">
      <c r="A4317">
        <v>13</v>
      </c>
      <c r="B4317" t="s">
        <v>30</v>
      </c>
      <c r="C4317" s="1">
        <v>45576</v>
      </c>
      <c r="D4317" t="s">
        <v>71</v>
      </c>
      <c r="E4317">
        <v>0</v>
      </c>
      <c r="F4317">
        <v>75</v>
      </c>
      <c r="G4317" t="str">
        <f t="shared" si="75"/>
        <v>61-80</v>
      </c>
      <c r="H4317" t="s">
        <v>23</v>
      </c>
      <c r="I4317" t="s">
        <v>43</v>
      </c>
      <c r="J4317" t="s">
        <v>25</v>
      </c>
      <c r="K4317" t="s">
        <v>26</v>
      </c>
      <c r="L4317">
        <v>1</v>
      </c>
      <c r="M4317">
        <v>1</v>
      </c>
      <c r="N4317">
        <v>6.3</v>
      </c>
      <c r="O4317">
        <v>8.9</v>
      </c>
      <c r="P4317">
        <v>4</v>
      </c>
      <c r="Q4317">
        <v>5</v>
      </c>
      <c r="R4317">
        <v>584126</v>
      </c>
      <c r="S4317">
        <f>Table1[[#This Row],[Revenue]]-Table1[[#This Row],[Operating_Costs]]</f>
        <v>218530</v>
      </c>
      <c r="T4317">
        <v>365596</v>
      </c>
      <c r="U4317">
        <v>34</v>
      </c>
      <c r="V4317">
        <v>61</v>
      </c>
      <c r="W4317">
        <v>9.5</v>
      </c>
    </row>
    <row r="4318" spans="1:23" x14ac:dyDescent="0.25">
      <c r="A4318">
        <v>13</v>
      </c>
      <c r="B4318" t="s">
        <v>30</v>
      </c>
      <c r="C4318" s="1">
        <v>45391</v>
      </c>
      <c r="D4318" t="s">
        <v>71</v>
      </c>
      <c r="E4318">
        <v>0</v>
      </c>
      <c r="F4318">
        <v>60</v>
      </c>
      <c r="G4318" t="str">
        <f t="shared" si="75"/>
        <v>41-60</v>
      </c>
      <c r="H4318" t="s">
        <v>35</v>
      </c>
      <c r="I4318" t="s">
        <v>61</v>
      </c>
      <c r="J4318" t="s">
        <v>62</v>
      </c>
      <c r="K4318" t="s">
        <v>26</v>
      </c>
      <c r="L4318">
        <v>1</v>
      </c>
      <c r="M4318">
        <v>1</v>
      </c>
      <c r="N4318">
        <v>6.5</v>
      </c>
      <c r="O4318">
        <v>8.3000000000000007</v>
      </c>
      <c r="P4318">
        <v>4</v>
      </c>
      <c r="Q4318">
        <v>3</v>
      </c>
      <c r="R4318">
        <v>751713</v>
      </c>
      <c r="S4318">
        <f>Table1[[#This Row],[Revenue]]-Table1[[#This Row],[Operating_Costs]]</f>
        <v>394164</v>
      </c>
      <c r="T4318">
        <v>357549</v>
      </c>
      <c r="U4318">
        <v>33</v>
      </c>
      <c r="V4318">
        <v>56</v>
      </c>
      <c r="W4318">
        <v>5.3</v>
      </c>
    </row>
    <row r="4319" spans="1:23" x14ac:dyDescent="0.25">
      <c r="A4319">
        <v>13</v>
      </c>
      <c r="B4319" t="s">
        <v>30</v>
      </c>
      <c r="C4319" s="1">
        <v>44428</v>
      </c>
      <c r="D4319" t="s">
        <v>71</v>
      </c>
      <c r="E4319">
        <v>0</v>
      </c>
      <c r="F4319">
        <v>77</v>
      </c>
      <c r="G4319" t="str">
        <f t="shared" si="75"/>
        <v>61-80</v>
      </c>
      <c r="H4319" t="s">
        <v>35</v>
      </c>
      <c r="I4319" t="s">
        <v>55</v>
      </c>
      <c r="J4319" t="s">
        <v>56</v>
      </c>
      <c r="K4319" t="s">
        <v>42</v>
      </c>
      <c r="L4319">
        <v>1</v>
      </c>
      <c r="M4319">
        <v>1</v>
      </c>
      <c r="N4319">
        <v>5.9</v>
      </c>
      <c r="O4319">
        <v>9.9</v>
      </c>
      <c r="P4319">
        <v>4</v>
      </c>
      <c r="Q4319">
        <v>3</v>
      </c>
      <c r="R4319">
        <v>660472</v>
      </c>
      <c r="S4319">
        <f>Table1[[#This Row],[Revenue]]-Table1[[#This Row],[Operating_Costs]]</f>
        <v>302887</v>
      </c>
      <c r="T4319">
        <v>357585</v>
      </c>
      <c r="U4319">
        <v>49</v>
      </c>
      <c r="V4319">
        <v>64</v>
      </c>
      <c r="W4319">
        <v>12.4</v>
      </c>
    </row>
    <row r="4320" spans="1:23" x14ac:dyDescent="0.25">
      <c r="A4320">
        <v>13</v>
      </c>
      <c r="B4320" t="s">
        <v>30</v>
      </c>
      <c r="C4320" s="1">
        <v>45619</v>
      </c>
      <c r="D4320" t="s">
        <v>71</v>
      </c>
      <c r="E4320">
        <v>0</v>
      </c>
      <c r="F4320">
        <v>88</v>
      </c>
      <c r="G4320" t="str">
        <f t="shared" si="75"/>
        <v>81+</v>
      </c>
      <c r="H4320" t="s">
        <v>23</v>
      </c>
      <c r="I4320" t="s">
        <v>43</v>
      </c>
      <c r="J4320" t="s">
        <v>25</v>
      </c>
      <c r="K4320" t="s">
        <v>42</v>
      </c>
      <c r="L4320">
        <v>1</v>
      </c>
      <c r="M4320">
        <v>1</v>
      </c>
      <c r="N4320">
        <v>6.5</v>
      </c>
      <c r="O4320">
        <v>7.5</v>
      </c>
      <c r="P4320">
        <v>3</v>
      </c>
      <c r="Q4320">
        <v>3</v>
      </c>
      <c r="R4320">
        <v>762765</v>
      </c>
      <c r="S4320">
        <f>Table1[[#This Row],[Revenue]]-Table1[[#This Row],[Operating_Costs]]</f>
        <v>388810</v>
      </c>
      <c r="T4320">
        <v>373955</v>
      </c>
      <c r="U4320">
        <v>41</v>
      </c>
      <c r="V4320">
        <v>56</v>
      </c>
      <c r="W4320">
        <v>36.799999999999997</v>
      </c>
    </row>
    <row r="4321" spans="1:23" x14ac:dyDescent="0.25">
      <c r="A4321">
        <v>12</v>
      </c>
      <c r="B4321" t="s">
        <v>66</v>
      </c>
      <c r="C4321" s="1">
        <v>44358</v>
      </c>
      <c r="D4321" t="s">
        <v>71</v>
      </c>
      <c r="E4321">
        <v>0</v>
      </c>
      <c r="F4321">
        <v>27</v>
      </c>
      <c r="G4321" t="str">
        <f t="shared" si="75"/>
        <v>21-40</v>
      </c>
      <c r="H4321" t="s">
        <v>35</v>
      </c>
      <c r="I4321" t="s">
        <v>40</v>
      </c>
      <c r="J4321" t="s">
        <v>41</v>
      </c>
      <c r="K4321" t="s">
        <v>42</v>
      </c>
      <c r="L4321">
        <v>1</v>
      </c>
      <c r="M4321">
        <v>1</v>
      </c>
      <c r="N4321">
        <v>4.0999999999999996</v>
      </c>
      <c r="O4321">
        <v>9.8000000000000007</v>
      </c>
      <c r="P4321">
        <v>3</v>
      </c>
      <c r="Q4321">
        <v>6</v>
      </c>
      <c r="R4321">
        <v>801056</v>
      </c>
      <c r="S4321">
        <f>Table1[[#This Row],[Revenue]]-Table1[[#This Row],[Operating_Costs]]</f>
        <v>122417</v>
      </c>
      <c r="T4321">
        <v>678639</v>
      </c>
      <c r="U4321">
        <v>77</v>
      </c>
      <c r="V4321">
        <v>60</v>
      </c>
      <c r="W4321">
        <v>7.4</v>
      </c>
    </row>
    <row r="4322" spans="1:23" x14ac:dyDescent="0.25">
      <c r="A4322">
        <v>12</v>
      </c>
      <c r="B4322" t="s">
        <v>66</v>
      </c>
      <c r="C4322" s="1">
        <v>45498</v>
      </c>
      <c r="D4322" t="s">
        <v>71</v>
      </c>
      <c r="E4322">
        <v>0</v>
      </c>
      <c r="F4322">
        <v>42</v>
      </c>
      <c r="G4322" t="str">
        <f t="shared" si="75"/>
        <v>41-60</v>
      </c>
      <c r="H4322" t="s">
        <v>35</v>
      </c>
      <c r="I4322" t="s">
        <v>64</v>
      </c>
      <c r="J4322" t="s">
        <v>65</v>
      </c>
      <c r="K4322" t="s">
        <v>26</v>
      </c>
      <c r="L4322">
        <v>1</v>
      </c>
      <c r="M4322">
        <v>1</v>
      </c>
      <c r="N4322">
        <v>6.3</v>
      </c>
      <c r="O4322">
        <v>8.6999999999999993</v>
      </c>
      <c r="P4322">
        <v>5</v>
      </c>
      <c r="Q4322">
        <v>7</v>
      </c>
      <c r="R4322">
        <v>901985</v>
      </c>
      <c r="S4322">
        <f>Table1[[#This Row],[Revenue]]-Table1[[#This Row],[Operating_Costs]]</f>
        <v>238772</v>
      </c>
      <c r="T4322">
        <v>663213</v>
      </c>
      <c r="U4322">
        <v>55</v>
      </c>
      <c r="V4322">
        <v>64</v>
      </c>
      <c r="W4322">
        <v>9.9</v>
      </c>
    </row>
    <row r="4323" spans="1:23" x14ac:dyDescent="0.25">
      <c r="A4323">
        <v>13</v>
      </c>
      <c r="B4323" t="s">
        <v>30</v>
      </c>
      <c r="C4323" s="1">
        <v>45141</v>
      </c>
      <c r="D4323" t="s">
        <v>71</v>
      </c>
      <c r="E4323">
        <v>0</v>
      </c>
      <c r="F4323">
        <v>27</v>
      </c>
      <c r="G4323" t="str">
        <f t="shared" si="75"/>
        <v>21-40</v>
      </c>
      <c r="H4323" t="s">
        <v>35</v>
      </c>
      <c r="I4323" t="s">
        <v>53</v>
      </c>
      <c r="J4323" t="s">
        <v>54</v>
      </c>
      <c r="K4323" t="s">
        <v>42</v>
      </c>
      <c r="L4323">
        <v>1</v>
      </c>
      <c r="M4323">
        <v>1</v>
      </c>
      <c r="N4323">
        <v>5.4</v>
      </c>
      <c r="O4323">
        <v>8.3000000000000007</v>
      </c>
      <c r="P4323">
        <v>6</v>
      </c>
      <c r="Q4323">
        <v>4</v>
      </c>
      <c r="R4323">
        <v>659429</v>
      </c>
      <c r="S4323">
        <f>Table1[[#This Row],[Revenue]]-Table1[[#This Row],[Operating_Costs]]</f>
        <v>298758</v>
      </c>
      <c r="T4323">
        <v>360671</v>
      </c>
      <c r="U4323">
        <v>46</v>
      </c>
      <c r="V4323">
        <v>61</v>
      </c>
      <c r="W4323">
        <v>7.1</v>
      </c>
    </row>
    <row r="4324" spans="1:23" x14ac:dyDescent="0.25">
      <c r="A4324">
        <v>13</v>
      </c>
      <c r="B4324" t="s">
        <v>30</v>
      </c>
      <c r="C4324" s="1">
        <v>44267</v>
      </c>
      <c r="D4324" t="s">
        <v>71</v>
      </c>
      <c r="E4324">
        <v>0</v>
      </c>
      <c r="F4324">
        <v>76</v>
      </c>
      <c r="G4324" t="str">
        <f t="shared" si="75"/>
        <v>61-80</v>
      </c>
      <c r="H4324" t="s">
        <v>23</v>
      </c>
      <c r="I4324" t="s">
        <v>40</v>
      </c>
      <c r="J4324" t="s">
        <v>41</v>
      </c>
      <c r="K4324" t="s">
        <v>38</v>
      </c>
      <c r="L4324">
        <v>1</v>
      </c>
      <c r="M4324">
        <v>1</v>
      </c>
      <c r="N4324">
        <v>5.2</v>
      </c>
      <c r="O4324">
        <v>9.5</v>
      </c>
      <c r="P4324">
        <v>4</v>
      </c>
      <c r="Q4324">
        <v>6</v>
      </c>
      <c r="R4324">
        <v>748428</v>
      </c>
      <c r="S4324">
        <f>Table1[[#This Row],[Revenue]]-Table1[[#This Row],[Operating_Costs]]</f>
        <v>386678</v>
      </c>
      <c r="T4324">
        <v>361750</v>
      </c>
      <c r="U4324">
        <v>40</v>
      </c>
      <c r="V4324">
        <v>61</v>
      </c>
      <c r="W4324">
        <v>36.200000000000003</v>
      </c>
    </row>
    <row r="4325" spans="1:23" x14ac:dyDescent="0.25">
      <c r="A4325">
        <v>13</v>
      </c>
      <c r="B4325" t="s">
        <v>30</v>
      </c>
      <c r="C4325" s="1">
        <v>45212</v>
      </c>
      <c r="D4325" t="s">
        <v>71</v>
      </c>
      <c r="E4325">
        <v>0</v>
      </c>
      <c r="F4325">
        <v>39</v>
      </c>
      <c r="G4325" t="str">
        <f t="shared" si="75"/>
        <v>21-40</v>
      </c>
      <c r="H4325" t="s">
        <v>23</v>
      </c>
      <c r="I4325" t="s">
        <v>67</v>
      </c>
      <c r="J4325" t="s">
        <v>68</v>
      </c>
      <c r="K4325" t="s">
        <v>38</v>
      </c>
      <c r="L4325">
        <v>1</v>
      </c>
      <c r="M4325">
        <v>1</v>
      </c>
      <c r="N4325">
        <v>4.0999999999999996</v>
      </c>
      <c r="O4325">
        <v>7.6</v>
      </c>
      <c r="P4325">
        <v>5</v>
      </c>
      <c r="Q4325">
        <v>5</v>
      </c>
      <c r="R4325">
        <v>751882</v>
      </c>
      <c r="S4325">
        <f>Table1[[#This Row],[Revenue]]-Table1[[#This Row],[Operating_Costs]]</f>
        <v>399850</v>
      </c>
      <c r="T4325">
        <v>352032</v>
      </c>
      <c r="U4325">
        <v>31</v>
      </c>
      <c r="V4325">
        <v>64</v>
      </c>
      <c r="W4325">
        <v>6.4</v>
      </c>
    </row>
    <row r="4326" spans="1:23" x14ac:dyDescent="0.25">
      <c r="A4326">
        <v>13</v>
      </c>
      <c r="B4326" t="s">
        <v>30</v>
      </c>
      <c r="C4326" s="1">
        <v>44364</v>
      </c>
      <c r="D4326" t="s">
        <v>71</v>
      </c>
      <c r="E4326">
        <v>0</v>
      </c>
      <c r="F4326">
        <v>73</v>
      </c>
      <c r="G4326" t="str">
        <f t="shared" si="75"/>
        <v>61-80</v>
      </c>
      <c r="H4326" t="s">
        <v>23</v>
      </c>
      <c r="I4326" t="s">
        <v>58</v>
      </c>
      <c r="J4326" t="s">
        <v>59</v>
      </c>
      <c r="K4326" t="s">
        <v>42</v>
      </c>
      <c r="L4326">
        <v>1</v>
      </c>
      <c r="M4326">
        <v>1</v>
      </c>
      <c r="N4326">
        <v>3.6</v>
      </c>
      <c r="O4326">
        <v>9.6</v>
      </c>
      <c r="P4326">
        <v>7</v>
      </c>
      <c r="Q4326">
        <v>3</v>
      </c>
      <c r="R4326">
        <v>439494</v>
      </c>
      <c r="S4326">
        <f>Table1[[#This Row],[Revenue]]-Table1[[#This Row],[Operating_Costs]]</f>
        <v>36615</v>
      </c>
      <c r="T4326">
        <v>402879</v>
      </c>
      <c r="U4326">
        <v>50</v>
      </c>
      <c r="V4326">
        <v>59</v>
      </c>
      <c r="W4326">
        <v>10.7</v>
      </c>
    </row>
    <row r="4327" spans="1:23" x14ac:dyDescent="0.25">
      <c r="A4327">
        <v>13</v>
      </c>
      <c r="B4327" t="s">
        <v>30</v>
      </c>
      <c r="C4327" s="1">
        <v>44241</v>
      </c>
      <c r="D4327" t="s">
        <v>71</v>
      </c>
      <c r="E4327">
        <v>0</v>
      </c>
      <c r="F4327">
        <v>26</v>
      </c>
      <c r="G4327" t="str">
        <f t="shared" si="75"/>
        <v>21-40</v>
      </c>
      <c r="H4327" t="s">
        <v>23</v>
      </c>
      <c r="I4327" t="s">
        <v>24</v>
      </c>
      <c r="J4327" t="s">
        <v>25</v>
      </c>
      <c r="K4327" t="s">
        <v>42</v>
      </c>
      <c r="L4327">
        <v>1</v>
      </c>
      <c r="M4327">
        <v>1</v>
      </c>
      <c r="N4327">
        <v>4.4000000000000004</v>
      </c>
      <c r="O4327">
        <v>9.3000000000000007</v>
      </c>
      <c r="P4327">
        <v>4</v>
      </c>
      <c r="Q4327">
        <v>7</v>
      </c>
      <c r="R4327">
        <v>563673</v>
      </c>
      <c r="S4327">
        <f>Table1[[#This Row],[Revenue]]-Table1[[#This Row],[Operating_Costs]]</f>
        <v>190816</v>
      </c>
      <c r="T4327">
        <v>372857</v>
      </c>
      <c r="U4327">
        <v>34</v>
      </c>
      <c r="V4327">
        <v>60</v>
      </c>
      <c r="W4327">
        <v>6.2</v>
      </c>
    </row>
    <row r="4328" spans="1:23" x14ac:dyDescent="0.25">
      <c r="A4328">
        <v>13</v>
      </c>
      <c r="B4328" t="s">
        <v>30</v>
      </c>
      <c r="C4328" s="1">
        <v>44890</v>
      </c>
      <c r="D4328" t="s">
        <v>71</v>
      </c>
      <c r="E4328">
        <v>0</v>
      </c>
      <c r="F4328">
        <v>49</v>
      </c>
      <c r="G4328" t="str">
        <f t="shared" si="75"/>
        <v>41-60</v>
      </c>
      <c r="H4328" t="s">
        <v>35</v>
      </c>
      <c r="I4328" t="s">
        <v>60</v>
      </c>
      <c r="J4328" t="s">
        <v>59</v>
      </c>
      <c r="K4328" t="s">
        <v>42</v>
      </c>
      <c r="L4328">
        <v>1</v>
      </c>
      <c r="M4328">
        <v>1</v>
      </c>
      <c r="N4328">
        <v>5.7</v>
      </c>
      <c r="O4328">
        <v>9.1999999999999993</v>
      </c>
      <c r="P4328">
        <v>4</v>
      </c>
      <c r="Q4328">
        <v>5</v>
      </c>
      <c r="R4328">
        <v>703553</v>
      </c>
      <c r="S4328">
        <f>Table1[[#This Row],[Revenue]]-Table1[[#This Row],[Operating_Costs]]</f>
        <v>327254</v>
      </c>
      <c r="T4328">
        <v>376299</v>
      </c>
      <c r="U4328">
        <v>32</v>
      </c>
      <c r="V4328">
        <v>59</v>
      </c>
      <c r="W4328">
        <v>14.8</v>
      </c>
    </row>
    <row r="4329" spans="1:23" x14ac:dyDescent="0.25">
      <c r="A4329">
        <v>13</v>
      </c>
      <c r="B4329" t="s">
        <v>30</v>
      </c>
      <c r="C4329" s="1">
        <v>44653</v>
      </c>
      <c r="D4329" t="s">
        <v>71</v>
      </c>
      <c r="E4329">
        <v>0</v>
      </c>
      <c r="F4329">
        <v>39</v>
      </c>
      <c r="G4329" t="str">
        <f t="shared" si="75"/>
        <v>21-40</v>
      </c>
      <c r="H4329" t="s">
        <v>23</v>
      </c>
      <c r="I4329" t="s">
        <v>24</v>
      </c>
      <c r="J4329" t="s">
        <v>25</v>
      </c>
      <c r="K4329" t="s">
        <v>38</v>
      </c>
      <c r="L4329">
        <v>1</v>
      </c>
      <c r="M4329">
        <v>1</v>
      </c>
      <c r="N4329">
        <v>3.2</v>
      </c>
      <c r="O4329">
        <v>8.1</v>
      </c>
      <c r="P4329">
        <v>6</v>
      </c>
      <c r="Q4329">
        <v>3</v>
      </c>
      <c r="R4329">
        <v>673977</v>
      </c>
      <c r="S4329">
        <f>Table1[[#This Row],[Revenue]]-Table1[[#This Row],[Operating_Costs]]</f>
        <v>310253</v>
      </c>
      <c r="T4329">
        <v>363724</v>
      </c>
      <c r="U4329">
        <v>41</v>
      </c>
      <c r="V4329">
        <v>64</v>
      </c>
      <c r="W4329">
        <v>9.9</v>
      </c>
    </row>
    <row r="4330" spans="1:23" x14ac:dyDescent="0.25">
      <c r="A4330">
        <v>13</v>
      </c>
      <c r="B4330" t="s">
        <v>30</v>
      </c>
      <c r="C4330" s="1">
        <v>44447</v>
      </c>
      <c r="D4330" t="s">
        <v>71</v>
      </c>
      <c r="E4330">
        <v>0</v>
      </c>
      <c r="F4330">
        <v>75</v>
      </c>
      <c r="G4330" t="str">
        <f t="shared" si="75"/>
        <v>61-80</v>
      </c>
      <c r="H4330" t="s">
        <v>35</v>
      </c>
      <c r="I4330" t="s">
        <v>40</v>
      </c>
      <c r="J4330" t="s">
        <v>41</v>
      </c>
      <c r="K4330" t="s">
        <v>29</v>
      </c>
      <c r="L4330">
        <v>1</v>
      </c>
      <c r="M4330">
        <v>1</v>
      </c>
      <c r="N4330">
        <v>4.0999999999999996</v>
      </c>
      <c r="O4330">
        <v>8.9</v>
      </c>
      <c r="P4330">
        <v>5</v>
      </c>
      <c r="Q4330">
        <v>6</v>
      </c>
      <c r="R4330">
        <v>764535</v>
      </c>
      <c r="S4330">
        <f>Table1[[#This Row],[Revenue]]-Table1[[#This Row],[Operating_Costs]]</f>
        <v>411779</v>
      </c>
      <c r="T4330">
        <v>352756</v>
      </c>
      <c r="U4330">
        <v>31</v>
      </c>
      <c r="V4330">
        <v>59</v>
      </c>
      <c r="W4330">
        <v>9.5</v>
      </c>
    </row>
    <row r="4331" spans="1:23" x14ac:dyDescent="0.25">
      <c r="A4331">
        <v>13</v>
      </c>
      <c r="B4331" t="s">
        <v>30</v>
      </c>
      <c r="C4331" s="1">
        <v>45602</v>
      </c>
      <c r="D4331" t="s">
        <v>71</v>
      </c>
      <c r="E4331">
        <v>0</v>
      </c>
      <c r="F4331">
        <v>40</v>
      </c>
      <c r="G4331" t="str">
        <f t="shared" si="75"/>
        <v>21-40</v>
      </c>
      <c r="H4331" t="s">
        <v>23</v>
      </c>
      <c r="I4331" t="s">
        <v>40</v>
      </c>
      <c r="J4331" t="s">
        <v>41</v>
      </c>
      <c r="K4331" t="s">
        <v>29</v>
      </c>
      <c r="L4331">
        <v>1</v>
      </c>
      <c r="M4331">
        <v>1</v>
      </c>
      <c r="N4331">
        <v>3.5</v>
      </c>
      <c r="O4331">
        <v>8</v>
      </c>
      <c r="P4331">
        <v>5</v>
      </c>
      <c r="Q4331">
        <v>5</v>
      </c>
      <c r="R4331">
        <v>781874</v>
      </c>
      <c r="S4331">
        <f>Table1[[#This Row],[Revenue]]-Table1[[#This Row],[Operating_Costs]]</f>
        <v>422122</v>
      </c>
      <c r="T4331">
        <v>359752</v>
      </c>
      <c r="U4331">
        <v>38</v>
      </c>
      <c r="V4331">
        <v>58</v>
      </c>
      <c r="W4331">
        <v>7.8</v>
      </c>
    </row>
    <row r="4332" spans="1:23" x14ac:dyDescent="0.25">
      <c r="A4332">
        <v>12</v>
      </c>
      <c r="B4332" t="s">
        <v>66</v>
      </c>
      <c r="C4332" s="1">
        <v>44827</v>
      </c>
      <c r="D4332" t="s">
        <v>71</v>
      </c>
      <c r="E4332">
        <v>0</v>
      </c>
      <c r="F4332">
        <v>27</v>
      </c>
      <c r="G4332" t="str">
        <f t="shared" si="75"/>
        <v>21-40</v>
      </c>
      <c r="H4332" t="s">
        <v>23</v>
      </c>
      <c r="I4332" t="s">
        <v>46</v>
      </c>
      <c r="J4332" t="s">
        <v>47</v>
      </c>
      <c r="K4332" t="s">
        <v>42</v>
      </c>
      <c r="L4332">
        <v>1</v>
      </c>
      <c r="M4332">
        <v>1</v>
      </c>
      <c r="N4332">
        <v>4.5</v>
      </c>
      <c r="O4332">
        <v>8.6</v>
      </c>
      <c r="P4332">
        <v>4</v>
      </c>
      <c r="Q4332">
        <v>3</v>
      </c>
      <c r="R4332">
        <v>818369</v>
      </c>
      <c r="S4332">
        <f>Table1[[#This Row],[Revenue]]-Table1[[#This Row],[Operating_Costs]]</f>
        <v>240799</v>
      </c>
      <c r="T4332">
        <v>577570</v>
      </c>
      <c r="U4332">
        <v>71</v>
      </c>
      <c r="V4332">
        <v>58</v>
      </c>
      <c r="W4332">
        <v>6.2</v>
      </c>
    </row>
    <row r="4333" spans="1:23" x14ac:dyDescent="0.25">
      <c r="A4333">
        <v>13</v>
      </c>
      <c r="B4333" t="s">
        <v>30</v>
      </c>
      <c r="C4333" s="1">
        <v>44916</v>
      </c>
      <c r="D4333" t="s">
        <v>71</v>
      </c>
      <c r="E4333">
        <v>0</v>
      </c>
      <c r="F4333">
        <v>76</v>
      </c>
      <c r="G4333" t="str">
        <f t="shared" si="75"/>
        <v>61-80</v>
      </c>
      <c r="H4333" t="s">
        <v>23</v>
      </c>
      <c r="I4333" t="s">
        <v>40</v>
      </c>
      <c r="J4333" t="s">
        <v>41</v>
      </c>
      <c r="K4333" t="s">
        <v>33</v>
      </c>
      <c r="L4333">
        <v>1</v>
      </c>
      <c r="M4333">
        <v>1</v>
      </c>
      <c r="N4333">
        <v>2</v>
      </c>
      <c r="O4333">
        <v>7.9</v>
      </c>
      <c r="P4333">
        <v>6</v>
      </c>
      <c r="Q4333">
        <v>5</v>
      </c>
      <c r="R4333">
        <v>422176</v>
      </c>
      <c r="S4333">
        <f>Table1[[#This Row],[Revenue]]-Table1[[#This Row],[Operating_Costs]]</f>
        <v>59567</v>
      </c>
      <c r="T4333">
        <v>362609</v>
      </c>
      <c r="U4333">
        <v>35</v>
      </c>
      <c r="V4333">
        <v>61</v>
      </c>
      <c r="W4333">
        <v>36</v>
      </c>
    </row>
    <row r="4334" spans="1:23" x14ac:dyDescent="0.25">
      <c r="A4334">
        <v>13</v>
      </c>
      <c r="B4334" t="s">
        <v>30</v>
      </c>
      <c r="C4334" s="1">
        <v>44485</v>
      </c>
      <c r="D4334" t="s">
        <v>71</v>
      </c>
      <c r="E4334">
        <v>0</v>
      </c>
      <c r="F4334">
        <v>79</v>
      </c>
      <c r="G4334" t="str">
        <f t="shared" si="75"/>
        <v>61-80</v>
      </c>
      <c r="H4334" t="s">
        <v>35</v>
      </c>
      <c r="I4334" t="s">
        <v>60</v>
      </c>
      <c r="J4334" t="s">
        <v>59</v>
      </c>
      <c r="K4334" t="s">
        <v>33</v>
      </c>
      <c r="L4334">
        <v>1</v>
      </c>
      <c r="M4334">
        <v>1</v>
      </c>
      <c r="N4334">
        <v>3.2</v>
      </c>
      <c r="O4334">
        <v>8.8000000000000007</v>
      </c>
      <c r="P4334">
        <v>3</v>
      </c>
      <c r="Q4334">
        <v>7</v>
      </c>
      <c r="R4334">
        <v>674574</v>
      </c>
      <c r="S4334">
        <f>Table1[[#This Row],[Revenue]]-Table1[[#This Row],[Operating_Costs]]</f>
        <v>298610</v>
      </c>
      <c r="T4334">
        <v>375964</v>
      </c>
      <c r="U4334">
        <v>42</v>
      </c>
      <c r="V4334">
        <v>65</v>
      </c>
      <c r="W4334">
        <v>6.1</v>
      </c>
    </row>
    <row r="4335" spans="1:23" x14ac:dyDescent="0.25">
      <c r="A4335">
        <v>13</v>
      </c>
      <c r="B4335" t="s">
        <v>30</v>
      </c>
      <c r="C4335" s="1">
        <v>45065</v>
      </c>
      <c r="D4335" t="s">
        <v>71</v>
      </c>
      <c r="E4335">
        <v>0</v>
      </c>
      <c r="F4335">
        <v>75</v>
      </c>
      <c r="G4335" t="str">
        <f t="shared" si="75"/>
        <v>61-80</v>
      </c>
      <c r="H4335" t="s">
        <v>35</v>
      </c>
      <c r="I4335" t="s">
        <v>36</v>
      </c>
      <c r="J4335" t="s">
        <v>37</v>
      </c>
      <c r="K4335" t="s">
        <v>29</v>
      </c>
      <c r="L4335">
        <v>1</v>
      </c>
      <c r="M4335">
        <v>1</v>
      </c>
      <c r="N4335">
        <v>1.2</v>
      </c>
      <c r="O4335">
        <v>9.6999999999999993</v>
      </c>
      <c r="P4335">
        <v>7</v>
      </c>
      <c r="Q4335">
        <v>5</v>
      </c>
      <c r="R4335">
        <v>671586</v>
      </c>
      <c r="S4335">
        <f>Table1[[#This Row],[Revenue]]-Table1[[#This Row],[Operating_Costs]]</f>
        <v>268074</v>
      </c>
      <c r="T4335">
        <v>403512</v>
      </c>
      <c r="U4335">
        <v>39</v>
      </c>
      <c r="V4335">
        <v>65</v>
      </c>
      <c r="W4335">
        <v>13.5</v>
      </c>
    </row>
    <row r="4336" spans="1:23" x14ac:dyDescent="0.25">
      <c r="A4336">
        <v>12</v>
      </c>
      <c r="B4336" t="s">
        <v>66</v>
      </c>
      <c r="C4336" s="1">
        <v>44578</v>
      </c>
      <c r="D4336" t="s">
        <v>71</v>
      </c>
      <c r="E4336">
        <v>0</v>
      </c>
      <c r="F4336">
        <v>39</v>
      </c>
      <c r="G4336" t="str">
        <f t="shared" si="75"/>
        <v>21-40</v>
      </c>
      <c r="H4336" t="s">
        <v>35</v>
      </c>
      <c r="I4336" t="s">
        <v>61</v>
      </c>
      <c r="J4336" t="s">
        <v>62</v>
      </c>
      <c r="K4336" t="s">
        <v>38</v>
      </c>
      <c r="L4336">
        <v>1</v>
      </c>
      <c r="M4336">
        <v>1</v>
      </c>
      <c r="N4336">
        <v>3.6</v>
      </c>
      <c r="O4336">
        <v>10</v>
      </c>
      <c r="P4336">
        <v>7</v>
      </c>
      <c r="Q4336">
        <v>7</v>
      </c>
      <c r="R4336">
        <v>991249</v>
      </c>
      <c r="S4336">
        <f>Table1[[#This Row],[Revenue]]-Table1[[#This Row],[Operating_Costs]]</f>
        <v>385067</v>
      </c>
      <c r="T4336">
        <v>606182</v>
      </c>
      <c r="U4336">
        <v>66</v>
      </c>
      <c r="V4336">
        <v>57</v>
      </c>
      <c r="W4336">
        <v>5.9</v>
      </c>
    </row>
    <row r="4337" spans="1:23" x14ac:dyDescent="0.25">
      <c r="A4337">
        <v>13</v>
      </c>
      <c r="B4337" t="s">
        <v>30</v>
      </c>
      <c r="C4337" s="1">
        <v>44476</v>
      </c>
      <c r="D4337" t="s">
        <v>71</v>
      </c>
      <c r="E4337">
        <v>0</v>
      </c>
      <c r="F4337">
        <v>24</v>
      </c>
      <c r="G4337" t="str">
        <f t="shared" si="75"/>
        <v>21-40</v>
      </c>
      <c r="H4337" t="s">
        <v>35</v>
      </c>
      <c r="I4337" t="s">
        <v>31</v>
      </c>
      <c r="J4337" t="s">
        <v>28</v>
      </c>
      <c r="K4337" t="s">
        <v>42</v>
      </c>
      <c r="L4337">
        <v>1</v>
      </c>
      <c r="M4337">
        <v>1</v>
      </c>
      <c r="N4337">
        <v>3.2</v>
      </c>
      <c r="O4337">
        <v>9.1999999999999993</v>
      </c>
      <c r="P4337">
        <v>7</v>
      </c>
      <c r="Q4337">
        <v>4</v>
      </c>
      <c r="R4337">
        <v>610643</v>
      </c>
      <c r="S4337">
        <f>Table1[[#This Row],[Revenue]]-Table1[[#This Row],[Operating_Costs]]</f>
        <v>210185</v>
      </c>
      <c r="T4337">
        <v>400458</v>
      </c>
      <c r="U4337">
        <v>33</v>
      </c>
      <c r="V4337">
        <v>61</v>
      </c>
      <c r="W4337">
        <v>8.4</v>
      </c>
    </row>
    <row r="4338" spans="1:23" x14ac:dyDescent="0.25">
      <c r="A4338">
        <v>13</v>
      </c>
      <c r="B4338" t="s">
        <v>30</v>
      </c>
      <c r="C4338" s="1">
        <v>44431</v>
      </c>
      <c r="D4338" t="s">
        <v>71</v>
      </c>
      <c r="E4338">
        <v>0</v>
      </c>
      <c r="F4338">
        <v>42</v>
      </c>
      <c r="G4338" t="str">
        <f t="shared" si="75"/>
        <v>41-60</v>
      </c>
      <c r="H4338" t="s">
        <v>35</v>
      </c>
      <c r="I4338" t="s">
        <v>46</v>
      </c>
      <c r="J4338" t="s">
        <v>47</v>
      </c>
      <c r="K4338" t="s">
        <v>29</v>
      </c>
      <c r="L4338">
        <v>1</v>
      </c>
      <c r="M4338">
        <v>1</v>
      </c>
      <c r="N4338">
        <v>7</v>
      </c>
      <c r="O4338">
        <v>7.8</v>
      </c>
      <c r="P4338">
        <v>7</v>
      </c>
      <c r="Q4338">
        <v>4</v>
      </c>
      <c r="R4338">
        <v>794636</v>
      </c>
      <c r="S4338">
        <f>Table1[[#This Row],[Revenue]]-Table1[[#This Row],[Operating_Costs]]</f>
        <v>436440</v>
      </c>
      <c r="T4338">
        <v>358196</v>
      </c>
      <c r="U4338">
        <v>50</v>
      </c>
      <c r="V4338">
        <v>55</v>
      </c>
      <c r="W4338">
        <v>9.1</v>
      </c>
    </row>
    <row r="4339" spans="1:23" x14ac:dyDescent="0.25">
      <c r="A4339">
        <v>13</v>
      </c>
      <c r="B4339" t="s">
        <v>30</v>
      </c>
      <c r="C4339" s="1">
        <v>44972</v>
      </c>
      <c r="D4339" t="s">
        <v>71</v>
      </c>
      <c r="E4339">
        <v>0</v>
      </c>
      <c r="F4339">
        <v>54</v>
      </c>
      <c r="G4339" t="str">
        <f t="shared" si="75"/>
        <v>41-60</v>
      </c>
      <c r="H4339" t="s">
        <v>35</v>
      </c>
      <c r="I4339" t="s">
        <v>40</v>
      </c>
      <c r="J4339" t="s">
        <v>41</v>
      </c>
      <c r="K4339" t="s">
        <v>42</v>
      </c>
      <c r="L4339">
        <v>1</v>
      </c>
      <c r="M4339">
        <v>1</v>
      </c>
      <c r="N4339">
        <v>6</v>
      </c>
      <c r="O4339">
        <v>7.3</v>
      </c>
      <c r="P4339">
        <v>3</v>
      </c>
      <c r="Q4339">
        <v>4</v>
      </c>
      <c r="R4339">
        <v>406085</v>
      </c>
      <c r="S4339">
        <f>Table1[[#This Row],[Revenue]]-Table1[[#This Row],[Operating_Costs]]</f>
        <v>51584</v>
      </c>
      <c r="T4339">
        <v>354501</v>
      </c>
      <c r="U4339">
        <v>33</v>
      </c>
      <c r="V4339">
        <v>63</v>
      </c>
      <c r="W4339">
        <v>9.4</v>
      </c>
    </row>
    <row r="4340" spans="1:23" x14ac:dyDescent="0.25">
      <c r="A4340">
        <v>13</v>
      </c>
      <c r="B4340" t="s">
        <v>30</v>
      </c>
      <c r="C4340" s="1">
        <v>44265</v>
      </c>
      <c r="D4340" t="s">
        <v>71</v>
      </c>
      <c r="E4340">
        <v>0</v>
      </c>
      <c r="F4340">
        <v>87</v>
      </c>
      <c r="G4340" t="str">
        <f t="shared" si="75"/>
        <v>81+</v>
      </c>
      <c r="H4340" t="s">
        <v>35</v>
      </c>
      <c r="I4340" t="s">
        <v>27</v>
      </c>
      <c r="J4340" t="s">
        <v>28</v>
      </c>
      <c r="K4340" t="s">
        <v>42</v>
      </c>
      <c r="L4340">
        <v>1</v>
      </c>
      <c r="M4340">
        <v>1</v>
      </c>
      <c r="N4340">
        <v>3.1</v>
      </c>
      <c r="O4340">
        <v>9.1999999999999993</v>
      </c>
      <c r="P4340">
        <v>5</v>
      </c>
      <c r="Q4340">
        <v>5</v>
      </c>
      <c r="R4340">
        <v>686374</v>
      </c>
      <c r="S4340">
        <f>Table1[[#This Row],[Revenue]]-Table1[[#This Row],[Operating_Costs]]</f>
        <v>308884</v>
      </c>
      <c r="T4340">
        <v>377490</v>
      </c>
      <c r="U4340">
        <v>37</v>
      </c>
      <c r="V4340">
        <v>63</v>
      </c>
      <c r="W4340">
        <v>5.2</v>
      </c>
    </row>
    <row r="4341" spans="1:23" x14ac:dyDescent="0.25">
      <c r="A4341">
        <v>13</v>
      </c>
      <c r="B4341" t="s">
        <v>30</v>
      </c>
      <c r="C4341" s="1">
        <v>44869</v>
      </c>
      <c r="D4341" t="s">
        <v>71</v>
      </c>
      <c r="E4341">
        <v>0</v>
      </c>
      <c r="F4341">
        <v>34</v>
      </c>
      <c r="G4341" t="str">
        <f t="shared" si="75"/>
        <v>21-40</v>
      </c>
      <c r="H4341" t="s">
        <v>35</v>
      </c>
      <c r="I4341" t="s">
        <v>31</v>
      </c>
      <c r="J4341" t="s">
        <v>28</v>
      </c>
      <c r="K4341" t="s">
        <v>33</v>
      </c>
      <c r="L4341">
        <v>1</v>
      </c>
      <c r="M4341">
        <v>1</v>
      </c>
      <c r="N4341">
        <v>4.2</v>
      </c>
      <c r="O4341">
        <v>8.5</v>
      </c>
      <c r="P4341">
        <v>3</v>
      </c>
      <c r="Q4341">
        <v>6</v>
      </c>
      <c r="R4341">
        <v>599461</v>
      </c>
      <c r="S4341">
        <f>Table1[[#This Row],[Revenue]]-Table1[[#This Row],[Operating_Costs]]</f>
        <v>206821</v>
      </c>
      <c r="T4341">
        <v>392640</v>
      </c>
      <c r="U4341">
        <v>44</v>
      </c>
      <c r="V4341">
        <v>62</v>
      </c>
      <c r="W4341">
        <v>9.1999999999999993</v>
      </c>
    </row>
    <row r="4342" spans="1:23" x14ac:dyDescent="0.25">
      <c r="A4342">
        <v>13</v>
      </c>
      <c r="B4342" t="s">
        <v>30</v>
      </c>
      <c r="C4342" s="1">
        <v>45578</v>
      </c>
      <c r="D4342" t="s">
        <v>71</v>
      </c>
      <c r="E4342">
        <v>0</v>
      </c>
      <c r="F4342">
        <v>37</v>
      </c>
      <c r="G4342" t="str">
        <f t="shared" si="75"/>
        <v>21-40</v>
      </c>
      <c r="H4342" t="s">
        <v>35</v>
      </c>
      <c r="I4342" t="s">
        <v>31</v>
      </c>
      <c r="J4342" t="s">
        <v>28</v>
      </c>
      <c r="K4342" t="s">
        <v>26</v>
      </c>
      <c r="L4342">
        <v>1</v>
      </c>
      <c r="M4342">
        <v>1</v>
      </c>
      <c r="N4342">
        <v>2.1</v>
      </c>
      <c r="O4342">
        <v>9.6999999999999993</v>
      </c>
      <c r="P4342">
        <v>3</v>
      </c>
      <c r="Q4342">
        <v>4</v>
      </c>
      <c r="R4342">
        <v>599635</v>
      </c>
      <c r="S4342">
        <f>Table1[[#This Row],[Revenue]]-Table1[[#This Row],[Operating_Costs]]</f>
        <v>205317</v>
      </c>
      <c r="T4342">
        <v>394318</v>
      </c>
      <c r="U4342">
        <v>40</v>
      </c>
      <c r="V4342">
        <v>61</v>
      </c>
      <c r="W4342">
        <v>9.5</v>
      </c>
    </row>
    <row r="4343" spans="1:23" x14ac:dyDescent="0.25">
      <c r="A4343">
        <v>13</v>
      </c>
      <c r="B4343" t="s">
        <v>30</v>
      </c>
      <c r="C4343" s="1">
        <v>45396</v>
      </c>
      <c r="D4343" t="s">
        <v>71</v>
      </c>
      <c r="E4343">
        <v>0</v>
      </c>
      <c r="F4343">
        <v>40</v>
      </c>
      <c r="G4343" t="str">
        <f t="shared" si="75"/>
        <v>21-40</v>
      </c>
      <c r="H4343" t="s">
        <v>23</v>
      </c>
      <c r="I4343" t="s">
        <v>50</v>
      </c>
      <c r="J4343" t="s">
        <v>51</v>
      </c>
      <c r="K4343" t="s">
        <v>33</v>
      </c>
      <c r="L4343">
        <v>1</v>
      </c>
      <c r="M4343">
        <v>1</v>
      </c>
      <c r="N4343">
        <v>1.4</v>
      </c>
      <c r="O4343">
        <v>7.7</v>
      </c>
      <c r="P4343">
        <v>7</v>
      </c>
      <c r="Q4343">
        <v>5</v>
      </c>
      <c r="R4343">
        <v>512645</v>
      </c>
      <c r="S4343">
        <f>Table1[[#This Row],[Revenue]]-Table1[[#This Row],[Operating_Costs]]</f>
        <v>160258</v>
      </c>
      <c r="T4343">
        <v>352387</v>
      </c>
      <c r="U4343">
        <v>48</v>
      </c>
      <c r="V4343">
        <v>63</v>
      </c>
      <c r="W4343">
        <v>10.1</v>
      </c>
    </row>
    <row r="4344" spans="1:23" x14ac:dyDescent="0.25">
      <c r="A4344">
        <v>13</v>
      </c>
      <c r="B4344" t="s">
        <v>30</v>
      </c>
      <c r="C4344" s="1">
        <v>45628</v>
      </c>
      <c r="D4344" t="s">
        <v>71</v>
      </c>
      <c r="E4344">
        <v>0</v>
      </c>
      <c r="F4344">
        <v>39</v>
      </c>
      <c r="G4344" t="str">
        <f t="shared" si="75"/>
        <v>21-40</v>
      </c>
      <c r="H4344" t="s">
        <v>23</v>
      </c>
      <c r="I4344" t="s">
        <v>50</v>
      </c>
      <c r="J4344" t="s">
        <v>51</v>
      </c>
      <c r="K4344" t="s">
        <v>33</v>
      </c>
      <c r="L4344">
        <v>1</v>
      </c>
      <c r="M4344">
        <v>1</v>
      </c>
      <c r="N4344">
        <v>2.2999999999999998</v>
      </c>
      <c r="O4344">
        <v>7.6</v>
      </c>
      <c r="P4344">
        <v>5</v>
      </c>
      <c r="Q4344">
        <v>7</v>
      </c>
      <c r="R4344">
        <v>466426</v>
      </c>
      <c r="S4344">
        <f>Table1[[#This Row],[Revenue]]-Table1[[#This Row],[Operating_Costs]]</f>
        <v>99767</v>
      </c>
      <c r="T4344">
        <v>366659</v>
      </c>
      <c r="U4344">
        <v>40</v>
      </c>
      <c r="V4344">
        <v>66</v>
      </c>
      <c r="W4344">
        <v>12.7</v>
      </c>
    </row>
    <row r="4345" spans="1:23" x14ac:dyDescent="0.25">
      <c r="A4345">
        <v>13</v>
      </c>
      <c r="B4345" t="s">
        <v>30</v>
      </c>
      <c r="C4345" s="1">
        <v>44897</v>
      </c>
      <c r="D4345" t="s">
        <v>71</v>
      </c>
      <c r="E4345">
        <v>0</v>
      </c>
      <c r="F4345">
        <v>69</v>
      </c>
      <c r="G4345" t="str">
        <f t="shared" si="75"/>
        <v>61-80</v>
      </c>
      <c r="H4345" t="s">
        <v>35</v>
      </c>
      <c r="I4345" t="s">
        <v>64</v>
      </c>
      <c r="J4345" t="s">
        <v>65</v>
      </c>
      <c r="K4345" t="s">
        <v>42</v>
      </c>
      <c r="L4345">
        <v>1</v>
      </c>
      <c r="M4345">
        <v>1</v>
      </c>
      <c r="N4345">
        <v>1.6</v>
      </c>
      <c r="O4345">
        <v>8.3000000000000007</v>
      </c>
      <c r="P4345">
        <v>7</v>
      </c>
      <c r="Q4345">
        <v>3</v>
      </c>
      <c r="R4345">
        <v>513425</v>
      </c>
      <c r="S4345">
        <f>Table1[[#This Row],[Revenue]]-Table1[[#This Row],[Operating_Costs]]</f>
        <v>133937</v>
      </c>
      <c r="T4345">
        <v>379488</v>
      </c>
      <c r="U4345">
        <v>41</v>
      </c>
      <c r="V4345">
        <v>54</v>
      </c>
      <c r="W4345">
        <v>8.8000000000000007</v>
      </c>
    </row>
    <row r="4346" spans="1:23" x14ac:dyDescent="0.25">
      <c r="A4346">
        <v>13</v>
      </c>
      <c r="B4346" t="s">
        <v>30</v>
      </c>
      <c r="C4346" s="1">
        <v>44248</v>
      </c>
      <c r="D4346" t="s">
        <v>71</v>
      </c>
      <c r="E4346">
        <v>0</v>
      </c>
      <c r="F4346">
        <v>47</v>
      </c>
      <c r="G4346" t="str">
        <f t="shared" si="75"/>
        <v>41-60</v>
      </c>
      <c r="H4346" t="s">
        <v>35</v>
      </c>
      <c r="I4346" t="s">
        <v>46</v>
      </c>
      <c r="J4346" t="s">
        <v>47</v>
      </c>
      <c r="K4346" t="s">
        <v>33</v>
      </c>
      <c r="L4346">
        <v>1</v>
      </c>
      <c r="M4346">
        <v>1</v>
      </c>
      <c r="N4346">
        <v>2.1</v>
      </c>
      <c r="O4346">
        <v>8.6</v>
      </c>
      <c r="P4346">
        <v>4</v>
      </c>
      <c r="Q4346">
        <v>3</v>
      </c>
      <c r="R4346">
        <v>734420</v>
      </c>
      <c r="S4346">
        <f>Table1[[#This Row],[Revenue]]-Table1[[#This Row],[Operating_Costs]]</f>
        <v>365065</v>
      </c>
      <c r="T4346">
        <v>369355</v>
      </c>
      <c r="U4346">
        <v>42</v>
      </c>
      <c r="V4346">
        <v>61</v>
      </c>
      <c r="W4346">
        <v>5.6</v>
      </c>
    </row>
    <row r="4347" spans="1:23" x14ac:dyDescent="0.25">
      <c r="A4347">
        <v>13</v>
      </c>
      <c r="B4347" t="s">
        <v>30</v>
      </c>
      <c r="C4347" s="1">
        <v>44474</v>
      </c>
      <c r="D4347" t="s">
        <v>71</v>
      </c>
      <c r="E4347">
        <v>0</v>
      </c>
      <c r="F4347">
        <v>24</v>
      </c>
      <c r="G4347" t="str">
        <f t="shared" si="75"/>
        <v>21-40</v>
      </c>
      <c r="H4347" t="s">
        <v>23</v>
      </c>
      <c r="I4347" t="s">
        <v>61</v>
      </c>
      <c r="J4347" t="s">
        <v>62</v>
      </c>
      <c r="K4347" t="s">
        <v>38</v>
      </c>
      <c r="L4347">
        <v>1</v>
      </c>
      <c r="M4347">
        <v>1</v>
      </c>
      <c r="N4347">
        <v>3</v>
      </c>
      <c r="O4347">
        <v>8.9</v>
      </c>
      <c r="P4347">
        <v>6</v>
      </c>
      <c r="Q4347">
        <v>7</v>
      </c>
      <c r="R4347">
        <v>415332</v>
      </c>
      <c r="S4347">
        <f>Table1[[#This Row],[Revenue]]-Table1[[#This Row],[Operating_Costs]]</f>
        <v>31967</v>
      </c>
      <c r="T4347">
        <v>383365</v>
      </c>
      <c r="U4347">
        <v>40</v>
      </c>
      <c r="V4347">
        <v>57</v>
      </c>
      <c r="W4347">
        <v>6.3</v>
      </c>
    </row>
    <row r="4348" spans="1:23" x14ac:dyDescent="0.25">
      <c r="A4348">
        <v>13</v>
      </c>
      <c r="B4348" t="s">
        <v>30</v>
      </c>
      <c r="C4348" s="1">
        <v>44912</v>
      </c>
      <c r="D4348" t="s">
        <v>71</v>
      </c>
      <c r="E4348">
        <v>0</v>
      </c>
      <c r="F4348">
        <v>45</v>
      </c>
      <c r="G4348" t="str">
        <f t="shared" si="75"/>
        <v>41-60</v>
      </c>
      <c r="H4348" t="s">
        <v>23</v>
      </c>
      <c r="I4348" t="s">
        <v>61</v>
      </c>
      <c r="J4348" t="s">
        <v>62</v>
      </c>
      <c r="K4348" t="s">
        <v>42</v>
      </c>
      <c r="L4348">
        <v>1</v>
      </c>
      <c r="M4348">
        <v>1</v>
      </c>
      <c r="N4348">
        <v>2.5</v>
      </c>
      <c r="O4348">
        <v>8.5</v>
      </c>
      <c r="P4348">
        <v>5</v>
      </c>
      <c r="Q4348">
        <v>5</v>
      </c>
      <c r="R4348">
        <v>799947</v>
      </c>
      <c r="S4348">
        <f>Table1[[#This Row],[Revenue]]-Table1[[#This Row],[Operating_Costs]]</f>
        <v>432994</v>
      </c>
      <c r="T4348">
        <v>366953</v>
      </c>
      <c r="U4348">
        <v>50</v>
      </c>
      <c r="V4348">
        <v>65</v>
      </c>
      <c r="W4348">
        <v>7.7</v>
      </c>
    </row>
    <row r="4349" spans="1:23" x14ac:dyDescent="0.25">
      <c r="A4349">
        <v>13</v>
      </c>
      <c r="B4349" t="s">
        <v>30</v>
      </c>
      <c r="C4349" s="1">
        <v>44498</v>
      </c>
      <c r="D4349" t="s">
        <v>71</v>
      </c>
      <c r="E4349">
        <v>0</v>
      </c>
      <c r="F4349">
        <v>58</v>
      </c>
      <c r="G4349" t="str">
        <f t="shared" si="75"/>
        <v>41-60</v>
      </c>
      <c r="H4349" t="s">
        <v>23</v>
      </c>
      <c r="I4349" t="s">
        <v>50</v>
      </c>
      <c r="J4349" t="s">
        <v>51</v>
      </c>
      <c r="K4349" t="s">
        <v>38</v>
      </c>
      <c r="L4349">
        <v>1</v>
      </c>
      <c r="M4349">
        <v>1</v>
      </c>
      <c r="N4349">
        <v>3.2</v>
      </c>
      <c r="O4349">
        <v>7.3</v>
      </c>
      <c r="P4349">
        <v>4</v>
      </c>
      <c r="Q4349">
        <v>6</v>
      </c>
      <c r="R4349">
        <v>549143</v>
      </c>
      <c r="S4349">
        <f>Table1[[#This Row],[Revenue]]-Table1[[#This Row],[Operating_Costs]]</f>
        <v>161725</v>
      </c>
      <c r="T4349">
        <v>387418</v>
      </c>
      <c r="U4349">
        <v>43</v>
      </c>
      <c r="V4349">
        <v>61</v>
      </c>
      <c r="W4349">
        <v>12.8</v>
      </c>
    </row>
    <row r="4350" spans="1:23" x14ac:dyDescent="0.25">
      <c r="A4350">
        <v>13</v>
      </c>
      <c r="B4350" t="s">
        <v>30</v>
      </c>
      <c r="C4350" s="1">
        <v>45235</v>
      </c>
      <c r="D4350" t="s">
        <v>71</v>
      </c>
      <c r="E4350">
        <v>0</v>
      </c>
      <c r="F4350">
        <v>40</v>
      </c>
      <c r="G4350" t="str">
        <f t="shared" si="75"/>
        <v>21-40</v>
      </c>
      <c r="H4350" t="s">
        <v>23</v>
      </c>
      <c r="I4350" t="s">
        <v>58</v>
      </c>
      <c r="J4350" t="s">
        <v>59</v>
      </c>
      <c r="K4350" t="s">
        <v>42</v>
      </c>
      <c r="L4350">
        <v>1</v>
      </c>
      <c r="M4350">
        <v>1</v>
      </c>
      <c r="N4350">
        <v>4.9000000000000004</v>
      </c>
      <c r="O4350">
        <v>9.6</v>
      </c>
      <c r="P4350">
        <v>6</v>
      </c>
      <c r="Q4350">
        <v>4</v>
      </c>
      <c r="R4350">
        <v>704083</v>
      </c>
      <c r="S4350">
        <f>Table1[[#This Row],[Revenue]]-Table1[[#This Row],[Operating_Costs]]</f>
        <v>320785</v>
      </c>
      <c r="T4350">
        <v>383298</v>
      </c>
      <c r="U4350">
        <v>34</v>
      </c>
      <c r="V4350">
        <v>56</v>
      </c>
      <c r="W4350">
        <v>9.1999999999999993</v>
      </c>
    </row>
    <row r="4351" spans="1:23" x14ac:dyDescent="0.25">
      <c r="A4351">
        <v>13</v>
      </c>
      <c r="B4351" t="s">
        <v>30</v>
      </c>
      <c r="C4351" s="1">
        <v>45283</v>
      </c>
      <c r="D4351" t="s">
        <v>71</v>
      </c>
      <c r="E4351">
        <v>0</v>
      </c>
      <c r="F4351">
        <v>66</v>
      </c>
      <c r="G4351" t="str">
        <f t="shared" si="75"/>
        <v>61-80</v>
      </c>
      <c r="H4351" t="s">
        <v>23</v>
      </c>
      <c r="I4351" t="s">
        <v>43</v>
      </c>
      <c r="J4351" t="s">
        <v>25</v>
      </c>
      <c r="K4351" t="s">
        <v>42</v>
      </c>
      <c r="L4351">
        <v>1</v>
      </c>
      <c r="M4351">
        <v>1</v>
      </c>
      <c r="N4351">
        <v>5.2</v>
      </c>
      <c r="O4351">
        <v>9.1</v>
      </c>
      <c r="P4351">
        <v>5</v>
      </c>
      <c r="Q4351">
        <v>4</v>
      </c>
      <c r="R4351">
        <v>681328</v>
      </c>
      <c r="S4351">
        <f>Table1[[#This Row],[Revenue]]-Table1[[#This Row],[Operating_Costs]]</f>
        <v>296551</v>
      </c>
      <c r="T4351">
        <v>384777</v>
      </c>
      <c r="U4351">
        <v>30</v>
      </c>
      <c r="V4351">
        <v>62</v>
      </c>
      <c r="W4351">
        <v>9.3000000000000007</v>
      </c>
    </row>
    <row r="4352" spans="1:23" x14ac:dyDescent="0.25">
      <c r="A4352">
        <v>13</v>
      </c>
      <c r="B4352" t="s">
        <v>30</v>
      </c>
      <c r="C4352" s="1">
        <v>45381</v>
      </c>
      <c r="D4352" t="s">
        <v>71</v>
      </c>
      <c r="E4352">
        <v>0</v>
      </c>
      <c r="F4352">
        <v>35</v>
      </c>
      <c r="G4352" t="str">
        <f t="shared" si="75"/>
        <v>21-40</v>
      </c>
      <c r="H4352" t="s">
        <v>23</v>
      </c>
      <c r="I4352" t="s">
        <v>55</v>
      </c>
      <c r="J4352" t="s">
        <v>56</v>
      </c>
      <c r="K4352" t="s">
        <v>42</v>
      </c>
      <c r="L4352">
        <v>1</v>
      </c>
      <c r="M4352">
        <v>1</v>
      </c>
      <c r="N4352">
        <v>2.4</v>
      </c>
      <c r="O4352">
        <v>8.9</v>
      </c>
      <c r="P4352">
        <v>6</v>
      </c>
      <c r="Q4352">
        <v>5</v>
      </c>
      <c r="R4352">
        <v>429362</v>
      </c>
      <c r="S4352">
        <f>Table1[[#This Row],[Revenue]]-Table1[[#This Row],[Operating_Costs]]</f>
        <v>40090</v>
      </c>
      <c r="T4352">
        <v>389272</v>
      </c>
      <c r="U4352">
        <v>30</v>
      </c>
      <c r="V4352">
        <v>63</v>
      </c>
      <c r="W4352">
        <v>9.3000000000000007</v>
      </c>
    </row>
    <row r="4353" spans="1:23" x14ac:dyDescent="0.25">
      <c r="A4353">
        <v>13</v>
      </c>
      <c r="B4353" t="s">
        <v>30</v>
      </c>
      <c r="C4353" s="1">
        <v>44483</v>
      </c>
      <c r="D4353" t="s">
        <v>71</v>
      </c>
      <c r="E4353">
        <v>0</v>
      </c>
      <c r="F4353">
        <v>90</v>
      </c>
      <c r="G4353" t="str">
        <f t="shared" si="75"/>
        <v>81+</v>
      </c>
      <c r="H4353" t="s">
        <v>23</v>
      </c>
      <c r="I4353" t="s">
        <v>43</v>
      </c>
      <c r="J4353" t="s">
        <v>25</v>
      </c>
      <c r="K4353" t="s">
        <v>33</v>
      </c>
      <c r="L4353">
        <v>1</v>
      </c>
      <c r="M4353">
        <v>1</v>
      </c>
      <c r="N4353">
        <v>1.6</v>
      </c>
      <c r="O4353">
        <v>8.3000000000000007</v>
      </c>
      <c r="P4353">
        <v>7</v>
      </c>
      <c r="Q4353">
        <v>6</v>
      </c>
      <c r="R4353">
        <v>683523</v>
      </c>
      <c r="S4353">
        <f>Table1[[#This Row],[Revenue]]-Table1[[#This Row],[Operating_Costs]]</f>
        <v>294723</v>
      </c>
      <c r="T4353">
        <v>388800</v>
      </c>
      <c r="U4353">
        <v>37</v>
      </c>
      <c r="V4353">
        <v>63</v>
      </c>
      <c r="W4353">
        <v>9.1999999999999993</v>
      </c>
    </row>
    <row r="4354" spans="1:23" x14ac:dyDescent="0.25">
      <c r="A4354">
        <v>13</v>
      </c>
      <c r="B4354" t="s">
        <v>30</v>
      </c>
      <c r="C4354" s="1">
        <v>44995</v>
      </c>
      <c r="D4354" t="s">
        <v>71</v>
      </c>
      <c r="E4354">
        <v>0</v>
      </c>
      <c r="F4354">
        <v>29</v>
      </c>
      <c r="G4354" t="str">
        <f t="shared" si="75"/>
        <v>21-40</v>
      </c>
      <c r="H4354" t="s">
        <v>23</v>
      </c>
      <c r="I4354" t="s">
        <v>27</v>
      </c>
      <c r="J4354" t="s">
        <v>28</v>
      </c>
      <c r="K4354" t="s">
        <v>42</v>
      </c>
      <c r="L4354">
        <v>1</v>
      </c>
      <c r="M4354">
        <v>1</v>
      </c>
      <c r="N4354">
        <v>5.2</v>
      </c>
      <c r="O4354">
        <v>9.6999999999999993</v>
      </c>
      <c r="P4354">
        <v>4</v>
      </c>
      <c r="Q4354">
        <v>6</v>
      </c>
      <c r="R4354">
        <v>532656</v>
      </c>
      <c r="S4354">
        <f>Table1[[#This Row],[Revenue]]-Table1[[#This Row],[Operating_Costs]]</f>
        <v>131761</v>
      </c>
      <c r="T4354">
        <v>400895</v>
      </c>
      <c r="U4354">
        <v>45</v>
      </c>
      <c r="V4354">
        <v>62</v>
      </c>
      <c r="W4354">
        <v>13.3</v>
      </c>
    </row>
    <row r="4355" spans="1:23" x14ac:dyDescent="0.25">
      <c r="A4355">
        <v>13</v>
      </c>
      <c r="B4355" t="s">
        <v>30</v>
      </c>
      <c r="C4355" s="1">
        <v>45368</v>
      </c>
      <c r="D4355" t="s">
        <v>71</v>
      </c>
      <c r="E4355">
        <v>0</v>
      </c>
      <c r="F4355">
        <v>81</v>
      </c>
      <c r="G4355" t="str">
        <f t="shared" ref="G4355:G4418" si="76">IF(F4355&lt;=20,"0-20",IF(F4355&lt;=40,"21-40",IF(F4355&lt;=60,"41-60",IF(F4355&lt;=80,"61-80","81+"))))</f>
        <v>81+</v>
      </c>
      <c r="H4355" t="s">
        <v>23</v>
      </c>
      <c r="I4355" t="s">
        <v>40</v>
      </c>
      <c r="J4355" t="s">
        <v>41</v>
      </c>
      <c r="K4355" t="s">
        <v>26</v>
      </c>
      <c r="L4355">
        <v>1</v>
      </c>
      <c r="M4355">
        <v>1</v>
      </c>
      <c r="N4355">
        <v>1.5</v>
      </c>
      <c r="O4355">
        <v>9.6</v>
      </c>
      <c r="P4355">
        <v>5</v>
      </c>
      <c r="Q4355">
        <v>3</v>
      </c>
      <c r="R4355">
        <v>678451</v>
      </c>
      <c r="S4355">
        <f>Table1[[#This Row],[Revenue]]-Table1[[#This Row],[Operating_Costs]]</f>
        <v>310231</v>
      </c>
      <c r="T4355">
        <v>368220</v>
      </c>
      <c r="U4355">
        <v>46</v>
      </c>
      <c r="V4355">
        <v>54</v>
      </c>
      <c r="W4355">
        <v>13.4</v>
      </c>
    </row>
    <row r="4356" spans="1:23" x14ac:dyDescent="0.25">
      <c r="A4356">
        <v>13</v>
      </c>
      <c r="B4356" t="s">
        <v>30</v>
      </c>
      <c r="C4356" s="1">
        <v>45620</v>
      </c>
      <c r="D4356" t="s">
        <v>71</v>
      </c>
      <c r="E4356">
        <v>0</v>
      </c>
      <c r="F4356">
        <v>43</v>
      </c>
      <c r="G4356" t="str">
        <f t="shared" si="76"/>
        <v>41-60</v>
      </c>
      <c r="H4356" t="s">
        <v>35</v>
      </c>
      <c r="I4356" t="s">
        <v>64</v>
      </c>
      <c r="J4356" t="s">
        <v>65</v>
      </c>
      <c r="K4356" t="s">
        <v>26</v>
      </c>
      <c r="L4356">
        <v>1</v>
      </c>
      <c r="M4356">
        <v>1</v>
      </c>
      <c r="N4356">
        <v>1.5</v>
      </c>
      <c r="O4356">
        <v>7.8</v>
      </c>
      <c r="P4356">
        <v>7</v>
      </c>
      <c r="Q4356">
        <v>5</v>
      </c>
      <c r="R4356">
        <v>602641</v>
      </c>
      <c r="S4356">
        <f>Table1[[#This Row],[Revenue]]-Table1[[#This Row],[Operating_Costs]]</f>
        <v>249809</v>
      </c>
      <c r="T4356">
        <v>352832</v>
      </c>
      <c r="U4356">
        <v>50</v>
      </c>
      <c r="V4356">
        <v>61</v>
      </c>
      <c r="W4356">
        <v>8.1</v>
      </c>
    </row>
    <row r="4357" spans="1:23" x14ac:dyDescent="0.25">
      <c r="A4357">
        <v>13</v>
      </c>
      <c r="B4357" t="s">
        <v>30</v>
      </c>
      <c r="C4357" s="1">
        <v>44771</v>
      </c>
      <c r="D4357" t="s">
        <v>71</v>
      </c>
      <c r="E4357">
        <v>0</v>
      </c>
      <c r="F4357">
        <v>47</v>
      </c>
      <c r="G4357" t="str">
        <f t="shared" si="76"/>
        <v>41-60</v>
      </c>
      <c r="H4357" t="s">
        <v>35</v>
      </c>
      <c r="I4357" t="s">
        <v>64</v>
      </c>
      <c r="J4357" t="s">
        <v>65</v>
      </c>
      <c r="K4357" t="s">
        <v>38</v>
      </c>
      <c r="L4357">
        <v>1</v>
      </c>
      <c r="M4357">
        <v>1</v>
      </c>
      <c r="N4357">
        <v>2.2999999999999998</v>
      </c>
      <c r="O4357">
        <v>7.2</v>
      </c>
      <c r="P4357">
        <v>3</v>
      </c>
      <c r="Q4357">
        <v>5</v>
      </c>
      <c r="R4357">
        <v>461616</v>
      </c>
      <c r="S4357">
        <f>Table1[[#This Row],[Revenue]]-Table1[[#This Row],[Operating_Costs]]</f>
        <v>75410</v>
      </c>
      <c r="T4357">
        <v>386206</v>
      </c>
      <c r="U4357">
        <v>36</v>
      </c>
      <c r="V4357">
        <v>55</v>
      </c>
      <c r="W4357">
        <v>14.8</v>
      </c>
    </row>
    <row r="4358" spans="1:23" x14ac:dyDescent="0.25">
      <c r="A4358">
        <v>13</v>
      </c>
      <c r="B4358" t="s">
        <v>30</v>
      </c>
      <c r="C4358" s="1">
        <v>44341</v>
      </c>
      <c r="D4358" t="s">
        <v>71</v>
      </c>
      <c r="E4358">
        <v>0</v>
      </c>
      <c r="F4358">
        <v>71</v>
      </c>
      <c r="G4358" t="str">
        <f t="shared" si="76"/>
        <v>61-80</v>
      </c>
      <c r="H4358" t="s">
        <v>35</v>
      </c>
      <c r="I4358" t="s">
        <v>31</v>
      </c>
      <c r="J4358" t="s">
        <v>28</v>
      </c>
      <c r="K4358" t="s">
        <v>33</v>
      </c>
      <c r="L4358">
        <v>1</v>
      </c>
      <c r="M4358">
        <v>1</v>
      </c>
      <c r="N4358">
        <v>6.4</v>
      </c>
      <c r="O4358">
        <v>8.8000000000000007</v>
      </c>
      <c r="P4358">
        <v>7</v>
      </c>
      <c r="Q4358">
        <v>6</v>
      </c>
      <c r="R4358">
        <v>778432</v>
      </c>
      <c r="S4358">
        <f>Table1[[#This Row],[Revenue]]-Table1[[#This Row],[Operating_Costs]]</f>
        <v>413288</v>
      </c>
      <c r="T4358">
        <v>365144</v>
      </c>
      <c r="U4358">
        <v>37</v>
      </c>
      <c r="V4358">
        <v>58</v>
      </c>
      <c r="W4358">
        <v>8.8000000000000007</v>
      </c>
    </row>
    <row r="4359" spans="1:23" x14ac:dyDescent="0.25">
      <c r="A4359">
        <v>13</v>
      </c>
      <c r="B4359" t="s">
        <v>30</v>
      </c>
      <c r="C4359" s="1">
        <v>45173</v>
      </c>
      <c r="D4359" t="s">
        <v>71</v>
      </c>
      <c r="E4359">
        <v>0</v>
      </c>
      <c r="F4359">
        <v>51</v>
      </c>
      <c r="G4359" t="str">
        <f t="shared" si="76"/>
        <v>41-60</v>
      </c>
      <c r="H4359" t="s">
        <v>35</v>
      </c>
      <c r="I4359" t="s">
        <v>50</v>
      </c>
      <c r="J4359" t="s">
        <v>51</v>
      </c>
      <c r="K4359" t="s">
        <v>42</v>
      </c>
      <c r="L4359">
        <v>1</v>
      </c>
      <c r="M4359">
        <v>1</v>
      </c>
      <c r="N4359">
        <v>2.5</v>
      </c>
      <c r="O4359">
        <v>8.6</v>
      </c>
      <c r="P4359">
        <v>4</v>
      </c>
      <c r="Q4359">
        <v>3</v>
      </c>
      <c r="R4359">
        <v>759177</v>
      </c>
      <c r="S4359">
        <f>Table1[[#This Row],[Revenue]]-Table1[[#This Row],[Operating_Costs]]</f>
        <v>364826</v>
      </c>
      <c r="T4359">
        <v>394351</v>
      </c>
      <c r="U4359">
        <v>36</v>
      </c>
      <c r="V4359">
        <v>57</v>
      </c>
      <c r="W4359">
        <v>14.9</v>
      </c>
    </row>
    <row r="4360" spans="1:23" x14ac:dyDescent="0.25">
      <c r="A4360">
        <v>13</v>
      </c>
      <c r="B4360" t="s">
        <v>30</v>
      </c>
      <c r="C4360" s="1">
        <v>44932</v>
      </c>
      <c r="D4360" t="s">
        <v>71</v>
      </c>
      <c r="E4360">
        <v>0</v>
      </c>
      <c r="F4360">
        <v>35</v>
      </c>
      <c r="G4360" t="str">
        <f t="shared" si="76"/>
        <v>21-40</v>
      </c>
      <c r="H4360" t="s">
        <v>35</v>
      </c>
      <c r="I4360" t="s">
        <v>36</v>
      </c>
      <c r="J4360" t="s">
        <v>37</v>
      </c>
      <c r="K4360" t="s">
        <v>33</v>
      </c>
      <c r="L4360">
        <v>1</v>
      </c>
      <c r="M4360">
        <v>1</v>
      </c>
      <c r="N4360">
        <v>2.4</v>
      </c>
      <c r="O4360">
        <v>8.5</v>
      </c>
      <c r="P4360">
        <v>5</v>
      </c>
      <c r="Q4360">
        <v>7</v>
      </c>
      <c r="R4360">
        <v>730731</v>
      </c>
      <c r="S4360">
        <f>Table1[[#This Row],[Revenue]]-Table1[[#This Row],[Operating_Costs]]</f>
        <v>351151</v>
      </c>
      <c r="T4360">
        <v>379580</v>
      </c>
      <c r="U4360">
        <v>33</v>
      </c>
      <c r="V4360">
        <v>55</v>
      </c>
      <c r="W4360">
        <v>7.1</v>
      </c>
    </row>
    <row r="4361" spans="1:23" x14ac:dyDescent="0.25">
      <c r="A4361">
        <v>13</v>
      </c>
      <c r="B4361" t="s">
        <v>30</v>
      </c>
      <c r="C4361" s="1">
        <v>45039</v>
      </c>
      <c r="D4361" t="s">
        <v>71</v>
      </c>
      <c r="E4361">
        <v>0</v>
      </c>
      <c r="F4361">
        <v>82</v>
      </c>
      <c r="G4361" t="str">
        <f t="shared" si="76"/>
        <v>81+</v>
      </c>
      <c r="H4361" t="s">
        <v>23</v>
      </c>
      <c r="I4361" t="s">
        <v>55</v>
      </c>
      <c r="J4361" t="s">
        <v>56</v>
      </c>
      <c r="K4361" t="s">
        <v>38</v>
      </c>
      <c r="L4361">
        <v>1</v>
      </c>
      <c r="M4361">
        <v>1</v>
      </c>
      <c r="N4361">
        <v>5.3</v>
      </c>
      <c r="O4361">
        <v>8.6999999999999993</v>
      </c>
      <c r="P4361">
        <v>4</v>
      </c>
      <c r="Q4361">
        <v>6</v>
      </c>
      <c r="R4361">
        <v>619149</v>
      </c>
      <c r="S4361">
        <f>Table1[[#This Row],[Revenue]]-Table1[[#This Row],[Operating_Costs]]</f>
        <v>251826</v>
      </c>
      <c r="T4361">
        <v>367323</v>
      </c>
      <c r="U4361">
        <v>35</v>
      </c>
      <c r="V4361">
        <v>55</v>
      </c>
      <c r="W4361">
        <v>8</v>
      </c>
    </row>
    <row r="4362" spans="1:23" x14ac:dyDescent="0.25">
      <c r="A4362">
        <v>13</v>
      </c>
      <c r="B4362" t="s">
        <v>30</v>
      </c>
      <c r="C4362" s="1">
        <v>45590</v>
      </c>
      <c r="D4362" t="s">
        <v>71</v>
      </c>
      <c r="E4362">
        <v>0</v>
      </c>
      <c r="F4362">
        <v>66</v>
      </c>
      <c r="G4362" t="str">
        <f t="shared" si="76"/>
        <v>61-80</v>
      </c>
      <c r="H4362" t="s">
        <v>23</v>
      </c>
      <c r="I4362" t="s">
        <v>55</v>
      </c>
      <c r="J4362" t="s">
        <v>56</v>
      </c>
      <c r="K4362" t="s">
        <v>26</v>
      </c>
      <c r="L4362">
        <v>1</v>
      </c>
      <c r="M4362">
        <v>1</v>
      </c>
      <c r="N4362">
        <v>5.4</v>
      </c>
      <c r="O4362">
        <v>8</v>
      </c>
      <c r="P4362">
        <v>3</v>
      </c>
      <c r="Q4362">
        <v>7</v>
      </c>
      <c r="R4362">
        <v>680741</v>
      </c>
      <c r="S4362">
        <f>Table1[[#This Row],[Revenue]]-Table1[[#This Row],[Operating_Costs]]</f>
        <v>304763</v>
      </c>
      <c r="T4362">
        <v>375978</v>
      </c>
      <c r="U4362">
        <v>44</v>
      </c>
      <c r="V4362">
        <v>56</v>
      </c>
      <c r="W4362">
        <v>14.3</v>
      </c>
    </row>
    <row r="4363" spans="1:23" x14ac:dyDescent="0.25">
      <c r="A4363">
        <v>13</v>
      </c>
      <c r="B4363" t="s">
        <v>30</v>
      </c>
      <c r="C4363" s="1">
        <v>45621</v>
      </c>
      <c r="D4363" t="s">
        <v>71</v>
      </c>
      <c r="E4363">
        <v>0</v>
      </c>
      <c r="F4363">
        <v>80</v>
      </c>
      <c r="G4363" t="str">
        <f t="shared" si="76"/>
        <v>61-80</v>
      </c>
      <c r="H4363" t="s">
        <v>35</v>
      </c>
      <c r="I4363" t="s">
        <v>36</v>
      </c>
      <c r="J4363" t="s">
        <v>37</v>
      </c>
      <c r="K4363" t="s">
        <v>33</v>
      </c>
      <c r="L4363">
        <v>1</v>
      </c>
      <c r="M4363">
        <v>1</v>
      </c>
      <c r="N4363">
        <v>2.6</v>
      </c>
      <c r="O4363">
        <v>8.5</v>
      </c>
      <c r="P4363">
        <v>3</v>
      </c>
      <c r="Q4363">
        <v>3</v>
      </c>
      <c r="R4363">
        <v>677056</v>
      </c>
      <c r="S4363">
        <f>Table1[[#This Row],[Revenue]]-Table1[[#This Row],[Operating_Costs]]</f>
        <v>275723</v>
      </c>
      <c r="T4363">
        <v>401333</v>
      </c>
      <c r="U4363">
        <v>41</v>
      </c>
      <c r="V4363">
        <v>60</v>
      </c>
      <c r="W4363">
        <v>12.5</v>
      </c>
    </row>
    <row r="4364" spans="1:23" x14ac:dyDescent="0.25">
      <c r="A4364">
        <v>13</v>
      </c>
      <c r="B4364" t="s">
        <v>30</v>
      </c>
      <c r="C4364" s="1">
        <v>45106</v>
      </c>
      <c r="D4364" t="s">
        <v>71</v>
      </c>
      <c r="E4364">
        <v>0</v>
      </c>
      <c r="F4364">
        <v>39</v>
      </c>
      <c r="G4364" t="str">
        <f t="shared" si="76"/>
        <v>21-40</v>
      </c>
      <c r="H4364" t="s">
        <v>23</v>
      </c>
      <c r="I4364" t="s">
        <v>64</v>
      </c>
      <c r="J4364" t="s">
        <v>65</v>
      </c>
      <c r="K4364" t="s">
        <v>42</v>
      </c>
      <c r="L4364">
        <v>1</v>
      </c>
      <c r="M4364">
        <v>1</v>
      </c>
      <c r="N4364">
        <v>6.4</v>
      </c>
      <c r="O4364">
        <v>8.5</v>
      </c>
      <c r="P4364">
        <v>7</v>
      </c>
      <c r="Q4364">
        <v>6</v>
      </c>
      <c r="R4364">
        <v>589775</v>
      </c>
      <c r="S4364">
        <f>Table1[[#This Row],[Revenue]]-Table1[[#This Row],[Operating_Costs]]</f>
        <v>203418</v>
      </c>
      <c r="T4364">
        <v>386357</v>
      </c>
      <c r="U4364">
        <v>37</v>
      </c>
      <c r="V4364">
        <v>57</v>
      </c>
      <c r="W4364">
        <v>6.4</v>
      </c>
    </row>
    <row r="4365" spans="1:23" x14ac:dyDescent="0.25">
      <c r="A4365">
        <v>13</v>
      </c>
      <c r="B4365" t="s">
        <v>30</v>
      </c>
      <c r="C4365" s="1">
        <v>44947</v>
      </c>
      <c r="D4365" t="s">
        <v>71</v>
      </c>
      <c r="E4365">
        <v>0</v>
      </c>
      <c r="F4365">
        <v>44</v>
      </c>
      <c r="G4365" t="str">
        <f t="shared" si="76"/>
        <v>41-60</v>
      </c>
      <c r="H4365" t="s">
        <v>35</v>
      </c>
      <c r="I4365" t="s">
        <v>36</v>
      </c>
      <c r="J4365" t="s">
        <v>37</v>
      </c>
      <c r="K4365" t="s">
        <v>33</v>
      </c>
      <c r="L4365">
        <v>1</v>
      </c>
      <c r="M4365">
        <v>1</v>
      </c>
      <c r="N4365">
        <v>1.5</v>
      </c>
      <c r="O4365">
        <v>7.5</v>
      </c>
      <c r="P4365">
        <v>7</v>
      </c>
      <c r="Q4365">
        <v>6</v>
      </c>
      <c r="R4365">
        <v>577566</v>
      </c>
      <c r="S4365">
        <f>Table1[[#This Row],[Revenue]]-Table1[[#This Row],[Operating_Costs]]</f>
        <v>187262</v>
      </c>
      <c r="T4365">
        <v>390304</v>
      </c>
      <c r="U4365">
        <v>47</v>
      </c>
      <c r="V4365">
        <v>61</v>
      </c>
      <c r="W4365">
        <v>12.8</v>
      </c>
    </row>
    <row r="4366" spans="1:23" x14ac:dyDescent="0.25">
      <c r="A4366">
        <v>13</v>
      </c>
      <c r="B4366" t="s">
        <v>30</v>
      </c>
      <c r="C4366" s="1">
        <v>44609</v>
      </c>
      <c r="D4366" t="s">
        <v>71</v>
      </c>
      <c r="E4366">
        <v>0</v>
      </c>
      <c r="F4366">
        <v>23</v>
      </c>
      <c r="G4366" t="str">
        <f t="shared" si="76"/>
        <v>21-40</v>
      </c>
      <c r="H4366" t="s">
        <v>23</v>
      </c>
      <c r="I4366" t="s">
        <v>58</v>
      </c>
      <c r="J4366" t="s">
        <v>59</v>
      </c>
      <c r="K4366" t="s">
        <v>26</v>
      </c>
      <c r="L4366">
        <v>1</v>
      </c>
      <c r="M4366">
        <v>1</v>
      </c>
      <c r="N4366">
        <v>4.5999999999999996</v>
      </c>
      <c r="O4366">
        <v>8.9</v>
      </c>
      <c r="P4366">
        <v>7</v>
      </c>
      <c r="Q4366">
        <v>4</v>
      </c>
      <c r="R4366">
        <v>473512</v>
      </c>
      <c r="S4366">
        <f>Table1[[#This Row],[Revenue]]-Table1[[#This Row],[Operating_Costs]]</f>
        <v>113479</v>
      </c>
      <c r="T4366">
        <v>360033</v>
      </c>
      <c r="U4366">
        <v>42</v>
      </c>
      <c r="V4366">
        <v>57</v>
      </c>
      <c r="W4366">
        <v>36.6</v>
      </c>
    </row>
    <row r="4367" spans="1:23" x14ac:dyDescent="0.25">
      <c r="A4367">
        <v>13</v>
      </c>
      <c r="B4367" t="s">
        <v>30</v>
      </c>
      <c r="C4367" s="1">
        <v>45147</v>
      </c>
      <c r="D4367" t="s">
        <v>71</v>
      </c>
      <c r="E4367">
        <v>0</v>
      </c>
      <c r="F4367">
        <v>28</v>
      </c>
      <c r="G4367" t="str">
        <f t="shared" si="76"/>
        <v>21-40</v>
      </c>
      <c r="H4367" t="s">
        <v>23</v>
      </c>
      <c r="I4367" t="s">
        <v>64</v>
      </c>
      <c r="J4367" t="s">
        <v>65</v>
      </c>
      <c r="K4367" t="s">
        <v>26</v>
      </c>
      <c r="L4367">
        <v>1</v>
      </c>
      <c r="M4367">
        <v>1</v>
      </c>
      <c r="N4367">
        <v>5.8</v>
      </c>
      <c r="O4367">
        <v>8.6999999999999993</v>
      </c>
      <c r="P4367">
        <v>6</v>
      </c>
      <c r="Q4367">
        <v>3</v>
      </c>
      <c r="R4367">
        <v>730783</v>
      </c>
      <c r="S4367">
        <f>Table1[[#This Row],[Revenue]]-Table1[[#This Row],[Operating_Costs]]</f>
        <v>353185</v>
      </c>
      <c r="T4367">
        <v>377598</v>
      </c>
      <c r="U4367">
        <v>47</v>
      </c>
      <c r="V4367">
        <v>58</v>
      </c>
      <c r="W4367">
        <v>13.8</v>
      </c>
    </row>
    <row r="4368" spans="1:23" x14ac:dyDescent="0.25">
      <c r="A4368">
        <v>13</v>
      </c>
      <c r="B4368" t="s">
        <v>30</v>
      </c>
      <c r="C4368" s="1">
        <v>45015</v>
      </c>
      <c r="D4368" t="s">
        <v>71</v>
      </c>
      <c r="E4368">
        <v>0</v>
      </c>
      <c r="F4368">
        <v>28</v>
      </c>
      <c r="G4368" t="str">
        <f t="shared" si="76"/>
        <v>21-40</v>
      </c>
      <c r="H4368" t="s">
        <v>23</v>
      </c>
      <c r="I4368" t="s">
        <v>27</v>
      </c>
      <c r="J4368" t="s">
        <v>28</v>
      </c>
      <c r="K4368" t="s">
        <v>29</v>
      </c>
      <c r="L4368">
        <v>1</v>
      </c>
      <c r="M4368">
        <v>1</v>
      </c>
      <c r="N4368">
        <v>4.8</v>
      </c>
      <c r="O4368">
        <v>9.6</v>
      </c>
      <c r="P4368">
        <v>7</v>
      </c>
      <c r="Q4368">
        <v>7</v>
      </c>
      <c r="R4368">
        <v>591486</v>
      </c>
      <c r="S4368">
        <f>Table1[[#This Row],[Revenue]]-Table1[[#This Row],[Operating_Costs]]</f>
        <v>193323</v>
      </c>
      <c r="T4368">
        <v>398163</v>
      </c>
      <c r="U4368">
        <v>39</v>
      </c>
      <c r="V4368">
        <v>63</v>
      </c>
      <c r="W4368">
        <v>14.7</v>
      </c>
    </row>
    <row r="4369" spans="1:23" x14ac:dyDescent="0.25">
      <c r="A4369">
        <v>13</v>
      </c>
      <c r="B4369" t="s">
        <v>30</v>
      </c>
      <c r="C4369" s="1">
        <v>45077</v>
      </c>
      <c r="D4369" t="s">
        <v>71</v>
      </c>
      <c r="E4369">
        <v>0</v>
      </c>
      <c r="F4369">
        <v>47</v>
      </c>
      <c r="G4369" t="str">
        <f t="shared" si="76"/>
        <v>41-60</v>
      </c>
      <c r="H4369" t="s">
        <v>23</v>
      </c>
      <c r="I4369" t="s">
        <v>58</v>
      </c>
      <c r="J4369" t="s">
        <v>59</v>
      </c>
      <c r="K4369" t="s">
        <v>29</v>
      </c>
      <c r="L4369">
        <v>1</v>
      </c>
      <c r="M4369">
        <v>1</v>
      </c>
      <c r="N4369">
        <v>5.9</v>
      </c>
      <c r="O4369">
        <v>9.1999999999999993</v>
      </c>
      <c r="P4369">
        <v>4</v>
      </c>
      <c r="Q4369">
        <v>3</v>
      </c>
      <c r="R4369">
        <v>788371</v>
      </c>
      <c r="S4369">
        <f>Table1[[#This Row],[Revenue]]-Table1[[#This Row],[Operating_Costs]]</f>
        <v>427570</v>
      </c>
      <c r="T4369">
        <v>360801</v>
      </c>
      <c r="U4369">
        <v>43</v>
      </c>
      <c r="V4369">
        <v>66</v>
      </c>
      <c r="W4369">
        <v>36.1</v>
      </c>
    </row>
    <row r="4370" spans="1:23" x14ac:dyDescent="0.25">
      <c r="A4370">
        <v>13</v>
      </c>
      <c r="B4370" t="s">
        <v>30</v>
      </c>
      <c r="C4370" s="1">
        <v>45058</v>
      </c>
      <c r="D4370" t="s">
        <v>71</v>
      </c>
      <c r="E4370">
        <v>0</v>
      </c>
      <c r="F4370">
        <v>67</v>
      </c>
      <c r="G4370" t="str">
        <f t="shared" si="76"/>
        <v>61-80</v>
      </c>
      <c r="H4370" t="s">
        <v>35</v>
      </c>
      <c r="I4370" t="s">
        <v>40</v>
      </c>
      <c r="J4370" t="s">
        <v>41</v>
      </c>
      <c r="K4370" t="s">
        <v>29</v>
      </c>
      <c r="L4370">
        <v>1</v>
      </c>
      <c r="M4370">
        <v>1</v>
      </c>
      <c r="N4370">
        <v>3.6</v>
      </c>
      <c r="O4370">
        <v>9.6999999999999993</v>
      </c>
      <c r="P4370">
        <v>7</v>
      </c>
      <c r="Q4370">
        <v>6</v>
      </c>
      <c r="R4370">
        <v>552253</v>
      </c>
      <c r="S4370">
        <f>Table1[[#This Row],[Revenue]]-Table1[[#This Row],[Operating_Costs]]</f>
        <v>164594</v>
      </c>
      <c r="T4370">
        <v>387659</v>
      </c>
      <c r="U4370">
        <v>34</v>
      </c>
      <c r="V4370">
        <v>56</v>
      </c>
      <c r="W4370">
        <v>8.6999999999999993</v>
      </c>
    </row>
    <row r="4371" spans="1:23" x14ac:dyDescent="0.25">
      <c r="A4371">
        <v>13</v>
      </c>
      <c r="B4371" t="s">
        <v>30</v>
      </c>
      <c r="C4371" s="1">
        <v>45071</v>
      </c>
      <c r="D4371" t="s">
        <v>71</v>
      </c>
      <c r="E4371">
        <v>0</v>
      </c>
      <c r="F4371">
        <v>36</v>
      </c>
      <c r="G4371" t="str">
        <f t="shared" si="76"/>
        <v>21-40</v>
      </c>
      <c r="H4371" t="s">
        <v>23</v>
      </c>
      <c r="I4371" t="s">
        <v>61</v>
      </c>
      <c r="J4371" t="s">
        <v>62</v>
      </c>
      <c r="K4371" t="s">
        <v>33</v>
      </c>
      <c r="L4371">
        <v>1</v>
      </c>
      <c r="M4371">
        <v>1</v>
      </c>
      <c r="N4371">
        <v>3.7</v>
      </c>
      <c r="O4371">
        <v>9.3000000000000007</v>
      </c>
      <c r="P4371">
        <v>5</v>
      </c>
      <c r="Q4371">
        <v>4</v>
      </c>
      <c r="R4371">
        <v>625640</v>
      </c>
      <c r="S4371">
        <f>Table1[[#This Row],[Revenue]]-Table1[[#This Row],[Operating_Costs]]</f>
        <v>233801</v>
      </c>
      <c r="T4371">
        <v>391839</v>
      </c>
      <c r="U4371">
        <v>46</v>
      </c>
      <c r="V4371">
        <v>59</v>
      </c>
      <c r="W4371">
        <v>14.5</v>
      </c>
    </row>
    <row r="4372" spans="1:23" x14ac:dyDescent="0.25">
      <c r="A4372">
        <v>13</v>
      </c>
      <c r="B4372" t="s">
        <v>30</v>
      </c>
      <c r="C4372" s="1">
        <v>44952</v>
      </c>
      <c r="D4372" t="s">
        <v>71</v>
      </c>
      <c r="E4372">
        <v>0</v>
      </c>
      <c r="F4372">
        <v>57</v>
      </c>
      <c r="G4372" t="str">
        <f t="shared" si="76"/>
        <v>41-60</v>
      </c>
      <c r="H4372" t="s">
        <v>35</v>
      </c>
      <c r="I4372" t="s">
        <v>31</v>
      </c>
      <c r="J4372" t="s">
        <v>28</v>
      </c>
      <c r="K4372" t="s">
        <v>26</v>
      </c>
      <c r="L4372">
        <v>1</v>
      </c>
      <c r="M4372">
        <v>1</v>
      </c>
      <c r="N4372">
        <v>6.3</v>
      </c>
      <c r="O4372">
        <v>7.4</v>
      </c>
      <c r="P4372">
        <v>4</v>
      </c>
      <c r="Q4372">
        <v>4</v>
      </c>
      <c r="R4372">
        <v>777873</v>
      </c>
      <c r="S4372">
        <f>Table1[[#This Row],[Revenue]]-Table1[[#This Row],[Operating_Costs]]</f>
        <v>392823</v>
      </c>
      <c r="T4372">
        <v>385050</v>
      </c>
      <c r="U4372">
        <v>31</v>
      </c>
      <c r="V4372">
        <v>61</v>
      </c>
      <c r="W4372">
        <v>7.7</v>
      </c>
    </row>
    <row r="4373" spans="1:23" x14ac:dyDescent="0.25">
      <c r="A4373">
        <v>13</v>
      </c>
      <c r="B4373" t="s">
        <v>30</v>
      </c>
      <c r="C4373" s="1">
        <v>45176</v>
      </c>
      <c r="D4373" t="s">
        <v>71</v>
      </c>
      <c r="E4373">
        <v>0</v>
      </c>
      <c r="F4373">
        <v>59</v>
      </c>
      <c r="G4373" t="str">
        <f t="shared" si="76"/>
        <v>41-60</v>
      </c>
      <c r="H4373" t="s">
        <v>23</v>
      </c>
      <c r="I4373" t="s">
        <v>55</v>
      </c>
      <c r="J4373" t="s">
        <v>56</v>
      </c>
      <c r="K4373" t="s">
        <v>38</v>
      </c>
      <c r="L4373">
        <v>1</v>
      </c>
      <c r="M4373">
        <v>1</v>
      </c>
      <c r="N4373">
        <v>4.0999999999999996</v>
      </c>
      <c r="O4373">
        <v>9</v>
      </c>
      <c r="P4373">
        <v>7</v>
      </c>
      <c r="Q4373">
        <v>3</v>
      </c>
      <c r="R4373">
        <v>492943</v>
      </c>
      <c r="S4373">
        <f>Table1[[#This Row],[Revenue]]-Table1[[#This Row],[Operating_Costs]]</f>
        <v>124351</v>
      </c>
      <c r="T4373">
        <v>368592</v>
      </c>
      <c r="U4373">
        <v>47</v>
      </c>
      <c r="V4373">
        <v>56</v>
      </c>
      <c r="W4373">
        <v>6.6</v>
      </c>
    </row>
    <row r="4374" spans="1:23" x14ac:dyDescent="0.25">
      <c r="A4374">
        <v>13</v>
      </c>
      <c r="B4374" t="s">
        <v>30</v>
      </c>
      <c r="C4374" s="1">
        <v>44630</v>
      </c>
      <c r="D4374" t="s">
        <v>71</v>
      </c>
      <c r="E4374">
        <v>0</v>
      </c>
      <c r="F4374">
        <v>85</v>
      </c>
      <c r="G4374" t="str">
        <f t="shared" si="76"/>
        <v>81+</v>
      </c>
      <c r="H4374" t="s">
        <v>35</v>
      </c>
      <c r="I4374" t="s">
        <v>61</v>
      </c>
      <c r="J4374" t="s">
        <v>62</v>
      </c>
      <c r="K4374" t="s">
        <v>29</v>
      </c>
      <c r="L4374">
        <v>1</v>
      </c>
      <c r="M4374">
        <v>1</v>
      </c>
      <c r="N4374">
        <v>5.9</v>
      </c>
      <c r="O4374">
        <v>8.8000000000000007</v>
      </c>
      <c r="P4374">
        <v>6</v>
      </c>
      <c r="Q4374">
        <v>6</v>
      </c>
      <c r="R4374">
        <v>779469</v>
      </c>
      <c r="S4374">
        <f>Table1[[#This Row],[Revenue]]-Table1[[#This Row],[Operating_Costs]]</f>
        <v>414628</v>
      </c>
      <c r="T4374">
        <v>364841</v>
      </c>
      <c r="U4374">
        <v>39</v>
      </c>
      <c r="V4374">
        <v>63</v>
      </c>
      <c r="W4374">
        <v>7.5</v>
      </c>
    </row>
    <row r="4375" spans="1:23" x14ac:dyDescent="0.25">
      <c r="A4375">
        <v>13</v>
      </c>
      <c r="B4375" t="s">
        <v>30</v>
      </c>
      <c r="C4375" s="1">
        <v>45228</v>
      </c>
      <c r="D4375" t="s">
        <v>71</v>
      </c>
      <c r="E4375">
        <v>0</v>
      </c>
      <c r="F4375">
        <v>62</v>
      </c>
      <c r="G4375" t="str">
        <f t="shared" si="76"/>
        <v>61-80</v>
      </c>
      <c r="H4375" t="s">
        <v>23</v>
      </c>
      <c r="I4375" t="s">
        <v>64</v>
      </c>
      <c r="J4375" t="s">
        <v>65</v>
      </c>
      <c r="K4375" t="s">
        <v>42</v>
      </c>
      <c r="L4375">
        <v>1</v>
      </c>
      <c r="M4375">
        <v>1</v>
      </c>
      <c r="N4375">
        <v>5.7</v>
      </c>
      <c r="O4375">
        <v>8.6999999999999993</v>
      </c>
      <c r="P4375">
        <v>7</v>
      </c>
      <c r="Q4375">
        <v>3</v>
      </c>
      <c r="R4375">
        <v>474984</v>
      </c>
      <c r="S4375">
        <f>Table1[[#This Row],[Revenue]]-Table1[[#This Row],[Operating_Costs]]</f>
        <v>110493</v>
      </c>
      <c r="T4375">
        <v>364491</v>
      </c>
      <c r="U4375">
        <v>49</v>
      </c>
      <c r="V4375">
        <v>59</v>
      </c>
      <c r="W4375">
        <v>10</v>
      </c>
    </row>
    <row r="4376" spans="1:23" x14ac:dyDescent="0.25">
      <c r="A4376">
        <v>13</v>
      </c>
      <c r="B4376" t="s">
        <v>30</v>
      </c>
      <c r="C4376" s="1">
        <v>44809</v>
      </c>
      <c r="D4376" t="s">
        <v>71</v>
      </c>
      <c r="E4376">
        <v>0</v>
      </c>
      <c r="F4376">
        <v>78</v>
      </c>
      <c r="G4376" t="str">
        <f t="shared" si="76"/>
        <v>61-80</v>
      </c>
      <c r="H4376" t="s">
        <v>35</v>
      </c>
      <c r="I4376" t="s">
        <v>31</v>
      </c>
      <c r="J4376" t="s">
        <v>28</v>
      </c>
      <c r="K4376" t="s">
        <v>26</v>
      </c>
      <c r="L4376">
        <v>1</v>
      </c>
      <c r="M4376">
        <v>1</v>
      </c>
      <c r="N4376">
        <v>1.1000000000000001</v>
      </c>
      <c r="O4376">
        <v>9</v>
      </c>
      <c r="P4376">
        <v>4</v>
      </c>
      <c r="Q4376">
        <v>3</v>
      </c>
      <c r="R4376">
        <v>537848</v>
      </c>
      <c r="S4376">
        <f>Table1[[#This Row],[Revenue]]-Table1[[#This Row],[Operating_Costs]]</f>
        <v>167390</v>
      </c>
      <c r="T4376">
        <v>370458</v>
      </c>
      <c r="U4376">
        <v>30</v>
      </c>
      <c r="V4376">
        <v>56</v>
      </c>
      <c r="W4376">
        <v>14.4</v>
      </c>
    </row>
    <row r="4377" spans="1:23" x14ac:dyDescent="0.25">
      <c r="A4377">
        <v>13</v>
      </c>
      <c r="B4377" t="s">
        <v>30</v>
      </c>
      <c r="C4377" s="1">
        <v>44484</v>
      </c>
      <c r="D4377" t="s">
        <v>71</v>
      </c>
      <c r="E4377">
        <v>0</v>
      </c>
      <c r="F4377">
        <v>56</v>
      </c>
      <c r="G4377" t="str">
        <f t="shared" si="76"/>
        <v>41-60</v>
      </c>
      <c r="H4377" t="s">
        <v>23</v>
      </c>
      <c r="I4377" t="s">
        <v>61</v>
      </c>
      <c r="J4377" t="s">
        <v>62</v>
      </c>
      <c r="K4377" t="s">
        <v>29</v>
      </c>
      <c r="L4377">
        <v>1</v>
      </c>
      <c r="M4377">
        <v>1</v>
      </c>
      <c r="N4377">
        <v>2.5</v>
      </c>
      <c r="O4377">
        <v>9.9</v>
      </c>
      <c r="P4377">
        <v>6</v>
      </c>
      <c r="Q4377">
        <v>4</v>
      </c>
      <c r="R4377">
        <v>480682</v>
      </c>
      <c r="S4377">
        <f>Table1[[#This Row],[Revenue]]-Table1[[#This Row],[Operating_Costs]]</f>
        <v>122200</v>
      </c>
      <c r="T4377">
        <v>358482</v>
      </c>
      <c r="U4377">
        <v>50</v>
      </c>
      <c r="V4377">
        <v>56</v>
      </c>
      <c r="W4377">
        <v>13.2</v>
      </c>
    </row>
    <row r="4378" spans="1:23" x14ac:dyDescent="0.25">
      <c r="A4378">
        <v>13</v>
      </c>
      <c r="B4378" t="s">
        <v>30</v>
      </c>
      <c r="C4378" s="1">
        <v>45126</v>
      </c>
      <c r="D4378" t="s">
        <v>71</v>
      </c>
      <c r="E4378">
        <v>0</v>
      </c>
      <c r="F4378">
        <v>26</v>
      </c>
      <c r="G4378" t="str">
        <f t="shared" si="76"/>
        <v>21-40</v>
      </c>
      <c r="H4378" t="s">
        <v>23</v>
      </c>
      <c r="I4378" t="s">
        <v>61</v>
      </c>
      <c r="J4378" t="s">
        <v>62</v>
      </c>
      <c r="K4378" t="s">
        <v>33</v>
      </c>
      <c r="L4378">
        <v>1</v>
      </c>
      <c r="M4378">
        <v>1</v>
      </c>
      <c r="N4378">
        <v>2.4</v>
      </c>
      <c r="O4378">
        <v>9.4</v>
      </c>
      <c r="P4378">
        <v>3</v>
      </c>
      <c r="Q4378">
        <v>3</v>
      </c>
      <c r="R4378">
        <v>736478</v>
      </c>
      <c r="S4378">
        <f>Table1[[#This Row],[Revenue]]-Table1[[#This Row],[Operating_Costs]]</f>
        <v>327887</v>
      </c>
      <c r="T4378">
        <v>408591</v>
      </c>
      <c r="U4378">
        <v>42</v>
      </c>
      <c r="V4378">
        <v>61</v>
      </c>
      <c r="W4378">
        <v>12.6</v>
      </c>
    </row>
    <row r="4379" spans="1:23" x14ac:dyDescent="0.25">
      <c r="A4379">
        <v>13</v>
      </c>
      <c r="B4379" t="s">
        <v>30</v>
      </c>
      <c r="C4379" s="1">
        <v>44659</v>
      </c>
      <c r="D4379" t="s">
        <v>71</v>
      </c>
      <c r="E4379">
        <v>0</v>
      </c>
      <c r="F4379">
        <v>85</v>
      </c>
      <c r="G4379" t="str">
        <f t="shared" si="76"/>
        <v>81+</v>
      </c>
      <c r="H4379" t="s">
        <v>23</v>
      </c>
      <c r="I4379" t="s">
        <v>43</v>
      </c>
      <c r="J4379" t="s">
        <v>25</v>
      </c>
      <c r="K4379" t="s">
        <v>38</v>
      </c>
      <c r="L4379">
        <v>1</v>
      </c>
      <c r="M4379">
        <v>1</v>
      </c>
      <c r="N4379">
        <v>6.1</v>
      </c>
      <c r="O4379">
        <v>8.5</v>
      </c>
      <c r="P4379">
        <v>6</v>
      </c>
      <c r="Q4379">
        <v>6</v>
      </c>
      <c r="R4379">
        <v>704789</v>
      </c>
      <c r="S4379">
        <f>Table1[[#This Row],[Revenue]]-Table1[[#This Row],[Operating_Costs]]</f>
        <v>315197</v>
      </c>
      <c r="T4379">
        <v>389592</v>
      </c>
      <c r="U4379">
        <v>40</v>
      </c>
      <c r="V4379">
        <v>58</v>
      </c>
      <c r="W4379">
        <v>9.1999999999999993</v>
      </c>
    </row>
    <row r="4380" spans="1:23" x14ac:dyDescent="0.25">
      <c r="A4380">
        <v>13</v>
      </c>
      <c r="B4380" t="s">
        <v>30</v>
      </c>
      <c r="C4380" s="1">
        <v>45077</v>
      </c>
      <c r="D4380" t="s">
        <v>71</v>
      </c>
      <c r="E4380">
        <v>0</v>
      </c>
      <c r="F4380">
        <v>88</v>
      </c>
      <c r="G4380" t="str">
        <f t="shared" si="76"/>
        <v>81+</v>
      </c>
      <c r="H4380" t="s">
        <v>23</v>
      </c>
      <c r="I4380" t="s">
        <v>43</v>
      </c>
      <c r="J4380" t="s">
        <v>25</v>
      </c>
      <c r="K4380" t="s">
        <v>26</v>
      </c>
      <c r="L4380">
        <v>1</v>
      </c>
      <c r="M4380">
        <v>1</v>
      </c>
      <c r="N4380">
        <v>6.6</v>
      </c>
      <c r="O4380">
        <v>8.3000000000000007</v>
      </c>
      <c r="P4380">
        <v>7</v>
      </c>
      <c r="Q4380">
        <v>7</v>
      </c>
      <c r="R4380">
        <v>656387</v>
      </c>
      <c r="S4380">
        <f>Table1[[#This Row],[Revenue]]-Table1[[#This Row],[Operating_Costs]]</f>
        <v>276713</v>
      </c>
      <c r="T4380">
        <v>379674</v>
      </c>
      <c r="U4380">
        <v>34</v>
      </c>
      <c r="V4380">
        <v>62</v>
      </c>
      <c r="W4380">
        <v>6</v>
      </c>
    </row>
    <row r="4381" spans="1:23" x14ac:dyDescent="0.25">
      <c r="A4381">
        <v>13</v>
      </c>
      <c r="B4381" t="s">
        <v>30</v>
      </c>
      <c r="C4381" s="1">
        <v>44796</v>
      </c>
      <c r="D4381" t="s">
        <v>71</v>
      </c>
      <c r="E4381">
        <v>0</v>
      </c>
      <c r="F4381">
        <v>52</v>
      </c>
      <c r="G4381" t="str">
        <f t="shared" si="76"/>
        <v>41-60</v>
      </c>
      <c r="H4381" t="s">
        <v>23</v>
      </c>
      <c r="I4381" t="s">
        <v>24</v>
      </c>
      <c r="J4381" t="s">
        <v>25</v>
      </c>
      <c r="K4381" t="s">
        <v>42</v>
      </c>
      <c r="L4381">
        <v>1</v>
      </c>
      <c r="M4381">
        <v>1</v>
      </c>
      <c r="N4381">
        <v>5.4</v>
      </c>
      <c r="O4381">
        <v>8.3000000000000007</v>
      </c>
      <c r="P4381">
        <v>6</v>
      </c>
      <c r="Q4381">
        <v>5</v>
      </c>
      <c r="R4381">
        <v>633321</v>
      </c>
      <c r="S4381">
        <f>Table1[[#This Row],[Revenue]]-Table1[[#This Row],[Operating_Costs]]</f>
        <v>261301</v>
      </c>
      <c r="T4381">
        <v>372020</v>
      </c>
      <c r="U4381">
        <v>41</v>
      </c>
      <c r="V4381">
        <v>57</v>
      </c>
      <c r="W4381">
        <v>7.4</v>
      </c>
    </row>
    <row r="4382" spans="1:23" x14ac:dyDescent="0.25">
      <c r="A4382">
        <v>13</v>
      </c>
      <c r="B4382" t="s">
        <v>30</v>
      </c>
      <c r="C4382" s="1">
        <v>45650</v>
      </c>
      <c r="D4382" t="s">
        <v>71</v>
      </c>
      <c r="E4382">
        <v>0</v>
      </c>
      <c r="F4382">
        <v>44</v>
      </c>
      <c r="G4382" t="str">
        <f t="shared" si="76"/>
        <v>41-60</v>
      </c>
      <c r="H4382" t="s">
        <v>35</v>
      </c>
      <c r="I4382" t="s">
        <v>55</v>
      </c>
      <c r="J4382" t="s">
        <v>56</v>
      </c>
      <c r="K4382" t="s">
        <v>26</v>
      </c>
      <c r="L4382">
        <v>1</v>
      </c>
      <c r="M4382">
        <v>1</v>
      </c>
      <c r="N4382">
        <v>5.5</v>
      </c>
      <c r="O4382">
        <v>8.8000000000000007</v>
      </c>
      <c r="P4382">
        <v>6</v>
      </c>
      <c r="Q4382">
        <v>3</v>
      </c>
      <c r="R4382">
        <v>695915</v>
      </c>
      <c r="S4382">
        <f>Table1[[#This Row],[Revenue]]-Table1[[#This Row],[Operating_Costs]]</f>
        <v>310929</v>
      </c>
      <c r="T4382">
        <v>384986</v>
      </c>
      <c r="U4382">
        <v>44</v>
      </c>
      <c r="V4382">
        <v>56</v>
      </c>
      <c r="W4382">
        <v>7.5</v>
      </c>
    </row>
    <row r="4383" spans="1:23" x14ac:dyDescent="0.25">
      <c r="A4383">
        <v>13</v>
      </c>
      <c r="B4383" t="s">
        <v>30</v>
      </c>
      <c r="C4383" s="1">
        <v>44299</v>
      </c>
      <c r="D4383" t="s">
        <v>71</v>
      </c>
      <c r="E4383">
        <v>0</v>
      </c>
      <c r="F4383">
        <v>40</v>
      </c>
      <c r="G4383" t="str">
        <f t="shared" si="76"/>
        <v>21-40</v>
      </c>
      <c r="H4383" t="s">
        <v>35</v>
      </c>
      <c r="I4383" t="s">
        <v>46</v>
      </c>
      <c r="J4383" t="s">
        <v>47</v>
      </c>
      <c r="K4383" t="s">
        <v>42</v>
      </c>
      <c r="L4383">
        <v>1</v>
      </c>
      <c r="M4383">
        <v>1</v>
      </c>
      <c r="N4383">
        <v>5.4</v>
      </c>
      <c r="O4383">
        <v>8.1</v>
      </c>
      <c r="P4383">
        <v>4</v>
      </c>
      <c r="Q4383">
        <v>7</v>
      </c>
      <c r="R4383">
        <v>780613</v>
      </c>
      <c r="S4383">
        <f>Table1[[#This Row],[Revenue]]-Table1[[#This Row],[Operating_Costs]]</f>
        <v>383700</v>
      </c>
      <c r="T4383">
        <v>396913</v>
      </c>
      <c r="U4383">
        <v>49</v>
      </c>
      <c r="V4383">
        <v>56</v>
      </c>
      <c r="W4383">
        <v>5.0999999999999996</v>
      </c>
    </row>
    <row r="4384" spans="1:23" x14ac:dyDescent="0.25">
      <c r="A4384">
        <v>13</v>
      </c>
      <c r="B4384" t="s">
        <v>30</v>
      </c>
      <c r="C4384" s="1">
        <v>44692</v>
      </c>
      <c r="D4384" t="s">
        <v>71</v>
      </c>
      <c r="E4384">
        <v>0</v>
      </c>
      <c r="F4384">
        <v>61</v>
      </c>
      <c r="G4384" t="str">
        <f t="shared" si="76"/>
        <v>61-80</v>
      </c>
      <c r="H4384" t="s">
        <v>23</v>
      </c>
      <c r="I4384" t="s">
        <v>40</v>
      </c>
      <c r="J4384" t="s">
        <v>41</v>
      </c>
      <c r="K4384" t="s">
        <v>33</v>
      </c>
      <c r="L4384">
        <v>1</v>
      </c>
      <c r="M4384">
        <v>1</v>
      </c>
      <c r="N4384">
        <v>5.6</v>
      </c>
      <c r="O4384">
        <v>8.9</v>
      </c>
      <c r="P4384">
        <v>6</v>
      </c>
      <c r="Q4384">
        <v>4</v>
      </c>
      <c r="R4384">
        <v>588472</v>
      </c>
      <c r="S4384">
        <f>Table1[[#This Row],[Revenue]]-Table1[[#This Row],[Operating_Costs]]</f>
        <v>212258</v>
      </c>
      <c r="T4384">
        <v>376214</v>
      </c>
      <c r="U4384">
        <v>43</v>
      </c>
      <c r="V4384">
        <v>55</v>
      </c>
      <c r="W4384">
        <v>12</v>
      </c>
    </row>
    <row r="4385" spans="1:23" x14ac:dyDescent="0.25">
      <c r="A4385">
        <v>13</v>
      </c>
      <c r="B4385" t="s">
        <v>30</v>
      </c>
      <c r="C4385" s="1">
        <v>45138</v>
      </c>
      <c r="D4385" t="s">
        <v>71</v>
      </c>
      <c r="E4385">
        <v>0</v>
      </c>
      <c r="F4385">
        <v>37</v>
      </c>
      <c r="G4385" t="str">
        <f t="shared" si="76"/>
        <v>21-40</v>
      </c>
      <c r="H4385" t="s">
        <v>35</v>
      </c>
      <c r="I4385" t="s">
        <v>27</v>
      </c>
      <c r="J4385" t="s">
        <v>28</v>
      </c>
      <c r="K4385" t="s">
        <v>33</v>
      </c>
      <c r="L4385">
        <v>1</v>
      </c>
      <c r="M4385">
        <v>1</v>
      </c>
      <c r="N4385">
        <v>3.4</v>
      </c>
      <c r="O4385">
        <v>7.3</v>
      </c>
      <c r="P4385">
        <v>6</v>
      </c>
      <c r="Q4385">
        <v>4</v>
      </c>
      <c r="R4385">
        <v>633707</v>
      </c>
      <c r="S4385">
        <f>Table1[[#This Row],[Revenue]]-Table1[[#This Row],[Operating_Costs]]</f>
        <v>229888</v>
      </c>
      <c r="T4385">
        <v>403819</v>
      </c>
      <c r="U4385">
        <v>37</v>
      </c>
      <c r="V4385">
        <v>59</v>
      </c>
      <c r="W4385">
        <v>12.7</v>
      </c>
    </row>
    <row r="4386" spans="1:23" x14ac:dyDescent="0.25">
      <c r="A4386">
        <v>13</v>
      </c>
      <c r="B4386" t="s">
        <v>30</v>
      </c>
      <c r="C4386" s="1">
        <v>44693</v>
      </c>
      <c r="D4386" t="s">
        <v>71</v>
      </c>
      <c r="E4386">
        <v>0</v>
      </c>
      <c r="F4386">
        <v>43</v>
      </c>
      <c r="G4386" t="str">
        <f t="shared" si="76"/>
        <v>41-60</v>
      </c>
      <c r="H4386" t="s">
        <v>23</v>
      </c>
      <c r="I4386" t="s">
        <v>55</v>
      </c>
      <c r="J4386" t="s">
        <v>56</v>
      </c>
      <c r="K4386" t="s">
        <v>42</v>
      </c>
      <c r="L4386">
        <v>1</v>
      </c>
      <c r="M4386">
        <v>1</v>
      </c>
      <c r="N4386">
        <v>3.4</v>
      </c>
      <c r="O4386">
        <v>7.5</v>
      </c>
      <c r="P4386">
        <v>7</v>
      </c>
      <c r="Q4386">
        <v>4</v>
      </c>
      <c r="R4386">
        <v>555733</v>
      </c>
      <c r="S4386">
        <f>Table1[[#This Row],[Revenue]]-Table1[[#This Row],[Operating_Costs]]</f>
        <v>167394</v>
      </c>
      <c r="T4386">
        <v>388339</v>
      </c>
      <c r="U4386">
        <v>47</v>
      </c>
      <c r="V4386">
        <v>56</v>
      </c>
      <c r="W4386">
        <v>12</v>
      </c>
    </row>
    <row r="4387" spans="1:23" x14ac:dyDescent="0.25">
      <c r="A4387">
        <v>13</v>
      </c>
      <c r="B4387" t="s">
        <v>30</v>
      </c>
      <c r="C4387" s="1">
        <v>44368</v>
      </c>
      <c r="D4387" t="s">
        <v>71</v>
      </c>
      <c r="E4387">
        <v>0</v>
      </c>
      <c r="F4387">
        <v>43</v>
      </c>
      <c r="G4387" t="str">
        <f t="shared" si="76"/>
        <v>41-60</v>
      </c>
      <c r="H4387" t="s">
        <v>35</v>
      </c>
      <c r="I4387" t="s">
        <v>36</v>
      </c>
      <c r="J4387" t="s">
        <v>37</v>
      </c>
      <c r="K4387" t="s">
        <v>26</v>
      </c>
      <c r="L4387">
        <v>1</v>
      </c>
      <c r="M4387">
        <v>1</v>
      </c>
      <c r="N4387">
        <v>1.5</v>
      </c>
      <c r="O4387">
        <v>7.4</v>
      </c>
      <c r="P4387">
        <v>7</v>
      </c>
      <c r="Q4387">
        <v>6</v>
      </c>
      <c r="R4387">
        <v>608946</v>
      </c>
      <c r="S4387">
        <f>Table1[[#This Row],[Revenue]]-Table1[[#This Row],[Operating_Costs]]</f>
        <v>211849</v>
      </c>
      <c r="T4387">
        <v>397097</v>
      </c>
      <c r="U4387">
        <v>44</v>
      </c>
      <c r="V4387">
        <v>59</v>
      </c>
      <c r="W4387">
        <v>5.3</v>
      </c>
    </row>
    <row r="4388" spans="1:23" x14ac:dyDescent="0.25">
      <c r="A4388">
        <v>13</v>
      </c>
      <c r="B4388" t="s">
        <v>30</v>
      </c>
      <c r="C4388" s="1">
        <v>45142</v>
      </c>
      <c r="D4388" t="s">
        <v>71</v>
      </c>
      <c r="E4388">
        <v>0</v>
      </c>
      <c r="F4388">
        <v>41</v>
      </c>
      <c r="G4388" t="str">
        <f t="shared" si="76"/>
        <v>41-60</v>
      </c>
      <c r="H4388" t="s">
        <v>23</v>
      </c>
      <c r="I4388" t="s">
        <v>58</v>
      </c>
      <c r="J4388" t="s">
        <v>59</v>
      </c>
      <c r="K4388" t="s">
        <v>42</v>
      </c>
      <c r="L4388">
        <v>1</v>
      </c>
      <c r="M4388">
        <v>1</v>
      </c>
      <c r="N4388">
        <v>5.3</v>
      </c>
      <c r="O4388">
        <v>9.1999999999999993</v>
      </c>
      <c r="P4388">
        <v>4</v>
      </c>
      <c r="Q4388">
        <v>7</v>
      </c>
      <c r="R4388">
        <v>446929</v>
      </c>
      <c r="S4388">
        <f>Table1[[#This Row],[Revenue]]-Table1[[#This Row],[Operating_Costs]]</f>
        <v>61727</v>
      </c>
      <c r="T4388">
        <v>385202</v>
      </c>
      <c r="U4388">
        <v>31</v>
      </c>
      <c r="V4388">
        <v>58</v>
      </c>
      <c r="W4388">
        <v>12.9</v>
      </c>
    </row>
    <row r="4389" spans="1:23" x14ac:dyDescent="0.25">
      <c r="A4389">
        <v>13</v>
      </c>
      <c r="B4389" t="s">
        <v>30</v>
      </c>
      <c r="C4389" s="1">
        <v>44272</v>
      </c>
      <c r="D4389" t="s">
        <v>71</v>
      </c>
      <c r="E4389">
        <v>0</v>
      </c>
      <c r="F4389">
        <v>33</v>
      </c>
      <c r="G4389" t="str">
        <f t="shared" si="76"/>
        <v>21-40</v>
      </c>
      <c r="H4389" t="s">
        <v>23</v>
      </c>
      <c r="I4389" t="s">
        <v>64</v>
      </c>
      <c r="J4389" t="s">
        <v>65</v>
      </c>
      <c r="K4389" t="s">
        <v>29</v>
      </c>
      <c r="L4389">
        <v>1</v>
      </c>
      <c r="M4389">
        <v>1</v>
      </c>
      <c r="N4389">
        <v>1.7</v>
      </c>
      <c r="O4389">
        <v>7.9</v>
      </c>
      <c r="P4389">
        <v>4</v>
      </c>
      <c r="Q4389">
        <v>5</v>
      </c>
      <c r="R4389">
        <v>468465</v>
      </c>
      <c r="S4389">
        <f>Table1[[#This Row],[Revenue]]-Table1[[#This Row],[Operating_Costs]]</f>
        <v>90435</v>
      </c>
      <c r="T4389">
        <v>378030</v>
      </c>
      <c r="U4389">
        <v>50</v>
      </c>
      <c r="V4389">
        <v>54</v>
      </c>
      <c r="W4389">
        <v>14.5</v>
      </c>
    </row>
    <row r="4390" spans="1:23" x14ac:dyDescent="0.25">
      <c r="A4390">
        <v>13</v>
      </c>
      <c r="B4390" t="s">
        <v>30</v>
      </c>
      <c r="C4390" s="1">
        <v>45261</v>
      </c>
      <c r="D4390" t="s">
        <v>71</v>
      </c>
      <c r="E4390">
        <v>0</v>
      </c>
      <c r="F4390">
        <v>34</v>
      </c>
      <c r="G4390" t="str">
        <f t="shared" si="76"/>
        <v>21-40</v>
      </c>
      <c r="H4390" t="s">
        <v>35</v>
      </c>
      <c r="I4390" t="s">
        <v>53</v>
      </c>
      <c r="J4390" t="s">
        <v>54</v>
      </c>
      <c r="K4390" t="s">
        <v>29</v>
      </c>
      <c r="L4390">
        <v>1</v>
      </c>
      <c r="M4390">
        <v>1</v>
      </c>
      <c r="N4390">
        <v>1.2</v>
      </c>
      <c r="O4390">
        <v>9.5</v>
      </c>
      <c r="P4390">
        <v>3</v>
      </c>
      <c r="Q4390">
        <v>5</v>
      </c>
      <c r="R4390">
        <v>666199</v>
      </c>
      <c r="S4390">
        <f>Table1[[#This Row],[Revenue]]-Table1[[#This Row],[Operating_Costs]]</f>
        <v>284511</v>
      </c>
      <c r="T4390">
        <v>381688</v>
      </c>
      <c r="U4390">
        <v>42</v>
      </c>
      <c r="V4390">
        <v>66</v>
      </c>
      <c r="W4390">
        <v>10.6</v>
      </c>
    </row>
    <row r="4391" spans="1:23" x14ac:dyDescent="0.25">
      <c r="A4391">
        <v>13</v>
      </c>
      <c r="B4391" t="s">
        <v>30</v>
      </c>
      <c r="C4391" s="1">
        <v>45201</v>
      </c>
      <c r="D4391" t="s">
        <v>71</v>
      </c>
      <c r="E4391">
        <v>0</v>
      </c>
      <c r="F4391">
        <v>75</v>
      </c>
      <c r="G4391" t="str">
        <f t="shared" si="76"/>
        <v>61-80</v>
      </c>
      <c r="H4391" t="s">
        <v>23</v>
      </c>
      <c r="I4391" t="s">
        <v>64</v>
      </c>
      <c r="J4391" t="s">
        <v>65</v>
      </c>
      <c r="K4391" t="s">
        <v>33</v>
      </c>
      <c r="L4391">
        <v>1</v>
      </c>
      <c r="M4391">
        <v>1</v>
      </c>
      <c r="N4391">
        <v>6.2</v>
      </c>
      <c r="O4391">
        <v>8.4</v>
      </c>
      <c r="P4391">
        <v>5</v>
      </c>
      <c r="Q4391">
        <v>6</v>
      </c>
      <c r="R4391">
        <v>422230</v>
      </c>
      <c r="S4391">
        <f>Table1[[#This Row],[Revenue]]-Table1[[#This Row],[Operating_Costs]]</f>
        <v>48465</v>
      </c>
      <c r="T4391">
        <v>373765</v>
      </c>
      <c r="U4391">
        <v>38</v>
      </c>
      <c r="V4391">
        <v>65</v>
      </c>
      <c r="W4391">
        <v>5.6</v>
      </c>
    </row>
    <row r="4392" spans="1:23" x14ac:dyDescent="0.25">
      <c r="A4392">
        <v>13</v>
      </c>
      <c r="B4392" t="s">
        <v>30</v>
      </c>
      <c r="C4392" s="1">
        <v>45623</v>
      </c>
      <c r="D4392" t="s">
        <v>71</v>
      </c>
      <c r="E4392">
        <v>0</v>
      </c>
      <c r="F4392">
        <v>44</v>
      </c>
      <c r="G4392" t="str">
        <f t="shared" si="76"/>
        <v>41-60</v>
      </c>
      <c r="H4392" t="s">
        <v>23</v>
      </c>
      <c r="I4392" t="s">
        <v>31</v>
      </c>
      <c r="J4392" t="s">
        <v>28</v>
      </c>
      <c r="K4392" t="s">
        <v>33</v>
      </c>
      <c r="L4392">
        <v>1</v>
      </c>
      <c r="M4392">
        <v>1</v>
      </c>
      <c r="N4392">
        <v>4.4000000000000004</v>
      </c>
      <c r="O4392">
        <v>9.1</v>
      </c>
      <c r="P4392">
        <v>7</v>
      </c>
      <c r="Q4392">
        <v>4</v>
      </c>
      <c r="R4392">
        <v>620273</v>
      </c>
      <c r="S4392">
        <f>Table1[[#This Row],[Revenue]]-Table1[[#This Row],[Operating_Costs]]</f>
        <v>213481</v>
      </c>
      <c r="T4392">
        <v>406792</v>
      </c>
      <c r="U4392">
        <v>35</v>
      </c>
      <c r="V4392">
        <v>54</v>
      </c>
      <c r="W4392">
        <v>36.299999999999997</v>
      </c>
    </row>
    <row r="4393" spans="1:23" x14ac:dyDescent="0.25">
      <c r="A4393">
        <v>13</v>
      </c>
      <c r="B4393" t="s">
        <v>30</v>
      </c>
      <c r="C4393" s="1">
        <v>44436</v>
      </c>
      <c r="D4393" t="s">
        <v>71</v>
      </c>
      <c r="E4393">
        <v>0</v>
      </c>
      <c r="F4393">
        <v>86</v>
      </c>
      <c r="G4393" t="str">
        <f t="shared" si="76"/>
        <v>81+</v>
      </c>
      <c r="H4393" t="s">
        <v>35</v>
      </c>
      <c r="I4393" t="s">
        <v>58</v>
      </c>
      <c r="J4393" t="s">
        <v>59</v>
      </c>
      <c r="K4393" t="s">
        <v>38</v>
      </c>
      <c r="L4393">
        <v>1</v>
      </c>
      <c r="M4393">
        <v>1</v>
      </c>
      <c r="N4393">
        <v>2.2999999999999998</v>
      </c>
      <c r="O4393">
        <v>7.3</v>
      </c>
      <c r="P4393">
        <v>4</v>
      </c>
      <c r="Q4393">
        <v>3</v>
      </c>
      <c r="R4393">
        <v>752432</v>
      </c>
      <c r="S4393">
        <f>Table1[[#This Row],[Revenue]]-Table1[[#This Row],[Operating_Costs]]</f>
        <v>360060</v>
      </c>
      <c r="T4393">
        <v>392372</v>
      </c>
      <c r="U4393">
        <v>44</v>
      </c>
      <c r="V4393">
        <v>55</v>
      </c>
      <c r="W4393">
        <v>10.7</v>
      </c>
    </row>
    <row r="4394" spans="1:23" x14ac:dyDescent="0.25">
      <c r="A4394">
        <v>13</v>
      </c>
      <c r="B4394" t="s">
        <v>30</v>
      </c>
      <c r="C4394" s="1">
        <v>45146</v>
      </c>
      <c r="D4394" t="s">
        <v>71</v>
      </c>
      <c r="E4394">
        <v>0</v>
      </c>
      <c r="F4394">
        <v>85</v>
      </c>
      <c r="G4394" t="str">
        <f t="shared" si="76"/>
        <v>81+</v>
      </c>
      <c r="H4394" t="s">
        <v>23</v>
      </c>
      <c r="I4394" t="s">
        <v>64</v>
      </c>
      <c r="J4394" t="s">
        <v>65</v>
      </c>
      <c r="K4394" t="s">
        <v>26</v>
      </c>
      <c r="L4394">
        <v>1</v>
      </c>
      <c r="M4394">
        <v>1</v>
      </c>
      <c r="N4394">
        <v>6.6</v>
      </c>
      <c r="O4394">
        <v>9.5</v>
      </c>
      <c r="P4394">
        <v>5</v>
      </c>
      <c r="Q4394">
        <v>6</v>
      </c>
      <c r="R4394">
        <v>476868</v>
      </c>
      <c r="S4394">
        <f>Table1[[#This Row],[Revenue]]-Table1[[#This Row],[Operating_Costs]]</f>
        <v>67411</v>
      </c>
      <c r="T4394">
        <v>409457</v>
      </c>
      <c r="U4394">
        <v>35</v>
      </c>
      <c r="V4394">
        <v>62</v>
      </c>
      <c r="W4394">
        <v>13.3</v>
      </c>
    </row>
    <row r="4395" spans="1:23" x14ac:dyDescent="0.25">
      <c r="A4395">
        <v>13</v>
      </c>
      <c r="B4395" t="s">
        <v>30</v>
      </c>
      <c r="C4395" s="1">
        <v>44878</v>
      </c>
      <c r="D4395" t="s">
        <v>71</v>
      </c>
      <c r="E4395">
        <v>0</v>
      </c>
      <c r="F4395">
        <v>47</v>
      </c>
      <c r="G4395" t="str">
        <f t="shared" si="76"/>
        <v>41-60</v>
      </c>
      <c r="H4395" t="s">
        <v>35</v>
      </c>
      <c r="I4395" t="s">
        <v>36</v>
      </c>
      <c r="J4395" t="s">
        <v>37</v>
      </c>
      <c r="K4395" t="s">
        <v>33</v>
      </c>
      <c r="L4395">
        <v>1</v>
      </c>
      <c r="M4395">
        <v>1</v>
      </c>
      <c r="N4395">
        <v>6.3</v>
      </c>
      <c r="O4395">
        <v>9.6999999999999993</v>
      </c>
      <c r="P4395">
        <v>4</v>
      </c>
      <c r="Q4395">
        <v>7</v>
      </c>
      <c r="R4395">
        <v>590952</v>
      </c>
      <c r="S4395">
        <f>Table1[[#This Row],[Revenue]]-Table1[[#This Row],[Operating_Costs]]</f>
        <v>239986</v>
      </c>
      <c r="T4395">
        <v>350966</v>
      </c>
      <c r="U4395">
        <v>31</v>
      </c>
      <c r="V4395">
        <v>58</v>
      </c>
      <c r="W4395">
        <v>6.4</v>
      </c>
    </row>
    <row r="4396" spans="1:23" x14ac:dyDescent="0.25">
      <c r="A4396">
        <v>13</v>
      </c>
      <c r="B4396" t="s">
        <v>30</v>
      </c>
      <c r="C4396" s="1">
        <v>44472</v>
      </c>
      <c r="D4396" t="s">
        <v>71</v>
      </c>
      <c r="E4396">
        <v>0</v>
      </c>
      <c r="F4396">
        <v>38</v>
      </c>
      <c r="G4396" t="str">
        <f t="shared" si="76"/>
        <v>21-40</v>
      </c>
      <c r="H4396" t="s">
        <v>35</v>
      </c>
      <c r="I4396" t="s">
        <v>36</v>
      </c>
      <c r="J4396" t="s">
        <v>37</v>
      </c>
      <c r="K4396" t="s">
        <v>26</v>
      </c>
      <c r="L4396">
        <v>1</v>
      </c>
      <c r="M4396">
        <v>1</v>
      </c>
      <c r="N4396">
        <v>4.8</v>
      </c>
      <c r="O4396">
        <v>7.9</v>
      </c>
      <c r="P4396">
        <v>3</v>
      </c>
      <c r="Q4396">
        <v>6</v>
      </c>
      <c r="R4396">
        <v>704574</v>
      </c>
      <c r="S4396">
        <f>Table1[[#This Row],[Revenue]]-Table1[[#This Row],[Operating_Costs]]</f>
        <v>311812</v>
      </c>
      <c r="T4396">
        <v>392762</v>
      </c>
      <c r="U4396">
        <v>45</v>
      </c>
      <c r="V4396">
        <v>59</v>
      </c>
      <c r="W4396">
        <v>10.9</v>
      </c>
    </row>
    <row r="4397" spans="1:23" x14ac:dyDescent="0.25">
      <c r="A4397">
        <v>13</v>
      </c>
      <c r="B4397" t="s">
        <v>30</v>
      </c>
      <c r="C4397" s="1">
        <v>45608</v>
      </c>
      <c r="D4397" t="s">
        <v>71</v>
      </c>
      <c r="E4397">
        <v>0</v>
      </c>
      <c r="F4397">
        <v>71</v>
      </c>
      <c r="G4397" t="str">
        <f t="shared" si="76"/>
        <v>61-80</v>
      </c>
      <c r="H4397" t="s">
        <v>35</v>
      </c>
      <c r="I4397" t="s">
        <v>58</v>
      </c>
      <c r="J4397" t="s">
        <v>59</v>
      </c>
      <c r="K4397" t="s">
        <v>38</v>
      </c>
      <c r="L4397">
        <v>1</v>
      </c>
      <c r="M4397">
        <v>1</v>
      </c>
      <c r="N4397">
        <v>4.8</v>
      </c>
      <c r="O4397">
        <v>9.4</v>
      </c>
      <c r="P4397">
        <v>5</v>
      </c>
      <c r="Q4397">
        <v>5</v>
      </c>
      <c r="R4397">
        <v>781019</v>
      </c>
      <c r="S4397">
        <f>Table1[[#This Row],[Revenue]]-Table1[[#This Row],[Operating_Costs]]</f>
        <v>423772</v>
      </c>
      <c r="T4397">
        <v>357247</v>
      </c>
      <c r="U4397">
        <v>50</v>
      </c>
      <c r="V4397">
        <v>61</v>
      </c>
      <c r="W4397">
        <v>36.5</v>
      </c>
    </row>
    <row r="4398" spans="1:23" x14ac:dyDescent="0.25">
      <c r="A4398">
        <v>13</v>
      </c>
      <c r="B4398" t="s">
        <v>30</v>
      </c>
      <c r="C4398" s="1">
        <v>45249</v>
      </c>
      <c r="D4398" t="s">
        <v>71</v>
      </c>
      <c r="E4398">
        <v>0</v>
      </c>
      <c r="F4398">
        <v>70</v>
      </c>
      <c r="G4398" t="str">
        <f t="shared" si="76"/>
        <v>61-80</v>
      </c>
      <c r="H4398" t="s">
        <v>35</v>
      </c>
      <c r="I4398" t="s">
        <v>60</v>
      </c>
      <c r="J4398" t="s">
        <v>59</v>
      </c>
      <c r="K4398" t="s">
        <v>38</v>
      </c>
      <c r="L4398">
        <v>1</v>
      </c>
      <c r="M4398">
        <v>1</v>
      </c>
      <c r="N4398">
        <v>3</v>
      </c>
      <c r="O4398">
        <v>8.4</v>
      </c>
      <c r="P4398">
        <v>6</v>
      </c>
      <c r="Q4398">
        <v>6</v>
      </c>
      <c r="R4398">
        <v>503662</v>
      </c>
      <c r="S4398">
        <f>Table1[[#This Row],[Revenue]]-Table1[[#This Row],[Operating_Costs]]</f>
        <v>137648</v>
      </c>
      <c r="T4398">
        <v>366014</v>
      </c>
      <c r="U4398">
        <v>31</v>
      </c>
      <c r="V4398">
        <v>56</v>
      </c>
      <c r="W4398">
        <v>7.6</v>
      </c>
    </row>
    <row r="4399" spans="1:23" x14ac:dyDescent="0.25">
      <c r="A4399">
        <v>13</v>
      </c>
      <c r="B4399" t="s">
        <v>30</v>
      </c>
      <c r="C4399" s="1">
        <v>45179</v>
      </c>
      <c r="D4399" t="s">
        <v>71</v>
      </c>
      <c r="E4399">
        <v>0</v>
      </c>
      <c r="F4399">
        <v>44</v>
      </c>
      <c r="G4399" t="str">
        <f t="shared" si="76"/>
        <v>41-60</v>
      </c>
      <c r="H4399" t="s">
        <v>35</v>
      </c>
      <c r="I4399" t="s">
        <v>40</v>
      </c>
      <c r="J4399" t="s">
        <v>41</v>
      </c>
      <c r="K4399" t="s">
        <v>33</v>
      </c>
      <c r="L4399">
        <v>1</v>
      </c>
      <c r="M4399">
        <v>1</v>
      </c>
      <c r="N4399">
        <v>6.1</v>
      </c>
      <c r="O4399">
        <v>9</v>
      </c>
      <c r="P4399">
        <v>6</v>
      </c>
      <c r="Q4399">
        <v>4</v>
      </c>
      <c r="R4399">
        <v>772801</v>
      </c>
      <c r="S4399">
        <f>Table1[[#This Row],[Revenue]]-Table1[[#This Row],[Operating_Costs]]</f>
        <v>402594</v>
      </c>
      <c r="T4399">
        <v>370207</v>
      </c>
      <c r="U4399">
        <v>42</v>
      </c>
      <c r="V4399">
        <v>57</v>
      </c>
      <c r="W4399">
        <v>9</v>
      </c>
    </row>
    <row r="4400" spans="1:23" x14ac:dyDescent="0.25">
      <c r="A4400">
        <v>13</v>
      </c>
      <c r="B4400" t="s">
        <v>30</v>
      </c>
      <c r="C4400" s="1">
        <v>45325</v>
      </c>
      <c r="D4400" t="s">
        <v>71</v>
      </c>
      <c r="E4400">
        <v>0</v>
      </c>
      <c r="F4400">
        <v>38</v>
      </c>
      <c r="G4400" t="str">
        <f t="shared" si="76"/>
        <v>21-40</v>
      </c>
      <c r="H4400" t="s">
        <v>35</v>
      </c>
      <c r="I4400" t="s">
        <v>31</v>
      </c>
      <c r="J4400" t="s">
        <v>28</v>
      </c>
      <c r="K4400" t="s">
        <v>26</v>
      </c>
      <c r="L4400">
        <v>1</v>
      </c>
      <c r="M4400">
        <v>1</v>
      </c>
      <c r="N4400">
        <v>2.5</v>
      </c>
      <c r="O4400">
        <v>8.3000000000000007</v>
      </c>
      <c r="P4400">
        <v>6</v>
      </c>
      <c r="Q4400">
        <v>5</v>
      </c>
      <c r="R4400">
        <v>570963</v>
      </c>
      <c r="S4400">
        <f>Table1[[#This Row],[Revenue]]-Table1[[#This Row],[Operating_Costs]]</f>
        <v>189749</v>
      </c>
      <c r="T4400">
        <v>381214</v>
      </c>
      <c r="U4400">
        <v>48</v>
      </c>
      <c r="V4400">
        <v>58</v>
      </c>
      <c r="W4400">
        <v>9.9</v>
      </c>
    </row>
    <row r="4401" spans="1:23" x14ac:dyDescent="0.25">
      <c r="A4401">
        <v>13</v>
      </c>
      <c r="B4401" t="s">
        <v>30</v>
      </c>
      <c r="C4401" s="1">
        <v>44387</v>
      </c>
      <c r="D4401" t="s">
        <v>71</v>
      </c>
      <c r="E4401">
        <v>0</v>
      </c>
      <c r="F4401">
        <v>26</v>
      </c>
      <c r="G4401" t="str">
        <f t="shared" si="76"/>
        <v>21-40</v>
      </c>
      <c r="H4401" t="s">
        <v>35</v>
      </c>
      <c r="I4401" t="s">
        <v>40</v>
      </c>
      <c r="J4401" t="s">
        <v>41</v>
      </c>
      <c r="K4401" t="s">
        <v>42</v>
      </c>
      <c r="L4401">
        <v>1</v>
      </c>
      <c r="M4401">
        <v>1</v>
      </c>
      <c r="N4401">
        <v>4.0999999999999996</v>
      </c>
      <c r="O4401">
        <v>9.8000000000000007</v>
      </c>
      <c r="P4401">
        <v>4</v>
      </c>
      <c r="Q4401">
        <v>5</v>
      </c>
      <c r="R4401">
        <v>608174</v>
      </c>
      <c r="S4401">
        <f>Table1[[#This Row],[Revenue]]-Table1[[#This Row],[Operating_Costs]]</f>
        <v>233705</v>
      </c>
      <c r="T4401">
        <v>374469</v>
      </c>
      <c r="U4401">
        <v>44</v>
      </c>
      <c r="V4401">
        <v>58</v>
      </c>
      <c r="W4401">
        <v>5.3</v>
      </c>
    </row>
    <row r="4402" spans="1:23" x14ac:dyDescent="0.25">
      <c r="A4402">
        <v>13</v>
      </c>
      <c r="B4402" t="s">
        <v>30</v>
      </c>
      <c r="C4402" s="1">
        <v>45367</v>
      </c>
      <c r="D4402" t="s">
        <v>71</v>
      </c>
      <c r="E4402">
        <v>0</v>
      </c>
      <c r="F4402">
        <v>64</v>
      </c>
      <c r="G4402" t="str">
        <f t="shared" si="76"/>
        <v>61-80</v>
      </c>
      <c r="H4402" t="s">
        <v>35</v>
      </c>
      <c r="I4402" t="s">
        <v>36</v>
      </c>
      <c r="J4402" t="s">
        <v>37</v>
      </c>
      <c r="K4402" t="s">
        <v>42</v>
      </c>
      <c r="L4402">
        <v>1</v>
      </c>
      <c r="M4402">
        <v>1</v>
      </c>
      <c r="N4402">
        <v>6.5</v>
      </c>
      <c r="O4402">
        <v>7.8</v>
      </c>
      <c r="P4402">
        <v>3</v>
      </c>
      <c r="Q4402">
        <v>6</v>
      </c>
      <c r="R4402">
        <v>471084</v>
      </c>
      <c r="S4402">
        <f>Table1[[#This Row],[Revenue]]-Table1[[#This Row],[Operating_Costs]]</f>
        <v>107123</v>
      </c>
      <c r="T4402">
        <v>363961</v>
      </c>
      <c r="U4402">
        <v>47</v>
      </c>
      <c r="V4402">
        <v>64</v>
      </c>
      <c r="W4402">
        <v>14.3</v>
      </c>
    </row>
    <row r="4403" spans="1:23" x14ac:dyDescent="0.25">
      <c r="A4403">
        <v>13</v>
      </c>
      <c r="B4403" t="s">
        <v>30</v>
      </c>
      <c r="C4403" s="1">
        <v>44270</v>
      </c>
      <c r="D4403" t="s">
        <v>71</v>
      </c>
      <c r="E4403">
        <v>0</v>
      </c>
      <c r="F4403">
        <v>72</v>
      </c>
      <c r="G4403" t="str">
        <f t="shared" si="76"/>
        <v>61-80</v>
      </c>
      <c r="H4403" t="s">
        <v>35</v>
      </c>
      <c r="I4403" t="s">
        <v>27</v>
      </c>
      <c r="J4403" t="s">
        <v>28</v>
      </c>
      <c r="K4403" t="s">
        <v>38</v>
      </c>
      <c r="L4403">
        <v>1</v>
      </c>
      <c r="M4403">
        <v>1</v>
      </c>
      <c r="N4403">
        <v>6.5</v>
      </c>
      <c r="O4403">
        <v>8</v>
      </c>
      <c r="P4403">
        <v>6</v>
      </c>
      <c r="Q4403">
        <v>3</v>
      </c>
      <c r="R4403">
        <v>492565</v>
      </c>
      <c r="S4403">
        <f>Table1[[#This Row],[Revenue]]-Table1[[#This Row],[Operating_Costs]]</f>
        <v>83508</v>
      </c>
      <c r="T4403">
        <v>409057</v>
      </c>
      <c r="U4403">
        <v>33</v>
      </c>
      <c r="V4403">
        <v>55</v>
      </c>
      <c r="W4403">
        <v>14.9</v>
      </c>
    </row>
    <row r="4404" spans="1:23" x14ac:dyDescent="0.25">
      <c r="A4404">
        <v>13</v>
      </c>
      <c r="B4404" t="s">
        <v>30</v>
      </c>
      <c r="C4404" s="1">
        <v>44493</v>
      </c>
      <c r="D4404" t="s">
        <v>71</v>
      </c>
      <c r="E4404">
        <v>0</v>
      </c>
      <c r="F4404">
        <v>33</v>
      </c>
      <c r="G4404" t="str">
        <f t="shared" si="76"/>
        <v>21-40</v>
      </c>
      <c r="H4404" t="s">
        <v>35</v>
      </c>
      <c r="I4404" t="s">
        <v>36</v>
      </c>
      <c r="J4404" t="s">
        <v>37</v>
      </c>
      <c r="K4404" t="s">
        <v>29</v>
      </c>
      <c r="L4404">
        <v>1</v>
      </c>
      <c r="M4404">
        <v>1</v>
      </c>
      <c r="N4404">
        <v>5.8</v>
      </c>
      <c r="O4404">
        <v>7.9</v>
      </c>
      <c r="P4404">
        <v>6</v>
      </c>
      <c r="Q4404">
        <v>3</v>
      </c>
      <c r="R4404">
        <v>469286</v>
      </c>
      <c r="S4404">
        <f>Table1[[#This Row],[Revenue]]-Table1[[#This Row],[Operating_Costs]]</f>
        <v>113230</v>
      </c>
      <c r="T4404">
        <v>356056</v>
      </c>
      <c r="U4404">
        <v>36</v>
      </c>
      <c r="V4404">
        <v>54</v>
      </c>
      <c r="W4404">
        <v>14.9</v>
      </c>
    </row>
    <row r="4405" spans="1:23" x14ac:dyDescent="0.25">
      <c r="A4405">
        <v>13</v>
      </c>
      <c r="B4405" t="s">
        <v>30</v>
      </c>
      <c r="C4405" s="1">
        <v>45155</v>
      </c>
      <c r="D4405" t="s">
        <v>71</v>
      </c>
      <c r="E4405">
        <v>0</v>
      </c>
      <c r="F4405">
        <v>21</v>
      </c>
      <c r="G4405" t="str">
        <f t="shared" si="76"/>
        <v>21-40</v>
      </c>
      <c r="H4405" t="s">
        <v>23</v>
      </c>
      <c r="I4405" t="s">
        <v>24</v>
      </c>
      <c r="J4405" t="s">
        <v>25</v>
      </c>
      <c r="K4405" t="s">
        <v>26</v>
      </c>
      <c r="L4405">
        <v>1</v>
      </c>
      <c r="M4405">
        <v>1</v>
      </c>
      <c r="N4405">
        <v>5.9</v>
      </c>
      <c r="O4405">
        <v>7.6</v>
      </c>
      <c r="P4405">
        <v>6</v>
      </c>
      <c r="Q4405">
        <v>5</v>
      </c>
      <c r="R4405">
        <v>682482</v>
      </c>
      <c r="S4405">
        <f>Table1[[#This Row],[Revenue]]-Table1[[#This Row],[Operating_Costs]]</f>
        <v>278994</v>
      </c>
      <c r="T4405">
        <v>403488</v>
      </c>
      <c r="U4405">
        <v>35</v>
      </c>
      <c r="V4405">
        <v>64</v>
      </c>
      <c r="W4405">
        <v>36.1</v>
      </c>
    </row>
    <row r="4406" spans="1:23" x14ac:dyDescent="0.25">
      <c r="A4406">
        <v>13</v>
      </c>
      <c r="B4406" t="s">
        <v>30</v>
      </c>
      <c r="C4406" s="1">
        <v>44347</v>
      </c>
      <c r="D4406" t="s">
        <v>71</v>
      </c>
      <c r="E4406">
        <v>0</v>
      </c>
      <c r="F4406">
        <v>24</v>
      </c>
      <c r="G4406" t="str">
        <f t="shared" si="76"/>
        <v>21-40</v>
      </c>
      <c r="H4406" t="s">
        <v>35</v>
      </c>
      <c r="I4406" t="s">
        <v>31</v>
      </c>
      <c r="J4406" t="s">
        <v>28</v>
      </c>
      <c r="K4406" t="s">
        <v>26</v>
      </c>
      <c r="L4406">
        <v>1</v>
      </c>
      <c r="M4406">
        <v>1</v>
      </c>
      <c r="N4406">
        <v>4.7</v>
      </c>
      <c r="O4406">
        <v>7.9</v>
      </c>
      <c r="P4406">
        <v>5</v>
      </c>
      <c r="Q4406">
        <v>5</v>
      </c>
      <c r="R4406">
        <v>628986</v>
      </c>
      <c r="S4406">
        <f>Table1[[#This Row],[Revenue]]-Table1[[#This Row],[Operating_Costs]]</f>
        <v>219349</v>
      </c>
      <c r="T4406">
        <v>409637</v>
      </c>
      <c r="U4406">
        <v>43</v>
      </c>
      <c r="V4406">
        <v>60</v>
      </c>
      <c r="W4406">
        <v>9.6</v>
      </c>
    </row>
    <row r="4407" spans="1:23" x14ac:dyDescent="0.25">
      <c r="A4407">
        <v>13</v>
      </c>
      <c r="B4407" t="s">
        <v>30</v>
      </c>
      <c r="C4407" s="1">
        <v>45179</v>
      </c>
      <c r="D4407" t="s">
        <v>71</v>
      </c>
      <c r="E4407">
        <v>0</v>
      </c>
      <c r="F4407">
        <v>27</v>
      </c>
      <c r="G4407" t="str">
        <f t="shared" si="76"/>
        <v>21-40</v>
      </c>
      <c r="H4407" t="s">
        <v>23</v>
      </c>
      <c r="I4407" t="s">
        <v>61</v>
      </c>
      <c r="J4407" t="s">
        <v>62</v>
      </c>
      <c r="K4407" t="s">
        <v>38</v>
      </c>
      <c r="L4407">
        <v>1</v>
      </c>
      <c r="M4407">
        <v>1</v>
      </c>
      <c r="N4407">
        <v>4.4000000000000004</v>
      </c>
      <c r="O4407">
        <v>9.1</v>
      </c>
      <c r="P4407">
        <v>3</v>
      </c>
      <c r="Q4407">
        <v>6</v>
      </c>
      <c r="R4407">
        <v>499759</v>
      </c>
      <c r="S4407">
        <f>Table1[[#This Row],[Revenue]]-Table1[[#This Row],[Operating_Costs]]</f>
        <v>144678</v>
      </c>
      <c r="T4407">
        <v>355081</v>
      </c>
      <c r="U4407">
        <v>43</v>
      </c>
      <c r="V4407">
        <v>54</v>
      </c>
      <c r="W4407">
        <v>6.7</v>
      </c>
    </row>
    <row r="4408" spans="1:23" x14ac:dyDescent="0.25">
      <c r="A4408">
        <v>14</v>
      </c>
      <c r="B4408" t="s">
        <v>48</v>
      </c>
      <c r="C4408" s="1">
        <v>44240</v>
      </c>
      <c r="D4408" t="s">
        <v>71</v>
      </c>
      <c r="E4408">
        <v>0</v>
      </c>
      <c r="F4408">
        <v>66</v>
      </c>
      <c r="G4408" t="str">
        <f t="shared" si="76"/>
        <v>61-80</v>
      </c>
      <c r="H4408" t="s">
        <v>35</v>
      </c>
      <c r="I4408" t="s">
        <v>40</v>
      </c>
      <c r="J4408" t="s">
        <v>41</v>
      </c>
      <c r="K4408" t="s">
        <v>33</v>
      </c>
      <c r="L4408">
        <v>1</v>
      </c>
      <c r="M4408">
        <v>1</v>
      </c>
      <c r="N4408">
        <v>6</v>
      </c>
      <c r="O4408">
        <v>7.6</v>
      </c>
      <c r="P4408">
        <v>6</v>
      </c>
      <c r="Q4408">
        <v>7</v>
      </c>
      <c r="R4408">
        <v>880887</v>
      </c>
      <c r="S4408">
        <f>Table1[[#This Row],[Revenue]]-Table1[[#This Row],[Operating_Costs]]</f>
        <v>187758</v>
      </c>
      <c r="T4408">
        <v>693129</v>
      </c>
      <c r="U4408">
        <v>47</v>
      </c>
      <c r="V4408">
        <v>66</v>
      </c>
      <c r="W4408">
        <v>9.3000000000000007</v>
      </c>
    </row>
    <row r="4409" spans="1:23" x14ac:dyDescent="0.25">
      <c r="A4409">
        <v>14</v>
      </c>
      <c r="B4409" t="s">
        <v>48</v>
      </c>
      <c r="C4409" s="1">
        <v>44516</v>
      </c>
      <c r="D4409" t="s">
        <v>71</v>
      </c>
      <c r="E4409">
        <v>0</v>
      </c>
      <c r="F4409">
        <v>23</v>
      </c>
      <c r="G4409" t="str">
        <f t="shared" si="76"/>
        <v>21-40</v>
      </c>
      <c r="H4409" t="s">
        <v>23</v>
      </c>
      <c r="I4409" t="s">
        <v>27</v>
      </c>
      <c r="J4409" t="s">
        <v>28</v>
      </c>
      <c r="K4409" t="s">
        <v>26</v>
      </c>
      <c r="L4409">
        <v>1</v>
      </c>
      <c r="M4409">
        <v>1</v>
      </c>
      <c r="N4409">
        <v>4.4000000000000004</v>
      </c>
      <c r="O4409">
        <v>9.6999999999999993</v>
      </c>
      <c r="P4409">
        <v>7</v>
      </c>
      <c r="Q4409">
        <v>3</v>
      </c>
      <c r="R4409">
        <v>889187</v>
      </c>
      <c r="S4409">
        <f>Table1[[#This Row],[Revenue]]-Table1[[#This Row],[Operating_Costs]]</f>
        <v>192987</v>
      </c>
      <c r="T4409">
        <v>696200</v>
      </c>
      <c r="U4409">
        <v>48</v>
      </c>
      <c r="V4409">
        <v>66</v>
      </c>
      <c r="W4409">
        <v>13.6</v>
      </c>
    </row>
    <row r="4410" spans="1:23" x14ac:dyDescent="0.25">
      <c r="A4410">
        <v>14</v>
      </c>
      <c r="B4410" t="s">
        <v>48</v>
      </c>
      <c r="C4410" s="1">
        <v>44946</v>
      </c>
      <c r="D4410" t="s">
        <v>71</v>
      </c>
      <c r="E4410">
        <v>0</v>
      </c>
      <c r="F4410">
        <v>83</v>
      </c>
      <c r="G4410" t="str">
        <f t="shared" si="76"/>
        <v>81+</v>
      </c>
      <c r="H4410" t="s">
        <v>35</v>
      </c>
      <c r="I4410" t="s">
        <v>60</v>
      </c>
      <c r="J4410" t="s">
        <v>59</v>
      </c>
      <c r="K4410" t="s">
        <v>42</v>
      </c>
      <c r="L4410">
        <v>1</v>
      </c>
      <c r="M4410">
        <v>1</v>
      </c>
      <c r="N4410">
        <v>6.2</v>
      </c>
      <c r="O4410">
        <v>7.8</v>
      </c>
      <c r="P4410">
        <v>3</v>
      </c>
      <c r="Q4410">
        <v>3</v>
      </c>
      <c r="R4410">
        <v>825769</v>
      </c>
      <c r="S4410">
        <f>Table1[[#This Row],[Revenue]]-Table1[[#This Row],[Operating_Costs]]</f>
        <v>139710</v>
      </c>
      <c r="T4410">
        <v>686059</v>
      </c>
      <c r="U4410">
        <v>47</v>
      </c>
      <c r="V4410">
        <v>60</v>
      </c>
      <c r="W4410">
        <v>36.4</v>
      </c>
    </row>
    <row r="4411" spans="1:23" x14ac:dyDescent="0.25">
      <c r="A4411">
        <v>13</v>
      </c>
      <c r="B4411" t="s">
        <v>30</v>
      </c>
      <c r="C4411" s="1">
        <v>44481</v>
      </c>
      <c r="D4411" t="s">
        <v>71</v>
      </c>
      <c r="E4411">
        <v>0</v>
      </c>
      <c r="F4411">
        <v>43</v>
      </c>
      <c r="G4411" t="str">
        <f t="shared" si="76"/>
        <v>41-60</v>
      </c>
      <c r="H4411" t="s">
        <v>23</v>
      </c>
      <c r="I4411" t="s">
        <v>43</v>
      </c>
      <c r="J4411" t="s">
        <v>25</v>
      </c>
      <c r="K4411" t="s">
        <v>38</v>
      </c>
      <c r="L4411">
        <v>1</v>
      </c>
      <c r="M4411">
        <v>1</v>
      </c>
      <c r="N4411">
        <v>1.9</v>
      </c>
      <c r="O4411">
        <v>7.5</v>
      </c>
      <c r="P4411">
        <v>4</v>
      </c>
      <c r="Q4411">
        <v>4</v>
      </c>
      <c r="R4411">
        <v>591580</v>
      </c>
      <c r="S4411">
        <f>Table1[[#This Row],[Revenue]]-Table1[[#This Row],[Operating_Costs]]</f>
        <v>222953</v>
      </c>
      <c r="T4411">
        <v>368627</v>
      </c>
      <c r="U4411">
        <v>35</v>
      </c>
      <c r="V4411">
        <v>54</v>
      </c>
      <c r="W4411">
        <v>9.3000000000000007</v>
      </c>
    </row>
    <row r="4412" spans="1:23" x14ac:dyDescent="0.25">
      <c r="A4412">
        <v>13</v>
      </c>
      <c r="B4412" t="s">
        <v>30</v>
      </c>
      <c r="C4412" s="1">
        <v>45401</v>
      </c>
      <c r="D4412" t="s">
        <v>71</v>
      </c>
      <c r="E4412">
        <v>0</v>
      </c>
      <c r="F4412">
        <v>21</v>
      </c>
      <c r="G4412" t="str">
        <f t="shared" si="76"/>
        <v>21-40</v>
      </c>
      <c r="H4412" t="s">
        <v>23</v>
      </c>
      <c r="I4412" t="s">
        <v>64</v>
      </c>
      <c r="J4412" t="s">
        <v>65</v>
      </c>
      <c r="K4412" t="s">
        <v>42</v>
      </c>
      <c r="L4412">
        <v>1</v>
      </c>
      <c r="M4412">
        <v>1</v>
      </c>
      <c r="N4412">
        <v>2.9</v>
      </c>
      <c r="O4412">
        <v>7.8</v>
      </c>
      <c r="P4412">
        <v>4</v>
      </c>
      <c r="Q4412">
        <v>6</v>
      </c>
      <c r="R4412">
        <v>745910</v>
      </c>
      <c r="S4412">
        <f>Table1[[#This Row],[Revenue]]-Table1[[#This Row],[Operating_Costs]]</f>
        <v>390965</v>
      </c>
      <c r="T4412">
        <v>354945</v>
      </c>
      <c r="U4412">
        <v>42</v>
      </c>
      <c r="V4412">
        <v>61</v>
      </c>
      <c r="W4412">
        <v>6.9</v>
      </c>
    </row>
    <row r="4413" spans="1:23" x14ac:dyDescent="0.25">
      <c r="A4413">
        <v>14</v>
      </c>
      <c r="B4413" t="s">
        <v>48</v>
      </c>
      <c r="C4413" s="1">
        <v>44434</v>
      </c>
      <c r="D4413" t="s">
        <v>71</v>
      </c>
      <c r="E4413">
        <v>0</v>
      </c>
      <c r="F4413">
        <v>48</v>
      </c>
      <c r="G4413" t="str">
        <f t="shared" si="76"/>
        <v>41-60</v>
      </c>
      <c r="H4413" t="s">
        <v>35</v>
      </c>
      <c r="I4413" t="s">
        <v>61</v>
      </c>
      <c r="J4413" t="s">
        <v>62</v>
      </c>
      <c r="K4413" t="s">
        <v>38</v>
      </c>
      <c r="L4413">
        <v>1</v>
      </c>
      <c r="M4413">
        <v>1</v>
      </c>
      <c r="N4413">
        <v>4.4000000000000004</v>
      </c>
      <c r="O4413">
        <v>9.6</v>
      </c>
      <c r="P4413">
        <v>3</v>
      </c>
      <c r="Q4413">
        <v>4</v>
      </c>
      <c r="R4413">
        <v>705801</v>
      </c>
      <c r="S4413">
        <f>Table1[[#This Row],[Revenue]]-Table1[[#This Row],[Operating_Costs]]</f>
        <v>180964</v>
      </c>
      <c r="T4413">
        <v>524837</v>
      </c>
      <c r="U4413">
        <v>31</v>
      </c>
      <c r="V4413">
        <v>64</v>
      </c>
      <c r="W4413">
        <v>6</v>
      </c>
    </row>
    <row r="4414" spans="1:23" x14ac:dyDescent="0.25">
      <c r="A4414">
        <v>14</v>
      </c>
      <c r="B4414" t="s">
        <v>48</v>
      </c>
      <c r="C4414" s="1">
        <v>44904</v>
      </c>
      <c r="D4414" t="s">
        <v>71</v>
      </c>
      <c r="E4414">
        <v>0</v>
      </c>
      <c r="F4414">
        <v>89</v>
      </c>
      <c r="G4414" t="str">
        <f t="shared" si="76"/>
        <v>81+</v>
      </c>
      <c r="H4414" t="s">
        <v>23</v>
      </c>
      <c r="I4414" t="s">
        <v>67</v>
      </c>
      <c r="J4414" t="s">
        <v>68</v>
      </c>
      <c r="K4414" t="s">
        <v>33</v>
      </c>
      <c r="L4414">
        <v>1</v>
      </c>
      <c r="M4414">
        <v>1</v>
      </c>
      <c r="N4414">
        <v>2.6</v>
      </c>
      <c r="O4414">
        <v>9.9</v>
      </c>
      <c r="P4414">
        <v>7</v>
      </c>
      <c r="Q4414">
        <v>6</v>
      </c>
      <c r="R4414">
        <v>893242</v>
      </c>
      <c r="S4414">
        <f>Table1[[#This Row],[Revenue]]-Table1[[#This Row],[Operating_Costs]]</f>
        <v>360740</v>
      </c>
      <c r="T4414">
        <v>532502</v>
      </c>
      <c r="U4414">
        <v>43</v>
      </c>
      <c r="V4414">
        <v>66</v>
      </c>
      <c r="W4414">
        <v>7.9</v>
      </c>
    </row>
    <row r="4415" spans="1:23" x14ac:dyDescent="0.25">
      <c r="A4415">
        <v>13</v>
      </c>
      <c r="B4415" t="s">
        <v>30</v>
      </c>
      <c r="C4415" s="1">
        <v>44806</v>
      </c>
      <c r="D4415" t="s">
        <v>71</v>
      </c>
      <c r="E4415">
        <v>0</v>
      </c>
      <c r="F4415">
        <v>32</v>
      </c>
      <c r="G4415" t="str">
        <f t="shared" si="76"/>
        <v>21-40</v>
      </c>
      <c r="H4415" t="s">
        <v>35</v>
      </c>
      <c r="I4415" t="s">
        <v>27</v>
      </c>
      <c r="J4415" t="s">
        <v>28</v>
      </c>
      <c r="K4415" t="s">
        <v>29</v>
      </c>
      <c r="L4415">
        <v>1</v>
      </c>
      <c r="M4415">
        <v>1</v>
      </c>
      <c r="N4415">
        <v>6.7</v>
      </c>
      <c r="O4415">
        <v>7.9</v>
      </c>
      <c r="P4415">
        <v>3</v>
      </c>
      <c r="Q4415">
        <v>6</v>
      </c>
      <c r="R4415">
        <v>681805</v>
      </c>
      <c r="S4415">
        <f>Table1[[#This Row],[Revenue]]-Table1[[#This Row],[Operating_Costs]]</f>
        <v>276815</v>
      </c>
      <c r="T4415">
        <v>404990</v>
      </c>
      <c r="U4415">
        <v>30</v>
      </c>
      <c r="V4415">
        <v>55</v>
      </c>
      <c r="W4415">
        <v>6.4</v>
      </c>
    </row>
    <row r="4416" spans="1:23" x14ac:dyDescent="0.25">
      <c r="A4416">
        <v>14</v>
      </c>
      <c r="B4416" t="s">
        <v>48</v>
      </c>
      <c r="C4416" s="1">
        <v>44210</v>
      </c>
      <c r="D4416" t="s">
        <v>71</v>
      </c>
      <c r="E4416">
        <v>0</v>
      </c>
      <c r="F4416">
        <v>49</v>
      </c>
      <c r="G4416" t="str">
        <f t="shared" si="76"/>
        <v>41-60</v>
      </c>
      <c r="H4416" t="s">
        <v>23</v>
      </c>
      <c r="I4416" t="s">
        <v>50</v>
      </c>
      <c r="J4416" t="s">
        <v>51</v>
      </c>
      <c r="K4416" t="s">
        <v>29</v>
      </c>
      <c r="L4416">
        <v>1</v>
      </c>
      <c r="M4416">
        <v>1</v>
      </c>
      <c r="N4416">
        <v>3.9</v>
      </c>
      <c r="O4416">
        <v>7.5</v>
      </c>
      <c r="P4416">
        <v>5</v>
      </c>
      <c r="Q4416">
        <v>7</v>
      </c>
      <c r="R4416">
        <v>863979</v>
      </c>
      <c r="S4416">
        <f>Table1[[#This Row],[Revenue]]-Table1[[#This Row],[Operating_Costs]]</f>
        <v>273495</v>
      </c>
      <c r="T4416">
        <v>590484</v>
      </c>
      <c r="U4416">
        <v>42</v>
      </c>
      <c r="V4416">
        <v>62</v>
      </c>
      <c r="W4416">
        <v>6.4</v>
      </c>
    </row>
    <row r="4417" spans="1:23" x14ac:dyDescent="0.25">
      <c r="A4417">
        <v>14</v>
      </c>
      <c r="B4417" t="s">
        <v>48</v>
      </c>
      <c r="C4417" s="1">
        <v>44570</v>
      </c>
      <c r="D4417" t="s">
        <v>71</v>
      </c>
      <c r="E4417">
        <v>0</v>
      </c>
      <c r="F4417">
        <v>37</v>
      </c>
      <c r="G4417" t="str">
        <f t="shared" si="76"/>
        <v>21-40</v>
      </c>
      <c r="H4417" t="s">
        <v>35</v>
      </c>
      <c r="I4417" t="s">
        <v>27</v>
      </c>
      <c r="J4417" t="s">
        <v>28</v>
      </c>
      <c r="K4417" t="s">
        <v>33</v>
      </c>
      <c r="L4417">
        <v>1</v>
      </c>
      <c r="M4417">
        <v>1</v>
      </c>
      <c r="N4417">
        <v>1.2</v>
      </c>
      <c r="O4417">
        <v>9.6</v>
      </c>
      <c r="P4417">
        <v>7</v>
      </c>
      <c r="Q4417">
        <v>6</v>
      </c>
      <c r="R4417">
        <v>757557</v>
      </c>
      <c r="S4417">
        <f>Table1[[#This Row],[Revenue]]-Table1[[#This Row],[Operating_Costs]]</f>
        <v>208835</v>
      </c>
      <c r="T4417">
        <v>548722</v>
      </c>
      <c r="U4417">
        <v>39</v>
      </c>
      <c r="V4417">
        <v>55</v>
      </c>
      <c r="W4417">
        <v>5.2</v>
      </c>
    </row>
    <row r="4418" spans="1:23" x14ac:dyDescent="0.25">
      <c r="A4418">
        <v>14</v>
      </c>
      <c r="B4418" t="s">
        <v>48</v>
      </c>
      <c r="C4418" s="1">
        <v>45314</v>
      </c>
      <c r="D4418" t="s">
        <v>71</v>
      </c>
      <c r="E4418">
        <v>0</v>
      </c>
      <c r="F4418">
        <v>25</v>
      </c>
      <c r="G4418" t="str">
        <f t="shared" si="76"/>
        <v>21-40</v>
      </c>
      <c r="H4418" t="s">
        <v>23</v>
      </c>
      <c r="I4418" t="s">
        <v>61</v>
      </c>
      <c r="J4418" t="s">
        <v>62</v>
      </c>
      <c r="K4418" t="s">
        <v>29</v>
      </c>
      <c r="L4418">
        <v>1</v>
      </c>
      <c r="M4418">
        <v>1</v>
      </c>
      <c r="N4418">
        <v>2.5</v>
      </c>
      <c r="O4418">
        <v>7</v>
      </c>
      <c r="P4418">
        <v>5</v>
      </c>
      <c r="Q4418">
        <v>6</v>
      </c>
      <c r="R4418">
        <v>833799</v>
      </c>
      <c r="S4418">
        <f>Table1[[#This Row],[Revenue]]-Table1[[#This Row],[Operating_Costs]]</f>
        <v>299978</v>
      </c>
      <c r="T4418">
        <v>533821</v>
      </c>
      <c r="U4418">
        <v>39</v>
      </c>
      <c r="V4418">
        <v>58</v>
      </c>
      <c r="W4418">
        <v>13.1</v>
      </c>
    </row>
    <row r="4419" spans="1:23" x14ac:dyDescent="0.25">
      <c r="A4419">
        <v>14</v>
      </c>
      <c r="B4419" t="s">
        <v>48</v>
      </c>
      <c r="C4419" s="1">
        <v>45561</v>
      </c>
      <c r="D4419" t="s">
        <v>71</v>
      </c>
      <c r="E4419">
        <v>0</v>
      </c>
      <c r="F4419">
        <v>63</v>
      </c>
      <c r="G4419" t="str">
        <f t="shared" ref="G4419:G4482" si="77">IF(F4419&lt;=20,"0-20",IF(F4419&lt;=40,"21-40",IF(F4419&lt;=60,"41-60",IF(F4419&lt;=80,"61-80","81+"))))</f>
        <v>61-80</v>
      </c>
      <c r="H4419" t="s">
        <v>35</v>
      </c>
      <c r="I4419" t="s">
        <v>60</v>
      </c>
      <c r="J4419" t="s">
        <v>59</v>
      </c>
      <c r="K4419" t="s">
        <v>33</v>
      </c>
      <c r="L4419">
        <v>1</v>
      </c>
      <c r="M4419">
        <v>1</v>
      </c>
      <c r="N4419">
        <v>3.7</v>
      </c>
      <c r="O4419">
        <v>7.3</v>
      </c>
      <c r="P4419">
        <v>7</v>
      </c>
      <c r="Q4419">
        <v>4</v>
      </c>
      <c r="R4419">
        <v>740062</v>
      </c>
      <c r="S4419">
        <f>Table1[[#This Row],[Revenue]]-Table1[[#This Row],[Operating_Costs]]</f>
        <v>201723</v>
      </c>
      <c r="T4419">
        <v>538339</v>
      </c>
      <c r="U4419">
        <v>37</v>
      </c>
      <c r="V4419">
        <v>60</v>
      </c>
      <c r="W4419">
        <v>12.7</v>
      </c>
    </row>
    <row r="4420" spans="1:23" x14ac:dyDescent="0.25">
      <c r="A4420">
        <v>14</v>
      </c>
      <c r="B4420" t="s">
        <v>48</v>
      </c>
      <c r="C4420" s="1">
        <v>44618</v>
      </c>
      <c r="D4420" t="s">
        <v>71</v>
      </c>
      <c r="E4420">
        <v>0</v>
      </c>
      <c r="F4420">
        <v>38</v>
      </c>
      <c r="G4420" t="str">
        <f t="shared" si="77"/>
        <v>21-40</v>
      </c>
      <c r="H4420" t="s">
        <v>35</v>
      </c>
      <c r="I4420" t="s">
        <v>36</v>
      </c>
      <c r="J4420" t="s">
        <v>37</v>
      </c>
      <c r="K4420" t="s">
        <v>38</v>
      </c>
      <c r="L4420">
        <v>1</v>
      </c>
      <c r="M4420">
        <v>1</v>
      </c>
      <c r="N4420">
        <v>6.2</v>
      </c>
      <c r="O4420">
        <v>9.6</v>
      </c>
      <c r="P4420">
        <v>3</v>
      </c>
      <c r="Q4420">
        <v>5</v>
      </c>
      <c r="R4420">
        <v>840643</v>
      </c>
      <c r="S4420">
        <f>Table1[[#This Row],[Revenue]]-Table1[[#This Row],[Operating_Costs]]</f>
        <v>208025</v>
      </c>
      <c r="T4420">
        <v>632618</v>
      </c>
      <c r="U4420">
        <v>46</v>
      </c>
      <c r="V4420">
        <v>57</v>
      </c>
      <c r="W4420">
        <v>7</v>
      </c>
    </row>
    <row r="4421" spans="1:23" x14ac:dyDescent="0.25">
      <c r="A4421">
        <v>14</v>
      </c>
      <c r="B4421" t="s">
        <v>48</v>
      </c>
      <c r="C4421" s="1">
        <v>45406</v>
      </c>
      <c r="D4421" t="s">
        <v>71</v>
      </c>
      <c r="E4421">
        <v>0</v>
      </c>
      <c r="F4421">
        <v>32</v>
      </c>
      <c r="G4421" t="str">
        <f t="shared" si="77"/>
        <v>21-40</v>
      </c>
      <c r="H4421" t="s">
        <v>23</v>
      </c>
      <c r="I4421" t="s">
        <v>67</v>
      </c>
      <c r="J4421" t="s">
        <v>68</v>
      </c>
      <c r="K4421" t="s">
        <v>29</v>
      </c>
      <c r="L4421">
        <v>1</v>
      </c>
      <c r="M4421">
        <v>1</v>
      </c>
      <c r="N4421">
        <v>2.2999999999999998</v>
      </c>
      <c r="O4421">
        <v>9.5</v>
      </c>
      <c r="P4421">
        <v>6</v>
      </c>
      <c r="Q4421">
        <v>4</v>
      </c>
      <c r="R4421">
        <v>772532</v>
      </c>
      <c r="S4421">
        <f>Table1[[#This Row],[Revenue]]-Table1[[#This Row],[Operating_Costs]]</f>
        <v>88971</v>
      </c>
      <c r="T4421">
        <v>683561</v>
      </c>
      <c r="U4421">
        <v>37</v>
      </c>
      <c r="V4421">
        <v>54</v>
      </c>
      <c r="W4421">
        <v>5.3</v>
      </c>
    </row>
    <row r="4422" spans="1:23" x14ac:dyDescent="0.25">
      <c r="A4422">
        <v>14</v>
      </c>
      <c r="B4422" t="s">
        <v>48</v>
      </c>
      <c r="C4422" s="1">
        <v>45578</v>
      </c>
      <c r="D4422" t="s">
        <v>71</v>
      </c>
      <c r="E4422">
        <v>0</v>
      </c>
      <c r="F4422">
        <v>64</v>
      </c>
      <c r="G4422" t="str">
        <f t="shared" si="77"/>
        <v>61-80</v>
      </c>
      <c r="H4422" t="s">
        <v>23</v>
      </c>
      <c r="I4422" t="s">
        <v>27</v>
      </c>
      <c r="J4422" t="s">
        <v>28</v>
      </c>
      <c r="K4422" t="s">
        <v>26</v>
      </c>
      <c r="L4422">
        <v>1</v>
      </c>
      <c r="M4422">
        <v>1</v>
      </c>
      <c r="N4422">
        <v>4.0999999999999996</v>
      </c>
      <c r="O4422">
        <v>9.4</v>
      </c>
      <c r="P4422">
        <v>7</v>
      </c>
      <c r="Q4422">
        <v>6</v>
      </c>
      <c r="R4422">
        <v>817270</v>
      </c>
      <c r="S4422">
        <f>Table1[[#This Row],[Revenue]]-Table1[[#This Row],[Operating_Costs]]</f>
        <v>292619</v>
      </c>
      <c r="T4422">
        <v>524651</v>
      </c>
      <c r="U4422">
        <v>45</v>
      </c>
      <c r="V4422">
        <v>61</v>
      </c>
      <c r="W4422">
        <v>13.2</v>
      </c>
    </row>
    <row r="4423" spans="1:23" x14ac:dyDescent="0.25">
      <c r="A4423">
        <v>14</v>
      </c>
      <c r="B4423" t="s">
        <v>48</v>
      </c>
      <c r="C4423" s="1">
        <v>45019</v>
      </c>
      <c r="D4423" t="s">
        <v>71</v>
      </c>
      <c r="E4423">
        <v>0</v>
      </c>
      <c r="F4423">
        <v>60</v>
      </c>
      <c r="G4423" t="str">
        <f t="shared" si="77"/>
        <v>41-60</v>
      </c>
      <c r="H4423" t="s">
        <v>23</v>
      </c>
      <c r="I4423" t="s">
        <v>55</v>
      </c>
      <c r="J4423" t="s">
        <v>56</v>
      </c>
      <c r="K4423" t="s">
        <v>29</v>
      </c>
      <c r="L4423">
        <v>1</v>
      </c>
      <c r="M4423">
        <v>1</v>
      </c>
      <c r="N4423">
        <v>2.9</v>
      </c>
      <c r="O4423">
        <v>9.8000000000000007</v>
      </c>
      <c r="P4423">
        <v>7</v>
      </c>
      <c r="Q4423">
        <v>4</v>
      </c>
      <c r="R4423">
        <v>775814</v>
      </c>
      <c r="S4423">
        <f>Table1[[#This Row],[Revenue]]-Table1[[#This Row],[Operating_Costs]]</f>
        <v>258811</v>
      </c>
      <c r="T4423">
        <v>517003</v>
      </c>
      <c r="U4423">
        <v>48</v>
      </c>
      <c r="V4423">
        <v>57</v>
      </c>
      <c r="W4423">
        <v>8.9</v>
      </c>
    </row>
    <row r="4424" spans="1:23" x14ac:dyDescent="0.25">
      <c r="A4424">
        <v>14</v>
      </c>
      <c r="B4424" t="s">
        <v>48</v>
      </c>
      <c r="C4424" s="1">
        <v>44366</v>
      </c>
      <c r="D4424" t="s">
        <v>71</v>
      </c>
      <c r="E4424">
        <v>0</v>
      </c>
      <c r="F4424">
        <v>46</v>
      </c>
      <c r="G4424" t="str">
        <f t="shared" si="77"/>
        <v>41-60</v>
      </c>
      <c r="H4424" t="s">
        <v>23</v>
      </c>
      <c r="I4424" t="s">
        <v>61</v>
      </c>
      <c r="J4424" t="s">
        <v>62</v>
      </c>
      <c r="K4424" t="s">
        <v>26</v>
      </c>
      <c r="L4424">
        <v>1</v>
      </c>
      <c r="M4424">
        <v>1</v>
      </c>
      <c r="N4424">
        <v>6.7</v>
      </c>
      <c r="O4424">
        <v>9.5</v>
      </c>
      <c r="P4424">
        <v>5</v>
      </c>
      <c r="Q4424">
        <v>6</v>
      </c>
      <c r="R4424">
        <v>860472</v>
      </c>
      <c r="S4424">
        <f>Table1[[#This Row],[Revenue]]-Table1[[#This Row],[Operating_Costs]]</f>
        <v>278724</v>
      </c>
      <c r="T4424">
        <v>581748</v>
      </c>
      <c r="U4424">
        <v>33</v>
      </c>
      <c r="V4424">
        <v>61</v>
      </c>
      <c r="W4424">
        <v>7.4</v>
      </c>
    </row>
    <row r="4425" spans="1:23" x14ac:dyDescent="0.25">
      <c r="A4425">
        <v>14</v>
      </c>
      <c r="B4425" t="s">
        <v>48</v>
      </c>
      <c r="C4425" s="1">
        <v>44414</v>
      </c>
      <c r="D4425" t="s">
        <v>71</v>
      </c>
      <c r="E4425">
        <v>0</v>
      </c>
      <c r="F4425">
        <v>35</v>
      </c>
      <c r="G4425" t="str">
        <f t="shared" si="77"/>
        <v>21-40</v>
      </c>
      <c r="H4425" t="s">
        <v>35</v>
      </c>
      <c r="I4425" t="s">
        <v>36</v>
      </c>
      <c r="J4425" t="s">
        <v>37</v>
      </c>
      <c r="K4425" t="s">
        <v>38</v>
      </c>
      <c r="L4425">
        <v>1</v>
      </c>
      <c r="M4425">
        <v>1</v>
      </c>
      <c r="N4425">
        <v>3.6</v>
      </c>
      <c r="O4425">
        <v>8.9</v>
      </c>
      <c r="P4425">
        <v>5</v>
      </c>
      <c r="Q4425">
        <v>4</v>
      </c>
      <c r="R4425">
        <v>802381</v>
      </c>
      <c r="S4425">
        <f>Table1[[#This Row],[Revenue]]-Table1[[#This Row],[Operating_Costs]]</f>
        <v>228711</v>
      </c>
      <c r="T4425">
        <v>573670</v>
      </c>
      <c r="U4425">
        <v>30</v>
      </c>
      <c r="V4425">
        <v>55</v>
      </c>
      <c r="W4425">
        <v>12.9</v>
      </c>
    </row>
    <row r="4426" spans="1:23" x14ac:dyDescent="0.25">
      <c r="A4426">
        <v>14</v>
      </c>
      <c r="B4426" t="s">
        <v>48</v>
      </c>
      <c r="C4426" s="1">
        <v>45426</v>
      </c>
      <c r="D4426" t="s">
        <v>71</v>
      </c>
      <c r="E4426">
        <v>0</v>
      </c>
      <c r="F4426">
        <v>60</v>
      </c>
      <c r="G4426" t="str">
        <f t="shared" si="77"/>
        <v>41-60</v>
      </c>
      <c r="H4426" t="s">
        <v>35</v>
      </c>
      <c r="I4426" t="s">
        <v>60</v>
      </c>
      <c r="J4426" t="s">
        <v>59</v>
      </c>
      <c r="K4426" t="s">
        <v>42</v>
      </c>
      <c r="L4426">
        <v>1</v>
      </c>
      <c r="M4426">
        <v>1</v>
      </c>
      <c r="N4426">
        <v>6.2</v>
      </c>
      <c r="O4426">
        <v>8.6</v>
      </c>
      <c r="P4426">
        <v>6</v>
      </c>
      <c r="Q4426">
        <v>6</v>
      </c>
      <c r="R4426">
        <v>884322</v>
      </c>
      <c r="S4426">
        <f>Table1[[#This Row],[Revenue]]-Table1[[#This Row],[Operating_Costs]]</f>
        <v>249440</v>
      </c>
      <c r="T4426">
        <v>634882</v>
      </c>
      <c r="U4426">
        <v>48</v>
      </c>
      <c r="V4426">
        <v>57</v>
      </c>
      <c r="W4426">
        <v>9.8000000000000007</v>
      </c>
    </row>
    <row r="4427" spans="1:23" x14ac:dyDescent="0.25">
      <c r="A4427">
        <v>14</v>
      </c>
      <c r="B4427" t="s">
        <v>48</v>
      </c>
      <c r="C4427" s="1">
        <v>44559</v>
      </c>
      <c r="D4427" t="s">
        <v>71</v>
      </c>
      <c r="E4427">
        <v>0</v>
      </c>
      <c r="F4427">
        <v>44</v>
      </c>
      <c r="G4427" t="str">
        <f t="shared" si="77"/>
        <v>41-60</v>
      </c>
      <c r="H4427" t="s">
        <v>23</v>
      </c>
      <c r="I4427" t="s">
        <v>55</v>
      </c>
      <c r="J4427" t="s">
        <v>56</v>
      </c>
      <c r="K4427" t="s">
        <v>29</v>
      </c>
      <c r="L4427">
        <v>1</v>
      </c>
      <c r="M4427">
        <v>1</v>
      </c>
      <c r="N4427">
        <v>1.1000000000000001</v>
      </c>
      <c r="O4427">
        <v>7.6</v>
      </c>
      <c r="P4427">
        <v>5</v>
      </c>
      <c r="Q4427">
        <v>6</v>
      </c>
      <c r="R4427">
        <v>780792</v>
      </c>
      <c r="S4427">
        <f>Table1[[#This Row],[Revenue]]-Table1[[#This Row],[Operating_Costs]]</f>
        <v>111209</v>
      </c>
      <c r="T4427">
        <v>669583</v>
      </c>
      <c r="U4427">
        <v>40</v>
      </c>
      <c r="V4427">
        <v>57</v>
      </c>
      <c r="W4427">
        <v>7.6</v>
      </c>
    </row>
    <row r="4428" spans="1:23" x14ac:dyDescent="0.25">
      <c r="A4428">
        <v>14</v>
      </c>
      <c r="B4428" t="s">
        <v>48</v>
      </c>
      <c r="C4428" s="1">
        <v>44849</v>
      </c>
      <c r="D4428" t="s">
        <v>71</v>
      </c>
      <c r="E4428">
        <v>0</v>
      </c>
      <c r="F4428">
        <v>47</v>
      </c>
      <c r="G4428" t="str">
        <f t="shared" si="77"/>
        <v>41-60</v>
      </c>
      <c r="H4428" t="s">
        <v>23</v>
      </c>
      <c r="I4428" t="s">
        <v>46</v>
      </c>
      <c r="J4428" t="s">
        <v>47</v>
      </c>
      <c r="K4428" t="s">
        <v>26</v>
      </c>
      <c r="L4428">
        <v>1</v>
      </c>
      <c r="M4428">
        <v>1</v>
      </c>
      <c r="N4428">
        <v>3.6</v>
      </c>
      <c r="O4428">
        <v>7</v>
      </c>
      <c r="P4428">
        <v>4</v>
      </c>
      <c r="Q4428">
        <v>7</v>
      </c>
      <c r="R4428">
        <v>820502</v>
      </c>
      <c r="S4428">
        <f>Table1[[#This Row],[Revenue]]-Table1[[#This Row],[Operating_Costs]]</f>
        <v>156928</v>
      </c>
      <c r="T4428">
        <v>663574</v>
      </c>
      <c r="U4428">
        <v>34</v>
      </c>
      <c r="V4428">
        <v>65</v>
      </c>
      <c r="W4428">
        <v>12.6</v>
      </c>
    </row>
    <row r="4429" spans="1:23" x14ac:dyDescent="0.25">
      <c r="A4429">
        <v>14</v>
      </c>
      <c r="B4429" t="s">
        <v>48</v>
      </c>
      <c r="C4429" s="1">
        <v>44469</v>
      </c>
      <c r="D4429" t="s">
        <v>71</v>
      </c>
      <c r="E4429">
        <v>0</v>
      </c>
      <c r="F4429">
        <v>58</v>
      </c>
      <c r="G4429" t="str">
        <f t="shared" si="77"/>
        <v>41-60</v>
      </c>
      <c r="H4429" t="s">
        <v>35</v>
      </c>
      <c r="I4429" t="s">
        <v>46</v>
      </c>
      <c r="J4429" t="s">
        <v>47</v>
      </c>
      <c r="K4429" t="s">
        <v>42</v>
      </c>
      <c r="L4429">
        <v>1</v>
      </c>
      <c r="M4429">
        <v>1</v>
      </c>
      <c r="N4429">
        <v>7</v>
      </c>
      <c r="O4429">
        <v>8.4</v>
      </c>
      <c r="P4429">
        <v>5</v>
      </c>
      <c r="Q4429">
        <v>4</v>
      </c>
      <c r="R4429">
        <v>867614</v>
      </c>
      <c r="S4429">
        <f>Table1[[#This Row],[Revenue]]-Table1[[#This Row],[Operating_Costs]]</f>
        <v>360451</v>
      </c>
      <c r="T4429">
        <v>507163</v>
      </c>
      <c r="U4429">
        <v>46</v>
      </c>
      <c r="V4429">
        <v>60</v>
      </c>
      <c r="W4429">
        <v>36.4</v>
      </c>
    </row>
    <row r="4430" spans="1:23" x14ac:dyDescent="0.25">
      <c r="A4430">
        <v>14</v>
      </c>
      <c r="B4430" t="s">
        <v>48</v>
      </c>
      <c r="C4430" s="1">
        <v>44832</v>
      </c>
      <c r="D4430" t="s">
        <v>71</v>
      </c>
      <c r="E4430">
        <v>0</v>
      </c>
      <c r="F4430">
        <v>70</v>
      </c>
      <c r="G4430" t="str">
        <f t="shared" si="77"/>
        <v>61-80</v>
      </c>
      <c r="H4430" t="s">
        <v>35</v>
      </c>
      <c r="I4430" t="s">
        <v>61</v>
      </c>
      <c r="J4430" t="s">
        <v>62</v>
      </c>
      <c r="K4430" t="s">
        <v>42</v>
      </c>
      <c r="L4430">
        <v>1</v>
      </c>
      <c r="M4430">
        <v>1</v>
      </c>
      <c r="N4430">
        <v>4</v>
      </c>
      <c r="O4430">
        <v>9.3000000000000007</v>
      </c>
      <c r="P4430">
        <v>7</v>
      </c>
      <c r="Q4430">
        <v>6</v>
      </c>
      <c r="R4430">
        <v>770632</v>
      </c>
      <c r="S4430">
        <f>Table1[[#This Row],[Revenue]]-Table1[[#This Row],[Operating_Costs]]</f>
        <v>247564</v>
      </c>
      <c r="T4430">
        <v>523068</v>
      </c>
      <c r="U4430">
        <v>46</v>
      </c>
      <c r="V4430">
        <v>64</v>
      </c>
      <c r="W4430">
        <v>36.200000000000003</v>
      </c>
    </row>
    <row r="4431" spans="1:23" x14ac:dyDescent="0.25">
      <c r="A4431">
        <v>14</v>
      </c>
      <c r="B4431" t="s">
        <v>48</v>
      </c>
      <c r="C4431" s="1">
        <v>44939</v>
      </c>
      <c r="D4431" t="s">
        <v>71</v>
      </c>
      <c r="E4431">
        <v>0</v>
      </c>
      <c r="F4431">
        <v>57</v>
      </c>
      <c r="G4431" t="str">
        <f t="shared" si="77"/>
        <v>41-60</v>
      </c>
      <c r="H4431" t="s">
        <v>35</v>
      </c>
      <c r="I4431" t="s">
        <v>40</v>
      </c>
      <c r="J4431" t="s">
        <v>41</v>
      </c>
      <c r="K4431" t="s">
        <v>33</v>
      </c>
      <c r="L4431">
        <v>1</v>
      </c>
      <c r="M4431">
        <v>1</v>
      </c>
      <c r="N4431">
        <v>6.2</v>
      </c>
      <c r="O4431">
        <v>7.9</v>
      </c>
      <c r="P4431">
        <v>3</v>
      </c>
      <c r="Q4431">
        <v>3</v>
      </c>
      <c r="R4431">
        <v>875274</v>
      </c>
      <c r="S4431">
        <f>Table1[[#This Row],[Revenue]]-Table1[[#This Row],[Operating_Costs]]</f>
        <v>295494</v>
      </c>
      <c r="T4431">
        <v>579780</v>
      </c>
      <c r="U4431">
        <v>35</v>
      </c>
      <c r="V4431">
        <v>54</v>
      </c>
      <c r="W4431">
        <v>13.6</v>
      </c>
    </row>
    <row r="4432" spans="1:23" x14ac:dyDescent="0.25">
      <c r="A4432">
        <v>14</v>
      </c>
      <c r="B4432" t="s">
        <v>48</v>
      </c>
      <c r="C4432" s="1">
        <v>44351</v>
      </c>
      <c r="D4432" t="s">
        <v>71</v>
      </c>
      <c r="E4432">
        <v>0</v>
      </c>
      <c r="F4432">
        <v>21</v>
      </c>
      <c r="G4432" t="str">
        <f t="shared" si="77"/>
        <v>21-40</v>
      </c>
      <c r="H4432" t="s">
        <v>35</v>
      </c>
      <c r="I4432" t="s">
        <v>31</v>
      </c>
      <c r="J4432" t="s">
        <v>28</v>
      </c>
      <c r="K4432" t="s">
        <v>38</v>
      </c>
      <c r="L4432">
        <v>1</v>
      </c>
      <c r="M4432">
        <v>1</v>
      </c>
      <c r="N4432">
        <v>6.7</v>
      </c>
      <c r="O4432">
        <v>7.5</v>
      </c>
      <c r="P4432">
        <v>5</v>
      </c>
      <c r="Q4432">
        <v>7</v>
      </c>
      <c r="R4432">
        <v>816289</v>
      </c>
      <c r="S4432">
        <f>Table1[[#This Row],[Revenue]]-Table1[[#This Row],[Operating_Costs]]</f>
        <v>199198</v>
      </c>
      <c r="T4432">
        <v>617091</v>
      </c>
      <c r="U4432">
        <v>33</v>
      </c>
      <c r="V4432">
        <v>64</v>
      </c>
      <c r="W4432">
        <v>6.7</v>
      </c>
    </row>
    <row r="4433" spans="1:23" x14ac:dyDescent="0.25">
      <c r="A4433">
        <v>14</v>
      </c>
      <c r="B4433" t="s">
        <v>48</v>
      </c>
      <c r="C4433" s="1">
        <v>44524</v>
      </c>
      <c r="D4433" t="s">
        <v>71</v>
      </c>
      <c r="E4433">
        <v>0</v>
      </c>
      <c r="F4433">
        <v>90</v>
      </c>
      <c r="G4433" t="str">
        <f t="shared" si="77"/>
        <v>81+</v>
      </c>
      <c r="H4433" t="s">
        <v>35</v>
      </c>
      <c r="I4433" t="s">
        <v>36</v>
      </c>
      <c r="J4433" t="s">
        <v>37</v>
      </c>
      <c r="K4433" t="s">
        <v>38</v>
      </c>
      <c r="L4433">
        <v>1</v>
      </c>
      <c r="M4433">
        <v>1</v>
      </c>
      <c r="N4433">
        <v>3</v>
      </c>
      <c r="O4433">
        <v>9.6</v>
      </c>
      <c r="P4433">
        <v>7</v>
      </c>
      <c r="Q4433">
        <v>3</v>
      </c>
      <c r="R4433">
        <v>766294</v>
      </c>
      <c r="S4433">
        <f>Table1[[#This Row],[Revenue]]-Table1[[#This Row],[Operating_Costs]]</f>
        <v>86957</v>
      </c>
      <c r="T4433">
        <v>679337</v>
      </c>
      <c r="U4433">
        <v>44</v>
      </c>
      <c r="V4433">
        <v>58</v>
      </c>
      <c r="W4433">
        <v>9.6999999999999993</v>
      </c>
    </row>
    <row r="4434" spans="1:23" x14ac:dyDescent="0.25">
      <c r="A4434">
        <v>14</v>
      </c>
      <c r="B4434" t="s">
        <v>48</v>
      </c>
      <c r="C4434" s="1">
        <v>44674</v>
      </c>
      <c r="D4434" t="s">
        <v>71</v>
      </c>
      <c r="E4434">
        <v>0</v>
      </c>
      <c r="F4434">
        <v>79</v>
      </c>
      <c r="G4434" t="str">
        <f t="shared" si="77"/>
        <v>61-80</v>
      </c>
      <c r="H4434" t="s">
        <v>35</v>
      </c>
      <c r="I4434" t="s">
        <v>46</v>
      </c>
      <c r="J4434" t="s">
        <v>47</v>
      </c>
      <c r="K4434" t="s">
        <v>38</v>
      </c>
      <c r="L4434">
        <v>1</v>
      </c>
      <c r="M4434">
        <v>1</v>
      </c>
      <c r="N4434">
        <v>2</v>
      </c>
      <c r="O4434">
        <v>7.8</v>
      </c>
      <c r="P4434">
        <v>7</v>
      </c>
      <c r="Q4434">
        <v>6</v>
      </c>
      <c r="R4434">
        <v>714908</v>
      </c>
      <c r="S4434">
        <f>Table1[[#This Row],[Revenue]]-Table1[[#This Row],[Operating_Costs]]</f>
        <v>108143</v>
      </c>
      <c r="T4434">
        <v>606765</v>
      </c>
      <c r="U4434">
        <v>50</v>
      </c>
      <c r="V4434">
        <v>57</v>
      </c>
      <c r="W4434">
        <v>14.5</v>
      </c>
    </row>
    <row r="4435" spans="1:23" x14ac:dyDescent="0.25">
      <c r="A4435">
        <v>14</v>
      </c>
      <c r="B4435" t="s">
        <v>48</v>
      </c>
      <c r="C4435" s="1">
        <v>45302</v>
      </c>
      <c r="D4435" t="s">
        <v>71</v>
      </c>
      <c r="E4435">
        <v>0</v>
      </c>
      <c r="F4435">
        <v>43</v>
      </c>
      <c r="G4435" t="str">
        <f t="shared" si="77"/>
        <v>41-60</v>
      </c>
      <c r="H4435" t="s">
        <v>23</v>
      </c>
      <c r="I4435" t="s">
        <v>55</v>
      </c>
      <c r="J4435" t="s">
        <v>56</v>
      </c>
      <c r="K4435" t="s">
        <v>38</v>
      </c>
      <c r="L4435">
        <v>1</v>
      </c>
      <c r="M4435">
        <v>1</v>
      </c>
      <c r="N4435">
        <v>2.1</v>
      </c>
      <c r="O4435">
        <v>9.5</v>
      </c>
      <c r="P4435">
        <v>6</v>
      </c>
      <c r="Q4435">
        <v>5</v>
      </c>
      <c r="R4435">
        <v>823585</v>
      </c>
      <c r="S4435">
        <f>Table1[[#This Row],[Revenue]]-Table1[[#This Row],[Operating_Costs]]</f>
        <v>230516</v>
      </c>
      <c r="T4435">
        <v>593069</v>
      </c>
      <c r="U4435">
        <v>32</v>
      </c>
      <c r="V4435">
        <v>55</v>
      </c>
      <c r="W4435">
        <v>9.3000000000000007</v>
      </c>
    </row>
    <row r="4436" spans="1:23" x14ac:dyDescent="0.25">
      <c r="A4436">
        <v>14</v>
      </c>
      <c r="B4436" t="s">
        <v>48</v>
      </c>
      <c r="C4436" s="1">
        <v>44959</v>
      </c>
      <c r="D4436" t="s">
        <v>71</v>
      </c>
      <c r="E4436">
        <v>0</v>
      </c>
      <c r="F4436">
        <v>23</v>
      </c>
      <c r="G4436" t="str">
        <f t="shared" si="77"/>
        <v>21-40</v>
      </c>
      <c r="H4436" t="s">
        <v>35</v>
      </c>
      <c r="I4436" t="s">
        <v>46</v>
      </c>
      <c r="J4436" t="s">
        <v>47</v>
      </c>
      <c r="K4436" t="s">
        <v>26</v>
      </c>
      <c r="L4436">
        <v>1</v>
      </c>
      <c r="M4436">
        <v>1</v>
      </c>
      <c r="N4436">
        <v>3.3</v>
      </c>
      <c r="O4436">
        <v>7.6</v>
      </c>
      <c r="P4436">
        <v>5</v>
      </c>
      <c r="Q4436">
        <v>3</v>
      </c>
      <c r="R4436">
        <v>704287</v>
      </c>
      <c r="S4436">
        <f>Table1[[#This Row],[Revenue]]-Table1[[#This Row],[Operating_Costs]]</f>
        <v>183505</v>
      </c>
      <c r="T4436">
        <v>520782</v>
      </c>
      <c r="U4436">
        <v>44</v>
      </c>
      <c r="V4436">
        <v>58</v>
      </c>
      <c r="W4436">
        <v>9</v>
      </c>
    </row>
    <row r="4437" spans="1:23" x14ac:dyDescent="0.25">
      <c r="A4437">
        <v>14</v>
      </c>
      <c r="B4437" t="s">
        <v>48</v>
      </c>
      <c r="C4437" s="1">
        <v>45071</v>
      </c>
      <c r="D4437" t="s">
        <v>71</v>
      </c>
      <c r="E4437">
        <v>0</v>
      </c>
      <c r="F4437">
        <v>72</v>
      </c>
      <c r="G4437" t="str">
        <f t="shared" si="77"/>
        <v>61-80</v>
      </c>
      <c r="H4437" t="s">
        <v>35</v>
      </c>
      <c r="I4437" t="s">
        <v>36</v>
      </c>
      <c r="J4437" t="s">
        <v>37</v>
      </c>
      <c r="K4437" t="s">
        <v>33</v>
      </c>
      <c r="L4437">
        <v>1</v>
      </c>
      <c r="M4437">
        <v>1</v>
      </c>
      <c r="N4437">
        <v>7</v>
      </c>
      <c r="O4437">
        <v>7.5</v>
      </c>
      <c r="P4437">
        <v>4</v>
      </c>
      <c r="Q4437">
        <v>5</v>
      </c>
      <c r="R4437">
        <v>726956</v>
      </c>
      <c r="S4437">
        <f>Table1[[#This Row],[Revenue]]-Table1[[#This Row],[Operating_Costs]]</f>
        <v>64594</v>
      </c>
      <c r="T4437">
        <v>662362</v>
      </c>
      <c r="U4437">
        <v>44</v>
      </c>
      <c r="V4437">
        <v>62</v>
      </c>
      <c r="W4437">
        <v>14.9</v>
      </c>
    </row>
    <row r="4438" spans="1:23" x14ac:dyDescent="0.25">
      <c r="A4438">
        <v>14</v>
      </c>
      <c r="B4438" t="s">
        <v>48</v>
      </c>
      <c r="C4438" s="1">
        <v>45459</v>
      </c>
      <c r="D4438" t="s">
        <v>71</v>
      </c>
      <c r="E4438">
        <v>0</v>
      </c>
      <c r="F4438">
        <v>80</v>
      </c>
      <c r="G4438" t="str">
        <f t="shared" si="77"/>
        <v>61-80</v>
      </c>
      <c r="H4438" t="s">
        <v>35</v>
      </c>
      <c r="I4438" t="s">
        <v>46</v>
      </c>
      <c r="J4438" t="s">
        <v>47</v>
      </c>
      <c r="K4438" t="s">
        <v>38</v>
      </c>
      <c r="L4438">
        <v>1</v>
      </c>
      <c r="M4438">
        <v>1</v>
      </c>
      <c r="N4438">
        <v>2.2000000000000002</v>
      </c>
      <c r="O4438">
        <v>10</v>
      </c>
      <c r="P4438">
        <v>3</v>
      </c>
      <c r="Q4438">
        <v>6</v>
      </c>
      <c r="R4438">
        <v>701832</v>
      </c>
      <c r="S4438">
        <f>Table1[[#This Row],[Revenue]]-Table1[[#This Row],[Operating_Costs]]</f>
        <v>85529</v>
      </c>
      <c r="T4438">
        <v>616303</v>
      </c>
      <c r="U4438">
        <v>38</v>
      </c>
      <c r="V4438">
        <v>55</v>
      </c>
      <c r="W4438">
        <v>10.7</v>
      </c>
    </row>
    <row r="4439" spans="1:23" x14ac:dyDescent="0.25">
      <c r="A4439">
        <v>14</v>
      </c>
      <c r="B4439" t="s">
        <v>48</v>
      </c>
      <c r="C4439" s="1">
        <v>44496</v>
      </c>
      <c r="D4439" t="s">
        <v>71</v>
      </c>
      <c r="E4439">
        <v>0</v>
      </c>
      <c r="F4439">
        <v>56</v>
      </c>
      <c r="G4439" t="str">
        <f t="shared" si="77"/>
        <v>41-60</v>
      </c>
      <c r="H4439" t="s">
        <v>23</v>
      </c>
      <c r="I4439" t="s">
        <v>61</v>
      </c>
      <c r="J4439" t="s">
        <v>62</v>
      </c>
      <c r="K4439" t="s">
        <v>38</v>
      </c>
      <c r="L4439">
        <v>1</v>
      </c>
      <c r="M4439">
        <v>1</v>
      </c>
      <c r="N4439">
        <v>1.5</v>
      </c>
      <c r="O4439">
        <v>8.1</v>
      </c>
      <c r="P4439">
        <v>5</v>
      </c>
      <c r="Q4439">
        <v>3</v>
      </c>
      <c r="R4439">
        <v>705321</v>
      </c>
      <c r="S4439">
        <f>Table1[[#This Row],[Revenue]]-Table1[[#This Row],[Operating_Costs]]</f>
        <v>147878</v>
      </c>
      <c r="T4439">
        <v>557443</v>
      </c>
      <c r="U4439">
        <v>34</v>
      </c>
      <c r="V4439">
        <v>59</v>
      </c>
      <c r="W4439">
        <v>6.8</v>
      </c>
    </row>
    <row r="4440" spans="1:23" x14ac:dyDescent="0.25">
      <c r="A4440">
        <v>14</v>
      </c>
      <c r="B4440" t="s">
        <v>48</v>
      </c>
      <c r="C4440" s="1">
        <v>44400</v>
      </c>
      <c r="D4440" t="s">
        <v>71</v>
      </c>
      <c r="E4440">
        <v>0</v>
      </c>
      <c r="F4440">
        <v>32</v>
      </c>
      <c r="G4440" t="str">
        <f t="shared" si="77"/>
        <v>21-40</v>
      </c>
      <c r="H4440" t="s">
        <v>23</v>
      </c>
      <c r="I4440" t="s">
        <v>58</v>
      </c>
      <c r="J4440" t="s">
        <v>59</v>
      </c>
      <c r="K4440" t="s">
        <v>26</v>
      </c>
      <c r="L4440">
        <v>1</v>
      </c>
      <c r="M4440">
        <v>1</v>
      </c>
      <c r="N4440">
        <v>5.7</v>
      </c>
      <c r="O4440">
        <v>7.6</v>
      </c>
      <c r="P4440">
        <v>5</v>
      </c>
      <c r="Q4440">
        <v>4</v>
      </c>
      <c r="R4440">
        <v>780803</v>
      </c>
      <c r="S4440">
        <f>Table1[[#This Row],[Revenue]]-Table1[[#This Row],[Operating_Costs]]</f>
        <v>110437</v>
      </c>
      <c r="T4440">
        <v>670366</v>
      </c>
      <c r="U4440">
        <v>47</v>
      </c>
      <c r="V4440">
        <v>63</v>
      </c>
      <c r="W4440">
        <v>6</v>
      </c>
    </row>
    <row r="4441" spans="1:23" x14ac:dyDescent="0.25">
      <c r="A4441">
        <v>14</v>
      </c>
      <c r="B4441" t="s">
        <v>48</v>
      </c>
      <c r="C4441" s="1">
        <v>45059</v>
      </c>
      <c r="D4441" t="s">
        <v>71</v>
      </c>
      <c r="E4441">
        <v>0</v>
      </c>
      <c r="F4441">
        <v>43</v>
      </c>
      <c r="G4441" t="str">
        <f t="shared" si="77"/>
        <v>41-60</v>
      </c>
      <c r="H4441" t="s">
        <v>23</v>
      </c>
      <c r="I4441" t="s">
        <v>61</v>
      </c>
      <c r="J4441" t="s">
        <v>62</v>
      </c>
      <c r="K4441" t="s">
        <v>29</v>
      </c>
      <c r="L4441">
        <v>1</v>
      </c>
      <c r="M4441">
        <v>1</v>
      </c>
      <c r="N4441">
        <v>5.0999999999999996</v>
      </c>
      <c r="O4441">
        <v>7.1</v>
      </c>
      <c r="P4441">
        <v>4</v>
      </c>
      <c r="Q4441">
        <v>7</v>
      </c>
      <c r="R4441">
        <v>814520</v>
      </c>
      <c r="S4441">
        <f>Table1[[#This Row],[Revenue]]-Table1[[#This Row],[Operating_Costs]]</f>
        <v>175321</v>
      </c>
      <c r="T4441">
        <v>639199</v>
      </c>
      <c r="U4441">
        <v>34</v>
      </c>
      <c r="V4441">
        <v>63</v>
      </c>
      <c r="W4441">
        <v>14.8</v>
      </c>
    </row>
    <row r="4442" spans="1:23" x14ac:dyDescent="0.25">
      <c r="A4442">
        <v>14</v>
      </c>
      <c r="B4442" t="s">
        <v>48</v>
      </c>
      <c r="C4442" s="1">
        <v>44944</v>
      </c>
      <c r="D4442" t="s">
        <v>71</v>
      </c>
      <c r="E4442">
        <v>0</v>
      </c>
      <c r="F4442">
        <v>40</v>
      </c>
      <c r="G4442" t="str">
        <f t="shared" si="77"/>
        <v>21-40</v>
      </c>
      <c r="H4442" t="s">
        <v>23</v>
      </c>
      <c r="I4442" t="s">
        <v>55</v>
      </c>
      <c r="J4442" t="s">
        <v>56</v>
      </c>
      <c r="K4442" t="s">
        <v>33</v>
      </c>
      <c r="L4442">
        <v>1</v>
      </c>
      <c r="M4442">
        <v>1</v>
      </c>
      <c r="N4442">
        <v>5.5</v>
      </c>
      <c r="O4442">
        <v>9.6999999999999993</v>
      </c>
      <c r="P4442">
        <v>4</v>
      </c>
      <c r="Q4442">
        <v>7</v>
      </c>
      <c r="R4442">
        <v>840012</v>
      </c>
      <c r="S4442">
        <f>Table1[[#This Row],[Revenue]]-Table1[[#This Row],[Operating_Costs]]</f>
        <v>287871</v>
      </c>
      <c r="T4442">
        <v>552141</v>
      </c>
      <c r="U4442">
        <v>32</v>
      </c>
      <c r="V4442">
        <v>57</v>
      </c>
      <c r="W4442">
        <v>5.0999999999999996</v>
      </c>
    </row>
    <row r="4443" spans="1:23" x14ac:dyDescent="0.25">
      <c r="A4443">
        <v>14</v>
      </c>
      <c r="B4443" t="s">
        <v>48</v>
      </c>
      <c r="C4443" s="1">
        <v>44359</v>
      </c>
      <c r="D4443" t="s">
        <v>71</v>
      </c>
      <c r="E4443">
        <v>0</v>
      </c>
      <c r="F4443">
        <v>49</v>
      </c>
      <c r="G4443" t="str">
        <f t="shared" si="77"/>
        <v>41-60</v>
      </c>
      <c r="H4443" t="s">
        <v>23</v>
      </c>
      <c r="I4443" t="s">
        <v>61</v>
      </c>
      <c r="J4443" t="s">
        <v>62</v>
      </c>
      <c r="K4443" t="s">
        <v>29</v>
      </c>
      <c r="L4443">
        <v>1</v>
      </c>
      <c r="M4443">
        <v>1</v>
      </c>
      <c r="N4443">
        <v>4.9000000000000004</v>
      </c>
      <c r="O4443">
        <v>7.1</v>
      </c>
      <c r="P4443">
        <v>7</v>
      </c>
      <c r="Q4443">
        <v>3</v>
      </c>
      <c r="R4443">
        <v>837331</v>
      </c>
      <c r="S4443">
        <f>Table1[[#This Row],[Revenue]]-Table1[[#This Row],[Operating_Costs]]</f>
        <v>218742</v>
      </c>
      <c r="T4443">
        <v>618589</v>
      </c>
      <c r="U4443">
        <v>47</v>
      </c>
      <c r="V4443">
        <v>65</v>
      </c>
      <c r="W4443">
        <v>5.4</v>
      </c>
    </row>
    <row r="4444" spans="1:23" x14ac:dyDescent="0.25">
      <c r="A4444">
        <v>14</v>
      </c>
      <c r="B4444" t="s">
        <v>48</v>
      </c>
      <c r="C4444" s="1">
        <v>44264</v>
      </c>
      <c r="D4444" t="s">
        <v>71</v>
      </c>
      <c r="E4444">
        <v>0</v>
      </c>
      <c r="F4444">
        <v>36</v>
      </c>
      <c r="G4444" t="str">
        <f t="shared" si="77"/>
        <v>21-40</v>
      </c>
      <c r="H4444" t="s">
        <v>23</v>
      </c>
      <c r="I4444" t="s">
        <v>40</v>
      </c>
      <c r="J4444" t="s">
        <v>41</v>
      </c>
      <c r="K4444" t="s">
        <v>38</v>
      </c>
      <c r="L4444">
        <v>1</v>
      </c>
      <c r="M4444">
        <v>1</v>
      </c>
      <c r="N4444">
        <v>4.2</v>
      </c>
      <c r="O4444">
        <v>8.1999999999999993</v>
      </c>
      <c r="P4444">
        <v>4</v>
      </c>
      <c r="Q4444">
        <v>4</v>
      </c>
      <c r="R4444">
        <v>802530</v>
      </c>
      <c r="S4444">
        <f>Table1[[#This Row],[Revenue]]-Table1[[#This Row],[Operating_Costs]]</f>
        <v>242761</v>
      </c>
      <c r="T4444">
        <v>559769</v>
      </c>
      <c r="U4444">
        <v>43</v>
      </c>
      <c r="V4444">
        <v>57</v>
      </c>
      <c r="W4444">
        <v>36.5</v>
      </c>
    </row>
    <row r="4445" spans="1:23" x14ac:dyDescent="0.25">
      <c r="A4445">
        <v>14</v>
      </c>
      <c r="B4445" t="s">
        <v>48</v>
      </c>
      <c r="C4445" s="1">
        <v>44262</v>
      </c>
      <c r="D4445" t="s">
        <v>71</v>
      </c>
      <c r="E4445">
        <v>0</v>
      </c>
      <c r="F4445">
        <v>59</v>
      </c>
      <c r="G4445" t="str">
        <f t="shared" si="77"/>
        <v>41-60</v>
      </c>
      <c r="H4445" t="s">
        <v>35</v>
      </c>
      <c r="I4445" t="s">
        <v>36</v>
      </c>
      <c r="J4445" t="s">
        <v>37</v>
      </c>
      <c r="K4445" t="s">
        <v>42</v>
      </c>
      <c r="L4445">
        <v>1</v>
      </c>
      <c r="M4445">
        <v>1</v>
      </c>
      <c r="N4445">
        <v>6.5</v>
      </c>
      <c r="O4445">
        <v>9.1999999999999993</v>
      </c>
      <c r="P4445">
        <v>3</v>
      </c>
      <c r="Q4445">
        <v>4</v>
      </c>
      <c r="R4445">
        <v>760500</v>
      </c>
      <c r="S4445">
        <f>Table1[[#This Row],[Revenue]]-Table1[[#This Row],[Operating_Costs]]</f>
        <v>231368</v>
      </c>
      <c r="T4445">
        <v>529132</v>
      </c>
      <c r="U4445">
        <v>49</v>
      </c>
      <c r="V4445">
        <v>66</v>
      </c>
      <c r="W4445">
        <v>12.6</v>
      </c>
    </row>
    <row r="4446" spans="1:23" x14ac:dyDescent="0.25">
      <c r="A4446">
        <v>14</v>
      </c>
      <c r="B4446" t="s">
        <v>48</v>
      </c>
      <c r="C4446" s="1">
        <v>44618</v>
      </c>
      <c r="D4446" t="s">
        <v>71</v>
      </c>
      <c r="E4446">
        <v>0</v>
      </c>
      <c r="F4446">
        <v>90</v>
      </c>
      <c r="G4446" t="str">
        <f t="shared" si="77"/>
        <v>81+</v>
      </c>
      <c r="H4446" t="s">
        <v>23</v>
      </c>
      <c r="I4446" t="s">
        <v>24</v>
      </c>
      <c r="J4446" t="s">
        <v>25</v>
      </c>
      <c r="K4446" t="s">
        <v>29</v>
      </c>
      <c r="L4446">
        <v>1</v>
      </c>
      <c r="M4446">
        <v>1</v>
      </c>
      <c r="N4446">
        <v>4.7</v>
      </c>
      <c r="O4446">
        <v>8.6</v>
      </c>
      <c r="P4446">
        <v>3</v>
      </c>
      <c r="Q4446">
        <v>6</v>
      </c>
      <c r="R4446">
        <v>779407</v>
      </c>
      <c r="S4446">
        <f>Table1[[#This Row],[Revenue]]-Table1[[#This Row],[Operating_Costs]]</f>
        <v>143213</v>
      </c>
      <c r="T4446">
        <v>636194</v>
      </c>
      <c r="U4446">
        <v>39</v>
      </c>
      <c r="V4446">
        <v>58</v>
      </c>
      <c r="W4446">
        <v>7.9</v>
      </c>
    </row>
    <row r="4447" spans="1:23" x14ac:dyDescent="0.25">
      <c r="A4447">
        <v>14</v>
      </c>
      <c r="B4447" t="s">
        <v>48</v>
      </c>
      <c r="C4447" s="1">
        <v>44729</v>
      </c>
      <c r="D4447" t="s">
        <v>71</v>
      </c>
      <c r="E4447">
        <v>0</v>
      </c>
      <c r="F4447">
        <v>40</v>
      </c>
      <c r="G4447" t="str">
        <f t="shared" si="77"/>
        <v>21-40</v>
      </c>
      <c r="H4447" t="s">
        <v>35</v>
      </c>
      <c r="I4447" t="s">
        <v>50</v>
      </c>
      <c r="J4447" t="s">
        <v>51</v>
      </c>
      <c r="K4447" t="s">
        <v>33</v>
      </c>
      <c r="L4447">
        <v>1</v>
      </c>
      <c r="M4447">
        <v>1</v>
      </c>
      <c r="N4447">
        <v>2.8</v>
      </c>
      <c r="O4447">
        <v>9.6</v>
      </c>
      <c r="P4447">
        <v>4</v>
      </c>
      <c r="Q4447">
        <v>3</v>
      </c>
      <c r="R4447">
        <v>828345</v>
      </c>
      <c r="S4447">
        <f>Table1[[#This Row],[Revenue]]-Table1[[#This Row],[Operating_Costs]]</f>
        <v>205447</v>
      </c>
      <c r="T4447">
        <v>622898</v>
      </c>
      <c r="U4447">
        <v>40</v>
      </c>
      <c r="V4447">
        <v>59</v>
      </c>
      <c r="W4447">
        <v>15</v>
      </c>
    </row>
    <row r="4448" spans="1:23" x14ac:dyDescent="0.25">
      <c r="A4448">
        <v>14</v>
      </c>
      <c r="B4448" t="s">
        <v>48</v>
      </c>
      <c r="C4448" s="1">
        <v>44745</v>
      </c>
      <c r="D4448" t="s">
        <v>71</v>
      </c>
      <c r="E4448">
        <v>0</v>
      </c>
      <c r="F4448">
        <v>33</v>
      </c>
      <c r="G4448" t="str">
        <f t="shared" si="77"/>
        <v>21-40</v>
      </c>
      <c r="H4448" t="s">
        <v>23</v>
      </c>
      <c r="I4448" t="s">
        <v>55</v>
      </c>
      <c r="J4448" t="s">
        <v>56</v>
      </c>
      <c r="K4448" t="s">
        <v>29</v>
      </c>
      <c r="L4448">
        <v>1</v>
      </c>
      <c r="M4448">
        <v>1</v>
      </c>
      <c r="N4448">
        <v>5.9</v>
      </c>
      <c r="O4448">
        <v>7.1</v>
      </c>
      <c r="P4448">
        <v>7</v>
      </c>
      <c r="Q4448">
        <v>6</v>
      </c>
      <c r="R4448">
        <v>797719</v>
      </c>
      <c r="S4448">
        <f>Table1[[#This Row],[Revenue]]-Table1[[#This Row],[Operating_Costs]]</f>
        <v>124058</v>
      </c>
      <c r="T4448">
        <v>673661</v>
      </c>
      <c r="U4448">
        <v>40</v>
      </c>
      <c r="V4448">
        <v>56</v>
      </c>
      <c r="W4448">
        <v>8.1</v>
      </c>
    </row>
    <row r="4449" spans="1:23" x14ac:dyDescent="0.25">
      <c r="A4449">
        <v>14</v>
      </c>
      <c r="B4449" t="s">
        <v>48</v>
      </c>
      <c r="C4449" s="1">
        <v>44796</v>
      </c>
      <c r="D4449" t="s">
        <v>71</v>
      </c>
      <c r="E4449">
        <v>0</v>
      </c>
      <c r="F4449">
        <v>51</v>
      </c>
      <c r="G4449" t="str">
        <f t="shared" si="77"/>
        <v>41-60</v>
      </c>
      <c r="H4449" t="s">
        <v>35</v>
      </c>
      <c r="I4449" t="s">
        <v>64</v>
      </c>
      <c r="J4449" t="s">
        <v>65</v>
      </c>
      <c r="K4449" t="s">
        <v>26</v>
      </c>
      <c r="L4449">
        <v>1</v>
      </c>
      <c r="M4449">
        <v>1</v>
      </c>
      <c r="N4449">
        <v>6.4</v>
      </c>
      <c r="O4449">
        <v>9.6</v>
      </c>
      <c r="P4449">
        <v>5</v>
      </c>
      <c r="Q4449">
        <v>3</v>
      </c>
      <c r="R4449">
        <v>779769</v>
      </c>
      <c r="S4449">
        <f>Table1[[#This Row],[Revenue]]-Table1[[#This Row],[Operating_Costs]]</f>
        <v>150114</v>
      </c>
      <c r="T4449">
        <v>629655</v>
      </c>
      <c r="U4449">
        <v>40</v>
      </c>
      <c r="V4449">
        <v>64</v>
      </c>
      <c r="W4449">
        <v>6.4</v>
      </c>
    </row>
    <row r="4450" spans="1:23" x14ac:dyDescent="0.25">
      <c r="A4450">
        <v>14</v>
      </c>
      <c r="B4450" t="s">
        <v>48</v>
      </c>
      <c r="C4450" s="1">
        <v>44459</v>
      </c>
      <c r="D4450" t="s">
        <v>71</v>
      </c>
      <c r="E4450">
        <v>0</v>
      </c>
      <c r="F4450">
        <v>37</v>
      </c>
      <c r="G4450" t="str">
        <f t="shared" si="77"/>
        <v>21-40</v>
      </c>
      <c r="H4450" t="s">
        <v>35</v>
      </c>
      <c r="I4450" t="s">
        <v>58</v>
      </c>
      <c r="J4450" t="s">
        <v>59</v>
      </c>
      <c r="K4450" t="s">
        <v>29</v>
      </c>
      <c r="L4450">
        <v>1</v>
      </c>
      <c r="M4450">
        <v>1</v>
      </c>
      <c r="N4450">
        <v>1.5</v>
      </c>
      <c r="O4450">
        <v>9.6999999999999993</v>
      </c>
      <c r="P4450">
        <v>4</v>
      </c>
      <c r="Q4450">
        <v>5</v>
      </c>
      <c r="R4450">
        <v>852607</v>
      </c>
      <c r="S4450">
        <f>Table1[[#This Row],[Revenue]]-Table1[[#This Row],[Operating_Costs]]</f>
        <v>193709</v>
      </c>
      <c r="T4450">
        <v>658898</v>
      </c>
      <c r="U4450">
        <v>32</v>
      </c>
      <c r="V4450">
        <v>62</v>
      </c>
      <c r="W4450">
        <v>13.2</v>
      </c>
    </row>
    <row r="4451" spans="1:23" x14ac:dyDescent="0.25">
      <c r="A4451">
        <v>14</v>
      </c>
      <c r="B4451" t="s">
        <v>48</v>
      </c>
      <c r="C4451" s="1">
        <v>44506</v>
      </c>
      <c r="D4451" t="s">
        <v>71</v>
      </c>
      <c r="E4451">
        <v>0</v>
      </c>
      <c r="F4451">
        <v>25</v>
      </c>
      <c r="G4451" t="str">
        <f t="shared" si="77"/>
        <v>21-40</v>
      </c>
      <c r="H4451" t="s">
        <v>35</v>
      </c>
      <c r="I4451" t="s">
        <v>60</v>
      </c>
      <c r="J4451" t="s">
        <v>59</v>
      </c>
      <c r="K4451" t="s">
        <v>42</v>
      </c>
      <c r="L4451">
        <v>1</v>
      </c>
      <c r="M4451">
        <v>1</v>
      </c>
      <c r="N4451">
        <v>4</v>
      </c>
      <c r="O4451">
        <v>8.6</v>
      </c>
      <c r="P4451">
        <v>4</v>
      </c>
      <c r="Q4451">
        <v>5</v>
      </c>
      <c r="R4451">
        <v>818917</v>
      </c>
      <c r="S4451">
        <f>Table1[[#This Row],[Revenue]]-Table1[[#This Row],[Operating_Costs]]</f>
        <v>286858</v>
      </c>
      <c r="T4451">
        <v>532059</v>
      </c>
      <c r="U4451">
        <v>36</v>
      </c>
      <c r="V4451">
        <v>63</v>
      </c>
      <c r="W4451">
        <v>9</v>
      </c>
    </row>
    <row r="4452" spans="1:23" x14ac:dyDescent="0.25">
      <c r="A4452">
        <v>14</v>
      </c>
      <c r="B4452" t="s">
        <v>48</v>
      </c>
      <c r="C4452" s="1">
        <v>44624</v>
      </c>
      <c r="D4452" t="s">
        <v>71</v>
      </c>
      <c r="E4452">
        <v>0</v>
      </c>
      <c r="F4452">
        <v>33</v>
      </c>
      <c r="G4452" t="str">
        <f t="shared" si="77"/>
        <v>21-40</v>
      </c>
      <c r="H4452" t="s">
        <v>35</v>
      </c>
      <c r="I4452" t="s">
        <v>40</v>
      </c>
      <c r="J4452" t="s">
        <v>41</v>
      </c>
      <c r="K4452" t="s">
        <v>33</v>
      </c>
      <c r="L4452">
        <v>1</v>
      </c>
      <c r="M4452">
        <v>1</v>
      </c>
      <c r="N4452">
        <v>3</v>
      </c>
      <c r="O4452">
        <v>9.3000000000000007</v>
      </c>
      <c r="P4452">
        <v>6</v>
      </c>
      <c r="Q4452">
        <v>3</v>
      </c>
      <c r="R4452">
        <v>830200</v>
      </c>
      <c r="S4452">
        <f>Table1[[#This Row],[Revenue]]-Table1[[#This Row],[Operating_Costs]]</f>
        <v>321163</v>
      </c>
      <c r="T4452">
        <v>509037</v>
      </c>
      <c r="U4452">
        <v>31</v>
      </c>
      <c r="V4452">
        <v>64</v>
      </c>
      <c r="W4452">
        <v>36.1</v>
      </c>
    </row>
    <row r="4453" spans="1:23" x14ac:dyDescent="0.25">
      <c r="A4453">
        <v>14</v>
      </c>
      <c r="B4453" t="s">
        <v>48</v>
      </c>
      <c r="C4453" s="1">
        <v>44324</v>
      </c>
      <c r="D4453" t="s">
        <v>71</v>
      </c>
      <c r="E4453">
        <v>0</v>
      </c>
      <c r="F4453">
        <v>30</v>
      </c>
      <c r="G4453" t="str">
        <f t="shared" si="77"/>
        <v>21-40</v>
      </c>
      <c r="H4453" t="s">
        <v>35</v>
      </c>
      <c r="I4453" t="s">
        <v>46</v>
      </c>
      <c r="J4453" t="s">
        <v>47</v>
      </c>
      <c r="K4453" t="s">
        <v>26</v>
      </c>
      <c r="L4453">
        <v>1</v>
      </c>
      <c r="M4453">
        <v>1</v>
      </c>
      <c r="N4453">
        <v>1.7</v>
      </c>
      <c r="O4453">
        <v>7.3</v>
      </c>
      <c r="P4453">
        <v>3</v>
      </c>
      <c r="Q4453">
        <v>6</v>
      </c>
      <c r="R4453">
        <v>708764</v>
      </c>
      <c r="S4453">
        <f>Table1[[#This Row],[Revenue]]-Table1[[#This Row],[Operating_Costs]]</f>
        <v>54625</v>
      </c>
      <c r="T4453">
        <v>654139</v>
      </c>
      <c r="U4453">
        <v>35</v>
      </c>
      <c r="V4453">
        <v>65</v>
      </c>
      <c r="W4453">
        <v>5.8</v>
      </c>
    </row>
    <row r="4454" spans="1:23" x14ac:dyDescent="0.25">
      <c r="A4454">
        <v>14</v>
      </c>
      <c r="B4454" t="s">
        <v>48</v>
      </c>
      <c r="C4454" s="1">
        <v>44650</v>
      </c>
      <c r="D4454" t="s">
        <v>71</v>
      </c>
      <c r="E4454">
        <v>0</v>
      </c>
      <c r="F4454">
        <v>51</v>
      </c>
      <c r="G4454" t="str">
        <f t="shared" si="77"/>
        <v>41-60</v>
      </c>
      <c r="H4454" t="s">
        <v>35</v>
      </c>
      <c r="I4454" t="s">
        <v>60</v>
      </c>
      <c r="J4454" t="s">
        <v>59</v>
      </c>
      <c r="K4454" t="s">
        <v>42</v>
      </c>
      <c r="L4454">
        <v>1</v>
      </c>
      <c r="M4454">
        <v>1</v>
      </c>
      <c r="N4454">
        <v>1.2</v>
      </c>
      <c r="O4454">
        <v>8.9</v>
      </c>
      <c r="P4454">
        <v>3</v>
      </c>
      <c r="Q4454">
        <v>5</v>
      </c>
      <c r="R4454">
        <v>749422</v>
      </c>
      <c r="S4454">
        <f>Table1[[#This Row],[Revenue]]-Table1[[#This Row],[Operating_Costs]]</f>
        <v>178125</v>
      </c>
      <c r="T4454">
        <v>571297</v>
      </c>
      <c r="U4454">
        <v>35</v>
      </c>
      <c r="V4454">
        <v>54</v>
      </c>
      <c r="W4454">
        <v>12.9</v>
      </c>
    </row>
    <row r="4455" spans="1:23" x14ac:dyDescent="0.25">
      <c r="A4455">
        <v>14</v>
      </c>
      <c r="B4455" t="s">
        <v>48</v>
      </c>
      <c r="C4455" s="1">
        <v>44840</v>
      </c>
      <c r="D4455" t="s">
        <v>71</v>
      </c>
      <c r="E4455">
        <v>0</v>
      </c>
      <c r="F4455">
        <v>45</v>
      </c>
      <c r="G4455" t="str">
        <f t="shared" si="77"/>
        <v>41-60</v>
      </c>
      <c r="H4455" t="s">
        <v>35</v>
      </c>
      <c r="I4455" t="s">
        <v>40</v>
      </c>
      <c r="J4455" t="s">
        <v>41</v>
      </c>
      <c r="K4455" t="s">
        <v>33</v>
      </c>
      <c r="L4455">
        <v>1</v>
      </c>
      <c r="M4455">
        <v>1</v>
      </c>
      <c r="N4455">
        <v>3</v>
      </c>
      <c r="O4455">
        <v>8.8000000000000007</v>
      </c>
      <c r="P4455">
        <v>4</v>
      </c>
      <c r="Q4455">
        <v>3</v>
      </c>
      <c r="R4455">
        <v>737971</v>
      </c>
      <c r="S4455">
        <f>Table1[[#This Row],[Revenue]]-Table1[[#This Row],[Operating_Costs]]</f>
        <v>87986</v>
      </c>
      <c r="T4455">
        <v>649985</v>
      </c>
      <c r="U4455">
        <v>33</v>
      </c>
      <c r="V4455">
        <v>63</v>
      </c>
      <c r="W4455">
        <v>9.6</v>
      </c>
    </row>
    <row r="4456" spans="1:23" x14ac:dyDescent="0.25">
      <c r="A4456">
        <v>14</v>
      </c>
      <c r="B4456" t="s">
        <v>48</v>
      </c>
      <c r="C4456" s="1">
        <v>45408</v>
      </c>
      <c r="D4456" t="s">
        <v>71</v>
      </c>
      <c r="E4456">
        <v>0</v>
      </c>
      <c r="F4456">
        <v>27</v>
      </c>
      <c r="G4456" t="str">
        <f t="shared" si="77"/>
        <v>21-40</v>
      </c>
      <c r="H4456" t="s">
        <v>35</v>
      </c>
      <c r="I4456" t="s">
        <v>53</v>
      </c>
      <c r="J4456" t="s">
        <v>54</v>
      </c>
      <c r="K4456" t="s">
        <v>26</v>
      </c>
      <c r="L4456">
        <v>1</v>
      </c>
      <c r="M4456">
        <v>1</v>
      </c>
      <c r="N4456">
        <v>4.4000000000000004</v>
      </c>
      <c r="O4456">
        <v>8.8000000000000007</v>
      </c>
      <c r="P4456">
        <v>3</v>
      </c>
      <c r="Q4456">
        <v>5</v>
      </c>
      <c r="R4456">
        <v>734258</v>
      </c>
      <c r="S4456">
        <f>Table1[[#This Row],[Revenue]]-Table1[[#This Row],[Operating_Costs]]</f>
        <v>196806</v>
      </c>
      <c r="T4456">
        <v>537452</v>
      </c>
      <c r="U4456">
        <v>45</v>
      </c>
      <c r="V4456">
        <v>60</v>
      </c>
      <c r="W4456">
        <v>36.5</v>
      </c>
    </row>
    <row r="4457" spans="1:23" x14ac:dyDescent="0.25">
      <c r="A4457">
        <v>14</v>
      </c>
      <c r="B4457" t="s">
        <v>48</v>
      </c>
      <c r="C4457" s="1">
        <v>45290</v>
      </c>
      <c r="D4457" t="s">
        <v>71</v>
      </c>
      <c r="E4457">
        <v>0</v>
      </c>
      <c r="F4457">
        <v>42</v>
      </c>
      <c r="G4457" t="str">
        <f t="shared" si="77"/>
        <v>41-60</v>
      </c>
      <c r="H4457" t="s">
        <v>35</v>
      </c>
      <c r="I4457" t="s">
        <v>31</v>
      </c>
      <c r="J4457" t="s">
        <v>28</v>
      </c>
      <c r="K4457" t="s">
        <v>33</v>
      </c>
      <c r="L4457">
        <v>1</v>
      </c>
      <c r="M4457">
        <v>1</v>
      </c>
      <c r="N4457">
        <v>5</v>
      </c>
      <c r="O4457">
        <v>7.5</v>
      </c>
      <c r="P4457">
        <v>5</v>
      </c>
      <c r="Q4457">
        <v>7</v>
      </c>
      <c r="R4457">
        <v>887932</v>
      </c>
      <c r="S4457">
        <f>Table1[[#This Row],[Revenue]]-Table1[[#This Row],[Operating_Costs]]</f>
        <v>215945</v>
      </c>
      <c r="T4457">
        <v>671987</v>
      </c>
      <c r="U4457">
        <v>35</v>
      </c>
      <c r="V4457">
        <v>59</v>
      </c>
      <c r="W4457">
        <v>8.6999999999999993</v>
      </c>
    </row>
    <row r="4458" spans="1:23" x14ac:dyDescent="0.25">
      <c r="A4458">
        <v>14</v>
      </c>
      <c r="B4458" t="s">
        <v>48</v>
      </c>
      <c r="C4458" s="1">
        <v>44692</v>
      </c>
      <c r="D4458" t="s">
        <v>71</v>
      </c>
      <c r="E4458">
        <v>0</v>
      </c>
      <c r="F4458">
        <v>22</v>
      </c>
      <c r="G4458" t="str">
        <f t="shared" si="77"/>
        <v>21-40</v>
      </c>
      <c r="H4458" t="s">
        <v>35</v>
      </c>
      <c r="I4458" t="s">
        <v>61</v>
      </c>
      <c r="J4458" t="s">
        <v>62</v>
      </c>
      <c r="K4458" t="s">
        <v>42</v>
      </c>
      <c r="L4458">
        <v>1</v>
      </c>
      <c r="M4458">
        <v>1</v>
      </c>
      <c r="N4458">
        <v>2.1</v>
      </c>
      <c r="O4458">
        <v>8.5</v>
      </c>
      <c r="P4458">
        <v>7</v>
      </c>
      <c r="Q4458">
        <v>4</v>
      </c>
      <c r="R4458">
        <v>817752</v>
      </c>
      <c r="S4458">
        <f>Table1[[#This Row],[Revenue]]-Table1[[#This Row],[Operating_Costs]]</f>
        <v>220602</v>
      </c>
      <c r="T4458">
        <v>597150</v>
      </c>
      <c r="U4458">
        <v>34</v>
      </c>
      <c r="V4458">
        <v>57</v>
      </c>
      <c r="W4458">
        <v>5.3</v>
      </c>
    </row>
    <row r="4459" spans="1:23" x14ac:dyDescent="0.25">
      <c r="A4459">
        <v>14</v>
      </c>
      <c r="B4459" t="s">
        <v>48</v>
      </c>
      <c r="C4459" s="1">
        <v>45090</v>
      </c>
      <c r="D4459" t="s">
        <v>71</v>
      </c>
      <c r="E4459">
        <v>0</v>
      </c>
      <c r="F4459">
        <v>87</v>
      </c>
      <c r="G4459" t="str">
        <f t="shared" si="77"/>
        <v>81+</v>
      </c>
      <c r="H4459" t="s">
        <v>35</v>
      </c>
      <c r="I4459" t="s">
        <v>50</v>
      </c>
      <c r="J4459" t="s">
        <v>51</v>
      </c>
      <c r="K4459" t="s">
        <v>38</v>
      </c>
      <c r="L4459">
        <v>1</v>
      </c>
      <c r="M4459">
        <v>1</v>
      </c>
      <c r="N4459">
        <v>1.6</v>
      </c>
      <c r="O4459">
        <v>9.5</v>
      </c>
      <c r="P4459">
        <v>7</v>
      </c>
      <c r="Q4459">
        <v>7</v>
      </c>
      <c r="R4459">
        <v>720254</v>
      </c>
      <c r="S4459">
        <f>Table1[[#This Row],[Revenue]]-Table1[[#This Row],[Operating_Costs]]</f>
        <v>126694</v>
      </c>
      <c r="T4459">
        <v>593560</v>
      </c>
      <c r="U4459">
        <v>41</v>
      </c>
      <c r="V4459">
        <v>56</v>
      </c>
      <c r="W4459">
        <v>10</v>
      </c>
    </row>
    <row r="4460" spans="1:23" x14ac:dyDescent="0.25">
      <c r="A4460">
        <v>14</v>
      </c>
      <c r="B4460" t="s">
        <v>48</v>
      </c>
      <c r="C4460" s="1">
        <v>44913</v>
      </c>
      <c r="D4460" t="s">
        <v>71</v>
      </c>
      <c r="E4460">
        <v>0</v>
      </c>
      <c r="F4460">
        <v>34</v>
      </c>
      <c r="G4460" t="str">
        <f t="shared" si="77"/>
        <v>21-40</v>
      </c>
      <c r="H4460" t="s">
        <v>35</v>
      </c>
      <c r="I4460" t="s">
        <v>36</v>
      </c>
      <c r="J4460" t="s">
        <v>37</v>
      </c>
      <c r="K4460" t="s">
        <v>26</v>
      </c>
      <c r="L4460">
        <v>1</v>
      </c>
      <c r="M4460">
        <v>1</v>
      </c>
      <c r="N4460">
        <v>2.6</v>
      </c>
      <c r="O4460">
        <v>9.1999999999999993</v>
      </c>
      <c r="P4460">
        <v>5</v>
      </c>
      <c r="Q4460">
        <v>3</v>
      </c>
      <c r="R4460">
        <v>818367</v>
      </c>
      <c r="S4460">
        <f>Table1[[#This Row],[Revenue]]-Table1[[#This Row],[Operating_Costs]]</f>
        <v>122517</v>
      </c>
      <c r="T4460">
        <v>695850</v>
      </c>
      <c r="U4460">
        <v>33</v>
      </c>
      <c r="V4460">
        <v>63</v>
      </c>
      <c r="W4460">
        <v>7.8</v>
      </c>
    </row>
    <row r="4461" spans="1:23" x14ac:dyDescent="0.25">
      <c r="A4461">
        <v>14</v>
      </c>
      <c r="B4461" t="s">
        <v>48</v>
      </c>
      <c r="C4461" s="1">
        <v>44535</v>
      </c>
      <c r="D4461" t="s">
        <v>71</v>
      </c>
      <c r="E4461">
        <v>0</v>
      </c>
      <c r="F4461">
        <v>74</v>
      </c>
      <c r="G4461" t="str">
        <f t="shared" si="77"/>
        <v>61-80</v>
      </c>
      <c r="H4461" t="s">
        <v>35</v>
      </c>
      <c r="I4461" t="s">
        <v>36</v>
      </c>
      <c r="J4461" t="s">
        <v>37</v>
      </c>
      <c r="K4461" t="s">
        <v>42</v>
      </c>
      <c r="L4461">
        <v>1</v>
      </c>
      <c r="M4461">
        <v>1</v>
      </c>
      <c r="N4461">
        <v>4.9000000000000004</v>
      </c>
      <c r="O4461">
        <v>7.1</v>
      </c>
      <c r="P4461">
        <v>5</v>
      </c>
      <c r="Q4461">
        <v>4</v>
      </c>
      <c r="R4461">
        <v>708773</v>
      </c>
      <c r="S4461">
        <f>Table1[[#This Row],[Revenue]]-Table1[[#This Row],[Operating_Costs]]</f>
        <v>93892</v>
      </c>
      <c r="T4461">
        <v>614881</v>
      </c>
      <c r="U4461">
        <v>43</v>
      </c>
      <c r="V4461">
        <v>57</v>
      </c>
      <c r="W4461">
        <v>13.3</v>
      </c>
    </row>
    <row r="4462" spans="1:23" x14ac:dyDescent="0.25">
      <c r="A4462">
        <v>14</v>
      </c>
      <c r="B4462" t="s">
        <v>48</v>
      </c>
      <c r="C4462" s="1">
        <v>44463</v>
      </c>
      <c r="D4462" t="s">
        <v>71</v>
      </c>
      <c r="E4462">
        <v>0</v>
      </c>
      <c r="F4462">
        <v>43</v>
      </c>
      <c r="G4462" t="str">
        <f t="shared" si="77"/>
        <v>41-60</v>
      </c>
      <c r="H4462" t="s">
        <v>23</v>
      </c>
      <c r="I4462" t="s">
        <v>31</v>
      </c>
      <c r="J4462" t="s">
        <v>28</v>
      </c>
      <c r="K4462" t="s">
        <v>38</v>
      </c>
      <c r="L4462">
        <v>1</v>
      </c>
      <c r="M4462">
        <v>1</v>
      </c>
      <c r="N4462">
        <v>1.3</v>
      </c>
      <c r="O4462">
        <v>8.5</v>
      </c>
      <c r="P4462">
        <v>7</v>
      </c>
      <c r="Q4462">
        <v>5</v>
      </c>
      <c r="R4462">
        <v>783953</v>
      </c>
      <c r="S4462">
        <f>Table1[[#This Row],[Revenue]]-Table1[[#This Row],[Operating_Costs]]</f>
        <v>218813</v>
      </c>
      <c r="T4462">
        <v>565140</v>
      </c>
      <c r="U4462">
        <v>50</v>
      </c>
      <c r="V4462">
        <v>57</v>
      </c>
      <c r="W4462">
        <v>5.6</v>
      </c>
    </row>
    <row r="4463" spans="1:23" x14ac:dyDescent="0.25">
      <c r="A4463">
        <v>14</v>
      </c>
      <c r="B4463" t="s">
        <v>48</v>
      </c>
      <c r="C4463" s="1">
        <v>45346</v>
      </c>
      <c r="D4463" t="s">
        <v>71</v>
      </c>
      <c r="E4463">
        <v>0</v>
      </c>
      <c r="F4463">
        <v>25</v>
      </c>
      <c r="G4463" t="str">
        <f t="shared" si="77"/>
        <v>21-40</v>
      </c>
      <c r="H4463" t="s">
        <v>35</v>
      </c>
      <c r="I4463" t="s">
        <v>64</v>
      </c>
      <c r="J4463" t="s">
        <v>65</v>
      </c>
      <c r="K4463" t="s">
        <v>29</v>
      </c>
      <c r="L4463">
        <v>1</v>
      </c>
      <c r="M4463">
        <v>1</v>
      </c>
      <c r="N4463">
        <v>2.6</v>
      </c>
      <c r="O4463">
        <v>8.3000000000000007</v>
      </c>
      <c r="P4463">
        <v>7</v>
      </c>
      <c r="Q4463">
        <v>6</v>
      </c>
      <c r="R4463">
        <v>748872</v>
      </c>
      <c r="S4463">
        <f>Table1[[#This Row],[Revenue]]-Table1[[#This Row],[Operating_Costs]]</f>
        <v>134282</v>
      </c>
      <c r="T4463">
        <v>614590</v>
      </c>
      <c r="U4463">
        <v>33</v>
      </c>
      <c r="V4463">
        <v>60</v>
      </c>
      <c r="W4463">
        <v>14.2</v>
      </c>
    </row>
    <row r="4464" spans="1:23" x14ac:dyDescent="0.25">
      <c r="A4464">
        <v>14</v>
      </c>
      <c r="B4464" t="s">
        <v>48</v>
      </c>
      <c r="C4464" s="1">
        <v>44692</v>
      </c>
      <c r="D4464" t="s">
        <v>71</v>
      </c>
      <c r="E4464">
        <v>0</v>
      </c>
      <c r="F4464">
        <v>60</v>
      </c>
      <c r="G4464" t="str">
        <f t="shared" si="77"/>
        <v>41-60</v>
      </c>
      <c r="H4464" t="s">
        <v>35</v>
      </c>
      <c r="I4464" t="s">
        <v>55</v>
      </c>
      <c r="J4464" t="s">
        <v>56</v>
      </c>
      <c r="K4464" t="s">
        <v>42</v>
      </c>
      <c r="L4464">
        <v>1</v>
      </c>
      <c r="M4464">
        <v>1</v>
      </c>
      <c r="N4464">
        <v>3</v>
      </c>
      <c r="O4464">
        <v>8.3000000000000007</v>
      </c>
      <c r="P4464">
        <v>3</v>
      </c>
      <c r="Q4464">
        <v>3</v>
      </c>
      <c r="R4464">
        <v>898667</v>
      </c>
      <c r="S4464">
        <f>Table1[[#This Row],[Revenue]]-Table1[[#This Row],[Operating_Costs]]</f>
        <v>261766</v>
      </c>
      <c r="T4464">
        <v>636901</v>
      </c>
      <c r="U4464">
        <v>39</v>
      </c>
      <c r="V4464">
        <v>59</v>
      </c>
      <c r="W4464">
        <v>9.3000000000000007</v>
      </c>
    </row>
    <row r="4465" spans="1:23" x14ac:dyDescent="0.25">
      <c r="A4465">
        <v>14</v>
      </c>
      <c r="B4465" t="s">
        <v>48</v>
      </c>
      <c r="C4465" s="1">
        <v>45557</v>
      </c>
      <c r="D4465" t="s">
        <v>71</v>
      </c>
      <c r="E4465">
        <v>0</v>
      </c>
      <c r="F4465">
        <v>61</v>
      </c>
      <c r="G4465" t="str">
        <f t="shared" si="77"/>
        <v>61-80</v>
      </c>
      <c r="H4465" t="s">
        <v>35</v>
      </c>
      <c r="I4465" t="s">
        <v>50</v>
      </c>
      <c r="J4465" t="s">
        <v>51</v>
      </c>
      <c r="K4465" t="s">
        <v>33</v>
      </c>
      <c r="L4465">
        <v>1</v>
      </c>
      <c r="M4465">
        <v>1</v>
      </c>
      <c r="N4465">
        <v>3.9</v>
      </c>
      <c r="O4465">
        <v>9.1999999999999993</v>
      </c>
      <c r="P4465">
        <v>4</v>
      </c>
      <c r="Q4465">
        <v>4</v>
      </c>
      <c r="R4465">
        <v>857438</v>
      </c>
      <c r="S4465">
        <f>Table1[[#This Row],[Revenue]]-Table1[[#This Row],[Operating_Costs]]</f>
        <v>198878</v>
      </c>
      <c r="T4465">
        <v>658560</v>
      </c>
      <c r="U4465">
        <v>32</v>
      </c>
      <c r="V4465">
        <v>55</v>
      </c>
      <c r="W4465">
        <v>7</v>
      </c>
    </row>
    <row r="4466" spans="1:23" x14ac:dyDescent="0.25">
      <c r="A4466">
        <v>14</v>
      </c>
      <c r="B4466" t="s">
        <v>48</v>
      </c>
      <c r="C4466" s="1">
        <v>45384</v>
      </c>
      <c r="D4466" t="s">
        <v>71</v>
      </c>
      <c r="E4466">
        <v>0</v>
      </c>
      <c r="F4466">
        <v>83</v>
      </c>
      <c r="G4466" t="str">
        <f t="shared" si="77"/>
        <v>81+</v>
      </c>
      <c r="H4466" t="s">
        <v>35</v>
      </c>
      <c r="I4466" t="s">
        <v>40</v>
      </c>
      <c r="J4466" t="s">
        <v>41</v>
      </c>
      <c r="K4466" t="s">
        <v>42</v>
      </c>
      <c r="L4466">
        <v>1</v>
      </c>
      <c r="M4466">
        <v>1</v>
      </c>
      <c r="N4466">
        <v>4.5</v>
      </c>
      <c r="O4466">
        <v>9.6</v>
      </c>
      <c r="P4466">
        <v>4</v>
      </c>
      <c r="Q4466">
        <v>7</v>
      </c>
      <c r="R4466">
        <v>793987</v>
      </c>
      <c r="S4466">
        <f>Table1[[#This Row],[Revenue]]-Table1[[#This Row],[Operating_Costs]]</f>
        <v>120310</v>
      </c>
      <c r="T4466">
        <v>673677</v>
      </c>
      <c r="U4466">
        <v>46</v>
      </c>
      <c r="V4466">
        <v>62</v>
      </c>
      <c r="W4466">
        <v>13.6</v>
      </c>
    </row>
    <row r="4467" spans="1:23" x14ac:dyDescent="0.25">
      <c r="A4467">
        <v>14</v>
      </c>
      <c r="B4467" t="s">
        <v>48</v>
      </c>
      <c r="C4467" s="1">
        <v>44296</v>
      </c>
      <c r="D4467" t="s">
        <v>71</v>
      </c>
      <c r="E4467">
        <v>0</v>
      </c>
      <c r="F4467">
        <v>77</v>
      </c>
      <c r="G4467" t="str">
        <f t="shared" si="77"/>
        <v>61-80</v>
      </c>
      <c r="H4467" t="s">
        <v>23</v>
      </c>
      <c r="I4467" t="s">
        <v>50</v>
      </c>
      <c r="J4467" t="s">
        <v>51</v>
      </c>
      <c r="K4467" t="s">
        <v>38</v>
      </c>
      <c r="L4467">
        <v>1</v>
      </c>
      <c r="M4467">
        <v>1</v>
      </c>
      <c r="N4467">
        <v>5.8</v>
      </c>
      <c r="O4467">
        <v>8.4</v>
      </c>
      <c r="P4467">
        <v>7</v>
      </c>
      <c r="Q4467">
        <v>3</v>
      </c>
      <c r="R4467">
        <v>702413</v>
      </c>
      <c r="S4467">
        <f>Table1[[#This Row],[Revenue]]-Table1[[#This Row],[Operating_Costs]]</f>
        <v>124013</v>
      </c>
      <c r="T4467">
        <v>578400</v>
      </c>
      <c r="U4467">
        <v>47</v>
      </c>
      <c r="V4467">
        <v>66</v>
      </c>
      <c r="W4467">
        <v>12.2</v>
      </c>
    </row>
    <row r="4468" spans="1:23" x14ac:dyDescent="0.25">
      <c r="A4468">
        <v>14</v>
      </c>
      <c r="B4468" t="s">
        <v>48</v>
      </c>
      <c r="C4468" s="1">
        <v>44936</v>
      </c>
      <c r="D4468" t="s">
        <v>71</v>
      </c>
      <c r="E4468">
        <v>0</v>
      </c>
      <c r="F4468">
        <v>37</v>
      </c>
      <c r="G4468" t="str">
        <f t="shared" si="77"/>
        <v>21-40</v>
      </c>
      <c r="H4468" t="s">
        <v>35</v>
      </c>
      <c r="I4468" t="s">
        <v>64</v>
      </c>
      <c r="J4468" t="s">
        <v>65</v>
      </c>
      <c r="K4468" t="s">
        <v>26</v>
      </c>
      <c r="L4468">
        <v>1</v>
      </c>
      <c r="M4468">
        <v>1</v>
      </c>
      <c r="N4468">
        <v>4.0999999999999996</v>
      </c>
      <c r="O4468">
        <v>8.9</v>
      </c>
      <c r="P4468">
        <v>3</v>
      </c>
      <c r="Q4468">
        <v>7</v>
      </c>
      <c r="R4468">
        <v>852134</v>
      </c>
      <c r="S4468">
        <f>Table1[[#This Row],[Revenue]]-Table1[[#This Row],[Operating_Costs]]</f>
        <v>237508</v>
      </c>
      <c r="T4468">
        <v>614626</v>
      </c>
      <c r="U4468">
        <v>32</v>
      </c>
      <c r="V4468">
        <v>54</v>
      </c>
      <c r="W4468">
        <v>6.2</v>
      </c>
    </row>
    <row r="4469" spans="1:23" x14ac:dyDescent="0.25">
      <c r="A4469">
        <v>14</v>
      </c>
      <c r="B4469" t="s">
        <v>48</v>
      </c>
      <c r="C4469" s="1">
        <v>44615</v>
      </c>
      <c r="D4469" t="s">
        <v>71</v>
      </c>
      <c r="E4469">
        <v>0</v>
      </c>
      <c r="F4469">
        <v>36</v>
      </c>
      <c r="G4469" t="str">
        <f t="shared" si="77"/>
        <v>21-40</v>
      </c>
      <c r="H4469" t="s">
        <v>23</v>
      </c>
      <c r="I4469" t="s">
        <v>61</v>
      </c>
      <c r="J4469" t="s">
        <v>62</v>
      </c>
      <c r="K4469" t="s">
        <v>42</v>
      </c>
      <c r="L4469">
        <v>1</v>
      </c>
      <c r="M4469">
        <v>1</v>
      </c>
      <c r="N4469">
        <v>3.3</v>
      </c>
      <c r="O4469">
        <v>7.4</v>
      </c>
      <c r="P4469">
        <v>4</v>
      </c>
      <c r="Q4469">
        <v>6</v>
      </c>
      <c r="R4469">
        <v>818981</v>
      </c>
      <c r="S4469">
        <f>Table1[[#This Row],[Revenue]]-Table1[[#This Row],[Operating_Costs]]</f>
        <v>171799</v>
      </c>
      <c r="T4469">
        <v>647182</v>
      </c>
      <c r="U4469">
        <v>40</v>
      </c>
      <c r="V4469">
        <v>54</v>
      </c>
      <c r="W4469">
        <v>12.9</v>
      </c>
    </row>
    <row r="4470" spans="1:23" x14ac:dyDescent="0.25">
      <c r="A4470">
        <v>14</v>
      </c>
      <c r="B4470" t="s">
        <v>48</v>
      </c>
      <c r="C4470" s="1">
        <v>44905</v>
      </c>
      <c r="D4470" t="s">
        <v>71</v>
      </c>
      <c r="E4470">
        <v>0</v>
      </c>
      <c r="F4470">
        <v>45</v>
      </c>
      <c r="G4470" t="str">
        <f t="shared" si="77"/>
        <v>41-60</v>
      </c>
      <c r="H4470" t="s">
        <v>35</v>
      </c>
      <c r="I4470" t="s">
        <v>31</v>
      </c>
      <c r="J4470" t="s">
        <v>28</v>
      </c>
      <c r="K4470" t="s">
        <v>29</v>
      </c>
      <c r="L4470">
        <v>1</v>
      </c>
      <c r="M4470">
        <v>1</v>
      </c>
      <c r="N4470">
        <v>6.5</v>
      </c>
      <c r="O4470">
        <v>9.6999999999999993</v>
      </c>
      <c r="P4470">
        <v>3</v>
      </c>
      <c r="Q4470">
        <v>3</v>
      </c>
      <c r="R4470">
        <v>810367</v>
      </c>
      <c r="S4470">
        <f>Table1[[#This Row],[Revenue]]-Table1[[#This Row],[Operating_Costs]]</f>
        <v>204342</v>
      </c>
      <c r="T4470">
        <v>606025</v>
      </c>
      <c r="U4470">
        <v>37</v>
      </c>
      <c r="V4470">
        <v>55</v>
      </c>
      <c r="W4470">
        <v>13</v>
      </c>
    </row>
    <row r="4471" spans="1:23" x14ac:dyDescent="0.25">
      <c r="A4471">
        <v>14</v>
      </c>
      <c r="B4471" t="s">
        <v>48</v>
      </c>
      <c r="C4471" s="1">
        <v>45209</v>
      </c>
      <c r="D4471" t="s">
        <v>71</v>
      </c>
      <c r="E4471">
        <v>0</v>
      </c>
      <c r="F4471">
        <v>53</v>
      </c>
      <c r="G4471" t="str">
        <f t="shared" si="77"/>
        <v>41-60</v>
      </c>
      <c r="H4471" t="s">
        <v>35</v>
      </c>
      <c r="I4471" t="s">
        <v>40</v>
      </c>
      <c r="J4471" t="s">
        <v>41</v>
      </c>
      <c r="K4471" t="s">
        <v>33</v>
      </c>
      <c r="L4471">
        <v>1</v>
      </c>
      <c r="M4471">
        <v>1</v>
      </c>
      <c r="N4471">
        <v>5.2</v>
      </c>
      <c r="O4471">
        <v>7.3</v>
      </c>
      <c r="P4471">
        <v>4</v>
      </c>
      <c r="Q4471">
        <v>4</v>
      </c>
      <c r="R4471">
        <v>744809</v>
      </c>
      <c r="S4471">
        <f>Table1[[#This Row],[Revenue]]-Table1[[#This Row],[Operating_Costs]]</f>
        <v>188831</v>
      </c>
      <c r="T4471">
        <v>555978</v>
      </c>
      <c r="U4471">
        <v>31</v>
      </c>
      <c r="V4471">
        <v>63</v>
      </c>
      <c r="W4471">
        <v>14.6</v>
      </c>
    </row>
    <row r="4472" spans="1:23" x14ac:dyDescent="0.25">
      <c r="A4472">
        <v>14</v>
      </c>
      <c r="B4472" t="s">
        <v>48</v>
      </c>
      <c r="C4472" s="1">
        <v>44601</v>
      </c>
      <c r="D4472" t="s">
        <v>71</v>
      </c>
      <c r="E4472">
        <v>0</v>
      </c>
      <c r="F4472">
        <v>23</v>
      </c>
      <c r="G4472" t="str">
        <f t="shared" si="77"/>
        <v>21-40</v>
      </c>
      <c r="H4472" t="s">
        <v>35</v>
      </c>
      <c r="I4472" t="s">
        <v>61</v>
      </c>
      <c r="J4472" t="s">
        <v>62</v>
      </c>
      <c r="K4472" t="s">
        <v>42</v>
      </c>
      <c r="L4472">
        <v>1</v>
      </c>
      <c r="M4472">
        <v>1</v>
      </c>
      <c r="N4472">
        <v>2.1</v>
      </c>
      <c r="O4472">
        <v>7.7</v>
      </c>
      <c r="P4472">
        <v>5</v>
      </c>
      <c r="Q4472">
        <v>5</v>
      </c>
      <c r="R4472">
        <v>888428</v>
      </c>
      <c r="S4472">
        <f>Table1[[#This Row],[Revenue]]-Table1[[#This Row],[Operating_Costs]]</f>
        <v>355159</v>
      </c>
      <c r="T4472">
        <v>533269</v>
      </c>
      <c r="U4472">
        <v>34</v>
      </c>
      <c r="V4472">
        <v>56</v>
      </c>
      <c r="W4472">
        <v>5.4</v>
      </c>
    </row>
    <row r="4473" spans="1:23" x14ac:dyDescent="0.25">
      <c r="A4473">
        <v>14</v>
      </c>
      <c r="B4473" t="s">
        <v>48</v>
      </c>
      <c r="C4473" s="1">
        <v>44605</v>
      </c>
      <c r="D4473" t="s">
        <v>71</v>
      </c>
      <c r="E4473">
        <v>0</v>
      </c>
      <c r="F4473">
        <v>62</v>
      </c>
      <c r="G4473" t="str">
        <f t="shared" si="77"/>
        <v>61-80</v>
      </c>
      <c r="H4473" t="s">
        <v>23</v>
      </c>
      <c r="I4473" t="s">
        <v>61</v>
      </c>
      <c r="J4473" t="s">
        <v>62</v>
      </c>
      <c r="K4473" t="s">
        <v>38</v>
      </c>
      <c r="L4473">
        <v>1</v>
      </c>
      <c r="M4473">
        <v>1</v>
      </c>
      <c r="N4473">
        <v>3.3</v>
      </c>
      <c r="O4473">
        <v>8.6999999999999993</v>
      </c>
      <c r="P4473">
        <v>7</v>
      </c>
      <c r="Q4473">
        <v>5</v>
      </c>
      <c r="R4473">
        <v>833877</v>
      </c>
      <c r="S4473">
        <f>Table1[[#This Row],[Revenue]]-Table1[[#This Row],[Operating_Costs]]</f>
        <v>194905</v>
      </c>
      <c r="T4473">
        <v>638972</v>
      </c>
      <c r="U4473">
        <v>42</v>
      </c>
      <c r="V4473">
        <v>62</v>
      </c>
      <c r="W4473">
        <v>10</v>
      </c>
    </row>
    <row r="4474" spans="1:23" x14ac:dyDescent="0.25">
      <c r="A4474">
        <v>14</v>
      </c>
      <c r="B4474" t="s">
        <v>48</v>
      </c>
      <c r="C4474" s="1">
        <v>45623</v>
      </c>
      <c r="D4474" t="s">
        <v>71</v>
      </c>
      <c r="E4474">
        <v>0</v>
      </c>
      <c r="F4474">
        <v>42</v>
      </c>
      <c r="G4474" t="str">
        <f t="shared" si="77"/>
        <v>41-60</v>
      </c>
      <c r="H4474" t="s">
        <v>35</v>
      </c>
      <c r="I4474" t="s">
        <v>46</v>
      </c>
      <c r="J4474" t="s">
        <v>47</v>
      </c>
      <c r="K4474" t="s">
        <v>33</v>
      </c>
      <c r="L4474">
        <v>1</v>
      </c>
      <c r="M4474">
        <v>1</v>
      </c>
      <c r="N4474">
        <v>5.2</v>
      </c>
      <c r="O4474">
        <v>9.6999999999999993</v>
      </c>
      <c r="P4474">
        <v>4</v>
      </c>
      <c r="Q4474">
        <v>5</v>
      </c>
      <c r="R4474">
        <v>735931</v>
      </c>
      <c r="S4474">
        <f>Table1[[#This Row],[Revenue]]-Table1[[#This Row],[Operating_Costs]]</f>
        <v>119648</v>
      </c>
      <c r="T4474">
        <v>616283</v>
      </c>
      <c r="U4474">
        <v>30</v>
      </c>
      <c r="V4474">
        <v>59</v>
      </c>
      <c r="W4474">
        <v>6.8</v>
      </c>
    </row>
    <row r="4475" spans="1:23" x14ac:dyDescent="0.25">
      <c r="A4475">
        <v>14</v>
      </c>
      <c r="B4475" t="s">
        <v>48</v>
      </c>
      <c r="C4475" s="1">
        <v>45282</v>
      </c>
      <c r="D4475" t="s">
        <v>71</v>
      </c>
      <c r="E4475">
        <v>0</v>
      </c>
      <c r="F4475">
        <v>50</v>
      </c>
      <c r="G4475" t="str">
        <f t="shared" si="77"/>
        <v>41-60</v>
      </c>
      <c r="H4475" t="s">
        <v>23</v>
      </c>
      <c r="I4475" t="s">
        <v>50</v>
      </c>
      <c r="J4475" t="s">
        <v>51</v>
      </c>
      <c r="K4475" t="s">
        <v>33</v>
      </c>
      <c r="L4475">
        <v>1</v>
      </c>
      <c r="M4475">
        <v>1</v>
      </c>
      <c r="N4475">
        <v>4</v>
      </c>
      <c r="O4475">
        <v>8.5</v>
      </c>
      <c r="P4475">
        <v>7</v>
      </c>
      <c r="Q4475">
        <v>3</v>
      </c>
      <c r="R4475">
        <v>791784</v>
      </c>
      <c r="S4475">
        <f>Table1[[#This Row],[Revenue]]-Table1[[#This Row],[Operating_Costs]]</f>
        <v>228026</v>
      </c>
      <c r="T4475">
        <v>563758</v>
      </c>
      <c r="U4475">
        <v>43</v>
      </c>
      <c r="V4475">
        <v>60</v>
      </c>
      <c r="W4475">
        <v>8.8000000000000007</v>
      </c>
    </row>
    <row r="4476" spans="1:23" x14ac:dyDescent="0.25">
      <c r="A4476">
        <v>14</v>
      </c>
      <c r="B4476" t="s">
        <v>48</v>
      </c>
      <c r="C4476" s="1">
        <v>44424</v>
      </c>
      <c r="D4476" t="s">
        <v>71</v>
      </c>
      <c r="E4476">
        <v>0</v>
      </c>
      <c r="F4476">
        <v>23</v>
      </c>
      <c r="G4476" t="str">
        <f t="shared" si="77"/>
        <v>21-40</v>
      </c>
      <c r="H4476" t="s">
        <v>23</v>
      </c>
      <c r="I4476" t="s">
        <v>43</v>
      </c>
      <c r="J4476" t="s">
        <v>25</v>
      </c>
      <c r="K4476" t="s">
        <v>29</v>
      </c>
      <c r="L4476">
        <v>1</v>
      </c>
      <c r="M4476">
        <v>1</v>
      </c>
      <c r="N4476">
        <v>6.6</v>
      </c>
      <c r="O4476">
        <v>9.9</v>
      </c>
      <c r="P4476">
        <v>4</v>
      </c>
      <c r="Q4476">
        <v>7</v>
      </c>
      <c r="R4476">
        <v>733796</v>
      </c>
      <c r="S4476">
        <f>Table1[[#This Row],[Revenue]]-Table1[[#This Row],[Operating_Costs]]</f>
        <v>170181</v>
      </c>
      <c r="T4476">
        <v>563615</v>
      </c>
      <c r="U4476">
        <v>43</v>
      </c>
      <c r="V4476">
        <v>62</v>
      </c>
      <c r="W4476">
        <v>8.5</v>
      </c>
    </row>
    <row r="4477" spans="1:23" x14ac:dyDescent="0.25">
      <c r="A4477">
        <v>14</v>
      </c>
      <c r="B4477" t="s">
        <v>48</v>
      </c>
      <c r="C4477" s="1">
        <v>44651</v>
      </c>
      <c r="D4477" t="s">
        <v>71</v>
      </c>
      <c r="E4477">
        <v>0</v>
      </c>
      <c r="F4477">
        <v>34</v>
      </c>
      <c r="G4477" t="str">
        <f t="shared" si="77"/>
        <v>21-40</v>
      </c>
      <c r="H4477" t="s">
        <v>35</v>
      </c>
      <c r="I4477" t="s">
        <v>36</v>
      </c>
      <c r="J4477" t="s">
        <v>37</v>
      </c>
      <c r="K4477" t="s">
        <v>38</v>
      </c>
      <c r="L4477">
        <v>1</v>
      </c>
      <c r="M4477">
        <v>1</v>
      </c>
      <c r="N4477">
        <v>6</v>
      </c>
      <c r="O4477">
        <v>9.1</v>
      </c>
      <c r="P4477">
        <v>7</v>
      </c>
      <c r="Q4477">
        <v>3</v>
      </c>
      <c r="R4477">
        <v>726741</v>
      </c>
      <c r="S4477">
        <f>Table1[[#This Row],[Revenue]]-Table1[[#This Row],[Operating_Costs]]</f>
        <v>196465</v>
      </c>
      <c r="T4477">
        <v>530276</v>
      </c>
      <c r="U4477">
        <v>48</v>
      </c>
      <c r="V4477">
        <v>54</v>
      </c>
      <c r="W4477">
        <v>8.1999999999999993</v>
      </c>
    </row>
    <row r="4478" spans="1:23" x14ac:dyDescent="0.25">
      <c r="A4478">
        <v>14</v>
      </c>
      <c r="B4478" t="s">
        <v>48</v>
      </c>
      <c r="C4478" s="1">
        <v>44938</v>
      </c>
      <c r="D4478" t="s">
        <v>71</v>
      </c>
      <c r="E4478">
        <v>0</v>
      </c>
      <c r="F4478">
        <v>31</v>
      </c>
      <c r="G4478" t="str">
        <f t="shared" si="77"/>
        <v>21-40</v>
      </c>
      <c r="H4478" t="s">
        <v>35</v>
      </c>
      <c r="I4478" t="s">
        <v>46</v>
      </c>
      <c r="J4478" t="s">
        <v>47</v>
      </c>
      <c r="K4478" t="s">
        <v>29</v>
      </c>
      <c r="L4478">
        <v>1</v>
      </c>
      <c r="M4478">
        <v>1</v>
      </c>
      <c r="N4478">
        <v>1.3</v>
      </c>
      <c r="O4478">
        <v>7.3</v>
      </c>
      <c r="P4478">
        <v>6</v>
      </c>
      <c r="Q4478">
        <v>3</v>
      </c>
      <c r="R4478">
        <v>707988</v>
      </c>
      <c r="S4478">
        <f>Table1[[#This Row],[Revenue]]-Table1[[#This Row],[Operating_Costs]]</f>
        <v>41967</v>
      </c>
      <c r="T4478">
        <v>666021</v>
      </c>
      <c r="U4478">
        <v>35</v>
      </c>
      <c r="V4478">
        <v>56</v>
      </c>
      <c r="W4478">
        <v>14.4</v>
      </c>
    </row>
    <row r="4479" spans="1:23" x14ac:dyDescent="0.25">
      <c r="A4479">
        <v>14</v>
      </c>
      <c r="B4479" t="s">
        <v>48</v>
      </c>
      <c r="C4479" s="1">
        <v>44457</v>
      </c>
      <c r="D4479" t="s">
        <v>71</v>
      </c>
      <c r="E4479">
        <v>0</v>
      </c>
      <c r="F4479">
        <v>87</v>
      </c>
      <c r="G4479" t="str">
        <f t="shared" si="77"/>
        <v>81+</v>
      </c>
      <c r="H4479" t="s">
        <v>23</v>
      </c>
      <c r="I4479" t="s">
        <v>61</v>
      </c>
      <c r="J4479" t="s">
        <v>62</v>
      </c>
      <c r="K4479" t="s">
        <v>42</v>
      </c>
      <c r="L4479">
        <v>1</v>
      </c>
      <c r="M4479">
        <v>1</v>
      </c>
      <c r="N4479">
        <v>4.0999999999999996</v>
      </c>
      <c r="O4479">
        <v>9.1999999999999993</v>
      </c>
      <c r="P4479">
        <v>7</v>
      </c>
      <c r="Q4479">
        <v>4</v>
      </c>
      <c r="R4479">
        <v>794748</v>
      </c>
      <c r="S4479">
        <f>Table1[[#This Row],[Revenue]]-Table1[[#This Row],[Operating_Costs]]</f>
        <v>212524</v>
      </c>
      <c r="T4479">
        <v>582224</v>
      </c>
      <c r="U4479">
        <v>47</v>
      </c>
      <c r="V4479">
        <v>58</v>
      </c>
      <c r="W4479">
        <v>36.799999999999997</v>
      </c>
    </row>
    <row r="4480" spans="1:23" x14ac:dyDescent="0.25">
      <c r="A4480">
        <v>14</v>
      </c>
      <c r="B4480" t="s">
        <v>48</v>
      </c>
      <c r="C4480" s="1">
        <v>45592</v>
      </c>
      <c r="D4480" t="s">
        <v>71</v>
      </c>
      <c r="E4480">
        <v>0</v>
      </c>
      <c r="F4480">
        <v>21</v>
      </c>
      <c r="G4480" t="str">
        <f t="shared" si="77"/>
        <v>21-40</v>
      </c>
      <c r="H4480" t="s">
        <v>35</v>
      </c>
      <c r="I4480" t="s">
        <v>31</v>
      </c>
      <c r="J4480" t="s">
        <v>28</v>
      </c>
      <c r="K4480" t="s">
        <v>29</v>
      </c>
      <c r="L4480">
        <v>1</v>
      </c>
      <c r="M4480">
        <v>1</v>
      </c>
      <c r="N4480">
        <v>6.4</v>
      </c>
      <c r="O4480">
        <v>8.6</v>
      </c>
      <c r="P4480">
        <v>6</v>
      </c>
      <c r="Q4480">
        <v>7</v>
      </c>
      <c r="R4480">
        <v>796509</v>
      </c>
      <c r="S4480">
        <f>Table1[[#This Row],[Revenue]]-Table1[[#This Row],[Operating_Costs]]</f>
        <v>203065</v>
      </c>
      <c r="T4480">
        <v>593444</v>
      </c>
      <c r="U4480">
        <v>42</v>
      </c>
      <c r="V4480">
        <v>61</v>
      </c>
      <c r="W4480">
        <v>8.5</v>
      </c>
    </row>
    <row r="4481" spans="1:23" x14ac:dyDescent="0.25">
      <c r="A4481">
        <v>14</v>
      </c>
      <c r="B4481" t="s">
        <v>48</v>
      </c>
      <c r="C4481" s="1">
        <v>44847</v>
      </c>
      <c r="D4481" t="s">
        <v>71</v>
      </c>
      <c r="E4481">
        <v>0</v>
      </c>
      <c r="F4481">
        <v>60</v>
      </c>
      <c r="G4481" t="str">
        <f t="shared" si="77"/>
        <v>41-60</v>
      </c>
      <c r="H4481" t="s">
        <v>35</v>
      </c>
      <c r="I4481" t="s">
        <v>50</v>
      </c>
      <c r="J4481" t="s">
        <v>51</v>
      </c>
      <c r="K4481" t="s">
        <v>26</v>
      </c>
      <c r="L4481">
        <v>1</v>
      </c>
      <c r="M4481">
        <v>1</v>
      </c>
      <c r="N4481">
        <v>6.3</v>
      </c>
      <c r="O4481">
        <v>9.6</v>
      </c>
      <c r="P4481">
        <v>7</v>
      </c>
      <c r="Q4481">
        <v>7</v>
      </c>
      <c r="R4481">
        <v>793836</v>
      </c>
      <c r="S4481">
        <f>Table1[[#This Row],[Revenue]]-Table1[[#This Row],[Operating_Costs]]</f>
        <v>217969</v>
      </c>
      <c r="T4481">
        <v>575867</v>
      </c>
      <c r="U4481">
        <v>38</v>
      </c>
      <c r="V4481">
        <v>61</v>
      </c>
      <c r="W4481">
        <v>5.7</v>
      </c>
    </row>
    <row r="4482" spans="1:23" x14ac:dyDescent="0.25">
      <c r="A4482">
        <v>14</v>
      </c>
      <c r="B4482" t="s">
        <v>48</v>
      </c>
      <c r="C4482" s="1">
        <v>44410</v>
      </c>
      <c r="D4482" t="s">
        <v>71</v>
      </c>
      <c r="E4482">
        <v>0</v>
      </c>
      <c r="F4482">
        <v>40</v>
      </c>
      <c r="G4482" t="str">
        <f t="shared" si="77"/>
        <v>21-40</v>
      </c>
      <c r="H4482" t="s">
        <v>35</v>
      </c>
      <c r="I4482" t="s">
        <v>46</v>
      </c>
      <c r="J4482" t="s">
        <v>47</v>
      </c>
      <c r="K4482" t="s">
        <v>33</v>
      </c>
      <c r="L4482">
        <v>1</v>
      </c>
      <c r="M4482">
        <v>1</v>
      </c>
      <c r="N4482">
        <v>2.6</v>
      </c>
      <c r="O4482">
        <v>9.1</v>
      </c>
      <c r="P4482">
        <v>4</v>
      </c>
      <c r="Q4482">
        <v>5</v>
      </c>
      <c r="R4482">
        <v>846879</v>
      </c>
      <c r="S4482">
        <f>Table1[[#This Row],[Revenue]]-Table1[[#This Row],[Operating_Costs]]</f>
        <v>183216</v>
      </c>
      <c r="T4482">
        <v>663663</v>
      </c>
      <c r="U4482">
        <v>41</v>
      </c>
      <c r="V4482">
        <v>62</v>
      </c>
      <c r="W4482">
        <v>13.2</v>
      </c>
    </row>
    <row r="4483" spans="1:23" x14ac:dyDescent="0.25">
      <c r="A4483">
        <v>14</v>
      </c>
      <c r="B4483" t="s">
        <v>48</v>
      </c>
      <c r="C4483" s="1">
        <v>45596</v>
      </c>
      <c r="D4483" t="s">
        <v>71</v>
      </c>
      <c r="E4483">
        <v>0</v>
      </c>
      <c r="F4483">
        <v>33</v>
      </c>
      <c r="G4483" t="str">
        <f t="shared" ref="G4483:G4546" si="78">IF(F4483&lt;=20,"0-20",IF(F4483&lt;=40,"21-40",IF(F4483&lt;=60,"41-60",IF(F4483&lt;=80,"61-80","81+"))))</f>
        <v>21-40</v>
      </c>
      <c r="H4483" t="s">
        <v>23</v>
      </c>
      <c r="I4483" t="s">
        <v>55</v>
      </c>
      <c r="J4483" t="s">
        <v>56</v>
      </c>
      <c r="K4483" t="s">
        <v>26</v>
      </c>
      <c r="L4483">
        <v>1</v>
      </c>
      <c r="M4483">
        <v>1</v>
      </c>
      <c r="N4483">
        <v>5.4</v>
      </c>
      <c r="O4483">
        <v>9.1999999999999993</v>
      </c>
      <c r="P4483">
        <v>7</v>
      </c>
      <c r="Q4483">
        <v>5</v>
      </c>
      <c r="R4483">
        <v>741876</v>
      </c>
      <c r="S4483">
        <f>Table1[[#This Row],[Revenue]]-Table1[[#This Row],[Operating_Costs]]</f>
        <v>49444</v>
      </c>
      <c r="T4483">
        <v>692432</v>
      </c>
      <c r="U4483">
        <v>35</v>
      </c>
      <c r="V4483">
        <v>62</v>
      </c>
      <c r="W4483">
        <v>5.0999999999999996</v>
      </c>
    </row>
    <row r="4484" spans="1:23" x14ac:dyDescent="0.25">
      <c r="A4484">
        <v>14</v>
      </c>
      <c r="B4484" t="s">
        <v>48</v>
      </c>
      <c r="C4484" s="1">
        <v>45582</v>
      </c>
      <c r="D4484" t="s">
        <v>71</v>
      </c>
      <c r="E4484">
        <v>0</v>
      </c>
      <c r="F4484">
        <v>90</v>
      </c>
      <c r="G4484" t="str">
        <f t="shared" si="78"/>
        <v>81+</v>
      </c>
      <c r="H4484" t="s">
        <v>35</v>
      </c>
      <c r="I4484" t="s">
        <v>61</v>
      </c>
      <c r="J4484" t="s">
        <v>62</v>
      </c>
      <c r="K4484" t="s">
        <v>38</v>
      </c>
      <c r="L4484">
        <v>1</v>
      </c>
      <c r="M4484">
        <v>1</v>
      </c>
      <c r="N4484">
        <v>1.9</v>
      </c>
      <c r="O4484">
        <v>7.6</v>
      </c>
      <c r="P4484">
        <v>4</v>
      </c>
      <c r="Q4484">
        <v>5</v>
      </c>
      <c r="R4484">
        <v>821817</v>
      </c>
      <c r="S4484">
        <f>Table1[[#This Row],[Revenue]]-Table1[[#This Row],[Operating_Costs]]</f>
        <v>131262</v>
      </c>
      <c r="T4484">
        <v>690555</v>
      </c>
      <c r="U4484">
        <v>30</v>
      </c>
      <c r="V4484">
        <v>66</v>
      </c>
      <c r="W4484">
        <v>5.7</v>
      </c>
    </row>
    <row r="4485" spans="1:23" x14ac:dyDescent="0.25">
      <c r="A4485">
        <v>14</v>
      </c>
      <c r="B4485" t="s">
        <v>48</v>
      </c>
      <c r="C4485" s="1">
        <v>45036</v>
      </c>
      <c r="D4485" t="s">
        <v>71</v>
      </c>
      <c r="E4485">
        <v>0</v>
      </c>
      <c r="F4485">
        <v>23</v>
      </c>
      <c r="G4485" t="str">
        <f t="shared" si="78"/>
        <v>21-40</v>
      </c>
      <c r="H4485" t="s">
        <v>35</v>
      </c>
      <c r="I4485" t="s">
        <v>64</v>
      </c>
      <c r="J4485" t="s">
        <v>65</v>
      </c>
      <c r="K4485" t="s">
        <v>38</v>
      </c>
      <c r="L4485">
        <v>1</v>
      </c>
      <c r="M4485">
        <v>1</v>
      </c>
      <c r="N4485">
        <v>4.4000000000000004</v>
      </c>
      <c r="O4485">
        <v>7.6</v>
      </c>
      <c r="P4485">
        <v>5</v>
      </c>
      <c r="Q4485">
        <v>5</v>
      </c>
      <c r="R4485">
        <v>727092</v>
      </c>
      <c r="S4485">
        <f>Table1[[#This Row],[Revenue]]-Table1[[#This Row],[Operating_Costs]]</f>
        <v>190576</v>
      </c>
      <c r="T4485">
        <v>536516</v>
      </c>
      <c r="U4485">
        <v>37</v>
      </c>
      <c r="V4485">
        <v>62</v>
      </c>
      <c r="W4485">
        <v>12.8</v>
      </c>
    </row>
    <row r="4486" spans="1:23" x14ac:dyDescent="0.25">
      <c r="A4486">
        <v>14</v>
      </c>
      <c r="B4486" t="s">
        <v>48</v>
      </c>
      <c r="C4486" s="1">
        <v>44925</v>
      </c>
      <c r="D4486" t="s">
        <v>71</v>
      </c>
      <c r="E4486">
        <v>0</v>
      </c>
      <c r="F4486">
        <v>50</v>
      </c>
      <c r="G4486" t="str">
        <f t="shared" si="78"/>
        <v>41-60</v>
      </c>
      <c r="H4486" t="s">
        <v>23</v>
      </c>
      <c r="I4486" t="s">
        <v>40</v>
      </c>
      <c r="J4486" t="s">
        <v>41</v>
      </c>
      <c r="K4486" t="s">
        <v>42</v>
      </c>
      <c r="L4486">
        <v>1</v>
      </c>
      <c r="M4486">
        <v>1</v>
      </c>
      <c r="N4486">
        <v>2.1</v>
      </c>
      <c r="O4486">
        <v>9.8000000000000007</v>
      </c>
      <c r="P4486">
        <v>3</v>
      </c>
      <c r="Q4486">
        <v>4</v>
      </c>
      <c r="R4486">
        <v>703457</v>
      </c>
      <c r="S4486">
        <f>Table1[[#This Row],[Revenue]]-Table1[[#This Row],[Operating_Costs]]</f>
        <v>54371</v>
      </c>
      <c r="T4486">
        <v>649086</v>
      </c>
      <c r="U4486">
        <v>42</v>
      </c>
      <c r="V4486">
        <v>66</v>
      </c>
      <c r="W4486">
        <v>6.5</v>
      </c>
    </row>
    <row r="4487" spans="1:23" x14ac:dyDescent="0.25">
      <c r="A4487">
        <v>14</v>
      </c>
      <c r="B4487" t="s">
        <v>48</v>
      </c>
      <c r="C4487" s="1">
        <v>44386</v>
      </c>
      <c r="D4487" t="s">
        <v>71</v>
      </c>
      <c r="E4487">
        <v>0</v>
      </c>
      <c r="F4487">
        <v>40</v>
      </c>
      <c r="G4487" t="str">
        <f t="shared" si="78"/>
        <v>21-40</v>
      </c>
      <c r="H4487" t="s">
        <v>23</v>
      </c>
      <c r="I4487" t="s">
        <v>24</v>
      </c>
      <c r="J4487" t="s">
        <v>25</v>
      </c>
      <c r="K4487" t="s">
        <v>26</v>
      </c>
      <c r="L4487">
        <v>1</v>
      </c>
      <c r="M4487">
        <v>1</v>
      </c>
      <c r="N4487">
        <v>2.9</v>
      </c>
      <c r="O4487">
        <v>8.8000000000000007</v>
      </c>
      <c r="P4487">
        <v>5</v>
      </c>
      <c r="Q4487">
        <v>6</v>
      </c>
      <c r="R4487">
        <v>717187</v>
      </c>
      <c r="S4487">
        <f>Table1[[#This Row],[Revenue]]-Table1[[#This Row],[Operating_Costs]]</f>
        <v>73872</v>
      </c>
      <c r="T4487">
        <v>643315</v>
      </c>
      <c r="U4487">
        <v>33</v>
      </c>
      <c r="V4487">
        <v>55</v>
      </c>
      <c r="W4487">
        <v>36</v>
      </c>
    </row>
    <row r="4488" spans="1:23" x14ac:dyDescent="0.25">
      <c r="A4488">
        <v>14</v>
      </c>
      <c r="B4488" t="s">
        <v>48</v>
      </c>
      <c r="C4488" s="1">
        <v>44701</v>
      </c>
      <c r="D4488" t="s">
        <v>71</v>
      </c>
      <c r="E4488">
        <v>0</v>
      </c>
      <c r="F4488">
        <v>84</v>
      </c>
      <c r="G4488" t="str">
        <f t="shared" si="78"/>
        <v>81+</v>
      </c>
      <c r="H4488" t="s">
        <v>35</v>
      </c>
      <c r="I4488" t="s">
        <v>40</v>
      </c>
      <c r="J4488" t="s">
        <v>41</v>
      </c>
      <c r="K4488" t="s">
        <v>38</v>
      </c>
      <c r="L4488">
        <v>1</v>
      </c>
      <c r="M4488">
        <v>1</v>
      </c>
      <c r="N4488">
        <v>6.2</v>
      </c>
      <c r="O4488">
        <v>8</v>
      </c>
      <c r="P4488">
        <v>7</v>
      </c>
      <c r="Q4488">
        <v>3</v>
      </c>
      <c r="R4488">
        <v>774366</v>
      </c>
      <c r="S4488">
        <f>Table1[[#This Row],[Revenue]]-Table1[[#This Row],[Operating_Costs]]</f>
        <v>113808</v>
      </c>
      <c r="T4488">
        <v>660558</v>
      </c>
      <c r="U4488">
        <v>30</v>
      </c>
      <c r="V4488">
        <v>66</v>
      </c>
      <c r="W4488">
        <v>10.1</v>
      </c>
    </row>
    <row r="4489" spans="1:23" x14ac:dyDescent="0.25">
      <c r="A4489">
        <v>14</v>
      </c>
      <c r="B4489" t="s">
        <v>48</v>
      </c>
      <c r="C4489" s="1">
        <v>44229</v>
      </c>
      <c r="D4489" t="s">
        <v>71</v>
      </c>
      <c r="E4489">
        <v>0</v>
      </c>
      <c r="F4489">
        <v>35</v>
      </c>
      <c r="G4489" t="str">
        <f t="shared" si="78"/>
        <v>21-40</v>
      </c>
      <c r="H4489" t="s">
        <v>23</v>
      </c>
      <c r="I4489" t="s">
        <v>55</v>
      </c>
      <c r="J4489" t="s">
        <v>56</v>
      </c>
      <c r="K4489" t="s">
        <v>26</v>
      </c>
      <c r="L4489">
        <v>1</v>
      </c>
      <c r="M4489">
        <v>1</v>
      </c>
      <c r="N4489">
        <v>3.8</v>
      </c>
      <c r="O4489">
        <v>9.3000000000000007</v>
      </c>
      <c r="P4489">
        <v>3</v>
      </c>
      <c r="Q4489">
        <v>7</v>
      </c>
      <c r="R4489">
        <v>756683</v>
      </c>
      <c r="S4489">
        <f>Table1[[#This Row],[Revenue]]-Table1[[#This Row],[Operating_Costs]]</f>
        <v>116385</v>
      </c>
      <c r="T4489">
        <v>640298</v>
      </c>
      <c r="U4489">
        <v>41</v>
      </c>
      <c r="V4489">
        <v>55</v>
      </c>
      <c r="W4489">
        <v>10.4</v>
      </c>
    </row>
    <row r="4490" spans="1:23" x14ac:dyDescent="0.25">
      <c r="A4490">
        <v>14</v>
      </c>
      <c r="B4490" t="s">
        <v>48</v>
      </c>
      <c r="C4490" s="1">
        <v>45388</v>
      </c>
      <c r="D4490" t="s">
        <v>71</v>
      </c>
      <c r="E4490">
        <v>0</v>
      </c>
      <c r="F4490">
        <v>26</v>
      </c>
      <c r="G4490" t="str">
        <f t="shared" si="78"/>
        <v>21-40</v>
      </c>
      <c r="H4490" t="s">
        <v>23</v>
      </c>
      <c r="I4490" t="s">
        <v>55</v>
      </c>
      <c r="J4490" t="s">
        <v>56</v>
      </c>
      <c r="K4490" t="s">
        <v>38</v>
      </c>
      <c r="L4490">
        <v>1</v>
      </c>
      <c r="M4490">
        <v>1</v>
      </c>
      <c r="N4490">
        <v>4.7</v>
      </c>
      <c r="O4490">
        <v>9.8000000000000007</v>
      </c>
      <c r="P4490">
        <v>6</v>
      </c>
      <c r="Q4490">
        <v>4</v>
      </c>
      <c r="R4490">
        <v>750661</v>
      </c>
      <c r="S4490">
        <f>Table1[[#This Row],[Revenue]]-Table1[[#This Row],[Operating_Costs]]</f>
        <v>83380</v>
      </c>
      <c r="T4490">
        <v>667281</v>
      </c>
      <c r="U4490">
        <v>45</v>
      </c>
      <c r="V4490">
        <v>56</v>
      </c>
      <c r="W4490">
        <v>14.8</v>
      </c>
    </row>
    <row r="4491" spans="1:23" x14ac:dyDescent="0.25">
      <c r="A4491">
        <v>14</v>
      </c>
      <c r="B4491" t="s">
        <v>48</v>
      </c>
      <c r="C4491" s="1">
        <v>45086</v>
      </c>
      <c r="D4491" t="s">
        <v>71</v>
      </c>
      <c r="E4491">
        <v>0</v>
      </c>
      <c r="F4491">
        <v>40</v>
      </c>
      <c r="G4491" t="str">
        <f t="shared" si="78"/>
        <v>21-40</v>
      </c>
      <c r="H4491" t="s">
        <v>23</v>
      </c>
      <c r="I4491" t="s">
        <v>67</v>
      </c>
      <c r="J4491" t="s">
        <v>68</v>
      </c>
      <c r="K4491" t="s">
        <v>33</v>
      </c>
      <c r="L4491">
        <v>1</v>
      </c>
      <c r="M4491">
        <v>1</v>
      </c>
      <c r="N4491">
        <v>5.2</v>
      </c>
      <c r="O4491">
        <v>7.7</v>
      </c>
      <c r="P4491">
        <v>7</v>
      </c>
      <c r="Q4491">
        <v>4</v>
      </c>
      <c r="R4491">
        <v>895546</v>
      </c>
      <c r="S4491">
        <f>Table1[[#This Row],[Revenue]]-Table1[[#This Row],[Operating_Costs]]</f>
        <v>266426</v>
      </c>
      <c r="T4491">
        <v>629120</v>
      </c>
      <c r="U4491">
        <v>48</v>
      </c>
      <c r="V4491">
        <v>65</v>
      </c>
      <c r="W4491">
        <v>10.4</v>
      </c>
    </row>
    <row r="4492" spans="1:23" x14ac:dyDescent="0.25">
      <c r="A4492">
        <v>14</v>
      </c>
      <c r="B4492" t="s">
        <v>48</v>
      </c>
      <c r="C4492" s="1">
        <v>45336</v>
      </c>
      <c r="D4492" t="s">
        <v>71</v>
      </c>
      <c r="E4492">
        <v>0</v>
      </c>
      <c r="F4492">
        <v>31</v>
      </c>
      <c r="G4492" t="str">
        <f t="shared" si="78"/>
        <v>21-40</v>
      </c>
      <c r="H4492" t="s">
        <v>35</v>
      </c>
      <c r="I4492" t="s">
        <v>36</v>
      </c>
      <c r="J4492" t="s">
        <v>37</v>
      </c>
      <c r="K4492" t="s">
        <v>29</v>
      </c>
      <c r="L4492">
        <v>1</v>
      </c>
      <c r="M4492">
        <v>1</v>
      </c>
      <c r="N4492">
        <v>1.9</v>
      </c>
      <c r="O4492">
        <v>9.3000000000000007</v>
      </c>
      <c r="P4492">
        <v>6</v>
      </c>
      <c r="Q4492">
        <v>3</v>
      </c>
      <c r="R4492">
        <v>848185</v>
      </c>
      <c r="S4492">
        <f>Table1[[#This Row],[Revenue]]-Table1[[#This Row],[Operating_Costs]]</f>
        <v>167550</v>
      </c>
      <c r="T4492">
        <v>680635</v>
      </c>
      <c r="U4492">
        <v>46</v>
      </c>
      <c r="V4492">
        <v>59</v>
      </c>
      <c r="W4492">
        <v>13.6</v>
      </c>
    </row>
    <row r="4493" spans="1:23" x14ac:dyDescent="0.25">
      <c r="A4493">
        <v>14</v>
      </c>
      <c r="B4493" t="s">
        <v>48</v>
      </c>
      <c r="C4493" s="1">
        <v>44636</v>
      </c>
      <c r="D4493" t="s">
        <v>71</v>
      </c>
      <c r="E4493">
        <v>0</v>
      </c>
      <c r="F4493">
        <v>61</v>
      </c>
      <c r="G4493" t="str">
        <f t="shared" si="78"/>
        <v>61-80</v>
      </c>
      <c r="H4493" t="s">
        <v>35</v>
      </c>
      <c r="I4493" t="s">
        <v>55</v>
      </c>
      <c r="J4493" t="s">
        <v>56</v>
      </c>
      <c r="K4493" t="s">
        <v>33</v>
      </c>
      <c r="L4493">
        <v>1</v>
      </c>
      <c r="M4493">
        <v>1</v>
      </c>
      <c r="N4493">
        <v>3.2</v>
      </c>
      <c r="O4493">
        <v>9.1</v>
      </c>
      <c r="P4493">
        <v>3</v>
      </c>
      <c r="Q4493">
        <v>7</v>
      </c>
      <c r="R4493">
        <v>722744</v>
      </c>
      <c r="S4493">
        <f>Table1[[#This Row],[Revenue]]-Table1[[#This Row],[Operating_Costs]]</f>
        <v>135959</v>
      </c>
      <c r="T4493">
        <v>586785</v>
      </c>
      <c r="U4493">
        <v>50</v>
      </c>
      <c r="V4493">
        <v>61</v>
      </c>
      <c r="W4493">
        <v>10.9</v>
      </c>
    </row>
    <row r="4494" spans="1:23" x14ac:dyDescent="0.25">
      <c r="A4494">
        <v>14</v>
      </c>
      <c r="B4494" t="s">
        <v>48</v>
      </c>
      <c r="C4494" s="1">
        <v>44879</v>
      </c>
      <c r="D4494" t="s">
        <v>71</v>
      </c>
      <c r="E4494">
        <v>0</v>
      </c>
      <c r="F4494">
        <v>36</v>
      </c>
      <c r="G4494" t="str">
        <f t="shared" si="78"/>
        <v>21-40</v>
      </c>
      <c r="H4494" t="s">
        <v>35</v>
      </c>
      <c r="I4494" t="s">
        <v>36</v>
      </c>
      <c r="J4494" t="s">
        <v>37</v>
      </c>
      <c r="K4494" t="s">
        <v>26</v>
      </c>
      <c r="L4494">
        <v>1</v>
      </c>
      <c r="M4494">
        <v>1</v>
      </c>
      <c r="N4494">
        <v>5.6</v>
      </c>
      <c r="O4494">
        <v>9.9</v>
      </c>
      <c r="P4494">
        <v>3</v>
      </c>
      <c r="Q4494">
        <v>4</v>
      </c>
      <c r="R4494">
        <v>792067</v>
      </c>
      <c r="S4494">
        <f>Table1[[#This Row],[Revenue]]-Table1[[#This Row],[Operating_Costs]]</f>
        <v>292016</v>
      </c>
      <c r="T4494">
        <v>500051</v>
      </c>
      <c r="U4494">
        <v>37</v>
      </c>
      <c r="V4494">
        <v>57</v>
      </c>
      <c r="W4494">
        <v>7.4</v>
      </c>
    </row>
    <row r="4495" spans="1:23" x14ac:dyDescent="0.25">
      <c r="A4495">
        <v>14</v>
      </c>
      <c r="B4495" t="s">
        <v>48</v>
      </c>
      <c r="C4495" s="1">
        <v>45440</v>
      </c>
      <c r="D4495" t="s">
        <v>71</v>
      </c>
      <c r="E4495">
        <v>0</v>
      </c>
      <c r="F4495">
        <v>48</v>
      </c>
      <c r="G4495" t="str">
        <f t="shared" si="78"/>
        <v>41-60</v>
      </c>
      <c r="H4495" t="s">
        <v>23</v>
      </c>
      <c r="I4495" t="s">
        <v>46</v>
      </c>
      <c r="J4495" t="s">
        <v>47</v>
      </c>
      <c r="K4495" t="s">
        <v>42</v>
      </c>
      <c r="L4495">
        <v>1</v>
      </c>
      <c r="M4495">
        <v>1</v>
      </c>
      <c r="N4495">
        <v>1.2</v>
      </c>
      <c r="O4495">
        <v>8.1</v>
      </c>
      <c r="P4495">
        <v>4</v>
      </c>
      <c r="Q4495">
        <v>7</v>
      </c>
      <c r="R4495">
        <v>724653</v>
      </c>
      <c r="S4495">
        <f>Table1[[#This Row],[Revenue]]-Table1[[#This Row],[Operating_Costs]]</f>
        <v>188827</v>
      </c>
      <c r="T4495">
        <v>535826</v>
      </c>
      <c r="U4495">
        <v>30</v>
      </c>
      <c r="V4495">
        <v>65</v>
      </c>
      <c r="W4495">
        <v>12.5</v>
      </c>
    </row>
    <row r="4496" spans="1:23" x14ac:dyDescent="0.25">
      <c r="A4496">
        <v>14</v>
      </c>
      <c r="B4496" t="s">
        <v>48</v>
      </c>
      <c r="C4496" s="1">
        <v>44562</v>
      </c>
      <c r="D4496" t="s">
        <v>71</v>
      </c>
      <c r="E4496">
        <v>0</v>
      </c>
      <c r="F4496">
        <v>75</v>
      </c>
      <c r="G4496" t="str">
        <f t="shared" si="78"/>
        <v>61-80</v>
      </c>
      <c r="H4496" t="s">
        <v>23</v>
      </c>
      <c r="I4496" t="s">
        <v>64</v>
      </c>
      <c r="J4496" t="s">
        <v>65</v>
      </c>
      <c r="K4496" t="s">
        <v>42</v>
      </c>
      <c r="L4496">
        <v>1</v>
      </c>
      <c r="M4496">
        <v>1</v>
      </c>
      <c r="N4496">
        <v>2.5</v>
      </c>
      <c r="O4496">
        <v>8.3000000000000007</v>
      </c>
      <c r="P4496">
        <v>5</v>
      </c>
      <c r="Q4496">
        <v>4</v>
      </c>
      <c r="R4496">
        <v>847238</v>
      </c>
      <c r="S4496">
        <f>Table1[[#This Row],[Revenue]]-Table1[[#This Row],[Operating_Costs]]</f>
        <v>156879</v>
      </c>
      <c r="T4496">
        <v>690359</v>
      </c>
      <c r="U4496">
        <v>47</v>
      </c>
      <c r="V4496">
        <v>54</v>
      </c>
      <c r="W4496">
        <v>10.3</v>
      </c>
    </row>
    <row r="4497" spans="1:23" x14ac:dyDescent="0.25">
      <c r="A4497">
        <v>14</v>
      </c>
      <c r="B4497" t="s">
        <v>48</v>
      </c>
      <c r="C4497" s="1">
        <v>44496</v>
      </c>
      <c r="D4497" t="s">
        <v>71</v>
      </c>
      <c r="E4497">
        <v>0</v>
      </c>
      <c r="F4497">
        <v>28</v>
      </c>
      <c r="G4497" t="str">
        <f t="shared" si="78"/>
        <v>21-40</v>
      </c>
      <c r="H4497" t="s">
        <v>23</v>
      </c>
      <c r="I4497" t="s">
        <v>50</v>
      </c>
      <c r="J4497" t="s">
        <v>51</v>
      </c>
      <c r="K4497" t="s">
        <v>26</v>
      </c>
      <c r="L4497">
        <v>1</v>
      </c>
      <c r="M4497">
        <v>1</v>
      </c>
      <c r="N4497">
        <v>1.8</v>
      </c>
      <c r="O4497">
        <v>9.1999999999999993</v>
      </c>
      <c r="P4497">
        <v>7</v>
      </c>
      <c r="Q4497">
        <v>7</v>
      </c>
      <c r="R4497">
        <v>706026</v>
      </c>
      <c r="S4497">
        <f>Table1[[#This Row],[Revenue]]-Table1[[#This Row],[Operating_Costs]]</f>
        <v>190530</v>
      </c>
      <c r="T4497">
        <v>515496</v>
      </c>
      <c r="U4497">
        <v>45</v>
      </c>
      <c r="V4497">
        <v>57</v>
      </c>
      <c r="W4497">
        <v>8.8000000000000007</v>
      </c>
    </row>
    <row r="4498" spans="1:23" x14ac:dyDescent="0.25">
      <c r="A4498">
        <v>14</v>
      </c>
      <c r="B4498" t="s">
        <v>48</v>
      </c>
      <c r="C4498" s="1">
        <v>45205</v>
      </c>
      <c r="D4498" t="s">
        <v>71</v>
      </c>
      <c r="E4498">
        <v>0</v>
      </c>
      <c r="F4498">
        <v>71</v>
      </c>
      <c r="G4498" t="str">
        <f t="shared" si="78"/>
        <v>61-80</v>
      </c>
      <c r="H4498" t="s">
        <v>23</v>
      </c>
      <c r="I4498" t="s">
        <v>24</v>
      </c>
      <c r="J4498" t="s">
        <v>25</v>
      </c>
      <c r="K4498" t="s">
        <v>42</v>
      </c>
      <c r="L4498">
        <v>1</v>
      </c>
      <c r="M4498">
        <v>1</v>
      </c>
      <c r="N4498">
        <v>3.9</v>
      </c>
      <c r="O4498">
        <v>7.7</v>
      </c>
      <c r="P4498">
        <v>4</v>
      </c>
      <c r="Q4498">
        <v>5</v>
      </c>
      <c r="R4498">
        <v>792307</v>
      </c>
      <c r="S4498">
        <f>Table1[[#This Row],[Revenue]]-Table1[[#This Row],[Operating_Costs]]</f>
        <v>138271</v>
      </c>
      <c r="T4498">
        <v>654036</v>
      </c>
      <c r="U4498">
        <v>32</v>
      </c>
      <c r="V4498">
        <v>66</v>
      </c>
      <c r="W4498">
        <v>6</v>
      </c>
    </row>
    <row r="4499" spans="1:23" x14ac:dyDescent="0.25">
      <c r="A4499">
        <v>14</v>
      </c>
      <c r="B4499" t="s">
        <v>48</v>
      </c>
      <c r="C4499" s="1">
        <v>44426</v>
      </c>
      <c r="D4499" t="s">
        <v>71</v>
      </c>
      <c r="E4499">
        <v>0</v>
      </c>
      <c r="F4499">
        <v>59</v>
      </c>
      <c r="G4499" t="str">
        <f t="shared" si="78"/>
        <v>41-60</v>
      </c>
      <c r="H4499" t="s">
        <v>35</v>
      </c>
      <c r="I4499" t="s">
        <v>36</v>
      </c>
      <c r="J4499" t="s">
        <v>37</v>
      </c>
      <c r="K4499" t="s">
        <v>38</v>
      </c>
      <c r="L4499">
        <v>1</v>
      </c>
      <c r="M4499">
        <v>1</v>
      </c>
      <c r="N4499">
        <v>6.1</v>
      </c>
      <c r="O4499">
        <v>9.4</v>
      </c>
      <c r="P4499">
        <v>6</v>
      </c>
      <c r="Q4499">
        <v>7</v>
      </c>
      <c r="R4499">
        <v>800283</v>
      </c>
      <c r="S4499">
        <f>Table1[[#This Row],[Revenue]]-Table1[[#This Row],[Operating_Costs]]</f>
        <v>104551</v>
      </c>
      <c r="T4499">
        <v>695732</v>
      </c>
      <c r="U4499">
        <v>34</v>
      </c>
      <c r="V4499">
        <v>65</v>
      </c>
      <c r="W4499">
        <v>8.4</v>
      </c>
    </row>
    <row r="4500" spans="1:23" x14ac:dyDescent="0.25">
      <c r="A4500">
        <v>14</v>
      </c>
      <c r="B4500" t="s">
        <v>48</v>
      </c>
      <c r="C4500" s="1">
        <v>44550</v>
      </c>
      <c r="D4500" t="s">
        <v>71</v>
      </c>
      <c r="E4500">
        <v>0</v>
      </c>
      <c r="F4500">
        <v>44</v>
      </c>
      <c r="G4500" t="str">
        <f t="shared" si="78"/>
        <v>41-60</v>
      </c>
      <c r="H4500" t="s">
        <v>35</v>
      </c>
      <c r="I4500" t="s">
        <v>46</v>
      </c>
      <c r="J4500" t="s">
        <v>47</v>
      </c>
      <c r="K4500" t="s">
        <v>38</v>
      </c>
      <c r="L4500">
        <v>1</v>
      </c>
      <c r="M4500">
        <v>1</v>
      </c>
      <c r="N4500">
        <v>3</v>
      </c>
      <c r="O4500">
        <v>7.9</v>
      </c>
      <c r="P4500">
        <v>6</v>
      </c>
      <c r="Q4500">
        <v>7</v>
      </c>
      <c r="R4500">
        <v>733270</v>
      </c>
      <c r="S4500">
        <f>Table1[[#This Row],[Revenue]]-Table1[[#This Row],[Operating_Costs]]</f>
        <v>203765</v>
      </c>
      <c r="T4500">
        <v>529505</v>
      </c>
      <c r="U4500">
        <v>44</v>
      </c>
      <c r="V4500">
        <v>54</v>
      </c>
      <c r="W4500">
        <v>12</v>
      </c>
    </row>
    <row r="4501" spans="1:23" x14ac:dyDescent="0.25">
      <c r="A4501">
        <v>14</v>
      </c>
      <c r="B4501" t="s">
        <v>48</v>
      </c>
      <c r="C4501" s="1">
        <v>44653</v>
      </c>
      <c r="D4501" t="s">
        <v>71</v>
      </c>
      <c r="E4501">
        <v>0</v>
      </c>
      <c r="F4501">
        <v>52</v>
      </c>
      <c r="G4501" t="str">
        <f t="shared" si="78"/>
        <v>41-60</v>
      </c>
      <c r="H4501" t="s">
        <v>23</v>
      </c>
      <c r="I4501" t="s">
        <v>43</v>
      </c>
      <c r="J4501" t="s">
        <v>25</v>
      </c>
      <c r="K4501" t="s">
        <v>26</v>
      </c>
      <c r="L4501">
        <v>1</v>
      </c>
      <c r="M4501">
        <v>1</v>
      </c>
      <c r="N4501">
        <v>6.9</v>
      </c>
      <c r="O4501">
        <v>9.1</v>
      </c>
      <c r="P4501">
        <v>6</v>
      </c>
      <c r="Q4501">
        <v>5</v>
      </c>
      <c r="R4501">
        <v>802058</v>
      </c>
      <c r="S4501">
        <f>Table1[[#This Row],[Revenue]]-Table1[[#This Row],[Operating_Costs]]</f>
        <v>142333</v>
      </c>
      <c r="T4501">
        <v>659725</v>
      </c>
      <c r="U4501">
        <v>42</v>
      </c>
      <c r="V4501">
        <v>66</v>
      </c>
      <c r="W4501">
        <v>36.1</v>
      </c>
    </row>
    <row r="4502" spans="1:23" x14ac:dyDescent="0.25">
      <c r="A4502">
        <v>14</v>
      </c>
      <c r="B4502" t="s">
        <v>48</v>
      </c>
      <c r="C4502" s="1">
        <v>45029</v>
      </c>
      <c r="D4502" t="s">
        <v>71</v>
      </c>
      <c r="E4502">
        <v>0</v>
      </c>
      <c r="F4502">
        <v>90</v>
      </c>
      <c r="G4502" t="str">
        <f t="shared" si="78"/>
        <v>81+</v>
      </c>
      <c r="H4502" t="s">
        <v>23</v>
      </c>
      <c r="I4502" t="s">
        <v>24</v>
      </c>
      <c r="J4502" t="s">
        <v>25</v>
      </c>
      <c r="K4502" t="s">
        <v>33</v>
      </c>
      <c r="L4502">
        <v>1</v>
      </c>
      <c r="M4502">
        <v>1</v>
      </c>
      <c r="N4502">
        <v>3</v>
      </c>
      <c r="O4502">
        <v>7.8</v>
      </c>
      <c r="P4502">
        <v>7</v>
      </c>
      <c r="Q4502">
        <v>6</v>
      </c>
      <c r="R4502">
        <v>828904</v>
      </c>
      <c r="S4502">
        <f>Table1[[#This Row],[Revenue]]-Table1[[#This Row],[Operating_Costs]]</f>
        <v>260018</v>
      </c>
      <c r="T4502">
        <v>568886</v>
      </c>
      <c r="U4502">
        <v>46</v>
      </c>
      <c r="V4502">
        <v>63</v>
      </c>
      <c r="W4502">
        <v>10.8</v>
      </c>
    </row>
    <row r="4503" spans="1:23" x14ac:dyDescent="0.25">
      <c r="A4503">
        <v>14</v>
      </c>
      <c r="B4503" t="s">
        <v>48</v>
      </c>
      <c r="C4503" s="1">
        <v>45580</v>
      </c>
      <c r="D4503" t="s">
        <v>71</v>
      </c>
      <c r="E4503">
        <v>0</v>
      </c>
      <c r="F4503">
        <v>25</v>
      </c>
      <c r="G4503" t="str">
        <f t="shared" si="78"/>
        <v>21-40</v>
      </c>
      <c r="H4503" t="s">
        <v>23</v>
      </c>
      <c r="I4503" t="s">
        <v>50</v>
      </c>
      <c r="J4503" t="s">
        <v>51</v>
      </c>
      <c r="K4503" t="s">
        <v>42</v>
      </c>
      <c r="L4503">
        <v>1</v>
      </c>
      <c r="M4503">
        <v>1</v>
      </c>
      <c r="N4503">
        <v>2.2999999999999998</v>
      </c>
      <c r="O4503">
        <v>9.5</v>
      </c>
      <c r="P4503">
        <v>7</v>
      </c>
      <c r="Q4503">
        <v>6</v>
      </c>
      <c r="R4503">
        <v>796399</v>
      </c>
      <c r="S4503">
        <f>Table1[[#This Row],[Revenue]]-Table1[[#This Row],[Operating_Costs]]</f>
        <v>160152</v>
      </c>
      <c r="T4503">
        <v>636247</v>
      </c>
      <c r="U4503">
        <v>50</v>
      </c>
      <c r="V4503">
        <v>64</v>
      </c>
      <c r="W4503">
        <v>10.7</v>
      </c>
    </row>
    <row r="4504" spans="1:23" x14ac:dyDescent="0.25">
      <c r="A4504">
        <v>14</v>
      </c>
      <c r="B4504" t="s">
        <v>48</v>
      </c>
      <c r="C4504" s="1">
        <v>45544</v>
      </c>
      <c r="D4504" t="s">
        <v>71</v>
      </c>
      <c r="E4504">
        <v>0</v>
      </c>
      <c r="F4504">
        <v>87</v>
      </c>
      <c r="G4504" t="str">
        <f t="shared" si="78"/>
        <v>81+</v>
      </c>
      <c r="H4504" t="s">
        <v>23</v>
      </c>
      <c r="I4504" t="s">
        <v>61</v>
      </c>
      <c r="J4504" t="s">
        <v>62</v>
      </c>
      <c r="K4504" t="s">
        <v>38</v>
      </c>
      <c r="L4504">
        <v>1</v>
      </c>
      <c r="M4504">
        <v>1</v>
      </c>
      <c r="N4504">
        <v>1.2</v>
      </c>
      <c r="O4504">
        <v>9.6999999999999993</v>
      </c>
      <c r="P4504">
        <v>3</v>
      </c>
      <c r="Q4504">
        <v>4</v>
      </c>
      <c r="R4504">
        <v>769848</v>
      </c>
      <c r="S4504">
        <f>Table1[[#This Row],[Revenue]]-Table1[[#This Row],[Operating_Costs]]</f>
        <v>174559</v>
      </c>
      <c r="T4504">
        <v>595289</v>
      </c>
      <c r="U4504">
        <v>33</v>
      </c>
      <c r="V4504">
        <v>61</v>
      </c>
      <c r="W4504">
        <v>8.1</v>
      </c>
    </row>
    <row r="4505" spans="1:23" x14ac:dyDescent="0.25">
      <c r="A4505">
        <v>14</v>
      </c>
      <c r="B4505" t="s">
        <v>48</v>
      </c>
      <c r="C4505" s="1">
        <v>45630</v>
      </c>
      <c r="D4505" t="s">
        <v>71</v>
      </c>
      <c r="E4505">
        <v>0</v>
      </c>
      <c r="F4505">
        <v>81</v>
      </c>
      <c r="G4505" t="str">
        <f t="shared" si="78"/>
        <v>81+</v>
      </c>
      <c r="H4505" t="s">
        <v>23</v>
      </c>
      <c r="I4505" t="s">
        <v>61</v>
      </c>
      <c r="J4505" t="s">
        <v>62</v>
      </c>
      <c r="K4505" t="s">
        <v>26</v>
      </c>
      <c r="L4505">
        <v>1</v>
      </c>
      <c r="M4505">
        <v>1</v>
      </c>
      <c r="N4505">
        <v>5.5</v>
      </c>
      <c r="O4505">
        <v>8.5</v>
      </c>
      <c r="P4505">
        <v>4</v>
      </c>
      <c r="Q4505">
        <v>6</v>
      </c>
      <c r="R4505">
        <v>722866</v>
      </c>
      <c r="S4505">
        <f>Table1[[#This Row],[Revenue]]-Table1[[#This Row],[Operating_Costs]]</f>
        <v>75894</v>
      </c>
      <c r="T4505">
        <v>646972</v>
      </c>
      <c r="U4505">
        <v>44</v>
      </c>
      <c r="V4505">
        <v>55</v>
      </c>
      <c r="W4505">
        <v>9.6999999999999993</v>
      </c>
    </row>
    <row r="4506" spans="1:23" x14ac:dyDescent="0.25">
      <c r="A4506">
        <v>14</v>
      </c>
      <c r="B4506" t="s">
        <v>48</v>
      </c>
      <c r="C4506" s="1">
        <v>44920</v>
      </c>
      <c r="D4506" t="s">
        <v>71</v>
      </c>
      <c r="E4506">
        <v>0</v>
      </c>
      <c r="F4506">
        <v>28</v>
      </c>
      <c r="G4506" t="str">
        <f t="shared" si="78"/>
        <v>21-40</v>
      </c>
      <c r="H4506" t="s">
        <v>35</v>
      </c>
      <c r="I4506" t="s">
        <v>36</v>
      </c>
      <c r="J4506" t="s">
        <v>37</v>
      </c>
      <c r="K4506" t="s">
        <v>26</v>
      </c>
      <c r="L4506">
        <v>1</v>
      </c>
      <c r="M4506">
        <v>1</v>
      </c>
      <c r="N4506">
        <v>4</v>
      </c>
      <c r="O4506">
        <v>8</v>
      </c>
      <c r="P4506">
        <v>3</v>
      </c>
      <c r="Q4506">
        <v>3</v>
      </c>
      <c r="R4506">
        <v>835489</v>
      </c>
      <c r="S4506">
        <f>Table1[[#This Row],[Revenue]]-Table1[[#This Row],[Operating_Costs]]</f>
        <v>173933</v>
      </c>
      <c r="T4506">
        <v>661556</v>
      </c>
      <c r="U4506">
        <v>42</v>
      </c>
      <c r="V4506">
        <v>58</v>
      </c>
      <c r="W4506">
        <v>9.4</v>
      </c>
    </row>
    <row r="4507" spans="1:23" x14ac:dyDescent="0.25">
      <c r="A4507">
        <v>14</v>
      </c>
      <c r="B4507" t="s">
        <v>48</v>
      </c>
      <c r="C4507" s="1">
        <v>44965</v>
      </c>
      <c r="D4507" t="s">
        <v>71</v>
      </c>
      <c r="E4507">
        <v>0</v>
      </c>
      <c r="F4507">
        <v>66</v>
      </c>
      <c r="G4507" t="str">
        <f t="shared" si="78"/>
        <v>61-80</v>
      </c>
      <c r="H4507" t="s">
        <v>35</v>
      </c>
      <c r="I4507" t="s">
        <v>36</v>
      </c>
      <c r="J4507" t="s">
        <v>37</v>
      </c>
      <c r="K4507" t="s">
        <v>38</v>
      </c>
      <c r="L4507">
        <v>1</v>
      </c>
      <c r="M4507">
        <v>1</v>
      </c>
      <c r="N4507">
        <v>4.4000000000000004</v>
      </c>
      <c r="O4507">
        <v>7.2</v>
      </c>
      <c r="P4507">
        <v>4</v>
      </c>
      <c r="Q4507">
        <v>6</v>
      </c>
      <c r="R4507">
        <v>840725</v>
      </c>
      <c r="S4507">
        <f>Table1[[#This Row],[Revenue]]-Table1[[#This Row],[Operating_Costs]]</f>
        <v>203584</v>
      </c>
      <c r="T4507">
        <v>637141</v>
      </c>
      <c r="U4507">
        <v>31</v>
      </c>
      <c r="V4507">
        <v>56</v>
      </c>
      <c r="W4507">
        <v>36.5</v>
      </c>
    </row>
    <row r="4508" spans="1:23" x14ac:dyDescent="0.25">
      <c r="A4508">
        <v>14</v>
      </c>
      <c r="B4508" t="s">
        <v>48</v>
      </c>
      <c r="C4508" s="1">
        <v>44978</v>
      </c>
      <c r="D4508" t="s">
        <v>71</v>
      </c>
      <c r="E4508">
        <v>0</v>
      </c>
      <c r="F4508">
        <v>54</v>
      </c>
      <c r="G4508" t="str">
        <f t="shared" si="78"/>
        <v>41-60</v>
      </c>
      <c r="H4508" t="s">
        <v>23</v>
      </c>
      <c r="I4508" t="s">
        <v>55</v>
      </c>
      <c r="J4508" t="s">
        <v>56</v>
      </c>
      <c r="K4508" t="s">
        <v>42</v>
      </c>
      <c r="L4508">
        <v>1</v>
      </c>
      <c r="M4508">
        <v>1</v>
      </c>
      <c r="N4508">
        <v>6.6</v>
      </c>
      <c r="O4508">
        <v>9.8000000000000007</v>
      </c>
      <c r="P4508">
        <v>3</v>
      </c>
      <c r="Q4508">
        <v>3</v>
      </c>
      <c r="R4508">
        <v>869074</v>
      </c>
      <c r="S4508">
        <f>Table1[[#This Row],[Revenue]]-Table1[[#This Row],[Operating_Costs]]</f>
        <v>278274</v>
      </c>
      <c r="T4508">
        <v>590800</v>
      </c>
      <c r="U4508">
        <v>49</v>
      </c>
      <c r="V4508">
        <v>59</v>
      </c>
      <c r="W4508">
        <v>9.1</v>
      </c>
    </row>
    <row r="4509" spans="1:23" x14ac:dyDescent="0.25">
      <c r="A4509">
        <v>14</v>
      </c>
      <c r="B4509" t="s">
        <v>48</v>
      </c>
      <c r="C4509" s="1">
        <v>44927</v>
      </c>
      <c r="D4509" t="s">
        <v>71</v>
      </c>
      <c r="E4509">
        <v>0</v>
      </c>
      <c r="F4509">
        <v>39</v>
      </c>
      <c r="G4509" t="str">
        <f t="shared" si="78"/>
        <v>21-40</v>
      </c>
      <c r="H4509" t="s">
        <v>35</v>
      </c>
      <c r="I4509" t="s">
        <v>36</v>
      </c>
      <c r="J4509" t="s">
        <v>37</v>
      </c>
      <c r="K4509" t="s">
        <v>29</v>
      </c>
      <c r="L4509">
        <v>1</v>
      </c>
      <c r="M4509">
        <v>1</v>
      </c>
      <c r="N4509">
        <v>4.4000000000000004</v>
      </c>
      <c r="O4509">
        <v>9.8000000000000007</v>
      </c>
      <c r="P4509">
        <v>5</v>
      </c>
      <c r="Q4509">
        <v>7</v>
      </c>
      <c r="R4509">
        <v>790721</v>
      </c>
      <c r="S4509">
        <f>Table1[[#This Row],[Revenue]]-Table1[[#This Row],[Operating_Costs]]</f>
        <v>159728</v>
      </c>
      <c r="T4509">
        <v>630993</v>
      </c>
      <c r="U4509">
        <v>48</v>
      </c>
      <c r="V4509">
        <v>65</v>
      </c>
      <c r="W4509">
        <v>12.2</v>
      </c>
    </row>
    <row r="4510" spans="1:23" x14ac:dyDescent="0.25">
      <c r="A4510">
        <v>14</v>
      </c>
      <c r="B4510" t="s">
        <v>48</v>
      </c>
      <c r="C4510" s="1">
        <v>45102</v>
      </c>
      <c r="D4510" t="s">
        <v>71</v>
      </c>
      <c r="E4510">
        <v>0</v>
      </c>
      <c r="F4510">
        <v>63</v>
      </c>
      <c r="G4510" t="str">
        <f t="shared" si="78"/>
        <v>61-80</v>
      </c>
      <c r="H4510" t="s">
        <v>35</v>
      </c>
      <c r="I4510" t="s">
        <v>61</v>
      </c>
      <c r="J4510" t="s">
        <v>62</v>
      </c>
      <c r="K4510" t="s">
        <v>38</v>
      </c>
      <c r="L4510">
        <v>1</v>
      </c>
      <c r="M4510">
        <v>1</v>
      </c>
      <c r="N4510">
        <v>5.0999999999999996</v>
      </c>
      <c r="O4510">
        <v>9.8000000000000007</v>
      </c>
      <c r="P4510">
        <v>7</v>
      </c>
      <c r="Q4510">
        <v>5</v>
      </c>
      <c r="R4510">
        <v>880764</v>
      </c>
      <c r="S4510">
        <f>Table1[[#This Row],[Revenue]]-Table1[[#This Row],[Operating_Costs]]</f>
        <v>370801</v>
      </c>
      <c r="T4510">
        <v>509963</v>
      </c>
      <c r="U4510">
        <v>30</v>
      </c>
      <c r="V4510">
        <v>61</v>
      </c>
      <c r="W4510">
        <v>13.9</v>
      </c>
    </row>
    <row r="4511" spans="1:23" x14ac:dyDescent="0.25">
      <c r="A4511">
        <v>14</v>
      </c>
      <c r="B4511" t="s">
        <v>48</v>
      </c>
      <c r="C4511" s="1">
        <v>45044</v>
      </c>
      <c r="D4511" t="s">
        <v>71</v>
      </c>
      <c r="E4511">
        <v>0</v>
      </c>
      <c r="F4511">
        <v>46</v>
      </c>
      <c r="G4511" t="str">
        <f t="shared" si="78"/>
        <v>41-60</v>
      </c>
      <c r="H4511" t="s">
        <v>23</v>
      </c>
      <c r="I4511" t="s">
        <v>27</v>
      </c>
      <c r="J4511" t="s">
        <v>28</v>
      </c>
      <c r="K4511" t="s">
        <v>42</v>
      </c>
      <c r="L4511">
        <v>1</v>
      </c>
      <c r="M4511">
        <v>1</v>
      </c>
      <c r="N4511">
        <v>4.2</v>
      </c>
      <c r="O4511">
        <v>8</v>
      </c>
      <c r="P4511">
        <v>5</v>
      </c>
      <c r="Q4511">
        <v>4</v>
      </c>
      <c r="R4511">
        <v>899131</v>
      </c>
      <c r="S4511">
        <f>Table1[[#This Row],[Revenue]]-Table1[[#This Row],[Operating_Costs]]</f>
        <v>271442</v>
      </c>
      <c r="T4511">
        <v>627689</v>
      </c>
      <c r="U4511">
        <v>33</v>
      </c>
      <c r="V4511">
        <v>62</v>
      </c>
      <c r="W4511">
        <v>6.7</v>
      </c>
    </row>
    <row r="4512" spans="1:23" x14ac:dyDescent="0.25">
      <c r="A4512">
        <v>14</v>
      </c>
      <c r="B4512" t="s">
        <v>48</v>
      </c>
      <c r="C4512" s="1">
        <v>44787</v>
      </c>
      <c r="D4512" t="s">
        <v>71</v>
      </c>
      <c r="E4512">
        <v>0</v>
      </c>
      <c r="F4512">
        <v>53</v>
      </c>
      <c r="G4512" t="str">
        <f t="shared" si="78"/>
        <v>41-60</v>
      </c>
      <c r="H4512" t="s">
        <v>23</v>
      </c>
      <c r="I4512" t="s">
        <v>50</v>
      </c>
      <c r="J4512" t="s">
        <v>51</v>
      </c>
      <c r="K4512" t="s">
        <v>29</v>
      </c>
      <c r="L4512">
        <v>1</v>
      </c>
      <c r="M4512">
        <v>1</v>
      </c>
      <c r="N4512">
        <v>2.1</v>
      </c>
      <c r="O4512">
        <v>7.7</v>
      </c>
      <c r="P4512">
        <v>6</v>
      </c>
      <c r="Q4512">
        <v>4</v>
      </c>
      <c r="R4512">
        <v>879493</v>
      </c>
      <c r="S4512">
        <f>Table1[[#This Row],[Revenue]]-Table1[[#This Row],[Operating_Costs]]</f>
        <v>316451</v>
      </c>
      <c r="T4512">
        <v>563042</v>
      </c>
      <c r="U4512">
        <v>34</v>
      </c>
      <c r="V4512">
        <v>65</v>
      </c>
      <c r="W4512">
        <v>13.7</v>
      </c>
    </row>
    <row r="4513" spans="1:23" x14ac:dyDescent="0.25">
      <c r="A4513">
        <v>14</v>
      </c>
      <c r="B4513" t="s">
        <v>48</v>
      </c>
      <c r="C4513" s="1">
        <v>45207</v>
      </c>
      <c r="D4513" t="s">
        <v>71</v>
      </c>
      <c r="E4513">
        <v>0</v>
      </c>
      <c r="F4513">
        <v>55</v>
      </c>
      <c r="G4513" t="str">
        <f t="shared" si="78"/>
        <v>41-60</v>
      </c>
      <c r="H4513" t="s">
        <v>35</v>
      </c>
      <c r="I4513" t="s">
        <v>50</v>
      </c>
      <c r="J4513" t="s">
        <v>51</v>
      </c>
      <c r="K4513" t="s">
        <v>42</v>
      </c>
      <c r="L4513">
        <v>1</v>
      </c>
      <c r="M4513">
        <v>1</v>
      </c>
      <c r="N4513">
        <v>5.4</v>
      </c>
      <c r="O4513">
        <v>8.3000000000000007</v>
      </c>
      <c r="P4513">
        <v>6</v>
      </c>
      <c r="Q4513">
        <v>5</v>
      </c>
      <c r="R4513">
        <v>743977</v>
      </c>
      <c r="S4513">
        <f>Table1[[#This Row],[Revenue]]-Table1[[#This Row],[Operating_Costs]]</f>
        <v>157261</v>
      </c>
      <c r="T4513">
        <v>586716</v>
      </c>
      <c r="U4513">
        <v>39</v>
      </c>
      <c r="V4513">
        <v>57</v>
      </c>
      <c r="W4513">
        <v>12.6</v>
      </c>
    </row>
    <row r="4514" spans="1:23" x14ac:dyDescent="0.25">
      <c r="A4514">
        <v>14</v>
      </c>
      <c r="B4514" t="s">
        <v>48</v>
      </c>
      <c r="C4514" s="1">
        <v>44839</v>
      </c>
      <c r="D4514" t="s">
        <v>71</v>
      </c>
      <c r="E4514">
        <v>0</v>
      </c>
      <c r="F4514">
        <v>33</v>
      </c>
      <c r="G4514" t="str">
        <f t="shared" si="78"/>
        <v>21-40</v>
      </c>
      <c r="H4514" t="s">
        <v>23</v>
      </c>
      <c r="I4514" t="s">
        <v>31</v>
      </c>
      <c r="J4514" t="s">
        <v>28</v>
      </c>
      <c r="K4514" t="s">
        <v>29</v>
      </c>
      <c r="L4514">
        <v>1</v>
      </c>
      <c r="M4514">
        <v>1</v>
      </c>
      <c r="N4514">
        <v>3.4</v>
      </c>
      <c r="O4514">
        <v>7.5</v>
      </c>
      <c r="P4514">
        <v>6</v>
      </c>
      <c r="Q4514">
        <v>3</v>
      </c>
      <c r="R4514">
        <v>840418</v>
      </c>
      <c r="S4514">
        <f>Table1[[#This Row],[Revenue]]-Table1[[#This Row],[Operating_Costs]]</f>
        <v>305511</v>
      </c>
      <c r="T4514">
        <v>534907</v>
      </c>
      <c r="U4514">
        <v>48</v>
      </c>
      <c r="V4514">
        <v>66</v>
      </c>
      <c r="W4514">
        <v>36.700000000000003</v>
      </c>
    </row>
    <row r="4515" spans="1:23" x14ac:dyDescent="0.25">
      <c r="A4515">
        <v>14</v>
      </c>
      <c r="B4515" t="s">
        <v>48</v>
      </c>
      <c r="C4515" s="1">
        <v>45084</v>
      </c>
      <c r="D4515" t="s">
        <v>71</v>
      </c>
      <c r="E4515">
        <v>0</v>
      </c>
      <c r="F4515">
        <v>58</v>
      </c>
      <c r="G4515" t="str">
        <f t="shared" si="78"/>
        <v>41-60</v>
      </c>
      <c r="H4515" t="s">
        <v>23</v>
      </c>
      <c r="I4515" t="s">
        <v>31</v>
      </c>
      <c r="J4515" t="s">
        <v>28</v>
      </c>
      <c r="K4515" t="s">
        <v>38</v>
      </c>
      <c r="L4515">
        <v>1</v>
      </c>
      <c r="M4515">
        <v>1</v>
      </c>
      <c r="N4515">
        <v>5.3</v>
      </c>
      <c r="O4515">
        <v>8.1</v>
      </c>
      <c r="P4515">
        <v>3</v>
      </c>
      <c r="Q4515">
        <v>7</v>
      </c>
      <c r="R4515">
        <v>801236</v>
      </c>
      <c r="S4515">
        <f>Table1[[#This Row],[Revenue]]-Table1[[#This Row],[Operating_Costs]]</f>
        <v>280651</v>
      </c>
      <c r="T4515">
        <v>520585</v>
      </c>
      <c r="U4515">
        <v>49</v>
      </c>
      <c r="V4515">
        <v>59</v>
      </c>
      <c r="W4515">
        <v>9.1</v>
      </c>
    </row>
    <row r="4516" spans="1:23" x14ac:dyDescent="0.25">
      <c r="A4516">
        <v>14</v>
      </c>
      <c r="B4516" t="s">
        <v>48</v>
      </c>
      <c r="C4516" s="1">
        <v>45075</v>
      </c>
      <c r="D4516" t="s">
        <v>71</v>
      </c>
      <c r="E4516">
        <v>0</v>
      </c>
      <c r="F4516">
        <v>31</v>
      </c>
      <c r="G4516" t="str">
        <f t="shared" si="78"/>
        <v>21-40</v>
      </c>
      <c r="H4516" t="s">
        <v>35</v>
      </c>
      <c r="I4516" t="s">
        <v>61</v>
      </c>
      <c r="J4516" t="s">
        <v>62</v>
      </c>
      <c r="K4516" t="s">
        <v>26</v>
      </c>
      <c r="L4516">
        <v>1</v>
      </c>
      <c r="M4516">
        <v>1</v>
      </c>
      <c r="N4516">
        <v>3.7</v>
      </c>
      <c r="O4516">
        <v>7.2</v>
      </c>
      <c r="P4516">
        <v>6</v>
      </c>
      <c r="Q4516">
        <v>7</v>
      </c>
      <c r="R4516">
        <v>736319</v>
      </c>
      <c r="S4516">
        <f>Table1[[#This Row],[Revenue]]-Table1[[#This Row],[Operating_Costs]]</f>
        <v>161341</v>
      </c>
      <c r="T4516">
        <v>574978</v>
      </c>
      <c r="U4516">
        <v>39</v>
      </c>
      <c r="V4516">
        <v>64</v>
      </c>
      <c r="W4516">
        <v>12.2</v>
      </c>
    </row>
    <row r="4517" spans="1:23" x14ac:dyDescent="0.25">
      <c r="A4517">
        <v>14</v>
      </c>
      <c r="B4517" t="s">
        <v>48</v>
      </c>
      <c r="C4517" s="1">
        <v>45533</v>
      </c>
      <c r="D4517" t="s">
        <v>71</v>
      </c>
      <c r="E4517">
        <v>0</v>
      </c>
      <c r="F4517">
        <v>31</v>
      </c>
      <c r="G4517" t="str">
        <f t="shared" si="78"/>
        <v>21-40</v>
      </c>
      <c r="H4517" t="s">
        <v>35</v>
      </c>
      <c r="I4517" t="s">
        <v>61</v>
      </c>
      <c r="J4517" t="s">
        <v>62</v>
      </c>
      <c r="K4517" t="s">
        <v>29</v>
      </c>
      <c r="L4517">
        <v>1</v>
      </c>
      <c r="M4517">
        <v>1</v>
      </c>
      <c r="N4517">
        <v>4.5</v>
      </c>
      <c r="O4517">
        <v>9.3000000000000007</v>
      </c>
      <c r="P4517">
        <v>4</v>
      </c>
      <c r="Q4517">
        <v>3</v>
      </c>
      <c r="R4517">
        <v>828105</v>
      </c>
      <c r="S4517">
        <f>Table1[[#This Row],[Revenue]]-Table1[[#This Row],[Operating_Costs]]</f>
        <v>319975</v>
      </c>
      <c r="T4517">
        <v>508130</v>
      </c>
      <c r="U4517">
        <v>49</v>
      </c>
      <c r="V4517">
        <v>65</v>
      </c>
      <c r="W4517">
        <v>8</v>
      </c>
    </row>
    <row r="4518" spans="1:23" x14ac:dyDescent="0.25">
      <c r="A4518">
        <v>14</v>
      </c>
      <c r="B4518" t="s">
        <v>48</v>
      </c>
      <c r="C4518" s="1">
        <v>45310</v>
      </c>
      <c r="D4518" t="s">
        <v>71</v>
      </c>
      <c r="E4518">
        <v>0</v>
      </c>
      <c r="F4518">
        <v>73</v>
      </c>
      <c r="G4518" t="str">
        <f t="shared" si="78"/>
        <v>61-80</v>
      </c>
      <c r="H4518" t="s">
        <v>23</v>
      </c>
      <c r="I4518" t="s">
        <v>61</v>
      </c>
      <c r="J4518" t="s">
        <v>62</v>
      </c>
      <c r="K4518" t="s">
        <v>29</v>
      </c>
      <c r="L4518">
        <v>1</v>
      </c>
      <c r="M4518">
        <v>1</v>
      </c>
      <c r="N4518">
        <v>1.6</v>
      </c>
      <c r="O4518">
        <v>8.8000000000000007</v>
      </c>
      <c r="P4518">
        <v>5</v>
      </c>
      <c r="Q4518">
        <v>6</v>
      </c>
      <c r="R4518">
        <v>790601</v>
      </c>
      <c r="S4518">
        <f>Table1[[#This Row],[Revenue]]-Table1[[#This Row],[Operating_Costs]]</f>
        <v>103650</v>
      </c>
      <c r="T4518">
        <v>686951</v>
      </c>
      <c r="U4518">
        <v>39</v>
      </c>
      <c r="V4518">
        <v>66</v>
      </c>
      <c r="W4518">
        <v>14.2</v>
      </c>
    </row>
    <row r="4519" spans="1:23" x14ac:dyDescent="0.25">
      <c r="A4519">
        <v>14</v>
      </c>
      <c r="B4519" t="s">
        <v>48</v>
      </c>
      <c r="C4519" s="1">
        <v>45651</v>
      </c>
      <c r="D4519" t="s">
        <v>71</v>
      </c>
      <c r="E4519">
        <v>0</v>
      </c>
      <c r="F4519">
        <v>83</v>
      </c>
      <c r="G4519" t="str">
        <f t="shared" si="78"/>
        <v>81+</v>
      </c>
      <c r="H4519" t="s">
        <v>23</v>
      </c>
      <c r="I4519" t="s">
        <v>67</v>
      </c>
      <c r="J4519" t="s">
        <v>68</v>
      </c>
      <c r="K4519" t="s">
        <v>26</v>
      </c>
      <c r="L4519">
        <v>1</v>
      </c>
      <c r="M4519">
        <v>1</v>
      </c>
      <c r="N4519">
        <v>4.4000000000000004</v>
      </c>
      <c r="O4519">
        <v>9.3000000000000007</v>
      </c>
      <c r="P4519">
        <v>6</v>
      </c>
      <c r="Q4519">
        <v>3</v>
      </c>
      <c r="R4519">
        <v>848747</v>
      </c>
      <c r="S4519">
        <f>Table1[[#This Row],[Revenue]]-Table1[[#This Row],[Operating_Costs]]</f>
        <v>286472</v>
      </c>
      <c r="T4519">
        <v>562275</v>
      </c>
      <c r="U4519">
        <v>33</v>
      </c>
      <c r="V4519">
        <v>65</v>
      </c>
      <c r="W4519">
        <v>13.9</v>
      </c>
    </row>
    <row r="4520" spans="1:23" x14ac:dyDescent="0.25">
      <c r="A4520">
        <v>14</v>
      </c>
      <c r="B4520" t="s">
        <v>48</v>
      </c>
      <c r="C4520" s="1">
        <v>44502</v>
      </c>
      <c r="D4520" t="s">
        <v>71</v>
      </c>
      <c r="E4520">
        <v>0</v>
      </c>
      <c r="F4520">
        <v>62</v>
      </c>
      <c r="G4520" t="str">
        <f t="shared" si="78"/>
        <v>61-80</v>
      </c>
      <c r="H4520" t="s">
        <v>35</v>
      </c>
      <c r="I4520" t="s">
        <v>36</v>
      </c>
      <c r="J4520" t="s">
        <v>37</v>
      </c>
      <c r="K4520" t="s">
        <v>33</v>
      </c>
      <c r="L4520">
        <v>1</v>
      </c>
      <c r="M4520">
        <v>1</v>
      </c>
      <c r="N4520">
        <v>3.6</v>
      </c>
      <c r="O4520">
        <v>7.8</v>
      </c>
      <c r="P4520">
        <v>4</v>
      </c>
      <c r="Q4520">
        <v>3</v>
      </c>
      <c r="R4520">
        <v>871704</v>
      </c>
      <c r="S4520">
        <f>Table1[[#This Row],[Revenue]]-Table1[[#This Row],[Operating_Costs]]</f>
        <v>348105</v>
      </c>
      <c r="T4520">
        <v>523599</v>
      </c>
      <c r="U4520">
        <v>36</v>
      </c>
      <c r="V4520">
        <v>58</v>
      </c>
      <c r="W4520">
        <v>36.1</v>
      </c>
    </row>
    <row r="4521" spans="1:23" x14ac:dyDescent="0.25">
      <c r="A4521">
        <v>14</v>
      </c>
      <c r="B4521" t="s">
        <v>48</v>
      </c>
      <c r="C4521" s="1">
        <v>44782</v>
      </c>
      <c r="D4521" t="s">
        <v>71</v>
      </c>
      <c r="E4521">
        <v>0</v>
      </c>
      <c r="F4521">
        <v>56</v>
      </c>
      <c r="G4521" t="str">
        <f t="shared" si="78"/>
        <v>41-60</v>
      </c>
      <c r="H4521" t="s">
        <v>35</v>
      </c>
      <c r="I4521" t="s">
        <v>27</v>
      </c>
      <c r="J4521" t="s">
        <v>28</v>
      </c>
      <c r="K4521" t="s">
        <v>26</v>
      </c>
      <c r="L4521">
        <v>1</v>
      </c>
      <c r="M4521">
        <v>1</v>
      </c>
      <c r="N4521">
        <v>3.6</v>
      </c>
      <c r="O4521">
        <v>7.9</v>
      </c>
      <c r="P4521">
        <v>4</v>
      </c>
      <c r="Q4521">
        <v>4</v>
      </c>
      <c r="R4521">
        <v>721482</v>
      </c>
      <c r="S4521">
        <f>Table1[[#This Row],[Revenue]]-Table1[[#This Row],[Operating_Costs]]</f>
        <v>101760</v>
      </c>
      <c r="T4521">
        <v>619722</v>
      </c>
      <c r="U4521">
        <v>39</v>
      </c>
      <c r="V4521">
        <v>59</v>
      </c>
      <c r="W4521">
        <v>6.3</v>
      </c>
    </row>
    <row r="4522" spans="1:23" x14ac:dyDescent="0.25">
      <c r="A4522">
        <v>14</v>
      </c>
      <c r="B4522" t="s">
        <v>48</v>
      </c>
      <c r="C4522" s="1">
        <v>45191</v>
      </c>
      <c r="D4522" t="s">
        <v>71</v>
      </c>
      <c r="E4522">
        <v>0</v>
      </c>
      <c r="F4522">
        <v>69</v>
      </c>
      <c r="G4522" t="str">
        <f t="shared" si="78"/>
        <v>61-80</v>
      </c>
      <c r="H4522" t="s">
        <v>35</v>
      </c>
      <c r="I4522" t="s">
        <v>36</v>
      </c>
      <c r="J4522" t="s">
        <v>37</v>
      </c>
      <c r="K4522" t="s">
        <v>26</v>
      </c>
      <c r="L4522">
        <v>1</v>
      </c>
      <c r="M4522">
        <v>1</v>
      </c>
      <c r="N4522">
        <v>6.6</v>
      </c>
      <c r="O4522">
        <v>9.6999999999999993</v>
      </c>
      <c r="P4522">
        <v>6</v>
      </c>
      <c r="Q4522">
        <v>7</v>
      </c>
      <c r="R4522">
        <v>732492</v>
      </c>
      <c r="S4522">
        <f>Table1[[#This Row],[Revenue]]-Table1[[#This Row],[Operating_Costs]]</f>
        <v>127423</v>
      </c>
      <c r="T4522">
        <v>605069</v>
      </c>
      <c r="U4522">
        <v>41</v>
      </c>
      <c r="V4522">
        <v>55</v>
      </c>
      <c r="W4522">
        <v>8.1</v>
      </c>
    </row>
    <row r="4523" spans="1:23" x14ac:dyDescent="0.25">
      <c r="A4523">
        <v>14</v>
      </c>
      <c r="B4523" t="s">
        <v>48</v>
      </c>
      <c r="C4523" s="1">
        <v>45181</v>
      </c>
      <c r="D4523" t="s">
        <v>71</v>
      </c>
      <c r="E4523">
        <v>0</v>
      </c>
      <c r="F4523">
        <v>32</v>
      </c>
      <c r="G4523" t="str">
        <f t="shared" si="78"/>
        <v>21-40</v>
      </c>
      <c r="H4523" t="s">
        <v>23</v>
      </c>
      <c r="I4523" t="s">
        <v>46</v>
      </c>
      <c r="J4523" t="s">
        <v>47</v>
      </c>
      <c r="K4523" t="s">
        <v>26</v>
      </c>
      <c r="L4523">
        <v>1</v>
      </c>
      <c r="M4523">
        <v>1</v>
      </c>
      <c r="N4523">
        <v>6.6</v>
      </c>
      <c r="O4523">
        <v>9.1999999999999993</v>
      </c>
      <c r="P4523">
        <v>7</v>
      </c>
      <c r="Q4523">
        <v>3</v>
      </c>
      <c r="R4523">
        <v>750805</v>
      </c>
      <c r="S4523">
        <f>Table1[[#This Row],[Revenue]]-Table1[[#This Row],[Operating_Costs]]</f>
        <v>232287</v>
      </c>
      <c r="T4523">
        <v>518518</v>
      </c>
      <c r="U4523">
        <v>47</v>
      </c>
      <c r="V4523">
        <v>60</v>
      </c>
      <c r="W4523">
        <v>6.9</v>
      </c>
    </row>
    <row r="4524" spans="1:23" x14ac:dyDescent="0.25">
      <c r="A4524">
        <v>14</v>
      </c>
      <c r="B4524" t="s">
        <v>48</v>
      </c>
      <c r="C4524" s="1">
        <v>44571</v>
      </c>
      <c r="D4524" t="s">
        <v>71</v>
      </c>
      <c r="E4524">
        <v>0</v>
      </c>
      <c r="F4524">
        <v>47</v>
      </c>
      <c r="G4524" t="str">
        <f t="shared" si="78"/>
        <v>41-60</v>
      </c>
      <c r="H4524" t="s">
        <v>35</v>
      </c>
      <c r="I4524" t="s">
        <v>40</v>
      </c>
      <c r="J4524" t="s">
        <v>41</v>
      </c>
      <c r="K4524" t="s">
        <v>29</v>
      </c>
      <c r="L4524">
        <v>1</v>
      </c>
      <c r="M4524">
        <v>1</v>
      </c>
      <c r="N4524">
        <v>3.4</v>
      </c>
      <c r="O4524">
        <v>10</v>
      </c>
      <c r="P4524">
        <v>6</v>
      </c>
      <c r="Q4524">
        <v>6</v>
      </c>
      <c r="R4524">
        <v>721865</v>
      </c>
      <c r="S4524">
        <f>Table1[[#This Row],[Revenue]]-Table1[[#This Row],[Operating_Costs]]</f>
        <v>220205</v>
      </c>
      <c r="T4524">
        <v>501660</v>
      </c>
      <c r="U4524">
        <v>49</v>
      </c>
      <c r="V4524">
        <v>55</v>
      </c>
      <c r="W4524">
        <v>36.799999999999997</v>
      </c>
    </row>
    <row r="4525" spans="1:23" x14ac:dyDescent="0.25">
      <c r="A4525">
        <v>14</v>
      </c>
      <c r="B4525" t="s">
        <v>48</v>
      </c>
      <c r="C4525" s="1">
        <v>44681</v>
      </c>
      <c r="D4525" t="s">
        <v>71</v>
      </c>
      <c r="E4525">
        <v>0</v>
      </c>
      <c r="F4525">
        <v>75</v>
      </c>
      <c r="G4525" t="str">
        <f t="shared" si="78"/>
        <v>61-80</v>
      </c>
      <c r="H4525" t="s">
        <v>23</v>
      </c>
      <c r="I4525" t="s">
        <v>40</v>
      </c>
      <c r="J4525" t="s">
        <v>41</v>
      </c>
      <c r="K4525" t="s">
        <v>38</v>
      </c>
      <c r="L4525">
        <v>1</v>
      </c>
      <c r="M4525">
        <v>1</v>
      </c>
      <c r="N4525">
        <v>3.8</v>
      </c>
      <c r="O4525">
        <v>8.1999999999999993</v>
      </c>
      <c r="P4525">
        <v>4</v>
      </c>
      <c r="Q4525">
        <v>4</v>
      </c>
      <c r="R4525">
        <v>732965</v>
      </c>
      <c r="S4525">
        <f>Table1[[#This Row],[Revenue]]-Table1[[#This Row],[Operating_Costs]]</f>
        <v>189707</v>
      </c>
      <c r="T4525">
        <v>543258</v>
      </c>
      <c r="U4525">
        <v>43</v>
      </c>
      <c r="V4525">
        <v>59</v>
      </c>
      <c r="W4525">
        <v>7.2</v>
      </c>
    </row>
    <row r="4526" spans="1:23" x14ac:dyDescent="0.25">
      <c r="A4526">
        <v>14</v>
      </c>
      <c r="B4526" t="s">
        <v>48</v>
      </c>
      <c r="C4526" s="1">
        <v>44466</v>
      </c>
      <c r="D4526" t="s">
        <v>71</v>
      </c>
      <c r="E4526">
        <v>0</v>
      </c>
      <c r="F4526">
        <v>22</v>
      </c>
      <c r="G4526" t="str">
        <f t="shared" si="78"/>
        <v>21-40</v>
      </c>
      <c r="H4526" t="s">
        <v>35</v>
      </c>
      <c r="I4526" t="s">
        <v>27</v>
      </c>
      <c r="J4526" t="s">
        <v>28</v>
      </c>
      <c r="K4526" t="s">
        <v>26</v>
      </c>
      <c r="L4526">
        <v>1</v>
      </c>
      <c r="M4526">
        <v>1</v>
      </c>
      <c r="N4526">
        <v>5.9</v>
      </c>
      <c r="O4526">
        <v>8.9</v>
      </c>
      <c r="P4526">
        <v>7</v>
      </c>
      <c r="Q4526">
        <v>7</v>
      </c>
      <c r="R4526">
        <v>810405</v>
      </c>
      <c r="S4526">
        <f>Table1[[#This Row],[Revenue]]-Table1[[#This Row],[Operating_Costs]]</f>
        <v>215276</v>
      </c>
      <c r="T4526">
        <v>595129</v>
      </c>
      <c r="U4526">
        <v>34</v>
      </c>
      <c r="V4526">
        <v>58</v>
      </c>
      <c r="W4526">
        <v>7.1</v>
      </c>
    </row>
    <row r="4527" spans="1:23" x14ac:dyDescent="0.25">
      <c r="A4527">
        <v>14</v>
      </c>
      <c r="B4527" t="s">
        <v>48</v>
      </c>
      <c r="C4527" s="1">
        <v>44936</v>
      </c>
      <c r="D4527" t="s">
        <v>71</v>
      </c>
      <c r="E4527">
        <v>0</v>
      </c>
      <c r="F4527">
        <v>43</v>
      </c>
      <c r="G4527" t="str">
        <f t="shared" si="78"/>
        <v>41-60</v>
      </c>
      <c r="H4527" t="s">
        <v>35</v>
      </c>
      <c r="I4527" t="s">
        <v>61</v>
      </c>
      <c r="J4527" t="s">
        <v>62</v>
      </c>
      <c r="K4527" t="s">
        <v>29</v>
      </c>
      <c r="L4527">
        <v>1</v>
      </c>
      <c r="M4527">
        <v>1</v>
      </c>
      <c r="N4527">
        <v>2</v>
      </c>
      <c r="O4527">
        <v>7.2</v>
      </c>
      <c r="P4527">
        <v>5</v>
      </c>
      <c r="Q4527">
        <v>5</v>
      </c>
      <c r="R4527">
        <v>736884</v>
      </c>
      <c r="S4527">
        <f>Table1[[#This Row],[Revenue]]-Table1[[#This Row],[Operating_Costs]]</f>
        <v>177034</v>
      </c>
      <c r="T4527">
        <v>559850</v>
      </c>
      <c r="U4527">
        <v>31</v>
      </c>
      <c r="V4527">
        <v>65</v>
      </c>
      <c r="W4527">
        <v>10.199999999999999</v>
      </c>
    </row>
    <row r="4528" spans="1:23" x14ac:dyDescent="0.25">
      <c r="A4528">
        <v>14</v>
      </c>
      <c r="B4528" t="s">
        <v>48</v>
      </c>
      <c r="C4528" s="1">
        <v>45641</v>
      </c>
      <c r="D4528" t="s">
        <v>71</v>
      </c>
      <c r="E4528">
        <v>0</v>
      </c>
      <c r="F4528">
        <v>82</v>
      </c>
      <c r="G4528" t="str">
        <f t="shared" si="78"/>
        <v>81+</v>
      </c>
      <c r="H4528" t="s">
        <v>35</v>
      </c>
      <c r="I4528" t="s">
        <v>60</v>
      </c>
      <c r="J4528" t="s">
        <v>59</v>
      </c>
      <c r="K4528" t="s">
        <v>29</v>
      </c>
      <c r="L4528">
        <v>1</v>
      </c>
      <c r="M4528">
        <v>1</v>
      </c>
      <c r="N4528">
        <v>2.7</v>
      </c>
      <c r="O4528">
        <v>9.6999999999999993</v>
      </c>
      <c r="P4528">
        <v>5</v>
      </c>
      <c r="Q4528">
        <v>6</v>
      </c>
      <c r="R4528">
        <v>778514</v>
      </c>
      <c r="S4528">
        <f>Table1[[#This Row],[Revenue]]-Table1[[#This Row],[Operating_Costs]]</f>
        <v>119375</v>
      </c>
      <c r="T4528">
        <v>659139</v>
      </c>
      <c r="U4528">
        <v>46</v>
      </c>
      <c r="V4528">
        <v>61</v>
      </c>
      <c r="W4528">
        <v>6</v>
      </c>
    </row>
    <row r="4529" spans="1:23" x14ac:dyDescent="0.25">
      <c r="A4529">
        <v>14</v>
      </c>
      <c r="B4529" t="s">
        <v>48</v>
      </c>
      <c r="C4529" s="1">
        <v>45287</v>
      </c>
      <c r="D4529" t="s">
        <v>71</v>
      </c>
      <c r="E4529">
        <v>0</v>
      </c>
      <c r="F4529">
        <v>41</v>
      </c>
      <c r="G4529" t="str">
        <f t="shared" si="78"/>
        <v>41-60</v>
      </c>
      <c r="H4529" t="s">
        <v>35</v>
      </c>
      <c r="I4529" t="s">
        <v>64</v>
      </c>
      <c r="J4529" t="s">
        <v>65</v>
      </c>
      <c r="K4529" t="s">
        <v>26</v>
      </c>
      <c r="L4529">
        <v>1</v>
      </c>
      <c r="M4529">
        <v>1</v>
      </c>
      <c r="N4529">
        <v>3.9</v>
      </c>
      <c r="O4529">
        <v>10</v>
      </c>
      <c r="P4529">
        <v>3</v>
      </c>
      <c r="Q4529">
        <v>5</v>
      </c>
      <c r="R4529">
        <v>706129</v>
      </c>
      <c r="S4529">
        <f>Table1[[#This Row],[Revenue]]-Table1[[#This Row],[Operating_Costs]]</f>
        <v>188879</v>
      </c>
      <c r="T4529">
        <v>517250</v>
      </c>
      <c r="U4529">
        <v>34</v>
      </c>
      <c r="V4529">
        <v>65</v>
      </c>
      <c r="W4529">
        <v>6.7</v>
      </c>
    </row>
    <row r="4530" spans="1:23" x14ac:dyDescent="0.25">
      <c r="A4530">
        <v>14</v>
      </c>
      <c r="B4530" t="s">
        <v>48</v>
      </c>
      <c r="C4530" s="1">
        <v>45473</v>
      </c>
      <c r="D4530" t="s">
        <v>71</v>
      </c>
      <c r="E4530">
        <v>0</v>
      </c>
      <c r="F4530">
        <v>21</v>
      </c>
      <c r="G4530" t="str">
        <f t="shared" si="78"/>
        <v>21-40</v>
      </c>
      <c r="H4530" t="s">
        <v>23</v>
      </c>
      <c r="I4530" t="s">
        <v>27</v>
      </c>
      <c r="J4530" t="s">
        <v>28</v>
      </c>
      <c r="K4530" t="s">
        <v>33</v>
      </c>
      <c r="L4530">
        <v>1</v>
      </c>
      <c r="M4530">
        <v>1</v>
      </c>
      <c r="N4530">
        <v>4.5999999999999996</v>
      </c>
      <c r="O4530">
        <v>8.6999999999999993</v>
      </c>
      <c r="P4530">
        <v>7</v>
      </c>
      <c r="Q4530">
        <v>5</v>
      </c>
      <c r="R4530">
        <v>703097</v>
      </c>
      <c r="S4530">
        <f>Table1[[#This Row],[Revenue]]-Table1[[#This Row],[Operating_Costs]]</f>
        <v>9414</v>
      </c>
      <c r="T4530">
        <v>693683</v>
      </c>
      <c r="U4530">
        <v>47</v>
      </c>
      <c r="V4530">
        <v>62</v>
      </c>
      <c r="W4530">
        <v>5.0999999999999996</v>
      </c>
    </row>
    <row r="4531" spans="1:23" x14ac:dyDescent="0.25">
      <c r="A4531">
        <v>14</v>
      </c>
      <c r="B4531" t="s">
        <v>48</v>
      </c>
      <c r="C4531" s="1">
        <v>45648</v>
      </c>
      <c r="D4531" t="s">
        <v>71</v>
      </c>
      <c r="E4531">
        <v>0</v>
      </c>
      <c r="F4531">
        <v>81</v>
      </c>
      <c r="G4531" t="str">
        <f t="shared" si="78"/>
        <v>81+</v>
      </c>
      <c r="H4531" t="s">
        <v>23</v>
      </c>
      <c r="I4531" t="s">
        <v>55</v>
      </c>
      <c r="J4531" t="s">
        <v>56</v>
      </c>
      <c r="K4531" t="s">
        <v>42</v>
      </c>
      <c r="L4531">
        <v>1</v>
      </c>
      <c r="M4531">
        <v>1</v>
      </c>
      <c r="N4531">
        <v>1.7</v>
      </c>
      <c r="O4531">
        <v>7</v>
      </c>
      <c r="P4531">
        <v>3</v>
      </c>
      <c r="Q4531">
        <v>6</v>
      </c>
      <c r="R4531">
        <v>743670</v>
      </c>
      <c r="S4531">
        <f>Table1[[#This Row],[Revenue]]-Table1[[#This Row],[Operating_Costs]]</f>
        <v>163147</v>
      </c>
      <c r="T4531">
        <v>580523</v>
      </c>
      <c r="U4531">
        <v>46</v>
      </c>
      <c r="V4531">
        <v>63</v>
      </c>
      <c r="W4531">
        <v>7.4</v>
      </c>
    </row>
    <row r="4532" spans="1:23" x14ac:dyDescent="0.25">
      <c r="A4532">
        <v>14</v>
      </c>
      <c r="B4532" t="s">
        <v>48</v>
      </c>
      <c r="C4532" s="1">
        <v>44586</v>
      </c>
      <c r="D4532" t="s">
        <v>71</v>
      </c>
      <c r="E4532">
        <v>0</v>
      </c>
      <c r="F4532">
        <v>69</v>
      </c>
      <c r="G4532" t="str">
        <f t="shared" si="78"/>
        <v>61-80</v>
      </c>
      <c r="H4532" t="s">
        <v>23</v>
      </c>
      <c r="I4532" t="s">
        <v>24</v>
      </c>
      <c r="J4532" t="s">
        <v>25</v>
      </c>
      <c r="K4532" t="s">
        <v>33</v>
      </c>
      <c r="L4532">
        <v>1</v>
      </c>
      <c r="M4532">
        <v>1</v>
      </c>
      <c r="N4532">
        <v>4</v>
      </c>
      <c r="O4532">
        <v>8.8000000000000007</v>
      </c>
      <c r="P4532">
        <v>4</v>
      </c>
      <c r="Q4532">
        <v>7</v>
      </c>
      <c r="R4532">
        <v>813559</v>
      </c>
      <c r="S4532">
        <f>Table1[[#This Row],[Revenue]]-Table1[[#This Row],[Operating_Costs]]</f>
        <v>261563</v>
      </c>
      <c r="T4532">
        <v>551996</v>
      </c>
      <c r="U4532">
        <v>41</v>
      </c>
      <c r="V4532">
        <v>56</v>
      </c>
      <c r="W4532">
        <v>12.2</v>
      </c>
    </row>
    <row r="4533" spans="1:23" x14ac:dyDescent="0.25">
      <c r="A4533">
        <v>14</v>
      </c>
      <c r="B4533" t="s">
        <v>48</v>
      </c>
      <c r="C4533" s="1">
        <v>44996</v>
      </c>
      <c r="D4533" t="s">
        <v>71</v>
      </c>
      <c r="E4533">
        <v>0</v>
      </c>
      <c r="F4533">
        <v>69</v>
      </c>
      <c r="G4533" t="str">
        <f t="shared" si="78"/>
        <v>61-80</v>
      </c>
      <c r="H4533" t="s">
        <v>35</v>
      </c>
      <c r="I4533" t="s">
        <v>61</v>
      </c>
      <c r="J4533" t="s">
        <v>62</v>
      </c>
      <c r="K4533" t="s">
        <v>38</v>
      </c>
      <c r="L4533">
        <v>1</v>
      </c>
      <c r="M4533">
        <v>1</v>
      </c>
      <c r="N4533">
        <v>4.5999999999999996</v>
      </c>
      <c r="O4533">
        <v>9.1</v>
      </c>
      <c r="P4533">
        <v>3</v>
      </c>
      <c r="Q4533">
        <v>7</v>
      </c>
      <c r="R4533">
        <v>767931</v>
      </c>
      <c r="S4533">
        <f>Table1[[#This Row],[Revenue]]-Table1[[#This Row],[Operating_Costs]]</f>
        <v>267339</v>
      </c>
      <c r="T4533">
        <v>500592</v>
      </c>
      <c r="U4533">
        <v>33</v>
      </c>
      <c r="V4533">
        <v>60</v>
      </c>
      <c r="W4533">
        <v>5.3</v>
      </c>
    </row>
    <row r="4534" spans="1:23" x14ac:dyDescent="0.25">
      <c r="A4534">
        <v>14</v>
      </c>
      <c r="B4534" t="s">
        <v>48</v>
      </c>
      <c r="C4534" s="1">
        <v>44565</v>
      </c>
      <c r="D4534" t="s">
        <v>71</v>
      </c>
      <c r="E4534">
        <v>0</v>
      </c>
      <c r="F4534">
        <v>44</v>
      </c>
      <c r="G4534" t="str">
        <f t="shared" si="78"/>
        <v>41-60</v>
      </c>
      <c r="H4534" t="s">
        <v>35</v>
      </c>
      <c r="I4534" t="s">
        <v>58</v>
      </c>
      <c r="J4534" t="s">
        <v>59</v>
      </c>
      <c r="K4534" t="s">
        <v>42</v>
      </c>
      <c r="L4534">
        <v>1</v>
      </c>
      <c r="M4534">
        <v>1</v>
      </c>
      <c r="N4534">
        <v>6.7</v>
      </c>
      <c r="O4534">
        <v>8.4</v>
      </c>
      <c r="P4534">
        <v>4</v>
      </c>
      <c r="Q4534">
        <v>5</v>
      </c>
      <c r="R4534">
        <v>858820</v>
      </c>
      <c r="S4534">
        <f>Table1[[#This Row],[Revenue]]-Table1[[#This Row],[Operating_Costs]]</f>
        <v>221931</v>
      </c>
      <c r="T4534">
        <v>636889</v>
      </c>
      <c r="U4534">
        <v>39</v>
      </c>
      <c r="V4534">
        <v>65</v>
      </c>
      <c r="W4534">
        <v>13.2</v>
      </c>
    </row>
    <row r="4535" spans="1:23" x14ac:dyDescent="0.25">
      <c r="A4535">
        <v>14</v>
      </c>
      <c r="B4535" t="s">
        <v>48</v>
      </c>
      <c r="C4535" s="1">
        <v>45148</v>
      </c>
      <c r="D4535" t="s">
        <v>71</v>
      </c>
      <c r="E4535">
        <v>0</v>
      </c>
      <c r="F4535">
        <v>68</v>
      </c>
      <c r="G4535" t="str">
        <f t="shared" si="78"/>
        <v>61-80</v>
      </c>
      <c r="H4535" t="s">
        <v>35</v>
      </c>
      <c r="I4535" t="s">
        <v>53</v>
      </c>
      <c r="J4535" t="s">
        <v>54</v>
      </c>
      <c r="K4535" t="s">
        <v>26</v>
      </c>
      <c r="L4535">
        <v>1</v>
      </c>
      <c r="M4535">
        <v>1</v>
      </c>
      <c r="N4535">
        <v>3.8</v>
      </c>
      <c r="O4535">
        <v>7.6</v>
      </c>
      <c r="P4535">
        <v>5</v>
      </c>
      <c r="Q4535">
        <v>7</v>
      </c>
      <c r="R4535">
        <v>889682</v>
      </c>
      <c r="S4535">
        <f>Table1[[#This Row],[Revenue]]-Table1[[#This Row],[Operating_Costs]]</f>
        <v>308048</v>
      </c>
      <c r="T4535">
        <v>581634</v>
      </c>
      <c r="U4535">
        <v>45</v>
      </c>
      <c r="V4535">
        <v>66</v>
      </c>
      <c r="W4535">
        <v>14.4</v>
      </c>
    </row>
    <row r="4536" spans="1:23" x14ac:dyDescent="0.25">
      <c r="A4536">
        <v>14</v>
      </c>
      <c r="B4536" t="s">
        <v>48</v>
      </c>
      <c r="C4536" s="1">
        <v>44692</v>
      </c>
      <c r="D4536" t="s">
        <v>71</v>
      </c>
      <c r="E4536">
        <v>0</v>
      </c>
      <c r="F4536">
        <v>37</v>
      </c>
      <c r="G4536" t="str">
        <f t="shared" si="78"/>
        <v>21-40</v>
      </c>
      <c r="H4536" t="s">
        <v>23</v>
      </c>
      <c r="I4536" t="s">
        <v>43</v>
      </c>
      <c r="J4536" t="s">
        <v>25</v>
      </c>
      <c r="K4536" t="s">
        <v>38</v>
      </c>
      <c r="L4536">
        <v>1</v>
      </c>
      <c r="M4536">
        <v>1</v>
      </c>
      <c r="N4536">
        <v>2.6</v>
      </c>
      <c r="O4536">
        <v>8.1999999999999993</v>
      </c>
      <c r="P4536">
        <v>5</v>
      </c>
      <c r="Q4536">
        <v>3</v>
      </c>
      <c r="R4536">
        <v>734259</v>
      </c>
      <c r="S4536">
        <f>Table1[[#This Row],[Revenue]]-Table1[[#This Row],[Operating_Costs]]</f>
        <v>197841</v>
      </c>
      <c r="T4536">
        <v>536418</v>
      </c>
      <c r="U4536">
        <v>49</v>
      </c>
      <c r="V4536">
        <v>65</v>
      </c>
      <c r="W4536">
        <v>10.3</v>
      </c>
    </row>
    <row r="4537" spans="1:23" x14ac:dyDescent="0.25">
      <c r="A4537">
        <v>14</v>
      </c>
      <c r="B4537" t="s">
        <v>48</v>
      </c>
      <c r="C4537" s="1">
        <v>44684</v>
      </c>
      <c r="D4537" t="s">
        <v>71</v>
      </c>
      <c r="E4537">
        <v>0</v>
      </c>
      <c r="F4537">
        <v>71</v>
      </c>
      <c r="G4537" t="str">
        <f t="shared" si="78"/>
        <v>61-80</v>
      </c>
      <c r="H4537" t="s">
        <v>23</v>
      </c>
      <c r="I4537" t="s">
        <v>55</v>
      </c>
      <c r="J4537" t="s">
        <v>56</v>
      </c>
      <c r="K4537" t="s">
        <v>33</v>
      </c>
      <c r="L4537">
        <v>1</v>
      </c>
      <c r="M4537">
        <v>1</v>
      </c>
      <c r="N4537">
        <v>3.2</v>
      </c>
      <c r="O4537">
        <v>8.4</v>
      </c>
      <c r="P4537">
        <v>3</v>
      </c>
      <c r="Q4537">
        <v>6</v>
      </c>
      <c r="R4537">
        <v>740919</v>
      </c>
      <c r="S4537">
        <f>Table1[[#This Row],[Revenue]]-Table1[[#This Row],[Operating_Costs]]</f>
        <v>103550</v>
      </c>
      <c r="T4537">
        <v>637369</v>
      </c>
      <c r="U4537">
        <v>42</v>
      </c>
      <c r="V4537">
        <v>55</v>
      </c>
      <c r="W4537">
        <v>9.5</v>
      </c>
    </row>
    <row r="4538" spans="1:23" x14ac:dyDescent="0.25">
      <c r="A4538">
        <v>14</v>
      </c>
      <c r="B4538" t="s">
        <v>48</v>
      </c>
      <c r="C4538" s="1">
        <v>45454</v>
      </c>
      <c r="D4538" t="s">
        <v>71</v>
      </c>
      <c r="E4538">
        <v>0</v>
      </c>
      <c r="F4538">
        <v>40</v>
      </c>
      <c r="G4538" t="str">
        <f t="shared" si="78"/>
        <v>21-40</v>
      </c>
      <c r="H4538" t="s">
        <v>35</v>
      </c>
      <c r="I4538" t="s">
        <v>58</v>
      </c>
      <c r="J4538" t="s">
        <v>59</v>
      </c>
      <c r="K4538" t="s">
        <v>26</v>
      </c>
      <c r="L4538">
        <v>1</v>
      </c>
      <c r="M4538">
        <v>1</v>
      </c>
      <c r="N4538">
        <v>5</v>
      </c>
      <c r="O4538">
        <v>9.1999999999999993</v>
      </c>
      <c r="P4538">
        <v>6</v>
      </c>
      <c r="Q4538">
        <v>6</v>
      </c>
      <c r="R4538">
        <v>828100</v>
      </c>
      <c r="S4538">
        <f>Table1[[#This Row],[Revenue]]-Table1[[#This Row],[Operating_Costs]]</f>
        <v>221869</v>
      </c>
      <c r="T4538">
        <v>606231</v>
      </c>
      <c r="U4538">
        <v>46</v>
      </c>
      <c r="V4538">
        <v>66</v>
      </c>
      <c r="W4538">
        <v>36.1</v>
      </c>
    </row>
    <row r="4539" spans="1:23" x14ac:dyDescent="0.25">
      <c r="A4539">
        <v>14</v>
      </c>
      <c r="B4539" t="s">
        <v>48</v>
      </c>
      <c r="C4539" s="1">
        <v>45409</v>
      </c>
      <c r="D4539" t="s">
        <v>71</v>
      </c>
      <c r="E4539">
        <v>0</v>
      </c>
      <c r="F4539">
        <v>54</v>
      </c>
      <c r="G4539" t="str">
        <f t="shared" si="78"/>
        <v>41-60</v>
      </c>
      <c r="H4539" t="s">
        <v>23</v>
      </c>
      <c r="I4539" t="s">
        <v>67</v>
      </c>
      <c r="J4539" t="s">
        <v>68</v>
      </c>
      <c r="K4539" t="s">
        <v>38</v>
      </c>
      <c r="L4539">
        <v>1</v>
      </c>
      <c r="M4539">
        <v>1</v>
      </c>
      <c r="N4539">
        <v>6.4</v>
      </c>
      <c r="O4539">
        <v>7.1</v>
      </c>
      <c r="P4539">
        <v>6</v>
      </c>
      <c r="Q4539">
        <v>6</v>
      </c>
      <c r="R4539">
        <v>887015</v>
      </c>
      <c r="S4539">
        <f>Table1[[#This Row],[Revenue]]-Table1[[#This Row],[Operating_Costs]]</f>
        <v>210192</v>
      </c>
      <c r="T4539">
        <v>676823</v>
      </c>
      <c r="U4539">
        <v>45</v>
      </c>
      <c r="V4539">
        <v>56</v>
      </c>
      <c r="W4539">
        <v>13.4</v>
      </c>
    </row>
    <row r="4540" spans="1:23" x14ac:dyDescent="0.25">
      <c r="A4540">
        <v>14</v>
      </c>
      <c r="B4540" t="s">
        <v>48</v>
      </c>
      <c r="C4540" s="1">
        <v>45221</v>
      </c>
      <c r="D4540" t="s">
        <v>71</v>
      </c>
      <c r="E4540">
        <v>0</v>
      </c>
      <c r="F4540">
        <v>64</v>
      </c>
      <c r="G4540" t="str">
        <f t="shared" si="78"/>
        <v>61-80</v>
      </c>
      <c r="H4540" t="s">
        <v>23</v>
      </c>
      <c r="I4540" t="s">
        <v>64</v>
      </c>
      <c r="J4540" t="s">
        <v>65</v>
      </c>
      <c r="K4540" t="s">
        <v>38</v>
      </c>
      <c r="L4540">
        <v>1</v>
      </c>
      <c r="M4540">
        <v>1</v>
      </c>
      <c r="N4540">
        <v>3.9</v>
      </c>
      <c r="O4540">
        <v>7.7</v>
      </c>
      <c r="P4540">
        <v>3</v>
      </c>
      <c r="Q4540">
        <v>7</v>
      </c>
      <c r="R4540">
        <v>893204</v>
      </c>
      <c r="S4540">
        <f>Table1[[#This Row],[Revenue]]-Table1[[#This Row],[Operating_Costs]]</f>
        <v>354050</v>
      </c>
      <c r="T4540">
        <v>539154</v>
      </c>
      <c r="U4540">
        <v>50</v>
      </c>
      <c r="V4540">
        <v>62</v>
      </c>
      <c r="W4540">
        <v>10</v>
      </c>
    </row>
    <row r="4541" spans="1:23" x14ac:dyDescent="0.25">
      <c r="A4541">
        <v>14</v>
      </c>
      <c r="B4541" t="s">
        <v>48</v>
      </c>
      <c r="C4541" s="1">
        <v>44326</v>
      </c>
      <c r="D4541" t="s">
        <v>71</v>
      </c>
      <c r="E4541">
        <v>0</v>
      </c>
      <c r="F4541">
        <v>48</v>
      </c>
      <c r="G4541" t="str">
        <f t="shared" si="78"/>
        <v>41-60</v>
      </c>
      <c r="H4541" t="s">
        <v>35</v>
      </c>
      <c r="I4541" t="s">
        <v>36</v>
      </c>
      <c r="J4541" t="s">
        <v>37</v>
      </c>
      <c r="K4541" t="s">
        <v>33</v>
      </c>
      <c r="L4541">
        <v>1</v>
      </c>
      <c r="M4541">
        <v>1</v>
      </c>
      <c r="N4541">
        <v>2.6</v>
      </c>
      <c r="O4541">
        <v>9.1</v>
      </c>
      <c r="P4541">
        <v>5</v>
      </c>
      <c r="Q4541">
        <v>7</v>
      </c>
      <c r="R4541">
        <v>796664</v>
      </c>
      <c r="S4541">
        <f>Table1[[#This Row],[Revenue]]-Table1[[#This Row],[Operating_Costs]]</f>
        <v>144893</v>
      </c>
      <c r="T4541">
        <v>651771</v>
      </c>
      <c r="U4541">
        <v>50</v>
      </c>
      <c r="V4541">
        <v>54</v>
      </c>
      <c r="W4541">
        <v>14.4</v>
      </c>
    </row>
    <row r="4542" spans="1:23" x14ac:dyDescent="0.25">
      <c r="A4542">
        <v>14</v>
      </c>
      <c r="B4542" t="s">
        <v>48</v>
      </c>
      <c r="C4542" s="1">
        <v>45510</v>
      </c>
      <c r="D4542" t="s">
        <v>71</v>
      </c>
      <c r="E4542">
        <v>0</v>
      </c>
      <c r="F4542">
        <v>39</v>
      </c>
      <c r="G4542" t="str">
        <f t="shared" si="78"/>
        <v>21-40</v>
      </c>
      <c r="H4542" t="s">
        <v>35</v>
      </c>
      <c r="I4542" t="s">
        <v>36</v>
      </c>
      <c r="J4542" t="s">
        <v>37</v>
      </c>
      <c r="K4542" t="s">
        <v>42</v>
      </c>
      <c r="L4542">
        <v>1</v>
      </c>
      <c r="M4542">
        <v>1</v>
      </c>
      <c r="N4542">
        <v>6</v>
      </c>
      <c r="O4542">
        <v>8.6999999999999993</v>
      </c>
      <c r="P4542">
        <v>3</v>
      </c>
      <c r="Q4542">
        <v>6</v>
      </c>
      <c r="R4542">
        <v>736465</v>
      </c>
      <c r="S4542">
        <f>Table1[[#This Row],[Revenue]]-Table1[[#This Row],[Operating_Costs]]</f>
        <v>126434</v>
      </c>
      <c r="T4542">
        <v>610031</v>
      </c>
      <c r="U4542">
        <v>38</v>
      </c>
      <c r="V4542">
        <v>61</v>
      </c>
      <c r="W4542">
        <v>10.5</v>
      </c>
    </row>
    <row r="4543" spans="1:23" x14ac:dyDescent="0.25">
      <c r="A4543">
        <v>14</v>
      </c>
      <c r="B4543" t="s">
        <v>48</v>
      </c>
      <c r="C4543" s="1">
        <v>45332</v>
      </c>
      <c r="D4543" t="s">
        <v>71</v>
      </c>
      <c r="E4543">
        <v>0</v>
      </c>
      <c r="F4543">
        <v>44</v>
      </c>
      <c r="G4543" t="str">
        <f t="shared" si="78"/>
        <v>41-60</v>
      </c>
      <c r="H4543" t="s">
        <v>35</v>
      </c>
      <c r="I4543" t="s">
        <v>36</v>
      </c>
      <c r="J4543" t="s">
        <v>37</v>
      </c>
      <c r="K4543" t="s">
        <v>26</v>
      </c>
      <c r="L4543">
        <v>1</v>
      </c>
      <c r="M4543">
        <v>1</v>
      </c>
      <c r="N4543">
        <v>1.9</v>
      </c>
      <c r="O4543">
        <v>10</v>
      </c>
      <c r="P4543">
        <v>3</v>
      </c>
      <c r="Q4543">
        <v>6</v>
      </c>
      <c r="R4543">
        <v>717577</v>
      </c>
      <c r="S4543">
        <f>Table1[[#This Row],[Revenue]]-Table1[[#This Row],[Operating_Costs]]</f>
        <v>157696</v>
      </c>
      <c r="T4543">
        <v>559881</v>
      </c>
      <c r="U4543">
        <v>36</v>
      </c>
      <c r="V4543">
        <v>57</v>
      </c>
      <c r="W4543">
        <v>9.6</v>
      </c>
    </row>
    <row r="4544" spans="1:23" x14ac:dyDescent="0.25">
      <c r="A4544">
        <v>14</v>
      </c>
      <c r="B4544" t="s">
        <v>48</v>
      </c>
      <c r="C4544" s="1">
        <v>45297</v>
      </c>
      <c r="D4544" t="s">
        <v>71</v>
      </c>
      <c r="E4544">
        <v>0</v>
      </c>
      <c r="F4544">
        <v>33</v>
      </c>
      <c r="G4544" t="str">
        <f t="shared" si="78"/>
        <v>21-40</v>
      </c>
      <c r="H4544" t="s">
        <v>35</v>
      </c>
      <c r="I4544" t="s">
        <v>31</v>
      </c>
      <c r="J4544" t="s">
        <v>28</v>
      </c>
      <c r="K4544" t="s">
        <v>29</v>
      </c>
      <c r="L4544">
        <v>1</v>
      </c>
      <c r="M4544">
        <v>1</v>
      </c>
      <c r="N4544">
        <v>4</v>
      </c>
      <c r="O4544">
        <v>9.5</v>
      </c>
      <c r="P4544">
        <v>4</v>
      </c>
      <c r="Q4544">
        <v>7</v>
      </c>
      <c r="R4544">
        <v>859381</v>
      </c>
      <c r="S4544">
        <f>Table1[[#This Row],[Revenue]]-Table1[[#This Row],[Operating_Costs]]</f>
        <v>289846</v>
      </c>
      <c r="T4544">
        <v>569535</v>
      </c>
      <c r="U4544">
        <v>45</v>
      </c>
      <c r="V4544">
        <v>59</v>
      </c>
      <c r="W4544">
        <v>13.6</v>
      </c>
    </row>
    <row r="4545" spans="1:23" x14ac:dyDescent="0.25">
      <c r="A4545">
        <v>14</v>
      </c>
      <c r="B4545" t="s">
        <v>48</v>
      </c>
      <c r="C4545" s="1">
        <v>45577</v>
      </c>
      <c r="D4545" t="s">
        <v>71</v>
      </c>
      <c r="E4545">
        <v>0</v>
      </c>
      <c r="F4545">
        <v>52</v>
      </c>
      <c r="G4545" t="str">
        <f t="shared" si="78"/>
        <v>41-60</v>
      </c>
      <c r="H4545" t="s">
        <v>23</v>
      </c>
      <c r="I4545" t="s">
        <v>31</v>
      </c>
      <c r="J4545" t="s">
        <v>28</v>
      </c>
      <c r="K4545" t="s">
        <v>38</v>
      </c>
      <c r="L4545">
        <v>1</v>
      </c>
      <c r="M4545">
        <v>1</v>
      </c>
      <c r="N4545">
        <v>4.3</v>
      </c>
      <c r="O4545">
        <v>9.3000000000000007</v>
      </c>
      <c r="P4545">
        <v>3</v>
      </c>
      <c r="Q4545">
        <v>5</v>
      </c>
      <c r="R4545">
        <v>715942</v>
      </c>
      <c r="S4545">
        <f>Table1[[#This Row],[Revenue]]-Table1[[#This Row],[Operating_Costs]]</f>
        <v>111371</v>
      </c>
      <c r="T4545">
        <v>604571</v>
      </c>
      <c r="U4545">
        <v>40</v>
      </c>
      <c r="V4545">
        <v>55</v>
      </c>
      <c r="W4545">
        <v>12.9</v>
      </c>
    </row>
    <row r="4546" spans="1:23" x14ac:dyDescent="0.25">
      <c r="A4546">
        <v>14</v>
      </c>
      <c r="B4546" t="s">
        <v>48</v>
      </c>
      <c r="C4546" s="1">
        <v>44301</v>
      </c>
      <c r="D4546" t="s">
        <v>71</v>
      </c>
      <c r="E4546">
        <v>0</v>
      </c>
      <c r="F4546">
        <v>76</v>
      </c>
      <c r="G4546" t="str">
        <f t="shared" si="78"/>
        <v>61-80</v>
      </c>
      <c r="H4546" t="s">
        <v>35</v>
      </c>
      <c r="I4546" t="s">
        <v>36</v>
      </c>
      <c r="J4546" t="s">
        <v>37</v>
      </c>
      <c r="K4546" t="s">
        <v>42</v>
      </c>
      <c r="L4546">
        <v>1</v>
      </c>
      <c r="M4546">
        <v>1</v>
      </c>
      <c r="N4546">
        <v>3</v>
      </c>
      <c r="O4546">
        <v>7.9</v>
      </c>
      <c r="P4546">
        <v>4</v>
      </c>
      <c r="Q4546">
        <v>3</v>
      </c>
      <c r="R4546">
        <v>701797</v>
      </c>
      <c r="S4546">
        <f>Table1[[#This Row],[Revenue]]-Table1[[#This Row],[Operating_Costs]]</f>
        <v>13962</v>
      </c>
      <c r="T4546">
        <v>687835</v>
      </c>
      <c r="U4546">
        <v>42</v>
      </c>
      <c r="V4546">
        <v>62</v>
      </c>
      <c r="W4546">
        <v>7.4</v>
      </c>
    </row>
    <row r="4547" spans="1:23" x14ac:dyDescent="0.25">
      <c r="A4547">
        <v>14</v>
      </c>
      <c r="B4547" t="s">
        <v>48</v>
      </c>
      <c r="C4547" s="1">
        <v>44381</v>
      </c>
      <c r="D4547" t="s">
        <v>71</v>
      </c>
      <c r="E4547">
        <v>0</v>
      </c>
      <c r="F4547">
        <v>89</v>
      </c>
      <c r="G4547" t="str">
        <f t="shared" ref="G4547:G4610" si="79">IF(F4547&lt;=20,"0-20",IF(F4547&lt;=40,"21-40",IF(F4547&lt;=60,"41-60",IF(F4547&lt;=80,"61-80","81+"))))</f>
        <v>81+</v>
      </c>
      <c r="H4547" t="s">
        <v>35</v>
      </c>
      <c r="I4547" t="s">
        <v>31</v>
      </c>
      <c r="J4547" t="s">
        <v>28</v>
      </c>
      <c r="K4547" t="s">
        <v>38</v>
      </c>
      <c r="L4547">
        <v>1</v>
      </c>
      <c r="M4547">
        <v>1</v>
      </c>
      <c r="N4547">
        <v>1.6</v>
      </c>
      <c r="O4547">
        <v>8.3000000000000007</v>
      </c>
      <c r="P4547">
        <v>6</v>
      </c>
      <c r="Q4547">
        <v>3</v>
      </c>
      <c r="R4547">
        <v>819383</v>
      </c>
      <c r="S4547">
        <f>Table1[[#This Row],[Revenue]]-Table1[[#This Row],[Operating_Costs]]</f>
        <v>309705</v>
      </c>
      <c r="T4547">
        <v>509678</v>
      </c>
      <c r="U4547">
        <v>30</v>
      </c>
      <c r="V4547">
        <v>57</v>
      </c>
      <c r="W4547">
        <v>9.1999999999999993</v>
      </c>
    </row>
    <row r="4548" spans="1:23" x14ac:dyDescent="0.25">
      <c r="A4548">
        <v>14</v>
      </c>
      <c r="B4548" t="s">
        <v>48</v>
      </c>
      <c r="C4548" s="1">
        <v>45171</v>
      </c>
      <c r="D4548" t="s">
        <v>71</v>
      </c>
      <c r="E4548">
        <v>0</v>
      </c>
      <c r="F4548">
        <v>89</v>
      </c>
      <c r="G4548" t="str">
        <f t="shared" si="79"/>
        <v>81+</v>
      </c>
      <c r="H4548" t="s">
        <v>35</v>
      </c>
      <c r="I4548" t="s">
        <v>53</v>
      </c>
      <c r="J4548" t="s">
        <v>54</v>
      </c>
      <c r="K4548" t="s">
        <v>29</v>
      </c>
      <c r="L4548">
        <v>1</v>
      </c>
      <c r="M4548">
        <v>1</v>
      </c>
      <c r="N4548">
        <v>3.8</v>
      </c>
      <c r="O4548">
        <v>7.8</v>
      </c>
      <c r="P4548">
        <v>3</v>
      </c>
      <c r="Q4548">
        <v>3</v>
      </c>
      <c r="R4548">
        <v>829483</v>
      </c>
      <c r="S4548">
        <f>Table1[[#This Row],[Revenue]]-Table1[[#This Row],[Operating_Costs]]</f>
        <v>292084</v>
      </c>
      <c r="T4548">
        <v>537399</v>
      </c>
      <c r="U4548">
        <v>41</v>
      </c>
      <c r="V4548">
        <v>54</v>
      </c>
      <c r="W4548">
        <v>13</v>
      </c>
    </row>
    <row r="4549" spans="1:23" x14ac:dyDescent="0.25">
      <c r="A4549">
        <v>14</v>
      </c>
      <c r="B4549" t="s">
        <v>48</v>
      </c>
      <c r="C4549" s="1">
        <v>44621</v>
      </c>
      <c r="D4549" t="s">
        <v>71</v>
      </c>
      <c r="E4549">
        <v>0</v>
      </c>
      <c r="F4549">
        <v>39</v>
      </c>
      <c r="G4549" t="str">
        <f t="shared" si="79"/>
        <v>21-40</v>
      </c>
      <c r="H4549" t="s">
        <v>35</v>
      </c>
      <c r="I4549" t="s">
        <v>36</v>
      </c>
      <c r="J4549" t="s">
        <v>37</v>
      </c>
      <c r="K4549" t="s">
        <v>42</v>
      </c>
      <c r="L4549">
        <v>1</v>
      </c>
      <c r="M4549">
        <v>1</v>
      </c>
      <c r="N4549">
        <v>1.1000000000000001</v>
      </c>
      <c r="O4549">
        <v>9.8000000000000007</v>
      </c>
      <c r="P4549">
        <v>7</v>
      </c>
      <c r="Q4549">
        <v>3</v>
      </c>
      <c r="R4549">
        <v>836384</v>
      </c>
      <c r="S4549">
        <f>Table1[[#This Row],[Revenue]]-Table1[[#This Row],[Operating_Costs]]</f>
        <v>212607</v>
      </c>
      <c r="T4549">
        <v>623777</v>
      </c>
      <c r="U4549">
        <v>49</v>
      </c>
      <c r="V4549">
        <v>61</v>
      </c>
      <c r="W4549">
        <v>36.9</v>
      </c>
    </row>
    <row r="4550" spans="1:23" x14ac:dyDescent="0.25">
      <c r="A4550">
        <v>14</v>
      </c>
      <c r="B4550" t="s">
        <v>48</v>
      </c>
      <c r="C4550" s="1">
        <v>45506</v>
      </c>
      <c r="D4550" t="s">
        <v>71</v>
      </c>
      <c r="E4550">
        <v>0</v>
      </c>
      <c r="F4550">
        <v>88</v>
      </c>
      <c r="G4550" t="str">
        <f t="shared" si="79"/>
        <v>81+</v>
      </c>
      <c r="H4550" t="s">
        <v>23</v>
      </c>
      <c r="I4550" t="s">
        <v>46</v>
      </c>
      <c r="J4550" t="s">
        <v>47</v>
      </c>
      <c r="K4550" t="s">
        <v>42</v>
      </c>
      <c r="L4550">
        <v>1</v>
      </c>
      <c r="M4550">
        <v>1</v>
      </c>
      <c r="N4550">
        <v>4.4000000000000004</v>
      </c>
      <c r="O4550">
        <v>9.9</v>
      </c>
      <c r="P4550">
        <v>6</v>
      </c>
      <c r="Q4550">
        <v>3</v>
      </c>
      <c r="R4550">
        <v>769304</v>
      </c>
      <c r="S4550">
        <f>Table1[[#This Row],[Revenue]]-Table1[[#This Row],[Operating_Costs]]</f>
        <v>149717</v>
      </c>
      <c r="T4550">
        <v>619587</v>
      </c>
      <c r="U4550">
        <v>49</v>
      </c>
      <c r="V4550">
        <v>64</v>
      </c>
      <c r="W4550">
        <v>7.7</v>
      </c>
    </row>
    <row r="4551" spans="1:23" x14ac:dyDescent="0.25">
      <c r="A4551">
        <v>14</v>
      </c>
      <c r="B4551" t="s">
        <v>48</v>
      </c>
      <c r="C4551" s="1">
        <v>44351</v>
      </c>
      <c r="D4551" t="s">
        <v>71</v>
      </c>
      <c r="E4551">
        <v>0</v>
      </c>
      <c r="F4551">
        <v>24</v>
      </c>
      <c r="G4551" t="str">
        <f t="shared" si="79"/>
        <v>21-40</v>
      </c>
      <c r="H4551" t="s">
        <v>23</v>
      </c>
      <c r="I4551" t="s">
        <v>55</v>
      </c>
      <c r="J4551" t="s">
        <v>56</v>
      </c>
      <c r="K4551" t="s">
        <v>42</v>
      </c>
      <c r="L4551">
        <v>1</v>
      </c>
      <c r="M4551">
        <v>1</v>
      </c>
      <c r="N4551">
        <v>2.6</v>
      </c>
      <c r="O4551">
        <v>7.5</v>
      </c>
      <c r="P4551">
        <v>5</v>
      </c>
      <c r="Q4551">
        <v>4</v>
      </c>
      <c r="R4551">
        <v>893281</v>
      </c>
      <c r="S4551">
        <f>Table1[[#This Row],[Revenue]]-Table1[[#This Row],[Operating_Costs]]</f>
        <v>274673</v>
      </c>
      <c r="T4551">
        <v>618608</v>
      </c>
      <c r="U4551">
        <v>31</v>
      </c>
      <c r="V4551">
        <v>63</v>
      </c>
      <c r="W4551">
        <v>5.4</v>
      </c>
    </row>
    <row r="4552" spans="1:23" x14ac:dyDescent="0.25">
      <c r="A4552">
        <v>14</v>
      </c>
      <c r="B4552" t="s">
        <v>48</v>
      </c>
      <c r="C4552" s="1">
        <v>44675</v>
      </c>
      <c r="D4552" t="s">
        <v>71</v>
      </c>
      <c r="E4552">
        <v>0</v>
      </c>
      <c r="F4552">
        <v>47</v>
      </c>
      <c r="G4552" t="str">
        <f t="shared" si="79"/>
        <v>41-60</v>
      </c>
      <c r="H4552" t="s">
        <v>35</v>
      </c>
      <c r="I4552" t="s">
        <v>36</v>
      </c>
      <c r="J4552" t="s">
        <v>37</v>
      </c>
      <c r="K4552" t="s">
        <v>26</v>
      </c>
      <c r="L4552">
        <v>1</v>
      </c>
      <c r="M4552">
        <v>1</v>
      </c>
      <c r="N4552">
        <v>3.7</v>
      </c>
      <c r="O4552">
        <v>7.1</v>
      </c>
      <c r="P4552">
        <v>7</v>
      </c>
      <c r="Q4552">
        <v>4</v>
      </c>
      <c r="R4552">
        <v>819873</v>
      </c>
      <c r="S4552">
        <f>Table1[[#This Row],[Revenue]]-Table1[[#This Row],[Operating_Costs]]</f>
        <v>305972</v>
      </c>
      <c r="T4552">
        <v>513901</v>
      </c>
      <c r="U4552">
        <v>47</v>
      </c>
      <c r="V4552">
        <v>66</v>
      </c>
      <c r="W4552">
        <v>36.1</v>
      </c>
    </row>
    <row r="4553" spans="1:23" x14ac:dyDescent="0.25">
      <c r="A4553">
        <v>14</v>
      </c>
      <c r="B4553" t="s">
        <v>48</v>
      </c>
      <c r="C4553" s="1">
        <v>45160</v>
      </c>
      <c r="D4553" t="s">
        <v>71</v>
      </c>
      <c r="E4553">
        <v>0</v>
      </c>
      <c r="F4553">
        <v>49</v>
      </c>
      <c r="G4553" t="str">
        <f t="shared" si="79"/>
        <v>41-60</v>
      </c>
      <c r="H4553" t="s">
        <v>35</v>
      </c>
      <c r="I4553" t="s">
        <v>61</v>
      </c>
      <c r="J4553" t="s">
        <v>62</v>
      </c>
      <c r="K4553" t="s">
        <v>38</v>
      </c>
      <c r="L4553">
        <v>1</v>
      </c>
      <c r="M4553">
        <v>1</v>
      </c>
      <c r="N4553">
        <v>3.7</v>
      </c>
      <c r="O4553">
        <v>8.1999999999999993</v>
      </c>
      <c r="P4553">
        <v>3</v>
      </c>
      <c r="Q4553">
        <v>4</v>
      </c>
      <c r="R4553">
        <v>782906</v>
      </c>
      <c r="S4553">
        <f>Table1[[#This Row],[Revenue]]-Table1[[#This Row],[Operating_Costs]]</f>
        <v>249992</v>
      </c>
      <c r="T4553">
        <v>532914</v>
      </c>
      <c r="U4553">
        <v>32</v>
      </c>
      <c r="V4553">
        <v>62</v>
      </c>
      <c r="W4553">
        <v>9.9</v>
      </c>
    </row>
    <row r="4554" spans="1:23" x14ac:dyDescent="0.25">
      <c r="A4554">
        <v>14</v>
      </c>
      <c r="B4554" t="s">
        <v>48</v>
      </c>
      <c r="C4554" s="1">
        <v>45137</v>
      </c>
      <c r="D4554" t="s">
        <v>71</v>
      </c>
      <c r="E4554">
        <v>0</v>
      </c>
      <c r="F4554">
        <v>42</v>
      </c>
      <c r="G4554" t="str">
        <f t="shared" si="79"/>
        <v>41-60</v>
      </c>
      <c r="H4554" t="s">
        <v>23</v>
      </c>
      <c r="I4554" t="s">
        <v>64</v>
      </c>
      <c r="J4554" t="s">
        <v>65</v>
      </c>
      <c r="K4554" t="s">
        <v>42</v>
      </c>
      <c r="L4554">
        <v>1</v>
      </c>
      <c r="M4554">
        <v>1</v>
      </c>
      <c r="N4554">
        <v>1.1000000000000001</v>
      </c>
      <c r="O4554">
        <v>9.6</v>
      </c>
      <c r="P4554">
        <v>7</v>
      </c>
      <c r="Q4554">
        <v>6</v>
      </c>
      <c r="R4554">
        <v>781871</v>
      </c>
      <c r="S4554">
        <f>Table1[[#This Row],[Revenue]]-Table1[[#This Row],[Operating_Costs]]</f>
        <v>225472</v>
      </c>
      <c r="T4554">
        <v>556399</v>
      </c>
      <c r="U4554">
        <v>31</v>
      </c>
      <c r="V4554">
        <v>64</v>
      </c>
      <c r="W4554">
        <v>10.9</v>
      </c>
    </row>
    <row r="4555" spans="1:23" x14ac:dyDescent="0.25">
      <c r="A4555">
        <v>14</v>
      </c>
      <c r="B4555" t="s">
        <v>48</v>
      </c>
      <c r="C4555" s="1">
        <v>44296</v>
      </c>
      <c r="D4555" t="s">
        <v>71</v>
      </c>
      <c r="E4555">
        <v>0</v>
      </c>
      <c r="F4555">
        <v>43</v>
      </c>
      <c r="G4555" t="str">
        <f t="shared" si="79"/>
        <v>41-60</v>
      </c>
      <c r="H4555" t="s">
        <v>35</v>
      </c>
      <c r="I4555" t="s">
        <v>60</v>
      </c>
      <c r="J4555" t="s">
        <v>59</v>
      </c>
      <c r="K4555" t="s">
        <v>33</v>
      </c>
      <c r="L4555">
        <v>1</v>
      </c>
      <c r="M4555">
        <v>1</v>
      </c>
      <c r="N4555">
        <v>3.9</v>
      </c>
      <c r="O4555">
        <v>9.9</v>
      </c>
      <c r="P4555">
        <v>7</v>
      </c>
      <c r="Q4555">
        <v>7</v>
      </c>
      <c r="R4555">
        <v>864961</v>
      </c>
      <c r="S4555">
        <f>Table1[[#This Row],[Revenue]]-Table1[[#This Row],[Operating_Costs]]</f>
        <v>191158</v>
      </c>
      <c r="T4555">
        <v>673803</v>
      </c>
      <c r="U4555">
        <v>30</v>
      </c>
      <c r="V4555">
        <v>60</v>
      </c>
      <c r="W4555">
        <v>36.299999999999997</v>
      </c>
    </row>
    <row r="4556" spans="1:23" x14ac:dyDescent="0.25">
      <c r="A4556">
        <v>14</v>
      </c>
      <c r="B4556" t="s">
        <v>48</v>
      </c>
      <c r="C4556" s="1">
        <v>44863</v>
      </c>
      <c r="D4556" t="s">
        <v>71</v>
      </c>
      <c r="E4556">
        <v>0</v>
      </c>
      <c r="F4556">
        <v>54</v>
      </c>
      <c r="G4556" t="str">
        <f t="shared" si="79"/>
        <v>41-60</v>
      </c>
      <c r="H4556" t="s">
        <v>23</v>
      </c>
      <c r="I4556" t="s">
        <v>43</v>
      </c>
      <c r="J4556" t="s">
        <v>25</v>
      </c>
      <c r="K4556" t="s">
        <v>33</v>
      </c>
      <c r="L4556">
        <v>1</v>
      </c>
      <c r="M4556">
        <v>1</v>
      </c>
      <c r="N4556">
        <v>2.5</v>
      </c>
      <c r="O4556">
        <v>8.9</v>
      </c>
      <c r="P4556">
        <v>5</v>
      </c>
      <c r="Q4556">
        <v>7</v>
      </c>
      <c r="R4556">
        <v>860467</v>
      </c>
      <c r="S4556">
        <f>Table1[[#This Row],[Revenue]]-Table1[[#This Row],[Operating_Costs]]</f>
        <v>182777</v>
      </c>
      <c r="T4556">
        <v>677690</v>
      </c>
      <c r="U4556">
        <v>34</v>
      </c>
      <c r="V4556">
        <v>63</v>
      </c>
      <c r="W4556">
        <v>12.6</v>
      </c>
    </row>
    <row r="4557" spans="1:23" x14ac:dyDescent="0.25">
      <c r="A4557">
        <v>14</v>
      </c>
      <c r="B4557" t="s">
        <v>48</v>
      </c>
      <c r="C4557" s="1">
        <v>45078</v>
      </c>
      <c r="D4557" t="s">
        <v>71</v>
      </c>
      <c r="E4557">
        <v>0</v>
      </c>
      <c r="F4557">
        <v>86</v>
      </c>
      <c r="G4557" t="str">
        <f t="shared" si="79"/>
        <v>81+</v>
      </c>
      <c r="H4557" t="s">
        <v>35</v>
      </c>
      <c r="I4557" t="s">
        <v>50</v>
      </c>
      <c r="J4557" t="s">
        <v>51</v>
      </c>
      <c r="K4557" t="s">
        <v>33</v>
      </c>
      <c r="L4557">
        <v>1</v>
      </c>
      <c r="M4557">
        <v>1</v>
      </c>
      <c r="N4557">
        <v>3.2</v>
      </c>
      <c r="O4557">
        <v>7.5</v>
      </c>
      <c r="P4557">
        <v>3</v>
      </c>
      <c r="Q4557">
        <v>6</v>
      </c>
      <c r="R4557">
        <v>859067</v>
      </c>
      <c r="S4557">
        <f>Table1[[#This Row],[Revenue]]-Table1[[#This Row],[Operating_Costs]]</f>
        <v>304814</v>
      </c>
      <c r="T4557">
        <v>554253</v>
      </c>
      <c r="U4557">
        <v>47</v>
      </c>
      <c r="V4557">
        <v>59</v>
      </c>
      <c r="W4557">
        <v>13.7</v>
      </c>
    </row>
    <row r="4558" spans="1:23" x14ac:dyDescent="0.25">
      <c r="A4558">
        <v>14</v>
      </c>
      <c r="B4558" t="s">
        <v>48</v>
      </c>
      <c r="C4558" s="1">
        <v>44849</v>
      </c>
      <c r="D4558" t="s">
        <v>71</v>
      </c>
      <c r="E4558">
        <v>0</v>
      </c>
      <c r="F4558">
        <v>47</v>
      </c>
      <c r="G4558" t="str">
        <f t="shared" si="79"/>
        <v>41-60</v>
      </c>
      <c r="H4558" t="s">
        <v>23</v>
      </c>
      <c r="I4558" t="s">
        <v>67</v>
      </c>
      <c r="J4558" t="s">
        <v>68</v>
      </c>
      <c r="K4558" t="s">
        <v>38</v>
      </c>
      <c r="L4558">
        <v>1</v>
      </c>
      <c r="M4558">
        <v>1</v>
      </c>
      <c r="N4558">
        <v>4.7</v>
      </c>
      <c r="O4558">
        <v>8.9</v>
      </c>
      <c r="P4558">
        <v>5</v>
      </c>
      <c r="Q4558">
        <v>5</v>
      </c>
      <c r="R4558">
        <v>803516</v>
      </c>
      <c r="S4558">
        <f>Table1[[#This Row],[Revenue]]-Table1[[#This Row],[Operating_Costs]]</f>
        <v>243266</v>
      </c>
      <c r="T4558">
        <v>560250</v>
      </c>
      <c r="U4558">
        <v>38</v>
      </c>
      <c r="V4558">
        <v>54</v>
      </c>
      <c r="W4558">
        <v>36.700000000000003</v>
      </c>
    </row>
    <row r="4559" spans="1:23" x14ac:dyDescent="0.25">
      <c r="A4559">
        <v>14</v>
      </c>
      <c r="B4559" t="s">
        <v>48</v>
      </c>
      <c r="C4559" s="1">
        <v>44914</v>
      </c>
      <c r="D4559" t="s">
        <v>71</v>
      </c>
      <c r="E4559">
        <v>0</v>
      </c>
      <c r="F4559">
        <v>80</v>
      </c>
      <c r="G4559" t="str">
        <f t="shared" si="79"/>
        <v>61-80</v>
      </c>
      <c r="H4559" t="s">
        <v>23</v>
      </c>
      <c r="I4559" t="s">
        <v>58</v>
      </c>
      <c r="J4559" t="s">
        <v>59</v>
      </c>
      <c r="K4559" t="s">
        <v>33</v>
      </c>
      <c r="L4559">
        <v>1</v>
      </c>
      <c r="M4559">
        <v>1</v>
      </c>
      <c r="N4559">
        <v>3.3</v>
      </c>
      <c r="O4559">
        <v>10</v>
      </c>
      <c r="P4559">
        <v>7</v>
      </c>
      <c r="Q4559">
        <v>3</v>
      </c>
      <c r="R4559">
        <v>778174</v>
      </c>
      <c r="S4559">
        <f>Table1[[#This Row],[Revenue]]-Table1[[#This Row],[Operating_Costs]]</f>
        <v>116637</v>
      </c>
      <c r="T4559">
        <v>661537</v>
      </c>
      <c r="U4559">
        <v>36</v>
      </c>
      <c r="V4559">
        <v>56</v>
      </c>
      <c r="W4559">
        <v>12</v>
      </c>
    </row>
    <row r="4560" spans="1:23" x14ac:dyDescent="0.25">
      <c r="A4560">
        <v>14</v>
      </c>
      <c r="B4560" t="s">
        <v>48</v>
      </c>
      <c r="C4560" s="1">
        <v>44713</v>
      </c>
      <c r="D4560" t="s">
        <v>71</v>
      </c>
      <c r="E4560">
        <v>0</v>
      </c>
      <c r="F4560">
        <v>65</v>
      </c>
      <c r="G4560" t="str">
        <f t="shared" si="79"/>
        <v>61-80</v>
      </c>
      <c r="H4560" t="s">
        <v>35</v>
      </c>
      <c r="I4560" t="s">
        <v>55</v>
      </c>
      <c r="J4560" t="s">
        <v>56</v>
      </c>
      <c r="K4560" t="s">
        <v>26</v>
      </c>
      <c r="L4560">
        <v>1</v>
      </c>
      <c r="M4560">
        <v>1</v>
      </c>
      <c r="N4560">
        <v>2.2999999999999998</v>
      </c>
      <c r="O4560">
        <v>7.8</v>
      </c>
      <c r="P4560">
        <v>4</v>
      </c>
      <c r="Q4560">
        <v>5</v>
      </c>
      <c r="R4560">
        <v>869009</v>
      </c>
      <c r="S4560">
        <f>Table1[[#This Row],[Revenue]]-Table1[[#This Row],[Operating_Costs]]</f>
        <v>190977</v>
      </c>
      <c r="T4560">
        <v>678032</v>
      </c>
      <c r="U4560">
        <v>31</v>
      </c>
      <c r="V4560">
        <v>60</v>
      </c>
      <c r="W4560">
        <v>6.4</v>
      </c>
    </row>
    <row r="4561" spans="1:23" x14ac:dyDescent="0.25">
      <c r="A4561">
        <v>14</v>
      </c>
      <c r="B4561" t="s">
        <v>48</v>
      </c>
      <c r="C4561" s="1">
        <v>45308</v>
      </c>
      <c r="D4561" t="s">
        <v>71</v>
      </c>
      <c r="E4561">
        <v>0</v>
      </c>
      <c r="F4561">
        <v>66</v>
      </c>
      <c r="G4561" t="str">
        <f t="shared" si="79"/>
        <v>61-80</v>
      </c>
      <c r="H4561" t="s">
        <v>35</v>
      </c>
      <c r="I4561" t="s">
        <v>27</v>
      </c>
      <c r="J4561" t="s">
        <v>28</v>
      </c>
      <c r="K4561" t="s">
        <v>42</v>
      </c>
      <c r="L4561">
        <v>1</v>
      </c>
      <c r="M4561">
        <v>1</v>
      </c>
      <c r="N4561">
        <v>6.8</v>
      </c>
      <c r="O4561">
        <v>8.1</v>
      </c>
      <c r="P4561">
        <v>5</v>
      </c>
      <c r="Q4561">
        <v>7</v>
      </c>
      <c r="R4561">
        <v>742798</v>
      </c>
      <c r="S4561">
        <f>Table1[[#This Row],[Revenue]]-Table1[[#This Row],[Operating_Costs]]</f>
        <v>222799</v>
      </c>
      <c r="T4561">
        <v>519999</v>
      </c>
      <c r="U4561">
        <v>48</v>
      </c>
      <c r="V4561">
        <v>66</v>
      </c>
      <c r="W4561">
        <v>5.3</v>
      </c>
    </row>
    <row r="4562" spans="1:23" x14ac:dyDescent="0.25">
      <c r="A4562">
        <v>14</v>
      </c>
      <c r="B4562" t="s">
        <v>48</v>
      </c>
      <c r="C4562" s="1">
        <v>44807</v>
      </c>
      <c r="D4562" t="s">
        <v>71</v>
      </c>
      <c r="E4562">
        <v>0</v>
      </c>
      <c r="F4562">
        <v>81</v>
      </c>
      <c r="G4562" t="str">
        <f t="shared" si="79"/>
        <v>81+</v>
      </c>
      <c r="H4562" t="s">
        <v>35</v>
      </c>
      <c r="I4562" t="s">
        <v>61</v>
      </c>
      <c r="J4562" t="s">
        <v>62</v>
      </c>
      <c r="K4562" t="s">
        <v>29</v>
      </c>
      <c r="L4562">
        <v>1</v>
      </c>
      <c r="M4562">
        <v>1</v>
      </c>
      <c r="N4562">
        <v>1</v>
      </c>
      <c r="O4562">
        <v>8.1</v>
      </c>
      <c r="P4562">
        <v>4</v>
      </c>
      <c r="Q4562">
        <v>4</v>
      </c>
      <c r="R4562">
        <v>863292</v>
      </c>
      <c r="S4562">
        <f>Table1[[#This Row],[Revenue]]-Table1[[#This Row],[Operating_Costs]]</f>
        <v>226540</v>
      </c>
      <c r="T4562">
        <v>636752</v>
      </c>
      <c r="U4562">
        <v>50</v>
      </c>
      <c r="V4562">
        <v>62</v>
      </c>
      <c r="W4562">
        <v>10.7</v>
      </c>
    </row>
    <row r="4563" spans="1:23" x14ac:dyDescent="0.25">
      <c r="A4563">
        <v>14</v>
      </c>
      <c r="B4563" t="s">
        <v>48</v>
      </c>
      <c r="C4563" s="1">
        <v>44401</v>
      </c>
      <c r="D4563" t="s">
        <v>71</v>
      </c>
      <c r="E4563">
        <v>0</v>
      </c>
      <c r="F4563">
        <v>81</v>
      </c>
      <c r="G4563" t="str">
        <f t="shared" si="79"/>
        <v>81+</v>
      </c>
      <c r="H4563" t="s">
        <v>35</v>
      </c>
      <c r="I4563" t="s">
        <v>55</v>
      </c>
      <c r="J4563" t="s">
        <v>56</v>
      </c>
      <c r="K4563" t="s">
        <v>33</v>
      </c>
      <c r="L4563">
        <v>1</v>
      </c>
      <c r="M4563">
        <v>1</v>
      </c>
      <c r="N4563">
        <v>3.2</v>
      </c>
      <c r="O4563">
        <v>9.3000000000000007</v>
      </c>
      <c r="P4563">
        <v>6</v>
      </c>
      <c r="Q4563">
        <v>6</v>
      </c>
      <c r="R4563">
        <v>713079</v>
      </c>
      <c r="S4563">
        <f>Table1[[#This Row],[Revenue]]-Table1[[#This Row],[Operating_Costs]]</f>
        <v>188930</v>
      </c>
      <c r="T4563">
        <v>524149</v>
      </c>
      <c r="U4563">
        <v>43</v>
      </c>
      <c r="V4563">
        <v>55</v>
      </c>
      <c r="W4563">
        <v>36.4</v>
      </c>
    </row>
    <row r="4564" spans="1:23" x14ac:dyDescent="0.25">
      <c r="A4564">
        <v>14</v>
      </c>
      <c r="B4564" t="s">
        <v>48</v>
      </c>
      <c r="C4564" s="1">
        <v>44394</v>
      </c>
      <c r="D4564" t="s">
        <v>71</v>
      </c>
      <c r="E4564">
        <v>0</v>
      </c>
      <c r="F4564">
        <v>45</v>
      </c>
      <c r="G4564" t="str">
        <f t="shared" si="79"/>
        <v>41-60</v>
      </c>
      <c r="H4564" t="s">
        <v>23</v>
      </c>
      <c r="I4564" t="s">
        <v>61</v>
      </c>
      <c r="J4564" t="s">
        <v>62</v>
      </c>
      <c r="K4564" t="s">
        <v>38</v>
      </c>
      <c r="L4564">
        <v>1</v>
      </c>
      <c r="M4564">
        <v>1</v>
      </c>
      <c r="N4564">
        <v>4.5</v>
      </c>
      <c r="O4564">
        <v>8.1999999999999993</v>
      </c>
      <c r="P4564">
        <v>7</v>
      </c>
      <c r="Q4564">
        <v>3</v>
      </c>
      <c r="R4564">
        <v>707738</v>
      </c>
      <c r="S4564">
        <f>Table1[[#This Row],[Revenue]]-Table1[[#This Row],[Operating_Costs]]</f>
        <v>129360</v>
      </c>
      <c r="T4564">
        <v>578378</v>
      </c>
      <c r="U4564">
        <v>48</v>
      </c>
      <c r="V4564">
        <v>54</v>
      </c>
      <c r="W4564">
        <v>10.6</v>
      </c>
    </row>
    <row r="4565" spans="1:23" x14ac:dyDescent="0.25">
      <c r="A4565">
        <v>14</v>
      </c>
      <c r="B4565" t="s">
        <v>48</v>
      </c>
      <c r="C4565" s="1">
        <v>45071</v>
      </c>
      <c r="D4565" t="s">
        <v>71</v>
      </c>
      <c r="E4565">
        <v>0</v>
      </c>
      <c r="F4565">
        <v>84</v>
      </c>
      <c r="G4565" t="str">
        <f t="shared" si="79"/>
        <v>81+</v>
      </c>
      <c r="H4565" t="s">
        <v>23</v>
      </c>
      <c r="I4565" t="s">
        <v>24</v>
      </c>
      <c r="J4565" t="s">
        <v>25</v>
      </c>
      <c r="K4565" t="s">
        <v>38</v>
      </c>
      <c r="L4565">
        <v>1</v>
      </c>
      <c r="M4565">
        <v>1</v>
      </c>
      <c r="N4565">
        <v>6</v>
      </c>
      <c r="O4565">
        <v>7.4</v>
      </c>
      <c r="P4565">
        <v>4</v>
      </c>
      <c r="Q4565">
        <v>4</v>
      </c>
      <c r="R4565">
        <v>705957</v>
      </c>
      <c r="S4565">
        <f>Table1[[#This Row],[Revenue]]-Table1[[#This Row],[Operating_Costs]]</f>
        <v>159575</v>
      </c>
      <c r="T4565">
        <v>546382</v>
      </c>
      <c r="U4565">
        <v>44</v>
      </c>
      <c r="V4565">
        <v>59</v>
      </c>
      <c r="W4565">
        <v>6.7</v>
      </c>
    </row>
    <row r="4566" spans="1:23" x14ac:dyDescent="0.25">
      <c r="A4566">
        <v>14</v>
      </c>
      <c r="B4566" t="s">
        <v>48</v>
      </c>
      <c r="C4566" s="1">
        <v>45622</v>
      </c>
      <c r="D4566" t="s">
        <v>71</v>
      </c>
      <c r="E4566">
        <v>0</v>
      </c>
      <c r="F4566">
        <v>46</v>
      </c>
      <c r="G4566" t="str">
        <f t="shared" si="79"/>
        <v>41-60</v>
      </c>
      <c r="H4566" t="s">
        <v>23</v>
      </c>
      <c r="I4566" t="s">
        <v>67</v>
      </c>
      <c r="J4566" t="s">
        <v>68</v>
      </c>
      <c r="K4566" t="s">
        <v>26</v>
      </c>
      <c r="L4566">
        <v>1</v>
      </c>
      <c r="M4566">
        <v>1</v>
      </c>
      <c r="N4566">
        <v>2.9</v>
      </c>
      <c r="O4566">
        <v>8.9</v>
      </c>
      <c r="P4566">
        <v>6</v>
      </c>
      <c r="Q4566">
        <v>7</v>
      </c>
      <c r="R4566">
        <v>804245</v>
      </c>
      <c r="S4566">
        <f>Table1[[#This Row],[Revenue]]-Table1[[#This Row],[Operating_Costs]]</f>
        <v>285813</v>
      </c>
      <c r="T4566">
        <v>518432</v>
      </c>
      <c r="U4566">
        <v>38</v>
      </c>
      <c r="V4566">
        <v>55</v>
      </c>
      <c r="W4566">
        <v>13</v>
      </c>
    </row>
    <row r="4567" spans="1:23" x14ac:dyDescent="0.25">
      <c r="A4567">
        <v>14</v>
      </c>
      <c r="B4567" t="s">
        <v>48</v>
      </c>
      <c r="C4567" s="1">
        <v>45497</v>
      </c>
      <c r="D4567" t="s">
        <v>71</v>
      </c>
      <c r="E4567">
        <v>0</v>
      </c>
      <c r="F4567">
        <v>62</v>
      </c>
      <c r="G4567" t="str">
        <f t="shared" si="79"/>
        <v>61-80</v>
      </c>
      <c r="H4567" t="s">
        <v>35</v>
      </c>
      <c r="I4567" t="s">
        <v>64</v>
      </c>
      <c r="J4567" t="s">
        <v>65</v>
      </c>
      <c r="K4567" t="s">
        <v>38</v>
      </c>
      <c r="L4567">
        <v>1</v>
      </c>
      <c r="M4567">
        <v>1</v>
      </c>
      <c r="N4567">
        <v>3.6</v>
      </c>
      <c r="O4567">
        <v>9.9</v>
      </c>
      <c r="P4567">
        <v>7</v>
      </c>
      <c r="Q4567">
        <v>7</v>
      </c>
      <c r="R4567">
        <v>875771</v>
      </c>
      <c r="S4567">
        <f>Table1[[#This Row],[Revenue]]-Table1[[#This Row],[Operating_Costs]]</f>
        <v>372747</v>
      </c>
      <c r="T4567">
        <v>503024</v>
      </c>
      <c r="U4567">
        <v>49</v>
      </c>
      <c r="V4567">
        <v>62</v>
      </c>
      <c r="W4567">
        <v>6.8</v>
      </c>
    </row>
    <row r="4568" spans="1:23" x14ac:dyDescent="0.25">
      <c r="A4568">
        <v>14</v>
      </c>
      <c r="B4568" t="s">
        <v>48</v>
      </c>
      <c r="C4568" s="1">
        <v>45020</v>
      </c>
      <c r="D4568" t="s">
        <v>71</v>
      </c>
      <c r="E4568">
        <v>0</v>
      </c>
      <c r="F4568">
        <v>39</v>
      </c>
      <c r="G4568" t="str">
        <f t="shared" si="79"/>
        <v>21-40</v>
      </c>
      <c r="H4568" t="s">
        <v>23</v>
      </c>
      <c r="I4568" t="s">
        <v>43</v>
      </c>
      <c r="J4568" t="s">
        <v>25</v>
      </c>
      <c r="K4568" t="s">
        <v>29</v>
      </c>
      <c r="L4568">
        <v>1</v>
      </c>
      <c r="M4568">
        <v>1</v>
      </c>
      <c r="N4568">
        <v>4</v>
      </c>
      <c r="O4568">
        <v>7.8</v>
      </c>
      <c r="P4568">
        <v>7</v>
      </c>
      <c r="Q4568">
        <v>6</v>
      </c>
      <c r="R4568">
        <v>777913</v>
      </c>
      <c r="S4568">
        <f>Table1[[#This Row],[Revenue]]-Table1[[#This Row],[Operating_Costs]]</f>
        <v>181899</v>
      </c>
      <c r="T4568">
        <v>596014</v>
      </c>
      <c r="U4568">
        <v>37</v>
      </c>
      <c r="V4568">
        <v>60</v>
      </c>
      <c r="W4568">
        <v>12.6</v>
      </c>
    </row>
    <row r="4569" spans="1:23" x14ac:dyDescent="0.25">
      <c r="A4569">
        <v>14</v>
      </c>
      <c r="B4569" t="s">
        <v>48</v>
      </c>
      <c r="C4569" s="1">
        <v>44443</v>
      </c>
      <c r="D4569" t="s">
        <v>71</v>
      </c>
      <c r="E4569">
        <v>0</v>
      </c>
      <c r="F4569">
        <v>50</v>
      </c>
      <c r="G4569" t="str">
        <f t="shared" si="79"/>
        <v>41-60</v>
      </c>
      <c r="H4569" t="s">
        <v>35</v>
      </c>
      <c r="I4569" t="s">
        <v>64</v>
      </c>
      <c r="J4569" t="s">
        <v>65</v>
      </c>
      <c r="K4569" t="s">
        <v>33</v>
      </c>
      <c r="L4569">
        <v>1</v>
      </c>
      <c r="M4569">
        <v>1</v>
      </c>
      <c r="N4569">
        <v>5.2</v>
      </c>
      <c r="O4569">
        <v>9.1</v>
      </c>
      <c r="P4569">
        <v>5</v>
      </c>
      <c r="Q4569">
        <v>4</v>
      </c>
      <c r="R4569">
        <v>710121</v>
      </c>
      <c r="S4569">
        <f>Table1[[#This Row],[Revenue]]-Table1[[#This Row],[Operating_Costs]]</f>
        <v>162395</v>
      </c>
      <c r="T4569">
        <v>547726</v>
      </c>
      <c r="U4569">
        <v>48</v>
      </c>
      <c r="V4569">
        <v>62</v>
      </c>
      <c r="W4569">
        <v>13.1</v>
      </c>
    </row>
    <row r="4570" spans="1:23" x14ac:dyDescent="0.25">
      <c r="A4570">
        <v>14</v>
      </c>
      <c r="B4570" t="s">
        <v>48</v>
      </c>
      <c r="C4570" s="1">
        <v>45050</v>
      </c>
      <c r="D4570" t="s">
        <v>71</v>
      </c>
      <c r="E4570">
        <v>0</v>
      </c>
      <c r="F4570">
        <v>28</v>
      </c>
      <c r="G4570" t="str">
        <f t="shared" si="79"/>
        <v>21-40</v>
      </c>
      <c r="H4570" t="s">
        <v>23</v>
      </c>
      <c r="I4570" t="s">
        <v>40</v>
      </c>
      <c r="J4570" t="s">
        <v>41</v>
      </c>
      <c r="K4570" t="s">
        <v>42</v>
      </c>
      <c r="L4570">
        <v>1</v>
      </c>
      <c r="M4570">
        <v>1</v>
      </c>
      <c r="N4570">
        <v>2.9</v>
      </c>
      <c r="O4570">
        <v>7.1</v>
      </c>
      <c r="P4570">
        <v>4</v>
      </c>
      <c r="Q4570">
        <v>6</v>
      </c>
      <c r="R4570">
        <v>842238</v>
      </c>
      <c r="S4570">
        <f>Table1[[#This Row],[Revenue]]-Table1[[#This Row],[Operating_Costs]]</f>
        <v>338876</v>
      </c>
      <c r="T4570">
        <v>503362</v>
      </c>
      <c r="U4570">
        <v>39</v>
      </c>
      <c r="V4570">
        <v>65</v>
      </c>
      <c r="W4570">
        <v>8.1999999999999993</v>
      </c>
    </row>
    <row r="4571" spans="1:23" x14ac:dyDescent="0.25">
      <c r="A4571">
        <v>14</v>
      </c>
      <c r="B4571" t="s">
        <v>48</v>
      </c>
      <c r="C4571" s="1">
        <v>45256</v>
      </c>
      <c r="D4571" t="s">
        <v>71</v>
      </c>
      <c r="E4571">
        <v>0</v>
      </c>
      <c r="F4571">
        <v>41</v>
      </c>
      <c r="G4571" t="str">
        <f t="shared" si="79"/>
        <v>41-60</v>
      </c>
      <c r="H4571" t="s">
        <v>23</v>
      </c>
      <c r="I4571" t="s">
        <v>43</v>
      </c>
      <c r="J4571" t="s">
        <v>25</v>
      </c>
      <c r="K4571" t="s">
        <v>26</v>
      </c>
      <c r="L4571">
        <v>1</v>
      </c>
      <c r="M4571">
        <v>1</v>
      </c>
      <c r="N4571">
        <v>5</v>
      </c>
      <c r="O4571">
        <v>7.9</v>
      </c>
      <c r="P4571">
        <v>5</v>
      </c>
      <c r="Q4571">
        <v>3</v>
      </c>
      <c r="R4571">
        <v>783686</v>
      </c>
      <c r="S4571">
        <f>Table1[[#This Row],[Revenue]]-Table1[[#This Row],[Operating_Costs]]</f>
        <v>260605</v>
      </c>
      <c r="T4571">
        <v>523081</v>
      </c>
      <c r="U4571">
        <v>39</v>
      </c>
      <c r="V4571">
        <v>64</v>
      </c>
      <c r="W4571">
        <v>13.1</v>
      </c>
    </row>
    <row r="4572" spans="1:23" x14ac:dyDescent="0.25">
      <c r="A4572">
        <v>14</v>
      </c>
      <c r="B4572" t="s">
        <v>48</v>
      </c>
      <c r="C4572" s="1">
        <v>45306</v>
      </c>
      <c r="D4572" t="s">
        <v>71</v>
      </c>
      <c r="E4572">
        <v>0</v>
      </c>
      <c r="F4572">
        <v>43</v>
      </c>
      <c r="G4572" t="str">
        <f t="shared" si="79"/>
        <v>41-60</v>
      </c>
      <c r="H4572" t="s">
        <v>35</v>
      </c>
      <c r="I4572" t="s">
        <v>46</v>
      </c>
      <c r="J4572" t="s">
        <v>47</v>
      </c>
      <c r="K4572" t="s">
        <v>26</v>
      </c>
      <c r="L4572">
        <v>1</v>
      </c>
      <c r="M4572">
        <v>1</v>
      </c>
      <c r="N4572">
        <v>1</v>
      </c>
      <c r="O4572">
        <v>7.6</v>
      </c>
      <c r="P4572">
        <v>7</v>
      </c>
      <c r="Q4572">
        <v>3</v>
      </c>
      <c r="R4572">
        <v>854147</v>
      </c>
      <c r="S4572">
        <f>Table1[[#This Row],[Revenue]]-Table1[[#This Row],[Operating_Costs]]</f>
        <v>216789</v>
      </c>
      <c r="T4572">
        <v>637358</v>
      </c>
      <c r="U4572">
        <v>47</v>
      </c>
      <c r="V4572">
        <v>54</v>
      </c>
      <c r="W4572">
        <v>8</v>
      </c>
    </row>
    <row r="4573" spans="1:23" x14ac:dyDescent="0.25">
      <c r="A4573">
        <v>14</v>
      </c>
      <c r="B4573" t="s">
        <v>48</v>
      </c>
      <c r="C4573" s="1">
        <v>45328</v>
      </c>
      <c r="D4573" t="s">
        <v>71</v>
      </c>
      <c r="E4573">
        <v>0</v>
      </c>
      <c r="F4573">
        <v>33</v>
      </c>
      <c r="G4573" t="str">
        <f t="shared" si="79"/>
        <v>21-40</v>
      </c>
      <c r="H4573" t="s">
        <v>23</v>
      </c>
      <c r="I4573" t="s">
        <v>64</v>
      </c>
      <c r="J4573" t="s">
        <v>65</v>
      </c>
      <c r="K4573" t="s">
        <v>33</v>
      </c>
      <c r="L4573">
        <v>1</v>
      </c>
      <c r="M4573">
        <v>1</v>
      </c>
      <c r="N4573">
        <v>2.4</v>
      </c>
      <c r="O4573">
        <v>8.8000000000000007</v>
      </c>
      <c r="P4573">
        <v>4</v>
      </c>
      <c r="Q4573">
        <v>6</v>
      </c>
      <c r="R4573">
        <v>720812</v>
      </c>
      <c r="S4573">
        <f>Table1[[#This Row],[Revenue]]-Table1[[#This Row],[Operating_Costs]]</f>
        <v>69543</v>
      </c>
      <c r="T4573">
        <v>651269</v>
      </c>
      <c r="U4573">
        <v>50</v>
      </c>
      <c r="V4573">
        <v>60</v>
      </c>
      <c r="W4573">
        <v>36.200000000000003</v>
      </c>
    </row>
    <row r="4574" spans="1:23" x14ac:dyDescent="0.25">
      <c r="A4574">
        <v>14</v>
      </c>
      <c r="B4574" t="s">
        <v>48</v>
      </c>
      <c r="C4574" s="1">
        <v>44866</v>
      </c>
      <c r="D4574" t="s">
        <v>71</v>
      </c>
      <c r="E4574">
        <v>0</v>
      </c>
      <c r="F4574">
        <v>45</v>
      </c>
      <c r="G4574" t="str">
        <f t="shared" si="79"/>
        <v>41-60</v>
      </c>
      <c r="H4574" t="s">
        <v>35</v>
      </c>
      <c r="I4574" t="s">
        <v>40</v>
      </c>
      <c r="J4574" t="s">
        <v>41</v>
      </c>
      <c r="K4574" t="s">
        <v>33</v>
      </c>
      <c r="L4574">
        <v>1</v>
      </c>
      <c r="M4574">
        <v>1</v>
      </c>
      <c r="N4574">
        <v>2.8</v>
      </c>
      <c r="O4574">
        <v>8.8000000000000007</v>
      </c>
      <c r="P4574">
        <v>5</v>
      </c>
      <c r="Q4574">
        <v>4</v>
      </c>
      <c r="R4574">
        <v>842874</v>
      </c>
      <c r="S4574">
        <f>Table1[[#This Row],[Revenue]]-Table1[[#This Row],[Operating_Costs]]</f>
        <v>242466</v>
      </c>
      <c r="T4574">
        <v>600408</v>
      </c>
      <c r="U4574">
        <v>33</v>
      </c>
      <c r="V4574">
        <v>63</v>
      </c>
      <c r="W4574">
        <v>7.2</v>
      </c>
    </row>
    <row r="4575" spans="1:23" x14ac:dyDescent="0.25">
      <c r="A4575">
        <v>14</v>
      </c>
      <c r="B4575" t="s">
        <v>48</v>
      </c>
      <c r="C4575" s="1">
        <v>44741</v>
      </c>
      <c r="D4575" t="s">
        <v>71</v>
      </c>
      <c r="E4575">
        <v>0</v>
      </c>
      <c r="F4575">
        <v>68</v>
      </c>
      <c r="G4575" t="str">
        <f t="shared" si="79"/>
        <v>61-80</v>
      </c>
      <c r="H4575" t="s">
        <v>35</v>
      </c>
      <c r="I4575" t="s">
        <v>64</v>
      </c>
      <c r="J4575" t="s">
        <v>65</v>
      </c>
      <c r="K4575" t="s">
        <v>26</v>
      </c>
      <c r="L4575">
        <v>1</v>
      </c>
      <c r="M4575">
        <v>1</v>
      </c>
      <c r="N4575">
        <v>4</v>
      </c>
      <c r="O4575">
        <v>7.7</v>
      </c>
      <c r="P4575">
        <v>5</v>
      </c>
      <c r="Q4575">
        <v>6</v>
      </c>
      <c r="R4575">
        <v>732709</v>
      </c>
      <c r="S4575">
        <f>Table1[[#This Row],[Revenue]]-Table1[[#This Row],[Operating_Costs]]</f>
        <v>64958</v>
      </c>
      <c r="T4575">
        <v>667751</v>
      </c>
      <c r="U4575">
        <v>32</v>
      </c>
      <c r="V4575">
        <v>59</v>
      </c>
      <c r="W4575">
        <v>8.6999999999999993</v>
      </c>
    </row>
    <row r="4576" spans="1:23" x14ac:dyDescent="0.25">
      <c r="A4576">
        <v>14</v>
      </c>
      <c r="B4576" t="s">
        <v>48</v>
      </c>
      <c r="C4576" s="1">
        <v>44393</v>
      </c>
      <c r="D4576" t="s">
        <v>71</v>
      </c>
      <c r="E4576">
        <v>0</v>
      </c>
      <c r="F4576">
        <v>23</v>
      </c>
      <c r="G4576" t="str">
        <f t="shared" si="79"/>
        <v>21-40</v>
      </c>
      <c r="H4576" t="s">
        <v>23</v>
      </c>
      <c r="I4576" t="s">
        <v>31</v>
      </c>
      <c r="J4576" t="s">
        <v>28</v>
      </c>
      <c r="K4576" t="s">
        <v>38</v>
      </c>
      <c r="L4576">
        <v>1</v>
      </c>
      <c r="M4576">
        <v>1</v>
      </c>
      <c r="N4576">
        <v>1.3</v>
      </c>
      <c r="O4576">
        <v>9.9</v>
      </c>
      <c r="P4576">
        <v>4</v>
      </c>
      <c r="Q4576">
        <v>6</v>
      </c>
      <c r="R4576">
        <v>887863</v>
      </c>
      <c r="S4576">
        <f>Table1[[#This Row],[Revenue]]-Table1[[#This Row],[Operating_Costs]]</f>
        <v>209673</v>
      </c>
      <c r="T4576">
        <v>678190</v>
      </c>
      <c r="U4576">
        <v>31</v>
      </c>
      <c r="V4576">
        <v>55</v>
      </c>
      <c r="W4576">
        <v>8.6999999999999993</v>
      </c>
    </row>
    <row r="4577" spans="1:23" x14ac:dyDescent="0.25">
      <c r="A4577">
        <v>14</v>
      </c>
      <c r="B4577" t="s">
        <v>48</v>
      </c>
      <c r="C4577" s="1">
        <v>44932</v>
      </c>
      <c r="D4577" t="s">
        <v>71</v>
      </c>
      <c r="E4577">
        <v>0</v>
      </c>
      <c r="F4577">
        <v>37</v>
      </c>
      <c r="G4577" t="str">
        <f t="shared" si="79"/>
        <v>21-40</v>
      </c>
      <c r="H4577" t="s">
        <v>35</v>
      </c>
      <c r="I4577" t="s">
        <v>61</v>
      </c>
      <c r="J4577" t="s">
        <v>62</v>
      </c>
      <c r="K4577" t="s">
        <v>33</v>
      </c>
      <c r="L4577">
        <v>1</v>
      </c>
      <c r="M4577">
        <v>1</v>
      </c>
      <c r="N4577">
        <v>5.6</v>
      </c>
      <c r="O4577">
        <v>9.6999999999999993</v>
      </c>
      <c r="P4577">
        <v>6</v>
      </c>
      <c r="Q4577">
        <v>6</v>
      </c>
      <c r="R4577">
        <v>735613</v>
      </c>
      <c r="S4577">
        <f>Table1[[#This Row],[Revenue]]-Table1[[#This Row],[Operating_Costs]]</f>
        <v>140916</v>
      </c>
      <c r="T4577">
        <v>594697</v>
      </c>
      <c r="U4577">
        <v>40</v>
      </c>
      <c r="V4577">
        <v>66</v>
      </c>
      <c r="W4577">
        <v>8.6999999999999993</v>
      </c>
    </row>
    <row r="4578" spans="1:23" x14ac:dyDescent="0.25">
      <c r="A4578">
        <v>14</v>
      </c>
      <c r="B4578" t="s">
        <v>48</v>
      </c>
      <c r="C4578" s="1">
        <v>44662</v>
      </c>
      <c r="D4578" t="s">
        <v>71</v>
      </c>
      <c r="E4578">
        <v>0</v>
      </c>
      <c r="F4578">
        <v>28</v>
      </c>
      <c r="G4578" t="str">
        <f t="shared" si="79"/>
        <v>21-40</v>
      </c>
      <c r="H4578" t="s">
        <v>23</v>
      </c>
      <c r="I4578" t="s">
        <v>50</v>
      </c>
      <c r="J4578" t="s">
        <v>51</v>
      </c>
      <c r="K4578" t="s">
        <v>29</v>
      </c>
      <c r="L4578">
        <v>1</v>
      </c>
      <c r="M4578">
        <v>1</v>
      </c>
      <c r="N4578">
        <v>1.6</v>
      </c>
      <c r="O4578">
        <v>9.9</v>
      </c>
      <c r="P4578">
        <v>5</v>
      </c>
      <c r="Q4578">
        <v>6</v>
      </c>
      <c r="R4578">
        <v>786734</v>
      </c>
      <c r="S4578">
        <f>Table1[[#This Row],[Revenue]]-Table1[[#This Row],[Operating_Costs]]</f>
        <v>121366</v>
      </c>
      <c r="T4578">
        <v>665368</v>
      </c>
      <c r="U4578">
        <v>41</v>
      </c>
      <c r="V4578">
        <v>63</v>
      </c>
      <c r="W4578">
        <v>15</v>
      </c>
    </row>
    <row r="4579" spans="1:23" x14ac:dyDescent="0.25">
      <c r="A4579">
        <v>14</v>
      </c>
      <c r="B4579" t="s">
        <v>48</v>
      </c>
      <c r="C4579" s="1">
        <v>44878</v>
      </c>
      <c r="D4579" t="s">
        <v>71</v>
      </c>
      <c r="E4579">
        <v>0</v>
      </c>
      <c r="F4579">
        <v>28</v>
      </c>
      <c r="G4579" t="str">
        <f t="shared" si="79"/>
        <v>21-40</v>
      </c>
      <c r="H4579" t="s">
        <v>35</v>
      </c>
      <c r="I4579" t="s">
        <v>64</v>
      </c>
      <c r="J4579" t="s">
        <v>65</v>
      </c>
      <c r="K4579" t="s">
        <v>29</v>
      </c>
      <c r="L4579">
        <v>1</v>
      </c>
      <c r="M4579">
        <v>1</v>
      </c>
      <c r="N4579">
        <v>1</v>
      </c>
      <c r="O4579">
        <v>9.5</v>
      </c>
      <c r="P4579">
        <v>7</v>
      </c>
      <c r="Q4579">
        <v>5</v>
      </c>
      <c r="R4579">
        <v>862651</v>
      </c>
      <c r="S4579">
        <f>Table1[[#This Row],[Revenue]]-Table1[[#This Row],[Operating_Costs]]</f>
        <v>336575</v>
      </c>
      <c r="T4579">
        <v>526076</v>
      </c>
      <c r="U4579">
        <v>43</v>
      </c>
      <c r="V4579">
        <v>65</v>
      </c>
      <c r="W4579">
        <v>8.5</v>
      </c>
    </row>
    <row r="4580" spans="1:23" x14ac:dyDescent="0.25">
      <c r="A4580">
        <v>14</v>
      </c>
      <c r="B4580" t="s">
        <v>48</v>
      </c>
      <c r="C4580" s="1">
        <v>44659</v>
      </c>
      <c r="D4580" t="s">
        <v>71</v>
      </c>
      <c r="E4580">
        <v>0</v>
      </c>
      <c r="F4580">
        <v>25</v>
      </c>
      <c r="G4580" t="str">
        <f t="shared" si="79"/>
        <v>21-40</v>
      </c>
      <c r="H4580" t="s">
        <v>23</v>
      </c>
      <c r="I4580" t="s">
        <v>55</v>
      </c>
      <c r="J4580" t="s">
        <v>56</v>
      </c>
      <c r="K4580" t="s">
        <v>38</v>
      </c>
      <c r="L4580">
        <v>1</v>
      </c>
      <c r="M4580">
        <v>1</v>
      </c>
      <c r="N4580">
        <v>1</v>
      </c>
      <c r="O4580">
        <v>7.8</v>
      </c>
      <c r="P4580">
        <v>5</v>
      </c>
      <c r="Q4580">
        <v>3</v>
      </c>
      <c r="R4580">
        <v>700476</v>
      </c>
      <c r="S4580">
        <f>Table1[[#This Row],[Revenue]]-Table1[[#This Row],[Operating_Costs]]</f>
        <v>86772</v>
      </c>
      <c r="T4580">
        <v>613704</v>
      </c>
      <c r="U4580">
        <v>40</v>
      </c>
      <c r="V4580">
        <v>66</v>
      </c>
      <c r="W4580">
        <v>12.2</v>
      </c>
    </row>
    <row r="4581" spans="1:23" x14ac:dyDescent="0.25">
      <c r="A4581">
        <v>14</v>
      </c>
      <c r="B4581" t="s">
        <v>48</v>
      </c>
      <c r="C4581" s="1">
        <v>44827</v>
      </c>
      <c r="D4581" t="s">
        <v>71</v>
      </c>
      <c r="E4581">
        <v>0</v>
      </c>
      <c r="F4581">
        <v>31</v>
      </c>
      <c r="G4581" t="str">
        <f t="shared" si="79"/>
        <v>21-40</v>
      </c>
      <c r="H4581" t="s">
        <v>23</v>
      </c>
      <c r="I4581" t="s">
        <v>27</v>
      </c>
      <c r="J4581" t="s">
        <v>28</v>
      </c>
      <c r="K4581" t="s">
        <v>26</v>
      </c>
      <c r="L4581">
        <v>1</v>
      </c>
      <c r="M4581">
        <v>1</v>
      </c>
      <c r="N4581">
        <v>3.5</v>
      </c>
      <c r="O4581">
        <v>7.1</v>
      </c>
      <c r="P4581">
        <v>6</v>
      </c>
      <c r="Q4581">
        <v>3</v>
      </c>
      <c r="R4581">
        <v>800238</v>
      </c>
      <c r="S4581">
        <f>Table1[[#This Row],[Revenue]]-Table1[[#This Row],[Operating_Costs]]</f>
        <v>209267</v>
      </c>
      <c r="T4581">
        <v>590971</v>
      </c>
      <c r="U4581">
        <v>46</v>
      </c>
      <c r="V4581">
        <v>54</v>
      </c>
      <c r="W4581">
        <v>7.5</v>
      </c>
    </row>
    <row r="4582" spans="1:23" x14ac:dyDescent="0.25">
      <c r="A4582">
        <v>14</v>
      </c>
      <c r="B4582" t="s">
        <v>48</v>
      </c>
      <c r="C4582" s="1">
        <v>44224</v>
      </c>
      <c r="D4582" t="s">
        <v>71</v>
      </c>
      <c r="E4582">
        <v>0</v>
      </c>
      <c r="F4582">
        <v>69</v>
      </c>
      <c r="G4582" t="str">
        <f t="shared" si="79"/>
        <v>61-80</v>
      </c>
      <c r="H4582" t="s">
        <v>35</v>
      </c>
      <c r="I4582" t="s">
        <v>58</v>
      </c>
      <c r="J4582" t="s">
        <v>59</v>
      </c>
      <c r="K4582" t="s">
        <v>26</v>
      </c>
      <c r="L4582">
        <v>1</v>
      </c>
      <c r="M4582">
        <v>1</v>
      </c>
      <c r="N4582">
        <v>2.8</v>
      </c>
      <c r="O4582">
        <v>9.3000000000000007</v>
      </c>
      <c r="P4582">
        <v>3</v>
      </c>
      <c r="Q4582">
        <v>7</v>
      </c>
      <c r="R4582">
        <v>871637</v>
      </c>
      <c r="S4582">
        <f>Table1[[#This Row],[Revenue]]-Table1[[#This Row],[Operating_Costs]]</f>
        <v>277476</v>
      </c>
      <c r="T4582">
        <v>594161</v>
      </c>
      <c r="U4582">
        <v>42</v>
      </c>
      <c r="V4582">
        <v>61</v>
      </c>
      <c r="W4582">
        <v>9.1</v>
      </c>
    </row>
    <row r="4583" spans="1:23" x14ac:dyDescent="0.25">
      <c r="A4583">
        <v>14</v>
      </c>
      <c r="B4583" t="s">
        <v>48</v>
      </c>
      <c r="C4583" s="1">
        <v>44595</v>
      </c>
      <c r="D4583" t="s">
        <v>71</v>
      </c>
      <c r="E4583">
        <v>0</v>
      </c>
      <c r="F4583">
        <v>49</v>
      </c>
      <c r="G4583" t="str">
        <f t="shared" si="79"/>
        <v>41-60</v>
      </c>
      <c r="H4583" t="s">
        <v>23</v>
      </c>
      <c r="I4583" t="s">
        <v>43</v>
      </c>
      <c r="J4583" t="s">
        <v>25</v>
      </c>
      <c r="K4583" t="s">
        <v>42</v>
      </c>
      <c r="L4583">
        <v>1</v>
      </c>
      <c r="M4583">
        <v>1</v>
      </c>
      <c r="N4583">
        <v>1.3</v>
      </c>
      <c r="O4583">
        <v>8</v>
      </c>
      <c r="P4583">
        <v>6</v>
      </c>
      <c r="Q4583">
        <v>7</v>
      </c>
      <c r="R4583">
        <v>827300</v>
      </c>
      <c r="S4583">
        <f>Table1[[#This Row],[Revenue]]-Table1[[#This Row],[Operating_Costs]]</f>
        <v>255859</v>
      </c>
      <c r="T4583">
        <v>571441</v>
      </c>
      <c r="U4583">
        <v>36</v>
      </c>
      <c r="V4583">
        <v>64</v>
      </c>
      <c r="W4583">
        <v>10.199999999999999</v>
      </c>
    </row>
    <row r="4584" spans="1:23" x14ac:dyDescent="0.25">
      <c r="A4584">
        <v>14</v>
      </c>
      <c r="B4584" t="s">
        <v>48</v>
      </c>
      <c r="C4584" s="1">
        <v>44587</v>
      </c>
      <c r="D4584" t="s">
        <v>71</v>
      </c>
      <c r="E4584">
        <v>0</v>
      </c>
      <c r="F4584">
        <v>31</v>
      </c>
      <c r="G4584" t="str">
        <f t="shared" si="79"/>
        <v>21-40</v>
      </c>
      <c r="H4584" t="s">
        <v>35</v>
      </c>
      <c r="I4584" t="s">
        <v>36</v>
      </c>
      <c r="J4584" t="s">
        <v>37</v>
      </c>
      <c r="K4584" t="s">
        <v>33</v>
      </c>
      <c r="L4584">
        <v>1</v>
      </c>
      <c r="M4584">
        <v>1</v>
      </c>
      <c r="N4584">
        <v>6.9</v>
      </c>
      <c r="O4584">
        <v>9.5</v>
      </c>
      <c r="P4584">
        <v>7</v>
      </c>
      <c r="Q4584">
        <v>7</v>
      </c>
      <c r="R4584">
        <v>847474</v>
      </c>
      <c r="S4584">
        <f>Table1[[#This Row],[Revenue]]-Table1[[#This Row],[Operating_Costs]]</f>
        <v>190204</v>
      </c>
      <c r="T4584">
        <v>657270</v>
      </c>
      <c r="U4584">
        <v>50</v>
      </c>
      <c r="V4584">
        <v>62</v>
      </c>
      <c r="W4584">
        <v>5.7</v>
      </c>
    </row>
    <row r="4585" spans="1:23" x14ac:dyDescent="0.25">
      <c r="A4585">
        <v>14</v>
      </c>
      <c r="B4585" t="s">
        <v>48</v>
      </c>
      <c r="C4585" s="1">
        <v>45049</v>
      </c>
      <c r="D4585" t="s">
        <v>71</v>
      </c>
      <c r="E4585">
        <v>0</v>
      </c>
      <c r="F4585">
        <v>28</v>
      </c>
      <c r="G4585" t="str">
        <f t="shared" si="79"/>
        <v>21-40</v>
      </c>
      <c r="H4585" t="s">
        <v>35</v>
      </c>
      <c r="I4585" t="s">
        <v>61</v>
      </c>
      <c r="J4585" t="s">
        <v>62</v>
      </c>
      <c r="K4585" t="s">
        <v>29</v>
      </c>
      <c r="L4585">
        <v>1</v>
      </c>
      <c r="M4585">
        <v>1</v>
      </c>
      <c r="N4585">
        <v>6.9</v>
      </c>
      <c r="O4585">
        <v>9.3000000000000007</v>
      </c>
      <c r="P4585">
        <v>3</v>
      </c>
      <c r="Q4585">
        <v>7</v>
      </c>
      <c r="R4585">
        <v>869874</v>
      </c>
      <c r="S4585">
        <f>Table1[[#This Row],[Revenue]]-Table1[[#This Row],[Operating_Costs]]</f>
        <v>305802</v>
      </c>
      <c r="T4585">
        <v>564072</v>
      </c>
      <c r="U4585">
        <v>33</v>
      </c>
      <c r="V4585">
        <v>61</v>
      </c>
      <c r="W4585">
        <v>6.2</v>
      </c>
    </row>
    <row r="4586" spans="1:23" x14ac:dyDescent="0.25">
      <c r="A4586">
        <v>14</v>
      </c>
      <c r="B4586" t="s">
        <v>48</v>
      </c>
      <c r="C4586" s="1">
        <v>45442</v>
      </c>
      <c r="D4586" t="s">
        <v>71</v>
      </c>
      <c r="E4586">
        <v>0</v>
      </c>
      <c r="F4586">
        <v>39</v>
      </c>
      <c r="G4586" t="str">
        <f t="shared" si="79"/>
        <v>21-40</v>
      </c>
      <c r="H4586" t="s">
        <v>35</v>
      </c>
      <c r="I4586" t="s">
        <v>61</v>
      </c>
      <c r="J4586" t="s">
        <v>62</v>
      </c>
      <c r="K4586" t="s">
        <v>38</v>
      </c>
      <c r="L4586">
        <v>1</v>
      </c>
      <c r="M4586">
        <v>1</v>
      </c>
      <c r="N4586">
        <v>4.3</v>
      </c>
      <c r="O4586">
        <v>8.8000000000000007</v>
      </c>
      <c r="P4586">
        <v>3</v>
      </c>
      <c r="Q4586">
        <v>7</v>
      </c>
      <c r="R4586">
        <v>787243</v>
      </c>
      <c r="S4586">
        <f>Table1[[#This Row],[Revenue]]-Table1[[#This Row],[Operating_Costs]]</f>
        <v>178183</v>
      </c>
      <c r="T4586">
        <v>609060</v>
      </c>
      <c r="U4586">
        <v>39</v>
      </c>
      <c r="V4586">
        <v>57</v>
      </c>
      <c r="W4586">
        <v>12.3</v>
      </c>
    </row>
    <row r="4587" spans="1:23" x14ac:dyDescent="0.25">
      <c r="A4587">
        <v>14</v>
      </c>
      <c r="B4587" t="s">
        <v>48</v>
      </c>
      <c r="C4587" s="1">
        <v>44524</v>
      </c>
      <c r="D4587" t="s">
        <v>71</v>
      </c>
      <c r="E4587">
        <v>0</v>
      </c>
      <c r="F4587">
        <v>29</v>
      </c>
      <c r="G4587" t="str">
        <f t="shared" si="79"/>
        <v>21-40</v>
      </c>
      <c r="H4587" t="s">
        <v>23</v>
      </c>
      <c r="I4587" t="s">
        <v>50</v>
      </c>
      <c r="J4587" t="s">
        <v>51</v>
      </c>
      <c r="K4587" t="s">
        <v>33</v>
      </c>
      <c r="L4587">
        <v>1</v>
      </c>
      <c r="M4587">
        <v>1</v>
      </c>
      <c r="N4587">
        <v>4.9000000000000004</v>
      </c>
      <c r="O4587">
        <v>9.5</v>
      </c>
      <c r="P4587">
        <v>5</v>
      </c>
      <c r="Q4587">
        <v>5</v>
      </c>
      <c r="R4587">
        <v>719928</v>
      </c>
      <c r="S4587">
        <f>Table1[[#This Row],[Revenue]]-Table1[[#This Row],[Operating_Costs]]</f>
        <v>48694</v>
      </c>
      <c r="T4587">
        <v>671234</v>
      </c>
      <c r="U4587">
        <v>32</v>
      </c>
      <c r="V4587">
        <v>61</v>
      </c>
      <c r="W4587">
        <v>14.4</v>
      </c>
    </row>
    <row r="4588" spans="1:23" x14ac:dyDescent="0.25">
      <c r="A4588">
        <v>14</v>
      </c>
      <c r="B4588" t="s">
        <v>48</v>
      </c>
      <c r="C4588" s="1">
        <v>44920</v>
      </c>
      <c r="D4588" t="s">
        <v>71</v>
      </c>
      <c r="E4588">
        <v>0</v>
      </c>
      <c r="F4588">
        <v>89</v>
      </c>
      <c r="G4588" t="str">
        <f t="shared" si="79"/>
        <v>81+</v>
      </c>
      <c r="H4588" t="s">
        <v>35</v>
      </c>
      <c r="I4588" t="s">
        <v>50</v>
      </c>
      <c r="J4588" t="s">
        <v>51</v>
      </c>
      <c r="K4588" t="s">
        <v>38</v>
      </c>
      <c r="L4588">
        <v>1</v>
      </c>
      <c r="M4588">
        <v>1</v>
      </c>
      <c r="N4588">
        <v>3</v>
      </c>
      <c r="O4588">
        <v>7.8</v>
      </c>
      <c r="P4588">
        <v>7</v>
      </c>
      <c r="Q4588">
        <v>4</v>
      </c>
      <c r="R4588">
        <v>754402</v>
      </c>
      <c r="S4588">
        <f>Table1[[#This Row],[Revenue]]-Table1[[#This Row],[Operating_Costs]]</f>
        <v>205175</v>
      </c>
      <c r="T4588">
        <v>549227</v>
      </c>
      <c r="U4588">
        <v>31</v>
      </c>
      <c r="V4588">
        <v>55</v>
      </c>
      <c r="W4588">
        <v>6.2</v>
      </c>
    </row>
    <row r="4589" spans="1:23" x14ac:dyDescent="0.25">
      <c r="A4589">
        <v>14</v>
      </c>
      <c r="B4589" t="s">
        <v>48</v>
      </c>
      <c r="C4589" s="1">
        <v>44818</v>
      </c>
      <c r="D4589" t="s">
        <v>71</v>
      </c>
      <c r="E4589">
        <v>0</v>
      </c>
      <c r="F4589">
        <v>33</v>
      </c>
      <c r="G4589" t="str">
        <f t="shared" si="79"/>
        <v>21-40</v>
      </c>
      <c r="H4589" t="s">
        <v>35</v>
      </c>
      <c r="I4589" t="s">
        <v>60</v>
      </c>
      <c r="J4589" t="s">
        <v>59</v>
      </c>
      <c r="K4589" t="s">
        <v>29</v>
      </c>
      <c r="L4589">
        <v>1</v>
      </c>
      <c r="M4589">
        <v>1</v>
      </c>
      <c r="N4589">
        <v>2.5</v>
      </c>
      <c r="O4589">
        <v>7.7</v>
      </c>
      <c r="P4589">
        <v>7</v>
      </c>
      <c r="Q4589">
        <v>6</v>
      </c>
      <c r="R4589">
        <v>816573</v>
      </c>
      <c r="S4589">
        <f>Table1[[#This Row],[Revenue]]-Table1[[#This Row],[Operating_Costs]]</f>
        <v>237712</v>
      </c>
      <c r="T4589">
        <v>578861</v>
      </c>
      <c r="U4589">
        <v>36</v>
      </c>
      <c r="V4589">
        <v>61</v>
      </c>
      <c r="W4589">
        <v>12.4</v>
      </c>
    </row>
    <row r="4590" spans="1:23" x14ac:dyDescent="0.25">
      <c r="A4590">
        <v>14</v>
      </c>
      <c r="B4590" t="s">
        <v>48</v>
      </c>
      <c r="C4590" s="1">
        <v>45422</v>
      </c>
      <c r="D4590" t="s">
        <v>71</v>
      </c>
      <c r="E4590">
        <v>0</v>
      </c>
      <c r="F4590">
        <v>80</v>
      </c>
      <c r="G4590" t="str">
        <f t="shared" si="79"/>
        <v>61-80</v>
      </c>
      <c r="H4590" t="s">
        <v>35</v>
      </c>
      <c r="I4590" t="s">
        <v>61</v>
      </c>
      <c r="J4590" t="s">
        <v>62</v>
      </c>
      <c r="K4590" t="s">
        <v>29</v>
      </c>
      <c r="L4590">
        <v>1</v>
      </c>
      <c r="M4590">
        <v>1</v>
      </c>
      <c r="N4590">
        <v>6.9</v>
      </c>
      <c r="O4590">
        <v>9.5</v>
      </c>
      <c r="P4590">
        <v>3</v>
      </c>
      <c r="Q4590">
        <v>5</v>
      </c>
      <c r="R4590">
        <v>717283</v>
      </c>
      <c r="S4590">
        <f>Table1[[#This Row],[Revenue]]-Table1[[#This Row],[Operating_Costs]]</f>
        <v>121066</v>
      </c>
      <c r="T4590">
        <v>596217</v>
      </c>
      <c r="U4590">
        <v>33</v>
      </c>
      <c r="V4590">
        <v>61</v>
      </c>
      <c r="W4590">
        <v>36</v>
      </c>
    </row>
    <row r="4591" spans="1:23" x14ac:dyDescent="0.25">
      <c r="A4591">
        <v>14</v>
      </c>
      <c r="B4591" t="s">
        <v>48</v>
      </c>
      <c r="C4591" s="1">
        <v>44791</v>
      </c>
      <c r="D4591" t="s">
        <v>71</v>
      </c>
      <c r="E4591">
        <v>0</v>
      </c>
      <c r="F4591">
        <v>56</v>
      </c>
      <c r="G4591" t="str">
        <f t="shared" si="79"/>
        <v>41-60</v>
      </c>
      <c r="H4591" t="s">
        <v>35</v>
      </c>
      <c r="I4591" t="s">
        <v>31</v>
      </c>
      <c r="J4591" t="s">
        <v>28</v>
      </c>
      <c r="K4591" t="s">
        <v>38</v>
      </c>
      <c r="L4591">
        <v>1</v>
      </c>
      <c r="M4591">
        <v>1</v>
      </c>
      <c r="N4591">
        <v>4.5999999999999996</v>
      </c>
      <c r="O4591">
        <v>7.9</v>
      </c>
      <c r="P4591">
        <v>4</v>
      </c>
      <c r="Q4591">
        <v>4</v>
      </c>
      <c r="R4591">
        <v>880639</v>
      </c>
      <c r="S4591">
        <f>Table1[[#This Row],[Revenue]]-Table1[[#This Row],[Operating_Costs]]</f>
        <v>260063</v>
      </c>
      <c r="T4591">
        <v>620576</v>
      </c>
      <c r="U4591">
        <v>40</v>
      </c>
      <c r="V4591">
        <v>64</v>
      </c>
      <c r="W4591">
        <v>8.6</v>
      </c>
    </row>
    <row r="4592" spans="1:23" x14ac:dyDescent="0.25">
      <c r="A4592">
        <v>14</v>
      </c>
      <c r="B4592" t="s">
        <v>48</v>
      </c>
      <c r="C4592" s="1">
        <v>45292</v>
      </c>
      <c r="D4592" t="s">
        <v>71</v>
      </c>
      <c r="E4592">
        <v>0</v>
      </c>
      <c r="F4592">
        <v>43</v>
      </c>
      <c r="G4592" t="str">
        <f t="shared" si="79"/>
        <v>41-60</v>
      </c>
      <c r="H4592" t="s">
        <v>23</v>
      </c>
      <c r="I4592" t="s">
        <v>43</v>
      </c>
      <c r="J4592" t="s">
        <v>25</v>
      </c>
      <c r="K4592" t="s">
        <v>33</v>
      </c>
      <c r="L4592">
        <v>1</v>
      </c>
      <c r="M4592">
        <v>1</v>
      </c>
      <c r="N4592">
        <v>3.3</v>
      </c>
      <c r="O4592">
        <v>7.8</v>
      </c>
      <c r="P4592">
        <v>3</v>
      </c>
      <c r="Q4592">
        <v>5</v>
      </c>
      <c r="R4592">
        <v>771823</v>
      </c>
      <c r="S4592">
        <f>Table1[[#This Row],[Revenue]]-Table1[[#This Row],[Operating_Costs]]</f>
        <v>209098</v>
      </c>
      <c r="T4592">
        <v>562725</v>
      </c>
      <c r="U4592">
        <v>49</v>
      </c>
      <c r="V4592">
        <v>59</v>
      </c>
      <c r="W4592">
        <v>5.8</v>
      </c>
    </row>
    <row r="4593" spans="1:23" x14ac:dyDescent="0.25">
      <c r="A4593">
        <v>14</v>
      </c>
      <c r="B4593" t="s">
        <v>48</v>
      </c>
      <c r="C4593" s="1">
        <v>44420</v>
      </c>
      <c r="D4593" t="s">
        <v>71</v>
      </c>
      <c r="E4593">
        <v>0</v>
      </c>
      <c r="F4593">
        <v>71</v>
      </c>
      <c r="G4593" t="str">
        <f t="shared" si="79"/>
        <v>61-80</v>
      </c>
      <c r="H4593" t="s">
        <v>35</v>
      </c>
      <c r="I4593" t="s">
        <v>36</v>
      </c>
      <c r="J4593" t="s">
        <v>37</v>
      </c>
      <c r="K4593" t="s">
        <v>33</v>
      </c>
      <c r="L4593">
        <v>1</v>
      </c>
      <c r="M4593">
        <v>1</v>
      </c>
      <c r="N4593">
        <v>1.2</v>
      </c>
      <c r="O4593">
        <v>8</v>
      </c>
      <c r="P4593">
        <v>5</v>
      </c>
      <c r="Q4593">
        <v>5</v>
      </c>
      <c r="R4593">
        <v>831085</v>
      </c>
      <c r="S4593">
        <f>Table1[[#This Row],[Revenue]]-Table1[[#This Row],[Operating_Costs]]</f>
        <v>264484</v>
      </c>
      <c r="T4593">
        <v>566601</v>
      </c>
      <c r="U4593">
        <v>43</v>
      </c>
      <c r="V4593">
        <v>65</v>
      </c>
      <c r="W4593">
        <v>5.2</v>
      </c>
    </row>
    <row r="4594" spans="1:23" x14ac:dyDescent="0.25">
      <c r="A4594">
        <v>14</v>
      </c>
      <c r="B4594" t="s">
        <v>48</v>
      </c>
      <c r="C4594" s="1">
        <v>44506</v>
      </c>
      <c r="D4594" t="s">
        <v>71</v>
      </c>
      <c r="E4594">
        <v>0</v>
      </c>
      <c r="F4594">
        <v>49</v>
      </c>
      <c r="G4594" t="str">
        <f t="shared" si="79"/>
        <v>41-60</v>
      </c>
      <c r="H4594" t="s">
        <v>23</v>
      </c>
      <c r="I4594" t="s">
        <v>61</v>
      </c>
      <c r="J4594" t="s">
        <v>62</v>
      </c>
      <c r="K4594" t="s">
        <v>42</v>
      </c>
      <c r="L4594">
        <v>1</v>
      </c>
      <c r="M4594">
        <v>1</v>
      </c>
      <c r="N4594">
        <v>3.9</v>
      </c>
      <c r="O4594">
        <v>7.1</v>
      </c>
      <c r="P4594">
        <v>4</v>
      </c>
      <c r="Q4594">
        <v>7</v>
      </c>
      <c r="R4594">
        <v>833159</v>
      </c>
      <c r="S4594">
        <f>Table1[[#This Row],[Revenue]]-Table1[[#This Row],[Operating_Costs]]</f>
        <v>189697</v>
      </c>
      <c r="T4594">
        <v>643462</v>
      </c>
      <c r="U4594">
        <v>34</v>
      </c>
      <c r="V4594">
        <v>63</v>
      </c>
      <c r="W4594">
        <v>9</v>
      </c>
    </row>
    <row r="4595" spans="1:23" x14ac:dyDescent="0.25">
      <c r="A4595">
        <v>14</v>
      </c>
      <c r="B4595" t="s">
        <v>48</v>
      </c>
      <c r="C4595" s="1">
        <v>44332</v>
      </c>
      <c r="D4595" t="s">
        <v>71</v>
      </c>
      <c r="E4595">
        <v>0</v>
      </c>
      <c r="F4595">
        <v>89</v>
      </c>
      <c r="G4595" t="str">
        <f t="shared" si="79"/>
        <v>81+</v>
      </c>
      <c r="H4595" t="s">
        <v>23</v>
      </c>
      <c r="I4595" t="s">
        <v>50</v>
      </c>
      <c r="J4595" t="s">
        <v>51</v>
      </c>
      <c r="K4595" t="s">
        <v>33</v>
      </c>
      <c r="L4595">
        <v>1</v>
      </c>
      <c r="M4595">
        <v>1</v>
      </c>
      <c r="N4595">
        <v>4</v>
      </c>
      <c r="O4595">
        <v>7.9</v>
      </c>
      <c r="P4595">
        <v>6</v>
      </c>
      <c r="Q4595">
        <v>3</v>
      </c>
      <c r="R4595">
        <v>843987</v>
      </c>
      <c r="S4595">
        <f>Table1[[#This Row],[Revenue]]-Table1[[#This Row],[Operating_Costs]]</f>
        <v>180509</v>
      </c>
      <c r="T4595">
        <v>663478</v>
      </c>
      <c r="U4595">
        <v>43</v>
      </c>
      <c r="V4595">
        <v>66</v>
      </c>
      <c r="W4595">
        <v>7.4</v>
      </c>
    </row>
    <row r="4596" spans="1:23" x14ac:dyDescent="0.25">
      <c r="A4596">
        <v>14</v>
      </c>
      <c r="B4596" t="s">
        <v>48</v>
      </c>
      <c r="C4596" s="1">
        <v>44554</v>
      </c>
      <c r="D4596" t="s">
        <v>71</v>
      </c>
      <c r="E4596">
        <v>0</v>
      </c>
      <c r="F4596">
        <v>34</v>
      </c>
      <c r="G4596" t="str">
        <f t="shared" si="79"/>
        <v>21-40</v>
      </c>
      <c r="H4596" t="s">
        <v>23</v>
      </c>
      <c r="I4596" t="s">
        <v>61</v>
      </c>
      <c r="J4596" t="s">
        <v>62</v>
      </c>
      <c r="K4596" t="s">
        <v>42</v>
      </c>
      <c r="L4596">
        <v>1</v>
      </c>
      <c r="M4596">
        <v>1</v>
      </c>
      <c r="N4596">
        <v>1.7</v>
      </c>
      <c r="O4596">
        <v>7.1</v>
      </c>
      <c r="P4596">
        <v>4</v>
      </c>
      <c r="Q4596">
        <v>7</v>
      </c>
      <c r="R4596">
        <v>773171</v>
      </c>
      <c r="S4596">
        <f>Table1[[#This Row],[Revenue]]-Table1[[#This Row],[Operating_Costs]]</f>
        <v>222441</v>
      </c>
      <c r="T4596">
        <v>550730</v>
      </c>
      <c r="U4596">
        <v>40</v>
      </c>
      <c r="V4596">
        <v>62</v>
      </c>
      <c r="W4596">
        <v>6.9</v>
      </c>
    </row>
    <row r="4597" spans="1:23" x14ac:dyDescent="0.25">
      <c r="A4597">
        <v>14</v>
      </c>
      <c r="B4597" t="s">
        <v>48</v>
      </c>
      <c r="C4597" s="1">
        <v>44850</v>
      </c>
      <c r="D4597" t="s">
        <v>71</v>
      </c>
      <c r="E4597">
        <v>0</v>
      </c>
      <c r="F4597">
        <v>27</v>
      </c>
      <c r="G4597" t="str">
        <f t="shared" si="79"/>
        <v>21-40</v>
      </c>
      <c r="H4597" t="s">
        <v>23</v>
      </c>
      <c r="I4597" t="s">
        <v>50</v>
      </c>
      <c r="J4597" t="s">
        <v>51</v>
      </c>
      <c r="K4597" t="s">
        <v>38</v>
      </c>
      <c r="L4597">
        <v>1</v>
      </c>
      <c r="M4597">
        <v>1</v>
      </c>
      <c r="N4597">
        <v>1.8</v>
      </c>
      <c r="O4597">
        <v>9.5</v>
      </c>
      <c r="P4597">
        <v>7</v>
      </c>
      <c r="Q4597">
        <v>6</v>
      </c>
      <c r="R4597">
        <v>897304</v>
      </c>
      <c r="S4597">
        <f>Table1[[#This Row],[Revenue]]-Table1[[#This Row],[Operating_Costs]]</f>
        <v>290811</v>
      </c>
      <c r="T4597">
        <v>606493</v>
      </c>
      <c r="U4597">
        <v>47</v>
      </c>
      <c r="V4597">
        <v>58</v>
      </c>
      <c r="W4597">
        <v>36.299999999999997</v>
      </c>
    </row>
    <row r="4598" spans="1:23" x14ac:dyDescent="0.25">
      <c r="A4598">
        <v>14</v>
      </c>
      <c r="B4598" t="s">
        <v>48</v>
      </c>
      <c r="C4598" s="1">
        <v>44679</v>
      </c>
      <c r="D4598" t="s">
        <v>71</v>
      </c>
      <c r="E4598">
        <v>0</v>
      </c>
      <c r="F4598">
        <v>49</v>
      </c>
      <c r="G4598" t="str">
        <f t="shared" si="79"/>
        <v>41-60</v>
      </c>
      <c r="H4598" t="s">
        <v>23</v>
      </c>
      <c r="I4598" t="s">
        <v>50</v>
      </c>
      <c r="J4598" t="s">
        <v>51</v>
      </c>
      <c r="K4598" t="s">
        <v>42</v>
      </c>
      <c r="L4598">
        <v>1</v>
      </c>
      <c r="M4598">
        <v>1</v>
      </c>
      <c r="N4598">
        <v>2.5</v>
      </c>
      <c r="O4598">
        <v>7.3</v>
      </c>
      <c r="P4598">
        <v>4</v>
      </c>
      <c r="Q4598">
        <v>3</v>
      </c>
      <c r="R4598">
        <v>736917</v>
      </c>
      <c r="S4598">
        <f>Table1[[#This Row],[Revenue]]-Table1[[#This Row],[Operating_Costs]]</f>
        <v>106696</v>
      </c>
      <c r="T4598">
        <v>630221</v>
      </c>
      <c r="U4598">
        <v>37</v>
      </c>
      <c r="V4598">
        <v>66</v>
      </c>
      <c r="W4598">
        <v>36.799999999999997</v>
      </c>
    </row>
    <row r="4599" spans="1:23" x14ac:dyDescent="0.25">
      <c r="A4599">
        <v>14</v>
      </c>
      <c r="B4599" t="s">
        <v>48</v>
      </c>
      <c r="C4599" s="1">
        <v>45393</v>
      </c>
      <c r="D4599" t="s">
        <v>71</v>
      </c>
      <c r="E4599">
        <v>0</v>
      </c>
      <c r="F4599">
        <v>77</v>
      </c>
      <c r="G4599" t="str">
        <f t="shared" si="79"/>
        <v>61-80</v>
      </c>
      <c r="H4599" t="s">
        <v>35</v>
      </c>
      <c r="I4599" t="s">
        <v>58</v>
      </c>
      <c r="J4599" t="s">
        <v>59</v>
      </c>
      <c r="K4599" t="s">
        <v>26</v>
      </c>
      <c r="L4599">
        <v>1</v>
      </c>
      <c r="M4599">
        <v>1</v>
      </c>
      <c r="N4599">
        <v>6.1</v>
      </c>
      <c r="O4599">
        <v>8.6</v>
      </c>
      <c r="P4599">
        <v>6</v>
      </c>
      <c r="Q4599">
        <v>4</v>
      </c>
      <c r="R4599">
        <v>835821</v>
      </c>
      <c r="S4599">
        <f>Table1[[#This Row],[Revenue]]-Table1[[#This Row],[Operating_Costs]]</f>
        <v>172808</v>
      </c>
      <c r="T4599">
        <v>663013</v>
      </c>
      <c r="U4599">
        <v>50</v>
      </c>
      <c r="V4599">
        <v>60</v>
      </c>
      <c r="W4599">
        <v>5.9</v>
      </c>
    </row>
    <row r="4600" spans="1:23" x14ac:dyDescent="0.25">
      <c r="A4600">
        <v>14</v>
      </c>
      <c r="B4600" t="s">
        <v>48</v>
      </c>
      <c r="C4600" s="1">
        <v>44214</v>
      </c>
      <c r="D4600" t="s">
        <v>71</v>
      </c>
      <c r="E4600">
        <v>0</v>
      </c>
      <c r="F4600">
        <v>45</v>
      </c>
      <c r="G4600" t="str">
        <f t="shared" si="79"/>
        <v>41-60</v>
      </c>
      <c r="H4600" t="s">
        <v>23</v>
      </c>
      <c r="I4600" t="s">
        <v>55</v>
      </c>
      <c r="J4600" t="s">
        <v>56</v>
      </c>
      <c r="K4600" t="s">
        <v>29</v>
      </c>
      <c r="L4600">
        <v>1</v>
      </c>
      <c r="M4600">
        <v>1</v>
      </c>
      <c r="N4600">
        <v>6.6</v>
      </c>
      <c r="O4600">
        <v>8.6</v>
      </c>
      <c r="P4600">
        <v>6</v>
      </c>
      <c r="Q4600">
        <v>4</v>
      </c>
      <c r="R4600">
        <v>766734</v>
      </c>
      <c r="S4600">
        <f>Table1[[#This Row],[Revenue]]-Table1[[#This Row],[Operating_Costs]]</f>
        <v>73603</v>
      </c>
      <c r="T4600">
        <v>693131</v>
      </c>
      <c r="U4600">
        <v>48</v>
      </c>
      <c r="V4600">
        <v>60</v>
      </c>
      <c r="W4600">
        <v>10.9</v>
      </c>
    </row>
    <row r="4601" spans="1:23" x14ac:dyDescent="0.25">
      <c r="A4601">
        <v>14</v>
      </c>
      <c r="B4601" t="s">
        <v>48</v>
      </c>
      <c r="C4601" s="1">
        <v>44710</v>
      </c>
      <c r="D4601" t="s">
        <v>71</v>
      </c>
      <c r="E4601">
        <v>0</v>
      </c>
      <c r="F4601">
        <v>49</v>
      </c>
      <c r="G4601" t="str">
        <f t="shared" si="79"/>
        <v>41-60</v>
      </c>
      <c r="H4601" t="s">
        <v>23</v>
      </c>
      <c r="I4601" t="s">
        <v>40</v>
      </c>
      <c r="J4601" t="s">
        <v>41</v>
      </c>
      <c r="K4601" t="s">
        <v>29</v>
      </c>
      <c r="L4601">
        <v>1</v>
      </c>
      <c r="M4601">
        <v>1</v>
      </c>
      <c r="N4601">
        <v>1.7</v>
      </c>
      <c r="O4601">
        <v>8.4</v>
      </c>
      <c r="P4601">
        <v>5</v>
      </c>
      <c r="Q4601">
        <v>7</v>
      </c>
      <c r="R4601">
        <v>861448</v>
      </c>
      <c r="S4601">
        <f>Table1[[#This Row],[Revenue]]-Table1[[#This Row],[Operating_Costs]]</f>
        <v>221429</v>
      </c>
      <c r="T4601">
        <v>640019</v>
      </c>
      <c r="U4601">
        <v>30</v>
      </c>
      <c r="V4601">
        <v>66</v>
      </c>
      <c r="W4601">
        <v>12.1</v>
      </c>
    </row>
    <row r="4602" spans="1:23" x14ac:dyDescent="0.25">
      <c r="A4602">
        <v>14</v>
      </c>
      <c r="B4602" t="s">
        <v>48</v>
      </c>
      <c r="C4602" s="1">
        <v>44648</v>
      </c>
      <c r="D4602" t="s">
        <v>71</v>
      </c>
      <c r="E4602">
        <v>0</v>
      </c>
      <c r="F4602">
        <v>71</v>
      </c>
      <c r="G4602" t="str">
        <f t="shared" si="79"/>
        <v>61-80</v>
      </c>
      <c r="H4602" t="s">
        <v>23</v>
      </c>
      <c r="I4602" t="s">
        <v>50</v>
      </c>
      <c r="J4602" t="s">
        <v>51</v>
      </c>
      <c r="K4602" t="s">
        <v>33</v>
      </c>
      <c r="L4602">
        <v>1</v>
      </c>
      <c r="M4602">
        <v>1</v>
      </c>
      <c r="N4602">
        <v>5.7</v>
      </c>
      <c r="O4602">
        <v>8.1999999999999993</v>
      </c>
      <c r="P4602">
        <v>5</v>
      </c>
      <c r="Q4602">
        <v>7</v>
      </c>
      <c r="R4602">
        <v>878894</v>
      </c>
      <c r="S4602">
        <f>Table1[[#This Row],[Revenue]]-Table1[[#This Row],[Operating_Costs]]</f>
        <v>299334</v>
      </c>
      <c r="T4602">
        <v>579560</v>
      </c>
      <c r="U4602">
        <v>32</v>
      </c>
      <c r="V4602">
        <v>63</v>
      </c>
      <c r="W4602">
        <v>7.6</v>
      </c>
    </row>
    <row r="4603" spans="1:23" x14ac:dyDescent="0.25">
      <c r="A4603">
        <v>14</v>
      </c>
      <c r="B4603" t="s">
        <v>48</v>
      </c>
      <c r="C4603" s="1">
        <v>44401</v>
      </c>
      <c r="D4603" t="s">
        <v>71</v>
      </c>
      <c r="E4603">
        <v>0</v>
      </c>
      <c r="F4603">
        <v>39</v>
      </c>
      <c r="G4603" t="str">
        <f t="shared" si="79"/>
        <v>21-40</v>
      </c>
      <c r="H4603" t="s">
        <v>23</v>
      </c>
      <c r="I4603" t="s">
        <v>43</v>
      </c>
      <c r="J4603" t="s">
        <v>25</v>
      </c>
      <c r="K4603" t="s">
        <v>42</v>
      </c>
      <c r="L4603">
        <v>1</v>
      </c>
      <c r="M4603">
        <v>1</v>
      </c>
      <c r="N4603">
        <v>2.5</v>
      </c>
      <c r="O4603">
        <v>8.1</v>
      </c>
      <c r="P4603">
        <v>6</v>
      </c>
      <c r="Q4603">
        <v>5</v>
      </c>
      <c r="R4603">
        <v>872571</v>
      </c>
      <c r="S4603">
        <f>Table1[[#This Row],[Revenue]]-Table1[[#This Row],[Operating_Costs]]</f>
        <v>227774</v>
      </c>
      <c r="T4603">
        <v>644797</v>
      </c>
      <c r="U4603">
        <v>40</v>
      </c>
      <c r="V4603">
        <v>59</v>
      </c>
      <c r="W4603">
        <v>6.2</v>
      </c>
    </row>
    <row r="4604" spans="1:23" x14ac:dyDescent="0.25">
      <c r="A4604">
        <v>14</v>
      </c>
      <c r="B4604" t="s">
        <v>48</v>
      </c>
      <c r="C4604" s="1">
        <v>45094</v>
      </c>
      <c r="D4604" t="s">
        <v>71</v>
      </c>
      <c r="E4604">
        <v>0</v>
      </c>
      <c r="F4604">
        <v>72</v>
      </c>
      <c r="G4604" t="str">
        <f t="shared" si="79"/>
        <v>61-80</v>
      </c>
      <c r="H4604" t="s">
        <v>23</v>
      </c>
      <c r="I4604" t="s">
        <v>50</v>
      </c>
      <c r="J4604" t="s">
        <v>51</v>
      </c>
      <c r="K4604" t="s">
        <v>38</v>
      </c>
      <c r="L4604">
        <v>1</v>
      </c>
      <c r="M4604">
        <v>1</v>
      </c>
      <c r="N4604">
        <v>1.2</v>
      </c>
      <c r="O4604">
        <v>9.3000000000000007</v>
      </c>
      <c r="P4604">
        <v>4</v>
      </c>
      <c r="Q4604">
        <v>4</v>
      </c>
      <c r="R4604">
        <v>724404</v>
      </c>
      <c r="S4604">
        <f>Table1[[#This Row],[Revenue]]-Table1[[#This Row],[Operating_Costs]]</f>
        <v>123668</v>
      </c>
      <c r="T4604">
        <v>600736</v>
      </c>
      <c r="U4604">
        <v>43</v>
      </c>
      <c r="V4604">
        <v>61</v>
      </c>
      <c r="W4604">
        <v>14.4</v>
      </c>
    </row>
    <row r="4605" spans="1:23" x14ac:dyDescent="0.25">
      <c r="A4605">
        <v>14</v>
      </c>
      <c r="B4605" t="s">
        <v>48</v>
      </c>
      <c r="C4605" s="1">
        <v>45602</v>
      </c>
      <c r="D4605" t="s">
        <v>71</v>
      </c>
      <c r="E4605">
        <v>0</v>
      </c>
      <c r="F4605">
        <v>28</v>
      </c>
      <c r="G4605" t="str">
        <f t="shared" si="79"/>
        <v>21-40</v>
      </c>
      <c r="H4605" t="s">
        <v>23</v>
      </c>
      <c r="I4605" t="s">
        <v>27</v>
      </c>
      <c r="J4605" t="s">
        <v>28</v>
      </c>
      <c r="K4605" t="s">
        <v>29</v>
      </c>
      <c r="L4605">
        <v>1</v>
      </c>
      <c r="M4605">
        <v>1</v>
      </c>
      <c r="N4605">
        <v>4.5</v>
      </c>
      <c r="O4605">
        <v>7.7</v>
      </c>
      <c r="P4605">
        <v>7</v>
      </c>
      <c r="Q4605">
        <v>5</v>
      </c>
      <c r="R4605">
        <v>770941</v>
      </c>
      <c r="S4605">
        <f>Table1[[#This Row],[Revenue]]-Table1[[#This Row],[Operating_Costs]]</f>
        <v>101637</v>
      </c>
      <c r="T4605">
        <v>669304</v>
      </c>
      <c r="U4605">
        <v>32</v>
      </c>
      <c r="V4605">
        <v>66</v>
      </c>
      <c r="W4605">
        <v>36.1</v>
      </c>
    </row>
    <row r="4606" spans="1:23" x14ac:dyDescent="0.25">
      <c r="A4606">
        <v>14</v>
      </c>
      <c r="B4606" t="s">
        <v>48</v>
      </c>
      <c r="C4606" s="1">
        <v>44714</v>
      </c>
      <c r="D4606" t="s">
        <v>71</v>
      </c>
      <c r="E4606">
        <v>0</v>
      </c>
      <c r="F4606">
        <v>72</v>
      </c>
      <c r="G4606" t="str">
        <f t="shared" si="79"/>
        <v>61-80</v>
      </c>
      <c r="H4606" t="s">
        <v>23</v>
      </c>
      <c r="I4606" t="s">
        <v>31</v>
      </c>
      <c r="J4606" t="s">
        <v>28</v>
      </c>
      <c r="K4606" t="s">
        <v>38</v>
      </c>
      <c r="L4606">
        <v>1</v>
      </c>
      <c r="M4606">
        <v>1</v>
      </c>
      <c r="N4606">
        <v>4.9000000000000004</v>
      </c>
      <c r="O4606">
        <v>9.8000000000000007</v>
      </c>
      <c r="P4606">
        <v>6</v>
      </c>
      <c r="Q4606">
        <v>3</v>
      </c>
      <c r="R4606">
        <v>870960</v>
      </c>
      <c r="S4606">
        <f>Table1[[#This Row],[Revenue]]-Table1[[#This Row],[Operating_Costs]]</f>
        <v>289675</v>
      </c>
      <c r="T4606">
        <v>581285</v>
      </c>
      <c r="U4606">
        <v>48</v>
      </c>
      <c r="V4606">
        <v>59</v>
      </c>
      <c r="W4606">
        <v>10.6</v>
      </c>
    </row>
    <row r="4607" spans="1:23" x14ac:dyDescent="0.25">
      <c r="A4607">
        <v>14</v>
      </c>
      <c r="B4607" t="s">
        <v>48</v>
      </c>
      <c r="C4607" s="1">
        <v>45092</v>
      </c>
      <c r="D4607" t="s">
        <v>71</v>
      </c>
      <c r="E4607">
        <v>0</v>
      </c>
      <c r="F4607">
        <v>47</v>
      </c>
      <c r="G4607" t="str">
        <f t="shared" si="79"/>
        <v>41-60</v>
      </c>
      <c r="H4607" t="s">
        <v>23</v>
      </c>
      <c r="I4607" t="s">
        <v>55</v>
      </c>
      <c r="J4607" t="s">
        <v>56</v>
      </c>
      <c r="K4607" t="s">
        <v>38</v>
      </c>
      <c r="L4607">
        <v>1</v>
      </c>
      <c r="M4607">
        <v>1</v>
      </c>
      <c r="N4607">
        <v>4.7</v>
      </c>
      <c r="O4607">
        <v>7.9</v>
      </c>
      <c r="P4607">
        <v>7</v>
      </c>
      <c r="Q4607">
        <v>6</v>
      </c>
      <c r="R4607">
        <v>724138</v>
      </c>
      <c r="S4607">
        <f>Table1[[#This Row],[Revenue]]-Table1[[#This Row],[Operating_Costs]]</f>
        <v>91434</v>
      </c>
      <c r="T4607">
        <v>632704</v>
      </c>
      <c r="U4607">
        <v>36</v>
      </c>
      <c r="V4607">
        <v>58</v>
      </c>
      <c r="W4607">
        <v>36.4</v>
      </c>
    </row>
    <row r="4608" spans="1:23" x14ac:dyDescent="0.25">
      <c r="A4608">
        <v>14</v>
      </c>
      <c r="B4608" t="s">
        <v>48</v>
      </c>
      <c r="C4608" s="1">
        <v>44559</v>
      </c>
      <c r="D4608" t="s">
        <v>71</v>
      </c>
      <c r="E4608">
        <v>0</v>
      </c>
      <c r="F4608">
        <v>33</v>
      </c>
      <c r="G4608" t="str">
        <f t="shared" si="79"/>
        <v>21-40</v>
      </c>
      <c r="H4608" t="s">
        <v>23</v>
      </c>
      <c r="I4608" t="s">
        <v>58</v>
      </c>
      <c r="J4608" t="s">
        <v>59</v>
      </c>
      <c r="K4608" t="s">
        <v>26</v>
      </c>
      <c r="L4608">
        <v>1</v>
      </c>
      <c r="M4608">
        <v>1</v>
      </c>
      <c r="N4608">
        <v>6.9</v>
      </c>
      <c r="O4608">
        <v>7.7</v>
      </c>
      <c r="P4608">
        <v>5</v>
      </c>
      <c r="Q4608">
        <v>4</v>
      </c>
      <c r="R4608">
        <v>812675</v>
      </c>
      <c r="S4608">
        <f>Table1[[#This Row],[Revenue]]-Table1[[#This Row],[Operating_Costs]]</f>
        <v>187783</v>
      </c>
      <c r="T4608">
        <v>624892</v>
      </c>
      <c r="U4608">
        <v>50</v>
      </c>
      <c r="V4608">
        <v>58</v>
      </c>
      <c r="W4608">
        <v>9.1999999999999993</v>
      </c>
    </row>
    <row r="4609" spans="1:23" x14ac:dyDescent="0.25">
      <c r="A4609">
        <v>14</v>
      </c>
      <c r="B4609" t="s">
        <v>48</v>
      </c>
      <c r="C4609" s="1">
        <v>44543</v>
      </c>
      <c r="D4609" t="s">
        <v>71</v>
      </c>
      <c r="E4609">
        <v>0</v>
      </c>
      <c r="F4609">
        <v>41</v>
      </c>
      <c r="G4609" t="str">
        <f t="shared" si="79"/>
        <v>41-60</v>
      </c>
      <c r="H4609" t="s">
        <v>23</v>
      </c>
      <c r="I4609" t="s">
        <v>24</v>
      </c>
      <c r="J4609" t="s">
        <v>25</v>
      </c>
      <c r="K4609" t="s">
        <v>26</v>
      </c>
      <c r="L4609">
        <v>1</v>
      </c>
      <c r="M4609">
        <v>1</v>
      </c>
      <c r="N4609">
        <v>3.8</v>
      </c>
      <c r="O4609">
        <v>8.3000000000000007</v>
      </c>
      <c r="P4609">
        <v>5</v>
      </c>
      <c r="Q4609">
        <v>4</v>
      </c>
      <c r="R4609">
        <v>822359</v>
      </c>
      <c r="S4609">
        <f>Table1[[#This Row],[Revenue]]-Table1[[#This Row],[Operating_Costs]]</f>
        <v>226250</v>
      </c>
      <c r="T4609">
        <v>596109</v>
      </c>
      <c r="U4609">
        <v>42</v>
      </c>
      <c r="V4609">
        <v>54</v>
      </c>
      <c r="W4609">
        <v>5.0999999999999996</v>
      </c>
    </row>
    <row r="4610" spans="1:23" x14ac:dyDescent="0.25">
      <c r="A4610">
        <v>14</v>
      </c>
      <c r="B4610" t="s">
        <v>48</v>
      </c>
      <c r="C4610" s="1">
        <v>45604</v>
      </c>
      <c r="D4610" t="s">
        <v>71</v>
      </c>
      <c r="E4610">
        <v>0</v>
      </c>
      <c r="F4610">
        <v>23</v>
      </c>
      <c r="G4610" t="str">
        <f t="shared" si="79"/>
        <v>21-40</v>
      </c>
      <c r="H4610" t="s">
        <v>35</v>
      </c>
      <c r="I4610" t="s">
        <v>40</v>
      </c>
      <c r="J4610" t="s">
        <v>41</v>
      </c>
      <c r="K4610" t="s">
        <v>33</v>
      </c>
      <c r="L4610">
        <v>1</v>
      </c>
      <c r="M4610">
        <v>1</v>
      </c>
      <c r="N4610">
        <v>3.6</v>
      </c>
      <c r="O4610">
        <v>8.5</v>
      </c>
      <c r="P4610">
        <v>3</v>
      </c>
      <c r="Q4610">
        <v>3</v>
      </c>
      <c r="R4610">
        <v>883823</v>
      </c>
      <c r="S4610">
        <f>Table1[[#This Row],[Revenue]]-Table1[[#This Row],[Operating_Costs]]</f>
        <v>326753</v>
      </c>
      <c r="T4610">
        <v>557070</v>
      </c>
      <c r="U4610">
        <v>45</v>
      </c>
      <c r="V4610">
        <v>54</v>
      </c>
      <c r="W4610">
        <v>10</v>
      </c>
    </row>
    <row r="4611" spans="1:23" x14ac:dyDescent="0.25">
      <c r="A4611">
        <v>14</v>
      </c>
      <c r="B4611" t="s">
        <v>48</v>
      </c>
      <c r="C4611" s="1">
        <v>44274</v>
      </c>
      <c r="D4611" t="s">
        <v>71</v>
      </c>
      <c r="E4611">
        <v>0</v>
      </c>
      <c r="F4611">
        <v>21</v>
      </c>
      <c r="G4611" t="str">
        <f t="shared" ref="G4611:G4674" si="80">IF(F4611&lt;=20,"0-20",IF(F4611&lt;=40,"21-40",IF(F4611&lt;=60,"41-60",IF(F4611&lt;=80,"61-80","81+"))))</f>
        <v>21-40</v>
      </c>
      <c r="H4611" t="s">
        <v>23</v>
      </c>
      <c r="I4611" t="s">
        <v>50</v>
      </c>
      <c r="J4611" t="s">
        <v>51</v>
      </c>
      <c r="K4611" t="s">
        <v>26</v>
      </c>
      <c r="L4611">
        <v>1</v>
      </c>
      <c r="M4611">
        <v>1</v>
      </c>
      <c r="N4611">
        <v>3.5</v>
      </c>
      <c r="O4611">
        <v>8.6999999999999993</v>
      </c>
      <c r="P4611">
        <v>6</v>
      </c>
      <c r="Q4611">
        <v>3</v>
      </c>
      <c r="R4611">
        <v>790968</v>
      </c>
      <c r="S4611">
        <f>Table1[[#This Row],[Revenue]]-Table1[[#This Row],[Operating_Costs]]</f>
        <v>216061</v>
      </c>
      <c r="T4611">
        <v>574907</v>
      </c>
      <c r="U4611">
        <v>33</v>
      </c>
      <c r="V4611">
        <v>57</v>
      </c>
      <c r="W4611">
        <v>8.1999999999999993</v>
      </c>
    </row>
    <row r="4612" spans="1:23" x14ac:dyDescent="0.25">
      <c r="A4612">
        <v>14</v>
      </c>
      <c r="B4612" t="s">
        <v>48</v>
      </c>
      <c r="C4612" s="1">
        <v>44593</v>
      </c>
      <c r="D4612" t="s">
        <v>71</v>
      </c>
      <c r="E4612">
        <v>0</v>
      </c>
      <c r="F4612">
        <v>23</v>
      </c>
      <c r="G4612" t="str">
        <f t="shared" si="80"/>
        <v>21-40</v>
      </c>
      <c r="H4612" t="s">
        <v>35</v>
      </c>
      <c r="I4612" t="s">
        <v>36</v>
      </c>
      <c r="J4612" t="s">
        <v>37</v>
      </c>
      <c r="K4612" t="s">
        <v>26</v>
      </c>
      <c r="L4612">
        <v>1</v>
      </c>
      <c r="M4612">
        <v>1</v>
      </c>
      <c r="N4612">
        <v>4.9000000000000004</v>
      </c>
      <c r="O4612">
        <v>8.4</v>
      </c>
      <c r="P4612">
        <v>6</v>
      </c>
      <c r="Q4612">
        <v>3</v>
      </c>
      <c r="R4612">
        <v>770570</v>
      </c>
      <c r="S4612">
        <f>Table1[[#This Row],[Revenue]]-Table1[[#This Row],[Operating_Costs]]</f>
        <v>168269</v>
      </c>
      <c r="T4612">
        <v>602301</v>
      </c>
      <c r="U4612">
        <v>34</v>
      </c>
      <c r="V4612">
        <v>55</v>
      </c>
      <c r="W4612">
        <v>13.8</v>
      </c>
    </row>
    <row r="4613" spans="1:23" x14ac:dyDescent="0.25">
      <c r="A4613">
        <v>14</v>
      </c>
      <c r="B4613" t="s">
        <v>48</v>
      </c>
      <c r="C4613" s="1">
        <v>45142</v>
      </c>
      <c r="D4613" t="s">
        <v>71</v>
      </c>
      <c r="E4613">
        <v>0</v>
      </c>
      <c r="F4613">
        <v>86</v>
      </c>
      <c r="G4613" t="str">
        <f t="shared" si="80"/>
        <v>81+</v>
      </c>
      <c r="H4613" t="s">
        <v>35</v>
      </c>
      <c r="I4613" t="s">
        <v>61</v>
      </c>
      <c r="J4613" t="s">
        <v>62</v>
      </c>
      <c r="K4613" t="s">
        <v>33</v>
      </c>
      <c r="L4613">
        <v>1</v>
      </c>
      <c r="M4613">
        <v>1</v>
      </c>
      <c r="N4613">
        <v>6.1</v>
      </c>
      <c r="O4613">
        <v>7</v>
      </c>
      <c r="P4613">
        <v>4</v>
      </c>
      <c r="Q4613">
        <v>5</v>
      </c>
      <c r="R4613">
        <v>856912</v>
      </c>
      <c r="S4613">
        <f>Table1[[#This Row],[Revenue]]-Table1[[#This Row],[Operating_Costs]]</f>
        <v>227565</v>
      </c>
      <c r="T4613">
        <v>629347</v>
      </c>
      <c r="U4613">
        <v>30</v>
      </c>
      <c r="V4613">
        <v>55</v>
      </c>
      <c r="W4613">
        <v>13.6</v>
      </c>
    </row>
    <row r="4614" spans="1:23" x14ac:dyDescent="0.25">
      <c r="A4614">
        <v>14</v>
      </c>
      <c r="B4614" t="s">
        <v>48</v>
      </c>
      <c r="C4614" s="1">
        <v>45288</v>
      </c>
      <c r="D4614" t="s">
        <v>71</v>
      </c>
      <c r="E4614">
        <v>0</v>
      </c>
      <c r="F4614">
        <v>30</v>
      </c>
      <c r="G4614" t="str">
        <f t="shared" si="80"/>
        <v>21-40</v>
      </c>
      <c r="H4614" t="s">
        <v>23</v>
      </c>
      <c r="I4614" t="s">
        <v>24</v>
      </c>
      <c r="J4614" t="s">
        <v>25</v>
      </c>
      <c r="K4614" t="s">
        <v>38</v>
      </c>
      <c r="L4614">
        <v>1</v>
      </c>
      <c r="M4614">
        <v>1</v>
      </c>
      <c r="N4614">
        <v>5.9</v>
      </c>
      <c r="O4614">
        <v>7.7</v>
      </c>
      <c r="P4614">
        <v>3</v>
      </c>
      <c r="Q4614">
        <v>7</v>
      </c>
      <c r="R4614">
        <v>736801</v>
      </c>
      <c r="S4614">
        <f>Table1[[#This Row],[Revenue]]-Table1[[#This Row],[Operating_Costs]]</f>
        <v>173581</v>
      </c>
      <c r="T4614">
        <v>563220</v>
      </c>
      <c r="U4614">
        <v>49</v>
      </c>
      <c r="V4614">
        <v>55</v>
      </c>
      <c r="W4614">
        <v>5.4</v>
      </c>
    </row>
    <row r="4615" spans="1:23" x14ac:dyDescent="0.25">
      <c r="A4615">
        <v>14</v>
      </c>
      <c r="B4615" t="s">
        <v>48</v>
      </c>
      <c r="C4615" s="1">
        <v>44321</v>
      </c>
      <c r="D4615" t="s">
        <v>71</v>
      </c>
      <c r="E4615">
        <v>0</v>
      </c>
      <c r="F4615">
        <v>88</v>
      </c>
      <c r="G4615" t="str">
        <f t="shared" si="80"/>
        <v>81+</v>
      </c>
      <c r="H4615" t="s">
        <v>23</v>
      </c>
      <c r="I4615" t="s">
        <v>43</v>
      </c>
      <c r="J4615" t="s">
        <v>25</v>
      </c>
      <c r="K4615" t="s">
        <v>42</v>
      </c>
      <c r="L4615">
        <v>1</v>
      </c>
      <c r="M4615">
        <v>1</v>
      </c>
      <c r="N4615">
        <v>6.7</v>
      </c>
      <c r="O4615">
        <v>8.9</v>
      </c>
      <c r="P4615">
        <v>7</v>
      </c>
      <c r="Q4615">
        <v>5</v>
      </c>
      <c r="R4615">
        <v>833064</v>
      </c>
      <c r="S4615">
        <f>Table1[[#This Row],[Revenue]]-Table1[[#This Row],[Operating_Costs]]</f>
        <v>146211</v>
      </c>
      <c r="T4615">
        <v>686853</v>
      </c>
      <c r="U4615">
        <v>37</v>
      </c>
      <c r="V4615">
        <v>60</v>
      </c>
      <c r="W4615">
        <v>5.7</v>
      </c>
    </row>
    <row r="4616" spans="1:23" x14ac:dyDescent="0.25">
      <c r="A4616">
        <v>14</v>
      </c>
      <c r="B4616" t="s">
        <v>48</v>
      </c>
      <c r="C4616" s="1">
        <v>44644</v>
      </c>
      <c r="D4616" t="s">
        <v>71</v>
      </c>
      <c r="E4616">
        <v>0</v>
      </c>
      <c r="F4616">
        <v>69</v>
      </c>
      <c r="G4616" t="str">
        <f t="shared" si="80"/>
        <v>61-80</v>
      </c>
      <c r="H4616" t="s">
        <v>23</v>
      </c>
      <c r="I4616" t="s">
        <v>50</v>
      </c>
      <c r="J4616" t="s">
        <v>51</v>
      </c>
      <c r="K4616" t="s">
        <v>42</v>
      </c>
      <c r="L4616">
        <v>1</v>
      </c>
      <c r="M4616">
        <v>1</v>
      </c>
      <c r="N4616">
        <v>3.6</v>
      </c>
      <c r="O4616">
        <v>8.8000000000000007</v>
      </c>
      <c r="P4616">
        <v>7</v>
      </c>
      <c r="Q4616">
        <v>4</v>
      </c>
      <c r="R4616">
        <v>729542</v>
      </c>
      <c r="S4616">
        <f>Table1[[#This Row],[Revenue]]-Table1[[#This Row],[Operating_Costs]]</f>
        <v>60686</v>
      </c>
      <c r="T4616">
        <v>668856</v>
      </c>
      <c r="U4616">
        <v>44</v>
      </c>
      <c r="V4616">
        <v>61</v>
      </c>
      <c r="W4616">
        <v>13</v>
      </c>
    </row>
    <row r="4617" spans="1:23" x14ac:dyDescent="0.25">
      <c r="A4617">
        <v>14</v>
      </c>
      <c r="B4617" t="s">
        <v>48</v>
      </c>
      <c r="C4617" s="1">
        <v>44949</v>
      </c>
      <c r="D4617" t="s">
        <v>71</v>
      </c>
      <c r="E4617">
        <v>0</v>
      </c>
      <c r="F4617">
        <v>25</v>
      </c>
      <c r="G4617" t="str">
        <f t="shared" si="80"/>
        <v>21-40</v>
      </c>
      <c r="H4617" t="s">
        <v>23</v>
      </c>
      <c r="I4617" t="s">
        <v>43</v>
      </c>
      <c r="J4617" t="s">
        <v>25</v>
      </c>
      <c r="K4617" t="s">
        <v>26</v>
      </c>
      <c r="L4617">
        <v>1</v>
      </c>
      <c r="M4617">
        <v>1</v>
      </c>
      <c r="N4617">
        <v>3.7</v>
      </c>
      <c r="O4617">
        <v>8.6</v>
      </c>
      <c r="P4617">
        <v>3</v>
      </c>
      <c r="Q4617">
        <v>3</v>
      </c>
      <c r="R4617">
        <v>843709</v>
      </c>
      <c r="S4617">
        <f>Table1[[#This Row],[Revenue]]-Table1[[#This Row],[Operating_Costs]]</f>
        <v>244940</v>
      </c>
      <c r="T4617">
        <v>598769</v>
      </c>
      <c r="U4617">
        <v>43</v>
      </c>
      <c r="V4617">
        <v>65</v>
      </c>
      <c r="W4617">
        <v>7.2</v>
      </c>
    </row>
    <row r="4618" spans="1:23" x14ac:dyDescent="0.25">
      <c r="A4618">
        <v>13</v>
      </c>
      <c r="B4618" t="s">
        <v>30</v>
      </c>
      <c r="C4618" s="1">
        <v>45451</v>
      </c>
      <c r="D4618" t="s">
        <v>71</v>
      </c>
      <c r="E4618">
        <v>0</v>
      </c>
      <c r="F4618">
        <v>65</v>
      </c>
      <c r="G4618" t="str">
        <f t="shared" si="80"/>
        <v>61-80</v>
      </c>
      <c r="H4618" t="s">
        <v>35</v>
      </c>
      <c r="I4618" t="s">
        <v>61</v>
      </c>
      <c r="J4618" t="s">
        <v>62</v>
      </c>
      <c r="K4618" t="s">
        <v>42</v>
      </c>
      <c r="L4618">
        <v>1</v>
      </c>
      <c r="M4618">
        <v>1</v>
      </c>
      <c r="N4618">
        <v>4.5</v>
      </c>
      <c r="O4618">
        <v>7.4</v>
      </c>
      <c r="P4618">
        <v>6</v>
      </c>
      <c r="Q4618">
        <v>6</v>
      </c>
      <c r="R4618">
        <v>457412</v>
      </c>
      <c r="S4618">
        <f>Table1[[#This Row],[Revenue]]-Table1[[#This Row],[Operating_Costs]]</f>
        <v>71956</v>
      </c>
      <c r="T4618">
        <v>385456</v>
      </c>
      <c r="U4618">
        <v>48</v>
      </c>
      <c r="V4618">
        <v>61</v>
      </c>
      <c r="W4618">
        <v>14.1</v>
      </c>
    </row>
    <row r="4619" spans="1:23" x14ac:dyDescent="0.25">
      <c r="A4619">
        <v>14</v>
      </c>
      <c r="B4619" t="s">
        <v>48</v>
      </c>
      <c r="C4619" s="1">
        <v>44205</v>
      </c>
      <c r="D4619" t="s">
        <v>71</v>
      </c>
      <c r="E4619">
        <v>0</v>
      </c>
      <c r="F4619">
        <v>37</v>
      </c>
      <c r="G4619" t="str">
        <f t="shared" si="80"/>
        <v>21-40</v>
      </c>
      <c r="H4619" t="s">
        <v>35</v>
      </c>
      <c r="I4619" t="s">
        <v>61</v>
      </c>
      <c r="J4619" t="s">
        <v>62</v>
      </c>
      <c r="K4619" t="s">
        <v>42</v>
      </c>
      <c r="L4619">
        <v>1</v>
      </c>
      <c r="M4619">
        <v>1</v>
      </c>
      <c r="N4619">
        <v>5.7</v>
      </c>
      <c r="O4619">
        <v>7.5</v>
      </c>
      <c r="P4619">
        <v>3</v>
      </c>
      <c r="Q4619">
        <v>5</v>
      </c>
      <c r="R4619">
        <v>882149</v>
      </c>
      <c r="S4619">
        <f>Table1[[#This Row],[Revenue]]-Table1[[#This Row],[Operating_Costs]]</f>
        <v>261769</v>
      </c>
      <c r="T4619">
        <v>620380</v>
      </c>
      <c r="U4619">
        <v>46</v>
      </c>
      <c r="V4619">
        <v>64</v>
      </c>
      <c r="W4619">
        <v>12.5</v>
      </c>
    </row>
    <row r="4620" spans="1:23" x14ac:dyDescent="0.25">
      <c r="A4620">
        <v>13</v>
      </c>
      <c r="B4620" t="s">
        <v>30</v>
      </c>
      <c r="C4620" s="1">
        <v>45329</v>
      </c>
      <c r="D4620" t="s">
        <v>71</v>
      </c>
      <c r="E4620">
        <v>0</v>
      </c>
      <c r="F4620">
        <v>64</v>
      </c>
      <c r="G4620" t="str">
        <f t="shared" si="80"/>
        <v>61-80</v>
      </c>
      <c r="H4620" t="s">
        <v>23</v>
      </c>
      <c r="I4620" t="s">
        <v>55</v>
      </c>
      <c r="J4620" t="s">
        <v>56</v>
      </c>
      <c r="K4620" t="s">
        <v>42</v>
      </c>
      <c r="L4620">
        <v>1</v>
      </c>
      <c r="M4620">
        <v>1</v>
      </c>
      <c r="N4620">
        <v>5.7</v>
      </c>
      <c r="O4620">
        <v>8.8000000000000007</v>
      </c>
      <c r="P4620">
        <v>7</v>
      </c>
      <c r="Q4620">
        <v>5</v>
      </c>
      <c r="R4620">
        <v>422473</v>
      </c>
      <c r="S4620">
        <f>Table1[[#This Row],[Revenue]]-Table1[[#This Row],[Operating_Costs]]</f>
        <v>14041</v>
      </c>
      <c r="T4620">
        <v>408432</v>
      </c>
      <c r="U4620">
        <v>45</v>
      </c>
      <c r="V4620">
        <v>64</v>
      </c>
      <c r="W4620">
        <v>6.5</v>
      </c>
    </row>
    <row r="4621" spans="1:23" x14ac:dyDescent="0.25">
      <c r="A4621">
        <v>14</v>
      </c>
      <c r="B4621" t="s">
        <v>48</v>
      </c>
      <c r="C4621" s="1">
        <v>44809</v>
      </c>
      <c r="D4621" t="s">
        <v>71</v>
      </c>
      <c r="E4621">
        <v>0</v>
      </c>
      <c r="F4621">
        <v>68</v>
      </c>
      <c r="G4621" t="str">
        <f t="shared" si="80"/>
        <v>61-80</v>
      </c>
      <c r="H4621" t="s">
        <v>23</v>
      </c>
      <c r="I4621" t="s">
        <v>58</v>
      </c>
      <c r="J4621" t="s">
        <v>59</v>
      </c>
      <c r="K4621" t="s">
        <v>26</v>
      </c>
      <c r="L4621">
        <v>1</v>
      </c>
      <c r="M4621">
        <v>1</v>
      </c>
      <c r="N4621">
        <v>1.2</v>
      </c>
      <c r="O4621">
        <v>9.9</v>
      </c>
      <c r="P4621">
        <v>6</v>
      </c>
      <c r="Q4621">
        <v>4</v>
      </c>
      <c r="R4621">
        <v>808802</v>
      </c>
      <c r="S4621">
        <f>Table1[[#This Row],[Revenue]]-Table1[[#This Row],[Operating_Costs]]</f>
        <v>175736</v>
      </c>
      <c r="T4621">
        <v>633066</v>
      </c>
      <c r="U4621">
        <v>48</v>
      </c>
      <c r="V4621">
        <v>61</v>
      </c>
      <c r="W4621">
        <v>8.1999999999999993</v>
      </c>
    </row>
    <row r="4622" spans="1:23" x14ac:dyDescent="0.25">
      <c r="A4622">
        <v>14</v>
      </c>
      <c r="B4622" t="s">
        <v>48</v>
      </c>
      <c r="C4622" s="1">
        <v>45371</v>
      </c>
      <c r="D4622" t="s">
        <v>71</v>
      </c>
      <c r="E4622">
        <v>0</v>
      </c>
      <c r="F4622">
        <v>70</v>
      </c>
      <c r="G4622" t="str">
        <f t="shared" si="80"/>
        <v>61-80</v>
      </c>
      <c r="H4622" t="s">
        <v>23</v>
      </c>
      <c r="I4622" t="s">
        <v>67</v>
      </c>
      <c r="J4622" t="s">
        <v>68</v>
      </c>
      <c r="K4622" t="s">
        <v>33</v>
      </c>
      <c r="L4622">
        <v>1</v>
      </c>
      <c r="M4622">
        <v>1</v>
      </c>
      <c r="N4622">
        <v>3</v>
      </c>
      <c r="O4622">
        <v>9.1</v>
      </c>
      <c r="P4622">
        <v>4</v>
      </c>
      <c r="Q4622">
        <v>5</v>
      </c>
      <c r="R4622">
        <v>836489</v>
      </c>
      <c r="S4622">
        <f>Table1[[#This Row],[Revenue]]-Table1[[#This Row],[Operating_Costs]]</f>
        <v>216962</v>
      </c>
      <c r="T4622">
        <v>619527</v>
      </c>
      <c r="U4622">
        <v>30</v>
      </c>
      <c r="V4622">
        <v>62</v>
      </c>
      <c r="W4622">
        <v>10.9</v>
      </c>
    </row>
    <row r="4623" spans="1:23" x14ac:dyDescent="0.25">
      <c r="A4623">
        <v>13</v>
      </c>
      <c r="B4623" t="s">
        <v>30</v>
      </c>
      <c r="C4623" s="1">
        <v>45127</v>
      </c>
      <c r="D4623" t="s">
        <v>71</v>
      </c>
      <c r="E4623">
        <v>0</v>
      </c>
      <c r="F4623">
        <v>72</v>
      </c>
      <c r="G4623" t="str">
        <f t="shared" si="80"/>
        <v>61-80</v>
      </c>
      <c r="H4623" t="s">
        <v>35</v>
      </c>
      <c r="I4623" t="s">
        <v>40</v>
      </c>
      <c r="J4623" t="s">
        <v>41</v>
      </c>
      <c r="K4623" t="s">
        <v>26</v>
      </c>
      <c r="L4623">
        <v>1</v>
      </c>
      <c r="M4623">
        <v>1</v>
      </c>
      <c r="N4623">
        <v>2.9</v>
      </c>
      <c r="O4623">
        <v>9.3000000000000007</v>
      </c>
      <c r="P4623">
        <v>6</v>
      </c>
      <c r="Q4623">
        <v>4</v>
      </c>
      <c r="R4623">
        <v>437942</v>
      </c>
      <c r="S4623">
        <f>Table1[[#This Row],[Revenue]]-Table1[[#This Row],[Operating_Costs]]</f>
        <v>45820</v>
      </c>
      <c r="T4623">
        <v>392122</v>
      </c>
      <c r="U4623">
        <v>43</v>
      </c>
      <c r="V4623">
        <v>64</v>
      </c>
      <c r="W4623">
        <v>7.1</v>
      </c>
    </row>
    <row r="4624" spans="1:23" x14ac:dyDescent="0.25">
      <c r="A4624">
        <v>14</v>
      </c>
      <c r="B4624" t="s">
        <v>48</v>
      </c>
      <c r="C4624" s="1">
        <v>45019</v>
      </c>
      <c r="D4624" t="s">
        <v>71</v>
      </c>
      <c r="E4624">
        <v>0</v>
      </c>
      <c r="F4624">
        <v>88</v>
      </c>
      <c r="G4624" t="str">
        <f t="shared" si="80"/>
        <v>81+</v>
      </c>
      <c r="H4624" t="s">
        <v>35</v>
      </c>
      <c r="I4624" t="s">
        <v>27</v>
      </c>
      <c r="J4624" t="s">
        <v>28</v>
      </c>
      <c r="K4624" t="s">
        <v>33</v>
      </c>
      <c r="L4624">
        <v>1</v>
      </c>
      <c r="M4624">
        <v>1</v>
      </c>
      <c r="N4624">
        <v>6.9</v>
      </c>
      <c r="O4624">
        <v>8.9</v>
      </c>
      <c r="P4624">
        <v>4</v>
      </c>
      <c r="Q4624">
        <v>3</v>
      </c>
      <c r="R4624">
        <v>746286</v>
      </c>
      <c r="S4624">
        <f>Table1[[#This Row],[Revenue]]-Table1[[#This Row],[Operating_Costs]]</f>
        <v>213373</v>
      </c>
      <c r="T4624">
        <v>532913</v>
      </c>
      <c r="U4624">
        <v>50</v>
      </c>
      <c r="V4624">
        <v>65</v>
      </c>
      <c r="W4624">
        <v>12.7</v>
      </c>
    </row>
    <row r="4625" spans="1:23" x14ac:dyDescent="0.25">
      <c r="A4625">
        <v>14</v>
      </c>
      <c r="B4625" t="s">
        <v>48</v>
      </c>
      <c r="C4625" s="1">
        <v>44748</v>
      </c>
      <c r="D4625" t="s">
        <v>71</v>
      </c>
      <c r="E4625">
        <v>0</v>
      </c>
      <c r="F4625">
        <v>72</v>
      </c>
      <c r="G4625" t="str">
        <f t="shared" si="80"/>
        <v>61-80</v>
      </c>
      <c r="H4625" t="s">
        <v>23</v>
      </c>
      <c r="I4625" t="s">
        <v>55</v>
      </c>
      <c r="J4625" t="s">
        <v>56</v>
      </c>
      <c r="K4625" t="s">
        <v>38</v>
      </c>
      <c r="L4625">
        <v>1</v>
      </c>
      <c r="M4625">
        <v>1</v>
      </c>
      <c r="N4625">
        <v>5</v>
      </c>
      <c r="O4625">
        <v>8.3000000000000007</v>
      </c>
      <c r="P4625">
        <v>6</v>
      </c>
      <c r="Q4625">
        <v>3</v>
      </c>
      <c r="R4625">
        <v>893687</v>
      </c>
      <c r="S4625">
        <f>Table1[[#This Row],[Revenue]]-Table1[[#This Row],[Operating_Costs]]</f>
        <v>263368</v>
      </c>
      <c r="T4625">
        <v>630319</v>
      </c>
      <c r="U4625">
        <v>45</v>
      </c>
      <c r="V4625">
        <v>57</v>
      </c>
      <c r="W4625">
        <v>36.4</v>
      </c>
    </row>
    <row r="4626" spans="1:23" x14ac:dyDescent="0.25">
      <c r="A4626">
        <v>13</v>
      </c>
      <c r="B4626" t="s">
        <v>30</v>
      </c>
      <c r="C4626" s="1">
        <v>44956</v>
      </c>
      <c r="D4626" t="s">
        <v>71</v>
      </c>
      <c r="E4626">
        <v>0</v>
      </c>
      <c r="F4626">
        <v>46</v>
      </c>
      <c r="G4626" t="str">
        <f t="shared" si="80"/>
        <v>41-60</v>
      </c>
      <c r="H4626" t="s">
        <v>35</v>
      </c>
      <c r="I4626" t="s">
        <v>31</v>
      </c>
      <c r="J4626" t="s">
        <v>28</v>
      </c>
      <c r="K4626" t="s">
        <v>42</v>
      </c>
      <c r="L4626">
        <v>1</v>
      </c>
      <c r="M4626">
        <v>1</v>
      </c>
      <c r="N4626">
        <v>1.3</v>
      </c>
      <c r="O4626">
        <v>7.8</v>
      </c>
      <c r="P4626">
        <v>5</v>
      </c>
      <c r="Q4626">
        <v>6</v>
      </c>
      <c r="R4626">
        <v>597233</v>
      </c>
      <c r="S4626">
        <f>Table1[[#This Row],[Revenue]]-Table1[[#This Row],[Operating_Costs]]</f>
        <v>220028</v>
      </c>
      <c r="T4626">
        <v>377205</v>
      </c>
      <c r="U4626">
        <v>43</v>
      </c>
      <c r="V4626">
        <v>56</v>
      </c>
      <c r="W4626">
        <v>14.1</v>
      </c>
    </row>
    <row r="4627" spans="1:23" x14ac:dyDescent="0.25">
      <c r="A4627">
        <v>13</v>
      </c>
      <c r="B4627" t="s">
        <v>30</v>
      </c>
      <c r="C4627" s="1">
        <v>45036</v>
      </c>
      <c r="D4627" t="s">
        <v>71</v>
      </c>
      <c r="E4627">
        <v>0</v>
      </c>
      <c r="F4627">
        <v>33</v>
      </c>
      <c r="G4627" t="str">
        <f t="shared" si="80"/>
        <v>21-40</v>
      </c>
      <c r="H4627" t="s">
        <v>35</v>
      </c>
      <c r="I4627" t="s">
        <v>31</v>
      </c>
      <c r="J4627" t="s">
        <v>28</v>
      </c>
      <c r="K4627" t="s">
        <v>26</v>
      </c>
      <c r="L4627">
        <v>1</v>
      </c>
      <c r="M4627">
        <v>1</v>
      </c>
      <c r="N4627">
        <v>4.7</v>
      </c>
      <c r="O4627">
        <v>9.5</v>
      </c>
      <c r="P4627">
        <v>6</v>
      </c>
      <c r="Q4627">
        <v>5</v>
      </c>
      <c r="R4627">
        <v>498766</v>
      </c>
      <c r="S4627">
        <f>Table1[[#This Row],[Revenue]]-Table1[[#This Row],[Operating_Costs]]</f>
        <v>131097</v>
      </c>
      <c r="T4627">
        <v>367669</v>
      </c>
      <c r="U4627">
        <v>36</v>
      </c>
      <c r="V4627">
        <v>65</v>
      </c>
      <c r="W4627">
        <v>8.1</v>
      </c>
    </row>
    <row r="4628" spans="1:23" x14ac:dyDescent="0.25">
      <c r="A4628">
        <v>13</v>
      </c>
      <c r="B4628" t="s">
        <v>30</v>
      </c>
      <c r="C4628" s="1">
        <v>44770</v>
      </c>
      <c r="D4628" t="s">
        <v>71</v>
      </c>
      <c r="E4628">
        <v>0</v>
      </c>
      <c r="F4628">
        <v>39</v>
      </c>
      <c r="G4628" t="str">
        <f t="shared" si="80"/>
        <v>21-40</v>
      </c>
      <c r="H4628" t="s">
        <v>23</v>
      </c>
      <c r="I4628" t="s">
        <v>61</v>
      </c>
      <c r="J4628" t="s">
        <v>62</v>
      </c>
      <c r="K4628" t="s">
        <v>33</v>
      </c>
      <c r="L4628">
        <v>1</v>
      </c>
      <c r="M4628">
        <v>1</v>
      </c>
      <c r="N4628">
        <v>4.7</v>
      </c>
      <c r="O4628">
        <v>9.3000000000000007</v>
      </c>
      <c r="P4628">
        <v>3</v>
      </c>
      <c r="Q4628">
        <v>4</v>
      </c>
      <c r="R4628">
        <v>799345</v>
      </c>
      <c r="S4628">
        <f>Table1[[#This Row],[Revenue]]-Table1[[#This Row],[Operating_Costs]]</f>
        <v>433839</v>
      </c>
      <c r="T4628">
        <v>365506</v>
      </c>
      <c r="U4628">
        <v>47</v>
      </c>
      <c r="V4628">
        <v>59</v>
      </c>
      <c r="W4628">
        <v>14.7</v>
      </c>
    </row>
    <row r="4629" spans="1:23" x14ac:dyDescent="0.25">
      <c r="A4629">
        <v>13</v>
      </c>
      <c r="B4629" t="s">
        <v>30</v>
      </c>
      <c r="C4629" s="1">
        <v>45526</v>
      </c>
      <c r="D4629" t="s">
        <v>71</v>
      </c>
      <c r="E4629">
        <v>0</v>
      </c>
      <c r="F4629">
        <v>40</v>
      </c>
      <c r="G4629" t="str">
        <f t="shared" si="80"/>
        <v>21-40</v>
      </c>
      <c r="H4629" t="s">
        <v>35</v>
      </c>
      <c r="I4629" t="s">
        <v>58</v>
      </c>
      <c r="J4629" t="s">
        <v>59</v>
      </c>
      <c r="K4629" t="s">
        <v>29</v>
      </c>
      <c r="L4629">
        <v>1</v>
      </c>
      <c r="M4629">
        <v>1</v>
      </c>
      <c r="N4629">
        <v>3.9</v>
      </c>
      <c r="O4629">
        <v>7.2</v>
      </c>
      <c r="P4629">
        <v>3</v>
      </c>
      <c r="Q4629">
        <v>3</v>
      </c>
      <c r="R4629">
        <v>485714</v>
      </c>
      <c r="S4629">
        <f>Table1[[#This Row],[Revenue]]-Table1[[#This Row],[Operating_Costs]]</f>
        <v>120381</v>
      </c>
      <c r="T4629">
        <v>365333</v>
      </c>
      <c r="U4629">
        <v>38</v>
      </c>
      <c r="V4629">
        <v>59</v>
      </c>
      <c r="W4629">
        <v>14.5</v>
      </c>
    </row>
    <row r="4630" spans="1:23" x14ac:dyDescent="0.25">
      <c r="A4630">
        <v>14</v>
      </c>
      <c r="B4630" t="s">
        <v>48</v>
      </c>
      <c r="C4630" s="1">
        <v>45360</v>
      </c>
      <c r="D4630" t="s">
        <v>71</v>
      </c>
      <c r="E4630">
        <v>0</v>
      </c>
      <c r="F4630">
        <v>38</v>
      </c>
      <c r="G4630" t="str">
        <f t="shared" si="80"/>
        <v>21-40</v>
      </c>
      <c r="H4630" t="s">
        <v>35</v>
      </c>
      <c r="I4630" t="s">
        <v>61</v>
      </c>
      <c r="J4630" t="s">
        <v>62</v>
      </c>
      <c r="K4630" t="s">
        <v>26</v>
      </c>
      <c r="L4630">
        <v>1</v>
      </c>
      <c r="M4630">
        <v>1</v>
      </c>
      <c r="N4630">
        <v>2.8</v>
      </c>
      <c r="O4630">
        <v>8.1</v>
      </c>
      <c r="P4630">
        <v>3</v>
      </c>
      <c r="Q4630">
        <v>3</v>
      </c>
      <c r="R4630">
        <v>856151</v>
      </c>
      <c r="S4630">
        <f>Table1[[#This Row],[Revenue]]-Table1[[#This Row],[Operating_Costs]]</f>
        <v>183089</v>
      </c>
      <c r="T4630">
        <v>673062</v>
      </c>
      <c r="U4630">
        <v>38</v>
      </c>
      <c r="V4630">
        <v>64</v>
      </c>
      <c r="W4630">
        <v>5.7</v>
      </c>
    </row>
    <row r="4631" spans="1:23" x14ac:dyDescent="0.25">
      <c r="A4631">
        <v>13</v>
      </c>
      <c r="B4631" t="s">
        <v>30</v>
      </c>
      <c r="C4631" s="1">
        <v>44771</v>
      </c>
      <c r="D4631" t="s">
        <v>71</v>
      </c>
      <c r="E4631">
        <v>0</v>
      </c>
      <c r="F4631">
        <v>56</v>
      </c>
      <c r="G4631" t="str">
        <f t="shared" si="80"/>
        <v>41-60</v>
      </c>
      <c r="H4631" t="s">
        <v>35</v>
      </c>
      <c r="I4631" t="s">
        <v>60</v>
      </c>
      <c r="J4631" t="s">
        <v>59</v>
      </c>
      <c r="K4631" t="s">
        <v>29</v>
      </c>
      <c r="L4631">
        <v>1</v>
      </c>
      <c r="M4631">
        <v>1</v>
      </c>
      <c r="N4631">
        <v>5.8</v>
      </c>
      <c r="O4631">
        <v>8.5</v>
      </c>
      <c r="P4631">
        <v>5</v>
      </c>
      <c r="Q4631">
        <v>6</v>
      </c>
      <c r="R4631">
        <v>520402</v>
      </c>
      <c r="S4631">
        <f>Table1[[#This Row],[Revenue]]-Table1[[#This Row],[Operating_Costs]]</f>
        <v>134058</v>
      </c>
      <c r="T4631">
        <v>386344</v>
      </c>
      <c r="U4631">
        <v>44</v>
      </c>
      <c r="V4631">
        <v>54</v>
      </c>
      <c r="W4631">
        <v>36.299999999999997</v>
      </c>
    </row>
    <row r="4632" spans="1:23" x14ac:dyDescent="0.25">
      <c r="A4632">
        <v>13</v>
      </c>
      <c r="B4632" t="s">
        <v>30</v>
      </c>
      <c r="C4632" s="1">
        <v>45087</v>
      </c>
      <c r="D4632" t="s">
        <v>71</v>
      </c>
      <c r="E4632">
        <v>0</v>
      </c>
      <c r="F4632">
        <v>85</v>
      </c>
      <c r="G4632" t="str">
        <f t="shared" si="80"/>
        <v>81+</v>
      </c>
      <c r="H4632" t="s">
        <v>23</v>
      </c>
      <c r="I4632" t="s">
        <v>31</v>
      </c>
      <c r="J4632" t="s">
        <v>28</v>
      </c>
      <c r="K4632" t="s">
        <v>38</v>
      </c>
      <c r="L4632">
        <v>1</v>
      </c>
      <c r="M4632">
        <v>1</v>
      </c>
      <c r="N4632">
        <v>2.9</v>
      </c>
      <c r="O4632">
        <v>8.3000000000000007</v>
      </c>
      <c r="P4632">
        <v>3</v>
      </c>
      <c r="Q4632">
        <v>7</v>
      </c>
      <c r="R4632">
        <v>757538</v>
      </c>
      <c r="S4632">
        <f>Table1[[#This Row],[Revenue]]-Table1[[#This Row],[Operating_Costs]]</f>
        <v>395155</v>
      </c>
      <c r="T4632">
        <v>362383</v>
      </c>
      <c r="U4632">
        <v>36</v>
      </c>
      <c r="V4632">
        <v>54</v>
      </c>
      <c r="W4632">
        <v>7.9</v>
      </c>
    </row>
    <row r="4633" spans="1:23" x14ac:dyDescent="0.25">
      <c r="A4633">
        <v>14</v>
      </c>
      <c r="B4633" t="s">
        <v>48</v>
      </c>
      <c r="C4633" s="1">
        <v>44777</v>
      </c>
      <c r="D4633" t="s">
        <v>71</v>
      </c>
      <c r="E4633">
        <v>0</v>
      </c>
      <c r="F4633">
        <v>39</v>
      </c>
      <c r="G4633" t="str">
        <f t="shared" si="80"/>
        <v>21-40</v>
      </c>
      <c r="H4633" t="s">
        <v>35</v>
      </c>
      <c r="I4633" t="s">
        <v>61</v>
      </c>
      <c r="J4633" t="s">
        <v>62</v>
      </c>
      <c r="K4633" t="s">
        <v>33</v>
      </c>
      <c r="L4633">
        <v>1</v>
      </c>
      <c r="M4633">
        <v>1</v>
      </c>
      <c r="N4633">
        <v>6.9</v>
      </c>
      <c r="O4633">
        <v>8.5</v>
      </c>
      <c r="P4633">
        <v>4</v>
      </c>
      <c r="Q4633">
        <v>3</v>
      </c>
      <c r="R4633">
        <v>833287</v>
      </c>
      <c r="S4633">
        <f>Table1[[#This Row],[Revenue]]-Table1[[#This Row],[Operating_Costs]]</f>
        <v>235930</v>
      </c>
      <c r="T4633">
        <v>597357</v>
      </c>
      <c r="U4633">
        <v>40</v>
      </c>
      <c r="V4633">
        <v>56</v>
      </c>
      <c r="W4633">
        <v>12.5</v>
      </c>
    </row>
    <row r="4634" spans="1:23" x14ac:dyDescent="0.25">
      <c r="A4634">
        <v>14</v>
      </c>
      <c r="B4634" t="s">
        <v>48</v>
      </c>
      <c r="C4634" s="1">
        <v>45573</v>
      </c>
      <c r="D4634" t="s">
        <v>71</v>
      </c>
      <c r="E4634">
        <v>0</v>
      </c>
      <c r="F4634">
        <v>45</v>
      </c>
      <c r="G4634" t="str">
        <f t="shared" si="80"/>
        <v>41-60</v>
      </c>
      <c r="H4634" t="s">
        <v>23</v>
      </c>
      <c r="I4634" t="s">
        <v>64</v>
      </c>
      <c r="J4634" t="s">
        <v>65</v>
      </c>
      <c r="K4634" t="s">
        <v>33</v>
      </c>
      <c r="L4634">
        <v>1</v>
      </c>
      <c r="M4634">
        <v>1</v>
      </c>
      <c r="N4634">
        <v>5.5</v>
      </c>
      <c r="O4634">
        <v>9.9</v>
      </c>
      <c r="P4634">
        <v>4</v>
      </c>
      <c r="Q4634">
        <v>4</v>
      </c>
      <c r="R4634">
        <v>791730</v>
      </c>
      <c r="S4634">
        <f>Table1[[#This Row],[Revenue]]-Table1[[#This Row],[Operating_Costs]]</f>
        <v>202314</v>
      </c>
      <c r="T4634">
        <v>589416</v>
      </c>
      <c r="U4634">
        <v>35</v>
      </c>
      <c r="V4634">
        <v>57</v>
      </c>
      <c r="W4634">
        <v>9</v>
      </c>
    </row>
    <row r="4635" spans="1:23" x14ac:dyDescent="0.25">
      <c r="A4635">
        <v>14</v>
      </c>
      <c r="B4635" t="s">
        <v>48</v>
      </c>
      <c r="C4635" s="1">
        <v>44803</v>
      </c>
      <c r="D4635" t="s">
        <v>71</v>
      </c>
      <c r="E4635">
        <v>0</v>
      </c>
      <c r="F4635">
        <v>34</v>
      </c>
      <c r="G4635" t="str">
        <f t="shared" si="80"/>
        <v>21-40</v>
      </c>
      <c r="H4635" t="s">
        <v>23</v>
      </c>
      <c r="I4635" t="s">
        <v>64</v>
      </c>
      <c r="J4635" t="s">
        <v>65</v>
      </c>
      <c r="K4635" t="s">
        <v>26</v>
      </c>
      <c r="L4635">
        <v>1</v>
      </c>
      <c r="M4635">
        <v>1</v>
      </c>
      <c r="N4635">
        <v>6</v>
      </c>
      <c r="O4635">
        <v>9.9</v>
      </c>
      <c r="P4635">
        <v>5</v>
      </c>
      <c r="Q4635">
        <v>6</v>
      </c>
      <c r="R4635">
        <v>762551</v>
      </c>
      <c r="S4635">
        <f>Table1[[#This Row],[Revenue]]-Table1[[#This Row],[Operating_Costs]]</f>
        <v>70165</v>
      </c>
      <c r="T4635">
        <v>692386</v>
      </c>
      <c r="U4635">
        <v>44</v>
      </c>
      <c r="V4635">
        <v>60</v>
      </c>
      <c r="W4635">
        <v>10.9</v>
      </c>
    </row>
    <row r="4636" spans="1:23" x14ac:dyDescent="0.25">
      <c r="A4636">
        <v>14</v>
      </c>
      <c r="B4636" t="s">
        <v>48</v>
      </c>
      <c r="C4636" s="1">
        <v>45290</v>
      </c>
      <c r="D4636" t="s">
        <v>71</v>
      </c>
      <c r="E4636">
        <v>0</v>
      </c>
      <c r="F4636">
        <v>39</v>
      </c>
      <c r="G4636" t="str">
        <f t="shared" si="80"/>
        <v>21-40</v>
      </c>
      <c r="H4636" t="s">
        <v>23</v>
      </c>
      <c r="I4636" t="s">
        <v>43</v>
      </c>
      <c r="J4636" t="s">
        <v>25</v>
      </c>
      <c r="K4636" t="s">
        <v>33</v>
      </c>
      <c r="L4636">
        <v>1</v>
      </c>
      <c r="M4636">
        <v>1</v>
      </c>
      <c r="N4636">
        <v>1.5</v>
      </c>
      <c r="O4636">
        <v>9</v>
      </c>
      <c r="P4636">
        <v>6</v>
      </c>
      <c r="Q4636">
        <v>6</v>
      </c>
      <c r="R4636">
        <v>890860</v>
      </c>
      <c r="S4636">
        <f>Table1[[#This Row],[Revenue]]-Table1[[#This Row],[Operating_Costs]]</f>
        <v>390707</v>
      </c>
      <c r="T4636">
        <v>500153</v>
      </c>
      <c r="U4636">
        <v>37</v>
      </c>
      <c r="V4636">
        <v>65</v>
      </c>
      <c r="W4636">
        <v>10</v>
      </c>
    </row>
    <row r="4637" spans="1:23" x14ac:dyDescent="0.25">
      <c r="A4637">
        <v>14</v>
      </c>
      <c r="B4637" t="s">
        <v>48</v>
      </c>
      <c r="C4637" s="1">
        <v>45126</v>
      </c>
      <c r="D4637" t="s">
        <v>71</v>
      </c>
      <c r="E4637">
        <v>0</v>
      </c>
      <c r="F4637">
        <v>40</v>
      </c>
      <c r="G4637" t="str">
        <f t="shared" si="80"/>
        <v>21-40</v>
      </c>
      <c r="H4637" t="s">
        <v>35</v>
      </c>
      <c r="I4637" t="s">
        <v>36</v>
      </c>
      <c r="J4637" t="s">
        <v>37</v>
      </c>
      <c r="K4637" t="s">
        <v>26</v>
      </c>
      <c r="L4637">
        <v>1</v>
      </c>
      <c r="M4637">
        <v>1</v>
      </c>
      <c r="N4637">
        <v>6.8</v>
      </c>
      <c r="O4637">
        <v>7.2</v>
      </c>
      <c r="P4637">
        <v>7</v>
      </c>
      <c r="Q4637">
        <v>4</v>
      </c>
      <c r="R4637">
        <v>778559</v>
      </c>
      <c r="S4637">
        <f>Table1[[#This Row],[Revenue]]-Table1[[#This Row],[Operating_Costs]]</f>
        <v>140633</v>
      </c>
      <c r="T4637">
        <v>637926</v>
      </c>
      <c r="U4637">
        <v>47</v>
      </c>
      <c r="V4637">
        <v>56</v>
      </c>
      <c r="W4637">
        <v>10.6</v>
      </c>
    </row>
    <row r="4638" spans="1:23" x14ac:dyDescent="0.25">
      <c r="A4638">
        <v>13</v>
      </c>
      <c r="B4638" t="s">
        <v>30</v>
      </c>
      <c r="C4638" s="1">
        <v>44359</v>
      </c>
      <c r="D4638" t="s">
        <v>71</v>
      </c>
      <c r="E4638">
        <v>0</v>
      </c>
      <c r="F4638">
        <v>43</v>
      </c>
      <c r="G4638" t="str">
        <f t="shared" si="80"/>
        <v>41-60</v>
      </c>
      <c r="H4638" t="s">
        <v>35</v>
      </c>
      <c r="I4638" t="s">
        <v>46</v>
      </c>
      <c r="J4638" t="s">
        <v>47</v>
      </c>
      <c r="K4638" t="s">
        <v>33</v>
      </c>
      <c r="L4638">
        <v>1</v>
      </c>
      <c r="M4638">
        <v>1</v>
      </c>
      <c r="N4638">
        <v>3.3</v>
      </c>
      <c r="O4638">
        <v>9.8000000000000007</v>
      </c>
      <c r="P4638">
        <v>4</v>
      </c>
      <c r="Q4638">
        <v>6</v>
      </c>
      <c r="R4638">
        <v>797529</v>
      </c>
      <c r="S4638">
        <f>Table1[[#This Row],[Revenue]]-Table1[[#This Row],[Operating_Costs]]</f>
        <v>436039</v>
      </c>
      <c r="T4638">
        <v>361490</v>
      </c>
      <c r="U4638">
        <v>34</v>
      </c>
      <c r="V4638">
        <v>61</v>
      </c>
      <c r="W4638">
        <v>6</v>
      </c>
    </row>
    <row r="4639" spans="1:23" x14ac:dyDescent="0.25">
      <c r="A4639">
        <v>14</v>
      </c>
      <c r="B4639" t="s">
        <v>48</v>
      </c>
      <c r="C4639" s="1">
        <v>45524</v>
      </c>
      <c r="D4639" t="s">
        <v>71</v>
      </c>
      <c r="E4639">
        <v>0</v>
      </c>
      <c r="F4639">
        <v>25</v>
      </c>
      <c r="G4639" t="str">
        <f t="shared" si="80"/>
        <v>21-40</v>
      </c>
      <c r="H4639" t="s">
        <v>23</v>
      </c>
      <c r="I4639" t="s">
        <v>61</v>
      </c>
      <c r="J4639" t="s">
        <v>62</v>
      </c>
      <c r="K4639" t="s">
        <v>42</v>
      </c>
      <c r="L4639">
        <v>1</v>
      </c>
      <c r="M4639">
        <v>1</v>
      </c>
      <c r="N4639">
        <v>2.2999999999999998</v>
      </c>
      <c r="O4639">
        <v>7.9</v>
      </c>
      <c r="P4639">
        <v>5</v>
      </c>
      <c r="Q4639">
        <v>7</v>
      </c>
      <c r="R4639">
        <v>776538</v>
      </c>
      <c r="S4639">
        <f>Table1[[#This Row],[Revenue]]-Table1[[#This Row],[Operating_Costs]]</f>
        <v>269069</v>
      </c>
      <c r="T4639">
        <v>507469</v>
      </c>
      <c r="U4639">
        <v>44</v>
      </c>
      <c r="V4639">
        <v>65</v>
      </c>
      <c r="W4639">
        <v>10.5</v>
      </c>
    </row>
    <row r="4640" spans="1:23" x14ac:dyDescent="0.25">
      <c r="A4640">
        <v>14</v>
      </c>
      <c r="B4640" t="s">
        <v>48</v>
      </c>
      <c r="C4640" s="1">
        <v>45572</v>
      </c>
      <c r="D4640" t="s">
        <v>71</v>
      </c>
      <c r="E4640">
        <v>0</v>
      </c>
      <c r="F4640">
        <v>82</v>
      </c>
      <c r="G4640" t="str">
        <f t="shared" si="80"/>
        <v>81+</v>
      </c>
      <c r="H4640" t="s">
        <v>35</v>
      </c>
      <c r="I4640" t="s">
        <v>31</v>
      </c>
      <c r="J4640" t="s">
        <v>28</v>
      </c>
      <c r="K4640" t="s">
        <v>38</v>
      </c>
      <c r="L4640">
        <v>1</v>
      </c>
      <c r="M4640">
        <v>1</v>
      </c>
      <c r="N4640">
        <v>1</v>
      </c>
      <c r="O4640">
        <v>9</v>
      </c>
      <c r="P4640">
        <v>4</v>
      </c>
      <c r="Q4640">
        <v>3</v>
      </c>
      <c r="R4640">
        <v>868045</v>
      </c>
      <c r="S4640">
        <f>Table1[[#This Row],[Revenue]]-Table1[[#This Row],[Operating_Costs]]</f>
        <v>311647</v>
      </c>
      <c r="T4640">
        <v>556398</v>
      </c>
      <c r="U4640">
        <v>50</v>
      </c>
      <c r="V4640">
        <v>60</v>
      </c>
      <c r="W4640">
        <v>12.7</v>
      </c>
    </row>
    <row r="4641" spans="1:23" x14ac:dyDescent="0.25">
      <c r="A4641">
        <v>14</v>
      </c>
      <c r="B4641" t="s">
        <v>48</v>
      </c>
      <c r="C4641" s="1">
        <v>45304</v>
      </c>
      <c r="D4641" t="s">
        <v>71</v>
      </c>
      <c r="E4641">
        <v>0</v>
      </c>
      <c r="F4641">
        <v>83</v>
      </c>
      <c r="G4641" t="str">
        <f t="shared" si="80"/>
        <v>81+</v>
      </c>
      <c r="H4641" t="s">
        <v>23</v>
      </c>
      <c r="I4641" t="s">
        <v>24</v>
      </c>
      <c r="J4641" t="s">
        <v>25</v>
      </c>
      <c r="K4641" t="s">
        <v>38</v>
      </c>
      <c r="L4641">
        <v>1</v>
      </c>
      <c r="M4641">
        <v>1</v>
      </c>
      <c r="N4641">
        <v>4.7</v>
      </c>
      <c r="O4641">
        <v>9.9</v>
      </c>
      <c r="P4641">
        <v>6</v>
      </c>
      <c r="Q4641">
        <v>5</v>
      </c>
      <c r="R4641">
        <v>806395</v>
      </c>
      <c r="S4641">
        <f>Table1[[#This Row],[Revenue]]-Table1[[#This Row],[Operating_Costs]]</f>
        <v>262805</v>
      </c>
      <c r="T4641">
        <v>543590</v>
      </c>
      <c r="U4641">
        <v>50</v>
      </c>
      <c r="V4641">
        <v>60</v>
      </c>
      <c r="W4641">
        <v>9.6999999999999993</v>
      </c>
    </row>
    <row r="4642" spans="1:23" x14ac:dyDescent="0.25">
      <c r="A4642">
        <v>14</v>
      </c>
      <c r="B4642" t="s">
        <v>48</v>
      </c>
      <c r="C4642" s="1">
        <v>45269</v>
      </c>
      <c r="D4642" t="s">
        <v>71</v>
      </c>
      <c r="E4642">
        <v>0</v>
      </c>
      <c r="F4642">
        <v>69</v>
      </c>
      <c r="G4642" t="str">
        <f t="shared" si="80"/>
        <v>61-80</v>
      </c>
      <c r="H4642" t="s">
        <v>35</v>
      </c>
      <c r="I4642" t="s">
        <v>31</v>
      </c>
      <c r="J4642" t="s">
        <v>28</v>
      </c>
      <c r="K4642" t="s">
        <v>33</v>
      </c>
      <c r="L4642">
        <v>1</v>
      </c>
      <c r="M4642">
        <v>1</v>
      </c>
      <c r="N4642">
        <v>1.7</v>
      </c>
      <c r="O4642">
        <v>9.1999999999999993</v>
      </c>
      <c r="P4642">
        <v>4</v>
      </c>
      <c r="Q4642">
        <v>6</v>
      </c>
      <c r="R4642">
        <v>704167</v>
      </c>
      <c r="S4642">
        <f>Table1[[#This Row],[Revenue]]-Table1[[#This Row],[Operating_Costs]]</f>
        <v>74313</v>
      </c>
      <c r="T4642">
        <v>629854</v>
      </c>
      <c r="U4642">
        <v>43</v>
      </c>
      <c r="V4642">
        <v>62</v>
      </c>
      <c r="W4642">
        <v>8.1999999999999993</v>
      </c>
    </row>
    <row r="4643" spans="1:23" x14ac:dyDescent="0.25">
      <c r="A4643">
        <v>14</v>
      </c>
      <c r="B4643" t="s">
        <v>48</v>
      </c>
      <c r="C4643" s="1">
        <v>45023</v>
      </c>
      <c r="D4643" t="s">
        <v>71</v>
      </c>
      <c r="E4643">
        <v>0</v>
      </c>
      <c r="F4643">
        <v>35</v>
      </c>
      <c r="G4643" t="str">
        <f t="shared" si="80"/>
        <v>21-40</v>
      </c>
      <c r="H4643" t="s">
        <v>35</v>
      </c>
      <c r="I4643" t="s">
        <v>55</v>
      </c>
      <c r="J4643" t="s">
        <v>56</v>
      </c>
      <c r="K4643" t="s">
        <v>26</v>
      </c>
      <c r="L4643">
        <v>1</v>
      </c>
      <c r="M4643">
        <v>1</v>
      </c>
      <c r="N4643">
        <v>5.9</v>
      </c>
      <c r="O4643">
        <v>7.7</v>
      </c>
      <c r="P4643">
        <v>4</v>
      </c>
      <c r="Q4643">
        <v>5</v>
      </c>
      <c r="R4643">
        <v>849759</v>
      </c>
      <c r="S4643">
        <f>Table1[[#This Row],[Revenue]]-Table1[[#This Row],[Operating_Costs]]</f>
        <v>319356</v>
      </c>
      <c r="T4643">
        <v>530403</v>
      </c>
      <c r="U4643">
        <v>31</v>
      </c>
      <c r="V4643">
        <v>61</v>
      </c>
      <c r="W4643">
        <v>12.5</v>
      </c>
    </row>
    <row r="4644" spans="1:23" x14ac:dyDescent="0.25">
      <c r="A4644">
        <v>13</v>
      </c>
      <c r="B4644" t="s">
        <v>30</v>
      </c>
      <c r="C4644" s="1">
        <v>44425</v>
      </c>
      <c r="D4644" t="s">
        <v>71</v>
      </c>
      <c r="E4644">
        <v>0</v>
      </c>
      <c r="F4644">
        <v>81</v>
      </c>
      <c r="G4644" t="str">
        <f t="shared" si="80"/>
        <v>81+</v>
      </c>
      <c r="H4644" t="s">
        <v>35</v>
      </c>
      <c r="I4644" t="s">
        <v>64</v>
      </c>
      <c r="J4644" t="s">
        <v>65</v>
      </c>
      <c r="K4644" t="s">
        <v>42</v>
      </c>
      <c r="L4644">
        <v>1</v>
      </c>
      <c r="M4644">
        <v>1</v>
      </c>
      <c r="N4644">
        <v>5.2</v>
      </c>
      <c r="O4644">
        <v>7.5</v>
      </c>
      <c r="P4644">
        <v>3</v>
      </c>
      <c r="Q4644">
        <v>6</v>
      </c>
      <c r="R4644">
        <v>490893</v>
      </c>
      <c r="S4644">
        <f>Table1[[#This Row],[Revenue]]-Table1[[#This Row],[Operating_Costs]]</f>
        <v>114391</v>
      </c>
      <c r="T4644">
        <v>376502</v>
      </c>
      <c r="U4644">
        <v>50</v>
      </c>
      <c r="V4644">
        <v>60</v>
      </c>
      <c r="W4644">
        <v>7.7</v>
      </c>
    </row>
    <row r="4645" spans="1:23" x14ac:dyDescent="0.25">
      <c r="A4645">
        <v>14</v>
      </c>
      <c r="B4645" t="s">
        <v>48</v>
      </c>
      <c r="C4645" s="1">
        <v>45104</v>
      </c>
      <c r="D4645" t="s">
        <v>71</v>
      </c>
      <c r="E4645">
        <v>0</v>
      </c>
      <c r="F4645">
        <v>64</v>
      </c>
      <c r="G4645" t="str">
        <f t="shared" si="80"/>
        <v>61-80</v>
      </c>
      <c r="H4645" t="s">
        <v>35</v>
      </c>
      <c r="I4645" t="s">
        <v>46</v>
      </c>
      <c r="J4645" t="s">
        <v>47</v>
      </c>
      <c r="K4645" t="s">
        <v>38</v>
      </c>
      <c r="L4645">
        <v>1</v>
      </c>
      <c r="M4645">
        <v>1</v>
      </c>
      <c r="N4645">
        <v>2.5</v>
      </c>
      <c r="O4645">
        <v>8.8000000000000007</v>
      </c>
      <c r="P4645">
        <v>6</v>
      </c>
      <c r="Q4645">
        <v>5</v>
      </c>
      <c r="R4645">
        <v>704086</v>
      </c>
      <c r="S4645">
        <f>Table1[[#This Row],[Revenue]]-Table1[[#This Row],[Operating_Costs]]</f>
        <v>9341</v>
      </c>
      <c r="T4645">
        <v>694745</v>
      </c>
      <c r="U4645">
        <v>37</v>
      </c>
      <c r="V4645">
        <v>58</v>
      </c>
      <c r="W4645">
        <v>9.3000000000000007</v>
      </c>
    </row>
    <row r="4646" spans="1:23" x14ac:dyDescent="0.25">
      <c r="A4646">
        <v>14</v>
      </c>
      <c r="B4646" t="s">
        <v>48</v>
      </c>
      <c r="C4646" s="1">
        <v>44391</v>
      </c>
      <c r="D4646" t="s">
        <v>71</v>
      </c>
      <c r="E4646">
        <v>0</v>
      </c>
      <c r="F4646">
        <v>57</v>
      </c>
      <c r="G4646" t="str">
        <f t="shared" si="80"/>
        <v>41-60</v>
      </c>
      <c r="H4646" t="s">
        <v>35</v>
      </c>
      <c r="I4646" t="s">
        <v>31</v>
      </c>
      <c r="J4646" t="s">
        <v>28</v>
      </c>
      <c r="K4646" t="s">
        <v>29</v>
      </c>
      <c r="L4646">
        <v>1</v>
      </c>
      <c r="M4646">
        <v>1</v>
      </c>
      <c r="N4646">
        <v>5.3</v>
      </c>
      <c r="O4646">
        <v>9.1</v>
      </c>
      <c r="P4646">
        <v>5</v>
      </c>
      <c r="Q4646">
        <v>3</v>
      </c>
      <c r="R4646">
        <v>731360</v>
      </c>
      <c r="S4646">
        <f>Table1[[#This Row],[Revenue]]-Table1[[#This Row],[Operating_Costs]]</f>
        <v>167648</v>
      </c>
      <c r="T4646">
        <v>563712</v>
      </c>
      <c r="U4646">
        <v>39</v>
      </c>
      <c r="V4646">
        <v>65</v>
      </c>
      <c r="W4646">
        <v>5.6</v>
      </c>
    </row>
    <row r="4647" spans="1:23" x14ac:dyDescent="0.25">
      <c r="A4647">
        <v>14</v>
      </c>
      <c r="B4647" t="s">
        <v>48</v>
      </c>
      <c r="C4647" s="1">
        <v>44776</v>
      </c>
      <c r="D4647" t="s">
        <v>71</v>
      </c>
      <c r="E4647">
        <v>0</v>
      </c>
      <c r="F4647">
        <v>58</v>
      </c>
      <c r="G4647" t="str">
        <f t="shared" si="80"/>
        <v>41-60</v>
      </c>
      <c r="H4647" t="s">
        <v>23</v>
      </c>
      <c r="I4647" t="s">
        <v>55</v>
      </c>
      <c r="J4647" t="s">
        <v>56</v>
      </c>
      <c r="K4647" t="s">
        <v>42</v>
      </c>
      <c r="L4647">
        <v>1</v>
      </c>
      <c r="M4647">
        <v>1</v>
      </c>
      <c r="N4647">
        <v>5.5</v>
      </c>
      <c r="O4647">
        <v>7.3</v>
      </c>
      <c r="P4647">
        <v>5</v>
      </c>
      <c r="Q4647">
        <v>6</v>
      </c>
      <c r="R4647">
        <v>714502</v>
      </c>
      <c r="S4647">
        <f>Table1[[#This Row],[Revenue]]-Table1[[#This Row],[Operating_Costs]]</f>
        <v>17936</v>
      </c>
      <c r="T4647">
        <v>696566</v>
      </c>
      <c r="U4647">
        <v>50</v>
      </c>
      <c r="V4647">
        <v>56</v>
      </c>
      <c r="W4647">
        <v>10.7</v>
      </c>
    </row>
    <row r="4648" spans="1:23" x14ac:dyDescent="0.25">
      <c r="A4648">
        <v>14</v>
      </c>
      <c r="B4648" t="s">
        <v>48</v>
      </c>
      <c r="C4648" s="1">
        <v>44366</v>
      </c>
      <c r="D4648" t="s">
        <v>71</v>
      </c>
      <c r="E4648">
        <v>0</v>
      </c>
      <c r="F4648">
        <v>78</v>
      </c>
      <c r="G4648" t="str">
        <f t="shared" si="80"/>
        <v>61-80</v>
      </c>
      <c r="H4648" t="s">
        <v>35</v>
      </c>
      <c r="I4648" t="s">
        <v>53</v>
      </c>
      <c r="J4648" t="s">
        <v>54</v>
      </c>
      <c r="K4648" t="s">
        <v>38</v>
      </c>
      <c r="L4648">
        <v>1</v>
      </c>
      <c r="M4648">
        <v>1</v>
      </c>
      <c r="N4648">
        <v>4.8</v>
      </c>
      <c r="O4648">
        <v>9.8000000000000007</v>
      </c>
      <c r="P4648">
        <v>5</v>
      </c>
      <c r="Q4648">
        <v>3</v>
      </c>
      <c r="R4648">
        <v>749072</v>
      </c>
      <c r="S4648">
        <f>Table1[[#This Row],[Revenue]]-Table1[[#This Row],[Operating_Costs]]</f>
        <v>150317</v>
      </c>
      <c r="T4648">
        <v>598755</v>
      </c>
      <c r="U4648">
        <v>50</v>
      </c>
      <c r="V4648">
        <v>63</v>
      </c>
      <c r="W4648">
        <v>36.700000000000003</v>
      </c>
    </row>
    <row r="4649" spans="1:23" x14ac:dyDescent="0.25">
      <c r="A4649">
        <v>14</v>
      </c>
      <c r="B4649" t="s">
        <v>48</v>
      </c>
      <c r="C4649" s="1">
        <v>45402</v>
      </c>
      <c r="D4649" t="s">
        <v>71</v>
      </c>
      <c r="E4649">
        <v>0</v>
      </c>
      <c r="F4649">
        <v>44</v>
      </c>
      <c r="G4649" t="str">
        <f t="shared" si="80"/>
        <v>41-60</v>
      </c>
      <c r="H4649" t="s">
        <v>35</v>
      </c>
      <c r="I4649" t="s">
        <v>61</v>
      </c>
      <c r="J4649" t="s">
        <v>62</v>
      </c>
      <c r="K4649" t="s">
        <v>33</v>
      </c>
      <c r="L4649">
        <v>1</v>
      </c>
      <c r="M4649">
        <v>1</v>
      </c>
      <c r="N4649">
        <v>4.8</v>
      </c>
      <c r="O4649">
        <v>8.6999999999999993</v>
      </c>
      <c r="P4649">
        <v>5</v>
      </c>
      <c r="Q4649">
        <v>6</v>
      </c>
      <c r="R4649">
        <v>798613</v>
      </c>
      <c r="S4649">
        <f>Table1[[#This Row],[Revenue]]-Table1[[#This Row],[Operating_Costs]]</f>
        <v>281575</v>
      </c>
      <c r="T4649">
        <v>517038</v>
      </c>
      <c r="U4649">
        <v>30</v>
      </c>
      <c r="V4649">
        <v>56</v>
      </c>
      <c r="W4649">
        <v>36.299999999999997</v>
      </c>
    </row>
    <row r="4650" spans="1:23" x14ac:dyDescent="0.25">
      <c r="A4650">
        <v>14</v>
      </c>
      <c r="B4650" t="s">
        <v>48</v>
      </c>
      <c r="C4650" s="1">
        <v>44377</v>
      </c>
      <c r="D4650" t="s">
        <v>71</v>
      </c>
      <c r="E4650">
        <v>0</v>
      </c>
      <c r="F4650">
        <v>23</v>
      </c>
      <c r="G4650" t="str">
        <f t="shared" si="80"/>
        <v>21-40</v>
      </c>
      <c r="H4650" t="s">
        <v>35</v>
      </c>
      <c r="I4650" t="s">
        <v>50</v>
      </c>
      <c r="J4650" t="s">
        <v>51</v>
      </c>
      <c r="K4650" t="s">
        <v>29</v>
      </c>
      <c r="L4650">
        <v>1</v>
      </c>
      <c r="M4650">
        <v>1</v>
      </c>
      <c r="N4650">
        <v>2</v>
      </c>
      <c r="O4650">
        <v>7.4</v>
      </c>
      <c r="P4650">
        <v>6</v>
      </c>
      <c r="Q4650">
        <v>6</v>
      </c>
      <c r="R4650">
        <v>805361</v>
      </c>
      <c r="S4650">
        <f>Table1[[#This Row],[Revenue]]-Table1[[#This Row],[Operating_Costs]]</f>
        <v>157135</v>
      </c>
      <c r="T4650">
        <v>648226</v>
      </c>
      <c r="U4650">
        <v>48</v>
      </c>
      <c r="V4650">
        <v>64</v>
      </c>
      <c r="W4650">
        <v>14</v>
      </c>
    </row>
    <row r="4651" spans="1:23" x14ac:dyDescent="0.25">
      <c r="A4651">
        <v>14</v>
      </c>
      <c r="B4651" t="s">
        <v>48</v>
      </c>
      <c r="C4651" s="1">
        <v>44815</v>
      </c>
      <c r="D4651" t="s">
        <v>71</v>
      </c>
      <c r="E4651">
        <v>0</v>
      </c>
      <c r="F4651">
        <v>61</v>
      </c>
      <c r="G4651" t="str">
        <f t="shared" si="80"/>
        <v>61-80</v>
      </c>
      <c r="H4651" t="s">
        <v>23</v>
      </c>
      <c r="I4651" t="s">
        <v>50</v>
      </c>
      <c r="J4651" t="s">
        <v>51</v>
      </c>
      <c r="K4651" t="s">
        <v>26</v>
      </c>
      <c r="L4651">
        <v>1</v>
      </c>
      <c r="M4651">
        <v>1</v>
      </c>
      <c r="N4651">
        <v>6.8</v>
      </c>
      <c r="O4651">
        <v>9.3000000000000007</v>
      </c>
      <c r="P4651">
        <v>7</v>
      </c>
      <c r="Q4651">
        <v>5</v>
      </c>
      <c r="R4651">
        <v>795327</v>
      </c>
      <c r="S4651">
        <f>Table1[[#This Row],[Revenue]]-Table1[[#This Row],[Operating_Costs]]</f>
        <v>258879</v>
      </c>
      <c r="T4651">
        <v>536448</v>
      </c>
      <c r="U4651">
        <v>46</v>
      </c>
      <c r="V4651">
        <v>65</v>
      </c>
      <c r="W4651">
        <v>36</v>
      </c>
    </row>
    <row r="4652" spans="1:23" x14ac:dyDescent="0.25">
      <c r="A4652">
        <v>14</v>
      </c>
      <c r="B4652" t="s">
        <v>48</v>
      </c>
      <c r="C4652" s="1">
        <v>45107</v>
      </c>
      <c r="D4652" t="s">
        <v>71</v>
      </c>
      <c r="E4652">
        <v>0</v>
      </c>
      <c r="F4652">
        <v>23</v>
      </c>
      <c r="G4652" t="str">
        <f t="shared" si="80"/>
        <v>21-40</v>
      </c>
      <c r="H4652" t="s">
        <v>35</v>
      </c>
      <c r="I4652" t="s">
        <v>55</v>
      </c>
      <c r="J4652" t="s">
        <v>56</v>
      </c>
      <c r="K4652" t="s">
        <v>29</v>
      </c>
      <c r="L4652">
        <v>1</v>
      </c>
      <c r="M4652">
        <v>1</v>
      </c>
      <c r="N4652">
        <v>5.3</v>
      </c>
      <c r="O4652">
        <v>7.5</v>
      </c>
      <c r="P4652">
        <v>4</v>
      </c>
      <c r="Q4652">
        <v>3</v>
      </c>
      <c r="R4652">
        <v>740598</v>
      </c>
      <c r="S4652">
        <f>Table1[[#This Row],[Revenue]]-Table1[[#This Row],[Operating_Costs]]</f>
        <v>83598</v>
      </c>
      <c r="T4652">
        <v>657000</v>
      </c>
      <c r="U4652">
        <v>38</v>
      </c>
      <c r="V4652">
        <v>55</v>
      </c>
      <c r="W4652">
        <v>7.3</v>
      </c>
    </row>
    <row r="4653" spans="1:23" x14ac:dyDescent="0.25">
      <c r="A4653">
        <v>14</v>
      </c>
      <c r="B4653" t="s">
        <v>48</v>
      </c>
      <c r="C4653" s="1">
        <v>45229</v>
      </c>
      <c r="D4653" t="s">
        <v>71</v>
      </c>
      <c r="E4653">
        <v>0</v>
      </c>
      <c r="F4653">
        <v>23</v>
      </c>
      <c r="G4653" t="str">
        <f t="shared" si="80"/>
        <v>21-40</v>
      </c>
      <c r="H4653" t="s">
        <v>35</v>
      </c>
      <c r="I4653" t="s">
        <v>36</v>
      </c>
      <c r="J4653" t="s">
        <v>37</v>
      </c>
      <c r="K4653" t="s">
        <v>29</v>
      </c>
      <c r="L4653">
        <v>1</v>
      </c>
      <c r="M4653">
        <v>1</v>
      </c>
      <c r="N4653">
        <v>4</v>
      </c>
      <c r="O4653">
        <v>8.4</v>
      </c>
      <c r="P4653">
        <v>6</v>
      </c>
      <c r="Q4653">
        <v>7</v>
      </c>
      <c r="R4653">
        <v>849031</v>
      </c>
      <c r="S4653">
        <f>Table1[[#This Row],[Revenue]]-Table1[[#This Row],[Operating_Costs]]</f>
        <v>256879</v>
      </c>
      <c r="T4653">
        <v>592152</v>
      </c>
      <c r="U4653">
        <v>33</v>
      </c>
      <c r="V4653">
        <v>57</v>
      </c>
      <c r="W4653">
        <v>13.3</v>
      </c>
    </row>
    <row r="4654" spans="1:23" x14ac:dyDescent="0.25">
      <c r="A4654">
        <v>14</v>
      </c>
      <c r="B4654" t="s">
        <v>48</v>
      </c>
      <c r="C4654" s="1">
        <v>44393</v>
      </c>
      <c r="D4654" t="s">
        <v>71</v>
      </c>
      <c r="E4654">
        <v>0</v>
      </c>
      <c r="F4654">
        <v>75</v>
      </c>
      <c r="G4654" t="str">
        <f t="shared" si="80"/>
        <v>61-80</v>
      </c>
      <c r="H4654" t="s">
        <v>23</v>
      </c>
      <c r="I4654" t="s">
        <v>46</v>
      </c>
      <c r="J4654" t="s">
        <v>47</v>
      </c>
      <c r="K4654" t="s">
        <v>42</v>
      </c>
      <c r="L4654">
        <v>1</v>
      </c>
      <c r="M4654">
        <v>1</v>
      </c>
      <c r="N4654">
        <v>6.8</v>
      </c>
      <c r="O4654">
        <v>7.8</v>
      </c>
      <c r="P4654">
        <v>6</v>
      </c>
      <c r="Q4654">
        <v>4</v>
      </c>
      <c r="R4654">
        <v>832695</v>
      </c>
      <c r="S4654">
        <f>Table1[[#This Row],[Revenue]]-Table1[[#This Row],[Operating_Costs]]</f>
        <v>300259</v>
      </c>
      <c r="T4654">
        <v>532436</v>
      </c>
      <c r="U4654">
        <v>35</v>
      </c>
      <c r="V4654">
        <v>61</v>
      </c>
      <c r="W4654">
        <v>10</v>
      </c>
    </row>
    <row r="4655" spans="1:23" x14ac:dyDescent="0.25">
      <c r="A4655">
        <v>14</v>
      </c>
      <c r="B4655" t="s">
        <v>48</v>
      </c>
      <c r="C4655" s="1">
        <v>44995</v>
      </c>
      <c r="D4655" t="s">
        <v>71</v>
      </c>
      <c r="E4655">
        <v>0</v>
      </c>
      <c r="F4655">
        <v>78</v>
      </c>
      <c r="G4655" t="str">
        <f t="shared" si="80"/>
        <v>61-80</v>
      </c>
      <c r="H4655" t="s">
        <v>23</v>
      </c>
      <c r="I4655" t="s">
        <v>27</v>
      </c>
      <c r="J4655" t="s">
        <v>28</v>
      </c>
      <c r="K4655" t="s">
        <v>26</v>
      </c>
      <c r="L4655">
        <v>1</v>
      </c>
      <c r="M4655">
        <v>1</v>
      </c>
      <c r="N4655">
        <v>1.2</v>
      </c>
      <c r="O4655">
        <v>9.8000000000000007</v>
      </c>
      <c r="P4655">
        <v>5</v>
      </c>
      <c r="Q4655">
        <v>3</v>
      </c>
      <c r="R4655">
        <v>742406</v>
      </c>
      <c r="S4655">
        <f>Table1[[#This Row],[Revenue]]-Table1[[#This Row],[Operating_Costs]]</f>
        <v>220526</v>
      </c>
      <c r="T4655">
        <v>521880</v>
      </c>
      <c r="U4655">
        <v>40</v>
      </c>
      <c r="V4655">
        <v>65</v>
      </c>
      <c r="W4655">
        <v>5.8</v>
      </c>
    </row>
    <row r="4656" spans="1:23" x14ac:dyDescent="0.25">
      <c r="A4656">
        <v>14</v>
      </c>
      <c r="B4656" t="s">
        <v>48</v>
      </c>
      <c r="C4656" s="1">
        <v>45511</v>
      </c>
      <c r="D4656" t="s">
        <v>71</v>
      </c>
      <c r="E4656">
        <v>0</v>
      </c>
      <c r="F4656">
        <v>42</v>
      </c>
      <c r="G4656" t="str">
        <f t="shared" si="80"/>
        <v>41-60</v>
      </c>
      <c r="H4656" t="s">
        <v>35</v>
      </c>
      <c r="I4656" t="s">
        <v>31</v>
      </c>
      <c r="J4656" t="s">
        <v>28</v>
      </c>
      <c r="K4656" t="s">
        <v>33</v>
      </c>
      <c r="L4656">
        <v>1</v>
      </c>
      <c r="M4656">
        <v>1</v>
      </c>
      <c r="N4656">
        <v>3</v>
      </c>
      <c r="O4656">
        <v>9.5</v>
      </c>
      <c r="P4656">
        <v>7</v>
      </c>
      <c r="Q4656">
        <v>3</v>
      </c>
      <c r="R4656">
        <v>856457</v>
      </c>
      <c r="S4656">
        <f>Table1[[#This Row],[Revenue]]-Table1[[#This Row],[Operating_Costs]]</f>
        <v>291036</v>
      </c>
      <c r="T4656">
        <v>565421</v>
      </c>
      <c r="U4656">
        <v>44</v>
      </c>
      <c r="V4656">
        <v>66</v>
      </c>
      <c r="W4656">
        <v>36</v>
      </c>
    </row>
    <row r="4657" spans="1:23" x14ac:dyDescent="0.25">
      <c r="A4657">
        <v>14</v>
      </c>
      <c r="B4657" t="s">
        <v>48</v>
      </c>
      <c r="C4657" s="1">
        <v>45450</v>
      </c>
      <c r="D4657" t="s">
        <v>71</v>
      </c>
      <c r="E4657">
        <v>0</v>
      </c>
      <c r="F4657">
        <v>46</v>
      </c>
      <c r="G4657" t="str">
        <f t="shared" si="80"/>
        <v>41-60</v>
      </c>
      <c r="H4657" t="s">
        <v>23</v>
      </c>
      <c r="I4657" t="s">
        <v>58</v>
      </c>
      <c r="J4657" t="s">
        <v>59</v>
      </c>
      <c r="K4657" t="s">
        <v>29</v>
      </c>
      <c r="L4657">
        <v>1</v>
      </c>
      <c r="M4657">
        <v>1</v>
      </c>
      <c r="N4657">
        <v>2.7</v>
      </c>
      <c r="O4657">
        <v>7.4</v>
      </c>
      <c r="P4657">
        <v>5</v>
      </c>
      <c r="Q4657">
        <v>3</v>
      </c>
      <c r="R4657">
        <v>781469</v>
      </c>
      <c r="S4657">
        <f>Table1[[#This Row],[Revenue]]-Table1[[#This Row],[Operating_Costs]]</f>
        <v>194096</v>
      </c>
      <c r="T4657">
        <v>587373</v>
      </c>
      <c r="U4657">
        <v>35</v>
      </c>
      <c r="V4657">
        <v>58</v>
      </c>
      <c r="W4657">
        <v>8.6999999999999993</v>
      </c>
    </row>
    <row r="4658" spans="1:23" x14ac:dyDescent="0.25">
      <c r="A4658">
        <v>14</v>
      </c>
      <c r="B4658" t="s">
        <v>48</v>
      </c>
      <c r="C4658" s="1">
        <v>44869</v>
      </c>
      <c r="D4658" t="s">
        <v>71</v>
      </c>
      <c r="E4658">
        <v>0</v>
      </c>
      <c r="F4658">
        <v>39</v>
      </c>
      <c r="G4658" t="str">
        <f t="shared" si="80"/>
        <v>21-40</v>
      </c>
      <c r="H4658" t="s">
        <v>35</v>
      </c>
      <c r="I4658" t="s">
        <v>36</v>
      </c>
      <c r="J4658" t="s">
        <v>37</v>
      </c>
      <c r="K4658" t="s">
        <v>29</v>
      </c>
      <c r="L4658">
        <v>1</v>
      </c>
      <c r="M4658">
        <v>1</v>
      </c>
      <c r="N4658">
        <v>4.0999999999999996</v>
      </c>
      <c r="O4658">
        <v>7.9</v>
      </c>
      <c r="P4658">
        <v>6</v>
      </c>
      <c r="Q4658">
        <v>4</v>
      </c>
      <c r="R4658">
        <v>761807</v>
      </c>
      <c r="S4658">
        <f>Table1[[#This Row],[Revenue]]-Table1[[#This Row],[Operating_Costs]]</f>
        <v>143793</v>
      </c>
      <c r="T4658">
        <v>618014</v>
      </c>
      <c r="U4658">
        <v>30</v>
      </c>
      <c r="V4658">
        <v>58</v>
      </c>
      <c r="W4658">
        <v>36.700000000000003</v>
      </c>
    </row>
    <row r="4659" spans="1:23" x14ac:dyDescent="0.25">
      <c r="A4659">
        <v>14</v>
      </c>
      <c r="B4659" t="s">
        <v>48</v>
      </c>
      <c r="C4659" s="1">
        <v>45175</v>
      </c>
      <c r="D4659" t="s">
        <v>71</v>
      </c>
      <c r="E4659">
        <v>0</v>
      </c>
      <c r="F4659">
        <v>75</v>
      </c>
      <c r="G4659" t="str">
        <f t="shared" si="80"/>
        <v>61-80</v>
      </c>
      <c r="H4659" t="s">
        <v>23</v>
      </c>
      <c r="I4659" t="s">
        <v>64</v>
      </c>
      <c r="J4659" t="s">
        <v>65</v>
      </c>
      <c r="K4659" t="s">
        <v>42</v>
      </c>
      <c r="L4659">
        <v>1</v>
      </c>
      <c r="M4659">
        <v>1</v>
      </c>
      <c r="N4659">
        <v>3</v>
      </c>
      <c r="O4659">
        <v>8</v>
      </c>
      <c r="P4659">
        <v>5</v>
      </c>
      <c r="Q4659">
        <v>3</v>
      </c>
      <c r="R4659">
        <v>823601</v>
      </c>
      <c r="S4659">
        <f>Table1[[#This Row],[Revenue]]-Table1[[#This Row],[Operating_Costs]]</f>
        <v>238229</v>
      </c>
      <c r="T4659">
        <v>585372</v>
      </c>
      <c r="U4659">
        <v>32</v>
      </c>
      <c r="V4659">
        <v>56</v>
      </c>
      <c r="W4659">
        <v>7.4</v>
      </c>
    </row>
    <row r="4660" spans="1:23" x14ac:dyDescent="0.25">
      <c r="A4660">
        <v>14</v>
      </c>
      <c r="B4660" t="s">
        <v>48</v>
      </c>
      <c r="C4660" s="1">
        <v>44841</v>
      </c>
      <c r="D4660" t="s">
        <v>71</v>
      </c>
      <c r="E4660">
        <v>0</v>
      </c>
      <c r="F4660">
        <v>33</v>
      </c>
      <c r="G4660" t="str">
        <f t="shared" si="80"/>
        <v>21-40</v>
      </c>
      <c r="H4660" t="s">
        <v>23</v>
      </c>
      <c r="I4660" t="s">
        <v>43</v>
      </c>
      <c r="J4660" t="s">
        <v>25</v>
      </c>
      <c r="K4660" t="s">
        <v>29</v>
      </c>
      <c r="L4660">
        <v>1</v>
      </c>
      <c r="M4660">
        <v>1</v>
      </c>
      <c r="N4660">
        <v>3.3</v>
      </c>
      <c r="O4660">
        <v>8.1</v>
      </c>
      <c r="P4660">
        <v>7</v>
      </c>
      <c r="Q4660">
        <v>5</v>
      </c>
      <c r="R4660">
        <v>723847</v>
      </c>
      <c r="S4660">
        <f>Table1[[#This Row],[Revenue]]-Table1[[#This Row],[Operating_Costs]]</f>
        <v>171007</v>
      </c>
      <c r="T4660">
        <v>552840</v>
      </c>
      <c r="U4660">
        <v>45</v>
      </c>
      <c r="V4660">
        <v>66</v>
      </c>
      <c r="W4660">
        <v>14.2</v>
      </c>
    </row>
    <row r="4661" spans="1:23" x14ac:dyDescent="0.25">
      <c r="A4661">
        <v>14</v>
      </c>
      <c r="B4661" t="s">
        <v>48</v>
      </c>
      <c r="C4661" s="1">
        <v>44806</v>
      </c>
      <c r="D4661" t="s">
        <v>71</v>
      </c>
      <c r="E4661">
        <v>0</v>
      </c>
      <c r="F4661">
        <v>53</v>
      </c>
      <c r="G4661" t="str">
        <f t="shared" si="80"/>
        <v>41-60</v>
      </c>
      <c r="H4661" t="s">
        <v>35</v>
      </c>
      <c r="I4661" t="s">
        <v>58</v>
      </c>
      <c r="J4661" t="s">
        <v>59</v>
      </c>
      <c r="K4661" t="s">
        <v>26</v>
      </c>
      <c r="L4661">
        <v>1</v>
      </c>
      <c r="M4661">
        <v>1</v>
      </c>
      <c r="N4661">
        <v>3.6</v>
      </c>
      <c r="O4661">
        <v>9.8000000000000007</v>
      </c>
      <c r="P4661">
        <v>6</v>
      </c>
      <c r="Q4661">
        <v>7</v>
      </c>
      <c r="R4661">
        <v>782218</v>
      </c>
      <c r="S4661">
        <f>Table1[[#This Row],[Revenue]]-Table1[[#This Row],[Operating_Costs]]</f>
        <v>234449</v>
      </c>
      <c r="T4661">
        <v>547769</v>
      </c>
      <c r="U4661">
        <v>48</v>
      </c>
      <c r="V4661">
        <v>66</v>
      </c>
      <c r="W4661">
        <v>10.8</v>
      </c>
    </row>
    <row r="4662" spans="1:23" x14ac:dyDescent="0.25">
      <c r="A4662">
        <v>14</v>
      </c>
      <c r="B4662" t="s">
        <v>48</v>
      </c>
      <c r="C4662" s="1">
        <v>45005</v>
      </c>
      <c r="D4662" t="s">
        <v>71</v>
      </c>
      <c r="E4662">
        <v>0</v>
      </c>
      <c r="F4662">
        <v>77</v>
      </c>
      <c r="G4662" t="str">
        <f t="shared" si="80"/>
        <v>61-80</v>
      </c>
      <c r="H4662" t="s">
        <v>23</v>
      </c>
      <c r="I4662" t="s">
        <v>24</v>
      </c>
      <c r="J4662" t="s">
        <v>25</v>
      </c>
      <c r="K4662" t="s">
        <v>29</v>
      </c>
      <c r="L4662">
        <v>1</v>
      </c>
      <c r="M4662">
        <v>1</v>
      </c>
      <c r="N4662">
        <v>4.5</v>
      </c>
      <c r="O4662">
        <v>7.2</v>
      </c>
      <c r="P4662">
        <v>4</v>
      </c>
      <c r="Q4662">
        <v>3</v>
      </c>
      <c r="R4662">
        <v>802943</v>
      </c>
      <c r="S4662">
        <f>Table1[[#This Row],[Revenue]]-Table1[[#This Row],[Operating_Costs]]</f>
        <v>122476</v>
      </c>
      <c r="T4662">
        <v>680467</v>
      </c>
      <c r="U4662">
        <v>47</v>
      </c>
      <c r="V4662">
        <v>57</v>
      </c>
      <c r="W4662">
        <v>5.9</v>
      </c>
    </row>
    <row r="4663" spans="1:23" x14ac:dyDescent="0.25">
      <c r="A4663">
        <v>14</v>
      </c>
      <c r="B4663" t="s">
        <v>48</v>
      </c>
      <c r="C4663" s="1">
        <v>45535</v>
      </c>
      <c r="D4663" t="s">
        <v>71</v>
      </c>
      <c r="E4663">
        <v>0</v>
      </c>
      <c r="F4663">
        <v>25</v>
      </c>
      <c r="G4663" t="str">
        <f t="shared" si="80"/>
        <v>21-40</v>
      </c>
      <c r="H4663" t="s">
        <v>23</v>
      </c>
      <c r="I4663" t="s">
        <v>55</v>
      </c>
      <c r="J4663" t="s">
        <v>56</v>
      </c>
      <c r="K4663" t="s">
        <v>26</v>
      </c>
      <c r="L4663">
        <v>1</v>
      </c>
      <c r="M4663">
        <v>1</v>
      </c>
      <c r="N4663">
        <v>1.1000000000000001</v>
      </c>
      <c r="O4663">
        <v>9.6999999999999993</v>
      </c>
      <c r="P4663">
        <v>6</v>
      </c>
      <c r="Q4663">
        <v>7</v>
      </c>
      <c r="R4663">
        <v>799694</v>
      </c>
      <c r="S4663">
        <f>Table1[[#This Row],[Revenue]]-Table1[[#This Row],[Operating_Costs]]</f>
        <v>287556</v>
      </c>
      <c r="T4663">
        <v>512138</v>
      </c>
      <c r="U4663">
        <v>40</v>
      </c>
      <c r="V4663">
        <v>57</v>
      </c>
      <c r="W4663">
        <v>36.200000000000003</v>
      </c>
    </row>
    <row r="4664" spans="1:23" x14ac:dyDescent="0.25">
      <c r="A4664">
        <v>14</v>
      </c>
      <c r="B4664" t="s">
        <v>48</v>
      </c>
      <c r="C4664" s="1">
        <v>44881</v>
      </c>
      <c r="D4664" t="s">
        <v>71</v>
      </c>
      <c r="E4664">
        <v>0</v>
      </c>
      <c r="F4664">
        <v>31</v>
      </c>
      <c r="G4664" t="str">
        <f t="shared" si="80"/>
        <v>21-40</v>
      </c>
      <c r="H4664" t="s">
        <v>35</v>
      </c>
      <c r="I4664" t="s">
        <v>55</v>
      </c>
      <c r="J4664" t="s">
        <v>56</v>
      </c>
      <c r="K4664" t="s">
        <v>26</v>
      </c>
      <c r="L4664">
        <v>1</v>
      </c>
      <c r="M4664">
        <v>1</v>
      </c>
      <c r="N4664">
        <v>5.4</v>
      </c>
      <c r="O4664">
        <v>8.5</v>
      </c>
      <c r="P4664">
        <v>3</v>
      </c>
      <c r="Q4664">
        <v>3</v>
      </c>
      <c r="R4664">
        <v>872220</v>
      </c>
      <c r="S4664">
        <f>Table1[[#This Row],[Revenue]]-Table1[[#This Row],[Operating_Costs]]</f>
        <v>209650</v>
      </c>
      <c r="T4664">
        <v>662570</v>
      </c>
      <c r="U4664">
        <v>42</v>
      </c>
      <c r="V4664">
        <v>63</v>
      </c>
      <c r="W4664">
        <v>8.1999999999999993</v>
      </c>
    </row>
    <row r="4665" spans="1:23" x14ac:dyDescent="0.25">
      <c r="A4665">
        <v>14</v>
      </c>
      <c r="B4665" t="s">
        <v>48</v>
      </c>
      <c r="C4665" s="1">
        <v>44513</v>
      </c>
      <c r="D4665" t="s">
        <v>71</v>
      </c>
      <c r="E4665">
        <v>0</v>
      </c>
      <c r="F4665">
        <v>43</v>
      </c>
      <c r="G4665" t="str">
        <f t="shared" si="80"/>
        <v>41-60</v>
      </c>
      <c r="H4665" t="s">
        <v>35</v>
      </c>
      <c r="I4665" t="s">
        <v>36</v>
      </c>
      <c r="J4665" t="s">
        <v>37</v>
      </c>
      <c r="K4665" t="s">
        <v>42</v>
      </c>
      <c r="L4665">
        <v>1</v>
      </c>
      <c r="M4665">
        <v>1</v>
      </c>
      <c r="N4665">
        <v>3.5</v>
      </c>
      <c r="O4665">
        <v>9.3000000000000007</v>
      </c>
      <c r="P4665">
        <v>3</v>
      </c>
      <c r="Q4665">
        <v>5</v>
      </c>
      <c r="R4665">
        <v>800440</v>
      </c>
      <c r="S4665">
        <f>Table1[[#This Row],[Revenue]]-Table1[[#This Row],[Operating_Costs]]</f>
        <v>288018</v>
      </c>
      <c r="T4665">
        <v>512422</v>
      </c>
      <c r="U4665">
        <v>49</v>
      </c>
      <c r="V4665">
        <v>65</v>
      </c>
      <c r="W4665">
        <v>8.9</v>
      </c>
    </row>
    <row r="4666" spans="1:23" x14ac:dyDescent="0.25">
      <c r="A4666">
        <v>14</v>
      </c>
      <c r="B4666" t="s">
        <v>48</v>
      </c>
      <c r="C4666" s="1">
        <v>44513</v>
      </c>
      <c r="D4666" t="s">
        <v>71</v>
      </c>
      <c r="E4666">
        <v>0</v>
      </c>
      <c r="F4666">
        <v>72</v>
      </c>
      <c r="G4666" t="str">
        <f t="shared" si="80"/>
        <v>61-80</v>
      </c>
      <c r="H4666" t="s">
        <v>35</v>
      </c>
      <c r="I4666" t="s">
        <v>58</v>
      </c>
      <c r="J4666" t="s">
        <v>59</v>
      </c>
      <c r="K4666" t="s">
        <v>42</v>
      </c>
      <c r="L4666">
        <v>1</v>
      </c>
      <c r="M4666">
        <v>1</v>
      </c>
      <c r="N4666">
        <v>2.1</v>
      </c>
      <c r="O4666">
        <v>8.9</v>
      </c>
      <c r="P4666">
        <v>4</v>
      </c>
      <c r="Q4666">
        <v>4</v>
      </c>
      <c r="R4666">
        <v>704529</v>
      </c>
      <c r="S4666">
        <f>Table1[[#This Row],[Revenue]]-Table1[[#This Row],[Operating_Costs]]</f>
        <v>184091</v>
      </c>
      <c r="T4666">
        <v>520438</v>
      </c>
      <c r="U4666">
        <v>36</v>
      </c>
      <c r="V4666">
        <v>60</v>
      </c>
      <c r="W4666">
        <v>5.9</v>
      </c>
    </row>
    <row r="4667" spans="1:23" x14ac:dyDescent="0.25">
      <c r="A4667">
        <v>14</v>
      </c>
      <c r="B4667" t="s">
        <v>48</v>
      </c>
      <c r="C4667" s="1">
        <v>45009</v>
      </c>
      <c r="D4667" t="s">
        <v>71</v>
      </c>
      <c r="E4667">
        <v>0</v>
      </c>
      <c r="F4667">
        <v>23</v>
      </c>
      <c r="G4667" t="str">
        <f t="shared" si="80"/>
        <v>21-40</v>
      </c>
      <c r="H4667" t="s">
        <v>35</v>
      </c>
      <c r="I4667" t="s">
        <v>40</v>
      </c>
      <c r="J4667" t="s">
        <v>41</v>
      </c>
      <c r="K4667" t="s">
        <v>42</v>
      </c>
      <c r="L4667">
        <v>1</v>
      </c>
      <c r="M4667">
        <v>1</v>
      </c>
      <c r="N4667">
        <v>6.8</v>
      </c>
      <c r="O4667">
        <v>9.1</v>
      </c>
      <c r="P4667">
        <v>7</v>
      </c>
      <c r="Q4667">
        <v>5</v>
      </c>
      <c r="R4667">
        <v>820623</v>
      </c>
      <c r="S4667">
        <f>Table1[[#This Row],[Revenue]]-Table1[[#This Row],[Operating_Costs]]</f>
        <v>127309</v>
      </c>
      <c r="T4667">
        <v>693314</v>
      </c>
      <c r="U4667">
        <v>36</v>
      </c>
      <c r="V4667">
        <v>64</v>
      </c>
      <c r="W4667">
        <v>6.3</v>
      </c>
    </row>
    <row r="4668" spans="1:23" x14ac:dyDescent="0.25">
      <c r="A4668">
        <v>14</v>
      </c>
      <c r="B4668" t="s">
        <v>48</v>
      </c>
      <c r="C4668" s="1">
        <v>45026</v>
      </c>
      <c r="D4668" t="s">
        <v>71</v>
      </c>
      <c r="E4668">
        <v>0</v>
      </c>
      <c r="F4668">
        <v>45</v>
      </c>
      <c r="G4668" t="str">
        <f t="shared" si="80"/>
        <v>41-60</v>
      </c>
      <c r="H4668" t="s">
        <v>23</v>
      </c>
      <c r="I4668" t="s">
        <v>55</v>
      </c>
      <c r="J4668" t="s">
        <v>56</v>
      </c>
      <c r="K4668" t="s">
        <v>33</v>
      </c>
      <c r="L4668">
        <v>1</v>
      </c>
      <c r="M4668">
        <v>1</v>
      </c>
      <c r="N4668">
        <v>1.9</v>
      </c>
      <c r="O4668">
        <v>7</v>
      </c>
      <c r="P4668">
        <v>5</v>
      </c>
      <c r="Q4668">
        <v>4</v>
      </c>
      <c r="R4668">
        <v>890749</v>
      </c>
      <c r="S4668">
        <f>Table1[[#This Row],[Revenue]]-Table1[[#This Row],[Operating_Costs]]</f>
        <v>339444</v>
      </c>
      <c r="T4668">
        <v>551305</v>
      </c>
      <c r="U4668">
        <v>49</v>
      </c>
      <c r="V4668">
        <v>62</v>
      </c>
      <c r="W4668">
        <v>13.9</v>
      </c>
    </row>
    <row r="4669" spans="1:23" x14ac:dyDescent="0.25">
      <c r="A4669">
        <v>14</v>
      </c>
      <c r="B4669" t="s">
        <v>48</v>
      </c>
      <c r="C4669" s="1">
        <v>45268</v>
      </c>
      <c r="D4669" t="s">
        <v>71</v>
      </c>
      <c r="E4669">
        <v>0</v>
      </c>
      <c r="F4669">
        <v>25</v>
      </c>
      <c r="G4669" t="str">
        <f t="shared" si="80"/>
        <v>21-40</v>
      </c>
      <c r="H4669" t="s">
        <v>23</v>
      </c>
      <c r="I4669" t="s">
        <v>40</v>
      </c>
      <c r="J4669" t="s">
        <v>41</v>
      </c>
      <c r="K4669" t="s">
        <v>29</v>
      </c>
      <c r="L4669">
        <v>1</v>
      </c>
      <c r="M4669">
        <v>1</v>
      </c>
      <c r="N4669">
        <v>2.5</v>
      </c>
      <c r="O4669">
        <v>8.3000000000000007</v>
      </c>
      <c r="P4669">
        <v>5</v>
      </c>
      <c r="Q4669">
        <v>4</v>
      </c>
      <c r="R4669">
        <v>809932</v>
      </c>
      <c r="S4669">
        <f>Table1[[#This Row],[Revenue]]-Table1[[#This Row],[Operating_Costs]]</f>
        <v>175275</v>
      </c>
      <c r="T4669">
        <v>634657</v>
      </c>
      <c r="U4669">
        <v>37</v>
      </c>
      <c r="V4669">
        <v>57</v>
      </c>
      <c r="W4669">
        <v>8.5</v>
      </c>
    </row>
    <row r="4670" spans="1:23" x14ac:dyDescent="0.25">
      <c r="A4670">
        <v>14</v>
      </c>
      <c r="B4670" t="s">
        <v>48</v>
      </c>
      <c r="C4670" s="1">
        <v>44668</v>
      </c>
      <c r="D4670" t="s">
        <v>71</v>
      </c>
      <c r="E4670">
        <v>0</v>
      </c>
      <c r="F4670">
        <v>59</v>
      </c>
      <c r="G4670" t="str">
        <f t="shared" si="80"/>
        <v>41-60</v>
      </c>
      <c r="H4670" t="s">
        <v>35</v>
      </c>
      <c r="I4670" t="s">
        <v>64</v>
      </c>
      <c r="J4670" t="s">
        <v>65</v>
      </c>
      <c r="K4670" t="s">
        <v>42</v>
      </c>
      <c r="L4670">
        <v>1</v>
      </c>
      <c r="M4670">
        <v>1</v>
      </c>
      <c r="N4670">
        <v>4</v>
      </c>
      <c r="O4670">
        <v>9.9</v>
      </c>
      <c r="P4670">
        <v>7</v>
      </c>
      <c r="Q4670">
        <v>6</v>
      </c>
      <c r="R4670">
        <v>880201</v>
      </c>
      <c r="S4670">
        <f>Table1[[#This Row],[Revenue]]-Table1[[#This Row],[Operating_Costs]]</f>
        <v>220835</v>
      </c>
      <c r="T4670">
        <v>659366</v>
      </c>
      <c r="U4670">
        <v>37</v>
      </c>
      <c r="V4670">
        <v>65</v>
      </c>
      <c r="W4670">
        <v>10.5</v>
      </c>
    </row>
    <row r="4671" spans="1:23" x14ac:dyDescent="0.25">
      <c r="A4671">
        <v>14</v>
      </c>
      <c r="B4671" t="s">
        <v>48</v>
      </c>
      <c r="C4671" s="1">
        <v>44304</v>
      </c>
      <c r="D4671" t="s">
        <v>71</v>
      </c>
      <c r="E4671">
        <v>0</v>
      </c>
      <c r="F4671">
        <v>47</v>
      </c>
      <c r="G4671" t="str">
        <f t="shared" si="80"/>
        <v>41-60</v>
      </c>
      <c r="H4671" t="s">
        <v>23</v>
      </c>
      <c r="I4671" t="s">
        <v>64</v>
      </c>
      <c r="J4671" t="s">
        <v>65</v>
      </c>
      <c r="K4671" t="s">
        <v>42</v>
      </c>
      <c r="L4671">
        <v>1</v>
      </c>
      <c r="M4671">
        <v>1</v>
      </c>
      <c r="N4671">
        <v>1.2</v>
      </c>
      <c r="O4671">
        <v>7.7</v>
      </c>
      <c r="P4671">
        <v>6</v>
      </c>
      <c r="Q4671">
        <v>7</v>
      </c>
      <c r="R4671">
        <v>845764</v>
      </c>
      <c r="S4671">
        <f>Table1[[#This Row],[Revenue]]-Table1[[#This Row],[Operating_Costs]]</f>
        <v>223988</v>
      </c>
      <c r="T4671">
        <v>621776</v>
      </c>
      <c r="U4671">
        <v>35</v>
      </c>
      <c r="V4671">
        <v>58</v>
      </c>
      <c r="W4671">
        <v>36.9</v>
      </c>
    </row>
    <row r="4672" spans="1:23" x14ac:dyDescent="0.25">
      <c r="A4672">
        <v>14</v>
      </c>
      <c r="B4672" t="s">
        <v>48</v>
      </c>
      <c r="C4672" s="1">
        <v>45293</v>
      </c>
      <c r="D4672" t="s">
        <v>71</v>
      </c>
      <c r="E4672">
        <v>0</v>
      </c>
      <c r="F4672">
        <v>47</v>
      </c>
      <c r="G4672" t="str">
        <f t="shared" si="80"/>
        <v>41-60</v>
      </c>
      <c r="H4672" t="s">
        <v>23</v>
      </c>
      <c r="I4672" t="s">
        <v>27</v>
      </c>
      <c r="J4672" t="s">
        <v>28</v>
      </c>
      <c r="K4672" t="s">
        <v>38</v>
      </c>
      <c r="L4672">
        <v>1</v>
      </c>
      <c r="M4672">
        <v>1</v>
      </c>
      <c r="N4672">
        <v>3.1</v>
      </c>
      <c r="O4672">
        <v>7.3</v>
      </c>
      <c r="P4672">
        <v>6</v>
      </c>
      <c r="Q4672">
        <v>6</v>
      </c>
      <c r="R4672">
        <v>847830</v>
      </c>
      <c r="S4672">
        <f>Table1[[#This Row],[Revenue]]-Table1[[#This Row],[Operating_Costs]]</f>
        <v>220462</v>
      </c>
      <c r="T4672">
        <v>627368</v>
      </c>
      <c r="U4672">
        <v>49</v>
      </c>
      <c r="V4672">
        <v>55</v>
      </c>
      <c r="W4672">
        <v>6.4</v>
      </c>
    </row>
    <row r="4673" spans="1:23" x14ac:dyDescent="0.25">
      <c r="A4673">
        <v>14</v>
      </c>
      <c r="B4673" t="s">
        <v>48</v>
      </c>
      <c r="C4673" s="1">
        <v>44879</v>
      </c>
      <c r="D4673" t="s">
        <v>71</v>
      </c>
      <c r="E4673">
        <v>0</v>
      </c>
      <c r="F4673">
        <v>31</v>
      </c>
      <c r="G4673" t="str">
        <f t="shared" si="80"/>
        <v>21-40</v>
      </c>
      <c r="H4673" t="s">
        <v>35</v>
      </c>
      <c r="I4673" t="s">
        <v>64</v>
      </c>
      <c r="J4673" t="s">
        <v>65</v>
      </c>
      <c r="K4673" t="s">
        <v>29</v>
      </c>
      <c r="L4673">
        <v>1</v>
      </c>
      <c r="M4673">
        <v>1</v>
      </c>
      <c r="N4673">
        <v>6.6</v>
      </c>
      <c r="O4673">
        <v>9.3000000000000007</v>
      </c>
      <c r="P4673">
        <v>4</v>
      </c>
      <c r="Q4673">
        <v>4</v>
      </c>
      <c r="R4673">
        <v>725518</v>
      </c>
      <c r="S4673">
        <f>Table1[[#This Row],[Revenue]]-Table1[[#This Row],[Operating_Costs]]</f>
        <v>202921</v>
      </c>
      <c r="T4673">
        <v>522597</v>
      </c>
      <c r="U4673">
        <v>32</v>
      </c>
      <c r="V4673">
        <v>54</v>
      </c>
      <c r="W4673">
        <v>9.1</v>
      </c>
    </row>
    <row r="4674" spans="1:23" x14ac:dyDescent="0.25">
      <c r="A4674">
        <v>14</v>
      </c>
      <c r="B4674" t="s">
        <v>48</v>
      </c>
      <c r="C4674" s="1">
        <v>45395</v>
      </c>
      <c r="D4674" t="s">
        <v>71</v>
      </c>
      <c r="E4674">
        <v>0</v>
      </c>
      <c r="F4674">
        <v>31</v>
      </c>
      <c r="G4674" t="str">
        <f t="shared" si="80"/>
        <v>21-40</v>
      </c>
      <c r="H4674" t="s">
        <v>35</v>
      </c>
      <c r="I4674" t="s">
        <v>50</v>
      </c>
      <c r="J4674" t="s">
        <v>51</v>
      </c>
      <c r="K4674" t="s">
        <v>33</v>
      </c>
      <c r="L4674">
        <v>1</v>
      </c>
      <c r="M4674">
        <v>1</v>
      </c>
      <c r="N4674">
        <v>1.6</v>
      </c>
      <c r="O4674">
        <v>7.6</v>
      </c>
      <c r="P4674">
        <v>7</v>
      </c>
      <c r="Q4674">
        <v>7</v>
      </c>
      <c r="R4674">
        <v>778743</v>
      </c>
      <c r="S4674">
        <f>Table1[[#This Row],[Revenue]]-Table1[[#This Row],[Operating_Costs]]</f>
        <v>270374</v>
      </c>
      <c r="T4674">
        <v>508369</v>
      </c>
      <c r="U4674">
        <v>47</v>
      </c>
      <c r="V4674">
        <v>63</v>
      </c>
      <c r="W4674">
        <v>14.9</v>
      </c>
    </row>
    <row r="4675" spans="1:23" x14ac:dyDescent="0.25">
      <c r="A4675">
        <v>14</v>
      </c>
      <c r="B4675" t="s">
        <v>48</v>
      </c>
      <c r="C4675" s="1">
        <v>44974</v>
      </c>
      <c r="D4675" t="s">
        <v>71</v>
      </c>
      <c r="E4675">
        <v>0</v>
      </c>
      <c r="F4675">
        <v>38</v>
      </c>
      <c r="G4675" t="str">
        <f t="shared" ref="G4675:G4738" si="81">IF(F4675&lt;=20,"0-20",IF(F4675&lt;=40,"21-40",IF(F4675&lt;=60,"41-60",IF(F4675&lt;=80,"61-80","81+"))))</f>
        <v>21-40</v>
      </c>
      <c r="H4675" t="s">
        <v>23</v>
      </c>
      <c r="I4675" t="s">
        <v>27</v>
      </c>
      <c r="J4675" t="s">
        <v>28</v>
      </c>
      <c r="K4675" t="s">
        <v>26</v>
      </c>
      <c r="L4675">
        <v>1</v>
      </c>
      <c r="M4675">
        <v>1</v>
      </c>
      <c r="N4675">
        <v>5.4</v>
      </c>
      <c r="O4675">
        <v>9.6999999999999993</v>
      </c>
      <c r="P4675">
        <v>6</v>
      </c>
      <c r="Q4675">
        <v>3</v>
      </c>
      <c r="R4675">
        <v>796527</v>
      </c>
      <c r="S4675">
        <f>Table1[[#This Row],[Revenue]]-Table1[[#This Row],[Operating_Costs]]</f>
        <v>101093</v>
      </c>
      <c r="T4675">
        <v>695434</v>
      </c>
      <c r="U4675">
        <v>49</v>
      </c>
      <c r="V4675">
        <v>60</v>
      </c>
      <c r="W4675">
        <v>13.2</v>
      </c>
    </row>
    <row r="4676" spans="1:23" x14ac:dyDescent="0.25">
      <c r="A4676">
        <v>14</v>
      </c>
      <c r="B4676" t="s">
        <v>48</v>
      </c>
      <c r="C4676" s="1">
        <v>45511</v>
      </c>
      <c r="D4676" t="s">
        <v>71</v>
      </c>
      <c r="E4676">
        <v>0</v>
      </c>
      <c r="F4676">
        <v>44</v>
      </c>
      <c r="G4676" t="str">
        <f t="shared" si="81"/>
        <v>41-60</v>
      </c>
      <c r="H4676" t="s">
        <v>35</v>
      </c>
      <c r="I4676" t="s">
        <v>46</v>
      </c>
      <c r="J4676" t="s">
        <v>47</v>
      </c>
      <c r="K4676" t="s">
        <v>26</v>
      </c>
      <c r="L4676">
        <v>1</v>
      </c>
      <c r="M4676">
        <v>1</v>
      </c>
      <c r="N4676">
        <v>1.6</v>
      </c>
      <c r="O4676">
        <v>8.9</v>
      </c>
      <c r="P4676">
        <v>3</v>
      </c>
      <c r="Q4676">
        <v>4</v>
      </c>
      <c r="R4676">
        <v>737894</v>
      </c>
      <c r="S4676">
        <f>Table1[[#This Row],[Revenue]]-Table1[[#This Row],[Operating_Costs]]</f>
        <v>117847</v>
      </c>
      <c r="T4676">
        <v>620047</v>
      </c>
      <c r="U4676">
        <v>37</v>
      </c>
      <c r="V4676">
        <v>56</v>
      </c>
      <c r="W4676">
        <v>7.6</v>
      </c>
    </row>
    <row r="4677" spans="1:23" x14ac:dyDescent="0.25">
      <c r="A4677">
        <v>14</v>
      </c>
      <c r="B4677" t="s">
        <v>48</v>
      </c>
      <c r="C4677" s="1">
        <v>44540</v>
      </c>
      <c r="D4677" t="s">
        <v>71</v>
      </c>
      <c r="E4677">
        <v>0</v>
      </c>
      <c r="F4677">
        <v>50</v>
      </c>
      <c r="G4677" t="str">
        <f t="shared" si="81"/>
        <v>41-60</v>
      </c>
      <c r="H4677" t="s">
        <v>23</v>
      </c>
      <c r="I4677" t="s">
        <v>61</v>
      </c>
      <c r="J4677" t="s">
        <v>62</v>
      </c>
      <c r="K4677" t="s">
        <v>42</v>
      </c>
      <c r="L4677">
        <v>1</v>
      </c>
      <c r="M4677">
        <v>1</v>
      </c>
      <c r="N4677">
        <v>4.8</v>
      </c>
      <c r="O4677">
        <v>8.8000000000000007</v>
      </c>
      <c r="P4677">
        <v>5</v>
      </c>
      <c r="Q4677">
        <v>3</v>
      </c>
      <c r="R4677">
        <v>742837</v>
      </c>
      <c r="S4677">
        <f>Table1[[#This Row],[Revenue]]-Table1[[#This Row],[Operating_Costs]]</f>
        <v>174686</v>
      </c>
      <c r="T4677">
        <v>568151</v>
      </c>
      <c r="U4677">
        <v>43</v>
      </c>
      <c r="V4677">
        <v>55</v>
      </c>
      <c r="W4677">
        <v>9.1</v>
      </c>
    </row>
    <row r="4678" spans="1:23" x14ac:dyDescent="0.25">
      <c r="A4678">
        <v>14</v>
      </c>
      <c r="B4678" t="s">
        <v>48</v>
      </c>
      <c r="C4678" s="1">
        <v>45384</v>
      </c>
      <c r="D4678" t="s">
        <v>71</v>
      </c>
      <c r="E4678">
        <v>0</v>
      </c>
      <c r="F4678">
        <v>80</v>
      </c>
      <c r="G4678" t="str">
        <f t="shared" si="81"/>
        <v>61-80</v>
      </c>
      <c r="H4678" t="s">
        <v>23</v>
      </c>
      <c r="I4678" t="s">
        <v>67</v>
      </c>
      <c r="J4678" t="s">
        <v>68</v>
      </c>
      <c r="K4678" t="s">
        <v>42</v>
      </c>
      <c r="L4678">
        <v>1</v>
      </c>
      <c r="M4678">
        <v>1</v>
      </c>
      <c r="N4678">
        <v>2.7</v>
      </c>
      <c r="O4678">
        <v>8.1</v>
      </c>
      <c r="P4678">
        <v>4</v>
      </c>
      <c r="Q4678">
        <v>7</v>
      </c>
      <c r="R4678">
        <v>720664</v>
      </c>
      <c r="S4678">
        <f>Table1[[#This Row],[Revenue]]-Table1[[#This Row],[Operating_Costs]]</f>
        <v>206194</v>
      </c>
      <c r="T4678">
        <v>514470</v>
      </c>
      <c r="U4678">
        <v>30</v>
      </c>
      <c r="V4678">
        <v>66</v>
      </c>
      <c r="W4678">
        <v>14.7</v>
      </c>
    </row>
    <row r="4679" spans="1:23" x14ac:dyDescent="0.25">
      <c r="A4679">
        <v>14</v>
      </c>
      <c r="B4679" t="s">
        <v>48</v>
      </c>
      <c r="C4679" s="1">
        <v>44973</v>
      </c>
      <c r="D4679" t="s">
        <v>71</v>
      </c>
      <c r="E4679">
        <v>0</v>
      </c>
      <c r="F4679">
        <v>68</v>
      </c>
      <c r="G4679" t="str">
        <f t="shared" si="81"/>
        <v>61-80</v>
      </c>
      <c r="H4679" t="s">
        <v>35</v>
      </c>
      <c r="I4679" t="s">
        <v>53</v>
      </c>
      <c r="J4679" t="s">
        <v>54</v>
      </c>
      <c r="K4679" t="s">
        <v>38</v>
      </c>
      <c r="L4679">
        <v>1</v>
      </c>
      <c r="M4679">
        <v>1</v>
      </c>
      <c r="N4679">
        <v>5.2</v>
      </c>
      <c r="O4679">
        <v>9.5</v>
      </c>
      <c r="P4679">
        <v>7</v>
      </c>
      <c r="Q4679">
        <v>5</v>
      </c>
      <c r="R4679">
        <v>704320</v>
      </c>
      <c r="S4679">
        <f>Table1[[#This Row],[Revenue]]-Table1[[#This Row],[Operating_Costs]]</f>
        <v>86938</v>
      </c>
      <c r="T4679">
        <v>617382</v>
      </c>
      <c r="U4679">
        <v>30</v>
      </c>
      <c r="V4679">
        <v>59</v>
      </c>
      <c r="W4679">
        <v>8.3000000000000007</v>
      </c>
    </row>
    <row r="4680" spans="1:23" x14ac:dyDescent="0.25">
      <c r="A4680">
        <v>14</v>
      </c>
      <c r="B4680" t="s">
        <v>48</v>
      </c>
      <c r="C4680" s="1">
        <v>45196</v>
      </c>
      <c r="D4680" t="s">
        <v>71</v>
      </c>
      <c r="E4680">
        <v>0</v>
      </c>
      <c r="F4680">
        <v>27</v>
      </c>
      <c r="G4680" t="str">
        <f t="shared" si="81"/>
        <v>21-40</v>
      </c>
      <c r="H4680" t="s">
        <v>23</v>
      </c>
      <c r="I4680" t="s">
        <v>50</v>
      </c>
      <c r="J4680" t="s">
        <v>51</v>
      </c>
      <c r="K4680" t="s">
        <v>42</v>
      </c>
      <c r="L4680">
        <v>1</v>
      </c>
      <c r="M4680">
        <v>1</v>
      </c>
      <c r="N4680">
        <v>5.6</v>
      </c>
      <c r="O4680">
        <v>7.9</v>
      </c>
      <c r="P4680">
        <v>6</v>
      </c>
      <c r="Q4680">
        <v>4</v>
      </c>
      <c r="R4680">
        <v>716636</v>
      </c>
      <c r="S4680">
        <f>Table1[[#This Row],[Revenue]]-Table1[[#This Row],[Operating_Costs]]</f>
        <v>180062</v>
      </c>
      <c r="T4680">
        <v>536574</v>
      </c>
      <c r="U4680">
        <v>33</v>
      </c>
      <c r="V4680">
        <v>56</v>
      </c>
      <c r="W4680">
        <v>6.7</v>
      </c>
    </row>
    <row r="4681" spans="1:23" x14ac:dyDescent="0.25">
      <c r="A4681">
        <v>14</v>
      </c>
      <c r="B4681" t="s">
        <v>48</v>
      </c>
      <c r="C4681" s="1">
        <v>44978</v>
      </c>
      <c r="D4681" t="s">
        <v>71</v>
      </c>
      <c r="E4681">
        <v>0</v>
      </c>
      <c r="F4681">
        <v>30</v>
      </c>
      <c r="G4681" t="str">
        <f t="shared" si="81"/>
        <v>21-40</v>
      </c>
      <c r="H4681" t="s">
        <v>35</v>
      </c>
      <c r="I4681" t="s">
        <v>36</v>
      </c>
      <c r="J4681" t="s">
        <v>37</v>
      </c>
      <c r="K4681" t="s">
        <v>42</v>
      </c>
      <c r="L4681">
        <v>1</v>
      </c>
      <c r="M4681">
        <v>1</v>
      </c>
      <c r="N4681">
        <v>3</v>
      </c>
      <c r="O4681">
        <v>8.1</v>
      </c>
      <c r="P4681">
        <v>3</v>
      </c>
      <c r="Q4681">
        <v>5</v>
      </c>
      <c r="R4681">
        <v>733762</v>
      </c>
      <c r="S4681">
        <f>Table1[[#This Row],[Revenue]]-Table1[[#This Row],[Operating_Costs]]</f>
        <v>198808</v>
      </c>
      <c r="T4681">
        <v>534954</v>
      </c>
      <c r="U4681">
        <v>35</v>
      </c>
      <c r="V4681">
        <v>56</v>
      </c>
      <c r="W4681">
        <v>9.3000000000000007</v>
      </c>
    </row>
    <row r="4682" spans="1:23" x14ac:dyDescent="0.25">
      <c r="A4682">
        <v>14</v>
      </c>
      <c r="B4682" t="s">
        <v>48</v>
      </c>
      <c r="C4682" s="1">
        <v>44803</v>
      </c>
      <c r="D4682" t="s">
        <v>71</v>
      </c>
      <c r="E4682">
        <v>0</v>
      </c>
      <c r="F4682">
        <v>21</v>
      </c>
      <c r="G4682" t="str">
        <f t="shared" si="81"/>
        <v>21-40</v>
      </c>
      <c r="H4682" t="s">
        <v>35</v>
      </c>
      <c r="I4682" t="s">
        <v>40</v>
      </c>
      <c r="J4682" t="s">
        <v>41</v>
      </c>
      <c r="K4682" t="s">
        <v>38</v>
      </c>
      <c r="L4682">
        <v>1</v>
      </c>
      <c r="M4682">
        <v>1</v>
      </c>
      <c r="N4682">
        <v>6.7</v>
      </c>
      <c r="O4682">
        <v>7</v>
      </c>
      <c r="P4682">
        <v>6</v>
      </c>
      <c r="Q4682">
        <v>7</v>
      </c>
      <c r="R4682">
        <v>888680</v>
      </c>
      <c r="S4682">
        <f>Table1[[#This Row],[Revenue]]-Table1[[#This Row],[Operating_Costs]]</f>
        <v>312247</v>
      </c>
      <c r="T4682">
        <v>576433</v>
      </c>
      <c r="U4682">
        <v>36</v>
      </c>
      <c r="V4682">
        <v>65</v>
      </c>
      <c r="W4682">
        <v>36.799999999999997</v>
      </c>
    </row>
    <row r="4683" spans="1:23" x14ac:dyDescent="0.25">
      <c r="A4683">
        <v>14</v>
      </c>
      <c r="B4683" t="s">
        <v>48</v>
      </c>
      <c r="C4683" s="1">
        <v>45563</v>
      </c>
      <c r="D4683" t="s">
        <v>71</v>
      </c>
      <c r="E4683">
        <v>0</v>
      </c>
      <c r="F4683">
        <v>90</v>
      </c>
      <c r="G4683" t="str">
        <f t="shared" si="81"/>
        <v>81+</v>
      </c>
      <c r="H4683" t="s">
        <v>35</v>
      </c>
      <c r="I4683" t="s">
        <v>60</v>
      </c>
      <c r="J4683" t="s">
        <v>59</v>
      </c>
      <c r="K4683" t="s">
        <v>42</v>
      </c>
      <c r="L4683">
        <v>1</v>
      </c>
      <c r="M4683">
        <v>1</v>
      </c>
      <c r="N4683">
        <v>2</v>
      </c>
      <c r="O4683">
        <v>7</v>
      </c>
      <c r="P4683">
        <v>5</v>
      </c>
      <c r="Q4683">
        <v>5</v>
      </c>
      <c r="R4683">
        <v>792314</v>
      </c>
      <c r="S4683">
        <f>Table1[[#This Row],[Revenue]]-Table1[[#This Row],[Operating_Costs]]</f>
        <v>108386</v>
      </c>
      <c r="T4683">
        <v>683928</v>
      </c>
      <c r="U4683">
        <v>45</v>
      </c>
      <c r="V4683">
        <v>65</v>
      </c>
      <c r="W4683">
        <v>36.4</v>
      </c>
    </row>
    <row r="4684" spans="1:23" x14ac:dyDescent="0.25">
      <c r="A4684">
        <v>14</v>
      </c>
      <c r="B4684" t="s">
        <v>48</v>
      </c>
      <c r="C4684" s="1">
        <v>44564</v>
      </c>
      <c r="D4684" t="s">
        <v>71</v>
      </c>
      <c r="E4684">
        <v>0</v>
      </c>
      <c r="F4684">
        <v>45</v>
      </c>
      <c r="G4684" t="str">
        <f t="shared" si="81"/>
        <v>41-60</v>
      </c>
      <c r="H4684" t="s">
        <v>23</v>
      </c>
      <c r="I4684" t="s">
        <v>67</v>
      </c>
      <c r="J4684" t="s">
        <v>68</v>
      </c>
      <c r="K4684" t="s">
        <v>26</v>
      </c>
      <c r="L4684">
        <v>1</v>
      </c>
      <c r="M4684">
        <v>1</v>
      </c>
      <c r="N4684">
        <v>1</v>
      </c>
      <c r="O4684">
        <v>7.8</v>
      </c>
      <c r="P4684">
        <v>7</v>
      </c>
      <c r="Q4684">
        <v>7</v>
      </c>
      <c r="R4684">
        <v>706451</v>
      </c>
      <c r="S4684">
        <f>Table1[[#This Row],[Revenue]]-Table1[[#This Row],[Operating_Costs]]</f>
        <v>169896</v>
      </c>
      <c r="T4684">
        <v>536555</v>
      </c>
      <c r="U4684">
        <v>40</v>
      </c>
      <c r="V4684">
        <v>55</v>
      </c>
      <c r="W4684">
        <v>9.1999999999999993</v>
      </c>
    </row>
    <row r="4685" spans="1:23" x14ac:dyDescent="0.25">
      <c r="A4685">
        <v>14</v>
      </c>
      <c r="B4685" t="s">
        <v>48</v>
      </c>
      <c r="C4685" s="1">
        <v>45409</v>
      </c>
      <c r="D4685" t="s">
        <v>71</v>
      </c>
      <c r="E4685">
        <v>0</v>
      </c>
      <c r="F4685">
        <v>35</v>
      </c>
      <c r="G4685" t="str">
        <f t="shared" si="81"/>
        <v>21-40</v>
      </c>
      <c r="H4685" t="s">
        <v>23</v>
      </c>
      <c r="I4685" t="s">
        <v>43</v>
      </c>
      <c r="J4685" t="s">
        <v>25</v>
      </c>
      <c r="K4685" t="s">
        <v>38</v>
      </c>
      <c r="L4685">
        <v>1</v>
      </c>
      <c r="M4685">
        <v>1</v>
      </c>
      <c r="N4685">
        <v>1.6</v>
      </c>
      <c r="O4685">
        <v>8.1</v>
      </c>
      <c r="P4685">
        <v>3</v>
      </c>
      <c r="Q4685">
        <v>3</v>
      </c>
      <c r="R4685">
        <v>814075</v>
      </c>
      <c r="S4685">
        <f>Table1[[#This Row],[Revenue]]-Table1[[#This Row],[Operating_Costs]]</f>
        <v>129493</v>
      </c>
      <c r="T4685">
        <v>684582</v>
      </c>
      <c r="U4685">
        <v>44</v>
      </c>
      <c r="V4685">
        <v>54</v>
      </c>
      <c r="W4685">
        <v>9.9</v>
      </c>
    </row>
    <row r="4686" spans="1:23" x14ac:dyDescent="0.25">
      <c r="A4686">
        <v>14</v>
      </c>
      <c r="B4686" t="s">
        <v>48</v>
      </c>
      <c r="C4686" s="1">
        <v>45278</v>
      </c>
      <c r="D4686" t="s">
        <v>71</v>
      </c>
      <c r="E4686">
        <v>0</v>
      </c>
      <c r="F4686">
        <v>62</v>
      </c>
      <c r="G4686" t="str">
        <f t="shared" si="81"/>
        <v>61-80</v>
      </c>
      <c r="H4686" t="s">
        <v>23</v>
      </c>
      <c r="I4686" t="s">
        <v>64</v>
      </c>
      <c r="J4686" t="s">
        <v>65</v>
      </c>
      <c r="K4686" t="s">
        <v>26</v>
      </c>
      <c r="L4686">
        <v>1</v>
      </c>
      <c r="M4686">
        <v>1</v>
      </c>
      <c r="N4686">
        <v>6</v>
      </c>
      <c r="O4686">
        <v>8.8000000000000007</v>
      </c>
      <c r="P4686">
        <v>6</v>
      </c>
      <c r="Q4686">
        <v>7</v>
      </c>
      <c r="R4686">
        <v>773360</v>
      </c>
      <c r="S4686">
        <f>Table1[[#This Row],[Revenue]]-Table1[[#This Row],[Operating_Costs]]</f>
        <v>241161</v>
      </c>
      <c r="T4686">
        <v>532199</v>
      </c>
      <c r="U4686">
        <v>42</v>
      </c>
      <c r="V4686">
        <v>61</v>
      </c>
      <c r="W4686">
        <v>8.6999999999999993</v>
      </c>
    </row>
    <row r="4687" spans="1:23" x14ac:dyDescent="0.25">
      <c r="A4687">
        <v>14</v>
      </c>
      <c r="B4687" t="s">
        <v>48</v>
      </c>
      <c r="C4687" s="1">
        <v>45177</v>
      </c>
      <c r="D4687" t="s">
        <v>71</v>
      </c>
      <c r="E4687">
        <v>0</v>
      </c>
      <c r="F4687">
        <v>39</v>
      </c>
      <c r="G4687" t="str">
        <f t="shared" si="81"/>
        <v>21-40</v>
      </c>
      <c r="H4687" t="s">
        <v>23</v>
      </c>
      <c r="I4687" t="s">
        <v>64</v>
      </c>
      <c r="J4687" t="s">
        <v>65</v>
      </c>
      <c r="K4687" t="s">
        <v>42</v>
      </c>
      <c r="L4687">
        <v>1</v>
      </c>
      <c r="M4687">
        <v>1</v>
      </c>
      <c r="N4687">
        <v>1.8</v>
      </c>
      <c r="O4687">
        <v>8.6</v>
      </c>
      <c r="P4687">
        <v>4</v>
      </c>
      <c r="Q4687">
        <v>4</v>
      </c>
      <c r="R4687">
        <v>743487</v>
      </c>
      <c r="S4687">
        <f>Table1[[#This Row],[Revenue]]-Table1[[#This Row],[Operating_Costs]]</f>
        <v>83965</v>
      </c>
      <c r="T4687">
        <v>659522</v>
      </c>
      <c r="U4687">
        <v>35</v>
      </c>
      <c r="V4687">
        <v>66</v>
      </c>
      <c r="W4687">
        <v>5</v>
      </c>
    </row>
    <row r="4688" spans="1:23" x14ac:dyDescent="0.25">
      <c r="A4688">
        <v>14</v>
      </c>
      <c r="B4688" t="s">
        <v>48</v>
      </c>
      <c r="C4688" s="1">
        <v>44974</v>
      </c>
      <c r="D4688" t="s">
        <v>71</v>
      </c>
      <c r="E4688">
        <v>0</v>
      </c>
      <c r="F4688">
        <v>84</v>
      </c>
      <c r="G4688" t="str">
        <f t="shared" si="81"/>
        <v>81+</v>
      </c>
      <c r="H4688" t="s">
        <v>23</v>
      </c>
      <c r="I4688" t="s">
        <v>64</v>
      </c>
      <c r="J4688" t="s">
        <v>65</v>
      </c>
      <c r="K4688" t="s">
        <v>42</v>
      </c>
      <c r="L4688">
        <v>1</v>
      </c>
      <c r="M4688">
        <v>1</v>
      </c>
      <c r="N4688">
        <v>5</v>
      </c>
      <c r="O4688">
        <v>7.7</v>
      </c>
      <c r="P4688">
        <v>6</v>
      </c>
      <c r="Q4688">
        <v>4</v>
      </c>
      <c r="R4688">
        <v>858391</v>
      </c>
      <c r="S4688">
        <f>Table1[[#This Row],[Revenue]]-Table1[[#This Row],[Operating_Costs]]</f>
        <v>259855</v>
      </c>
      <c r="T4688">
        <v>598536</v>
      </c>
      <c r="U4688">
        <v>40</v>
      </c>
      <c r="V4688">
        <v>56</v>
      </c>
      <c r="W4688">
        <v>36.799999999999997</v>
      </c>
    </row>
    <row r="4689" spans="1:23" x14ac:dyDescent="0.25">
      <c r="A4689">
        <v>14</v>
      </c>
      <c r="B4689" t="s">
        <v>48</v>
      </c>
      <c r="C4689" s="1">
        <v>45267</v>
      </c>
      <c r="D4689" t="s">
        <v>71</v>
      </c>
      <c r="E4689">
        <v>0</v>
      </c>
      <c r="F4689">
        <v>46</v>
      </c>
      <c r="G4689" t="str">
        <f t="shared" si="81"/>
        <v>41-60</v>
      </c>
      <c r="H4689" t="s">
        <v>23</v>
      </c>
      <c r="I4689" t="s">
        <v>46</v>
      </c>
      <c r="J4689" t="s">
        <v>47</v>
      </c>
      <c r="K4689" t="s">
        <v>26</v>
      </c>
      <c r="L4689">
        <v>1</v>
      </c>
      <c r="M4689">
        <v>1</v>
      </c>
      <c r="N4689">
        <v>4.2</v>
      </c>
      <c r="O4689">
        <v>9.9</v>
      </c>
      <c r="P4689">
        <v>6</v>
      </c>
      <c r="Q4689">
        <v>4</v>
      </c>
      <c r="R4689">
        <v>733987</v>
      </c>
      <c r="S4689">
        <f>Table1[[#This Row],[Revenue]]-Table1[[#This Row],[Operating_Costs]]</f>
        <v>225279</v>
      </c>
      <c r="T4689">
        <v>508708</v>
      </c>
      <c r="U4689">
        <v>39</v>
      </c>
      <c r="V4689">
        <v>58</v>
      </c>
      <c r="W4689">
        <v>5.4</v>
      </c>
    </row>
    <row r="4690" spans="1:23" x14ac:dyDescent="0.25">
      <c r="A4690">
        <v>14</v>
      </c>
      <c r="B4690" t="s">
        <v>48</v>
      </c>
      <c r="C4690" s="1">
        <v>44669</v>
      </c>
      <c r="D4690" t="s">
        <v>71</v>
      </c>
      <c r="E4690">
        <v>0</v>
      </c>
      <c r="F4690">
        <v>30</v>
      </c>
      <c r="G4690" t="str">
        <f t="shared" si="81"/>
        <v>21-40</v>
      </c>
      <c r="H4690" t="s">
        <v>35</v>
      </c>
      <c r="I4690" t="s">
        <v>53</v>
      </c>
      <c r="J4690" t="s">
        <v>54</v>
      </c>
      <c r="K4690" t="s">
        <v>38</v>
      </c>
      <c r="L4690">
        <v>1</v>
      </c>
      <c r="M4690">
        <v>1</v>
      </c>
      <c r="N4690">
        <v>2.7</v>
      </c>
      <c r="O4690">
        <v>7.2</v>
      </c>
      <c r="P4690">
        <v>3</v>
      </c>
      <c r="Q4690">
        <v>6</v>
      </c>
      <c r="R4690">
        <v>771214</v>
      </c>
      <c r="S4690">
        <f>Table1[[#This Row],[Revenue]]-Table1[[#This Row],[Operating_Costs]]</f>
        <v>257928</v>
      </c>
      <c r="T4690">
        <v>513286</v>
      </c>
      <c r="U4690">
        <v>36</v>
      </c>
      <c r="V4690">
        <v>65</v>
      </c>
      <c r="W4690">
        <v>12.5</v>
      </c>
    </row>
    <row r="4691" spans="1:23" x14ac:dyDescent="0.25">
      <c r="A4691">
        <v>14</v>
      </c>
      <c r="B4691" t="s">
        <v>48</v>
      </c>
      <c r="C4691" s="1">
        <v>44376</v>
      </c>
      <c r="D4691" t="s">
        <v>71</v>
      </c>
      <c r="E4691">
        <v>0</v>
      </c>
      <c r="F4691">
        <v>52</v>
      </c>
      <c r="G4691" t="str">
        <f t="shared" si="81"/>
        <v>41-60</v>
      </c>
      <c r="H4691" t="s">
        <v>23</v>
      </c>
      <c r="I4691" t="s">
        <v>46</v>
      </c>
      <c r="J4691" t="s">
        <v>47</v>
      </c>
      <c r="K4691" t="s">
        <v>33</v>
      </c>
      <c r="L4691">
        <v>1</v>
      </c>
      <c r="M4691">
        <v>1</v>
      </c>
      <c r="N4691">
        <v>5.5</v>
      </c>
      <c r="O4691">
        <v>8.3000000000000007</v>
      </c>
      <c r="P4691">
        <v>4</v>
      </c>
      <c r="Q4691">
        <v>4</v>
      </c>
      <c r="R4691">
        <v>720823</v>
      </c>
      <c r="S4691">
        <f>Table1[[#This Row],[Revenue]]-Table1[[#This Row],[Operating_Costs]]</f>
        <v>71182</v>
      </c>
      <c r="T4691">
        <v>649641</v>
      </c>
      <c r="U4691">
        <v>41</v>
      </c>
      <c r="V4691">
        <v>61</v>
      </c>
      <c r="W4691">
        <v>14.2</v>
      </c>
    </row>
    <row r="4692" spans="1:23" x14ac:dyDescent="0.25">
      <c r="A4692">
        <v>14</v>
      </c>
      <c r="B4692" t="s">
        <v>48</v>
      </c>
      <c r="C4692" s="1">
        <v>44626</v>
      </c>
      <c r="D4692" t="s">
        <v>71</v>
      </c>
      <c r="E4692">
        <v>0</v>
      </c>
      <c r="F4692">
        <v>71</v>
      </c>
      <c r="G4692" t="str">
        <f t="shared" si="81"/>
        <v>61-80</v>
      </c>
      <c r="H4692" t="s">
        <v>35</v>
      </c>
      <c r="I4692" t="s">
        <v>61</v>
      </c>
      <c r="J4692" t="s">
        <v>62</v>
      </c>
      <c r="K4692" t="s">
        <v>42</v>
      </c>
      <c r="L4692">
        <v>1</v>
      </c>
      <c r="M4692">
        <v>1</v>
      </c>
      <c r="N4692">
        <v>2.2000000000000002</v>
      </c>
      <c r="O4692">
        <v>7.5</v>
      </c>
      <c r="P4692">
        <v>7</v>
      </c>
      <c r="Q4692">
        <v>6</v>
      </c>
      <c r="R4692">
        <v>715687</v>
      </c>
      <c r="S4692">
        <f>Table1[[#This Row],[Revenue]]-Table1[[#This Row],[Operating_Costs]]</f>
        <v>19765</v>
      </c>
      <c r="T4692">
        <v>695922</v>
      </c>
      <c r="U4692">
        <v>50</v>
      </c>
      <c r="V4692">
        <v>60</v>
      </c>
      <c r="W4692">
        <v>14.3</v>
      </c>
    </row>
    <row r="4693" spans="1:23" x14ac:dyDescent="0.25">
      <c r="A4693">
        <v>14</v>
      </c>
      <c r="B4693" t="s">
        <v>48</v>
      </c>
      <c r="C4693" s="1">
        <v>44458</v>
      </c>
      <c r="D4693" t="s">
        <v>71</v>
      </c>
      <c r="E4693">
        <v>0</v>
      </c>
      <c r="F4693">
        <v>46</v>
      </c>
      <c r="G4693" t="str">
        <f t="shared" si="81"/>
        <v>41-60</v>
      </c>
      <c r="H4693" t="s">
        <v>23</v>
      </c>
      <c r="I4693" t="s">
        <v>24</v>
      </c>
      <c r="J4693" t="s">
        <v>25</v>
      </c>
      <c r="K4693" t="s">
        <v>38</v>
      </c>
      <c r="L4693">
        <v>1</v>
      </c>
      <c r="M4693">
        <v>1</v>
      </c>
      <c r="N4693">
        <v>5.5</v>
      </c>
      <c r="O4693">
        <v>7.3</v>
      </c>
      <c r="P4693">
        <v>7</v>
      </c>
      <c r="Q4693">
        <v>4</v>
      </c>
      <c r="R4693">
        <v>851222</v>
      </c>
      <c r="S4693">
        <f>Table1[[#This Row],[Revenue]]-Table1[[#This Row],[Operating_Costs]]</f>
        <v>316143</v>
      </c>
      <c r="T4693">
        <v>535079</v>
      </c>
      <c r="U4693">
        <v>32</v>
      </c>
      <c r="V4693">
        <v>58</v>
      </c>
      <c r="W4693">
        <v>8.1</v>
      </c>
    </row>
    <row r="4694" spans="1:23" x14ac:dyDescent="0.25">
      <c r="A4694">
        <v>14</v>
      </c>
      <c r="B4694" t="s">
        <v>48</v>
      </c>
      <c r="C4694" s="1">
        <v>44273</v>
      </c>
      <c r="D4694" t="s">
        <v>71</v>
      </c>
      <c r="E4694">
        <v>0</v>
      </c>
      <c r="F4694">
        <v>39</v>
      </c>
      <c r="G4694" t="str">
        <f t="shared" si="81"/>
        <v>21-40</v>
      </c>
      <c r="H4694" t="s">
        <v>35</v>
      </c>
      <c r="I4694" t="s">
        <v>36</v>
      </c>
      <c r="J4694" t="s">
        <v>37</v>
      </c>
      <c r="K4694" t="s">
        <v>29</v>
      </c>
      <c r="L4694">
        <v>1</v>
      </c>
      <c r="M4694">
        <v>1</v>
      </c>
      <c r="N4694">
        <v>1.1000000000000001</v>
      </c>
      <c r="O4694">
        <v>7.9</v>
      </c>
      <c r="P4694">
        <v>7</v>
      </c>
      <c r="Q4694">
        <v>7</v>
      </c>
      <c r="R4694">
        <v>821742</v>
      </c>
      <c r="S4694">
        <f>Table1[[#This Row],[Revenue]]-Table1[[#This Row],[Operating_Costs]]</f>
        <v>146329</v>
      </c>
      <c r="T4694">
        <v>675413</v>
      </c>
      <c r="U4694">
        <v>43</v>
      </c>
      <c r="V4694">
        <v>54</v>
      </c>
      <c r="W4694">
        <v>6.3</v>
      </c>
    </row>
    <row r="4695" spans="1:23" x14ac:dyDescent="0.25">
      <c r="A4695">
        <v>14</v>
      </c>
      <c r="B4695" t="s">
        <v>48</v>
      </c>
      <c r="C4695" s="1">
        <v>44586</v>
      </c>
      <c r="D4695" t="s">
        <v>71</v>
      </c>
      <c r="E4695">
        <v>0</v>
      </c>
      <c r="F4695">
        <v>31</v>
      </c>
      <c r="G4695" t="str">
        <f t="shared" si="81"/>
        <v>21-40</v>
      </c>
      <c r="H4695" t="s">
        <v>23</v>
      </c>
      <c r="I4695" t="s">
        <v>55</v>
      </c>
      <c r="J4695" t="s">
        <v>56</v>
      </c>
      <c r="K4695" t="s">
        <v>38</v>
      </c>
      <c r="L4695">
        <v>1</v>
      </c>
      <c r="M4695">
        <v>1</v>
      </c>
      <c r="N4695">
        <v>2.8</v>
      </c>
      <c r="O4695">
        <v>8.1</v>
      </c>
      <c r="P4695">
        <v>6</v>
      </c>
      <c r="Q4695">
        <v>4</v>
      </c>
      <c r="R4695">
        <v>861489</v>
      </c>
      <c r="S4695">
        <f>Table1[[#This Row],[Revenue]]-Table1[[#This Row],[Operating_Costs]]</f>
        <v>256679</v>
      </c>
      <c r="T4695">
        <v>604810</v>
      </c>
      <c r="U4695">
        <v>42</v>
      </c>
      <c r="V4695">
        <v>61</v>
      </c>
      <c r="W4695">
        <v>6.7</v>
      </c>
    </row>
    <row r="4696" spans="1:23" x14ac:dyDescent="0.25">
      <c r="A4696">
        <v>14</v>
      </c>
      <c r="B4696" t="s">
        <v>48</v>
      </c>
      <c r="C4696" s="1">
        <v>45491</v>
      </c>
      <c r="D4696" t="s">
        <v>71</v>
      </c>
      <c r="E4696">
        <v>0</v>
      </c>
      <c r="F4696">
        <v>43</v>
      </c>
      <c r="G4696" t="str">
        <f t="shared" si="81"/>
        <v>41-60</v>
      </c>
      <c r="H4696" t="s">
        <v>23</v>
      </c>
      <c r="I4696" t="s">
        <v>61</v>
      </c>
      <c r="J4696" t="s">
        <v>62</v>
      </c>
      <c r="K4696" t="s">
        <v>38</v>
      </c>
      <c r="L4696">
        <v>1</v>
      </c>
      <c r="M4696">
        <v>1</v>
      </c>
      <c r="N4696">
        <v>4.8</v>
      </c>
      <c r="O4696">
        <v>8.4</v>
      </c>
      <c r="P4696">
        <v>3</v>
      </c>
      <c r="Q4696">
        <v>5</v>
      </c>
      <c r="R4696">
        <v>860095</v>
      </c>
      <c r="S4696">
        <f>Table1[[#This Row],[Revenue]]-Table1[[#This Row],[Operating_Costs]]</f>
        <v>234053</v>
      </c>
      <c r="T4696">
        <v>626042</v>
      </c>
      <c r="U4696">
        <v>33</v>
      </c>
      <c r="V4696">
        <v>65</v>
      </c>
      <c r="W4696">
        <v>14.3</v>
      </c>
    </row>
    <row r="4697" spans="1:23" x14ac:dyDescent="0.25">
      <c r="A4697">
        <v>15</v>
      </c>
      <c r="B4697" t="s">
        <v>45</v>
      </c>
      <c r="C4697" s="1">
        <v>44926</v>
      </c>
      <c r="D4697" t="s">
        <v>71</v>
      </c>
      <c r="E4697">
        <v>0</v>
      </c>
      <c r="F4697">
        <v>36</v>
      </c>
      <c r="G4697" t="str">
        <f t="shared" si="81"/>
        <v>21-40</v>
      </c>
      <c r="H4697" t="s">
        <v>23</v>
      </c>
      <c r="I4697" t="s">
        <v>24</v>
      </c>
      <c r="J4697" t="s">
        <v>25</v>
      </c>
      <c r="K4697" t="s">
        <v>38</v>
      </c>
      <c r="L4697">
        <v>1</v>
      </c>
      <c r="M4697">
        <v>1</v>
      </c>
      <c r="N4697">
        <v>6.9</v>
      </c>
      <c r="O4697">
        <v>8.1</v>
      </c>
      <c r="P4697">
        <v>3</v>
      </c>
      <c r="Q4697">
        <v>5</v>
      </c>
      <c r="R4697">
        <v>724192</v>
      </c>
      <c r="S4697">
        <f>Table1[[#This Row],[Revenue]]-Table1[[#This Row],[Operating_Costs]]</f>
        <v>223871</v>
      </c>
      <c r="T4697">
        <v>500321</v>
      </c>
      <c r="U4697">
        <v>42</v>
      </c>
      <c r="V4697">
        <v>59</v>
      </c>
      <c r="W4697">
        <v>6.8</v>
      </c>
    </row>
    <row r="4698" spans="1:23" x14ac:dyDescent="0.25">
      <c r="A4698">
        <v>15</v>
      </c>
      <c r="B4698" t="s">
        <v>45</v>
      </c>
      <c r="C4698" s="1">
        <v>44780</v>
      </c>
      <c r="D4698" t="s">
        <v>71</v>
      </c>
      <c r="E4698">
        <v>0</v>
      </c>
      <c r="F4698">
        <v>43</v>
      </c>
      <c r="G4698" t="str">
        <f t="shared" si="81"/>
        <v>41-60</v>
      </c>
      <c r="H4698" t="s">
        <v>23</v>
      </c>
      <c r="I4698" t="s">
        <v>24</v>
      </c>
      <c r="J4698" t="s">
        <v>25</v>
      </c>
      <c r="K4698" t="s">
        <v>29</v>
      </c>
      <c r="L4698">
        <v>1</v>
      </c>
      <c r="M4698">
        <v>1</v>
      </c>
      <c r="N4698">
        <v>2.6</v>
      </c>
      <c r="O4698">
        <v>9</v>
      </c>
      <c r="P4698">
        <v>3</v>
      </c>
      <c r="Q4698">
        <v>5</v>
      </c>
      <c r="R4698">
        <v>728853</v>
      </c>
      <c r="S4698">
        <f>Table1[[#This Row],[Revenue]]-Table1[[#This Row],[Operating_Costs]]</f>
        <v>85181</v>
      </c>
      <c r="T4698">
        <v>643672</v>
      </c>
      <c r="U4698">
        <v>56</v>
      </c>
      <c r="V4698">
        <v>65</v>
      </c>
      <c r="W4698">
        <v>10</v>
      </c>
    </row>
    <row r="4699" spans="1:23" x14ac:dyDescent="0.25">
      <c r="A4699">
        <v>15</v>
      </c>
      <c r="B4699" t="s">
        <v>45</v>
      </c>
      <c r="C4699" s="1">
        <v>44526</v>
      </c>
      <c r="D4699" t="s">
        <v>71</v>
      </c>
      <c r="E4699">
        <v>0</v>
      </c>
      <c r="F4699">
        <v>67</v>
      </c>
      <c r="G4699" t="str">
        <f t="shared" si="81"/>
        <v>61-80</v>
      </c>
      <c r="H4699" t="s">
        <v>35</v>
      </c>
      <c r="I4699" t="s">
        <v>53</v>
      </c>
      <c r="J4699" t="s">
        <v>54</v>
      </c>
      <c r="K4699" t="s">
        <v>33</v>
      </c>
      <c r="L4699">
        <v>1</v>
      </c>
      <c r="M4699">
        <v>1</v>
      </c>
      <c r="N4699">
        <v>3.7</v>
      </c>
      <c r="O4699">
        <v>9.3000000000000007</v>
      </c>
      <c r="P4699">
        <v>3</v>
      </c>
      <c r="Q4699">
        <v>5</v>
      </c>
      <c r="R4699">
        <v>797327</v>
      </c>
      <c r="S4699">
        <f>Table1[[#This Row],[Revenue]]-Table1[[#This Row],[Operating_Costs]]</f>
        <v>180373</v>
      </c>
      <c r="T4699">
        <v>616954</v>
      </c>
      <c r="U4699">
        <v>43</v>
      </c>
      <c r="V4699">
        <v>61</v>
      </c>
      <c r="W4699">
        <v>12.1</v>
      </c>
    </row>
    <row r="4700" spans="1:23" x14ac:dyDescent="0.25">
      <c r="A4700">
        <v>15</v>
      </c>
      <c r="B4700" t="s">
        <v>45</v>
      </c>
      <c r="C4700" s="1">
        <v>44291</v>
      </c>
      <c r="D4700" t="s">
        <v>71</v>
      </c>
      <c r="E4700">
        <v>0</v>
      </c>
      <c r="F4700">
        <v>29</v>
      </c>
      <c r="G4700" t="str">
        <f t="shared" si="81"/>
        <v>21-40</v>
      </c>
      <c r="H4700" t="s">
        <v>35</v>
      </c>
      <c r="I4700" t="s">
        <v>58</v>
      </c>
      <c r="J4700" t="s">
        <v>59</v>
      </c>
      <c r="K4700" t="s">
        <v>42</v>
      </c>
      <c r="L4700">
        <v>1</v>
      </c>
      <c r="M4700">
        <v>1</v>
      </c>
      <c r="N4700">
        <v>3.7</v>
      </c>
      <c r="O4700">
        <v>9</v>
      </c>
      <c r="P4700">
        <v>4</v>
      </c>
      <c r="Q4700">
        <v>3</v>
      </c>
      <c r="R4700">
        <v>791605</v>
      </c>
      <c r="S4700">
        <f>Table1[[#This Row],[Revenue]]-Table1[[#This Row],[Operating_Costs]]</f>
        <v>190233</v>
      </c>
      <c r="T4700">
        <v>601372</v>
      </c>
      <c r="U4700">
        <v>47</v>
      </c>
      <c r="V4700">
        <v>55</v>
      </c>
      <c r="W4700">
        <v>12.6</v>
      </c>
    </row>
    <row r="4701" spans="1:23" x14ac:dyDescent="0.25">
      <c r="A4701">
        <v>15</v>
      </c>
      <c r="B4701" t="s">
        <v>45</v>
      </c>
      <c r="C4701" s="1">
        <v>45056</v>
      </c>
      <c r="D4701" t="s">
        <v>71</v>
      </c>
      <c r="E4701">
        <v>0</v>
      </c>
      <c r="F4701">
        <v>81</v>
      </c>
      <c r="G4701" t="str">
        <f t="shared" si="81"/>
        <v>81+</v>
      </c>
      <c r="H4701" t="s">
        <v>35</v>
      </c>
      <c r="I4701" t="s">
        <v>58</v>
      </c>
      <c r="J4701" t="s">
        <v>59</v>
      </c>
      <c r="K4701" t="s">
        <v>42</v>
      </c>
      <c r="L4701">
        <v>1</v>
      </c>
      <c r="M4701">
        <v>1</v>
      </c>
      <c r="N4701">
        <v>5</v>
      </c>
      <c r="O4701">
        <v>7.4</v>
      </c>
      <c r="P4701">
        <v>6</v>
      </c>
      <c r="Q4701">
        <v>7</v>
      </c>
      <c r="R4701">
        <v>750796</v>
      </c>
      <c r="S4701">
        <f>Table1[[#This Row],[Revenue]]-Table1[[#This Row],[Operating_Costs]]</f>
        <v>115031</v>
      </c>
      <c r="T4701">
        <v>635765</v>
      </c>
      <c r="U4701">
        <v>31</v>
      </c>
      <c r="V4701">
        <v>60</v>
      </c>
      <c r="W4701">
        <v>12.6</v>
      </c>
    </row>
    <row r="4702" spans="1:23" x14ac:dyDescent="0.25">
      <c r="A4702">
        <v>15</v>
      </c>
      <c r="B4702" t="s">
        <v>45</v>
      </c>
      <c r="C4702" s="1">
        <v>45303</v>
      </c>
      <c r="D4702" t="s">
        <v>71</v>
      </c>
      <c r="E4702">
        <v>0</v>
      </c>
      <c r="F4702">
        <v>28</v>
      </c>
      <c r="G4702" t="str">
        <f t="shared" si="81"/>
        <v>21-40</v>
      </c>
      <c r="H4702" t="s">
        <v>35</v>
      </c>
      <c r="I4702" t="s">
        <v>61</v>
      </c>
      <c r="J4702" t="s">
        <v>62</v>
      </c>
      <c r="K4702" t="s">
        <v>38</v>
      </c>
      <c r="L4702">
        <v>1</v>
      </c>
      <c r="M4702">
        <v>1</v>
      </c>
      <c r="N4702">
        <v>6.7</v>
      </c>
      <c r="O4702">
        <v>7.1</v>
      </c>
      <c r="P4702">
        <v>5</v>
      </c>
      <c r="Q4702">
        <v>7</v>
      </c>
      <c r="R4702">
        <v>778030</v>
      </c>
      <c r="S4702">
        <f>Table1[[#This Row],[Revenue]]-Table1[[#This Row],[Operating_Costs]]</f>
        <v>143908</v>
      </c>
      <c r="T4702">
        <v>634122</v>
      </c>
      <c r="U4702">
        <v>47</v>
      </c>
      <c r="V4702">
        <v>59</v>
      </c>
      <c r="W4702">
        <v>10.9</v>
      </c>
    </row>
    <row r="4703" spans="1:23" x14ac:dyDescent="0.25">
      <c r="A4703">
        <v>15</v>
      </c>
      <c r="B4703" t="s">
        <v>45</v>
      </c>
      <c r="C4703" s="1">
        <v>44748</v>
      </c>
      <c r="D4703" t="s">
        <v>71</v>
      </c>
      <c r="E4703">
        <v>0</v>
      </c>
      <c r="F4703">
        <v>31</v>
      </c>
      <c r="G4703" t="str">
        <f t="shared" si="81"/>
        <v>21-40</v>
      </c>
      <c r="H4703" t="s">
        <v>23</v>
      </c>
      <c r="I4703" t="s">
        <v>61</v>
      </c>
      <c r="J4703" t="s">
        <v>62</v>
      </c>
      <c r="K4703" t="s">
        <v>29</v>
      </c>
      <c r="L4703">
        <v>1</v>
      </c>
      <c r="M4703">
        <v>1</v>
      </c>
      <c r="N4703">
        <v>2.9</v>
      </c>
      <c r="O4703">
        <v>8.6</v>
      </c>
      <c r="P4703">
        <v>6</v>
      </c>
      <c r="Q4703">
        <v>6</v>
      </c>
      <c r="R4703">
        <v>798420</v>
      </c>
      <c r="S4703">
        <f>Table1[[#This Row],[Revenue]]-Table1[[#This Row],[Operating_Costs]]</f>
        <v>113180</v>
      </c>
      <c r="T4703">
        <v>685240</v>
      </c>
      <c r="U4703">
        <v>55</v>
      </c>
      <c r="V4703">
        <v>56</v>
      </c>
      <c r="W4703">
        <v>7.3</v>
      </c>
    </row>
    <row r="4704" spans="1:23" x14ac:dyDescent="0.25">
      <c r="A4704">
        <v>15</v>
      </c>
      <c r="B4704" t="s">
        <v>45</v>
      </c>
      <c r="C4704" s="1">
        <v>45222</v>
      </c>
      <c r="D4704" t="s">
        <v>71</v>
      </c>
      <c r="E4704">
        <v>0</v>
      </c>
      <c r="F4704">
        <v>68</v>
      </c>
      <c r="G4704" t="str">
        <f t="shared" si="81"/>
        <v>61-80</v>
      </c>
      <c r="H4704" t="s">
        <v>23</v>
      </c>
      <c r="I4704" t="s">
        <v>55</v>
      </c>
      <c r="J4704" t="s">
        <v>56</v>
      </c>
      <c r="K4704" t="s">
        <v>33</v>
      </c>
      <c r="L4704">
        <v>1</v>
      </c>
      <c r="M4704">
        <v>1</v>
      </c>
      <c r="N4704">
        <v>4.0999999999999996</v>
      </c>
      <c r="O4704">
        <v>9.1</v>
      </c>
      <c r="P4704">
        <v>6</v>
      </c>
      <c r="Q4704">
        <v>6</v>
      </c>
      <c r="R4704">
        <v>715768</v>
      </c>
      <c r="S4704">
        <f>Table1[[#This Row],[Revenue]]-Table1[[#This Row],[Operating_Costs]]</f>
        <v>169362</v>
      </c>
      <c r="T4704">
        <v>546406</v>
      </c>
      <c r="U4704">
        <v>38</v>
      </c>
      <c r="V4704">
        <v>57</v>
      </c>
      <c r="W4704">
        <v>9.8000000000000007</v>
      </c>
    </row>
    <row r="4705" spans="1:23" x14ac:dyDescent="0.25">
      <c r="A4705">
        <v>15</v>
      </c>
      <c r="B4705" t="s">
        <v>45</v>
      </c>
      <c r="C4705" s="1">
        <v>44483</v>
      </c>
      <c r="D4705" t="s">
        <v>71</v>
      </c>
      <c r="E4705">
        <v>0</v>
      </c>
      <c r="F4705">
        <v>43</v>
      </c>
      <c r="G4705" t="str">
        <f t="shared" si="81"/>
        <v>41-60</v>
      </c>
      <c r="H4705" t="s">
        <v>23</v>
      </c>
      <c r="I4705" t="s">
        <v>46</v>
      </c>
      <c r="J4705" t="s">
        <v>47</v>
      </c>
      <c r="K4705" t="s">
        <v>38</v>
      </c>
      <c r="L4705">
        <v>1</v>
      </c>
      <c r="M4705">
        <v>1</v>
      </c>
      <c r="N4705">
        <v>3.5</v>
      </c>
      <c r="O4705">
        <v>8.8000000000000007</v>
      </c>
      <c r="P4705">
        <v>7</v>
      </c>
      <c r="Q4705">
        <v>6</v>
      </c>
      <c r="R4705">
        <v>723399</v>
      </c>
      <c r="S4705">
        <f>Table1[[#This Row],[Revenue]]-Table1[[#This Row],[Operating_Costs]]</f>
        <v>136730</v>
      </c>
      <c r="T4705">
        <v>586669</v>
      </c>
      <c r="U4705">
        <v>51</v>
      </c>
      <c r="V4705">
        <v>65</v>
      </c>
      <c r="W4705">
        <v>5.9</v>
      </c>
    </row>
    <row r="4706" spans="1:23" x14ac:dyDescent="0.25">
      <c r="A4706">
        <v>15</v>
      </c>
      <c r="B4706" t="s">
        <v>45</v>
      </c>
      <c r="C4706" s="1">
        <v>45634</v>
      </c>
      <c r="D4706" t="s">
        <v>71</v>
      </c>
      <c r="E4706">
        <v>0</v>
      </c>
      <c r="F4706">
        <v>39</v>
      </c>
      <c r="G4706" t="str">
        <f t="shared" si="81"/>
        <v>21-40</v>
      </c>
      <c r="H4706" t="s">
        <v>23</v>
      </c>
      <c r="I4706" t="s">
        <v>58</v>
      </c>
      <c r="J4706" t="s">
        <v>59</v>
      </c>
      <c r="K4706" t="s">
        <v>33</v>
      </c>
      <c r="L4706">
        <v>1</v>
      </c>
      <c r="M4706">
        <v>1</v>
      </c>
      <c r="N4706">
        <v>4.0999999999999996</v>
      </c>
      <c r="O4706">
        <v>9.9</v>
      </c>
      <c r="P4706">
        <v>6</v>
      </c>
      <c r="Q4706">
        <v>4</v>
      </c>
      <c r="R4706">
        <v>738428</v>
      </c>
      <c r="S4706">
        <f>Table1[[#This Row],[Revenue]]-Table1[[#This Row],[Operating_Costs]]</f>
        <v>232240</v>
      </c>
      <c r="T4706">
        <v>506188</v>
      </c>
      <c r="U4706">
        <v>34</v>
      </c>
      <c r="V4706">
        <v>60</v>
      </c>
      <c r="W4706">
        <v>36.6</v>
      </c>
    </row>
    <row r="4707" spans="1:23" x14ac:dyDescent="0.25">
      <c r="A4707">
        <v>15</v>
      </c>
      <c r="B4707" t="s">
        <v>45</v>
      </c>
      <c r="C4707" s="1">
        <v>44439</v>
      </c>
      <c r="D4707" t="s">
        <v>71</v>
      </c>
      <c r="E4707">
        <v>0</v>
      </c>
      <c r="F4707">
        <v>39</v>
      </c>
      <c r="G4707" t="str">
        <f t="shared" si="81"/>
        <v>21-40</v>
      </c>
      <c r="H4707" t="s">
        <v>23</v>
      </c>
      <c r="I4707" t="s">
        <v>50</v>
      </c>
      <c r="J4707" t="s">
        <v>51</v>
      </c>
      <c r="K4707" t="s">
        <v>33</v>
      </c>
      <c r="L4707">
        <v>1</v>
      </c>
      <c r="M4707">
        <v>1</v>
      </c>
      <c r="N4707">
        <v>1.9</v>
      </c>
      <c r="O4707">
        <v>9.1999999999999993</v>
      </c>
      <c r="P4707">
        <v>4</v>
      </c>
      <c r="Q4707">
        <v>6</v>
      </c>
      <c r="R4707">
        <v>740386</v>
      </c>
      <c r="S4707">
        <f>Table1[[#This Row],[Revenue]]-Table1[[#This Row],[Operating_Costs]]</f>
        <v>117884</v>
      </c>
      <c r="T4707">
        <v>622502</v>
      </c>
      <c r="U4707">
        <v>54</v>
      </c>
      <c r="V4707">
        <v>54</v>
      </c>
      <c r="W4707">
        <v>6.3</v>
      </c>
    </row>
    <row r="4708" spans="1:23" x14ac:dyDescent="0.25">
      <c r="A4708">
        <v>15</v>
      </c>
      <c r="B4708" t="s">
        <v>45</v>
      </c>
      <c r="C4708" s="1">
        <v>45036</v>
      </c>
      <c r="D4708" t="s">
        <v>71</v>
      </c>
      <c r="E4708">
        <v>0</v>
      </c>
      <c r="F4708">
        <v>60</v>
      </c>
      <c r="G4708" t="str">
        <f t="shared" si="81"/>
        <v>41-60</v>
      </c>
      <c r="H4708" t="s">
        <v>23</v>
      </c>
      <c r="I4708" t="s">
        <v>58</v>
      </c>
      <c r="J4708" t="s">
        <v>59</v>
      </c>
      <c r="K4708" t="s">
        <v>33</v>
      </c>
      <c r="L4708">
        <v>1</v>
      </c>
      <c r="M4708">
        <v>1</v>
      </c>
      <c r="N4708">
        <v>2.9</v>
      </c>
      <c r="O4708">
        <v>9.6</v>
      </c>
      <c r="P4708">
        <v>6</v>
      </c>
      <c r="Q4708">
        <v>6</v>
      </c>
      <c r="R4708">
        <v>760440</v>
      </c>
      <c r="S4708">
        <f>Table1[[#This Row],[Revenue]]-Table1[[#This Row],[Operating_Costs]]</f>
        <v>148177</v>
      </c>
      <c r="T4708">
        <v>612263</v>
      </c>
      <c r="U4708">
        <v>42</v>
      </c>
      <c r="V4708">
        <v>63</v>
      </c>
      <c r="W4708">
        <v>10.8</v>
      </c>
    </row>
    <row r="4709" spans="1:23" x14ac:dyDescent="0.25">
      <c r="A4709">
        <v>15</v>
      </c>
      <c r="B4709" t="s">
        <v>45</v>
      </c>
      <c r="C4709" s="1">
        <v>44728</v>
      </c>
      <c r="D4709" t="s">
        <v>71</v>
      </c>
      <c r="E4709">
        <v>0</v>
      </c>
      <c r="F4709">
        <v>37</v>
      </c>
      <c r="G4709" t="str">
        <f t="shared" si="81"/>
        <v>21-40</v>
      </c>
      <c r="H4709" t="s">
        <v>35</v>
      </c>
      <c r="I4709" t="s">
        <v>40</v>
      </c>
      <c r="J4709" t="s">
        <v>41</v>
      </c>
      <c r="K4709" t="s">
        <v>42</v>
      </c>
      <c r="L4709">
        <v>1</v>
      </c>
      <c r="M4709">
        <v>1</v>
      </c>
      <c r="N4709">
        <v>3.4</v>
      </c>
      <c r="O4709">
        <v>7.5</v>
      </c>
      <c r="P4709">
        <v>6</v>
      </c>
      <c r="Q4709">
        <v>4</v>
      </c>
      <c r="R4709">
        <v>750386</v>
      </c>
      <c r="S4709">
        <f>Table1[[#This Row],[Revenue]]-Table1[[#This Row],[Operating_Costs]]</f>
        <v>71770</v>
      </c>
      <c r="T4709">
        <v>678616</v>
      </c>
      <c r="U4709">
        <v>37</v>
      </c>
      <c r="V4709">
        <v>63</v>
      </c>
      <c r="W4709">
        <v>7.6</v>
      </c>
    </row>
    <row r="4710" spans="1:23" x14ac:dyDescent="0.25">
      <c r="A4710">
        <v>15</v>
      </c>
      <c r="B4710" t="s">
        <v>45</v>
      </c>
      <c r="C4710" s="1">
        <v>44722</v>
      </c>
      <c r="D4710" t="s">
        <v>71</v>
      </c>
      <c r="E4710">
        <v>0</v>
      </c>
      <c r="F4710">
        <v>27</v>
      </c>
      <c r="G4710" t="str">
        <f t="shared" si="81"/>
        <v>21-40</v>
      </c>
      <c r="H4710" t="s">
        <v>35</v>
      </c>
      <c r="I4710" t="s">
        <v>36</v>
      </c>
      <c r="J4710" t="s">
        <v>37</v>
      </c>
      <c r="K4710" t="s">
        <v>26</v>
      </c>
      <c r="L4710">
        <v>1</v>
      </c>
      <c r="M4710">
        <v>1</v>
      </c>
      <c r="N4710">
        <v>3.4</v>
      </c>
      <c r="O4710">
        <v>8.3000000000000007</v>
      </c>
      <c r="P4710">
        <v>5</v>
      </c>
      <c r="Q4710">
        <v>7</v>
      </c>
      <c r="R4710">
        <v>768731</v>
      </c>
      <c r="S4710">
        <f>Table1[[#This Row],[Revenue]]-Table1[[#This Row],[Operating_Costs]]</f>
        <v>132802</v>
      </c>
      <c r="T4710">
        <v>635929</v>
      </c>
      <c r="U4710">
        <v>54</v>
      </c>
      <c r="V4710">
        <v>55</v>
      </c>
      <c r="W4710">
        <v>9.6</v>
      </c>
    </row>
    <row r="4711" spans="1:23" x14ac:dyDescent="0.25">
      <c r="A4711">
        <v>15</v>
      </c>
      <c r="B4711" t="s">
        <v>45</v>
      </c>
      <c r="C4711" s="1">
        <v>45353</v>
      </c>
      <c r="D4711" t="s">
        <v>71</v>
      </c>
      <c r="E4711">
        <v>0</v>
      </c>
      <c r="F4711">
        <v>29</v>
      </c>
      <c r="G4711" t="str">
        <f t="shared" si="81"/>
        <v>21-40</v>
      </c>
      <c r="H4711" t="s">
        <v>35</v>
      </c>
      <c r="I4711" t="s">
        <v>58</v>
      </c>
      <c r="J4711" t="s">
        <v>59</v>
      </c>
      <c r="K4711" t="s">
        <v>29</v>
      </c>
      <c r="L4711">
        <v>1</v>
      </c>
      <c r="M4711">
        <v>1</v>
      </c>
      <c r="N4711">
        <v>5.6</v>
      </c>
      <c r="O4711">
        <v>8.1999999999999993</v>
      </c>
      <c r="P4711">
        <v>3</v>
      </c>
      <c r="Q4711">
        <v>5</v>
      </c>
      <c r="R4711">
        <v>708871</v>
      </c>
      <c r="S4711">
        <f>Table1[[#This Row],[Revenue]]-Table1[[#This Row],[Operating_Costs]]</f>
        <v>173933</v>
      </c>
      <c r="T4711">
        <v>534938</v>
      </c>
      <c r="U4711">
        <v>59</v>
      </c>
      <c r="V4711">
        <v>59</v>
      </c>
      <c r="W4711">
        <v>36.4</v>
      </c>
    </row>
    <row r="4712" spans="1:23" x14ac:dyDescent="0.25">
      <c r="A4712">
        <v>15</v>
      </c>
      <c r="B4712" t="s">
        <v>45</v>
      </c>
      <c r="C4712" s="1">
        <v>44567</v>
      </c>
      <c r="D4712" t="s">
        <v>71</v>
      </c>
      <c r="E4712">
        <v>0</v>
      </c>
      <c r="F4712">
        <v>43</v>
      </c>
      <c r="G4712" t="str">
        <f t="shared" si="81"/>
        <v>41-60</v>
      </c>
      <c r="H4712" t="s">
        <v>35</v>
      </c>
      <c r="I4712" t="s">
        <v>53</v>
      </c>
      <c r="J4712" t="s">
        <v>54</v>
      </c>
      <c r="K4712" t="s">
        <v>38</v>
      </c>
      <c r="L4712">
        <v>1</v>
      </c>
      <c r="M4712">
        <v>1</v>
      </c>
      <c r="N4712">
        <v>2.7</v>
      </c>
      <c r="O4712">
        <v>9.9</v>
      </c>
      <c r="P4712">
        <v>5</v>
      </c>
      <c r="Q4712">
        <v>3</v>
      </c>
      <c r="R4712">
        <v>785236</v>
      </c>
      <c r="S4712">
        <f>Table1[[#This Row],[Revenue]]-Table1[[#This Row],[Operating_Costs]]</f>
        <v>284656</v>
      </c>
      <c r="T4712">
        <v>500580</v>
      </c>
      <c r="U4712">
        <v>52</v>
      </c>
      <c r="V4712">
        <v>59</v>
      </c>
      <c r="W4712">
        <v>12.6</v>
      </c>
    </row>
    <row r="4713" spans="1:23" x14ac:dyDescent="0.25">
      <c r="A4713">
        <v>15</v>
      </c>
      <c r="B4713" t="s">
        <v>45</v>
      </c>
      <c r="C4713" s="1">
        <v>45192</v>
      </c>
      <c r="D4713" t="s">
        <v>71</v>
      </c>
      <c r="E4713">
        <v>0</v>
      </c>
      <c r="F4713">
        <v>71</v>
      </c>
      <c r="G4713" t="str">
        <f t="shared" si="81"/>
        <v>61-80</v>
      </c>
      <c r="H4713" t="s">
        <v>23</v>
      </c>
      <c r="I4713" t="s">
        <v>61</v>
      </c>
      <c r="J4713" t="s">
        <v>62</v>
      </c>
      <c r="K4713" t="s">
        <v>38</v>
      </c>
      <c r="L4713">
        <v>1</v>
      </c>
      <c r="M4713">
        <v>1</v>
      </c>
      <c r="N4713">
        <v>5.7</v>
      </c>
      <c r="O4713">
        <v>9.4</v>
      </c>
      <c r="P4713">
        <v>3</v>
      </c>
      <c r="Q4713">
        <v>4</v>
      </c>
      <c r="R4713">
        <v>743086</v>
      </c>
      <c r="S4713">
        <f>Table1[[#This Row],[Revenue]]-Table1[[#This Row],[Operating_Costs]]</f>
        <v>106486</v>
      </c>
      <c r="T4713">
        <v>636600</v>
      </c>
      <c r="U4713">
        <v>37</v>
      </c>
      <c r="V4713">
        <v>54</v>
      </c>
      <c r="W4713">
        <v>12</v>
      </c>
    </row>
    <row r="4714" spans="1:23" x14ac:dyDescent="0.25">
      <c r="A4714">
        <v>15</v>
      </c>
      <c r="B4714" t="s">
        <v>45</v>
      </c>
      <c r="C4714" s="1">
        <v>45111</v>
      </c>
      <c r="D4714" t="s">
        <v>71</v>
      </c>
      <c r="E4714">
        <v>0</v>
      </c>
      <c r="F4714">
        <v>33</v>
      </c>
      <c r="G4714" t="str">
        <f t="shared" si="81"/>
        <v>21-40</v>
      </c>
      <c r="H4714" t="s">
        <v>35</v>
      </c>
      <c r="I4714" t="s">
        <v>27</v>
      </c>
      <c r="J4714" t="s">
        <v>28</v>
      </c>
      <c r="K4714" t="s">
        <v>33</v>
      </c>
      <c r="L4714">
        <v>1</v>
      </c>
      <c r="M4714">
        <v>1</v>
      </c>
      <c r="N4714">
        <v>3.6</v>
      </c>
      <c r="O4714">
        <v>8</v>
      </c>
      <c r="P4714">
        <v>5</v>
      </c>
      <c r="Q4714">
        <v>5</v>
      </c>
      <c r="R4714">
        <v>760955</v>
      </c>
      <c r="S4714">
        <f>Table1[[#This Row],[Revenue]]-Table1[[#This Row],[Operating_Costs]]</f>
        <v>79914</v>
      </c>
      <c r="T4714">
        <v>681041</v>
      </c>
      <c r="U4714">
        <v>33</v>
      </c>
      <c r="V4714">
        <v>59</v>
      </c>
      <c r="W4714">
        <v>10</v>
      </c>
    </row>
    <row r="4715" spans="1:23" x14ac:dyDescent="0.25">
      <c r="A4715">
        <v>15</v>
      </c>
      <c r="B4715" t="s">
        <v>45</v>
      </c>
      <c r="C4715" s="1">
        <v>44969</v>
      </c>
      <c r="D4715" t="s">
        <v>71</v>
      </c>
      <c r="E4715">
        <v>0</v>
      </c>
      <c r="F4715">
        <v>88</v>
      </c>
      <c r="G4715" t="str">
        <f t="shared" si="81"/>
        <v>81+</v>
      </c>
      <c r="H4715" t="s">
        <v>35</v>
      </c>
      <c r="I4715" t="s">
        <v>58</v>
      </c>
      <c r="J4715" t="s">
        <v>59</v>
      </c>
      <c r="K4715" t="s">
        <v>38</v>
      </c>
      <c r="L4715">
        <v>1</v>
      </c>
      <c r="M4715">
        <v>1</v>
      </c>
      <c r="N4715">
        <v>3.4</v>
      </c>
      <c r="O4715">
        <v>8.8000000000000007</v>
      </c>
      <c r="P4715">
        <v>3</v>
      </c>
      <c r="Q4715">
        <v>7</v>
      </c>
      <c r="R4715">
        <v>760415</v>
      </c>
      <c r="S4715">
        <f>Table1[[#This Row],[Revenue]]-Table1[[#This Row],[Operating_Costs]]</f>
        <v>183755</v>
      </c>
      <c r="T4715">
        <v>576660</v>
      </c>
      <c r="U4715">
        <v>54</v>
      </c>
      <c r="V4715">
        <v>56</v>
      </c>
      <c r="W4715">
        <v>9.6999999999999993</v>
      </c>
    </row>
    <row r="4716" spans="1:23" x14ac:dyDescent="0.25">
      <c r="A4716">
        <v>15</v>
      </c>
      <c r="B4716" t="s">
        <v>45</v>
      </c>
      <c r="C4716" s="1">
        <v>45571</v>
      </c>
      <c r="D4716" t="s">
        <v>71</v>
      </c>
      <c r="E4716">
        <v>0</v>
      </c>
      <c r="F4716">
        <v>51</v>
      </c>
      <c r="G4716" t="str">
        <f t="shared" si="81"/>
        <v>41-60</v>
      </c>
      <c r="H4716" t="s">
        <v>35</v>
      </c>
      <c r="I4716" t="s">
        <v>36</v>
      </c>
      <c r="J4716" t="s">
        <v>37</v>
      </c>
      <c r="K4716" t="s">
        <v>29</v>
      </c>
      <c r="L4716">
        <v>1</v>
      </c>
      <c r="M4716">
        <v>1</v>
      </c>
      <c r="N4716">
        <v>6.5</v>
      </c>
      <c r="O4716">
        <v>8.6</v>
      </c>
      <c r="P4716">
        <v>6</v>
      </c>
      <c r="Q4716">
        <v>7</v>
      </c>
      <c r="R4716">
        <v>710341</v>
      </c>
      <c r="S4716">
        <f>Table1[[#This Row],[Revenue]]-Table1[[#This Row],[Operating_Costs]]</f>
        <v>111596</v>
      </c>
      <c r="T4716">
        <v>598745</v>
      </c>
      <c r="U4716">
        <v>35</v>
      </c>
      <c r="V4716">
        <v>54</v>
      </c>
      <c r="W4716">
        <v>14.5</v>
      </c>
    </row>
    <row r="4717" spans="1:23" x14ac:dyDescent="0.25">
      <c r="A4717">
        <v>15</v>
      </c>
      <c r="B4717" t="s">
        <v>45</v>
      </c>
      <c r="C4717" s="1">
        <v>45618</v>
      </c>
      <c r="D4717" t="s">
        <v>71</v>
      </c>
      <c r="E4717">
        <v>0</v>
      </c>
      <c r="F4717">
        <v>40</v>
      </c>
      <c r="G4717" t="str">
        <f t="shared" si="81"/>
        <v>21-40</v>
      </c>
      <c r="H4717" t="s">
        <v>35</v>
      </c>
      <c r="I4717" t="s">
        <v>36</v>
      </c>
      <c r="J4717" t="s">
        <v>37</v>
      </c>
      <c r="K4717" t="s">
        <v>33</v>
      </c>
      <c r="L4717">
        <v>1</v>
      </c>
      <c r="M4717">
        <v>1</v>
      </c>
      <c r="N4717">
        <v>2.6</v>
      </c>
      <c r="O4717">
        <v>8.8000000000000007</v>
      </c>
      <c r="P4717">
        <v>6</v>
      </c>
      <c r="Q4717">
        <v>7</v>
      </c>
      <c r="R4717">
        <v>745814</v>
      </c>
      <c r="S4717">
        <f>Table1[[#This Row],[Revenue]]-Table1[[#This Row],[Operating_Costs]]</f>
        <v>50880</v>
      </c>
      <c r="T4717">
        <v>694934</v>
      </c>
      <c r="U4717">
        <v>40</v>
      </c>
      <c r="V4717">
        <v>56</v>
      </c>
      <c r="W4717">
        <v>8.6999999999999993</v>
      </c>
    </row>
    <row r="4718" spans="1:23" x14ac:dyDescent="0.25">
      <c r="A4718">
        <v>15</v>
      </c>
      <c r="B4718" t="s">
        <v>45</v>
      </c>
      <c r="C4718" s="1">
        <v>44591</v>
      </c>
      <c r="D4718" t="s">
        <v>71</v>
      </c>
      <c r="E4718">
        <v>0</v>
      </c>
      <c r="F4718">
        <v>45</v>
      </c>
      <c r="G4718" t="str">
        <f t="shared" si="81"/>
        <v>41-60</v>
      </c>
      <c r="H4718" t="s">
        <v>35</v>
      </c>
      <c r="I4718" t="s">
        <v>55</v>
      </c>
      <c r="J4718" t="s">
        <v>56</v>
      </c>
      <c r="K4718" t="s">
        <v>33</v>
      </c>
      <c r="L4718">
        <v>1</v>
      </c>
      <c r="M4718">
        <v>1</v>
      </c>
      <c r="N4718">
        <v>3.4</v>
      </c>
      <c r="O4718">
        <v>8.6999999999999993</v>
      </c>
      <c r="P4718">
        <v>7</v>
      </c>
      <c r="Q4718">
        <v>3</v>
      </c>
      <c r="R4718">
        <v>703370</v>
      </c>
      <c r="S4718">
        <f>Table1[[#This Row],[Revenue]]-Table1[[#This Row],[Operating_Costs]]</f>
        <v>182404</v>
      </c>
      <c r="T4718">
        <v>520966</v>
      </c>
      <c r="U4718">
        <v>40</v>
      </c>
      <c r="V4718">
        <v>59</v>
      </c>
      <c r="W4718">
        <v>12.9</v>
      </c>
    </row>
    <row r="4719" spans="1:23" x14ac:dyDescent="0.25">
      <c r="A4719">
        <v>15</v>
      </c>
      <c r="B4719" t="s">
        <v>45</v>
      </c>
      <c r="C4719" s="1">
        <v>45443</v>
      </c>
      <c r="D4719" t="s">
        <v>71</v>
      </c>
      <c r="E4719">
        <v>0</v>
      </c>
      <c r="F4719">
        <v>29</v>
      </c>
      <c r="G4719" t="str">
        <f t="shared" si="81"/>
        <v>21-40</v>
      </c>
      <c r="H4719" t="s">
        <v>35</v>
      </c>
      <c r="I4719" t="s">
        <v>58</v>
      </c>
      <c r="J4719" t="s">
        <v>59</v>
      </c>
      <c r="K4719" t="s">
        <v>26</v>
      </c>
      <c r="L4719">
        <v>1</v>
      </c>
      <c r="M4719">
        <v>1</v>
      </c>
      <c r="N4719">
        <v>5.5</v>
      </c>
      <c r="O4719">
        <v>8.1</v>
      </c>
      <c r="P4719">
        <v>3</v>
      </c>
      <c r="Q4719">
        <v>5</v>
      </c>
      <c r="R4719">
        <v>784852</v>
      </c>
      <c r="S4719">
        <f>Table1[[#This Row],[Revenue]]-Table1[[#This Row],[Operating_Costs]]</f>
        <v>111846</v>
      </c>
      <c r="T4719">
        <v>673006</v>
      </c>
      <c r="U4719">
        <v>33</v>
      </c>
      <c r="V4719">
        <v>57</v>
      </c>
      <c r="W4719">
        <v>7.1</v>
      </c>
    </row>
    <row r="4720" spans="1:23" x14ac:dyDescent="0.25">
      <c r="A4720">
        <v>15</v>
      </c>
      <c r="B4720" t="s">
        <v>45</v>
      </c>
      <c r="C4720" s="1">
        <v>44228</v>
      </c>
      <c r="D4720" t="s">
        <v>71</v>
      </c>
      <c r="E4720">
        <v>0</v>
      </c>
      <c r="F4720">
        <v>64</v>
      </c>
      <c r="G4720" t="str">
        <f t="shared" si="81"/>
        <v>61-80</v>
      </c>
      <c r="H4720" t="s">
        <v>23</v>
      </c>
      <c r="I4720" t="s">
        <v>50</v>
      </c>
      <c r="J4720" t="s">
        <v>51</v>
      </c>
      <c r="K4720" t="s">
        <v>29</v>
      </c>
      <c r="L4720">
        <v>1</v>
      </c>
      <c r="M4720">
        <v>1</v>
      </c>
      <c r="N4720">
        <v>6.2</v>
      </c>
      <c r="O4720">
        <v>7.7</v>
      </c>
      <c r="P4720">
        <v>3</v>
      </c>
      <c r="Q4720">
        <v>3</v>
      </c>
      <c r="R4720">
        <v>734285</v>
      </c>
      <c r="S4720">
        <f>Table1[[#This Row],[Revenue]]-Table1[[#This Row],[Operating_Costs]]</f>
        <v>74364</v>
      </c>
      <c r="T4720">
        <v>659921</v>
      </c>
      <c r="U4720">
        <v>41</v>
      </c>
      <c r="V4720">
        <v>60</v>
      </c>
      <c r="W4720">
        <v>7.1</v>
      </c>
    </row>
    <row r="4721" spans="1:23" x14ac:dyDescent="0.25">
      <c r="A4721">
        <v>15</v>
      </c>
      <c r="B4721" t="s">
        <v>45</v>
      </c>
      <c r="C4721" s="1">
        <v>44287</v>
      </c>
      <c r="D4721" t="s">
        <v>71</v>
      </c>
      <c r="E4721">
        <v>0</v>
      </c>
      <c r="F4721">
        <v>69</v>
      </c>
      <c r="G4721" t="str">
        <f t="shared" si="81"/>
        <v>61-80</v>
      </c>
      <c r="H4721" t="s">
        <v>35</v>
      </c>
      <c r="I4721" t="s">
        <v>55</v>
      </c>
      <c r="J4721" t="s">
        <v>56</v>
      </c>
      <c r="K4721" t="s">
        <v>42</v>
      </c>
      <c r="L4721">
        <v>1</v>
      </c>
      <c r="M4721">
        <v>1</v>
      </c>
      <c r="N4721">
        <v>5.9</v>
      </c>
      <c r="O4721">
        <v>8.3000000000000007</v>
      </c>
      <c r="P4721">
        <v>5</v>
      </c>
      <c r="Q4721">
        <v>7</v>
      </c>
      <c r="R4721">
        <v>762017</v>
      </c>
      <c r="S4721">
        <f>Table1[[#This Row],[Revenue]]-Table1[[#This Row],[Operating_Costs]]</f>
        <v>149742</v>
      </c>
      <c r="T4721">
        <v>612275</v>
      </c>
      <c r="U4721">
        <v>60</v>
      </c>
      <c r="V4721">
        <v>54</v>
      </c>
      <c r="W4721">
        <v>7.1</v>
      </c>
    </row>
    <row r="4722" spans="1:23" x14ac:dyDescent="0.25">
      <c r="A4722">
        <v>15</v>
      </c>
      <c r="B4722" t="s">
        <v>45</v>
      </c>
      <c r="C4722" s="1">
        <v>45529</v>
      </c>
      <c r="D4722" t="s">
        <v>71</v>
      </c>
      <c r="E4722">
        <v>0</v>
      </c>
      <c r="F4722">
        <v>87</v>
      </c>
      <c r="G4722" t="str">
        <f t="shared" si="81"/>
        <v>81+</v>
      </c>
      <c r="H4722" t="s">
        <v>35</v>
      </c>
      <c r="I4722" t="s">
        <v>55</v>
      </c>
      <c r="J4722" t="s">
        <v>56</v>
      </c>
      <c r="K4722" t="s">
        <v>29</v>
      </c>
      <c r="L4722">
        <v>1</v>
      </c>
      <c r="M4722">
        <v>1</v>
      </c>
      <c r="N4722">
        <v>5.6</v>
      </c>
      <c r="O4722">
        <v>7.4</v>
      </c>
      <c r="P4722">
        <v>4</v>
      </c>
      <c r="Q4722">
        <v>3</v>
      </c>
      <c r="R4722">
        <v>741570</v>
      </c>
      <c r="S4722">
        <f>Table1[[#This Row],[Revenue]]-Table1[[#This Row],[Operating_Costs]]</f>
        <v>112208</v>
      </c>
      <c r="T4722">
        <v>629362</v>
      </c>
      <c r="U4722">
        <v>48</v>
      </c>
      <c r="V4722">
        <v>65</v>
      </c>
      <c r="W4722">
        <v>8.8000000000000007</v>
      </c>
    </row>
    <row r="4723" spans="1:23" x14ac:dyDescent="0.25">
      <c r="A4723">
        <v>15</v>
      </c>
      <c r="B4723" t="s">
        <v>45</v>
      </c>
      <c r="C4723" s="1">
        <v>45544</v>
      </c>
      <c r="D4723" t="s">
        <v>71</v>
      </c>
      <c r="E4723">
        <v>0</v>
      </c>
      <c r="F4723">
        <v>66</v>
      </c>
      <c r="G4723" t="str">
        <f t="shared" si="81"/>
        <v>61-80</v>
      </c>
      <c r="H4723" t="s">
        <v>35</v>
      </c>
      <c r="I4723" t="s">
        <v>53</v>
      </c>
      <c r="J4723" t="s">
        <v>54</v>
      </c>
      <c r="K4723" t="s">
        <v>29</v>
      </c>
      <c r="L4723">
        <v>1</v>
      </c>
      <c r="M4723">
        <v>1</v>
      </c>
      <c r="N4723">
        <v>5.6</v>
      </c>
      <c r="O4723">
        <v>9.4</v>
      </c>
      <c r="P4723">
        <v>4</v>
      </c>
      <c r="Q4723">
        <v>5</v>
      </c>
      <c r="R4723">
        <v>730238</v>
      </c>
      <c r="S4723">
        <f>Table1[[#This Row],[Revenue]]-Table1[[#This Row],[Operating_Costs]]</f>
        <v>208207</v>
      </c>
      <c r="T4723">
        <v>522031</v>
      </c>
      <c r="U4723">
        <v>55</v>
      </c>
      <c r="V4723">
        <v>66</v>
      </c>
      <c r="W4723">
        <v>6.5</v>
      </c>
    </row>
    <row r="4724" spans="1:23" x14ac:dyDescent="0.25">
      <c r="A4724">
        <v>15</v>
      </c>
      <c r="B4724" t="s">
        <v>45</v>
      </c>
      <c r="C4724" s="1">
        <v>44580</v>
      </c>
      <c r="D4724" t="s">
        <v>71</v>
      </c>
      <c r="E4724">
        <v>0</v>
      </c>
      <c r="F4724">
        <v>29</v>
      </c>
      <c r="G4724" t="str">
        <f t="shared" si="81"/>
        <v>21-40</v>
      </c>
      <c r="H4724" t="s">
        <v>23</v>
      </c>
      <c r="I4724" t="s">
        <v>61</v>
      </c>
      <c r="J4724" t="s">
        <v>62</v>
      </c>
      <c r="K4724" t="s">
        <v>38</v>
      </c>
      <c r="L4724">
        <v>1</v>
      </c>
      <c r="M4724">
        <v>1</v>
      </c>
      <c r="N4724">
        <v>4.5999999999999996</v>
      </c>
      <c r="O4724">
        <v>8.5</v>
      </c>
      <c r="P4724">
        <v>6</v>
      </c>
      <c r="Q4724">
        <v>5</v>
      </c>
      <c r="R4724">
        <v>799057</v>
      </c>
      <c r="S4724">
        <f>Table1[[#This Row],[Revenue]]-Table1[[#This Row],[Operating_Costs]]</f>
        <v>216270</v>
      </c>
      <c r="T4724">
        <v>582787</v>
      </c>
      <c r="U4724">
        <v>54</v>
      </c>
      <c r="V4724">
        <v>54</v>
      </c>
      <c r="W4724">
        <v>6.3</v>
      </c>
    </row>
    <row r="4725" spans="1:23" x14ac:dyDescent="0.25">
      <c r="A4725">
        <v>15</v>
      </c>
      <c r="B4725" t="s">
        <v>45</v>
      </c>
      <c r="C4725" s="1">
        <v>44245</v>
      </c>
      <c r="D4725" t="s">
        <v>71</v>
      </c>
      <c r="E4725">
        <v>0</v>
      </c>
      <c r="F4725">
        <v>39</v>
      </c>
      <c r="G4725" t="str">
        <f t="shared" si="81"/>
        <v>21-40</v>
      </c>
      <c r="H4725" t="s">
        <v>23</v>
      </c>
      <c r="I4725" t="s">
        <v>55</v>
      </c>
      <c r="J4725" t="s">
        <v>56</v>
      </c>
      <c r="K4725" t="s">
        <v>33</v>
      </c>
      <c r="L4725">
        <v>1</v>
      </c>
      <c r="M4725">
        <v>1</v>
      </c>
      <c r="N4725">
        <v>3.6</v>
      </c>
      <c r="O4725">
        <v>7.6</v>
      </c>
      <c r="P4725">
        <v>7</v>
      </c>
      <c r="Q4725">
        <v>5</v>
      </c>
      <c r="R4725">
        <v>793770</v>
      </c>
      <c r="S4725">
        <f>Table1[[#This Row],[Revenue]]-Table1[[#This Row],[Operating_Costs]]</f>
        <v>153734</v>
      </c>
      <c r="T4725">
        <v>640036</v>
      </c>
      <c r="U4725">
        <v>44</v>
      </c>
      <c r="V4725">
        <v>62</v>
      </c>
      <c r="W4725">
        <v>5.6</v>
      </c>
    </row>
    <row r="4726" spans="1:23" x14ac:dyDescent="0.25">
      <c r="A4726">
        <v>15</v>
      </c>
      <c r="B4726" t="s">
        <v>45</v>
      </c>
      <c r="C4726" s="1">
        <v>45489</v>
      </c>
      <c r="D4726" t="s">
        <v>71</v>
      </c>
      <c r="E4726">
        <v>0</v>
      </c>
      <c r="F4726">
        <v>75</v>
      </c>
      <c r="G4726" t="str">
        <f t="shared" si="81"/>
        <v>61-80</v>
      </c>
      <c r="H4726" t="s">
        <v>23</v>
      </c>
      <c r="I4726" t="s">
        <v>58</v>
      </c>
      <c r="J4726" t="s">
        <v>59</v>
      </c>
      <c r="K4726" t="s">
        <v>26</v>
      </c>
      <c r="L4726">
        <v>1</v>
      </c>
      <c r="M4726">
        <v>1</v>
      </c>
      <c r="N4726">
        <v>3.5</v>
      </c>
      <c r="O4726">
        <v>7.5</v>
      </c>
      <c r="P4726">
        <v>3</v>
      </c>
      <c r="Q4726">
        <v>4</v>
      </c>
      <c r="R4726">
        <v>713941</v>
      </c>
      <c r="S4726">
        <f>Table1[[#This Row],[Revenue]]-Table1[[#This Row],[Operating_Costs]]</f>
        <v>94572</v>
      </c>
      <c r="T4726">
        <v>619369</v>
      </c>
      <c r="U4726">
        <v>53</v>
      </c>
      <c r="V4726">
        <v>66</v>
      </c>
      <c r="W4726">
        <v>14.4</v>
      </c>
    </row>
    <row r="4727" spans="1:23" x14ac:dyDescent="0.25">
      <c r="A4727">
        <v>15</v>
      </c>
      <c r="B4727" t="s">
        <v>45</v>
      </c>
      <c r="C4727" s="1">
        <v>44758</v>
      </c>
      <c r="D4727" t="s">
        <v>71</v>
      </c>
      <c r="E4727">
        <v>0</v>
      </c>
      <c r="F4727">
        <v>40</v>
      </c>
      <c r="G4727" t="str">
        <f t="shared" si="81"/>
        <v>21-40</v>
      </c>
      <c r="H4727" t="s">
        <v>35</v>
      </c>
      <c r="I4727" t="s">
        <v>50</v>
      </c>
      <c r="J4727" t="s">
        <v>51</v>
      </c>
      <c r="K4727" t="s">
        <v>26</v>
      </c>
      <c r="L4727">
        <v>1</v>
      </c>
      <c r="M4727">
        <v>1</v>
      </c>
      <c r="N4727">
        <v>6.4</v>
      </c>
      <c r="O4727">
        <v>8.6</v>
      </c>
      <c r="P4727">
        <v>5</v>
      </c>
      <c r="Q4727">
        <v>7</v>
      </c>
      <c r="R4727">
        <v>732513</v>
      </c>
      <c r="S4727">
        <f>Table1[[#This Row],[Revenue]]-Table1[[#This Row],[Operating_Costs]]</f>
        <v>161255</v>
      </c>
      <c r="T4727">
        <v>571258</v>
      </c>
      <c r="U4727">
        <v>30</v>
      </c>
      <c r="V4727">
        <v>62</v>
      </c>
      <c r="W4727">
        <v>7.4</v>
      </c>
    </row>
    <row r="4728" spans="1:23" x14ac:dyDescent="0.25">
      <c r="A4728">
        <v>15</v>
      </c>
      <c r="B4728" t="s">
        <v>45</v>
      </c>
      <c r="C4728" s="1">
        <v>45470</v>
      </c>
      <c r="D4728" t="s">
        <v>71</v>
      </c>
      <c r="E4728">
        <v>0</v>
      </c>
      <c r="F4728">
        <v>27</v>
      </c>
      <c r="G4728" t="str">
        <f t="shared" si="81"/>
        <v>21-40</v>
      </c>
      <c r="H4728" t="s">
        <v>35</v>
      </c>
      <c r="I4728" t="s">
        <v>58</v>
      </c>
      <c r="J4728" t="s">
        <v>59</v>
      </c>
      <c r="K4728" t="s">
        <v>33</v>
      </c>
      <c r="L4728">
        <v>1</v>
      </c>
      <c r="M4728">
        <v>1</v>
      </c>
      <c r="N4728">
        <v>6.3</v>
      </c>
      <c r="O4728">
        <v>8.5</v>
      </c>
      <c r="P4728">
        <v>6</v>
      </c>
      <c r="Q4728">
        <v>4</v>
      </c>
      <c r="R4728">
        <v>759239</v>
      </c>
      <c r="S4728">
        <f>Table1[[#This Row],[Revenue]]-Table1[[#This Row],[Operating_Costs]]</f>
        <v>108327</v>
      </c>
      <c r="T4728">
        <v>650912</v>
      </c>
      <c r="U4728">
        <v>55</v>
      </c>
      <c r="V4728">
        <v>60</v>
      </c>
      <c r="W4728">
        <v>13.5</v>
      </c>
    </row>
    <row r="4729" spans="1:23" x14ac:dyDescent="0.25">
      <c r="A4729">
        <v>15</v>
      </c>
      <c r="B4729" t="s">
        <v>45</v>
      </c>
      <c r="C4729" s="1">
        <v>45140</v>
      </c>
      <c r="D4729" t="s">
        <v>71</v>
      </c>
      <c r="E4729">
        <v>0</v>
      </c>
      <c r="F4729">
        <v>47</v>
      </c>
      <c r="G4729" t="str">
        <f t="shared" si="81"/>
        <v>41-60</v>
      </c>
      <c r="H4729" t="s">
        <v>23</v>
      </c>
      <c r="I4729" t="s">
        <v>31</v>
      </c>
      <c r="J4729" t="s">
        <v>28</v>
      </c>
      <c r="K4729" t="s">
        <v>29</v>
      </c>
      <c r="L4729">
        <v>1</v>
      </c>
      <c r="M4729">
        <v>1</v>
      </c>
      <c r="N4729">
        <v>3</v>
      </c>
      <c r="O4729">
        <v>8.1</v>
      </c>
      <c r="P4729">
        <v>3</v>
      </c>
      <c r="Q4729">
        <v>7</v>
      </c>
      <c r="R4729">
        <v>738575</v>
      </c>
      <c r="S4729">
        <f>Table1[[#This Row],[Revenue]]-Table1[[#This Row],[Operating_Costs]]</f>
        <v>195862</v>
      </c>
      <c r="T4729">
        <v>542713</v>
      </c>
      <c r="U4729">
        <v>46</v>
      </c>
      <c r="V4729">
        <v>60</v>
      </c>
      <c r="W4729">
        <v>36.4</v>
      </c>
    </row>
    <row r="4730" spans="1:23" x14ac:dyDescent="0.25">
      <c r="A4730">
        <v>15</v>
      </c>
      <c r="B4730" t="s">
        <v>45</v>
      </c>
      <c r="C4730" s="1">
        <v>44941</v>
      </c>
      <c r="D4730" t="s">
        <v>71</v>
      </c>
      <c r="E4730">
        <v>0</v>
      </c>
      <c r="F4730">
        <v>60</v>
      </c>
      <c r="G4730" t="str">
        <f t="shared" si="81"/>
        <v>41-60</v>
      </c>
      <c r="H4730" t="s">
        <v>35</v>
      </c>
      <c r="I4730" t="s">
        <v>58</v>
      </c>
      <c r="J4730" t="s">
        <v>59</v>
      </c>
      <c r="K4730" t="s">
        <v>29</v>
      </c>
      <c r="L4730">
        <v>1</v>
      </c>
      <c r="M4730">
        <v>1</v>
      </c>
      <c r="N4730">
        <v>3.5</v>
      </c>
      <c r="O4730">
        <v>8.3000000000000007</v>
      </c>
      <c r="P4730">
        <v>3</v>
      </c>
      <c r="Q4730">
        <v>6</v>
      </c>
      <c r="R4730">
        <v>737825</v>
      </c>
      <c r="S4730">
        <f>Table1[[#This Row],[Revenue]]-Table1[[#This Row],[Operating_Costs]]</f>
        <v>98818</v>
      </c>
      <c r="T4730">
        <v>639007</v>
      </c>
      <c r="U4730">
        <v>40</v>
      </c>
      <c r="V4730">
        <v>59</v>
      </c>
      <c r="W4730">
        <v>10.1</v>
      </c>
    </row>
    <row r="4731" spans="1:23" x14ac:dyDescent="0.25">
      <c r="A4731">
        <v>15</v>
      </c>
      <c r="B4731" t="s">
        <v>45</v>
      </c>
      <c r="C4731" s="1">
        <v>44328</v>
      </c>
      <c r="D4731" t="s">
        <v>71</v>
      </c>
      <c r="E4731">
        <v>0</v>
      </c>
      <c r="F4731">
        <v>83</v>
      </c>
      <c r="G4731" t="str">
        <f t="shared" si="81"/>
        <v>81+</v>
      </c>
      <c r="H4731" t="s">
        <v>35</v>
      </c>
      <c r="I4731" t="s">
        <v>64</v>
      </c>
      <c r="J4731" t="s">
        <v>65</v>
      </c>
      <c r="K4731" t="s">
        <v>26</v>
      </c>
      <c r="L4731">
        <v>1</v>
      </c>
      <c r="M4731">
        <v>1</v>
      </c>
      <c r="N4731">
        <v>1.2</v>
      </c>
      <c r="O4731">
        <v>8.1999999999999993</v>
      </c>
      <c r="P4731">
        <v>5</v>
      </c>
      <c r="Q4731">
        <v>3</v>
      </c>
      <c r="R4731">
        <v>702377</v>
      </c>
      <c r="S4731">
        <f>Table1[[#This Row],[Revenue]]-Table1[[#This Row],[Operating_Costs]]</f>
        <v>135534</v>
      </c>
      <c r="T4731">
        <v>566843</v>
      </c>
      <c r="U4731">
        <v>38</v>
      </c>
      <c r="V4731">
        <v>65</v>
      </c>
      <c r="W4731">
        <v>8.1999999999999993</v>
      </c>
    </row>
    <row r="4732" spans="1:23" x14ac:dyDescent="0.25">
      <c r="A4732">
        <v>15</v>
      </c>
      <c r="B4732" t="s">
        <v>45</v>
      </c>
      <c r="C4732" s="1">
        <v>44571</v>
      </c>
      <c r="D4732" t="s">
        <v>71</v>
      </c>
      <c r="E4732">
        <v>0</v>
      </c>
      <c r="F4732">
        <v>34</v>
      </c>
      <c r="G4732" t="str">
        <f t="shared" si="81"/>
        <v>21-40</v>
      </c>
      <c r="H4732" t="s">
        <v>35</v>
      </c>
      <c r="I4732" t="s">
        <v>31</v>
      </c>
      <c r="J4732" t="s">
        <v>28</v>
      </c>
      <c r="K4732" t="s">
        <v>42</v>
      </c>
      <c r="L4732">
        <v>1</v>
      </c>
      <c r="M4732">
        <v>1</v>
      </c>
      <c r="N4732">
        <v>5.8</v>
      </c>
      <c r="O4732">
        <v>8.5</v>
      </c>
      <c r="P4732">
        <v>6</v>
      </c>
      <c r="Q4732">
        <v>6</v>
      </c>
      <c r="R4732">
        <v>719939</v>
      </c>
      <c r="S4732">
        <f>Table1[[#This Row],[Revenue]]-Table1[[#This Row],[Operating_Costs]]</f>
        <v>67301</v>
      </c>
      <c r="T4732">
        <v>652638</v>
      </c>
      <c r="U4732">
        <v>41</v>
      </c>
      <c r="V4732">
        <v>65</v>
      </c>
      <c r="W4732">
        <v>10.199999999999999</v>
      </c>
    </row>
    <row r="4733" spans="1:23" x14ac:dyDescent="0.25">
      <c r="A4733">
        <v>15</v>
      </c>
      <c r="B4733" t="s">
        <v>45</v>
      </c>
      <c r="C4733" s="1">
        <v>45261</v>
      </c>
      <c r="D4733" t="s">
        <v>71</v>
      </c>
      <c r="E4733">
        <v>0</v>
      </c>
      <c r="F4733">
        <v>71</v>
      </c>
      <c r="G4733" t="str">
        <f t="shared" si="81"/>
        <v>61-80</v>
      </c>
      <c r="H4733" t="s">
        <v>23</v>
      </c>
      <c r="I4733" t="s">
        <v>43</v>
      </c>
      <c r="J4733" t="s">
        <v>25</v>
      </c>
      <c r="K4733" t="s">
        <v>29</v>
      </c>
      <c r="L4733">
        <v>1</v>
      </c>
      <c r="M4733">
        <v>1</v>
      </c>
      <c r="N4733">
        <v>5</v>
      </c>
      <c r="O4733">
        <v>8.5</v>
      </c>
      <c r="P4733">
        <v>5</v>
      </c>
      <c r="Q4733">
        <v>3</v>
      </c>
      <c r="R4733">
        <v>701785</v>
      </c>
      <c r="S4733">
        <f>Table1[[#This Row],[Revenue]]-Table1[[#This Row],[Operating_Costs]]</f>
        <v>92489</v>
      </c>
      <c r="T4733">
        <v>609296</v>
      </c>
      <c r="U4733">
        <v>33</v>
      </c>
      <c r="V4733">
        <v>61</v>
      </c>
      <c r="W4733">
        <v>13.7</v>
      </c>
    </row>
    <row r="4734" spans="1:23" x14ac:dyDescent="0.25">
      <c r="A4734">
        <v>15</v>
      </c>
      <c r="B4734" t="s">
        <v>45</v>
      </c>
      <c r="C4734" s="1">
        <v>44389</v>
      </c>
      <c r="D4734" t="s">
        <v>71</v>
      </c>
      <c r="E4734">
        <v>0</v>
      </c>
      <c r="F4734">
        <v>22</v>
      </c>
      <c r="G4734" t="str">
        <f t="shared" si="81"/>
        <v>21-40</v>
      </c>
      <c r="H4734" t="s">
        <v>23</v>
      </c>
      <c r="I4734" t="s">
        <v>24</v>
      </c>
      <c r="J4734" t="s">
        <v>25</v>
      </c>
      <c r="K4734" t="s">
        <v>42</v>
      </c>
      <c r="L4734">
        <v>1</v>
      </c>
      <c r="M4734">
        <v>1</v>
      </c>
      <c r="N4734">
        <v>3.5</v>
      </c>
      <c r="O4734">
        <v>10</v>
      </c>
      <c r="P4734">
        <v>3</v>
      </c>
      <c r="Q4734">
        <v>6</v>
      </c>
      <c r="R4734">
        <v>716653</v>
      </c>
      <c r="S4734">
        <f>Table1[[#This Row],[Revenue]]-Table1[[#This Row],[Operating_Costs]]</f>
        <v>110588</v>
      </c>
      <c r="T4734">
        <v>606065</v>
      </c>
      <c r="U4734">
        <v>34</v>
      </c>
      <c r="V4734">
        <v>65</v>
      </c>
      <c r="W4734">
        <v>14.5</v>
      </c>
    </row>
    <row r="4735" spans="1:23" x14ac:dyDescent="0.25">
      <c r="A4735">
        <v>15</v>
      </c>
      <c r="B4735" t="s">
        <v>45</v>
      </c>
      <c r="C4735" s="1">
        <v>44452</v>
      </c>
      <c r="D4735" t="s">
        <v>71</v>
      </c>
      <c r="E4735">
        <v>0</v>
      </c>
      <c r="F4735">
        <v>43</v>
      </c>
      <c r="G4735" t="str">
        <f t="shared" si="81"/>
        <v>41-60</v>
      </c>
      <c r="H4735" t="s">
        <v>23</v>
      </c>
      <c r="I4735" t="s">
        <v>40</v>
      </c>
      <c r="J4735" t="s">
        <v>41</v>
      </c>
      <c r="K4735" t="s">
        <v>38</v>
      </c>
      <c r="L4735">
        <v>1</v>
      </c>
      <c r="M4735">
        <v>1</v>
      </c>
      <c r="N4735">
        <v>6.2</v>
      </c>
      <c r="O4735">
        <v>8.9</v>
      </c>
      <c r="P4735">
        <v>5</v>
      </c>
      <c r="Q4735">
        <v>7</v>
      </c>
      <c r="R4735">
        <v>783207</v>
      </c>
      <c r="S4735">
        <f>Table1[[#This Row],[Revenue]]-Table1[[#This Row],[Operating_Costs]]</f>
        <v>136638</v>
      </c>
      <c r="T4735">
        <v>646569</v>
      </c>
      <c r="U4735">
        <v>40</v>
      </c>
      <c r="V4735">
        <v>65</v>
      </c>
      <c r="W4735">
        <v>36.9</v>
      </c>
    </row>
    <row r="4736" spans="1:23" x14ac:dyDescent="0.25">
      <c r="A4736">
        <v>15</v>
      </c>
      <c r="B4736" t="s">
        <v>45</v>
      </c>
      <c r="C4736" s="1">
        <v>44483</v>
      </c>
      <c r="D4736" t="s">
        <v>71</v>
      </c>
      <c r="E4736">
        <v>0</v>
      </c>
      <c r="F4736">
        <v>27</v>
      </c>
      <c r="G4736" t="str">
        <f t="shared" si="81"/>
        <v>21-40</v>
      </c>
      <c r="H4736" t="s">
        <v>23</v>
      </c>
      <c r="I4736" t="s">
        <v>46</v>
      </c>
      <c r="J4736" t="s">
        <v>47</v>
      </c>
      <c r="K4736" t="s">
        <v>26</v>
      </c>
      <c r="L4736">
        <v>1</v>
      </c>
      <c r="M4736">
        <v>1</v>
      </c>
      <c r="N4736">
        <v>4.0999999999999996</v>
      </c>
      <c r="O4736">
        <v>9.8000000000000007</v>
      </c>
      <c r="P4736">
        <v>3</v>
      </c>
      <c r="Q4736">
        <v>5</v>
      </c>
      <c r="R4736">
        <v>798705</v>
      </c>
      <c r="S4736">
        <f>Table1[[#This Row],[Revenue]]-Table1[[#This Row],[Operating_Costs]]</f>
        <v>264635</v>
      </c>
      <c r="T4736">
        <v>534070</v>
      </c>
      <c r="U4736">
        <v>34</v>
      </c>
      <c r="V4736">
        <v>60</v>
      </c>
      <c r="W4736">
        <v>12.5</v>
      </c>
    </row>
    <row r="4737" spans="1:23" x14ac:dyDescent="0.25">
      <c r="A4737">
        <v>15</v>
      </c>
      <c r="B4737" t="s">
        <v>45</v>
      </c>
      <c r="C4737" s="1">
        <v>44449</v>
      </c>
      <c r="D4737" t="s">
        <v>71</v>
      </c>
      <c r="E4737">
        <v>0</v>
      </c>
      <c r="F4737">
        <v>28</v>
      </c>
      <c r="G4737" t="str">
        <f t="shared" si="81"/>
        <v>21-40</v>
      </c>
      <c r="H4737" t="s">
        <v>35</v>
      </c>
      <c r="I4737" t="s">
        <v>53</v>
      </c>
      <c r="J4737" t="s">
        <v>54</v>
      </c>
      <c r="K4737" t="s">
        <v>26</v>
      </c>
      <c r="L4737">
        <v>1</v>
      </c>
      <c r="M4737">
        <v>1</v>
      </c>
      <c r="N4737">
        <v>6.4</v>
      </c>
      <c r="O4737">
        <v>7.3</v>
      </c>
      <c r="P4737">
        <v>7</v>
      </c>
      <c r="Q4737">
        <v>5</v>
      </c>
      <c r="R4737">
        <v>726642</v>
      </c>
      <c r="S4737">
        <f>Table1[[#This Row],[Revenue]]-Table1[[#This Row],[Operating_Costs]]</f>
        <v>37116</v>
      </c>
      <c r="T4737">
        <v>689526</v>
      </c>
      <c r="U4737">
        <v>58</v>
      </c>
      <c r="V4737">
        <v>56</v>
      </c>
      <c r="W4737">
        <v>36.4</v>
      </c>
    </row>
    <row r="4738" spans="1:23" x14ac:dyDescent="0.25">
      <c r="A4738">
        <v>15</v>
      </c>
      <c r="B4738" t="s">
        <v>45</v>
      </c>
      <c r="C4738" s="1">
        <v>45232</v>
      </c>
      <c r="D4738" t="s">
        <v>71</v>
      </c>
      <c r="E4738">
        <v>0</v>
      </c>
      <c r="F4738">
        <v>44</v>
      </c>
      <c r="G4738" t="str">
        <f t="shared" si="81"/>
        <v>41-60</v>
      </c>
      <c r="H4738" t="s">
        <v>23</v>
      </c>
      <c r="I4738" t="s">
        <v>50</v>
      </c>
      <c r="J4738" t="s">
        <v>51</v>
      </c>
      <c r="K4738" t="s">
        <v>42</v>
      </c>
      <c r="L4738">
        <v>1</v>
      </c>
      <c r="M4738">
        <v>1</v>
      </c>
      <c r="N4738">
        <v>4</v>
      </c>
      <c r="O4738">
        <v>8.9</v>
      </c>
      <c r="P4738">
        <v>6</v>
      </c>
      <c r="Q4738">
        <v>7</v>
      </c>
      <c r="R4738">
        <v>726774</v>
      </c>
      <c r="S4738">
        <f>Table1[[#This Row],[Revenue]]-Table1[[#This Row],[Operating_Costs]]</f>
        <v>88040</v>
      </c>
      <c r="T4738">
        <v>638734</v>
      </c>
      <c r="U4738">
        <v>60</v>
      </c>
      <c r="V4738">
        <v>62</v>
      </c>
      <c r="W4738">
        <v>8.6</v>
      </c>
    </row>
    <row r="4739" spans="1:23" x14ac:dyDescent="0.25">
      <c r="A4739">
        <v>15</v>
      </c>
      <c r="B4739" t="s">
        <v>45</v>
      </c>
      <c r="C4739" s="1">
        <v>44977</v>
      </c>
      <c r="D4739" t="s">
        <v>71</v>
      </c>
      <c r="E4739">
        <v>0</v>
      </c>
      <c r="F4739">
        <v>27</v>
      </c>
      <c r="G4739" t="str">
        <f t="shared" ref="G4739:G4802" si="82">IF(F4739&lt;=20,"0-20",IF(F4739&lt;=40,"21-40",IF(F4739&lt;=60,"41-60",IF(F4739&lt;=80,"61-80","81+"))))</f>
        <v>21-40</v>
      </c>
      <c r="H4739" t="s">
        <v>35</v>
      </c>
      <c r="I4739" t="s">
        <v>31</v>
      </c>
      <c r="J4739" t="s">
        <v>28</v>
      </c>
      <c r="K4739" t="s">
        <v>29</v>
      </c>
      <c r="L4739">
        <v>1</v>
      </c>
      <c r="M4739">
        <v>1</v>
      </c>
      <c r="N4739">
        <v>5.8</v>
      </c>
      <c r="O4739">
        <v>7.7</v>
      </c>
      <c r="P4739">
        <v>7</v>
      </c>
      <c r="Q4739">
        <v>5</v>
      </c>
      <c r="R4739">
        <v>700619</v>
      </c>
      <c r="S4739">
        <f>Table1[[#This Row],[Revenue]]-Table1[[#This Row],[Operating_Costs]]</f>
        <v>171615</v>
      </c>
      <c r="T4739">
        <v>529004</v>
      </c>
      <c r="U4739">
        <v>38</v>
      </c>
      <c r="V4739">
        <v>60</v>
      </c>
      <c r="W4739">
        <v>9.4</v>
      </c>
    </row>
    <row r="4740" spans="1:23" x14ac:dyDescent="0.25">
      <c r="A4740">
        <v>15</v>
      </c>
      <c r="B4740" t="s">
        <v>45</v>
      </c>
      <c r="C4740" s="1">
        <v>44383</v>
      </c>
      <c r="D4740" t="s">
        <v>71</v>
      </c>
      <c r="E4740">
        <v>0</v>
      </c>
      <c r="F4740">
        <v>74</v>
      </c>
      <c r="G4740" t="str">
        <f t="shared" si="82"/>
        <v>61-80</v>
      </c>
      <c r="H4740" t="s">
        <v>23</v>
      </c>
      <c r="I4740" t="s">
        <v>55</v>
      </c>
      <c r="J4740" t="s">
        <v>56</v>
      </c>
      <c r="K4740" t="s">
        <v>38</v>
      </c>
      <c r="L4740">
        <v>1</v>
      </c>
      <c r="M4740">
        <v>1</v>
      </c>
      <c r="N4740">
        <v>4.5999999999999996</v>
      </c>
      <c r="O4740">
        <v>7.3</v>
      </c>
      <c r="P4740">
        <v>3</v>
      </c>
      <c r="Q4740">
        <v>5</v>
      </c>
      <c r="R4740">
        <v>788125</v>
      </c>
      <c r="S4740">
        <f>Table1[[#This Row],[Revenue]]-Table1[[#This Row],[Operating_Costs]]</f>
        <v>89417</v>
      </c>
      <c r="T4740">
        <v>698708</v>
      </c>
      <c r="U4740">
        <v>30</v>
      </c>
      <c r="V4740">
        <v>60</v>
      </c>
      <c r="W4740">
        <v>13.8</v>
      </c>
    </row>
    <row r="4741" spans="1:23" x14ac:dyDescent="0.25">
      <c r="A4741">
        <v>15</v>
      </c>
      <c r="B4741" t="s">
        <v>45</v>
      </c>
      <c r="C4741" s="1">
        <v>44395</v>
      </c>
      <c r="D4741" t="s">
        <v>71</v>
      </c>
      <c r="E4741">
        <v>0</v>
      </c>
      <c r="F4741">
        <v>36</v>
      </c>
      <c r="G4741" t="str">
        <f t="shared" si="82"/>
        <v>21-40</v>
      </c>
      <c r="H4741" t="s">
        <v>23</v>
      </c>
      <c r="I4741" t="s">
        <v>40</v>
      </c>
      <c r="J4741" t="s">
        <v>41</v>
      </c>
      <c r="K4741" t="s">
        <v>38</v>
      </c>
      <c r="L4741">
        <v>1</v>
      </c>
      <c r="M4741">
        <v>1</v>
      </c>
      <c r="N4741">
        <v>2.6</v>
      </c>
      <c r="O4741">
        <v>9.1999999999999993</v>
      </c>
      <c r="P4741">
        <v>5</v>
      </c>
      <c r="Q4741">
        <v>3</v>
      </c>
      <c r="R4741">
        <v>755019</v>
      </c>
      <c r="S4741">
        <f>Table1[[#This Row],[Revenue]]-Table1[[#This Row],[Operating_Costs]]</f>
        <v>166548</v>
      </c>
      <c r="T4741">
        <v>588471</v>
      </c>
      <c r="U4741">
        <v>51</v>
      </c>
      <c r="V4741">
        <v>66</v>
      </c>
      <c r="W4741">
        <v>36.700000000000003</v>
      </c>
    </row>
    <row r="4742" spans="1:23" x14ac:dyDescent="0.25">
      <c r="A4742">
        <v>15</v>
      </c>
      <c r="B4742" t="s">
        <v>45</v>
      </c>
      <c r="C4742" s="1">
        <v>44510</v>
      </c>
      <c r="D4742" t="s">
        <v>71</v>
      </c>
      <c r="E4742">
        <v>0</v>
      </c>
      <c r="F4742">
        <v>35</v>
      </c>
      <c r="G4742" t="str">
        <f t="shared" si="82"/>
        <v>21-40</v>
      </c>
      <c r="H4742" t="s">
        <v>35</v>
      </c>
      <c r="I4742" t="s">
        <v>53</v>
      </c>
      <c r="J4742" t="s">
        <v>54</v>
      </c>
      <c r="K4742" t="s">
        <v>33</v>
      </c>
      <c r="L4742">
        <v>1</v>
      </c>
      <c r="M4742">
        <v>1</v>
      </c>
      <c r="N4742">
        <v>4</v>
      </c>
      <c r="O4742">
        <v>9.9</v>
      </c>
      <c r="P4742">
        <v>5</v>
      </c>
      <c r="Q4742">
        <v>5</v>
      </c>
      <c r="R4742">
        <v>713684</v>
      </c>
      <c r="S4742">
        <f>Table1[[#This Row],[Revenue]]-Table1[[#This Row],[Operating_Costs]]</f>
        <v>136764</v>
      </c>
      <c r="T4742">
        <v>576920</v>
      </c>
      <c r="U4742">
        <v>35</v>
      </c>
      <c r="V4742">
        <v>59</v>
      </c>
      <c r="W4742">
        <v>7.9</v>
      </c>
    </row>
    <row r="4743" spans="1:23" x14ac:dyDescent="0.25">
      <c r="A4743">
        <v>15</v>
      </c>
      <c r="B4743" t="s">
        <v>45</v>
      </c>
      <c r="C4743" s="1">
        <v>44517</v>
      </c>
      <c r="D4743" t="s">
        <v>71</v>
      </c>
      <c r="E4743">
        <v>0</v>
      </c>
      <c r="F4743">
        <v>39</v>
      </c>
      <c r="G4743" t="str">
        <f t="shared" si="82"/>
        <v>21-40</v>
      </c>
      <c r="H4743" t="s">
        <v>23</v>
      </c>
      <c r="I4743" t="s">
        <v>50</v>
      </c>
      <c r="J4743" t="s">
        <v>51</v>
      </c>
      <c r="K4743" t="s">
        <v>33</v>
      </c>
      <c r="L4743">
        <v>1</v>
      </c>
      <c r="M4743">
        <v>1</v>
      </c>
      <c r="N4743">
        <v>2.2000000000000002</v>
      </c>
      <c r="O4743">
        <v>7.3</v>
      </c>
      <c r="P4743">
        <v>7</v>
      </c>
      <c r="Q4743">
        <v>6</v>
      </c>
      <c r="R4743">
        <v>750474</v>
      </c>
      <c r="S4743">
        <f>Table1[[#This Row],[Revenue]]-Table1[[#This Row],[Operating_Costs]]</f>
        <v>174412</v>
      </c>
      <c r="T4743">
        <v>576062</v>
      </c>
      <c r="U4743">
        <v>48</v>
      </c>
      <c r="V4743">
        <v>65</v>
      </c>
      <c r="W4743">
        <v>14.7</v>
      </c>
    </row>
    <row r="4744" spans="1:23" x14ac:dyDescent="0.25">
      <c r="A4744">
        <v>15</v>
      </c>
      <c r="B4744" t="s">
        <v>45</v>
      </c>
      <c r="C4744" s="1">
        <v>44296</v>
      </c>
      <c r="D4744" t="s">
        <v>71</v>
      </c>
      <c r="E4744">
        <v>0</v>
      </c>
      <c r="F4744">
        <v>25</v>
      </c>
      <c r="G4744" t="str">
        <f t="shared" si="82"/>
        <v>21-40</v>
      </c>
      <c r="H4744" t="s">
        <v>35</v>
      </c>
      <c r="I4744" t="s">
        <v>36</v>
      </c>
      <c r="J4744" t="s">
        <v>37</v>
      </c>
      <c r="K4744" t="s">
        <v>33</v>
      </c>
      <c r="L4744">
        <v>1</v>
      </c>
      <c r="M4744">
        <v>1</v>
      </c>
      <c r="N4744">
        <v>6.6</v>
      </c>
      <c r="O4744">
        <v>7.5</v>
      </c>
      <c r="P4744">
        <v>3</v>
      </c>
      <c r="Q4744">
        <v>5</v>
      </c>
      <c r="R4744">
        <v>781013</v>
      </c>
      <c r="S4744">
        <f>Table1[[#This Row],[Revenue]]-Table1[[#This Row],[Operating_Costs]]</f>
        <v>153118</v>
      </c>
      <c r="T4744">
        <v>627895</v>
      </c>
      <c r="U4744">
        <v>50</v>
      </c>
      <c r="V4744">
        <v>66</v>
      </c>
      <c r="W4744">
        <v>13.1</v>
      </c>
    </row>
    <row r="4745" spans="1:23" x14ac:dyDescent="0.25">
      <c r="A4745">
        <v>15</v>
      </c>
      <c r="B4745" t="s">
        <v>45</v>
      </c>
      <c r="C4745" s="1">
        <v>45271</v>
      </c>
      <c r="D4745" t="s">
        <v>71</v>
      </c>
      <c r="E4745">
        <v>0</v>
      </c>
      <c r="F4745">
        <v>35</v>
      </c>
      <c r="G4745" t="str">
        <f t="shared" si="82"/>
        <v>21-40</v>
      </c>
      <c r="H4745" t="s">
        <v>23</v>
      </c>
      <c r="I4745" t="s">
        <v>55</v>
      </c>
      <c r="J4745" t="s">
        <v>56</v>
      </c>
      <c r="K4745" t="s">
        <v>29</v>
      </c>
      <c r="L4745">
        <v>1</v>
      </c>
      <c r="M4745">
        <v>1</v>
      </c>
      <c r="N4745">
        <v>6.3</v>
      </c>
      <c r="O4745">
        <v>8.5</v>
      </c>
      <c r="P4745">
        <v>3</v>
      </c>
      <c r="Q4745">
        <v>3</v>
      </c>
      <c r="R4745">
        <v>725383</v>
      </c>
      <c r="S4745">
        <f>Table1[[#This Row],[Revenue]]-Table1[[#This Row],[Operating_Costs]]</f>
        <v>163385</v>
      </c>
      <c r="T4745">
        <v>561998</v>
      </c>
      <c r="U4745">
        <v>38</v>
      </c>
      <c r="V4745">
        <v>61</v>
      </c>
      <c r="W4745">
        <v>9.4</v>
      </c>
    </row>
    <row r="4746" spans="1:23" x14ac:dyDescent="0.25">
      <c r="A4746">
        <v>15</v>
      </c>
      <c r="B4746" t="s">
        <v>45</v>
      </c>
      <c r="C4746" s="1">
        <v>44756</v>
      </c>
      <c r="D4746" t="s">
        <v>71</v>
      </c>
      <c r="E4746">
        <v>0</v>
      </c>
      <c r="F4746">
        <v>69</v>
      </c>
      <c r="G4746" t="str">
        <f t="shared" si="82"/>
        <v>61-80</v>
      </c>
      <c r="H4746" t="s">
        <v>23</v>
      </c>
      <c r="I4746" t="s">
        <v>27</v>
      </c>
      <c r="J4746" t="s">
        <v>28</v>
      </c>
      <c r="K4746" t="s">
        <v>33</v>
      </c>
      <c r="L4746">
        <v>1</v>
      </c>
      <c r="M4746">
        <v>1</v>
      </c>
      <c r="N4746">
        <v>3.7</v>
      </c>
      <c r="O4746">
        <v>8.9</v>
      </c>
      <c r="P4746">
        <v>6</v>
      </c>
      <c r="Q4746">
        <v>7</v>
      </c>
      <c r="R4746">
        <v>756899</v>
      </c>
      <c r="S4746">
        <f>Table1[[#This Row],[Revenue]]-Table1[[#This Row],[Operating_Costs]]</f>
        <v>83462</v>
      </c>
      <c r="T4746">
        <v>673437</v>
      </c>
      <c r="U4746">
        <v>56</v>
      </c>
      <c r="V4746">
        <v>54</v>
      </c>
      <c r="W4746">
        <v>5.6</v>
      </c>
    </row>
    <row r="4747" spans="1:23" x14ac:dyDescent="0.25">
      <c r="A4747">
        <v>15</v>
      </c>
      <c r="B4747" t="s">
        <v>45</v>
      </c>
      <c r="C4747" s="1">
        <v>44535</v>
      </c>
      <c r="D4747" t="s">
        <v>71</v>
      </c>
      <c r="E4747">
        <v>0</v>
      </c>
      <c r="F4747">
        <v>55</v>
      </c>
      <c r="G4747" t="str">
        <f t="shared" si="82"/>
        <v>41-60</v>
      </c>
      <c r="H4747" t="s">
        <v>23</v>
      </c>
      <c r="I4747" t="s">
        <v>61</v>
      </c>
      <c r="J4747" t="s">
        <v>62</v>
      </c>
      <c r="K4747" t="s">
        <v>38</v>
      </c>
      <c r="L4747">
        <v>1</v>
      </c>
      <c r="M4747">
        <v>1</v>
      </c>
      <c r="N4747">
        <v>4.3</v>
      </c>
      <c r="O4747">
        <v>9.1999999999999993</v>
      </c>
      <c r="P4747">
        <v>5</v>
      </c>
      <c r="Q4747">
        <v>3</v>
      </c>
      <c r="R4747">
        <v>799326</v>
      </c>
      <c r="S4747">
        <f>Table1[[#This Row],[Revenue]]-Table1[[#This Row],[Operating_Costs]]</f>
        <v>275046</v>
      </c>
      <c r="T4747">
        <v>524280</v>
      </c>
      <c r="U4747">
        <v>53</v>
      </c>
      <c r="V4747">
        <v>60</v>
      </c>
      <c r="W4747">
        <v>10.7</v>
      </c>
    </row>
    <row r="4748" spans="1:23" x14ac:dyDescent="0.25">
      <c r="A4748">
        <v>15</v>
      </c>
      <c r="B4748" t="s">
        <v>45</v>
      </c>
      <c r="C4748" s="1">
        <v>44687</v>
      </c>
      <c r="D4748" t="s">
        <v>71</v>
      </c>
      <c r="E4748">
        <v>0</v>
      </c>
      <c r="F4748">
        <v>25</v>
      </c>
      <c r="G4748" t="str">
        <f t="shared" si="82"/>
        <v>21-40</v>
      </c>
      <c r="H4748" t="s">
        <v>23</v>
      </c>
      <c r="I4748" t="s">
        <v>27</v>
      </c>
      <c r="J4748" t="s">
        <v>28</v>
      </c>
      <c r="K4748" t="s">
        <v>29</v>
      </c>
      <c r="L4748">
        <v>1</v>
      </c>
      <c r="M4748">
        <v>1</v>
      </c>
      <c r="N4748">
        <v>2.6</v>
      </c>
      <c r="O4748">
        <v>8.1999999999999993</v>
      </c>
      <c r="P4748">
        <v>7</v>
      </c>
      <c r="Q4748">
        <v>5</v>
      </c>
      <c r="R4748">
        <v>753497</v>
      </c>
      <c r="S4748">
        <f>Table1[[#This Row],[Revenue]]-Table1[[#This Row],[Operating_Costs]]</f>
        <v>240505</v>
      </c>
      <c r="T4748">
        <v>512992</v>
      </c>
      <c r="U4748">
        <v>40</v>
      </c>
      <c r="V4748">
        <v>61</v>
      </c>
      <c r="W4748">
        <v>36.700000000000003</v>
      </c>
    </row>
    <row r="4749" spans="1:23" x14ac:dyDescent="0.25">
      <c r="A4749">
        <v>15</v>
      </c>
      <c r="B4749" t="s">
        <v>45</v>
      </c>
      <c r="C4749" s="1">
        <v>45081</v>
      </c>
      <c r="D4749" t="s">
        <v>71</v>
      </c>
      <c r="E4749">
        <v>0</v>
      </c>
      <c r="F4749">
        <v>81</v>
      </c>
      <c r="G4749" t="str">
        <f t="shared" si="82"/>
        <v>81+</v>
      </c>
      <c r="H4749" t="s">
        <v>35</v>
      </c>
      <c r="I4749" t="s">
        <v>46</v>
      </c>
      <c r="J4749" t="s">
        <v>47</v>
      </c>
      <c r="K4749" t="s">
        <v>26</v>
      </c>
      <c r="L4749">
        <v>1</v>
      </c>
      <c r="M4749">
        <v>1</v>
      </c>
      <c r="N4749">
        <v>3</v>
      </c>
      <c r="O4749">
        <v>9.1999999999999993</v>
      </c>
      <c r="P4749">
        <v>4</v>
      </c>
      <c r="Q4749">
        <v>6</v>
      </c>
      <c r="R4749">
        <v>774854</v>
      </c>
      <c r="S4749">
        <f>Table1[[#This Row],[Revenue]]-Table1[[#This Row],[Operating_Costs]]</f>
        <v>193645</v>
      </c>
      <c r="T4749">
        <v>581209</v>
      </c>
      <c r="U4749">
        <v>48</v>
      </c>
      <c r="V4749">
        <v>57</v>
      </c>
      <c r="W4749">
        <v>5.4</v>
      </c>
    </row>
    <row r="4750" spans="1:23" x14ac:dyDescent="0.25">
      <c r="A4750">
        <v>15</v>
      </c>
      <c r="B4750" t="s">
        <v>45</v>
      </c>
      <c r="C4750" s="1">
        <v>45536</v>
      </c>
      <c r="D4750" t="s">
        <v>71</v>
      </c>
      <c r="E4750">
        <v>0</v>
      </c>
      <c r="F4750">
        <v>60</v>
      </c>
      <c r="G4750" t="str">
        <f t="shared" si="82"/>
        <v>41-60</v>
      </c>
      <c r="H4750" t="s">
        <v>23</v>
      </c>
      <c r="I4750" t="s">
        <v>64</v>
      </c>
      <c r="J4750" t="s">
        <v>65</v>
      </c>
      <c r="K4750" t="s">
        <v>26</v>
      </c>
      <c r="L4750">
        <v>1</v>
      </c>
      <c r="M4750">
        <v>1</v>
      </c>
      <c r="N4750">
        <v>5.6</v>
      </c>
      <c r="O4750">
        <v>9.9</v>
      </c>
      <c r="P4750">
        <v>3</v>
      </c>
      <c r="Q4750">
        <v>7</v>
      </c>
      <c r="R4750">
        <v>719986</v>
      </c>
      <c r="S4750">
        <f>Table1[[#This Row],[Revenue]]-Table1[[#This Row],[Operating_Costs]]</f>
        <v>39827</v>
      </c>
      <c r="T4750">
        <v>680159</v>
      </c>
      <c r="U4750">
        <v>35</v>
      </c>
      <c r="V4750">
        <v>56</v>
      </c>
      <c r="W4750">
        <v>9.6999999999999993</v>
      </c>
    </row>
    <row r="4751" spans="1:23" x14ac:dyDescent="0.25">
      <c r="A4751">
        <v>15</v>
      </c>
      <c r="B4751" t="s">
        <v>45</v>
      </c>
      <c r="C4751" s="1">
        <v>44824</v>
      </c>
      <c r="D4751" t="s">
        <v>71</v>
      </c>
      <c r="E4751">
        <v>0</v>
      </c>
      <c r="F4751">
        <v>88</v>
      </c>
      <c r="G4751" t="str">
        <f t="shared" si="82"/>
        <v>81+</v>
      </c>
      <c r="H4751" t="s">
        <v>23</v>
      </c>
      <c r="I4751" t="s">
        <v>50</v>
      </c>
      <c r="J4751" t="s">
        <v>51</v>
      </c>
      <c r="K4751" t="s">
        <v>38</v>
      </c>
      <c r="L4751">
        <v>1</v>
      </c>
      <c r="M4751">
        <v>1</v>
      </c>
      <c r="N4751">
        <v>1.7</v>
      </c>
      <c r="O4751">
        <v>7.5</v>
      </c>
      <c r="P4751">
        <v>5</v>
      </c>
      <c r="Q4751">
        <v>3</v>
      </c>
      <c r="R4751">
        <v>742530</v>
      </c>
      <c r="S4751">
        <f>Table1[[#This Row],[Revenue]]-Table1[[#This Row],[Operating_Costs]]</f>
        <v>198594</v>
      </c>
      <c r="T4751">
        <v>543936</v>
      </c>
      <c r="U4751">
        <v>38</v>
      </c>
      <c r="V4751">
        <v>55</v>
      </c>
      <c r="W4751">
        <v>9.3000000000000007</v>
      </c>
    </row>
    <row r="4752" spans="1:23" x14ac:dyDescent="0.25">
      <c r="A4752">
        <v>15</v>
      </c>
      <c r="B4752" t="s">
        <v>45</v>
      </c>
      <c r="C4752" s="1">
        <v>45598</v>
      </c>
      <c r="D4752" t="s">
        <v>71</v>
      </c>
      <c r="E4752">
        <v>0</v>
      </c>
      <c r="F4752">
        <v>36</v>
      </c>
      <c r="G4752" t="str">
        <f t="shared" si="82"/>
        <v>21-40</v>
      </c>
      <c r="H4752" t="s">
        <v>35</v>
      </c>
      <c r="I4752" t="s">
        <v>36</v>
      </c>
      <c r="J4752" t="s">
        <v>37</v>
      </c>
      <c r="K4752" t="s">
        <v>42</v>
      </c>
      <c r="L4752">
        <v>1</v>
      </c>
      <c r="M4752">
        <v>1</v>
      </c>
      <c r="N4752">
        <v>6.1</v>
      </c>
      <c r="O4752">
        <v>8.4</v>
      </c>
      <c r="P4752">
        <v>3</v>
      </c>
      <c r="Q4752">
        <v>5</v>
      </c>
      <c r="R4752">
        <v>769004</v>
      </c>
      <c r="S4752">
        <f>Table1[[#This Row],[Revenue]]-Table1[[#This Row],[Operating_Costs]]</f>
        <v>80257</v>
      </c>
      <c r="T4752">
        <v>688747</v>
      </c>
      <c r="U4752">
        <v>38</v>
      </c>
      <c r="V4752">
        <v>60</v>
      </c>
      <c r="W4752">
        <v>14.5</v>
      </c>
    </row>
    <row r="4753" spans="1:23" x14ac:dyDescent="0.25">
      <c r="A4753">
        <v>15</v>
      </c>
      <c r="B4753" t="s">
        <v>45</v>
      </c>
      <c r="C4753" s="1">
        <v>44465</v>
      </c>
      <c r="D4753" t="s">
        <v>71</v>
      </c>
      <c r="E4753">
        <v>0</v>
      </c>
      <c r="F4753">
        <v>22</v>
      </c>
      <c r="G4753" t="str">
        <f t="shared" si="82"/>
        <v>21-40</v>
      </c>
      <c r="H4753" t="s">
        <v>23</v>
      </c>
      <c r="I4753" t="s">
        <v>40</v>
      </c>
      <c r="J4753" t="s">
        <v>41</v>
      </c>
      <c r="K4753" t="s">
        <v>33</v>
      </c>
      <c r="L4753">
        <v>1</v>
      </c>
      <c r="M4753">
        <v>1</v>
      </c>
      <c r="N4753">
        <v>4.4000000000000004</v>
      </c>
      <c r="O4753">
        <v>7.8</v>
      </c>
      <c r="P4753">
        <v>5</v>
      </c>
      <c r="Q4753">
        <v>3</v>
      </c>
      <c r="R4753">
        <v>724817</v>
      </c>
      <c r="S4753">
        <f>Table1[[#This Row],[Revenue]]-Table1[[#This Row],[Operating_Costs]]</f>
        <v>167936</v>
      </c>
      <c r="T4753">
        <v>556881</v>
      </c>
      <c r="U4753">
        <v>47</v>
      </c>
      <c r="V4753">
        <v>57</v>
      </c>
      <c r="W4753">
        <v>8.8000000000000007</v>
      </c>
    </row>
    <row r="4754" spans="1:23" x14ac:dyDescent="0.25">
      <c r="A4754">
        <v>15</v>
      </c>
      <c r="B4754" t="s">
        <v>45</v>
      </c>
      <c r="C4754" s="1">
        <v>45288</v>
      </c>
      <c r="D4754" t="s">
        <v>71</v>
      </c>
      <c r="E4754">
        <v>0</v>
      </c>
      <c r="F4754">
        <v>37</v>
      </c>
      <c r="G4754" t="str">
        <f t="shared" si="82"/>
        <v>21-40</v>
      </c>
      <c r="H4754" t="s">
        <v>35</v>
      </c>
      <c r="I4754" t="s">
        <v>36</v>
      </c>
      <c r="J4754" t="s">
        <v>37</v>
      </c>
      <c r="K4754" t="s">
        <v>42</v>
      </c>
      <c r="L4754">
        <v>1</v>
      </c>
      <c r="M4754">
        <v>1</v>
      </c>
      <c r="N4754">
        <v>2.2000000000000002</v>
      </c>
      <c r="O4754">
        <v>8</v>
      </c>
      <c r="P4754">
        <v>3</v>
      </c>
      <c r="Q4754">
        <v>7</v>
      </c>
      <c r="R4754">
        <v>781748</v>
      </c>
      <c r="S4754">
        <f>Table1[[#This Row],[Revenue]]-Table1[[#This Row],[Operating_Costs]]</f>
        <v>207229</v>
      </c>
      <c r="T4754">
        <v>574519</v>
      </c>
      <c r="U4754">
        <v>59</v>
      </c>
      <c r="V4754">
        <v>64</v>
      </c>
      <c r="W4754">
        <v>10.4</v>
      </c>
    </row>
    <row r="4755" spans="1:23" x14ac:dyDescent="0.25">
      <c r="A4755">
        <v>15</v>
      </c>
      <c r="B4755" t="s">
        <v>45</v>
      </c>
      <c r="C4755" s="1">
        <v>44974</v>
      </c>
      <c r="D4755" t="s">
        <v>71</v>
      </c>
      <c r="E4755">
        <v>0</v>
      </c>
      <c r="F4755">
        <v>51</v>
      </c>
      <c r="G4755" t="str">
        <f t="shared" si="82"/>
        <v>41-60</v>
      </c>
      <c r="H4755" t="s">
        <v>35</v>
      </c>
      <c r="I4755" t="s">
        <v>58</v>
      </c>
      <c r="J4755" t="s">
        <v>59</v>
      </c>
      <c r="K4755" t="s">
        <v>42</v>
      </c>
      <c r="L4755">
        <v>1</v>
      </c>
      <c r="M4755">
        <v>1</v>
      </c>
      <c r="N4755">
        <v>3.2</v>
      </c>
      <c r="O4755">
        <v>9.1</v>
      </c>
      <c r="P4755">
        <v>7</v>
      </c>
      <c r="Q4755">
        <v>5</v>
      </c>
      <c r="R4755">
        <v>765505</v>
      </c>
      <c r="S4755">
        <f>Table1[[#This Row],[Revenue]]-Table1[[#This Row],[Operating_Costs]]</f>
        <v>95959</v>
      </c>
      <c r="T4755">
        <v>669546</v>
      </c>
      <c r="U4755">
        <v>58</v>
      </c>
      <c r="V4755">
        <v>65</v>
      </c>
      <c r="W4755">
        <v>5.2</v>
      </c>
    </row>
    <row r="4756" spans="1:23" x14ac:dyDescent="0.25">
      <c r="A4756">
        <v>15</v>
      </c>
      <c r="B4756" t="s">
        <v>45</v>
      </c>
      <c r="C4756" s="1">
        <v>45339</v>
      </c>
      <c r="D4756" t="s">
        <v>71</v>
      </c>
      <c r="E4756">
        <v>0</v>
      </c>
      <c r="F4756">
        <v>86</v>
      </c>
      <c r="G4756" t="str">
        <f t="shared" si="82"/>
        <v>81+</v>
      </c>
      <c r="H4756" t="s">
        <v>23</v>
      </c>
      <c r="I4756" t="s">
        <v>24</v>
      </c>
      <c r="J4756" t="s">
        <v>25</v>
      </c>
      <c r="K4756" t="s">
        <v>33</v>
      </c>
      <c r="L4756">
        <v>1</v>
      </c>
      <c r="M4756">
        <v>1</v>
      </c>
      <c r="N4756">
        <v>7</v>
      </c>
      <c r="O4756">
        <v>8.4</v>
      </c>
      <c r="P4756">
        <v>7</v>
      </c>
      <c r="Q4756">
        <v>4</v>
      </c>
      <c r="R4756">
        <v>748281</v>
      </c>
      <c r="S4756">
        <f>Table1[[#This Row],[Revenue]]-Table1[[#This Row],[Operating_Costs]]</f>
        <v>88790</v>
      </c>
      <c r="T4756">
        <v>659491</v>
      </c>
      <c r="U4756">
        <v>33</v>
      </c>
      <c r="V4756">
        <v>54</v>
      </c>
      <c r="W4756">
        <v>36.9</v>
      </c>
    </row>
    <row r="4757" spans="1:23" x14ac:dyDescent="0.25">
      <c r="A4757">
        <v>15</v>
      </c>
      <c r="B4757" t="s">
        <v>45</v>
      </c>
      <c r="C4757" s="1">
        <v>44835</v>
      </c>
      <c r="D4757" t="s">
        <v>71</v>
      </c>
      <c r="E4757">
        <v>0</v>
      </c>
      <c r="F4757">
        <v>26</v>
      </c>
      <c r="G4757" t="str">
        <f t="shared" si="82"/>
        <v>21-40</v>
      </c>
      <c r="H4757" t="s">
        <v>35</v>
      </c>
      <c r="I4757" t="s">
        <v>31</v>
      </c>
      <c r="J4757" t="s">
        <v>28</v>
      </c>
      <c r="K4757" t="s">
        <v>29</v>
      </c>
      <c r="L4757">
        <v>1</v>
      </c>
      <c r="M4757">
        <v>1</v>
      </c>
      <c r="N4757">
        <v>1.7</v>
      </c>
      <c r="O4757">
        <v>7.7</v>
      </c>
      <c r="P4757">
        <v>4</v>
      </c>
      <c r="Q4757">
        <v>5</v>
      </c>
      <c r="R4757">
        <v>707901</v>
      </c>
      <c r="S4757">
        <f>Table1[[#This Row],[Revenue]]-Table1[[#This Row],[Operating_Costs]]</f>
        <v>137049</v>
      </c>
      <c r="T4757">
        <v>570852</v>
      </c>
      <c r="U4757">
        <v>58</v>
      </c>
      <c r="V4757">
        <v>61</v>
      </c>
      <c r="W4757">
        <v>9.8000000000000007</v>
      </c>
    </row>
    <row r="4758" spans="1:23" x14ac:dyDescent="0.25">
      <c r="A4758">
        <v>15</v>
      </c>
      <c r="B4758" t="s">
        <v>45</v>
      </c>
      <c r="C4758" s="1">
        <v>44515</v>
      </c>
      <c r="D4758" t="s">
        <v>71</v>
      </c>
      <c r="E4758">
        <v>0</v>
      </c>
      <c r="F4758">
        <v>44</v>
      </c>
      <c r="G4758" t="str">
        <f t="shared" si="82"/>
        <v>41-60</v>
      </c>
      <c r="H4758" t="s">
        <v>35</v>
      </c>
      <c r="I4758" t="s">
        <v>53</v>
      </c>
      <c r="J4758" t="s">
        <v>54</v>
      </c>
      <c r="K4758" t="s">
        <v>42</v>
      </c>
      <c r="L4758">
        <v>1</v>
      </c>
      <c r="M4758">
        <v>1</v>
      </c>
      <c r="N4758">
        <v>6.9</v>
      </c>
      <c r="O4758">
        <v>7.7</v>
      </c>
      <c r="P4758">
        <v>5</v>
      </c>
      <c r="Q4758">
        <v>6</v>
      </c>
      <c r="R4758">
        <v>744223</v>
      </c>
      <c r="S4758">
        <f>Table1[[#This Row],[Revenue]]-Table1[[#This Row],[Operating_Costs]]</f>
        <v>120856</v>
      </c>
      <c r="T4758">
        <v>623367</v>
      </c>
      <c r="U4758">
        <v>54</v>
      </c>
      <c r="V4758">
        <v>56</v>
      </c>
      <c r="W4758">
        <v>36.299999999999997</v>
      </c>
    </row>
    <row r="4759" spans="1:23" x14ac:dyDescent="0.25">
      <c r="A4759">
        <v>15</v>
      </c>
      <c r="B4759" t="s">
        <v>45</v>
      </c>
      <c r="C4759" s="1">
        <v>45406</v>
      </c>
      <c r="D4759" t="s">
        <v>71</v>
      </c>
      <c r="E4759">
        <v>0</v>
      </c>
      <c r="F4759">
        <v>63</v>
      </c>
      <c r="G4759" t="str">
        <f t="shared" si="82"/>
        <v>61-80</v>
      </c>
      <c r="H4759" t="s">
        <v>35</v>
      </c>
      <c r="I4759" t="s">
        <v>55</v>
      </c>
      <c r="J4759" t="s">
        <v>56</v>
      </c>
      <c r="K4759" t="s">
        <v>38</v>
      </c>
      <c r="L4759">
        <v>1</v>
      </c>
      <c r="M4759">
        <v>1</v>
      </c>
      <c r="N4759">
        <v>1.4</v>
      </c>
      <c r="O4759">
        <v>9.9</v>
      </c>
      <c r="P4759">
        <v>3</v>
      </c>
      <c r="Q4759">
        <v>5</v>
      </c>
      <c r="R4759">
        <v>743038</v>
      </c>
      <c r="S4759">
        <f>Table1[[#This Row],[Revenue]]-Table1[[#This Row],[Operating_Costs]]</f>
        <v>60059</v>
      </c>
      <c r="T4759">
        <v>682979</v>
      </c>
      <c r="U4759">
        <v>60</v>
      </c>
      <c r="V4759">
        <v>55</v>
      </c>
      <c r="W4759">
        <v>14.4</v>
      </c>
    </row>
    <row r="4760" spans="1:23" x14ac:dyDescent="0.25">
      <c r="A4760">
        <v>15</v>
      </c>
      <c r="B4760" t="s">
        <v>45</v>
      </c>
      <c r="C4760" s="1">
        <v>44769</v>
      </c>
      <c r="D4760" t="s">
        <v>71</v>
      </c>
      <c r="E4760">
        <v>0</v>
      </c>
      <c r="F4760">
        <v>56</v>
      </c>
      <c r="G4760" t="str">
        <f t="shared" si="82"/>
        <v>41-60</v>
      </c>
      <c r="H4760" t="s">
        <v>23</v>
      </c>
      <c r="I4760" t="s">
        <v>24</v>
      </c>
      <c r="J4760" t="s">
        <v>25</v>
      </c>
      <c r="K4760" t="s">
        <v>26</v>
      </c>
      <c r="L4760">
        <v>1</v>
      </c>
      <c r="M4760">
        <v>1</v>
      </c>
      <c r="N4760">
        <v>6.5</v>
      </c>
      <c r="O4760">
        <v>9.8000000000000007</v>
      </c>
      <c r="P4760">
        <v>4</v>
      </c>
      <c r="Q4760">
        <v>4</v>
      </c>
      <c r="R4760">
        <v>779083</v>
      </c>
      <c r="S4760">
        <f>Table1[[#This Row],[Revenue]]-Table1[[#This Row],[Operating_Costs]]</f>
        <v>273043</v>
      </c>
      <c r="T4760">
        <v>506040</v>
      </c>
      <c r="U4760">
        <v>58</v>
      </c>
      <c r="V4760">
        <v>59</v>
      </c>
      <c r="W4760">
        <v>13.5</v>
      </c>
    </row>
    <row r="4761" spans="1:23" x14ac:dyDescent="0.25">
      <c r="A4761">
        <v>15</v>
      </c>
      <c r="B4761" t="s">
        <v>45</v>
      </c>
      <c r="C4761" s="1">
        <v>44225</v>
      </c>
      <c r="D4761" t="s">
        <v>71</v>
      </c>
      <c r="E4761">
        <v>0</v>
      </c>
      <c r="F4761">
        <v>66</v>
      </c>
      <c r="G4761" t="str">
        <f t="shared" si="82"/>
        <v>61-80</v>
      </c>
      <c r="H4761" t="s">
        <v>23</v>
      </c>
      <c r="I4761" t="s">
        <v>31</v>
      </c>
      <c r="J4761" t="s">
        <v>28</v>
      </c>
      <c r="K4761" t="s">
        <v>26</v>
      </c>
      <c r="L4761">
        <v>1</v>
      </c>
      <c r="M4761">
        <v>1</v>
      </c>
      <c r="N4761">
        <v>5.0999999999999996</v>
      </c>
      <c r="O4761">
        <v>9.4</v>
      </c>
      <c r="P4761">
        <v>5</v>
      </c>
      <c r="Q4761">
        <v>4</v>
      </c>
      <c r="R4761">
        <v>703650</v>
      </c>
      <c r="S4761">
        <f>Table1[[#This Row],[Revenue]]-Table1[[#This Row],[Operating_Costs]]</f>
        <v>91430</v>
      </c>
      <c r="T4761">
        <v>612220</v>
      </c>
      <c r="U4761">
        <v>56</v>
      </c>
      <c r="V4761">
        <v>66</v>
      </c>
      <c r="W4761">
        <v>8.9</v>
      </c>
    </row>
    <row r="4762" spans="1:23" x14ac:dyDescent="0.25">
      <c r="A4762">
        <v>15</v>
      </c>
      <c r="B4762" t="s">
        <v>45</v>
      </c>
      <c r="C4762" s="1">
        <v>45104</v>
      </c>
      <c r="D4762" t="s">
        <v>71</v>
      </c>
      <c r="E4762">
        <v>0</v>
      </c>
      <c r="F4762">
        <v>46</v>
      </c>
      <c r="G4762" t="str">
        <f t="shared" si="82"/>
        <v>41-60</v>
      </c>
      <c r="H4762" t="s">
        <v>35</v>
      </c>
      <c r="I4762" t="s">
        <v>31</v>
      </c>
      <c r="J4762" t="s">
        <v>28</v>
      </c>
      <c r="K4762" t="s">
        <v>38</v>
      </c>
      <c r="L4762">
        <v>1</v>
      </c>
      <c r="M4762">
        <v>1</v>
      </c>
      <c r="N4762">
        <v>2.8</v>
      </c>
      <c r="O4762">
        <v>7.8</v>
      </c>
      <c r="P4762">
        <v>6</v>
      </c>
      <c r="Q4762">
        <v>3</v>
      </c>
      <c r="R4762">
        <v>736297</v>
      </c>
      <c r="S4762">
        <f>Table1[[#This Row],[Revenue]]-Table1[[#This Row],[Operating_Costs]]</f>
        <v>101210</v>
      </c>
      <c r="T4762">
        <v>635087</v>
      </c>
      <c r="U4762">
        <v>53</v>
      </c>
      <c r="V4762">
        <v>63</v>
      </c>
      <c r="W4762">
        <v>7.2</v>
      </c>
    </row>
    <row r="4763" spans="1:23" x14ac:dyDescent="0.25">
      <c r="A4763">
        <v>15</v>
      </c>
      <c r="B4763" t="s">
        <v>45</v>
      </c>
      <c r="C4763" s="1">
        <v>44699</v>
      </c>
      <c r="D4763" t="s">
        <v>71</v>
      </c>
      <c r="E4763">
        <v>0</v>
      </c>
      <c r="F4763">
        <v>31</v>
      </c>
      <c r="G4763" t="str">
        <f t="shared" si="82"/>
        <v>21-40</v>
      </c>
      <c r="H4763" t="s">
        <v>23</v>
      </c>
      <c r="I4763" t="s">
        <v>55</v>
      </c>
      <c r="J4763" t="s">
        <v>56</v>
      </c>
      <c r="K4763" t="s">
        <v>42</v>
      </c>
      <c r="L4763">
        <v>1</v>
      </c>
      <c r="M4763">
        <v>1</v>
      </c>
      <c r="N4763">
        <v>6.2</v>
      </c>
      <c r="O4763">
        <v>7.3</v>
      </c>
      <c r="P4763">
        <v>6</v>
      </c>
      <c r="Q4763">
        <v>7</v>
      </c>
      <c r="R4763">
        <v>717909</v>
      </c>
      <c r="S4763">
        <f>Table1[[#This Row],[Revenue]]-Table1[[#This Row],[Operating_Costs]]</f>
        <v>91344</v>
      </c>
      <c r="T4763">
        <v>626565</v>
      </c>
      <c r="U4763">
        <v>36</v>
      </c>
      <c r="V4763">
        <v>65</v>
      </c>
      <c r="W4763">
        <v>10.5</v>
      </c>
    </row>
    <row r="4764" spans="1:23" x14ac:dyDescent="0.25">
      <c r="A4764">
        <v>15</v>
      </c>
      <c r="B4764" t="s">
        <v>45</v>
      </c>
      <c r="C4764" s="1">
        <v>45177</v>
      </c>
      <c r="D4764" t="s">
        <v>71</v>
      </c>
      <c r="E4764">
        <v>0</v>
      </c>
      <c r="F4764">
        <v>73</v>
      </c>
      <c r="G4764" t="str">
        <f t="shared" si="82"/>
        <v>61-80</v>
      </c>
      <c r="H4764" t="s">
        <v>23</v>
      </c>
      <c r="I4764" t="s">
        <v>31</v>
      </c>
      <c r="J4764" t="s">
        <v>28</v>
      </c>
      <c r="K4764" t="s">
        <v>33</v>
      </c>
      <c r="L4764">
        <v>1</v>
      </c>
      <c r="M4764">
        <v>1</v>
      </c>
      <c r="N4764">
        <v>1.7</v>
      </c>
      <c r="O4764">
        <v>7.5</v>
      </c>
      <c r="P4764">
        <v>6</v>
      </c>
      <c r="Q4764">
        <v>3</v>
      </c>
      <c r="R4764">
        <v>757170</v>
      </c>
      <c r="S4764">
        <f>Table1[[#This Row],[Revenue]]-Table1[[#This Row],[Operating_Costs]]</f>
        <v>224357</v>
      </c>
      <c r="T4764">
        <v>532813</v>
      </c>
      <c r="U4764">
        <v>34</v>
      </c>
      <c r="V4764">
        <v>65</v>
      </c>
      <c r="W4764">
        <v>7.9</v>
      </c>
    </row>
    <row r="4765" spans="1:23" x14ac:dyDescent="0.25">
      <c r="A4765">
        <v>15</v>
      </c>
      <c r="B4765" t="s">
        <v>45</v>
      </c>
      <c r="C4765" s="1">
        <v>44566</v>
      </c>
      <c r="D4765" t="s">
        <v>71</v>
      </c>
      <c r="E4765">
        <v>0</v>
      </c>
      <c r="F4765">
        <v>51</v>
      </c>
      <c r="G4765" t="str">
        <f t="shared" si="82"/>
        <v>41-60</v>
      </c>
      <c r="H4765" t="s">
        <v>35</v>
      </c>
      <c r="I4765" t="s">
        <v>61</v>
      </c>
      <c r="J4765" t="s">
        <v>62</v>
      </c>
      <c r="K4765" t="s">
        <v>29</v>
      </c>
      <c r="L4765">
        <v>1</v>
      </c>
      <c r="M4765">
        <v>1</v>
      </c>
      <c r="N4765">
        <v>4.3</v>
      </c>
      <c r="O4765">
        <v>8</v>
      </c>
      <c r="P4765">
        <v>4</v>
      </c>
      <c r="Q4765">
        <v>4</v>
      </c>
      <c r="R4765">
        <v>703608</v>
      </c>
      <c r="S4765">
        <f>Table1[[#This Row],[Revenue]]-Table1[[#This Row],[Operating_Costs]]</f>
        <v>171415</v>
      </c>
      <c r="T4765">
        <v>532193</v>
      </c>
      <c r="U4765">
        <v>55</v>
      </c>
      <c r="V4765">
        <v>65</v>
      </c>
      <c r="W4765">
        <v>9.8000000000000007</v>
      </c>
    </row>
    <row r="4766" spans="1:23" x14ac:dyDescent="0.25">
      <c r="A4766">
        <v>15</v>
      </c>
      <c r="B4766" t="s">
        <v>45</v>
      </c>
      <c r="C4766" s="1">
        <v>45009</v>
      </c>
      <c r="D4766" t="s">
        <v>71</v>
      </c>
      <c r="E4766">
        <v>0</v>
      </c>
      <c r="F4766">
        <v>72</v>
      </c>
      <c r="G4766" t="str">
        <f t="shared" si="82"/>
        <v>61-80</v>
      </c>
      <c r="H4766" t="s">
        <v>23</v>
      </c>
      <c r="I4766" t="s">
        <v>64</v>
      </c>
      <c r="J4766" t="s">
        <v>65</v>
      </c>
      <c r="K4766" t="s">
        <v>33</v>
      </c>
      <c r="L4766">
        <v>1</v>
      </c>
      <c r="M4766">
        <v>1</v>
      </c>
      <c r="N4766">
        <v>2.1</v>
      </c>
      <c r="O4766">
        <v>9</v>
      </c>
      <c r="P4766">
        <v>4</v>
      </c>
      <c r="Q4766">
        <v>6</v>
      </c>
      <c r="R4766">
        <v>752664</v>
      </c>
      <c r="S4766">
        <f>Table1[[#This Row],[Revenue]]-Table1[[#This Row],[Operating_Costs]]</f>
        <v>109928</v>
      </c>
      <c r="T4766">
        <v>642736</v>
      </c>
      <c r="U4766">
        <v>55</v>
      </c>
      <c r="V4766">
        <v>59</v>
      </c>
      <c r="W4766">
        <v>36.799999999999997</v>
      </c>
    </row>
    <row r="4767" spans="1:23" x14ac:dyDescent="0.25">
      <c r="A4767">
        <v>15</v>
      </c>
      <c r="B4767" t="s">
        <v>45</v>
      </c>
      <c r="C4767" s="1">
        <v>44330</v>
      </c>
      <c r="D4767" t="s">
        <v>71</v>
      </c>
      <c r="E4767">
        <v>0</v>
      </c>
      <c r="F4767">
        <v>25</v>
      </c>
      <c r="G4767" t="str">
        <f t="shared" si="82"/>
        <v>21-40</v>
      </c>
      <c r="H4767" t="s">
        <v>35</v>
      </c>
      <c r="I4767" t="s">
        <v>40</v>
      </c>
      <c r="J4767" t="s">
        <v>41</v>
      </c>
      <c r="K4767" t="s">
        <v>26</v>
      </c>
      <c r="L4767">
        <v>1</v>
      </c>
      <c r="M4767">
        <v>1</v>
      </c>
      <c r="N4767">
        <v>3.4</v>
      </c>
      <c r="O4767">
        <v>9.6999999999999993</v>
      </c>
      <c r="P4767">
        <v>4</v>
      </c>
      <c r="Q4767">
        <v>7</v>
      </c>
      <c r="R4767">
        <v>726748</v>
      </c>
      <c r="S4767">
        <f>Table1[[#This Row],[Revenue]]-Table1[[#This Row],[Operating_Costs]]</f>
        <v>169246</v>
      </c>
      <c r="T4767">
        <v>557502</v>
      </c>
      <c r="U4767">
        <v>46</v>
      </c>
      <c r="V4767">
        <v>56</v>
      </c>
      <c r="W4767">
        <v>9.1999999999999993</v>
      </c>
    </row>
    <row r="4768" spans="1:23" x14ac:dyDescent="0.25">
      <c r="A4768">
        <v>15</v>
      </c>
      <c r="B4768" t="s">
        <v>45</v>
      </c>
      <c r="C4768" s="1">
        <v>44268</v>
      </c>
      <c r="D4768" t="s">
        <v>71</v>
      </c>
      <c r="E4768">
        <v>0</v>
      </c>
      <c r="F4768">
        <v>86</v>
      </c>
      <c r="G4768" t="str">
        <f t="shared" si="82"/>
        <v>81+</v>
      </c>
      <c r="H4768" t="s">
        <v>35</v>
      </c>
      <c r="I4768" t="s">
        <v>36</v>
      </c>
      <c r="J4768" t="s">
        <v>37</v>
      </c>
      <c r="K4768" t="s">
        <v>29</v>
      </c>
      <c r="L4768">
        <v>1</v>
      </c>
      <c r="M4768">
        <v>1</v>
      </c>
      <c r="N4768">
        <v>4.7</v>
      </c>
      <c r="O4768">
        <v>7.7</v>
      </c>
      <c r="P4768">
        <v>3</v>
      </c>
      <c r="Q4768">
        <v>6</v>
      </c>
      <c r="R4768">
        <v>758788</v>
      </c>
      <c r="S4768">
        <f>Table1[[#This Row],[Revenue]]-Table1[[#This Row],[Operating_Costs]]</f>
        <v>151989</v>
      </c>
      <c r="T4768">
        <v>606799</v>
      </c>
      <c r="U4768">
        <v>38</v>
      </c>
      <c r="V4768">
        <v>64</v>
      </c>
      <c r="W4768">
        <v>10.3</v>
      </c>
    </row>
    <row r="4769" spans="1:23" x14ac:dyDescent="0.25">
      <c r="A4769">
        <v>15</v>
      </c>
      <c r="B4769" t="s">
        <v>45</v>
      </c>
      <c r="C4769" s="1">
        <v>44688</v>
      </c>
      <c r="D4769" t="s">
        <v>71</v>
      </c>
      <c r="E4769">
        <v>0</v>
      </c>
      <c r="F4769">
        <v>24</v>
      </c>
      <c r="G4769" t="str">
        <f t="shared" si="82"/>
        <v>21-40</v>
      </c>
      <c r="H4769" t="s">
        <v>23</v>
      </c>
      <c r="I4769" t="s">
        <v>55</v>
      </c>
      <c r="J4769" t="s">
        <v>56</v>
      </c>
      <c r="K4769" t="s">
        <v>29</v>
      </c>
      <c r="L4769">
        <v>1</v>
      </c>
      <c r="M4769">
        <v>1</v>
      </c>
      <c r="N4769">
        <v>4.5999999999999996</v>
      </c>
      <c r="O4769">
        <v>9.1999999999999993</v>
      </c>
      <c r="P4769">
        <v>4</v>
      </c>
      <c r="Q4769">
        <v>5</v>
      </c>
      <c r="R4769">
        <v>742224</v>
      </c>
      <c r="S4769">
        <f>Table1[[#This Row],[Revenue]]-Table1[[#This Row],[Operating_Costs]]</f>
        <v>114683</v>
      </c>
      <c r="T4769">
        <v>627541</v>
      </c>
      <c r="U4769">
        <v>47</v>
      </c>
      <c r="V4769">
        <v>55</v>
      </c>
      <c r="W4769">
        <v>12</v>
      </c>
    </row>
    <row r="4770" spans="1:23" x14ac:dyDescent="0.25">
      <c r="A4770">
        <v>15</v>
      </c>
      <c r="B4770" t="s">
        <v>45</v>
      </c>
      <c r="C4770" s="1">
        <v>44563</v>
      </c>
      <c r="D4770" t="s">
        <v>71</v>
      </c>
      <c r="E4770">
        <v>0</v>
      </c>
      <c r="F4770">
        <v>40</v>
      </c>
      <c r="G4770" t="str">
        <f t="shared" si="82"/>
        <v>21-40</v>
      </c>
      <c r="H4770" t="s">
        <v>35</v>
      </c>
      <c r="I4770" t="s">
        <v>36</v>
      </c>
      <c r="J4770" t="s">
        <v>37</v>
      </c>
      <c r="K4770" t="s">
        <v>42</v>
      </c>
      <c r="L4770">
        <v>1</v>
      </c>
      <c r="M4770">
        <v>1</v>
      </c>
      <c r="N4770">
        <v>2.7</v>
      </c>
      <c r="O4770">
        <v>9.1999999999999993</v>
      </c>
      <c r="P4770">
        <v>4</v>
      </c>
      <c r="Q4770">
        <v>7</v>
      </c>
      <c r="R4770">
        <v>752882</v>
      </c>
      <c r="S4770">
        <f>Table1[[#This Row],[Revenue]]-Table1[[#This Row],[Operating_Costs]]</f>
        <v>156156</v>
      </c>
      <c r="T4770">
        <v>596726</v>
      </c>
      <c r="U4770">
        <v>42</v>
      </c>
      <c r="V4770">
        <v>59</v>
      </c>
      <c r="W4770">
        <v>5.9</v>
      </c>
    </row>
    <row r="4771" spans="1:23" x14ac:dyDescent="0.25">
      <c r="A4771">
        <v>15</v>
      </c>
      <c r="B4771" t="s">
        <v>45</v>
      </c>
      <c r="C4771" s="1">
        <v>44773</v>
      </c>
      <c r="D4771" t="s">
        <v>71</v>
      </c>
      <c r="E4771">
        <v>0</v>
      </c>
      <c r="F4771">
        <v>34</v>
      </c>
      <c r="G4771" t="str">
        <f t="shared" si="82"/>
        <v>21-40</v>
      </c>
      <c r="H4771" t="s">
        <v>35</v>
      </c>
      <c r="I4771" t="s">
        <v>61</v>
      </c>
      <c r="J4771" t="s">
        <v>62</v>
      </c>
      <c r="K4771" t="s">
        <v>42</v>
      </c>
      <c r="L4771">
        <v>1</v>
      </c>
      <c r="M4771">
        <v>1</v>
      </c>
      <c r="N4771">
        <v>1.8</v>
      </c>
      <c r="O4771">
        <v>7.4</v>
      </c>
      <c r="P4771">
        <v>3</v>
      </c>
      <c r="Q4771">
        <v>7</v>
      </c>
      <c r="R4771">
        <v>735753</v>
      </c>
      <c r="S4771">
        <f>Table1[[#This Row],[Revenue]]-Table1[[#This Row],[Operating_Costs]]</f>
        <v>205392</v>
      </c>
      <c r="T4771">
        <v>530361</v>
      </c>
      <c r="U4771">
        <v>56</v>
      </c>
      <c r="V4771">
        <v>62</v>
      </c>
      <c r="W4771">
        <v>9.5</v>
      </c>
    </row>
    <row r="4772" spans="1:23" x14ac:dyDescent="0.25">
      <c r="A4772">
        <v>15</v>
      </c>
      <c r="B4772" t="s">
        <v>45</v>
      </c>
      <c r="C4772" s="1">
        <v>45371</v>
      </c>
      <c r="D4772" t="s">
        <v>71</v>
      </c>
      <c r="E4772">
        <v>0</v>
      </c>
      <c r="F4772">
        <v>35</v>
      </c>
      <c r="G4772" t="str">
        <f t="shared" si="82"/>
        <v>21-40</v>
      </c>
      <c r="H4772" t="s">
        <v>23</v>
      </c>
      <c r="I4772" t="s">
        <v>24</v>
      </c>
      <c r="J4772" t="s">
        <v>25</v>
      </c>
      <c r="K4772" t="s">
        <v>29</v>
      </c>
      <c r="L4772">
        <v>1</v>
      </c>
      <c r="M4772">
        <v>1</v>
      </c>
      <c r="N4772">
        <v>4.3</v>
      </c>
      <c r="O4772">
        <v>9.8000000000000007</v>
      </c>
      <c r="P4772">
        <v>4</v>
      </c>
      <c r="Q4772">
        <v>5</v>
      </c>
      <c r="R4772">
        <v>707271</v>
      </c>
      <c r="S4772">
        <f>Table1[[#This Row],[Revenue]]-Table1[[#This Row],[Operating_Costs]]</f>
        <v>175989</v>
      </c>
      <c r="T4772">
        <v>531282</v>
      </c>
      <c r="U4772">
        <v>41</v>
      </c>
      <c r="V4772">
        <v>63</v>
      </c>
      <c r="W4772">
        <v>9.9</v>
      </c>
    </row>
    <row r="4773" spans="1:23" x14ac:dyDescent="0.25">
      <c r="A4773">
        <v>15</v>
      </c>
      <c r="B4773" t="s">
        <v>45</v>
      </c>
      <c r="C4773" s="1">
        <v>44648</v>
      </c>
      <c r="D4773" t="s">
        <v>71</v>
      </c>
      <c r="E4773">
        <v>0</v>
      </c>
      <c r="F4773">
        <v>37</v>
      </c>
      <c r="G4773" t="str">
        <f t="shared" si="82"/>
        <v>21-40</v>
      </c>
      <c r="H4773" t="s">
        <v>35</v>
      </c>
      <c r="I4773" t="s">
        <v>58</v>
      </c>
      <c r="J4773" t="s">
        <v>59</v>
      </c>
      <c r="K4773" t="s">
        <v>29</v>
      </c>
      <c r="L4773">
        <v>1</v>
      </c>
      <c r="M4773">
        <v>1</v>
      </c>
      <c r="N4773">
        <v>4.7</v>
      </c>
      <c r="O4773">
        <v>9.3000000000000007</v>
      </c>
      <c r="P4773">
        <v>3</v>
      </c>
      <c r="Q4773">
        <v>7</v>
      </c>
      <c r="R4773">
        <v>757969</v>
      </c>
      <c r="S4773">
        <f>Table1[[#This Row],[Revenue]]-Table1[[#This Row],[Operating_Costs]]</f>
        <v>165680</v>
      </c>
      <c r="T4773">
        <v>592289</v>
      </c>
      <c r="U4773">
        <v>44</v>
      </c>
      <c r="V4773">
        <v>61</v>
      </c>
      <c r="W4773">
        <v>9.4</v>
      </c>
    </row>
    <row r="4774" spans="1:23" x14ac:dyDescent="0.25">
      <c r="A4774">
        <v>15</v>
      </c>
      <c r="B4774" t="s">
        <v>45</v>
      </c>
      <c r="C4774" s="1">
        <v>44287</v>
      </c>
      <c r="D4774" t="s">
        <v>71</v>
      </c>
      <c r="E4774">
        <v>0</v>
      </c>
      <c r="F4774">
        <v>26</v>
      </c>
      <c r="G4774" t="str">
        <f t="shared" si="82"/>
        <v>21-40</v>
      </c>
      <c r="H4774" t="s">
        <v>23</v>
      </c>
      <c r="I4774" t="s">
        <v>46</v>
      </c>
      <c r="J4774" t="s">
        <v>47</v>
      </c>
      <c r="K4774" t="s">
        <v>26</v>
      </c>
      <c r="L4774">
        <v>1</v>
      </c>
      <c r="M4774">
        <v>1</v>
      </c>
      <c r="N4774">
        <v>3</v>
      </c>
      <c r="O4774">
        <v>9</v>
      </c>
      <c r="P4774">
        <v>5</v>
      </c>
      <c r="Q4774">
        <v>3</v>
      </c>
      <c r="R4774">
        <v>722448</v>
      </c>
      <c r="S4774">
        <f>Table1[[#This Row],[Revenue]]-Table1[[#This Row],[Operating_Costs]]</f>
        <v>151857</v>
      </c>
      <c r="T4774">
        <v>570591</v>
      </c>
      <c r="U4774">
        <v>37</v>
      </c>
      <c r="V4774">
        <v>62</v>
      </c>
      <c r="W4774">
        <v>5.7</v>
      </c>
    </row>
    <row r="4775" spans="1:23" x14ac:dyDescent="0.25">
      <c r="A4775">
        <v>15</v>
      </c>
      <c r="B4775" t="s">
        <v>45</v>
      </c>
      <c r="C4775" s="1">
        <v>44370</v>
      </c>
      <c r="D4775" t="s">
        <v>71</v>
      </c>
      <c r="E4775">
        <v>0</v>
      </c>
      <c r="F4775">
        <v>87</v>
      </c>
      <c r="G4775" t="str">
        <f t="shared" si="82"/>
        <v>81+</v>
      </c>
      <c r="H4775" t="s">
        <v>35</v>
      </c>
      <c r="I4775" t="s">
        <v>58</v>
      </c>
      <c r="J4775" t="s">
        <v>59</v>
      </c>
      <c r="K4775" t="s">
        <v>33</v>
      </c>
      <c r="L4775">
        <v>1</v>
      </c>
      <c r="M4775">
        <v>1</v>
      </c>
      <c r="N4775">
        <v>1.7</v>
      </c>
      <c r="O4775">
        <v>8.5</v>
      </c>
      <c r="P4775">
        <v>4</v>
      </c>
      <c r="Q4775">
        <v>4</v>
      </c>
      <c r="R4775">
        <v>720790</v>
      </c>
      <c r="S4775">
        <f>Table1[[#This Row],[Revenue]]-Table1[[#This Row],[Operating_Costs]]</f>
        <v>176190</v>
      </c>
      <c r="T4775">
        <v>544600</v>
      </c>
      <c r="U4775">
        <v>49</v>
      </c>
      <c r="V4775">
        <v>60</v>
      </c>
      <c r="W4775">
        <v>14.6</v>
      </c>
    </row>
    <row r="4776" spans="1:23" x14ac:dyDescent="0.25">
      <c r="A4776">
        <v>15</v>
      </c>
      <c r="B4776" t="s">
        <v>45</v>
      </c>
      <c r="C4776" s="1">
        <v>44977</v>
      </c>
      <c r="D4776" t="s">
        <v>71</v>
      </c>
      <c r="E4776">
        <v>0</v>
      </c>
      <c r="F4776">
        <v>59</v>
      </c>
      <c r="G4776" t="str">
        <f t="shared" si="82"/>
        <v>41-60</v>
      </c>
      <c r="H4776" t="s">
        <v>23</v>
      </c>
      <c r="I4776" t="s">
        <v>31</v>
      </c>
      <c r="J4776" t="s">
        <v>28</v>
      </c>
      <c r="K4776" t="s">
        <v>26</v>
      </c>
      <c r="L4776">
        <v>1</v>
      </c>
      <c r="M4776">
        <v>1</v>
      </c>
      <c r="N4776">
        <v>3.2</v>
      </c>
      <c r="O4776">
        <v>9.4</v>
      </c>
      <c r="P4776">
        <v>5</v>
      </c>
      <c r="Q4776">
        <v>7</v>
      </c>
      <c r="R4776">
        <v>733848</v>
      </c>
      <c r="S4776">
        <f>Table1[[#This Row],[Revenue]]-Table1[[#This Row],[Operating_Costs]]</f>
        <v>122963</v>
      </c>
      <c r="T4776">
        <v>610885</v>
      </c>
      <c r="U4776">
        <v>32</v>
      </c>
      <c r="V4776">
        <v>62</v>
      </c>
      <c r="W4776">
        <v>8.6999999999999993</v>
      </c>
    </row>
    <row r="4777" spans="1:23" x14ac:dyDescent="0.25">
      <c r="A4777">
        <v>15</v>
      </c>
      <c r="B4777" t="s">
        <v>45</v>
      </c>
      <c r="C4777" s="1">
        <v>45642</v>
      </c>
      <c r="D4777" t="s">
        <v>71</v>
      </c>
      <c r="E4777">
        <v>0</v>
      </c>
      <c r="F4777">
        <v>47</v>
      </c>
      <c r="G4777" t="str">
        <f t="shared" si="82"/>
        <v>41-60</v>
      </c>
      <c r="H4777" t="s">
        <v>23</v>
      </c>
      <c r="I4777" t="s">
        <v>50</v>
      </c>
      <c r="J4777" t="s">
        <v>51</v>
      </c>
      <c r="K4777" t="s">
        <v>42</v>
      </c>
      <c r="L4777">
        <v>1</v>
      </c>
      <c r="M4777">
        <v>1</v>
      </c>
      <c r="N4777">
        <v>6.7</v>
      </c>
      <c r="O4777">
        <v>8.5</v>
      </c>
      <c r="P4777">
        <v>6</v>
      </c>
      <c r="Q4777">
        <v>4</v>
      </c>
      <c r="R4777">
        <v>771314</v>
      </c>
      <c r="S4777">
        <f>Table1[[#This Row],[Revenue]]-Table1[[#This Row],[Operating_Costs]]</f>
        <v>94888</v>
      </c>
      <c r="T4777">
        <v>676426</v>
      </c>
      <c r="U4777">
        <v>38</v>
      </c>
      <c r="V4777">
        <v>55</v>
      </c>
      <c r="W4777">
        <v>9.4</v>
      </c>
    </row>
    <row r="4778" spans="1:23" x14ac:dyDescent="0.25">
      <c r="A4778">
        <v>15</v>
      </c>
      <c r="B4778" t="s">
        <v>45</v>
      </c>
      <c r="C4778" s="1">
        <v>44313</v>
      </c>
      <c r="D4778" t="s">
        <v>71</v>
      </c>
      <c r="E4778">
        <v>0</v>
      </c>
      <c r="F4778">
        <v>39</v>
      </c>
      <c r="G4778" t="str">
        <f t="shared" si="82"/>
        <v>21-40</v>
      </c>
      <c r="H4778" t="s">
        <v>23</v>
      </c>
      <c r="I4778" t="s">
        <v>61</v>
      </c>
      <c r="J4778" t="s">
        <v>62</v>
      </c>
      <c r="K4778" t="s">
        <v>42</v>
      </c>
      <c r="L4778">
        <v>1</v>
      </c>
      <c r="M4778">
        <v>1</v>
      </c>
      <c r="N4778">
        <v>4.5</v>
      </c>
      <c r="O4778">
        <v>8.6999999999999993</v>
      </c>
      <c r="P4778">
        <v>5</v>
      </c>
      <c r="Q4778">
        <v>7</v>
      </c>
      <c r="R4778">
        <v>719384</v>
      </c>
      <c r="S4778">
        <f>Table1[[#This Row],[Revenue]]-Table1[[#This Row],[Operating_Costs]]</f>
        <v>29997</v>
      </c>
      <c r="T4778">
        <v>689387</v>
      </c>
      <c r="U4778">
        <v>50</v>
      </c>
      <c r="V4778">
        <v>62</v>
      </c>
      <c r="W4778">
        <v>7.8</v>
      </c>
    </row>
    <row r="4779" spans="1:23" x14ac:dyDescent="0.25">
      <c r="A4779">
        <v>15</v>
      </c>
      <c r="B4779" t="s">
        <v>45</v>
      </c>
      <c r="C4779" s="1">
        <v>45026</v>
      </c>
      <c r="D4779" t="s">
        <v>71</v>
      </c>
      <c r="E4779">
        <v>0</v>
      </c>
      <c r="F4779">
        <v>83</v>
      </c>
      <c r="G4779" t="str">
        <f t="shared" si="82"/>
        <v>81+</v>
      </c>
      <c r="H4779" t="s">
        <v>23</v>
      </c>
      <c r="I4779" t="s">
        <v>46</v>
      </c>
      <c r="J4779" t="s">
        <v>47</v>
      </c>
      <c r="K4779" t="s">
        <v>26</v>
      </c>
      <c r="L4779">
        <v>1</v>
      </c>
      <c r="M4779">
        <v>1</v>
      </c>
      <c r="N4779">
        <v>2.2000000000000002</v>
      </c>
      <c r="O4779">
        <v>8.8000000000000007</v>
      </c>
      <c r="P4779">
        <v>3</v>
      </c>
      <c r="Q4779">
        <v>7</v>
      </c>
      <c r="R4779">
        <v>794854</v>
      </c>
      <c r="S4779">
        <f>Table1[[#This Row],[Revenue]]-Table1[[#This Row],[Operating_Costs]]</f>
        <v>152711</v>
      </c>
      <c r="T4779">
        <v>642143</v>
      </c>
      <c r="U4779">
        <v>48</v>
      </c>
      <c r="V4779">
        <v>65</v>
      </c>
      <c r="W4779">
        <v>7.8</v>
      </c>
    </row>
    <row r="4780" spans="1:23" x14ac:dyDescent="0.25">
      <c r="A4780">
        <v>15</v>
      </c>
      <c r="B4780" t="s">
        <v>45</v>
      </c>
      <c r="C4780" s="1">
        <v>44915</v>
      </c>
      <c r="D4780" t="s">
        <v>71</v>
      </c>
      <c r="E4780">
        <v>0</v>
      </c>
      <c r="F4780">
        <v>39</v>
      </c>
      <c r="G4780" t="str">
        <f t="shared" si="82"/>
        <v>21-40</v>
      </c>
      <c r="H4780" t="s">
        <v>23</v>
      </c>
      <c r="I4780" t="s">
        <v>31</v>
      </c>
      <c r="J4780" t="s">
        <v>28</v>
      </c>
      <c r="K4780" t="s">
        <v>38</v>
      </c>
      <c r="L4780">
        <v>1</v>
      </c>
      <c r="M4780">
        <v>1</v>
      </c>
      <c r="N4780">
        <v>5.6</v>
      </c>
      <c r="O4780">
        <v>8.6999999999999993</v>
      </c>
      <c r="P4780">
        <v>4</v>
      </c>
      <c r="Q4780">
        <v>3</v>
      </c>
      <c r="R4780">
        <v>704790</v>
      </c>
      <c r="S4780">
        <f>Table1[[#This Row],[Revenue]]-Table1[[#This Row],[Operating_Costs]]</f>
        <v>176907</v>
      </c>
      <c r="T4780">
        <v>527883</v>
      </c>
      <c r="U4780">
        <v>60</v>
      </c>
      <c r="V4780">
        <v>64</v>
      </c>
      <c r="W4780">
        <v>9.6</v>
      </c>
    </row>
    <row r="4781" spans="1:23" x14ac:dyDescent="0.25">
      <c r="A4781">
        <v>15</v>
      </c>
      <c r="B4781" t="s">
        <v>45</v>
      </c>
      <c r="C4781" s="1">
        <v>45217</v>
      </c>
      <c r="D4781" t="s">
        <v>71</v>
      </c>
      <c r="E4781">
        <v>0</v>
      </c>
      <c r="F4781">
        <v>83</v>
      </c>
      <c r="G4781" t="str">
        <f t="shared" si="82"/>
        <v>81+</v>
      </c>
      <c r="H4781" t="s">
        <v>35</v>
      </c>
      <c r="I4781" t="s">
        <v>36</v>
      </c>
      <c r="J4781" t="s">
        <v>37</v>
      </c>
      <c r="K4781" t="s">
        <v>33</v>
      </c>
      <c r="L4781">
        <v>1</v>
      </c>
      <c r="M4781">
        <v>1</v>
      </c>
      <c r="N4781">
        <v>2</v>
      </c>
      <c r="O4781">
        <v>7.1</v>
      </c>
      <c r="P4781">
        <v>7</v>
      </c>
      <c r="Q4781">
        <v>4</v>
      </c>
      <c r="R4781">
        <v>726862</v>
      </c>
      <c r="S4781">
        <f>Table1[[#This Row],[Revenue]]-Table1[[#This Row],[Operating_Costs]]</f>
        <v>57964</v>
      </c>
      <c r="T4781">
        <v>668898</v>
      </c>
      <c r="U4781">
        <v>58</v>
      </c>
      <c r="V4781">
        <v>62</v>
      </c>
      <c r="W4781">
        <v>6.2</v>
      </c>
    </row>
    <row r="4782" spans="1:23" x14ac:dyDescent="0.25">
      <c r="A4782">
        <v>15</v>
      </c>
      <c r="B4782" t="s">
        <v>45</v>
      </c>
      <c r="C4782" s="1">
        <v>45266</v>
      </c>
      <c r="D4782" t="s">
        <v>71</v>
      </c>
      <c r="E4782">
        <v>0</v>
      </c>
      <c r="F4782">
        <v>65</v>
      </c>
      <c r="G4782" t="str">
        <f t="shared" si="82"/>
        <v>61-80</v>
      </c>
      <c r="H4782" t="s">
        <v>35</v>
      </c>
      <c r="I4782" t="s">
        <v>36</v>
      </c>
      <c r="J4782" t="s">
        <v>37</v>
      </c>
      <c r="K4782" t="s">
        <v>33</v>
      </c>
      <c r="L4782">
        <v>1</v>
      </c>
      <c r="M4782">
        <v>1</v>
      </c>
      <c r="N4782">
        <v>1.7</v>
      </c>
      <c r="O4782">
        <v>8.1999999999999993</v>
      </c>
      <c r="P4782">
        <v>3</v>
      </c>
      <c r="Q4782">
        <v>7</v>
      </c>
      <c r="R4782">
        <v>773059</v>
      </c>
      <c r="S4782">
        <f>Table1[[#This Row],[Revenue]]-Table1[[#This Row],[Operating_Costs]]</f>
        <v>209584</v>
      </c>
      <c r="T4782">
        <v>563475</v>
      </c>
      <c r="U4782">
        <v>49</v>
      </c>
      <c r="V4782">
        <v>55</v>
      </c>
      <c r="W4782">
        <v>7.1</v>
      </c>
    </row>
    <row r="4783" spans="1:23" x14ac:dyDescent="0.25">
      <c r="A4783">
        <v>15</v>
      </c>
      <c r="B4783" t="s">
        <v>45</v>
      </c>
      <c r="C4783" s="1">
        <v>44646</v>
      </c>
      <c r="D4783" t="s">
        <v>71</v>
      </c>
      <c r="E4783">
        <v>0</v>
      </c>
      <c r="F4783">
        <v>64</v>
      </c>
      <c r="G4783" t="str">
        <f t="shared" si="82"/>
        <v>61-80</v>
      </c>
      <c r="H4783" t="s">
        <v>23</v>
      </c>
      <c r="I4783" t="s">
        <v>50</v>
      </c>
      <c r="J4783" t="s">
        <v>51</v>
      </c>
      <c r="K4783" t="s">
        <v>33</v>
      </c>
      <c r="L4783">
        <v>1</v>
      </c>
      <c r="M4783">
        <v>1</v>
      </c>
      <c r="N4783">
        <v>4.2</v>
      </c>
      <c r="O4783">
        <v>8.6999999999999993</v>
      </c>
      <c r="P4783">
        <v>3</v>
      </c>
      <c r="Q4783">
        <v>5</v>
      </c>
      <c r="R4783">
        <v>721676</v>
      </c>
      <c r="S4783">
        <f>Table1[[#This Row],[Revenue]]-Table1[[#This Row],[Operating_Costs]]</f>
        <v>134922</v>
      </c>
      <c r="T4783">
        <v>586754</v>
      </c>
      <c r="U4783">
        <v>47</v>
      </c>
      <c r="V4783">
        <v>54</v>
      </c>
      <c r="W4783">
        <v>8.5</v>
      </c>
    </row>
    <row r="4784" spans="1:23" x14ac:dyDescent="0.25">
      <c r="A4784">
        <v>15</v>
      </c>
      <c r="B4784" t="s">
        <v>45</v>
      </c>
      <c r="C4784" s="1">
        <v>45637</v>
      </c>
      <c r="D4784" t="s">
        <v>71</v>
      </c>
      <c r="E4784">
        <v>0</v>
      </c>
      <c r="F4784">
        <v>37</v>
      </c>
      <c r="G4784" t="str">
        <f t="shared" si="82"/>
        <v>21-40</v>
      </c>
      <c r="H4784" t="s">
        <v>35</v>
      </c>
      <c r="I4784" t="s">
        <v>40</v>
      </c>
      <c r="J4784" t="s">
        <v>41</v>
      </c>
      <c r="K4784" t="s">
        <v>26</v>
      </c>
      <c r="L4784">
        <v>1</v>
      </c>
      <c r="M4784">
        <v>1</v>
      </c>
      <c r="N4784">
        <v>5.2</v>
      </c>
      <c r="O4784">
        <v>7.8</v>
      </c>
      <c r="P4784">
        <v>4</v>
      </c>
      <c r="Q4784">
        <v>7</v>
      </c>
      <c r="R4784">
        <v>758042</v>
      </c>
      <c r="S4784">
        <f>Table1[[#This Row],[Revenue]]-Table1[[#This Row],[Operating_Costs]]</f>
        <v>157435</v>
      </c>
      <c r="T4784">
        <v>600607</v>
      </c>
      <c r="U4784">
        <v>31</v>
      </c>
      <c r="V4784">
        <v>60</v>
      </c>
      <c r="W4784">
        <v>14.9</v>
      </c>
    </row>
    <row r="4785" spans="1:23" x14ac:dyDescent="0.25">
      <c r="A4785">
        <v>15</v>
      </c>
      <c r="B4785" t="s">
        <v>45</v>
      </c>
      <c r="C4785" s="1">
        <v>44949</v>
      </c>
      <c r="D4785" t="s">
        <v>71</v>
      </c>
      <c r="E4785">
        <v>0</v>
      </c>
      <c r="F4785">
        <v>29</v>
      </c>
      <c r="G4785" t="str">
        <f t="shared" si="82"/>
        <v>21-40</v>
      </c>
      <c r="H4785" t="s">
        <v>35</v>
      </c>
      <c r="I4785" t="s">
        <v>40</v>
      </c>
      <c r="J4785" t="s">
        <v>41</v>
      </c>
      <c r="K4785" t="s">
        <v>33</v>
      </c>
      <c r="L4785">
        <v>1</v>
      </c>
      <c r="M4785">
        <v>1</v>
      </c>
      <c r="N4785">
        <v>3.3</v>
      </c>
      <c r="O4785">
        <v>7.6</v>
      </c>
      <c r="P4785">
        <v>5</v>
      </c>
      <c r="Q4785">
        <v>4</v>
      </c>
      <c r="R4785">
        <v>709574</v>
      </c>
      <c r="S4785">
        <f>Table1[[#This Row],[Revenue]]-Table1[[#This Row],[Operating_Costs]]</f>
        <v>13181</v>
      </c>
      <c r="T4785">
        <v>696393</v>
      </c>
      <c r="U4785">
        <v>50</v>
      </c>
      <c r="V4785">
        <v>54</v>
      </c>
      <c r="W4785">
        <v>36.799999999999997</v>
      </c>
    </row>
    <row r="4786" spans="1:23" x14ac:dyDescent="0.25">
      <c r="A4786">
        <v>15</v>
      </c>
      <c r="B4786" t="s">
        <v>45</v>
      </c>
      <c r="C4786" s="1">
        <v>44542</v>
      </c>
      <c r="D4786" t="s">
        <v>71</v>
      </c>
      <c r="E4786">
        <v>0</v>
      </c>
      <c r="F4786">
        <v>43</v>
      </c>
      <c r="G4786" t="str">
        <f t="shared" si="82"/>
        <v>41-60</v>
      </c>
      <c r="H4786" t="s">
        <v>35</v>
      </c>
      <c r="I4786" t="s">
        <v>53</v>
      </c>
      <c r="J4786" t="s">
        <v>54</v>
      </c>
      <c r="K4786" t="s">
        <v>38</v>
      </c>
      <c r="L4786">
        <v>1</v>
      </c>
      <c r="M4786">
        <v>1</v>
      </c>
      <c r="N4786">
        <v>3.6</v>
      </c>
      <c r="O4786">
        <v>9.1</v>
      </c>
      <c r="P4786">
        <v>3</v>
      </c>
      <c r="Q4786">
        <v>3</v>
      </c>
      <c r="R4786">
        <v>729348</v>
      </c>
      <c r="S4786">
        <f>Table1[[#This Row],[Revenue]]-Table1[[#This Row],[Operating_Costs]]</f>
        <v>49891</v>
      </c>
      <c r="T4786">
        <v>679457</v>
      </c>
      <c r="U4786">
        <v>31</v>
      </c>
      <c r="V4786">
        <v>57</v>
      </c>
      <c r="W4786">
        <v>10</v>
      </c>
    </row>
    <row r="4787" spans="1:23" x14ac:dyDescent="0.25">
      <c r="A4787">
        <v>15</v>
      </c>
      <c r="B4787" t="s">
        <v>45</v>
      </c>
      <c r="C4787" s="1">
        <v>45320</v>
      </c>
      <c r="D4787" t="s">
        <v>71</v>
      </c>
      <c r="E4787">
        <v>0</v>
      </c>
      <c r="F4787">
        <v>43</v>
      </c>
      <c r="G4787" t="str">
        <f t="shared" si="82"/>
        <v>41-60</v>
      </c>
      <c r="H4787" t="s">
        <v>23</v>
      </c>
      <c r="I4787" t="s">
        <v>27</v>
      </c>
      <c r="J4787" t="s">
        <v>28</v>
      </c>
      <c r="K4787" t="s">
        <v>29</v>
      </c>
      <c r="L4787">
        <v>1</v>
      </c>
      <c r="M4787">
        <v>1</v>
      </c>
      <c r="N4787">
        <v>1.7</v>
      </c>
      <c r="O4787">
        <v>8.6</v>
      </c>
      <c r="P4787">
        <v>3</v>
      </c>
      <c r="Q4787">
        <v>4</v>
      </c>
      <c r="R4787">
        <v>715220</v>
      </c>
      <c r="S4787">
        <f>Table1[[#This Row],[Revenue]]-Table1[[#This Row],[Operating_Costs]]</f>
        <v>182884</v>
      </c>
      <c r="T4787">
        <v>532336</v>
      </c>
      <c r="U4787">
        <v>53</v>
      </c>
      <c r="V4787">
        <v>64</v>
      </c>
      <c r="W4787">
        <v>5</v>
      </c>
    </row>
    <row r="4788" spans="1:23" x14ac:dyDescent="0.25">
      <c r="A4788">
        <v>15</v>
      </c>
      <c r="B4788" t="s">
        <v>45</v>
      </c>
      <c r="C4788" s="1">
        <v>45305</v>
      </c>
      <c r="D4788" t="s">
        <v>71</v>
      </c>
      <c r="E4788">
        <v>0</v>
      </c>
      <c r="F4788">
        <v>76</v>
      </c>
      <c r="G4788" t="str">
        <f t="shared" si="82"/>
        <v>61-80</v>
      </c>
      <c r="H4788" t="s">
        <v>35</v>
      </c>
      <c r="I4788" t="s">
        <v>64</v>
      </c>
      <c r="J4788" t="s">
        <v>65</v>
      </c>
      <c r="K4788" t="s">
        <v>33</v>
      </c>
      <c r="L4788">
        <v>1</v>
      </c>
      <c r="M4788">
        <v>1</v>
      </c>
      <c r="N4788">
        <v>4</v>
      </c>
      <c r="O4788">
        <v>9.4</v>
      </c>
      <c r="P4788">
        <v>3</v>
      </c>
      <c r="Q4788">
        <v>6</v>
      </c>
      <c r="R4788">
        <v>741303</v>
      </c>
      <c r="S4788">
        <f>Table1[[#This Row],[Revenue]]-Table1[[#This Row],[Operating_Costs]]</f>
        <v>224328</v>
      </c>
      <c r="T4788">
        <v>516975</v>
      </c>
      <c r="U4788">
        <v>45</v>
      </c>
      <c r="V4788">
        <v>58</v>
      </c>
      <c r="W4788">
        <v>12</v>
      </c>
    </row>
    <row r="4789" spans="1:23" x14ac:dyDescent="0.25">
      <c r="A4789">
        <v>15</v>
      </c>
      <c r="B4789" t="s">
        <v>45</v>
      </c>
      <c r="C4789" s="1">
        <v>44390</v>
      </c>
      <c r="D4789" t="s">
        <v>71</v>
      </c>
      <c r="E4789">
        <v>0</v>
      </c>
      <c r="F4789">
        <v>58</v>
      </c>
      <c r="G4789" t="str">
        <f t="shared" si="82"/>
        <v>41-60</v>
      </c>
      <c r="H4789" t="s">
        <v>35</v>
      </c>
      <c r="I4789" t="s">
        <v>58</v>
      </c>
      <c r="J4789" t="s">
        <v>59</v>
      </c>
      <c r="K4789" t="s">
        <v>29</v>
      </c>
      <c r="L4789">
        <v>1</v>
      </c>
      <c r="M4789">
        <v>1</v>
      </c>
      <c r="N4789">
        <v>1.7</v>
      </c>
      <c r="O4789">
        <v>9.6999999999999993</v>
      </c>
      <c r="P4789">
        <v>4</v>
      </c>
      <c r="Q4789">
        <v>5</v>
      </c>
      <c r="R4789">
        <v>716130</v>
      </c>
      <c r="S4789">
        <f>Table1[[#This Row],[Revenue]]-Table1[[#This Row],[Operating_Costs]]</f>
        <v>133987</v>
      </c>
      <c r="T4789">
        <v>582143</v>
      </c>
      <c r="U4789">
        <v>43</v>
      </c>
      <c r="V4789">
        <v>65</v>
      </c>
      <c r="W4789">
        <v>36.799999999999997</v>
      </c>
    </row>
    <row r="4790" spans="1:23" x14ac:dyDescent="0.25">
      <c r="A4790">
        <v>15</v>
      </c>
      <c r="B4790" t="s">
        <v>45</v>
      </c>
      <c r="C4790" s="1">
        <v>45344</v>
      </c>
      <c r="D4790" t="s">
        <v>71</v>
      </c>
      <c r="E4790">
        <v>0</v>
      </c>
      <c r="F4790">
        <v>87</v>
      </c>
      <c r="G4790" t="str">
        <f t="shared" si="82"/>
        <v>81+</v>
      </c>
      <c r="H4790" t="s">
        <v>23</v>
      </c>
      <c r="I4790" t="s">
        <v>58</v>
      </c>
      <c r="J4790" t="s">
        <v>59</v>
      </c>
      <c r="K4790" t="s">
        <v>38</v>
      </c>
      <c r="L4790">
        <v>1</v>
      </c>
      <c r="M4790">
        <v>1</v>
      </c>
      <c r="N4790">
        <v>1.5</v>
      </c>
      <c r="O4790">
        <v>7.7</v>
      </c>
      <c r="P4790">
        <v>4</v>
      </c>
      <c r="Q4790">
        <v>7</v>
      </c>
      <c r="R4790">
        <v>766166</v>
      </c>
      <c r="S4790">
        <f>Table1[[#This Row],[Revenue]]-Table1[[#This Row],[Operating_Costs]]</f>
        <v>252929</v>
      </c>
      <c r="T4790">
        <v>513237</v>
      </c>
      <c r="U4790">
        <v>49</v>
      </c>
      <c r="V4790">
        <v>61</v>
      </c>
      <c r="W4790">
        <v>8.1999999999999993</v>
      </c>
    </row>
    <row r="4791" spans="1:23" x14ac:dyDescent="0.25">
      <c r="A4791">
        <v>15</v>
      </c>
      <c r="B4791" t="s">
        <v>45</v>
      </c>
      <c r="C4791" s="1">
        <v>45080</v>
      </c>
      <c r="D4791" t="s">
        <v>71</v>
      </c>
      <c r="E4791">
        <v>0</v>
      </c>
      <c r="F4791">
        <v>32</v>
      </c>
      <c r="G4791" t="str">
        <f t="shared" si="82"/>
        <v>21-40</v>
      </c>
      <c r="H4791" t="s">
        <v>35</v>
      </c>
      <c r="I4791" t="s">
        <v>46</v>
      </c>
      <c r="J4791" t="s">
        <v>47</v>
      </c>
      <c r="K4791" t="s">
        <v>42</v>
      </c>
      <c r="L4791">
        <v>1</v>
      </c>
      <c r="M4791">
        <v>1</v>
      </c>
      <c r="N4791">
        <v>4.5999999999999996</v>
      </c>
      <c r="O4791">
        <v>7.1</v>
      </c>
      <c r="P4791">
        <v>7</v>
      </c>
      <c r="Q4791">
        <v>5</v>
      </c>
      <c r="R4791">
        <v>758806</v>
      </c>
      <c r="S4791">
        <f>Table1[[#This Row],[Revenue]]-Table1[[#This Row],[Operating_Costs]]</f>
        <v>181781</v>
      </c>
      <c r="T4791">
        <v>577025</v>
      </c>
      <c r="U4791">
        <v>37</v>
      </c>
      <c r="V4791">
        <v>63</v>
      </c>
      <c r="W4791">
        <v>9.1</v>
      </c>
    </row>
    <row r="4792" spans="1:23" x14ac:dyDescent="0.25">
      <c r="A4792">
        <v>15</v>
      </c>
      <c r="B4792" t="s">
        <v>45</v>
      </c>
      <c r="C4792" s="1">
        <v>44538</v>
      </c>
      <c r="D4792" t="s">
        <v>71</v>
      </c>
      <c r="E4792">
        <v>0</v>
      </c>
      <c r="F4792">
        <v>66</v>
      </c>
      <c r="G4792" t="str">
        <f t="shared" si="82"/>
        <v>61-80</v>
      </c>
      <c r="H4792" t="s">
        <v>23</v>
      </c>
      <c r="I4792" t="s">
        <v>61</v>
      </c>
      <c r="J4792" t="s">
        <v>62</v>
      </c>
      <c r="K4792" t="s">
        <v>26</v>
      </c>
      <c r="L4792">
        <v>1</v>
      </c>
      <c r="M4792">
        <v>1</v>
      </c>
      <c r="N4792">
        <v>1.4</v>
      </c>
      <c r="O4792">
        <v>7.7</v>
      </c>
      <c r="P4792">
        <v>7</v>
      </c>
      <c r="Q4792">
        <v>7</v>
      </c>
      <c r="R4792">
        <v>785621</v>
      </c>
      <c r="S4792">
        <f>Table1[[#This Row],[Revenue]]-Table1[[#This Row],[Operating_Costs]]</f>
        <v>179156</v>
      </c>
      <c r="T4792">
        <v>606465</v>
      </c>
      <c r="U4792">
        <v>54</v>
      </c>
      <c r="V4792">
        <v>59</v>
      </c>
      <c r="W4792">
        <v>9.8000000000000007</v>
      </c>
    </row>
    <row r="4793" spans="1:23" x14ac:dyDescent="0.25">
      <c r="A4793">
        <v>15</v>
      </c>
      <c r="B4793" t="s">
        <v>45</v>
      </c>
      <c r="C4793" s="1">
        <v>45248</v>
      </c>
      <c r="D4793" t="s">
        <v>71</v>
      </c>
      <c r="E4793">
        <v>0</v>
      </c>
      <c r="F4793">
        <v>33</v>
      </c>
      <c r="G4793" t="str">
        <f t="shared" si="82"/>
        <v>21-40</v>
      </c>
      <c r="H4793" t="s">
        <v>23</v>
      </c>
      <c r="I4793" t="s">
        <v>55</v>
      </c>
      <c r="J4793" t="s">
        <v>56</v>
      </c>
      <c r="K4793" t="s">
        <v>29</v>
      </c>
      <c r="L4793">
        <v>1</v>
      </c>
      <c r="M4793">
        <v>1</v>
      </c>
      <c r="N4793">
        <v>3.3</v>
      </c>
      <c r="O4793">
        <v>7.5</v>
      </c>
      <c r="P4793">
        <v>7</v>
      </c>
      <c r="Q4793">
        <v>4</v>
      </c>
      <c r="R4793">
        <v>766791</v>
      </c>
      <c r="S4793">
        <f>Table1[[#This Row],[Revenue]]-Table1[[#This Row],[Operating_Costs]]</f>
        <v>97559</v>
      </c>
      <c r="T4793">
        <v>669232</v>
      </c>
      <c r="U4793">
        <v>60</v>
      </c>
      <c r="V4793">
        <v>59</v>
      </c>
      <c r="W4793">
        <v>7.2</v>
      </c>
    </row>
    <row r="4794" spans="1:23" x14ac:dyDescent="0.25">
      <c r="A4794">
        <v>15</v>
      </c>
      <c r="B4794" t="s">
        <v>45</v>
      </c>
      <c r="C4794" s="1">
        <v>45204</v>
      </c>
      <c r="D4794" t="s">
        <v>71</v>
      </c>
      <c r="E4794">
        <v>0</v>
      </c>
      <c r="F4794">
        <v>56</v>
      </c>
      <c r="G4794" t="str">
        <f t="shared" si="82"/>
        <v>41-60</v>
      </c>
      <c r="H4794" t="s">
        <v>23</v>
      </c>
      <c r="I4794" t="s">
        <v>61</v>
      </c>
      <c r="J4794" t="s">
        <v>62</v>
      </c>
      <c r="K4794" t="s">
        <v>42</v>
      </c>
      <c r="L4794">
        <v>1</v>
      </c>
      <c r="M4794">
        <v>1</v>
      </c>
      <c r="N4794">
        <v>5.5</v>
      </c>
      <c r="O4794">
        <v>7</v>
      </c>
      <c r="P4794">
        <v>5</v>
      </c>
      <c r="Q4794">
        <v>5</v>
      </c>
      <c r="R4794">
        <v>774717</v>
      </c>
      <c r="S4794">
        <f>Table1[[#This Row],[Revenue]]-Table1[[#This Row],[Operating_Costs]]</f>
        <v>127932</v>
      </c>
      <c r="T4794">
        <v>646785</v>
      </c>
      <c r="U4794">
        <v>32</v>
      </c>
      <c r="V4794">
        <v>64</v>
      </c>
      <c r="W4794">
        <v>7</v>
      </c>
    </row>
    <row r="4795" spans="1:23" x14ac:dyDescent="0.25">
      <c r="A4795">
        <v>15</v>
      </c>
      <c r="B4795" t="s">
        <v>45</v>
      </c>
      <c r="C4795" s="1">
        <v>44588</v>
      </c>
      <c r="D4795" t="s">
        <v>71</v>
      </c>
      <c r="E4795">
        <v>0</v>
      </c>
      <c r="F4795">
        <v>84</v>
      </c>
      <c r="G4795" t="str">
        <f t="shared" si="82"/>
        <v>81+</v>
      </c>
      <c r="H4795" t="s">
        <v>35</v>
      </c>
      <c r="I4795" t="s">
        <v>27</v>
      </c>
      <c r="J4795" t="s">
        <v>28</v>
      </c>
      <c r="K4795" t="s">
        <v>26</v>
      </c>
      <c r="L4795">
        <v>1</v>
      </c>
      <c r="M4795">
        <v>1</v>
      </c>
      <c r="N4795">
        <v>3.1</v>
      </c>
      <c r="O4795">
        <v>9.1999999999999993</v>
      </c>
      <c r="P4795">
        <v>5</v>
      </c>
      <c r="Q4795">
        <v>4</v>
      </c>
      <c r="R4795">
        <v>735959</v>
      </c>
      <c r="S4795">
        <f>Table1[[#This Row],[Revenue]]-Table1[[#This Row],[Operating_Costs]]</f>
        <v>228246</v>
      </c>
      <c r="T4795">
        <v>507713</v>
      </c>
      <c r="U4795">
        <v>53</v>
      </c>
      <c r="V4795">
        <v>58</v>
      </c>
      <c r="W4795">
        <v>36.799999999999997</v>
      </c>
    </row>
    <row r="4796" spans="1:23" x14ac:dyDescent="0.25">
      <c r="A4796">
        <v>15</v>
      </c>
      <c r="B4796" t="s">
        <v>45</v>
      </c>
      <c r="C4796" s="1">
        <v>44857</v>
      </c>
      <c r="D4796" t="s">
        <v>71</v>
      </c>
      <c r="E4796">
        <v>0</v>
      </c>
      <c r="F4796">
        <v>34</v>
      </c>
      <c r="G4796" t="str">
        <f t="shared" si="82"/>
        <v>21-40</v>
      </c>
      <c r="H4796" t="s">
        <v>23</v>
      </c>
      <c r="I4796" t="s">
        <v>24</v>
      </c>
      <c r="J4796" t="s">
        <v>25</v>
      </c>
      <c r="K4796" t="s">
        <v>26</v>
      </c>
      <c r="L4796">
        <v>1</v>
      </c>
      <c r="M4796">
        <v>1</v>
      </c>
      <c r="N4796">
        <v>5.0999999999999996</v>
      </c>
      <c r="O4796">
        <v>9.1</v>
      </c>
      <c r="P4796">
        <v>6</v>
      </c>
      <c r="Q4796">
        <v>4</v>
      </c>
      <c r="R4796">
        <v>797135</v>
      </c>
      <c r="S4796">
        <f>Table1[[#This Row],[Revenue]]-Table1[[#This Row],[Operating_Costs]]</f>
        <v>194727</v>
      </c>
      <c r="T4796">
        <v>602408</v>
      </c>
      <c r="U4796">
        <v>39</v>
      </c>
      <c r="V4796">
        <v>61</v>
      </c>
      <c r="W4796">
        <v>13.5</v>
      </c>
    </row>
    <row r="4797" spans="1:23" x14ac:dyDescent="0.25">
      <c r="A4797">
        <v>15</v>
      </c>
      <c r="B4797" t="s">
        <v>45</v>
      </c>
      <c r="C4797" s="1">
        <v>45405</v>
      </c>
      <c r="D4797" t="s">
        <v>71</v>
      </c>
      <c r="E4797">
        <v>0</v>
      </c>
      <c r="F4797">
        <v>50</v>
      </c>
      <c r="G4797" t="str">
        <f t="shared" si="82"/>
        <v>41-60</v>
      </c>
      <c r="H4797" t="s">
        <v>23</v>
      </c>
      <c r="I4797" t="s">
        <v>50</v>
      </c>
      <c r="J4797" t="s">
        <v>51</v>
      </c>
      <c r="K4797" t="s">
        <v>38</v>
      </c>
      <c r="L4797">
        <v>1</v>
      </c>
      <c r="M4797">
        <v>1</v>
      </c>
      <c r="N4797">
        <v>1.7</v>
      </c>
      <c r="O4797">
        <v>8</v>
      </c>
      <c r="P4797">
        <v>7</v>
      </c>
      <c r="Q4797">
        <v>4</v>
      </c>
      <c r="R4797">
        <v>795656</v>
      </c>
      <c r="S4797">
        <f>Table1[[#This Row],[Revenue]]-Table1[[#This Row],[Operating_Costs]]</f>
        <v>287362</v>
      </c>
      <c r="T4797">
        <v>508294</v>
      </c>
      <c r="U4797">
        <v>43</v>
      </c>
      <c r="V4797">
        <v>56</v>
      </c>
      <c r="W4797">
        <v>14</v>
      </c>
    </row>
    <row r="4798" spans="1:23" x14ac:dyDescent="0.25">
      <c r="A4798">
        <v>15</v>
      </c>
      <c r="B4798" t="s">
        <v>45</v>
      </c>
      <c r="C4798" s="1">
        <v>44729</v>
      </c>
      <c r="D4798" t="s">
        <v>71</v>
      </c>
      <c r="E4798">
        <v>0</v>
      </c>
      <c r="F4798">
        <v>52</v>
      </c>
      <c r="G4798" t="str">
        <f t="shared" si="82"/>
        <v>41-60</v>
      </c>
      <c r="H4798" t="s">
        <v>35</v>
      </c>
      <c r="I4798" t="s">
        <v>61</v>
      </c>
      <c r="J4798" t="s">
        <v>62</v>
      </c>
      <c r="K4798" t="s">
        <v>33</v>
      </c>
      <c r="L4798">
        <v>1</v>
      </c>
      <c r="M4798">
        <v>1</v>
      </c>
      <c r="N4798">
        <v>1.6</v>
      </c>
      <c r="O4798">
        <v>9.1999999999999993</v>
      </c>
      <c r="P4798">
        <v>3</v>
      </c>
      <c r="Q4798">
        <v>7</v>
      </c>
      <c r="R4798">
        <v>753140</v>
      </c>
      <c r="S4798">
        <f>Table1[[#This Row],[Revenue]]-Table1[[#This Row],[Operating_Costs]]</f>
        <v>214440</v>
      </c>
      <c r="T4798">
        <v>538700</v>
      </c>
      <c r="U4798">
        <v>36</v>
      </c>
      <c r="V4798">
        <v>58</v>
      </c>
      <c r="W4798">
        <v>8.6999999999999993</v>
      </c>
    </row>
    <row r="4799" spans="1:23" x14ac:dyDescent="0.25">
      <c r="A4799">
        <v>15</v>
      </c>
      <c r="B4799" t="s">
        <v>45</v>
      </c>
      <c r="C4799" s="1">
        <v>44495</v>
      </c>
      <c r="D4799" t="s">
        <v>71</v>
      </c>
      <c r="E4799">
        <v>0</v>
      </c>
      <c r="F4799">
        <v>76</v>
      </c>
      <c r="G4799" t="str">
        <f t="shared" si="82"/>
        <v>61-80</v>
      </c>
      <c r="H4799" t="s">
        <v>23</v>
      </c>
      <c r="I4799" t="s">
        <v>50</v>
      </c>
      <c r="J4799" t="s">
        <v>51</v>
      </c>
      <c r="K4799" t="s">
        <v>42</v>
      </c>
      <c r="L4799">
        <v>1</v>
      </c>
      <c r="M4799">
        <v>1</v>
      </c>
      <c r="N4799">
        <v>6.5</v>
      </c>
      <c r="O4799">
        <v>7.8</v>
      </c>
      <c r="P4799">
        <v>6</v>
      </c>
      <c r="Q4799">
        <v>6</v>
      </c>
      <c r="R4799">
        <v>723781</v>
      </c>
      <c r="S4799">
        <f>Table1[[#This Row],[Revenue]]-Table1[[#This Row],[Operating_Costs]]</f>
        <v>31622</v>
      </c>
      <c r="T4799">
        <v>692159</v>
      </c>
      <c r="U4799">
        <v>39</v>
      </c>
      <c r="V4799">
        <v>64</v>
      </c>
      <c r="W4799">
        <v>13.6</v>
      </c>
    </row>
    <row r="4800" spans="1:23" x14ac:dyDescent="0.25">
      <c r="A4800">
        <v>15</v>
      </c>
      <c r="B4800" t="s">
        <v>45</v>
      </c>
      <c r="C4800" s="1">
        <v>45504</v>
      </c>
      <c r="D4800" t="s">
        <v>71</v>
      </c>
      <c r="E4800">
        <v>0</v>
      </c>
      <c r="F4800">
        <v>70</v>
      </c>
      <c r="G4800" t="str">
        <f t="shared" si="82"/>
        <v>61-80</v>
      </c>
      <c r="H4800" t="s">
        <v>35</v>
      </c>
      <c r="I4800" t="s">
        <v>36</v>
      </c>
      <c r="J4800" t="s">
        <v>37</v>
      </c>
      <c r="K4800" t="s">
        <v>29</v>
      </c>
      <c r="L4800">
        <v>1</v>
      </c>
      <c r="M4800">
        <v>1</v>
      </c>
      <c r="N4800">
        <v>6.3</v>
      </c>
      <c r="O4800">
        <v>8.1</v>
      </c>
      <c r="P4800">
        <v>6</v>
      </c>
      <c r="Q4800">
        <v>7</v>
      </c>
      <c r="R4800">
        <v>773049</v>
      </c>
      <c r="S4800">
        <f>Table1[[#This Row],[Revenue]]-Table1[[#This Row],[Operating_Costs]]</f>
        <v>86112</v>
      </c>
      <c r="T4800">
        <v>686937</v>
      </c>
      <c r="U4800">
        <v>56</v>
      </c>
      <c r="V4800">
        <v>63</v>
      </c>
      <c r="W4800">
        <v>9</v>
      </c>
    </row>
    <row r="4801" spans="1:23" x14ac:dyDescent="0.25">
      <c r="A4801">
        <v>15</v>
      </c>
      <c r="B4801" t="s">
        <v>45</v>
      </c>
      <c r="C4801" s="1">
        <v>44618</v>
      </c>
      <c r="D4801" t="s">
        <v>71</v>
      </c>
      <c r="E4801">
        <v>0</v>
      </c>
      <c r="F4801">
        <v>48</v>
      </c>
      <c r="G4801" t="str">
        <f t="shared" si="82"/>
        <v>41-60</v>
      </c>
      <c r="H4801" t="s">
        <v>35</v>
      </c>
      <c r="I4801" t="s">
        <v>60</v>
      </c>
      <c r="J4801" t="s">
        <v>59</v>
      </c>
      <c r="K4801" t="s">
        <v>38</v>
      </c>
      <c r="L4801">
        <v>1</v>
      </c>
      <c r="M4801">
        <v>1</v>
      </c>
      <c r="N4801">
        <v>6.9</v>
      </c>
      <c r="O4801">
        <v>9</v>
      </c>
      <c r="P4801">
        <v>7</v>
      </c>
      <c r="Q4801">
        <v>5</v>
      </c>
      <c r="R4801">
        <v>798279</v>
      </c>
      <c r="S4801">
        <f>Table1[[#This Row],[Revenue]]-Table1[[#This Row],[Operating_Costs]]</f>
        <v>217688</v>
      </c>
      <c r="T4801">
        <v>580591</v>
      </c>
      <c r="U4801">
        <v>43</v>
      </c>
      <c r="V4801">
        <v>65</v>
      </c>
      <c r="W4801">
        <v>13.1</v>
      </c>
    </row>
    <row r="4802" spans="1:23" x14ac:dyDescent="0.25">
      <c r="A4802">
        <v>15</v>
      </c>
      <c r="B4802" t="s">
        <v>45</v>
      </c>
      <c r="C4802" s="1">
        <v>44328</v>
      </c>
      <c r="D4802" t="s">
        <v>71</v>
      </c>
      <c r="E4802">
        <v>0</v>
      </c>
      <c r="F4802">
        <v>88</v>
      </c>
      <c r="G4802" t="str">
        <f t="shared" si="82"/>
        <v>81+</v>
      </c>
      <c r="H4802" t="s">
        <v>23</v>
      </c>
      <c r="I4802" t="s">
        <v>43</v>
      </c>
      <c r="J4802" t="s">
        <v>25</v>
      </c>
      <c r="K4802" t="s">
        <v>33</v>
      </c>
      <c r="L4802">
        <v>1</v>
      </c>
      <c r="M4802">
        <v>1</v>
      </c>
      <c r="N4802">
        <v>3.1</v>
      </c>
      <c r="O4802">
        <v>8.1</v>
      </c>
      <c r="P4802">
        <v>5</v>
      </c>
      <c r="Q4802">
        <v>4</v>
      </c>
      <c r="R4802">
        <v>797985</v>
      </c>
      <c r="S4802">
        <f>Table1[[#This Row],[Revenue]]-Table1[[#This Row],[Operating_Costs]]</f>
        <v>153549</v>
      </c>
      <c r="T4802">
        <v>644436</v>
      </c>
      <c r="U4802">
        <v>39</v>
      </c>
      <c r="V4802">
        <v>62</v>
      </c>
      <c r="W4802">
        <v>36.5</v>
      </c>
    </row>
    <row r="4803" spans="1:23" x14ac:dyDescent="0.25">
      <c r="A4803">
        <v>15</v>
      </c>
      <c r="B4803" t="s">
        <v>45</v>
      </c>
      <c r="C4803" s="1">
        <v>45183</v>
      </c>
      <c r="D4803" t="s">
        <v>71</v>
      </c>
      <c r="E4803">
        <v>0</v>
      </c>
      <c r="F4803">
        <v>25</v>
      </c>
      <c r="G4803" t="str">
        <f t="shared" ref="G4803:G4866" si="83">IF(F4803&lt;=20,"0-20",IF(F4803&lt;=40,"21-40",IF(F4803&lt;=60,"41-60",IF(F4803&lt;=80,"61-80","81+"))))</f>
        <v>21-40</v>
      </c>
      <c r="H4803" t="s">
        <v>35</v>
      </c>
      <c r="I4803" t="s">
        <v>55</v>
      </c>
      <c r="J4803" t="s">
        <v>56</v>
      </c>
      <c r="K4803" t="s">
        <v>38</v>
      </c>
      <c r="L4803">
        <v>1</v>
      </c>
      <c r="M4803">
        <v>1</v>
      </c>
      <c r="N4803">
        <v>5.6</v>
      </c>
      <c r="O4803">
        <v>9.5</v>
      </c>
      <c r="P4803">
        <v>5</v>
      </c>
      <c r="Q4803">
        <v>7</v>
      </c>
      <c r="R4803">
        <v>701451</v>
      </c>
      <c r="S4803">
        <f>Table1[[#This Row],[Revenue]]-Table1[[#This Row],[Operating_Costs]]</f>
        <v>58588</v>
      </c>
      <c r="T4803">
        <v>642863</v>
      </c>
      <c r="U4803">
        <v>33</v>
      </c>
      <c r="V4803">
        <v>63</v>
      </c>
      <c r="W4803">
        <v>5.4</v>
      </c>
    </row>
    <row r="4804" spans="1:23" x14ac:dyDescent="0.25">
      <c r="A4804">
        <v>15</v>
      </c>
      <c r="B4804" t="s">
        <v>45</v>
      </c>
      <c r="C4804" s="1">
        <v>44890</v>
      </c>
      <c r="D4804" t="s">
        <v>71</v>
      </c>
      <c r="E4804">
        <v>0</v>
      </c>
      <c r="F4804">
        <v>87</v>
      </c>
      <c r="G4804" t="str">
        <f t="shared" si="83"/>
        <v>81+</v>
      </c>
      <c r="H4804" t="s">
        <v>23</v>
      </c>
      <c r="I4804" t="s">
        <v>27</v>
      </c>
      <c r="J4804" t="s">
        <v>28</v>
      </c>
      <c r="K4804" t="s">
        <v>33</v>
      </c>
      <c r="L4804">
        <v>1</v>
      </c>
      <c r="M4804">
        <v>1</v>
      </c>
      <c r="N4804">
        <v>2.7</v>
      </c>
      <c r="O4804">
        <v>8.4</v>
      </c>
      <c r="P4804">
        <v>7</v>
      </c>
      <c r="Q4804">
        <v>4</v>
      </c>
      <c r="R4804">
        <v>741621</v>
      </c>
      <c r="S4804">
        <f>Table1[[#This Row],[Revenue]]-Table1[[#This Row],[Operating_Costs]]</f>
        <v>127975</v>
      </c>
      <c r="T4804">
        <v>613646</v>
      </c>
      <c r="U4804">
        <v>37</v>
      </c>
      <c r="V4804">
        <v>56</v>
      </c>
      <c r="W4804">
        <v>12.8</v>
      </c>
    </row>
    <row r="4805" spans="1:23" x14ac:dyDescent="0.25">
      <c r="A4805">
        <v>15</v>
      </c>
      <c r="B4805" t="s">
        <v>45</v>
      </c>
      <c r="C4805" s="1">
        <v>45366</v>
      </c>
      <c r="D4805" t="s">
        <v>71</v>
      </c>
      <c r="E4805">
        <v>0</v>
      </c>
      <c r="F4805">
        <v>28</v>
      </c>
      <c r="G4805" t="str">
        <f t="shared" si="83"/>
        <v>21-40</v>
      </c>
      <c r="H4805" t="s">
        <v>23</v>
      </c>
      <c r="I4805" t="s">
        <v>55</v>
      </c>
      <c r="J4805" t="s">
        <v>56</v>
      </c>
      <c r="K4805" t="s">
        <v>26</v>
      </c>
      <c r="L4805">
        <v>1</v>
      </c>
      <c r="M4805">
        <v>1</v>
      </c>
      <c r="N4805">
        <v>2.7</v>
      </c>
      <c r="O4805">
        <v>7.5</v>
      </c>
      <c r="P4805">
        <v>4</v>
      </c>
      <c r="Q4805">
        <v>5</v>
      </c>
      <c r="R4805">
        <v>799338</v>
      </c>
      <c r="S4805">
        <f>Table1[[#This Row],[Revenue]]-Table1[[#This Row],[Operating_Costs]]</f>
        <v>231770</v>
      </c>
      <c r="T4805">
        <v>567568</v>
      </c>
      <c r="U4805">
        <v>47</v>
      </c>
      <c r="V4805">
        <v>62</v>
      </c>
      <c r="W4805">
        <v>12.8</v>
      </c>
    </row>
    <row r="4806" spans="1:23" x14ac:dyDescent="0.25">
      <c r="A4806">
        <v>15</v>
      </c>
      <c r="B4806" t="s">
        <v>45</v>
      </c>
      <c r="C4806" s="1">
        <v>45121</v>
      </c>
      <c r="D4806" t="s">
        <v>71</v>
      </c>
      <c r="E4806">
        <v>0</v>
      </c>
      <c r="F4806">
        <v>54</v>
      </c>
      <c r="G4806" t="str">
        <f t="shared" si="83"/>
        <v>41-60</v>
      </c>
      <c r="H4806" t="s">
        <v>35</v>
      </c>
      <c r="I4806" t="s">
        <v>55</v>
      </c>
      <c r="J4806" t="s">
        <v>56</v>
      </c>
      <c r="K4806" t="s">
        <v>42</v>
      </c>
      <c r="L4806">
        <v>1</v>
      </c>
      <c r="M4806">
        <v>1</v>
      </c>
      <c r="N4806">
        <v>5.3</v>
      </c>
      <c r="O4806">
        <v>8.5</v>
      </c>
      <c r="P4806">
        <v>4</v>
      </c>
      <c r="Q4806">
        <v>4</v>
      </c>
      <c r="R4806">
        <v>707902</v>
      </c>
      <c r="S4806">
        <f>Table1[[#This Row],[Revenue]]-Table1[[#This Row],[Operating_Costs]]</f>
        <v>168497</v>
      </c>
      <c r="T4806">
        <v>539405</v>
      </c>
      <c r="U4806">
        <v>56</v>
      </c>
      <c r="V4806">
        <v>59</v>
      </c>
      <c r="W4806">
        <v>6.3</v>
      </c>
    </row>
    <row r="4807" spans="1:23" x14ac:dyDescent="0.25">
      <c r="A4807">
        <v>15</v>
      </c>
      <c r="B4807" t="s">
        <v>45</v>
      </c>
      <c r="C4807" s="1">
        <v>44642</v>
      </c>
      <c r="D4807" t="s">
        <v>71</v>
      </c>
      <c r="E4807">
        <v>0</v>
      </c>
      <c r="F4807">
        <v>50</v>
      </c>
      <c r="G4807" t="str">
        <f t="shared" si="83"/>
        <v>41-60</v>
      </c>
      <c r="H4807" t="s">
        <v>35</v>
      </c>
      <c r="I4807" t="s">
        <v>46</v>
      </c>
      <c r="J4807" t="s">
        <v>47</v>
      </c>
      <c r="K4807" t="s">
        <v>29</v>
      </c>
      <c r="L4807">
        <v>1</v>
      </c>
      <c r="M4807">
        <v>1</v>
      </c>
      <c r="N4807">
        <v>5.7</v>
      </c>
      <c r="O4807">
        <v>9.1</v>
      </c>
      <c r="P4807">
        <v>4</v>
      </c>
      <c r="Q4807">
        <v>6</v>
      </c>
      <c r="R4807">
        <v>754149</v>
      </c>
      <c r="S4807">
        <f>Table1[[#This Row],[Revenue]]-Table1[[#This Row],[Operating_Costs]]</f>
        <v>241262</v>
      </c>
      <c r="T4807">
        <v>512887</v>
      </c>
      <c r="U4807">
        <v>38</v>
      </c>
      <c r="V4807">
        <v>61</v>
      </c>
      <c r="W4807">
        <v>5.0999999999999996</v>
      </c>
    </row>
    <row r="4808" spans="1:23" x14ac:dyDescent="0.25">
      <c r="A4808">
        <v>15</v>
      </c>
      <c r="B4808" t="s">
        <v>45</v>
      </c>
      <c r="C4808" s="1">
        <v>44925</v>
      </c>
      <c r="D4808" t="s">
        <v>71</v>
      </c>
      <c r="E4808">
        <v>0</v>
      </c>
      <c r="F4808">
        <v>67</v>
      </c>
      <c r="G4808" t="str">
        <f t="shared" si="83"/>
        <v>61-80</v>
      </c>
      <c r="H4808" t="s">
        <v>35</v>
      </c>
      <c r="I4808" t="s">
        <v>61</v>
      </c>
      <c r="J4808" t="s">
        <v>62</v>
      </c>
      <c r="K4808" t="s">
        <v>42</v>
      </c>
      <c r="L4808">
        <v>1</v>
      </c>
      <c r="M4808">
        <v>1</v>
      </c>
      <c r="N4808">
        <v>1.8</v>
      </c>
      <c r="O4808">
        <v>8.1</v>
      </c>
      <c r="P4808">
        <v>3</v>
      </c>
      <c r="Q4808">
        <v>5</v>
      </c>
      <c r="R4808">
        <v>748896</v>
      </c>
      <c r="S4808">
        <f>Table1[[#This Row],[Revenue]]-Table1[[#This Row],[Operating_Costs]]</f>
        <v>81551</v>
      </c>
      <c r="T4808">
        <v>667345</v>
      </c>
      <c r="U4808">
        <v>35</v>
      </c>
      <c r="V4808">
        <v>56</v>
      </c>
      <c r="W4808">
        <v>7.6</v>
      </c>
    </row>
    <row r="4809" spans="1:23" x14ac:dyDescent="0.25">
      <c r="A4809">
        <v>15</v>
      </c>
      <c r="B4809" t="s">
        <v>45</v>
      </c>
      <c r="C4809" s="1">
        <v>44569</v>
      </c>
      <c r="D4809" t="s">
        <v>71</v>
      </c>
      <c r="E4809">
        <v>0</v>
      </c>
      <c r="F4809">
        <v>76</v>
      </c>
      <c r="G4809" t="str">
        <f t="shared" si="83"/>
        <v>61-80</v>
      </c>
      <c r="H4809" t="s">
        <v>23</v>
      </c>
      <c r="I4809" t="s">
        <v>43</v>
      </c>
      <c r="J4809" t="s">
        <v>25</v>
      </c>
      <c r="K4809" t="s">
        <v>42</v>
      </c>
      <c r="L4809">
        <v>1</v>
      </c>
      <c r="M4809">
        <v>1</v>
      </c>
      <c r="N4809">
        <v>5.3</v>
      </c>
      <c r="O4809">
        <v>7.2</v>
      </c>
      <c r="P4809">
        <v>3</v>
      </c>
      <c r="Q4809">
        <v>4</v>
      </c>
      <c r="R4809">
        <v>788162</v>
      </c>
      <c r="S4809">
        <f>Table1[[#This Row],[Revenue]]-Table1[[#This Row],[Operating_Costs]]</f>
        <v>89780</v>
      </c>
      <c r="T4809">
        <v>698382</v>
      </c>
      <c r="U4809">
        <v>30</v>
      </c>
      <c r="V4809">
        <v>63</v>
      </c>
      <c r="W4809">
        <v>14.1</v>
      </c>
    </row>
    <row r="4810" spans="1:23" x14ac:dyDescent="0.25">
      <c r="A4810">
        <v>15</v>
      </c>
      <c r="B4810" t="s">
        <v>45</v>
      </c>
      <c r="C4810" s="1">
        <v>44826</v>
      </c>
      <c r="D4810" t="s">
        <v>71</v>
      </c>
      <c r="E4810">
        <v>0</v>
      </c>
      <c r="F4810">
        <v>39</v>
      </c>
      <c r="G4810" t="str">
        <f t="shared" si="83"/>
        <v>21-40</v>
      </c>
      <c r="H4810" t="s">
        <v>35</v>
      </c>
      <c r="I4810" t="s">
        <v>53</v>
      </c>
      <c r="J4810" t="s">
        <v>54</v>
      </c>
      <c r="K4810" t="s">
        <v>33</v>
      </c>
      <c r="L4810">
        <v>1</v>
      </c>
      <c r="M4810">
        <v>1</v>
      </c>
      <c r="N4810">
        <v>5.0999999999999996</v>
      </c>
      <c r="O4810">
        <v>8.1</v>
      </c>
      <c r="P4810">
        <v>7</v>
      </c>
      <c r="Q4810">
        <v>4</v>
      </c>
      <c r="R4810">
        <v>749256</v>
      </c>
      <c r="S4810">
        <f>Table1[[#This Row],[Revenue]]-Table1[[#This Row],[Operating_Costs]]</f>
        <v>229296</v>
      </c>
      <c r="T4810">
        <v>519960</v>
      </c>
      <c r="U4810">
        <v>51</v>
      </c>
      <c r="V4810">
        <v>60</v>
      </c>
      <c r="W4810">
        <v>5.6</v>
      </c>
    </row>
    <row r="4811" spans="1:23" x14ac:dyDescent="0.25">
      <c r="A4811">
        <v>15</v>
      </c>
      <c r="B4811" t="s">
        <v>45</v>
      </c>
      <c r="C4811" s="1">
        <v>44224</v>
      </c>
      <c r="D4811" t="s">
        <v>71</v>
      </c>
      <c r="E4811">
        <v>0</v>
      </c>
      <c r="F4811">
        <v>71</v>
      </c>
      <c r="G4811" t="str">
        <f t="shared" si="83"/>
        <v>61-80</v>
      </c>
      <c r="H4811" t="s">
        <v>23</v>
      </c>
      <c r="I4811" t="s">
        <v>61</v>
      </c>
      <c r="J4811" t="s">
        <v>62</v>
      </c>
      <c r="K4811" t="s">
        <v>26</v>
      </c>
      <c r="L4811">
        <v>1</v>
      </c>
      <c r="M4811">
        <v>1</v>
      </c>
      <c r="N4811">
        <v>5.5</v>
      </c>
      <c r="O4811">
        <v>9.1999999999999993</v>
      </c>
      <c r="P4811">
        <v>3</v>
      </c>
      <c r="Q4811">
        <v>4</v>
      </c>
      <c r="R4811">
        <v>720356</v>
      </c>
      <c r="S4811">
        <f>Table1[[#This Row],[Revenue]]-Table1[[#This Row],[Operating_Costs]]</f>
        <v>183589</v>
      </c>
      <c r="T4811">
        <v>536767</v>
      </c>
      <c r="U4811">
        <v>46</v>
      </c>
      <c r="V4811">
        <v>55</v>
      </c>
      <c r="W4811">
        <v>5</v>
      </c>
    </row>
    <row r="4812" spans="1:23" x14ac:dyDescent="0.25">
      <c r="A4812">
        <v>15</v>
      </c>
      <c r="B4812" t="s">
        <v>45</v>
      </c>
      <c r="C4812" s="1">
        <v>44406</v>
      </c>
      <c r="D4812" t="s">
        <v>71</v>
      </c>
      <c r="E4812">
        <v>0</v>
      </c>
      <c r="F4812">
        <v>62</v>
      </c>
      <c r="G4812" t="str">
        <f t="shared" si="83"/>
        <v>61-80</v>
      </c>
      <c r="H4812" t="s">
        <v>35</v>
      </c>
      <c r="I4812" t="s">
        <v>36</v>
      </c>
      <c r="J4812" t="s">
        <v>37</v>
      </c>
      <c r="K4812" t="s">
        <v>26</v>
      </c>
      <c r="L4812">
        <v>1</v>
      </c>
      <c r="M4812">
        <v>1</v>
      </c>
      <c r="N4812">
        <v>2.4</v>
      </c>
      <c r="O4812">
        <v>8.8000000000000007</v>
      </c>
      <c r="P4812">
        <v>6</v>
      </c>
      <c r="Q4812">
        <v>7</v>
      </c>
      <c r="R4812">
        <v>703620</v>
      </c>
      <c r="S4812">
        <f>Table1[[#This Row],[Revenue]]-Table1[[#This Row],[Operating_Costs]]</f>
        <v>22601</v>
      </c>
      <c r="T4812">
        <v>681019</v>
      </c>
      <c r="U4812">
        <v>42</v>
      </c>
      <c r="V4812">
        <v>60</v>
      </c>
      <c r="W4812">
        <v>13.5</v>
      </c>
    </row>
    <row r="4813" spans="1:23" x14ac:dyDescent="0.25">
      <c r="A4813">
        <v>15</v>
      </c>
      <c r="B4813" t="s">
        <v>45</v>
      </c>
      <c r="C4813" s="1">
        <v>45294</v>
      </c>
      <c r="D4813" t="s">
        <v>71</v>
      </c>
      <c r="E4813">
        <v>0</v>
      </c>
      <c r="F4813">
        <v>50</v>
      </c>
      <c r="G4813" t="str">
        <f t="shared" si="83"/>
        <v>41-60</v>
      </c>
      <c r="H4813" t="s">
        <v>35</v>
      </c>
      <c r="I4813" t="s">
        <v>58</v>
      </c>
      <c r="J4813" t="s">
        <v>59</v>
      </c>
      <c r="K4813" t="s">
        <v>29</v>
      </c>
      <c r="L4813">
        <v>1</v>
      </c>
      <c r="M4813">
        <v>1</v>
      </c>
      <c r="N4813">
        <v>5.4</v>
      </c>
      <c r="O4813">
        <v>7.5</v>
      </c>
      <c r="P4813">
        <v>4</v>
      </c>
      <c r="Q4813">
        <v>3</v>
      </c>
      <c r="R4813">
        <v>727895</v>
      </c>
      <c r="S4813">
        <f>Table1[[#This Row],[Revenue]]-Table1[[#This Row],[Operating_Costs]]</f>
        <v>89919</v>
      </c>
      <c r="T4813">
        <v>637976</v>
      </c>
      <c r="U4813">
        <v>54</v>
      </c>
      <c r="V4813">
        <v>61</v>
      </c>
      <c r="W4813">
        <v>36</v>
      </c>
    </row>
    <row r="4814" spans="1:23" x14ac:dyDescent="0.25">
      <c r="A4814">
        <v>15</v>
      </c>
      <c r="B4814" t="s">
        <v>45</v>
      </c>
      <c r="C4814" s="1">
        <v>44924</v>
      </c>
      <c r="D4814" t="s">
        <v>71</v>
      </c>
      <c r="E4814">
        <v>0</v>
      </c>
      <c r="F4814">
        <v>24</v>
      </c>
      <c r="G4814" t="str">
        <f t="shared" si="83"/>
        <v>21-40</v>
      </c>
      <c r="H4814" t="s">
        <v>23</v>
      </c>
      <c r="I4814" t="s">
        <v>58</v>
      </c>
      <c r="J4814" t="s">
        <v>59</v>
      </c>
      <c r="K4814" t="s">
        <v>29</v>
      </c>
      <c r="L4814">
        <v>1</v>
      </c>
      <c r="M4814">
        <v>1</v>
      </c>
      <c r="N4814">
        <v>1.4</v>
      </c>
      <c r="O4814">
        <v>9.6999999999999993</v>
      </c>
      <c r="P4814">
        <v>6</v>
      </c>
      <c r="Q4814">
        <v>7</v>
      </c>
      <c r="R4814">
        <v>765684</v>
      </c>
      <c r="S4814">
        <f>Table1[[#This Row],[Revenue]]-Table1[[#This Row],[Operating_Costs]]</f>
        <v>211797</v>
      </c>
      <c r="T4814">
        <v>553887</v>
      </c>
      <c r="U4814">
        <v>30</v>
      </c>
      <c r="V4814">
        <v>65</v>
      </c>
      <c r="W4814">
        <v>14.9</v>
      </c>
    </row>
    <row r="4815" spans="1:23" x14ac:dyDescent="0.25">
      <c r="A4815">
        <v>15</v>
      </c>
      <c r="B4815" t="s">
        <v>45</v>
      </c>
      <c r="C4815" s="1">
        <v>45021</v>
      </c>
      <c r="D4815" t="s">
        <v>71</v>
      </c>
      <c r="E4815">
        <v>0</v>
      </c>
      <c r="F4815">
        <v>67</v>
      </c>
      <c r="G4815" t="str">
        <f t="shared" si="83"/>
        <v>61-80</v>
      </c>
      <c r="H4815" t="s">
        <v>35</v>
      </c>
      <c r="I4815" t="s">
        <v>36</v>
      </c>
      <c r="J4815" t="s">
        <v>37</v>
      </c>
      <c r="K4815" t="s">
        <v>33</v>
      </c>
      <c r="L4815">
        <v>1</v>
      </c>
      <c r="M4815">
        <v>1</v>
      </c>
      <c r="N4815">
        <v>1.2</v>
      </c>
      <c r="O4815">
        <v>9.3000000000000007</v>
      </c>
      <c r="P4815">
        <v>7</v>
      </c>
      <c r="Q4815">
        <v>4</v>
      </c>
      <c r="R4815">
        <v>719136</v>
      </c>
      <c r="S4815">
        <f>Table1[[#This Row],[Revenue]]-Table1[[#This Row],[Operating_Costs]]</f>
        <v>206942</v>
      </c>
      <c r="T4815">
        <v>512194</v>
      </c>
      <c r="U4815">
        <v>34</v>
      </c>
      <c r="V4815">
        <v>54</v>
      </c>
      <c r="W4815">
        <v>14.1</v>
      </c>
    </row>
    <row r="4816" spans="1:23" x14ac:dyDescent="0.25">
      <c r="A4816">
        <v>15</v>
      </c>
      <c r="B4816" t="s">
        <v>45</v>
      </c>
      <c r="C4816" s="1">
        <v>45003</v>
      </c>
      <c r="D4816" t="s">
        <v>71</v>
      </c>
      <c r="E4816">
        <v>0</v>
      </c>
      <c r="F4816">
        <v>25</v>
      </c>
      <c r="G4816" t="str">
        <f t="shared" si="83"/>
        <v>21-40</v>
      </c>
      <c r="H4816" t="s">
        <v>35</v>
      </c>
      <c r="I4816" t="s">
        <v>36</v>
      </c>
      <c r="J4816" t="s">
        <v>37</v>
      </c>
      <c r="K4816" t="s">
        <v>42</v>
      </c>
      <c r="L4816">
        <v>1</v>
      </c>
      <c r="M4816">
        <v>1</v>
      </c>
      <c r="N4816">
        <v>1.4</v>
      </c>
      <c r="O4816">
        <v>7.8</v>
      </c>
      <c r="P4816">
        <v>6</v>
      </c>
      <c r="Q4816">
        <v>5</v>
      </c>
      <c r="R4816">
        <v>789580</v>
      </c>
      <c r="S4816">
        <f>Table1[[#This Row],[Revenue]]-Table1[[#This Row],[Operating_Costs]]</f>
        <v>111712</v>
      </c>
      <c r="T4816">
        <v>677868</v>
      </c>
      <c r="U4816">
        <v>56</v>
      </c>
      <c r="V4816">
        <v>65</v>
      </c>
      <c r="W4816">
        <v>8</v>
      </c>
    </row>
    <row r="4817" spans="1:23" x14ac:dyDescent="0.25">
      <c r="A4817">
        <v>15</v>
      </c>
      <c r="B4817" t="s">
        <v>45</v>
      </c>
      <c r="C4817" s="1">
        <v>44729</v>
      </c>
      <c r="D4817" t="s">
        <v>71</v>
      </c>
      <c r="E4817">
        <v>0</v>
      </c>
      <c r="F4817">
        <v>86</v>
      </c>
      <c r="G4817" t="str">
        <f t="shared" si="83"/>
        <v>81+</v>
      </c>
      <c r="H4817" t="s">
        <v>35</v>
      </c>
      <c r="I4817" t="s">
        <v>31</v>
      </c>
      <c r="J4817" t="s">
        <v>28</v>
      </c>
      <c r="K4817" t="s">
        <v>33</v>
      </c>
      <c r="L4817">
        <v>1</v>
      </c>
      <c r="M4817">
        <v>1</v>
      </c>
      <c r="N4817">
        <v>4.5999999999999996</v>
      </c>
      <c r="O4817">
        <v>8.1999999999999993</v>
      </c>
      <c r="P4817">
        <v>7</v>
      </c>
      <c r="Q4817">
        <v>4</v>
      </c>
      <c r="R4817">
        <v>794419</v>
      </c>
      <c r="S4817">
        <f>Table1[[#This Row],[Revenue]]-Table1[[#This Row],[Operating_Costs]]</f>
        <v>281837</v>
      </c>
      <c r="T4817">
        <v>512582</v>
      </c>
      <c r="U4817">
        <v>59</v>
      </c>
      <c r="V4817">
        <v>65</v>
      </c>
      <c r="W4817">
        <v>9.9</v>
      </c>
    </row>
    <row r="4818" spans="1:23" x14ac:dyDescent="0.25">
      <c r="A4818">
        <v>15</v>
      </c>
      <c r="B4818" t="s">
        <v>45</v>
      </c>
      <c r="C4818" s="1">
        <v>44846</v>
      </c>
      <c r="D4818" t="s">
        <v>71</v>
      </c>
      <c r="E4818">
        <v>0</v>
      </c>
      <c r="F4818">
        <v>29</v>
      </c>
      <c r="G4818" t="str">
        <f t="shared" si="83"/>
        <v>21-40</v>
      </c>
      <c r="H4818" t="s">
        <v>35</v>
      </c>
      <c r="I4818" t="s">
        <v>40</v>
      </c>
      <c r="J4818" t="s">
        <v>41</v>
      </c>
      <c r="K4818" t="s">
        <v>33</v>
      </c>
      <c r="L4818">
        <v>1</v>
      </c>
      <c r="M4818">
        <v>1</v>
      </c>
      <c r="N4818">
        <v>4.8</v>
      </c>
      <c r="O4818">
        <v>7.8</v>
      </c>
      <c r="P4818">
        <v>5</v>
      </c>
      <c r="Q4818">
        <v>5</v>
      </c>
      <c r="R4818">
        <v>739369</v>
      </c>
      <c r="S4818">
        <f>Table1[[#This Row],[Revenue]]-Table1[[#This Row],[Operating_Costs]]</f>
        <v>98014</v>
      </c>
      <c r="T4818">
        <v>641355</v>
      </c>
      <c r="U4818">
        <v>43</v>
      </c>
      <c r="V4818">
        <v>60</v>
      </c>
      <c r="W4818">
        <v>10.4</v>
      </c>
    </row>
    <row r="4819" spans="1:23" x14ac:dyDescent="0.25">
      <c r="A4819">
        <v>15</v>
      </c>
      <c r="B4819" t="s">
        <v>45</v>
      </c>
      <c r="C4819" s="1">
        <v>45329</v>
      </c>
      <c r="D4819" t="s">
        <v>71</v>
      </c>
      <c r="E4819">
        <v>0</v>
      </c>
      <c r="F4819">
        <v>22</v>
      </c>
      <c r="G4819" t="str">
        <f t="shared" si="83"/>
        <v>21-40</v>
      </c>
      <c r="H4819" t="s">
        <v>23</v>
      </c>
      <c r="I4819" t="s">
        <v>67</v>
      </c>
      <c r="J4819" t="s">
        <v>68</v>
      </c>
      <c r="K4819" t="s">
        <v>38</v>
      </c>
      <c r="L4819">
        <v>1</v>
      </c>
      <c r="M4819">
        <v>1</v>
      </c>
      <c r="N4819">
        <v>1</v>
      </c>
      <c r="O4819">
        <v>8.3000000000000007</v>
      </c>
      <c r="P4819">
        <v>5</v>
      </c>
      <c r="Q4819">
        <v>6</v>
      </c>
      <c r="R4819">
        <v>795094</v>
      </c>
      <c r="S4819">
        <f>Table1[[#This Row],[Revenue]]-Table1[[#This Row],[Operating_Costs]]</f>
        <v>131539</v>
      </c>
      <c r="T4819">
        <v>663555</v>
      </c>
      <c r="U4819">
        <v>32</v>
      </c>
      <c r="V4819">
        <v>59</v>
      </c>
      <c r="W4819">
        <v>9.8000000000000007</v>
      </c>
    </row>
    <row r="4820" spans="1:23" x14ac:dyDescent="0.25">
      <c r="A4820">
        <v>15</v>
      </c>
      <c r="B4820" t="s">
        <v>45</v>
      </c>
      <c r="C4820" s="1">
        <v>44792</v>
      </c>
      <c r="D4820" t="s">
        <v>71</v>
      </c>
      <c r="E4820">
        <v>0</v>
      </c>
      <c r="F4820">
        <v>66</v>
      </c>
      <c r="G4820" t="str">
        <f t="shared" si="83"/>
        <v>61-80</v>
      </c>
      <c r="H4820" t="s">
        <v>23</v>
      </c>
      <c r="I4820" t="s">
        <v>67</v>
      </c>
      <c r="J4820" t="s">
        <v>68</v>
      </c>
      <c r="K4820" t="s">
        <v>33</v>
      </c>
      <c r="L4820">
        <v>1</v>
      </c>
      <c r="M4820">
        <v>1</v>
      </c>
      <c r="N4820">
        <v>4.9000000000000004</v>
      </c>
      <c r="O4820">
        <v>8.4</v>
      </c>
      <c r="P4820">
        <v>5</v>
      </c>
      <c r="Q4820">
        <v>4</v>
      </c>
      <c r="R4820">
        <v>786346</v>
      </c>
      <c r="S4820">
        <f>Table1[[#This Row],[Revenue]]-Table1[[#This Row],[Operating_Costs]]</f>
        <v>279896</v>
      </c>
      <c r="T4820">
        <v>506450</v>
      </c>
      <c r="U4820">
        <v>50</v>
      </c>
      <c r="V4820">
        <v>63</v>
      </c>
      <c r="W4820">
        <v>12.1</v>
      </c>
    </row>
    <row r="4821" spans="1:23" x14ac:dyDescent="0.25">
      <c r="A4821">
        <v>15</v>
      </c>
      <c r="B4821" t="s">
        <v>45</v>
      </c>
      <c r="C4821" s="1">
        <v>44516</v>
      </c>
      <c r="D4821" t="s">
        <v>71</v>
      </c>
      <c r="E4821">
        <v>0</v>
      </c>
      <c r="F4821">
        <v>25</v>
      </c>
      <c r="G4821" t="str">
        <f t="shared" si="83"/>
        <v>21-40</v>
      </c>
      <c r="H4821" t="s">
        <v>23</v>
      </c>
      <c r="I4821" t="s">
        <v>46</v>
      </c>
      <c r="J4821" t="s">
        <v>47</v>
      </c>
      <c r="K4821" t="s">
        <v>38</v>
      </c>
      <c r="L4821">
        <v>1</v>
      </c>
      <c r="M4821">
        <v>1</v>
      </c>
      <c r="N4821">
        <v>4.5</v>
      </c>
      <c r="O4821">
        <v>8.8000000000000007</v>
      </c>
      <c r="P4821">
        <v>4</v>
      </c>
      <c r="Q4821">
        <v>3</v>
      </c>
      <c r="R4821">
        <v>734401</v>
      </c>
      <c r="S4821">
        <f>Table1[[#This Row],[Revenue]]-Table1[[#This Row],[Operating_Costs]]</f>
        <v>181012</v>
      </c>
      <c r="T4821">
        <v>553389</v>
      </c>
      <c r="U4821">
        <v>33</v>
      </c>
      <c r="V4821">
        <v>56</v>
      </c>
      <c r="W4821">
        <v>6.8</v>
      </c>
    </row>
    <row r="4822" spans="1:23" x14ac:dyDescent="0.25">
      <c r="A4822">
        <v>15</v>
      </c>
      <c r="B4822" t="s">
        <v>45</v>
      </c>
      <c r="C4822" s="1">
        <v>44698</v>
      </c>
      <c r="D4822" t="s">
        <v>71</v>
      </c>
      <c r="E4822">
        <v>0</v>
      </c>
      <c r="F4822">
        <v>54</v>
      </c>
      <c r="G4822" t="str">
        <f t="shared" si="83"/>
        <v>41-60</v>
      </c>
      <c r="H4822" t="s">
        <v>35</v>
      </c>
      <c r="I4822" t="s">
        <v>27</v>
      </c>
      <c r="J4822" t="s">
        <v>28</v>
      </c>
      <c r="K4822" t="s">
        <v>33</v>
      </c>
      <c r="L4822">
        <v>1</v>
      </c>
      <c r="M4822">
        <v>1</v>
      </c>
      <c r="N4822">
        <v>2.7</v>
      </c>
      <c r="O4822">
        <v>8.6999999999999993</v>
      </c>
      <c r="P4822">
        <v>3</v>
      </c>
      <c r="Q4822">
        <v>4</v>
      </c>
      <c r="R4822">
        <v>755835</v>
      </c>
      <c r="S4822">
        <f>Table1[[#This Row],[Revenue]]-Table1[[#This Row],[Operating_Costs]]</f>
        <v>186002</v>
      </c>
      <c r="T4822">
        <v>569833</v>
      </c>
      <c r="U4822">
        <v>36</v>
      </c>
      <c r="V4822">
        <v>55</v>
      </c>
      <c r="W4822">
        <v>5.4</v>
      </c>
    </row>
    <row r="4823" spans="1:23" x14ac:dyDescent="0.25">
      <c r="A4823">
        <v>15</v>
      </c>
      <c r="B4823" t="s">
        <v>45</v>
      </c>
      <c r="C4823" s="1">
        <v>45605</v>
      </c>
      <c r="D4823" t="s">
        <v>71</v>
      </c>
      <c r="E4823">
        <v>0</v>
      </c>
      <c r="F4823">
        <v>31</v>
      </c>
      <c r="G4823" t="str">
        <f t="shared" si="83"/>
        <v>21-40</v>
      </c>
      <c r="H4823" t="s">
        <v>35</v>
      </c>
      <c r="I4823" t="s">
        <v>36</v>
      </c>
      <c r="J4823" t="s">
        <v>37</v>
      </c>
      <c r="K4823" t="s">
        <v>42</v>
      </c>
      <c r="L4823">
        <v>1</v>
      </c>
      <c r="M4823">
        <v>1</v>
      </c>
      <c r="N4823">
        <v>3.7</v>
      </c>
      <c r="O4823">
        <v>8.5</v>
      </c>
      <c r="P4823">
        <v>3</v>
      </c>
      <c r="Q4823">
        <v>6</v>
      </c>
      <c r="R4823">
        <v>791274</v>
      </c>
      <c r="S4823">
        <f>Table1[[#This Row],[Revenue]]-Table1[[#This Row],[Operating_Costs]]</f>
        <v>261006</v>
      </c>
      <c r="T4823">
        <v>530268</v>
      </c>
      <c r="U4823">
        <v>31</v>
      </c>
      <c r="V4823">
        <v>58</v>
      </c>
      <c r="W4823">
        <v>10.7</v>
      </c>
    </row>
    <row r="4824" spans="1:23" x14ac:dyDescent="0.25">
      <c r="A4824">
        <v>15</v>
      </c>
      <c r="B4824" t="s">
        <v>45</v>
      </c>
      <c r="C4824" s="1">
        <v>44517</v>
      </c>
      <c r="D4824" t="s">
        <v>71</v>
      </c>
      <c r="E4824">
        <v>0</v>
      </c>
      <c r="F4824">
        <v>21</v>
      </c>
      <c r="G4824" t="str">
        <f t="shared" si="83"/>
        <v>21-40</v>
      </c>
      <c r="H4824" t="s">
        <v>35</v>
      </c>
      <c r="I4824" t="s">
        <v>64</v>
      </c>
      <c r="J4824" t="s">
        <v>65</v>
      </c>
      <c r="K4824" t="s">
        <v>26</v>
      </c>
      <c r="L4824">
        <v>1</v>
      </c>
      <c r="M4824">
        <v>1</v>
      </c>
      <c r="N4824">
        <v>2</v>
      </c>
      <c r="O4824">
        <v>9.1999999999999993</v>
      </c>
      <c r="P4824">
        <v>5</v>
      </c>
      <c r="Q4824">
        <v>7</v>
      </c>
      <c r="R4824">
        <v>789464</v>
      </c>
      <c r="S4824">
        <f>Table1[[#This Row],[Revenue]]-Table1[[#This Row],[Operating_Costs]]</f>
        <v>228912</v>
      </c>
      <c r="T4824">
        <v>560552</v>
      </c>
      <c r="U4824">
        <v>38</v>
      </c>
      <c r="V4824">
        <v>58</v>
      </c>
      <c r="W4824">
        <v>6</v>
      </c>
    </row>
    <row r="4825" spans="1:23" x14ac:dyDescent="0.25">
      <c r="A4825">
        <v>15</v>
      </c>
      <c r="B4825" t="s">
        <v>45</v>
      </c>
      <c r="C4825" s="1">
        <v>44659</v>
      </c>
      <c r="D4825" t="s">
        <v>71</v>
      </c>
      <c r="E4825">
        <v>0</v>
      </c>
      <c r="F4825">
        <v>83</v>
      </c>
      <c r="G4825" t="str">
        <f t="shared" si="83"/>
        <v>81+</v>
      </c>
      <c r="H4825" t="s">
        <v>35</v>
      </c>
      <c r="I4825" t="s">
        <v>53</v>
      </c>
      <c r="J4825" t="s">
        <v>54</v>
      </c>
      <c r="K4825" t="s">
        <v>29</v>
      </c>
      <c r="L4825">
        <v>1</v>
      </c>
      <c r="M4825">
        <v>1</v>
      </c>
      <c r="N4825">
        <v>2.5</v>
      </c>
      <c r="O4825">
        <v>7.6</v>
      </c>
      <c r="P4825">
        <v>5</v>
      </c>
      <c r="Q4825">
        <v>7</v>
      </c>
      <c r="R4825">
        <v>757093</v>
      </c>
      <c r="S4825">
        <f>Table1[[#This Row],[Revenue]]-Table1[[#This Row],[Operating_Costs]]</f>
        <v>85873</v>
      </c>
      <c r="T4825">
        <v>671220</v>
      </c>
      <c r="U4825">
        <v>39</v>
      </c>
      <c r="V4825">
        <v>61</v>
      </c>
      <c r="W4825">
        <v>12.5</v>
      </c>
    </row>
    <row r="4826" spans="1:23" x14ac:dyDescent="0.25">
      <c r="A4826">
        <v>15</v>
      </c>
      <c r="B4826" t="s">
        <v>45</v>
      </c>
      <c r="C4826" s="1">
        <v>44801</v>
      </c>
      <c r="D4826" t="s">
        <v>71</v>
      </c>
      <c r="E4826">
        <v>0</v>
      </c>
      <c r="F4826">
        <v>32</v>
      </c>
      <c r="G4826" t="str">
        <f t="shared" si="83"/>
        <v>21-40</v>
      </c>
      <c r="H4826" t="s">
        <v>35</v>
      </c>
      <c r="I4826" t="s">
        <v>36</v>
      </c>
      <c r="J4826" t="s">
        <v>37</v>
      </c>
      <c r="K4826" t="s">
        <v>42</v>
      </c>
      <c r="L4826">
        <v>1</v>
      </c>
      <c r="M4826">
        <v>1</v>
      </c>
      <c r="N4826">
        <v>4.9000000000000004</v>
      </c>
      <c r="O4826">
        <v>9.5</v>
      </c>
      <c r="P4826">
        <v>4</v>
      </c>
      <c r="Q4826">
        <v>5</v>
      </c>
      <c r="R4826">
        <v>717641</v>
      </c>
      <c r="S4826">
        <f>Table1[[#This Row],[Revenue]]-Table1[[#This Row],[Operating_Costs]]</f>
        <v>190283</v>
      </c>
      <c r="T4826">
        <v>527358</v>
      </c>
      <c r="U4826">
        <v>46</v>
      </c>
      <c r="V4826">
        <v>57</v>
      </c>
      <c r="W4826">
        <v>9.6</v>
      </c>
    </row>
    <row r="4827" spans="1:23" x14ac:dyDescent="0.25">
      <c r="A4827">
        <v>15</v>
      </c>
      <c r="B4827" t="s">
        <v>45</v>
      </c>
      <c r="C4827" s="1">
        <v>44676</v>
      </c>
      <c r="D4827" t="s">
        <v>71</v>
      </c>
      <c r="E4827">
        <v>0</v>
      </c>
      <c r="F4827">
        <v>55</v>
      </c>
      <c r="G4827" t="str">
        <f t="shared" si="83"/>
        <v>41-60</v>
      </c>
      <c r="H4827" t="s">
        <v>35</v>
      </c>
      <c r="I4827" t="s">
        <v>61</v>
      </c>
      <c r="J4827" t="s">
        <v>62</v>
      </c>
      <c r="K4827" t="s">
        <v>33</v>
      </c>
      <c r="L4827">
        <v>1</v>
      </c>
      <c r="M4827">
        <v>1</v>
      </c>
      <c r="N4827">
        <v>3.1</v>
      </c>
      <c r="O4827">
        <v>9.3000000000000007</v>
      </c>
      <c r="P4827">
        <v>3</v>
      </c>
      <c r="Q4827">
        <v>3</v>
      </c>
      <c r="R4827">
        <v>789570</v>
      </c>
      <c r="S4827">
        <f>Table1[[#This Row],[Revenue]]-Table1[[#This Row],[Operating_Costs]]</f>
        <v>208744</v>
      </c>
      <c r="T4827">
        <v>580826</v>
      </c>
      <c r="U4827">
        <v>51</v>
      </c>
      <c r="V4827">
        <v>55</v>
      </c>
      <c r="W4827">
        <v>6.7</v>
      </c>
    </row>
    <row r="4828" spans="1:23" x14ac:dyDescent="0.25">
      <c r="A4828">
        <v>15</v>
      </c>
      <c r="B4828" t="s">
        <v>45</v>
      </c>
      <c r="C4828" s="1">
        <v>44952</v>
      </c>
      <c r="D4828" t="s">
        <v>71</v>
      </c>
      <c r="E4828">
        <v>0</v>
      </c>
      <c r="F4828">
        <v>23</v>
      </c>
      <c r="G4828" t="str">
        <f t="shared" si="83"/>
        <v>21-40</v>
      </c>
      <c r="H4828" t="s">
        <v>23</v>
      </c>
      <c r="I4828" t="s">
        <v>46</v>
      </c>
      <c r="J4828" t="s">
        <v>47</v>
      </c>
      <c r="K4828" t="s">
        <v>33</v>
      </c>
      <c r="L4828">
        <v>1</v>
      </c>
      <c r="M4828">
        <v>1</v>
      </c>
      <c r="N4828">
        <v>2.7</v>
      </c>
      <c r="O4828">
        <v>9.1999999999999993</v>
      </c>
      <c r="P4828">
        <v>4</v>
      </c>
      <c r="Q4828">
        <v>5</v>
      </c>
      <c r="R4828">
        <v>709742</v>
      </c>
      <c r="S4828">
        <f>Table1[[#This Row],[Revenue]]-Table1[[#This Row],[Operating_Costs]]</f>
        <v>74808</v>
      </c>
      <c r="T4828">
        <v>634934</v>
      </c>
      <c r="U4828">
        <v>53</v>
      </c>
      <c r="V4828">
        <v>56</v>
      </c>
      <c r="W4828">
        <v>13.1</v>
      </c>
    </row>
    <row r="4829" spans="1:23" x14ac:dyDescent="0.25">
      <c r="A4829">
        <v>15</v>
      </c>
      <c r="B4829" t="s">
        <v>45</v>
      </c>
      <c r="C4829" s="1">
        <v>44815</v>
      </c>
      <c r="D4829" t="s">
        <v>71</v>
      </c>
      <c r="E4829">
        <v>0</v>
      </c>
      <c r="F4829">
        <v>41</v>
      </c>
      <c r="G4829" t="str">
        <f t="shared" si="83"/>
        <v>41-60</v>
      </c>
      <c r="H4829" t="s">
        <v>23</v>
      </c>
      <c r="I4829" t="s">
        <v>40</v>
      </c>
      <c r="J4829" t="s">
        <v>41</v>
      </c>
      <c r="K4829" t="s">
        <v>42</v>
      </c>
      <c r="L4829">
        <v>1</v>
      </c>
      <c r="M4829">
        <v>1</v>
      </c>
      <c r="N4829">
        <v>3.6</v>
      </c>
      <c r="O4829">
        <v>9.4</v>
      </c>
      <c r="P4829">
        <v>6</v>
      </c>
      <c r="Q4829">
        <v>3</v>
      </c>
      <c r="R4829">
        <v>774699</v>
      </c>
      <c r="S4829">
        <f>Table1[[#This Row],[Revenue]]-Table1[[#This Row],[Operating_Costs]]</f>
        <v>250538</v>
      </c>
      <c r="T4829">
        <v>524161</v>
      </c>
      <c r="U4829">
        <v>45</v>
      </c>
      <c r="V4829">
        <v>57</v>
      </c>
      <c r="W4829">
        <v>13.7</v>
      </c>
    </row>
    <row r="4830" spans="1:23" x14ac:dyDescent="0.25">
      <c r="A4830">
        <v>15</v>
      </c>
      <c r="B4830" t="s">
        <v>45</v>
      </c>
      <c r="C4830" s="1">
        <v>44291</v>
      </c>
      <c r="D4830" t="s">
        <v>71</v>
      </c>
      <c r="E4830">
        <v>0</v>
      </c>
      <c r="F4830">
        <v>65</v>
      </c>
      <c r="G4830" t="str">
        <f t="shared" si="83"/>
        <v>61-80</v>
      </c>
      <c r="H4830" t="s">
        <v>35</v>
      </c>
      <c r="I4830" t="s">
        <v>31</v>
      </c>
      <c r="J4830" t="s">
        <v>28</v>
      </c>
      <c r="K4830" t="s">
        <v>26</v>
      </c>
      <c r="L4830">
        <v>1</v>
      </c>
      <c r="M4830">
        <v>1</v>
      </c>
      <c r="N4830">
        <v>2.5</v>
      </c>
      <c r="O4830">
        <v>9.6999999999999993</v>
      </c>
      <c r="P4830">
        <v>7</v>
      </c>
      <c r="Q4830">
        <v>4</v>
      </c>
      <c r="R4830">
        <v>715845</v>
      </c>
      <c r="S4830">
        <f>Table1[[#This Row],[Revenue]]-Table1[[#This Row],[Operating_Costs]]</f>
        <v>85563</v>
      </c>
      <c r="T4830">
        <v>630282</v>
      </c>
      <c r="U4830">
        <v>39</v>
      </c>
      <c r="V4830">
        <v>59</v>
      </c>
      <c r="W4830">
        <v>13</v>
      </c>
    </row>
    <row r="4831" spans="1:23" x14ac:dyDescent="0.25">
      <c r="A4831">
        <v>15</v>
      </c>
      <c r="B4831" t="s">
        <v>45</v>
      </c>
      <c r="C4831" s="1">
        <v>44377</v>
      </c>
      <c r="D4831" t="s">
        <v>71</v>
      </c>
      <c r="E4831">
        <v>0</v>
      </c>
      <c r="F4831">
        <v>43</v>
      </c>
      <c r="G4831" t="str">
        <f t="shared" si="83"/>
        <v>41-60</v>
      </c>
      <c r="H4831" t="s">
        <v>35</v>
      </c>
      <c r="I4831" t="s">
        <v>64</v>
      </c>
      <c r="J4831" t="s">
        <v>65</v>
      </c>
      <c r="K4831" t="s">
        <v>29</v>
      </c>
      <c r="L4831">
        <v>1</v>
      </c>
      <c r="M4831">
        <v>1</v>
      </c>
      <c r="N4831">
        <v>3.1</v>
      </c>
      <c r="O4831">
        <v>9.6</v>
      </c>
      <c r="P4831">
        <v>6</v>
      </c>
      <c r="Q4831">
        <v>4</v>
      </c>
      <c r="R4831">
        <v>757299</v>
      </c>
      <c r="S4831">
        <f>Table1[[#This Row],[Revenue]]-Table1[[#This Row],[Operating_Costs]]</f>
        <v>89041</v>
      </c>
      <c r="T4831">
        <v>668258</v>
      </c>
      <c r="U4831">
        <v>38</v>
      </c>
      <c r="V4831">
        <v>55</v>
      </c>
      <c r="W4831">
        <v>10.7</v>
      </c>
    </row>
    <row r="4832" spans="1:23" x14ac:dyDescent="0.25">
      <c r="A4832">
        <v>15</v>
      </c>
      <c r="B4832" t="s">
        <v>45</v>
      </c>
      <c r="C4832" s="1">
        <v>45278</v>
      </c>
      <c r="D4832" t="s">
        <v>71</v>
      </c>
      <c r="E4832">
        <v>0</v>
      </c>
      <c r="F4832">
        <v>87</v>
      </c>
      <c r="G4832" t="str">
        <f t="shared" si="83"/>
        <v>81+</v>
      </c>
      <c r="H4832" t="s">
        <v>23</v>
      </c>
      <c r="I4832" t="s">
        <v>43</v>
      </c>
      <c r="J4832" t="s">
        <v>25</v>
      </c>
      <c r="K4832" t="s">
        <v>33</v>
      </c>
      <c r="L4832">
        <v>1</v>
      </c>
      <c r="M4832">
        <v>1</v>
      </c>
      <c r="N4832">
        <v>4.4000000000000004</v>
      </c>
      <c r="O4832">
        <v>8.5</v>
      </c>
      <c r="P4832">
        <v>5</v>
      </c>
      <c r="Q4832">
        <v>4</v>
      </c>
      <c r="R4832">
        <v>790294</v>
      </c>
      <c r="S4832">
        <f>Table1[[#This Row],[Revenue]]-Table1[[#This Row],[Operating_Costs]]</f>
        <v>266025</v>
      </c>
      <c r="T4832">
        <v>524269</v>
      </c>
      <c r="U4832">
        <v>57</v>
      </c>
      <c r="V4832">
        <v>58</v>
      </c>
      <c r="W4832">
        <v>6.9</v>
      </c>
    </row>
    <row r="4833" spans="1:23" x14ac:dyDescent="0.25">
      <c r="A4833">
        <v>15</v>
      </c>
      <c r="B4833" t="s">
        <v>45</v>
      </c>
      <c r="C4833" s="1">
        <v>45281</v>
      </c>
      <c r="D4833" t="s">
        <v>71</v>
      </c>
      <c r="E4833">
        <v>0</v>
      </c>
      <c r="F4833">
        <v>35</v>
      </c>
      <c r="G4833" t="str">
        <f t="shared" si="83"/>
        <v>21-40</v>
      </c>
      <c r="H4833" t="s">
        <v>23</v>
      </c>
      <c r="I4833" t="s">
        <v>27</v>
      </c>
      <c r="J4833" t="s">
        <v>28</v>
      </c>
      <c r="K4833" t="s">
        <v>38</v>
      </c>
      <c r="L4833">
        <v>1</v>
      </c>
      <c r="M4833">
        <v>1</v>
      </c>
      <c r="N4833">
        <v>1.8</v>
      </c>
      <c r="O4833">
        <v>7.1</v>
      </c>
      <c r="P4833">
        <v>3</v>
      </c>
      <c r="Q4833">
        <v>4</v>
      </c>
      <c r="R4833">
        <v>753310</v>
      </c>
      <c r="S4833">
        <f>Table1[[#This Row],[Revenue]]-Table1[[#This Row],[Operating_Costs]]</f>
        <v>60919</v>
      </c>
      <c r="T4833">
        <v>692391</v>
      </c>
      <c r="U4833">
        <v>42</v>
      </c>
      <c r="V4833">
        <v>66</v>
      </c>
      <c r="W4833">
        <v>5.7</v>
      </c>
    </row>
    <row r="4834" spans="1:23" x14ac:dyDescent="0.25">
      <c r="A4834">
        <v>15</v>
      </c>
      <c r="B4834" t="s">
        <v>45</v>
      </c>
      <c r="C4834" s="1">
        <v>44601</v>
      </c>
      <c r="D4834" t="s">
        <v>71</v>
      </c>
      <c r="E4834">
        <v>0</v>
      </c>
      <c r="F4834">
        <v>63</v>
      </c>
      <c r="G4834" t="str">
        <f t="shared" si="83"/>
        <v>61-80</v>
      </c>
      <c r="H4834" t="s">
        <v>23</v>
      </c>
      <c r="I4834" t="s">
        <v>24</v>
      </c>
      <c r="J4834" t="s">
        <v>25</v>
      </c>
      <c r="K4834" t="s">
        <v>29</v>
      </c>
      <c r="L4834">
        <v>1</v>
      </c>
      <c r="M4834">
        <v>1</v>
      </c>
      <c r="N4834">
        <v>3</v>
      </c>
      <c r="O4834">
        <v>9.1999999999999993</v>
      </c>
      <c r="P4834">
        <v>6</v>
      </c>
      <c r="Q4834">
        <v>4</v>
      </c>
      <c r="R4834">
        <v>761549</v>
      </c>
      <c r="S4834">
        <f>Table1[[#This Row],[Revenue]]-Table1[[#This Row],[Operating_Costs]]</f>
        <v>102955</v>
      </c>
      <c r="T4834">
        <v>658594</v>
      </c>
      <c r="U4834">
        <v>41</v>
      </c>
      <c r="V4834">
        <v>59</v>
      </c>
      <c r="W4834">
        <v>10.8</v>
      </c>
    </row>
    <row r="4835" spans="1:23" x14ac:dyDescent="0.25">
      <c r="A4835">
        <v>15</v>
      </c>
      <c r="B4835" t="s">
        <v>45</v>
      </c>
      <c r="C4835" s="1">
        <v>45452</v>
      </c>
      <c r="D4835" t="s">
        <v>71</v>
      </c>
      <c r="E4835">
        <v>0</v>
      </c>
      <c r="F4835">
        <v>31</v>
      </c>
      <c r="G4835" t="str">
        <f t="shared" si="83"/>
        <v>21-40</v>
      </c>
      <c r="H4835" t="s">
        <v>35</v>
      </c>
      <c r="I4835" t="s">
        <v>46</v>
      </c>
      <c r="J4835" t="s">
        <v>47</v>
      </c>
      <c r="K4835" t="s">
        <v>33</v>
      </c>
      <c r="L4835">
        <v>1</v>
      </c>
      <c r="M4835">
        <v>1</v>
      </c>
      <c r="N4835">
        <v>1.5</v>
      </c>
      <c r="O4835">
        <v>9.8000000000000007</v>
      </c>
      <c r="P4835">
        <v>5</v>
      </c>
      <c r="Q4835">
        <v>6</v>
      </c>
      <c r="R4835">
        <v>760696</v>
      </c>
      <c r="S4835">
        <f>Table1[[#This Row],[Revenue]]-Table1[[#This Row],[Operating_Costs]]</f>
        <v>64650</v>
      </c>
      <c r="T4835">
        <v>696046</v>
      </c>
      <c r="U4835">
        <v>40</v>
      </c>
      <c r="V4835">
        <v>64</v>
      </c>
      <c r="W4835">
        <v>14.6</v>
      </c>
    </row>
    <row r="4836" spans="1:23" x14ac:dyDescent="0.25">
      <c r="A4836">
        <v>15</v>
      </c>
      <c r="B4836" t="s">
        <v>45</v>
      </c>
      <c r="C4836" s="1">
        <v>45652</v>
      </c>
      <c r="D4836" t="s">
        <v>71</v>
      </c>
      <c r="E4836">
        <v>0</v>
      </c>
      <c r="F4836">
        <v>47</v>
      </c>
      <c r="G4836" t="str">
        <f t="shared" si="83"/>
        <v>41-60</v>
      </c>
      <c r="H4836" t="s">
        <v>23</v>
      </c>
      <c r="I4836" t="s">
        <v>61</v>
      </c>
      <c r="J4836" t="s">
        <v>62</v>
      </c>
      <c r="K4836" t="s">
        <v>29</v>
      </c>
      <c r="L4836">
        <v>1</v>
      </c>
      <c r="M4836">
        <v>1</v>
      </c>
      <c r="N4836">
        <v>1.1000000000000001</v>
      </c>
      <c r="O4836">
        <v>8.5</v>
      </c>
      <c r="P4836">
        <v>4</v>
      </c>
      <c r="Q4836">
        <v>5</v>
      </c>
      <c r="R4836">
        <v>794830</v>
      </c>
      <c r="S4836">
        <f>Table1[[#This Row],[Revenue]]-Table1[[#This Row],[Operating_Costs]]</f>
        <v>292424</v>
      </c>
      <c r="T4836">
        <v>502406</v>
      </c>
      <c r="U4836">
        <v>60</v>
      </c>
      <c r="V4836">
        <v>57</v>
      </c>
      <c r="W4836">
        <v>8.6999999999999993</v>
      </c>
    </row>
    <row r="4837" spans="1:23" x14ac:dyDescent="0.25">
      <c r="A4837">
        <v>15</v>
      </c>
      <c r="B4837" t="s">
        <v>45</v>
      </c>
      <c r="C4837" s="1">
        <v>44270</v>
      </c>
      <c r="D4837" t="s">
        <v>71</v>
      </c>
      <c r="E4837">
        <v>0</v>
      </c>
      <c r="F4837">
        <v>31</v>
      </c>
      <c r="G4837" t="str">
        <f t="shared" si="83"/>
        <v>21-40</v>
      </c>
      <c r="H4837" t="s">
        <v>35</v>
      </c>
      <c r="I4837" t="s">
        <v>64</v>
      </c>
      <c r="J4837" t="s">
        <v>65</v>
      </c>
      <c r="K4837" t="s">
        <v>26</v>
      </c>
      <c r="L4837">
        <v>1</v>
      </c>
      <c r="M4837">
        <v>1</v>
      </c>
      <c r="N4837">
        <v>3.5</v>
      </c>
      <c r="O4837">
        <v>8.3000000000000007</v>
      </c>
      <c r="P4837">
        <v>3</v>
      </c>
      <c r="Q4837">
        <v>5</v>
      </c>
      <c r="R4837">
        <v>752038</v>
      </c>
      <c r="S4837">
        <f>Table1[[#This Row],[Revenue]]-Table1[[#This Row],[Operating_Costs]]</f>
        <v>59136</v>
      </c>
      <c r="T4837">
        <v>692902</v>
      </c>
      <c r="U4837">
        <v>37</v>
      </c>
      <c r="V4837">
        <v>62</v>
      </c>
      <c r="W4837">
        <v>13.9</v>
      </c>
    </row>
    <row r="4838" spans="1:23" x14ac:dyDescent="0.25">
      <c r="A4838">
        <v>15</v>
      </c>
      <c r="B4838" t="s">
        <v>45</v>
      </c>
      <c r="C4838" s="1">
        <v>45276</v>
      </c>
      <c r="D4838" t="s">
        <v>71</v>
      </c>
      <c r="E4838">
        <v>0</v>
      </c>
      <c r="F4838">
        <v>31</v>
      </c>
      <c r="G4838" t="str">
        <f t="shared" si="83"/>
        <v>21-40</v>
      </c>
      <c r="H4838" t="s">
        <v>23</v>
      </c>
      <c r="I4838" t="s">
        <v>55</v>
      </c>
      <c r="J4838" t="s">
        <v>56</v>
      </c>
      <c r="K4838" t="s">
        <v>42</v>
      </c>
      <c r="L4838">
        <v>1</v>
      </c>
      <c r="M4838">
        <v>1</v>
      </c>
      <c r="N4838">
        <v>1.8</v>
      </c>
      <c r="O4838">
        <v>8.3000000000000007</v>
      </c>
      <c r="P4838">
        <v>5</v>
      </c>
      <c r="Q4838">
        <v>4</v>
      </c>
      <c r="R4838">
        <v>712295</v>
      </c>
      <c r="S4838">
        <f>Table1[[#This Row],[Revenue]]-Table1[[#This Row],[Operating_Costs]]</f>
        <v>123070</v>
      </c>
      <c r="T4838">
        <v>589225</v>
      </c>
      <c r="U4838">
        <v>51</v>
      </c>
      <c r="V4838">
        <v>59</v>
      </c>
      <c r="W4838">
        <v>8.6</v>
      </c>
    </row>
    <row r="4839" spans="1:23" x14ac:dyDescent="0.25">
      <c r="A4839">
        <v>15</v>
      </c>
      <c r="B4839" t="s">
        <v>45</v>
      </c>
      <c r="C4839" s="1">
        <v>44659</v>
      </c>
      <c r="D4839" t="s">
        <v>71</v>
      </c>
      <c r="E4839">
        <v>0</v>
      </c>
      <c r="F4839">
        <v>63</v>
      </c>
      <c r="G4839" t="str">
        <f t="shared" si="83"/>
        <v>61-80</v>
      </c>
      <c r="H4839" t="s">
        <v>35</v>
      </c>
      <c r="I4839" t="s">
        <v>53</v>
      </c>
      <c r="J4839" t="s">
        <v>54</v>
      </c>
      <c r="K4839" t="s">
        <v>29</v>
      </c>
      <c r="L4839">
        <v>1</v>
      </c>
      <c r="M4839">
        <v>1</v>
      </c>
      <c r="N4839">
        <v>3.2</v>
      </c>
      <c r="O4839">
        <v>8.8000000000000007</v>
      </c>
      <c r="P4839">
        <v>3</v>
      </c>
      <c r="Q4839">
        <v>6</v>
      </c>
      <c r="R4839">
        <v>703784</v>
      </c>
      <c r="S4839">
        <f>Table1[[#This Row],[Revenue]]-Table1[[#This Row],[Operating_Costs]]</f>
        <v>41342</v>
      </c>
      <c r="T4839">
        <v>662442</v>
      </c>
      <c r="U4839">
        <v>36</v>
      </c>
      <c r="V4839">
        <v>64</v>
      </c>
      <c r="W4839">
        <v>5.2</v>
      </c>
    </row>
    <row r="4840" spans="1:23" x14ac:dyDescent="0.25">
      <c r="A4840">
        <v>15</v>
      </c>
      <c r="B4840" t="s">
        <v>45</v>
      </c>
      <c r="C4840" s="1">
        <v>44448</v>
      </c>
      <c r="D4840" t="s">
        <v>71</v>
      </c>
      <c r="E4840">
        <v>0</v>
      </c>
      <c r="F4840">
        <v>29</v>
      </c>
      <c r="G4840" t="str">
        <f t="shared" si="83"/>
        <v>21-40</v>
      </c>
      <c r="H4840" t="s">
        <v>23</v>
      </c>
      <c r="I4840" t="s">
        <v>61</v>
      </c>
      <c r="J4840" t="s">
        <v>62</v>
      </c>
      <c r="K4840" t="s">
        <v>42</v>
      </c>
      <c r="L4840">
        <v>1</v>
      </c>
      <c r="M4840">
        <v>1</v>
      </c>
      <c r="N4840">
        <v>2</v>
      </c>
      <c r="O4840">
        <v>9.1999999999999993</v>
      </c>
      <c r="P4840">
        <v>3</v>
      </c>
      <c r="Q4840">
        <v>5</v>
      </c>
      <c r="R4840">
        <v>752382</v>
      </c>
      <c r="S4840">
        <f>Table1[[#This Row],[Revenue]]-Table1[[#This Row],[Operating_Costs]]</f>
        <v>77544</v>
      </c>
      <c r="T4840">
        <v>674838</v>
      </c>
      <c r="U4840">
        <v>42</v>
      </c>
      <c r="V4840">
        <v>62</v>
      </c>
      <c r="W4840">
        <v>5.4</v>
      </c>
    </row>
    <row r="4841" spans="1:23" x14ac:dyDescent="0.25">
      <c r="A4841">
        <v>15</v>
      </c>
      <c r="B4841" t="s">
        <v>45</v>
      </c>
      <c r="C4841" s="1">
        <v>44700</v>
      </c>
      <c r="D4841" t="s">
        <v>71</v>
      </c>
      <c r="E4841">
        <v>0</v>
      </c>
      <c r="F4841">
        <v>69</v>
      </c>
      <c r="G4841" t="str">
        <f t="shared" si="83"/>
        <v>61-80</v>
      </c>
      <c r="H4841" t="s">
        <v>23</v>
      </c>
      <c r="I4841" t="s">
        <v>24</v>
      </c>
      <c r="J4841" t="s">
        <v>25</v>
      </c>
      <c r="K4841" t="s">
        <v>33</v>
      </c>
      <c r="L4841">
        <v>1</v>
      </c>
      <c r="M4841">
        <v>1</v>
      </c>
      <c r="N4841">
        <v>4.2</v>
      </c>
      <c r="O4841">
        <v>8.4</v>
      </c>
      <c r="P4841">
        <v>6</v>
      </c>
      <c r="Q4841">
        <v>4</v>
      </c>
      <c r="R4841">
        <v>720387</v>
      </c>
      <c r="S4841">
        <f>Table1[[#This Row],[Revenue]]-Table1[[#This Row],[Operating_Costs]]</f>
        <v>106662</v>
      </c>
      <c r="T4841">
        <v>613725</v>
      </c>
      <c r="U4841">
        <v>36</v>
      </c>
      <c r="V4841">
        <v>63</v>
      </c>
      <c r="W4841">
        <v>5.9</v>
      </c>
    </row>
    <row r="4842" spans="1:23" x14ac:dyDescent="0.25">
      <c r="A4842">
        <v>15</v>
      </c>
      <c r="B4842" t="s">
        <v>45</v>
      </c>
      <c r="C4842" s="1">
        <v>45603</v>
      </c>
      <c r="D4842" t="s">
        <v>71</v>
      </c>
      <c r="E4842">
        <v>0</v>
      </c>
      <c r="F4842">
        <v>53</v>
      </c>
      <c r="G4842" t="str">
        <f t="shared" si="83"/>
        <v>41-60</v>
      </c>
      <c r="H4842" t="s">
        <v>35</v>
      </c>
      <c r="I4842" t="s">
        <v>40</v>
      </c>
      <c r="J4842" t="s">
        <v>41</v>
      </c>
      <c r="K4842" t="s">
        <v>26</v>
      </c>
      <c r="L4842">
        <v>1</v>
      </c>
      <c r="M4842">
        <v>1</v>
      </c>
      <c r="N4842">
        <v>6.7</v>
      </c>
      <c r="O4842">
        <v>8.8000000000000007</v>
      </c>
      <c r="P4842">
        <v>4</v>
      </c>
      <c r="Q4842">
        <v>3</v>
      </c>
      <c r="R4842">
        <v>703003</v>
      </c>
      <c r="S4842">
        <f>Table1[[#This Row],[Revenue]]-Table1[[#This Row],[Operating_Costs]]</f>
        <v>142380</v>
      </c>
      <c r="T4842">
        <v>560623</v>
      </c>
      <c r="U4842">
        <v>40</v>
      </c>
      <c r="V4842">
        <v>58</v>
      </c>
      <c r="W4842">
        <v>10.4</v>
      </c>
    </row>
    <row r="4843" spans="1:23" x14ac:dyDescent="0.25">
      <c r="A4843">
        <v>15</v>
      </c>
      <c r="B4843" t="s">
        <v>45</v>
      </c>
      <c r="C4843" s="1">
        <v>44519</v>
      </c>
      <c r="D4843" t="s">
        <v>71</v>
      </c>
      <c r="E4843">
        <v>0</v>
      </c>
      <c r="F4843">
        <v>61</v>
      </c>
      <c r="G4843" t="str">
        <f t="shared" si="83"/>
        <v>61-80</v>
      </c>
      <c r="H4843" t="s">
        <v>35</v>
      </c>
      <c r="I4843" t="s">
        <v>36</v>
      </c>
      <c r="J4843" t="s">
        <v>37</v>
      </c>
      <c r="K4843" t="s">
        <v>26</v>
      </c>
      <c r="L4843">
        <v>1</v>
      </c>
      <c r="M4843">
        <v>1</v>
      </c>
      <c r="N4843">
        <v>5.0999999999999996</v>
      </c>
      <c r="O4843">
        <v>8.8000000000000007</v>
      </c>
      <c r="P4843">
        <v>3</v>
      </c>
      <c r="Q4843">
        <v>7</v>
      </c>
      <c r="R4843">
        <v>742749</v>
      </c>
      <c r="S4843">
        <f>Table1[[#This Row],[Revenue]]-Table1[[#This Row],[Operating_Costs]]</f>
        <v>127813</v>
      </c>
      <c r="T4843">
        <v>614936</v>
      </c>
      <c r="U4843">
        <v>37</v>
      </c>
      <c r="V4843">
        <v>61</v>
      </c>
      <c r="W4843">
        <v>7.6</v>
      </c>
    </row>
    <row r="4844" spans="1:23" x14ac:dyDescent="0.25">
      <c r="A4844">
        <v>15</v>
      </c>
      <c r="B4844" t="s">
        <v>45</v>
      </c>
      <c r="C4844" s="1">
        <v>45192</v>
      </c>
      <c r="D4844" t="s">
        <v>71</v>
      </c>
      <c r="E4844">
        <v>0</v>
      </c>
      <c r="F4844">
        <v>81</v>
      </c>
      <c r="G4844" t="str">
        <f t="shared" si="83"/>
        <v>81+</v>
      </c>
      <c r="H4844" t="s">
        <v>23</v>
      </c>
      <c r="I4844" t="s">
        <v>61</v>
      </c>
      <c r="J4844" t="s">
        <v>62</v>
      </c>
      <c r="K4844" t="s">
        <v>38</v>
      </c>
      <c r="L4844">
        <v>1</v>
      </c>
      <c r="M4844">
        <v>1</v>
      </c>
      <c r="N4844">
        <v>1.4</v>
      </c>
      <c r="O4844">
        <v>9.1999999999999993</v>
      </c>
      <c r="P4844">
        <v>6</v>
      </c>
      <c r="Q4844">
        <v>3</v>
      </c>
      <c r="R4844">
        <v>799150</v>
      </c>
      <c r="S4844">
        <f>Table1[[#This Row],[Revenue]]-Table1[[#This Row],[Operating_Costs]]</f>
        <v>285568</v>
      </c>
      <c r="T4844">
        <v>513582</v>
      </c>
      <c r="U4844">
        <v>53</v>
      </c>
      <c r="V4844">
        <v>64</v>
      </c>
      <c r="W4844">
        <v>14.2</v>
      </c>
    </row>
    <row r="4845" spans="1:23" x14ac:dyDescent="0.25">
      <c r="A4845">
        <v>15</v>
      </c>
      <c r="B4845" t="s">
        <v>45</v>
      </c>
      <c r="C4845" s="1">
        <v>44207</v>
      </c>
      <c r="D4845" t="s">
        <v>71</v>
      </c>
      <c r="E4845">
        <v>0</v>
      </c>
      <c r="F4845">
        <v>86</v>
      </c>
      <c r="G4845" t="str">
        <f t="shared" si="83"/>
        <v>81+</v>
      </c>
      <c r="H4845" t="s">
        <v>23</v>
      </c>
      <c r="I4845" t="s">
        <v>58</v>
      </c>
      <c r="J4845" t="s">
        <v>59</v>
      </c>
      <c r="K4845" t="s">
        <v>26</v>
      </c>
      <c r="L4845">
        <v>1</v>
      </c>
      <c r="M4845">
        <v>1</v>
      </c>
      <c r="N4845">
        <v>6.6</v>
      </c>
      <c r="O4845">
        <v>9.5</v>
      </c>
      <c r="P4845">
        <v>5</v>
      </c>
      <c r="Q4845">
        <v>6</v>
      </c>
      <c r="R4845">
        <v>713141</v>
      </c>
      <c r="S4845">
        <f>Table1[[#This Row],[Revenue]]-Table1[[#This Row],[Operating_Costs]]</f>
        <v>58790</v>
      </c>
      <c r="T4845">
        <v>654351</v>
      </c>
      <c r="U4845">
        <v>39</v>
      </c>
      <c r="V4845">
        <v>60</v>
      </c>
      <c r="W4845">
        <v>36</v>
      </c>
    </row>
    <row r="4846" spans="1:23" x14ac:dyDescent="0.25">
      <c r="A4846">
        <v>15</v>
      </c>
      <c r="B4846" t="s">
        <v>45</v>
      </c>
      <c r="C4846" s="1">
        <v>44309</v>
      </c>
      <c r="D4846" t="s">
        <v>71</v>
      </c>
      <c r="E4846">
        <v>0</v>
      </c>
      <c r="F4846">
        <v>85</v>
      </c>
      <c r="G4846" t="str">
        <f t="shared" si="83"/>
        <v>81+</v>
      </c>
      <c r="H4846" t="s">
        <v>23</v>
      </c>
      <c r="I4846" t="s">
        <v>40</v>
      </c>
      <c r="J4846" t="s">
        <v>41</v>
      </c>
      <c r="K4846" t="s">
        <v>42</v>
      </c>
      <c r="L4846">
        <v>1</v>
      </c>
      <c r="M4846">
        <v>1</v>
      </c>
      <c r="N4846">
        <v>5.8</v>
      </c>
      <c r="O4846">
        <v>8.6999999999999993</v>
      </c>
      <c r="P4846">
        <v>4</v>
      </c>
      <c r="Q4846">
        <v>7</v>
      </c>
      <c r="R4846">
        <v>719295</v>
      </c>
      <c r="S4846">
        <f>Table1[[#This Row],[Revenue]]-Table1[[#This Row],[Operating_Costs]]</f>
        <v>157624</v>
      </c>
      <c r="T4846">
        <v>561671</v>
      </c>
      <c r="U4846">
        <v>37</v>
      </c>
      <c r="V4846">
        <v>60</v>
      </c>
      <c r="W4846">
        <v>5.7</v>
      </c>
    </row>
    <row r="4847" spans="1:23" x14ac:dyDescent="0.25">
      <c r="A4847">
        <v>15</v>
      </c>
      <c r="B4847" t="s">
        <v>45</v>
      </c>
      <c r="C4847" s="1">
        <v>45044</v>
      </c>
      <c r="D4847" t="s">
        <v>71</v>
      </c>
      <c r="E4847">
        <v>0</v>
      </c>
      <c r="F4847">
        <v>27</v>
      </c>
      <c r="G4847" t="str">
        <f t="shared" si="83"/>
        <v>21-40</v>
      </c>
      <c r="H4847" t="s">
        <v>35</v>
      </c>
      <c r="I4847" t="s">
        <v>31</v>
      </c>
      <c r="J4847" t="s">
        <v>28</v>
      </c>
      <c r="K4847" t="s">
        <v>26</v>
      </c>
      <c r="L4847">
        <v>1</v>
      </c>
      <c r="M4847">
        <v>1</v>
      </c>
      <c r="N4847">
        <v>5.3</v>
      </c>
      <c r="O4847">
        <v>7.8</v>
      </c>
      <c r="P4847">
        <v>3</v>
      </c>
      <c r="Q4847">
        <v>4</v>
      </c>
      <c r="R4847">
        <v>741393</v>
      </c>
      <c r="S4847">
        <f>Table1[[#This Row],[Revenue]]-Table1[[#This Row],[Operating_Costs]]</f>
        <v>117937</v>
      </c>
      <c r="T4847">
        <v>623456</v>
      </c>
      <c r="U4847">
        <v>45</v>
      </c>
      <c r="V4847">
        <v>54</v>
      </c>
      <c r="W4847">
        <v>8.1999999999999993</v>
      </c>
    </row>
    <row r="4848" spans="1:23" x14ac:dyDescent="0.25">
      <c r="A4848">
        <v>15</v>
      </c>
      <c r="B4848" t="s">
        <v>45</v>
      </c>
      <c r="C4848" s="1">
        <v>44831</v>
      </c>
      <c r="D4848" t="s">
        <v>71</v>
      </c>
      <c r="E4848">
        <v>0</v>
      </c>
      <c r="F4848">
        <v>88</v>
      </c>
      <c r="G4848" t="str">
        <f t="shared" si="83"/>
        <v>81+</v>
      </c>
      <c r="H4848" t="s">
        <v>35</v>
      </c>
      <c r="I4848" t="s">
        <v>31</v>
      </c>
      <c r="J4848" t="s">
        <v>28</v>
      </c>
      <c r="K4848" t="s">
        <v>33</v>
      </c>
      <c r="L4848">
        <v>1</v>
      </c>
      <c r="M4848">
        <v>1</v>
      </c>
      <c r="N4848">
        <v>4.8</v>
      </c>
      <c r="O4848">
        <v>7.8</v>
      </c>
      <c r="P4848">
        <v>4</v>
      </c>
      <c r="Q4848">
        <v>6</v>
      </c>
      <c r="R4848">
        <v>757820</v>
      </c>
      <c r="S4848">
        <f>Table1[[#This Row],[Revenue]]-Table1[[#This Row],[Operating_Costs]]</f>
        <v>66530</v>
      </c>
      <c r="T4848">
        <v>691290</v>
      </c>
      <c r="U4848">
        <v>34</v>
      </c>
      <c r="V4848">
        <v>64</v>
      </c>
      <c r="W4848">
        <v>12.5</v>
      </c>
    </row>
    <row r="4849" spans="1:23" x14ac:dyDescent="0.25">
      <c r="A4849">
        <v>15</v>
      </c>
      <c r="B4849" t="s">
        <v>45</v>
      </c>
      <c r="C4849" s="1">
        <v>45384</v>
      </c>
      <c r="D4849" t="s">
        <v>71</v>
      </c>
      <c r="E4849">
        <v>0</v>
      </c>
      <c r="F4849">
        <v>83</v>
      </c>
      <c r="G4849" t="str">
        <f t="shared" si="83"/>
        <v>81+</v>
      </c>
      <c r="H4849" t="s">
        <v>23</v>
      </c>
      <c r="I4849" t="s">
        <v>40</v>
      </c>
      <c r="J4849" t="s">
        <v>41</v>
      </c>
      <c r="K4849" t="s">
        <v>38</v>
      </c>
      <c r="L4849">
        <v>1</v>
      </c>
      <c r="M4849">
        <v>1</v>
      </c>
      <c r="N4849">
        <v>5.7</v>
      </c>
      <c r="O4849">
        <v>8.1999999999999993</v>
      </c>
      <c r="P4849">
        <v>4</v>
      </c>
      <c r="Q4849">
        <v>7</v>
      </c>
      <c r="R4849">
        <v>738801</v>
      </c>
      <c r="S4849">
        <f>Table1[[#This Row],[Revenue]]-Table1[[#This Row],[Operating_Costs]]</f>
        <v>117448</v>
      </c>
      <c r="T4849">
        <v>621353</v>
      </c>
      <c r="U4849">
        <v>36</v>
      </c>
      <c r="V4849">
        <v>63</v>
      </c>
      <c r="W4849">
        <v>8.9</v>
      </c>
    </row>
    <row r="4850" spans="1:23" x14ac:dyDescent="0.25">
      <c r="A4850">
        <v>15</v>
      </c>
      <c r="B4850" t="s">
        <v>45</v>
      </c>
      <c r="C4850" s="1">
        <v>44659</v>
      </c>
      <c r="D4850" t="s">
        <v>71</v>
      </c>
      <c r="E4850">
        <v>0</v>
      </c>
      <c r="F4850">
        <v>44</v>
      </c>
      <c r="G4850" t="str">
        <f t="shared" si="83"/>
        <v>41-60</v>
      </c>
      <c r="H4850" t="s">
        <v>23</v>
      </c>
      <c r="I4850" t="s">
        <v>24</v>
      </c>
      <c r="J4850" t="s">
        <v>25</v>
      </c>
      <c r="K4850" t="s">
        <v>29</v>
      </c>
      <c r="L4850">
        <v>1</v>
      </c>
      <c r="M4850">
        <v>1</v>
      </c>
      <c r="N4850">
        <v>4.8</v>
      </c>
      <c r="O4850">
        <v>8.1</v>
      </c>
      <c r="P4850">
        <v>3</v>
      </c>
      <c r="Q4850">
        <v>7</v>
      </c>
      <c r="R4850">
        <v>733303</v>
      </c>
      <c r="S4850">
        <f>Table1[[#This Row],[Revenue]]-Table1[[#This Row],[Operating_Costs]]</f>
        <v>159973</v>
      </c>
      <c r="T4850">
        <v>573330</v>
      </c>
      <c r="U4850">
        <v>51</v>
      </c>
      <c r="V4850">
        <v>56</v>
      </c>
      <c r="W4850">
        <v>12.1</v>
      </c>
    </row>
    <row r="4851" spans="1:23" x14ac:dyDescent="0.25">
      <c r="A4851">
        <v>15</v>
      </c>
      <c r="B4851" t="s">
        <v>45</v>
      </c>
      <c r="C4851" s="1">
        <v>44523</v>
      </c>
      <c r="D4851" t="s">
        <v>71</v>
      </c>
      <c r="E4851">
        <v>0</v>
      </c>
      <c r="F4851">
        <v>51</v>
      </c>
      <c r="G4851" t="str">
        <f t="shared" si="83"/>
        <v>41-60</v>
      </c>
      <c r="H4851" t="s">
        <v>35</v>
      </c>
      <c r="I4851" t="s">
        <v>36</v>
      </c>
      <c r="J4851" t="s">
        <v>37</v>
      </c>
      <c r="K4851" t="s">
        <v>29</v>
      </c>
      <c r="L4851">
        <v>1</v>
      </c>
      <c r="M4851">
        <v>1</v>
      </c>
      <c r="N4851">
        <v>5.8</v>
      </c>
      <c r="O4851">
        <v>9.6999999999999993</v>
      </c>
      <c r="P4851">
        <v>4</v>
      </c>
      <c r="Q4851">
        <v>3</v>
      </c>
      <c r="R4851">
        <v>785906</v>
      </c>
      <c r="S4851">
        <f>Table1[[#This Row],[Revenue]]-Table1[[#This Row],[Operating_Costs]]</f>
        <v>92624</v>
      </c>
      <c r="T4851">
        <v>693282</v>
      </c>
      <c r="U4851">
        <v>59</v>
      </c>
      <c r="V4851">
        <v>65</v>
      </c>
      <c r="W4851">
        <v>9.4</v>
      </c>
    </row>
    <row r="4852" spans="1:23" x14ac:dyDescent="0.25">
      <c r="A4852">
        <v>15</v>
      </c>
      <c r="B4852" t="s">
        <v>45</v>
      </c>
      <c r="C4852" s="1">
        <v>44871</v>
      </c>
      <c r="D4852" t="s">
        <v>71</v>
      </c>
      <c r="E4852">
        <v>0</v>
      </c>
      <c r="F4852">
        <v>25</v>
      </c>
      <c r="G4852" t="str">
        <f t="shared" si="83"/>
        <v>21-40</v>
      </c>
      <c r="H4852" t="s">
        <v>23</v>
      </c>
      <c r="I4852" t="s">
        <v>55</v>
      </c>
      <c r="J4852" t="s">
        <v>56</v>
      </c>
      <c r="K4852" t="s">
        <v>29</v>
      </c>
      <c r="L4852">
        <v>1</v>
      </c>
      <c r="M4852">
        <v>1</v>
      </c>
      <c r="N4852">
        <v>4.5</v>
      </c>
      <c r="O4852">
        <v>7.3</v>
      </c>
      <c r="P4852">
        <v>5</v>
      </c>
      <c r="Q4852">
        <v>5</v>
      </c>
      <c r="R4852">
        <v>774529</v>
      </c>
      <c r="S4852">
        <f>Table1[[#This Row],[Revenue]]-Table1[[#This Row],[Operating_Costs]]</f>
        <v>152272</v>
      </c>
      <c r="T4852">
        <v>622257</v>
      </c>
      <c r="U4852">
        <v>56</v>
      </c>
      <c r="V4852">
        <v>54</v>
      </c>
      <c r="W4852">
        <v>5.6</v>
      </c>
    </row>
    <row r="4853" spans="1:23" x14ac:dyDescent="0.25">
      <c r="A4853">
        <v>15</v>
      </c>
      <c r="B4853" t="s">
        <v>45</v>
      </c>
      <c r="C4853" s="1">
        <v>44936</v>
      </c>
      <c r="D4853" t="s">
        <v>71</v>
      </c>
      <c r="E4853">
        <v>0</v>
      </c>
      <c r="F4853">
        <v>46</v>
      </c>
      <c r="G4853" t="str">
        <f t="shared" si="83"/>
        <v>41-60</v>
      </c>
      <c r="H4853" t="s">
        <v>35</v>
      </c>
      <c r="I4853" t="s">
        <v>36</v>
      </c>
      <c r="J4853" t="s">
        <v>37</v>
      </c>
      <c r="K4853" t="s">
        <v>26</v>
      </c>
      <c r="L4853">
        <v>1</v>
      </c>
      <c r="M4853">
        <v>1</v>
      </c>
      <c r="N4853">
        <v>6.1</v>
      </c>
      <c r="O4853">
        <v>7.3</v>
      </c>
      <c r="P4853">
        <v>7</v>
      </c>
      <c r="Q4853">
        <v>4</v>
      </c>
      <c r="R4853">
        <v>742274</v>
      </c>
      <c r="S4853">
        <f>Table1[[#This Row],[Revenue]]-Table1[[#This Row],[Operating_Costs]]</f>
        <v>83788</v>
      </c>
      <c r="T4853">
        <v>658486</v>
      </c>
      <c r="U4853">
        <v>40</v>
      </c>
      <c r="V4853">
        <v>64</v>
      </c>
      <c r="W4853">
        <v>8.1</v>
      </c>
    </row>
    <row r="4854" spans="1:23" x14ac:dyDescent="0.25">
      <c r="A4854">
        <v>15</v>
      </c>
      <c r="B4854" t="s">
        <v>45</v>
      </c>
      <c r="C4854" s="1">
        <v>45131</v>
      </c>
      <c r="D4854" t="s">
        <v>71</v>
      </c>
      <c r="E4854">
        <v>0</v>
      </c>
      <c r="F4854">
        <v>34</v>
      </c>
      <c r="G4854" t="str">
        <f t="shared" si="83"/>
        <v>21-40</v>
      </c>
      <c r="H4854" t="s">
        <v>23</v>
      </c>
      <c r="I4854" t="s">
        <v>40</v>
      </c>
      <c r="J4854" t="s">
        <v>41</v>
      </c>
      <c r="K4854" t="s">
        <v>29</v>
      </c>
      <c r="L4854">
        <v>1</v>
      </c>
      <c r="M4854">
        <v>1</v>
      </c>
      <c r="N4854">
        <v>2.6</v>
      </c>
      <c r="O4854">
        <v>7.6</v>
      </c>
      <c r="P4854">
        <v>6</v>
      </c>
      <c r="Q4854">
        <v>5</v>
      </c>
      <c r="R4854">
        <v>774794</v>
      </c>
      <c r="S4854">
        <f>Table1[[#This Row],[Revenue]]-Table1[[#This Row],[Operating_Costs]]</f>
        <v>192872</v>
      </c>
      <c r="T4854">
        <v>581922</v>
      </c>
      <c r="U4854">
        <v>32</v>
      </c>
      <c r="V4854">
        <v>65</v>
      </c>
      <c r="W4854">
        <v>14.3</v>
      </c>
    </row>
    <row r="4855" spans="1:23" x14ac:dyDescent="0.25">
      <c r="A4855">
        <v>15</v>
      </c>
      <c r="B4855" t="s">
        <v>45</v>
      </c>
      <c r="C4855" s="1">
        <v>45194</v>
      </c>
      <c r="D4855" t="s">
        <v>71</v>
      </c>
      <c r="E4855">
        <v>0</v>
      </c>
      <c r="F4855">
        <v>36</v>
      </c>
      <c r="G4855" t="str">
        <f t="shared" si="83"/>
        <v>21-40</v>
      </c>
      <c r="H4855" t="s">
        <v>23</v>
      </c>
      <c r="I4855" t="s">
        <v>61</v>
      </c>
      <c r="J4855" t="s">
        <v>62</v>
      </c>
      <c r="K4855" t="s">
        <v>29</v>
      </c>
      <c r="L4855">
        <v>1</v>
      </c>
      <c r="M4855">
        <v>1</v>
      </c>
      <c r="N4855">
        <v>5.8</v>
      </c>
      <c r="O4855">
        <v>8.5</v>
      </c>
      <c r="P4855">
        <v>6</v>
      </c>
      <c r="Q4855">
        <v>6</v>
      </c>
      <c r="R4855">
        <v>747333</v>
      </c>
      <c r="S4855">
        <f>Table1[[#This Row],[Revenue]]-Table1[[#This Row],[Operating_Costs]]</f>
        <v>238617</v>
      </c>
      <c r="T4855">
        <v>508716</v>
      </c>
      <c r="U4855">
        <v>47</v>
      </c>
      <c r="V4855">
        <v>62</v>
      </c>
      <c r="W4855">
        <v>8.9</v>
      </c>
    </row>
    <row r="4856" spans="1:23" x14ac:dyDescent="0.25">
      <c r="A4856">
        <v>15</v>
      </c>
      <c r="B4856" t="s">
        <v>45</v>
      </c>
      <c r="C4856" s="1">
        <v>45401</v>
      </c>
      <c r="D4856" t="s">
        <v>71</v>
      </c>
      <c r="E4856">
        <v>0</v>
      </c>
      <c r="F4856">
        <v>67</v>
      </c>
      <c r="G4856" t="str">
        <f t="shared" si="83"/>
        <v>61-80</v>
      </c>
      <c r="H4856" t="s">
        <v>23</v>
      </c>
      <c r="I4856" t="s">
        <v>61</v>
      </c>
      <c r="J4856" t="s">
        <v>62</v>
      </c>
      <c r="K4856" t="s">
        <v>33</v>
      </c>
      <c r="L4856">
        <v>1</v>
      </c>
      <c r="M4856">
        <v>1</v>
      </c>
      <c r="N4856">
        <v>3.7</v>
      </c>
      <c r="O4856">
        <v>8.4</v>
      </c>
      <c r="P4856">
        <v>6</v>
      </c>
      <c r="Q4856">
        <v>4</v>
      </c>
      <c r="R4856">
        <v>797871</v>
      </c>
      <c r="S4856">
        <f>Table1[[#This Row],[Revenue]]-Table1[[#This Row],[Operating_Costs]]</f>
        <v>238354</v>
      </c>
      <c r="T4856">
        <v>559517</v>
      </c>
      <c r="U4856">
        <v>49</v>
      </c>
      <c r="V4856">
        <v>61</v>
      </c>
      <c r="W4856">
        <v>14.2</v>
      </c>
    </row>
    <row r="4857" spans="1:23" x14ac:dyDescent="0.25">
      <c r="A4857">
        <v>15</v>
      </c>
      <c r="B4857" t="s">
        <v>45</v>
      </c>
      <c r="C4857" s="1">
        <v>44985</v>
      </c>
      <c r="D4857" t="s">
        <v>71</v>
      </c>
      <c r="E4857">
        <v>0</v>
      </c>
      <c r="F4857">
        <v>28</v>
      </c>
      <c r="G4857" t="str">
        <f t="shared" si="83"/>
        <v>21-40</v>
      </c>
      <c r="H4857" t="s">
        <v>23</v>
      </c>
      <c r="I4857" t="s">
        <v>43</v>
      </c>
      <c r="J4857" t="s">
        <v>25</v>
      </c>
      <c r="K4857" t="s">
        <v>33</v>
      </c>
      <c r="L4857">
        <v>1</v>
      </c>
      <c r="M4857">
        <v>1</v>
      </c>
      <c r="N4857">
        <v>3.8</v>
      </c>
      <c r="O4857">
        <v>8.6</v>
      </c>
      <c r="P4857">
        <v>5</v>
      </c>
      <c r="Q4857">
        <v>4</v>
      </c>
      <c r="R4857">
        <v>737945</v>
      </c>
      <c r="S4857">
        <f>Table1[[#This Row],[Revenue]]-Table1[[#This Row],[Operating_Costs]]</f>
        <v>163579</v>
      </c>
      <c r="T4857">
        <v>574366</v>
      </c>
      <c r="U4857">
        <v>33</v>
      </c>
      <c r="V4857">
        <v>56</v>
      </c>
      <c r="W4857">
        <v>14.5</v>
      </c>
    </row>
    <row r="4858" spans="1:23" x14ac:dyDescent="0.25">
      <c r="A4858">
        <v>15</v>
      </c>
      <c r="B4858" t="s">
        <v>45</v>
      </c>
      <c r="C4858" s="1">
        <v>44433</v>
      </c>
      <c r="D4858" t="s">
        <v>71</v>
      </c>
      <c r="E4858">
        <v>0</v>
      </c>
      <c r="F4858">
        <v>62</v>
      </c>
      <c r="G4858" t="str">
        <f t="shared" si="83"/>
        <v>61-80</v>
      </c>
      <c r="H4858" t="s">
        <v>35</v>
      </c>
      <c r="I4858" t="s">
        <v>46</v>
      </c>
      <c r="J4858" t="s">
        <v>47</v>
      </c>
      <c r="K4858" t="s">
        <v>33</v>
      </c>
      <c r="L4858">
        <v>1</v>
      </c>
      <c r="M4858">
        <v>1</v>
      </c>
      <c r="N4858">
        <v>6.3</v>
      </c>
      <c r="O4858">
        <v>8.3000000000000007</v>
      </c>
      <c r="P4858">
        <v>4</v>
      </c>
      <c r="Q4858">
        <v>5</v>
      </c>
      <c r="R4858">
        <v>710185</v>
      </c>
      <c r="S4858">
        <f>Table1[[#This Row],[Revenue]]-Table1[[#This Row],[Operating_Costs]]</f>
        <v>27497</v>
      </c>
      <c r="T4858">
        <v>682688</v>
      </c>
      <c r="U4858">
        <v>38</v>
      </c>
      <c r="V4858">
        <v>61</v>
      </c>
      <c r="W4858">
        <v>13.2</v>
      </c>
    </row>
    <row r="4859" spans="1:23" x14ac:dyDescent="0.25">
      <c r="A4859">
        <v>15</v>
      </c>
      <c r="B4859" t="s">
        <v>45</v>
      </c>
      <c r="C4859" s="1">
        <v>45021</v>
      </c>
      <c r="D4859" t="s">
        <v>71</v>
      </c>
      <c r="E4859">
        <v>0</v>
      </c>
      <c r="F4859">
        <v>43</v>
      </c>
      <c r="G4859" t="str">
        <f t="shared" si="83"/>
        <v>41-60</v>
      </c>
      <c r="H4859" t="s">
        <v>23</v>
      </c>
      <c r="I4859" t="s">
        <v>64</v>
      </c>
      <c r="J4859" t="s">
        <v>65</v>
      </c>
      <c r="K4859" t="s">
        <v>33</v>
      </c>
      <c r="L4859">
        <v>1</v>
      </c>
      <c r="M4859">
        <v>1</v>
      </c>
      <c r="N4859">
        <v>2.5</v>
      </c>
      <c r="O4859">
        <v>7.7</v>
      </c>
      <c r="P4859">
        <v>6</v>
      </c>
      <c r="Q4859">
        <v>6</v>
      </c>
      <c r="R4859">
        <v>757397</v>
      </c>
      <c r="S4859">
        <f>Table1[[#This Row],[Revenue]]-Table1[[#This Row],[Operating_Costs]]</f>
        <v>108311</v>
      </c>
      <c r="T4859">
        <v>649086</v>
      </c>
      <c r="U4859">
        <v>41</v>
      </c>
      <c r="V4859">
        <v>55</v>
      </c>
      <c r="W4859">
        <v>10.8</v>
      </c>
    </row>
    <row r="4860" spans="1:23" x14ac:dyDescent="0.25">
      <c r="A4860">
        <v>15</v>
      </c>
      <c r="B4860" t="s">
        <v>45</v>
      </c>
      <c r="C4860" s="1">
        <v>44216</v>
      </c>
      <c r="D4860" t="s">
        <v>71</v>
      </c>
      <c r="E4860">
        <v>0</v>
      </c>
      <c r="F4860">
        <v>85</v>
      </c>
      <c r="G4860" t="str">
        <f t="shared" si="83"/>
        <v>81+</v>
      </c>
      <c r="H4860" t="s">
        <v>23</v>
      </c>
      <c r="I4860" t="s">
        <v>24</v>
      </c>
      <c r="J4860" t="s">
        <v>25</v>
      </c>
      <c r="K4860" t="s">
        <v>42</v>
      </c>
      <c r="L4860">
        <v>1</v>
      </c>
      <c r="M4860">
        <v>1</v>
      </c>
      <c r="N4860">
        <v>2.9</v>
      </c>
      <c r="O4860">
        <v>8.4</v>
      </c>
      <c r="P4860">
        <v>3</v>
      </c>
      <c r="Q4860">
        <v>3</v>
      </c>
      <c r="R4860">
        <v>717966</v>
      </c>
      <c r="S4860">
        <f>Table1[[#This Row],[Revenue]]-Table1[[#This Row],[Operating_Costs]]</f>
        <v>144808</v>
      </c>
      <c r="T4860">
        <v>573158</v>
      </c>
      <c r="U4860">
        <v>38</v>
      </c>
      <c r="V4860">
        <v>54</v>
      </c>
      <c r="W4860">
        <v>9.6999999999999993</v>
      </c>
    </row>
    <row r="4861" spans="1:23" x14ac:dyDescent="0.25">
      <c r="A4861">
        <v>15</v>
      </c>
      <c r="B4861" t="s">
        <v>45</v>
      </c>
      <c r="C4861" s="1">
        <v>45521</v>
      </c>
      <c r="D4861" t="s">
        <v>71</v>
      </c>
      <c r="E4861">
        <v>0</v>
      </c>
      <c r="F4861">
        <v>37</v>
      </c>
      <c r="G4861" t="str">
        <f t="shared" si="83"/>
        <v>21-40</v>
      </c>
      <c r="H4861" t="s">
        <v>35</v>
      </c>
      <c r="I4861" t="s">
        <v>40</v>
      </c>
      <c r="J4861" t="s">
        <v>41</v>
      </c>
      <c r="K4861" t="s">
        <v>29</v>
      </c>
      <c r="L4861">
        <v>1</v>
      </c>
      <c r="M4861">
        <v>1</v>
      </c>
      <c r="N4861">
        <v>4.9000000000000004</v>
      </c>
      <c r="O4861">
        <v>9.1999999999999993</v>
      </c>
      <c r="P4861">
        <v>4</v>
      </c>
      <c r="Q4861">
        <v>3</v>
      </c>
      <c r="R4861">
        <v>788625</v>
      </c>
      <c r="S4861">
        <f>Table1[[#This Row],[Revenue]]-Table1[[#This Row],[Operating_Costs]]</f>
        <v>156745</v>
      </c>
      <c r="T4861">
        <v>631880</v>
      </c>
      <c r="U4861">
        <v>32</v>
      </c>
      <c r="V4861">
        <v>55</v>
      </c>
      <c r="W4861">
        <v>7</v>
      </c>
    </row>
    <row r="4862" spans="1:23" x14ac:dyDescent="0.25">
      <c r="A4862">
        <v>15</v>
      </c>
      <c r="B4862" t="s">
        <v>45</v>
      </c>
      <c r="C4862" s="1">
        <v>44999</v>
      </c>
      <c r="D4862" t="s">
        <v>71</v>
      </c>
      <c r="E4862">
        <v>0</v>
      </c>
      <c r="F4862">
        <v>28</v>
      </c>
      <c r="G4862" t="str">
        <f t="shared" si="83"/>
        <v>21-40</v>
      </c>
      <c r="H4862" t="s">
        <v>35</v>
      </c>
      <c r="I4862" t="s">
        <v>50</v>
      </c>
      <c r="J4862" t="s">
        <v>51</v>
      </c>
      <c r="K4862" t="s">
        <v>29</v>
      </c>
      <c r="L4862">
        <v>1</v>
      </c>
      <c r="M4862">
        <v>1</v>
      </c>
      <c r="N4862">
        <v>1</v>
      </c>
      <c r="O4862">
        <v>8.6</v>
      </c>
      <c r="P4862">
        <v>3</v>
      </c>
      <c r="Q4862">
        <v>4</v>
      </c>
      <c r="R4862">
        <v>799096</v>
      </c>
      <c r="S4862">
        <f>Table1[[#This Row],[Revenue]]-Table1[[#This Row],[Operating_Costs]]</f>
        <v>248023</v>
      </c>
      <c r="T4862">
        <v>551073</v>
      </c>
      <c r="U4862">
        <v>39</v>
      </c>
      <c r="V4862">
        <v>66</v>
      </c>
      <c r="W4862">
        <v>13.7</v>
      </c>
    </row>
    <row r="4863" spans="1:23" x14ac:dyDescent="0.25">
      <c r="A4863">
        <v>15</v>
      </c>
      <c r="B4863" t="s">
        <v>45</v>
      </c>
      <c r="C4863" s="1">
        <v>44885</v>
      </c>
      <c r="D4863" t="s">
        <v>71</v>
      </c>
      <c r="E4863">
        <v>0</v>
      </c>
      <c r="F4863">
        <v>46</v>
      </c>
      <c r="G4863" t="str">
        <f t="shared" si="83"/>
        <v>41-60</v>
      </c>
      <c r="H4863" t="s">
        <v>23</v>
      </c>
      <c r="I4863" t="s">
        <v>46</v>
      </c>
      <c r="J4863" t="s">
        <v>47</v>
      </c>
      <c r="K4863" t="s">
        <v>42</v>
      </c>
      <c r="L4863">
        <v>1</v>
      </c>
      <c r="M4863">
        <v>1</v>
      </c>
      <c r="N4863">
        <v>1.1000000000000001</v>
      </c>
      <c r="O4863">
        <v>7.8</v>
      </c>
      <c r="P4863">
        <v>7</v>
      </c>
      <c r="Q4863">
        <v>3</v>
      </c>
      <c r="R4863">
        <v>766248</v>
      </c>
      <c r="S4863">
        <f>Table1[[#This Row],[Revenue]]-Table1[[#This Row],[Operating_Costs]]</f>
        <v>253340</v>
      </c>
      <c r="T4863">
        <v>512908</v>
      </c>
      <c r="U4863">
        <v>50</v>
      </c>
      <c r="V4863">
        <v>65</v>
      </c>
      <c r="W4863">
        <v>6.1</v>
      </c>
    </row>
    <row r="4864" spans="1:23" x14ac:dyDescent="0.25">
      <c r="A4864">
        <v>15</v>
      </c>
      <c r="B4864" t="s">
        <v>45</v>
      </c>
      <c r="C4864" s="1">
        <v>45452</v>
      </c>
      <c r="D4864" t="s">
        <v>71</v>
      </c>
      <c r="E4864">
        <v>0</v>
      </c>
      <c r="F4864">
        <v>67</v>
      </c>
      <c r="G4864" t="str">
        <f t="shared" si="83"/>
        <v>61-80</v>
      </c>
      <c r="H4864" t="s">
        <v>35</v>
      </c>
      <c r="I4864" t="s">
        <v>27</v>
      </c>
      <c r="J4864" t="s">
        <v>28</v>
      </c>
      <c r="K4864" t="s">
        <v>38</v>
      </c>
      <c r="L4864">
        <v>1</v>
      </c>
      <c r="M4864">
        <v>1</v>
      </c>
      <c r="N4864">
        <v>6.3</v>
      </c>
      <c r="O4864">
        <v>7.7</v>
      </c>
      <c r="P4864">
        <v>5</v>
      </c>
      <c r="Q4864">
        <v>3</v>
      </c>
      <c r="R4864">
        <v>745025</v>
      </c>
      <c r="S4864">
        <f>Table1[[#This Row],[Revenue]]-Table1[[#This Row],[Operating_Costs]]</f>
        <v>110807</v>
      </c>
      <c r="T4864">
        <v>634218</v>
      </c>
      <c r="U4864">
        <v>51</v>
      </c>
      <c r="V4864">
        <v>55</v>
      </c>
      <c r="W4864">
        <v>13.8</v>
      </c>
    </row>
    <row r="4865" spans="1:23" x14ac:dyDescent="0.25">
      <c r="A4865">
        <v>15</v>
      </c>
      <c r="B4865" t="s">
        <v>45</v>
      </c>
      <c r="C4865" s="1">
        <v>44459</v>
      </c>
      <c r="D4865" t="s">
        <v>71</v>
      </c>
      <c r="E4865">
        <v>0</v>
      </c>
      <c r="F4865">
        <v>34</v>
      </c>
      <c r="G4865" t="str">
        <f t="shared" si="83"/>
        <v>21-40</v>
      </c>
      <c r="H4865" t="s">
        <v>23</v>
      </c>
      <c r="I4865" t="s">
        <v>55</v>
      </c>
      <c r="J4865" t="s">
        <v>56</v>
      </c>
      <c r="K4865" t="s">
        <v>33</v>
      </c>
      <c r="L4865">
        <v>1</v>
      </c>
      <c r="M4865">
        <v>1</v>
      </c>
      <c r="N4865">
        <v>5.0999999999999996</v>
      </c>
      <c r="O4865">
        <v>7.7</v>
      </c>
      <c r="P4865">
        <v>6</v>
      </c>
      <c r="Q4865">
        <v>6</v>
      </c>
      <c r="R4865">
        <v>753367</v>
      </c>
      <c r="S4865">
        <f>Table1[[#This Row],[Revenue]]-Table1[[#This Row],[Operating_Costs]]</f>
        <v>243696</v>
      </c>
      <c r="T4865">
        <v>509671</v>
      </c>
      <c r="U4865">
        <v>53</v>
      </c>
      <c r="V4865">
        <v>58</v>
      </c>
      <c r="W4865">
        <v>36.6</v>
      </c>
    </row>
    <row r="4866" spans="1:23" x14ac:dyDescent="0.25">
      <c r="A4866">
        <v>15</v>
      </c>
      <c r="B4866" t="s">
        <v>45</v>
      </c>
      <c r="C4866" s="1">
        <v>44665</v>
      </c>
      <c r="D4866" t="s">
        <v>71</v>
      </c>
      <c r="E4866">
        <v>0</v>
      </c>
      <c r="F4866">
        <v>79</v>
      </c>
      <c r="G4866" t="str">
        <f t="shared" si="83"/>
        <v>61-80</v>
      </c>
      <c r="H4866" t="s">
        <v>23</v>
      </c>
      <c r="I4866" t="s">
        <v>67</v>
      </c>
      <c r="J4866" t="s">
        <v>68</v>
      </c>
      <c r="K4866" t="s">
        <v>42</v>
      </c>
      <c r="L4866">
        <v>1</v>
      </c>
      <c r="M4866">
        <v>1</v>
      </c>
      <c r="N4866">
        <v>4.5</v>
      </c>
      <c r="O4866">
        <v>9</v>
      </c>
      <c r="P4866">
        <v>7</v>
      </c>
      <c r="Q4866">
        <v>3</v>
      </c>
      <c r="R4866">
        <v>776432</v>
      </c>
      <c r="S4866">
        <f>Table1[[#This Row],[Revenue]]-Table1[[#This Row],[Operating_Costs]]</f>
        <v>264177</v>
      </c>
      <c r="T4866">
        <v>512255</v>
      </c>
      <c r="U4866">
        <v>45</v>
      </c>
      <c r="V4866">
        <v>58</v>
      </c>
      <c r="W4866">
        <v>12.8</v>
      </c>
    </row>
    <row r="4867" spans="1:23" x14ac:dyDescent="0.25">
      <c r="A4867">
        <v>15</v>
      </c>
      <c r="B4867" t="s">
        <v>45</v>
      </c>
      <c r="C4867" s="1">
        <v>45387</v>
      </c>
      <c r="D4867" t="s">
        <v>71</v>
      </c>
      <c r="E4867">
        <v>0</v>
      </c>
      <c r="F4867">
        <v>58</v>
      </c>
      <c r="G4867" t="str">
        <f t="shared" ref="G4867:G4930" si="84">IF(F4867&lt;=20,"0-20",IF(F4867&lt;=40,"21-40",IF(F4867&lt;=60,"41-60",IF(F4867&lt;=80,"61-80","81+"))))</f>
        <v>41-60</v>
      </c>
      <c r="H4867" t="s">
        <v>23</v>
      </c>
      <c r="I4867" t="s">
        <v>24</v>
      </c>
      <c r="J4867" t="s">
        <v>25</v>
      </c>
      <c r="K4867" t="s">
        <v>42</v>
      </c>
      <c r="L4867">
        <v>1</v>
      </c>
      <c r="M4867">
        <v>1</v>
      </c>
      <c r="N4867">
        <v>2.2000000000000002</v>
      </c>
      <c r="O4867">
        <v>7.1</v>
      </c>
      <c r="P4867">
        <v>3</v>
      </c>
      <c r="Q4867">
        <v>4</v>
      </c>
      <c r="R4867">
        <v>797021</v>
      </c>
      <c r="S4867">
        <f>Table1[[#This Row],[Revenue]]-Table1[[#This Row],[Operating_Costs]]</f>
        <v>226478</v>
      </c>
      <c r="T4867">
        <v>570543</v>
      </c>
      <c r="U4867">
        <v>41</v>
      </c>
      <c r="V4867">
        <v>62</v>
      </c>
      <c r="W4867">
        <v>6.3</v>
      </c>
    </row>
    <row r="4868" spans="1:23" x14ac:dyDescent="0.25">
      <c r="A4868">
        <v>15</v>
      </c>
      <c r="B4868" t="s">
        <v>45</v>
      </c>
      <c r="C4868" s="1">
        <v>44805</v>
      </c>
      <c r="D4868" t="s">
        <v>71</v>
      </c>
      <c r="E4868">
        <v>0</v>
      </c>
      <c r="F4868">
        <v>68</v>
      </c>
      <c r="G4868" t="str">
        <f t="shared" si="84"/>
        <v>61-80</v>
      </c>
      <c r="H4868" t="s">
        <v>35</v>
      </c>
      <c r="I4868" t="s">
        <v>60</v>
      </c>
      <c r="J4868" t="s">
        <v>59</v>
      </c>
      <c r="K4868" t="s">
        <v>42</v>
      </c>
      <c r="L4868">
        <v>1</v>
      </c>
      <c r="M4868">
        <v>1</v>
      </c>
      <c r="N4868">
        <v>3</v>
      </c>
      <c r="O4868">
        <v>9.9</v>
      </c>
      <c r="P4868">
        <v>3</v>
      </c>
      <c r="Q4868">
        <v>5</v>
      </c>
      <c r="R4868">
        <v>717868</v>
      </c>
      <c r="S4868">
        <f>Table1[[#This Row],[Revenue]]-Table1[[#This Row],[Operating_Costs]]</f>
        <v>89926</v>
      </c>
      <c r="T4868">
        <v>627942</v>
      </c>
      <c r="U4868">
        <v>57</v>
      </c>
      <c r="V4868">
        <v>62</v>
      </c>
      <c r="W4868">
        <v>5.4</v>
      </c>
    </row>
    <row r="4869" spans="1:23" x14ac:dyDescent="0.25">
      <c r="A4869">
        <v>15</v>
      </c>
      <c r="B4869" t="s">
        <v>45</v>
      </c>
      <c r="C4869" s="1">
        <v>45611</v>
      </c>
      <c r="D4869" t="s">
        <v>71</v>
      </c>
      <c r="E4869">
        <v>0</v>
      </c>
      <c r="F4869">
        <v>39</v>
      </c>
      <c r="G4869" t="str">
        <f t="shared" si="84"/>
        <v>21-40</v>
      </c>
      <c r="H4869" t="s">
        <v>23</v>
      </c>
      <c r="I4869" t="s">
        <v>50</v>
      </c>
      <c r="J4869" t="s">
        <v>51</v>
      </c>
      <c r="K4869" t="s">
        <v>42</v>
      </c>
      <c r="L4869">
        <v>1</v>
      </c>
      <c r="M4869">
        <v>1</v>
      </c>
      <c r="N4869">
        <v>1.6</v>
      </c>
      <c r="O4869">
        <v>8.6</v>
      </c>
      <c r="P4869">
        <v>5</v>
      </c>
      <c r="Q4869">
        <v>6</v>
      </c>
      <c r="R4869">
        <v>799128</v>
      </c>
      <c r="S4869">
        <f>Table1[[#This Row],[Revenue]]-Table1[[#This Row],[Operating_Costs]]</f>
        <v>237800</v>
      </c>
      <c r="T4869">
        <v>561328</v>
      </c>
      <c r="U4869">
        <v>38</v>
      </c>
      <c r="V4869">
        <v>56</v>
      </c>
      <c r="W4869">
        <v>8</v>
      </c>
    </row>
    <row r="4870" spans="1:23" x14ac:dyDescent="0.25">
      <c r="A4870">
        <v>15</v>
      </c>
      <c r="B4870" t="s">
        <v>45</v>
      </c>
      <c r="C4870" s="1">
        <v>45425</v>
      </c>
      <c r="D4870" t="s">
        <v>71</v>
      </c>
      <c r="E4870">
        <v>0</v>
      </c>
      <c r="F4870">
        <v>27</v>
      </c>
      <c r="G4870" t="str">
        <f t="shared" si="84"/>
        <v>21-40</v>
      </c>
      <c r="H4870" t="s">
        <v>35</v>
      </c>
      <c r="I4870" t="s">
        <v>46</v>
      </c>
      <c r="J4870" t="s">
        <v>47</v>
      </c>
      <c r="K4870" t="s">
        <v>42</v>
      </c>
      <c r="L4870">
        <v>1</v>
      </c>
      <c r="M4870">
        <v>1</v>
      </c>
      <c r="N4870">
        <v>3.3</v>
      </c>
      <c r="O4870">
        <v>9.1</v>
      </c>
      <c r="P4870">
        <v>5</v>
      </c>
      <c r="Q4870">
        <v>4</v>
      </c>
      <c r="R4870">
        <v>742735</v>
      </c>
      <c r="S4870">
        <f>Table1[[#This Row],[Revenue]]-Table1[[#This Row],[Operating_Costs]]</f>
        <v>103380</v>
      </c>
      <c r="T4870">
        <v>639355</v>
      </c>
      <c r="U4870">
        <v>37</v>
      </c>
      <c r="V4870">
        <v>54</v>
      </c>
      <c r="W4870">
        <v>7.4</v>
      </c>
    </row>
    <row r="4871" spans="1:23" x14ac:dyDescent="0.25">
      <c r="A4871">
        <v>15</v>
      </c>
      <c r="B4871" t="s">
        <v>45</v>
      </c>
      <c r="C4871" s="1">
        <v>45268</v>
      </c>
      <c r="D4871" t="s">
        <v>71</v>
      </c>
      <c r="E4871">
        <v>0</v>
      </c>
      <c r="F4871">
        <v>69</v>
      </c>
      <c r="G4871" t="str">
        <f t="shared" si="84"/>
        <v>61-80</v>
      </c>
      <c r="H4871" t="s">
        <v>35</v>
      </c>
      <c r="I4871" t="s">
        <v>46</v>
      </c>
      <c r="J4871" t="s">
        <v>47</v>
      </c>
      <c r="K4871" t="s">
        <v>33</v>
      </c>
      <c r="L4871">
        <v>1</v>
      </c>
      <c r="M4871">
        <v>1</v>
      </c>
      <c r="N4871">
        <v>1.1000000000000001</v>
      </c>
      <c r="O4871">
        <v>9.1999999999999993</v>
      </c>
      <c r="P4871">
        <v>5</v>
      </c>
      <c r="Q4871">
        <v>7</v>
      </c>
      <c r="R4871">
        <v>719274</v>
      </c>
      <c r="S4871">
        <f>Table1[[#This Row],[Revenue]]-Table1[[#This Row],[Operating_Costs]]</f>
        <v>20722</v>
      </c>
      <c r="T4871">
        <v>698552</v>
      </c>
      <c r="U4871">
        <v>46</v>
      </c>
      <c r="V4871">
        <v>59</v>
      </c>
      <c r="W4871">
        <v>13.5</v>
      </c>
    </row>
    <row r="4872" spans="1:23" x14ac:dyDescent="0.25">
      <c r="A4872">
        <v>15</v>
      </c>
      <c r="B4872" t="s">
        <v>45</v>
      </c>
      <c r="C4872" s="1">
        <v>44940</v>
      </c>
      <c r="D4872" t="s">
        <v>71</v>
      </c>
      <c r="E4872">
        <v>0</v>
      </c>
      <c r="F4872">
        <v>74</v>
      </c>
      <c r="G4872" t="str">
        <f t="shared" si="84"/>
        <v>61-80</v>
      </c>
      <c r="H4872" t="s">
        <v>35</v>
      </c>
      <c r="I4872" t="s">
        <v>36</v>
      </c>
      <c r="J4872" t="s">
        <v>37</v>
      </c>
      <c r="K4872" t="s">
        <v>33</v>
      </c>
      <c r="L4872">
        <v>1</v>
      </c>
      <c r="M4872">
        <v>1</v>
      </c>
      <c r="N4872">
        <v>4.0999999999999996</v>
      </c>
      <c r="O4872">
        <v>7.8</v>
      </c>
      <c r="P4872">
        <v>5</v>
      </c>
      <c r="Q4872">
        <v>4</v>
      </c>
      <c r="R4872">
        <v>776094</v>
      </c>
      <c r="S4872">
        <f>Table1[[#This Row],[Revenue]]-Table1[[#This Row],[Operating_Costs]]</f>
        <v>141877</v>
      </c>
      <c r="T4872">
        <v>634217</v>
      </c>
      <c r="U4872">
        <v>51</v>
      </c>
      <c r="V4872">
        <v>62</v>
      </c>
      <c r="W4872">
        <v>7.3</v>
      </c>
    </row>
    <row r="4873" spans="1:23" x14ac:dyDescent="0.25">
      <c r="A4873">
        <v>15</v>
      </c>
      <c r="B4873" t="s">
        <v>45</v>
      </c>
      <c r="C4873" s="1">
        <v>44521</v>
      </c>
      <c r="D4873" t="s">
        <v>71</v>
      </c>
      <c r="E4873">
        <v>0</v>
      </c>
      <c r="F4873">
        <v>28</v>
      </c>
      <c r="G4873" t="str">
        <f t="shared" si="84"/>
        <v>21-40</v>
      </c>
      <c r="H4873" t="s">
        <v>35</v>
      </c>
      <c r="I4873" t="s">
        <v>64</v>
      </c>
      <c r="J4873" t="s">
        <v>65</v>
      </c>
      <c r="K4873" t="s">
        <v>26</v>
      </c>
      <c r="L4873">
        <v>1</v>
      </c>
      <c r="M4873">
        <v>1</v>
      </c>
      <c r="N4873">
        <v>5.2</v>
      </c>
      <c r="O4873">
        <v>7.6</v>
      </c>
      <c r="P4873">
        <v>3</v>
      </c>
      <c r="Q4873">
        <v>6</v>
      </c>
      <c r="R4873">
        <v>720219</v>
      </c>
      <c r="S4873">
        <f>Table1[[#This Row],[Revenue]]-Table1[[#This Row],[Operating_Costs]]</f>
        <v>39830</v>
      </c>
      <c r="T4873">
        <v>680389</v>
      </c>
      <c r="U4873">
        <v>47</v>
      </c>
      <c r="V4873">
        <v>61</v>
      </c>
      <c r="W4873">
        <v>5.4</v>
      </c>
    </row>
    <row r="4874" spans="1:23" x14ac:dyDescent="0.25">
      <c r="A4874">
        <v>15</v>
      </c>
      <c r="B4874" t="s">
        <v>45</v>
      </c>
      <c r="C4874" s="1">
        <v>44840</v>
      </c>
      <c r="D4874" t="s">
        <v>71</v>
      </c>
      <c r="E4874">
        <v>0</v>
      </c>
      <c r="F4874">
        <v>79</v>
      </c>
      <c r="G4874" t="str">
        <f t="shared" si="84"/>
        <v>61-80</v>
      </c>
      <c r="H4874" t="s">
        <v>23</v>
      </c>
      <c r="I4874" t="s">
        <v>43</v>
      </c>
      <c r="J4874" t="s">
        <v>25</v>
      </c>
      <c r="K4874" t="s">
        <v>29</v>
      </c>
      <c r="L4874">
        <v>1</v>
      </c>
      <c r="M4874">
        <v>1</v>
      </c>
      <c r="N4874">
        <v>1.8</v>
      </c>
      <c r="O4874">
        <v>9.6</v>
      </c>
      <c r="P4874">
        <v>7</v>
      </c>
      <c r="Q4874">
        <v>5</v>
      </c>
      <c r="R4874">
        <v>770070</v>
      </c>
      <c r="S4874">
        <f>Table1[[#This Row],[Revenue]]-Table1[[#This Row],[Operating_Costs]]</f>
        <v>88532</v>
      </c>
      <c r="T4874">
        <v>681538</v>
      </c>
      <c r="U4874">
        <v>41</v>
      </c>
      <c r="V4874">
        <v>57</v>
      </c>
      <c r="W4874">
        <v>6.9</v>
      </c>
    </row>
    <row r="4875" spans="1:23" x14ac:dyDescent="0.25">
      <c r="A4875">
        <v>15</v>
      </c>
      <c r="B4875" t="s">
        <v>45</v>
      </c>
      <c r="C4875" s="1">
        <v>45012</v>
      </c>
      <c r="D4875" t="s">
        <v>71</v>
      </c>
      <c r="E4875">
        <v>0</v>
      </c>
      <c r="F4875">
        <v>37</v>
      </c>
      <c r="G4875" t="str">
        <f t="shared" si="84"/>
        <v>21-40</v>
      </c>
      <c r="H4875" t="s">
        <v>23</v>
      </c>
      <c r="I4875" t="s">
        <v>24</v>
      </c>
      <c r="J4875" t="s">
        <v>25</v>
      </c>
      <c r="K4875" t="s">
        <v>29</v>
      </c>
      <c r="L4875">
        <v>1</v>
      </c>
      <c r="M4875">
        <v>1</v>
      </c>
      <c r="N4875">
        <v>1.5</v>
      </c>
      <c r="O4875">
        <v>7.1</v>
      </c>
      <c r="P4875">
        <v>7</v>
      </c>
      <c r="Q4875">
        <v>4</v>
      </c>
      <c r="R4875">
        <v>713654</v>
      </c>
      <c r="S4875">
        <f>Table1[[#This Row],[Revenue]]-Table1[[#This Row],[Operating_Costs]]</f>
        <v>124396</v>
      </c>
      <c r="T4875">
        <v>589258</v>
      </c>
      <c r="U4875">
        <v>44</v>
      </c>
      <c r="V4875">
        <v>62</v>
      </c>
      <c r="W4875">
        <v>36</v>
      </c>
    </row>
    <row r="4876" spans="1:23" x14ac:dyDescent="0.25">
      <c r="A4876">
        <v>15</v>
      </c>
      <c r="B4876" t="s">
        <v>45</v>
      </c>
      <c r="C4876" s="1">
        <v>45360</v>
      </c>
      <c r="D4876" t="s">
        <v>71</v>
      </c>
      <c r="E4876">
        <v>0</v>
      </c>
      <c r="F4876">
        <v>67</v>
      </c>
      <c r="G4876" t="str">
        <f t="shared" si="84"/>
        <v>61-80</v>
      </c>
      <c r="H4876" t="s">
        <v>35</v>
      </c>
      <c r="I4876" t="s">
        <v>31</v>
      </c>
      <c r="J4876" t="s">
        <v>28</v>
      </c>
      <c r="K4876" t="s">
        <v>33</v>
      </c>
      <c r="L4876">
        <v>1</v>
      </c>
      <c r="M4876">
        <v>1</v>
      </c>
      <c r="N4876">
        <v>1.8</v>
      </c>
      <c r="O4876">
        <v>8.8000000000000007</v>
      </c>
      <c r="P4876">
        <v>3</v>
      </c>
      <c r="Q4876">
        <v>4</v>
      </c>
      <c r="R4876">
        <v>784846</v>
      </c>
      <c r="S4876">
        <f>Table1[[#This Row],[Revenue]]-Table1[[#This Row],[Operating_Costs]]</f>
        <v>227687</v>
      </c>
      <c r="T4876">
        <v>557159</v>
      </c>
      <c r="U4876">
        <v>47</v>
      </c>
      <c r="V4876">
        <v>58</v>
      </c>
      <c r="W4876">
        <v>12.4</v>
      </c>
    </row>
    <row r="4877" spans="1:23" x14ac:dyDescent="0.25">
      <c r="A4877">
        <v>15</v>
      </c>
      <c r="B4877" t="s">
        <v>45</v>
      </c>
      <c r="C4877" s="1">
        <v>44992</v>
      </c>
      <c r="D4877" t="s">
        <v>71</v>
      </c>
      <c r="E4877">
        <v>0</v>
      </c>
      <c r="F4877">
        <v>38</v>
      </c>
      <c r="G4877" t="str">
        <f t="shared" si="84"/>
        <v>21-40</v>
      </c>
      <c r="H4877" t="s">
        <v>35</v>
      </c>
      <c r="I4877" t="s">
        <v>31</v>
      </c>
      <c r="J4877" t="s">
        <v>28</v>
      </c>
      <c r="K4877" t="s">
        <v>38</v>
      </c>
      <c r="L4877">
        <v>1</v>
      </c>
      <c r="M4877">
        <v>1</v>
      </c>
      <c r="N4877">
        <v>3.4</v>
      </c>
      <c r="O4877">
        <v>7.2</v>
      </c>
      <c r="P4877">
        <v>3</v>
      </c>
      <c r="Q4877">
        <v>5</v>
      </c>
      <c r="R4877">
        <v>743757</v>
      </c>
      <c r="S4877">
        <f>Table1[[#This Row],[Revenue]]-Table1[[#This Row],[Operating_Costs]]</f>
        <v>141480</v>
      </c>
      <c r="T4877">
        <v>602277</v>
      </c>
      <c r="U4877">
        <v>39</v>
      </c>
      <c r="V4877">
        <v>59</v>
      </c>
      <c r="W4877">
        <v>8.6999999999999993</v>
      </c>
    </row>
    <row r="4878" spans="1:23" x14ac:dyDescent="0.25">
      <c r="A4878">
        <v>15</v>
      </c>
      <c r="B4878" t="s">
        <v>45</v>
      </c>
      <c r="C4878" s="1">
        <v>44768</v>
      </c>
      <c r="D4878" t="s">
        <v>71</v>
      </c>
      <c r="E4878">
        <v>0</v>
      </c>
      <c r="F4878">
        <v>41</v>
      </c>
      <c r="G4878" t="str">
        <f t="shared" si="84"/>
        <v>41-60</v>
      </c>
      <c r="H4878" t="s">
        <v>35</v>
      </c>
      <c r="I4878" t="s">
        <v>27</v>
      </c>
      <c r="J4878" t="s">
        <v>28</v>
      </c>
      <c r="K4878" t="s">
        <v>29</v>
      </c>
      <c r="L4878">
        <v>1</v>
      </c>
      <c r="M4878">
        <v>1</v>
      </c>
      <c r="N4878">
        <v>2.2000000000000002</v>
      </c>
      <c r="O4878">
        <v>9.4</v>
      </c>
      <c r="P4878">
        <v>3</v>
      </c>
      <c r="Q4878">
        <v>4</v>
      </c>
      <c r="R4878">
        <v>722258</v>
      </c>
      <c r="S4878">
        <f>Table1[[#This Row],[Revenue]]-Table1[[#This Row],[Operating_Costs]]</f>
        <v>215691</v>
      </c>
      <c r="T4878">
        <v>506567</v>
      </c>
      <c r="U4878">
        <v>35</v>
      </c>
      <c r="V4878">
        <v>58</v>
      </c>
      <c r="W4878">
        <v>13.3</v>
      </c>
    </row>
    <row r="4879" spans="1:23" x14ac:dyDescent="0.25">
      <c r="A4879">
        <v>15</v>
      </c>
      <c r="B4879" t="s">
        <v>45</v>
      </c>
      <c r="C4879" s="1">
        <v>44970</v>
      </c>
      <c r="D4879" t="s">
        <v>71</v>
      </c>
      <c r="E4879">
        <v>0</v>
      </c>
      <c r="F4879">
        <v>63</v>
      </c>
      <c r="G4879" t="str">
        <f t="shared" si="84"/>
        <v>61-80</v>
      </c>
      <c r="H4879" t="s">
        <v>35</v>
      </c>
      <c r="I4879" t="s">
        <v>40</v>
      </c>
      <c r="J4879" t="s">
        <v>41</v>
      </c>
      <c r="K4879" t="s">
        <v>29</v>
      </c>
      <c r="L4879">
        <v>1</v>
      </c>
      <c r="M4879">
        <v>1</v>
      </c>
      <c r="N4879">
        <v>2.9</v>
      </c>
      <c r="O4879">
        <v>9.8000000000000007</v>
      </c>
      <c r="P4879">
        <v>6</v>
      </c>
      <c r="Q4879">
        <v>6</v>
      </c>
      <c r="R4879">
        <v>793934</v>
      </c>
      <c r="S4879">
        <f>Table1[[#This Row],[Revenue]]-Table1[[#This Row],[Operating_Costs]]</f>
        <v>159747</v>
      </c>
      <c r="T4879">
        <v>634187</v>
      </c>
      <c r="U4879">
        <v>51</v>
      </c>
      <c r="V4879">
        <v>65</v>
      </c>
      <c r="W4879">
        <v>9.1999999999999993</v>
      </c>
    </row>
    <row r="4880" spans="1:23" x14ac:dyDescent="0.25">
      <c r="A4880">
        <v>15</v>
      </c>
      <c r="B4880" t="s">
        <v>45</v>
      </c>
      <c r="C4880" s="1">
        <v>44555</v>
      </c>
      <c r="D4880" t="s">
        <v>71</v>
      </c>
      <c r="E4880">
        <v>0</v>
      </c>
      <c r="F4880">
        <v>82</v>
      </c>
      <c r="G4880" t="str">
        <f t="shared" si="84"/>
        <v>81+</v>
      </c>
      <c r="H4880" t="s">
        <v>23</v>
      </c>
      <c r="I4880" t="s">
        <v>58</v>
      </c>
      <c r="J4880" t="s">
        <v>59</v>
      </c>
      <c r="K4880" t="s">
        <v>33</v>
      </c>
      <c r="L4880">
        <v>1</v>
      </c>
      <c r="M4880">
        <v>1</v>
      </c>
      <c r="N4880">
        <v>4.9000000000000004</v>
      </c>
      <c r="O4880">
        <v>8.4</v>
      </c>
      <c r="P4880">
        <v>7</v>
      </c>
      <c r="Q4880">
        <v>3</v>
      </c>
      <c r="R4880">
        <v>717075</v>
      </c>
      <c r="S4880">
        <f>Table1[[#This Row],[Revenue]]-Table1[[#This Row],[Operating_Costs]]</f>
        <v>76633</v>
      </c>
      <c r="T4880">
        <v>640442</v>
      </c>
      <c r="U4880">
        <v>59</v>
      </c>
      <c r="V4880">
        <v>62</v>
      </c>
      <c r="W4880">
        <v>36.6</v>
      </c>
    </row>
    <row r="4881" spans="1:23" x14ac:dyDescent="0.25">
      <c r="A4881">
        <v>15</v>
      </c>
      <c r="B4881" t="s">
        <v>45</v>
      </c>
      <c r="C4881" s="1">
        <v>45292</v>
      </c>
      <c r="D4881" t="s">
        <v>71</v>
      </c>
      <c r="E4881">
        <v>0</v>
      </c>
      <c r="F4881">
        <v>29</v>
      </c>
      <c r="G4881" t="str">
        <f t="shared" si="84"/>
        <v>21-40</v>
      </c>
      <c r="H4881" t="s">
        <v>23</v>
      </c>
      <c r="I4881" t="s">
        <v>61</v>
      </c>
      <c r="J4881" t="s">
        <v>62</v>
      </c>
      <c r="K4881" t="s">
        <v>29</v>
      </c>
      <c r="L4881">
        <v>1</v>
      </c>
      <c r="M4881">
        <v>1</v>
      </c>
      <c r="N4881">
        <v>3.2</v>
      </c>
      <c r="O4881">
        <v>9.1</v>
      </c>
      <c r="P4881">
        <v>6</v>
      </c>
      <c r="Q4881">
        <v>7</v>
      </c>
      <c r="R4881">
        <v>794063</v>
      </c>
      <c r="S4881">
        <f>Table1[[#This Row],[Revenue]]-Table1[[#This Row],[Operating_Costs]]</f>
        <v>198786</v>
      </c>
      <c r="T4881">
        <v>595277</v>
      </c>
      <c r="U4881">
        <v>47</v>
      </c>
      <c r="V4881">
        <v>62</v>
      </c>
      <c r="W4881">
        <v>7.1</v>
      </c>
    </row>
    <row r="4882" spans="1:23" x14ac:dyDescent="0.25">
      <c r="A4882">
        <v>15</v>
      </c>
      <c r="B4882" t="s">
        <v>45</v>
      </c>
      <c r="C4882" s="1">
        <v>45134</v>
      </c>
      <c r="D4882" t="s">
        <v>71</v>
      </c>
      <c r="E4882">
        <v>0</v>
      </c>
      <c r="F4882">
        <v>62</v>
      </c>
      <c r="G4882" t="str">
        <f t="shared" si="84"/>
        <v>61-80</v>
      </c>
      <c r="H4882" t="s">
        <v>35</v>
      </c>
      <c r="I4882" t="s">
        <v>61</v>
      </c>
      <c r="J4882" t="s">
        <v>62</v>
      </c>
      <c r="K4882" t="s">
        <v>38</v>
      </c>
      <c r="L4882">
        <v>1</v>
      </c>
      <c r="M4882">
        <v>1</v>
      </c>
      <c r="N4882">
        <v>2.7</v>
      </c>
      <c r="O4882">
        <v>9.6</v>
      </c>
      <c r="P4882">
        <v>4</v>
      </c>
      <c r="Q4882">
        <v>5</v>
      </c>
      <c r="R4882">
        <v>745842</v>
      </c>
      <c r="S4882">
        <f>Table1[[#This Row],[Revenue]]-Table1[[#This Row],[Operating_Costs]]</f>
        <v>198250</v>
      </c>
      <c r="T4882">
        <v>547592</v>
      </c>
      <c r="U4882">
        <v>44</v>
      </c>
      <c r="V4882">
        <v>58</v>
      </c>
      <c r="W4882">
        <v>7.7</v>
      </c>
    </row>
    <row r="4883" spans="1:23" x14ac:dyDescent="0.25">
      <c r="A4883">
        <v>15</v>
      </c>
      <c r="B4883" t="s">
        <v>45</v>
      </c>
      <c r="C4883" s="1">
        <v>44281</v>
      </c>
      <c r="D4883" t="s">
        <v>71</v>
      </c>
      <c r="E4883">
        <v>0</v>
      </c>
      <c r="F4883">
        <v>46</v>
      </c>
      <c r="G4883" t="str">
        <f t="shared" si="84"/>
        <v>41-60</v>
      </c>
      <c r="H4883" t="s">
        <v>23</v>
      </c>
      <c r="I4883" t="s">
        <v>61</v>
      </c>
      <c r="J4883" t="s">
        <v>62</v>
      </c>
      <c r="K4883" t="s">
        <v>26</v>
      </c>
      <c r="L4883">
        <v>1</v>
      </c>
      <c r="M4883">
        <v>1</v>
      </c>
      <c r="N4883">
        <v>1.4</v>
      </c>
      <c r="O4883">
        <v>7.8</v>
      </c>
      <c r="P4883">
        <v>6</v>
      </c>
      <c r="Q4883">
        <v>7</v>
      </c>
      <c r="R4883">
        <v>761441</v>
      </c>
      <c r="S4883">
        <f>Table1[[#This Row],[Revenue]]-Table1[[#This Row],[Operating_Costs]]</f>
        <v>144712</v>
      </c>
      <c r="T4883">
        <v>616729</v>
      </c>
      <c r="U4883">
        <v>57</v>
      </c>
      <c r="V4883">
        <v>62</v>
      </c>
      <c r="W4883">
        <v>6.9</v>
      </c>
    </row>
    <row r="4884" spans="1:23" x14ac:dyDescent="0.25">
      <c r="A4884">
        <v>15</v>
      </c>
      <c r="B4884" t="s">
        <v>45</v>
      </c>
      <c r="C4884" s="1">
        <v>45093</v>
      </c>
      <c r="D4884" t="s">
        <v>71</v>
      </c>
      <c r="E4884">
        <v>0</v>
      </c>
      <c r="F4884">
        <v>35</v>
      </c>
      <c r="G4884" t="str">
        <f t="shared" si="84"/>
        <v>21-40</v>
      </c>
      <c r="H4884" t="s">
        <v>35</v>
      </c>
      <c r="I4884" t="s">
        <v>36</v>
      </c>
      <c r="J4884" t="s">
        <v>37</v>
      </c>
      <c r="K4884" t="s">
        <v>26</v>
      </c>
      <c r="L4884">
        <v>1</v>
      </c>
      <c r="M4884">
        <v>1</v>
      </c>
      <c r="N4884">
        <v>5.7</v>
      </c>
      <c r="O4884">
        <v>8.3000000000000007</v>
      </c>
      <c r="P4884">
        <v>3</v>
      </c>
      <c r="Q4884">
        <v>6</v>
      </c>
      <c r="R4884">
        <v>791229</v>
      </c>
      <c r="S4884">
        <f>Table1[[#This Row],[Revenue]]-Table1[[#This Row],[Operating_Costs]]</f>
        <v>153023</v>
      </c>
      <c r="T4884">
        <v>638206</v>
      </c>
      <c r="U4884">
        <v>49</v>
      </c>
      <c r="V4884">
        <v>63</v>
      </c>
      <c r="W4884">
        <v>5.9</v>
      </c>
    </row>
    <row r="4885" spans="1:23" x14ac:dyDescent="0.25">
      <c r="A4885">
        <v>15</v>
      </c>
      <c r="B4885" t="s">
        <v>45</v>
      </c>
      <c r="C4885" s="1">
        <v>44457</v>
      </c>
      <c r="D4885" t="s">
        <v>71</v>
      </c>
      <c r="E4885">
        <v>0</v>
      </c>
      <c r="F4885">
        <v>44</v>
      </c>
      <c r="G4885" t="str">
        <f t="shared" si="84"/>
        <v>41-60</v>
      </c>
      <c r="H4885" t="s">
        <v>23</v>
      </c>
      <c r="I4885" t="s">
        <v>24</v>
      </c>
      <c r="J4885" t="s">
        <v>25</v>
      </c>
      <c r="K4885" t="s">
        <v>33</v>
      </c>
      <c r="L4885">
        <v>1</v>
      </c>
      <c r="M4885">
        <v>1</v>
      </c>
      <c r="N4885">
        <v>5.4</v>
      </c>
      <c r="O4885">
        <v>9.6999999999999993</v>
      </c>
      <c r="P4885">
        <v>4</v>
      </c>
      <c r="Q4885">
        <v>6</v>
      </c>
      <c r="R4885">
        <v>785933</v>
      </c>
      <c r="S4885">
        <f>Table1[[#This Row],[Revenue]]-Table1[[#This Row],[Operating_Costs]]</f>
        <v>204626</v>
      </c>
      <c r="T4885">
        <v>581307</v>
      </c>
      <c r="U4885">
        <v>31</v>
      </c>
      <c r="V4885">
        <v>55</v>
      </c>
      <c r="W4885">
        <v>6.4</v>
      </c>
    </row>
    <row r="4886" spans="1:23" x14ac:dyDescent="0.25">
      <c r="A4886">
        <v>15</v>
      </c>
      <c r="B4886" t="s">
        <v>45</v>
      </c>
      <c r="C4886" s="1">
        <v>44295</v>
      </c>
      <c r="D4886" t="s">
        <v>71</v>
      </c>
      <c r="E4886">
        <v>0</v>
      </c>
      <c r="F4886">
        <v>88</v>
      </c>
      <c r="G4886" t="str">
        <f t="shared" si="84"/>
        <v>81+</v>
      </c>
      <c r="H4886" t="s">
        <v>23</v>
      </c>
      <c r="I4886" t="s">
        <v>58</v>
      </c>
      <c r="J4886" t="s">
        <v>59</v>
      </c>
      <c r="K4886" t="s">
        <v>38</v>
      </c>
      <c r="L4886">
        <v>1</v>
      </c>
      <c r="M4886">
        <v>1</v>
      </c>
      <c r="N4886">
        <v>6.2</v>
      </c>
      <c r="O4886">
        <v>9.6</v>
      </c>
      <c r="P4886">
        <v>3</v>
      </c>
      <c r="Q4886">
        <v>7</v>
      </c>
      <c r="R4886">
        <v>700987</v>
      </c>
      <c r="S4886">
        <f>Table1[[#This Row],[Revenue]]-Table1[[#This Row],[Operating_Costs]]</f>
        <v>112394</v>
      </c>
      <c r="T4886">
        <v>588593</v>
      </c>
      <c r="U4886">
        <v>39</v>
      </c>
      <c r="V4886">
        <v>63</v>
      </c>
      <c r="W4886">
        <v>9.3000000000000007</v>
      </c>
    </row>
    <row r="4887" spans="1:23" x14ac:dyDescent="0.25">
      <c r="A4887">
        <v>15</v>
      </c>
      <c r="B4887" t="s">
        <v>45</v>
      </c>
      <c r="C4887" s="1">
        <v>45255</v>
      </c>
      <c r="D4887" t="s">
        <v>71</v>
      </c>
      <c r="E4887">
        <v>0</v>
      </c>
      <c r="F4887">
        <v>59</v>
      </c>
      <c r="G4887" t="str">
        <f t="shared" si="84"/>
        <v>41-60</v>
      </c>
      <c r="H4887" t="s">
        <v>35</v>
      </c>
      <c r="I4887" t="s">
        <v>31</v>
      </c>
      <c r="J4887" t="s">
        <v>28</v>
      </c>
      <c r="K4887" t="s">
        <v>38</v>
      </c>
      <c r="L4887">
        <v>1</v>
      </c>
      <c r="M4887">
        <v>1</v>
      </c>
      <c r="N4887">
        <v>4.3</v>
      </c>
      <c r="O4887">
        <v>9.4</v>
      </c>
      <c r="P4887">
        <v>7</v>
      </c>
      <c r="Q4887">
        <v>6</v>
      </c>
      <c r="R4887">
        <v>703166</v>
      </c>
      <c r="S4887">
        <f>Table1[[#This Row],[Revenue]]-Table1[[#This Row],[Operating_Costs]]</f>
        <v>23209</v>
      </c>
      <c r="T4887">
        <v>679957</v>
      </c>
      <c r="U4887">
        <v>48</v>
      </c>
      <c r="V4887">
        <v>56</v>
      </c>
      <c r="W4887">
        <v>14.4</v>
      </c>
    </row>
    <row r="4888" spans="1:23" x14ac:dyDescent="0.25">
      <c r="A4888">
        <v>15</v>
      </c>
      <c r="B4888" t="s">
        <v>45</v>
      </c>
      <c r="C4888" s="1">
        <v>44855</v>
      </c>
      <c r="D4888" t="s">
        <v>71</v>
      </c>
      <c r="E4888">
        <v>0</v>
      </c>
      <c r="F4888">
        <v>37</v>
      </c>
      <c r="G4888" t="str">
        <f t="shared" si="84"/>
        <v>21-40</v>
      </c>
      <c r="H4888" t="s">
        <v>35</v>
      </c>
      <c r="I4888" t="s">
        <v>64</v>
      </c>
      <c r="J4888" t="s">
        <v>65</v>
      </c>
      <c r="K4888" t="s">
        <v>42</v>
      </c>
      <c r="L4888">
        <v>1</v>
      </c>
      <c r="M4888">
        <v>1</v>
      </c>
      <c r="N4888">
        <v>3.9</v>
      </c>
      <c r="O4888">
        <v>7.1</v>
      </c>
      <c r="P4888">
        <v>3</v>
      </c>
      <c r="Q4888">
        <v>3</v>
      </c>
      <c r="R4888">
        <v>781041</v>
      </c>
      <c r="S4888">
        <f>Table1[[#This Row],[Revenue]]-Table1[[#This Row],[Operating_Costs]]</f>
        <v>120877</v>
      </c>
      <c r="T4888">
        <v>660164</v>
      </c>
      <c r="U4888">
        <v>47</v>
      </c>
      <c r="V4888">
        <v>64</v>
      </c>
      <c r="W4888">
        <v>6.2</v>
      </c>
    </row>
    <row r="4889" spans="1:23" x14ac:dyDescent="0.25">
      <c r="A4889">
        <v>15</v>
      </c>
      <c r="B4889" t="s">
        <v>45</v>
      </c>
      <c r="C4889" s="1">
        <v>44940</v>
      </c>
      <c r="D4889" t="s">
        <v>71</v>
      </c>
      <c r="E4889">
        <v>0</v>
      </c>
      <c r="F4889">
        <v>40</v>
      </c>
      <c r="G4889" t="str">
        <f t="shared" si="84"/>
        <v>21-40</v>
      </c>
      <c r="H4889" t="s">
        <v>23</v>
      </c>
      <c r="I4889" t="s">
        <v>61</v>
      </c>
      <c r="J4889" t="s">
        <v>62</v>
      </c>
      <c r="K4889" t="s">
        <v>42</v>
      </c>
      <c r="L4889">
        <v>1</v>
      </c>
      <c r="M4889">
        <v>1</v>
      </c>
      <c r="N4889">
        <v>3.9</v>
      </c>
      <c r="O4889">
        <v>7.3</v>
      </c>
      <c r="P4889">
        <v>3</v>
      </c>
      <c r="Q4889">
        <v>7</v>
      </c>
      <c r="R4889">
        <v>779509</v>
      </c>
      <c r="S4889">
        <f>Table1[[#This Row],[Revenue]]-Table1[[#This Row],[Operating_Costs]]</f>
        <v>216214</v>
      </c>
      <c r="T4889">
        <v>563295</v>
      </c>
      <c r="U4889">
        <v>60</v>
      </c>
      <c r="V4889">
        <v>64</v>
      </c>
      <c r="W4889">
        <v>6.3</v>
      </c>
    </row>
    <row r="4890" spans="1:23" x14ac:dyDescent="0.25">
      <c r="A4890">
        <v>15</v>
      </c>
      <c r="B4890" t="s">
        <v>45</v>
      </c>
      <c r="C4890" s="1">
        <v>44838</v>
      </c>
      <c r="D4890" t="s">
        <v>71</v>
      </c>
      <c r="E4890">
        <v>0</v>
      </c>
      <c r="F4890">
        <v>60</v>
      </c>
      <c r="G4890" t="str">
        <f t="shared" si="84"/>
        <v>41-60</v>
      </c>
      <c r="H4890" t="s">
        <v>35</v>
      </c>
      <c r="I4890" t="s">
        <v>36</v>
      </c>
      <c r="J4890" t="s">
        <v>37</v>
      </c>
      <c r="K4890" t="s">
        <v>42</v>
      </c>
      <c r="L4890">
        <v>1</v>
      </c>
      <c r="M4890">
        <v>1</v>
      </c>
      <c r="N4890">
        <v>5.9</v>
      </c>
      <c r="O4890">
        <v>7</v>
      </c>
      <c r="P4890">
        <v>3</v>
      </c>
      <c r="Q4890">
        <v>7</v>
      </c>
      <c r="R4890">
        <v>743388</v>
      </c>
      <c r="S4890">
        <f>Table1[[#This Row],[Revenue]]-Table1[[#This Row],[Operating_Costs]]</f>
        <v>94117</v>
      </c>
      <c r="T4890">
        <v>649271</v>
      </c>
      <c r="U4890">
        <v>53</v>
      </c>
      <c r="V4890">
        <v>59</v>
      </c>
      <c r="W4890">
        <v>13.7</v>
      </c>
    </row>
    <row r="4891" spans="1:23" x14ac:dyDescent="0.25">
      <c r="A4891">
        <v>15</v>
      </c>
      <c r="B4891" t="s">
        <v>45</v>
      </c>
      <c r="C4891" s="1">
        <v>45135</v>
      </c>
      <c r="D4891" t="s">
        <v>71</v>
      </c>
      <c r="E4891">
        <v>0</v>
      </c>
      <c r="F4891">
        <v>65</v>
      </c>
      <c r="G4891" t="str">
        <f t="shared" si="84"/>
        <v>61-80</v>
      </c>
      <c r="H4891" t="s">
        <v>23</v>
      </c>
      <c r="I4891" t="s">
        <v>24</v>
      </c>
      <c r="J4891" t="s">
        <v>25</v>
      </c>
      <c r="K4891" t="s">
        <v>38</v>
      </c>
      <c r="L4891">
        <v>1</v>
      </c>
      <c r="M4891">
        <v>1</v>
      </c>
      <c r="N4891">
        <v>1.3</v>
      </c>
      <c r="O4891">
        <v>8.8000000000000007</v>
      </c>
      <c r="P4891">
        <v>6</v>
      </c>
      <c r="Q4891">
        <v>7</v>
      </c>
      <c r="R4891">
        <v>726230</v>
      </c>
      <c r="S4891">
        <f>Table1[[#This Row],[Revenue]]-Table1[[#This Row],[Operating_Costs]]</f>
        <v>219213</v>
      </c>
      <c r="T4891">
        <v>507017</v>
      </c>
      <c r="U4891">
        <v>60</v>
      </c>
      <c r="V4891">
        <v>56</v>
      </c>
      <c r="W4891">
        <v>10.4</v>
      </c>
    </row>
    <row r="4892" spans="1:23" x14ac:dyDescent="0.25">
      <c r="A4892">
        <v>15</v>
      </c>
      <c r="B4892" t="s">
        <v>45</v>
      </c>
      <c r="C4892" s="1">
        <v>44624</v>
      </c>
      <c r="D4892" t="s">
        <v>71</v>
      </c>
      <c r="E4892">
        <v>0</v>
      </c>
      <c r="F4892">
        <v>79</v>
      </c>
      <c r="G4892" t="str">
        <f t="shared" si="84"/>
        <v>61-80</v>
      </c>
      <c r="H4892" t="s">
        <v>35</v>
      </c>
      <c r="I4892" t="s">
        <v>60</v>
      </c>
      <c r="J4892" t="s">
        <v>59</v>
      </c>
      <c r="K4892" t="s">
        <v>26</v>
      </c>
      <c r="L4892">
        <v>1</v>
      </c>
      <c r="M4892">
        <v>1</v>
      </c>
      <c r="N4892">
        <v>2</v>
      </c>
      <c r="O4892">
        <v>8</v>
      </c>
      <c r="P4892">
        <v>6</v>
      </c>
      <c r="Q4892">
        <v>4</v>
      </c>
      <c r="R4892">
        <v>753814</v>
      </c>
      <c r="S4892">
        <f>Table1[[#This Row],[Revenue]]-Table1[[#This Row],[Operating_Costs]]</f>
        <v>249422</v>
      </c>
      <c r="T4892">
        <v>504392</v>
      </c>
      <c r="U4892">
        <v>56</v>
      </c>
      <c r="V4892">
        <v>58</v>
      </c>
      <c r="W4892">
        <v>10.4</v>
      </c>
    </row>
    <row r="4893" spans="1:23" x14ac:dyDescent="0.25">
      <c r="A4893">
        <v>15</v>
      </c>
      <c r="B4893" t="s">
        <v>45</v>
      </c>
      <c r="C4893" s="1">
        <v>45303</v>
      </c>
      <c r="D4893" t="s">
        <v>71</v>
      </c>
      <c r="E4893">
        <v>0</v>
      </c>
      <c r="F4893">
        <v>72</v>
      </c>
      <c r="G4893" t="str">
        <f t="shared" si="84"/>
        <v>61-80</v>
      </c>
      <c r="H4893" t="s">
        <v>23</v>
      </c>
      <c r="I4893" t="s">
        <v>46</v>
      </c>
      <c r="J4893" t="s">
        <v>47</v>
      </c>
      <c r="K4893" t="s">
        <v>33</v>
      </c>
      <c r="L4893">
        <v>1</v>
      </c>
      <c r="M4893">
        <v>1</v>
      </c>
      <c r="N4893">
        <v>2.1</v>
      </c>
      <c r="O4893">
        <v>9.1</v>
      </c>
      <c r="P4893">
        <v>7</v>
      </c>
      <c r="Q4893">
        <v>6</v>
      </c>
      <c r="R4893">
        <v>780418</v>
      </c>
      <c r="S4893">
        <f>Table1[[#This Row],[Revenue]]-Table1[[#This Row],[Operating_Costs]]</f>
        <v>199935</v>
      </c>
      <c r="T4893">
        <v>580483</v>
      </c>
      <c r="U4893">
        <v>52</v>
      </c>
      <c r="V4893">
        <v>54</v>
      </c>
      <c r="W4893">
        <v>13.1</v>
      </c>
    </row>
    <row r="4894" spans="1:23" x14ac:dyDescent="0.25">
      <c r="A4894">
        <v>15</v>
      </c>
      <c r="B4894" t="s">
        <v>45</v>
      </c>
      <c r="C4894" s="1">
        <v>45646</v>
      </c>
      <c r="D4894" t="s">
        <v>71</v>
      </c>
      <c r="E4894">
        <v>0</v>
      </c>
      <c r="F4894">
        <v>25</v>
      </c>
      <c r="G4894" t="str">
        <f t="shared" si="84"/>
        <v>21-40</v>
      </c>
      <c r="H4894" t="s">
        <v>35</v>
      </c>
      <c r="I4894" t="s">
        <v>36</v>
      </c>
      <c r="J4894" t="s">
        <v>37</v>
      </c>
      <c r="K4894" t="s">
        <v>42</v>
      </c>
      <c r="L4894">
        <v>1</v>
      </c>
      <c r="M4894">
        <v>1</v>
      </c>
      <c r="N4894">
        <v>5.0999999999999996</v>
      </c>
      <c r="O4894">
        <v>8.1</v>
      </c>
      <c r="P4894">
        <v>3</v>
      </c>
      <c r="Q4894">
        <v>5</v>
      </c>
      <c r="R4894">
        <v>723451</v>
      </c>
      <c r="S4894">
        <f>Table1[[#This Row],[Revenue]]-Table1[[#This Row],[Operating_Costs]]</f>
        <v>134408</v>
      </c>
      <c r="T4894">
        <v>589043</v>
      </c>
      <c r="U4894">
        <v>37</v>
      </c>
      <c r="V4894">
        <v>56</v>
      </c>
      <c r="W4894">
        <v>14.4</v>
      </c>
    </row>
    <row r="4895" spans="1:23" x14ac:dyDescent="0.25">
      <c r="A4895">
        <v>15</v>
      </c>
      <c r="B4895" t="s">
        <v>45</v>
      </c>
      <c r="C4895" s="1">
        <v>44403</v>
      </c>
      <c r="D4895" t="s">
        <v>71</v>
      </c>
      <c r="E4895">
        <v>0</v>
      </c>
      <c r="F4895">
        <v>76</v>
      </c>
      <c r="G4895" t="str">
        <f t="shared" si="84"/>
        <v>61-80</v>
      </c>
      <c r="H4895" t="s">
        <v>35</v>
      </c>
      <c r="I4895" t="s">
        <v>50</v>
      </c>
      <c r="J4895" t="s">
        <v>51</v>
      </c>
      <c r="K4895" t="s">
        <v>33</v>
      </c>
      <c r="L4895">
        <v>1</v>
      </c>
      <c r="M4895">
        <v>1</v>
      </c>
      <c r="N4895">
        <v>5.4</v>
      </c>
      <c r="O4895">
        <v>9.1</v>
      </c>
      <c r="P4895">
        <v>6</v>
      </c>
      <c r="Q4895">
        <v>3</v>
      </c>
      <c r="R4895">
        <v>737685</v>
      </c>
      <c r="S4895">
        <f>Table1[[#This Row],[Revenue]]-Table1[[#This Row],[Operating_Costs]]</f>
        <v>130658</v>
      </c>
      <c r="T4895">
        <v>607027</v>
      </c>
      <c r="U4895">
        <v>54</v>
      </c>
      <c r="V4895">
        <v>63</v>
      </c>
      <c r="W4895">
        <v>8.6999999999999993</v>
      </c>
    </row>
    <row r="4896" spans="1:23" x14ac:dyDescent="0.25">
      <c r="A4896">
        <v>15</v>
      </c>
      <c r="B4896" t="s">
        <v>45</v>
      </c>
      <c r="C4896" s="1">
        <v>45366</v>
      </c>
      <c r="D4896" t="s">
        <v>71</v>
      </c>
      <c r="E4896">
        <v>0</v>
      </c>
      <c r="F4896">
        <v>28</v>
      </c>
      <c r="G4896" t="str">
        <f t="shared" si="84"/>
        <v>21-40</v>
      </c>
      <c r="H4896" t="s">
        <v>35</v>
      </c>
      <c r="I4896" t="s">
        <v>27</v>
      </c>
      <c r="J4896" t="s">
        <v>28</v>
      </c>
      <c r="K4896" t="s">
        <v>38</v>
      </c>
      <c r="L4896">
        <v>1</v>
      </c>
      <c r="M4896">
        <v>1</v>
      </c>
      <c r="N4896">
        <v>1.4</v>
      </c>
      <c r="O4896">
        <v>7.3</v>
      </c>
      <c r="P4896">
        <v>7</v>
      </c>
      <c r="Q4896">
        <v>7</v>
      </c>
      <c r="R4896">
        <v>762751</v>
      </c>
      <c r="S4896">
        <f>Table1[[#This Row],[Revenue]]-Table1[[#This Row],[Operating_Costs]]</f>
        <v>114956</v>
      </c>
      <c r="T4896">
        <v>647795</v>
      </c>
      <c r="U4896">
        <v>30</v>
      </c>
      <c r="V4896">
        <v>59</v>
      </c>
      <c r="W4896">
        <v>36.200000000000003</v>
      </c>
    </row>
    <row r="4897" spans="1:23" x14ac:dyDescent="0.25">
      <c r="A4897">
        <v>15</v>
      </c>
      <c r="B4897" t="s">
        <v>45</v>
      </c>
      <c r="C4897" s="1">
        <v>44961</v>
      </c>
      <c r="D4897" t="s">
        <v>71</v>
      </c>
      <c r="E4897">
        <v>0</v>
      </c>
      <c r="F4897">
        <v>71</v>
      </c>
      <c r="G4897" t="str">
        <f t="shared" si="84"/>
        <v>61-80</v>
      </c>
      <c r="H4897" t="s">
        <v>35</v>
      </c>
      <c r="I4897" t="s">
        <v>40</v>
      </c>
      <c r="J4897" t="s">
        <v>41</v>
      </c>
      <c r="K4897" t="s">
        <v>29</v>
      </c>
      <c r="L4897">
        <v>1</v>
      </c>
      <c r="M4897">
        <v>1</v>
      </c>
      <c r="N4897">
        <v>6</v>
      </c>
      <c r="O4897">
        <v>7.9</v>
      </c>
      <c r="P4897">
        <v>5</v>
      </c>
      <c r="Q4897">
        <v>5</v>
      </c>
      <c r="R4897">
        <v>729568</v>
      </c>
      <c r="S4897">
        <f>Table1[[#This Row],[Revenue]]-Table1[[#This Row],[Operating_Costs]]</f>
        <v>192423</v>
      </c>
      <c r="T4897">
        <v>537145</v>
      </c>
      <c r="U4897">
        <v>46</v>
      </c>
      <c r="V4897">
        <v>61</v>
      </c>
      <c r="W4897">
        <v>10.4</v>
      </c>
    </row>
    <row r="4898" spans="1:23" x14ac:dyDescent="0.25">
      <c r="A4898">
        <v>15</v>
      </c>
      <c r="B4898" t="s">
        <v>45</v>
      </c>
      <c r="C4898" s="1">
        <v>45457</v>
      </c>
      <c r="D4898" t="s">
        <v>71</v>
      </c>
      <c r="E4898">
        <v>0</v>
      </c>
      <c r="F4898">
        <v>62</v>
      </c>
      <c r="G4898" t="str">
        <f t="shared" si="84"/>
        <v>61-80</v>
      </c>
      <c r="H4898" t="s">
        <v>35</v>
      </c>
      <c r="I4898" t="s">
        <v>55</v>
      </c>
      <c r="J4898" t="s">
        <v>56</v>
      </c>
      <c r="K4898" t="s">
        <v>26</v>
      </c>
      <c r="L4898">
        <v>1</v>
      </c>
      <c r="M4898">
        <v>1</v>
      </c>
      <c r="N4898">
        <v>5.8</v>
      </c>
      <c r="O4898">
        <v>9.1999999999999993</v>
      </c>
      <c r="P4898">
        <v>3</v>
      </c>
      <c r="Q4898">
        <v>3</v>
      </c>
      <c r="R4898">
        <v>738843</v>
      </c>
      <c r="S4898">
        <f>Table1[[#This Row],[Revenue]]-Table1[[#This Row],[Operating_Costs]]</f>
        <v>238830</v>
      </c>
      <c r="T4898">
        <v>500013</v>
      </c>
      <c r="U4898">
        <v>45</v>
      </c>
      <c r="V4898">
        <v>62</v>
      </c>
      <c r="W4898">
        <v>13.5</v>
      </c>
    </row>
    <row r="4899" spans="1:23" x14ac:dyDescent="0.25">
      <c r="A4899">
        <v>15</v>
      </c>
      <c r="B4899" t="s">
        <v>45</v>
      </c>
      <c r="C4899" s="1">
        <v>44974</v>
      </c>
      <c r="D4899" t="s">
        <v>71</v>
      </c>
      <c r="E4899">
        <v>0</v>
      </c>
      <c r="F4899">
        <v>85</v>
      </c>
      <c r="G4899" t="str">
        <f t="shared" si="84"/>
        <v>81+</v>
      </c>
      <c r="H4899" t="s">
        <v>23</v>
      </c>
      <c r="I4899" t="s">
        <v>64</v>
      </c>
      <c r="J4899" t="s">
        <v>65</v>
      </c>
      <c r="K4899" t="s">
        <v>29</v>
      </c>
      <c r="L4899">
        <v>1</v>
      </c>
      <c r="M4899">
        <v>1</v>
      </c>
      <c r="N4899">
        <v>6</v>
      </c>
      <c r="O4899">
        <v>8.8000000000000007</v>
      </c>
      <c r="P4899">
        <v>6</v>
      </c>
      <c r="Q4899">
        <v>7</v>
      </c>
      <c r="R4899">
        <v>770534</v>
      </c>
      <c r="S4899">
        <f>Table1[[#This Row],[Revenue]]-Table1[[#This Row],[Operating_Costs]]</f>
        <v>73853</v>
      </c>
      <c r="T4899">
        <v>696681</v>
      </c>
      <c r="U4899">
        <v>55</v>
      </c>
      <c r="V4899">
        <v>60</v>
      </c>
      <c r="W4899">
        <v>6.4</v>
      </c>
    </row>
    <row r="4900" spans="1:23" x14ac:dyDescent="0.25">
      <c r="A4900">
        <v>15</v>
      </c>
      <c r="B4900" t="s">
        <v>45</v>
      </c>
      <c r="C4900" s="1">
        <v>44993</v>
      </c>
      <c r="D4900" t="s">
        <v>71</v>
      </c>
      <c r="E4900">
        <v>0</v>
      </c>
      <c r="F4900">
        <v>89</v>
      </c>
      <c r="G4900" t="str">
        <f t="shared" si="84"/>
        <v>81+</v>
      </c>
      <c r="H4900" t="s">
        <v>35</v>
      </c>
      <c r="I4900" t="s">
        <v>40</v>
      </c>
      <c r="J4900" t="s">
        <v>41</v>
      </c>
      <c r="K4900" t="s">
        <v>42</v>
      </c>
      <c r="L4900">
        <v>1</v>
      </c>
      <c r="M4900">
        <v>1</v>
      </c>
      <c r="N4900">
        <v>4.2</v>
      </c>
      <c r="O4900">
        <v>8</v>
      </c>
      <c r="P4900">
        <v>6</v>
      </c>
      <c r="Q4900">
        <v>7</v>
      </c>
      <c r="R4900">
        <v>772706</v>
      </c>
      <c r="S4900">
        <f>Table1[[#This Row],[Revenue]]-Table1[[#This Row],[Operating_Costs]]</f>
        <v>270890</v>
      </c>
      <c r="T4900">
        <v>501816</v>
      </c>
      <c r="U4900">
        <v>47</v>
      </c>
      <c r="V4900">
        <v>54</v>
      </c>
      <c r="W4900">
        <v>6.6</v>
      </c>
    </row>
    <row r="4901" spans="1:23" x14ac:dyDescent="0.25">
      <c r="A4901">
        <v>15</v>
      </c>
      <c r="B4901" t="s">
        <v>45</v>
      </c>
      <c r="C4901" s="1">
        <v>44374</v>
      </c>
      <c r="D4901" t="s">
        <v>71</v>
      </c>
      <c r="E4901">
        <v>0</v>
      </c>
      <c r="F4901">
        <v>64</v>
      </c>
      <c r="G4901" t="str">
        <f t="shared" si="84"/>
        <v>61-80</v>
      </c>
      <c r="H4901" t="s">
        <v>35</v>
      </c>
      <c r="I4901" t="s">
        <v>46</v>
      </c>
      <c r="J4901" t="s">
        <v>47</v>
      </c>
      <c r="K4901" t="s">
        <v>26</v>
      </c>
      <c r="L4901">
        <v>1</v>
      </c>
      <c r="M4901">
        <v>1</v>
      </c>
      <c r="N4901">
        <v>2.9</v>
      </c>
      <c r="O4901">
        <v>8.6</v>
      </c>
      <c r="P4901">
        <v>6</v>
      </c>
      <c r="Q4901">
        <v>4</v>
      </c>
      <c r="R4901">
        <v>731674</v>
      </c>
      <c r="S4901">
        <f>Table1[[#This Row],[Revenue]]-Table1[[#This Row],[Operating_Costs]]</f>
        <v>116847</v>
      </c>
      <c r="T4901">
        <v>614827</v>
      </c>
      <c r="U4901">
        <v>36</v>
      </c>
      <c r="V4901">
        <v>59</v>
      </c>
      <c r="W4901">
        <v>8.4</v>
      </c>
    </row>
    <row r="4902" spans="1:23" x14ac:dyDescent="0.25">
      <c r="A4902">
        <v>15</v>
      </c>
      <c r="B4902" t="s">
        <v>45</v>
      </c>
      <c r="C4902" s="1">
        <v>44216</v>
      </c>
      <c r="D4902" t="s">
        <v>71</v>
      </c>
      <c r="E4902">
        <v>0</v>
      </c>
      <c r="F4902">
        <v>35</v>
      </c>
      <c r="G4902" t="str">
        <f t="shared" si="84"/>
        <v>21-40</v>
      </c>
      <c r="H4902" t="s">
        <v>35</v>
      </c>
      <c r="I4902" t="s">
        <v>46</v>
      </c>
      <c r="J4902" t="s">
        <v>47</v>
      </c>
      <c r="K4902" t="s">
        <v>26</v>
      </c>
      <c r="L4902">
        <v>1</v>
      </c>
      <c r="M4902">
        <v>1</v>
      </c>
      <c r="N4902">
        <v>4.5999999999999996</v>
      </c>
      <c r="O4902">
        <v>8.1</v>
      </c>
      <c r="P4902">
        <v>3</v>
      </c>
      <c r="Q4902">
        <v>4</v>
      </c>
      <c r="R4902">
        <v>777667</v>
      </c>
      <c r="S4902">
        <f>Table1[[#This Row],[Revenue]]-Table1[[#This Row],[Operating_Costs]]</f>
        <v>188793</v>
      </c>
      <c r="T4902">
        <v>588874</v>
      </c>
      <c r="U4902">
        <v>41</v>
      </c>
      <c r="V4902">
        <v>56</v>
      </c>
      <c r="W4902">
        <v>36</v>
      </c>
    </row>
    <row r="4903" spans="1:23" x14ac:dyDescent="0.25">
      <c r="A4903">
        <v>15</v>
      </c>
      <c r="B4903" t="s">
        <v>45</v>
      </c>
      <c r="C4903" s="1">
        <v>45239</v>
      </c>
      <c r="D4903" t="s">
        <v>71</v>
      </c>
      <c r="E4903">
        <v>0</v>
      </c>
      <c r="F4903">
        <v>54</v>
      </c>
      <c r="G4903" t="str">
        <f t="shared" si="84"/>
        <v>41-60</v>
      </c>
      <c r="H4903" t="s">
        <v>35</v>
      </c>
      <c r="I4903" t="s">
        <v>31</v>
      </c>
      <c r="J4903" t="s">
        <v>28</v>
      </c>
      <c r="K4903" t="s">
        <v>29</v>
      </c>
      <c r="L4903">
        <v>1</v>
      </c>
      <c r="M4903">
        <v>1</v>
      </c>
      <c r="N4903">
        <v>6</v>
      </c>
      <c r="O4903">
        <v>7.6</v>
      </c>
      <c r="P4903">
        <v>5</v>
      </c>
      <c r="Q4903">
        <v>6</v>
      </c>
      <c r="R4903">
        <v>725023</v>
      </c>
      <c r="S4903">
        <f>Table1[[#This Row],[Revenue]]-Table1[[#This Row],[Operating_Costs]]</f>
        <v>33105</v>
      </c>
      <c r="T4903">
        <v>691918</v>
      </c>
      <c r="U4903">
        <v>43</v>
      </c>
      <c r="V4903">
        <v>62</v>
      </c>
      <c r="W4903">
        <v>8.9</v>
      </c>
    </row>
    <row r="4904" spans="1:23" x14ac:dyDescent="0.25">
      <c r="A4904">
        <v>15</v>
      </c>
      <c r="B4904" t="s">
        <v>45</v>
      </c>
      <c r="C4904" s="1">
        <v>45140</v>
      </c>
      <c r="D4904" t="s">
        <v>71</v>
      </c>
      <c r="E4904">
        <v>0</v>
      </c>
      <c r="F4904">
        <v>75</v>
      </c>
      <c r="G4904" t="str">
        <f t="shared" si="84"/>
        <v>61-80</v>
      </c>
      <c r="H4904" t="s">
        <v>23</v>
      </c>
      <c r="I4904" t="s">
        <v>27</v>
      </c>
      <c r="J4904" t="s">
        <v>28</v>
      </c>
      <c r="K4904" t="s">
        <v>29</v>
      </c>
      <c r="L4904">
        <v>1</v>
      </c>
      <c r="M4904">
        <v>1</v>
      </c>
      <c r="N4904">
        <v>1.3</v>
      </c>
      <c r="O4904">
        <v>8.6999999999999993</v>
      </c>
      <c r="P4904">
        <v>4</v>
      </c>
      <c r="Q4904">
        <v>7</v>
      </c>
      <c r="R4904">
        <v>790142</v>
      </c>
      <c r="S4904">
        <f>Table1[[#This Row],[Revenue]]-Table1[[#This Row],[Operating_Costs]]</f>
        <v>281894</v>
      </c>
      <c r="T4904">
        <v>508248</v>
      </c>
      <c r="U4904">
        <v>35</v>
      </c>
      <c r="V4904">
        <v>54</v>
      </c>
      <c r="W4904">
        <v>36.200000000000003</v>
      </c>
    </row>
    <row r="4905" spans="1:23" x14ac:dyDescent="0.25">
      <c r="A4905">
        <v>15</v>
      </c>
      <c r="B4905" t="s">
        <v>45</v>
      </c>
      <c r="C4905" s="1">
        <v>44913</v>
      </c>
      <c r="D4905" t="s">
        <v>71</v>
      </c>
      <c r="E4905">
        <v>0</v>
      </c>
      <c r="F4905">
        <v>45</v>
      </c>
      <c r="G4905" t="str">
        <f t="shared" si="84"/>
        <v>41-60</v>
      </c>
      <c r="H4905" t="s">
        <v>35</v>
      </c>
      <c r="I4905" t="s">
        <v>31</v>
      </c>
      <c r="J4905" t="s">
        <v>28</v>
      </c>
      <c r="K4905" t="s">
        <v>33</v>
      </c>
      <c r="L4905">
        <v>1</v>
      </c>
      <c r="M4905">
        <v>1</v>
      </c>
      <c r="N4905">
        <v>1.4</v>
      </c>
      <c r="O4905">
        <v>8</v>
      </c>
      <c r="P4905">
        <v>5</v>
      </c>
      <c r="Q4905">
        <v>4</v>
      </c>
      <c r="R4905">
        <v>731736</v>
      </c>
      <c r="S4905">
        <f>Table1[[#This Row],[Revenue]]-Table1[[#This Row],[Operating_Costs]]</f>
        <v>35158</v>
      </c>
      <c r="T4905">
        <v>696578</v>
      </c>
      <c r="U4905">
        <v>32</v>
      </c>
      <c r="V4905">
        <v>54</v>
      </c>
      <c r="W4905">
        <v>36.299999999999997</v>
      </c>
    </row>
    <row r="4906" spans="1:23" x14ac:dyDescent="0.25">
      <c r="A4906">
        <v>15</v>
      </c>
      <c r="B4906" t="s">
        <v>45</v>
      </c>
      <c r="C4906" s="1">
        <v>44554</v>
      </c>
      <c r="D4906" t="s">
        <v>71</v>
      </c>
      <c r="E4906">
        <v>0</v>
      </c>
      <c r="F4906">
        <v>56</v>
      </c>
      <c r="G4906" t="str">
        <f t="shared" si="84"/>
        <v>41-60</v>
      </c>
      <c r="H4906" t="s">
        <v>35</v>
      </c>
      <c r="I4906" t="s">
        <v>36</v>
      </c>
      <c r="J4906" t="s">
        <v>37</v>
      </c>
      <c r="K4906" t="s">
        <v>42</v>
      </c>
      <c r="L4906">
        <v>1</v>
      </c>
      <c r="M4906">
        <v>1</v>
      </c>
      <c r="N4906">
        <v>5.8</v>
      </c>
      <c r="O4906">
        <v>8</v>
      </c>
      <c r="P4906">
        <v>5</v>
      </c>
      <c r="Q4906">
        <v>6</v>
      </c>
      <c r="R4906">
        <v>773578</v>
      </c>
      <c r="S4906">
        <f>Table1[[#This Row],[Revenue]]-Table1[[#This Row],[Operating_Costs]]</f>
        <v>254521</v>
      </c>
      <c r="T4906">
        <v>519057</v>
      </c>
      <c r="U4906">
        <v>52</v>
      </c>
      <c r="V4906">
        <v>55</v>
      </c>
      <c r="W4906">
        <v>9.6</v>
      </c>
    </row>
    <row r="4907" spans="1:23" x14ac:dyDescent="0.25">
      <c r="A4907">
        <v>15</v>
      </c>
      <c r="B4907" t="s">
        <v>45</v>
      </c>
      <c r="C4907" s="1">
        <v>45448</v>
      </c>
      <c r="D4907" t="s">
        <v>71</v>
      </c>
      <c r="E4907">
        <v>0</v>
      </c>
      <c r="F4907">
        <v>46</v>
      </c>
      <c r="G4907" t="str">
        <f t="shared" si="84"/>
        <v>41-60</v>
      </c>
      <c r="H4907" t="s">
        <v>35</v>
      </c>
      <c r="I4907" t="s">
        <v>31</v>
      </c>
      <c r="J4907" t="s">
        <v>28</v>
      </c>
      <c r="K4907" t="s">
        <v>26</v>
      </c>
      <c r="L4907">
        <v>1</v>
      </c>
      <c r="M4907">
        <v>1</v>
      </c>
      <c r="N4907">
        <v>5</v>
      </c>
      <c r="O4907">
        <v>9.6999999999999993</v>
      </c>
      <c r="P4907">
        <v>4</v>
      </c>
      <c r="Q4907">
        <v>7</v>
      </c>
      <c r="R4907">
        <v>769186</v>
      </c>
      <c r="S4907">
        <f>Table1[[#This Row],[Revenue]]-Table1[[#This Row],[Operating_Costs]]</f>
        <v>225013</v>
      </c>
      <c r="T4907">
        <v>544173</v>
      </c>
      <c r="U4907">
        <v>36</v>
      </c>
      <c r="V4907">
        <v>56</v>
      </c>
      <c r="W4907">
        <v>8.1</v>
      </c>
    </row>
    <row r="4908" spans="1:23" x14ac:dyDescent="0.25">
      <c r="A4908">
        <v>15</v>
      </c>
      <c r="B4908" t="s">
        <v>45</v>
      </c>
      <c r="C4908" s="1">
        <v>45449</v>
      </c>
      <c r="D4908" t="s">
        <v>71</v>
      </c>
      <c r="E4908">
        <v>0</v>
      </c>
      <c r="F4908">
        <v>72</v>
      </c>
      <c r="G4908" t="str">
        <f t="shared" si="84"/>
        <v>61-80</v>
      </c>
      <c r="H4908" t="s">
        <v>35</v>
      </c>
      <c r="I4908" t="s">
        <v>31</v>
      </c>
      <c r="J4908" t="s">
        <v>28</v>
      </c>
      <c r="K4908" t="s">
        <v>33</v>
      </c>
      <c r="L4908">
        <v>1</v>
      </c>
      <c r="M4908">
        <v>1</v>
      </c>
      <c r="N4908">
        <v>1.6</v>
      </c>
      <c r="O4908">
        <v>8.8000000000000007</v>
      </c>
      <c r="P4908">
        <v>5</v>
      </c>
      <c r="Q4908">
        <v>5</v>
      </c>
      <c r="R4908">
        <v>730739</v>
      </c>
      <c r="S4908">
        <f>Table1[[#This Row],[Revenue]]-Table1[[#This Row],[Operating_Costs]]</f>
        <v>41254</v>
      </c>
      <c r="T4908">
        <v>689485</v>
      </c>
      <c r="U4908">
        <v>31</v>
      </c>
      <c r="V4908">
        <v>54</v>
      </c>
      <c r="W4908">
        <v>13</v>
      </c>
    </row>
    <row r="4909" spans="1:23" x14ac:dyDescent="0.25">
      <c r="A4909">
        <v>15</v>
      </c>
      <c r="B4909" t="s">
        <v>45</v>
      </c>
      <c r="C4909" s="1">
        <v>45587</v>
      </c>
      <c r="D4909" t="s">
        <v>71</v>
      </c>
      <c r="E4909">
        <v>0</v>
      </c>
      <c r="F4909">
        <v>40</v>
      </c>
      <c r="G4909" t="str">
        <f t="shared" si="84"/>
        <v>21-40</v>
      </c>
      <c r="H4909" t="s">
        <v>23</v>
      </c>
      <c r="I4909" t="s">
        <v>55</v>
      </c>
      <c r="J4909" t="s">
        <v>56</v>
      </c>
      <c r="K4909" t="s">
        <v>29</v>
      </c>
      <c r="L4909">
        <v>1</v>
      </c>
      <c r="M4909">
        <v>1</v>
      </c>
      <c r="N4909">
        <v>4.2</v>
      </c>
      <c r="O4909">
        <v>8.8000000000000007</v>
      </c>
      <c r="P4909">
        <v>6</v>
      </c>
      <c r="Q4909">
        <v>5</v>
      </c>
      <c r="R4909">
        <v>746403</v>
      </c>
      <c r="S4909">
        <f>Table1[[#This Row],[Revenue]]-Table1[[#This Row],[Operating_Costs]]</f>
        <v>139706</v>
      </c>
      <c r="T4909">
        <v>606697</v>
      </c>
      <c r="U4909">
        <v>59</v>
      </c>
      <c r="V4909">
        <v>59</v>
      </c>
      <c r="W4909">
        <v>12.8</v>
      </c>
    </row>
    <row r="4910" spans="1:23" x14ac:dyDescent="0.25">
      <c r="A4910">
        <v>15</v>
      </c>
      <c r="B4910" t="s">
        <v>45</v>
      </c>
      <c r="C4910" s="1">
        <v>44880</v>
      </c>
      <c r="D4910" t="s">
        <v>71</v>
      </c>
      <c r="E4910">
        <v>0</v>
      </c>
      <c r="F4910">
        <v>40</v>
      </c>
      <c r="G4910" t="str">
        <f t="shared" si="84"/>
        <v>21-40</v>
      </c>
      <c r="H4910" t="s">
        <v>23</v>
      </c>
      <c r="I4910" t="s">
        <v>67</v>
      </c>
      <c r="J4910" t="s">
        <v>68</v>
      </c>
      <c r="K4910" t="s">
        <v>33</v>
      </c>
      <c r="L4910">
        <v>1</v>
      </c>
      <c r="M4910">
        <v>1</v>
      </c>
      <c r="N4910">
        <v>1.8</v>
      </c>
      <c r="O4910">
        <v>7.8</v>
      </c>
      <c r="P4910">
        <v>3</v>
      </c>
      <c r="Q4910">
        <v>3</v>
      </c>
      <c r="R4910">
        <v>734388</v>
      </c>
      <c r="S4910">
        <f>Table1[[#This Row],[Revenue]]-Table1[[#This Row],[Operating_Costs]]</f>
        <v>122058</v>
      </c>
      <c r="T4910">
        <v>612330</v>
      </c>
      <c r="U4910">
        <v>41</v>
      </c>
      <c r="V4910">
        <v>65</v>
      </c>
      <c r="W4910">
        <v>12.8</v>
      </c>
    </row>
    <row r="4911" spans="1:23" x14ac:dyDescent="0.25">
      <c r="A4911">
        <v>15</v>
      </c>
      <c r="B4911" t="s">
        <v>45</v>
      </c>
      <c r="C4911" s="1">
        <v>44356</v>
      </c>
      <c r="D4911" t="s">
        <v>71</v>
      </c>
      <c r="E4911">
        <v>0</v>
      </c>
      <c r="F4911">
        <v>25</v>
      </c>
      <c r="G4911" t="str">
        <f t="shared" si="84"/>
        <v>21-40</v>
      </c>
      <c r="H4911" t="s">
        <v>23</v>
      </c>
      <c r="I4911" t="s">
        <v>61</v>
      </c>
      <c r="J4911" t="s">
        <v>62</v>
      </c>
      <c r="K4911" t="s">
        <v>38</v>
      </c>
      <c r="L4911">
        <v>1</v>
      </c>
      <c r="M4911">
        <v>1</v>
      </c>
      <c r="N4911">
        <v>7</v>
      </c>
      <c r="O4911">
        <v>8.5</v>
      </c>
      <c r="P4911">
        <v>3</v>
      </c>
      <c r="Q4911">
        <v>5</v>
      </c>
      <c r="R4911">
        <v>734823</v>
      </c>
      <c r="S4911">
        <f>Table1[[#This Row],[Revenue]]-Table1[[#This Row],[Operating_Costs]]</f>
        <v>67239</v>
      </c>
      <c r="T4911">
        <v>667584</v>
      </c>
      <c r="U4911">
        <v>40</v>
      </c>
      <c r="V4911">
        <v>57</v>
      </c>
      <c r="W4911">
        <v>8.1</v>
      </c>
    </row>
    <row r="4912" spans="1:23" x14ac:dyDescent="0.25">
      <c r="A4912">
        <v>15</v>
      </c>
      <c r="B4912" t="s">
        <v>45</v>
      </c>
      <c r="C4912" s="1">
        <v>44864</v>
      </c>
      <c r="D4912" t="s">
        <v>71</v>
      </c>
      <c r="E4912">
        <v>0</v>
      </c>
      <c r="F4912">
        <v>61</v>
      </c>
      <c r="G4912" t="str">
        <f t="shared" si="84"/>
        <v>61-80</v>
      </c>
      <c r="H4912" t="s">
        <v>23</v>
      </c>
      <c r="I4912" t="s">
        <v>43</v>
      </c>
      <c r="J4912" t="s">
        <v>25</v>
      </c>
      <c r="K4912" t="s">
        <v>33</v>
      </c>
      <c r="L4912">
        <v>1</v>
      </c>
      <c r="M4912">
        <v>1</v>
      </c>
      <c r="N4912">
        <v>5.9</v>
      </c>
      <c r="O4912">
        <v>8</v>
      </c>
      <c r="P4912">
        <v>3</v>
      </c>
      <c r="Q4912">
        <v>4</v>
      </c>
      <c r="R4912">
        <v>736531</v>
      </c>
      <c r="S4912">
        <f>Table1[[#This Row],[Revenue]]-Table1[[#This Row],[Operating_Costs]]</f>
        <v>181887</v>
      </c>
      <c r="T4912">
        <v>554644</v>
      </c>
      <c r="U4912">
        <v>38</v>
      </c>
      <c r="V4912">
        <v>63</v>
      </c>
      <c r="W4912">
        <v>7</v>
      </c>
    </row>
    <row r="4913" spans="1:23" x14ac:dyDescent="0.25">
      <c r="A4913">
        <v>15</v>
      </c>
      <c r="B4913" t="s">
        <v>45</v>
      </c>
      <c r="C4913" s="1">
        <v>45619</v>
      </c>
      <c r="D4913" t="s">
        <v>71</v>
      </c>
      <c r="E4913">
        <v>0</v>
      </c>
      <c r="F4913">
        <v>25</v>
      </c>
      <c r="G4913" t="str">
        <f t="shared" si="84"/>
        <v>21-40</v>
      </c>
      <c r="H4913" t="s">
        <v>35</v>
      </c>
      <c r="I4913" t="s">
        <v>53</v>
      </c>
      <c r="J4913" t="s">
        <v>54</v>
      </c>
      <c r="K4913" t="s">
        <v>26</v>
      </c>
      <c r="L4913">
        <v>1</v>
      </c>
      <c r="M4913">
        <v>1</v>
      </c>
      <c r="N4913">
        <v>1.3</v>
      </c>
      <c r="O4913">
        <v>7.2</v>
      </c>
      <c r="P4913">
        <v>5</v>
      </c>
      <c r="Q4913">
        <v>6</v>
      </c>
      <c r="R4913">
        <v>780553</v>
      </c>
      <c r="S4913">
        <f>Table1[[#This Row],[Revenue]]-Table1[[#This Row],[Operating_Costs]]</f>
        <v>239240</v>
      </c>
      <c r="T4913">
        <v>541313</v>
      </c>
      <c r="U4913">
        <v>40</v>
      </c>
      <c r="V4913">
        <v>55</v>
      </c>
      <c r="W4913">
        <v>10.3</v>
      </c>
    </row>
    <row r="4914" spans="1:23" x14ac:dyDescent="0.25">
      <c r="A4914">
        <v>15</v>
      </c>
      <c r="B4914" t="s">
        <v>45</v>
      </c>
      <c r="C4914" s="1">
        <v>45556</v>
      </c>
      <c r="D4914" t="s">
        <v>71</v>
      </c>
      <c r="E4914">
        <v>0</v>
      </c>
      <c r="F4914">
        <v>29</v>
      </c>
      <c r="G4914" t="str">
        <f t="shared" si="84"/>
        <v>21-40</v>
      </c>
      <c r="H4914" t="s">
        <v>35</v>
      </c>
      <c r="I4914" t="s">
        <v>58</v>
      </c>
      <c r="J4914" t="s">
        <v>59</v>
      </c>
      <c r="K4914" t="s">
        <v>26</v>
      </c>
      <c r="L4914">
        <v>1</v>
      </c>
      <c r="M4914">
        <v>1</v>
      </c>
      <c r="N4914">
        <v>2.1</v>
      </c>
      <c r="O4914">
        <v>8.1999999999999993</v>
      </c>
      <c r="P4914">
        <v>5</v>
      </c>
      <c r="Q4914">
        <v>4</v>
      </c>
      <c r="R4914">
        <v>716327</v>
      </c>
      <c r="S4914">
        <f>Table1[[#This Row],[Revenue]]-Table1[[#This Row],[Operating_Costs]]</f>
        <v>33641</v>
      </c>
      <c r="T4914">
        <v>682686</v>
      </c>
      <c r="U4914">
        <v>37</v>
      </c>
      <c r="V4914">
        <v>56</v>
      </c>
      <c r="W4914">
        <v>9.3000000000000007</v>
      </c>
    </row>
    <row r="4915" spans="1:23" x14ac:dyDescent="0.25">
      <c r="A4915">
        <v>15</v>
      </c>
      <c r="B4915" t="s">
        <v>45</v>
      </c>
      <c r="C4915" s="1">
        <v>45517</v>
      </c>
      <c r="D4915" t="s">
        <v>71</v>
      </c>
      <c r="E4915">
        <v>0</v>
      </c>
      <c r="F4915">
        <v>38</v>
      </c>
      <c r="G4915" t="str">
        <f t="shared" si="84"/>
        <v>21-40</v>
      </c>
      <c r="H4915" t="s">
        <v>35</v>
      </c>
      <c r="I4915" t="s">
        <v>53</v>
      </c>
      <c r="J4915" t="s">
        <v>54</v>
      </c>
      <c r="K4915" t="s">
        <v>26</v>
      </c>
      <c r="L4915">
        <v>1</v>
      </c>
      <c r="M4915">
        <v>1</v>
      </c>
      <c r="N4915">
        <v>4.3</v>
      </c>
      <c r="O4915">
        <v>10</v>
      </c>
      <c r="P4915">
        <v>5</v>
      </c>
      <c r="Q4915">
        <v>4</v>
      </c>
      <c r="R4915">
        <v>769173</v>
      </c>
      <c r="S4915">
        <f>Table1[[#This Row],[Revenue]]-Table1[[#This Row],[Operating_Costs]]</f>
        <v>188535</v>
      </c>
      <c r="T4915">
        <v>580638</v>
      </c>
      <c r="U4915">
        <v>33</v>
      </c>
      <c r="V4915">
        <v>66</v>
      </c>
      <c r="W4915">
        <v>36.4</v>
      </c>
    </row>
    <row r="4916" spans="1:23" x14ac:dyDescent="0.25">
      <c r="A4916">
        <v>15</v>
      </c>
      <c r="B4916" t="s">
        <v>45</v>
      </c>
      <c r="C4916" s="1">
        <v>44728</v>
      </c>
      <c r="D4916" t="s">
        <v>71</v>
      </c>
      <c r="E4916">
        <v>0</v>
      </c>
      <c r="F4916">
        <v>29</v>
      </c>
      <c r="G4916" t="str">
        <f t="shared" si="84"/>
        <v>21-40</v>
      </c>
      <c r="H4916" t="s">
        <v>23</v>
      </c>
      <c r="I4916" t="s">
        <v>64</v>
      </c>
      <c r="J4916" t="s">
        <v>65</v>
      </c>
      <c r="K4916" t="s">
        <v>26</v>
      </c>
      <c r="L4916">
        <v>1</v>
      </c>
      <c r="M4916">
        <v>1</v>
      </c>
      <c r="N4916">
        <v>5.2</v>
      </c>
      <c r="O4916">
        <v>7</v>
      </c>
      <c r="P4916">
        <v>5</v>
      </c>
      <c r="Q4916">
        <v>5</v>
      </c>
      <c r="R4916">
        <v>751743</v>
      </c>
      <c r="S4916">
        <f>Table1[[#This Row],[Revenue]]-Table1[[#This Row],[Operating_Costs]]</f>
        <v>181636</v>
      </c>
      <c r="T4916">
        <v>570107</v>
      </c>
      <c r="U4916">
        <v>44</v>
      </c>
      <c r="V4916">
        <v>59</v>
      </c>
      <c r="W4916">
        <v>8.1999999999999993</v>
      </c>
    </row>
    <row r="4917" spans="1:23" x14ac:dyDescent="0.25">
      <c r="A4917">
        <v>15</v>
      </c>
      <c r="B4917" t="s">
        <v>45</v>
      </c>
      <c r="C4917" s="1">
        <v>45498</v>
      </c>
      <c r="D4917" t="s">
        <v>71</v>
      </c>
      <c r="E4917">
        <v>0</v>
      </c>
      <c r="F4917">
        <v>37</v>
      </c>
      <c r="G4917" t="str">
        <f t="shared" si="84"/>
        <v>21-40</v>
      </c>
      <c r="H4917" t="s">
        <v>35</v>
      </c>
      <c r="I4917" t="s">
        <v>55</v>
      </c>
      <c r="J4917" t="s">
        <v>56</v>
      </c>
      <c r="K4917" t="s">
        <v>29</v>
      </c>
      <c r="L4917">
        <v>1</v>
      </c>
      <c r="M4917">
        <v>1</v>
      </c>
      <c r="N4917">
        <v>2.2000000000000002</v>
      </c>
      <c r="O4917">
        <v>8.5</v>
      </c>
      <c r="P4917">
        <v>4</v>
      </c>
      <c r="Q4917">
        <v>5</v>
      </c>
      <c r="R4917">
        <v>730626</v>
      </c>
      <c r="S4917">
        <f>Table1[[#This Row],[Revenue]]-Table1[[#This Row],[Operating_Costs]]</f>
        <v>92606</v>
      </c>
      <c r="T4917">
        <v>638020</v>
      </c>
      <c r="U4917">
        <v>55</v>
      </c>
      <c r="V4917">
        <v>55</v>
      </c>
      <c r="W4917">
        <v>8.4</v>
      </c>
    </row>
    <row r="4918" spans="1:23" x14ac:dyDescent="0.25">
      <c r="A4918">
        <v>15</v>
      </c>
      <c r="B4918" t="s">
        <v>45</v>
      </c>
      <c r="C4918" s="1">
        <v>44731</v>
      </c>
      <c r="D4918" t="s">
        <v>71</v>
      </c>
      <c r="E4918">
        <v>0</v>
      </c>
      <c r="F4918">
        <v>25</v>
      </c>
      <c r="G4918" t="str">
        <f t="shared" si="84"/>
        <v>21-40</v>
      </c>
      <c r="H4918" t="s">
        <v>35</v>
      </c>
      <c r="I4918" t="s">
        <v>55</v>
      </c>
      <c r="J4918" t="s">
        <v>56</v>
      </c>
      <c r="K4918" t="s">
        <v>38</v>
      </c>
      <c r="L4918">
        <v>1</v>
      </c>
      <c r="M4918">
        <v>1</v>
      </c>
      <c r="N4918">
        <v>6.1</v>
      </c>
      <c r="O4918">
        <v>8.3000000000000007</v>
      </c>
      <c r="P4918">
        <v>3</v>
      </c>
      <c r="Q4918">
        <v>7</v>
      </c>
      <c r="R4918">
        <v>789188</v>
      </c>
      <c r="S4918">
        <f>Table1[[#This Row],[Revenue]]-Table1[[#This Row],[Operating_Costs]]</f>
        <v>200485</v>
      </c>
      <c r="T4918">
        <v>588703</v>
      </c>
      <c r="U4918">
        <v>30</v>
      </c>
      <c r="V4918">
        <v>57</v>
      </c>
      <c r="W4918">
        <v>9</v>
      </c>
    </row>
    <row r="4919" spans="1:23" x14ac:dyDescent="0.25">
      <c r="A4919">
        <v>15</v>
      </c>
      <c r="B4919" t="s">
        <v>45</v>
      </c>
      <c r="C4919" s="1">
        <v>44338</v>
      </c>
      <c r="D4919" t="s">
        <v>71</v>
      </c>
      <c r="E4919">
        <v>0</v>
      </c>
      <c r="F4919">
        <v>62</v>
      </c>
      <c r="G4919" t="str">
        <f t="shared" si="84"/>
        <v>61-80</v>
      </c>
      <c r="H4919" t="s">
        <v>23</v>
      </c>
      <c r="I4919" t="s">
        <v>40</v>
      </c>
      <c r="J4919" t="s">
        <v>41</v>
      </c>
      <c r="K4919" t="s">
        <v>29</v>
      </c>
      <c r="L4919">
        <v>1</v>
      </c>
      <c r="M4919">
        <v>1</v>
      </c>
      <c r="N4919">
        <v>6.5</v>
      </c>
      <c r="O4919">
        <v>9.4</v>
      </c>
      <c r="P4919">
        <v>5</v>
      </c>
      <c r="Q4919">
        <v>5</v>
      </c>
      <c r="R4919">
        <v>731871</v>
      </c>
      <c r="S4919">
        <f>Table1[[#This Row],[Revenue]]-Table1[[#This Row],[Operating_Costs]]</f>
        <v>151812</v>
      </c>
      <c r="T4919">
        <v>580059</v>
      </c>
      <c r="U4919">
        <v>48</v>
      </c>
      <c r="V4919">
        <v>60</v>
      </c>
      <c r="W4919">
        <v>13</v>
      </c>
    </row>
    <row r="4920" spans="1:23" x14ac:dyDescent="0.25">
      <c r="A4920">
        <v>15</v>
      </c>
      <c r="B4920" t="s">
        <v>45</v>
      </c>
      <c r="C4920" s="1">
        <v>45495</v>
      </c>
      <c r="D4920" t="s">
        <v>71</v>
      </c>
      <c r="E4920">
        <v>0</v>
      </c>
      <c r="F4920">
        <v>54</v>
      </c>
      <c r="G4920" t="str">
        <f t="shared" si="84"/>
        <v>41-60</v>
      </c>
      <c r="H4920" t="s">
        <v>23</v>
      </c>
      <c r="I4920" t="s">
        <v>46</v>
      </c>
      <c r="J4920" t="s">
        <v>47</v>
      </c>
      <c r="K4920" t="s">
        <v>42</v>
      </c>
      <c r="L4920">
        <v>1</v>
      </c>
      <c r="M4920">
        <v>1</v>
      </c>
      <c r="N4920">
        <v>4</v>
      </c>
      <c r="O4920">
        <v>9.1</v>
      </c>
      <c r="P4920">
        <v>6</v>
      </c>
      <c r="Q4920">
        <v>6</v>
      </c>
      <c r="R4920">
        <v>715670</v>
      </c>
      <c r="S4920">
        <f>Table1[[#This Row],[Revenue]]-Table1[[#This Row],[Operating_Costs]]</f>
        <v>134572</v>
      </c>
      <c r="T4920">
        <v>581098</v>
      </c>
      <c r="U4920">
        <v>59</v>
      </c>
      <c r="V4920">
        <v>62</v>
      </c>
      <c r="W4920">
        <v>6.3</v>
      </c>
    </row>
    <row r="4921" spans="1:23" x14ac:dyDescent="0.25">
      <c r="A4921">
        <v>15</v>
      </c>
      <c r="B4921" t="s">
        <v>45</v>
      </c>
      <c r="C4921" s="1">
        <v>45171</v>
      </c>
      <c r="D4921" t="s">
        <v>71</v>
      </c>
      <c r="E4921">
        <v>0</v>
      </c>
      <c r="F4921">
        <v>49</v>
      </c>
      <c r="G4921" t="str">
        <f t="shared" si="84"/>
        <v>41-60</v>
      </c>
      <c r="H4921" t="s">
        <v>23</v>
      </c>
      <c r="I4921" t="s">
        <v>67</v>
      </c>
      <c r="J4921" t="s">
        <v>68</v>
      </c>
      <c r="K4921" t="s">
        <v>33</v>
      </c>
      <c r="L4921">
        <v>1</v>
      </c>
      <c r="M4921">
        <v>1</v>
      </c>
      <c r="N4921">
        <v>6.2</v>
      </c>
      <c r="O4921">
        <v>7.3</v>
      </c>
      <c r="P4921">
        <v>6</v>
      </c>
      <c r="Q4921">
        <v>7</v>
      </c>
      <c r="R4921">
        <v>756717</v>
      </c>
      <c r="S4921">
        <f>Table1[[#This Row],[Revenue]]-Table1[[#This Row],[Operating_Costs]]</f>
        <v>184524</v>
      </c>
      <c r="T4921">
        <v>572193</v>
      </c>
      <c r="U4921">
        <v>57</v>
      </c>
      <c r="V4921">
        <v>55</v>
      </c>
      <c r="W4921">
        <v>7.5</v>
      </c>
    </row>
    <row r="4922" spans="1:23" x14ac:dyDescent="0.25">
      <c r="A4922">
        <v>15</v>
      </c>
      <c r="B4922" t="s">
        <v>45</v>
      </c>
      <c r="C4922" s="1">
        <v>45349</v>
      </c>
      <c r="D4922" t="s">
        <v>71</v>
      </c>
      <c r="E4922">
        <v>0</v>
      </c>
      <c r="F4922">
        <v>85</v>
      </c>
      <c r="G4922" t="str">
        <f t="shared" si="84"/>
        <v>81+</v>
      </c>
      <c r="H4922" t="s">
        <v>35</v>
      </c>
      <c r="I4922" t="s">
        <v>58</v>
      </c>
      <c r="J4922" t="s">
        <v>59</v>
      </c>
      <c r="K4922" t="s">
        <v>38</v>
      </c>
      <c r="L4922">
        <v>1</v>
      </c>
      <c r="M4922">
        <v>1</v>
      </c>
      <c r="N4922">
        <v>5</v>
      </c>
      <c r="O4922">
        <v>7.3</v>
      </c>
      <c r="P4922">
        <v>7</v>
      </c>
      <c r="Q4922">
        <v>3</v>
      </c>
      <c r="R4922">
        <v>780310</v>
      </c>
      <c r="S4922">
        <f>Table1[[#This Row],[Revenue]]-Table1[[#This Row],[Operating_Costs]]</f>
        <v>156334</v>
      </c>
      <c r="T4922">
        <v>623976</v>
      </c>
      <c r="U4922">
        <v>56</v>
      </c>
      <c r="V4922">
        <v>64</v>
      </c>
      <c r="W4922">
        <v>6.7</v>
      </c>
    </row>
    <row r="4923" spans="1:23" x14ac:dyDescent="0.25">
      <c r="A4923">
        <v>15</v>
      </c>
      <c r="B4923" t="s">
        <v>45</v>
      </c>
      <c r="C4923" s="1">
        <v>45139</v>
      </c>
      <c r="D4923" t="s">
        <v>71</v>
      </c>
      <c r="E4923">
        <v>0</v>
      </c>
      <c r="F4923">
        <v>78</v>
      </c>
      <c r="G4923" t="str">
        <f t="shared" si="84"/>
        <v>61-80</v>
      </c>
      <c r="H4923" t="s">
        <v>35</v>
      </c>
      <c r="I4923" t="s">
        <v>36</v>
      </c>
      <c r="J4923" t="s">
        <v>37</v>
      </c>
      <c r="K4923" t="s">
        <v>38</v>
      </c>
      <c r="L4923">
        <v>1</v>
      </c>
      <c r="M4923">
        <v>1</v>
      </c>
      <c r="N4923">
        <v>6.1</v>
      </c>
      <c r="O4923">
        <v>7.9</v>
      </c>
      <c r="P4923">
        <v>7</v>
      </c>
      <c r="Q4923">
        <v>6</v>
      </c>
      <c r="R4923">
        <v>770914</v>
      </c>
      <c r="S4923">
        <f>Table1[[#This Row],[Revenue]]-Table1[[#This Row],[Operating_Costs]]</f>
        <v>112119</v>
      </c>
      <c r="T4923">
        <v>658795</v>
      </c>
      <c r="U4923">
        <v>45</v>
      </c>
      <c r="V4923">
        <v>61</v>
      </c>
      <c r="W4923">
        <v>5.6</v>
      </c>
    </row>
    <row r="4924" spans="1:23" x14ac:dyDescent="0.25">
      <c r="A4924">
        <v>15</v>
      </c>
      <c r="B4924" t="s">
        <v>45</v>
      </c>
      <c r="C4924" s="1">
        <v>45346</v>
      </c>
      <c r="D4924" t="s">
        <v>71</v>
      </c>
      <c r="E4924">
        <v>0</v>
      </c>
      <c r="F4924">
        <v>70</v>
      </c>
      <c r="G4924" t="str">
        <f t="shared" si="84"/>
        <v>61-80</v>
      </c>
      <c r="H4924" t="s">
        <v>23</v>
      </c>
      <c r="I4924" t="s">
        <v>24</v>
      </c>
      <c r="J4924" t="s">
        <v>25</v>
      </c>
      <c r="K4924" t="s">
        <v>42</v>
      </c>
      <c r="L4924">
        <v>1</v>
      </c>
      <c r="M4924">
        <v>1</v>
      </c>
      <c r="N4924">
        <v>4.7</v>
      </c>
      <c r="O4924">
        <v>7.7</v>
      </c>
      <c r="P4924">
        <v>3</v>
      </c>
      <c r="Q4924">
        <v>6</v>
      </c>
      <c r="R4924">
        <v>720610</v>
      </c>
      <c r="S4924">
        <f>Table1[[#This Row],[Revenue]]-Table1[[#This Row],[Operating_Costs]]</f>
        <v>26286</v>
      </c>
      <c r="T4924">
        <v>694324</v>
      </c>
      <c r="U4924">
        <v>30</v>
      </c>
      <c r="V4924">
        <v>55</v>
      </c>
      <c r="W4924">
        <v>14.6</v>
      </c>
    </row>
    <row r="4925" spans="1:23" x14ac:dyDescent="0.25">
      <c r="A4925">
        <v>15</v>
      </c>
      <c r="B4925" t="s">
        <v>45</v>
      </c>
      <c r="C4925" s="1">
        <v>44993</v>
      </c>
      <c r="D4925" t="s">
        <v>71</v>
      </c>
      <c r="E4925">
        <v>0</v>
      </c>
      <c r="F4925">
        <v>49</v>
      </c>
      <c r="G4925" t="str">
        <f t="shared" si="84"/>
        <v>41-60</v>
      </c>
      <c r="H4925" t="s">
        <v>23</v>
      </c>
      <c r="I4925" t="s">
        <v>31</v>
      </c>
      <c r="J4925" t="s">
        <v>28</v>
      </c>
      <c r="K4925" t="s">
        <v>26</v>
      </c>
      <c r="L4925">
        <v>1</v>
      </c>
      <c r="M4925">
        <v>1</v>
      </c>
      <c r="N4925">
        <v>1.8</v>
      </c>
      <c r="O4925">
        <v>7.6</v>
      </c>
      <c r="P4925">
        <v>3</v>
      </c>
      <c r="Q4925">
        <v>6</v>
      </c>
      <c r="R4925">
        <v>734654</v>
      </c>
      <c r="S4925">
        <f>Table1[[#This Row],[Revenue]]-Table1[[#This Row],[Operating_Costs]]</f>
        <v>122362</v>
      </c>
      <c r="T4925">
        <v>612292</v>
      </c>
      <c r="U4925">
        <v>59</v>
      </c>
      <c r="V4925">
        <v>63</v>
      </c>
      <c r="W4925">
        <v>5.2</v>
      </c>
    </row>
    <row r="4926" spans="1:23" x14ac:dyDescent="0.25">
      <c r="A4926">
        <v>15</v>
      </c>
      <c r="B4926" t="s">
        <v>45</v>
      </c>
      <c r="C4926" s="1">
        <v>44546</v>
      </c>
      <c r="D4926" t="s">
        <v>71</v>
      </c>
      <c r="E4926">
        <v>0</v>
      </c>
      <c r="F4926">
        <v>33</v>
      </c>
      <c r="G4926" t="str">
        <f t="shared" si="84"/>
        <v>21-40</v>
      </c>
      <c r="H4926" t="s">
        <v>23</v>
      </c>
      <c r="I4926" t="s">
        <v>64</v>
      </c>
      <c r="J4926" t="s">
        <v>65</v>
      </c>
      <c r="K4926" t="s">
        <v>29</v>
      </c>
      <c r="L4926">
        <v>1</v>
      </c>
      <c r="M4926">
        <v>1</v>
      </c>
      <c r="N4926">
        <v>1.4</v>
      </c>
      <c r="O4926">
        <v>8</v>
      </c>
      <c r="P4926">
        <v>5</v>
      </c>
      <c r="Q4926">
        <v>4</v>
      </c>
      <c r="R4926">
        <v>744976</v>
      </c>
      <c r="S4926">
        <f>Table1[[#This Row],[Revenue]]-Table1[[#This Row],[Operating_Costs]]</f>
        <v>226707</v>
      </c>
      <c r="T4926">
        <v>518269</v>
      </c>
      <c r="U4926">
        <v>50</v>
      </c>
      <c r="V4926">
        <v>62</v>
      </c>
      <c r="W4926">
        <v>12.9</v>
      </c>
    </row>
    <row r="4927" spans="1:23" x14ac:dyDescent="0.25">
      <c r="A4927">
        <v>15</v>
      </c>
      <c r="B4927" t="s">
        <v>45</v>
      </c>
      <c r="C4927" s="1">
        <v>44397</v>
      </c>
      <c r="D4927" t="s">
        <v>71</v>
      </c>
      <c r="E4927">
        <v>0</v>
      </c>
      <c r="F4927">
        <v>27</v>
      </c>
      <c r="G4927" t="str">
        <f t="shared" si="84"/>
        <v>21-40</v>
      </c>
      <c r="H4927" t="s">
        <v>35</v>
      </c>
      <c r="I4927" t="s">
        <v>61</v>
      </c>
      <c r="J4927" t="s">
        <v>62</v>
      </c>
      <c r="K4927" t="s">
        <v>42</v>
      </c>
      <c r="L4927">
        <v>1</v>
      </c>
      <c r="M4927">
        <v>1</v>
      </c>
      <c r="N4927">
        <v>5.2</v>
      </c>
      <c r="O4927">
        <v>8.4</v>
      </c>
      <c r="P4927">
        <v>7</v>
      </c>
      <c r="Q4927">
        <v>5</v>
      </c>
      <c r="R4927">
        <v>741720</v>
      </c>
      <c r="S4927">
        <f>Table1[[#This Row],[Revenue]]-Table1[[#This Row],[Operating_Costs]]</f>
        <v>140947</v>
      </c>
      <c r="T4927">
        <v>600773</v>
      </c>
      <c r="U4927">
        <v>55</v>
      </c>
      <c r="V4927">
        <v>56</v>
      </c>
      <c r="W4927">
        <v>9.9</v>
      </c>
    </row>
    <row r="4928" spans="1:23" x14ac:dyDescent="0.25">
      <c r="A4928">
        <v>15</v>
      </c>
      <c r="B4928" t="s">
        <v>45</v>
      </c>
      <c r="C4928" s="1">
        <v>44520</v>
      </c>
      <c r="D4928" t="s">
        <v>71</v>
      </c>
      <c r="E4928">
        <v>0</v>
      </c>
      <c r="F4928">
        <v>43</v>
      </c>
      <c r="G4928" t="str">
        <f t="shared" si="84"/>
        <v>41-60</v>
      </c>
      <c r="H4928" t="s">
        <v>35</v>
      </c>
      <c r="I4928" t="s">
        <v>36</v>
      </c>
      <c r="J4928" t="s">
        <v>37</v>
      </c>
      <c r="K4928" t="s">
        <v>29</v>
      </c>
      <c r="L4928">
        <v>1</v>
      </c>
      <c r="M4928">
        <v>1</v>
      </c>
      <c r="N4928">
        <v>4</v>
      </c>
      <c r="O4928">
        <v>9.9</v>
      </c>
      <c r="P4928">
        <v>3</v>
      </c>
      <c r="Q4928">
        <v>7</v>
      </c>
      <c r="R4928">
        <v>734870</v>
      </c>
      <c r="S4928">
        <f>Table1[[#This Row],[Revenue]]-Table1[[#This Row],[Operating_Costs]]</f>
        <v>157480</v>
      </c>
      <c r="T4928">
        <v>577390</v>
      </c>
      <c r="U4928">
        <v>37</v>
      </c>
      <c r="V4928">
        <v>60</v>
      </c>
      <c r="W4928">
        <v>9.6</v>
      </c>
    </row>
    <row r="4929" spans="1:23" x14ac:dyDescent="0.25">
      <c r="A4929">
        <v>15</v>
      </c>
      <c r="B4929" t="s">
        <v>45</v>
      </c>
      <c r="C4929" s="1">
        <v>45386</v>
      </c>
      <c r="D4929" t="s">
        <v>71</v>
      </c>
      <c r="E4929">
        <v>0</v>
      </c>
      <c r="F4929">
        <v>75</v>
      </c>
      <c r="G4929" t="str">
        <f t="shared" si="84"/>
        <v>61-80</v>
      </c>
      <c r="H4929" t="s">
        <v>35</v>
      </c>
      <c r="I4929" t="s">
        <v>46</v>
      </c>
      <c r="J4929" t="s">
        <v>47</v>
      </c>
      <c r="K4929" t="s">
        <v>33</v>
      </c>
      <c r="L4929">
        <v>1</v>
      </c>
      <c r="M4929">
        <v>1</v>
      </c>
      <c r="N4929">
        <v>6.9</v>
      </c>
      <c r="O4929">
        <v>7.3</v>
      </c>
      <c r="P4929">
        <v>5</v>
      </c>
      <c r="Q4929">
        <v>7</v>
      </c>
      <c r="R4929">
        <v>737073</v>
      </c>
      <c r="S4929">
        <f>Table1[[#This Row],[Revenue]]-Table1[[#This Row],[Operating_Costs]]</f>
        <v>65659</v>
      </c>
      <c r="T4929">
        <v>671414</v>
      </c>
      <c r="U4929">
        <v>60</v>
      </c>
      <c r="V4929">
        <v>65</v>
      </c>
      <c r="W4929">
        <v>5.8</v>
      </c>
    </row>
    <row r="4930" spans="1:23" x14ac:dyDescent="0.25">
      <c r="A4930">
        <v>15</v>
      </c>
      <c r="B4930" t="s">
        <v>45</v>
      </c>
      <c r="C4930" s="1">
        <v>44231</v>
      </c>
      <c r="D4930" t="s">
        <v>71</v>
      </c>
      <c r="E4930">
        <v>0</v>
      </c>
      <c r="F4930">
        <v>73</v>
      </c>
      <c r="G4930" t="str">
        <f t="shared" si="84"/>
        <v>61-80</v>
      </c>
      <c r="H4930" t="s">
        <v>35</v>
      </c>
      <c r="I4930" t="s">
        <v>50</v>
      </c>
      <c r="J4930" t="s">
        <v>51</v>
      </c>
      <c r="K4930" t="s">
        <v>26</v>
      </c>
      <c r="L4930">
        <v>1</v>
      </c>
      <c r="M4930">
        <v>1</v>
      </c>
      <c r="N4930">
        <v>5</v>
      </c>
      <c r="O4930">
        <v>7.4</v>
      </c>
      <c r="P4930">
        <v>6</v>
      </c>
      <c r="Q4930">
        <v>5</v>
      </c>
      <c r="R4930">
        <v>777838</v>
      </c>
      <c r="S4930">
        <f>Table1[[#This Row],[Revenue]]-Table1[[#This Row],[Operating_Costs]]</f>
        <v>228075</v>
      </c>
      <c r="T4930">
        <v>549763</v>
      </c>
      <c r="U4930">
        <v>39</v>
      </c>
      <c r="V4930">
        <v>65</v>
      </c>
      <c r="W4930">
        <v>14.6</v>
      </c>
    </row>
    <row r="4931" spans="1:23" x14ac:dyDescent="0.25">
      <c r="A4931">
        <v>15</v>
      </c>
      <c r="B4931" t="s">
        <v>45</v>
      </c>
      <c r="C4931" s="1">
        <v>45280</v>
      </c>
      <c r="D4931" t="s">
        <v>71</v>
      </c>
      <c r="E4931">
        <v>0</v>
      </c>
      <c r="F4931">
        <v>58</v>
      </c>
      <c r="G4931" t="str">
        <f t="shared" ref="G4931:G4994" si="85">IF(F4931&lt;=20,"0-20",IF(F4931&lt;=40,"21-40",IF(F4931&lt;=60,"41-60",IF(F4931&lt;=80,"61-80","81+"))))</f>
        <v>41-60</v>
      </c>
      <c r="H4931" t="s">
        <v>35</v>
      </c>
      <c r="I4931" t="s">
        <v>40</v>
      </c>
      <c r="J4931" t="s">
        <v>41</v>
      </c>
      <c r="K4931" t="s">
        <v>42</v>
      </c>
      <c r="L4931">
        <v>1</v>
      </c>
      <c r="M4931">
        <v>1</v>
      </c>
      <c r="N4931">
        <v>1.2</v>
      </c>
      <c r="O4931">
        <v>9.6999999999999993</v>
      </c>
      <c r="P4931">
        <v>5</v>
      </c>
      <c r="Q4931">
        <v>7</v>
      </c>
      <c r="R4931">
        <v>734542</v>
      </c>
      <c r="S4931">
        <f>Table1[[#This Row],[Revenue]]-Table1[[#This Row],[Operating_Costs]]</f>
        <v>86702</v>
      </c>
      <c r="T4931">
        <v>647840</v>
      </c>
      <c r="U4931">
        <v>38</v>
      </c>
      <c r="V4931">
        <v>64</v>
      </c>
      <c r="W4931">
        <v>13.4</v>
      </c>
    </row>
    <row r="4932" spans="1:23" x14ac:dyDescent="0.25">
      <c r="A4932">
        <v>15</v>
      </c>
      <c r="B4932" t="s">
        <v>45</v>
      </c>
      <c r="C4932" s="1">
        <v>45634</v>
      </c>
      <c r="D4932" t="s">
        <v>71</v>
      </c>
      <c r="E4932">
        <v>0</v>
      </c>
      <c r="F4932">
        <v>57</v>
      </c>
      <c r="G4932" t="str">
        <f t="shared" si="85"/>
        <v>41-60</v>
      </c>
      <c r="H4932" t="s">
        <v>35</v>
      </c>
      <c r="I4932" t="s">
        <v>58</v>
      </c>
      <c r="J4932" t="s">
        <v>59</v>
      </c>
      <c r="K4932" t="s">
        <v>33</v>
      </c>
      <c r="L4932">
        <v>1</v>
      </c>
      <c r="M4932">
        <v>1</v>
      </c>
      <c r="N4932">
        <v>1.6</v>
      </c>
      <c r="O4932">
        <v>7.6</v>
      </c>
      <c r="P4932">
        <v>7</v>
      </c>
      <c r="Q4932">
        <v>4</v>
      </c>
      <c r="R4932">
        <v>766842</v>
      </c>
      <c r="S4932">
        <f>Table1[[#This Row],[Revenue]]-Table1[[#This Row],[Operating_Costs]]</f>
        <v>148459</v>
      </c>
      <c r="T4932">
        <v>618383</v>
      </c>
      <c r="U4932">
        <v>60</v>
      </c>
      <c r="V4932">
        <v>57</v>
      </c>
      <c r="W4932">
        <v>36.200000000000003</v>
      </c>
    </row>
    <row r="4933" spans="1:23" x14ac:dyDescent="0.25">
      <c r="A4933">
        <v>15</v>
      </c>
      <c r="B4933" t="s">
        <v>45</v>
      </c>
      <c r="C4933" s="1">
        <v>44609</v>
      </c>
      <c r="D4933" t="s">
        <v>71</v>
      </c>
      <c r="E4933">
        <v>0</v>
      </c>
      <c r="F4933">
        <v>29</v>
      </c>
      <c r="G4933" t="str">
        <f t="shared" si="85"/>
        <v>21-40</v>
      </c>
      <c r="H4933" t="s">
        <v>35</v>
      </c>
      <c r="I4933" t="s">
        <v>61</v>
      </c>
      <c r="J4933" t="s">
        <v>62</v>
      </c>
      <c r="K4933" t="s">
        <v>38</v>
      </c>
      <c r="L4933">
        <v>1</v>
      </c>
      <c r="M4933">
        <v>1</v>
      </c>
      <c r="N4933">
        <v>3.1</v>
      </c>
      <c r="O4933">
        <v>7.6</v>
      </c>
      <c r="P4933">
        <v>3</v>
      </c>
      <c r="Q4933">
        <v>3</v>
      </c>
      <c r="R4933">
        <v>743540</v>
      </c>
      <c r="S4933">
        <f>Table1[[#This Row],[Revenue]]-Table1[[#This Row],[Operating_Costs]]</f>
        <v>157942</v>
      </c>
      <c r="T4933">
        <v>585598</v>
      </c>
      <c r="U4933">
        <v>46</v>
      </c>
      <c r="V4933">
        <v>56</v>
      </c>
      <c r="W4933">
        <v>7.7</v>
      </c>
    </row>
    <row r="4934" spans="1:23" x14ac:dyDescent="0.25">
      <c r="A4934">
        <v>15</v>
      </c>
      <c r="B4934" t="s">
        <v>45</v>
      </c>
      <c r="C4934" s="1">
        <v>44991</v>
      </c>
      <c r="D4934" t="s">
        <v>71</v>
      </c>
      <c r="E4934">
        <v>0</v>
      </c>
      <c r="F4934">
        <v>50</v>
      </c>
      <c r="G4934" t="str">
        <f t="shared" si="85"/>
        <v>41-60</v>
      </c>
      <c r="H4934" t="s">
        <v>23</v>
      </c>
      <c r="I4934" t="s">
        <v>31</v>
      </c>
      <c r="J4934" t="s">
        <v>28</v>
      </c>
      <c r="K4934" t="s">
        <v>38</v>
      </c>
      <c r="L4934">
        <v>1</v>
      </c>
      <c r="M4934">
        <v>1</v>
      </c>
      <c r="N4934">
        <v>6.7</v>
      </c>
      <c r="O4934">
        <v>9</v>
      </c>
      <c r="P4934">
        <v>4</v>
      </c>
      <c r="Q4934">
        <v>7</v>
      </c>
      <c r="R4934">
        <v>758828</v>
      </c>
      <c r="S4934">
        <f>Table1[[#This Row],[Revenue]]-Table1[[#This Row],[Operating_Costs]]</f>
        <v>226240</v>
      </c>
      <c r="T4934">
        <v>532588</v>
      </c>
      <c r="U4934">
        <v>33</v>
      </c>
      <c r="V4934">
        <v>57</v>
      </c>
      <c r="W4934">
        <v>9.1999999999999993</v>
      </c>
    </row>
    <row r="4935" spans="1:23" x14ac:dyDescent="0.25">
      <c r="A4935">
        <v>15</v>
      </c>
      <c r="B4935" t="s">
        <v>45</v>
      </c>
      <c r="C4935" s="1">
        <v>45052</v>
      </c>
      <c r="D4935" t="s">
        <v>71</v>
      </c>
      <c r="E4935">
        <v>0</v>
      </c>
      <c r="F4935">
        <v>43</v>
      </c>
      <c r="G4935" t="str">
        <f t="shared" si="85"/>
        <v>41-60</v>
      </c>
      <c r="H4935" t="s">
        <v>23</v>
      </c>
      <c r="I4935" t="s">
        <v>64</v>
      </c>
      <c r="J4935" t="s">
        <v>65</v>
      </c>
      <c r="K4935" t="s">
        <v>33</v>
      </c>
      <c r="L4935">
        <v>1</v>
      </c>
      <c r="M4935">
        <v>1</v>
      </c>
      <c r="N4935">
        <v>2.8</v>
      </c>
      <c r="O4935">
        <v>7.4</v>
      </c>
      <c r="P4935">
        <v>6</v>
      </c>
      <c r="Q4935">
        <v>3</v>
      </c>
      <c r="R4935">
        <v>765757</v>
      </c>
      <c r="S4935">
        <f>Table1[[#This Row],[Revenue]]-Table1[[#This Row],[Operating_Costs]]</f>
        <v>225423</v>
      </c>
      <c r="T4935">
        <v>540334</v>
      </c>
      <c r="U4935">
        <v>41</v>
      </c>
      <c r="V4935">
        <v>62</v>
      </c>
      <c r="W4935">
        <v>8.6999999999999993</v>
      </c>
    </row>
    <row r="4936" spans="1:23" x14ac:dyDescent="0.25">
      <c r="A4936">
        <v>15</v>
      </c>
      <c r="B4936" t="s">
        <v>45</v>
      </c>
      <c r="C4936" s="1">
        <v>44543</v>
      </c>
      <c r="D4936" t="s">
        <v>71</v>
      </c>
      <c r="E4936">
        <v>0</v>
      </c>
      <c r="F4936">
        <v>62</v>
      </c>
      <c r="G4936" t="str">
        <f t="shared" si="85"/>
        <v>61-80</v>
      </c>
      <c r="H4936" t="s">
        <v>23</v>
      </c>
      <c r="I4936" t="s">
        <v>24</v>
      </c>
      <c r="J4936" t="s">
        <v>25</v>
      </c>
      <c r="K4936" t="s">
        <v>42</v>
      </c>
      <c r="L4936">
        <v>1</v>
      </c>
      <c r="M4936">
        <v>1</v>
      </c>
      <c r="N4936">
        <v>3.2</v>
      </c>
      <c r="O4936">
        <v>8.6</v>
      </c>
      <c r="P4936">
        <v>6</v>
      </c>
      <c r="Q4936">
        <v>7</v>
      </c>
      <c r="R4936">
        <v>799403</v>
      </c>
      <c r="S4936">
        <f>Table1[[#This Row],[Revenue]]-Table1[[#This Row],[Operating_Costs]]</f>
        <v>100178</v>
      </c>
      <c r="T4936">
        <v>699225</v>
      </c>
      <c r="U4936">
        <v>35</v>
      </c>
      <c r="V4936">
        <v>65</v>
      </c>
      <c r="W4936">
        <v>13.7</v>
      </c>
    </row>
    <row r="4937" spans="1:23" x14ac:dyDescent="0.25">
      <c r="A4937">
        <v>15</v>
      </c>
      <c r="B4937" t="s">
        <v>45</v>
      </c>
      <c r="C4937" s="1">
        <v>45091</v>
      </c>
      <c r="D4937" t="s">
        <v>71</v>
      </c>
      <c r="E4937">
        <v>0</v>
      </c>
      <c r="F4937">
        <v>47</v>
      </c>
      <c r="G4937" t="str">
        <f t="shared" si="85"/>
        <v>41-60</v>
      </c>
      <c r="H4937" t="s">
        <v>23</v>
      </c>
      <c r="I4937" t="s">
        <v>67</v>
      </c>
      <c r="J4937" t="s">
        <v>68</v>
      </c>
      <c r="K4937" t="s">
        <v>42</v>
      </c>
      <c r="L4937">
        <v>1</v>
      </c>
      <c r="M4937">
        <v>1</v>
      </c>
      <c r="N4937">
        <v>1.4</v>
      </c>
      <c r="O4937">
        <v>8.5</v>
      </c>
      <c r="P4937">
        <v>7</v>
      </c>
      <c r="Q4937">
        <v>3</v>
      </c>
      <c r="R4937">
        <v>771673</v>
      </c>
      <c r="S4937">
        <f>Table1[[#This Row],[Revenue]]-Table1[[#This Row],[Operating_Costs]]</f>
        <v>144463</v>
      </c>
      <c r="T4937">
        <v>627210</v>
      </c>
      <c r="U4937">
        <v>57</v>
      </c>
      <c r="V4937">
        <v>56</v>
      </c>
      <c r="W4937">
        <v>5.6</v>
      </c>
    </row>
    <row r="4938" spans="1:23" x14ac:dyDescent="0.25">
      <c r="A4938">
        <v>15</v>
      </c>
      <c r="B4938" t="s">
        <v>45</v>
      </c>
      <c r="C4938" s="1">
        <v>45257</v>
      </c>
      <c r="D4938" t="s">
        <v>71</v>
      </c>
      <c r="E4938">
        <v>0</v>
      </c>
      <c r="F4938">
        <v>32</v>
      </c>
      <c r="G4938" t="str">
        <f t="shared" si="85"/>
        <v>21-40</v>
      </c>
      <c r="H4938" t="s">
        <v>23</v>
      </c>
      <c r="I4938" t="s">
        <v>50</v>
      </c>
      <c r="J4938" t="s">
        <v>51</v>
      </c>
      <c r="K4938" t="s">
        <v>42</v>
      </c>
      <c r="L4938">
        <v>1</v>
      </c>
      <c r="M4938">
        <v>1</v>
      </c>
      <c r="N4938">
        <v>6.9</v>
      </c>
      <c r="O4938">
        <v>7.6</v>
      </c>
      <c r="P4938">
        <v>3</v>
      </c>
      <c r="Q4938">
        <v>4</v>
      </c>
      <c r="R4938">
        <v>732735</v>
      </c>
      <c r="S4938">
        <f>Table1[[#This Row],[Revenue]]-Table1[[#This Row],[Operating_Costs]]</f>
        <v>215979</v>
      </c>
      <c r="T4938">
        <v>516756</v>
      </c>
      <c r="U4938">
        <v>55</v>
      </c>
      <c r="V4938">
        <v>60</v>
      </c>
      <c r="W4938">
        <v>9.3000000000000007</v>
      </c>
    </row>
    <row r="4939" spans="1:23" x14ac:dyDescent="0.25">
      <c r="A4939">
        <v>15</v>
      </c>
      <c r="B4939" t="s">
        <v>45</v>
      </c>
      <c r="C4939" s="1">
        <v>45338</v>
      </c>
      <c r="D4939" t="s">
        <v>71</v>
      </c>
      <c r="E4939">
        <v>0</v>
      </c>
      <c r="F4939">
        <v>86</v>
      </c>
      <c r="G4939" t="str">
        <f t="shared" si="85"/>
        <v>81+</v>
      </c>
      <c r="H4939" t="s">
        <v>23</v>
      </c>
      <c r="I4939" t="s">
        <v>61</v>
      </c>
      <c r="J4939" t="s">
        <v>62</v>
      </c>
      <c r="K4939" t="s">
        <v>42</v>
      </c>
      <c r="L4939">
        <v>1</v>
      </c>
      <c r="M4939">
        <v>1</v>
      </c>
      <c r="N4939">
        <v>3</v>
      </c>
      <c r="O4939">
        <v>9.1999999999999993</v>
      </c>
      <c r="P4939">
        <v>4</v>
      </c>
      <c r="Q4939">
        <v>7</v>
      </c>
      <c r="R4939">
        <v>740684</v>
      </c>
      <c r="S4939">
        <f>Table1[[#This Row],[Revenue]]-Table1[[#This Row],[Operating_Costs]]</f>
        <v>112748</v>
      </c>
      <c r="T4939">
        <v>627936</v>
      </c>
      <c r="U4939">
        <v>31</v>
      </c>
      <c r="V4939">
        <v>62</v>
      </c>
      <c r="W4939">
        <v>36.299999999999997</v>
      </c>
    </row>
    <row r="4940" spans="1:23" x14ac:dyDescent="0.25">
      <c r="A4940">
        <v>15</v>
      </c>
      <c r="B4940" t="s">
        <v>45</v>
      </c>
      <c r="C4940" s="1">
        <v>44885</v>
      </c>
      <c r="D4940" t="s">
        <v>71</v>
      </c>
      <c r="E4940">
        <v>0</v>
      </c>
      <c r="F4940">
        <v>60</v>
      </c>
      <c r="G4940" t="str">
        <f t="shared" si="85"/>
        <v>41-60</v>
      </c>
      <c r="H4940" t="s">
        <v>23</v>
      </c>
      <c r="I4940" t="s">
        <v>40</v>
      </c>
      <c r="J4940" t="s">
        <v>41</v>
      </c>
      <c r="K4940" t="s">
        <v>33</v>
      </c>
      <c r="L4940">
        <v>1</v>
      </c>
      <c r="M4940">
        <v>1</v>
      </c>
      <c r="N4940">
        <v>1.6</v>
      </c>
      <c r="O4940">
        <v>8.9</v>
      </c>
      <c r="P4940">
        <v>7</v>
      </c>
      <c r="Q4940">
        <v>3</v>
      </c>
      <c r="R4940">
        <v>743158</v>
      </c>
      <c r="S4940">
        <f>Table1[[#This Row],[Revenue]]-Table1[[#This Row],[Operating_Costs]]</f>
        <v>81917</v>
      </c>
      <c r="T4940">
        <v>661241</v>
      </c>
      <c r="U4940">
        <v>49</v>
      </c>
      <c r="V4940">
        <v>60</v>
      </c>
      <c r="W4940">
        <v>8.1999999999999993</v>
      </c>
    </row>
    <row r="4941" spans="1:23" x14ac:dyDescent="0.25">
      <c r="A4941">
        <v>15</v>
      </c>
      <c r="B4941" t="s">
        <v>45</v>
      </c>
      <c r="C4941" s="1">
        <v>45120</v>
      </c>
      <c r="D4941" t="s">
        <v>71</v>
      </c>
      <c r="E4941">
        <v>0</v>
      </c>
      <c r="F4941">
        <v>32</v>
      </c>
      <c r="G4941" t="str">
        <f t="shared" si="85"/>
        <v>21-40</v>
      </c>
      <c r="H4941" t="s">
        <v>35</v>
      </c>
      <c r="I4941" t="s">
        <v>40</v>
      </c>
      <c r="J4941" t="s">
        <v>41</v>
      </c>
      <c r="K4941" t="s">
        <v>26</v>
      </c>
      <c r="L4941">
        <v>1</v>
      </c>
      <c r="M4941">
        <v>1</v>
      </c>
      <c r="N4941">
        <v>2.2000000000000002</v>
      </c>
      <c r="O4941">
        <v>7.9</v>
      </c>
      <c r="P4941">
        <v>5</v>
      </c>
      <c r="Q4941">
        <v>4</v>
      </c>
      <c r="R4941">
        <v>747907</v>
      </c>
      <c r="S4941">
        <f>Table1[[#This Row],[Revenue]]-Table1[[#This Row],[Operating_Costs]]</f>
        <v>57655</v>
      </c>
      <c r="T4941">
        <v>690252</v>
      </c>
      <c r="U4941">
        <v>33</v>
      </c>
      <c r="V4941">
        <v>58</v>
      </c>
      <c r="W4941">
        <v>14.1</v>
      </c>
    </row>
    <row r="4942" spans="1:23" x14ac:dyDescent="0.25">
      <c r="A4942">
        <v>15</v>
      </c>
      <c r="B4942" t="s">
        <v>45</v>
      </c>
      <c r="C4942" s="1">
        <v>44428</v>
      </c>
      <c r="D4942" t="s">
        <v>71</v>
      </c>
      <c r="E4942">
        <v>0</v>
      </c>
      <c r="F4942">
        <v>52</v>
      </c>
      <c r="G4942" t="str">
        <f t="shared" si="85"/>
        <v>41-60</v>
      </c>
      <c r="H4942" t="s">
        <v>35</v>
      </c>
      <c r="I4942" t="s">
        <v>64</v>
      </c>
      <c r="J4942" t="s">
        <v>65</v>
      </c>
      <c r="K4942" t="s">
        <v>26</v>
      </c>
      <c r="L4942">
        <v>1</v>
      </c>
      <c r="M4942">
        <v>1</v>
      </c>
      <c r="N4942">
        <v>3.6</v>
      </c>
      <c r="O4942">
        <v>7.7</v>
      </c>
      <c r="P4942">
        <v>5</v>
      </c>
      <c r="Q4942">
        <v>5</v>
      </c>
      <c r="R4942">
        <v>738959</v>
      </c>
      <c r="S4942">
        <f>Table1[[#This Row],[Revenue]]-Table1[[#This Row],[Operating_Costs]]</f>
        <v>215036</v>
      </c>
      <c r="T4942">
        <v>523923</v>
      </c>
      <c r="U4942">
        <v>33</v>
      </c>
      <c r="V4942">
        <v>64</v>
      </c>
      <c r="W4942">
        <v>15</v>
      </c>
    </row>
    <row r="4943" spans="1:23" x14ac:dyDescent="0.25">
      <c r="A4943">
        <v>15</v>
      </c>
      <c r="B4943" t="s">
        <v>45</v>
      </c>
      <c r="C4943" s="1">
        <v>45000</v>
      </c>
      <c r="D4943" t="s">
        <v>71</v>
      </c>
      <c r="E4943">
        <v>0</v>
      </c>
      <c r="F4943">
        <v>46</v>
      </c>
      <c r="G4943" t="str">
        <f t="shared" si="85"/>
        <v>41-60</v>
      </c>
      <c r="H4943" t="s">
        <v>35</v>
      </c>
      <c r="I4943" t="s">
        <v>46</v>
      </c>
      <c r="J4943" t="s">
        <v>47</v>
      </c>
      <c r="K4943" t="s">
        <v>29</v>
      </c>
      <c r="L4943">
        <v>1</v>
      </c>
      <c r="M4943">
        <v>1</v>
      </c>
      <c r="N4943">
        <v>2.2999999999999998</v>
      </c>
      <c r="O4943">
        <v>9.4</v>
      </c>
      <c r="P4943">
        <v>7</v>
      </c>
      <c r="Q4943">
        <v>4</v>
      </c>
      <c r="R4943">
        <v>743226</v>
      </c>
      <c r="S4943">
        <f>Table1[[#This Row],[Revenue]]-Table1[[#This Row],[Operating_Costs]]</f>
        <v>120618</v>
      </c>
      <c r="T4943">
        <v>622608</v>
      </c>
      <c r="U4943">
        <v>53</v>
      </c>
      <c r="V4943">
        <v>62</v>
      </c>
      <c r="W4943">
        <v>9.6</v>
      </c>
    </row>
    <row r="4944" spans="1:23" x14ac:dyDescent="0.25">
      <c r="A4944">
        <v>15</v>
      </c>
      <c r="B4944" t="s">
        <v>45</v>
      </c>
      <c r="C4944" s="1">
        <v>45010</v>
      </c>
      <c r="D4944" t="s">
        <v>71</v>
      </c>
      <c r="E4944">
        <v>0</v>
      </c>
      <c r="F4944">
        <v>34</v>
      </c>
      <c r="G4944" t="str">
        <f t="shared" si="85"/>
        <v>21-40</v>
      </c>
      <c r="H4944" t="s">
        <v>23</v>
      </c>
      <c r="I4944" t="s">
        <v>43</v>
      </c>
      <c r="J4944" t="s">
        <v>25</v>
      </c>
      <c r="K4944" t="s">
        <v>26</v>
      </c>
      <c r="L4944">
        <v>1</v>
      </c>
      <c r="M4944">
        <v>1</v>
      </c>
      <c r="N4944">
        <v>4.2</v>
      </c>
      <c r="O4944">
        <v>8.1</v>
      </c>
      <c r="P4944">
        <v>5</v>
      </c>
      <c r="Q4944">
        <v>4</v>
      </c>
      <c r="R4944">
        <v>744474</v>
      </c>
      <c r="S4944">
        <f>Table1[[#This Row],[Revenue]]-Table1[[#This Row],[Operating_Costs]]</f>
        <v>224448</v>
      </c>
      <c r="T4944">
        <v>520026</v>
      </c>
      <c r="U4944">
        <v>35</v>
      </c>
      <c r="V4944">
        <v>59</v>
      </c>
      <c r="W4944">
        <v>10.1</v>
      </c>
    </row>
    <row r="4945" spans="1:23" x14ac:dyDescent="0.25">
      <c r="A4945">
        <v>15</v>
      </c>
      <c r="B4945" t="s">
        <v>45</v>
      </c>
      <c r="C4945" s="1">
        <v>44338</v>
      </c>
      <c r="D4945" t="s">
        <v>71</v>
      </c>
      <c r="E4945">
        <v>0</v>
      </c>
      <c r="F4945">
        <v>43</v>
      </c>
      <c r="G4945" t="str">
        <f t="shared" si="85"/>
        <v>41-60</v>
      </c>
      <c r="H4945" t="s">
        <v>35</v>
      </c>
      <c r="I4945" t="s">
        <v>61</v>
      </c>
      <c r="J4945" t="s">
        <v>62</v>
      </c>
      <c r="K4945" t="s">
        <v>29</v>
      </c>
      <c r="L4945">
        <v>1</v>
      </c>
      <c r="M4945">
        <v>1</v>
      </c>
      <c r="N4945">
        <v>1.3</v>
      </c>
      <c r="O4945">
        <v>9.9</v>
      </c>
      <c r="P4945">
        <v>7</v>
      </c>
      <c r="Q4945">
        <v>5</v>
      </c>
      <c r="R4945">
        <v>707958</v>
      </c>
      <c r="S4945">
        <f>Table1[[#This Row],[Revenue]]-Table1[[#This Row],[Operating_Costs]]</f>
        <v>138788</v>
      </c>
      <c r="T4945">
        <v>569170</v>
      </c>
      <c r="U4945">
        <v>49</v>
      </c>
      <c r="V4945">
        <v>59</v>
      </c>
      <c r="W4945">
        <v>14.1</v>
      </c>
    </row>
    <row r="4946" spans="1:23" x14ac:dyDescent="0.25">
      <c r="A4946">
        <v>15</v>
      </c>
      <c r="B4946" t="s">
        <v>45</v>
      </c>
      <c r="C4946" s="1">
        <v>45650</v>
      </c>
      <c r="D4946" t="s">
        <v>71</v>
      </c>
      <c r="E4946">
        <v>0</v>
      </c>
      <c r="F4946">
        <v>24</v>
      </c>
      <c r="G4946" t="str">
        <f t="shared" si="85"/>
        <v>21-40</v>
      </c>
      <c r="H4946" t="s">
        <v>35</v>
      </c>
      <c r="I4946" t="s">
        <v>60</v>
      </c>
      <c r="J4946" t="s">
        <v>59</v>
      </c>
      <c r="K4946" t="s">
        <v>33</v>
      </c>
      <c r="L4946">
        <v>1</v>
      </c>
      <c r="M4946">
        <v>1</v>
      </c>
      <c r="N4946">
        <v>5.0999999999999996</v>
      </c>
      <c r="O4946">
        <v>9.5</v>
      </c>
      <c r="P4946">
        <v>6</v>
      </c>
      <c r="Q4946">
        <v>5</v>
      </c>
      <c r="R4946">
        <v>795436</v>
      </c>
      <c r="S4946">
        <f>Table1[[#This Row],[Revenue]]-Table1[[#This Row],[Operating_Costs]]</f>
        <v>140741</v>
      </c>
      <c r="T4946">
        <v>654695</v>
      </c>
      <c r="U4946">
        <v>33</v>
      </c>
      <c r="V4946">
        <v>54</v>
      </c>
      <c r="W4946">
        <v>8.3000000000000007</v>
      </c>
    </row>
    <row r="4947" spans="1:23" x14ac:dyDescent="0.25">
      <c r="A4947">
        <v>15</v>
      </c>
      <c r="B4947" t="s">
        <v>45</v>
      </c>
      <c r="C4947" s="1">
        <v>44783</v>
      </c>
      <c r="D4947" t="s">
        <v>71</v>
      </c>
      <c r="E4947">
        <v>0</v>
      </c>
      <c r="F4947">
        <v>25</v>
      </c>
      <c r="G4947" t="str">
        <f t="shared" si="85"/>
        <v>21-40</v>
      </c>
      <c r="H4947" t="s">
        <v>23</v>
      </c>
      <c r="I4947" t="s">
        <v>24</v>
      </c>
      <c r="J4947" t="s">
        <v>25</v>
      </c>
      <c r="K4947" t="s">
        <v>38</v>
      </c>
      <c r="L4947">
        <v>1</v>
      </c>
      <c r="M4947">
        <v>1</v>
      </c>
      <c r="N4947">
        <v>2.4</v>
      </c>
      <c r="O4947">
        <v>9.6999999999999993</v>
      </c>
      <c r="P4947">
        <v>7</v>
      </c>
      <c r="Q4947">
        <v>3</v>
      </c>
      <c r="R4947">
        <v>781938</v>
      </c>
      <c r="S4947">
        <f>Table1[[#This Row],[Revenue]]-Table1[[#This Row],[Operating_Costs]]</f>
        <v>158269</v>
      </c>
      <c r="T4947">
        <v>623669</v>
      </c>
      <c r="U4947">
        <v>30</v>
      </c>
      <c r="V4947">
        <v>54</v>
      </c>
      <c r="W4947">
        <v>5.2</v>
      </c>
    </row>
    <row r="4948" spans="1:23" x14ac:dyDescent="0.25">
      <c r="A4948">
        <v>15</v>
      </c>
      <c r="B4948" t="s">
        <v>45</v>
      </c>
      <c r="C4948" s="1">
        <v>45257</v>
      </c>
      <c r="D4948" t="s">
        <v>71</v>
      </c>
      <c r="E4948">
        <v>0</v>
      </c>
      <c r="F4948">
        <v>67</v>
      </c>
      <c r="G4948" t="str">
        <f t="shared" si="85"/>
        <v>61-80</v>
      </c>
      <c r="H4948" t="s">
        <v>23</v>
      </c>
      <c r="I4948" t="s">
        <v>24</v>
      </c>
      <c r="J4948" t="s">
        <v>25</v>
      </c>
      <c r="K4948" t="s">
        <v>29</v>
      </c>
      <c r="L4948">
        <v>1</v>
      </c>
      <c r="M4948">
        <v>1</v>
      </c>
      <c r="N4948">
        <v>2</v>
      </c>
      <c r="O4948">
        <v>7.5</v>
      </c>
      <c r="P4948">
        <v>5</v>
      </c>
      <c r="Q4948">
        <v>4</v>
      </c>
      <c r="R4948">
        <v>757883</v>
      </c>
      <c r="S4948">
        <f>Table1[[#This Row],[Revenue]]-Table1[[#This Row],[Operating_Costs]]</f>
        <v>78003</v>
      </c>
      <c r="T4948">
        <v>679880</v>
      </c>
      <c r="U4948">
        <v>34</v>
      </c>
      <c r="V4948">
        <v>58</v>
      </c>
      <c r="W4948">
        <v>5.7</v>
      </c>
    </row>
    <row r="4949" spans="1:23" x14ac:dyDescent="0.25">
      <c r="A4949">
        <v>15</v>
      </c>
      <c r="B4949" t="s">
        <v>45</v>
      </c>
      <c r="C4949" s="1">
        <v>44513</v>
      </c>
      <c r="D4949" t="s">
        <v>71</v>
      </c>
      <c r="E4949">
        <v>0</v>
      </c>
      <c r="F4949">
        <v>35</v>
      </c>
      <c r="G4949" t="str">
        <f t="shared" si="85"/>
        <v>21-40</v>
      </c>
      <c r="H4949" t="s">
        <v>35</v>
      </c>
      <c r="I4949" t="s">
        <v>64</v>
      </c>
      <c r="J4949" t="s">
        <v>65</v>
      </c>
      <c r="K4949" t="s">
        <v>42</v>
      </c>
      <c r="L4949">
        <v>1</v>
      </c>
      <c r="M4949">
        <v>1</v>
      </c>
      <c r="N4949">
        <v>4.7</v>
      </c>
      <c r="O4949">
        <v>9.8000000000000007</v>
      </c>
      <c r="P4949">
        <v>7</v>
      </c>
      <c r="Q4949">
        <v>7</v>
      </c>
      <c r="R4949">
        <v>724458</v>
      </c>
      <c r="S4949">
        <f>Table1[[#This Row],[Revenue]]-Table1[[#This Row],[Operating_Costs]]</f>
        <v>121946</v>
      </c>
      <c r="T4949">
        <v>602512</v>
      </c>
      <c r="U4949">
        <v>30</v>
      </c>
      <c r="V4949">
        <v>63</v>
      </c>
      <c r="W4949">
        <v>8.6999999999999993</v>
      </c>
    </row>
    <row r="4950" spans="1:23" x14ac:dyDescent="0.25">
      <c r="A4950">
        <v>15</v>
      </c>
      <c r="B4950" t="s">
        <v>45</v>
      </c>
      <c r="C4950" s="1">
        <v>44408</v>
      </c>
      <c r="D4950" t="s">
        <v>71</v>
      </c>
      <c r="E4950">
        <v>0</v>
      </c>
      <c r="F4950">
        <v>75</v>
      </c>
      <c r="G4950" t="str">
        <f t="shared" si="85"/>
        <v>61-80</v>
      </c>
      <c r="H4950" t="s">
        <v>35</v>
      </c>
      <c r="I4950" t="s">
        <v>36</v>
      </c>
      <c r="J4950" t="s">
        <v>37</v>
      </c>
      <c r="K4950" t="s">
        <v>38</v>
      </c>
      <c r="L4950">
        <v>1</v>
      </c>
      <c r="M4950">
        <v>1</v>
      </c>
      <c r="N4950">
        <v>4.9000000000000004</v>
      </c>
      <c r="O4950">
        <v>9.3000000000000007</v>
      </c>
      <c r="P4950">
        <v>3</v>
      </c>
      <c r="Q4950">
        <v>3</v>
      </c>
      <c r="R4950">
        <v>781871</v>
      </c>
      <c r="S4950">
        <f>Table1[[#This Row],[Revenue]]-Table1[[#This Row],[Operating_Costs]]</f>
        <v>85733</v>
      </c>
      <c r="T4950">
        <v>696138</v>
      </c>
      <c r="U4950">
        <v>54</v>
      </c>
      <c r="V4950">
        <v>63</v>
      </c>
      <c r="W4950">
        <v>5.2</v>
      </c>
    </row>
    <row r="4951" spans="1:23" x14ac:dyDescent="0.25">
      <c r="A4951">
        <v>15</v>
      </c>
      <c r="B4951" t="s">
        <v>45</v>
      </c>
      <c r="C4951" s="1">
        <v>44751</v>
      </c>
      <c r="D4951" t="s">
        <v>71</v>
      </c>
      <c r="E4951">
        <v>0</v>
      </c>
      <c r="F4951">
        <v>62</v>
      </c>
      <c r="G4951" t="str">
        <f t="shared" si="85"/>
        <v>61-80</v>
      </c>
      <c r="H4951" t="s">
        <v>35</v>
      </c>
      <c r="I4951" t="s">
        <v>31</v>
      </c>
      <c r="J4951" t="s">
        <v>28</v>
      </c>
      <c r="K4951" t="s">
        <v>26</v>
      </c>
      <c r="L4951">
        <v>1</v>
      </c>
      <c r="M4951">
        <v>1</v>
      </c>
      <c r="N4951">
        <v>1</v>
      </c>
      <c r="O4951">
        <v>9.1</v>
      </c>
      <c r="P4951">
        <v>5</v>
      </c>
      <c r="Q4951">
        <v>3</v>
      </c>
      <c r="R4951">
        <v>738796</v>
      </c>
      <c r="S4951">
        <f>Table1[[#This Row],[Revenue]]-Table1[[#This Row],[Operating_Costs]]</f>
        <v>157594</v>
      </c>
      <c r="T4951">
        <v>581202</v>
      </c>
      <c r="U4951">
        <v>54</v>
      </c>
      <c r="V4951">
        <v>55</v>
      </c>
      <c r="W4951">
        <v>8.8000000000000007</v>
      </c>
    </row>
    <row r="4952" spans="1:23" x14ac:dyDescent="0.25">
      <c r="A4952">
        <v>15</v>
      </c>
      <c r="B4952" t="s">
        <v>45</v>
      </c>
      <c r="C4952" s="1">
        <v>45473</v>
      </c>
      <c r="D4952" t="s">
        <v>71</v>
      </c>
      <c r="E4952">
        <v>0</v>
      </c>
      <c r="F4952">
        <v>85</v>
      </c>
      <c r="G4952" t="str">
        <f t="shared" si="85"/>
        <v>81+</v>
      </c>
      <c r="H4952" t="s">
        <v>35</v>
      </c>
      <c r="I4952" t="s">
        <v>46</v>
      </c>
      <c r="J4952" t="s">
        <v>47</v>
      </c>
      <c r="K4952" t="s">
        <v>26</v>
      </c>
      <c r="L4952">
        <v>1</v>
      </c>
      <c r="M4952">
        <v>1</v>
      </c>
      <c r="N4952">
        <v>2.9</v>
      </c>
      <c r="O4952">
        <v>7.5</v>
      </c>
      <c r="P4952">
        <v>6</v>
      </c>
      <c r="Q4952">
        <v>4</v>
      </c>
      <c r="R4952">
        <v>779038</v>
      </c>
      <c r="S4952">
        <f>Table1[[#This Row],[Revenue]]-Table1[[#This Row],[Operating_Costs]]</f>
        <v>245652</v>
      </c>
      <c r="T4952">
        <v>533386</v>
      </c>
      <c r="U4952">
        <v>38</v>
      </c>
      <c r="V4952">
        <v>63</v>
      </c>
      <c r="W4952">
        <v>10.199999999999999</v>
      </c>
    </row>
    <row r="4953" spans="1:23" x14ac:dyDescent="0.25">
      <c r="A4953">
        <v>15</v>
      </c>
      <c r="B4953" t="s">
        <v>45</v>
      </c>
      <c r="C4953" s="1">
        <v>44992</v>
      </c>
      <c r="D4953" t="s">
        <v>71</v>
      </c>
      <c r="E4953">
        <v>0</v>
      </c>
      <c r="F4953">
        <v>81</v>
      </c>
      <c r="G4953" t="str">
        <f t="shared" si="85"/>
        <v>81+</v>
      </c>
      <c r="H4953" t="s">
        <v>35</v>
      </c>
      <c r="I4953" t="s">
        <v>36</v>
      </c>
      <c r="J4953" t="s">
        <v>37</v>
      </c>
      <c r="K4953" t="s">
        <v>33</v>
      </c>
      <c r="L4953">
        <v>1</v>
      </c>
      <c r="M4953">
        <v>1</v>
      </c>
      <c r="N4953">
        <v>2.6</v>
      </c>
      <c r="O4953">
        <v>7.6</v>
      </c>
      <c r="P4953">
        <v>5</v>
      </c>
      <c r="Q4953">
        <v>7</v>
      </c>
      <c r="R4953">
        <v>795343</v>
      </c>
      <c r="S4953">
        <f>Table1[[#This Row],[Revenue]]-Table1[[#This Row],[Operating_Costs]]</f>
        <v>279149</v>
      </c>
      <c r="T4953">
        <v>516194</v>
      </c>
      <c r="U4953">
        <v>37</v>
      </c>
      <c r="V4953">
        <v>65</v>
      </c>
      <c r="W4953">
        <v>9.1</v>
      </c>
    </row>
    <row r="4954" spans="1:23" x14ac:dyDescent="0.25">
      <c r="A4954">
        <v>15</v>
      </c>
      <c r="B4954" t="s">
        <v>45</v>
      </c>
      <c r="C4954" s="1">
        <v>45049</v>
      </c>
      <c r="D4954" t="s">
        <v>71</v>
      </c>
      <c r="E4954">
        <v>0</v>
      </c>
      <c r="F4954">
        <v>23</v>
      </c>
      <c r="G4954" t="str">
        <f t="shared" si="85"/>
        <v>21-40</v>
      </c>
      <c r="H4954" t="s">
        <v>35</v>
      </c>
      <c r="I4954" t="s">
        <v>46</v>
      </c>
      <c r="J4954" t="s">
        <v>47</v>
      </c>
      <c r="K4954" t="s">
        <v>38</v>
      </c>
      <c r="L4954">
        <v>1</v>
      </c>
      <c r="M4954">
        <v>1</v>
      </c>
      <c r="N4954">
        <v>5.6</v>
      </c>
      <c r="O4954">
        <v>7.8</v>
      </c>
      <c r="P4954">
        <v>7</v>
      </c>
      <c r="Q4954">
        <v>5</v>
      </c>
      <c r="R4954">
        <v>771330</v>
      </c>
      <c r="S4954">
        <f>Table1[[#This Row],[Revenue]]-Table1[[#This Row],[Operating_Costs]]</f>
        <v>175444</v>
      </c>
      <c r="T4954">
        <v>595886</v>
      </c>
      <c r="U4954">
        <v>55</v>
      </c>
      <c r="V4954">
        <v>61</v>
      </c>
      <c r="W4954">
        <v>12.5</v>
      </c>
    </row>
    <row r="4955" spans="1:23" x14ac:dyDescent="0.25">
      <c r="A4955">
        <v>15</v>
      </c>
      <c r="B4955" t="s">
        <v>45</v>
      </c>
      <c r="C4955" s="1">
        <v>44772</v>
      </c>
      <c r="D4955" t="s">
        <v>71</v>
      </c>
      <c r="E4955">
        <v>0</v>
      </c>
      <c r="F4955">
        <v>58</v>
      </c>
      <c r="G4955" t="str">
        <f t="shared" si="85"/>
        <v>41-60</v>
      </c>
      <c r="H4955" t="s">
        <v>35</v>
      </c>
      <c r="I4955" t="s">
        <v>61</v>
      </c>
      <c r="J4955" t="s">
        <v>62</v>
      </c>
      <c r="K4955" t="s">
        <v>26</v>
      </c>
      <c r="L4955">
        <v>1</v>
      </c>
      <c r="M4955">
        <v>1</v>
      </c>
      <c r="N4955">
        <v>1.7</v>
      </c>
      <c r="O4955">
        <v>8.6999999999999993</v>
      </c>
      <c r="P4955">
        <v>6</v>
      </c>
      <c r="Q4955">
        <v>6</v>
      </c>
      <c r="R4955">
        <v>721290</v>
      </c>
      <c r="S4955">
        <f>Table1[[#This Row],[Revenue]]-Table1[[#This Row],[Operating_Costs]]</f>
        <v>204113</v>
      </c>
      <c r="T4955">
        <v>517177</v>
      </c>
      <c r="U4955">
        <v>46</v>
      </c>
      <c r="V4955">
        <v>58</v>
      </c>
      <c r="W4955">
        <v>14.6</v>
      </c>
    </row>
    <row r="4956" spans="1:23" x14ac:dyDescent="0.25">
      <c r="A4956">
        <v>15</v>
      </c>
      <c r="B4956" t="s">
        <v>45</v>
      </c>
      <c r="C4956" s="1">
        <v>44766</v>
      </c>
      <c r="D4956" t="s">
        <v>71</v>
      </c>
      <c r="E4956">
        <v>0</v>
      </c>
      <c r="F4956">
        <v>39</v>
      </c>
      <c r="G4956" t="str">
        <f t="shared" si="85"/>
        <v>21-40</v>
      </c>
      <c r="H4956" t="s">
        <v>35</v>
      </c>
      <c r="I4956" t="s">
        <v>27</v>
      </c>
      <c r="J4956" t="s">
        <v>28</v>
      </c>
      <c r="K4956" t="s">
        <v>33</v>
      </c>
      <c r="L4956">
        <v>1</v>
      </c>
      <c r="M4956">
        <v>1</v>
      </c>
      <c r="N4956">
        <v>4.3</v>
      </c>
      <c r="O4956">
        <v>7.1</v>
      </c>
      <c r="P4956">
        <v>6</v>
      </c>
      <c r="Q4956">
        <v>7</v>
      </c>
      <c r="R4956">
        <v>771823</v>
      </c>
      <c r="S4956">
        <f>Table1[[#This Row],[Revenue]]-Table1[[#This Row],[Operating_Costs]]</f>
        <v>117725</v>
      </c>
      <c r="T4956">
        <v>654098</v>
      </c>
      <c r="U4956">
        <v>41</v>
      </c>
      <c r="V4956">
        <v>61</v>
      </c>
      <c r="W4956">
        <v>13.3</v>
      </c>
    </row>
    <row r="4957" spans="1:23" x14ac:dyDescent="0.25">
      <c r="A4957">
        <v>15</v>
      </c>
      <c r="B4957" t="s">
        <v>45</v>
      </c>
      <c r="C4957" s="1">
        <v>45129</v>
      </c>
      <c r="D4957" t="s">
        <v>71</v>
      </c>
      <c r="E4957">
        <v>0</v>
      </c>
      <c r="F4957">
        <v>43</v>
      </c>
      <c r="G4957" t="str">
        <f t="shared" si="85"/>
        <v>41-60</v>
      </c>
      <c r="H4957" t="s">
        <v>23</v>
      </c>
      <c r="I4957" t="s">
        <v>61</v>
      </c>
      <c r="J4957" t="s">
        <v>62</v>
      </c>
      <c r="K4957" t="s">
        <v>33</v>
      </c>
      <c r="L4957">
        <v>1</v>
      </c>
      <c r="M4957">
        <v>1</v>
      </c>
      <c r="N4957">
        <v>2.4</v>
      </c>
      <c r="O4957">
        <v>8.6</v>
      </c>
      <c r="P4957">
        <v>7</v>
      </c>
      <c r="Q4957">
        <v>3</v>
      </c>
      <c r="R4957">
        <v>796552</v>
      </c>
      <c r="S4957">
        <f>Table1[[#This Row],[Revenue]]-Table1[[#This Row],[Operating_Costs]]</f>
        <v>218145</v>
      </c>
      <c r="T4957">
        <v>578407</v>
      </c>
      <c r="U4957">
        <v>60</v>
      </c>
      <c r="V4957">
        <v>59</v>
      </c>
      <c r="W4957">
        <v>7.6</v>
      </c>
    </row>
    <row r="4958" spans="1:23" x14ac:dyDescent="0.25">
      <c r="A4958">
        <v>15</v>
      </c>
      <c r="B4958" t="s">
        <v>45</v>
      </c>
      <c r="C4958" s="1">
        <v>44341</v>
      </c>
      <c r="D4958" t="s">
        <v>71</v>
      </c>
      <c r="E4958">
        <v>0</v>
      </c>
      <c r="F4958">
        <v>89</v>
      </c>
      <c r="G4958" t="str">
        <f t="shared" si="85"/>
        <v>81+</v>
      </c>
      <c r="H4958" t="s">
        <v>23</v>
      </c>
      <c r="I4958" t="s">
        <v>61</v>
      </c>
      <c r="J4958" t="s">
        <v>62</v>
      </c>
      <c r="K4958" t="s">
        <v>29</v>
      </c>
      <c r="L4958">
        <v>1</v>
      </c>
      <c r="M4958">
        <v>1</v>
      </c>
      <c r="N4958">
        <v>6.3</v>
      </c>
      <c r="O4958">
        <v>7.8</v>
      </c>
      <c r="P4958">
        <v>5</v>
      </c>
      <c r="Q4958">
        <v>4</v>
      </c>
      <c r="R4958">
        <v>779053</v>
      </c>
      <c r="S4958">
        <f>Table1[[#This Row],[Revenue]]-Table1[[#This Row],[Operating_Costs]]</f>
        <v>124286</v>
      </c>
      <c r="T4958">
        <v>654767</v>
      </c>
      <c r="U4958">
        <v>57</v>
      </c>
      <c r="V4958">
        <v>65</v>
      </c>
      <c r="W4958">
        <v>13.2</v>
      </c>
    </row>
    <row r="4959" spans="1:23" x14ac:dyDescent="0.25">
      <c r="A4959">
        <v>15</v>
      </c>
      <c r="B4959" t="s">
        <v>45</v>
      </c>
      <c r="C4959" s="1">
        <v>44551</v>
      </c>
      <c r="D4959" t="s">
        <v>71</v>
      </c>
      <c r="E4959">
        <v>0</v>
      </c>
      <c r="F4959">
        <v>81</v>
      </c>
      <c r="G4959" t="str">
        <f t="shared" si="85"/>
        <v>81+</v>
      </c>
      <c r="H4959" t="s">
        <v>35</v>
      </c>
      <c r="I4959" t="s">
        <v>55</v>
      </c>
      <c r="J4959" t="s">
        <v>56</v>
      </c>
      <c r="K4959" t="s">
        <v>38</v>
      </c>
      <c r="L4959">
        <v>1</v>
      </c>
      <c r="M4959">
        <v>1</v>
      </c>
      <c r="N4959">
        <v>4.8</v>
      </c>
      <c r="O4959">
        <v>7.9</v>
      </c>
      <c r="P4959">
        <v>5</v>
      </c>
      <c r="Q4959">
        <v>6</v>
      </c>
      <c r="R4959">
        <v>779334</v>
      </c>
      <c r="S4959">
        <f>Table1[[#This Row],[Revenue]]-Table1[[#This Row],[Operating_Costs]]</f>
        <v>123556</v>
      </c>
      <c r="T4959">
        <v>655778</v>
      </c>
      <c r="U4959">
        <v>42</v>
      </c>
      <c r="V4959">
        <v>63</v>
      </c>
      <c r="W4959">
        <v>14.4</v>
      </c>
    </row>
    <row r="4960" spans="1:23" x14ac:dyDescent="0.25">
      <c r="A4960">
        <v>15</v>
      </c>
      <c r="B4960" t="s">
        <v>45</v>
      </c>
      <c r="C4960" s="1">
        <v>44731</v>
      </c>
      <c r="D4960" t="s">
        <v>71</v>
      </c>
      <c r="E4960">
        <v>0</v>
      </c>
      <c r="F4960">
        <v>64</v>
      </c>
      <c r="G4960" t="str">
        <f t="shared" si="85"/>
        <v>61-80</v>
      </c>
      <c r="H4960" t="s">
        <v>35</v>
      </c>
      <c r="I4960" t="s">
        <v>31</v>
      </c>
      <c r="J4960" t="s">
        <v>28</v>
      </c>
      <c r="K4960" t="s">
        <v>42</v>
      </c>
      <c r="L4960">
        <v>1</v>
      </c>
      <c r="M4960">
        <v>1</v>
      </c>
      <c r="N4960">
        <v>1.6</v>
      </c>
      <c r="O4960">
        <v>8.3000000000000007</v>
      </c>
      <c r="P4960">
        <v>4</v>
      </c>
      <c r="Q4960">
        <v>4</v>
      </c>
      <c r="R4960">
        <v>714407</v>
      </c>
      <c r="S4960">
        <f>Table1[[#This Row],[Revenue]]-Table1[[#This Row],[Operating_Costs]]</f>
        <v>85299</v>
      </c>
      <c r="T4960">
        <v>629108</v>
      </c>
      <c r="U4960">
        <v>45</v>
      </c>
      <c r="V4960">
        <v>66</v>
      </c>
      <c r="W4960">
        <v>8.1999999999999993</v>
      </c>
    </row>
    <row r="4961" spans="1:23" x14ac:dyDescent="0.25">
      <c r="A4961">
        <v>15</v>
      </c>
      <c r="B4961" t="s">
        <v>45</v>
      </c>
      <c r="C4961" s="1">
        <v>45419</v>
      </c>
      <c r="D4961" t="s">
        <v>71</v>
      </c>
      <c r="E4961">
        <v>0</v>
      </c>
      <c r="F4961">
        <v>33</v>
      </c>
      <c r="G4961" t="str">
        <f t="shared" si="85"/>
        <v>21-40</v>
      </c>
      <c r="H4961" t="s">
        <v>35</v>
      </c>
      <c r="I4961" t="s">
        <v>36</v>
      </c>
      <c r="J4961" t="s">
        <v>37</v>
      </c>
      <c r="K4961" t="s">
        <v>38</v>
      </c>
      <c r="L4961">
        <v>1</v>
      </c>
      <c r="M4961">
        <v>1</v>
      </c>
      <c r="N4961">
        <v>5.2</v>
      </c>
      <c r="O4961">
        <v>8.3000000000000007</v>
      </c>
      <c r="P4961">
        <v>5</v>
      </c>
      <c r="Q4961">
        <v>5</v>
      </c>
      <c r="R4961">
        <v>791838</v>
      </c>
      <c r="S4961">
        <f>Table1[[#This Row],[Revenue]]-Table1[[#This Row],[Operating_Costs]]</f>
        <v>127515</v>
      </c>
      <c r="T4961">
        <v>664323</v>
      </c>
      <c r="U4961">
        <v>40</v>
      </c>
      <c r="V4961">
        <v>59</v>
      </c>
      <c r="W4961">
        <v>6.3</v>
      </c>
    </row>
    <row r="4962" spans="1:23" x14ac:dyDescent="0.25">
      <c r="A4962">
        <v>15</v>
      </c>
      <c r="B4962" t="s">
        <v>45</v>
      </c>
      <c r="C4962" s="1">
        <v>45100</v>
      </c>
      <c r="D4962" t="s">
        <v>71</v>
      </c>
      <c r="E4962">
        <v>0</v>
      </c>
      <c r="F4962">
        <v>83</v>
      </c>
      <c r="G4962" t="str">
        <f t="shared" si="85"/>
        <v>81+</v>
      </c>
      <c r="H4962" t="s">
        <v>35</v>
      </c>
      <c r="I4962" t="s">
        <v>36</v>
      </c>
      <c r="J4962" t="s">
        <v>37</v>
      </c>
      <c r="K4962" t="s">
        <v>29</v>
      </c>
      <c r="L4962">
        <v>1</v>
      </c>
      <c r="M4962">
        <v>1</v>
      </c>
      <c r="N4962">
        <v>2.5</v>
      </c>
      <c r="O4962">
        <v>8.9</v>
      </c>
      <c r="P4962">
        <v>5</v>
      </c>
      <c r="Q4962">
        <v>3</v>
      </c>
      <c r="R4962">
        <v>787388</v>
      </c>
      <c r="S4962">
        <f>Table1[[#This Row],[Revenue]]-Table1[[#This Row],[Operating_Costs]]</f>
        <v>179664</v>
      </c>
      <c r="T4962">
        <v>607724</v>
      </c>
      <c r="U4962">
        <v>49</v>
      </c>
      <c r="V4962">
        <v>64</v>
      </c>
      <c r="W4962">
        <v>6</v>
      </c>
    </row>
    <row r="4963" spans="1:23" x14ac:dyDescent="0.25">
      <c r="A4963">
        <v>15</v>
      </c>
      <c r="B4963" t="s">
        <v>45</v>
      </c>
      <c r="C4963" s="1">
        <v>45068</v>
      </c>
      <c r="D4963" t="s">
        <v>71</v>
      </c>
      <c r="E4963">
        <v>0</v>
      </c>
      <c r="F4963">
        <v>63</v>
      </c>
      <c r="G4963" t="str">
        <f t="shared" si="85"/>
        <v>61-80</v>
      </c>
      <c r="H4963" t="s">
        <v>23</v>
      </c>
      <c r="I4963" t="s">
        <v>50</v>
      </c>
      <c r="J4963" t="s">
        <v>51</v>
      </c>
      <c r="K4963" t="s">
        <v>33</v>
      </c>
      <c r="L4963">
        <v>1</v>
      </c>
      <c r="M4963">
        <v>1</v>
      </c>
      <c r="N4963">
        <v>2.2000000000000002</v>
      </c>
      <c r="O4963">
        <v>8.5</v>
      </c>
      <c r="P4963">
        <v>3</v>
      </c>
      <c r="Q4963">
        <v>7</v>
      </c>
      <c r="R4963">
        <v>743584</v>
      </c>
      <c r="S4963">
        <f>Table1[[#This Row],[Revenue]]-Table1[[#This Row],[Operating_Costs]]</f>
        <v>180164</v>
      </c>
      <c r="T4963">
        <v>563420</v>
      </c>
      <c r="U4963">
        <v>34</v>
      </c>
      <c r="V4963">
        <v>60</v>
      </c>
      <c r="W4963">
        <v>12.9</v>
      </c>
    </row>
    <row r="4964" spans="1:23" x14ac:dyDescent="0.25">
      <c r="A4964">
        <v>15</v>
      </c>
      <c r="B4964" t="s">
        <v>45</v>
      </c>
      <c r="C4964" s="1">
        <v>44740</v>
      </c>
      <c r="D4964" t="s">
        <v>71</v>
      </c>
      <c r="E4964">
        <v>0</v>
      </c>
      <c r="F4964">
        <v>77</v>
      </c>
      <c r="G4964" t="str">
        <f t="shared" si="85"/>
        <v>61-80</v>
      </c>
      <c r="H4964" t="s">
        <v>23</v>
      </c>
      <c r="I4964" t="s">
        <v>31</v>
      </c>
      <c r="J4964" t="s">
        <v>28</v>
      </c>
      <c r="K4964" t="s">
        <v>26</v>
      </c>
      <c r="L4964">
        <v>1</v>
      </c>
      <c r="M4964">
        <v>1</v>
      </c>
      <c r="N4964">
        <v>2.2999999999999998</v>
      </c>
      <c r="O4964">
        <v>8.9</v>
      </c>
      <c r="P4964">
        <v>7</v>
      </c>
      <c r="Q4964">
        <v>7</v>
      </c>
      <c r="R4964">
        <v>787229</v>
      </c>
      <c r="S4964">
        <f>Table1[[#This Row],[Revenue]]-Table1[[#This Row],[Operating_Costs]]</f>
        <v>115528</v>
      </c>
      <c r="T4964">
        <v>671701</v>
      </c>
      <c r="U4964">
        <v>56</v>
      </c>
      <c r="V4964">
        <v>62</v>
      </c>
      <c r="W4964">
        <v>10.5</v>
      </c>
    </row>
    <row r="4965" spans="1:23" x14ac:dyDescent="0.25">
      <c r="A4965">
        <v>15</v>
      </c>
      <c r="B4965" t="s">
        <v>45</v>
      </c>
      <c r="C4965" s="1">
        <v>45076</v>
      </c>
      <c r="D4965" t="s">
        <v>71</v>
      </c>
      <c r="E4965">
        <v>0</v>
      </c>
      <c r="F4965">
        <v>37</v>
      </c>
      <c r="G4965" t="str">
        <f t="shared" si="85"/>
        <v>21-40</v>
      </c>
      <c r="H4965" t="s">
        <v>35</v>
      </c>
      <c r="I4965" t="s">
        <v>36</v>
      </c>
      <c r="J4965" t="s">
        <v>37</v>
      </c>
      <c r="K4965" t="s">
        <v>33</v>
      </c>
      <c r="L4965">
        <v>1</v>
      </c>
      <c r="M4965">
        <v>1</v>
      </c>
      <c r="N4965">
        <v>3.5</v>
      </c>
      <c r="O4965">
        <v>7</v>
      </c>
      <c r="P4965">
        <v>5</v>
      </c>
      <c r="Q4965">
        <v>7</v>
      </c>
      <c r="R4965">
        <v>743491</v>
      </c>
      <c r="S4965">
        <f>Table1[[#This Row],[Revenue]]-Table1[[#This Row],[Operating_Costs]]</f>
        <v>189429</v>
      </c>
      <c r="T4965">
        <v>554062</v>
      </c>
      <c r="U4965">
        <v>44</v>
      </c>
      <c r="V4965">
        <v>57</v>
      </c>
      <c r="W4965">
        <v>10.7</v>
      </c>
    </row>
    <row r="4966" spans="1:23" x14ac:dyDescent="0.25">
      <c r="A4966">
        <v>15</v>
      </c>
      <c r="B4966" t="s">
        <v>45</v>
      </c>
      <c r="C4966" s="1">
        <v>44261</v>
      </c>
      <c r="D4966" t="s">
        <v>71</v>
      </c>
      <c r="E4966">
        <v>0</v>
      </c>
      <c r="F4966">
        <v>25</v>
      </c>
      <c r="G4966" t="str">
        <f t="shared" si="85"/>
        <v>21-40</v>
      </c>
      <c r="H4966" t="s">
        <v>23</v>
      </c>
      <c r="I4966" t="s">
        <v>61</v>
      </c>
      <c r="J4966" t="s">
        <v>62</v>
      </c>
      <c r="K4966" t="s">
        <v>42</v>
      </c>
      <c r="L4966">
        <v>1</v>
      </c>
      <c r="M4966">
        <v>1</v>
      </c>
      <c r="N4966">
        <v>5.0999999999999996</v>
      </c>
      <c r="O4966">
        <v>9.1999999999999993</v>
      </c>
      <c r="P4966">
        <v>3</v>
      </c>
      <c r="Q4966">
        <v>7</v>
      </c>
      <c r="R4966">
        <v>767910</v>
      </c>
      <c r="S4966">
        <f>Table1[[#This Row],[Revenue]]-Table1[[#This Row],[Operating_Costs]]</f>
        <v>225088</v>
      </c>
      <c r="T4966">
        <v>542822</v>
      </c>
      <c r="U4966">
        <v>43</v>
      </c>
      <c r="V4966">
        <v>59</v>
      </c>
      <c r="W4966">
        <v>7.1</v>
      </c>
    </row>
    <row r="4967" spans="1:23" x14ac:dyDescent="0.25">
      <c r="A4967">
        <v>15</v>
      </c>
      <c r="B4967" t="s">
        <v>45</v>
      </c>
      <c r="C4967" s="1">
        <v>45381</v>
      </c>
      <c r="D4967" t="s">
        <v>71</v>
      </c>
      <c r="E4967">
        <v>0</v>
      </c>
      <c r="F4967">
        <v>77</v>
      </c>
      <c r="G4967" t="str">
        <f t="shared" si="85"/>
        <v>61-80</v>
      </c>
      <c r="H4967" t="s">
        <v>35</v>
      </c>
      <c r="I4967" t="s">
        <v>55</v>
      </c>
      <c r="J4967" t="s">
        <v>56</v>
      </c>
      <c r="K4967" t="s">
        <v>26</v>
      </c>
      <c r="L4967">
        <v>1</v>
      </c>
      <c r="M4967">
        <v>1</v>
      </c>
      <c r="N4967">
        <v>5.6</v>
      </c>
      <c r="O4967">
        <v>7.8</v>
      </c>
      <c r="P4967">
        <v>6</v>
      </c>
      <c r="Q4967">
        <v>7</v>
      </c>
      <c r="R4967">
        <v>784462</v>
      </c>
      <c r="S4967">
        <f>Table1[[#This Row],[Revenue]]-Table1[[#This Row],[Operating_Costs]]</f>
        <v>170356</v>
      </c>
      <c r="T4967">
        <v>614106</v>
      </c>
      <c r="U4967">
        <v>48</v>
      </c>
      <c r="V4967">
        <v>62</v>
      </c>
      <c r="W4967">
        <v>8.6</v>
      </c>
    </row>
    <row r="4968" spans="1:23" x14ac:dyDescent="0.25">
      <c r="A4968">
        <v>15</v>
      </c>
      <c r="B4968" t="s">
        <v>45</v>
      </c>
      <c r="C4968" s="1">
        <v>45191</v>
      </c>
      <c r="D4968" t="s">
        <v>71</v>
      </c>
      <c r="E4968">
        <v>0</v>
      </c>
      <c r="F4968">
        <v>33</v>
      </c>
      <c r="G4968" t="str">
        <f t="shared" si="85"/>
        <v>21-40</v>
      </c>
      <c r="H4968" t="s">
        <v>23</v>
      </c>
      <c r="I4968" t="s">
        <v>61</v>
      </c>
      <c r="J4968" t="s">
        <v>62</v>
      </c>
      <c r="K4968" t="s">
        <v>26</v>
      </c>
      <c r="L4968">
        <v>1</v>
      </c>
      <c r="M4968">
        <v>1</v>
      </c>
      <c r="N4968">
        <v>6.4</v>
      </c>
      <c r="O4968">
        <v>8.4</v>
      </c>
      <c r="P4968">
        <v>5</v>
      </c>
      <c r="Q4968">
        <v>5</v>
      </c>
      <c r="R4968">
        <v>763071</v>
      </c>
      <c r="S4968">
        <f>Table1[[#This Row],[Revenue]]-Table1[[#This Row],[Operating_Costs]]</f>
        <v>83253</v>
      </c>
      <c r="T4968">
        <v>679818</v>
      </c>
      <c r="U4968">
        <v>49</v>
      </c>
      <c r="V4968">
        <v>56</v>
      </c>
      <c r="W4968">
        <v>12.3</v>
      </c>
    </row>
    <row r="4969" spans="1:23" x14ac:dyDescent="0.25">
      <c r="A4969">
        <v>15</v>
      </c>
      <c r="B4969" t="s">
        <v>45</v>
      </c>
      <c r="C4969" s="1">
        <v>44521</v>
      </c>
      <c r="D4969" t="s">
        <v>71</v>
      </c>
      <c r="E4969">
        <v>0</v>
      </c>
      <c r="F4969">
        <v>28</v>
      </c>
      <c r="G4969" t="str">
        <f t="shared" si="85"/>
        <v>21-40</v>
      </c>
      <c r="H4969" t="s">
        <v>23</v>
      </c>
      <c r="I4969" t="s">
        <v>24</v>
      </c>
      <c r="J4969" t="s">
        <v>25</v>
      </c>
      <c r="K4969" t="s">
        <v>26</v>
      </c>
      <c r="L4969">
        <v>1</v>
      </c>
      <c r="M4969">
        <v>1</v>
      </c>
      <c r="N4969">
        <v>1.1000000000000001</v>
      </c>
      <c r="O4969">
        <v>8.6</v>
      </c>
      <c r="P4969">
        <v>6</v>
      </c>
      <c r="Q4969">
        <v>7</v>
      </c>
      <c r="R4969">
        <v>740709</v>
      </c>
      <c r="S4969">
        <f>Table1[[#This Row],[Revenue]]-Table1[[#This Row],[Operating_Costs]]</f>
        <v>231673</v>
      </c>
      <c r="T4969">
        <v>509036</v>
      </c>
      <c r="U4969">
        <v>36</v>
      </c>
      <c r="V4969">
        <v>56</v>
      </c>
      <c r="W4969">
        <v>10.6</v>
      </c>
    </row>
    <row r="4970" spans="1:23" x14ac:dyDescent="0.25">
      <c r="A4970">
        <v>15</v>
      </c>
      <c r="B4970" t="s">
        <v>45</v>
      </c>
      <c r="C4970" s="1">
        <v>45474</v>
      </c>
      <c r="D4970" t="s">
        <v>71</v>
      </c>
      <c r="E4970">
        <v>0</v>
      </c>
      <c r="F4970">
        <v>77</v>
      </c>
      <c r="G4970" t="str">
        <f t="shared" si="85"/>
        <v>61-80</v>
      </c>
      <c r="H4970" t="s">
        <v>35</v>
      </c>
      <c r="I4970" t="s">
        <v>50</v>
      </c>
      <c r="J4970" t="s">
        <v>51</v>
      </c>
      <c r="K4970" t="s">
        <v>29</v>
      </c>
      <c r="L4970">
        <v>1</v>
      </c>
      <c r="M4970">
        <v>1</v>
      </c>
      <c r="N4970">
        <v>3.1</v>
      </c>
      <c r="O4970">
        <v>8.5</v>
      </c>
      <c r="P4970">
        <v>5</v>
      </c>
      <c r="Q4970">
        <v>5</v>
      </c>
      <c r="R4970">
        <v>757639</v>
      </c>
      <c r="S4970">
        <f>Table1[[#This Row],[Revenue]]-Table1[[#This Row],[Operating_Costs]]</f>
        <v>129866</v>
      </c>
      <c r="T4970">
        <v>627773</v>
      </c>
      <c r="U4970">
        <v>39</v>
      </c>
      <c r="V4970">
        <v>54</v>
      </c>
      <c r="W4970">
        <v>5.6</v>
      </c>
    </row>
    <row r="4971" spans="1:23" x14ac:dyDescent="0.25">
      <c r="A4971">
        <v>15</v>
      </c>
      <c r="B4971" t="s">
        <v>45</v>
      </c>
      <c r="C4971" s="1">
        <v>44556</v>
      </c>
      <c r="D4971" t="s">
        <v>71</v>
      </c>
      <c r="E4971">
        <v>0</v>
      </c>
      <c r="F4971">
        <v>60</v>
      </c>
      <c r="G4971" t="str">
        <f t="shared" si="85"/>
        <v>41-60</v>
      </c>
      <c r="H4971" t="s">
        <v>35</v>
      </c>
      <c r="I4971" t="s">
        <v>40</v>
      </c>
      <c r="J4971" t="s">
        <v>41</v>
      </c>
      <c r="K4971" t="s">
        <v>38</v>
      </c>
      <c r="L4971">
        <v>1</v>
      </c>
      <c r="M4971">
        <v>1</v>
      </c>
      <c r="N4971">
        <v>2.7</v>
      </c>
      <c r="O4971">
        <v>7.2</v>
      </c>
      <c r="P4971">
        <v>3</v>
      </c>
      <c r="Q4971">
        <v>3</v>
      </c>
      <c r="R4971">
        <v>780198</v>
      </c>
      <c r="S4971">
        <f>Table1[[#This Row],[Revenue]]-Table1[[#This Row],[Operating_Costs]]</f>
        <v>241099</v>
      </c>
      <c r="T4971">
        <v>539099</v>
      </c>
      <c r="U4971">
        <v>43</v>
      </c>
      <c r="V4971">
        <v>64</v>
      </c>
      <c r="W4971">
        <v>8.6</v>
      </c>
    </row>
    <row r="4972" spans="1:23" x14ac:dyDescent="0.25">
      <c r="A4972">
        <v>15</v>
      </c>
      <c r="B4972" t="s">
        <v>45</v>
      </c>
      <c r="C4972" s="1">
        <v>44287</v>
      </c>
      <c r="D4972" t="s">
        <v>71</v>
      </c>
      <c r="E4972">
        <v>0</v>
      </c>
      <c r="F4972">
        <v>74</v>
      </c>
      <c r="G4972" t="str">
        <f t="shared" si="85"/>
        <v>61-80</v>
      </c>
      <c r="H4972" t="s">
        <v>23</v>
      </c>
      <c r="I4972" t="s">
        <v>50</v>
      </c>
      <c r="J4972" t="s">
        <v>51</v>
      </c>
      <c r="K4972" t="s">
        <v>33</v>
      </c>
      <c r="L4972">
        <v>1</v>
      </c>
      <c r="M4972">
        <v>1</v>
      </c>
      <c r="N4972">
        <v>6.6</v>
      </c>
      <c r="O4972">
        <v>7.4</v>
      </c>
      <c r="P4972">
        <v>5</v>
      </c>
      <c r="Q4972">
        <v>6</v>
      </c>
      <c r="R4972">
        <v>746470</v>
      </c>
      <c r="S4972">
        <f>Table1[[#This Row],[Revenue]]-Table1[[#This Row],[Operating_Costs]]</f>
        <v>215729</v>
      </c>
      <c r="T4972">
        <v>530741</v>
      </c>
      <c r="U4972">
        <v>52</v>
      </c>
      <c r="V4972">
        <v>63</v>
      </c>
      <c r="W4972">
        <v>36.4</v>
      </c>
    </row>
    <row r="4973" spans="1:23" x14ac:dyDescent="0.25">
      <c r="A4973">
        <v>15</v>
      </c>
      <c r="B4973" t="s">
        <v>45</v>
      </c>
      <c r="C4973" s="1">
        <v>44465</v>
      </c>
      <c r="D4973" t="s">
        <v>71</v>
      </c>
      <c r="E4973">
        <v>0</v>
      </c>
      <c r="F4973">
        <v>82</v>
      </c>
      <c r="G4973" t="str">
        <f t="shared" si="85"/>
        <v>81+</v>
      </c>
      <c r="H4973" t="s">
        <v>35</v>
      </c>
      <c r="I4973" t="s">
        <v>36</v>
      </c>
      <c r="J4973" t="s">
        <v>37</v>
      </c>
      <c r="K4973" t="s">
        <v>26</v>
      </c>
      <c r="L4973">
        <v>1</v>
      </c>
      <c r="M4973">
        <v>1</v>
      </c>
      <c r="N4973">
        <v>4.5</v>
      </c>
      <c r="O4973">
        <v>7.1</v>
      </c>
      <c r="P4973">
        <v>4</v>
      </c>
      <c r="Q4973">
        <v>6</v>
      </c>
      <c r="R4973">
        <v>700825</v>
      </c>
      <c r="S4973">
        <f>Table1[[#This Row],[Revenue]]-Table1[[#This Row],[Operating_Costs]]</f>
        <v>169350</v>
      </c>
      <c r="T4973">
        <v>531475</v>
      </c>
      <c r="U4973">
        <v>46</v>
      </c>
      <c r="V4973">
        <v>56</v>
      </c>
      <c r="W4973">
        <v>6.6</v>
      </c>
    </row>
    <row r="4974" spans="1:23" x14ac:dyDescent="0.25">
      <c r="A4974">
        <v>15</v>
      </c>
      <c r="B4974" t="s">
        <v>45</v>
      </c>
      <c r="C4974" s="1">
        <v>45499</v>
      </c>
      <c r="D4974" t="s">
        <v>71</v>
      </c>
      <c r="E4974">
        <v>0</v>
      </c>
      <c r="F4974">
        <v>79</v>
      </c>
      <c r="G4974" t="str">
        <f t="shared" si="85"/>
        <v>61-80</v>
      </c>
      <c r="H4974" t="s">
        <v>23</v>
      </c>
      <c r="I4974" t="s">
        <v>67</v>
      </c>
      <c r="J4974" t="s">
        <v>68</v>
      </c>
      <c r="K4974" t="s">
        <v>29</v>
      </c>
      <c r="L4974">
        <v>1</v>
      </c>
      <c r="M4974">
        <v>1</v>
      </c>
      <c r="N4974">
        <v>4.0999999999999996</v>
      </c>
      <c r="O4974">
        <v>9.6</v>
      </c>
      <c r="P4974">
        <v>4</v>
      </c>
      <c r="Q4974">
        <v>6</v>
      </c>
      <c r="R4974">
        <v>716695</v>
      </c>
      <c r="S4974">
        <f>Table1[[#This Row],[Revenue]]-Table1[[#This Row],[Operating_Costs]]</f>
        <v>83258</v>
      </c>
      <c r="T4974">
        <v>633437</v>
      </c>
      <c r="U4974">
        <v>57</v>
      </c>
      <c r="V4974">
        <v>65</v>
      </c>
      <c r="W4974">
        <v>36.9</v>
      </c>
    </row>
    <row r="4975" spans="1:23" x14ac:dyDescent="0.25">
      <c r="A4975">
        <v>15</v>
      </c>
      <c r="B4975" t="s">
        <v>45</v>
      </c>
      <c r="C4975" s="1">
        <v>44448</v>
      </c>
      <c r="D4975" t="s">
        <v>71</v>
      </c>
      <c r="E4975">
        <v>0</v>
      </c>
      <c r="F4975">
        <v>55</v>
      </c>
      <c r="G4975" t="str">
        <f t="shared" si="85"/>
        <v>41-60</v>
      </c>
      <c r="H4975" t="s">
        <v>35</v>
      </c>
      <c r="I4975" t="s">
        <v>36</v>
      </c>
      <c r="J4975" t="s">
        <v>37</v>
      </c>
      <c r="K4975" t="s">
        <v>42</v>
      </c>
      <c r="L4975">
        <v>1</v>
      </c>
      <c r="M4975">
        <v>1</v>
      </c>
      <c r="N4975">
        <v>6.1</v>
      </c>
      <c r="O4975">
        <v>7.1</v>
      </c>
      <c r="P4975">
        <v>6</v>
      </c>
      <c r="Q4975">
        <v>6</v>
      </c>
      <c r="R4975">
        <v>705357</v>
      </c>
      <c r="S4975">
        <f>Table1[[#This Row],[Revenue]]-Table1[[#This Row],[Operating_Costs]]</f>
        <v>57885</v>
      </c>
      <c r="T4975">
        <v>647472</v>
      </c>
      <c r="U4975">
        <v>48</v>
      </c>
      <c r="V4975">
        <v>63</v>
      </c>
      <c r="W4975">
        <v>36.6</v>
      </c>
    </row>
    <row r="4976" spans="1:23" x14ac:dyDescent="0.25">
      <c r="A4976">
        <v>15</v>
      </c>
      <c r="B4976" t="s">
        <v>45</v>
      </c>
      <c r="C4976" s="1">
        <v>45295</v>
      </c>
      <c r="D4976" t="s">
        <v>71</v>
      </c>
      <c r="E4976">
        <v>0</v>
      </c>
      <c r="F4976">
        <v>55</v>
      </c>
      <c r="G4976" t="str">
        <f t="shared" si="85"/>
        <v>41-60</v>
      </c>
      <c r="H4976" t="s">
        <v>23</v>
      </c>
      <c r="I4976" t="s">
        <v>27</v>
      </c>
      <c r="J4976" t="s">
        <v>28</v>
      </c>
      <c r="K4976" t="s">
        <v>33</v>
      </c>
      <c r="L4976">
        <v>1</v>
      </c>
      <c r="M4976">
        <v>1</v>
      </c>
      <c r="N4976">
        <v>4</v>
      </c>
      <c r="O4976">
        <v>9.9</v>
      </c>
      <c r="P4976">
        <v>7</v>
      </c>
      <c r="Q4976">
        <v>6</v>
      </c>
      <c r="R4976">
        <v>770707</v>
      </c>
      <c r="S4976">
        <f>Table1[[#This Row],[Revenue]]-Table1[[#This Row],[Operating_Costs]]</f>
        <v>137675</v>
      </c>
      <c r="T4976">
        <v>633032</v>
      </c>
      <c r="U4976">
        <v>46</v>
      </c>
      <c r="V4976">
        <v>63</v>
      </c>
      <c r="W4976">
        <v>14</v>
      </c>
    </row>
    <row r="4977" spans="1:23" x14ac:dyDescent="0.25">
      <c r="A4977">
        <v>15</v>
      </c>
      <c r="B4977" t="s">
        <v>45</v>
      </c>
      <c r="C4977" s="1">
        <v>44338</v>
      </c>
      <c r="D4977" t="s">
        <v>71</v>
      </c>
      <c r="E4977">
        <v>0</v>
      </c>
      <c r="F4977">
        <v>43</v>
      </c>
      <c r="G4977" t="str">
        <f t="shared" si="85"/>
        <v>41-60</v>
      </c>
      <c r="H4977" t="s">
        <v>23</v>
      </c>
      <c r="I4977" t="s">
        <v>40</v>
      </c>
      <c r="J4977" t="s">
        <v>41</v>
      </c>
      <c r="K4977" t="s">
        <v>26</v>
      </c>
      <c r="L4977">
        <v>1</v>
      </c>
      <c r="M4977">
        <v>1</v>
      </c>
      <c r="N4977">
        <v>5.8</v>
      </c>
      <c r="O4977">
        <v>9.3000000000000007</v>
      </c>
      <c r="P4977">
        <v>7</v>
      </c>
      <c r="Q4977">
        <v>6</v>
      </c>
      <c r="R4977">
        <v>769021</v>
      </c>
      <c r="S4977">
        <f>Table1[[#This Row],[Revenue]]-Table1[[#This Row],[Operating_Costs]]</f>
        <v>134996</v>
      </c>
      <c r="T4977">
        <v>634025</v>
      </c>
      <c r="U4977">
        <v>43</v>
      </c>
      <c r="V4977">
        <v>66</v>
      </c>
      <c r="W4977">
        <v>36.700000000000003</v>
      </c>
    </row>
    <row r="4978" spans="1:23" x14ac:dyDescent="0.25">
      <c r="A4978">
        <v>15</v>
      </c>
      <c r="B4978" t="s">
        <v>45</v>
      </c>
      <c r="C4978" s="1">
        <v>44262</v>
      </c>
      <c r="D4978" t="s">
        <v>71</v>
      </c>
      <c r="E4978">
        <v>0</v>
      </c>
      <c r="F4978">
        <v>83</v>
      </c>
      <c r="G4978" t="str">
        <f t="shared" si="85"/>
        <v>81+</v>
      </c>
      <c r="H4978" t="s">
        <v>23</v>
      </c>
      <c r="I4978" t="s">
        <v>24</v>
      </c>
      <c r="J4978" t="s">
        <v>25</v>
      </c>
      <c r="K4978" t="s">
        <v>42</v>
      </c>
      <c r="L4978">
        <v>1</v>
      </c>
      <c r="M4978">
        <v>1</v>
      </c>
      <c r="N4978">
        <v>2.4</v>
      </c>
      <c r="O4978">
        <v>9.5</v>
      </c>
      <c r="P4978">
        <v>5</v>
      </c>
      <c r="Q4978">
        <v>5</v>
      </c>
      <c r="R4978">
        <v>762443</v>
      </c>
      <c r="S4978">
        <f>Table1[[#This Row],[Revenue]]-Table1[[#This Row],[Operating_Costs]]</f>
        <v>88545</v>
      </c>
      <c r="T4978">
        <v>673898</v>
      </c>
      <c r="U4978">
        <v>41</v>
      </c>
      <c r="V4978">
        <v>66</v>
      </c>
      <c r="W4978">
        <v>13</v>
      </c>
    </row>
    <row r="4979" spans="1:23" x14ac:dyDescent="0.25">
      <c r="A4979">
        <v>15</v>
      </c>
      <c r="B4979" t="s">
        <v>45</v>
      </c>
      <c r="C4979" s="1">
        <v>45330</v>
      </c>
      <c r="D4979" t="s">
        <v>71</v>
      </c>
      <c r="E4979">
        <v>0</v>
      </c>
      <c r="F4979">
        <v>58</v>
      </c>
      <c r="G4979" t="str">
        <f t="shared" si="85"/>
        <v>41-60</v>
      </c>
      <c r="H4979" t="s">
        <v>35</v>
      </c>
      <c r="I4979" t="s">
        <v>46</v>
      </c>
      <c r="J4979" t="s">
        <v>47</v>
      </c>
      <c r="K4979" t="s">
        <v>33</v>
      </c>
      <c r="L4979">
        <v>1</v>
      </c>
      <c r="M4979">
        <v>1</v>
      </c>
      <c r="N4979">
        <v>4.5999999999999996</v>
      </c>
      <c r="O4979">
        <v>7.6</v>
      </c>
      <c r="P4979">
        <v>4</v>
      </c>
      <c r="Q4979">
        <v>3</v>
      </c>
      <c r="R4979">
        <v>733278</v>
      </c>
      <c r="S4979">
        <f>Table1[[#This Row],[Revenue]]-Table1[[#This Row],[Operating_Costs]]</f>
        <v>196315</v>
      </c>
      <c r="T4979">
        <v>536963</v>
      </c>
      <c r="U4979">
        <v>42</v>
      </c>
      <c r="V4979">
        <v>56</v>
      </c>
      <c r="W4979">
        <v>36</v>
      </c>
    </row>
    <row r="4980" spans="1:23" x14ac:dyDescent="0.25">
      <c r="A4980">
        <v>15</v>
      </c>
      <c r="B4980" t="s">
        <v>45</v>
      </c>
      <c r="C4980" s="1">
        <v>45265</v>
      </c>
      <c r="D4980" t="s">
        <v>71</v>
      </c>
      <c r="E4980">
        <v>0</v>
      </c>
      <c r="F4980">
        <v>81</v>
      </c>
      <c r="G4980" t="str">
        <f t="shared" si="85"/>
        <v>81+</v>
      </c>
      <c r="H4980" t="s">
        <v>23</v>
      </c>
      <c r="I4980" t="s">
        <v>61</v>
      </c>
      <c r="J4980" t="s">
        <v>62</v>
      </c>
      <c r="K4980" t="s">
        <v>38</v>
      </c>
      <c r="L4980">
        <v>1</v>
      </c>
      <c r="M4980">
        <v>1</v>
      </c>
      <c r="N4980">
        <v>6.6</v>
      </c>
      <c r="O4980">
        <v>7.5</v>
      </c>
      <c r="P4980">
        <v>7</v>
      </c>
      <c r="Q4980">
        <v>6</v>
      </c>
      <c r="R4980">
        <v>783212</v>
      </c>
      <c r="S4980">
        <f>Table1[[#This Row],[Revenue]]-Table1[[#This Row],[Operating_Costs]]</f>
        <v>245061</v>
      </c>
      <c r="T4980">
        <v>538151</v>
      </c>
      <c r="U4980">
        <v>54</v>
      </c>
      <c r="V4980">
        <v>64</v>
      </c>
      <c r="W4980">
        <v>14.5</v>
      </c>
    </row>
    <row r="4981" spans="1:23" x14ac:dyDescent="0.25">
      <c r="A4981">
        <v>15</v>
      </c>
      <c r="B4981" t="s">
        <v>45</v>
      </c>
      <c r="C4981" s="1">
        <v>44955</v>
      </c>
      <c r="D4981" t="s">
        <v>71</v>
      </c>
      <c r="E4981">
        <v>0</v>
      </c>
      <c r="F4981">
        <v>50</v>
      </c>
      <c r="G4981" t="str">
        <f t="shared" si="85"/>
        <v>41-60</v>
      </c>
      <c r="H4981" t="s">
        <v>35</v>
      </c>
      <c r="I4981" t="s">
        <v>36</v>
      </c>
      <c r="J4981" t="s">
        <v>37</v>
      </c>
      <c r="K4981" t="s">
        <v>26</v>
      </c>
      <c r="L4981">
        <v>1</v>
      </c>
      <c r="M4981">
        <v>1</v>
      </c>
      <c r="N4981">
        <v>3</v>
      </c>
      <c r="O4981">
        <v>8.5</v>
      </c>
      <c r="P4981">
        <v>6</v>
      </c>
      <c r="Q4981">
        <v>5</v>
      </c>
      <c r="R4981">
        <v>744291</v>
      </c>
      <c r="S4981">
        <f>Table1[[#This Row],[Revenue]]-Table1[[#This Row],[Operating_Costs]]</f>
        <v>98293</v>
      </c>
      <c r="T4981">
        <v>645998</v>
      </c>
      <c r="U4981">
        <v>56</v>
      </c>
      <c r="V4981">
        <v>54</v>
      </c>
      <c r="W4981">
        <v>7.4</v>
      </c>
    </row>
    <row r="4982" spans="1:23" x14ac:dyDescent="0.25">
      <c r="A4982">
        <v>15</v>
      </c>
      <c r="B4982" t="s">
        <v>45</v>
      </c>
      <c r="C4982" s="1">
        <v>44834</v>
      </c>
      <c r="D4982" t="s">
        <v>71</v>
      </c>
      <c r="E4982">
        <v>0</v>
      </c>
      <c r="F4982">
        <v>58</v>
      </c>
      <c r="G4982" t="str">
        <f t="shared" si="85"/>
        <v>41-60</v>
      </c>
      <c r="H4982" t="s">
        <v>35</v>
      </c>
      <c r="I4982" t="s">
        <v>31</v>
      </c>
      <c r="J4982" t="s">
        <v>28</v>
      </c>
      <c r="K4982" t="s">
        <v>29</v>
      </c>
      <c r="L4982">
        <v>1</v>
      </c>
      <c r="M4982">
        <v>1</v>
      </c>
      <c r="N4982">
        <v>2.1</v>
      </c>
      <c r="O4982">
        <v>7.3</v>
      </c>
      <c r="P4982">
        <v>3</v>
      </c>
      <c r="Q4982">
        <v>6</v>
      </c>
      <c r="R4982">
        <v>741645</v>
      </c>
      <c r="S4982">
        <f>Table1[[#This Row],[Revenue]]-Table1[[#This Row],[Operating_Costs]]</f>
        <v>120646</v>
      </c>
      <c r="T4982">
        <v>620999</v>
      </c>
      <c r="U4982">
        <v>51</v>
      </c>
      <c r="V4982">
        <v>65</v>
      </c>
      <c r="W4982">
        <v>12.7</v>
      </c>
    </row>
    <row r="4983" spans="1:23" x14ac:dyDescent="0.25">
      <c r="A4983">
        <v>15</v>
      </c>
      <c r="B4983" t="s">
        <v>45</v>
      </c>
      <c r="C4983" s="1">
        <v>44792</v>
      </c>
      <c r="D4983" t="s">
        <v>71</v>
      </c>
      <c r="E4983">
        <v>0</v>
      </c>
      <c r="F4983">
        <v>49</v>
      </c>
      <c r="G4983" t="str">
        <f t="shared" si="85"/>
        <v>41-60</v>
      </c>
      <c r="H4983" t="s">
        <v>23</v>
      </c>
      <c r="I4983" t="s">
        <v>43</v>
      </c>
      <c r="J4983" t="s">
        <v>25</v>
      </c>
      <c r="K4983" t="s">
        <v>38</v>
      </c>
      <c r="L4983">
        <v>1</v>
      </c>
      <c r="M4983">
        <v>1</v>
      </c>
      <c r="N4983">
        <v>2.2000000000000002</v>
      </c>
      <c r="O4983">
        <v>8.4</v>
      </c>
      <c r="P4983">
        <v>5</v>
      </c>
      <c r="Q4983">
        <v>3</v>
      </c>
      <c r="R4983">
        <v>724985</v>
      </c>
      <c r="S4983">
        <f>Table1[[#This Row],[Revenue]]-Table1[[#This Row],[Operating_Costs]]</f>
        <v>211222</v>
      </c>
      <c r="T4983">
        <v>513763</v>
      </c>
      <c r="U4983">
        <v>36</v>
      </c>
      <c r="V4983">
        <v>60</v>
      </c>
      <c r="W4983">
        <v>12.4</v>
      </c>
    </row>
    <row r="4984" spans="1:23" x14ac:dyDescent="0.25">
      <c r="A4984">
        <v>15</v>
      </c>
      <c r="B4984" t="s">
        <v>45</v>
      </c>
      <c r="C4984" s="1">
        <v>45388</v>
      </c>
      <c r="D4984" t="s">
        <v>71</v>
      </c>
      <c r="E4984">
        <v>0</v>
      </c>
      <c r="F4984">
        <v>55</v>
      </c>
      <c r="G4984" t="str">
        <f t="shared" si="85"/>
        <v>41-60</v>
      </c>
      <c r="H4984" t="s">
        <v>23</v>
      </c>
      <c r="I4984" t="s">
        <v>55</v>
      </c>
      <c r="J4984" t="s">
        <v>56</v>
      </c>
      <c r="K4984" t="s">
        <v>38</v>
      </c>
      <c r="L4984">
        <v>1</v>
      </c>
      <c r="M4984">
        <v>1</v>
      </c>
      <c r="N4984">
        <v>3.6</v>
      </c>
      <c r="O4984">
        <v>9.1</v>
      </c>
      <c r="P4984">
        <v>5</v>
      </c>
      <c r="Q4984">
        <v>3</v>
      </c>
      <c r="R4984">
        <v>745564</v>
      </c>
      <c r="S4984">
        <f>Table1[[#This Row],[Revenue]]-Table1[[#This Row],[Operating_Costs]]</f>
        <v>69200</v>
      </c>
      <c r="T4984">
        <v>676364</v>
      </c>
      <c r="U4984">
        <v>44</v>
      </c>
      <c r="V4984">
        <v>63</v>
      </c>
      <c r="W4984">
        <v>5.7</v>
      </c>
    </row>
    <row r="4985" spans="1:23" x14ac:dyDescent="0.25">
      <c r="A4985">
        <v>15</v>
      </c>
      <c r="B4985" t="s">
        <v>45</v>
      </c>
      <c r="C4985" s="1">
        <v>44735</v>
      </c>
      <c r="D4985" t="s">
        <v>71</v>
      </c>
      <c r="E4985">
        <v>0</v>
      </c>
      <c r="F4985">
        <v>24</v>
      </c>
      <c r="G4985" t="str">
        <f t="shared" si="85"/>
        <v>21-40</v>
      </c>
      <c r="H4985" t="s">
        <v>23</v>
      </c>
      <c r="I4985" t="s">
        <v>67</v>
      </c>
      <c r="J4985" t="s">
        <v>68</v>
      </c>
      <c r="K4985" t="s">
        <v>26</v>
      </c>
      <c r="L4985">
        <v>1</v>
      </c>
      <c r="M4985">
        <v>1</v>
      </c>
      <c r="N4985">
        <v>2.2999999999999998</v>
      </c>
      <c r="O4985">
        <v>9.8000000000000007</v>
      </c>
      <c r="P4985">
        <v>7</v>
      </c>
      <c r="Q4985">
        <v>4</v>
      </c>
      <c r="R4985">
        <v>765589</v>
      </c>
      <c r="S4985">
        <f>Table1[[#This Row],[Revenue]]-Table1[[#This Row],[Operating_Costs]]</f>
        <v>221622</v>
      </c>
      <c r="T4985">
        <v>543967</v>
      </c>
      <c r="U4985">
        <v>45</v>
      </c>
      <c r="V4985">
        <v>63</v>
      </c>
      <c r="W4985">
        <v>9.4</v>
      </c>
    </row>
    <row r="4986" spans="1:23" x14ac:dyDescent="0.25">
      <c r="A4986">
        <v>15</v>
      </c>
      <c r="B4986" t="s">
        <v>45</v>
      </c>
      <c r="C4986" s="1">
        <v>45169</v>
      </c>
      <c r="D4986" t="s">
        <v>71</v>
      </c>
      <c r="E4986">
        <v>0</v>
      </c>
      <c r="F4986">
        <v>78</v>
      </c>
      <c r="G4986" t="str">
        <f t="shared" si="85"/>
        <v>61-80</v>
      </c>
      <c r="H4986" t="s">
        <v>23</v>
      </c>
      <c r="I4986" t="s">
        <v>55</v>
      </c>
      <c r="J4986" t="s">
        <v>56</v>
      </c>
      <c r="K4986" t="s">
        <v>29</v>
      </c>
      <c r="L4986">
        <v>1</v>
      </c>
      <c r="M4986">
        <v>1</v>
      </c>
      <c r="N4986">
        <v>6.9</v>
      </c>
      <c r="O4986">
        <v>9.6999999999999993</v>
      </c>
      <c r="P4986">
        <v>4</v>
      </c>
      <c r="Q4986">
        <v>4</v>
      </c>
      <c r="R4986">
        <v>731091</v>
      </c>
      <c r="S4986">
        <f>Table1[[#This Row],[Revenue]]-Table1[[#This Row],[Operating_Costs]]</f>
        <v>118348</v>
      </c>
      <c r="T4986">
        <v>612743</v>
      </c>
      <c r="U4986">
        <v>33</v>
      </c>
      <c r="V4986">
        <v>64</v>
      </c>
      <c r="W4986">
        <v>12.2</v>
      </c>
    </row>
    <row r="4987" spans="1:23" x14ac:dyDescent="0.25">
      <c r="A4987">
        <v>15</v>
      </c>
      <c r="B4987" t="s">
        <v>45</v>
      </c>
      <c r="C4987" s="1">
        <v>45523</v>
      </c>
      <c r="D4987" t="s">
        <v>71</v>
      </c>
      <c r="E4987">
        <v>0</v>
      </c>
      <c r="F4987">
        <v>27</v>
      </c>
      <c r="G4987" t="str">
        <f t="shared" si="85"/>
        <v>21-40</v>
      </c>
      <c r="H4987" t="s">
        <v>23</v>
      </c>
      <c r="I4987" t="s">
        <v>50</v>
      </c>
      <c r="J4987" t="s">
        <v>51</v>
      </c>
      <c r="K4987" t="s">
        <v>38</v>
      </c>
      <c r="L4987">
        <v>1</v>
      </c>
      <c r="M4987">
        <v>1</v>
      </c>
      <c r="N4987">
        <v>2.6</v>
      </c>
      <c r="O4987">
        <v>8.1</v>
      </c>
      <c r="P4987">
        <v>6</v>
      </c>
      <c r="Q4987">
        <v>4</v>
      </c>
      <c r="R4987">
        <v>743202</v>
      </c>
      <c r="S4987">
        <f>Table1[[#This Row],[Revenue]]-Table1[[#This Row],[Operating_Costs]]</f>
        <v>119728</v>
      </c>
      <c r="T4987">
        <v>623474</v>
      </c>
      <c r="U4987">
        <v>58</v>
      </c>
      <c r="V4987">
        <v>62</v>
      </c>
      <c r="W4987">
        <v>6</v>
      </c>
    </row>
    <row r="4988" spans="1:23" x14ac:dyDescent="0.25">
      <c r="A4988">
        <v>15</v>
      </c>
      <c r="B4988" t="s">
        <v>45</v>
      </c>
      <c r="C4988" s="1">
        <v>45372</v>
      </c>
      <c r="D4988" t="s">
        <v>71</v>
      </c>
      <c r="E4988">
        <v>0</v>
      </c>
      <c r="F4988">
        <v>27</v>
      </c>
      <c r="G4988" t="str">
        <f t="shared" si="85"/>
        <v>21-40</v>
      </c>
      <c r="H4988" t="s">
        <v>35</v>
      </c>
      <c r="I4988" t="s">
        <v>58</v>
      </c>
      <c r="J4988" t="s">
        <v>59</v>
      </c>
      <c r="K4988" t="s">
        <v>29</v>
      </c>
      <c r="L4988">
        <v>1</v>
      </c>
      <c r="M4988">
        <v>1</v>
      </c>
      <c r="N4988">
        <v>1.1000000000000001</v>
      </c>
      <c r="O4988">
        <v>9.1</v>
      </c>
      <c r="P4988">
        <v>3</v>
      </c>
      <c r="Q4988">
        <v>7</v>
      </c>
      <c r="R4988">
        <v>729400</v>
      </c>
      <c r="S4988">
        <f>Table1[[#This Row],[Revenue]]-Table1[[#This Row],[Operating_Costs]]</f>
        <v>133304</v>
      </c>
      <c r="T4988">
        <v>596096</v>
      </c>
      <c r="U4988">
        <v>35</v>
      </c>
      <c r="V4988">
        <v>61</v>
      </c>
      <c r="W4988">
        <v>9</v>
      </c>
    </row>
    <row r="4989" spans="1:23" x14ac:dyDescent="0.25">
      <c r="A4989">
        <v>15</v>
      </c>
      <c r="B4989" t="s">
        <v>45</v>
      </c>
      <c r="C4989" s="1">
        <v>44256</v>
      </c>
      <c r="D4989" t="s">
        <v>71</v>
      </c>
      <c r="E4989">
        <v>0</v>
      </c>
      <c r="F4989">
        <v>76</v>
      </c>
      <c r="G4989" t="str">
        <f t="shared" si="85"/>
        <v>61-80</v>
      </c>
      <c r="H4989" t="s">
        <v>23</v>
      </c>
      <c r="I4989" t="s">
        <v>43</v>
      </c>
      <c r="J4989" t="s">
        <v>25</v>
      </c>
      <c r="K4989" t="s">
        <v>29</v>
      </c>
      <c r="L4989">
        <v>1</v>
      </c>
      <c r="M4989">
        <v>1</v>
      </c>
      <c r="N4989">
        <v>3.1</v>
      </c>
      <c r="O4989">
        <v>9.4</v>
      </c>
      <c r="P4989">
        <v>3</v>
      </c>
      <c r="Q4989">
        <v>7</v>
      </c>
      <c r="R4989">
        <v>774594</v>
      </c>
      <c r="S4989">
        <f>Table1[[#This Row],[Revenue]]-Table1[[#This Row],[Operating_Costs]]</f>
        <v>80939</v>
      </c>
      <c r="T4989">
        <v>693655</v>
      </c>
      <c r="U4989">
        <v>33</v>
      </c>
      <c r="V4989">
        <v>54</v>
      </c>
      <c r="W4989">
        <v>8.5</v>
      </c>
    </row>
    <row r="4990" spans="1:23" x14ac:dyDescent="0.25">
      <c r="A4990">
        <v>15</v>
      </c>
      <c r="B4990" t="s">
        <v>45</v>
      </c>
      <c r="C4990" s="1">
        <v>44550</v>
      </c>
      <c r="D4990" t="s">
        <v>71</v>
      </c>
      <c r="E4990">
        <v>0</v>
      </c>
      <c r="F4990">
        <v>85</v>
      </c>
      <c r="G4990" t="str">
        <f t="shared" si="85"/>
        <v>81+</v>
      </c>
      <c r="H4990" t="s">
        <v>35</v>
      </c>
      <c r="I4990" t="s">
        <v>64</v>
      </c>
      <c r="J4990" t="s">
        <v>65</v>
      </c>
      <c r="K4990" t="s">
        <v>38</v>
      </c>
      <c r="L4990">
        <v>1</v>
      </c>
      <c r="M4990">
        <v>1</v>
      </c>
      <c r="N4990">
        <v>2.7</v>
      </c>
      <c r="O4990">
        <v>9.3000000000000007</v>
      </c>
      <c r="P4990">
        <v>3</v>
      </c>
      <c r="Q4990">
        <v>5</v>
      </c>
      <c r="R4990">
        <v>767418</v>
      </c>
      <c r="S4990">
        <f>Table1[[#This Row],[Revenue]]-Table1[[#This Row],[Operating_Costs]]</f>
        <v>214249</v>
      </c>
      <c r="T4990">
        <v>553169</v>
      </c>
      <c r="U4990">
        <v>35</v>
      </c>
      <c r="V4990">
        <v>56</v>
      </c>
      <c r="W4990">
        <v>10.1</v>
      </c>
    </row>
    <row r="4991" spans="1:23" x14ac:dyDescent="0.25">
      <c r="A4991">
        <v>15</v>
      </c>
      <c r="B4991" t="s">
        <v>45</v>
      </c>
      <c r="C4991" s="1">
        <v>44784</v>
      </c>
      <c r="D4991" t="s">
        <v>71</v>
      </c>
      <c r="E4991">
        <v>0</v>
      </c>
      <c r="F4991">
        <v>39</v>
      </c>
      <c r="G4991" t="str">
        <f t="shared" si="85"/>
        <v>21-40</v>
      </c>
      <c r="H4991" t="s">
        <v>23</v>
      </c>
      <c r="I4991" t="s">
        <v>61</v>
      </c>
      <c r="J4991" t="s">
        <v>62</v>
      </c>
      <c r="K4991" t="s">
        <v>42</v>
      </c>
      <c r="L4991">
        <v>1</v>
      </c>
      <c r="M4991">
        <v>1</v>
      </c>
      <c r="N4991">
        <v>1.6</v>
      </c>
      <c r="O4991">
        <v>9.6</v>
      </c>
      <c r="P4991">
        <v>6</v>
      </c>
      <c r="Q4991">
        <v>7</v>
      </c>
      <c r="R4991">
        <v>726950</v>
      </c>
      <c r="S4991">
        <f>Table1[[#This Row],[Revenue]]-Table1[[#This Row],[Operating_Costs]]</f>
        <v>143322</v>
      </c>
      <c r="T4991">
        <v>583628</v>
      </c>
      <c r="U4991">
        <v>59</v>
      </c>
      <c r="V4991">
        <v>59</v>
      </c>
      <c r="W4991">
        <v>12.3</v>
      </c>
    </row>
    <row r="4992" spans="1:23" x14ac:dyDescent="0.25">
      <c r="A4992">
        <v>15</v>
      </c>
      <c r="B4992" t="s">
        <v>45</v>
      </c>
      <c r="C4992" s="1">
        <v>45583</v>
      </c>
      <c r="D4992" t="s">
        <v>71</v>
      </c>
      <c r="E4992">
        <v>0</v>
      </c>
      <c r="F4992">
        <v>53</v>
      </c>
      <c r="G4992" t="str">
        <f t="shared" si="85"/>
        <v>41-60</v>
      </c>
      <c r="H4992" t="s">
        <v>35</v>
      </c>
      <c r="I4992" t="s">
        <v>31</v>
      </c>
      <c r="J4992" t="s">
        <v>28</v>
      </c>
      <c r="K4992" t="s">
        <v>38</v>
      </c>
      <c r="L4992">
        <v>1</v>
      </c>
      <c r="M4992">
        <v>1</v>
      </c>
      <c r="N4992">
        <v>6.4</v>
      </c>
      <c r="O4992">
        <v>9.1</v>
      </c>
      <c r="P4992">
        <v>7</v>
      </c>
      <c r="Q4992">
        <v>3</v>
      </c>
      <c r="R4992">
        <v>715024</v>
      </c>
      <c r="S4992">
        <f>Table1[[#This Row],[Revenue]]-Table1[[#This Row],[Operating_Costs]]</f>
        <v>23301</v>
      </c>
      <c r="T4992">
        <v>691723</v>
      </c>
      <c r="U4992">
        <v>41</v>
      </c>
      <c r="V4992">
        <v>57</v>
      </c>
      <c r="W4992">
        <v>5.6</v>
      </c>
    </row>
    <row r="4993" spans="1:23" x14ac:dyDescent="0.25">
      <c r="A4993">
        <v>15</v>
      </c>
      <c r="B4993" t="s">
        <v>45</v>
      </c>
      <c r="C4993" s="1">
        <v>45313</v>
      </c>
      <c r="D4993" t="s">
        <v>71</v>
      </c>
      <c r="E4993">
        <v>0</v>
      </c>
      <c r="F4993">
        <v>26</v>
      </c>
      <c r="G4993" t="str">
        <f t="shared" si="85"/>
        <v>21-40</v>
      </c>
      <c r="H4993" t="s">
        <v>35</v>
      </c>
      <c r="I4993" t="s">
        <v>31</v>
      </c>
      <c r="J4993" t="s">
        <v>28</v>
      </c>
      <c r="K4993" t="s">
        <v>42</v>
      </c>
      <c r="L4993">
        <v>1</v>
      </c>
      <c r="M4993">
        <v>1</v>
      </c>
      <c r="N4993">
        <v>1.9</v>
      </c>
      <c r="O4993">
        <v>8.4</v>
      </c>
      <c r="P4993">
        <v>5</v>
      </c>
      <c r="Q4993">
        <v>6</v>
      </c>
      <c r="R4993">
        <v>728572</v>
      </c>
      <c r="S4993">
        <f>Table1[[#This Row],[Revenue]]-Table1[[#This Row],[Operating_Costs]]</f>
        <v>50263</v>
      </c>
      <c r="T4993">
        <v>678309</v>
      </c>
      <c r="U4993">
        <v>60</v>
      </c>
      <c r="V4993">
        <v>66</v>
      </c>
      <c r="W4993">
        <v>10.3</v>
      </c>
    </row>
    <row r="4994" spans="1:23" x14ac:dyDescent="0.25">
      <c r="A4994">
        <v>15</v>
      </c>
      <c r="B4994" t="s">
        <v>45</v>
      </c>
      <c r="C4994" s="1">
        <v>44953</v>
      </c>
      <c r="D4994" t="s">
        <v>71</v>
      </c>
      <c r="E4994">
        <v>0</v>
      </c>
      <c r="F4994">
        <v>47</v>
      </c>
      <c r="G4994" t="str">
        <f t="shared" si="85"/>
        <v>41-60</v>
      </c>
      <c r="H4994" t="s">
        <v>35</v>
      </c>
      <c r="I4994" t="s">
        <v>61</v>
      </c>
      <c r="J4994" t="s">
        <v>62</v>
      </c>
      <c r="K4994" t="s">
        <v>33</v>
      </c>
      <c r="L4994">
        <v>1</v>
      </c>
      <c r="M4994">
        <v>1</v>
      </c>
      <c r="N4994">
        <v>3.9</v>
      </c>
      <c r="O4994">
        <v>7.1</v>
      </c>
      <c r="P4994">
        <v>4</v>
      </c>
      <c r="Q4994">
        <v>5</v>
      </c>
      <c r="R4994">
        <v>713652</v>
      </c>
      <c r="S4994">
        <f>Table1[[#This Row],[Revenue]]-Table1[[#This Row],[Operating_Costs]]</f>
        <v>185062</v>
      </c>
      <c r="T4994">
        <v>528590</v>
      </c>
      <c r="U4994">
        <v>46</v>
      </c>
      <c r="V4994">
        <v>58</v>
      </c>
      <c r="W4994">
        <v>12.8</v>
      </c>
    </row>
    <row r="4995" spans="1:23" x14ac:dyDescent="0.25">
      <c r="A4995">
        <v>15</v>
      </c>
      <c r="B4995" t="s">
        <v>45</v>
      </c>
      <c r="C4995" s="1">
        <v>44336</v>
      </c>
      <c r="D4995" t="s">
        <v>71</v>
      </c>
      <c r="E4995">
        <v>0</v>
      </c>
      <c r="F4995">
        <v>25</v>
      </c>
      <c r="G4995" t="str">
        <f t="shared" ref="G4995:G4996" si="86">IF(F4995&lt;=20,"0-20",IF(F4995&lt;=40,"21-40",IF(F4995&lt;=60,"41-60",IF(F4995&lt;=80,"61-80","81+"))))</f>
        <v>21-40</v>
      </c>
      <c r="H4995" t="s">
        <v>35</v>
      </c>
      <c r="I4995" t="s">
        <v>46</v>
      </c>
      <c r="J4995" t="s">
        <v>47</v>
      </c>
      <c r="K4995" t="s">
        <v>42</v>
      </c>
      <c r="L4995">
        <v>1</v>
      </c>
      <c r="M4995">
        <v>1</v>
      </c>
      <c r="N4995">
        <v>2.5</v>
      </c>
      <c r="O4995">
        <v>8.1999999999999993</v>
      </c>
      <c r="P4995">
        <v>7</v>
      </c>
      <c r="Q4995">
        <v>5</v>
      </c>
      <c r="R4995">
        <v>783055</v>
      </c>
      <c r="S4995">
        <f>Table1[[#This Row],[Revenue]]-Table1[[#This Row],[Operating_Costs]]</f>
        <v>85705</v>
      </c>
      <c r="T4995">
        <v>697350</v>
      </c>
      <c r="U4995">
        <v>45</v>
      </c>
      <c r="V4995">
        <v>55</v>
      </c>
      <c r="W4995">
        <v>36.9</v>
      </c>
    </row>
    <row r="4996" spans="1:23" x14ac:dyDescent="0.25">
      <c r="A4996">
        <v>15</v>
      </c>
      <c r="B4996" t="s">
        <v>45</v>
      </c>
      <c r="C4996" s="1">
        <v>44957</v>
      </c>
      <c r="D4996" t="s">
        <v>71</v>
      </c>
      <c r="E4996">
        <v>0</v>
      </c>
      <c r="F4996">
        <v>45</v>
      </c>
      <c r="G4996" t="str">
        <f t="shared" si="86"/>
        <v>41-60</v>
      </c>
      <c r="H4996" t="s">
        <v>23</v>
      </c>
      <c r="I4996" t="s">
        <v>55</v>
      </c>
      <c r="J4996" t="s">
        <v>56</v>
      </c>
      <c r="K4996" t="s">
        <v>33</v>
      </c>
      <c r="L4996">
        <v>1</v>
      </c>
      <c r="M4996">
        <v>1</v>
      </c>
      <c r="N4996">
        <v>2.7</v>
      </c>
      <c r="O4996">
        <v>8.9</v>
      </c>
      <c r="P4996">
        <v>7</v>
      </c>
      <c r="Q4996">
        <v>3</v>
      </c>
      <c r="R4996">
        <v>781756</v>
      </c>
      <c r="S4996">
        <f>Table1[[#This Row],[Revenue]]-Table1[[#This Row],[Operating_Costs]]</f>
        <v>221835</v>
      </c>
      <c r="T4996">
        <v>559921</v>
      </c>
      <c r="U4996">
        <v>53</v>
      </c>
      <c r="V4996">
        <v>55</v>
      </c>
      <c r="W4996">
        <v>7.8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singh</dc:creator>
  <cp:lastModifiedBy>Rohit Dhanik</cp:lastModifiedBy>
  <dcterms:created xsi:type="dcterms:W3CDTF">2026-05-16T04:14:39Z</dcterms:created>
  <dcterms:modified xsi:type="dcterms:W3CDTF">2026-09-16T06:43:19Z</dcterms:modified>
</cp:coreProperties>
</file>